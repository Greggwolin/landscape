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5Models/2Excel/1Testing/Land/"/>
    </mc:Choice>
  </mc:AlternateContent>
  <xr:revisionPtr revIDLastSave="5876" documentId="8_{10D1CBB8-C4B2-4DC2-A055-057C8F2385F2}" xr6:coauthVersionLast="47" xr6:coauthVersionMax="47" xr10:uidLastSave="{D96085BF-2506-C34C-9543-2A1E00930424}"/>
  <bookViews>
    <workbookView xWindow="0" yWindow="500" windowWidth="68800" windowHeight="28300" activeTab="13" xr2:uid="{BA88B055-F4DC-4B91-9A46-52B9DCF60965}"/>
  </bookViews>
  <sheets>
    <sheet name="Dashboard" sheetId="10" r:id="rId1"/>
    <sheet name="iGeneral" sheetId="2" r:id="rId2"/>
    <sheet name="iLandAcquisition" sheetId="15" r:id="rId3"/>
    <sheet name="iMPC" sheetId="3" r:id="rId4"/>
    <sheet name="iV1" sheetId="9" r:id="rId5"/>
    <sheet name="V2" sheetId="11" r:id="rId6"/>
    <sheet name="V3" sheetId="12" r:id="rId7"/>
    <sheet name="V4" sheetId="13" r:id="rId8"/>
    <sheet name="Budget" sheetId="5" r:id="rId9"/>
    <sheet name="CALCS" sheetId="19" r:id="rId10"/>
    <sheet name="DATA" sheetId="6" r:id="rId11"/>
    <sheet name="i.Finance" sheetId="20" r:id="rId12"/>
    <sheet name="mCFD" sheetId="21" r:id="rId13"/>
    <sheet name="&gt;Interface" sheetId="7" r:id="rId14"/>
  </sheets>
  <externalReferences>
    <externalReference r:id="rId15"/>
  </externalReferences>
  <definedNames>
    <definedName name="_xlcn.WorksheetConnection_T9A2C161" localSheetId="8" hidden="1">#REF!</definedName>
    <definedName name="_xlcn.WorksheetConnection_T9A2C161" localSheetId="4" hidden="1">#REF!</definedName>
    <definedName name="_xlcn.WorksheetConnection_T9A2C161" localSheetId="5" hidden="1">#REF!</definedName>
    <definedName name="_xlcn.WorksheetConnection_T9A2C161" localSheetId="6" hidden="1">#REF!</definedName>
    <definedName name="_xlcn.WorksheetConnection_T9A2C161" localSheetId="7" hidden="1">#REF!</definedName>
    <definedName name="_xlcn.WorksheetConnection_T9A2C161" hidden="1">#REF!</definedName>
    <definedName name="c_AcresTotal.Res" localSheetId="0">SUM(#REF!)</definedName>
    <definedName name="c_AcresTotal.Res">SUM(tbl_Parcels[Acres])</definedName>
    <definedName name="c_UnitTotal.Res" localSheetId="0">SUM(#REF!)</definedName>
    <definedName name="c_UnitTotal.Res">SUM(tbl_Parcels[Low])</definedName>
    <definedName name="colectica_worksheet_id__00000_int.example_16f361b05c4b4ad8a110731ecd55f775_1" localSheetId="12" hidden="1">mCFD!$A$1</definedName>
    <definedName name="colectica_worksheet_id__00000_int.example_61d2fd796fe64eb3a6d61f4d312f5697_1" localSheetId="11" hidden="1">i.Finance!#REF!</definedName>
    <definedName name="cv_CFD.CumeDebtSrvc.Annual">mCFD!$BD$373:$BD$402</definedName>
    <definedName name="dvl_DevCostCat">DATA!$AR$10:$AZ$10</definedName>
    <definedName name="dvl_Rates.Conting">_xlfn.UNIQUE(_xlfn._xlws.FILTER(iGeneral!$F$41:$F$45,iGeneral!$F$41:$F$45&lt;&gt;0))</definedName>
    <definedName name="i_CFD.AV.Inflation">i.Finance!$O$26</definedName>
    <definedName name="i_CFD.CommeAssesRatio">i.Finance!$O$25</definedName>
    <definedName name="i_CFD.FullCashRatio">i.Finance!$O$23</definedName>
    <definedName name="i_CFD.LimValRatio">i.Finance!$O$22</definedName>
    <definedName name="i_CFD.ObliRate">i.Finance!$O$61</definedName>
    <definedName name="i_CFD.ResiAssesRatio">i.Finance!$O$24</definedName>
    <definedName name="i_CFD.SA.COI">i.Finance!$O$54</definedName>
    <definedName name="i_CFD.SA.IntRate">i.Finance!$O$51</definedName>
    <definedName name="i_CFD.SA.Max">i.Finance!$O$49</definedName>
    <definedName name="i_CFD.SA.ResFund">i.Finance!$O$53</definedName>
    <definedName name="i_CFD.SA.TermYrs">i.Finance!$O$50</definedName>
    <definedName name="i_CFD.SA.UnderFee">i.Finance!$O$55</definedName>
    <definedName name="i_CFD.SA.YrsCapInt">i.Finance!$O$52</definedName>
    <definedName name="i_CFD.TaxRoll1">i.Finance!$O$17</definedName>
    <definedName name="i_CFD.TaxRoll2">i.Finance!$O$18</definedName>
    <definedName name="i_CFD.TaxRoll3">i.Finance!$O$19</definedName>
    <definedName name="i_Cost.Closing">iGeneral!$F$33</definedName>
    <definedName name="i_Cost.Commissions">iGeneral!$F$35</definedName>
    <definedName name="i_Cost.Legal">iGeneral!$F$36</definedName>
    <definedName name="i_Cost.Other">iGeneral!$F$37</definedName>
    <definedName name="i_Cost.Subd">iGeneral!$F$51</definedName>
    <definedName name="i_Date.Start">iGeneral!$F$13</definedName>
    <definedName name="i_Fee.Dispo">iGeneral!$F$34</definedName>
    <definedName name="i_HomeSale.MonthsOffset">i.Finance!$O$12</definedName>
    <definedName name="i_HousePrice">iGeneral!$F$50</definedName>
    <definedName name="i_HousePrice.Start">i.Finance!$O$11</definedName>
    <definedName name="i_Name.Project">iGeneral!$F$10</definedName>
    <definedName name="i_Price.FinLot">iGeneral!$F$52</definedName>
    <definedName name="i_rate.Hurdle1.MO">(1+i_Rate.Hurdle1)^(1/12)-1</definedName>
    <definedName name="i_rate.Hurdle2.MO">(1+i_Rate.Hurdle2)^(1/12)-1</definedName>
    <definedName name="i_rate.Hurdle3.MO">(1+i_Rate.Hurdle3)^(1/12)-1</definedName>
    <definedName name="i_rate.Pref.MO">(1+i_Rate.Pref)^(1/12)-1</definedName>
    <definedName name="i_Velocity.HomeSales">i.Finance!$O$13</definedName>
    <definedName name="lst_LotProducts" localSheetId="0">Table4[Product]</definedName>
    <definedName name="lst_LotProducts">Table4[Product]</definedName>
    <definedName name="lst_LUcodes" localSheetId="0">Dashboard!#REF!</definedName>
    <definedName name="lst_LUcodes">iMPC!$D$10:$D$14</definedName>
    <definedName name="lst_ProductDUA" localSheetId="0">Table4[DUA]</definedName>
    <definedName name="lst_ProductDUA">Table4[DUA]</definedName>
    <definedName name="TOC_Hdg_1" hidden="1">#REF!</definedName>
    <definedName name="TOC_Hdg_10" hidden="1">#REF!</definedName>
    <definedName name="TOC_Hdg_11" hidden="1">#REF!</definedName>
    <definedName name="TOC_Hdg_12" hidden="1">#REF!</definedName>
    <definedName name="TOC_Hdg_13" hidden="1">#REF!</definedName>
    <definedName name="TOC_Hdg_15" hidden="1">#REF!</definedName>
    <definedName name="TOC_Hdg_16" hidden="1">#REF!</definedName>
    <definedName name="TOC_Hdg_17" hidden="1">#REF!</definedName>
    <definedName name="TOC_Hdg_2" hidden="1">#REF!</definedName>
    <definedName name="TOC_Hdg_21" hidden="1">#REF!</definedName>
    <definedName name="TOC_Hdg_24" hidden="1">#REF!</definedName>
    <definedName name="TOC_Hdg_3" hidden="1">#REF!</definedName>
    <definedName name="TOC_Hdg_32" hidden="1">#REF!</definedName>
    <definedName name="TOC_Hdg_5" hidden="1">#REF!</definedName>
    <definedName name="TOC_Hdg_6" hidden="1">#REF!</definedName>
    <definedName name="TOC_Hdg_7" hidden="1">#REF!</definedName>
    <definedName name="TOC_Hdg_8" hidden="1">#REF!</definedName>
    <definedName name="TOC_Hdg_9" hidden="1">#REF!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2" l="1"/>
  <c r="C3" i="2"/>
  <c r="G366" i="21"/>
  <c r="G365" i="21"/>
  <c r="G364" i="21"/>
  <c r="G363" i="21"/>
  <c r="G362" i="21"/>
  <c r="G361" i="21"/>
  <c r="G360" i="21"/>
  <c r="G359" i="21"/>
  <c r="G358" i="21"/>
  <c r="G357" i="21"/>
  <c r="G356" i="21"/>
  <c r="G355" i="21"/>
  <c r="G354" i="21"/>
  <c r="G353" i="21"/>
  <c r="G352" i="21"/>
  <c r="G351" i="21"/>
  <c r="G350" i="21"/>
  <c r="G349" i="21"/>
  <c r="G348" i="21"/>
  <c r="G347" i="21"/>
  <c r="G346" i="21"/>
  <c r="G345" i="21"/>
  <c r="G344" i="21"/>
  <c r="G343" i="21"/>
  <c r="G342" i="21"/>
  <c r="G341" i="21"/>
  <c r="G340" i="21"/>
  <c r="G339" i="21"/>
  <c r="G338" i="21"/>
  <c r="G337" i="21"/>
  <c r="G336" i="21"/>
  <c r="G335" i="21"/>
  <c r="G334" i="21"/>
  <c r="G333" i="21"/>
  <c r="G332" i="21"/>
  <c r="G331" i="21"/>
  <c r="G330" i="21"/>
  <c r="G329" i="21"/>
  <c r="G328" i="21"/>
  <c r="G327" i="21"/>
  <c r="G326" i="21"/>
  <c r="G325" i="21"/>
  <c r="G324" i="21"/>
  <c r="G323" i="21"/>
  <c r="G322" i="21"/>
  <c r="G321" i="21"/>
  <c r="G320" i="21"/>
  <c r="G319" i="21"/>
  <c r="G318" i="21"/>
  <c r="G317" i="21"/>
  <c r="G316" i="21"/>
  <c r="G315" i="21"/>
  <c r="G314" i="21"/>
  <c r="G313" i="21"/>
  <c r="G312" i="21"/>
  <c r="G311" i="21"/>
  <c r="G310" i="21"/>
  <c r="G309" i="21"/>
  <c r="G308" i="21"/>
  <c r="G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G283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G188" i="21"/>
  <c r="G187" i="21"/>
  <c r="G186" i="21"/>
  <c r="G185" i="21"/>
  <c r="G184" i="21"/>
  <c r="G183" i="21"/>
  <c r="G182" i="21"/>
  <c r="G181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6" i="21"/>
  <c r="G155" i="21"/>
  <c r="G154" i="21"/>
  <c r="G153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F366" i="21"/>
  <c r="F365" i="21"/>
  <c r="F364" i="21"/>
  <c r="F363" i="21"/>
  <c r="F362" i="21"/>
  <c r="F361" i="21"/>
  <c r="F360" i="21"/>
  <c r="F359" i="21"/>
  <c r="F358" i="21"/>
  <c r="F357" i="21"/>
  <c r="F356" i="21"/>
  <c r="F355" i="21"/>
  <c r="F354" i="21"/>
  <c r="F353" i="21"/>
  <c r="F352" i="21"/>
  <c r="F351" i="21"/>
  <c r="F350" i="21"/>
  <c r="F349" i="21"/>
  <c r="F348" i="21"/>
  <c r="F347" i="21"/>
  <c r="F346" i="21"/>
  <c r="F345" i="21"/>
  <c r="F344" i="21"/>
  <c r="F343" i="21"/>
  <c r="F342" i="21"/>
  <c r="F341" i="21"/>
  <c r="F340" i="21"/>
  <c r="F339" i="21"/>
  <c r="F338" i="21"/>
  <c r="F337" i="21"/>
  <c r="F336" i="21"/>
  <c r="F335" i="21"/>
  <c r="F334" i="21"/>
  <c r="F333" i="21"/>
  <c r="F332" i="21"/>
  <c r="F331" i="21"/>
  <c r="F330" i="21"/>
  <c r="F329" i="21"/>
  <c r="F328" i="21"/>
  <c r="F327" i="21"/>
  <c r="F326" i="21"/>
  <c r="F325" i="21"/>
  <c r="F324" i="21"/>
  <c r="F323" i="21"/>
  <c r="F322" i="21"/>
  <c r="F321" i="21"/>
  <c r="F320" i="21"/>
  <c r="F319" i="21"/>
  <c r="F318" i="21"/>
  <c r="F317" i="21"/>
  <c r="F316" i="21"/>
  <c r="F315" i="21"/>
  <c r="F314" i="21"/>
  <c r="F313" i="21"/>
  <c r="F312" i="21"/>
  <c r="F311" i="21"/>
  <c r="F310" i="21"/>
  <c r="F309" i="21"/>
  <c r="F308" i="21"/>
  <c r="F307" i="21"/>
  <c r="F306" i="21"/>
  <c r="F305" i="21"/>
  <c r="F304" i="21"/>
  <c r="F303" i="21"/>
  <c r="F302" i="21"/>
  <c r="F301" i="21"/>
  <c r="F300" i="21"/>
  <c r="F299" i="21"/>
  <c r="F298" i="21"/>
  <c r="F297" i="21"/>
  <c r="F296" i="21"/>
  <c r="F295" i="21"/>
  <c r="F294" i="21"/>
  <c r="F293" i="21"/>
  <c r="F292" i="21"/>
  <c r="F291" i="21"/>
  <c r="F290" i="21"/>
  <c r="F289" i="21"/>
  <c r="F288" i="21"/>
  <c r="F287" i="21"/>
  <c r="F286" i="21"/>
  <c r="F285" i="21"/>
  <c r="F284" i="21"/>
  <c r="F283" i="21"/>
  <c r="F282" i="21"/>
  <c r="F281" i="21"/>
  <c r="F280" i="21"/>
  <c r="F279" i="21"/>
  <c r="F278" i="21"/>
  <c r="F277" i="21"/>
  <c r="F276" i="21"/>
  <c r="F275" i="21"/>
  <c r="F274" i="21"/>
  <c r="F273" i="21"/>
  <c r="F272" i="21"/>
  <c r="F271" i="21"/>
  <c r="F270" i="21"/>
  <c r="F269" i="21"/>
  <c r="F268" i="21"/>
  <c r="F267" i="21"/>
  <c r="F266" i="21"/>
  <c r="F265" i="21"/>
  <c r="F264" i="21"/>
  <c r="F263" i="21"/>
  <c r="F262" i="21"/>
  <c r="F261" i="21"/>
  <c r="F260" i="21"/>
  <c r="F259" i="21"/>
  <c r="F258" i="21"/>
  <c r="F257" i="21"/>
  <c r="F256" i="21"/>
  <c r="F255" i="21"/>
  <c r="F254" i="21"/>
  <c r="F253" i="21"/>
  <c r="F252" i="21"/>
  <c r="F251" i="21"/>
  <c r="F250" i="21"/>
  <c r="F249" i="21"/>
  <c r="F248" i="21"/>
  <c r="F247" i="21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8" i="21"/>
  <c r="F227" i="21"/>
  <c r="F226" i="21"/>
  <c r="F225" i="21"/>
  <c r="F224" i="21"/>
  <c r="F223" i="21"/>
  <c r="F222" i="21"/>
  <c r="F221" i="21"/>
  <c r="F220" i="21"/>
  <c r="F219" i="21"/>
  <c r="F218" i="21"/>
  <c r="F217" i="21"/>
  <c r="F216" i="21"/>
  <c r="F215" i="21"/>
  <c r="F214" i="21"/>
  <c r="F213" i="21"/>
  <c r="F212" i="21"/>
  <c r="F211" i="21"/>
  <c r="F210" i="21"/>
  <c r="F209" i="21"/>
  <c r="F208" i="21"/>
  <c r="F207" i="21"/>
  <c r="F206" i="21"/>
  <c r="F205" i="21"/>
  <c r="F204" i="21"/>
  <c r="F203" i="21"/>
  <c r="F202" i="21"/>
  <c r="F201" i="21"/>
  <c r="F200" i="21"/>
  <c r="F199" i="21"/>
  <c r="F198" i="21"/>
  <c r="F197" i="21"/>
  <c r="F196" i="21"/>
  <c r="F195" i="21"/>
  <c r="F194" i="21"/>
  <c r="F193" i="21"/>
  <c r="F192" i="21"/>
  <c r="F191" i="21"/>
  <c r="F190" i="21"/>
  <c r="F189" i="21"/>
  <c r="F188" i="21"/>
  <c r="F187" i="21"/>
  <c r="F186" i="21"/>
  <c r="F185" i="21"/>
  <c r="F184" i="21"/>
  <c r="F183" i="21"/>
  <c r="F182" i="21"/>
  <c r="F181" i="21"/>
  <c r="F180" i="21"/>
  <c r="F179" i="21"/>
  <c r="F178" i="21"/>
  <c r="F177" i="21"/>
  <c r="F176" i="21"/>
  <c r="F175" i="21"/>
  <c r="F174" i="21"/>
  <c r="F173" i="21"/>
  <c r="F172" i="21"/>
  <c r="F171" i="21"/>
  <c r="F170" i="21"/>
  <c r="F169" i="21"/>
  <c r="F168" i="21"/>
  <c r="F167" i="21"/>
  <c r="F166" i="21"/>
  <c r="F165" i="21"/>
  <c r="F164" i="21"/>
  <c r="F163" i="21"/>
  <c r="F162" i="21"/>
  <c r="F161" i="21"/>
  <c r="F160" i="21"/>
  <c r="F159" i="21"/>
  <c r="F158" i="21"/>
  <c r="F157" i="21"/>
  <c r="F156" i="21"/>
  <c r="F155" i="21"/>
  <c r="F154" i="21"/>
  <c r="F153" i="21"/>
  <c r="F152" i="21"/>
  <c r="F151" i="21"/>
  <c r="F150" i="21"/>
  <c r="F149" i="21"/>
  <c r="F148" i="21"/>
  <c r="F147" i="21"/>
  <c r="F146" i="21"/>
  <c r="F145" i="21"/>
  <c r="F144" i="21"/>
  <c r="F143" i="21"/>
  <c r="F142" i="21"/>
  <c r="F141" i="21"/>
  <c r="F140" i="21"/>
  <c r="F139" i="21"/>
  <c r="F138" i="21"/>
  <c r="F137" i="21"/>
  <c r="F136" i="21"/>
  <c r="F135" i="21"/>
  <c r="F134" i="21"/>
  <c r="F133" i="21"/>
  <c r="F132" i="21"/>
  <c r="F131" i="21"/>
  <c r="F130" i="21"/>
  <c r="F129" i="21"/>
  <c r="F128" i="21"/>
  <c r="F127" i="21"/>
  <c r="F126" i="21"/>
  <c r="F125" i="21"/>
  <c r="F124" i="21"/>
  <c r="F123" i="21"/>
  <c r="F122" i="21"/>
  <c r="F121" i="21"/>
  <c r="F120" i="21"/>
  <c r="F119" i="21"/>
  <c r="F118" i="21"/>
  <c r="F117" i="21"/>
  <c r="F116" i="21"/>
  <c r="F115" i="21"/>
  <c r="F114" i="21"/>
  <c r="F113" i="21"/>
  <c r="F112" i="21"/>
  <c r="F111" i="21"/>
  <c r="F110" i="21"/>
  <c r="F109" i="21"/>
  <c r="F108" i="21"/>
  <c r="F107" i="21"/>
  <c r="F106" i="21"/>
  <c r="F105" i="21"/>
  <c r="F104" i="21"/>
  <c r="F103" i="21"/>
  <c r="F102" i="21"/>
  <c r="F101" i="21"/>
  <c r="F100" i="21"/>
  <c r="F99" i="21"/>
  <c r="F98" i="21"/>
  <c r="F97" i="21"/>
  <c r="F96" i="21"/>
  <c r="F95" i="21"/>
  <c r="F94" i="21"/>
  <c r="F93" i="21"/>
  <c r="F92" i="21"/>
  <c r="F91" i="21"/>
  <c r="F90" i="21"/>
  <c r="F89" i="21"/>
  <c r="F88" i="21"/>
  <c r="F87" i="21"/>
  <c r="F86" i="21"/>
  <c r="F85" i="21"/>
  <c r="F84" i="21"/>
  <c r="F83" i="21"/>
  <c r="F82" i="21"/>
  <c r="F81" i="21"/>
  <c r="F80" i="21"/>
  <c r="F79" i="21"/>
  <c r="F78" i="21"/>
  <c r="F77" i="21"/>
  <c r="F76" i="21"/>
  <c r="F75" i="21"/>
  <c r="F74" i="21"/>
  <c r="F73" i="21"/>
  <c r="F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E10" i="2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9" i="21"/>
  <c r="E8" i="21"/>
  <c r="I402" i="21"/>
  <c r="I401" i="21"/>
  <c r="I400" i="21"/>
  <c r="I399" i="21"/>
  <c r="I398" i="21"/>
  <c r="I397" i="21"/>
  <c r="I396" i="21"/>
  <c r="I395" i="21"/>
  <c r="I394" i="21"/>
  <c r="I393" i="21"/>
  <c r="I392" i="21"/>
  <c r="I391" i="21"/>
  <c r="I390" i="21"/>
  <c r="I389" i="21"/>
  <c r="I388" i="21"/>
  <c r="I387" i="21"/>
  <c r="I386" i="21"/>
  <c r="I385" i="21"/>
  <c r="I384" i="21"/>
  <c r="I383" i="21"/>
  <c r="I382" i="21"/>
  <c r="I381" i="21"/>
  <c r="I380" i="21"/>
  <c r="I379" i="21"/>
  <c r="I378" i="21"/>
  <c r="G378" i="21"/>
  <c r="G379" i="21" s="1"/>
  <c r="G380" i="21" s="1"/>
  <c r="G381" i="21" s="1"/>
  <c r="G382" i="21" s="1"/>
  <c r="G383" i="21" s="1"/>
  <c r="G384" i="21" s="1"/>
  <c r="G385" i="21" s="1"/>
  <c r="G386" i="21" s="1"/>
  <c r="G387" i="21" s="1"/>
  <c r="G388" i="21" s="1"/>
  <c r="G389" i="21" s="1"/>
  <c r="G390" i="21" s="1"/>
  <c r="G391" i="21" s="1"/>
  <c r="G392" i="21" s="1"/>
  <c r="G393" i="21" s="1"/>
  <c r="G394" i="21" s="1"/>
  <c r="G395" i="21" s="1"/>
  <c r="G396" i="21" s="1"/>
  <c r="G397" i="21" s="1"/>
  <c r="G398" i="21" s="1"/>
  <c r="G399" i="21" s="1"/>
  <c r="G400" i="21" s="1"/>
  <c r="G401" i="21" s="1"/>
  <c r="G402" i="21" s="1"/>
  <c r="I377" i="21"/>
  <c r="I376" i="21"/>
  <c r="I375" i="21"/>
  <c r="G375" i="21"/>
  <c r="G376" i="21" s="1"/>
  <c r="G377" i="21" s="1"/>
  <c r="I374" i="21"/>
  <c r="G374" i="21"/>
  <c r="I373" i="21"/>
  <c r="G373" i="21"/>
  <c r="BT371" i="21"/>
  <c r="BQ371" i="21"/>
  <c r="BJ371" i="21"/>
  <c r="BI371" i="21"/>
  <c r="BG371" i="21"/>
  <c r="BE371" i="21"/>
  <c r="AK371" i="21"/>
  <c r="AI371" i="21"/>
  <c r="K371" i="21"/>
  <c r="I371" i="21"/>
  <c r="BJ370" i="21"/>
  <c r="BI370" i="21"/>
  <c r="BF370" i="21"/>
  <c r="BI369" i="21"/>
  <c r="BD369" i="21"/>
  <c r="BU367" i="21"/>
  <c r="BQ367" i="21"/>
  <c r="BP367" i="21"/>
  <c r="AF366" i="21"/>
  <c r="AD366" i="21"/>
  <c r="AE366" i="21" s="1"/>
  <c r="AC366" i="21"/>
  <c r="W366" i="21"/>
  <c r="X366" i="21" s="1"/>
  <c r="V366" i="21"/>
  <c r="Y366" i="21" s="1"/>
  <c r="P366" i="21"/>
  <c r="AF365" i="21"/>
  <c r="AD365" i="21"/>
  <c r="AE365" i="21" s="1"/>
  <c r="AC365" i="21"/>
  <c r="X365" i="21"/>
  <c r="W365" i="21"/>
  <c r="V365" i="21"/>
  <c r="Y365" i="21" s="1"/>
  <c r="P365" i="21"/>
  <c r="AD364" i="21"/>
  <c r="AE364" i="21" s="1"/>
  <c r="AC364" i="21"/>
  <c r="AF364" i="21" s="1"/>
  <c r="Y364" i="21"/>
  <c r="W364" i="21"/>
  <c r="X364" i="21" s="1"/>
  <c r="V364" i="21"/>
  <c r="P364" i="21"/>
  <c r="AE363" i="21"/>
  <c r="AD363" i="21"/>
  <c r="AC363" i="21"/>
  <c r="AF363" i="21" s="1"/>
  <c r="X363" i="21"/>
  <c r="W363" i="21"/>
  <c r="V363" i="21"/>
  <c r="Y363" i="21" s="1"/>
  <c r="P363" i="21"/>
  <c r="AF362" i="21"/>
  <c r="AD362" i="21"/>
  <c r="AE362" i="21" s="1"/>
  <c r="AC362" i="21"/>
  <c r="X362" i="21"/>
  <c r="W362" i="21"/>
  <c r="V362" i="21"/>
  <c r="Y362" i="21" s="1"/>
  <c r="P362" i="21"/>
  <c r="AF361" i="21"/>
  <c r="AE361" i="21"/>
  <c r="AD361" i="21"/>
  <c r="AC361" i="21"/>
  <c r="W361" i="21"/>
  <c r="X361" i="21" s="1"/>
  <c r="V361" i="21"/>
  <c r="Y361" i="21" s="1"/>
  <c r="P361" i="21"/>
  <c r="AF360" i="21"/>
  <c r="AE360" i="21"/>
  <c r="AD360" i="21"/>
  <c r="AC360" i="21"/>
  <c r="X360" i="21"/>
  <c r="W360" i="21"/>
  <c r="V360" i="21"/>
  <c r="Y360" i="21" s="1"/>
  <c r="P360" i="21"/>
  <c r="AF359" i="21"/>
  <c r="AD359" i="21"/>
  <c r="AE359" i="21" s="1"/>
  <c r="AC359" i="21"/>
  <c r="W359" i="21"/>
  <c r="X359" i="21" s="1"/>
  <c r="V359" i="21"/>
  <c r="Y359" i="21" s="1"/>
  <c r="P359" i="21"/>
  <c r="AE358" i="21"/>
  <c r="AD358" i="21"/>
  <c r="AC358" i="21"/>
  <c r="AF358" i="21" s="1"/>
  <c r="Y358" i="21"/>
  <c r="X358" i="21"/>
  <c r="W358" i="21"/>
  <c r="V358" i="21"/>
  <c r="P358" i="21"/>
  <c r="AE357" i="21"/>
  <c r="AD357" i="21"/>
  <c r="AC357" i="21"/>
  <c r="AF357" i="21" s="1"/>
  <c r="Y357" i="21"/>
  <c r="X357" i="21"/>
  <c r="W357" i="21"/>
  <c r="V357" i="21"/>
  <c r="P357" i="21"/>
  <c r="AD356" i="21"/>
  <c r="AE356" i="21" s="1"/>
  <c r="AC356" i="21"/>
  <c r="AF356" i="21" s="1"/>
  <c r="Y356" i="21"/>
  <c r="W356" i="21"/>
  <c r="X356" i="21" s="1"/>
  <c r="V356" i="21"/>
  <c r="P356" i="21"/>
  <c r="AD355" i="21"/>
  <c r="AE355" i="21" s="1"/>
  <c r="AC355" i="21"/>
  <c r="AF355" i="21" s="1"/>
  <c r="X355" i="21"/>
  <c r="W355" i="21"/>
  <c r="V355" i="21"/>
  <c r="Y355" i="21" s="1"/>
  <c r="P355" i="21"/>
  <c r="AF354" i="21"/>
  <c r="AD354" i="21"/>
  <c r="AE354" i="21" s="1"/>
  <c r="AC354" i="21"/>
  <c r="Y354" i="21"/>
  <c r="X354" i="21"/>
  <c r="W354" i="21"/>
  <c r="V354" i="21"/>
  <c r="P354" i="21"/>
  <c r="AF353" i="21"/>
  <c r="AD353" i="21"/>
  <c r="AE353" i="21" s="1"/>
  <c r="AC353" i="21"/>
  <c r="W353" i="21"/>
  <c r="X353" i="21" s="1"/>
  <c r="V353" i="21"/>
  <c r="Y353" i="21" s="1"/>
  <c r="P353" i="21"/>
  <c r="AF352" i="21"/>
  <c r="AE352" i="21"/>
  <c r="AD352" i="21"/>
  <c r="AC352" i="21"/>
  <c r="X352" i="21"/>
  <c r="W352" i="21"/>
  <c r="V352" i="21"/>
  <c r="Y352" i="21" s="1"/>
  <c r="P352" i="21"/>
  <c r="AF351" i="21"/>
  <c r="AD351" i="21"/>
  <c r="AE351" i="21" s="1"/>
  <c r="AC351" i="21"/>
  <c r="X351" i="21"/>
  <c r="W351" i="21"/>
  <c r="V351" i="21"/>
  <c r="Y351" i="21" s="1"/>
  <c r="P351" i="21"/>
  <c r="AF350" i="21"/>
  <c r="AD350" i="21"/>
  <c r="AE350" i="21" s="1"/>
  <c r="AC350" i="21"/>
  <c r="W350" i="21"/>
  <c r="X350" i="21" s="1"/>
  <c r="V350" i="21"/>
  <c r="Y350" i="21" s="1"/>
  <c r="P350" i="21"/>
  <c r="AE349" i="21"/>
  <c r="AD349" i="21"/>
  <c r="AC349" i="21"/>
  <c r="AF349" i="21" s="1"/>
  <c r="Y349" i="21"/>
  <c r="W349" i="21"/>
  <c r="X349" i="21" s="1"/>
  <c r="V349" i="21"/>
  <c r="P349" i="21"/>
  <c r="AD348" i="21"/>
  <c r="AE348" i="21" s="1"/>
  <c r="AC348" i="21"/>
  <c r="AF348" i="21" s="1"/>
  <c r="Y348" i="21"/>
  <c r="X348" i="21"/>
  <c r="W348" i="21"/>
  <c r="V348" i="21"/>
  <c r="P348" i="21"/>
  <c r="AE347" i="21"/>
  <c r="AD347" i="21"/>
  <c r="AC347" i="21"/>
  <c r="AF347" i="21" s="1"/>
  <c r="Y347" i="21"/>
  <c r="W347" i="21"/>
  <c r="X347" i="21" s="1"/>
  <c r="V347" i="21"/>
  <c r="P347" i="21"/>
  <c r="AF346" i="21"/>
  <c r="AE346" i="21"/>
  <c r="AD346" i="21"/>
  <c r="AC346" i="21"/>
  <c r="X346" i="21"/>
  <c r="W346" i="21"/>
  <c r="V346" i="21"/>
  <c r="Y346" i="21" s="1"/>
  <c r="P346" i="21"/>
  <c r="AD345" i="21"/>
  <c r="AE345" i="21" s="1"/>
  <c r="AC345" i="21"/>
  <c r="AF345" i="21" s="1"/>
  <c r="W345" i="21"/>
  <c r="X345" i="21" s="1"/>
  <c r="V345" i="21"/>
  <c r="Y345" i="21" s="1"/>
  <c r="P345" i="21"/>
  <c r="AF344" i="21"/>
  <c r="AE344" i="21"/>
  <c r="AD344" i="21"/>
  <c r="AC344" i="21"/>
  <c r="W344" i="21"/>
  <c r="X344" i="21" s="1"/>
  <c r="V344" i="21"/>
  <c r="Y344" i="21" s="1"/>
  <c r="P344" i="21"/>
  <c r="AE343" i="21"/>
  <c r="AD343" i="21"/>
  <c r="AC343" i="21"/>
  <c r="AF343" i="21" s="1"/>
  <c r="X343" i="21"/>
  <c r="W343" i="21"/>
  <c r="V343" i="21"/>
  <c r="Y343" i="21" s="1"/>
  <c r="P343" i="21"/>
  <c r="AF342" i="21"/>
  <c r="AD342" i="21"/>
  <c r="AE342" i="21" s="1"/>
  <c r="AC342" i="21"/>
  <c r="X342" i="21"/>
  <c r="W342" i="21"/>
  <c r="V342" i="21"/>
  <c r="Y342" i="21" s="1"/>
  <c r="P342" i="21"/>
  <c r="AE341" i="21"/>
  <c r="AD341" i="21"/>
  <c r="AC341" i="21"/>
  <c r="AF341" i="21" s="1"/>
  <c r="Y341" i="21"/>
  <c r="X341" i="21"/>
  <c r="W341" i="21"/>
  <c r="V341" i="21"/>
  <c r="P341" i="21"/>
  <c r="AF340" i="21"/>
  <c r="AD340" i="21"/>
  <c r="AE340" i="21" s="1"/>
  <c r="AC340" i="21"/>
  <c r="X340" i="21"/>
  <c r="W340" i="21"/>
  <c r="V340" i="21"/>
  <c r="Y340" i="21" s="1"/>
  <c r="P340" i="21"/>
  <c r="AD339" i="21"/>
  <c r="AE339" i="21" s="1"/>
  <c r="AC339" i="21"/>
  <c r="AF339" i="21" s="1"/>
  <c r="X339" i="21"/>
  <c r="W339" i="21"/>
  <c r="V339" i="21"/>
  <c r="Y339" i="21" s="1"/>
  <c r="P339" i="21"/>
  <c r="AE338" i="21"/>
  <c r="AD338" i="21"/>
  <c r="AC338" i="21"/>
  <c r="AF338" i="21" s="1"/>
  <c r="Y338" i="21"/>
  <c r="X338" i="21"/>
  <c r="W338" i="21"/>
  <c r="V338" i="21"/>
  <c r="P338" i="21"/>
  <c r="AF337" i="21"/>
  <c r="AD337" i="21"/>
  <c r="AE337" i="21" s="1"/>
  <c r="AC337" i="21"/>
  <c r="W337" i="21"/>
  <c r="X337" i="21" s="1"/>
  <c r="V337" i="21"/>
  <c r="Y337" i="21" s="1"/>
  <c r="P337" i="21"/>
  <c r="AE336" i="21"/>
  <c r="AD336" i="21"/>
  <c r="AC336" i="21"/>
  <c r="AF336" i="21" s="1"/>
  <c r="W336" i="21"/>
  <c r="X336" i="21" s="1"/>
  <c r="V336" i="21"/>
  <c r="Y336" i="21" s="1"/>
  <c r="P336" i="21"/>
  <c r="AF335" i="21"/>
  <c r="AD335" i="21"/>
  <c r="AE335" i="21" s="1"/>
  <c r="AC335" i="21"/>
  <c r="X335" i="21"/>
  <c r="W335" i="21"/>
  <c r="V335" i="21"/>
  <c r="Y335" i="21" s="1"/>
  <c r="P335" i="21"/>
  <c r="AE334" i="21"/>
  <c r="AD334" i="21"/>
  <c r="AC334" i="21"/>
  <c r="AF334" i="21" s="1"/>
  <c r="Y334" i="21"/>
  <c r="W334" i="21"/>
  <c r="X334" i="21" s="1"/>
  <c r="V334" i="21"/>
  <c r="P334" i="21"/>
  <c r="AF333" i="21"/>
  <c r="AE333" i="21"/>
  <c r="AD333" i="21"/>
  <c r="AC333" i="21"/>
  <c r="X333" i="21"/>
  <c r="W333" i="21"/>
  <c r="V333" i="21"/>
  <c r="Y333" i="21" s="1"/>
  <c r="P333" i="21"/>
  <c r="AD332" i="21"/>
  <c r="AE332" i="21" s="1"/>
  <c r="AC332" i="21"/>
  <c r="AF332" i="21" s="1"/>
  <c r="Y332" i="21"/>
  <c r="W332" i="21"/>
  <c r="X332" i="21" s="1"/>
  <c r="V332" i="21"/>
  <c r="P332" i="21"/>
  <c r="AD331" i="21"/>
  <c r="AE331" i="21" s="1"/>
  <c r="AC331" i="21"/>
  <c r="AF331" i="21" s="1"/>
  <c r="X331" i="21"/>
  <c r="W331" i="21"/>
  <c r="V331" i="21"/>
  <c r="Y331" i="21" s="1"/>
  <c r="P331" i="21"/>
  <c r="AE330" i="21"/>
  <c r="AD330" i="21"/>
  <c r="AC330" i="21"/>
  <c r="AF330" i="21" s="1"/>
  <c r="W330" i="21"/>
  <c r="X330" i="21" s="1"/>
  <c r="V330" i="21"/>
  <c r="Y330" i="21" s="1"/>
  <c r="P330" i="21"/>
  <c r="AF329" i="21"/>
  <c r="AD329" i="21"/>
  <c r="AE329" i="21" s="1"/>
  <c r="AC329" i="21"/>
  <c r="W329" i="21"/>
  <c r="X329" i="21" s="1"/>
  <c r="V329" i="21"/>
  <c r="Y329" i="21" s="1"/>
  <c r="P329" i="21"/>
  <c r="AE328" i="21"/>
  <c r="AD328" i="21"/>
  <c r="AC328" i="21"/>
  <c r="AF328" i="21" s="1"/>
  <c r="Y328" i="21"/>
  <c r="W328" i="21"/>
  <c r="X328" i="21" s="1"/>
  <c r="V328" i="21"/>
  <c r="P328" i="21"/>
  <c r="AD327" i="21"/>
  <c r="AE327" i="21" s="1"/>
  <c r="AC327" i="21"/>
  <c r="AF327" i="21" s="1"/>
  <c r="X327" i="21"/>
  <c r="W327" i="21"/>
  <c r="V327" i="21"/>
  <c r="Y327" i="21" s="1"/>
  <c r="P327" i="21"/>
  <c r="AE326" i="21"/>
  <c r="AD326" i="21"/>
  <c r="AC326" i="21"/>
  <c r="AF326" i="21" s="1"/>
  <c r="W326" i="21"/>
  <c r="X326" i="21" s="1"/>
  <c r="V326" i="21"/>
  <c r="Y326" i="21" s="1"/>
  <c r="P326" i="21"/>
  <c r="AF325" i="21"/>
  <c r="AD325" i="21"/>
  <c r="AE325" i="21" s="1"/>
  <c r="AC325" i="21"/>
  <c r="W325" i="21"/>
  <c r="X325" i="21" s="1"/>
  <c r="V325" i="21"/>
  <c r="Y325" i="21" s="1"/>
  <c r="P325" i="21"/>
  <c r="AE324" i="21"/>
  <c r="AD324" i="21"/>
  <c r="AC324" i="21"/>
  <c r="AF324" i="21" s="1"/>
  <c r="W324" i="21"/>
  <c r="X324" i="21" s="1"/>
  <c r="V324" i="21"/>
  <c r="Y324" i="21" s="1"/>
  <c r="P324" i="21"/>
  <c r="AF323" i="21"/>
  <c r="AD323" i="21"/>
  <c r="AE323" i="21" s="1"/>
  <c r="AC323" i="21"/>
  <c r="X323" i="21"/>
  <c r="W323" i="21"/>
  <c r="V323" i="21"/>
  <c r="Y323" i="21" s="1"/>
  <c r="P323" i="21"/>
  <c r="AE322" i="21"/>
  <c r="AD322" i="21"/>
  <c r="AC322" i="21"/>
  <c r="AF322" i="21" s="1"/>
  <c r="Y322" i="21"/>
  <c r="W322" i="21"/>
  <c r="X322" i="21" s="1"/>
  <c r="V322" i="21"/>
  <c r="P322" i="21"/>
  <c r="AF321" i="21"/>
  <c r="AD321" i="21"/>
  <c r="AE321" i="21" s="1"/>
  <c r="AC321" i="21"/>
  <c r="X321" i="21"/>
  <c r="W321" i="21"/>
  <c r="V321" i="21"/>
  <c r="Y321" i="21" s="1"/>
  <c r="P321" i="21"/>
  <c r="AD320" i="21"/>
  <c r="AE320" i="21" s="1"/>
  <c r="AC320" i="21"/>
  <c r="AF320" i="21" s="1"/>
  <c r="Y320" i="21"/>
  <c r="W320" i="21"/>
  <c r="X320" i="21" s="1"/>
  <c r="V320" i="21"/>
  <c r="P320" i="21"/>
  <c r="AD319" i="21"/>
  <c r="AE319" i="21" s="1"/>
  <c r="AC319" i="21"/>
  <c r="AF319" i="21" s="1"/>
  <c r="X319" i="21"/>
  <c r="W319" i="21"/>
  <c r="V319" i="21"/>
  <c r="Y319" i="21" s="1"/>
  <c r="P319" i="21"/>
  <c r="AE318" i="21"/>
  <c r="AD318" i="21"/>
  <c r="AC318" i="21"/>
  <c r="AF318" i="21" s="1"/>
  <c r="Y318" i="21"/>
  <c r="W318" i="21"/>
  <c r="X318" i="21" s="1"/>
  <c r="V318" i="21"/>
  <c r="P318" i="21"/>
  <c r="AF317" i="21"/>
  <c r="AD317" i="21"/>
  <c r="AE317" i="21" s="1"/>
  <c r="AC317" i="21"/>
  <c r="W317" i="21"/>
  <c r="X317" i="21" s="1"/>
  <c r="V317" i="21"/>
  <c r="Y317" i="21" s="1"/>
  <c r="P317" i="21"/>
  <c r="AE316" i="21"/>
  <c r="AD316" i="21"/>
  <c r="AC316" i="21"/>
  <c r="AF316" i="21" s="1"/>
  <c r="X316" i="21"/>
  <c r="W316" i="21"/>
  <c r="V316" i="21"/>
  <c r="Y316" i="21" s="1"/>
  <c r="P316" i="21"/>
  <c r="AD315" i="21"/>
  <c r="AE315" i="21" s="1"/>
  <c r="AC315" i="21"/>
  <c r="AF315" i="21" s="1"/>
  <c r="X315" i="21"/>
  <c r="W315" i="21"/>
  <c r="V315" i="21"/>
  <c r="Y315" i="21" s="1"/>
  <c r="P315" i="21"/>
  <c r="AF314" i="21"/>
  <c r="AD314" i="21"/>
  <c r="AE314" i="21" s="1"/>
  <c r="AC314" i="21"/>
  <c r="X314" i="21"/>
  <c r="W314" i="21"/>
  <c r="V314" i="21"/>
  <c r="Y314" i="21" s="1"/>
  <c r="P314" i="21"/>
  <c r="AE313" i="21"/>
  <c r="AD313" i="21"/>
  <c r="AC313" i="21"/>
  <c r="AF313" i="21" s="1"/>
  <c r="Y313" i="21"/>
  <c r="W313" i="21"/>
  <c r="X313" i="21" s="1"/>
  <c r="V313" i="21"/>
  <c r="P313" i="21"/>
  <c r="AF312" i="21"/>
  <c r="AD312" i="21"/>
  <c r="AE312" i="21" s="1"/>
  <c r="AC312" i="21"/>
  <c r="X312" i="21"/>
  <c r="W312" i="21"/>
  <c r="V312" i="21"/>
  <c r="Y312" i="21" s="1"/>
  <c r="P312" i="21"/>
  <c r="AD311" i="21"/>
  <c r="AE311" i="21" s="1"/>
  <c r="AC311" i="21"/>
  <c r="AF311" i="21" s="1"/>
  <c r="Y311" i="21"/>
  <c r="W311" i="21"/>
  <c r="X311" i="21" s="1"/>
  <c r="V311" i="21"/>
  <c r="P311" i="21"/>
  <c r="AD310" i="21"/>
  <c r="AE310" i="21" s="1"/>
  <c r="AC310" i="21"/>
  <c r="AF310" i="21" s="1"/>
  <c r="X310" i="21"/>
  <c r="W310" i="21"/>
  <c r="V310" i="21"/>
  <c r="Y310" i="21" s="1"/>
  <c r="P310" i="21"/>
  <c r="AE309" i="21"/>
  <c r="AD309" i="21"/>
  <c r="AC309" i="21"/>
  <c r="AF309" i="21" s="1"/>
  <c r="W309" i="21"/>
  <c r="X309" i="21" s="1"/>
  <c r="V309" i="21"/>
  <c r="Y309" i="21" s="1"/>
  <c r="P309" i="21"/>
  <c r="AF308" i="21"/>
  <c r="AD308" i="21"/>
  <c r="AE308" i="21" s="1"/>
  <c r="AC308" i="21"/>
  <c r="W308" i="21"/>
  <c r="X308" i="21" s="1"/>
  <c r="V308" i="21"/>
  <c r="Y308" i="21" s="1"/>
  <c r="P308" i="21"/>
  <c r="AE307" i="21"/>
  <c r="AD307" i="21"/>
  <c r="AC307" i="21"/>
  <c r="AF307" i="21" s="1"/>
  <c r="W307" i="21"/>
  <c r="X307" i="21" s="1"/>
  <c r="V307" i="21"/>
  <c r="Y307" i="21" s="1"/>
  <c r="P307" i="21"/>
  <c r="AF306" i="21"/>
  <c r="AD306" i="21"/>
  <c r="AE306" i="21" s="1"/>
  <c r="AC306" i="21"/>
  <c r="X306" i="21"/>
  <c r="W306" i="21"/>
  <c r="V306" i="21"/>
  <c r="Y306" i="21" s="1"/>
  <c r="P306" i="21"/>
  <c r="AE305" i="21"/>
  <c r="AD305" i="21"/>
  <c r="AC305" i="21"/>
  <c r="AF305" i="21" s="1"/>
  <c r="Y305" i="21"/>
  <c r="W305" i="21"/>
  <c r="X305" i="21" s="1"/>
  <c r="V305" i="21"/>
  <c r="P305" i="21"/>
  <c r="AF304" i="21"/>
  <c r="AD304" i="21"/>
  <c r="AE304" i="21" s="1"/>
  <c r="AC304" i="21"/>
  <c r="X304" i="21"/>
  <c r="W304" i="21"/>
  <c r="V304" i="21"/>
  <c r="Y304" i="21" s="1"/>
  <c r="P304" i="21"/>
  <c r="AD303" i="21"/>
  <c r="AE303" i="21" s="1"/>
  <c r="AC303" i="21"/>
  <c r="AF303" i="21" s="1"/>
  <c r="Y303" i="21"/>
  <c r="W303" i="21"/>
  <c r="X303" i="21" s="1"/>
  <c r="V303" i="21"/>
  <c r="P303" i="21"/>
  <c r="AF302" i="21"/>
  <c r="AD302" i="21"/>
  <c r="AE302" i="21" s="1"/>
  <c r="AC302" i="21"/>
  <c r="X302" i="21"/>
  <c r="W302" i="21"/>
  <c r="V302" i="21"/>
  <c r="Y302" i="21" s="1"/>
  <c r="P302" i="21"/>
  <c r="AE301" i="21"/>
  <c r="AD301" i="21"/>
  <c r="AC301" i="21"/>
  <c r="AF301" i="21" s="1"/>
  <c r="W301" i="21"/>
  <c r="X301" i="21" s="1"/>
  <c r="V301" i="21"/>
  <c r="Y301" i="21" s="1"/>
  <c r="P301" i="21"/>
  <c r="AF300" i="21"/>
  <c r="AD300" i="21"/>
  <c r="AE300" i="21" s="1"/>
  <c r="AC300" i="21"/>
  <c r="W300" i="21"/>
  <c r="X300" i="21" s="1"/>
  <c r="V300" i="21"/>
  <c r="Y300" i="21" s="1"/>
  <c r="P300" i="21"/>
  <c r="AE299" i="21"/>
  <c r="AD299" i="21"/>
  <c r="AC299" i="21"/>
  <c r="AF299" i="21" s="1"/>
  <c r="Y299" i="21"/>
  <c r="W299" i="21"/>
  <c r="X299" i="21" s="1"/>
  <c r="V299" i="21"/>
  <c r="P299" i="21"/>
  <c r="AF298" i="21"/>
  <c r="AD298" i="21"/>
  <c r="AE298" i="21" s="1"/>
  <c r="AC298" i="21"/>
  <c r="X298" i="21"/>
  <c r="W298" i="21"/>
  <c r="V298" i="21"/>
  <c r="Y298" i="21" s="1"/>
  <c r="P298" i="21"/>
  <c r="AE297" i="21"/>
  <c r="AD297" i="21"/>
  <c r="AC297" i="21"/>
  <c r="AF297" i="21" s="1"/>
  <c r="Y297" i="21"/>
  <c r="W297" i="21"/>
  <c r="X297" i="21" s="1"/>
  <c r="V297" i="21"/>
  <c r="P297" i="21"/>
  <c r="AF296" i="21"/>
  <c r="AD296" i="21"/>
  <c r="AE296" i="21" s="1"/>
  <c r="AC296" i="21"/>
  <c r="X296" i="21"/>
  <c r="W296" i="21"/>
  <c r="V296" i="21"/>
  <c r="Y296" i="21" s="1"/>
  <c r="P296" i="21"/>
  <c r="AD295" i="21"/>
  <c r="AE295" i="21" s="1"/>
  <c r="AC295" i="21"/>
  <c r="AF295" i="21" s="1"/>
  <c r="Y295" i="21"/>
  <c r="W295" i="21"/>
  <c r="X295" i="21" s="1"/>
  <c r="V295" i="21"/>
  <c r="P295" i="21"/>
  <c r="AF294" i="21"/>
  <c r="AE294" i="21"/>
  <c r="AD294" i="21"/>
  <c r="AC294" i="21"/>
  <c r="X294" i="21"/>
  <c r="W294" i="21"/>
  <c r="V294" i="21"/>
  <c r="Y294" i="21" s="1"/>
  <c r="P294" i="21"/>
  <c r="AE293" i="21"/>
  <c r="AD293" i="21"/>
  <c r="AC293" i="21"/>
  <c r="AF293" i="21" s="1"/>
  <c r="X293" i="21"/>
  <c r="W293" i="21"/>
  <c r="V293" i="21"/>
  <c r="Y293" i="21" s="1"/>
  <c r="P293" i="21"/>
  <c r="AE292" i="21"/>
  <c r="AD292" i="21"/>
  <c r="AC292" i="21"/>
  <c r="AF292" i="21" s="1"/>
  <c r="W292" i="21"/>
  <c r="X292" i="21" s="1"/>
  <c r="V292" i="21"/>
  <c r="Y292" i="21" s="1"/>
  <c r="P292" i="21"/>
  <c r="AF291" i="21"/>
  <c r="AD291" i="21"/>
  <c r="AE291" i="21" s="1"/>
  <c r="AC291" i="21"/>
  <c r="W291" i="21"/>
  <c r="X291" i="21" s="1"/>
  <c r="V291" i="21"/>
  <c r="Y291" i="21" s="1"/>
  <c r="P291" i="21"/>
  <c r="AE290" i="21"/>
  <c r="AD290" i="21"/>
  <c r="AC290" i="21"/>
  <c r="AF290" i="21" s="1"/>
  <c r="W290" i="21"/>
  <c r="X290" i="21" s="1"/>
  <c r="V290" i="21"/>
  <c r="Y290" i="21" s="1"/>
  <c r="P290" i="21"/>
  <c r="AF289" i="21"/>
  <c r="AD289" i="21"/>
  <c r="AE289" i="21" s="1"/>
  <c r="AC289" i="21"/>
  <c r="X289" i="21"/>
  <c r="W289" i="21"/>
  <c r="V289" i="21"/>
  <c r="Y289" i="21" s="1"/>
  <c r="P289" i="21"/>
  <c r="AE288" i="21"/>
  <c r="AD288" i="21"/>
  <c r="AC288" i="21"/>
  <c r="AF288" i="21" s="1"/>
  <c r="Y288" i="21"/>
  <c r="W288" i="21"/>
  <c r="X288" i="21" s="1"/>
  <c r="V288" i="21"/>
  <c r="P288" i="21"/>
  <c r="AD287" i="21"/>
  <c r="AE287" i="21" s="1"/>
  <c r="AC287" i="21"/>
  <c r="AF287" i="21" s="1"/>
  <c r="X287" i="21"/>
  <c r="W287" i="21"/>
  <c r="V287" i="21"/>
  <c r="Y287" i="21" s="1"/>
  <c r="P287" i="21"/>
  <c r="AD286" i="21"/>
  <c r="AE286" i="21" s="1"/>
  <c r="AC286" i="21"/>
  <c r="AF286" i="21" s="1"/>
  <c r="Y286" i="21"/>
  <c r="W286" i="21"/>
  <c r="X286" i="21" s="1"/>
  <c r="V286" i="21"/>
  <c r="P286" i="21"/>
  <c r="AD285" i="21"/>
  <c r="AE285" i="21" s="1"/>
  <c r="AC285" i="21"/>
  <c r="AF285" i="21" s="1"/>
  <c r="X285" i="21"/>
  <c r="W285" i="21"/>
  <c r="V285" i="21"/>
  <c r="Y285" i="21" s="1"/>
  <c r="P285" i="21"/>
  <c r="AE284" i="21"/>
  <c r="AD284" i="21"/>
  <c r="AC284" i="21"/>
  <c r="AF284" i="21" s="1"/>
  <c r="W284" i="21"/>
  <c r="X284" i="21" s="1"/>
  <c r="V284" i="21"/>
  <c r="Y284" i="21" s="1"/>
  <c r="P284" i="21"/>
  <c r="AF283" i="21"/>
  <c r="AD283" i="21"/>
  <c r="AE283" i="21" s="1"/>
  <c r="AC283" i="21"/>
  <c r="W283" i="21"/>
  <c r="X283" i="21" s="1"/>
  <c r="V283" i="21"/>
  <c r="Y283" i="21" s="1"/>
  <c r="P283" i="21"/>
  <c r="AE282" i="21"/>
  <c r="AD282" i="21"/>
  <c r="AC282" i="21"/>
  <c r="AF282" i="21" s="1"/>
  <c r="W282" i="21"/>
  <c r="X282" i="21" s="1"/>
  <c r="V282" i="21"/>
  <c r="Y282" i="21" s="1"/>
  <c r="P282" i="21"/>
  <c r="AF281" i="21"/>
  <c r="AD281" i="21"/>
  <c r="AE281" i="21" s="1"/>
  <c r="AC281" i="21"/>
  <c r="X281" i="21"/>
  <c r="W281" i="21"/>
  <c r="V281" i="21"/>
  <c r="Y281" i="21" s="1"/>
  <c r="P281" i="21"/>
  <c r="AE280" i="21"/>
  <c r="AD280" i="21"/>
  <c r="AC280" i="21"/>
  <c r="AF280" i="21" s="1"/>
  <c r="Y280" i="21"/>
  <c r="W280" i="21"/>
  <c r="X280" i="21" s="1"/>
  <c r="V280" i="21"/>
  <c r="P280" i="21"/>
  <c r="AD279" i="21"/>
  <c r="AE279" i="21" s="1"/>
  <c r="AC279" i="21"/>
  <c r="AF279" i="21" s="1"/>
  <c r="X279" i="21"/>
  <c r="W279" i="21"/>
  <c r="V279" i="21"/>
  <c r="Y279" i="21" s="1"/>
  <c r="P279" i="21"/>
  <c r="AD278" i="21"/>
  <c r="AE278" i="21" s="1"/>
  <c r="AC278" i="21"/>
  <c r="AF278" i="21" s="1"/>
  <c r="Y278" i="21"/>
  <c r="W278" i="21"/>
  <c r="X278" i="21" s="1"/>
  <c r="V278" i="21"/>
  <c r="P278" i="21"/>
  <c r="AD277" i="21"/>
  <c r="AE277" i="21" s="1"/>
  <c r="AC277" i="21"/>
  <c r="AF277" i="21" s="1"/>
  <c r="X277" i="21"/>
  <c r="W277" i="21"/>
  <c r="V277" i="21"/>
  <c r="Y277" i="21" s="1"/>
  <c r="P277" i="21"/>
  <c r="AE276" i="21"/>
  <c r="AD276" i="21"/>
  <c r="AC276" i="21"/>
  <c r="AF276" i="21" s="1"/>
  <c r="Y276" i="21"/>
  <c r="W276" i="21"/>
  <c r="X276" i="21" s="1"/>
  <c r="V276" i="21"/>
  <c r="P276" i="21"/>
  <c r="AF275" i="21"/>
  <c r="AD275" i="21"/>
  <c r="AE275" i="21" s="1"/>
  <c r="AC275" i="21"/>
  <c r="W275" i="21"/>
  <c r="X275" i="21" s="1"/>
  <c r="V275" i="21"/>
  <c r="Y275" i="21" s="1"/>
  <c r="P275" i="21"/>
  <c r="AE274" i="21"/>
  <c r="AD274" i="21"/>
  <c r="AC274" i="21"/>
  <c r="AF274" i="21" s="1"/>
  <c r="W274" i="21"/>
  <c r="X274" i="21" s="1"/>
  <c r="V274" i="21"/>
  <c r="Y274" i="21" s="1"/>
  <c r="P274" i="21"/>
  <c r="AF273" i="21"/>
  <c r="AD273" i="21"/>
  <c r="AE273" i="21" s="1"/>
  <c r="AC273" i="21"/>
  <c r="Y273" i="21"/>
  <c r="X273" i="21"/>
  <c r="W273" i="21"/>
  <c r="V273" i="21"/>
  <c r="P273" i="21"/>
  <c r="AE272" i="21"/>
  <c r="AD272" i="21"/>
  <c r="AC272" i="21"/>
  <c r="AF272" i="21" s="1"/>
  <c r="Y272" i="21"/>
  <c r="W272" i="21"/>
  <c r="X272" i="21" s="1"/>
  <c r="V272" i="21"/>
  <c r="P272" i="21"/>
  <c r="AD271" i="21"/>
  <c r="AE271" i="21" s="1"/>
  <c r="AC271" i="21"/>
  <c r="AF271" i="21" s="1"/>
  <c r="X271" i="21"/>
  <c r="W271" i="21"/>
  <c r="V271" i="21"/>
  <c r="Y271" i="21" s="1"/>
  <c r="P271" i="21"/>
  <c r="AD270" i="21"/>
  <c r="AE270" i="21" s="1"/>
  <c r="AC270" i="21"/>
  <c r="AF270" i="21" s="1"/>
  <c r="Y270" i="21"/>
  <c r="W270" i="21"/>
  <c r="X270" i="21" s="1"/>
  <c r="V270" i="21"/>
  <c r="P270" i="21"/>
  <c r="AE269" i="21"/>
  <c r="AD269" i="21"/>
  <c r="AC269" i="21"/>
  <c r="AF269" i="21" s="1"/>
  <c r="X269" i="21"/>
  <c r="W269" i="21"/>
  <c r="V269" i="21"/>
  <c r="Y269" i="21" s="1"/>
  <c r="P269" i="21"/>
  <c r="AD268" i="21"/>
  <c r="AE268" i="21" s="1"/>
  <c r="AC268" i="21"/>
  <c r="AF268" i="21" s="1"/>
  <c r="X268" i="21"/>
  <c r="W268" i="21"/>
  <c r="V268" i="21"/>
  <c r="Y268" i="21" s="1"/>
  <c r="P268" i="21"/>
  <c r="AE267" i="21"/>
  <c r="AD267" i="21"/>
  <c r="AC267" i="21"/>
  <c r="AF267" i="21" s="1"/>
  <c r="X267" i="21"/>
  <c r="W267" i="21"/>
  <c r="V267" i="21"/>
  <c r="Y267" i="21" s="1"/>
  <c r="P267" i="21"/>
  <c r="AF266" i="21"/>
  <c r="AD266" i="21"/>
  <c r="AE266" i="21" s="1"/>
  <c r="AC266" i="21"/>
  <c r="W266" i="21"/>
  <c r="X266" i="21" s="1"/>
  <c r="V266" i="21"/>
  <c r="Y266" i="21" s="1"/>
  <c r="P266" i="21"/>
  <c r="AE265" i="21"/>
  <c r="AD265" i="21"/>
  <c r="AC265" i="21"/>
  <c r="AF265" i="21" s="1"/>
  <c r="W265" i="21"/>
  <c r="X265" i="21" s="1"/>
  <c r="V265" i="21"/>
  <c r="Y265" i="21" s="1"/>
  <c r="P265" i="21"/>
  <c r="AF264" i="21"/>
  <c r="AD264" i="21"/>
  <c r="AE264" i="21" s="1"/>
  <c r="AC264" i="21"/>
  <c r="X264" i="21"/>
  <c r="W264" i="21"/>
  <c r="V264" i="21"/>
  <c r="Y264" i="21" s="1"/>
  <c r="P264" i="21"/>
  <c r="AE263" i="21"/>
  <c r="AD263" i="21"/>
  <c r="AC263" i="21"/>
  <c r="AF263" i="21" s="1"/>
  <c r="Y263" i="21"/>
  <c r="W263" i="21"/>
  <c r="X263" i="21" s="1"/>
  <c r="V263" i="21"/>
  <c r="P263" i="21"/>
  <c r="AF262" i="21"/>
  <c r="AE262" i="21"/>
  <c r="AD262" i="21"/>
  <c r="AC262" i="21"/>
  <c r="X262" i="21"/>
  <c r="W262" i="21"/>
  <c r="V262" i="21"/>
  <c r="Y262" i="21" s="1"/>
  <c r="P262" i="21"/>
  <c r="AD261" i="21"/>
  <c r="AE261" i="21" s="1"/>
  <c r="AC261" i="21"/>
  <c r="AF261" i="21" s="1"/>
  <c r="Y261" i="21"/>
  <c r="W261" i="21"/>
  <c r="X261" i="21" s="1"/>
  <c r="V261" i="21"/>
  <c r="P261" i="21"/>
  <c r="AD260" i="21"/>
  <c r="AE260" i="21" s="1"/>
  <c r="AC260" i="21"/>
  <c r="AF260" i="21" s="1"/>
  <c r="X260" i="21"/>
  <c r="W260" i="21"/>
  <c r="V260" i="21"/>
  <c r="Y260" i="21" s="1"/>
  <c r="P260" i="21"/>
  <c r="AE259" i="21"/>
  <c r="AD259" i="21"/>
  <c r="AC259" i="21"/>
  <c r="AF259" i="21" s="1"/>
  <c r="X259" i="21"/>
  <c r="W259" i="21"/>
  <c r="V259" i="21"/>
  <c r="Y259" i="21" s="1"/>
  <c r="P259" i="21"/>
  <c r="AF258" i="21"/>
  <c r="AD258" i="21"/>
  <c r="AE258" i="21" s="1"/>
  <c r="AC258" i="21"/>
  <c r="W258" i="21"/>
  <c r="X258" i="21" s="1"/>
  <c r="V258" i="21"/>
  <c r="Y258" i="21" s="1"/>
  <c r="P258" i="21"/>
  <c r="AE257" i="21"/>
  <c r="AD257" i="21"/>
  <c r="AC257" i="21"/>
  <c r="AF257" i="21" s="1"/>
  <c r="W257" i="21"/>
  <c r="X257" i="21" s="1"/>
  <c r="V257" i="21"/>
  <c r="Y257" i="21" s="1"/>
  <c r="P257" i="21"/>
  <c r="AF256" i="21"/>
  <c r="AD256" i="21"/>
  <c r="AE256" i="21" s="1"/>
  <c r="AC256" i="21"/>
  <c r="X256" i="21"/>
  <c r="W256" i="21"/>
  <c r="V256" i="21"/>
  <c r="Y256" i="21" s="1"/>
  <c r="P256" i="21"/>
  <c r="AE255" i="21"/>
  <c r="AD255" i="21"/>
  <c r="AC255" i="21"/>
  <c r="AF255" i="21" s="1"/>
  <c r="Y255" i="21"/>
  <c r="W255" i="21"/>
  <c r="X255" i="21" s="1"/>
  <c r="V255" i="21"/>
  <c r="P255" i="21"/>
  <c r="AE254" i="21"/>
  <c r="AD254" i="21"/>
  <c r="AC254" i="21"/>
  <c r="AF254" i="21" s="1"/>
  <c r="X254" i="21"/>
  <c r="W254" i="21"/>
  <c r="V254" i="21"/>
  <c r="Y254" i="21" s="1"/>
  <c r="P254" i="21"/>
  <c r="AD253" i="21"/>
  <c r="AE253" i="21" s="1"/>
  <c r="AC253" i="21"/>
  <c r="AF253" i="21" s="1"/>
  <c r="Y253" i="21"/>
  <c r="W253" i="21"/>
  <c r="X253" i="21" s="1"/>
  <c r="V253" i="21"/>
  <c r="P253" i="21"/>
  <c r="AE252" i="21"/>
  <c r="AD252" i="21"/>
  <c r="AC252" i="21"/>
  <c r="AF252" i="21" s="1"/>
  <c r="X252" i="21"/>
  <c r="W252" i="21"/>
  <c r="V252" i="21"/>
  <c r="Y252" i="21" s="1"/>
  <c r="P252" i="21"/>
  <c r="AE251" i="21"/>
  <c r="AD251" i="21"/>
  <c r="AC251" i="21"/>
  <c r="AF251" i="21" s="1"/>
  <c r="X251" i="21"/>
  <c r="W251" i="21"/>
  <c r="V251" i="21"/>
  <c r="Y251" i="21" s="1"/>
  <c r="P251" i="21"/>
  <c r="AF250" i="21"/>
  <c r="AD250" i="21"/>
  <c r="AE250" i="21" s="1"/>
  <c r="AC250" i="21"/>
  <c r="W250" i="21"/>
  <c r="X250" i="21" s="1"/>
  <c r="V250" i="21"/>
  <c r="Y250" i="21" s="1"/>
  <c r="P250" i="21"/>
  <c r="AE249" i="21"/>
  <c r="AD249" i="21"/>
  <c r="AC249" i="21"/>
  <c r="AF249" i="21" s="1"/>
  <c r="W249" i="21"/>
  <c r="X249" i="21" s="1"/>
  <c r="V249" i="21"/>
  <c r="Y249" i="21" s="1"/>
  <c r="P249" i="21"/>
  <c r="AF248" i="21"/>
  <c r="AD248" i="21"/>
  <c r="AE248" i="21" s="1"/>
  <c r="AC248" i="21"/>
  <c r="X248" i="21"/>
  <c r="W248" i="21"/>
  <c r="V248" i="21"/>
  <c r="Y248" i="21" s="1"/>
  <c r="P248" i="21"/>
  <c r="AF247" i="21"/>
  <c r="AE247" i="21"/>
  <c r="AD247" i="21"/>
  <c r="AC247" i="21"/>
  <c r="Y247" i="21"/>
  <c r="W247" i="21"/>
  <c r="X247" i="21" s="1"/>
  <c r="V247" i="21"/>
  <c r="P247" i="21"/>
  <c r="AE246" i="21"/>
  <c r="AD246" i="21"/>
  <c r="AC246" i="21"/>
  <c r="AF246" i="21" s="1"/>
  <c r="X246" i="21"/>
  <c r="W246" i="21"/>
  <c r="V246" i="21"/>
  <c r="Y246" i="21" s="1"/>
  <c r="P246" i="21"/>
  <c r="AD245" i="21"/>
  <c r="AE245" i="21" s="1"/>
  <c r="AC245" i="21"/>
  <c r="AF245" i="21" s="1"/>
  <c r="Y245" i="21"/>
  <c r="W245" i="21"/>
  <c r="X245" i="21" s="1"/>
  <c r="V245" i="21"/>
  <c r="P245" i="21"/>
  <c r="AE244" i="21"/>
  <c r="AD244" i="21"/>
  <c r="AC244" i="21"/>
  <c r="AF244" i="21" s="1"/>
  <c r="X244" i="21"/>
  <c r="W244" i="21"/>
  <c r="V244" i="21"/>
  <c r="Y244" i="21" s="1"/>
  <c r="P244" i="21"/>
  <c r="AF243" i="21"/>
  <c r="AE243" i="21"/>
  <c r="AD243" i="21"/>
  <c r="AC243" i="21"/>
  <c r="X243" i="21"/>
  <c r="W243" i="21"/>
  <c r="V243" i="21"/>
  <c r="Y243" i="21" s="1"/>
  <c r="P243" i="21"/>
  <c r="AF242" i="21"/>
  <c r="AD242" i="21"/>
  <c r="AE242" i="21" s="1"/>
  <c r="AC242" i="21"/>
  <c r="Y242" i="21"/>
  <c r="W242" i="21"/>
  <c r="X242" i="21" s="1"/>
  <c r="V242" i="21"/>
  <c r="P242" i="21"/>
  <c r="AF241" i="21"/>
  <c r="AD241" i="21"/>
  <c r="AE241" i="21" s="1"/>
  <c r="AC241" i="21"/>
  <c r="X241" i="21"/>
  <c r="W241" i="21"/>
  <c r="V241" i="21"/>
  <c r="Y241" i="21" s="1"/>
  <c r="P241" i="21"/>
  <c r="AE240" i="21"/>
  <c r="AD240" i="21"/>
  <c r="AC240" i="21"/>
  <c r="AF240" i="21" s="1"/>
  <c r="Y240" i="21"/>
  <c r="W240" i="21"/>
  <c r="X240" i="21" s="1"/>
  <c r="V240" i="21"/>
  <c r="P240" i="21"/>
  <c r="AE239" i="21"/>
  <c r="AD239" i="21"/>
  <c r="AC239" i="21"/>
  <c r="AF239" i="21" s="1"/>
  <c r="X239" i="21"/>
  <c r="W239" i="21"/>
  <c r="V239" i="21"/>
  <c r="Y239" i="21" s="1"/>
  <c r="P239" i="21"/>
  <c r="AD238" i="21"/>
  <c r="AE238" i="21" s="1"/>
  <c r="AC238" i="21"/>
  <c r="AF238" i="21" s="1"/>
  <c r="Y238" i="21"/>
  <c r="W238" i="21"/>
  <c r="X238" i="21" s="1"/>
  <c r="V238" i="21"/>
  <c r="P238" i="21"/>
  <c r="AD237" i="21"/>
  <c r="AE237" i="21" s="1"/>
  <c r="AC237" i="21"/>
  <c r="AF237" i="21" s="1"/>
  <c r="X237" i="21"/>
  <c r="W237" i="21"/>
  <c r="V237" i="21"/>
  <c r="Y237" i="21" s="1"/>
  <c r="P237" i="21"/>
  <c r="AE236" i="21"/>
  <c r="AD236" i="21"/>
  <c r="AC236" i="21"/>
  <c r="AF236" i="21" s="1"/>
  <c r="X236" i="21"/>
  <c r="W236" i="21"/>
  <c r="V236" i="21"/>
  <c r="Y236" i="21" s="1"/>
  <c r="P236" i="21"/>
  <c r="AF235" i="21"/>
  <c r="AD235" i="21"/>
  <c r="AE235" i="21" s="1"/>
  <c r="AC235" i="21"/>
  <c r="W235" i="21"/>
  <c r="X235" i="21" s="1"/>
  <c r="V235" i="21"/>
  <c r="Y235" i="21" s="1"/>
  <c r="P235" i="21"/>
  <c r="AE234" i="21"/>
  <c r="AD234" i="21"/>
  <c r="AC234" i="21"/>
  <c r="AF234" i="21" s="1"/>
  <c r="W234" i="21"/>
  <c r="X234" i="21" s="1"/>
  <c r="V234" i="21"/>
  <c r="Y234" i="21" s="1"/>
  <c r="P234" i="21"/>
  <c r="AF233" i="21"/>
  <c r="AD233" i="21"/>
  <c r="AE233" i="21" s="1"/>
  <c r="AC233" i="21"/>
  <c r="X233" i="21"/>
  <c r="W233" i="21"/>
  <c r="V233" i="21"/>
  <c r="Y233" i="21" s="1"/>
  <c r="P233" i="21"/>
  <c r="AE232" i="21"/>
  <c r="AD232" i="21"/>
  <c r="AC232" i="21"/>
  <c r="AF232" i="21" s="1"/>
  <c r="Y232" i="21"/>
  <c r="W232" i="21"/>
  <c r="X232" i="21" s="1"/>
  <c r="V232" i="21"/>
  <c r="P232" i="21"/>
  <c r="AF231" i="21"/>
  <c r="AE231" i="21"/>
  <c r="AD231" i="21"/>
  <c r="AC231" i="21"/>
  <c r="X231" i="21"/>
  <c r="W231" i="21"/>
  <c r="V231" i="21"/>
  <c r="Y231" i="21" s="1"/>
  <c r="P231" i="21"/>
  <c r="AD230" i="21"/>
  <c r="AE230" i="21" s="1"/>
  <c r="AC230" i="21"/>
  <c r="AF230" i="21" s="1"/>
  <c r="Y230" i="21"/>
  <c r="W230" i="21"/>
  <c r="X230" i="21" s="1"/>
  <c r="V230" i="21"/>
  <c r="P230" i="21"/>
  <c r="AE229" i="21"/>
  <c r="AD229" i="21"/>
  <c r="AC229" i="21"/>
  <c r="AF229" i="21" s="1"/>
  <c r="X229" i="21"/>
  <c r="W229" i="21"/>
  <c r="V229" i="21"/>
  <c r="Y229" i="21" s="1"/>
  <c r="P229" i="21"/>
  <c r="AE228" i="21"/>
  <c r="AD228" i="21"/>
  <c r="AC228" i="21"/>
  <c r="AF228" i="21" s="1"/>
  <c r="X228" i="21"/>
  <c r="W228" i="21"/>
  <c r="V228" i="21"/>
  <c r="Y228" i="21" s="1"/>
  <c r="P228" i="21"/>
  <c r="AF227" i="21"/>
  <c r="AD227" i="21"/>
  <c r="AE227" i="21" s="1"/>
  <c r="AC227" i="21"/>
  <c r="W227" i="21"/>
  <c r="X227" i="21" s="1"/>
  <c r="V227" i="21"/>
  <c r="Y227" i="21" s="1"/>
  <c r="P227" i="21"/>
  <c r="AE226" i="21"/>
  <c r="AD226" i="21"/>
  <c r="AC226" i="21"/>
  <c r="AF226" i="21" s="1"/>
  <c r="W226" i="21"/>
  <c r="X226" i="21" s="1"/>
  <c r="V226" i="21"/>
  <c r="Y226" i="21" s="1"/>
  <c r="P226" i="21"/>
  <c r="AF225" i="21"/>
  <c r="AD225" i="21"/>
  <c r="AE225" i="21" s="1"/>
  <c r="AC225" i="21"/>
  <c r="Y225" i="21"/>
  <c r="X225" i="21"/>
  <c r="W225" i="21"/>
  <c r="V225" i="21"/>
  <c r="P225" i="21"/>
  <c r="AE224" i="21"/>
  <c r="AD224" i="21"/>
  <c r="AC224" i="21"/>
  <c r="AF224" i="21" s="1"/>
  <c r="Y224" i="21"/>
  <c r="W224" i="21"/>
  <c r="X224" i="21" s="1"/>
  <c r="V224" i="21"/>
  <c r="P224" i="21"/>
  <c r="AD223" i="21"/>
  <c r="AE223" i="21" s="1"/>
  <c r="AC223" i="21"/>
  <c r="AF223" i="21" s="1"/>
  <c r="X223" i="21"/>
  <c r="W223" i="21"/>
  <c r="V223" i="21"/>
  <c r="Y223" i="21" s="1"/>
  <c r="P223" i="21"/>
  <c r="AD222" i="21"/>
  <c r="AE222" i="21" s="1"/>
  <c r="AC222" i="21"/>
  <c r="AF222" i="21" s="1"/>
  <c r="Y222" i="21"/>
  <c r="W222" i="21"/>
  <c r="X222" i="21" s="1"/>
  <c r="V222" i="21"/>
  <c r="P222" i="21"/>
  <c r="AD221" i="21"/>
  <c r="AE221" i="21" s="1"/>
  <c r="AC221" i="21"/>
  <c r="AF221" i="21" s="1"/>
  <c r="X221" i="21"/>
  <c r="W221" i="21"/>
  <c r="V221" i="21"/>
  <c r="Y221" i="21" s="1"/>
  <c r="P221" i="21"/>
  <c r="AE220" i="21"/>
  <c r="AD220" i="21"/>
  <c r="AC220" i="21"/>
  <c r="AF220" i="21" s="1"/>
  <c r="W220" i="21"/>
  <c r="X220" i="21" s="1"/>
  <c r="V220" i="21"/>
  <c r="Y220" i="21" s="1"/>
  <c r="P220" i="21"/>
  <c r="AD219" i="21"/>
  <c r="AE219" i="21" s="1"/>
  <c r="AC219" i="21"/>
  <c r="AF219" i="21" s="1"/>
  <c r="W219" i="21"/>
  <c r="X219" i="21" s="1"/>
  <c r="V219" i="21"/>
  <c r="Y219" i="21" s="1"/>
  <c r="P219" i="21"/>
  <c r="AD218" i="21"/>
  <c r="AE218" i="21" s="1"/>
  <c r="AC218" i="21"/>
  <c r="AF218" i="21" s="1"/>
  <c r="Y218" i="21"/>
  <c r="X218" i="21"/>
  <c r="W218" i="21"/>
  <c r="V218" i="21"/>
  <c r="P218" i="21"/>
  <c r="AF217" i="21"/>
  <c r="AD217" i="21"/>
  <c r="AE217" i="21" s="1"/>
  <c r="AC217" i="21"/>
  <c r="Y217" i="21"/>
  <c r="X217" i="21"/>
  <c r="W217" i="21"/>
  <c r="V217" i="21"/>
  <c r="P217" i="21"/>
  <c r="AF216" i="21"/>
  <c r="AE216" i="21"/>
  <c r="AD216" i="21"/>
  <c r="AC216" i="21"/>
  <c r="X216" i="21"/>
  <c r="W216" i="21"/>
  <c r="V216" i="21"/>
  <c r="Y216" i="21" s="1"/>
  <c r="P216" i="21"/>
  <c r="AD215" i="21"/>
  <c r="AE215" i="21" s="1"/>
  <c r="AC215" i="21"/>
  <c r="AF215" i="21" s="1"/>
  <c r="W215" i="21"/>
  <c r="X215" i="21" s="1"/>
  <c r="V215" i="21"/>
  <c r="Y215" i="21" s="1"/>
  <c r="P215" i="21"/>
  <c r="AD214" i="21"/>
  <c r="AE214" i="21" s="1"/>
  <c r="AC214" i="21"/>
  <c r="AF214" i="21" s="1"/>
  <c r="W214" i="21"/>
  <c r="X214" i="21" s="1"/>
  <c r="V214" i="21"/>
  <c r="Y214" i="21" s="1"/>
  <c r="P214" i="21"/>
  <c r="AF213" i="21"/>
  <c r="AE213" i="21"/>
  <c r="AD213" i="21"/>
  <c r="AC213" i="21"/>
  <c r="Y213" i="21"/>
  <c r="X213" i="21"/>
  <c r="W213" i="21"/>
  <c r="V213" i="21"/>
  <c r="P213" i="21"/>
  <c r="AF212" i="21"/>
  <c r="AE212" i="21"/>
  <c r="AD212" i="21"/>
  <c r="AC212" i="21"/>
  <c r="W212" i="21"/>
  <c r="X212" i="21" s="1"/>
  <c r="V212" i="21"/>
  <c r="Y212" i="21" s="1"/>
  <c r="P212" i="21"/>
  <c r="AD211" i="21"/>
  <c r="AE211" i="21" s="1"/>
  <c r="AC211" i="21"/>
  <c r="AF211" i="21" s="1"/>
  <c r="W211" i="21"/>
  <c r="X211" i="21" s="1"/>
  <c r="V211" i="21"/>
  <c r="Y211" i="21" s="1"/>
  <c r="P211" i="21"/>
  <c r="AD210" i="21"/>
  <c r="AE210" i="21" s="1"/>
  <c r="AC210" i="21"/>
  <c r="AF210" i="21" s="1"/>
  <c r="X210" i="21"/>
  <c r="W210" i="21"/>
  <c r="V210" i="21"/>
  <c r="Y210" i="21" s="1"/>
  <c r="P210" i="21"/>
  <c r="AE209" i="21"/>
  <c r="AD209" i="21"/>
  <c r="AC209" i="21"/>
  <c r="AF209" i="21" s="1"/>
  <c r="Y209" i="21"/>
  <c r="X209" i="21"/>
  <c r="W209" i="21"/>
  <c r="V209" i="21"/>
  <c r="P209" i="21"/>
  <c r="AF208" i="21"/>
  <c r="AE208" i="21"/>
  <c r="AD208" i="21"/>
  <c r="AC208" i="21"/>
  <c r="X208" i="21"/>
  <c r="W208" i="21"/>
  <c r="V208" i="21"/>
  <c r="Y208" i="21" s="1"/>
  <c r="P208" i="21"/>
  <c r="AD207" i="21"/>
  <c r="AE207" i="21" s="1"/>
  <c r="AC207" i="21"/>
  <c r="AF207" i="21" s="1"/>
  <c r="W207" i="21"/>
  <c r="X207" i="21" s="1"/>
  <c r="V207" i="21"/>
  <c r="Y207" i="21" s="1"/>
  <c r="P207" i="21"/>
  <c r="AD206" i="21"/>
  <c r="AE206" i="21" s="1"/>
  <c r="AC206" i="21"/>
  <c r="AF206" i="21" s="1"/>
  <c r="X206" i="21"/>
  <c r="W206" i="21"/>
  <c r="V206" i="21"/>
  <c r="Y206" i="21" s="1"/>
  <c r="P206" i="21"/>
  <c r="AE205" i="21"/>
  <c r="AD205" i="21"/>
  <c r="AC205" i="21"/>
  <c r="AF205" i="21" s="1"/>
  <c r="Y205" i="21"/>
  <c r="X205" i="21"/>
  <c r="W205" i="21"/>
  <c r="V205" i="21"/>
  <c r="P205" i="21"/>
  <c r="AF204" i="21"/>
  <c r="AE204" i="21"/>
  <c r="AD204" i="21"/>
  <c r="AC204" i="21"/>
  <c r="W204" i="21"/>
  <c r="X204" i="21" s="1"/>
  <c r="V204" i="21"/>
  <c r="Y204" i="21" s="1"/>
  <c r="P204" i="21"/>
  <c r="AD203" i="21"/>
  <c r="AE203" i="21" s="1"/>
  <c r="AC203" i="21"/>
  <c r="AF203" i="21" s="1"/>
  <c r="W203" i="21"/>
  <c r="X203" i="21" s="1"/>
  <c r="V203" i="21"/>
  <c r="Y203" i="21" s="1"/>
  <c r="P203" i="21"/>
  <c r="AD202" i="21"/>
  <c r="AE202" i="21" s="1"/>
  <c r="AC202" i="21"/>
  <c r="AF202" i="21" s="1"/>
  <c r="X202" i="21"/>
  <c r="W202" i="21"/>
  <c r="V202" i="21"/>
  <c r="Y202" i="21" s="1"/>
  <c r="P202" i="21"/>
  <c r="AD201" i="21"/>
  <c r="AE201" i="21" s="1"/>
  <c r="AC201" i="21"/>
  <c r="AF201" i="21" s="1"/>
  <c r="Y201" i="21"/>
  <c r="X201" i="21"/>
  <c r="W201" i="21"/>
  <c r="V201" i="21"/>
  <c r="P201" i="21"/>
  <c r="AF200" i="21"/>
  <c r="AE200" i="21"/>
  <c r="AD200" i="21"/>
  <c r="AC200" i="21"/>
  <c r="Y200" i="21"/>
  <c r="W200" i="21"/>
  <c r="X200" i="21" s="1"/>
  <c r="V200" i="21"/>
  <c r="P200" i="21"/>
  <c r="AF199" i="21"/>
  <c r="AD199" i="21"/>
  <c r="AE199" i="21" s="1"/>
  <c r="AC199" i="21"/>
  <c r="W199" i="21"/>
  <c r="X199" i="21" s="1"/>
  <c r="V199" i="21"/>
  <c r="Y199" i="21" s="1"/>
  <c r="P199" i="21"/>
  <c r="AD198" i="21"/>
  <c r="AE198" i="21" s="1"/>
  <c r="AC198" i="21"/>
  <c r="AF198" i="21" s="1"/>
  <c r="W198" i="21"/>
  <c r="X198" i="21" s="1"/>
  <c r="V198" i="21"/>
  <c r="Y198" i="21" s="1"/>
  <c r="P198" i="21"/>
  <c r="AF197" i="21"/>
  <c r="AE197" i="21"/>
  <c r="AD197" i="21"/>
  <c r="AC197" i="21"/>
  <c r="Y197" i="21"/>
  <c r="X197" i="21"/>
  <c r="W197" i="21"/>
  <c r="V197" i="21"/>
  <c r="P197" i="21"/>
  <c r="AF196" i="21"/>
  <c r="AE196" i="21"/>
  <c r="AD196" i="21"/>
  <c r="AC196" i="21"/>
  <c r="Y196" i="21"/>
  <c r="W196" i="21"/>
  <c r="X196" i="21" s="1"/>
  <c r="V196" i="21"/>
  <c r="P196" i="21"/>
  <c r="AF195" i="21"/>
  <c r="AE195" i="21"/>
  <c r="AD195" i="21"/>
  <c r="AC195" i="21"/>
  <c r="W195" i="21"/>
  <c r="X195" i="21" s="1"/>
  <c r="V195" i="21"/>
  <c r="Y195" i="21" s="1"/>
  <c r="P195" i="21"/>
  <c r="AF194" i="21"/>
  <c r="AD194" i="21"/>
  <c r="AE194" i="21" s="1"/>
  <c r="AC194" i="21"/>
  <c r="Y194" i="21"/>
  <c r="W194" i="21"/>
  <c r="X194" i="21" s="1"/>
  <c r="V194" i="21"/>
  <c r="P194" i="21"/>
  <c r="AF193" i="21"/>
  <c r="AE193" i="21"/>
  <c r="AD193" i="21"/>
  <c r="AC193" i="21"/>
  <c r="X193" i="21"/>
  <c r="W193" i="21"/>
  <c r="V193" i="21"/>
  <c r="Y193" i="21" s="1"/>
  <c r="P193" i="21"/>
  <c r="AE192" i="21"/>
  <c r="AD192" i="21"/>
  <c r="AC192" i="21"/>
  <c r="AF192" i="21" s="1"/>
  <c r="Y192" i="21"/>
  <c r="W192" i="21"/>
  <c r="X192" i="21" s="1"/>
  <c r="V192" i="21"/>
  <c r="P192" i="21"/>
  <c r="AD191" i="21"/>
  <c r="AE191" i="21" s="1"/>
  <c r="AC191" i="21"/>
  <c r="AF191" i="21" s="1"/>
  <c r="W191" i="21"/>
  <c r="X191" i="21" s="1"/>
  <c r="V191" i="21"/>
  <c r="Y191" i="21" s="1"/>
  <c r="P191" i="21"/>
  <c r="AE190" i="21"/>
  <c r="AD190" i="21"/>
  <c r="AC190" i="21"/>
  <c r="AF190" i="21" s="1"/>
  <c r="Y190" i="21"/>
  <c r="X190" i="21"/>
  <c r="W190" i="21"/>
  <c r="V190" i="21"/>
  <c r="P190" i="21"/>
  <c r="AF189" i="21"/>
  <c r="AD189" i="21"/>
  <c r="AE189" i="21" s="1"/>
  <c r="AC189" i="21"/>
  <c r="X189" i="21"/>
  <c r="W189" i="21"/>
  <c r="V189" i="21"/>
  <c r="Y189" i="21" s="1"/>
  <c r="P189" i="21"/>
  <c r="AF188" i="21"/>
  <c r="AE188" i="21"/>
  <c r="AD188" i="21"/>
  <c r="AC188" i="21"/>
  <c r="W188" i="21"/>
  <c r="X188" i="21" s="1"/>
  <c r="V188" i="21"/>
  <c r="Y188" i="21" s="1"/>
  <c r="P188" i="21"/>
  <c r="AF187" i="21"/>
  <c r="AD187" i="21"/>
  <c r="AE187" i="21" s="1"/>
  <c r="AC187" i="21"/>
  <c r="X187" i="21"/>
  <c r="W187" i="21"/>
  <c r="V187" i="21"/>
  <c r="Y187" i="21" s="1"/>
  <c r="P187" i="21"/>
  <c r="AF186" i="21"/>
  <c r="AD186" i="21"/>
  <c r="AE186" i="21" s="1"/>
  <c r="AC186" i="21"/>
  <c r="Y186" i="21"/>
  <c r="W186" i="21"/>
  <c r="X186" i="21" s="1"/>
  <c r="V186" i="21"/>
  <c r="P186" i="21"/>
  <c r="AF185" i="21"/>
  <c r="AE185" i="21"/>
  <c r="AD185" i="21"/>
  <c r="AC185" i="21"/>
  <c r="X185" i="21"/>
  <c r="W185" i="21"/>
  <c r="V185" i="21"/>
  <c r="Y185" i="21" s="1"/>
  <c r="P185" i="21"/>
  <c r="AD184" i="21"/>
  <c r="AE184" i="21" s="1"/>
  <c r="AC184" i="21"/>
  <c r="AF184" i="21" s="1"/>
  <c r="Y184" i="21"/>
  <c r="W184" i="21"/>
  <c r="X184" i="21" s="1"/>
  <c r="V184" i="21"/>
  <c r="P184" i="21"/>
  <c r="AD183" i="21"/>
  <c r="AE183" i="21" s="1"/>
  <c r="AC183" i="21"/>
  <c r="AF183" i="21" s="1"/>
  <c r="X183" i="21"/>
  <c r="W183" i="21"/>
  <c r="V183" i="21"/>
  <c r="Y183" i="21" s="1"/>
  <c r="P183" i="21"/>
  <c r="AE182" i="21"/>
  <c r="AD182" i="21"/>
  <c r="AC182" i="21"/>
  <c r="AF182" i="21" s="1"/>
  <c r="Y182" i="21"/>
  <c r="X182" i="21"/>
  <c r="W182" i="21"/>
  <c r="V182" i="21"/>
  <c r="P182" i="21"/>
  <c r="AF181" i="21"/>
  <c r="AD181" i="21"/>
  <c r="AE181" i="21" s="1"/>
  <c r="AC181" i="21"/>
  <c r="W181" i="21"/>
  <c r="X181" i="21" s="1"/>
  <c r="V181" i="21"/>
  <c r="Y181" i="21" s="1"/>
  <c r="P181" i="21"/>
  <c r="AE180" i="21"/>
  <c r="AD180" i="21"/>
  <c r="AC180" i="21"/>
  <c r="AF180" i="21" s="1"/>
  <c r="W180" i="21"/>
  <c r="X180" i="21" s="1"/>
  <c r="V180" i="21"/>
  <c r="Y180" i="21" s="1"/>
  <c r="P180" i="21"/>
  <c r="AF179" i="21"/>
  <c r="AD179" i="21"/>
  <c r="AE179" i="21" s="1"/>
  <c r="AC179" i="21"/>
  <c r="X179" i="21"/>
  <c r="W179" i="21"/>
  <c r="V179" i="21"/>
  <c r="Y179" i="21" s="1"/>
  <c r="P179" i="21"/>
  <c r="AD178" i="21"/>
  <c r="AE178" i="21" s="1"/>
  <c r="AC178" i="21"/>
  <c r="AF178" i="21" s="1"/>
  <c r="Y178" i="21"/>
  <c r="W178" i="21"/>
  <c r="X178" i="21" s="1"/>
  <c r="V178" i="21"/>
  <c r="P178" i="21"/>
  <c r="AF177" i="21"/>
  <c r="AE177" i="21"/>
  <c r="AD177" i="21"/>
  <c r="AC177" i="21"/>
  <c r="X177" i="21"/>
  <c r="W177" i="21"/>
  <c r="V177" i="21"/>
  <c r="Y177" i="21" s="1"/>
  <c r="P177" i="21"/>
  <c r="AD176" i="21"/>
  <c r="AE176" i="21" s="1"/>
  <c r="AC176" i="21"/>
  <c r="AF176" i="21" s="1"/>
  <c r="Y176" i="21"/>
  <c r="W176" i="21"/>
  <c r="X176" i="21" s="1"/>
  <c r="V176" i="21"/>
  <c r="P176" i="21"/>
  <c r="AD175" i="21"/>
  <c r="AE175" i="21" s="1"/>
  <c r="AC175" i="21"/>
  <c r="AF175" i="21" s="1"/>
  <c r="W175" i="21"/>
  <c r="X175" i="21" s="1"/>
  <c r="V175" i="21"/>
  <c r="Y175" i="21" s="1"/>
  <c r="P175" i="21"/>
  <c r="AE174" i="21"/>
  <c r="AD174" i="21"/>
  <c r="AC174" i="21"/>
  <c r="AF174" i="21" s="1"/>
  <c r="Y174" i="21"/>
  <c r="X174" i="21"/>
  <c r="W174" i="21"/>
  <c r="V174" i="21"/>
  <c r="P174" i="21"/>
  <c r="AF173" i="21"/>
  <c r="AD173" i="21"/>
  <c r="AE173" i="21" s="1"/>
  <c r="AC173" i="21"/>
  <c r="W173" i="21"/>
  <c r="X173" i="21" s="1"/>
  <c r="V173" i="21"/>
  <c r="Y173" i="21" s="1"/>
  <c r="P173" i="21"/>
  <c r="AE172" i="21"/>
  <c r="AD172" i="21"/>
  <c r="AC172" i="21"/>
  <c r="AF172" i="21" s="1"/>
  <c r="W172" i="21"/>
  <c r="X172" i="21" s="1"/>
  <c r="V172" i="21"/>
  <c r="Y172" i="21" s="1"/>
  <c r="P172" i="21"/>
  <c r="AF171" i="21"/>
  <c r="AD171" i="21"/>
  <c r="AE171" i="21" s="1"/>
  <c r="AC171" i="21"/>
  <c r="X171" i="21"/>
  <c r="W171" i="21"/>
  <c r="V171" i="21"/>
  <c r="Y171" i="21" s="1"/>
  <c r="P171" i="21"/>
  <c r="AE170" i="21"/>
  <c r="AD170" i="21"/>
  <c r="AC170" i="21"/>
  <c r="AF170" i="21" s="1"/>
  <c r="Y170" i="21"/>
  <c r="X170" i="21"/>
  <c r="W170" i="21"/>
  <c r="V170" i="21"/>
  <c r="P170" i="21"/>
  <c r="AF169" i="21"/>
  <c r="AE169" i="21"/>
  <c r="AD169" i="21"/>
  <c r="AC169" i="21"/>
  <c r="X169" i="21"/>
  <c r="W169" i="21"/>
  <c r="V169" i="21"/>
  <c r="Y169" i="21" s="1"/>
  <c r="P169" i="21"/>
  <c r="AF168" i="21"/>
  <c r="AE168" i="21"/>
  <c r="AD168" i="21"/>
  <c r="AC168" i="21"/>
  <c r="W168" i="21"/>
  <c r="X168" i="21" s="1"/>
  <c r="V168" i="21"/>
  <c r="Y168" i="21" s="1"/>
  <c r="P168" i="21"/>
  <c r="AF167" i="21"/>
  <c r="AE167" i="21"/>
  <c r="AD167" i="21"/>
  <c r="AC167" i="21"/>
  <c r="X167" i="21"/>
  <c r="W167" i="21"/>
  <c r="V167" i="21"/>
  <c r="Y167" i="21" s="1"/>
  <c r="P167" i="21"/>
  <c r="AF166" i="21"/>
  <c r="AE166" i="21"/>
  <c r="AD166" i="21"/>
  <c r="AC166" i="21"/>
  <c r="W166" i="21"/>
  <c r="X166" i="21" s="1"/>
  <c r="V166" i="21"/>
  <c r="Y166" i="21" s="1"/>
  <c r="P166" i="21"/>
  <c r="AD165" i="21"/>
  <c r="AE165" i="21" s="1"/>
  <c r="AC165" i="21"/>
  <c r="AF165" i="21" s="1"/>
  <c r="W165" i="21"/>
  <c r="X165" i="21" s="1"/>
  <c r="V165" i="21"/>
  <c r="Y165" i="21" s="1"/>
  <c r="P165" i="21"/>
  <c r="AD164" i="21"/>
  <c r="AE164" i="21" s="1"/>
  <c r="AC164" i="21"/>
  <c r="AF164" i="21" s="1"/>
  <c r="Y164" i="21"/>
  <c r="X164" i="21"/>
  <c r="W164" i="21"/>
  <c r="V164" i="21"/>
  <c r="P164" i="21"/>
  <c r="AF163" i="21"/>
  <c r="AE163" i="21"/>
  <c r="AD163" i="21"/>
  <c r="AC163" i="21"/>
  <c r="Y163" i="21"/>
  <c r="X163" i="21"/>
  <c r="W163" i="21"/>
  <c r="V163" i="21"/>
  <c r="P163" i="21"/>
  <c r="AE162" i="21"/>
  <c r="AD162" i="21"/>
  <c r="AC162" i="21"/>
  <c r="AF162" i="21" s="1"/>
  <c r="W162" i="21"/>
  <c r="X162" i="21" s="1"/>
  <c r="V162" i="21"/>
  <c r="Y162" i="21" s="1"/>
  <c r="P162" i="21"/>
  <c r="AD161" i="21"/>
  <c r="AE161" i="21" s="1"/>
  <c r="AC161" i="21"/>
  <c r="AF161" i="21" s="1"/>
  <c r="W161" i="21"/>
  <c r="X161" i="21" s="1"/>
  <c r="V161" i="21"/>
  <c r="Y161" i="21" s="1"/>
  <c r="P161" i="21"/>
  <c r="AD160" i="21"/>
  <c r="AE160" i="21" s="1"/>
  <c r="AC160" i="21"/>
  <c r="AF160" i="21" s="1"/>
  <c r="X160" i="21"/>
  <c r="W160" i="21"/>
  <c r="V160" i="21"/>
  <c r="Y160" i="21" s="1"/>
  <c r="P160" i="21"/>
  <c r="AF159" i="21"/>
  <c r="AD159" i="21"/>
  <c r="AE159" i="21" s="1"/>
  <c r="AC159" i="21"/>
  <c r="X159" i="21"/>
  <c r="W159" i="21"/>
  <c r="V159" i="21"/>
  <c r="Y159" i="21" s="1"/>
  <c r="P159" i="21"/>
  <c r="AF158" i="21"/>
  <c r="AE158" i="21"/>
  <c r="AD158" i="21"/>
  <c r="AC158" i="21"/>
  <c r="W158" i="21"/>
  <c r="X158" i="21" s="1"/>
  <c r="V158" i="21"/>
  <c r="Y158" i="21" s="1"/>
  <c r="P158" i="21"/>
  <c r="AF157" i="21"/>
  <c r="AD157" i="21"/>
  <c r="AE157" i="21" s="1"/>
  <c r="AC157" i="21"/>
  <c r="W157" i="21"/>
  <c r="X157" i="21" s="1"/>
  <c r="V157" i="21"/>
  <c r="Y157" i="21" s="1"/>
  <c r="P157" i="21"/>
  <c r="AD156" i="21"/>
  <c r="AE156" i="21" s="1"/>
  <c r="AC156" i="21"/>
  <c r="AF156" i="21" s="1"/>
  <c r="Y156" i="21"/>
  <c r="W156" i="21"/>
  <c r="X156" i="21" s="1"/>
  <c r="V156" i="21"/>
  <c r="P156" i="21"/>
  <c r="AE155" i="21"/>
  <c r="AD155" i="21"/>
  <c r="AC155" i="21"/>
  <c r="AF155" i="21" s="1"/>
  <c r="Y155" i="21"/>
  <c r="X155" i="21"/>
  <c r="W155" i="21"/>
  <c r="V155" i="21"/>
  <c r="P155" i="21"/>
  <c r="AD154" i="21"/>
  <c r="AE154" i="21" s="1"/>
  <c r="AC154" i="21"/>
  <c r="AF154" i="21" s="1"/>
  <c r="Y154" i="21"/>
  <c r="W154" i="21"/>
  <c r="X154" i="21" s="1"/>
  <c r="V154" i="21"/>
  <c r="P154" i="21"/>
  <c r="AD153" i="21"/>
  <c r="AE153" i="21" s="1"/>
  <c r="AC153" i="21"/>
  <c r="AF153" i="21" s="1"/>
  <c r="W153" i="21"/>
  <c r="X153" i="21" s="1"/>
  <c r="V153" i="21"/>
  <c r="Y153" i="21" s="1"/>
  <c r="P153" i="21"/>
  <c r="AE152" i="21"/>
  <c r="AD152" i="21"/>
  <c r="AC152" i="21"/>
  <c r="AF152" i="21" s="1"/>
  <c r="Y152" i="21"/>
  <c r="X152" i="21"/>
  <c r="W152" i="21"/>
  <c r="V152" i="21"/>
  <c r="P152" i="21"/>
  <c r="AD151" i="21"/>
  <c r="AE151" i="21" s="1"/>
  <c r="AC151" i="21"/>
  <c r="AF151" i="21" s="1"/>
  <c r="X151" i="21"/>
  <c r="W151" i="21"/>
  <c r="V151" i="21"/>
  <c r="Y151" i="21" s="1"/>
  <c r="P151" i="21"/>
  <c r="AD150" i="21"/>
  <c r="AE150" i="21" s="1"/>
  <c r="AC150" i="21"/>
  <c r="AF150" i="21" s="1"/>
  <c r="W150" i="21"/>
  <c r="X150" i="21" s="1"/>
  <c r="V150" i="21"/>
  <c r="Y150" i="21" s="1"/>
  <c r="P150" i="21"/>
  <c r="AD149" i="21"/>
  <c r="AE149" i="21" s="1"/>
  <c r="AC149" i="21"/>
  <c r="AF149" i="21" s="1"/>
  <c r="X149" i="21"/>
  <c r="W149" i="21"/>
  <c r="V149" i="21"/>
  <c r="Y149" i="21" s="1"/>
  <c r="P149" i="21"/>
  <c r="AF148" i="21"/>
  <c r="AD148" i="21"/>
  <c r="AE148" i="21" s="1"/>
  <c r="AC148" i="21"/>
  <c r="W148" i="21"/>
  <c r="X148" i="21" s="1"/>
  <c r="V148" i="21"/>
  <c r="Y148" i="21" s="1"/>
  <c r="P148" i="21"/>
  <c r="AF147" i="21"/>
  <c r="AE147" i="21"/>
  <c r="AD147" i="21"/>
  <c r="AC147" i="21"/>
  <c r="W147" i="21"/>
  <c r="X147" i="21" s="1"/>
  <c r="V147" i="21"/>
  <c r="Y147" i="21" s="1"/>
  <c r="P147" i="21"/>
  <c r="AF146" i="21"/>
  <c r="AE146" i="21"/>
  <c r="AD146" i="21"/>
  <c r="AC146" i="21"/>
  <c r="X146" i="21"/>
  <c r="W146" i="21"/>
  <c r="V146" i="21"/>
  <c r="Y146" i="21" s="1"/>
  <c r="P146" i="21"/>
  <c r="AD145" i="21"/>
  <c r="AE145" i="21" s="1"/>
  <c r="AC145" i="21"/>
  <c r="AF145" i="21" s="1"/>
  <c r="Y145" i="21"/>
  <c r="W145" i="21"/>
  <c r="X145" i="21" s="1"/>
  <c r="V145" i="21"/>
  <c r="P145" i="21"/>
  <c r="AE144" i="21"/>
  <c r="AD144" i="21"/>
  <c r="AC144" i="21"/>
  <c r="AF144" i="21" s="1"/>
  <c r="Y144" i="21"/>
  <c r="X144" i="21"/>
  <c r="W144" i="21"/>
  <c r="V144" i="21"/>
  <c r="P144" i="21"/>
  <c r="AD143" i="21"/>
  <c r="AE143" i="21" s="1"/>
  <c r="AC143" i="21"/>
  <c r="AF143" i="21" s="1"/>
  <c r="X143" i="21"/>
  <c r="W143" i="21"/>
  <c r="V143" i="21"/>
  <c r="Y143" i="21" s="1"/>
  <c r="P143" i="21"/>
  <c r="AD142" i="21"/>
  <c r="AE142" i="21" s="1"/>
  <c r="AC142" i="21"/>
  <c r="AF142" i="21" s="1"/>
  <c r="Y142" i="21"/>
  <c r="W142" i="21"/>
  <c r="X142" i="21" s="1"/>
  <c r="V142" i="21"/>
  <c r="P142" i="21"/>
  <c r="AE141" i="21"/>
  <c r="AD141" i="21"/>
  <c r="AC141" i="21"/>
  <c r="AF141" i="21" s="1"/>
  <c r="X141" i="21"/>
  <c r="W141" i="21"/>
  <c r="V141" i="21"/>
  <c r="Y141" i="21" s="1"/>
  <c r="P141" i="21"/>
  <c r="AF140" i="21"/>
  <c r="AD140" i="21"/>
  <c r="AE140" i="21" s="1"/>
  <c r="AC140" i="21"/>
  <c r="W140" i="21"/>
  <c r="X140" i="21" s="1"/>
  <c r="V140" i="21"/>
  <c r="Y140" i="21" s="1"/>
  <c r="P140" i="21"/>
  <c r="AF139" i="21"/>
  <c r="AE139" i="21"/>
  <c r="AD139" i="21"/>
  <c r="AC139" i="21"/>
  <c r="W139" i="21"/>
  <c r="X139" i="21" s="1"/>
  <c r="V139" i="21"/>
  <c r="Y139" i="21" s="1"/>
  <c r="P139" i="21"/>
  <c r="AF138" i="21"/>
  <c r="AE138" i="21"/>
  <c r="AD138" i="21"/>
  <c r="AC138" i="21"/>
  <c r="X138" i="21"/>
  <c r="W138" i="21"/>
  <c r="V138" i="21"/>
  <c r="Y138" i="21" s="1"/>
  <c r="P138" i="21"/>
  <c r="AF137" i="21"/>
  <c r="AD137" i="21"/>
  <c r="AE137" i="21" s="1"/>
  <c r="AC137" i="21"/>
  <c r="Y137" i="21"/>
  <c r="W137" i="21"/>
  <c r="X137" i="21" s="1"/>
  <c r="V137" i="21"/>
  <c r="P137" i="21"/>
  <c r="AE136" i="21"/>
  <c r="AD136" i="21"/>
  <c r="AC136" i="21"/>
  <c r="AF136" i="21" s="1"/>
  <c r="Y136" i="21"/>
  <c r="X136" i="21"/>
  <c r="W136" i="21"/>
  <c r="V136" i="21"/>
  <c r="P136" i="21"/>
  <c r="AD135" i="21"/>
  <c r="AE135" i="21" s="1"/>
  <c r="AC135" i="21"/>
  <c r="AF135" i="21" s="1"/>
  <c r="Y135" i="21"/>
  <c r="X135" i="21"/>
  <c r="W135" i="21"/>
  <c r="V135" i="21"/>
  <c r="P135" i="21"/>
  <c r="AD134" i="21"/>
  <c r="AE134" i="21" s="1"/>
  <c r="AC134" i="21"/>
  <c r="AF134" i="21" s="1"/>
  <c r="W134" i="21"/>
  <c r="X134" i="21" s="1"/>
  <c r="V134" i="21"/>
  <c r="Y134" i="21" s="1"/>
  <c r="P134" i="21"/>
  <c r="AE133" i="21"/>
  <c r="AD133" i="21"/>
  <c r="AC133" i="21"/>
  <c r="AF133" i="21" s="1"/>
  <c r="X133" i="21"/>
  <c r="W133" i="21"/>
  <c r="V133" i="21"/>
  <c r="Y133" i="21" s="1"/>
  <c r="P133" i="21"/>
  <c r="AF132" i="21"/>
  <c r="AD132" i="21"/>
  <c r="AE132" i="21" s="1"/>
  <c r="AC132" i="21"/>
  <c r="W132" i="21"/>
  <c r="X132" i="21" s="1"/>
  <c r="V132" i="21"/>
  <c r="Y132" i="21" s="1"/>
  <c r="P132" i="21"/>
  <c r="AF131" i="21"/>
  <c r="AE131" i="21"/>
  <c r="AD131" i="21"/>
  <c r="AC131" i="21"/>
  <c r="W131" i="21"/>
  <c r="X131" i="21" s="1"/>
  <c r="V131" i="21"/>
  <c r="Y131" i="21" s="1"/>
  <c r="P131" i="21"/>
  <c r="AF130" i="21"/>
  <c r="AE130" i="21"/>
  <c r="AD130" i="21"/>
  <c r="AC130" i="21"/>
  <c r="X130" i="21"/>
  <c r="W130" i="21"/>
  <c r="V130" i="21"/>
  <c r="Y130" i="21" s="1"/>
  <c r="P130" i="21"/>
  <c r="AF129" i="21"/>
  <c r="AD129" i="21"/>
  <c r="AE129" i="21" s="1"/>
  <c r="AC129" i="21"/>
  <c r="Y129" i="21"/>
  <c r="W129" i="21"/>
  <c r="X129" i="21" s="1"/>
  <c r="V129" i="21"/>
  <c r="P129" i="21"/>
  <c r="AE128" i="21"/>
  <c r="AD128" i="21"/>
  <c r="AC128" i="21"/>
  <c r="AF128" i="21" s="1"/>
  <c r="Y128" i="21"/>
  <c r="X128" i="21"/>
  <c r="W128" i="21"/>
  <c r="V128" i="21"/>
  <c r="P128" i="21"/>
  <c r="AF127" i="21"/>
  <c r="AD127" i="21"/>
  <c r="AE127" i="21" s="1"/>
  <c r="AC127" i="21"/>
  <c r="X127" i="21"/>
  <c r="W127" i="21"/>
  <c r="V127" i="21"/>
  <c r="Y127" i="21" s="1"/>
  <c r="P127" i="21"/>
  <c r="AE126" i="21"/>
  <c r="AD126" i="21"/>
  <c r="AC126" i="21"/>
  <c r="AF126" i="21" s="1"/>
  <c r="Y126" i="21"/>
  <c r="W126" i="21"/>
  <c r="X126" i="21" s="1"/>
  <c r="V126" i="21"/>
  <c r="P126" i="21"/>
  <c r="AD125" i="21"/>
  <c r="AE125" i="21" s="1"/>
  <c r="AC125" i="21"/>
  <c r="AF125" i="21" s="1"/>
  <c r="X125" i="21"/>
  <c r="W125" i="21"/>
  <c r="V125" i="21"/>
  <c r="Y125" i="21" s="1"/>
  <c r="P125" i="21"/>
  <c r="AF124" i="21"/>
  <c r="AE124" i="21"/>
  <c r="AD124" i="21"/>
  <c r="AC124" i="21"/>
  <c r="W124" i="21"/>
  <c r="X124" i="21" s="1"/>
  <c r="V124" i="21"/>
  <c r="Y124" i="21" s="1"/>
  <c r="P124" i="21"/>
  <c r="AF123" i="21"/>
  <c r="AE123" i="21"/>
  <c r="AD123" i="21"/>
  <c r="AC123" i="21"/>
  <c r="W123" i="21"/>
  <c r="X123" i="21" s="1"/>
  <c r="V123" i="21"/>
  <c r="Y123" i="21" s="1"/>
  <c r="P123" i="21"/>
  <c r="AD122" i="21"/>
  <c r="AE122" i="21" s="1"/>
  <c r="AC122" i="21"/>
  <c r="AF122" i="21" s="1"/>
  <c r="Y122" i="21"/>
  <c r="X122" i="21"/>
  <c r="W122" i="21"/>
  <c r="V122" i="21"/>
  <c r="P122" i="21"/>
  <c r="AE121" i="21"/>
  <c r="AD121" i="21"/>
  <c r="AC121" i="21"/>
  <c r="AF121" i="21" s="1"/>
  <c r="Y121" i="21"/>
  <c r="W121" i="21"/>
  <c r="X121" i="21" s="1"/>
  <c r="V121" i="21"/>
  <c r="P121" i="21"/>
  <c r="AD120" i="21"/>
  <c r="AE120" i="21" s="1"/>
  <c r="AC120" i="21"/>
  <c r="AF120" i="21" s="1"/>
  <c r="X120" i="21"/>
  <c r="W120" i="21"/>
  <c r="V120" i="21"/>
  <c r="Y120" i="21" s="1"/>
  <c r="P120" i="21"/>
  <c r="AD119" i="21"/>
  <c r="AE119" i="21" s="1"/>
  <c r="AC119" i="21"/>
  <c r="AF119" i="21" s="1"/>
  <c r="W119" i="21"/>
  <c r="X119" i="21" s="1"/>
  <c r="V119" i="21"/>
  <c r="Y119" i="21" s="1"/>
  <c r="P119" i="21"/>
  <c r="AF118" i="21"/>
  <c r="AD118" i="21"/>
  <c r="AE118" i="21" s="1"/>
  <c r="AC118" i="21"/>
  <c r="W118" i="21"/>
  <c r="X118" i="21" s="1"/>
  <c r="V118" i="21"/>
  <c r="Y118" i="21" s="1"/>
  <c r="P118" i="21"/>
  <c r="AF117" i="21"/>
  <c r="AE117" i="21"/>
  <c r="AD117" i="21"/>
  <c r="AC117" i="21"/>
  <c r="W117" i="21"/>
  <c r="X117" i="21" s="1"/>
  <c r="V117" i="21"/>
  <c r="Y117" i="21" s="1"/>
  <c r="P117" i="21"/>
  <c r="AF116" i="21"/>
  <c r="AD116" i="21"/>
  <c r="AE116" i="21" s="1"/>
  <c r="AC116" i="21"/>
  <c r="W116" i="21"/>
  <c r="X116" i="21" s="1"/>
  <c r="V116" i="21"/>
  <c r="Y116" i="21" s="1"/>
  <c r="P116" i="21"/>
  <c r="AE115" i="21"/>
  <c r="AD115" i="21"/>
  <c r="AC115" i="21"/>
  <c r="AF115" i="21" s="1"/>
  <c r="Y115" i="21"/>
  <c r="W115" i="21"/>
  <c r="X115" i="21" s="1"/>
  <c r="V115" i="21"/>
  <c r="P115" i="21"/>
  <c r="AD114" i="21"/>
  <c r="AE114" i="21" s="1"/>
  <c r="AC114" i="21"/>
  <c r="AF114" i="21" s="1"/>
  <c r="Y114" i="21"/>
  <c r="X114" i="21"/>
  <c r="W114" i="21"/>
  <c r="V114" i="21"/>
  <c r="P114" i="21"/>
  <c r="AD113" i="21"/>
  <c r="AE113" i="21" s="1"/>
  <c r="AC113" i="21"/>
  <c r="AF113" i="21" s="1"/>
  <c r="Y113" i="21"/>
  <c r="W113" i="21"/>
  <c r="X113" i="21" s="1"/>
  <c r="V113" i="21"/>
  <c r="P113" i="21"/>
  <c r="AD112" i="21"/>
  <c r="AE112" i="21" s="1"/>
  <c r="AC112" i="21"/>
  <c r="AF112" i="21" s="1"/>
  <c r="X112" i="21"/>
  <c r="W112" i="21"/>
  <c r="V112" i="21"/>
  <c r="Y112" i="21" s="1"/>
  <c r="P112" i="21"/>
  <c r="AD111" i="21"/>
  <c r="AE111" i="21" s="1"/>
  <c r="AC111" i="21"/>
  <c r="AF111" i="21" s="1"/>
  <c r="W111" i="21"/>
  <c r="X111" i="21" s="1"/>
  <c r="V111" i="21"/>
  <c r="Y111" i="21" s="1"/>
  <c r="P111" i="21"/>
  <c r="AF110" i="21"/>
  <c r="AD110" i="21"/>
  <c r="AE110" i="21" s="1"/>
  <c r="AC110" i="21"/>
  <c r="W110" i="21"/>
  <c r="X110" i="21" s="1"/>
  <c r="V110" i="21"/>
  <c r="Y110" i="21" s="1"/>
  <c r="P110" i="21"/>
  <c r="AF109" i="21"/>
  <c r="AE109" i="21"/>
  <c r="AD109" i="21"/>
  <c r="AC109" i="21"/>
  <c r="X109" i="21"/>
  <c r="W109" i="21"/>
  <c r="V109" i="21"/>
  <c r="Y109" i="21" s="1"/>
  <c r="P109" i="21"/>
  <c r="AF108" i="21"/>
  <c r="AD108" i="21"/>
  <c r="AE108" i="21" s="1"/>
  <c r="AC108" i="21"/>
  <c r="W108" i="21"/>
  <c r="X108" i="21" s="1"/>
  <c r="V108" i="21"/>
  <c r="Y108" i="21" s="1"/>
  <c r="P108" i="21"/>
  <c r="AE107" i="21"/>
  <c r="AD107" i="21"/>
  <c r="AC107" i="21"/>
  <c r="AF107" i="21" s="1"/>
  <c r="Y107" i="21"/>
  <c r="W107" i="21"/>
  <c r="X107" i="21" s="1"/>
  <c r="V107" i="21"/>
  <c r="P107" i="21"/>
  <c r="AD106" i="21"/>
  <c r="AE106" i="21" s="1"/>
  <c r="AC106" i="21"/>
  <c r="AF106" i="21" s="1"/>
  <c r="Y106" i="21"/>
  <c r="X106" i="21"/>
  <c r="W106" i="21"/>
  <c r="V106" i="21"/>
  <c r="P106" i="21"/>
  <c r="AD105" i="21"/>
  <c r="AE105" i="21" s="1"/>
  <c r="AC105" i="21"/>
  <c r="AF105" i="21" s="1"/>
  <c r="Y105" i="21"/>
  <c r="W105" i="21"/>
  <c r="X105" i="21" s="1"/>
  <c r="V105" i="21"/>
  <c r="P105" i="21"/>
  <c r="AD104" i="21"/>
  <c r="AE104" i="21" s="1"/>
  <c r="AC104" i="21"/>
  <c r="AF104" i="21" s="1"/>
  <c r="W104" i="21"/>
  <c r="X104" i="21" s="1"/>
  <c r="V104" i="21"/>
  <c r="Y104" i="21" s="1"/>
  <c r="P104" i="21"/>
  <c r="AD103" i="21"/>
  <c r="AE103" i="21" s="1"/>
  <c r="AC103" i="21"/>
  <c r="AF103" i="21" s="1"/>
  <c r="W103" i="21"/>
  <c r="X103" i="21" s="1"/>
  <c r="V103" i="21"/>
  <c r="Y103" i="21" s="1"/>
  <c r="P103" i="21"/>
  <c r="AF102" i="21"/>
  <c r="AD102" i="21"/>
  <c r="AE102" i="21" s="1"/>
  <c r="AC102" i="21"/>
  <c r="W102" i="21"/>
  <c r="X102" i="21" s="1"/>
  <c r="V102" i="21"/>
  <c r="Y102" i="21" s="1"/>
  <c r="P102" i="21"/>
  <c r="AF101" i="21"/>
  <c r="AE101" i="21"/>
  <c r="AD101" i="21"/>
  <c r="AC101" i="21"/>
  <c r="W101" i="21"/>
  <c r="X101" i="21" s="1"/>
  <c r="V101" i="21"/>
  <c r="Y101" i="21" s="1"/>
  <c r="P101" i="21"/>
  <c r="AF100" i="21"/>
  <c r="AD100" i="21"/>
  <c r="AE100" i="21" s="1"/>
  <c r="AC100" i="21"/>
  <c r="W100" i="21"/>
  <c r="X100" i="21" s="1"/>
  <c r="V100" i="21"/>
  <c r="Y100" i="21" s="1"/>
  <c r="P100" i="21"/>
  <c r="AD99" i="21"/>
  <c r="AE99" i="21" s="1"/>
  <c r="AC99" i="21"/>
  <c r="AF99" i="21" s="1"/>
  <c r="Y99" i="21"/>
  <c r="W99" i="21"/>
  <c r="X99" i="21" s="1"/>
  <c r="V99" i="21"/>
  <c r="P99" i="21"/>
  <c r="AD98" i="21"/>
  <c r="AE98" i="21" s="1"/>
  <c r="AC98" i="21"/>
  <c r="AF98" i="21" s="1"/>
  <c r="Y98" i="21"/>
  <c r="X98" i="21"/>
  <c r="W98" i="21"/>
  <c r="V98" i="21"/>
  <c r="P98" i="21"/>
  <c r="AD97" i="21"/>
  <c r="AE97" i="21" s="1"/>
  <c r="AC97" i="21"/>
  <c r="AF97" i="21" s="1"/>
  <c r="Y97" i="21"/>
  <c r="W97" i="21"/>
  <c r="X97" i="21" s="1"/>
  <c r="V97" i="21"/>
  <c r="P97" i="21"/>
  <c r="AD96" i="21"/>
  <c r="AE96" i="21" s="1"/>
  <c r="AC96" i="21"/>
  <c r="AF96" i="21" s="1"/>
  <c r="W96" i="21"/>
  <c r="X96" i="21" s="1"/>
  <c r="V96" i="21"/>
  <c r="Y96" i="21" s="1"/>
  <c r="P96" i="21"/>
  <c r="AD95" i="21"/>
  <c r="AE95" i="21" s="1"/>
  <c r="AC95" i="21"/>
  <c r="AF95" i="21" s="1"/>
  <c r="W95" i="21"/>
  <c r="X95" i="21" s="1"/>
  <c r="V95" i="21"/>
  <c r="Y95" i="21" s="1"/>
  <c r="P95" i="21"/>
  <c r="AF94" i="21"/>
  <c r="AD94" i="21"/>
  <c r="AE94" i="21" s="1"/>
  <c r="AC94" i="21"/>
  <c r="W94" i="21"/>
  <c r="X94" i="21" s="1"/>
  <c r="V94" i="21"/>
  <c r="Y94" i="21" s="1"/>
  <c r="P94" i="21"/>
  <c r="AF93" i="21"/>
  <c r="AE93" i="21"/>
  <c r="AD93" i="21"/>
  <c r="AC93" i="21"/>
  <c r="W93" i="21"/>
  <c r="X93" i="21" s="1"/>
  <c r="V93" i="21"/>
  <c r="Y93" i="21" s="1"/>
  <c r="P93" i="21"/>
  <c r="AF92" i="21"/>
  <c r="AD92" i="21"/>
  <c r="AE92" i="21" s="1"/>
  <c r="AC92" i="21"/>
  <c r="W92" i="21"/>
  <c r="X92" i="21" s="1"/>
  <c r="V92" i="21"/>
  <c r="Y92" i="21" s="1"/>
  <c r="P92" i="21"/>
  <c r="AD91" i="21"/>
  <c r="AE91" i="21" s="1"/>
  <c r="AC91" i="21"/>
  <c r="AF91" i="21" s="1"/>
  <c r="Y91" i="21"/>
  <c r="X91" i="21"/>
  <c r="W91" i="21"/>
  <c r="V91" i="21"/>
  <c r="P91" i="21"/>
  <c r="AD90" i="21"/>
  <c r="AE90" i="21" s="1"/>
  <c r="AC90" i="21"/>
  <c r="AF90" i="21" s="1"/>
  <c r="Y90" i="21"/>
  <c r="X90" i="21"/>
  <c r="W90" i="21"/>
  <c r="V90" i="21"/>
  <c r="P90" i="21"/>
  <c r="AD89" i="21"/>
  <c r="AE89" i="21" s="1"/>
  <c r="AC89" i="21"/>
  <c r="AF89" i="21" s="1"/>
  <c r="Y89" i="21"/>
  <c r="W89" i="21"/>
  <c r="X89" i="21" s="1"/>
  <c r="V89" i="21"/>
  <c r="P89" i="21"/>
  <c r="AE88" i="21"/>
  <c r="AD88" i="21"/>
  <c r="AC88" i="21"/>
  <c r="AF88" i="21" s="1"/>
  <c r="W88" i="21"/>
  <c r="X88" i="21" s="1"/>
  <c r="V88" i="21"/>
  <c r="Y88" i="21" s="1"/>
  <c r="P88" i="21"/>
  <c r="AF87" i="21"/>
  <c r="AE87" i="21"/>
  <c r="AD87" i="21"/>
  <c r="AC87" i="21"/>
  <c r="W87" i="21"/>
  <c r="X87" i="21" s="1"/>
  <c r="V87" i="21"/>
  <c r="Y87" i="21" s="1"/>
  <c r="P87" i="21"/>
  <c r="AF86" i="21"/>
  <c r="AE86" i="21"/>
  <c r="AD86" i="21"/>
  <c r="AC86" i="21"/>
  <c r="X86" i="21"/>
  <c r="W86" i="21"/>
  <c r="V86" i="21"/>
  <c r="Y86" i="21" s="1"/>
  <c r="P86" i="21"/>
  <c r="AF85" i="21"/>
  <c r="AE85" i="21"/>
  <c r="AD85" i="21"/>
  <c r="AC85" i="21"/>
  <c r="W85" i="21"/>
  <c r="X85" i="21" s="1"/>
  <c r="V85" i="21"/>
  <c r="Y85" i="21" s="1"/>
  <c r="P85" i="21"/>
  <c r="AF84" i="21"/>
  <c r="AE84" i="21"/>
  <c r="AD84" i="21"/>
  <c r="AC84" i="21"/>
  <c r="X84" i="21"/>
  <c r="W84" i="21"/>
  <c r="V84" i="21"/>
  <c r="Y84" i="21" s="1"/>
  <c r="P84" i="21"/>
  <c r="AD83" i="21"/>
  <c r="AE83" i="21" s="1"/>
  <c r="AC83" i="21"/>
  <c r="AF83" i="21" s="1"/>
  <c r="W83" i="21"/>
  <c r="X83" i="21" s="1"/>
  <c r="V83" i="21"/>
  <c r="Y83" i="21" s="1"/>
  <c r="P83" i="21"/>
  <c r="AD82" i="21"/>
  <c r="AE82" i="21" s="1"/>
  <c r="AC82" i="21"/>
  <c r="AF82" i="21" s="1"/>
  <c r="Y82" i="21"/>
  <c r="X82" i="21"/>
  <c r="W82" i="21"/>
  <c r="V82" i="21"/>
  <c r="P82" i="21"/>
  <c r="AF81" i="21"/>
  <c r="AD81" i="21"/>
  <c r="AE81" i="21" s="1"/>
  <c r="AC81" i="21"/>
  <c r="Y81" i="21"/>
  <c r="X81" i="21"/>
  <c r="W81" i="21"/>
  <c r="V81" i="21"/>
  <c r="P81" i="21"/>
  <c r="AF80" i="21"/>
  <c r="AE80" i="21"/>
  <c r="AD80" i="21"/>
  <c r="AC80" i="21"/>
  <c r="W80" i="21"/>
  <c r="X80" i="21" s="1"/>
  <c r="V80" i="21"/>
  <c r="Y80" i="21" s="1"/>
  <c r="P80" i="21"/>
  <c r="AE79" i="21"/>
  <c r="AD79" i="21"/>
  <c r="AC79" i="21"/>
  <c r="AF79" i="21" s="1"/>
  <c r="X79" i="21"/>
  <c r="W79" i="21"/>
  <c r="V79" i="21"/>
  <c r="Y79" i="21" s="1"/>
  <c r="P79" i="21"/>
  <c r="AD78" i="21"/>
  <c r="AE78" i="21" s="1"/>
  <c r="AC78" i="21"/>
  <c r="AF78" i="21" s="1"/>
  <c r="Y78" i="21"/>
  <c r="W78" i="21"/>
  <c r="X78" i="21" s="1"/>
  <c r="V78" i="21"/>
  <c r="P78" i="21"/>
  <c r="AF77" i="21"/>
  <c r="AE77" i="21"/>
  <c r="AD77" i="21"/>
  <c r="AC77" i="21"/>
  <c r="Y77" i="21"/>
  <c r="X77" i="21"/>
  <c r="W77" i="21"/>
  <c r="V77" i="21"/>
  <c r="P77" i="21"/>
  <c r="AF76" i="21"/>
  <c r="AE76" i="21"/>
  <c r="AD76" i="21"/>
  <c r="AC76" i="21"/>
  <c r="X76" i="21"/>
  <c r="W76" i="21"/>
  <c r="V76" i="21"/>
  <c r="Y76" i="21" s="1"/>
  <c r="P76" i="21"/>
  <c r="AD75" i="21"/>
  <c r="AE75" i="21" s="1"/>
  <c r="AC75" i="21"/>
  <c r="AF75" i="21" s="1"/>
  <c r="W75" i="21"/>
  <c r="X75" i="21" s="1"/>
  <c r="V75" i="21"/>
  <c r="Y75" i="21" s="1"/>
  <c r="P75" i="21"/>
  <c r="AD74" i="21"/>
  <c r="AE74" i="21" s="1"/>
  <c r="AC74" i="21"/>
  <c r="AF74" i="21" s="1"/>
  <c r="X74" i="21"/>
  <c r="W74" i="21"/>
  <c r="V74" i="21"/>
  <c r="Y74" i="21" s="1"/>
  <c r="P74" i="21"/>
  <c r="AF73" i="21"/>
  <c r="AD73" i="21"/>
  <c r="AE73" i="21" s="1"/>
  <c r="AC73" i="21"/>
  <c r="Y73" i="21"/>
  <c r="X73" i="21"/>
  <c r="W73" i="21"/>
  <c r="V73" i="21"/>
  <c r="P73" i="21"/>
  <c r="AF72" i="21"/>
  <c r="AE72" i="21"/>
  <c r="AD72" i="21"/>
  <c r="AC72" i="21"/>
  <c r="W72" i="21"/>
  <c r="X72" i="21" s="1"/>
  <c r="V72" i="21"/>
  <c r="Y72" i="21" s="1"/>
  <c r="P72" i="21"/>
  <c r="AE71" i="21"/>
  <c r="AD71" i="21"/>
  <c r="AC71" i="21"/>
  <c r="AF71" i="21" s="1"/>
  <c r="W71" i="21"/>
  <c r="X71" i="21" s="1"/>
  <c r="V71" i="21"/>
  <c r="Y71" i="21" s="1"/>
  <c r="P71" i="21"/>
  <c r="AF70" i="21"/>
  <c r="AD70" i="21"/>
  <c r="AE70" i="21" s="1"/>
  <c r="AC70" i="21"/>
  <c r="W70" i="21"/>
  <c r="X70" i="21" s="1"/>
  <c r="V70" i="21"/>
  <c r="Y70" i="21" s="1"/>
  <c r="P70" i="21"/>
  <c r="AF69" i="21"/>
  <c r="AE69" i="21"/>
  <c r="AD69" i="21"/>
  <c r="AC69" i="21"/>
  <c r="Y69" i="21"/>
  <c r="X69" i="21"/>
  <c r="W69" i="21"/>
  <c r="V69" i="21"/>
  <c r="P69" i="21"/>
  <c r="AF68" i="21"/>
  <c r="AE68" i="21"/>
  <c r="AD68" i="21"/>
  <c r="AC68" i="21"/>
  <c r="X68" i="21"/>
  <c r="W68" i="21"/>
  <c r="V68" i="21"/>
  <c r="Y68" i="21" s="1"/>
  <c r="P68" i="21"/>
  <c r="AD67" i="21"/>
  <c r="AE67" i="21" s="1"/>
  <c r="AC67" i="21"/>
  <c r="AF67" i="21" s="1"/>
  <c r="Y67" i="21"/>
  <c r="W67" i="21"/>
  <c r="X67" i="21" s="1"/>
  <c r="V67" i="21"/>
  <c r="P67" i="21"/>
  <c r="AD66" i="21"/>
  <c r="AE66" i="21" s="1"/>
  <c r="AC66" i="21"/>
  <c r="AF66" i="21" s="1"/>
  <c r="Y66" i="21"/>
  <c r="X66" i="21"/>
  <c r="W66" i="21"/>
  <c r="V66" i="21"/>
  <c r="P66" i="21"/>
  <c r="AD65" i="21"/>
  <c r="AE65" i="21" s="1"/>
  <c r="AC65" i="21"/>
  <c r="AF65" i="21" s="1"/>
  <c r="Y65" i="21"/>
  <c r="X65" i="21"/>
  <c r="W65" i="21"/>
  <c r="V65" i="21"/>
  <c r="P65" i="21"/>
  <c r="AF64" i="21"/>
  <c r="AD64" i="21"/>
  <c r="AE64" i="21" s="1"/>
  <c r="AC64" i="21"/>
  <c r="W64" i="21"/>
  <c r="X64" i="21" s="1"/>
  <c r="V64" i="21"/>
  <c r="Y64" i="21" s="1"/>
  <c r="P64" i="21"/>
  <c r="AE63" i="21"/>
  <c r="AD63" i="21"/>
  <c r="AC63" i="21"/>
  <c r="AF63" i="21" s="1"/>
  <c r="W63" i="21"/>
  <c r="X63" i="21" s="1"/>
  <c r="V63" i="21"/>
  <c r="Y63" i="21" s="1"/>
  <c r="P63" i="21"/>
  <c r="AF62" i="21"/>
  <c r="AD62" i="21"/>
  <c r="AE62" i="21" s="1"/>
  <c r="AC62" i="21"/>
  <c r="W62" i="21"/>
  <c r="X62" i="21" s="1"/>
  <c r="V62" i="21"/>
  <c r="Y62" i="21" s="1"/>
  <c r="P62" i="21"/>
  <c r="AF61" i="21"/>
  <c r="AE61" i="21"/>
  <c r="AD61" i="21"/>
  <c r="AC61" i="21"/>
  <c r="Y61" i="21"/>
  <c r="W61" i="21"/>
  <c r="X61" i="21" s="1"/>
  <c r="V61" i="21"/>
  <c r="P61" i="21"/>
  <c r="AF60" i="21"/>
  <c r="AE60" i="21"/>
  <c r="AD60" i="21"/>
  <c r="AC60" i="21"/>
  <c r="X60" i="21"/>
  <c r="W60" i="21"/>
  <c r="V60" i="21"/>
  <c r="Y60" i="21" s="1"/>
  <c r="P60" i="21"/>
  <c r="AD59" i="21"/>
  <c r="AE59" i="21" s="1"/>
  <c r="AC59" i="21"/>
  <c r="AF59" i="21" s="1"/>
  <c r="Y59" i="21"/>
  <c r="W59" i="21"/>
  <c r="X59" i="21" s="1"/>
  <c r="V59" i="21"/>
  <c r="P59" i="21"/>
  <c r="AD58" i="21"/>
  <c r="AE58" i="21" s="1"/>
  <c r="AC58" i="21"/>
  <c r="AF58" i="21" s="1"/>
  <c r="X58" i="21"/>
  <c r="W58" i="21"/>
  <c r="V58" i="21"/>
  <c r="Y58" i="21" s="1"/>
  <c r="P58" i="21"/>
  <c r="AD57" i="21"/>
  <c r="AE57" i="21" s="1"/>
  <c r="AC57" i="21"/>
  <c r="AF57" i="21" s="1"/>
  <c r="Y57" i="21"/>
  <c r="X57" i="21"/>
  <c r="W57" i="21"/>
  <c r="V57" i="21"/>
  <c r="P57" i="21"/>
  <c r="AF56" i="21"/>
  <c r="AD56" i="21"/>
  <c r="AE56" i="21" s="1"/>
  <c r="AC56" i="21"/>
  <c r="W56" i="21"/>
  <c r="X56" i="21" s="1"/>
  <c r="V56" i="21"/>
  <c r="Y56" i="21" s="1"/>
  <c r="P56" i="21"/>
  <c r="AE55" i="21"/>
  <c r="AD55" i="21"/>
  <c r="AC55" i="21"/>
  <c r="AF55" i="21" s="1"/>
  <c r="W55" i="21"/>
  <c r="X55" i="21" s="1"/>
  <c r="V55" i="21"/>
  <c r="Y55" i="21" s="1"/>
  <c r="P55" i="21"/>
  <c r="AF54" i="21"/>
  <c r="AD54" i="21"/>
  <c r="AE54" i="21" s="1"/>
  <c r="AC54" i="21"/>
  <c r="W54" i="21"/>
  <c r="X54" i="21" s="1"/>
  <c r="V54" i="21"/>
  <c r="Y54" i="21" s="1"/>
  <c r="P54" i="21"/>
  <c r="AE53" i="21"/>
  <c r="AD53" i="21"/>
  <c r="AC53" i="21"/>
  <c r="AF53" i="21" s="1"/>
  <c r="Y53" i="21"/>
  <c r="W53" i="21"/>
  <c r="X53" i="21" s="1"/>
  <c r="V53" i="21"/>
  <c r="P53" i="21"/>
  <c r="AF52" i="21"/>
  <c r="AE52" i="21"/>
  <c r="AD52" i="21"/>
  <c r="AC52" i="21"/>
  <c r="X52" i="21"/>
  <c r="W52" i="21"/>
  <c r="V52" i="21"/>
  <c r="Y52" i="21" s="1"/>
  <c r="P52" i="21"/>
  <c r="AD51" i="21"/>
  <c r="AE51" i="21" s="1"/>
  <c r="AC51" i="21"/>
  <c r="AF51" i="21" s="1"/>
  <c r="Y51" i="21"/>
  <c r="W51" i="21"/>
  <c r="X51" i="21" s="1"/>
  <c r="V51" i="21"/>
  <c r="P51" i="21"/>
  <c r="AD50" i="21"/>
  <c r="AE50" i="21" s="1"/>
  <c r="AC50" i="21"/>
  <c r="AF50" i="21" s="1"/>
  <c r="X50" i="21"/>
  <c r="W50" i="21"/>
  <c r="V50" i="21"/>
  <c r="Y50" i="21" s="1"/>
  <c r="P50" i="21"/>
  <c r="AD49" i="21"/>
  <c r="AE49" i="21" s="1"/>
  <c r="AC49" i="21"/>
  <c r="AF49" i="21" s="1"/>
  <c r="Y49" i="21"/>
  <c r="X49" i="21"/>
  <c r="W49" i="21"/>
  <c r="V49" i="21"/>
  <c r="P49" i="21"/>
  <c r="AF48" i="21"/>
  <c r="AE48" i="21"/>
  <c r="AD48" i="21"/>
  <c r="AC48" i="21"/>
  <c r="W48" i="21"/>
  <c r="X48" i="21" s="1"/>
  <c r="V48" i="21"/>
  <c r="Y48" i="21" s="1"/>
  <c r="P48" i="21"/>
  <c r="AE47" i="21"/>
  <c r="AD47" i="21"/>
  <c r="AC47" i="21"/>
  <c r="AF47" i="21" s="1"/>
  <c r="W47" i="21"/>
  <c r="X47" i="21" s="1"/>
  <c r="V47" i="21"/>
  <c r="Y47" i="21" s="1"/>
  <c r="P47" i="21"/>
  <c r="AF46" i="21"/>
  <c r="AD46" i="21"/>
  <c r="AE46" i="21" s="1"/>
  <c r="AC46" i="21"/>
  <c r="W46" i="21"/>
  <c r="X46" i="21" s="1"/>
  <c r="V46" i="21"/>
  <c r="Y46" i="21" s="1"/>
  <c r="P46" i="21"/>
  <c r="AE45" i="21"/>
  <c r="AD45" i="21"/>
  <c r="AC45" i="21"/>
  <c r="AF45" i="21" s="1"/>
  <c r="Y45" i="21"/>
  <c r="W45" i="21"/>
  <c r="X45" i="21" s="1"/>
  <c r="V45" i="21"/>
  <c r="P45" i="21"/>
  <c r="AF44" i="21"/>
  <c r="AE44" i="21"/>
  <c r="AD44" i="21"/>
  <c r="AC44" i="21"/>
  <c r="Y44" i="21"/>
  <c r="X44" i="21"/>
  <c r="W44" i="21"/>
  <c r="V44" i="21"/>
  <c r="P44" i="21"/>
  <c r="AD43" i="21"/>
  <c r="AE43" i="21" s="1"/>
  <c r="AC43" i="21"/>
  <c r="AF43" i="21" s="1"/>
  <c r="Y43" i="21"/>
  <c r="W43" i="21"/>
  <c r="X43" i="21" s="1"/>
  <c r="V43" i="21"/>
  <c r="P43" i="21"/>
  <c r="AD42" i="21"/>
  <c r="AE42" i="21" s="1"/>
  <c r="AC42" i="21"/>
  <c r="AF42" i="21" s="1"/>
  <c r="X42" i="21"/>
  <c r="W42" i="21"/>
  <c r="V42" i="21"/>
  <c r="Y42" i="21" s="1"/>
  <c r="P42" i="21"/>
  <c r="AD41" i="21"/>
  <c r="AE41" i="21" s="1"/>
  <c r="AC41" i="21"/>
  <c r="AF41" i="21" s="1"/>
  <c r="Y41" i="21"/>
  <c r="X41" i="21"/>
  <c r="W41" i="21"/>
  <c r="V41" i="21"/>
  <c r="P41" i="21"/>
  <c r="AF40" i="21"/>
  <c r="AD40" i="21"/>
  <c r="AE40" i="21" s="1"/>
  <c r="AC40" i="21"/>
  <c r="W40" i="21"/>
  <c r="X40" i="21" s="1"/>
  <c r="V40" i="21"/>
  <c r="Y40" i="21" s="1"/>
  <c r="P40" i="21"/>
  <c r="AE39" i="21"/>
  <c r="AD39" i="21"/>
  <c r="AC39" i="21"/>
  <c r="AF39" i="21" s="1"/>
  <c r="W39" i="21"/>
  <c r="X39" i="21" s="1"/>
  <c r="V39" i="21"/>
  <c r="Y39" i="21" s="1"/>
  <c r="P39" i="21"/>
  <c r="AF38" i="21"/>
  <c r="AD38" i="21"/>
  <c r="AE38" i="21" s="1"/>
  <c r="AC38" i="21"/>
  <c r="X38" i="21"/>
  <c r="W38" i="21"/>
  <c r="V38" i="21"/>
  <c r="Y38" i="21" s="1"/>
  <c r="P38" i="21"/>
  <c r="AE37" i="21"/>
  <c r="AD37" i="21"/>
  <c r="AC37" i="21"/>
  <c r="AF37" i="21" s="1"/>
  <c r="Y37" i="21"/>
  <c r="X37" i="21"/>
  <c r="W37" i="21"/>
  <c r="V37" i="21"/>
  <c r="P37" i="21"/>
  <c r="AE36" i="21"/>
  <c r="AD36" i="21"/>
  <c r="AC36" i="21"/>
  <c r="AF36" i="21" s="1"/>
  <c r="X36" i="21"/>
  <c r="W36" i="21"/>
  <c r="V36" i="21"/>
  <c r="Y36" i="21" s="1"/>
  <c r="P36" i="21"/>
  <c r="AF35" i="21"/>
  <c r="AD35" i="21"/>
  <c r="AE35" i="21" s="1"/>
  <c r="AC35" i="21"/>
  <c r="Y35" i="21"/>
  <c r="W35" i="21"/>
  <c r="X35" i="21" s="1"/>
  <c r="V35" i="21"/>
  <c r="P35" i="21"/>
  <c r="AD34" i="21"/>
  <c r="AE34" i="21" s="1"/>
  <c r="AC34" i="21"/>
  <c r="AF34" i="21" s="1"/>
  <c r="W34" i="21"/>
  <c r="X34" i="21" s="1"/>
  <c r="V34" i="21"/>
  <c r="Y34" i="21" s="1"/>
  <c r="P34" i="21"/>
  <c r="AF33" i="21"/>
  <c r="AE33" i="21"/>
  <c r="AD33" i="21"/>
  <c r="AC33" i="21"/>
  <c r="X33" i="21"/>
  <c r="W33" i="21"/>
  <c r="V33" i="21"/>
  <c r="Y33" i="21" s="1"/>
  <c r="P33" i="21"/>
  <c r="AF32" i="21"/>
  <c r="AE32" i="21"/>
  <c r="AD32" i="21"/>
  <c r="AC32" i="21"/>
  <c r="W32" i="21"/>
  <c r="X32" i="21" s="1"/>
  <c r="V32" i="21"/>
  <c r="Y32" i="21" s="1"/>
  <c r="P32" i="21"/>
  <c r="AF31" i="21"/>
  <c r="AE31" i="21"/>
  <c r="AD31" i="21"/>
  <c r="AC31" i="21"/>
  <c r="X31" i="21"/>
  <c r="W31" i="21"/>
  <c r="V31" i="21"/>
  <c r="Y31" i="21" s="1"/>
  <c r="P31" i="21"/>
  <c r="AE30" i="21"/>
  <c r="AD30" i="21"/>
  <c r="AC30" i="21"/>
  <c r="AF30" i="21" s="1"/>
  <c r="X30" i="21"/>
  <c r="W30" i="21"/>
  <c r="V30" i="21"/>
  <c r="Y30" i="21" s="1"/>
  <c r="P30" i="21"/>
  <c r="AE29" i="21"/>
  <c r="AD29" i="21"/>
  <c r="AC29" i="21"/>
  <c r="AF29" i="21" s="1"/>
  <c r="W29" i="21"/>
  <c r="X29" i="21" s="1"/>
  <c r="V29" i="21"/>
  <c r="Y29" i="21" s="1"/>
  <c r="P29" i="21"/>
  <c r="AF28" i="21"/>
  <c r="AE28" i="21"/>
  <c r="AD28" i="21"/>
  <c r="AC28" i="21"/>
  <c r="W28" i="21"/>
  <c r="X28" i="21" s="1"/>
  <c r="V28" i="21"/>
  <c r="Y28" i="21" s="1"/>
  <c r="P28" i="21"/>
  <c r="AF27" i="21"/>
  <c r="AE27" i="21"/>
  <c r="AD27" i="21"/>
  <c r="AC27" i="21"/>
  <c r="X27" i="21"/>
  <c r="W27" i="21"/>
  <c r="V27" i="21"/>
  <c r="Y27" i="21" s="1"/>
  <c r="P27" i="21"/>
  <c r="AF26" i="21"/>
  <c r="AD26" i="21"/>
  <c r="AE26" i="21" s="1"/>
  <c r="AC26" i="21"/>
  <c r="Y26" i="21"/>
  <c r="W26" i="21"/>
  <c r="X26" i="21" s="1"/>
  <c r="V26" i="21"/>
  <c r="P26" i="21"/>
  <c r="AF25" i="21"/>
  <c r="AD25" i="21"/>
  <c r="AE25" i="21" s="1"/>
  <c r="AC25" i="21"/>
  <c r="Y25" i="21"/>
  <c r="W25" i="21"/>
  <c r="X25" i="21" s="1"/>
  <c r="V25" i="21"/>
  <c r="P25" i="21"/>
  <c r="AD24" i="21"/>
  <c r="AE24" i="21" s="1"/>
  <c r="AC24" i="21"/>
  <c r="AF24" i="21" s="1"/>
  <c r="Y24" i="21"/>
  <c r="W24" i="21"/>
  <c r="X24" i="21" s="1"/>
  <c r="V24" i="21"/>
  <c r="P24" i="21"/>
  <c r="AD23" i="21"/>
  <c r="AE23" i="21" s="1"/>
  <c r="AC23" i="21"/>
  <c r="AF23" i="21" s="1"/>
  <c r="Y23" i="21"/>
  <c r="W23" i="21"/>
  <c r="X23" i="21" s="1"/>
  <c r="V23" i="21"/>
  <c r="P23" i="21"/>
  <c r="AD22" i="21"/>
  <c r="AE22" i="21" s="1"/>
  <c r="AC22" i="21"/>
  <c r="AF22" i="21" s="1"/>
  <c r="Y22" i="21"/>
  <c r="W22" i="21"/>
  <c r="X22" i="21" s="1"/>
  <c r="V22" i="21"/>
  <c r="P22" i="21"/>
  <c r="AD21" i="21"/>
  <c r="AE21" i="21" s="1"/>
  <c r="AC21" i="21"/>
  <c r="AF21" i="21" s="1"/>
  <c r="Y21" i="21"/>
  <c r="W21" i="21"/>
  <c r="X21" i="21" s="1"/>
  <c r="V21" i="21"/>
  <c r="P21" i="21"/>
  <c r="AD20" i="21"/>
  <c r="AE20" i="21" s="1"/>
  <c r="AC20" i="21"/>
  <c r="AF20" i="21" s="1"/>
  <c r="Y20" i="21"/>
  <c r="W20" i="21"/>
  <c r="X20" i="21" s="1"/>
  <c r="V20" i="21"/>
  <c r="P20" i="21"/>
  <c r="AD19" i="21"/>
  <c r="AE19" i="21" s="1"/>
  <c r="AC19" i="21"/>
  <c r="AF19" i="21" s="1"/>
  <c r="Y19" i="21"/>
  <c r="W19" i="21"/>
  <c r="X19" i="21" s="1"/>
  <c r="V19" i="21"/>
  <c r="P19" i="21"/>
  <c r="AV18" i="21"/>
  <c r="AF18" i="21"/>
  <c r="AD18" i="21"/>
  <c r="AE18" i="21" s="1"/>
  <c r="AC18" i="21"/>
  <c r="W18" i="21"/>
  <c r="X18" i="21" s="1"/>
  <c r="V18" i="21"/>
  <c r="Y18" i="21" s="1"/>
  <c r="P18" i="21"/>
  <c r="AV17" i="21"/>
  <c r="AD17" i="21"/>
  <c r="AE17" i="21" s="1"/>
  <c r="AC17" i="21"/>
  <c r="AF17" i="21" s="1"/>
  <c r="Y17" i="21"/>
  <c r="W17" i="21"/>
  <c r="X17" i="21" s="1"/>
  <c r="V17" i="21"/>
  <c r="P17" i="21"/>
  <c r="AV16" i="21"/>
  <c r="AF16" i="21"/>
  <c r="AD16" i="21"/>
  <c r="AE16" i="21" s="1"/>
  <c r="AC16" i="21"/>
  <c r="X16" i="21"/>
  <c r="W16" i="21"/>
  <c r="V16" i="21"/>
  <c r="Y16" i="21" s="1"/>
  <c r="P16" i="21"/>
  <c r="AV15" i="21"/>
  <c r="AE15" i="21"/>
  <c r="AD15" i="21"/>
  <c r="AC15" i="21"/>
  <c r="AF15" i="21" s="1"/>
  <c r="X15" i="21"/>
  <c r="W15" i="21"/>
  <c r="V15" i="21"/>
  <c r="Y15" i="21" s="1"/>
  <c r="P15" i="21"/>
  <c r="AV14" i="21"/>
  <c r="AE14" i="21"/>
  <c r="AD14" i="21"/>
  <c r="AC14" i="21"/>
  <c r="AF14" i="21" s="1"/>
  <c r="Y14" i="21"/>
  <c r="X14" i="21"/>
  <c r="W14" i="21"/>
  <c r="V14" i="21"/>
  <c r="P14" i="21"/>
  <c r="AV13" i="21"/>
  <c r="AF13" i="21"/>
  <c r="AE13" i="21"/>
  <c r="AD13" i="21"/>
  <c r="AC13" i="21"/>
  <c r="W13" i="21"/>
  <c r="X13" i="21" s="1"/>
  <c r="V13" i="21"/>
  <c r="Y13" i="21" s="1"/>
  <c r="P13" i="21"/>
  <c r="AV12" i="21"/>
  <c r="AD12" i="21"/>
  <c r="AE12" i="21" s="1"/>
  <c r="AC12" i="21"/>
  <c r="AF12" i="21" s="1"/>
  <c r="W12" i="21"/>
  <c r="X12" i="21" s="1"/>
  <c r="V12" i="21"/>
  <c r="Y12" i="21" s="1"/>
  <c r="P12" i="21"/>
  <c r="AV11" i="21"/>
  <c r="AD11" i="21"/>
  <c r="AE11" i="21" s="1"/>
  <c r="AC11" i="21"/>
  <c r="AF11" i="21" s="1"/>
  <c r="Y11" i="21"/>
  <c r="W11" i="21"/>
  <c r="X11" i="21" s="1"/>
  <c r="V11" i="21"/>
  <c r="P11" i="21"/>
  <c r="AV10" i="21"/>
  <c r="AF10" i="21"/>
  <c r="AD10" i="21"/>
  <c r="AE10" i="21" s="1"/>
  <c r="AC10" i="21"/>
  <c r="W10" i="21"/>
  <c r="X10" i="21" s="1"/>
  <c r="V10" i="21"/>
  <c r="Y10" i="21" s="1"/>
  <c r="P10" i="21"/>
  <c r="AV9" i="21"/>
  <c r="AE9" i="21"/>
  <c r="AD9" i="21"/>
  <c r="AC9" i="21"/>
  <c r="AF9" i="21" s="1"/>
  <c r="Y9" i="21"/>
  <c r="W9" i="21"/>
  <c r="X9" i="21" s="1"/>
  <c r="V9" i="21"/>
  <c r="P9" i="21"/>
  <c r="AV8" i="21"/>
  <c r="AF8" i="21"/>
  <c r="AD8" i="21"/>
  <c r="AE8" i="21" s="1"/>
  <c r="AC8" i="21"/>
  <c r="W8" i="21"/>
  <c r="X8" i="21" s="1"/>
  <c r="V8" i="21"/>
  <c r="Y8" i="21" s="1"/>
  <c r="P8" i="21"/>
  <c r="H8" i="21"/>
  <c r="I8" i="21" s="1"/>
  <c r="BA7" i="21"/>
  <c r="BA8" i="21" s="1"/>
  <c r="BA9" i="21" s="1"/>
  <c r="BA10" i="21" s="1"/>
  <c r="BA11" i="21" s="1"/>
  <c r="BA12" i="21" s="1"/>
  <c r="BA13" i="21" s="1"/>
  <c r="BA14" i="21" s="1"/>
  <c r="BA15" i="21" s="1"/>
  <c r="BA16" i="21" s="1"/>
  <c r="BA17" i="21" s="1"/>
  <c r="BA18" i="21" s="1"/>
  <c r="BA19" i="21" s="1"/>
  <c r="BA20" i="21" s="1"/>
  <c r="BA21" i="21" s="1"/>
  <c r="BA22" i="21" s="1"/>
  <c r="BA23" i="21" s="1"/>
  <c r="BA24" i="21" s="1"/>
  <c r="BA25" i="21" s="1"/>
  <c r="BA26" i="21" s="1"/>
  <c r="BA27" i="21" s="1"/>
  <c r="BA28" i="21" s="1"/>
  <c r="BA29" i="21" s="1"/>
  <c r="BA30" i="21" s="1"/>
  <c r="BA31" i="21" s="1"/>
  <c r="BA32" i="21" s="1"/>
  <c r="BA33" i="21" s="1"/>
  <c r="BA34" i="21" s="1"/>
  <c r="BA35" i="21" s="1"/>
  <c r="BA36" i="21" s="1"/>
  <c r="BA37" i="21" s="1"/>
  <c r="BA38" i="21" s="1"/>
  <c r="BA39" i="21" s="1"/>
  <c r="BA40" i="21" s="1"/>
  <c r="BA41" i="21" s="1"/>
  <c r="BA42" i="21" s="1"/>
  <c r="BA43" i="21" s="1"/>
  <c r="BA44" i="21" s="1"/>
  <c r="BA45" i="21" s="1"/>
  <c r="BA46" i="21" s="1"/>
  <c r="BA47" i="21" s="1"/>
  <c r="BA48" i="21" s="1"/>
  <c r="BA49" i="21" s="1"/>
  <c r="BA50" i="21" s="1"/>
  <c r="BA51" i="21" s="1"/>
  <c r="BA52" i="21" s="1"/>
  <c r="BA53" i="21" s="1"/>
  <c r="BA54" i="21" s="1"/>
  <c r="BA55" i="21" s="1"/>
  <c r="BA56" i="21" s="1"/>
  <c r="BA57" i="21" s="1"/>
  <c r="BA58" i="21" s="1"/>
  <c r="BA59" i="21" s="1"/>
  <c r="BA60" i="21" s="1"/>
  <c r="BA61" i="21" s="1"/>
  <c r="BA62" i="21" s="1"/>
  <c r="BA63" i="21" s="1"/>
  <c r="BA64" i="21" s="1"/>
  <c r="BA65" i="21" s="1"/>
  <c r="BA66" i="21" s="1"/>
  <c r="BA67" i="21" s="1"/>
  <c r="BA68" i="21" s="1"/>
  <c r="BA69" i="21" s="1"/>
  <c r="BA70" i="21" s="1"/>
  <c r="BA71" i="21" s="1"/>
  <c r="BA72" i="21" s="1"/>
  <c r="BA73" i="21" s="1"/>
  <c r="BA74" i="21" s="1"/>
  <c r="BA75" i="21" s="1"/>
  <c r="BA76" i="21" s="1"/>
  <c r="BA77" i="21" s="1"/>
  <c r="BA78" i="21" s="1"/>
  <c r="BA79" i="21" s="1"/>
  <c r="BA80" i="21" s="1"/>
  <c r="BA81" i="21" s="1"/>
  <c r="BA82" i="21" s="1"/>
  <c r="BA83" i="21" s="1"/>
  <c r="BA84" i="21" s="1"/>
  <c r="BA85" i="21" s="1"/>
  <c r="BA86" i="21" s="1"/>
  <c r="BA87" i="21" s="1"/>
  <c r="BA88" i="21" s="1"/>
  <c r="BA89" i="21" s="1"/>
  <c r="BA90" i="21" s="1"/>
  <c r="BA91" i="21" s="1"/>
  <c r="BA92" i="21" s="1"/>
  <c r="BA93" i="21" s="1"/>
  <c r="BA94" i="21" s="1"/>
  <c r="BA95" i="21" s="1"/>
  <c r="BA96" i="21" s="1"/>
  <c r="BA97" i="21" s="1"/>
  <c r="BA98" i="21" s="1"/>
  <c r="BA99" i="21" s="1"/>
  <c r="BA100" i="21" s="1"/>
  <c r="BA101" i="21" s="1"/>
  <c r="BA102" i="21" s="1"/>
  <c r="BA103" i="21" s="1"/>
  <c r="BA104" i="21" s="1"/>
  <c r="BA105" i="21" s="1"/>
  <c r="BA106" i="21" s="1"/>
  <c r="BA107" i="21" s="1"/>
  <c r="BA108" i="21" s="1"/>
  <c r="BA109" i="21" s="1"/>
  <c r="BA110" i="21" s="1"/>
  <c r="BA111" i="21" s="1"/>
  <c r="BA112" i="21" s="1"/>
  <c r="BA113" i="21" s="1"/>
  <c r="BA114" i="21" s="1"/>
  <c r="BA115" i="21" s="1"/>
  <c r="BA116" i="21" s="1"/>
  <c r="BA117" i="21" s="1"/>
  <c r="BA118" i="21" s="1"/>
  <c r="BA119" i="21" s="1"/>
  <c r="BA120" i="21" s="1"/>
  <c r="BA121" i="21" s="1"/>
  <c r="BA122" i="21" s="1"/>
  <c r="BA123" i="21" s="1"/>
  <c r="BA124" i="21" s="1"/>
  <c r="BA125" i="21" s="1"/>
  <c r="BA126" i="21" s="1"/>
  <c r="BA127" i="21" s="1"/>
  <c r="BA128" i="21" s="1"/>
  <c r="BA129" i="21" s="1"/>
  <c r="BA130" i="21" s="1"/>
  <c r="BA131" i="21" s="1"/>
  <c r="BA132" i="21" s="1"/>
  <c r="BA133" i="21" s="1"/>
  <c r="BA134" i="21" s="1"/>
  <c r="BA135" i="21" s="1"/>
  <c r="BA136" i="21" s="1"/>
  <c r="BA137" i="21" s="1"/>
  <c r="BA138" i="21" s="1"/>
  <c r="BA139" i="21" s="1"/>
  <c r="BA140" i="21" s="1"/>
  <c r="BA141" i="21" s="1"/>
  <c r="BA142" i="21" s="1"/>
  <c r="BA143" i="21" s="1"/>
  <c r="BA144" i="21" s="1"/>
  <c r="BA145" i="21" s="1"/>
  <c r="BA146" i="21" s="1"/>
  <c r="BA147" i="21" s="1"/>
  <c r="BA148" i="21" s="1"/>
  <c r="BA149" i="21" s="1"/>
  <c r="BA150" i="21" s="1"/>
  <c r="BA151" i="21" s="1"/>
  <c r="BA152" i="21" s="1"/>
  <c r="BA153" i="21" s="1"/>
  <c r="BA154" i="21" s="1"/>
  <c r="BA155" i="21" s="1"/>
  <c r="BA156" i="21" s="1"/>
  <c r="BA157" i="21" s="1"/>
  <c r="BA158" i="21" s="1"/>
  <c r="BA159" i="21" s="1"/>
  <c r="BA160" i="21" s="1"/>
  <c r="BA161" i="21" s="1"/>
  <c r="BA162" i="21" s="1"/>
  <c r="BA163" i="21" s="1"/>
  <c r="BA164" i="21" s="1"/>
  <c r="BA165" i="21" s="1"/>
  <c r="BA166" i="21" s="1"/>
  <c r="BA167" i="21" s="1"/>
  <c r="BA168" i="21" s="1"/>
  <c r="BA169" i="21" s="1"/>
  <c r="BA170" i="21" s="1"/>
  <c r="BA171" i="21" s="1"/>
  <c r="BA172" i="21" s="1"/>
  <c r="BA173" i="21" s="1"/>
  <c r="BA174" i="21" s="1"/>
  <c r="BA175" i="21" s="1"/>
  <c r="BA176" i="21" s="1"/>
  <c r="BA177" i="21" s="1"/>
  <c r="BA178" i="21" s="1"/>
  <c r="BA179" i="21" s="1"/>
  <c r="BA180" i="21" s="1"/>
  <c r="BA181" i="21" s="1"/>
  <c r="BA182" i="21" s="1"/>
  <c r="BA183" i="21" s="1"/>
  <c r="BA184" i="21" s="1"/>
  <c r="BA185" i="21" s="1"/>
  <c r="BA186" i="21" s="1"/>
  <c r="BA187" i="21" s="1"/>
  <c r="BA188" i="21" s="1"/>
  <c r="BA189" i="21" s="1"/>
  <c r="BA190" i="21" s="1"/>
  <c r="BA191" i="21" s="1"/>
  <c r="BA192" i="21" s="1"/>
  <c r="BA193" i="21" s="1"/>
  <c r="BA194" i="21" s="1"/>
  <c r="BA195" i="21" s="1"/>
  <c r="BA196" i="21" s="1"/>
  <c r="BA197" i="21" s="1"/>
  <c r="BA198" i="21" s="1"/>
  <c r="BA199" i="21" s="1"/>
  <c r="BA200" i="21" s="1"/>
  <c r="BA201" i="21" s="1"/>
  <c r="BA202" i="21" s="1"/>
  <c r="BA203" i="21" s="1"/>
  <c r="BA204" i="21" s="1"/>
  <c r="BA205" i="21" s="1"/>
  <c r="BA206" i="21" s="1"/>
  <c r="BA207" i="21" s="1"/>
  <c r="BA208" i="21" s="1"/>
  <c r="BA209" i="21" s="1"/>
  <c r="BA210" i="21" s="1"/>
  <c r="BA211" i="21" s="1"/>
  <c r="BA212" i="21" s="1"/>
  <c r="BA213" i="21" s="1"/>
  <c r="BA214" i="21" s="1"/>
  <c r="BA215" i="21" s="1"/>
  <c r="BA216" i="21" s="1"/>
  <c r="BA217" i="21" s="1"/>
  <c r="BA218" i="21" s="1"/>
  <c r="BA219" i="21" s="1"/>
  <c r="BA220" i="21" s="1"/>
  <c r="BA221" i="21" s="1"/>
  <c r="BA222" i="21" s="1"/>
  <c r="BA223" i="21" s="1"/>
  <c r="BA224" i="21" s="1"/>
  <c r="BA225" i="21" s="1"/>
  <c r="BA226" i="21" s="1"/>
  <c r="BA227" i="21" s="1"/>
  <c r="BA228" i="21" s="1"/>
  <c r="BA229" i="21" s="1"/>
  <c r="BA230" i="21" s="1"/>
  <c r="BA231" i="21" s="1"/>
  <c r="BA232" i="21" s="1"/>
  <c r="BA233" i="21" s="1"/>
  <c r="BA234" i="21" s="1"/>
  <c r="BA235" i="21" s="1"/>
  <c r="BA236" i="21" s="1"/>
  <c r="BA237" i="21" s="1"/>
  <c r="BA238" i="21" s="1"/>
  <c r="BA239" i="21" s="1"/>
  <c r="BA240" i="21" s="1"/>
  <c r="BA241" i="21" s="1"/>
  <c r="BA242" i="21" s="1"/>
  <c r="BA243" i="21" s="1"/>
  <c r="BA244" i="21" s="1"/>
  <c r="BA245" i="21" s="1"/>
  <c r="BA246" i="21" s="1"/>
  <c r="BA247" i="21" s="1"/>
  <c r="BA248" i="21" s="1"/>
  <c r="BA249" i="21" s="1"/>
  <c r="BA250" i="21" s="1"/>
  <c r="BA251" i="21" s="1"/>
  <c r="BA252" i="21" s="1"/>
  <c r="BA253" i="21" s="1"/>
  <c r="BA254" i="21" s="1"/>
  <c r="BA255" i="21" s="1"/>
  <c r="BA256" i="21" s="1"/>
  <c r="BA257" i="21" s="1"/>
  <c r="BA258" i="21" s="1"/>
  <c r="BA259" i="21" s="1"/>
  <c r="BA260" i="21" s="1"/>
  <c r="BA261" i="21" s="1"/>
  <c r="BA262" i="21" s="1"/>
  <c r="BA263" i="21" s="1"/>
  <c r="BA264" i="21" s="1"/>
  <c r="BA265" i="21" s="1"/>
  <c r="BA266" i="21" s="1"/>
  <c r="BA267" i="21" s="1"/>
  <c r="BA268" i="21" s="1"/>
  <c r="BA269" i="21" s="1"/>
  <c r="BA270" i="21" s="1"/>
  <c r="BA271" i="21" s="1"/>
  <c r="BA272" i="21" s="1"/>
  <c r="BA273" i="21" s="1"/>
  <c r="BA274" i="21" s="1"/>
  <c r="BA275" i="21" s="1"/>
  <c r="BA276" i="21" s="1"/>
  <c r="BA277" i="21" s="1"/>
  <c r="BA278" i="21" s="1"/>
  <c r="BA279" i="21" s="1"/>
  <c r="BA280" i="21" s="1"/>
  <c r="BA281" i="21" s="1"/>
  <c r="BA282" i="21" s="1"/>
  <c r="BA283" i="21" s="1"/>
  <c r="BA284" i="21" s="1"/>
  <c r="BA285" i="21" s="1"/>
  <c r="BA286" i="21" s="1"/>
  <c r="BA287" i="21" s="1"/>
  <c r="BA288" i="21" s="1"/>
  <c r="BA289" i="21" s="1"/>
  <c r="BA290" i="21" s="1"/>
  <c r="BA291" i="21" s="1"/>
  <c r="BA292" i="21" s="1"/>
  <c r="BA293" i="21" s="1"/>
  <c r="BA294" i="21" s="1"/>
  <c r="BA295" i="21" s="1"/>
  <c r="BA296" i="21" s="1"/>
  <c r="BA297" i="21" s="1"/>
  <c r="BA298" i="21" s="1"/>
  <c r="BA299" i="21" s="1"/>
  <c r="BA300" i="21" s="1"/>
  <c r="BA301" i="21" s="1"/>
  <c r="BA302" i="21" s="1"/>
  <c r="BA303" i="21" s="1"/>
  <c r="BA304" i="21" s="1"/>
  <c r="BA305" i="21" s="1"/>
  <c r="BA306" i="21" s="1"/>
  <c r="BA307" i="21" s="1"/>
  <c r="BA308" i="21" s="1"/>
  <c r="BA309" i="21" s="1"/>
  <c r="BA310" i="21" s="1"/>
  <c r="BA311" i="21" s="1"/>
  <c r="BA312" i="21" s="1"/>
  <c r="BA313" i="21" s="1"/>
  <c r="BA314" i="21" s="1"/>
  <c r="BA315" i="21" s="1"/>
  <c r="BA316" i="21" s="1"/>
  <c r="BA317" i="21" s="1"/>
  <c r="BA318" i="21" s="1"/>
  <c r="BA319" i="21" s="1"/>
  <c r="BA320" i="21" s="1"/>
  <c r="BA321" i="21" s="1"/>
  <c r="BA322" i="21" s="1"/>
  <c r="BA323" i="21" s="1"/>
  <c r="BA324" i="21" s="1"/>
  <c r="BA325" i="21" s="1"/>
  <c r="BA326" i="21" s="1"/>
  <c r="BA327" i="21" s="1"/>
  <c r="BA328" i="21" s="1"/>
  <c r="BA329" i="21" s="1"/>
  <c r="BA330" i="21" s="1"/>
  <c r="BA331" i="21" s="1"/>
  <c r="BA332" i="21" s="1"/>
  <c r="BA333" i="21" s="1"/>
  <c r="BA334" i="21" s="1"/>
  <c r="BA335" i="21" s="1"/>
  <c r="BA336" i="21" s="1"/>
  <c r="BA337" i="21" s="1"/>
  <c r="BA338" i="21" s="1"/>
  <c r="BA339" i="21" s="1"/>
  <c r="BA340" i="21" s="1"/>
  <c r="BA341" i="21" s="1"/>
  <c r="BA342" i="21" s="1"/>
  <c r="BA343" i="21" s="1"/>
  <c r="BA344" i="21" s="1"/>
  <c r="BA345" i="21" s="1"/>
  <c r="BA346" i="21" s="1"/>
  <c r="BA347" i="21" s="1"/>
  <c r="BA348" i="21" s="1"/>
  <c r="BA349" i="21" s="1"/>
  <c r="BA350" i="21" s="1"/>
  <c r="BA351" i="21" s="1"/>
  <c r="BA352" i="21" s="1"/>
  <c r="BA353" i="21" s="1"/>
  <c r="BA354" i="21" s="1"/>
  <c r="BA355" i="21" s="1"/>
  <c r="BA356" i="21" s="1"/>
  <c r="BA357" i="21" s="1"/>
  <c r="BA358" i="21" s="1"/>
  <c r="BA359" i="21" s="1"/>
  <c r="BA360" i="21" s="1"/>
  <c r="BA361" i="21" s="1"/>
  <c r="BA362" i="21" s="1"/>
  <c r="BA363" i="21" s="1"/>
  <c r="BA364" i="21" s="1"/>
  <c r="BA365" i="21" s="1"/>
  <c r="BA366" i="21" s="1"/>
  <c r="AY7" i="21"/>
  <c r="BB7" i="21" s="1"/>
  <c r="BD7" i="21" s="1" a="1"/>
  <c r="BD7" i="21" s="1"/>
  <c r="AV7" i="21"/>
  <c r="AF7" i="21"/>
  <c r="AE7" i="21"/>
  <c r="AB7" i="21"/>
  <c r="AB8" i="21" s="1"/>
  <c r="AB9" i="21" s="1"/>
  <c r="AB10" i="21" s="1"/>
  <c r="AB11" i="21" s="1"/>
  <c r="AB12" i="21" s="1"/>
  <c r="AB13" i="21" s="1"/>
  <c r="AB14" i="21" s="1"/>
  <c r="AB15" i="21" s="1"/>
  <c r="AB16" i="21" s="1"/>
  <c r="AB17" i="21" s="1"/>
  <c r="AB18" i="21" s="1"/>
  <c r="AB19" i="21" s="1"/>
  <c r="AB20" i="21" s="1"/>
  <c r="AB21" i="21" s="1"/>
  <c r="AB22" i="21" s="1"/>
  <c r="AB23" i="21" s="1"/>
  <c r="AB24" i="21" s="1"/>
  <c r="AB25" i="21" s="1"/>
  <c r="AB26" i="21" s="1"/>
  <c r="AB27" i="21" s="1"/>
  <c r="AB28" i="21" s="1"/>
  <c r="AB29" i="21" s="1"/>
  <c r="AB30" i="21" s="1"/>
  <c r="AB31" i="21" s="1"/>
  <c r="AB32" i="21" s="1"/>
  <c r="AB33" i="21" s="1"/>
  <c r="AB34" i="21" s="1"/>
  <c r="AB35" i="21" s="1"/>
  <c r="AB36" i="21" s="1"/>
  <c r="AB37" i="21" s="1"/>
  <c r="AB38" i="21" s="1"/>
  <c r="AB39" i="21" s="1"/>
  <c r="AB40" i="21" s="1"/>
  <c r="AB41" i="21" s="1"/>
  <c r="AB42" i="21" s="1"/>
  <c r="AB43" i="21" s="1"/>
  <c r="AB44" i="21" s="1"/>
  <c r="AB45" i="21" s="1"/>
  <c r="AB46" i="21" s="1"/>
  <c r="AB47" i="21" s="1"/>
  <c r="AB48" i="21" s="1"/>
  <c r="AB49" i="21" s="1"/>
  <c r="AB50" i="21" s="1"/>
  <c r="AB51" i="21" s="1"/>
  <c r="AB52" i="21" s="1"/>
  <c r="AB53" i="21" s="1"/>
  <c r="AB54" i="21" s="1"/>
  <c r="AB55" i="21" s="1"/>
  <c r="AB56" i="21" s="1"/>
  <c r="AB57" i="21" s="1"/>
  <c r="AB58" i="21" s="1"/>
  <c r="AB59" i="21" s="1"/>
  <c r="AB60" i="21" s="1"/>
  <c r="AB61" i="21" s="1"/>
  <c r="AB62" i="21" s="1"/>
  <c r="AB63" i="21" s="1"/>
  <c r="AB64" i="21" s="1"/>
  <c r="AB65" i="21" s="1"/>
  <c r="AB66" i="21" s="1"/>
  <c r="AB67" i="21" s="1"/>
  <c r="AB68" i="21" s="1"/>
  <c r="AB69" i="21" s="1"/>
  <c r="AB70" i="21" s="1"/>
  <c r="AB71" i="21" s="1"/>
  <c r="AB72" i="21" s="1"/>
  <c r="AB73" i="21" s="1"/>
  <c r="AB74" i="21" s="1"/>
  <c r="AB75" i="21" s="1"/>
  <c r="AB76" i="21" s="1"/>
  <c r="AB77" i="21" s="1"/>
  <c r="AB78" i="21" s="1"/>
  <c r="AB79" i="21" s="1"/>
  <c r="AB80" i="21" s="1"/>
  <c r="AB81" i="21" s="1"/>
  <c r="AB82" i="21" s="1"/>
  <c r="AB83" i="21" s="1"/>
  <c r="AB84" i="21" s="1"/>
  <c r="AB85" i="21" s="1"/>
  <c r="AB86" i="21" s="1"/>
  <c r="AB87" i="21" s="1"/>
  <c r="AB88" i="21" s="1"/>
  <c r="AB89" i="21" s="1"/>
  <c r="AB90" i="21" s="1"/>
  <c r="AB91" i="21" s="1"/>
  <c r="AB92" i="21" s="1"/>
  <c r="AB93" i="21" s="1"/>
  <c r="AB94" i="21" s="1"/>
  <c r="AB95" i="21" s="1"/>
  <c r="AB96" i="21" s="1"/>
  <c r="AB97" i="21" s="1"/>
  <c r="AB98" i="21" s="1"/>
  <c r="AB99" i="21" s="1"/>
  <c r="AB100" i="21" s="1"/>
  <c r="AB101" i="21" s="1"/>
  <c r="AB102" i="21" s="1"/>
  <c r="AB103" i="21" s="1"/>
  <c r="AB104" i="21" s="1"/>
  <c r="AB105" i="21" s="1"/>
  <c r="AB106" i="21" s="1"/>
  <c r="AB107" i="21" s="1"/>
  <c r="AB108" i="21" s="1"/>
  <c r="AB109" i="21" s="1"/>
  <c r="AB110" i="21" s="1"/>
  <c r="AB111" i="21" s="1"/>
  <c r="AB112" i="21" s="1"/>
  <c r="AB113" i="21" s="1"/>
  <c r="AB114" i="21" s="1"/>
  <c r="AB115" i="21" s="1"/>
  <c r="AB116" i="21" s="1"/>
  <c r="AB117" i="21" s="1"/>
  <c r="AB118" i="21" s="1"/>
  <c r="AB119" i="21" s="1"/>
  <c r="AB120" i="21" s="1"/>
  <c r="AB121" i="21" s="1"/>
  <c r="AB122" i="21" s="1"/>
  <c r="AB123" i="21" s="1"/>
  <c r="AB124" i="21" s="1"/>
  <c r="AB125" i="21" s="1"/>
  <c r="AB126" i="21" s="1"/>
  <c r="AB127" i="21" s="1"/>
  <c r="AB128" i="21" s="1"/>
  <c r="AB129" i="21" s="1"/>
  <c r="AB130" i="21" s="1"/>
  <c r="AB131" i="21" s="1"/>
  <c r="AB132" i="21" s="1"/>
  <c r="AB133" i="21" s="1"/>
  <c r="AB134" i="21" s="1"/>
  <c r="AB135" i="21" s="1"/>
  <c r="AB136" i="21" s="1"/>
  <c r="AB137" i="21" s="1"/>
  <c r="AB138" i="21" s="1"/>
  <c r="AB139" i="21" s="1"/>
  <c r="AB140" i="21" s="1"/>
  <c r="AB141" i="21" s="1"/>
  <c r="AB142" i="21" s="1"/>
  <c r="AB143" i="21" s="1"/>
  <c r="AB144" i="21" s="1"/>
  <c r="AB145" i="21" s="1"/>
  <c r="AB146" i="21" s="1"/>
  <c r="AB147" i="21" s="1"/>
  <c r="AB148" i="21" s="1"/>
  <c r="AB149" i="21" s="1"/>
  <c r="AB150" i="21" s="1"/>
  <c r="AB151" i="21" s="1"/>
  <c r="AB152" i="21" s="1"/>
  <c r="AB153" i="21" s="1"/>
  <c r="AB154" i="21" s="1"/>
  <c r="AB155" i="21" s="1"/>
  <c r="AB156" i="21" s="1"/>
  <c r="AB157" i="21" s="1"/>
  <c r="AB158" i="21" s="1"/>
  <c r="AB159" i="21" s="1"/>
  <c r="AB160" i="21" s="1"/>
  <c r="AB161" i="21" s="1"/>
  <c r="AB162" i="21" s="1"/>
  <c r="AB163" i="21" s="1"/>
  <c r="AB164" i="21" s="1"/>
  <c r="AB165" i="21" s="1"/>
  <c r="AB166" i="21" s="1"/>
  <c r="AB167" i="21" s="1"/>
  <c r="AB168" i="21" s="1"/>
  <c r="AB169" i="21" s="1"/>
  <c r="AB170" i="21" s="1"/>
  <c r="AB171" i="21" s="1"/>
  <c r="AB172" i="21" s="1"/>
  <c r="AB173" i="21" s="1"/>
  <c r="AB174" i="21" s="1"/>
  <c r="AB175" i="21" s="1"/>
  <c r="AB176" i="21" s="1"/>
  <c r="AB177" i="21" s="1"/>
  <c r="AB178" i="21" s="1"/>
  <c r="AB179" i="21" s="1"/>
  <c r="AB180" i="21" s="1"/>
  <c r="AB181" i="21" s="1"/>
  <c r="AB182" i="21" s="1"/>
  <c r="AB183" i="21" s="1"/>
  <c r="AB184" i="21" s="1"/>
  <c r="AB185" i="21" s="1"/>
  <c r="AB186" i="21" s="1"/>
  <c r="AB187" i="21" s="1"/>
  <c r="AB188" i="21" s="1"/>
  <c r="AB189" i="21" s="1"/>
  <c r="AB190" i="21" s="1"/>
  <c r="AB191" i="21" s="1"/>
  <c r="AB192" i="21" s="1"/>
  <c r="AB193" i="21" s="1"/>
  <c r="AB194" i="21" s="1"/>
  <c r="AB195" i="21" s="1"/>
  <c r="AB196" i="21" s="1"/>
  <c r="AB197" i="21" s="1"/>
  <c r="AB198" i="21" s="1"/>
  <c r="AB199" i="21" s="1"/>
  <c r="AB200" i="21" s="1"/>
  <c r="AB201" i="21" s="1"/>
  <c r="AB202" i="21" s="1"/>
  <c r="AB203" i="21" s="1"/>
  <c r="AB204" i="21" s="1"/>
  <c r="AB205" i="21" s="1"/>
  <c r="AB206" i="21" s="1"/>
  <c r="AB207" i="21" s="1"/>
  <c r="AB208" i="21" s="1"/>
  <c r="AB209" i="21" s="1"/>
  <c r="AB210" i="21" s="1"/>
  <c r="AB211" i="21" s="1"/>
  <c r="AB212" i="21" s="1"/>
  <c r="AB213" i="21" s="1"/>
  <c r="AB214" i="21" s="1"/>
  <c r="AB215" i="21" s="1"/>
  <c r="AB216" i="21" s="1"/>
  <c r="AB217" i="21" s="1"/>
  <c r="AB218" i="21" s="1"/>
  <c r="AB219" i="21" s="1"/>
  <c r="AB220" i="21" s="1"/>
  <c r="AB221" i="21" s="1"/>
  <c r="AB222" i="21" s="1"/>
  <c r="AB223" i="21" s="1"/>
  <c r="AB224" i="21" s="1"/>
  <c r="AB225" i="21" s="1"/>
  <c r="AB226" i="21" s="1"/>
  <c r="AB227" i="21" s="1"/>
  <c r="AB228" i="21" s="1"/>
  <c r="AB229" i="21" s="1"/>
  <c r="AB230" i="21" s="1"/>
  <c r="AB231" i="21" s="1"/>
  <c r="AB232" i="21" s="1"/>
  <c r="AB233" i="21" s="1"/>
  <c r="AB234" i="21" s="1"/>
  <c r="AB235" i="21" s="1"/>
  <c r="AB236" i="21" s="1"/>
  <c r="AB237" i="21" s="1"/>
  <c r="AB238" i="21" s="1"/>
  <c r="AB239" i="21" s="1"/>
  <c r="AB240" i="21" s="1"/>
  <c r="AB241" i="21" s="1"/>
  <c r="AB242" i="21" s="1"/>
  <c r="AB243" i="21" s="1"/>
  <c r="AB244" i="21" s="1"/>
  <c r="AB245" i="21" s="1"/>
  <c r="AB246" i="21" s="1"/>
  <c r="AB247" i="21" s="1"/>
  <c r="AB248" i="21" s="1"/>
  <c r="AB249" i="21" s="1"/>
  <c r="AB250" i="21" s="1"/>
  <c r="AB251" i="21" s="1"/>
  <c r="AB252" i="21" s="1"/>
  <c r="AB253" i="21" s="1"/>
  <c r="AB254" i="21" s="1"/>
  <c r="AB255" i="21" s="1"/>
  <c r="AB256" i="21" s="1"/>
  <c r="AB257" i="21" s="1"/>
  <c r="AB258" i="21" s="1"/>
  <c r="AB259" i="21" s="1"/>
  <c r="AB260" i="21" s="1"/>
  <c r="AB261" i="21" s="1"/>
  <c r="AB262" i="21" s="1"/>
  <c r="AB263" i="21" s="1"/>
  <c r="AB264" i="21" s="1"/>
  <c r="AB265" i="21" s="1"/>
  <c r="AB266" i="21" s="1"/>
  <c r="AB267" i="21" s="1"/>
  <c r="AB268" i="21" s="1"/>
  <c r="AB269" i="21" s="1"/>
  <c r="AB270" i="21" s="1"/>
  <c r="AB271" i="21" s="1"/>
  <c r="AB272" i="21" s="1"/>
  <c r="AB273" i="21" s="1"/>
  <c r="AB274" i="21" s="1"/>
  <c r="AB275" i="21" s="1"/>
  <c r="AB276" i="21" s="1"/>
  <c r="AB277" i="21" s="1"/>
  <c r="AB278" i="21" s="1"/>
  <c r="AB279" i="21" s="1"/>
  <c r="AB280" i="21" s="1"/>
  <c r="AB281" i="21" s="1"/>
  <c r="AB282" i="21" s="1"/>
  <c r="AB283" i="21" s="1"/>
  <c r="AB284" i="21" s="1"/>
  <c r="AB285" i="21" s="1"/>
  <c r="AB286" i="21" s="1"/>
  <c r="AB287" i="21" s="1"/>
  <c r="AB288" i="21" s="1"/>
  <c r="AB289" i="21" s="1"/>
  <c r="AB290" i="21" s="1"/>
  <c r="AB291" i="21" s="1"/>
  <c r="AB292" i="21" s="1"/>
  <c r="AB293" i="21" s="1"/>
  <c r="AB294" i="21" s="1"/>
  <c r="AB295" i="21" s="1"/>
  <c r="AB296" i="21" s="1"/>
  <c r="AB297" i="21" s="1"/>
  <c r="AB298" i="21" s="1"/>
  <c r="AB299" i="21" s="1"/>
  <c r="AB300" i="21" s="1"/>
  <c r="AB301" i="21" s="1"/>
  <c r="AB302" i="21" s="1"/>
  <c r="AB303" i="21" s="1"/>
  <c r="AB304" i="21" s="1"/>
  <c r="AB305" i="21" s="1"/>
  <c r="AB306" i="21" s="1"/>
  <c r="AB307" i="21" s="1"/>
  <c r="AB308" i="21" s="1"/>
  <c r="AB309" i="21" s="1"/>
  <c r="AB310" i="21" s="1"/>
  <c r="AB311" i="21" s="1"/>
  <c r="AB312" i="21" s="1"/>
  <c r="AB313" i="21" s="1"/>
  <c r="AB314" i="21" s="1"/>
  <c r="AB315" i="21" s="1"/>
  <c r="AB316" i="21" s="1"/>
  <c r="AB317" i="21" s="1"/>
  <c r="AB318" i="21" s="1"/>
  <c r="AB319" i="21" s="1"/>
  <c r="AB320" i="21" s="1"/>
  <c r="AB321" i="21" s="1"/>
  <c r="AB322" i="21" s="1"/>
  <c r="AB323" i="21" s="1"/>
  <c r="AB324" i="21" s="1"/>
  <c r="AB325" i="21" s="1"/>
  <c r="AB326" i="21" s="1"/>
  <c r="AB327" i="21" s="1"/>
  <c r="AB328" i="21" s="1"/>
  <c r="AB329" i="21" s="1"/>
  <c r="AB330" i="21" s="1"/>
  <c r="AB331" i="21" s="1"/>
  <c r="AB332" i="21" s="1"/>
  <c r="AB333" i="21" s="1"/>
  <c r="AB334" i="21" s="1"/>
  <c r="AB335" i="21" s="1"/>
  <c r="AB336" i="21" s="1"/>
  <c r="AB337" i="21" s="1"/>
  <c r="AB338" i="21" s="1"/>
  <c r="AB339" i="21" s="1"/>
  <c r="AB340" i="21" s="1"/>
  <c r="AB341" i="21" s="1"/>
  <c r="AB342" i="21" s="1"/>
  <c r="AB343" i="21" s="1"/>
  <c r="AB344" i="21" s="1"/>
  <c r="AB345" i="21" s="1"/>
  <c r="AB346" i="21" s="1"/>
  <c r="AB347" i="21" s="1"/>
  <c r="AB348" i="21" s="1"/>
  <c r="AB349" i="21" s="1"/>
  <c r="AB350" i="21" s="1"/>
  <c r="AB351" i="21" s="1"/>
  <c r="AB352" i="21" s="1"/>
  <c r="AB353" i="21" s="1"/>
  <c r="AB354" i="21" s="1"/>
  <c r="AB355" i="21" s="1"/>
  <c r="AB356" i="21" s="1"/>
  <c r="AB357" i="21" s="1"/>
  <c r="AB358" i="21" s="1"/>
  <c r="AB359" i="21" s="1"/>
  <c r="AB360" i="21" s="1"/>
  <c r="AB361" i="21" s="1"/>
  <c r="AB362" i="21" s="1"/>
  <c r="AB363" i="21" s="1"/>
  <c r="AB364" i="21" s="1"/>
  <c r="AB365" i="21" s="1"/>
  <c r="AB366" i="21" s="1"/>
  <c r="Y7" i="21"/>
  <c r="X7" i="21"/>
  <c r="U7" i="21"/>
  <c r="U8" i="21" s="1"/>
  <c r="U9" i="21" s="1"/>
  <c r="U10" i="21" s="1"/>
  <c r="U11" i="21" s="1"/>
  <c r="U12" i="21" s="1"/>
  <c r="U13" i="21" s="1"/>
  <c r="U14" i="21" s="1"/>
  <c r="U15" i="21" s="1"/>
  <c r="U16" i="21" s="1"/>
  <c r="U17" i="21" s="1"/>
  <c r="U18" i="21" s="1"/>
  <c r="U19" i="21" s="1"/>
  <c r="U20" i="21" s="1"/>
  <c r="U21" i="21" s="1"/>
  <c r="U22" i="21" s="1"/>
  <c r="U23" i="21" s="1"/>
  <c r="U24" i="21" s="1"/>
  <c r="U25" i="21" s="1"/>
  <c r="U26" i="21" s="1"/>
  <c r="U27" i="21" s="1"/>
  <c r="U28" i="21" s="1"/>
  <c r="U29" i="21" s="1"/>
  <c r="U30" i="21" s="1"/>
  <c r="U31" i="21" s="1"/>
  <c r="U32" i="21" s="1"/>
  <c r="U33" i="21" s="1"/>
  <c r="U34" i="21" s="1"/>
  <c r="U35" i="21" s="1"/>
  <c r="U36" i="21" s="1"/>
  <c r="U37" i="21" s="1"/>
  <c r="U38" i="21" s="1"/>
  <c r="U39" i="21" s="1"/>
  <c r="U40" i="21" s="1"/>
  <c r="U41" i="21" s="1"/>
  <c r="U42" i="21" s="1"/>
  <c r="U43" i="21" s="1"/>
  <c r="U44" i="21" s="1"/>
  <c r="U45" i="21" s="1"/>
  <c r="U46" i="21" s="1"/>
  <c r="U47" i="21" s="1"/>
  <c r="U48" i="21" s="1"/>
  <c r="U49" i="21" s="1"/>
  <c r="U50" i="21" s="1"/>
  <c r="U51" i="21" s="1"/>
  <c r="U52" i="21" s="1"/>
  <c r="U53" i="21" s="1"/>
  <c r="U54" i="21" s="1"/>
  <c r="U55" i="21" s="1"/>
  <c r="U56" i="21" s="1"/>
  <c r="U57" i="21" s="1"/>
  <c r="U58" i="21" s="1"/>
  <c r="U59" i="21" s="1"/>
  <c r="U60" i="21" s="1"/>
  <c r="U61" i="21" s="1"/>
  <c r="U62" i="21" s="1"/>
  <c r="U63" i="21" s="1"/>
  <c r="U64" i="21" s="1"/>
  <c r="U65" i="21" s="1"/>
  <c r="U66" i="21" s="1"/>
  <c r="U67" i="21" s="1"/>
  <c r="U68" i="21" s="1"/>
  <c r="U69" i="21" s="1"/>
  <c r="U70" i="21" s="1"/>
  <c r="U71" i="21" s="1"/>
  <c r="U72" i="21" s="1"/>
  <c r="U73" i="21" s="1"/>
  <c r="U74" i="21" s="1"/>
  <c r="U75" i="21" s="1"/>
  <c r="U76" i="21" s="1"/>
  <c r="U77" i="21" s="1"/>
  <c r="U78" i="21" s="1"/>
  <c r="U79" i="21" s="1"/>
  <c r="U80" i="21" s="1"/>
  <c r="U81" i="21" s="1"/>
  <c r="U82" i="21" s="1"/>
  <c r="U83" i="21" s="1"/>
  <c r="U84" i="21" s="1"/>
  <c r="U85" i="21" s="1"/>
  <c r="U86" i="21" s="1"/>
  <c r="U87" i="21" s="1"/>
  <c r="U88" i="21" s="1"/>
  <c r="U89" i="21" s="1"/>
  <c r="U90" i="21" s="1"/>
  <c r="U91" i="21" s="1"/>
  <c r="U92" i="21" s="1"/>
  <c r="U93" i="21" s="1"/>
  <c r="U94" i="21" s="1"/>
  <c r="U95" i="21" s="1"/>
  <c r="U96" i="21" s="1"/>
  <c r="U97" i="21" s="1"/>
  <c r="U98" i="21" s="1"/>
  <c r="U99" i="21" s="1"/>
  <c r="U100" i="21" s="1"/>
  <c r="U101" i="21" s="1"/>
  <c r="U102" i="21" s="1"/>
  <c r="U103" i="21" s="1"/>
  <c r="U104" i="21" s="1"/>
  <c r="U105" i="21" s="1"/>
  <c r="U106" i="21" s="1"/>
  <c r="U107" i="21" s="1"/>
  <c r="U108" i="21" s="1"/>
  <c r="U109" i="21" s="1"/>
  <c r="U110" i="21" s="1"/>
  <c r="U111" i="21" s="1"/>
  <c r="U112" i="21" s="1"/>
  <c r="U113" i="21" s="1"/>
  <c r="U114" i="21" s="1"/>
  <c r="U115" i="21" s="1"/>
  <c r="U116" i="21" s="1"/>
  <c r="U117" i="21" s="1"/>
  <c r="U118" i="21" s="1"/>
  <c r="U119" i="21" s="1"/>
  <c r="U120" i="21" s="1"/>
  <c r="U121" i="21" s="1"/>
  <c r="U122" i="21" s="1"/>
  <c r="U123" i="21" s="1"/>
  <c r="U124" i="21" s="1"/>
  <c r="U125" i="21" s="1"/>
  <c r="U126" i="21" s="1"/>
  <c r="U127" i="21" s="1"/>
  <c r="U128" i="21" s="1"/>
  <c r="U129" i="21" s="1"/>
  <c r="U130" i="21" s="1"/>
  <c r="U131" i="21" s="1"/>
  <c r="U132" i="21" s="1"/>
  <c r="U133" i="21" s="1"/>
  <c r="U134" i="21" s="1"/>
  <c r="U135" i="21" s="1"/>
  <c r="U136" i="21" s="1"/>
  <c r="U137" i="21" s="1"/>
  <c r="U138" i="21" s="1"/>
  <c r="U139" i="21" s="1"/>
  <c r="U140" i="21" s="1"/>
  <c r="U141" i="21" s="1"/>
  <c r="U142" i="21" s="1"/>
  <c r="U143" i="21" s="1"/>
  <c r="U144" i="21" s="1"/>
  <c r="U145" i="21" s="1"/>
  <c r="U146" i="21" s="1"/>
  <c r="U147" i="21" s="1"/>
  <c r="U148" i="21" s="1"/>
  <c r="U149" i="21" s="1"/>
  <c r="U150" i="21" s="1"/>
  <c r="U151" i="21" s="1"/>
  <c r="U152" i="21" s="1"/>
  <c r="U153" i="21" s="1"/>
  <c r="U154" i="21" s="1"/>
  <c r="U155" i="21" s="1"/>
  <c r="U156" i="21" s="1"/>
  <c r="U157" i="21" s="1"/>
  <c r="U158" i="21" s="1"/>
  <c r="U159" i="21" s="1"/>
  <c r="U160" i="21" s="1"/>
  <c r="U161" i="21" s="1"/>
  <c r="U162" i="21" s="1"/>
  <c r="U163" i="21" s="1"/>
  <c r="U164" i="21" s="1"/>
  <c r="U165" i="21" s="1"/>
  <c r="U166" i="21" s="1"/>
  <c r="U167" i="21" s="1"/>
  <c r="U168" i="21" s="1"/>
  <c r="U169" i="21" s="1"/>
  <c r="U170" i="21" s="1"/>
  <c r="U171" i="21" s="1"/>
  <c r="U172" i="21" s="1"/>
  <c r="U173" i="21" s="1"/>
  <c r="U174" i="21" s="1"/>
  <c r="U175" i="21" s="1"/>
  <c r="U176" i="21" s="1"/>
  <c r="U177" i="21" s="1"/>
  <c r="U178" i="21" s="1"/>
  <c r="U179" i="21" s="1"/>
  <c r="U180" i="21" s="1"/>
  <c r="U181" i="21" s="1"/>
  <c r="U182" i="21" s="1"/>
  <c r="U183" i="21" s="1"/>
  <c r="U184" i="21" s="1"/>
  <c r="U185" i="21" s="1"/>
  <c r="U186" i="21" s="1"/>
  <c r="U187" i="21" s="1"/>
  <c r="U188" i="21" s="1"/>
  <c r="U189" i="21" s="1"/>
  <c r="U190" i="21" s="1"/>
  <c r="U191" i="21" s="1"/>
  <c r="U192" i="21" s="1"/>
  <c r="U193" i="21" s="1"/>
  <c r="U194" i="21" s="1"/>
  <c r="U195" i="21" s="1"/>
  <c r="U196" i="21" s="1"/>
  <c r="U197" i="21" s="1"/>
  <c r="U198" i="21" s="1"/>
  <c r="U199" i="21" s="1"/>
  <c r="U200" i="21" s="1"/>
  <c r="U201" i="21" s="1"/>
  <c r="U202" i="21" s="1"/>
  <c r="U203" i="21" s="1"/>
  <c r="U204" i="21" s="1"/>
  <c r="U205" i="21" s="1"/>
  <c r="U206" i="21" s="1"/>
  <c r="U207" i="21" s="1"/>
  <c r="U208" i="21" s="1"/>
  <c r="U209" i="21" s="1"/>
  <c r="U210" i="21" s="1"/>
  <c r="U211" i="21" s="1"/>
  <c r="U212" i="21" s="1"/>
  <c r="U213" i="21" s="1"/>
  <c r="U214" i="21" s="1"/>
  <c r="U215" i="21" s="1"/>
  <c r="U216" i="21" s="1"/>
  <c r="U217" i="21" s="1"/>
  <c r="U218" i="21" s="1"/>
  <c r="U219" i="21" s="1"/>
  <c r="U220" i="21" s="1"/>
  <c r="U221" i="21" s="1"/>
  <c r="U222" i="21" s="1"/>
  <c r="U223" i="21" s="1"/>
  <c r="U224" i="21" s="1"/>
  <c r="U225" i="21" s="1"/>
  <c r="U226" i="21" s="1"/>
  <c r="U227" i="21" s="1"/>
  <c r="U228" i="21" s="1"/>
  <c r="U229" i="21" s="1"/>
  <c r="U230" i="21" s="1"/>
  <c r="U231" i="21" s="1"/>
  <c r="U232" i="21" s="1"/>
  <c r="U233" i="21" s="1"/>
  <c r="U234" i="21" s="1"/>
  <c r="U235" i="21" s="1"/>
  <c r="U236" i="21" s="1"/>
  <c r="U237" i="21" s="1"/>
  <c r="U238" i="21" s="1"/>
  <c r="U239" i="21" s="1"/>
  <c r="U240" i="21" s="1"/>
  <c r="U241" i="21" s="1"/>
  <c r="U242" i="21" s="1"/>
  <c r="U243" i="21" s="1"/>
  <c r="U244" i="21" s="1"/>
  <c r="U245" i="21" s="1"/>
  <c r="U246" i="21" s="1"/>
  <c r="U247" i="21" s="1"/>
  <c r="U248" i="21" s="1"/>
  <c r="U249" i="21" s="1"/>
  <c r="U250" i="21" s="1"/>
  <c r="U251" i="21" s="1"/>
  <c r="U252" i="21" s="1"/>
  <c r="U253" i="21" s="1"/>
  <c r="U254" i="21" s="1"/>
  <c r="U255" i="21" s="1"/>
  <c r="U256" i="21" s="1"/>
  <c r="U257" i="21" s="1"/>
  <c r="U258" i="21" s="1"/>
  <c r="U259" i="21" s="1"/>
  <c r="U260" i="21" s="1"/>
  <c r="U261" i="21" s="1"/>
  <c r="U262" i="21" s="1"/>
  <c r="U263" i="21" s="1"/>
  <c r="U264" i="21" s="1"/>
  <c r="U265" i="21" s="1"/>
  <c r="U266" i="21" s="1"/>
  <c r="U267" i="21" s="1"/>
  <c r="U268" i="21" s="1"/>
  <c r="U269" i="21" s="1"/>
  <c r="U270" i="21" s="1"/>
  <c r="U271" i="21" s="1"/>
  <c r="U272" i="21" s="1"/>
  <c r="U273" i="21" s="1"/>
  <c r="U274" i="21" s="1"/>
  <c r="U275" i="21" s="1"/>
  <c r="U276" i="21" s="1"/>
  <c r="U277" i="21" s="1"/>
  <c r="U278" i="21" s="1"/>
  <c r="U279" i="21" s="1"/>
  <c r="U280" i="21" s="1"/>
  <c r="U281" i="21" s="1"/>
  <c r="U282" i="21" s="1"/>
  <c r="U283" i="21" s="1"/>
  <c r="U284" i="21" s="1"/>
  <c r="U285" i="21" s="1"/>
  <c r="U286" i="21" s="1"/>
  <c r="U287" i="21" s="1"/>
  <c r="U288" i="21" s="1"/>
  <c r="U289" i="21" s="1"/>
  <c r="U290" i="21" s="1"/>
  <c r="U291" i="21" s="1"/>
  <c r="U292" i="21" s="1"/>
  <c r="U293" i="21" s="1"/>
  <c r="U294" i="21" s="1"/>
  <c r="U295" i="21" s="1"/>
  <c r="U296" i="21" s="1"/>
  <c r="U297" i="21" s="1"/>
  <c r="U298" i="21" s="1"/>
  <c r="U299" i="21" s="1"/>
  <c r="U300" i="21" s="1"/>
  <c r="U301" i="21" s="1"/>
  <c r="U302" i="21" s="1"/>
  <c r="U303" i="21" s="1"/>
  <c r="U304" i="21" s="1"/>
  <c r="U305" i="21" s="1"/>
  <c r="U306" i="21" s="1"/>
  <c r="U307" i="21" s="1"/>
  <c r="U308" i="21" s="1"/>
  <c r="U309" i="21" s="1"/>
  <c r="U310" i="21" s="1"/>
  <c r="U311" i="21" s="1"/>
  <c r="U312" i="21" s="1"/>
  <c r="U313" i="21" s="1"/>
  <c r="U314" i="21" s="1"/>
  <c r="U315" i="21" s="1"/>
  <c r="U316" i="21" s="1"/>
  <c r="U317" i="21" s="1"/>
  <c r="U318" i="21" s="1"/>
  <c r="U319" i="21" s="1"/>
  <c r="U320" i="21" s="1"/>
  <c r="U321" i="21" s="1"/>
  <c r="U322" i="21" s="1"/>
  <c r="U323" i="21" s="1"/>
  <c r="U324" i="21" s="1"/>
  <c r="U325" i="21" s="1"/>
  <c r="U326" i="21" s="1"/>
  <c r="U327" i="21" s="1"/>
  <c r="U328" i="21" s="1"/>
  <c r="U329" i="21" s="1"/>
  <c r="U330" i="21" s="1"/>
  <c r="U331" i="21" s="1"/>
  <c r="U332" i="21" s="1"/>
  <c r="U333" i="21" s="1"/>
  <c r="U334" i="21" s="1"/>
  <c r="U335" i="21" s="1"/>
  <c r="U336" i="21" s="1"/>
  <c r="U337" i="21" s="1"/>
  <c r="U338" i="21" s="1"/>
  <c r="U339" i="21" s="1"/>
  <c r="U340" i="21" s="1"/>
  <c r="U341" i="21" s="1"/>
  <c r="U342" i="21" s="1"/>
  <c r="U343" i="21" s="1"/>
  <c r="U344" i="21" s="1"/>
  <c r="U345" i="21" s="1"/>
  <c r="U346" i="21" s="1"/>
  <c r="U347" i="21" s="1"/>
  <c r="U348" i="21" s="1"/>
  <c r="U349" i="21" s="1"/>
  <c r="U350" i="21" s="1"/>
  <c r="U351" i="21" s="1"/>
  <c r="U352" i="21" s="1"/>
  <c r="U353" i="21" s="1"/>
  <c r="U354" i="21" s="1"/>
  <c r="U355" i="21" s="1"/>
  <c r="U356" i="21" s="1"/>
  <c r="U357" i="21" s="1"/>
  <c r="U358" i="21" s="1"/>
  <c r="U359" i="21" s="1"/>
  <c r="U360" i="21" s="1"/>
  <c r="U361" i="21" s="1"/>
  <c r="U362" i="21" s="1"/>
  <c r="U363" i="21" s="1"/>
  <c r="U364" i="21" s="1"/>
  <c r="U365" i="21" s="1"/>
  <c r="U366" i="21" s="1"/>
  <c r="P7" i="21"/>
  <c r="I7" i="21"/>
  <c r="BR7" i="21"/>
  <c r="BA6" i="21"/>
  <c r="AY6" i="21"/>
  <c r="AQ6" i="21"/>
  <c r="AP6" i="21"/>
  <c r="AO6" i="21"/>
  <c r="AJ6" i="21"/>
  <c r="P6" i="21"/>
  <c r="M6" i="21"/>
  <c r="M7" i="21" s="1"/>
  <c r="H6" i="21"/>
  <c r="BS5" i="21"/>
  <c r="BS371" i="21" s="1"/>
  <c r="AM5" i="21"/>
  <c r="AM371" i="21" s="1"/>
  <c r="AL5" i="21"/>
  <c r="AF5" i="21"/>
  <c r="AE5" i="21"/>
  <c r="AD5" i="21"/>
  <c r="AC5" i="21"/>
  <c r="AB5" i="21"/>
  <c r="Y5" i="21"/>
  <c r="X5" i="21"/>
  <c r="O69" i="20"/>
  <c r="P57" i="20"/>
  <c r="O57" i="20"/>
  <c r="P56" i="20"/>
  <c r="P58" i="20" s="1"/>
  <c r="P47" i="20" s="1"/>
  <c r="O37" i="20"/>
  <c r="O38" i="20" s="1"/>
  <c r="AY8" i="21" l="1"/>
  <c r="AY9" i="21" s="1"/>
  <c r="BB9" i="21" s="1"/>
  <c r="BD9" i="21" s="1"/>
  <c r="BS7" i="21"/>
  <c r="AY10" i="21"/>
  <c r="M8" i="21"/>
  <c r="H9" i="21"/>
  <c r="BR8" i="21"/>
  <c r="BB8" i="21" l="1"/>
  <c r="BD8" i="21" s="1"/>
  <c r="BB10" i="21"/>
  <c r="BD10" i="21" s="1"/>
  <c r="AY11" i="21"/>
  <c r="M9" i="21"/>
  <c r="BT7" i="21"/>
  <c r="BS8" i="21"/>
  <c r="BT8" i="21" s="1"/>
  <c r="H10" i="21"/>
  <c r="I9" i="21"/>
  <c r="BR9" i="21"/>
  <c r="BS9" i="21" l="1"/>
  <c r="M10" i="21"/>
  <c r="AY12" i="21"/>
  <c r="BB11" i="21"/>
  <c r="BD11" i="21" s="1"/>
  <c r="BR10" i="21"/>
  <c r="H11" i="21"/>
  <c r="I10" i="21"/>
  <c r="M11" i="21" l="1"/>
  <c r="I11" i="21"/>
  <c r="BR11" i="21"/>
  <c r="H12" i="21"/>
  <c r="BT9" i="21"/>
  <c r="AY13" i="21"/>
  <c r="BB12" i="21"/>
  <c r="BD12" i="21" s="1"/>
  <c r="BS10" i="21"/>
  <c r="BT10" i="21" s="1"/>
  <c r="H13" i="21" l="1"/>
  <c r="BR12" i="21"/>
  <c r="I12" i="21"/>
  <c r="BS11" i="21"/>
  <c r="BT11" i="21" s="1"/>
  <c r="BB13" i="21"/>
  <c r="BD13" i="21" s="1"/>
  <c r="AY14" i="21"/>
  <c r="M12" i="21"/>
  <c r="AY15" i="21" l="1"/>
  <c r="BB14" i="21"/>
  <c r="BD14" i="21" s="1"/>
  <c r="M13" i="21"/>
  <c r="BS12" i="21"/>
  <c r="BT12" i="21" s="1"/>
  <c r="I13" i="21"/>
  <c r="BR13" i="21"/>
  <c r="H14" i="21"/>
  <c r="BS13" i="21" l="1"/>
  <c r="BT13" i="21" s="1"/>
  <c r="AY16" i="21"/>
  <c r="BB15" i="21"/>
  <c r="BD15" i="21" s="1"/>
  <c r="H15" i="21"/>
  <c r="I14" i="21"/>
  <c r="BR14" i="21"/>
  <c r="M14" i="21"/>
  <c r="M15" i="21" l="1"/>
  <c r="BS14" i="21"/>
  <c r="BT14" i="21" s="1"/>
  <c r="BR15" i="21"/>
  <c r="H16" i="21"/>
  <c r="I15" i="21"/>
  <c r="AY17" i="21"/>
  <c r="BB16" i="21"/>
  <c r="BD16" i="21" s="1"/>
  <c r="BS15" i="21" l="1"/>
  <c r="BT15" i="21"/>
  <c r="M16" i="21"/>
  <c r="AY18" i="21"/>
  <c r="BB17" i="21"/>
  <c r="BD17" i="21" s="1"/>
  <c r="I16" i="21"/>
  <c r="BR16" i="21"/>
  <c r="H17" i="21"/>
  <c r="BB18" i="21" l="1"/>
  <c r="AY19" i="21"/>
  <c r="AY20" i="21" s="1"/>
  <c r="AY21" i="21" s="1"/>
  <c r="AY22" i="21" s="1"/>
  <c r="AY23" i="21" s="1"/>
  <c r="AY24" i="21" s="1"/>
  <c r="AY25" i="21" s="1"/>
  <c r="AY26" i="21" s="1"/>
  <c r="AY27" i="21" s="1"/>
  <c r="AY28" i="21" s="1"/>
  <c r="AY29" i="21" s="1"/>
  <c r="AY30" i="21" s="1"/>
  <c r="AY31" i="21" s="1"/>
  <c r="AY32" i="21" s="1"/>
  <c r="AY33" i="21" s="1"/>
  <c r="AY34" i="21" s="1"/>
  <c r="AY35" i="21" s="1"/>
  <c r="AY36" i="21" s="1"/>
  <c r="AY37" i="21" s="1"/>
  <c r="AY38" i="21" s="1"/>
  <c r="AY39" i="21" s="1"/>
  <c r="AY40" i="21" s="1"/>
  <c r="AY41" i="21" s="1"/>
  <c r="AY42" i="21" s="1"/>
  <c r="AY43" i="21" s="1"/>
  <c r="AY44" i="21" s="1"/>
  <c r="AY45" i="21" s="1"/>
  <c r="AY46" i="21" s="1"/>
  <c r="AY47" i="21" s="1"/>
  <c r="AY48" i="21" s="1"/>
  <c r="AY49" i="21" s="1"/>
  <c r="AY50" i="21" s="1"/>
  <c r="AY51" i="21" s="1"/>
  <c r="AY52" i="21" s="1"/>
  <c r="AY53" i="21" s="1"/>
  <c r="AY54" i="21" s="1"/>
  <c r="AY55" i="21" s="1"/>
  <c r="AY56" i="21" s="1"/>
  <c r="AY57" i="21" s="1"/>
  <c r="AY58" i="21" s="1"/>
  <c r="AY59" i="21" s="1"/>
  <c r="AY60" i="21" s="1"/>
  <c r="AY61" i="21" s="1"/>
  <c r="AY62" i="21" s="1"/>
  <c r="AY63" i="21" s="1"/>
  <c r="AY64" i="21" s="1"/>
  <c r="AY65" i="21" s="1"/>
  <c r="AY66" i="21" s="1"/>
  <c r="AY67" i="21" s="1"/>
  <c r="AY68" i="21" s="1"/>
  <c r="AY69" i="21" s="1"/>
  <c r="AY70" i="21" s="1"/>
  <c r="AY71" i="21" s="1"/>
  <c r="AY72" i="21" s="1"/>
  <c r="AY73" i="21" s="1"/>
  <c r="AY74" i="21" s="1"/>
  <c r="AY75" i="21" s="1"/>
  <c r="AY76" i="21" s="1"/>
  <c r="AY77" i="21" s="1"/>
  <c r="AY78" i="21" s="1"/>
  <c r="AY79" i="21" s="1"/>
  <c r="AY80" i="21" s="1"/>
  <c r="AY81" i="21" s="1"/>
  <c r="AY82" i="21" s="1"/>
  <c r="AY83" i="21" s="1"/>
  <c r="AY84" i="21" s="1"/>
  <c r="AY85" i="21" s="1"/>
  <c r="AY86" i="21" s="1"/>
  <c r="AY87" i="21" s="1"/>
  <c r="AY88" i="21" s="1"/>
  <c r="AY89" i="21" s="1"/>
  <c r="AY90" i="21" s="1"/>
  <c r="AY91" i="21" s="1"/>
  <c r="AY92" i="21" s="1"/>
  <c r="AY93" i="21" s="1"/>
  <c r="AY94" i="21" s="1"/>
  <c r="AY95" i="21" s="1"/>
  <c r="AY96" i="21" s="1"/>
  <c r="AY97" i="21" s="1"/>
  <c r="AY98" i="21" s="1"/>
  <c r="AY99" i="21" s="1"/>
  <c r="AY100" i="21" s="1"/>
  <c r="AY101" i="21" s="1"/>
  <c r="AY102" i="21" s="1"/>
  <c r="AY103" i="21" s="1"/>
  <c r="AY104" i="21" s="1"/>
  <c r="AY105" i="21" s="1"/>
  <c r="AY106" i="21" s="1"/>
  <c r="AY107" i="21" s="1"/>
  <c r="AY108" i="21" s="1"/>
  <c r="AY109" i="21" s="1"/>
  <c r="AY110" i="21" s="1"/>
  <c r="AY111" i="21" s="1"/>
  <c r="AY112" i="21" s="1"/>
  <c r="AY113" i="21" s="1"/>
  <c r="AY114" i="21" s="1"/>
  <c r="AY115" i="21" s="1"/>
  <c r="AY116" i="21" s="1"/>
  <c r="AY117" i="21" s="1"/>
  <c r="AY118" i="21" s="1"/>
  <c r="AY119" i="21" s="1"/>
  <c r="AY120" i="21" s="1"/>
  <c r="AY121" i="21" s="1"/>
  <c r="AY122" i="21" s="1"/>
  <c r="AY123" i="21" s="1"/>
  <c r="AY124" i="21" s="1"/>
  <c r="AY125" i="21" s="1"/>
  <c r="AY126" i="21" s="1"/>
  <c r="AY127" i="21" s="1"/>
  <c r="AY128" i="21" s="1"/>
  <c r="AY129" i="21" s="1"/>
  <c r="AY130" i="21" s="1"/>
  <c r="AY131" i="21" s="1"/>
  <c r="AY132" i="21" s="1"/>
  <c r="AY133" i="21" s="1"/>
  <c r="AY134" i="21" s="1"/>
  <c r="AY135" i="21" s="1"/>
  <c r="AY136" i="21" s="1"/>
  <c r="AY137" i="21" s="1"/>
  <c r="AY138" i="21" s="1"/>
  <c r="AY139" i="21" s="1"/>
  <c r="AY140" i="21" s="1"/>
  <c r="AY141" i="21" s="1"/>
  <c r="AY142" i="21" s="1"/>
  <c r="AY143" i="21" s="1"/>
  <c r="AY144" i="21" s="1"/>
  <c r="AY145" i="21" s="1"/>
  <c r="AY146" i="21" s="1"/>
  <c r="AY147" i="21" s="1"/>
  <c r="AY148" i="21" s="1"/>
  <c r="AY149" i="21" s="1"/>
  <c r="AY150" i="21" s="1"/>
  <c r="AY151" i="21" s="1"/>
  <c r="AY152" i="21" s="1"/>
  <c r="AY153" i="21" s="1"/>
  <c r="AY154" i="21" s="1"/>
  <c r="AY155" i="21" s="1"/>
  <c r="AY156" i="21" s="1"/>
  <c r="AY157" i="21" s="1"/>
  <c r="AY158" i="21" s="1"/>
  <c r="AY159" i="21" s="1"/>
  <c r="AY160" i="21" s="1"/>
  <c r="AY161" i="21" s="1"/>
  <c r="AY162" i="21" s="1"/>
  <c r="AY163" i="21" s="1"/>
  <c r="AY164" i="21" s="1"/>
  <c r="AY165" i="21" s="1"/>
  <c r="AY166" i="21" s="1"/>
  <c r="AY167" i="21" s="1"/>
  <c r="AY168" i="21" s="1"/>
  <c r="AY169" i="21" s="1"/>
  <c r="AY170" i="21" s="1"/>
  <c r="AY171" i="21" s="1"/>
  <c r="AY172" i="21" s="1"/>
  <c r="AY173" i="21" s="1"/>
  <c r="AY174" i="21" s="1"/>
  <c r="AY175" i="21" s="1"/>
  <c r="AY176" i="21" s="1"/>
  <c r="AY177" i="21" s="1"/>
  <c r="AY178" i="21" s="1"/>
  <c r="AY179" i="21" s="1"/>
  <c r="AY180" i="21" s="1"/>
  <c r="AY181" i="21" s="1"/>
  <c r="AY182" i="21" s="1"/>
  <c r="AY183" i="21" s="1"/>
  <c r="AY184" i="21" s="1"/>
  <c r="AY185" i="21" s="1"/>
  <c r="AY186" i="21" s="1"/>
  <c r="AY187" i="21" s="1"/>
  <c r="AY188" i="21" s="1"/>
  <c r="AY189" i="21" s="1"/>
  <c r="AY190" i="21" s="1"/>
  <c r="AY191" i="21" s="1"/>
  <c r="AY192" i="21" s="1"/>
  <c r="AY193" i="21" s="1"/>
  <c r="AY194" i="21" s="1"/>
  <c r="AY195" i="21" s="1"/>
  <c r="AY196" i="21" s="1"/>
  <c r="AY197" i="21" s="1"/>
  <c r="AY198" i="21" s="1"/>
  <c r="AY199" i="21" s="1"/>
  <c r="AY200" i="21" s="1"/>
  <c r="AY201" i="21" s="1"/>
  <c r="AY202" i="21" s="1"/>
  <c r="AY203" i="21" s="1"/>
  <c r="AY204" i="21" s="1"/>
  <c r="AY205" i="21" s="1"/>
  <c r="AY206" i="21" s="1"/>
  <c r="AY207" i="21" s="1"/>
  <c r="AY208" i="21" s="1"/>
  <c r="AY209" i="21" s="1"/>
  <c r="AY210" i="21" s="1"/>
  <c r="AY211" i="21" s="1"/>
  <c r="AY212" i="21" s="1"/>
  <c r="AY213" i="21" s="1"/>
  <c r="AY214" i="21" s="1"/>
  <c r="AY215" i="21" s="1"/>
  <c r="AY216" i="21" s="1"/>
  <c r="AY217" i="21" s="1"/>
  <c r="AY218" i="21" s="1"/>
  <c r="AY219" i="21" s="1"/>
  <c r="AY220" i="21" s="1"/>
  <c r="AY221" i="21" s="1"/>
  <c r="AY222" i="21" s="1"/>
  <c r="AY223" i="21" s="1"/>
  <c r="AY224" i="21" s="1"/>
  <c r="AY225" i="21" s="1"/>
  <c r="AY226" i="21" s="1"/>
  <c r="AY227" i="21" s="1"/>
  <c r="AY228" i="21" s="1"/>
  <c r="AY229" i="21" s="1"/>
  <c r="AY230" i="21" s="1"/>
  <c r="AY231" i="21" s="1"/>
  <c r="AY232" i="21" s="1"/>
  <c r="AY233" i="21" s="1"/>
  <c r="AY234" i="21" s="1"/>
  <c r="AY235" i="21" s="1"/>
  <c r="AY236" i="21" s="1"/>
  <c r="AY237" i="21" s="1"/>
  <c r="AY238" i="21" s="1"/>
  <c r="AY239" i="21" s="1"/>
  <c r="AY240" i="21" s="1"/>
  <c r="AY241" i="21" s="1"/>
  <c r="AY242" i="21" s="1"/>
  <c r="AY243" i="21" s="1"/>
  <c r="AY244" i="21" s="1"/>
  <c r="AY245" i="21" s="1"/>
  <c r="AY246" i="21" s="1"/>
  <c r="AY247" i="21" s="1"/>
  <c r="AY248" i="21" s="1"/>
  <c r="AY249" i="21" s="1"/>
  <c r="AY250" i="21" s="1"/>
  <c r="AY251" i="21" s="1"/>
  <c r="AY252" i="21" s="1"/>
  <c r="AY253" i="21" s="1"/>
  <c r="AY254" i="21" s="1"/>
  <c r="AY255" i="21" s="1"/>
  <c r="AY256" i="21" s="1"/>
  <c r="AY257" i="21" s="1"/>
  <c r="AY258" i="21" s="1"/>
  <c r="AY259" i="21" s="1"/>
  <c r="AY260" i="21" s="1"/>
  <c r="AY261" i="21" s="1"/>
  <c r="AY262" i="21" s="1"/>
  <c r="AY263" i="21" s="1"/>
  <c r="AY264" i="21" s="1"/>
  <c r="AY265" i="21" s="1"/>
  <c r="AY266" i="21" s="1"/>
  <c r="AY267" i="21" s="1"/>
  <c r="AY268" i="21" s="1"/>
  <c r="AY269" i="21" s="1"/>
  <c r="AY270" i="21" s="1"/>
  <c r="AY271" i="21" s="1"/>
  <c r="AY272" i="21" s="1"/>
  <c r="AY273" i="21" s="1"/>
  <c r="AY274" i="21" s="1"/>
  <c r="AY275" i="21" s="1"/>
  <c r="AY276" i="21" s="1"/>
  <c r="AY277" i="21" s="1"/>
  <c r="AY278" i="21" s="1"/>
  <c r="AY279" i="21" s="1"/>
  <c r="AY280" i="21" s="1"/>
  <c r="AY281" i="21" s="1"/>
  <c r="AY282" i="21" s="1"/>
  <c r="AY283" i="21" s="1"/>
  <c r="AY284" i="21" s="1"/>
  <c r="AY285" i="21" s="1"/>
  <c r="AY286" i="21" s="1"/>
  <c r="AY287" i="21" s="1"/>
  <c r="AY288" i="21" s="1"/>
  <c r="AY289" i="21" s="1"/>
  <c r="AY290" i="21" s="1"/>
  <c r="AY291" i="21" s="1"/>
  <c r="AY292" i="21" s="1"/>
  <c r="AY293" i="21" s="1"/>
  <c r="AY294" i="21" s="1"/>
  <c r="AY295" i="21" s="1"/>
  <c r="AY296" i="21" s="1"/>
  <c r="AY297" i="21" s="1"/>
  <c r="AY298" i="21" s="1"/>
  <c r="AY299" i="21" s="1"/>
  <c r="AY300" i="21" s="1"/>
  <c r="AY301" i="21" s="1"/>
  <c r="AY302" i="21" s="1"/>
  <c r="AY303" i="21" s="1"/>
  <c r="AY304" i="21" s="1"/>
  <c r="AY305" i="21" s="1"/>
  <c r="AY306" i="21" s="1"/>
  <c r="AY307" i="21" s="1"/>
  <c r="AY308" i="21" s="1"/>
  <c r="AY309" i="21" s="1"/>
  <c r="AY310" i="21" s="1"/>
  <c r="AY311" i="21" s="1"/>
  <c r="AY312" i="21" s="1"/>
  <c r="AY313" i="21" s="1"/>
  <c r="AY314" i="21" s="1"/>
  <c r="AY315" i="21" s="1"/>
  <c r="AY316" i="21" s="1"/>
  <c r="AY317" i="21" s="1"/>
  <c r="AY318" i="21" s="1"/>
  <c r="AY319" i="21" s="1"/>
  <c r="AY320" i="21" s="1"/>
  <c r="AY321" i="21" s="1"/>
  <c r="AY322" i="21" s="1"/>
  <c r="AY323" i="21" s="1"/>
  <c r="AY324" i="21" s="1"/>
  <c r="AY325" i="21" s="1"/>
  <c r="AY326" i="21" s="1"/>
  <c r="AY327" i="21" s="1"/>
  <c r="AY328" i="21" s="1"/>
  <c r="AY329" i="21" s="1"/>
  <c r="AY330" i="21" s="1"/>
  <c r="AY331" i="21" s="1"/>
  <c r="AY332" i="21" s="1"/>
  <c r="AY333" i="21" s="1"/>
  <c r="AY334" i="21" s="1"/>
  <c r="AY335" i="21" s="1"/>
  <c r="AY336" i="21" s="1"/>
  <c r="AY337" i="21" s="1"/>
  <c r="AY338" i="21" s="1"/>
  <c r="AY339" i="21" s="1"/>
  <c r="AY340" i="21" s="1"/>
  <c r="AY341" i="21" s="1"/>
  <c r="AY342" i="21" s="1"/>
  <c r="AY343" i="21" s="1"/>
  <c r="AY344" i="21" s="1"/>
  <c r="AY345" i="21" s="1"/>
  <c r="AY346" i="21" s="1"/>
  <c r="AY347" i="21" s="1"/>
  <c r="AY348" i="21" s="1"/>
  <c r="AY349" i="21" s="1"/>
  <c r="AY350" i="21" s="1"/>
  <c r="AY351" i="21" s="1"/>
  <c r="AY352" i="21" s="1"/>
  <c r="AY353" i="21" s="1"/>
  <c r="AY354" i="21" s="1"/>
  <c r="AY355" i="21" s="1"/>
  <c r="AY356" i="21" s="1"/>
  <c r="AY357" i="21" s="1"/>
  <c r="AY358" i="21" s="1"/>
  <c r="AY359" i="21" s="1"/>
  <c r="AY360" i="21" s="1"/>
  <c r="AY361" i="21" s="1"/>
  <c r="AY362" i="21" s="1"/>
  <c r="AY363" i="21" s="1"/>
  <c r="AY364" i="21" s="1"/>
  <c r="AY365" i="21" s="1"/>
  <c r="AY366" i="21" s="1"/>
  <c r="M17" i="21"/>
  <c r="H18" i="21"/>
  <c r="I17" i="21"/>
  <c r="BR17" i="21"/>
  <c r="BS16" i="21"/>
  <c r="BT16" i="21" s="1"/>
  <c r="BR18" i="21" l="1"/>
  <c r="H19" i="21"/>
  <c r="I18" i="21"/>
  <c r="M18" i="21"/>
  <c r="BS17" i="21"/>
  <c r="BT17" i="21" s="1"/>
  <c r="BD18" i="21"/>
  <c r="M19" i="21" l="1"/>
  <c r="BR19" i="21"/>
  <c r="I19" i="21"/>
  <c r="H20" i="21"/>
  <c r="BS18" i="21"/>
  <c r="BT18" i="21"/>
  <c r="BR20" i="21" l="1"/>
  <c r="I20" i="21"/>
  <c r="H21" i="21"/>
  <c r="BS19" i="21"/>
  <c r="BT19" i="21" s="1"/>
  <c r="M20" i="21"/>
  <c r="BR21" i="21" l="1"/>
  <c r="I21" i="21"/>
  <c r="H22" i="21"/>
  <c r="M21" i="21"/>
  <c r="BS20" i="21"/>
  <c r="BT20" i="21" s="1"/>
  <c r="BR22" i="21" l="1"/>
  <c r="I22" i="21"/>
  <c r="H23" i="21"/>
  <c r="M22" i="21"/>
  <c r="BS21" i="21"/>
  <c r="BT21" i="21" s="1"/>
  <c r="M23" i="21" l="1"/>
  <c r="BR23" i="21"/>
  <c r="I23" i="21"/>
  <c r="H24" i="21"/>
  <c r="BS22" i="21"/>
  <c r="BT22" i="21" s="1"/>
  <c r="BR24" i="21" l="1"/>
  <c r="I24" i="21"/>
  <c r="H25" i="21"/>
  <c r="BS23" i="21"/>
  <c r="BT23" i="21" s="1"/>
  <c r="M24" i="21"/>
  <c r="BR25" i="21" l="1"/>
  <c r="I25" i="21"/>
  <c r="H26" i="21"/>
  <c r="M25" i="21"/>
  <c r="BS24" i="21"/>
  <c r="BT24" i="21" s="1"/>
  <c r="I26" i="21" l="1"/>
  <c r="BR26" i="21"/>
  <c r="H27" i="21"/>
  <c r="M26" i="21"/>
  <c r="BS25" i="21"/>
  <c r="BT25" i="21" s="1"/>
  <c r="M27" i="21" l="1"/>
  <c r="BS26" i="21"/>
  <c r="BT26" i="21" s="1"/>
  <c r="I27" i="21"/>
  <c r="BR27" i="21"/>
  <c r="H28" i="21"/>
  <c r="I28" i="21" l="1"/>
  <c r="H29" i="21"/>
  <c r="BR28" i="21"/>
  <c r="BS27" i="21"/>
  <c r="BT27" i="21" s="1"/>
  <c r="M28" i="21"/>
  <c r="BS28" i="21" l="1"/>
  <c r="BT28" i="21" s="1"/>
  <c r="I29" i="21"/>
  <c r="BR29" i="21"/>
  <c r="H30" i="21"/>
  <c r="M29" i="21"/>
  <c r="I30" i="21" l="1"/>
  <c r="BR30" i="21"/>
  <c r="H31" i="21"/>
  <c r="M30" i="21"/>
  <c r="BS29" i="21"/>
  <c r="BT29" i="21" s="1"/>
  <c r="M31" i="21" l="1"/>
  <c r="BS30" i="21"/>
  <c r="BT30" i="21" s="1"/>
  <c r="H32" i="21"/>
  <c r="I31" i="21"/>
  <c r="BR31" i="21"/>
  <c r="BS31" i="21" l="1"/>
  <c r="BT31" i="21" s="1"/>
  <c r="BR32" i="21"/>
  <c r="I32" i="21"/>
  <c r="H33" i="21"/>
  <c r="M32" i="21"/>
  <c r="M33" i="21" l="1"/>
  <c r="BR33" i="21"/>
  <c r="H34" i="21"/>
  <c r="I33" i="21"/>
  <c r="BS32" i="21"/>
  <c r="BT32" i="21" s="1"/>
  <c r="BS33" i="21" l="1"/>
  <c r="BT33" i="21" s="1"/>
  <c r="BR34" i="21"/>
  <c r="H35" i="21"/>
  <c r="I34" i="21"/>
  <c r="M34" i="21"/>
  <c r="M35" i="21" l="1"/>
  <c r="BR35" i="21"/>
  <c r="H36" i="21"/>
  <c r="I35" i="21"/>
  <c r="BS34" i="21"/>
  <c r="BT34" i="21" s="1"/>
  <c r="BS35" i="21" l="1"/>
  <c r="BT35" i="21" s="1"/>
  <c r="M36" i="21"/>
  <c r="H37" i="21"/>
  <c r="I36" i="21"/>
  <c r="BR36" i="21"/>
  <c r="BS36" i="21" l="1"/>
  <c r="BT36" i="21" s="1"/>
  <c r="BR37" i="21"/>
  <c r="I37" i="21"/>
  <c r="H38" i="21"/>
  <c r="M37" i="21"/>
  <c r="M38" i="21" l="1"/>
  <c r="BS37" i="21"/>
  <c r="BT37" i="21" s="1"/>
  <c r="BR38" i="21"/>
  <c r="H39" i="21"/>
  <c r="I38" i="21"/>
  <c r="H40" i="21" l="1"/>
  <c r="I39" i="21"/>
  <c r="BR39" i="21"/>
  <c r="BS38" i="21"/>
  <c r="BT38" i="21" s="1"/>
  <c r="M39" i="21"/>
  <c r="M40" i="21" l="1"/>
  <c r="BS39" i="21"/>
  <c r="BT39" i="21" s="1"/>
  <c r="BR40" i="21"/>
  <c r="H41" i="21"/>
  <c r="I40" i="21"/>
  <c r="BS40" i="21" l="1"/>
  <c r="BT40" i="21" s="1"/>
  <c r="BR41" i="21"/>
  <c r="I41" i="21"/>
  <c r="H42" i="21"/>
  <c r="M41" i="21"/>
  <c r="BR42" i="21" l="1"/>
  <c r="H43" i="21"/>
  <c r="I42" i="21"/>
  <c r="BS41" i="21"/>
  <c r="BT41" i="21" s="1"/>
  <c r="M42" i="21"/>
  <c r="M43" i="21" l="1"/>
  <c r="BR43" i="21"/>
  <c r="H44" i="21"/>
  <c r="I43" i="21"/>
  <c r="BS42" i="21"/>
  <c r="BT42" i="21" s="1"/>
  <c r="BS43" i="21" l="1"/>
  <c r="BT43" i="21" s="1"/>
  <c r="M44" i="21"/>
  <c r="H45" i="21"/>
  <c r="I44" i="21"/>
  <c r="BR44" i="21"/>
  <c r="BS44" i="21" l="1"/>
  <c r="BT44" i="21" s="1"/>
  <c r="M45" i="21"/>
  <c r="H46" i="21"/>
  <c r="I45" i="21"/>
  <c r="BR45" i="21"/>
  <c r="BS45" i="21" l="1"/>
  <c r="BT45" i="21" s="1"/>
  <c r="BR46" i="21"/>
  <c r="H47" i="21"/>
  <c r="I46" i="21"/>
  <c r="M46" i="21"/>
  <c r="M47" i="21" l="1"/>
  <c r="BR47" i="21"/>
  <c r="H48" i="21"/>
  <c r="I47" i="21"/>
  <c r="BS46" i="21"/>
  <c r="BT46" i="21" s="1"/>
  <c r="BR48" i="21" l="1"/>
  <c r="H49" i="21"/>
  <c r="I48" i="21"/>
  <c r="BS47" i="21"/>
  <c r="BT47" i="21" s="1"/>
  <c r="M48" i="21"/>
  <c r="BR49" i="21" l="1"/>
  <c r="H50" i="21"/>
  <c r="I49" i="21"/>
  <c r="M49" i="21"/>
  <c r="BS48" i="21"/>
  <c r="BT48" i="21" s="1"/>
  <c r="BR50" i="21" l="1"/>
  <c r="H51" i="21"/>
  <c r="I50" i="21"/>
  <c r="M50" i="21"/>
  <c r="BS49" i="21"/>
  <c r="BT49" i="21" s="1"/>
  <c r="M51" i="21" l="1"/>
  <c r="BR51" i="21"/>
  <c r="H52" i="21"/>
  <c r="I51" i="21"/>
  <c r="BS50" i="21"/>
  <c r="BT50" i="21" s="1"/>
  <c r="H53" i="21" l="1"/>
  <c r="I52" i="21"/>
  <c r="BR52" i="21"/>
  <c r="M52" i="21"/>
  <c r="BS51" i="21"/>
  <c r="BT51" i="21" s="1"/>
  <c r="BS52" i="21" l="1"/>
  <c r="BT52" i="21" s="1"/>
  <c r="M53" i="21"/>
  <c r="H54" i="21"/>
  <c r="I53" i="21"/>
  <c r="BR53" i="21"/>
  <c r="BS53" i="21" l="1"/>
  <c r="BT53" i="21" s="1"/>
  <c r="BR54" i="21"/>
  <c r="H55" i="21"/>
  <c r="I54" i="21"/>
  <c r="M54" i="21"/>
  <c r="M55" i="21" l="1"/>
  <c r="BR55" i="21"/>
  <c r="H56" i="21"/>
  <c r="I55" i="21"/>
  <c r="BS54" i="21"/>
  <c r="BT54" i="21" s="1"/>
  <c r="BR56" i="21" l="1"/>
  <c r="H57" i="21"/>
  <c r="I56" i="21"/>
  <c r="BS55" i="21"/>
  <c r="BT55" i="21" s="1"/>
  <c r="M56" i="21"/>
  <c r="M57" i="21" l="1"/>
  <c r="BR57" i="21"/>
  <c r="H58" i="21"/>
  <c r="I57" i="21"/>
  <c r="BS56" i="21"/>
  <c r="BT56" i="21" s="1"/>
  <c r="BR58" i="21" l="1"/>
  <c r="H59" i="21"/>
  <c r="I58" i="21"/>
  <c r="BS57" i="21"/>
  <c r="BT57" i="21" s="1"/>
  <c r="M58" i="21"/>
  <c r="BR59" i="21" l="1"/>
  <c r="H60" i="21"/>
  <c r="I59" i="21"/>
  <c r="M59" i="21"/>
  <c r="BS58" i="21"/>
  <c r="BT58" i="21" s="1"/>
  <c r="M60" i="21" l="1"/>
  <c r="H61" i="21"/>
  <c r="I60" i="21"/>
  <c r="BR60" i="21"/>
  <c r="BS59" i="21"/>
  <c r="BT59" i="21" s="1"/>
  <c r="BS60" i="21" l="1"/>
  <c r="BT60" i="21" s="1"/>
  <c r="H62" i="21"/>
  <c r="I61" i="21"/>
  <c r="BR61" i="21"/>
  <c r="M61" i="21"/>
  <c r="BS61" i="21" l="1"/>
  <c r="BT61" i="21" s="1"/>
  <c r="M62" i="21"/>
  <c r="BR62" i="21"/>
  <c r="H63" i="21"/>
  <c r="I62" i="21"/>
  <c r="BR63" i="21" l="1"/>
  <c r="H64" i="21"/>
  <c r="I63" i="21"/>
  <c r="BS62" i="21"/>
  <c r="BT62" i="21" s="1"/>
  <c r="M63" i="21"/>
  <c r="BR64" i="21" l="1"/>
  <c r="H65" i="21"/>
  <c r="I64" i="21"/>
  <c r="M64" i="21"/>
  <c r="BS63" i="21"/>
  <c r="BT63" i="21" s="1"/>
  <c r="M65" i="21" l="1"/>
  <c r="BR65" i="21"/>
  <c r="H66" i="21"/>
  <c r="I65" i="21"/>
  <c r="BS64" i="21"/>
  <c r="BT64" i="21" s="1"/>
  <c r="BR66" i="21" l="1"/>
  <c r="H67" i="21"/>
  <c r="I66" i="21"/>
  <c r="BS65" i="21"/>
  <c r="BT65" i="21" s="1"/>
  <c r="M66" i="21"/>
  <c r="M67" i="21" l="1"/>
  <c r="BR67" i="21"/>
  <c r="H68" i="21"/>
  <c r="I67" i="21"/>
  <c r="BS66" i="21"/>
  <c r="BT66" i="21" s="1"/>
  <c r="H69" i="21" l="1"/>
  <c r="I68" i="21"/>
  <c r="BR68" i="21"/>
  <c r="BS67" i="21"/>
  <c r="BT67" i="21" s="1"/>
  <c r="M68" i="21"/>
  <c r="BS68" i="21" l="1"/>
  <c r="BT68" i="21" s="1"/>
  <c r="M69" i="21"/>
  <c r="H70" i="21"/>
  <c r="I69" i="21"/>
  <c r="BR69" i="21"/>
  <c r="BS69" i="21" l="1"/>
  <c r="BT69" i="21" s="1"/>
  <c r="BR70" i="21"/>
  <c r="I70" i="21"/>
  <c r="H71" i="21"/>
  <c r="M70" i="21"/>
  <c r="BR71" i="21" l="1"/>
  <c r="H72" i="21"/>
  <c r="I71" i="21"/>
  <c r="M71" i="21"/>
  <c r="BS70" i="21"/>
  <c r="BT70" i="21" s="1"/>
  <c r="M72" i="21" l="1"/>
  <c r="BR72" i="21"/>
  <c r="H73" i="21"/>
  <c r="I72" i="21"/>
  <c r="BS71" i="21"/>
  <c r="BT71" i="21" s="1"/>
  <c r="BR73" i="21" l="1"/>
  <c r="H74" i="21"/>
  <c r="I73" i="21"/>
  <c r="BS72" i="21"/>
  <c r="BT72" i="21" s="1"/>
  <c r="M73" i="21"/>
  <c r="M74" i="21" l="1"/>
  <c r="BR74" i="21"/>
  <c r="H75" i="21"/>
  <c r="I74" i="21"/>
  <c r="BS73" i="21"/>
  <c r="BT73" i="21" s="1"/>
  <c r="BR75" i="21" l="1"/>
  <c r="H76" i="21"/>
  <c r="I75" i="21"/>
  <c r="BS74" i="21"/>
  <c r="BT74" i="21" s="1"/>
  <c r="M75" i="21"/>
  <c r="M76" i="21" l="1"/>
  <c r="H77" i="21"/>
  <c r="I76" i="21"/>
  <c r="BR76" i="21"/>
  <c r="BS75" i="21"/>
  <c r="BT75" i="21" s="1"/>
  <c r="H78" i="21" l="1"/>
  <c r="I77" i="21"/>
  <c r="BR77" i="21"/>
  <c r="BS76" i="21"/>
  <c r="BT76" i="21" s="1"/>
  <c r="M77" i="21"/>
  <c r="M78" i="21" l="1"/>
  <c r="BS77" i="21"/>
  <c r="BT77" i="21" s="1"/>
  <c r="BR78" i="21"/>
  <c r="I78" i="21"/>
  <c r="H79" i="21"/>
  <c r="BS78" i="21" l="1"/>
  <c r="BT78" i="21" s="1"/>
  <c r="BR79" i="21"/>
  <c r="H80" i="21"/>
  <c r="I79" i="21"/>
  <c r="M79" i="21"/>
  <c r="BR80" i="21" l="1"/>
  <c r="H81" i="21"/>
  <c r="I80" i="21"/>
  <c r="BS79" i="21"/>
  <c r="BT79" i="21" s="1"/>
  <c r="M80" i="21"/>
  <c r="M81" i="21" l="1"/>
  <c r="BR81" i="21"/>
  <c r="H82" i="21"/>
  <c r="I81" i="21"/>
  <c r="BS80" i="21"/>
  <c r="BT80" i="21" s="1"/>
  <c r="BS81" i="21" l="1"/>
  <c r="BT81" i="21" s="1"/>
  <c r="BR82" i="21"/>
  <c r="H83" i="21"/>
  <c r="I82" i="21"/>
  <c r="M82" i="21"/>
  <c r="BR83" i="21" l="1"/>
  <c r="H84" i="21"/>
  <c r="I83" i="21"/>
  <c r="M83" i="21"/>
  <c r="BS82" i="21"/>
  <c r="BT82" i="21" s="1"/>
  <c r="H85" i="21" l="1"/>
  <c r="BR84" i="21"/>
  <c r="I84" i="21"/>
  <c r="M84" i="21"/>
  <c r="BS83" i="21"/>
  <c r="BT83" i="21" s="1"/>
  <c r="M85" i="21" l="1"/>
  <c r="BS84" i="21"/>
  <c r="BT84" i="21" s="1"/>
  <c r="H86" i="21"/>
  <c r="I85" i="21"/>
  <c r="BR85" i="21"/>
  <c r="BS85" i="21" l="1"/>
  <c r="BT85" i="21" s="1"/>
  <c r="BR86" i="21"/>
  <c r="H87" i="21"/>
  <c r="I86" i="21"/>
  <c r="M86" i="21"/>
  <c r="BS86" i="21" l="1"/>
  <c r="BT86" i="21" s="1"/>
  <c r="M87" i="21"/>
  <c r="H88" i="21"/>
  <c r="I87" i="21"/>
  <c r="BR87" i="21"/>
  <c r="BS87" i="21" l="1"/>
  <c r="BT87" i="21" s="1"/>
  <c r="M88" i="21"/>
  <c r="H89" i="21"/>
  <c r="I88" i="21"/>
  <c r="BR88" i="21"/>
  <c r="M89" i="21" l="1"/>
  <c r="BS88" i="21"/>
  <c r="BT88" i="21" s="1"/>
  <c r="BR89" i="21"/>
  <c r="H90" i="21"/>
  <c r="I89" i="21"/>
  <c r="BS89" i="21" l="1"/>
  <c r="BT89" i="21" s="1"/>
  <c r="BR90" i="21"/>
  <c r="I90" i="21"/>
  <c r="H91" i="21"/>
  <c r="M90" i="21"/>
  <c r="BS90" i="21" l="1"/>
  <c r="BT90" i="21" s="1"/>
  <c r="M91" i="21"/>
  <c r="BR91" i="21"/>
  <c r="H92" i="21"/>
  <c r="I91" i="21"/>
  <c r="H93" i="21" l="1"/>
  <c r="I92" i="21"/>
  <c r="BR92" i="21"/>
  <c r="M92" i="21"/>
  <c r="BS91" i="21"/>
  <c r="BT91" i="21" s="1"/>
  <c r="M93" i="21" l="1"/>
  <c r="BS92" i="21"/>
  <c r="BT92" i="21" s="1"/>
  <c r="H94" i="21"/>
  <c r="I93" i="21"/>
  <c r="BR93" i="21"/>
  <c r="BS93" i="21" l="1"/>
  <c r="BT93" i="21" s="1"/>
  <c r="BR94" i="21"/>
  <c r="H96" i="21"/>
  <c r="I94" i="21"/>
  <c r="H95" i="21"/>
  <c r="M94" i="21"/>
  <c r="M95" i="21" l="1"/>
  <c r="BR95" i="21"/>
  <c r="I95" i="21"/>
  <c r="BR96" i="21"/>
  <c r="H97" i="21"/>
  <c r="I96" i="21"/>
  <c r="BS94" i="21"/>
  <c r="BT94" i="21" s="1"/>
  <c r="BS96" i="21" l="1"/>
  <c r="BT96" i="21" s="1"/>
  <c r="BR97" i="21"/>
  <c r="H98" i="21"/>
  <c r="I97" i="21"/>
  <c r="BS95" i="21"/>
  <c r="BT95" i="21" s="1"/>
  <c r="M96" i="21"/>
  <c r="BR98" i="21" l="1"/>
  <c r="H99" i="21"/>
  <c r="I98" i="21"/>
  <c r="BS97" i="21"/>
  <c r="BT97" i="21" s="1"/>
  <c r="M97" i="21"/>
  <c r="M98" i="21" l="1"/>
  <c r="BR99" i="21"/>
  <c r="H100" i="21"/>
  <c r="I99" i="21"/>
  <c r="BS98" i="21"/>
  <c r="BT98" i="21" s="1"/>
  <c r="H101" i="21" l="1"/>
  <c r="I100" i="21"/>
  <c r="BR100" i="21"/>
  <c r="BS99" i="21"/>
  <c r="BT99" i="21" s="1"/>
  <c r="M99" i="21"/>
  <c r="M100" i="21" l="1"/>
  <c r="BS100" i="21"/>
  <c r="BT100" i="21" s="1"/>
  <c r="H102" i="21"/>
  <c r="I101" i="21"/>
  <c r="BR101" i="21"/>
  <c r="BR102" i="21" l="1"/>
  <c r="I102" i="21"/>
  <c r="H103" i="21"/>
  <c r="BS101" i="21"/>
  <c r="BT101" i="21" s="1"/>
  <c r="M101" i="21"/>
  <c r="M102" i="21" l="1"/>
  <c r="BR103" i="21"/>
  <c r="H104" i="21"/>
  <c r="I103" i="21"/>
  <c r="BS102" i="21"/>
  <c r="BT102" i="21" s="1"/>
  <c r="BR104" i="21" l="1"/>
  <c r="H105" i="21"/>
  <c r="I104" i="21"/>
  <c r="BS103" i="21"/>
  <c r="BT103" i="21" s="1"/>
  <c r="M103" i="21"/>
  <c r="M104" i="21" l="1"/>
  <c r="BR105" i="21"/>
  <c r="H106" i="21"/>
  <c r="I105" i="21"/>
  <c r="BS104" i="21"/>
  <c r="BT104" i="21" s="1"/>
  <c r="BR106" i="21" l="1"/>
  <c r="H107" i="21"/>
  <c r="I106" i="21"/>
  <c r="BS105" i="21"/>
  <c r="BT105" i="21" s="1"/>
  <c r="M105" i="21"/>
  <c r="M106" i="21" l="1"/>
  <c r="BR107" i="21"/>
  <c r="H108" i="21"/>
  <c r="I107" i="21"/>
  <c r="BS106" i="21"/>
  <c r="BT106" i="21" s="1"/>
  <c r="H109" i="21" l="1"/>
  <c r="I108" i="21"/>
  <c r="BR108" i="21"/>
  <c r="BS107" i="21"/>
  <c r="BT107" i="21" s="1"/>
  <c r="M107" i="21"/>
  <c r="M108" i="21" l="1"/>
  <c r="BS108" i="21"/>
  <c r="BT108" i="21" s="1"/>
  <c r="H110" i="21"/>
  <c r="I109" i="21"/>
  <c r="BR109" i="21"/>
  <c r="BS109" i="21" l="1"/>
  <c r="BT109" i="21" s="1"/>
  <c r="BR110" i="21"/>
  <c r="I110" i="21"/>
  <c r="H111" i="21"/>
  <c r="M109" i="21"/>
  <c r="M110" i="21" l="1"/>
  <c r="BS110" i="21"/>
  <c r="BT110" i="21" s="1"/>
  <c r="BR111" i="21"/>
  <c r="H112" i="21"/>
  <c r="I111" i="21"/>
  <c r="BR112" i="21" l="1"/>
  <c r="H113" i="21"/>
  <c r="I112" i="21"/>
  <c r="BS111" i="21"/>
  <c r="BT111" i="21" s="1"/>
  <c r="M111" i="21"/>
  <c r="M112" i="21" l="1"/>
  <c r="BR113" i="21"/>
  <c r="H114" i="21"/>
  <c r="I113" i="21"/>
  <c r="BS112" i="21"/>
  <c r="BT112" i="21" s="1"/>
  <c r="BR114" i="21" l="1"/>
  <c r="H115" i="21"/>
  <c r="I114" i="21"/>
  <c r="BS113" i="21"/>
  <c r="BT113" i="21" s="1"/>
  <c r="M113" i="21"/>
  <c r="M114" i="21" l="1"/>
  <c r="BR115" i="21"/>
  <c r="H116" i="21"/>
  <c r="I115" i="21"/>
  <c r="BS114" i="21"/>
  <c r="BT114" i="21" s="1"/>
  <c r="BS115" i="21" l="1"/>
  <c r="BT115" i="21" s="1"/>
  <c r="H117" i="21"/>
  <c r="I116" i="21"/>
  <c r="BR116" i="21"/>
  <c r="M115" i="21"/>
  <c r="BS116" i="21" l="1"/>
  <c r="BT116" i="21" s="1"/>
  <c r="M116" i="21"/>
  <c r="H118" i="21"/>
  <c r="I117" i="21"/>
  <c r="BR117" i="21"/>
  <c r="BR118" i="21" l="1"/>
  <c r="H119" i="21"/>
  <c r="I118" i="21"/>
  <c r="M117" i="21"/>
  <c r="BS117" i="21"/>
  <c r="BT117" i="21" s="1"/>
  <c r="M118" i="21" l="1"/>
  <c r="BR119" i="21"/>
  <c r="H120" i="21"/>
  <c r="I119" i="21"/>
  <c r="BS118" i="21"/>
  <c r="BT118" i="21" s="1"/>
  <c r="BS119" i="21" l="1"/>
  <c r="BT119" i="21" s="1"/>
  <c r="BR120" i="21"/>
  <c r="H121" i="21"/>
  <c r="I120" i="21"/>
  <c r="M119" i="21"/>
  <c r="BS120" i="21" l="1"/>
  <c r="BT120" i="21" s="1"/>
  <c r="BR121" i="21"/>
  <c r="H122" i="21"/>
  <c r="I121" i="21"/>
  <c r="M120" i="21"/>
  <c r="H123" i="21" l="1"/>
  <c r="I122" i="21"/>
  <c r="BR122" i="21"/>
  <c r="BS121" i="21"/>
  <c r="BT121" i="21" s="1"/>
  <c r="M121" i="21"/>
  <c r="M122" i="21" l="1"/>
  <c r="BS122" i="21"/>
  <c r="BT122" i="21" s="1"/>
  <c r="H124" i="21"/>
  <c r="I123" i="21"/>
  <c r="BR123" i="21"/>
  <c r="BS123" i="21" l="1"/>
  <c r="BT123" i="21" s="1"/>
  <c r="H125" i="21"/>
  <c r="I124" i="21"/>
  <c r="BR124" i="21"/>
  <c r="M123" i="21"/>
  <c r="M124" i="21" l="1"/>
  <c r="I125" i="21"/>
  <c r="BR125" i="21"/>
  <c r="H126" i="21"/>
  <c r="BS124" i="21"/>
  <c r="BT124" i="21" s="1"/>
  <c r="BR126" i="21" l="1"/>
  <c r="H127" i="21"/>
  <c r="I126" i="21"/>
  <c r="BS125" i="21"/>
  <c r="BT125" i="21" s="1"/>
  <c r="M125" i="21"/>
  <c r="M126" i="21" l="1"/>
  <c r="BR127" i="21"/>
  <c r="H128" i="21"/>
  <c r="I127" i="21"/>
  <c r="BS126" i="21"/>
  <c r="BT126" i="21" s="1"/>
  <c r="BS127" i="21" l="1"/>
  <c r="BT127" i="21" s="1"/>
  <c r="BR128" i="21"/>
  <c r="H129" i="21"/>
  <c r="I128" i="21"/>
  <c r="M127" i="21"/>
  <c r="M128" i="21" l="1"/>
  <c r="BR129" i="21"/>
  <c r="H130" i="21"/>
  <c r="I129" i="21"/>
  <c r="BS128" i="21"/>
  <c r="BT128" i="21" s="1"/>
  <c r="BS129" i="21" l="1"/>
  <c r="BT129" i="21" s="1"/>
  <c r="H131" i="21"/>
  <c r="I130" i="21"/>
  <c r="BR130" i="21"/>
  <c r="M129" i="21"/>
  <c r="BS130" i="21" l="1"/>
  <c r="BT130" i="21" s="1"/>
  <c r="M130" i="21"/>
  <c r="H132" i="21"/>
  <c r="I131" i="21"/>
  <c r="BR131" i="21"/>
  <c r="BS131" i="21" l="1"/>
  <c r="BT131" i="21" s="1"/>
  <c r="BR132" i="21"/>
  <c r="H133" i="21"/>
  <c r="I132" i="21"/>
  <c r="M131" i="21"/>
  <c r="M132" i="21" l="1"/>
  <c r="BS132" i="21"/>
  <c r="BT132" i="21" s="1"/>
  <c r="BR133" i="21"/>
  <c r="H134" i="21"/>
  <c r="I133" i="21"/>
  <c r="BS133" i="21" l="1"/>
  <c r="BT133" i="21" s="1"/>
  <c r="BR134" i="21"/>
  <c r="H135" i="21"/>
  <c r="I134" i="21"/>
  <c r="M133" i="21"/>
  <c r="M134" i="21" l="1"/>
  <c r="BS134" i="21"/>
  <c r="BT134" i="21" s="1"/>
  <c r="BR135" i="21"/>
  <c r="H136" i="21"/>
  <c r="I135" i="21"/>
  <c r="BS135" i="21" l="1"/>
  <c r="BT135" i="21" s="1"/>
  <c r="BR136" i="21"/>
  <c r="H137" i="21"/>
  <c r="I136" i="21"/>
  <c r="M135" i="21"/>
  <c r="BS136" i="21" l="1"/>
  <c r="BT136" i="21" s="1"/>
  <c r="M136" i="21"/>
  <c r="BR137" i="21"/>
  <c r="H138" i="21"/>
  <c r="I137" i="21"/>
  <c r="M137" i="21" l="1"/>
  <c r="BS137" i="21"/>
  <c r="BT137" i="21" s="1"/>
  <c r="H139" i="21"/>
  <c r="I138" i="21"/>
  <c r="BR138" i="21"/>
  <c r="H140" i="21" l="1"/>
  <c r="I139" i="21"/>
  <c r="BR139" i="21"/>
  <c r="BS138" i="21"/>
  <c r="BT138" i="21" s="1"/>
  <c r="M138" i="21"/>
  <c r="M139" i="21" l="1"/>
  <c r="BS139" i="21"/>
  <c r="BT139" i="21" s="1"/>
  <c r="BR140" i="21"/>
  <c r="H141" i="21"/>
  <c r="I140" i="21"/>
  <c r="BS140" i="21" l="1"/>
  <c r="BT140" i="21" s="1"/>
  <c r="BR141" i="21"/>
  <c r="H142" i="21"/>
  <c r="I141" i="21"/>
  <c r="M140" i="21"/>
  <c r="BR142" i="21" l="1"/>
  <c r="H143" i="21"/>
  <c r="I142" i="21"/>
  <c r="M141" i="21"/>
  <c r="BS141" i="21"/>
  <c r="BT141" i="21" s="1"/>
  <c r="M142" i="21" l="1"/>
  <c r="BR143" i="21"/>
  <c r="H144" i="21"/>
  <c r="I143" i="21"/>
  <c r="BS142" i="21"/>
  <c r="BT142" i="21" s="1"/>
  <c r="BS143" i="21" l="1"/>
  <c r="BT143" i="21" s="1"/>
  <c r="BR144" i="21"/>
  <c r="H145" i="21"/>
  <c r="I144" i="21"/>
  <c r="M143" i="21"/>
  <c r="M144" i="21" l="1"/>
  <c r="BS144" i="21"/>
  <c r="BT144" i="21" s="1"/>
  <c r="BR145" i="21"/>
  <c r="H146" i="21"/>
  <c r="I145" i="21"/>
  <c r="H147" i="21" l="1"/>
  <c r="I146" i="21"/>
  <c r="BR146" i="21"/>
  <c r="BS145" i="21"/>
  <c r="BT145" i="21" s="1"/>
  <c r="M145" i="21"/>
  <c r="M146" i="21" l="1"/>
  <c r="BS146" i="21"/>
  <c r="BT146" i="21" s="1"/>
  <c r="H148" i="21"/>
  <c r="I147" i="21"/>
  <c r="BR147" i="21"/>
  <c r="BS147" i="21" l="1"/>
  <c r="BT147" i="21" s="1"/>
  <c r="BR148" i="21"/>
  <c r="H149" i="21"/>
  <c r="I148" i="21"/>
  <c r="M147" i="21"/>
  <c r="BR149" i="21" l="1"/>
  <c r="H150" i="21"/>
  <c r="I149" i="21"/>
  <c r="BS148" i="21"/>
  <c r="BT148" i="21" s="1"/>
  <c r="M148" i="21"/>
  <c r="M149" i="21" l="1"/>
  <c r="BR150" i="21"/>
  <c r="H151" i="21"/>
  <c r="I150" i="21"/>
  <c r="BS149" i="21"/>
  <c r="BT149" i="21" s="1"/>
  <c r="BR151" i="21" l="1"/>
  <c r="H152" i="21"/>
  <c r="I151" i="21"/>
  <c r="BS150" i="21"/>
  <c r="BT150" i="21" s="1"/>
  <c r="M150" i="21"/>
  <c r="M151" i="21" l="1"/>
  <c r="BR152" i="21"/>
  <c r="H153" i="21"/>
  <c r="I152" i="21"/>
  <c r="BS151" i="21"/>
  <c r="BT151" i="21" s="1"/>
  <c r="BR153" i="21" l="1"/>
  <c r="I153" i="21"/>
  <c r="H154" i="21"/>
  <c r="BS152" i="21"/>
  <c r="BT152" i="21" s="1"/>
  <c r="M152" i="21"/>
  <c r="H155" i="21" l="1"/>
  <c r="I154" i="21"/>
  <c r="BR154" i="21"/>
  <c r="M153" i="21"/>
  <c r="BS153" i="21"/>
  <c r="BT153" i="21" s="1"/>
  <c r="M154" i="21" l="1"/>
  <c r="BS154" i="21"/>
  <c r="BT154" i="21" s="1"/>
  <c r="BR155" i="21"/>
  <c r="H156" i="21"/>
  <c r="I155" i="21"/>
  <c r="BR156" i="21" l="1"/>
  <c r="H157" i="21"/>
  <c r="I156" i="21"/>
  <c r="BS155" i="21"/>
  <c r="BT155" i="21" s="1"/>
  <c r="M155" i="21"/>
  <c r="H158" i="21" l="1"/>
  <c r="I157" i="21"/>
  <c r="BR157" i="21"/>
  <c r="M156" i="21"/>
  <c r="BS156" i="21"/>
  <c r="BT156" i="21" s="1"/>
  <c r="M157" i="21" l="1"/>
  <c r="BS157" i="21"/>
  <c r="BT157" i="21" s="1"/>
  <c r="H159" i="21"/>
  <c r="I158" i="21"/>
  <c r="BR158" i="21"/>
  <c r="BS158" i="21" l="1"/>
  <c r="BT158" i="21" s="1"/>
  <c r="BR159" i="21"/>
  <c r="H160" i="21"/>
  <c r="I159" i="21"/>
  <c r="M158" i="21"/>
  <c r="BS159" i="21" l="1"/>
  <c r="BT159" i="21" s="1"/>
  <c r="M159" i="21"/>
  <c r="BR160" i="21"/>
  <c r="H161" i="21"/>
  <c r="I160" i="21"/>
  <c r="BR161" i="21" l="1"/>
  <c r="H162" i="21"/>
  <c r="I161" i="21"/>
  <c r="BS160" i="21"/>
  <c r="BT160" i="21" s="1"/>
  <c r="M160" i="21"/>
  <c r="M161" i="21" l="1"/>
  <c r="BR162" i="21"/>
  <c r="H163" i="21"/>
  <c r="I162" i="21"/>
  <c r="BS161" i="21"/>
  <c r="BT161" i="21" s="1"/>
  <c r="BR163" i="21" l="1"/>
  <c r="H164" i="21"/>
  <c r="I163" i="21"/>
  <c r="BS162" i="21"/>
  <c r="BT162" i="21" s="1"/>
  <c r="M162" i="21"/>
  <c r="BR164" i="21" l="1"/>
  <c r="H165" i="21"/>
  <c r="I164" i="21"/>
  <c r="M163" i="21"/>
  <c r="BS163" i="21"/>
  <c r="BT163" i="21" s="1"/>
  <c r="M164" i="21" l="1"/>
  <c r="H166" i="21"/>
  <c r="I165" i="21"/>
  <c r="BR165" i="21"/>
  <c r="BS164" i="21"/>
  <c r="BT164" i="21" s="1"/>
  <c r="H167" i="21" l="1"/>
  <c r="I166" i="21"/>
  <c r="BR166" i="21"/>
  <c r="BS165" i="21"/>
  <c r="BT165" i="21" s="1"/>
  <c r="M165" i="21"/>
  <c r="BS166" i="21" l="1"/>
  <c r="BT166" i="21" s="1"/>
  <c r="M166" i="21"/>
  <c r="BR167" i="21"/>
  <c r="H168" i="21"/>
  <c r="I167" i="21"/>
  <c r="M167" i="21" l="1"/>
  <c r="H169" i="21"/>
  <c r="I168" i="21"/>
  <c r="BR168" i="21"/>
  <c r="BS167" i="21"/>
  <c r="BT167" i="21" s="1"/>
  <c r="BS168" i="21" l="1"/>
  <c r="BT168" i="21" s="1"/>
  <c r="H170" i="21"/>
  <c r="I169" i="21"/>
  <c r="BR169" i="21"/>
  <c r="M168" i="21"/>
  <c r="BS169" i="21" l="1"/>
  <c r="BT169" i="21" s="1"/>
  <c r="M169" i="21"/>
  <c r="BR170" i="21"/>
  <c r="H171" i="21"/>
  <c r="I170" i="21"/>
  <c r="H172" i="21" l="1"/>
  <c r="I171" i="21"/>
  <c r="BR171" i="21"/>
  <c r="M170" i="21"/>
  <c r="BS170" i="21"/>
  <c r="BT170" i="21" s="1"/>
  <c r="M171" i="21" l="1"/>
  <c r="BS171" i="21"/>
  <c r="BT171" i="21" s="1"/>
  <c r="H173" i="21"/>
  <c r="I172" i="21"/>
  <c r="BR172" i="21"/>
  <c r="BR173" i="21" l="1"/>
  <c r="H174" i="21"/>
  <c r="I173" i="21"/>
  <c r="BS172" i="21"/>
  <c r="BT172" i="21" s="1"/>
  <c r="M172" i="21"/>
  <c r="M173" i="21" l="1"/>
  <c r="BR174" i="21"/>
  <c r="H175" i="21"/>
  <c r="I174" i="21"/>
  <c r="BS173" i="21"/>
  <c r="BT173" i="21" s="1"/>
  <c r="BS174" i="21" l="1"/>
  <c r="BT174" i="21" s="1"/>
  <c r="BR175" i="21"/>
  <c r="H176" i="21"/>
  <c r="I175" i="21"/>
  <c r="M174" i="21"/>
  <c r="BS175" i="21" l="1"/>
  <c r="BT175" i="21" s="1"/>
  <c r="M175" i="21"/>
  <c r="BR176" i="21"/>
  <c r="H177" i="21"/>
  <c r="I176" i="21"/>
  <c r="M176" i="21" l="1"/>
  <c r="BR177" i="21"/>
  <c r="H178" i="21"/>
  <c r="I177" i="21"/>
  <c r="BS176" i="21"/>
  <c r="BT176" i="21" s="1"/>
  <c r="BS177" i="21" l="1"/>
  <c r="BT177" i="21" s="1"/>
  <c r="BR178" i="21"/>
  <c r="H179" i="21"/>
  <c r="I178" i="21"/>
  <c r="M177" i="21"/>
  <c r="BS178" i="21" l="1"/>
  <c r="BT178" i="21" s="1"/>
  <c r="M178" i="21"/>
  <c r="H180" i="21"/>
  <c r="I179" i="21"/>
  <c r="BR179" i="21"/>
  <c r="BS179" i="21" l="1"/>
  <c r="BT179" i="21" s="1"/>
  <c r="M179" i="21"/>
  <c r="H181" i="21"/>
  <c r="I180" i="21"/>
  <c r="BR180" i="21"/>
  <c r="BS180" i="21" l="1"/>
  <c r="BT180" i="21" s="1"/>
  <c r="I181" i="21"/>
  <c r="BR181" i="21"/>
  <c r="H182" i="21"/>
  <c r="M180" i="21"/>
  <c r="M181" i="21" l="1"/>
  <c r="BR182" i="21"/>
  <c r="H183" i="21"/>
  <c r="I182" i="21"/>
  <c r="BS181" i="21"/>
  <c r="BT181" i="21" s="1"/>
  <c r="BS182" i="21" l="1"/>
  <c r="BT182" i="21" s="1"/>
  <c r="BR183" i="21"/>
  <c r="I183" i="21"/>
  <c r="H184" i="21"/>
  <c r="M182" i="21"/>
  <c r="M183" i="21" l="1"/>
  <c r="BS183" i="21"/>
  <c r="BT183" i="21" s="1"/>
  <c r="BR184" i="21"/>
  <c r="H185" i="21"/>
  <c r="I184" i="21"/>
  <c r="BS184" i="21" l="1"/>
  <c r="BT184" i="21" s="1"/>
  <c r="BR185" i="21"/>
  <c r="H186" i="21"/>
  <c r="I185" i="21"/>
  <c r="M184" i="21"/>
  <c r="M185" i="21" l="1"/>
  <c r="BS185" i="21"/>
  <c r="BT185" i="21" s="1"/>
  <c r="BR186" i="21"/>
  <c r="H187" i="21"/>
  <c r="I186" i="21"/>
  <c r="H188" i="21" l="1"/>
  <c r="I187" i="21"/>
  <c r="BR187" i="21"/>
  <c r="BS186" i="21"/>
  <c r="BT186" i="21" s="1"/>
  <c r="M186" i="21"/>
  <c r="M187" i="21" l="1"/>
  <c r="BS187" i="21"/>
  <c r="BT187" i="21" s="1"/>
  <c r="H189" i="21"/>
  <c r="I188" i="21"/>
  <c r="BR188" i="21"/>
  <c r="BR189" i="21" l="1"/>
  <c r="H190" i="21"/>
  <c r="I189" i="21"/>
  <c r="BS188" i="21"/>
  <c r="BT188" i="21" s="1"/>
  <c r="M188" i="21"/>
  <c r="M189" i="21" l="1"/>
  <c r="BR190" i="21"/>
  <c r="H191" i="21"/>
  <c r="I190" i="21"/>
  <c r="BS189" i="21"/>
  <c r="BT189" i="21" s="1"/>
  <c r="BR191" i="21" l="1"/>
  <c r="H192" i="21"/>
  <c r="I191" i="21"/>
  <c r="BS190" i="21"/>
  <c r="BT190" i="21" s="1"/>
  <c r="M190" i="21"/>
  <c r="BR192" i="21" l="1"/>
  <c r="H193" i="21"/>
  <c r="I192" i="21"/>
  <c r="M191" i="21"/>
  <c r="BS191" i="21"/>
  <c r="BT191" i="21" s="1"/>
  <c r="M192" i="21" l="1"/>
  <c r="BR193" i="21"/>
  <c r="H194" i="21"/>
  <c r="I193" i="21"/>
  <c r="BS192" i="21"/>
  <c r="BT192" i="21" s="1"/>
  <c r="BR194" i="21" l="1"/>
  <c r="I194" i="21"/>
  <c r="H195" i="21"/>
  <c r="BS193" i="21"/>
  <c r="BT193" i="21" s="1"/>
  <c r="M193" i="21"/>
  <c r="H196" i="21" l="1"/>
  <c r="I195" i="21"/>
  <c r="BR195" i="21"/>
  <c r="M194" i="21"/>
  <c r="BS194" i="21"/>
  <c r="BT194" i="21" s="1"/>
  <c r="M195" i="21" l="1"/>
  <c r="BS195" i="21"/>
  <c r="BT195" i="21" s="1"/>
  <c r="H197" i="21"/>
  <c r="I196" i="21"/>
  <c r="BR196" i="21"/>
  <c r="BR197" i="21" l="1"/>
  <c r="I197" i="21"/>
  <c r="H198" i="21"/>
  <c r="BS196" i="21"/>
  <c r="BT196" i="21" s="1"/>
  <c r="M196" i="21"/>
  <c r="BR198" i="21" l="1"/>
  <c r="H199" i="21"/>
  <c r="I198" i="21"/>
  <c r="M197" i="21"/>
  <c r="BS197" i="21"/>
  <c r="BT197" i="21" s="1"/>
  <c r="M198" i="21" l="1"/>
  <c r="H200" i="21"/>
  <c r="I199" i="21"/>
  <c r="BR199" i="21"/>
  <c r="BS198" i="21"/>
  <c r="BT198" i="21" s="1"/>
  <c r="H201" i="21" l="1"/>
  <c r="I200" i="21"/>
  <c r="BR200" i="21"/>
  <c r="BS199" i="21"/>
  <c r="BT199" i="21" s="1"/>
  <c r="M199" i="21"/>
  <c r="M200" i="21" l="1"/>
  <c r="BS200" i="21"/>
  <c r="BT200" i="21" s="1"/>
  <c r="BR201" i="21"/>
  <c r="H202" i="21"/>
  <c r="I201" i="21"/>
  <c r="BR202" i="21" l="1"/>
  <c r="H203" i="21"/>
  <c r="I202" i="21"/>
  <c r="BS201" i="21"/>
  <c r="BT201" i="21" s="1"/>
  <c r="M201" i="21"/>
  <c r="M202" i="21" l="1"/>
  <c r="BR203" i="21"/>
  <c r="H204" i="21"/>
  <c r="I203" i="21"/>
  <c r="BS202" i="21"/>
  <c r="BT202" i="21" s="1"/>
  <c r="H205" i="21" l="1"/>
  <c r="I204" i="21"/>
  <c r="BR204" i="21"/>
  <c r="BS203" i="21"/>
  <c r="BT203" i="21" s="1"/>
  <c r="M203" i="21"/>
  <c r="M204" i="21" l="1"/>
  <c r="BS204" i="21"/>
  <c r="BT204" i="21" s="1"/>
  <c r="H206" i="21"/>
  <c r="I205" i="21"/>
  <c r="BR205" i="21"/>
  <c r="BR206" i="21" l="1"/>
  <c r="I206" i="21"/>
  <c r="H207" i="21"/>
  <c r="BS205" i="21"/>
  <c r="BT205" i="21" s="1"/>
  <c r="M205" i="21"/>
  <c r="BR207" i="21" l="1"/>
  <c r="H208" i="21"/>
  <c r="I207" i="21"/>
  <c r="M206" i="21"/>
  <c r="BS206" i="21"/>
  <c r="BT206" i="21" s="1"/>
  <c r="M207" i="21" l="1"/>
  <c r="BR208" i="21"/>
  <c r="H209" i="21"/>
  <c r="I208" i="21"/>
  <c r="BS207" i="21"/>
  <c r="BT207" i="21" s="1"/>
  <c r="BR209" i="21" l="1"/>
  <c r="H210" i="21"/>
  <c r="I209" i="21"/>
  <c r="BS208" i="21"/>
  <c r="BT208" i="21" s="1"/>
  <c r="M208" i="21"/>
  <c r="M209" i="21" l="1"/>
  <c r="BR210" i="21"/>
  <c r="H211" i="21"/>
  <c r="I210" i="21"/>
  <c r="BS209" i="21"/>
  <c r="BT209" i="21" s="1"/>
  <c r="BR211" i="21" l="1"/>
  <c r="H212" i="21"/>
  <c r="I211" i="21"/>
  <c r="BS210" i="21"/>
  <c r="BT210" i="21" s="1"/>
  <c r="M210" i="21"/>
  <c r="M211" i="21" l="1"/>
  <c r="H213" i="21"/>
  <c r="I212" i="21"/>
  <c r="BR212" i="21"/>
  <c r="BS211" i="21"/>
  <c r="BT211" i="21" s="1"/>
  <c r="H214" i="21" l="1"/>
  <c r="I213" i="21"/>
  <c r="BR213" i="21"/>
  <c r="BS212" i="21"/>
  <c r="BT212" i="21" s="1"/>
  <c r="M212" i="21"/>
  <c r="M213" i="21" l="1"/>
  <c r="BS213" i="21"/>
  <c r="BT213" i="21" s="1"/>
  <c r="BR214" i="21"/>
  <c r="I214" i="21"/>
  <c r="H215" i="21"/>
  <c r="BR215" i="21" l="1"/>
  <c r="H216" i="21"/>
  <c r="I215" i="21"/>
  <c r="BS214" i="21"/>
  <c r="BT214" i="21" s="1"/>
  <c r="M214" i="21"/>
  <c r="M215" i="21" l="1"/>
  <c r="BR216" i="21"/>
  <c r="H217" i="21"/>
  <c r="I216" i="21"/>
  <c r="BS215" i="21"/>
  <c r="BT215" i="21" s="1"/>
  <c r="BR217" i="21" l="1"/>
  <c r="H218" i="21"/>
  <c r="I217" i="21"/>
  <c r="BS216" i="21"/>
  <c r="BT216" i="21" s="1"/>
  <c r="M216" i="21"/>
  <c r="M217" i="21" l="1"/>
  <c r="BR218" i="21"/>
  <c r="H219" i="21"/>
  <c r="I218" i="21"/>
  <c r="BS217" i="21"/>
  <c r="BT217" i="21" s="1"/>
  <c r="BS218" i="21" l="1"/>
  <c r="BT218" i="21" s="1"/>
  <c r="I219" i="21"/>
  <c r="BR219" i="21"/>
  <c r="H220" i="21"/>
  <c r="M218" i="21"/>
  <c r="H221" i="21" l="1"/>
  <c r="I220" i="21"/>
  <c r="BR220" i="21"/>
  <c r="BS219" i="21"/>
  <c r="BT219" i="21" s="1"/>
  <c r="M219" i="21"/>
  <c r="BS220" i="21" l="1"/>
  <c r="BT220" i="21" s="1"/>
  <c r="M220" i="21"/>
  <c r="BR221" i="21"/>
  <c r="I221" i="21"/>
  <c r="H222" i="21"/>
  <c r="BR222" i="21" l="1"/>
  <c r="H223" i="21"/>
  <c r="I222" i="21"/>
  <c r="BS221" i="21"/>
  <c r="BT221" i="21" s="1"/>
  <c r="M221" i="21"/>
  <c r="M222" i="21" l="1"/>
  <c r="H224" i="21"/>
  <c r="I223" i="21"/>
  <c r="BR223" i="21"/>
  <c r="BS222" i="21"/>
  <c r="BT222" i="21" s="1"/>
  <c r="BS223" i="21" l="1"/>
  <c r="BT223" i="21" s="1"/>
  <c r="BR224" i="21"/>
  <c r="H225" i="21"/>
  <c r="I224" i="21"/>
  <c r="M223" i="21"/>
  <c r="BR225" i="21" l="1"/>
  <c r="I225" i="21"/>
  <c r="H226" i="21"/>
  <c r="BS224" i="21"/>
  <c r="BT224" i="21" s="1"/>
  <c r="M224" i="21"/>
  <c r="H227" i="21" l="1"/>
  <c r="I226" i="21"/>
  <c r="BR226" i="21"/>
  <c r="M225" i="21"/>
  <c r="BS225" i="21"/>
  <c r="BT225" i="21" s="1"/>
  <c r="M226" i="21" l="1"/>
  <c r="BS226" i="21"/>
  <c r="BT226" i="21" s="1"/>
  <c r="H228" i="21"/>
  <c r="I227" i="21"/>
  <c r="BR227" i="21"/>
  <c r="H229" i="21" l="1"/>
  <c r="I228" i="21"/>
  <c r="BR228" i="21"/>
  <c r="BS227" i="21"/>
  <c r="BT227" i="21" s="1"/>
  <c r="M227" i="21"/>
  <c r="M228" i="21" l="1"/>
  <c r="BS228" i="21"/>
  <c r="BT228" i="21" s="1"/>
  <c r="BR229" i="21"/>
  <c r="I229" i="21"/>
  <c r="H230" i="21"/>
  <c r="BR230" i="21" l="1"/>
  <c r="H231" i="21"/>
  <c r="I230" i="21"/>
  <c r="BS229" i="21"/>
  <c r="BT229" i="21" s="1"/>
  <c r="M229" i="21"/>
  <c r="M230" i="21" l="1"/>
  <c r="BR231" i="21"/>
  <c r="H232" i="21"/>
  <c r="I231" i="21"/>
  <c r="BS230" i="21"/>
  <c r="BT230" i="21" s="1"/>
  <c r="BS231" i="21" l="1"/>
  <c r="BT231" i="21" s="1"/>
  <c r="M231" i="21"/>
  <c r="BR232" i="21"/>
  <c r="H233" i="21"/>
  <c r="I232" i="21"/>
  <c r="BS232" i="21" l="1"/>
  <c r="BT232" i="21" s="1"/>
  <c r="M232" i="21"/>
  <c r="H234" i="21"/>
  <c r="I233" i="21"/>
  <c r="BR233" i="21"/>
  <c r="BS233" i="21" l="1"/>
  <c r="BT233" i="21" s="1"/>
  <c r="M233" i="21"/>
  <c r="H235" i="21"/>
  <c r="I234" i="21"/>
  <c r="BR234" i="21"/>
  <c r="BS234" i="21" l="1"/>
  <c r="BT234" i="21" s="1"/>
  <c r="BR235" i="21"/>
  <c r="I235" i="21"/>
  <c r="H236" i="21"/>
  <c r="M234" i="21"/>
  <c r="BS235" i="21" l="1"/>
  <c r="BT235" i="21" s="1"/>
  <c r="M235" i="21"/>
  <c r="BR236" i="21"/>
  <c r="H237" i="21"/>
  <c r="I236" i="21"/>
  <c r="BR237" i="21" l="1"/>
  <c r="H238" i="21"/>
  <c r="I237" i="21"/>
  <c r="M236" i="21"/>
  <c r="BS236" i="21"/>
  <c r="BT236" i="21" s="1"/>
  <c r="M237" i="21" l="1"/>
  <c r="BR238" i="21"/>
  <c r="H239" i="21"/>
  <c r="I238" i="21"/>
  <c r="BS237" i="21"/>
  <c r="BT237" i="21" s="1"/>
  <c r="BR239" i="21" l="1"/>
  <c r="H240" i="21"/>
  <c r="I239" i="21"/>
  <c r="BS238" i="21"/>
  <c r="BT238" i="21" s="1"/>
  <c r="M238" i="21"/>
  <c r="M239" i="21" l="1"/>
  <c r="BR240" i="21"/>
  <c r="H241" i="21"/>
  <c r="I240" i="21"/>
  <c r="BS239" i="21"/>
  <c r="BT239" i="21" s="1"/>
  <c r="BS240" i="21" l="1"/>
  <c r="BT240" i="21" s="1"/>
  <c r="H242" i="21"/>
  <c r="I241" i="21"/>
  <c r="BR241" i="21"/>
  <c r="M240" i="21"/>
  <c r="BS241" i="21" l="1"/>
  <c r="BT241" i="21" s="1"/>
  <c r="M241" i="21"/>
  <c r="H243" i="21"/>
  <c r="I242" i="21"/>
  <c r="BR242" i="21"/>
  <c r="BS242" i="21" l="1"/>
  <c r="BT242" i="21" s="1"/>
  <c r="H244" i="21"/>
  <c r="BR243" i="21"/>
  <c r="I243" i="21"/>
  <c r="M242" i="21"/>
  <c r="BS243" i="21" l="1"/>
  <c r="BT243" i="21" s="1"/>
  <c r="BR244" i="21"/>
  <c r="H245" i="21"/>
  <c r="I244" i="21"/>
  <c r="M243" i="21"/>
  <c r="BR245" i="21" l="1"/>
  <c r="H246" i="21"/>
  <c r="I245" i="21"/>
  <c r="BS244" i="21"/>
  <c r="BT244" i="21" s="1"/>
  <c r="M244" i="21"/>
  <c r="M245" i="21" l="1"/>
  <c r="H247" i="21"/>
  <c r="I246" i="21"/>
  <c r="BR246" i="21"/>
  <c r="BS245" i="21"/>
  <c r="BT245" i="21" s="1"/>
  <c r="BS246" i="21" l="1"/>
  <c r="BT246" i="21" s="1"/>
  <c r="BR247" i="21"/>
  <c r="H248" i="21"/>
  <c r="I247" i="21"/>
  <c r="M246" i="21"/>
  <c r="BR248" i="21" l="1"/>
  <c r="I248" i="21"/>
  <c r="H249" i="21"/>
  <c r="BS247" i="21"/>
  <c r="BT247" i="21" s="1"/>
  <c r="M247" i="21"/>
  <c r="H250" i="21" l="1"/>
  <c r="I249" i="21"/>
  <c r="BR249" i="21"/>
  <c r="M248" i="21"/>
  <c r="BS248" i="21"/>
  <c r="BT248" i="21" s="1"/>
  <c r="M249" i="21" l="1"/>
  <c r="BS249" i="21"/>
  <c r="BT249" i="21" s="1"/>
  <c r="BR250" i="21"/>
  <c r="H251" i="21"/>
  <c r="I250" i="21"/>
  <c r="BS250" i="21" l="1"/>
  <c r="BT250" i="21" s="1"/>
  <c r="H252" i="21"/>
  <c r="I251" i="21"/>
  <c r="BR251" i="21"/>
  <c r="M250" i="21"/>
  <c r="BS251" i="21" l="1"/>
  <c r="BT251" i="21" s="1"/>
  <c r="BR252" i="21"/>
  <c r="H253" i="21"/>
  <c r="I252" i="21"/>
  <c r="M251" i="21"/>
  <c r="M252" i="21" l="1"/>
  <c r="BR253" i="21"/>
  <c r="I253" i="21"/>
  <c r="H254" i="21"/>
  <c r="BS252" i="21"/>
  <c r="BT252" i="21" s="1"/>
  <c r="H255" i="21" l="1"/>
  <c r="I254" i="21"/>
  <c r="BR254" i="21"/>
  <c r="BS253" i="21"/>
  <c r="BT253" i="21" s="1"/>
  <c r="M253" i="21"/>
  <c r="BS254" i="21" l="1"/>
  <c r="BT254" i="21" s="1"/>
  <c r="M254" i="21"/>
  <c r="BR255" i="21"/>
  <c r="H256" i="21"/>
  <c r="I255" i="21"/>
  <c r="BS255" i="21" l="1"/>
  <c r="BT255" i="21" s="1"/>
  <c r="M255" i="21"/>
  <c r="H257" i="21"/>
  <c r="I256" i="21"/>
  <c r="BR256" i="21"/>
  <c r="H258" i="21" l="1"/>
  <c r="I257" i="21"/>
  <c r="BR257" i="21"/>
  <c r="M256" i="21"/>
  <c r="BS256" i="21"/>
  <c r="BT256" i="21" s="1"/>
  <c r="M257" i="21" l="1"/>
  <c r="BS257" i="21"/>
  <c r="BT257" i="21" s="1"/>
  <c r="BR258" i="21"/>
  <c r="I258" i="21"/>
  <c r="H259" i="21"/>
  <c r="BR259" i="21" l="1"/>
  <c r="H260" i="21"/>
  <c r="I259" i="21"/>
  <c r="BS258" i="21"/>
  <c r="BT258" i="21" s="1"/>
  <c r="M258" i="21"/>
  <c r="M259" i="21" l="1"/>
  <c r="BR260" i="21"/>
  <c r="H261" i="21"/>
  <c r="I260" i="21"/>
  <c r="BS259" i="21"/>
  <c r="BT259" i="21" s="1"/>
  <c r="BR261" i="21" l="1"/>
  <c r="H262" i="21"/>
  <c r="I261" i="21"/>
  <c r="BS260" i="21"/>
  <c r="BT260" i="21" s="1"/>
  <c r="M260" i="21"/>
  <c r="M261" i="21" l="1"/>
  <c r="BR262" i="21"/>
  <c r="H263" i="21"/>
  <c r="I262" i="21"/>
  <c r="BS261" i="21"/>
  <c r="BT261" i="21" s="1"/>
  <c r="BR263" i="21" l="1"/>
  <c r="H264" i="21"/>
  <c r="I263" i="21"/>
  <c r="BS262" i="21"/>
  <c r="BT262" i="21" s="1"/>
  <c r="M262" i="21"/>
  <c r="M263" i="21" l="1"/>
  <c r="H265" i="21"/>
  <c r="I264" i="21"/>
  <c r="BR264" i="21"/>
  <c r="BS263" i="21"/>
  <c r="BT263" i="21" s="1"/>
  <c r="BS264" i="21" l="1"/>
  <c r="BT264" i="21" s="1"/>
  <c r="H266" i="21"/>
  <c r="I265" i="21"/>
  <c r="BR265" i="21"/>
  <c r="M264" i="21"/>
  <c r="BS265" i="21" l="1"/>
  <c r="BT265" i="21" s="1"/>
  <c r="BR266" i="21"/>
  <c r="I266" i="21"/>
  <c r="H267" i="21"/>
  <c r="M265" i="21"/>
  <c r="M266" i="21" l="1"/>
  <c r="BR267" i="21"/>
  <c r="H268" i="21"/>
  <c r="I267" i="21"/>
  <c r="BS266" i="21"/>
  <c r="BT266" i="21" s="1"/>
  <c r="BR268" i="21" l="1"/>
  <c r="I268" i="21"/>
  <c r="H269" i="21"/>
  <c r="BS267" i="21"/>
  <c r="BT267" i="21" s="1"/>
  <c r="M267" i="21"/>
  <c r="BR269" i="21" l="1"/>
  <c r="H270" i="21"/>
  <c r="I269" i="21"/>
  <c r="M268" i="21"/>
  <c r="BS268" i="21"/>
  <c r="BT268" i="21" s="1"/>
  <c r="M269" i="21" l="1"/>
  <c r="BR270" i="21"/>
  <c r="I270" i="21"/>
  <c r="H271" i="21"/>
  <c r="BS269" i="21"/>
  <c r="BT269" i="21" s="1"/>
  <c r="H272" i="21" l="1"/>
  <c r="I271" i="21"/>
  <c r="BR271" i="21"/>
  <c r="BS270" i="21"/>
  <c r="BT270" i="21" s="1"/>
  <c r="M270" i="21"/>
  <c r="M271" i="21" l="1"/>
  <c r="BS271" i="21"/>
  <c r="BT271" i="21" s="1"/>
  <c r="BR272" i="21"/>
  <c r="H273" i="21"/>
  <c r="I272" i="21"/>
  <c r="BS272" i="21" l="1"/>
  <c r="BT272" i="21" s="1"/>
  <c r="H274" i="21"/>
  <c r="BR273" i="21"/>
  <c r="I273" i="21"/>
  <c r="M272" i="21"/>
  <c r="M273" i="21" l="1"/>
  <c r="BS273" i="21"/>
  <c r="BT273" i="21" s="1"/>
  <c r="H275" i="21"/>
  <c r="I274" i="21"/>
  <c r="BR274" i="21"/>
  <c r="BS274" i="21" l="1"/>
  <c r="BT274" i="21" s="1"/>
  <c r="H276" i="21"/>
  <c r="I275" i="21"/>
  <c r="BR275" i="21"/>
  <c r="M274" i="21"/>
  <c r="M275" i="21" l="1"/>
  <c r="BS275" i="21"/>
  <c r="BT275" i="21" s="1"/>
  <c r="H277" i="21"/>
  <c r="I276" i="21"/>
  <c r="BR276" i="21"/>
  <c r="BR277" i="21" l="1"/>
  <c r="H278" i="21"/>
  <c r="I277" i="21"/>
  <c r="BS276" i="21"/>
  <c r="BT276" i="21" s="1"/>
  <c r="M276" i="21"/>
  <c r="M277" i="21" l="1"/>
  <c r="BR278" i="21"/>
  <c r="H279" i="21"/>
  <c r="I278" i="21"/>
  <c r="BS277" i="21"/>
  <c r="BT277" i="21" s="1"/>
  <c r="BR279" i="21" l="1"/>
  <c r="H280" i="21"/>
  <c r="I279" i="21"/>
  <c r="BS278" i="21"/>
  <c r="BT278" i="21" s="1"/>
  <c r="M278" i="21"/>
  <c r="M279" i="21" l="1"/>
  <c r="BR280" i="21"/>
  <c r="H281" i="21"/>
  <c r="I280" i="21"/>
  <c r="BS279" i="21"/>
  <c r="BT279" i="21" s="1"/>
  <c r="H282" i="21" l="1"/>
  <c r="I281" i="21"/>
  <c r="BR281" i="21"/>
  <c r="BS280" i="21"/>
  <c r="BT280" i="21" s="1"/>
  <c r="M280" i="21"/>
  <c r="M281" i="21" l="1"/>
  <c r="BS281" i="21"/>
  <c r="BT281" i="21" s="1"/>
  <c r="H283" i="21"/>
  <c r="I282" i="21"/>
  <c r="BR282" i="21"/>
  <c r="BS282" i="21" l="1"/>
  <c r="BT282" i="21" s="1"/>
  <c r="BR283" i="21"/>
  <c r="I283" i="21"/>
  <c r="H284" i="21"/>
  <c r="M282" i="21"/>
  <c r="BR284" i="21" l="1"/>
  <c r="H285" i="21"/>
  <c r="I284" i="21"/>
  <c r="BS283" i="21"/>
  <c r="BT283" i="21" s="1"/>
  <c r="M283" i="21"/>
  <c r="BR285" i="21" l="1"/>
  <c r="H286" i="21"/>
  <c r="I285" i="21"/>
  <c r="M284" i="21"/>
  <c r="BS284" i="21"/>
  <c r="BT284" i="21" s="1"/>
  <c r="M285" i="21" l="1"/>
  <c r="BR286" i="21"/>
  <c r="H287" i="21"/>
  <c r="I286" i="21"/>
  <c r="BS285" i="21"/>
  <c r="BT285" i="21" s="1"/>
  <c r="BR287" i="21" l="1"/>
  <c r="H288" i="21"/>
  <c r="I287" i="21"/>
  <c r="BS286" i="21"/>
  <c r="BT286" i="21" s="1"/>
  <c r="M286" i="21"/>
  <c r="M287" i="21" l="1"/>
  <c r="BR288" i="21"/>
  <c r="H289" i="21"/>
  <c r="I288" i="21"/>
  <c r="BS287" i="21"/>
  <c r="BT287" i="21" s="1"/>
  <c r="H290" i="21" l="1"/>
  <c r="I289" i="21"/>
  <c r="BR289" i="21"/>
  <c r="BS288" i="21"/>
  <c r="BT288" i="21" s="1"/>
  <c r="M288" i="21"/>
  <c r="BS289" i="21" l="1"/>
  <c r="BT289" i="21" s="1"/>
  <c r="M289" i="21"/>
  <c r="H291" i="21"/>
  <c r="I290" i="21"/>
  <c r="BR290" i="21"/>
  <c r="BS290" i="21" l="1"/>
  <c r="BT290" i="21" s="1"/>
  <c r="BR291" i="21"/>
  <c r="I291" i="21"/>
  <c r="H292" i="21"/>
  <c r="M290" i="21"/>
  <c r="BR292" i="21" l="1"/>
  <c r="H293" i="21"/>
  <c r="I292" i="21"/>
  <c r="BS291" i="21"/>
  <c r="BT291" i="21" s="1"/>
  <c r="M291" i="21"/>
  <c r="M292" i="21" l="1"/>
  <c r="BR293" i="21"/>
  <c r="H294" i="21"/>
  <c r="I293" i="21"/>
  <c r="BS292" i="21"/>
  <c r="BT292" i="21" s="1"/>
  <c r="H295" i="21" l="1"/>
  <c r="I294" i="21"/>
  <c r="BR294" i="21"/>
  <c r="BS293" i="21"/>
  <c r="BT293" i="21" s="1"/>
  <c r="M293" i="21"/>
  <c r="M294" i="21" l="1"/>
  <c r="BS294" i="21"/>
  <c r="BT294" i="21" s="1"/>
  <c r="BR295" i="21"/>
  <c r="H296" i="21"/>
  <c r="I295" i="21"/>
  <c r="BS295" i="21" l="1"/>
  <c r="BT295" i="21" s="1"/>
  <c r="H297" i="21"/>
  <c r="I296" i="21"/>
  <c r="BR296" i="21"/>
  <c r="M295" i="21"/>
  <c r="M296" i="21" l="1"/>
  <c r="BS296" i="21"/>
  <c r="BT296" i="21" s="1"/>
  <c r="BR297" i="21"/>
  <c r="H298" i="21"/>
  <c r="I297" i="21"/>
  <c r="BS297" i="21" l="1"/>
  <c r="BT297" i="21" s="1"/>
  <c r="BR298" i="21"/>
  <c r="I298" i="21"/>
  <c r="H299" i="21"/>
  <c r="M297" i="21"/>
  <c r="M298" i="21" l="1"/>
  <c r="H300" i="21"/>
  <c r="I299" i="21"/>
  <c r="BR299" i="21"/>
  <c r="BS298" i="21"/>
  <c r="BT298" i="21" s="1"/>
  <c r="BS299" i="21" l="1"/>
  <c r="BT299" i="21" s="1"/>
  <c r="BR300" i="21"/>
  <c r="H301" i="21"/>
  <c r="I300" i="21"/>
  <c r="M299" i="21"/>
  <c r="M300" i="21" l="1"/>
  <c r="H302" i="21"/>
  <c r="I301" i="21"/>
  <c r="BR301" i="21"/>
  <c r="BS300" i="21"/>
  <c r="BT300" i="21" s="1"/>
  <c r="BS301" i="21" l="1"/>
  <c r="BT301" i="21" s="1"/>
  <c r="BR302" i="21"/>
  <c r="H303" i="21"/>
  <c r="I302" i="21"/>
  <c r="M301" i="21"/>
  <c r="BR303" i="21" l="1"/>
  <c r="H304" i="21"/>
  <c r="I303" i="21"/>
  <c r="BS302" i="21"/>
  <c r="BT302" i="21" s="1"/>
  <c r="M302" i="21"/>
  <c r="M303" i="21" l="1"/>
  <c r="BR304" i="21"/>
  <c r="H305" i="21"/>
  <c r="I304" i="21"/>
  <c r="BS303" i="21"/>
  <c r="BT303" i="21" s="1"/>
  <c r="BR305" i="21" l="1"/>
  <c r="H306" i="21"/>
  <c r="I305" i="21"/>
  <c r="BS304" i="21"/>
  <c r="BT304" i="21" s="1"/>
  <c r="M304" i="21"/>
  <c r="M305" i="21" l="1"/>
  <c r="H307" i="21"/>
  <c r="I306" i="21"/>
  <c r="BR306" i="21"/>
  <c r="BS305" i="21"/>
  <c r="BT305" i="21" s="1"/>
  <c r="BS306" i="21" l="1"/>
  <c r="BT306" i="21" s="1"/>
  <c r="H308" i="21"/>
  <c r="I307" i="21"/>
  <c r="BR307" i="21"/>
  <c r="M306" i="21"/>
  <c r="M307" i="21" l="1"/>
  <c r="BS307" i="21"/>
  <c r="BT307" i="21" s="1"/>
  <c r="BR308" i="21"/>
  <c r="I308" i="21"/>
  <c r="H309" i="21"/>
  <c r="BR309" i="21" l="1"/>
  <c r="H310" i="21"/>
  <c r="I309" i="21"/>
  <c r="BS308" i="21"/>
  <c r="BT308" i="21" s="1"/>
  <c r="M308" i="21"/>
  <c r="M309" i="21" l="1"/>
  <c r="BR310" i="21"/>
  <c r="H311" i="21"/>
  <c r="I310" i="21"/>
  <c r="BS309" i="21"/>
  <c r="BT309" i="21" s="1"/>
  <c r="BR311" i="21" l="1"/>
  <c r="H312" i="21"/>
  <c r="I311" i="21"/>
  <c r="BS310" i="21"/>
  <c r="BT310" i="21" s="1"/>
  <c r="M310" i="21"/>
  <c r="M311" i="21" l="1"/>
  <c r="BR312" i="21"/>
  <c r="H313" i="21"/>
  <c r="I312" i="21"/>
  <c r="BS311" i="21"/>
  <c r="BT311" i="21" s="1"/>
  <c r="BR313" i="21" l="1"/>
  <c r="H314" i="21"/>
  <c r="I313" i="21"/>
  <c r="BS312" i="21"/>
  <c r="BT312" i="21" s="1"/>
  <c r="M312" i="21"/>
  <c r="M313" i="21" l="1"/>
  <c r="BR314" i="21"/>
  <c r="I314" i="21"/>
  <c r="H315" i="21"/>
  <c r="BS313" i="21"/>
  <c r="BT313" i="21" s="1"/>
  <c r="I315" i="21" l="1"/>
  <c r="BR315" i="21"/>
  <c r="H316" i="21"/>
  <c r="BS314" i="21"/>
  <c r="BT314" i="21" s="1"/>
  <c r="M314" i="21"/>
  <c r="M315" i="21" l="1"/>
  <c r="H317" i="21"/>
  <c r="I316" i="21"/>
  <c r="BR316" i="21"/>
  <c r="BS315" i="21"/>
  <c r="BT315" i="21" s="1"/>
  <c r="BS316" i="21" l="1"/>
  <c r="BT316" i="21" s="1"/>
  <c r="I317" i="21"/>
  <c r="BR317" i="21"/>
  <c r="H318" i="21"/>
  <c r="M316" i="21"/>
  <c r="M317" i="21" l="1"/>
  <c r="H319" i="21"/>
  <c r="I318" i="21"/>
  <c r="BR318" i="21"/>
  <c r="BS317" i="21"/>
  <c r="BT317" i="21" s="1"/>
  <c r="BS318" i="21" l="1"/>
  <c r="BT318" i="21" s="1"/>
  <c r="BR319" i="21"/>
  <c r="I319" i="21"/>
  <c r="H320" i="21"/>
  <c r="M318" i="21"/>
  <c r="BR320" i="21" l="1"/>
  <c r="H321" i="21"/>
  <c r="I320" i="21"/>
  <c r="BS319" i="21"/>
  <c r="BT319" i="21" s="1"/>
  <c r="M319" i="21"/>
  <c r="M320" i="21" l="1"/>
  <c r="BR321" i="21"/>
  <c r="H322" i="21"/>
  <c r="I321" i="21"/>
  <c r="BS320" i="21"/>
  <c r="BT320" i="21" s="1"/>
  <c r="BR322" i="21" l="1"/>
  <c r="H323" i="21"/>
  <c r="I322" i="21"/>
  <c r="BS321" i="21"/>
  <c r="BT321" i="21" s="1"/>
  <c r="M321" i="21"/>
  <c r="M322" i="21" l="1"/>
  <c r="H324" i="21"/>
  <c r="I323" i="21"/>
  <c r="BR323" i="21"/>
  <c r="BS322" i="21"/>
  <c r="BT322" i="21" s="1"/>
  <c r="BS323" i="21" l="1"/>
  <c r="BT323" i="21" s="1"/>
  <c r="H325" i="21"/>
  <c r="I324" i="21"/>
  <c r="BR324" i="21"/>
  <c r="M323" i="21"/>
  <c r="BS324" i="21" l="1"/>
  <c r="BT324" i="21" s="1"/>
  <c r="M324" i="21"/>
  <c r="BR325" i="21"/>
  <c r="I325" i="21"/>
  <c r="H326" i="21"/>
  <c r="BR326" i="21" l="1"/>
  <c r="H327" i="21"/>
  <c r="I326" i="21"/>
  <c r="BS325" i="21"/>
  <c r="BT325" i="21" s="1"/>
  <c r="M325" i="21"/>
  <c r="M326" i="21" l="1"/>
  <c r="BR327" i="21"/>
  <c r="H328" i="21"/>
  <c r="I327" i="21"/>
  <c r="BS326" i="21"/>
  <c r="BT326" i="21" s="1"/>
  <c r="H329" i="21" l="1"/>
  <c r="BR328" i="21"/>
  <c r="I328" i="21"/>
  <c r="BS327" i="21"/>
  <c r="BT327" i="21" s="1"/>
  <c r="M327" i="21"/>
  <c r="M328" i="21" l="1"/>
  <c r="BS328" i="21"/>
  <c r="BT328" i="21" s="1"/>
  <c r="H330" i="21"/>
  <c r="BR329" i="21"/>
  <c r="I329" i="21"/>
  <c r="H331" i="21" l="1"/>
  <c r="I330" i="21"/>
  <c r="BR330" i="21"/>
  <c r="BS329" i="21"/>
  <c r="BT329" i="21" s="1"/>
  <c r="M329" i="21"/>
  <c r="M330" i="21" l="1"/>
  <c r="BS330" i="21"/>
  <c r="BT330" i="21" s="1"/>
  <c r="BR331" i="21"/>
  <c r="I331" i="21"/>
  <c r="H332" i="21"/>
  <c r="BR332" i="21" l="1"/>
  <c r="H333" i="21"/>
  <c r="I332" i="21"/>
  <c r="BS331" i="21"/>
  <c r="BT331" i="21" s="1"/>
  <c r="M331" i="21"/>
  <c r="M332" i="21" l="1"/>
  <c r="H334" i="21"/>
  <c r="I333" i="21"/>
  <c r="BR333" i="21"/>
  <c r="BS332" i="21"/>
  <c r="BT332" i="21" s="1"/>
  <c r="BS333" i="21" l="1"/>
  <c r="BT333" i="21" s="1"/>
  <c r="BR334" i="21"/>
  <c r="H335" i="21"/>
  <c r="I334" i="21"/>
  <c r="M333" i="21"/>
  <c r="M334" i="21" l="1"/>
  <c r="H336" i="21"/>
  <c r="I335" i="21"/>
  <c r="BR335" i="21"/>
  <c r="BS334" i="21"/>
  <c r="BT334" i="21" s="1"/>
  <c r="BS335" i="21" l="1"/>
  <c r="BT335" i="21" s="1"/>
  <c r="H337" i="21"/>
  <c r="I336" i="21"/>
  <c r="BR336" i="21"/>
  <c r="M335" i="21"/>
  <c r="M336" i="21" l="1"/>
  <c r="BS336" i="21"/>
  <c r="BT336" i="21" s="1"/>
  <c r="BR337" i="21"/>
  <c r="I337" i="21"/>
  <c r="H338" i="21"/>
  <c r="BS337" i="21" l="1"/>
  <c r="BT337" i="21" s="1"/>
  <c r="BR338" i="21"/>
  <c r="H339" i="21"/>
  <c r="I338" i="21"/>
  <c r="M337" i="21"/>
  <c r="M338" i="21" l="1"/>
  <c r="BR339" i="21"/>
  <c r="I339" i="21"/>
  <c r="H340" i="21"/>
  <c r="BS338" i="21"/>
  <c r="BT338" i="21" s="1"/>
  <c r="BR340" i="21" l="1"/>
  <c r="I340" i="21"/>
  <c r="H341" i="21"/>
  <c r="BS339" i="21"/>
  <c r="BT339" i="21" s="1"/>
  <c r="M339" i="21"/>
  <c r="M340" i="21" l="1"/>
  <c r="BR341" i="21"/>
  <c r="H342" i="21"/>
  <c r="I341" i="21"/>
  <c r="BS340" i="21"/>
  <c r="BT340" i="21" s="1"/>
  <c r="BR342" i="21" l="1"/>
  <c r="I342" i="21"/>
  <c r="H343" i="21"/>
  <c r="BS341" i="21"/>
  <c r="BT341" i="21" s="1"/>
  <c r="M341" i="21"/>
  <c r="M342" i="21" l="1"/>
  <c r="H344" i="21"/>
  <c r="I343" i="21"/>
  <c r="BR343" i="21"/>
  <c r="BS342" i="21"/>
  <c r="BT342" i="21" s="1"/>
  <c r="BS343" i="21" l="1"/>
  <c r="BT343" i="21" s="1"/>
  <c r="BR344" i="21"/>
  <c r="H345" i="21"/>
  <c r="I344" i="21"/>
  <c r="M343" i="21"/>
  <c r="M344" i="21" l="1"/>
  <c r="BR345" i="21"/>
  <c r="H346" i="21"/>
  <c r="I345" i="21"/>
  <c r="BS344" i="21"/>
  <c r="BT344" i="21" s="1"/>
  <c r="BR346" i="21" l="1"/>
  <c r="H347" i="21"/>
  <c r="I346" i="21"/>
  <c r="BS345" i="21"/>
  <c r="BT345" i="21" s="1"/>
  <c r="M345" i="21"/>
  <c r="M346" i="21" l="1"/>
  <c r="BR347" i="21"/>
  <c r="H348" i="21"/>
  <c r="I347" i="21"/>
  <c r="BS346" i="21"/>
  <c r="BT346" i="21" s="1"/>
  <c r="BR348" i="21" l="1"/>
  <c r="H349" i="21"/>
  <c r="I348" i="21"/>
  <c r="BS347" i="21"/>
  <c r="BT347" i="21" s="1"/>
  <c r="M347" i="21"/>
  <c r="M348" i="21" l="1"/>
  <c r="BR349" i="21"/>
  <c r="H350" i="21"/>
  <c r="I349" i="21"/>
  <c r="BS348" i="21"/>
  <c r="BT348" i="21" s="1"/>
  <c r="H351" i="21" l="1"/>
  <c r="I350" i="21"/>
  <c r="BR350" i="21"/>
  <c r="BS349" i="21"/>
  <c r="BT349" i="21" s="1"/>
  <c r="M349" i="21"/>
  <c r="M350" i="21" l="1"/>
  <c r="BS350" i="21"/>
  <c r="BT350" i="21" s="1"/>
  <c r="I351" i="21"/>
  <c r="BR351" i="21"/>
  <c r="H352" i="21"/>
  <c r="BS351" i="21" l="1"/>
  <c r="BT351" i="21" s="1"/>
  <c r="H353" i="21"/>
  <c r="I352" i="21"/>
  <c r="BR352" i="21"/>
  <c r="M351" i="21"/>
  <c r="M352" i="21" l="1"/>
  <c r="BS352" i="21"/>
  <c r="BT352" i="21" s="1"/>
  <c r="H354" i="21"/>
  <c r="BR353" i="21"/>
  <c r="I353" i="21"/>
  <c r="BS353" i="21" l="1"/>
  <c r="BT353" i="21" s="1"/>
  <c r="H355" i="21"/>
  <c r="BR354" i="21"/>
  <c r="I354" i="21"/>
  <c r="M353" i="21"/>
  <c r="BS354" i="21" l="1"/>
  <c r="BT354" i="21" s="1"/>
  <c r="BR355" i="21"/>
  <c r="I355" i="21"/>
  <c r="H356" i="21"/>
  <c r="M354" i="21"/>
  <c r="M355" i="21" l="1"/>
  <c r="BR356" i="21"/>
  <c r="H357" i="21"/>
  <c r="I356" i="21"/>
  <c r="BS355" i="21"/>
  <c r="BT355" i="21" s="1"/>
  <c r="BR357" i="21" l="1"/>
  <c r="H358" i="21"/>
  <c r="I357" i="21"/>
  <c r="BS356" i="21"/>
  <c r="BT356" i="21" s="1"/>
  <c r="M356" i="21"/>
  <c r="M357" i="21" l="1"/>
  <c r="BR358" i="21"/>
  <c r="H359" i="21"/>
  <c r="I358" i="21"/>
  <c r="BS357" i="21"/>
  <c r="BT357" i="21" s="1"/>
  <c r="BR359" i="21" l="1"/>
  <c r="H360" i="21"/>
  <c r="I359" i="21"/>
  <c r="BS358" i="21"/>
  <c r="BT358" i="21" s="1"/>
  <c r="M358" i="21"/>
  <c r="M359" i="21" l="1"/>
  <c r="H361" i="21"/>
  <c r="I360" i="21"/>
  <c r="BR360" i="21"/>
  <c r="BS359" i="21"/>
  <c r="BT359" i="21" s="1"/>
  <c r="BS360" i="21" l="1"/>
  <c r="BT360" i="21" s="1"/>
  <c r="H362" i="21"/>
  <c r="I361" i="21"/>
  <c r="BR361" i="21"/>
  <c r="M360" i="21"/>
  <c r="M361" i="21" l="1"/>
  <c r="BS361" i="21"/>
  <c r="BT361" i="21" s="1"/>
  <c r="BR362" i="21"/>
  <c r="H363" i="21"/>
  <c r="I362" i="21"/>
  <c r="BR363" i="21" l="1"/>
  <c r="H364" i="21"/>
  <c r="I363" i="21"/>
  <c r="BS362" i="21"/>
  <c r="BT362" i="21" s="1"/>
  <c r="M362" i="21"/>
  <c r="M363" i="21" l="1"/>
  <c r="BR364" i="21"/>
  <c r="I364" i="21"/>
  <c r="H365" i="21"/>
  <c r="BS363" i="21"/>
  <c r="BT363" i="21" s="1"/>
  <c r="BR365" i="21" l="1"/>
  <c r="H366" i="21"/>
  <c r="I365" i="21"/>
  <c r="BS364" i="21"/>
  <c r="BT364" i="21" s="1"/>
  <c r="M364" i="21"/>
  <c r="M365" i="21" l="1"/>
  <c r="I366" i="21"/>
  <c r="BR366" i="21"/>
  <c r="BS365" i="21"/>
  <c r="BT365" i="21" s="1"/>
  <c r="BS366" i="21" l="1"/>
  <c r="BS367" i="21" s="1"/>
  <c r="BR367" i="21"/>
  <c r="BT376" i="21"/>
  <c r="BA399" i="21"/>
  <c r="BA397" i="21"/>
  <c r="BA394" i="21"/>
  <c r="BT381" i="21"/>
  <c r="BT378" i="21"/>
  <c r="BT379" i="21"/>
  <c r="BT377" i="21"/>
  <c r="M373" i="21"/>
  <c r="BA398" i="21"/>
  <c r="BT380" i="21"/>
  <c r="M387" i="21"/>
  <c r="BT390" i="21"/>
  <c r="M400" i="21"/>
  <c r="M395" i="21"/>
  <c r="BP399" i="21"/>
  <c r="BT388" i="21"/>
  <c r="BA389" i="21"/>
  <c r="M399" i="21"/>
  <c r="BA388" i="21"/>
  <c r="BA384" i="21"/>
  <c r="BP386" i="21"/>
  <c r="M385" i="21"/>
  <c r="P376" i="21"/>
  <c r="M391" i="21"/>
  <c r="BT386" i="21"/>
  <c r="M389" i="21"/>
  <c r="BT382" i="21"/>
  <c r="BT395" i="21"/>
  <c r="P382" i="21"/>
  <c r="P386" i="21"/>
  <c r="BA400" i="21"/>
  <c r="P378" i="21"/>
  <c r="BA401" i="21"/>
  <c r="M379" i="21"/>
  <c r="BA392" i="21"/>
  <c r="BT374" i="21"/>
  <c r="M396" i="21"/>
  <c r="BT375" i="21"/>
  <c r="BP397" i="21"/>
  <c r="BT389" i="21"/>
  <c r="P397" i="21"/>
  <c r="M384" i="21"/>
  <c r="P387" i="21"/>
  <c r="BP387" i="21"/>
  <c r="P383" i="21"/>
  <c r="P402" i="21"/>
  <c r="M383" i="21"/>
  <c r="BA374" i="21"/>
  <c r="M394" i="21"/>
  <c r="M386" i="21"/>
  <c r="BA390" i="21"/>
  <c r="P377" i="21"/>
  <c r="BP377" i="21"/>
  <c r="BP395" i="21"/>
  <c r="BT400" i="21"/>
  <c r="M388" i="21"/>
  <c r="BP392" i="21"/>
  <c r="BT385" i="21"/>
  <c r="BT383" i="21"/>
  <c r="I372" i="21"/>
  <c r="BA380" i="21"/>
  <c r="BP378" i="21"/>
  <c r="BD373" i="21"/>
  <c r="BI373" i="21" s="1"/>
  <c r="BA396" i="21"/>
  <c r="P398" i="21"/>
  <c r="BP388" i="21"/>
  <c r="P388" i="21"/>
  <c r="BP390" i="21"/>
  <c r="BP382" i="21"/>
  <c r="M375" i="21"/>
  <c r="M380" i="21"/>
  <c r="BA402" i="21"/>
  <c r="BA377" i="21"/>
  <c r="BP401" i="21"/>
  <c r="P392" i="21"/>
  <c r="BP391" i="21"/>
  <c r="P374" i="21"/>
  <c r="P395" i="21"/>
  <c r="BP400" i="21"/>
  <c r="BA393" i="21"/>
  <c r="P391" i="21"/>
  <c r="P381" i="21"/>
  <c r="M398" i="21"/>
  <c r="BA381" i="21"/>
  <c r="BA385" i="21"/>
  <c r="P389" i="21"/>
  <c r="BT396" i="21"/>
  <c r="BP375" i="21"/>
  <c r="BT392" i="21"/>
  <c r="M393" i="21"/>
  <c r="BA383" i="21"/>
  <c r="BA373" i="21"/>
  <c r="BT387" i="21"/>
  <c r="BQ373" i="21"/>
  <c r="P399" i="21"/>
  <c r="BP385" i="21"/>
  <c r="P390" i="21"/>
  <c r="BA391" i="21"/>
  <c r="P401" i="21"/>
  <c r="M401" i="21"/>
  <c r="BA387" i="21"/>
  <c r="M374" i="21"/>
  <c r="BA376" i="21"/>
  <c r="M390" i="21"/>
  <c r="BP374" i="21"/>
  <c r="M376" i="21"/>
  <c r="BP384" i="21"/>
  <c r="P393" i="21"/>
  <c r="BA378" i="21"/>
  <c r="M382" i="21"/>
  <c r="BP381" i="21"/>
  <c r="BT397" i="21"/>
  <c r="BP373" i="21"/>
  <c r="M397" i="21"/>
  <c r="BP380" i="21"/>
  <c r="P373" i="21"/>
  <c r="BT401" i="21"/>
  <c r="M378" i="21"/>
  <c r="P384" i="21"/>
  <c r="BA379" i="21"/>
  <c r="P394" i="21"/>
  <c r="BP394" i="21"/>
  <c r="BA395" i="21"/>
  <c r="P400" i="21"/>
  <c r="BP393" i="21"/>
  <c r="P379" i="21"/>
  <c r="BT393" i="21"/>
  <c r="P385" i="21"/>
  <c r="P380" i="21"/>
  <c r="BP396" i="21"/>
  <c r="BP389" i="21"/>
  <c r="BP383" i="21"/>
  <c r="P375" i="21"/>
  <c r="BA375" i="21"/>
  <c r="M377" i="21"/>
  <c r="BT398" i="21"/>
  <c r="M392" i="21"/>
  <c r="BT384" i="21"/>
  <c r="P396" i="21"/>
  <c r="BP398" i="21"/>
  <c r="BT394" i="21"/>
  <c r="BP402" i="21"/>
  <c r="M402" i="21"/>
  <c r="BT399" i="21"/>
  <c r="BT391" i="21"/>
  <c r="M381" i="21"/>
  <c r="BA386" i="21"/>
  <c r="BA382" i="21"/>
  <c r="BP379" i="21"/>
  <c r="BP376" i="21"/>
  <c r="M366" i="21"/>
  <c r="BP403" i="21" l="1"/>
  <c r="BQ374" i="21"/>
  <c r="BQ375" i="21" s="1"/>
  <c r="BQ376" i="21" s="1"/>
  <c r="BQ377" i="21" s="1"/>
  <c r="BQ378" i="21" s="1"/>
  <c r="BQ379" i="21" s="1"/>
  <c r="BQ380" i="21" s="1"/>
  <c r="BQ381" i="21" s="1"/>
  <c r="BQ382" i="21" s="1"/>
  <c r="BQ383" i="21" s="1"/>
  <c r="BQ384" i="21" s="1"/>
  <c r="BQ385" i="21" s="1"/>
  <c r="BQ386" i="21" s="1"/>
  <c r="BQ387" i="21" s="1"/>
  <c r="BQ388" i="21" s="1"/>
  <c r="BQ389" i="21" s="1"/>
  <c r="BQ390" i="21" s="1"/>
  <c r="BQ391" i="21" s="1"/>
  <c r="BQ392" i="21" s="1"/>
  <c r="BQ393" i="21" s="1"/>
  <c r="BQ394" i="21" s="1"/>
  <c r="BQ395" i="21" s="1"/>
  <c r="BQ396" i="21" s="1"/>
  <c r="BQ397" i="21" s="1"/>
  <c r="BQ398" i="21" s="1"/>
  <c r="BQ399" i="21" s="1"/>
  <c r="BQ400" i="21" s="1"/>
  <c r="BQ401" i="21" s="1"/>
  <c r="BQ402" i="21" s="1"/>
  <c r="BA403" i="21"/>
  <c r="BP372" i="21"/>
  <c r="BD372" i="21"/>
  <c r="BI372" i="21" s="1"/>
  <c r="BA372" i="21"/>
  <c r="P372" i="21"/>
  <c r="BT372" i="21"/>
  <c r="BQ372" i="21"/>
  <c r="M372" i="21"/>
  <c r="BT366" i="21"/>
  <c r="BT373" i="21" l="1"/>
  <c r="BT367" i="21"/>
  <c r="BT402" i="21"/>
  <c r="BQ403" i="21"/>
  <c r="BT403" i="21" l="1"/>
  <c r="K7" i="21" l="1"/>
  <c r="L7" i="21" l="1"/>
  <c r="AJ7" i="21"/>
  <c r="AH7" i="21"/>
  <c r="Q7" i="21"/>
  <c r="N7" i="21"/>
  <c r="AL7" i="21" l="1"/>
  <c r="O7" i="21"/>
  <c r="R7" i="21"/>
  <c r="AZ7" i="21"/>
  <c r="AM7" i="21"/>
  <c r="AI7" i="21"/>
  <c r="AK7" i="21"/>
  <c r="K9" i="21"/>
  <c r="AP19" i="21" l="1"/>
  <c r="AQ31" i="21"/>
  <c r="AJ9" i="21"/>
  <c r="AK9" i="21" s="1"/>
  <c r="AH9" i="21"/>
  <c r="Q9" i="21"/>
  <c r="N9" i="21"/>
  <c r="AL9" i="21" s="1"/>
  <c r="K8" i="21"/>
  <c r="BF7" i="21"/>
  <c r="BE7" i="21"/>
  <c r="K10" i="21"/>
  <c r="AJ10" i="21" l="1"/>
  <c r="AK10" i="21" s="1"/>
  <c r="AH10" i="21"/>
  <c r="Q10" i="21"/>
  <c r="N10" i="21"/>
  <c r="AL10" i="21" s="1"/>
  <c r="AZ9" i="21"/>
  <c r="AO9" i="21"/>
  <c r="AM9" i="21"/>
  <c r="Q8" i="21"/>
  <c r="AJ8" i="21"/>
  <c r="L8" i="21"/>
  <c r="L9" i="21" s="1"/>
  <c r="L10" i="21" s="1"/>
  <c r="AH8" i="21"/>
  <c r="N8" i="21"/>
  <c r="BG7" i="21"/>
  <c r="AL8" i="21" l="1"/>
  <c r="O8" i="21"/>
  <c r="O9" i="21" s="1"/>
  <c r="O10" i="21" s="1"/>
  <c r="BF9" i="21"/>
  <c r="BG9" i="21" s="1"/>
  <c r="BI9" i="21" s="1"/>
  <c r="BJ9" i="21" s="1"/>
  <c r="BE9" i="21"/>
  <c r="AI8" i="21"/>
  <c r="AM10" i="21"/>
  <c r="AZ10" i="21"/>
  <c r="AO10" i="21"/>
  <c r="BI7" i="21"/>
  <c r="BJ7" i="21" s="1"/>
  <c r="AK8" i="21"/>
  <c r="AO8" i="21"/>
  <c r="AM8" i="21"/>
  <c r="AZ8" i="21"/>
  <c r="R8" i="21"/>
  <c r="K11" i="21"/>
  <c r="K12" i="21"/>
  <c r="L11" i="21" l="1"/>
  <c r="L12" i="21" s="1"/>
  <c r="AH11" i="21"/>
  <c r="AJ11" i="21"/>
  <c r="Q11" i="21"/>
  <c r="N11" i="21"/>
  <c r="BE8" i="21"/>
  <c r="BF8" i="21"/>
  <c r="AJ12" i="21"/>
  <c r="AK12" i="21" s="1"/>
  <c r="AH12" i="21"/>
  <c r="Q12" i="21"/>
  <c r="N12" i="21"/>
  <c r="AL12" i="21" s="1"/>
  <c r="BF10" i="21"/>
  <c r="BG10" i="21" s="1"/>
  <c r="BI10" i="21" s="1"/>
  <c r="BJ10" i="21" s="1"/>
  <c r="BE10" i="21"/>
  <c r="O11" i="21"/>
  <c r="AW8" i="21"/>
  <c r="AI9" i="21"/>
  <c r="AP20" i="21"/>
  <c r="R9" i="21"/>
  <c r="AQ32" i="21"/>
  <c r="K13" i="21"/>
  <c r="O12" i="21" l="1"/>
  <c r="AQ33" i="21"/>
  <c r="AP21" i="21"/>
  <c r="R10" i="21"/>
  <c r="AL11" i="21"/>
  <c r="AO11" i="21"/>
  <c r="AM11" i="21"/>
  <c r="AZ11" i="21"/>
  <c r="AJ13" i="21"/>
  <c r="AK13" i="21" s="1"/>
  <c r="AH13" i="21"/>
  <c r="L13" i="21"/>
  <c r="Q13" i="21"/>
  <c r="N13" i="21"/>
  <c r="AL13" i="21" s="1"/>
  <c r="AW9" i="21"/>
  <c r="AI10" i="21"/>
  <c r="AW10" i="21" s="1"/>
  <c r="AK11" i="21"/>
  <c r="BG8" i="21"/>
  <c r="AZ12" i="21"/>
  <c r="AO12" i="21"/>
  <c r="AM12" i="21"/>
  <c r="AM13" i="21" l="1"/>
  <c r="AZ13" i="21"/>
  <c r="AO13" i="21"/>
  <c r="BF11" i="21"/>
  <c r="BE11" i="21"/>
  <c r="O13" i="21"/>
  <c r="AI11" i="21"/>
  <c r="AP22" i="21"/>
  <c r="AQ34" i="21"/>
  <c r="R11" i="21"/>
  <c r="K14" i="21"/>
  <c r="BF12" i="21"/>
  <c r="BG12" i="21" s="1"/>
  <c r="BI12" i="21" s="1"/>
  <c r="BJ12" i="21" s="1"/>
  <c r="BE12" i="21"/>
  <c r="BI8" i="21"/>
  <c r="BJ8" i="21" s="1"/>
  <c r="K15" i="21"/>
  <c r="BG11" i="21" l="1"/>
  <c r="AW11" i="21"/>
  <c r="AI12" i="21"/>
  <c r="BF13" i="21"/>
  <c r="BG13" i="21" s="1"/>
  <c r="BI13" i="21" s="1"/>
  <c r="BJ13" i="21" s="1"/>
  <c r="BE13" i="21"/>
  <c r="AJ15" i="21"/>
  <c r="AK15" i="21" s="1"/>
  <c r="AH15" i="21"/>
  <c r="Q15" i="21"/>
  <c r="N15" i="21"/>
  <c r="AL15" i="21" s="1"/>
  <c r="AH14" i="21"/>
  <c r="L14" i="21"/>
  <c r="L15" i="21" s="1"/>
  <c r="AJ14" i="21"/>
  <c r="Q14" i="21"/>
  <c r="N14" i="21"/>
  <c r="O14" i="21"/>
  <c r="AP23" i="21"/>
  <c r="AQ35" i="21"/>
  <c r="R12" i="21"/>
  <c r="K16" i="21" l="1"/>
  <c r="O15" i="21"/>
  <c r="AZ15" i="21"/>
  <c r="AO15" i="21"/>
  <c r="AM15" i="21"/>
  <c r="AW12" i="21"/>
  <c r="AI13" i="21"/>
  <c r="AW13" i="21" s="1"/>
  <c r="AL14" i="21"/>
  <c r="AQ36" i="21"/>
  <c r="AP24" i="21"/>
  <c r="R13" i="21"/>
  <c r="AO14" i="21"/>
  <c r="AM14" i="21"/>
  <c r="AZ14" i="21"/>
  <c r="AK14" i="21"/>
  <c r="BI11" i="21"/>
  <c r="BJ11" i="21" s="1"/>
  <c r="K17" i="21"/>
  <c r="Q16" i="21" l="1"/>
  <c r="AJ16" i="21"/>
  <c r="L16" i="21"/>
  <c r="L17" i="21" s="1"/>
  <c r="AH16" i="21"/>
  <c r="N16" i="21"/>
  <c r="BF14" i="21"/>
  <c r="BG14" i="21" s="1"/>
  <c r="BE14" i="21"/>
  <c r="AP25" i="21"/>
  <c r="R14" i="21"/>
  <c r="AQ37" i="21"/>
  <c r="AI14" i="21"/>
  <c r="AH17" i="21"/>
  <c r="AJ17" i="21"/>
  <c r="AK17" i="21" s="1"/>
  <c r="Q17" i="21"/>
  <c r="N17" i="21"/>
  <c r="AL17" i="21" s="1"/>
  <c r="BF15" i="21"/>
  <c r="BG15" i="21" s="1"/>
  <c r="BI15" i="21" s="1"/>
  <c r="BJ15" i="21" s="1"/>
  <c r="BE15" i="21"/>
  <c r="AW14" i="21" l="1"/>
  <c r="AI15" i="21"/>
  <c r="AW15" i="21" s="1"/>
  <c r="AP26" i="21"/>
  <c r="AQ38" i="21"/>
  <c r="R15" i="21"/>
  <c r="AK16" i="21"/>
  <c r="AO16" i="21"/>
  <c r="AM16" i="21"/>
  <c r="AZ16" i="21"/>
  <c r="BI14" i="21"/>
  <c r="BJ14" i="21" s="1"/>
  <c r="AO17" i="21"/>
  <c r="AM17" i="21"/>
  <c r="AZ17" i="21"/>
  <c r="AL16" i="21"/>
  <c r="K18" i="21"/>
  <c r="AI16" i="21"/>
  <c r="AW16" i="21" s="1"/>
  <c r="O16" i="21"/>
  <c r="O17" i="21" s="1"/>
  <c r="K19" i="21"/>
  <c r="AI17" i="21" l="1"/>
  <c r="AW17" i="21" s="1"/>
  <c r="AJ18" i="21"/>
  <c r="AK18" i="21" s="1"/>
  <c r="AH18" i="21"/>
  <c r="L18" i="21"/>
  <c r="Q18" i="21"/>
  <c r="N18" i="21"/>
  <c r="AL18" i="21" s="1"/>
  <c r="AQ39" i="21"/>
  <c r="AP27" i="21"/>
  <c r="R16" i="21"/>
  <c r="BE16" i="21"/>
  <c r="BF16" i="21"/>
  <c r="BG16" i="21" s="1"/>
  <c r="BI16" i="21" s="1"/>
  <c r="BJ16" i="21" s="1"/>
  <c r="L19" i="21"/>
  <c r="AH19" i="21"/>
  <c r="AJ19" i="21"/>
  <c r="AK19" i="21" s="1"/>
  <c r="Q19" i="21"/>
  <c r="N19" i="21"/>
  <c r="BF17" i="21"/>
  <c r="BG17" i="21" s="1"/>
  <c r="BI17" i="21" s="1"/>
  <c r="BJ17" i="21" s="1"/>
  <c r="BE17" i="21"/>
  <c r="K20" i="21"/>
  <c r="AI18" i="21" l="1"/>
  <c r="AW18" i="21" s="1"/>
  <c r="O18" i="21"/>
  <c r="O19" i="21" s="1"/>
  <c r="AQ43" i="21"/>
  <c r="AO19" i="21"/>
  <c r="AR19" i="21" s="1"/>
  <c r="AP31" i="21"/>
  <c r="AQ40" i="21"/>
  <c r="AP28" i="21"/>
  <c r="R17" i="21"/>
  <c r="AZ18" i="21"/>
  <c r="AM18" i="21"/>
  <c r="AO18" i="21"/>
  <c r="AL19" i="21"/>
  <c r="AZ19" i="21"/>
  <c r="AM19" i="21"/>
  <c r="L20" i="21"/>
  <c r="AH20" i="21"/>
  <c r="AJ20" i="21"/>
  <c r="AK20" i="21" s="1"/>
  <c r="Q20" i="21"/>
  <c r="N20" i="21"/>
  <c r="AL20" i="21" s="1"/>
  <c r="AI19" i="21"/>
  <c r="AW19" i="21" s="1"/>
  <c r="K21" i="21"/>
  <c r="AQ41" i="21" l="1"/>
  <c r="AP29" i="21"/>
  <c r="R18" i="21"/>
  <c r="L21" i="21"/>
  <c r="AH21" i="21"/>
  <c r="AJ21" i="21"/>
  <c r="AK21" i="21" s="1"/>
  <c r="Q21" i="21"/>
  <c r="N21" i="21"/>
  <c r="AL21" i="21" s="1"/>
  <c r="AZ20" i="21"/>
  <c r="AM20" i="21"/>
  <c r="BF19" i="21"/>
  <c r="BE19" i="21"/>
  <c r="BB19" i="21"/>
  <c r="O20" i="21"/>
  <c r="AI20" i="21"/>
  <c r="AW20" i="21" s="1"/>
  <c r="AQ44" i="21"/>
  <c r="AP32" i="21"/>
  <c r="AO20" i="21"/>
  <c r="AR20" i="21" s="1"/>
  <c r="AS20" i="21" s="1"/>
  <c r="AV20" i="21" s="1"/>
  <c r="AR6" i="21"/>
  <c r="AS19" i="21"/>
  <c r="BF18" i="21"/>
  <c r="BG18" i="21" s="1"/>
  <c r="BI18" i="21" s="1"/>
  <c r="BJ18" i="21" s="1"/>
  <c r="BE18" i="21"/>
  <c r="O21" i="21" l="1"/>
  <c r="AI21" i="21"/>
  <c r="AW21" i="21" s="1"/>
  <c r="K22" i="21"/>
  <c r="AZ21" i="21"/>
  <c r="AM21" i="21"/>
  <c r="BB20" i="21"/>
  <c r="BD19" i="21"/>
  <c r="BG19" i="21" s="1"/>
  <c r="AP33" i="21"/>
  <c r="AO21" i="21"/>
  <c r="AR21" i="21" s="1"/>
  <c r="AS21" i="21" s="1"/>
  <c r="AV21" i="21" s="1"/>
  <c r="AQ45" i="21"/>
  <c r="AQ42" i="21"/>
  <c r="R19" i="21"/>
  <c r="R20" i="21" s="1"/>
  <c r="R21" i="21" s="1"/>
  <c r="AP30" i="21"/>
  <c r="BF20" i="21"/>
  <c r="BE20" i="21"/>
  <c r="AS6" i="21"/>
  <c r="AV19" i="21"/>
  <c r="AV6" i="21" s="1"/>
  <c r="BI19" i="21" l="1"/>
  <c r="BJ19" i="21" s="1"/>
  <c r="BB21" i="21"/>
  <c r="BD20" i="21"/>
  <c r="BG20" i="21" s="1"/>
  <c r="BI20" i="21" s="1"/>
  <c r="BJ20" i="21" s="1"/>
  <c r="K23" i="21"/>
  <c r="BF21" i="21"/>
  <c r="BE21" i="21"/>
  <c r="L22" i="21"/>
  <c r="AJ22" i="21"/>
  <c r="AK22" i="21" s="1"/>
  <c r="AH22" i="21"/>
  <c r="Q22" i="21"/>
  <c r="R22" i="21" s="1"/>
  <c r="N22" i="21"/>
  <c r="K24" i="21" l="1"/>
  <c r="AP34" i="21"/>
  <c r="AQ46" i="21"/>
  <c r="AO22" i="21"/>
  <c r="AR22" i="21" s="1"/>
  <c r="AS22" i="21" s="1"/>
  <c r="AV22" i="21" s="1"/>
  <c r="BD21" i="21"/>
  <c r="BG21" i="21" s="1"/>
  <c r="BI21" i="21" s="1"/>
  <c r="BJ21" i="21" s="1"/>
  <c r="AL22" i="21"/>
  <c r="O22" i="21"/>
  <c r="AZ22" i="21"/>
  <c r="AM22" i="21"/>
  <c r="L23" i="21"/>
  <c r="AH23" i="21"/>
  <c r="AJ23" i="21"/>
  <c r="AK23" i="21" s="1"/>
  <c r="Q23" i="21"/>
  <c r="N23" i="21"/>
  <c r="AL23" i="21" s="1"/>
  <c r="AI22" i="21"/>
  <c r="AW22" i="21" s="1"/>
  <c r="K25" i="21"/>
  <c r="BF22" i="21" l="1"/>
  <c r="BE22" i="21"/>
  <c r="O23" i="21"/>
  <c r="AZ23" i="21"/>
  <c r="AM23" i="21"/>
  <c r="L24" i="21"/>
  <c r="AH24" i="21"/>
  <c r="AJ24" i="21"/>
  <c r="AK24" i="21" s="1"/>
  <c r="Q24" i="21"/>
  <c r="N24" i="21"/>
  <c r="AL24" i="21" s="1"/>
  <c r="L25" i="21"/>
  <c r="AJ25" i="21"/>
  <c r="AK25" i="21" s="1"/>
  <c r="AH25" i="21"/>
  <c r="Q25" i="21"/>
  <c r="N25" i="21"/>
  <c r="AL25" i="21" s="1"/>
  <c r="AI23" i="21"/>
  <c r="AW23" i="21" s="1"/>
  <c r="AQ47" i="21"/>
  <c r="AO23" i="21"/>
  <c r="AR23" i="21" s="1"/>
  <c r="AS23" i="21" s="1"/>
  <c r="AV23" i="21" s="1"/>
  <c r="AP35" i="21"/>
  <c r="R23" i="21"/>
  <c r="BB22" i="21"/>
  <c r="R24" i="21" l="1"/>
  <c r="R25" i="21" s="1"/>
  <c r="AQ49" i="21"/>
  <c r="AP37" i="21"/>
  <c r="AO25" i="21"/>
  <c r="AR25" i="21" s="1"/>
  <c r="AS25" i="21" s="1"/>
  <c r="AV25" i="21" s="1"/>
  <c r="BF23" i="21"/>
  <c r="BE23" i="21"/>
  <c r="K26" i="21"/>
  <c r="AZ24" i="21"/>
  <c r="AM24" i="21"/>
  <c r="O24" i="21"/>
  <c r="O25" i="21" s="1"/>
  <c r="BB23" i="21"/>
  <c r="BD22" i="21"/>
  <c r="BG22" i="21" s="1"/>
  <c r="AI24" i="21"/>
  <c r="AW24" i="21" s="1"/>
  <c r="AZ25" i="21"/>
  <c r="AM25" i="21"/>
  <c r="AQ48" i="21"/>
  <c r="AO24" i="21"/>
  <c r="AR24" i="21" s="1"/>
  <c r="AS24" i="21" s="1"/>
  <c r="AV24" i="21" s="1"/>
  <c r="AP36" i="21"/>
  <c r="K27" i="21"/>
  <c r="BI22" i="21" l="1"/>
  <c r="BJ22" i="21" s="1"/>
  <c r="BB24" i="21"/>
  <c r="BD23" i="21"/>
  <c r="BG23" i="21" s="1"/>
  <c r="BI23" i="21" s="1"/>
  <c r="BJ23" i="21" s="1"/>
  <c r="AJ27" i="21"/>
  <c r="AK27" i="21" s="1"/>
  <c r="AH27" i="21"/>
  <c r="Q27" i="21"/>
  <c r="N27" i="21"/>
  <c r="AL27" i="21" s="1"/>
  <c r="BF24" i="21"/>
  <c r="BE24" i="21"/>
  <c r="AI25" i="21"/>
  <c r="AW25" i="21" s="1"/>
  <c r="BF25" i="21"/>
  <c r="BE25" i="21"/>
  <c r="L26" i="21"/>
  <c r="AH26" i="21"/>
  <c r="AJ26" i="21"/>
  <c r="AK26" i="21" s="1"/>
  <c r="Q26" i="21"/>
  <c r="N26" i="21"/>
  <c r="AL26" i="21" s="1"/>
  <c r="AQ50" i="21" l="1"/>
  <c r="AO26" i="21"/>
  <c r="AR26" i="21" s="1"/>
  <c r="AS26" i="21" s="1"/>
  <c r="AV26" i="21" s="1"/>
  <c r="AP38" i="21"/>
  <c r="AZ27" i="21"/>
  <c r="AM27" i="21"/>
  <c r="L27" i="21"/>
  <c r="K28" i="21"/>
  <c r="AZ26" i="21"/>
  <c r="AM26" i="21"/>
  <c r="R26" i="21"/>
  <c r="R27" i="21" s="1"/>
  <c r="BB25" i="21"/>
  <c r="BD24" i="21"/>
  <c r="BG24" i="21" s="1"/>
  <c r="BI24" i="21" s="1"/>
  <c r="BJ24" i="21" s="1"/>
  <c r="O26" i="21"/>
  <c r="O27" i="21" s="1"/>
  <c r="AI26" i="21"/>
  <c r="AW26" i="21" s="1"/>
  <c r="K29" i="21"/>
  <c r="AI27" i="21" l="1"/>
  <c r="AW27" i="21" s="1"/>
  <c r="AO27" i="21"/>
  <c r="AR27" i="21" s="1"/>
  <c r="AS27" i="21" s="1"/>
  <c r="AV27" i="21" s="1"/>
  <c r="AQ51" i="21"/>
  <c r="AP39" i="21"/>
  <c r="BB26" i="21"/>
  <c r="BD25" i="21"/>
  <c r="BG25" i="21" s="1"/>
  <c r="BI25" i="21" s="1"/>
  <c r="BJ25" i="21" s="1"/>
  <c r="R28" i="21"/>
  <c r="BF27" i="21"/>
  <c r="BE27" i="21"/>
  <c r="BE26" i="21"/>
  <c r="BF26" i="21"/>
  <c r="AJ29" i="21"/>
  <c r="AK29" i="21" s="1"/>
  <c r="AH29" i="21"/>
  <c r="Q29" i="21"/>
  <c r="N29" i="21"/>
  <c r="AL29" i="21" s="1"/>
  <c r="AJ28" i="21"/>
  <c r="AK28" i="21" s="1"/>
  <c r="Q28" i="21"/>
  <c r="L28" i="21"/>
  <c r="L29" i="21" s="1"/>
  <c r="AH28" i="21"/>
  <c r="AI28" i="21" s="1"/>
  <c r="AW28" i="21" s="1"/>
  <c r="N28" i="21"/>
  <c r="AL28" i="21" s="1"/>
  <c r="AP41" i="21" l="1"/>
  <c r="AQ53" i="21"/>
  <c r="AO29" i="21"/>
  <c r="AR29" i="21" s="1"/>
  <c r="AS29" i="21" s="1"/>
  <c r="AV29" i="21" s="1"/>
  <c r="R29" i="21"/>
  <c r="AZ29" i="21"/>
  <c r="AM29" i="21"/>
  <c r="K30" i="21"/>
  <c r="AI29" i="21"/>
  <c r="AW29" i="21" s="1"/>
  <c r="BD26" i="21"/>
  <c r="BG26" i="21" s="1"/>
  <c r="BI26" i="21" s="1"/>
  <c r="BJ26" i="21" s="1"/>
  <c r="BB27" i="21"/>
  <c r="AP40" i="21"/>
  <c r="AQ52" i="21"/>
  <c r="AO28" i="21"/>
  <c r="AR28" i="21" s="1"/>
  <c r="AS28" i="21" s="1"/>
  <c r="AV28" i="21" s="1"/>
  <c r="AZ28" i="21"/>
  <c r="AM28" i="21"/>
  <c r="O28" i="21"/>
  <c r="O29" i="21" s="1"/>
  <c r="AJ30" i="21" l="1"/>
  <c r="AK30" i="21" s="1"/>
  <c r="L30" i="21"/>
  <c r="AH30" i="21"/>
  <c r="AI30" i="21" s="1"/>
  <c r="AW30" i="21" s="1"/>
  <c r="Q30" i="21"/>
  <c r="N30" i="21"/>
  <c r="AL30" i="21" s="1"/>
  <c r="BF28" i="21"/>
  <c r="BE28" i="21"/>
  <c r="BF29" i="21"/>
  <c r="BE29" i="21"/>
  <c r="BD27" i="21"/>
  <c r="BG27" i="21" s="1"/>
  <c r="BI27" i="21" s="1"/>
  <c r="BJ27" i="21" s="1"/>
  <c r="BB28" i="21"/>
  <c r="K31" i="21"/>
  <c r="O30" i="21"/>
  <c r="K32" i="21"/>
  <c r="AJ32" i="21" l="1"/>
  <c r="AK32" i="21" s="1"/>
  <c r="AH32" i="21"/>
  <c r="Q32" i="21"/>
  <c r="N32" i="21"/>
  <c r="AL32" i="21" s="1"/>
  <c r="AJ31" i="21"/>
  <c r="L31" i="21"/>
  <c r="AH31" i="21"/>
  <c r="Q31" i="21"/>
  <c r="N31" i="21"/>
  <c r="BD28" i="21"/>
  <c r="BG28" i="21" s="1"/>
  <c r="BI28" i="21" s="1"/>
  <c r="BJ28" i="21" s="1"/>
  <c r="BB29" i="21"/>
  <c r="AZ30" i="21"/>
  <c r="AM30" i="21"/>
  <c r="R30" i="21"/>
  <c r="AP42" i="21"/>
  <c r="AQ54" i="21"/>
  <c r="AO30" i="21"/>
  <c r="AR30" i="21" s="1"/>
  <c r="AS30" i="21" s="1"/>
  <c r="AV30" i="21" s="1"/>
  <c r="K33" i="21"/>
  <c r="AH33" i="21" l="1"/>
  <c r="Q33" i="21"/>
  <c r="AJ33" i="21"/>
  <c r="AK33" i="21" s="1"/>
  <c r="N33" i="21"/>
  <c r="AL33" i="21" s="1"/>
  <c r="AP43" i="21"/>
  <c r="AQ55" i="21"/>
  <c r="AO31" i="21"/>
  <c r="AR31" i="21" s="1"/>
  <c r="AS31" i="21" s="1"/>
  <c r="AV31" i="21" s="1"/>
  <c r="BF30" i="21"/>
  <c r="BE30" i="21"/>
  <c r="AK31" i="21"/>
  <c r="AJ367" i="21"/>
  <c r="BB30" i="21"/>
  <c r="BD29" i="21"/>
  <c r="BG29" i="21" s="1"/>
  <c r="BI29" i="21" s="1"/>
  <c r="BJ29" i="21" s="1"/>
  <c r="AM32" i="21"/>
  <c r="AZ32" i="21"/>
  <c r="AL31" i="21"/>
  <c r="AM31" i="21"/>
  <c r="AZ31" i="21"/>
  <c r="L32" i="21"/>
  <c r="R31" i="21"/>
  <c r="R32" i="21" s="1"/>
  <c r="R33" i="21" s="1"/>
  <c r="AI31" i="21"/>
  <c r="O31" i="21"/>
  <c r="O32" i="21" s="1"/>
  <c r="K34" i="21"/>
  <c r="O33" i="21" l="1"/>
  <c r="AQ56" i="21"/>
  <c r="AP44" i="21"/>
  <c r="AO32" i="21"/>
  <c r="AR32" i="21" s="1"/>
  <c r="AS32" i="21" s="1"/>
  <c r="AV32" i="21" s="1"/>
  <c r="BE32" i="21"/>
  <c r="BF32" i="21"/>
  <c r="AJ34" i="21"/>
  <c r="AK34" i="21" s="1"/>
  <c r="AH34" i="21"/>
  <c r="Q34" i="21"/>
  <c r="R34" i="21" s="1"/>
  <c r="N34" i="21"/>
  <c r="BE31" i="21"/>
  <c r="BF31" i="21"/>
  <c r="BB31" i="21"/>
  <c r="BD30" i="21"/>
  <c r="BG30" i="21" s="1"/>
  <c r="BI30" i="21" s="1"/>
  <c r="BJ30" i="21" s="1"/>
  <c r="L33" i="21"/>
  <c r="L34" i="21" s="1"/>
  <c r="AK367" i="21"/>
  <c r="AW31" i="21"/>
  <c r="AI367" i="21"/>
  <c r="AI32" i="21"/>
  <c r="AW32" i="21" s="1"/>
  <c r="AM33" i="21"/>
  <c r="AZ33" i="21"/>
  <c r="AI33" i="21" l="1"/>
  <c r="AW33" i="21" s="1"/>
  <c r="AI34" i="21"/>
  <c r="AW34" i="21" s="1"/>
  <c r="BB32" i="21"/>
  <c r="BD31" i="21"/>
  <c r="BG31" i="21" s="1"/>
  <c r="AQ58" i="21"/>
  <c r="AP46" i="21"/>
  <c r="AO34" i="21"/>
  <c r="AR34" i="21" s="1"/>
  <c r="AS34" i="21" s="1"/>
  <c r="AV34" i="21" s="1"/>
  <c r="BF33" i="21"/>
  <c r="BE33" i="21"/>
  <c r="AQ57" i="21"/>
  <c r="AP45" i="21"/>
  <c r="AO33" i="21"/>
  <c r="AR33" i="21" s="1"/>
  <c r="AS33" i="21" s="1"/>
  <c r="AV33" i="21" s="1"/>
  <c r="AL34" i="21"/>
  <c r="O34" i="21"/>
  <c r="AM34" i="21"/>
  <c r="AZ34" i="21"/>
  <c r="K35" i="21" l="1"/>
  <c r="BE34" i="21"/>
  <c r="BF34" i="21"/>
  <c r="BI31" i="21"/>
  <c r="BJ31" i="21" s="1"/>
  <c r="BB33" i="21"/>
  <c r="BD32" i="21"/>
  <c r="BG32" i="21" s="1"/>
  <c r="BI32" i="21" s="1"/>
  <c r="BJ32" i="21" s="1"/>
  <c r="K36" i="21" l="1"/>
  <c r="AJ35" i="21"/>
  <c r="AK35" i="21" s="1"/>
  <c r="AH35" i="21"/>
  <c r="Q35" i="21"/>
  <c r="L35" i="21"/>
  <c r="N35" i="21"/>
  <c r="BD33" i="21"/>
  <c r="BG33" i="21" s="1"/>
  <c r="BB34" i="21"/>
  <c r="AO35" i="21" l="1"/>
  <c r="AR35" i="21" s="1"/>
  <c r="AS35" i="21" s="1"/>
  <c r="AV35" i="21" s="1"/>
  <c r="AP47" i="21"/>
  <c r="AQ59" i="21"/>
  <c r="AZ35" i="21"/>
  <c r="BB35" i="21" s="1"/>
  <c r="AM35" i="21"/>
  <c r="R35" i="21"/>
  <c r="AI35" i="21"/>
  <c r="AW35" i="21" s="1"/>
  <c r="BD34" i="21"/>
  <c r="BG34" i="21" s="1"/>
  <c r="BI34" i="21" s="1"/>
  <c r="BJ34" i="21" s="1"/>
  <c r="BI33" i="21"/>
  <c r="BJ33" i="21" s="1"/>
  <c r="K37" i="21"/>
  <c r="AH36" i="21"/>
  <c r="AJ36" i="21"/>
  <c r="AK36" i="21" s="1"/>
  <c r="L36" i="21"/>
  <c r="Q36" i="21"/>
  <c r="N36" i="21"/>
  <c r="AL36" i="21" s="1"/>
  <c r="AL35" i="21"/>
  <c r="O35" i="21"/>
  <c r="K38" i="21"/>
  <c r="R36" i="21" l="1"/>
  <c r="BD35" i="21"/>
  <c r="AJ38" i="21"/>
  <c r="AK38" i="21" s="1"/>
  <c r="AH38" i="21"/>
  <c r="Q38" i="21"/>
  <c r="N38" i="21"/>
  <c r="AL38" i="21" s="1"/>
  <c r="AM36" i="21"/>
  <c r="AZ36" i="21"/>
  <c r="AP48" i="21"/>
  <c r="AQ60" i="21"/>
  <c r="AO36" i="21"/>
  <c r="AR36" i="21" s="1"/>
  <c r="AS36" i="21" s="1"/>
  <c r="AV36" i="21" s="1"/>
  <c r="BF35" i="21"/>
  <c r="BE35" i="21"/>
  <c r="AI36" i="21"/>
  <c r="AW36" i="21" s="1"/>
  <c r="O36" i="21"/>
  <c r="O37" i="21" s="1"/>
  <c r="O38" i="21" s="1"/>
  <c r="L37" i="21"/>
  <c r="AJ37" i="21"/>
  <c r="AK37" i="21" s="1"/>
  <c r="AH37" i="21"/>
  <c r="Q37" i="21"/>
  <c r="R37" i="21" s="1"/>
  <c r="N37" i="21"/>
  <c r="AL37" i="21" s="1"/>
  <c r="K39" i="21"/>
  <c r="AI37" i="21" l="1"/>
  <c r="AW37" i="21" s="1"/>
  <c r="R38" i="21"/>
  <c r="AZ38" i="21"/>
  <c r="AM38" i="21"/>
  <c r="AP49" i="21"/>
  <c r="AQ61" i="21"/>
  <c r="AO37" i="21"/>
  <c r="AR37" i="21" s="1"/>
  <c r="AS37" i="21" s="1"/>
  <c r="AV37" i="21" s="1"/>
  <c r="AI38" i="21"/>
  <c r="AW38" i="21" s="1"/>
  <c r="AJ39" i="21"/>
  <c r="AK39" i="21" s="1"/>
  <c r="AH39" i="21"/>
  <c r="Q39" i="21"/>
  <c r="N39" i="21"/>
  <c r="AL39" i="21" s="1"/>
  <c r="BF36" i="21"/>
  <c r="BE36" i="21"/>
  <c r="L38" i="21"/>
  <c r="L39" i="21" s="1"/>
  <c r="BG35" i="21"/>
  <c r="BB36" i="21"/>
  <c r="AM37" i="21"/>
  <c r="AZ37" i="21"/>
  <c r="O39" i="21" l="1"/>
  <c r="BF37" i="21"/>
  <c r="BE37" i="21"/>
  <c r="AM39" i="21"/>
  <c r="AZ39" i="21"/>
  <c r="BB37" i="21"/>
  <c r="BD36" i="21"/>
  <c r="BG36" i="21" s="1"/>
  <c r="BI36" i="21" s="1"/>
  <c r="BJ36" i="21" s="1"/>
  <c r="AP51" i="21"/>
  <c r="AQ63" i="21"/>
  <c r="AO39" i="21"/>
  <c r="AR39" i="21" s="1"/>
  <c r="AS39" i="21" s="1"/>
  <c r="AV39" i="21" s="1"/>
  <c r="BF38" i="21"/>
  <c r="BE38" i="21"/>
  <c r="BI35" i="21"/>
  <c r="BJ35" i="21" s="1"/>
  <c r="AI39" i="21"/>
  <c r="AW39" i="21" s="1"/>
  <c r="R39" i="21"/>
  <c r="AP50" i="21"/>
  <c r="AQ62" i="21"/>
  <c r="AO38" i="21"/>
  <c r="AR38" i="21" s="1"/>
  <c r="AS38" i="21" s="1"/>
  <c r="AV38" i="21" s="1"/>
  <c r="BD37" i="21" l="1"/>
  <c r="BG37" i="21" s="1"/>
  <c r="BB38" i="21"/>
  <c r="BF39" i="21"/>
  <c r="BE39" i="21"/>
  <c r="K40" i="21"/>
  <c r="K41" i="21"/>
  <c r="AJ40" i="21" l="1"/>
  <c r="AK40" i="21" s="1"/>
  <c r="AH40" i="21"/>
  <c r="AI40" i="21" s="1"/>
  <c r="AW40" i="21" s="1"/>
  <c r="L40" i="21"/>
  <c r="Q40" i="21"/>
  <c r="N40" i="21"/>
  <c r="AH41" i="21"/>
  <c r="AI41" i="21" s="1"/>
  <c r="AW41" i="21" s="1"/>
  <c r="L41" i="21"/>
  <c r="Q41" i="21"/>
  <c r="AJ41" i="21"/>
  <c r="AK41" i="21" s="1"/>
  <c r="N41" i="21"/>
  <c r="AL41" i="21" s="1"/>
  <c r="BB39" i="21"/>
  <c r="BD38" i="21"/>
  <c r="BG38" i="21" s="1"/>
  <c r="BI38" i="21" s="1"/>
  <c r="BJ38" i="21" s="1"/>
  <c r="BI37" i="21"/>
  <c r="BJ37" i="21" s="1"/>
  <c r="K42" i="21"/>
  <c r="AH42" i="21" l="1"/>
  <c r="AI42" i="21" s="1"/>
  <c r="AW42" i="21" s="1"/>
  <c r="L42" i="21"/>
  <c r="AJ42" i="21"/>
  <c r="AK42" i="21" s="1"/>
  <c r="Q42" i="21"/>
  <c r="N42" i="21"/>
  <c r="AL42" i="21" s="1"/>
  <c r="AZ41" i="21"/>
  <c r="AM41" i="21"/>
  <c r="AQ65" i="21"/>
  <c r="AO41" i="21"/>
  <c r="AR41" i="21" s="1"/>
  <c r="AS41" i="21" s="1"/>
  <c r="AV41" i="21" s="1"/>
  <c r="AP53" i="21"/>
  <c r="AL40" i="21"/>
  <c r="O40" i="21"/>
  <c r="O41" i="21" s="1"/>
  <c r="O42" i="21" s="1"/>
  <c r="AZ40" i="21"/>
  <c r="BB40" i="21" s="1"/>
  <c r="AM40" i="21"/>
  <c r="R40" i="21"/>
  <c r="R41" i="21" s="1"/>
  <c r="BD39" i="21"/>
  <c r="BG39" i="21" s="1"/>
  <c r="BI39" i="21" s="1"/>
  <c r="BJ39" i="21" s="1"/>
  <c r="AQ64" i="21"/>
  <c r="AP52" i="21"/>
  <c r="AO40" i="21"/>
  <c r="AR40" i="21" s="1"/>
  <c r="AS40" i="21" s="1"/>
  <c r="AV40" i="21" s="1"/>
  <c r="R42" i="21" l="1"/>
  <c r="BB41" i="21"/>
  <c r="BD40" i="21"/>
  <c r="BF41" i="21"/>
  <c r="BE41" i="21"/>
  <c r="BE40" i="21"/>
  <c r="BF40" i="21"/>
  <c r="AZ42" i="21"/>
  <c r="AM42" i="21"/>
  <c r="AQ66" i="21"/>
  <c r="AO42" i="21"/>
  <c r="AR42" i="21" s="1"/>
  <c r="AS42" i="21" s="1"/>
  <c r="AV42" i="21" s="1"/>
  <c r="AP54" i="21"/>
  <c r="K43" i="21" l="1"/>
  <c r="BG40" i="21"/>
  <c r="BI40" i="21" s="1"/>
  <c r="BJ40" i="21" s="1"/>
  <c r="BE42" i="21"/>
  <c r="BF42" i="21"/>
  <c r="BB42" i="21"/>
  <c r="BD41" i="21"/>
  <c r="BG41" i="21" s="1"/>
  <c r="BI41" i="21" s="1"/>
  <c r="BJ41" i="21" s="1"/>
  <c r="BD42" i="21" l="1"/>
  <c r="BG42" i="21" s="1"/>
  <c r="BI42" i="21" s="1"/>
  <c r="BJ42" i="21" s="1"/>
  <c r="L43" i="21"/>
  <c r="AJ43" i="21"/>
  <c r="AK43" i="21" s="1"/>
  <c r="AH43" i="21"/>
  <c r="Q43" i="21"/>
  <c r="N43" i="21"/>
  <c r="K44" i="21"/>
  <c r="AL43" i="21" l="1"/>
  <c r="O43" i="21"/>
  <c r="AZ43" i="21"/>
  <c r="AM43" i="21"/>
  <c r="R43" i="21"/>
  <c r="AI43" i="21"/>
  <c r="AW43" i="21" s="1"/>
  <c r="AH44" i="21"/>
  <c r="AI44" i="21" s="1"/>
  <c r="AW44" i="21" s="1"/>
  <c r="AJ44" i="21"/>
  <c r="AK44" i="21" s="1"/>
  <c r="L44" i="21"/>
  <c r="Q44" i="21"/>
  <c r="N44" i="21"/>
  <c r="AL44" i="21" s="1"/>
  <c r="AO43" i="21"/>
  <c r="AR43" i="21" s="1"/>
  <c r="AS43" i="21" s="1"/>
  <c r="AV43" i="21" s="1"/>
  <c r="AP55" i="21"/>
  <c r="AQ67" i="21"/>
  <c r="K45" i="21"/>
  <c r="R44" i="21" l="1"/>
  <c r="AJ45" i="21"/>
  <c r="AK45" i="21" s="1"/>
  <c r="L45" i="21"/>
  <c r="AH45" i="21"/>
  <c r="Q45" i="21"/>
  <c r="N45" i="21"/>
  <c r="AL45" i="21" s="1"/>
  <c r="AZ44" i="21"/>
  <c r="AM44" i="21"/>
  <c r="AO44" i="21"/>
  <c r="AR44" i="21" s="1"/>
  <c r="AS44" i="21" s="1"/>
  <c r="AV44" i="21" s="1"/>
  <c r="AP56" i="21"/>
  <c r="AQ68" i="21"/>
  <c r="BF43" i="21"/>
  <c r="BE43" i="21"/>
  <c r="BB43" i="21"/>
  <c r="O44" i="21"/>
  <c r="K46" i="21"/>
  <c r="BB44" i="21" l="1"/>
  <c r="BD43" i="21"/>
  <c r="BG43" i="21" s="1"/>
  <c r="BF44" i="21"/>
  <c r="BE44" i="21"/>
  <c r="Q46" i="21"/>
  <c r="AJ46" i="21"/>
  <c r="AK46" i="21" s="1"/>
  <c r="AH46" i="21"/>
  <c r="L46" i="21"/>
  <c r="N46" i="21"/>
  <c r="AM45" i="21"/>
  <c r="AZ45" i="21"/>
  <c r="AI45" i="21"/>
  <c r="AW45" i="21" s="1"/>
  <c r="AP57" i="21"/>
  <c r="AQ69" i="21"/>
  <c r="AO45" i="21"/>
  <c r="AR45" i="21" s="1"/>
  <c r="AS45" i="21" s="1"/>
  <c r="AV45" i="21" s="1"/>
  <c r="K47" i="21"/>
  <c r="O45" i="21"/>
  <c r="R45" i="21"/>
  <c r="O46" i="21" l="1"/>
  <c r="AI46" i="21"/>
  <c r="AW46" i="21" s="1"/>
  <c r="AJ47" i="21"/>
  <c r="AK47" i="21" s="1"/>
  <c r="AH47" i="21"/>
  <c r="L47" i="21"/>
  <c r="Q47" i="21"/>
  <c r="N47" i="21"/>
  <c r="AL47" i="21" s="1"/>
  <c r="BF45" i="21"/>
  <c r="BE45" i="21"/>
  <c r="AZ46" i="21"/>
  <c r="AM46" i="21"/>
  <c r="BI43" i="21"/>
  <c r="BJ43" i="21" s="1"/>
  <c r="R46" i="21"/>
  <c r="AL46" i="21"/>
  <c r="BB45" i="21"/>
  <c r="BD44" i="21"/>
  <c r="BG44" i="21" s="1"/>
  <c r="BI44" i="21" s="1"/>
  <c r="BJ44" i="21" s="1"/>
  <c r="AP58" i="21"/>
  <c r="AQ70" i="21"/>
  <c r="AO46" i="21"/>
  <c r="AR46" i="21" s="1"/>
  <c r="AS46" i="21" s="1"/>
  <c r="AV46" i="21" s="1"/>
  <c r="K48" i="21"/>
  <c r="R47" i="21" l="1"/>
  <c r="AZ47" i="21"/>
  <c r="AM47" i="21"/>
  <c r="AJ48" i="21"/>
  <c r="AK48" i="21" s="1"/>
  <c r="AH48" i="21"/>
  <c r="L48" i="21"/>
  <c r="Q48" i="21"/>
  <c r="N48" i="21"/>
  <c r="AP59" i="21"/>
  <c r="AQ71" i="21"/>
  <c r="AO47" i="21"/>
  <c r="AR47" i="21" s="1"/>
  <c r="AS47" i="21" s="1"/>
  <c r="AV47" i="21" s="1"/>
  <c r="O47" i="21"/>
  <c r="O48" i="21" s="1"/>
  <c r="AI47" i="21"/>
  <c r="AW47" i="21" s="1"/>
  <c r="BF46" i="21"/>
  <c r="BE46" i="21"/>
  <c r="BB46" i="21"/>
  <c r="BD45" i="21"/>
  <c r="BG45" i="21" s="1"/>
  <c r="K49" i="21"/>
  <c r="R48" i="21" l="1"/>
  <c r="BB47" i="21"/>
  <c r="BD46" i="21"/>
  <c r="BG46" i="21" s="1"/>
  <c r="BI46" i="21" s="1"/>
  <c r="BJ46" i="21" s="1"/>
  <c r="AH49" i="21"/>
  <c r="L49" i="21"/>
  <c r="Q49" i="21"/>
  <c r="AJ49" i="21"/>
  <c r="AK49" i="21" s="1"/>
  <c r="N49" i="21"/>
  <c r="AL49" i="21" s="1"/>
  <c r="BF47" i="21"/>
  <c r="BE47" i="21"/>
  <c r="AL48" i="21"/>
  <c r="AZ48" i="21"/>
  <c r="AM48" i="21"/>
  <c r="AQ72" i="21"/>
  <c r="AO48" i="21"/>
  <c r="AR48" i="21" s="1"/>
  <c r="AS48" i="21" s="1"/>
  <c r="AV48" i="21" s="1"/>
  <c r="AP60" i="21"/>
  <c r="BI45" i="21"/>
  <c r="BJ45" i="21" s="1"/>
  <c r="AI48" i="21"/>
  <c r="AW48" i="21" s="1"/>
  <c r="K50" i="21"/>
  <c r="O49" i="21" l="1"/>
  <c r="AH50" i="21"/>
  <c r="L50" i="21"/>
  <c r="AJ50" i="21"/>
  <c r="AK50" i="21" s="1"/>
  <c r="Q50" i="21"/>
  <c r="N50" i="21"/>
  <c r="AL50" i="21" s="1"/>
  <c r="BE48" i="21"/>
  <c r="BF48" i="21"/>
  <c r="AZ49" i="21"/>
  <c r="AM49" i="21"/>
  <c r="AQ73" i="21"/>
  <c r="AO49" i="21"/>
  <c r="AR49" i="21" s="1"/>
  <c r="AS49" i="21" s="1"/>
  <c r="AV49" i="21" s="1"/>
  <c r="AP61" i="21"/>
  <c r="AI49" i="21"/>
  <c r="AW49" i="21" s="1"/>
  <c r="BB48" i="21"/>
  <c r="BD47" i="21"/>
  <c r="BG47" i="21" s="1"/>
  <c r="R49" i="21"/>
  <c r="K51" i="21"/>
  <c r="R50" i="21" l="1"/>
  <c r="BI47" i="21"/>
  <c r="BJ47" i="21" s="1"/>
  <c r="AZ50" i="21"/>
  <c r="AM50" i="21"/>
  <c r="BB49" i="21"/>
  <c r="BD48" i="21"/>
  <c r="BG48" i="21" s="1"/>
  <c r="BI48" i="21" s="1"/>
  <c r="BJ48" i="21" s="1"/>
  <c r="O50" i="21"/>
  <c r="AQ74" i="21"/>
  <c r="AO50" i="21"/>
  <c r="AR50" i="21" s="1"/>
  <c r="AS50" i="21" s="1"/>
  <c r="AV50" i="21" s="1"/>
  <c r="AP62" i="21"/>
  <c r="L51" i="21"/>
  <c r="AJ51" i="21"/>
  <c r="AK51" i="21" s="1"/>
  <c r="AH51" i="21"/>
  <c r="Q51" i="21"/>
  <c r="N51" i="21"/>
  <c r="AL51" i="21" s="1"/>
  <c r="AI50" i="21"/>
  <c r="AW50" i="21" s="1"/>
  <c r="BF49" i="21"/>
  <c r="BE49" i="21"/>
  <c r="AI51" i="21" l="1"/>
  <c r="AW51" i="21" s="1"/>
  <c r="O51" i="21"/>
  <c r="AZ51" i="21"/>
  <c r="AM51" i="21"/>
  <c r="BB50" i="21"/>
  <c r="BD49" i="21"/>
  <c r="BG49" i="21" s="1"/>
  <c r="BI49" i="21" s="1"/>
  <c r="BJ49" i="21" s="1"/>
  <c r="AO51" i="21"/>
  <c r="AR51" i="21" s="1"/>
  <c r="AS51" i="21" s="1"/>
  <c r="AV51" i="21" s="1"/>
  <c r="AP63" i="21"/>
  <c r="AQ75" i="21"/>
  <c r="BF50" i="21"/>
  <c r="BE50" i="21"/>
  <c r="K52" i="21"/>
  <c r="R51" i="21"/>
  <c r="AJ52" i="21" l="1"/>
  <c r="AK52" i="21" s="1"/>
  <c r="AH52" i="21"/>
  <c r="AI52" i="21" s="1"/>
  <c r="AW52" i="21" s="1"/>
  <c r="L52" i="21"/>
  <c r="Q52" i="21"/>
  <c r="N52" i="21"/>
  <c r="AL52" i="21" s="1"/>
  <c r="BD50" i="21"/>
  <c r="BG50" i="21" s="1"/>
  <c r="BI50" i="21" s="1"/>
  <c r="BJ50" i="21" s="1"/>
  <c r="BB51" i="21"/>
  <c r="BF51" i="21"/>
  <c r="BE51" i="21"/>
  <c r="BD51" i="21" l="1"/>
  <c r="BG51" i="21" s="1"/>
  <c r="BI51" i="21" s="1"/>
  <c r="BJ51" i="21" s="1"/>
  <c r="K53" i="21"/>
  <c r="AZ52" i="21"/>
  <c r="AM52" i="21"/>
  <c r="AO52" i="21"/>
  <c r="AR52" i="21" s="1"/>
  <c r="AS52" i="21" s="1"/>
  <c r="AV52" i="21" s="1"/>
  <c r="AP64" i="21"/>
  <c r="AQ76" i="21"/>
  <c r="O52" i="21"/>
  <c r="R52" i="21"/>
  <c r="BF52" i="21" l="1"/>
  <c r="BE52" i="21"/>
  <c r="K54" i="21"/>
  <c r="AJ53" i="21"/>
  <c r="AK53" i="21" s="1"/>
  <c r="AH53" i="21"/>
  <c r="AI53" i="21" s="1"/>
  <c r="AW53" i="21" s="1"/>
  <c r="L53" i="21"/>
  <c r="Q53" i="21"/>
  <c r="N53" i="21"/>
  <c r="AL53" i="21" s="1"/>
  <c r="O53" i="21"/>
  <c r="BB52" i="21"/>
  <c r="K55" i="21"/>
  <c r="AM53" i="21" l="1"/>
  <c r="AZ53" i="21"/>
  <c r="BB53" i="21" s="1"/>
  <c r="AP65" i="21"/>
  <c r="AQ77" i="21"/>
  <c r="AO53" i="21"/>
  <c r="AR53" i="21" s="1"/>
  <c r="AS53" i="21" s="1"/>
  <c r="AV53" i="21" s="1"/>
  <c r="BD52" i="21"/>
  <c r="BG52" i="21" s="1"/>
  <c r="BI52" i="21" s="1"/>
  <c r="BJ52" i="21" s="1"/>
  <c r="Q54" i="21"/>
  <c r="AJ54" i="21"/>
  <c r="AK54" i="21" s="1"/>
  <c r="AH54" i="21"/>
  <c r="AI54" i="21" s="1"/>
  <c r="AW54" i="21" s="1"/>
  <c r="L54" i="21"/>
  <c r="N54" i="21"/>
  <c r="AL54" i="21" s="1"/>
  <c r="AJ55" i="21"/>
  <c r="AK55" i="21" s="1"/>
  <c r="AH55" i="21"/>
  <c r="L55" i="21"/>
  <c r="Q55" i="21"/>
  <c r="N55" i="21"/>
  <c r="R53" i="21"/>
  <c r="AZ55" i="21" l="1"/>
  <c r="AM55" i="21"/>
  <c r="AZ54" i="21"/>
  <c r="BB54" i="21" s="1"/>
  <c r="AM54" i="21"/>
  <c r="AP67" i="21"/>
  <c r="AQ79" i="21"/>
  <c r="AO55" i="21"/>
  <c r="AR55" i="21" s="1"/>
  <c r="AS55" i="21" s="1"/>
  <c r="AV55" i="21" s="1"/>
  <c r="AI55" i="21"/>
  <c r="AW55" i="21" s="1"/>
  <c r="BD53" i="21"/>
  <c r="R54" i="21"/>
  <c r="R55" i="21" s="1"/>
  <c r="O54" i="21"/>
  <c r="O55" i="21" s="1"/>
  <c r="AP66" i="21"/>
  <c r="AQ78" i="21"/>
  <c r="AO54" i="21"/>
  <c r="AR54" i="21" s="1"/>
  <c r="AS54" i="21" s="1"/>
  <c r="AV54" i="21" s="1"/>
  <c r="BF53" i="21"/>
  <c r="BE53" i="21"/>
  <c r="AL55" i="21"/>
  <c r="BG53" i="21" l="1"/>
  <c r="BI53" i="21" s="1"/>
  <c r="BJ53" i="21" s="1"/>
  <c r="BF54" i="21"/>
  <c r="BE54" i="21"/>
  <c r="BB55" i="21"/>
  <c r="BD54" i="21"/>
  <c r="K56" i="21"/>
  <c r="BF55" i="21"/>
  <c r="BE55" i="21"/>
  <c r="BG54" i="21" l="1"/>
  <c r="BI54" i="21" s="1"/>
  <c r="BJ54" i="21" s="1"/>
  <c r="BD55" i="21"/>
  <c r="BG55" i="21" s="1"/>
  <c r="K57" i="21"/>
  <c r="AJ56" i="21"/>
  <c r="AK56" i="21" s="1"/>
  <c r="AH56" i="21"/>
  <c r="L56" i="21"/>
  <c r="Q56" i="21"/>
  <c r="N56" i="21"/>
  <c r="AI56" i="21" l="1"/>
  <c r="AW56" i="21" s="1"/>
  <c r="K58" i="21"/>
  <c r="AH57" i="21"/>
  <c r="AI57" i="21" s="1"/>
  <c r="AW57" i="21" s="1"/>
  <c r="L57" i="21"/>
  <c r="Q57" i="21"/>
  <c r="AJ57" i="21"/>
  <c r="AK57" i="21" s="1"/>
  <c r="N57" i="21"/>
  <c r="AL57" i="21" s="1"/>
  <c r="AL56" i="21"/>
  <c r="O56" i="21"/>
  <c r="AZ56" i="21"/>
  <c r="AM56" i="21"/>
  <c r="R56" i="21"/>
  <c r="BI55" i="21"/>
  <c r="BJ55" i="21" s="1"/>
  <c r="K59" i="21"/>
  <c r="AQ80" i="21"/>
  <c r="AO56" i="21"/>
  <c r="AR56" i="21" s="1"/>
  <c r="AS56" i="21" s="1"/>
  <c r="AV56" i="21" s="1"/>
  <c r="AP68" i="21"/>
  <c r="R57" i="21" l="1"/>
  <c r="AQ81" i="21"/>
  <c r="AO57" i="21"/>
  <c r="AR57" i="21" s="1"/>
  <c r="AS57" i="21" s="1"/>
  <c r="AV57" i="21" s="1"/>
  <c r="AP69" i="21"/>
  <c r="BE56" i="21"/>
  <c r="BF56" i="21"/>
  <c r="BB56" i="21"/>
  <c r="AJ59" i="21"/>
  <c r="AK59" i="21" s="1"/>
  <c r="AH59" i="21"/>
  <c r="Q59" i="21"/>
  <c r="N59" i="21"/>
  <c r="AL59" i="21" s="1"/>
  <c r="O57" i="21"/>
  <c r="AH58" i="21"/>
  <c r="AI58" i="21" s="1"/>
  <c r="AW58" i="21" s="1"/>
  <c r="L58" i="21"/>
  <c r="AJ58" i="21"/>
  <c r="AK58" i="21" s="1"/>
  <c r="Q58" i="21"/>
  <c r="R58" i="21" s="1"/>
  <c r="R59" i="21" s="1"/>
  <c r="N58" i="21"/>
  <c r="AZ57" i="21"/>
  <c r="AM57" i="21"/>
  <c r="O58" i="21" l="1"/>
  <c r="O59" i="21" s="1"/>
  <c r="AQ82" i="21"/>
  <c r="AO58" i="21"/>
  <c r="AR58" i="21" s="1"/>
  <c r="AS58" i="21" s="1"/>
  <c r="AV58" i="21" s="1"/>
  <c r="AP70" i="21"/>
  <c r="BB57" i="21"/>
  <c r="BD56" i="21"/>
  <c r="BG56" i="21" s="1"/>
  <c r="AZ59" i="21"/>
  <c r="AM59" i="21"/>
  <c r="AL58" i="21"/>
  <c r="AI59" i="21"/>
  <c r="AW59" i="21" s="1"/>
  <c r="AZ58" i="21"/>
  <c r="AM58" i="21"/>
  <c r="BF57" i="21"/>
  <c r="BE57" i="21"/>
  <c r="L59" i="21"/>
  <c r="BF58" i="21" l="1"/>
  <c r="BE58" i="21"/>
  <c r="AO59" i="21"/>
  <c r="AR59" i="21" s="1"/>
  <c r="AS59" i="21" s="1"/>
  <c r="AV59" i="21" s="1"/>
  <c r="AP71" i="21"/>
  <c r="AQ83" i="21"/>
  <c r="BI56" i="21"/>
  <c r="BJ56" i="21" s="1"/>
  <c r="BB58" i="21"/>
  <c r="BD57" i="21"/>
  <c r="BG57" i="21" s="1"/>
  <c r="BI57" i="21" s="1"/>
  <c r="BJ57" i="21" s="1"/>
  <c r="BF59" i="21"/>
  <c r="BE59" i="21"/>
  <c r="K60" i="21"/>
  <c r="K61" i="21"/>
  <c r="AJ61" i="21" l="1"/>
  <c r="AK61" i="21" s="1"/>
  <c r="AH61" i="21"/>
  <c r="Q61" i="21"/>
  <c r="N61" i="21"/>
  <c r="AL61" i="21" s="1"/>
  <c r="AJ60" i="21"/>
  <c r="AK60" i="21" s="1"/>
  <c r="AH60" i="21"/>
  <c r="AI60" i="21" s="1"/>
  <c r="AW60" i="21" s="1"/>
  <c r="L60" i="21"/>
  <c r="L61" i="21" s="1"/>
  <c r="Q60" i="21"/>
  <c r="N60" i="21"/>
  <c r="BB59" i="21"/>
  <c r="BD58" i="21"/>
  <c r="BG58" i="21" s="1"/>
  <c r="K62" i="21"/>
  <c r="Q62" i="21" l="1"/>
  <c r="AJ62" i="21"/>
  <c r="AK62" i="21" s="1"/>
  <c r="AH62" i="21"/>
  <c r="L62" i="21"/>
  <c r="N62" i="21"/>
  <c r="AL62" i="21" s="1"/>
  <c r="BI58" i="21"/>
  <c r="BJ58" i="21" s="1"/>
  <c r="BD59" i="21"/>
  <c r="BG59" i="21" s="1"/>
  <c r="BI59" i="21" s="1"/>
  <c r="BJ59" i="21" s="1"/>
  <c r="AM61" i="21"/>
  <c r="AZ61" i="21"/>
  <c r="AL60" i="21"/>
  <c r="O60" i="21"/>
  <c r="O61" i="21" s="1"/>
  <c r="O62" i="21" s="1"/>
  <c r="AP73" i="21"/>
  <c r="AQ85" i="21"/>
  <c r="AO61" i="21"/>
  <c r="AR61" i="21" s="1"/>
  <c r="AS61" i="21" s="1"/>
  <c r="AV61" i="21" s="1"/>
  <c r="AZ60" i="21"/>
  <c r="AM60" i="21"/>
  <c r="R60" i="21"/>
  <c r="R61" i="21" s="1"/>
  <c r="R62" i="21" s="1"/>
  <c r="AI61" i="21"/>
  <c r="AW61" i="21" s="1"/>
  <c r="AO60" i="21"/>
  <c r="AR60" i="21" s="1"/>
  <c r="AS60" i="21" s="1"/>
  <c r="AV60" i="21" s="1"/>
  <c r="AP72" i="21"/>
  <c r="AQ84" i="21"/>
  <c r="BF61" i="21" l="1"/>
  <c r="BE61" i="21"/>
  <c r="BF60" i="21"/>
  <c r="BE60" i="21"/>
  <c r="AP74" i="21"/>
  <c r="AQ86" i="21"/>
  <c r="AO62" i="21"/>
  <c r="AR62" i="21" s="1"/>
  <c r="AS62" i="21" s="1"/>
  <c r="AV62" i="21" s="1"/>
  <c r="AI62" i="21"/>
  <c r="AW62" i="21" s="1"/>
  <c r="BB60" i="21"/>
  <c r="AZ62" i="21"/>
  <c r="AM62" i="21"/>
  <c r="BF62" i="21" l="1"/>
  <c r="BE62" i="21"/>
  <c r="BB61" i="21"/>
  <c r="BD60" i="21"/>
  <c r="BG60" i="21" s="1"/>
  <c r="K63" i="21"/>
  <c r="K64" i="21"/>
  <c r="AJ63" i="21" l="1"/>
  <c r="AK63" i="21" s="1"/>
  <c r="AH63" i="21"/>
  <c r="AI63" i="21" s="1"/>
  <c r="AW63" i="21" s="1"/>
  <c r="L63" i="21"/>
  <c r="Q63" i="21"/>
  <c r="N63" i="21"/>
  <c r="BI60" i="21"/>
  <c r="BJ60" i="21" s="1"/>
  <c r="BB62" i="21"/>
  <c r="BD61" i="21"/>
  <c r="BG61" i="21" s="1"/>
  <c r="BI61" i="21" s="1"/>
  <c r="BJ61" i="21" s="1"/>
  <c r="AJ64" i="21"/>
  <c r="AK64" i="21" s="1"/>
  <c r="AH64" i="21"/>
  <c r="AI64" i="21" s="1"/>
  <c r="AW64" i="21" s="1"/>
  <c r="L64" i="21"/>
  <c r="Q64" i="21"/>
  <c r="N64" i="21"/>
  <c r="AL64" i="21" s="1"/>
  <c r="K65" i="21"/>
  <c r="BD62" i="21" l="1"/>
  <c r="BG62" i="21" s="1"/>
  <c r="BI62" i="21" s="1"/>
  <c r="BJ62" i="21" s="1"/>
  <c r="AZ64" i="21"/>
  <c r="AM64" i="21"/>
  <c r="AL63" i="21"/>
  <c r="O63" i="21"/>
  <c r="O64" i="21" s="1"/>
  <c r="AQ88" i="21"/>
  <c r="AO64" i="21"/>
  <c r="AR64" i="21" s="1"/>
  <c r="AS64" i="21" s="1"/>
  <c r="AV64" i="21" s="1"/>
  <c r="AP76" i="21"/>
  <c r="AZ63" i="21"/>
  <c r="AM63" i="21"/>
  <c r="R63" i="21"/>
  <c r="R64" i="21" s="1"/>
  <c r="AH65" i="21"/>
  <c r="AI65" i="21" s="1"/>
  <c r="AW65" i="21" s="1"/>
  <c r="L65" i="21"/>
  <c r="Q65" i="21"/>
  <c r="AJ65" i="21"/>
  <c r="AK65" i="21" s="1"/>
  <c r="N65" i="21"/>
  <c r="AL65" i="21" s="1"/>
  <c r="AQ87" i="21"/>
  <c r="AP75" i="21"/>
  <c r="AO63" i="21"/>
  <c r="AR63" i="21" s="1"/>
  <c r="AS63" i="21" s="1"/>
  <c r="AV63" i="21" s="1"/>
  <c r="K66" i="21"/>
  <c r="O65" i="21" l="1"/>
  <c r="AH66" i="21"/>
  <c r="AI66" i="21" s="1"/>
  <c r="AW66" i="21" s="1"/>
  <c r="L66" i="21"/>
  <c r="Q66" i="21"/>
  <c r="AJ66" i="21"/>
  <c r="AK66" i="21" s="1"/>
  <c r="N66" i="21"/>
  <c r="AL66" i="21" s="1"/>
  <c r="AZ65" i="21"/>
  <c r="AM65" i="21"/>
  <c r="AQ89" i="21"/>
  <c r="AO65" i="21"/>
  <c r="AR65" i="21" s="1"/>
  <c r="AS65" i="21" s="1"/>
  <c r="AV65" i="21" s="1"/>
  <c r="AP77" i="21"/>
  <c r="R65" i="21"/>
  <c r="R66" i="21" s="1"/>
  <c r="BE64" i="21"/>
  <c r="BF64" i="21"/>
  <c r="BF63" i="21"/>
  <c r="BE63" i="21"/>
  <c r="BB63" i="21"/>
  <c r="K67" i="21"/>
  <c r="L67" i="21" l="1"/>
  <c r="AJ67" i="21"/>
  <c r="AK67" i="21" s="1"/>
  <c r="AH67" i="21"/>
  <c r="Q67" i="21"/>
  <c r="N67" i="21"/>
  <c r="BF65" i="21"/>
  <c r="BE65" i="21"/>
  <c r="O66" i="21"/>
  <c r="AZ66" i="21"/>
  <c r="AM66" i="21"/>
  <c r="AQ90" i="21"/>
  <c r="AO66" i="21"/>
  <c r="AR66" i="21" s="1"/>
  <c r="AS66" i="21" s="1"/>
  <c r="AV66" i="21" s="1"/>
  <c r="AP78" i="21"/>
  <c r="BB64" i="21"/>
  <c r="BD63" i="21"/>
  <c r="BG63" i="21" s="1"/>
  <c r="BI63" i="21" s="1"/>
  <c r="BJ63" i="21" s="1"/>
  <c r="BB65" i="21" l="1"/>
  <c r="BD64" i="21"/>
  <c r="BG64" i="21" s="1"/>
  <c r="BI64" i="21" s="1"/>
  <c r="BJ64" i="21" s="1"/>
  <c r="AL67" i="21"/>
  <c r="AZ67" i="21"/>
  <c r="AM67" i="21"/>
  <c r="BF66" i="21"/>
  <c r="BE66" i="21"/>
  <c r="AI67" i="21"/>
  <c r="AW67" i="21" s="1"/>
  <c r="O67" i="21"/>
  <c r="R67" i="21"/>
  <c r="AO67" i="21"/>
  <c r="AR67" i="21" s="1"/>
  <c r="AS67" i="21" s="1"/>
  <c r="AV67" i="21" s="1"/>
  <c r="AP79" i="21"/>
  <c r="AQ91" i="21"/>
  <c r="K68" i="21" l="1"/>
  <c r="BF67" i="21"/>
  <c r="BE67" i="21"/>
  <c r="BB66" i="21"/>
  <c r="BD65" i="21"/>
  <c r="BG65" i="21" s="1"/>
  <c r="BI65" i="21" s="1"/>
  <c r="BJ65" i="21" s="1"/>
  <c r="BD66" i="21" l="1"/>
  <c r="BG66" i="21" s="1"/>
  <c r="BI66" i="21" s="1"/>
  <c r="BJ66" i="21" s="1"/>
  <c r="BB67" i="21"/>
  <c r="AJ68" i="21"/>
  <c r="AK68" i="21" s="1"/>
  <c r="AH68" i="21"/>
  <c r="L68" i="21"/>
  <c r="Q68" i="21"/>
  <c r="N68" i="21"/>
  <c r="AZ68" i="21" l="1"/>
  <c r="AM68" i="21"/>
  <c r="R68" i="21"/>
  <c r="AQ92" i="21"/>
  <c r="AO68" i="21"/>
  <c r="AR68" i="21" s="1"/>
  <c r="AS68" i="21" s="1"/>
  <c r="AV68" i="21" s="1"/>
  <c r="AP80" i="21"/>
  <c r="AI68" i="21"/>
  <c r="AW68" i="21" s="1"/>
  <c r="BB68" i="21"/>
  <c r="BD67" i="21"/>
  <c r="BG67" i="21" s="1"/>
  <c r="K69" i="21"/>
  <c r="AL68" i="21"/>
  <c r="O68" i="21"/>
  <c r="K70" i="21"/>
  <c r="AJ69" i="21" l="1"/>
  <c r="AK69" i="21" s="1"/>
  <c r="AH69" i="21"/>
  <c r="L69" i="21"/>
  <c r="Q69" i="21"/>
  <c r="N69" i="21"/>
  <c r="BI67" i="21"/>
  <c r="BJ67" i="21" s="1"/>
  <c r="BD68" i="21"/>
  <c r="Q70" i="21"/>
  <c r="AJ70" i="21"/>
  <c r="AK70" i="21" s="1"/>
  <c r="AH70" i="21"/>
  <c r="L70" i="21"/>
  <c r="N70" i="21"/>
  <c r="AL70" i="21" s="1"/>
  <c r="BF68" i="21"/>
  <c r="BE68" i="21"/>
  <c r="AQ94" i="21" l="1"/>
  <c r="AP82" i="21"/>
  <c r="AO70" i="21"/>
  <c r="AR70" i="21" s="1"/>
  <c r="AS70" i="21" s="1"/>
  <c r="AV70" i="21" s="1"/>
  <c r="AL69" i="21"/>
  <c r="AZ70" i="21"/>
  <c r="AM70" i="21"/>
  <c r="AM69" i="21"/>
  <c r="AZ69" i="21"/>
  <c r="R69" i="21"/>
  <c r="R70" i="21" s="1"/>
  <c r="AQ93" i="21"/>
  <c r="AP81" i="21"/>
  <c r="AO69" i="21"/>
  <c r="AR69" i="21" s="1"/>
  <c r="AS69" i="21" s="1"/>
  <c r="AV69" i="21" s="1"/>
  <c r="K71" i="21"/>
  <c r="BG68" i="21"/>
  <c r="AI69" i="21"/>
  <c r="AW69" i="21" s="1"/>
  <c r="O69" i="21"/>
  <c r="O70" i="21" s="1"/>
  <c r="K72" i="21"/>
  <c r="BI68" i="21" l="1"/>
  <c r="BJ68" i="21" s="1"/>
  <c r="AI70" i="21"/>
  <c r="AW70" i="21" s="1"/>
  <c r="AJ72" i="21"/>
  <c r="AK72" i="21" s="1"/>
  <c r="AH72" i="21"/>
  <c r="Q72" i="21"/>
  <c r="N72" i="21"/>
  <c r="AL72" i="21" s="1"/>
  <c r="AJ71" i="21"/>
  <c r="AK71" i="21" s="1"/>
  <c r="AH71" i="21"/>
  <c r="L71" i="21"/>
  <c r="L72" i="21" s="1"/>
  <c r="Q71" i="21"/>
  <c r="N71" i="21"/>
  <c r="BF69" i="21"/>
  <c r="BE69" i="21"/>
  <c r="BB69" i="21"/>
  <c r="BF70" i="21"/>
  <c r="BE70" i="21"/>
  <c r="K73" i="21"/>
  <c r="AL71" i="21" l="1"/>
  <c r="AH73" i="21"/>
  <c r="L73" i="21"/>
  <c r="Q73" i="21"/>
  <c r="AJ73" i="21"/>
  <c r="AK73" i="21" s="1"/>
  <c r="N73" i="21"/>
  <c r="AL73" i="21" s="1"/>
  <c r="AZ71" i="21"/>
  <c r="AM71" i="21"/>
  <c r="AQ96" i="21"/>
  <c r="AO72" i="21"/>
  <c r="AR72" i="21" s="1"/>
  <c r="AS72" i="21" s="1"/>
  <c r="AV72" i="21" s="1"/>
  <c r="AP84" i="21"/>
  <c r="AQ95" i="21"/>
  <c r="AP83" i="21"/>
  <c r="AO71" i="21"/>
  <c r="AR71" i="21" s="1"/>
  <c r="AS71" i="21" s="1"/>
  <c r="AV71" i="21" s="1"/>
  <c r="AI71" i="21"/>
  <c r="AW71" i="21" s="1"/>
  <c r="BB70" i="21"/>
  <c r="BD69" i="21"/>
  <c r="BG69" i="21" s="1"/>
  <c r="O71" i="21"/>
  <c r="O72" i="21" s="1"/>
  <c r="AZ72" i="21"/>
  <c r="AM72" i="21"/>
  <c r="R71" i="21"/>
  <c r="R72" i="21" s="1"/>
  <c r="K74" i="21"/>
  <c r="AZ73" i="21" l="1"/>
  <c r="AM73" i="21"/>
  <c r="BI69" i="21"/>
  <c r="BJ69" i="21" s="1"/>
  <c r="AQ97" i="21"/>
  <c r="AO73" i="21"/>
  <c r="AR73" i="21" s="1"/>
  <c r="AS73" i="21" s="1"/>
  <c r="AV73" i="21" s="1"/>
  <c r="AP85" i="21"/>
  <c r="R73" i="21"/>
  <c r="BB71" i="21"/>
  <c r="BD70" i="21"/>
  <c r="BG70" i="21" s="1"/>
  <c r="BI70" i="21" s="1"/>
  <c r="BJ70" i="21" s="1"/>
  <c r="AI72" i="21"/>
  <c r="AW72" i="21" s="1"/>
  <c r="AH74" i="21"/>
  <c r="L74" i="21"/>
  <c r="Q74" i="21"/>
  <c r="AJ74" i="21"/>
  <c r="AK74" i="21" s="1"/>
  <c r="N74" i="21"/>
  <c r="AL74" i="21" s="1"/>
  <c r="BE72" i="21"/>
  <c r="BF72" i="21"/>
  <c r="O73" i="21"/>
  <c r="BF71" i="21"/>
  <c r="BE71" i="21"/>
  <c r="K75" i="21"/>
  <c r="R74" i="21" l="1"/>
  <c r="O74" i="21"/>
  <c r="AZ74" i="21"/>
  <c r="AM74" i="21"/>
  <c r="AQ98" i="21"/>
  <c r="AO74" i="21"/>
  <c r="AR74" i="21" s="1"/>
  <c r="AS74" i="21" s="1"/>
  <c r="AV74" i="21" s="1"/>
  <c r="AP86" i="21"/>
  <c r="L75" i="21"/>
  <c r="AJ75" i="21"/>
  <c r="AK75" i="21" s="1"/>
  <c r="AH75" i="21"/>
  <c r="Q75" i="21"/>
  <c r="R75" i="21" s="1"/>
  <c r="N75" i="21"/>
  <c r="AL75" i="21" s="1"/>
  <c r="O75" i="21"/>
  <c r="AI73" i="21"/>
  <c r="AW73" i="21" s="1"/>
  <c r="K76" i="21"/>
  <c r="BB72" i="21"/>
  <c r="BD71" i="21"/>
  <c r="BG71" i="21" s="1"/>
  <c r="BF73" i="21"/>
  <c r="BE73" i="21"/>
  <c r="AP87" i="21" l="1"/>
  <c r="AO75" i="21"/>
  <c r="AR75" i="21" s="1"/>
  <c r="AS75" i="21" s="1"/>
  <c r="AV75" i="21" s="1"/>
  <c r="AQ99" i="21"/>
  <c r="AI74" i="21"/>
  <c r="AW74" i="21" s="1"/>
  <c r="Q76" i="21"/>
  <c r="AJ76" i="21"/>
  <c r="AK76" i="21" s="1"/>
  <c r="AH76" i="21"/>
  <c r="L76" i="21"/>
  <c r="N76" i="21"/>
  <c r="AL76" i="21" s="1"/>
  <c r="BI71" i="21"/>
  <c r="BJ71" i="21" s="1"/>
  <c r="AZ75" i="21"/>
  <c r="AM75" i="21"/>
  <c r="BB73" i="21"/>
  <c r="BD72" i="21"/>
  <c r="BG72" i="21" s="1"/>
  <c r="BI72" i="21" s="1"/>
  <c r="BJ72" i="21" s="1"/>
  <c r="BF74" i="21"/>
  <c r="BE74" i="21"/>
  <c r="K77" i="21"/>
  <c r="AI75" i="21" l="1"/>
  <c r="AW75" i="21" s="1"/>
  <c r="O76" i="21"/>
  <c r="AJ77" i="21"/>
  <c r="AK77" i="21" s="1"/>
  <c r="AH77" i="21"/>
  <c r="L77" i="21"/>
  <c r="Q77" i="21"/>
  <c r="N77" i="21"/>
  <c r="AL77" i="21" s="1"/>
  <c r="AZ76" i="21"/>
  <c r="AM76" i="21"/>
  <c r="BF75" i="21"/>
  <c r="BE75" i="21"/>
  <c r="BB74" i="21"/>
  <c r="BD73" i="21"/>
  <c r="BG73" i="21" s="1"/>
  <c r="BI73" i="21" s="1"/>
  <c r="BJ73" i="21" s="1"/>
  <c r="R76" i="21"/>
  <c r="R77" i="21" s="1"/>
  <c r="AQ100" i="21"/>
  <c r="AO76" i="21"/>
  <c r="AR76" i="21" s="1"/>
  <c r="AS76" i="21" s="1"/>
  <c r="AV76" i="21" s="1"/>
  <c r="AP88" i="21"/>
  <c r="AI76" i="21"/>
  <c r="AW76" i="21" s="1"/>
  <c r="K78" i="21"/>
  <c r="Q78" i="21" l="1"/>
  <c r="AJ78" i="21"/>
  <c r="AK78" i="21" s="1"/>
  <c r="AH78" i="21"/>
  <c r="L78" i="21"/>
  <c r="N78" i="21"/>
  <c r="AL78" i="21" s="1"/>
  <c r="BF76" i="21"/>
  <c r="BE76" i="21"/>
  <c r="R78" i="21"/>
  <c r="AM77" i="21"/>
  <c r="AZ77" i="21"/>
  <c r="K79" i="21"/>
  <c r="BB75" i="21"/>
  <c r="BD74" i="21"/>
  <c r="BG74" i="21" s="1"/>
  <c r="BI74" i="21" s="1"/>
  <c r="BJ74" i="21" s="1"/>
  <c r="AP89" i="21"/>
  <c r="AQ101" i="21"/>
  <c r="AO77" i="21"/>
  <c r="AR77" i="21" s="1"/>
  <c r="AS77" i="21" s="1"/>
  <c r="AV77" i="21" s="1"/>
  <c r="O77" i="21"/>
  <c r="AI77" i="21"/>
  <c r="AW77" i="21" s="1"/>
  <c r="O78" i="21" l="1"/>
  <c r="BB76" i="21"/>
  <c r="BD75" i="21"/>
  <c r="BG75" i="21" s="1"/>
  <c r="BI75" i="21" s="1"/>
  <c r="BJ75" i="21" s="1"/>
  <c r="AJ79" i="21"/>
  <c r="AK79" i="21" s="1"/>
  <c r="AH79" i="21"/>
  <c r="L79" i="21"/>
  <c r="Q79" i="21"/>
  <c r="N79" i="21"/>
  <c r="O79" i="21" s="1"/>
  <c r="AP90" i="21"/>
  <c r="AQ102" i="21"/>
  <c r="AO78" i="21"/>
  <c r="AR78" i="21" s="1"/>
  <c r="AS78" i="21" s="1"/>
  <c r="AV78" i="21" s="1"/>
  <c r="AI78" i="21"/>
  <c r="AW78" i="21" s="1"/>
  <c r="BF77" i="21"/>
  <c r="BE77" i="21"/>
  <c r="AZ78" i="21"/>
  <c r="AM78" i="21"/>
  <c r="AL79" i="21" l="1"/>
  <c r="AZ79" i="21"/>
  <c r="AM79" i="21"/>
  <c r="AP91" i="21"/>
  <c r="AQ103" i="21"/>
  <c r="AO79" i="21"/>
  <c r="AR79" i="21" s="1"/>
  <c r="AS79" i="21" s="1"/>
  <c r="AV79" i="21" s="1"/>
  <c r="AI79" i="21"/>
  <c r="AW79" i="21" s="1"/>
  <c r="BB77" i="21"/>
  <c r="BD76" i="21"/>
  <c r="BG76" i="21" s="1"/>
  <c r="BI76" i="21" s="1"/>
  <c r="BJ76" i="21" s="1"/>
  <c r="BF78" i="21"/>
  <c r="BE78" i="21"/>
  <c r="R79" i="21"/>
  <c r="BB78" i="21" l="1"/>
  <c r="BD77" i="21"/>
  <c r="BG77" i="21" s="1"/>
  <c r="BI77" i="21" s="1"/>
  <c r="BJ77" i="21" s="1"/>
  <c r="BF79" i="21"/>
  <c r="BE79" i="21"/>
  <c r="K80" i="21"/>
  <c r="K81" i="21"/>
  <c r="AJ80" i="21" l="1"/>
  <c r="AK80" i="21" s="1"/>
  <c r="AH80" i="21"/>
  <c r="L80" i="21"/>
  <c r="Q80" i="21"/>
  <c r="N80" i="21"/>
  <c r="AH81" i="21"/>
  <c r="L81" i="21"/>
  <c r="Q81" i="21"/>
  <c r="AJ81" i="21"/>
  <c r="AK81" i="21" s="1"/>
  <c r="N81" i="21"/>
  <c r="AL81" i="21" s="1"/>
  <c r="BB79" i="21"/>
  <c r="BD78" i="21"/>
  <c r="BG78" i="21" s="1"/>
  <c r="BI78" i="21" s="1"/>
  <c r="BJ78" i="21" s="1"/>
  <c r="K82" i="21"/>
  <c r="AH82" i="21" l="1"/>
  <c r="L82" i="21"/>
  <c r="Q82" i="21"/>
  <c r="AJ82" i="21"/>
  <c r="AK82" i="21" s="1"/>
  <c r="N82" i="21"/>
  <c r="AL82" i="21" s="1"/>
  <c r="AQ105" i="21"/>
  <c r="AP93" i="21"/>
  <c r="AO81" i="21"/>
  <c r="AR81" i="21" s="1"/>
  <c r="AS81" i="21" s="1"/>
  <c r="AV81" i="21" s="1"/>
  <c r="BD79" i="21"/>
  <c r="BG79" i="21" s="1"/>
  <c r="AL80" i="21"/>
  <c r="O80" i="21"/>
  <c r="O81" i="21" s="1"/>
  <c r="AZ80" i="21"/>
  <c r="AM80" i="21"/>
  <c r="R80" i="21"/>
  <c r="R81" i="21" s="1"/>
  <c r="R82" i="21" s="1"/>
  <c r="AQ104" i="21"/>
  <c r="AO80" i="21"/>
  <c r="AR80" i="21" s="1"/>
  <c r="AS80" i="21" s="1"/>
  <c r="AV80" i="21" s="1"/>
  <c r="AP92" i="21"/>
  <c r="AI80" i="21"/>
  <c r="AW80" i="21" s="1"/>
  <c r="AZ81" i="21"/>
  <c r="AM81" i="21"/>
  <c r="K83" i="21"/>
  <c r="O82" i="21" l="1"/>
  <c r="BE80" i="21"/>
  <c r="BF80" i="21"/>
  <c r="L83" i="21"/>
  <c r="AJ83" i="21"/>
  <c r="AK83" i="21" s="1"/>
  <c r="AH83" i="21"/>
  <c r="Q83" i="21"/>
  <c r="N83" i="21"/>
  <c r="R83" i="21"/>
  <c r="BI79" i="21"/>
  <c r="BJ79" i="21" s="1"/>
  <c r="AZ82" i="21"/>
  <c r="AM82" i="21"/>
  <c r="BB80" i="21"/>
  <c r="AQ106" i="21"/>
  <c r="AP94" i="21"/>
  <c r="AO82" i="21"/>
  <c r="AR82" i="21" s="1"/>
  <c r="AS82" i="21" s="1"/>
  <c r="AV82" i="21" s="1"/>
  <c r="BF81" i="21"/>
  <c r="BE81" i="21"/>
  <c r="AI81" i="21"/>
  <c r="AW81" i="21" s="1"/>
  <c r="O83" i="21" l="1"/>
  <c r="K85" i="21"/>
  <c r="BF82" i="21"/>
  <c r="BE82" i="21"/>
  <c r="AP95" i="21"/>
  <c r="AQ107" i="21"/>
  <c r="AO83" i="21"/>
  <c r="AR83" i="21" s="1"/>
  <c r="AS83" i="21" s="1"/>
  <c r="AV83" i="21" s="1"/>
  <c r="AL83" i="21"/>
  <c r="K84" i="21"/>
  <c r="AZ83" i="21"/>
  <c r="AM83" i="21"/>
  <c r="AI82" i="21"/>
  <c r="AW82" i="21" s="1"/>
  <c r="BB81" i="21"/>
  <c r="BD80" i="21"/>
  <c r="BG80" i="21" s="1"/>
  <c r="BI80" i="21" l="1"/>
  <c r="BJ80" i="21" s="1"/>
  <c r="BB82" i="21"/>
  <c r="BD81" i="21"/>
  <c r="BG81" i="21" s="1"/>
  <c r="BI81" i="21" s="1"/>
  <c r="BJ81" i="21" s="1"/>
  <c r="AJ85" i="21"/>
  <c r="AK85" i="21" s="1"/>
  <c r="AH85" i="21"/>
  <c r="Q85" i="21"/>
  <c r="N85" i="21"/>
  <c r="AL85" i="21" s="1"/>
  <c r="BF83" i="21"/>
  <c r="BE83" i="21"/>
  <c r="AI83" i="21"/>
  <c r="AW83" i="21" s="1"/>
  <c r="Q84" i="21"/>
  <c r="AJ84" i="21"/>
  <c r="AK84" i="21" s="1"/>
  <c r="AH84" i="21"/>
  <c r="L84" i="21"/>
  <c r="L85" i="21" s="1"/>
  <c r="N84" i="21"/>
  <c r="K86" i="21"/>
  <c r="AP97" i="21" l="1"/>
  <c r="AQ109" i="21"/>
  <c r="AO85" i="21"/>
  <c r="AR85" i="21" s="1"/>
  <c r="AS85" i="21" s="1"/>
  <c r="AV85" i="21" s="1"/>
  <c r="AI84" i="21"/>
  <c r="AW84" i="21" s="1"/>
  <c r="AM85" i="21"/>
  <c r="AZ85" i="21"/>
  <c r="AZ84" i="21"/>
  <c r="AM84" i="21"/>
  <c r="R84" i="21"/>
  <c r="R85" i="21" s="1"/>
  <c r="BD82" i="21"/>
  <c r="BG82" i="21" s="1"/>
  <c r="BB83" i="21"/>
  <c r="AJ86" i="21"/>
  <c r="AK86" i="21" s="1"/>
  <c r="AH86" i="21"/>
  <c r="L86" i="21"/>
  <c r="Q86" i="21"/>
  <c r="N86" i="21"/>
  <c r="AL86" i="21" s="1"/>
  <c r="AL84" i="21"/>
  <c r="O84" i="21"/>
  <c r="O85" i="21" s="1"/>
  <c r="AP96" i="21"/>
  <c r="AQ108" i="21"/>
  <c r="AO84" i="21"/>
  <c r="AR84" i="21" s="1"/>
  <c r="AS84" i="21" s="1"/>
  <c r="AV84" i="21" s="1"/>
  <c r="R86" i="21" l="1"/>
  <c r="BB84" i="21"/>
  <c r="BD83" i="21"/>
  <c r="BG83" i="21" s="1"/>
  <c r="BI83" i="21" s="1"/>
  <c r="BJ83" i="21" s="1"/>
  <c r="O86" i="21"/>
  <c r="BI82" i="21"/>
  <c r="BJ82" i="21" s="1"/>
  <c r="BF85" i="21"/>
  <c r="BE85" i="21"/>
  <c r="K87" i="21"/>
  <c r="AZ86" i="21"/>
  <c r="AM86" i="21"/>
  <c r="AP98" i="21"/>
  <c r="AQ110" i="21"/>
  <c r="AO86" i="21"/>
  <c r="AR86" i="21" s="1"/>
  <c r="AS86" i="21" s="1"/>
  <c r="AV86" i="21" s="1"/>
  <c r="BF84" i="21"/>
  <c r="BE84" i="21"/>
  <c r="AI85" i="21"/>
  <c r="AW85" i="21" s="1"/>
  <c r="K88" i="21"/>
  <c r="AJ88" i="21" l="1"/>
  <c r="AK88" i="21" s="1"/>
  <c r="AH88" i="21"/>
  <c r="Q88" i="21"/>
  <c r="N88" i="21"/>
  <c r="AL88" i="21" s="1"/>
  <c r="AI86" i="21"/>
  <c r="AW86" i="21" s="1"/>
  <c r="BF86" i="21"/>
  <c r="BE86" i="21"/>
  <c r="AJ87" i="21"/>
  <c r="AK87" i="21" s="1"/>
  <c r="L87" i="21"/>
  <c r="L88" i="21" s="1"/>
  <c r="AH87" i="21"/>
  <c r="Q87" i="21"/>
  <c r="N87" i="21"/>
  <c r="AL87" i="21" s="1"/>
  <c r="BB85" i="21"/>
  <c r="BD84" i="21"/>
  <c r="BG84" i="21" s="1"/>
  <c r="BI84" i="21" l="1"/>
  <c r="BJ84" i="21" s="1"/>
  <c r="BD85" i="21"/>
  <c r="BG85" i="21" s="1"/>
  <c r="BI85" i="21" s="1"/>
  <c r="BJ85" i="21" s="1"/>
  <c r="BB86" i="21"/>
  <c r="AM87" i="21"/>
  <c r="AZ87" i="21"/>
  <c r="R87" i="21"/>
  <c r="R88" i="21" s="1"/>
  <c r="AI87" i="21"/>
  <c r="AW87" i="21" s="1"/>
  <c r="AQ112" i="21"/>
  <c r="AO88" i="21"/>
  <c r="AR88" i="21" s="1"/>
  <c r="AS88" i="21" s="1"/>
  <c r="AV88" i="21" s="1"/>
  <c r="AP100" i="21"/>
  <c r="AP99" i="21"/>
  <c r="AQ111" i="21"/>
  <c r="AO87" i="21"/>
  <c r="AR87" i="21" s="1"/>
  <c r="AS87" i="21" s="1"/>
  <c r="AV87" i="21" s="1"/>
  <c r="AM88" i="21"/>
  <c r="AZ88" i="21"/>
  <c r="K89" i="21"/>
  <c r="O87" i="21"/>
  <c r="O88" i="21" s="1"/>
  <c r="K90" i="21"/>
  <c r="BE88" i="21" l="1"/>
  <c r="BF88" i="21"/>
  <c r="AH90" i="21"/>
  <c r="AJ90" i="21"/>
  <c r="AK90" i="21" s="1"/>
  <c r="Q90" i="21"/>
  <c r="N90" i="21"/>
  <c r="AL90" i="21" s="1"/>
  <c r="BF87" i="21"/>
  <c r="BE87" i="21"/>
  <c r="BB87" i="21"/>
  <c r="BD86" i="21"/>
  <c r="BG86" i="21" s="1"/>
  <c r="BI86" i="21" s="1"/>
  <c r="BJ86" i="21" s="1"/>
  <c r="AH89" i="21"/>
  <c r="L89" i="21"/>
  <c r="AJ89" i="21"/>
  <c r="AK89" i="21" s="1"/>
  <c r="Q89" i="21"/>
  <c r="R89" i="21" s="1"/>
  <c r="N89" i="21"/>
  <c r="AL89" i="21" s="1"/>
  <c r="AI88" i="21"/>
  <c r="AW88" i="21" s="1"/>
  <c r="K91" i="21"/>
  <c r="R90" i="21" l="1"/>
  <c r="AI89" i="21"/>
  <c r="AW89" i="21" s="1"/>
  <c r="AQ113" i="21"/>
  <c r="AP101" i="21"/>
  <c r="AO89" i="21"/>
  <c r="AR89" i="21" s="1"/>
  <c r="AS89" i="21" s="1"/>
  <c r="AV89" i="21" s="1"/>
  <c r="AZ90" i="21"/>
  <c r="AM90" i="21"/>
  <c r="BB88" i="21"/>
  <c r="BD87" i="21"/>
  <c r="BG87" i="21" s="1"/>
  <c r="BI87" i="21" s="1"/>
  <c r="BJ87" i="21" s="1"/>
  <c r="L90" i="21"/>
  <c r="L91" i="21" s="1"/>
  <c r="AJ91" i="21"/>
  <c r="AK91" i="21" s="1"/>
  <c r="AH91" i="21"/>
  <c r="Q91" i="21"/>
  <c r="N91" i="21"/>
  <c r="O89" i="21"/>
  <c r="O90" i="21" s="1"/>
  <c r="O91" i="21" s="1"/>
  <c r="AI90" i="21"/>
  <c r="AW90" i="21" s="1"/>
  <c r="AZ89" i="21"/>
  <c r="AM89" i="21"/>
  <c r="K92" i="21"/>
  <c r="BB89" i="21" l="1"/>
  <c r="BD88" i="21"/>
  <c r="BG88" i="21" s="1"/>
  <c r="BI88" i="21" s="1"/>
  <c r="BJ88" i="21" s="1"/>
  <c r="AL91" i="21"/>
  <c r="AZ91" i="21"/>
  <c r="AM91" i="21"/>
  <c r="BF90" i="21"/>
  <c r="BE90" i="21"/>
  <c r="AI91" i="21"/>
  <c r="AW91" i="21" s="1"/>
  <c r="AJ92" i="21"/>
  <c r="AK92" i="21" s="1"/>
  <c r="AH92" i="21"/>
  <c r="AI92" i="21" s="1"/>
  <c r="AW92" i="21" s="1"/>
  <c r="L92" i="21"/>
  <c r="Q92" i="21"/>
  <c r="N92" i="21"/>
  <c r="AL92" i="21" s="1"/>
  <c r="BE89" i="21"/>
  <c r="BF89" i="21"/>
  <c r="AO91" i="21"/>
  <c r="AR91" i="21" s="1"/>
  <c r="AS91" i="21" s="1"/>
  <c r="AV91" i="21" s="1"/>
  <c r="AP103" i="21"/>
  <c r="AQ115" i="21"/>
  <c r="AQ114" i="21"/>
  <c r="AO90" i="21"/>
  <c r="AR90" i="21" s="1"/>
  <c r="AS90" i="21" s="1"/>
  <c r="AV90" i="21" s="1"/>
  <c r="AP102" i="21"/>
  <c r="R91" i="21"/>
  <c r="K93" i="21"/>
  <c r="R92" i="21" l="1"/>
  <c r="AJ93" i="21"/>
  <c r="AK93" i="21" s="1"/>
  <c r="AH93" i="21"/>
  <c r="L93" i="21"/>
  <c r="Q93" i="21"/>
  <c r="N93" i="21"/>
  <c r="BF91" i="21"/>
  <c r="BE91" i="21"/>
  <c r="R93" i="21"/>
  <c r="AZ92" i="21"/>
  <c r="AM92" i="21"/>
  <c r="BB90" i="21"/>
  <c r="BD89" i="21"/>
  <c r="BG89" i="21" s="1"/>
  <c r="BI89" i="21" s="1"/>
  <c r="BJ89" i="21" s="1"/>
  <c r="AO92" i="21"/>
  <c r="AR92" i="21" s="1"/>
  <c r="AS92" i="21" s="1"/>
  <c r="AV92" i="21" s="1"/>
  <c r="AP104" i="21"/>
  <c r="AQ116" i="21"/>
  <c r="O92" i="21"/>
  <c r="K94" i="21"/>
  <c r="BD90" i="21" l="1"/>
  <c r="BG90" i="21" s="1"/>
  <c r="BI90" i="21" s="1"/>
  <c r="BJ90" i="21" s="1"/>
  <c r="BB91" i="21"/>
  <c r="AL93" i="21"/>
  <c r="BF92" i="21"/>
  <c r="BE92" i="21"/>
  <c r="AM93" i="21"/>
  <c r="AZ93" i="21"/>
  <c r="O93" i="21"/>
  <c r="AP105" i="21"/>
  <c r="AQ117" i="21"/>
  <c r="AO93" i="21"/>
  <c r="AR93" i="21" s="1"/>
  <c r="AS93" i="21" s="1"/>
  <c r="AV93" i="21" s="1"/>
  <c r="AI93" i="21"/>
  <c r="AW93" i="21" s="1"/>
  <c r="AJ94" i="21"/>
  <c r="AK94" i="21" s="1"/>
  <c r="AH94" i="21"/>
  <c r="L94" i="21"/>
  <c r="Q94" i="21"/>
  <c r="R94" i="21" s="1"/>
  <c r="N94" i="21"/>
  <c r="AL94" i="21" s="1"/>
  <c r="AZ94" i="21" l="1"/>
  <c r="AM94" i="21"/>
  <c r="AP106" i="21"/>
  <c r="AQ118" i="21"/>
  <c r="AO94" i="21"/>
  <c r="AR94" i="21" s="1"/>
  <c r="AS94" i="21" s="1"/>
  <c r="AV94" i="21" s="1"/>
  <c r="AI94" i="21"/>
  <c r="AW94" i="21" s="1"/>
  <c r="O94" i="21"/>
  <c r="BB92" i="21"/>
  <c r="BD91" i="21"/>
  <c r="BG91" i="21" s="1"/>
  <c r="BF93" i="21"/>
  <c r="BE93" i="21"/>
  <c r="K95" i="21" l="1"/>
  <c r="BI91" i="21"/>
  <c r="BJ91" i="21" s="1"/>
  <c r="BB93" i="21"/>
  <c r="BD92" i="21"/>
  <c r="BG92" i="21" s="1"/>
  <c r="BI92" i="21" s="1"/>
  <c r="BJ92" i="21" s="1"/>
  <c r="BF94" i="21"/>
  <c r="BE94" i="21"/>
  <c r="K96" i="21"/>
  <c r="BB94" i="21" l="1"/>
  <c r="BD93" i="21"/>
  <c r="BG93" i="21" s="1"/>
  <c r="AJ96" i="21"/>
  <c r="AK96" i="21" s="1"/>
  <c r="AH96" i="21"/>
  <c r="Q96" i="21"/>
  <c r="N96" i="21"/>
  <c r="AL96" i="21" s="1"/>
  <c r="AJ95" i="21"/>
  <c r="AK95" i="21" s="1"/>
  <c r="AH95" i="21"/>
  <c r="L95" i="21"/>
  <c r="L96" i="21" s="1"/>
  <c r="Q95" i="21"/>
  <c r="N95" i="21"/>
  <c r="AZ96" i="21" l="1"/>
  <c r="AM96" i="21"/>
  <c r="AL95" i="21"/>
  <c r="O95" i="21"/>
  <c r="O96" i="21" s="1"/>
  <c r="AQ120" i="21"/>
  <c r="AO96" i="21"/>
  <c r="AR96" i="21" s="1"/>
  <c r="AS96" i="21" s="1"/>
  <c r="AV96" i="21" s="1"/>
  <c r="AP108" i="21"/>
  <c r="AZ95" i="21"/>
  <c r="BB95" i="21" s="1"/>
  <c r="AM95" i="21"/>
  <c r="R95" i="21"/>
  <c r="R96" i="21" s="1"/>
  <c r="AP107" i="21"/>
  <c r="AQ119" i="21"/>
  <c r="AO95" i="21"/>
  <c r="AR95" i="21" s="1"/>
  <c r="AS95" i="21" s="1"/>
  <c r="AV95" i="21" s="1"/>
  <c r="AI95" i="21"/>
  <c r="AW95" i="21" s="1"/>
  <c r="BI93" i="21"/>
  <c r="BJ93" i="21" s="1"/>
  <c r="BD94" i="21"/>
  <c r="BG94" i="21" s="1"/>
  <c r="BI94" i="21" s="1"/>
  <c r="BJ94" i="21" s="1"/>
  <c r="AI96" i="21" l="1"/>
  <c r="AW96" i="21" s="1"/>
  <c r="K97" i="21"/>
  <c r="BB96" i="21"/>
  <c r="BD95" i="21"/>
  <c r="BF95" i="21"/>
  <c r="BE95" i="21"/>
  <c r="BE96" i="21"/>
  <c r="BF96" i="21"/>
  <c r="K98" i="21"/>
  <c r="AH98" i="21" l="1"/>
  <c r="AJ98" i="21"/>
  <c r="AK98" i="21" s="1"/>
  <c r="Q98" i="21"/>
  <c r="N98" i="21"/>
  <c r="AL98" i="21" s="1"/>
  <c r="BG95" i="21"/>
  <c r="BD96" i="21"/>
  <c r="BG96" i="21" s="1"/>
  <c r="BI96" i="21" s="1"/>
  <c r="BJ96" i="21" s="1"/>
  <c r="AH97" i="21"/>
  <c r="L97" i="21"/>
  <c r="AJ97" i="21"/>
  <c r="AK97" i="21" s="1"/>
  <c r="Q97" i="21"/>
  <c r="N97" i="21"/>
  <c r="BI95" i="21" l="1"/>
  <c r="BJ95" i="21" s="1"/>
  <c r="AL97" i="21"/>
  <c r="O97" i="21"/>
  <c r="O98" i="21" s="1"/>
  <c r="AZ97" i="21"/>
  <c r="AM97" i="21"/>
  <c r="R97" i="21"/>
  <c r="R98" i="21" s="1"/>
  <c r="AZ98" i="21"/>
  <c r="AM98" i="21"/>
  <c r="AQ121" i="21"/>
  <c r="AO97" i="21"/>
  <c r="AR97" i="21" s="1"/>
  <c r="AS97" i="21" s="1"/>
  <c r="AV97" i="21" s="1"/>
  <c r="AP109" i="21"/>
  <c r="L98" i="21"/>
  <c r="AI97" i="21"/>
  <c r="AW97" i="21" s="1"/>
  <c r="K99" i="21" l="1"/>
  <c r="AQ122" i="21"/>
  <c r="AO98" i="21"/>
  <c r="AR98" i="21" s="1"/>
  <c r="AS98" i="21" s="1"/>
  <c r="AV98" i="21" s="1"/>
  <c r="AP110" i="21"/>
  <c r="BF97" i="21"/>
  <c r="BE97" i="21"/>
  <c r="BB97" i="21"/>
  <c r="AI98" i="21"/>
  <c r="AW98" i="21" s="1"/>
  <c r="BF98" i="21"/>
  <c r="BE98" i="21"/>
  <c r="K100" i="21"/>
  <c r="AJ100" i="21" l="1"/>
  <c r="AK100" i="21" s="1"/>
  <c r="AH100" i="21"/>
  <c r="Q100" i="21"/>
  <c r="N100" i="21"/>
  <c r="AL100" i="21" s="1"/>
  <c r="BB98" i="21"/>
  <c r="BD97" i="21"/>
  <c r="BG97" i="21" s="1"/>
  <c r="L99" i="21"/>
  <c r="AJ99" i="21"/>
  <c r="AK99" i="21" s="1"/>
  <c r="AH99" i="21"/>
  <c r="AI99" i="21" s="1"/>
  <c r="AW99" i="21" s="1"/>
  <c r="Q99" i="21"/>
  <c r="N99" i="21"/>
  <c r="AO99" i="21" l="1"/>
  <c r="AR99" i="21" s="1"/>
  <c r="AS99" i="21" s="1"/>
  <c r="AV99" i="21" s="1"/>
  <c r="AQ123" i="21"/>
  <c r="AP111" i="21"/>
  <c r="BI97" i="21"/>
  <c r="BJ97" i="21" s="1"/>
  <c r="BD98" i="21"/>
  <c r="BG98" i="21" s="1"/>
  <c r="BI98" i="21" s="1"/>
  <c r="BJ98" i="21" s="1"/>
  <c r="AL99" i="21"/>
  <c r="O99" i="21"/>
  <c r="O100" i="21" s="1"/>
  <c r="AZ100" i="21"/>
  <c r="AM100" i="21"/>
  <c r="AZ99" i="21"/>
  <c r="BB99" i="21" s="1"/>
  <c r="AM99" i="21"/>
  <c r="R99" i="21"/>
  <c r="R100" i="21" s="1"/>
  <c r="L100" i="21"/>
  <c r="AI100" i="21"/>
  <c r="AW100" i="21" s="1"/>
  <c r="K101" i="21"/>
  <c r="BB100" i="21" l="1"/>
  <c r="BD99" i="21"/>
  <c r="AQ124" i="21"/>
  <c r="AO100" i="21"/>
  <c r="AR100" i="21" s="1"/>
  <c r="AS100" i="21" s="1"/>
  <c r="AV100" i="21" s="1"/>
  <c r="AP112" i="21"/>
  <c r="BF99" i="21"/>
  <c r="BE99" i="21"/>
  <c r="AJ101" i="21"/>
  <c r="AK101" i="21" s="1"/>
  <c r="AH101" i="21"/>
  <c r="AI101" i="21" s="1"/>
  <c r="AW101" i="21" s="1"/>
  <c r="L101" i="21"/>
  <c r="Q101" i="21"/>
  <c r="R101" i="21" s="1"/>
  <c r="N101" i="21"/>
  <c r="AL101" i="21" s="1"/>
  <c r="BF100" i="21"/>
  <c r="BE100" i="21"/>
  <c r="O101" i="21" l="1"/>
  <c r="AM101" i="21"/>
  <c r="AZ101" i="21"/>
  <c r="K102" i="21"/>
  <c r="AQ125" i="21"/>
  <c r="AP113" i="21"/>
  <c r="AO101" i="21"/>
  <c r="AR101" i="21" s="1"/>
  <c r="AS101" i="21" s="1"/>
  <c r="AV101" i="21" s="1"/>
  <c r="BG99" i="21"/>
  <c r="BI99" i="21" s="1"/>
  <c r="BJ99" i="21" s="1"/>
  <c r="BD100" i="21"/>
  <c r="BG100" i="21" s="1"/>
  <c r="BI100" i="21" s="1"/>
  <c r="BJ100" i="21" s="1"/>
  <c r="K103" i="21"/>
  <c r="AJ102" i="21" l="1"/>
  <c r="AK102" i="21" s="1"/>
  <c r="AH102" i="21"/>
  <c r="AI102" i="21" s="1"/>
  <c r="AW102" i="21" s="1"/>
  <c r="L102" i="21"/>
  <c r="Q102" i="21"/>
  <c r="N102" i="21"/>
  <c r="BF101" i="21"/>
  <c r="BE101" i="21"/>
  <c r="BB101" i="21"/>
  <c r="AJ103" i="21"/>
  <c r="AK103" i="21" s="1"/>
  <c r="AH103" i="21"/>
  <c r="AI103" i="21" s="1"/>
  <c r="AW103" i="21" s="1"/>
  <c r="L103" i="21"/>
  <c r="Q103" i="21"/>
  <c r="N103" i="21"/>
  <c r="AL103" i="21" s="1"/>
  <c r="BD101" i="21" l="1"/>
  <c r="BG101" i="21" s="1"/>
  <c r="BI101" i="21" s="1"/>
  <c r="BJ101" i="21" s="1"/>
  <c r="K104" i="21"/>
  <c r="AL102" i="21"/>
  <c r="O102" i="21"/>
  <c r="O103" i="21" s="1"/>
  <c r="AZ103" i="21"/>
  <c r="AM103" i="21"/>
  <c r="AZ102" i="21"/>
  <c r="AM102" i="21"/>
  <c r="R102" i="21"/>
  <c r="R103" i="21" s="1"/>
  <c r="AQ127" i="21"/>
  <c r="AP115" i="21"/>
  <c r="AO103" i="21"/>
  <c r="AR103" i="21" s="1"/>
  <c r="AS103" i="21" s="1"/>
  <c r="AV103" i="21" s="1"/>
  <c r="AP114" i="21"/>
  <c r="AQ126" i="21"/>
  <c r="AO102" i="21"/>
  <c r="AR102" i="21" s="1"/>
  <c r="AS102" i="21" s="1"/>
  <c r="AV102" i="21" s="1"/>
  <c r="BF103" i="21" l="1"/>
  <c r="BE103" i="21"/>
  <c r="K105" i="21"/>
  <c r="AJ104" i="21"/>
  <c r="AK104" i="21" s="1"/>
  <c r="AH104" i="21"/>
  <c r="L104" i="21"/>
  <c r="Q104" i="21"/>
  <c r="N104" i="21"/>
  <c r="O104" i="21" s="1"/>
  <c r="R104" i="21"/>
  <c r="BF102" i="21"/>
  <c r="BE102" i="21"/>
  <c r="BB102" i="21"/>
  <c r="K106" i="21" l="1"/>
  <c r="AQ128" i="21"/>
  <c r="AO104" i="21"/>
  <c r="AR104" i="21" s="1"/>
  <c r="AS104" i="21" s="1"/>
  <c r="AV104" i="21" s="1"/>
  <c r="AP116" i="21"/>
  <c r="BB103" i="21"/>
  <c r="BD102" i="21"/>
  <c r="BG102" i="21" s="1"/>
  <c r="BI102" i="21" s="1"/>
  <c r="BJ102" i="21" s="1"/>
  <c r="AI104" i="21"/>
  <c r="AW104" i="21" s="1"/>
  <c r="AH105" i="21"/>
  <c r="AI105" i="21" s="1"/>
  <c r="AW105" i="21" s="1"/>
  <c r="L105" i="21"/>
  <c r="AJ105" i="21"/>
  <c r="AK105" i="21" s="1"/>
  <c r="Q105" i="21"/>
  <c r="R105" i="21" s="1"/>
  <c r="N105" i="21"/>
  <c r="AL105" i="21" s="1"/>
  <c r="AL104" i="21"/>
  <c r="AZ104" i="21"/>
  <c r="AM104" i="21"/>
  <c r="K107" i="21"/>
  <c r="AZ105" i="21" l="1"/>
  <c r="AM105" i="21"/>
  <c r="BB104" i="21"/>
  <c r="BD103" i="21"/>
  <c r="BG103" i="21" s="1"/>
  <c r="BI103" i="21" s="1"/>
  <c r="BJ103" i="21" s="1"/>
  <c r="AQ129" i="21"/>
  <c r="AO105" i="21"/>
  <c r="AR105" i="21" s="1"/>
  <c r="AS105" i="21" s="1"/>
  <c r="AV105" i="21" s="1"/>
  <c r="AP117" i="21"/>
  <c r="BE104" i="21"/>
  <c r="BF104" i="21"/>
  <c r="AH106" i="21"/>
  <c r="L106" i="21"/>
  <c r="AJ106" i="21"/>
  <c r="AK106" i="21" s="1"/>
  <c r="Q106" i="21"/>
  <c r="N106" i="21"/>
  <c r="R106" i="21"/>
  <c r="L107" i="21"/>
  <c r="AJ107" i="21"/>
  <c r="AK107" i="21" s="1"/>
  <c r="AH107" i="21"/>
  <c r="Q107" i="21"/>
  <c r="N107" i="21"/>
  <c r="AL107" i="21" s="1"/>
  <c r="O105" i="21"/>
  <c r="K108" i="21"/>
  <c r="R107" i="21" l="1"/>
  <c r="O106" i="21"/>
  <c r="O107" i="21" s="1"/>
  <c r="AJ108" i="21"/>
  <c r="AK108" i="21" s="1"/>
  <c r="AH108" i="21"/>
  <c r="L108" i="21"/>
  <c r="Q108" i="21"/>
  <c r="R108" i="21" s="1"/>
  <c r="N108" i="21"/>
  <c r="AL108" i="21" s="1"/>
  <c r="AZ106" i="21"/>
  <c r="AM106" i="21"/>
  <c r="AZ107" i="21"/>
  <c r="AM107" i="21"/>
  <c r="AQ130" i="21"/>
  <c r="AO106" i="21"/>
  <c r="AR106" i="21" s="1"/>
  <c r="AS106" i="21" s="1"/>
  <c r="AV106" i="21" s="1"/>
  <c r="AP118" i="21"/>
  <c r="AI106" i="21"/>
  <c r="AW106" i="21" s="1"/>
  <c r="AQ131" i="21"/>
  <c r="AO107" i="21"/>
  <c r="AR107" i="21" s="1"/>
  <c r="AS107" i="21" s="1"/>
  <c r="AV107" i="21" s="1"/>
  <c r="AP119" i="21"/>
  <c r="BB105" i="21"/>
  <c r="BD104" i="21"/>
  <c r="BG104" i="21" s="1"/>
  <c r="AL106" i="21"/>
  <c r="BF105" i="21"/>
  <c r="BE105" i="21"/>
  <c r="O108" i="21" l="1"/>
  <c r="AI107" i="21"/>
  <c r="AW107" i="21" s="1"/>
  <c r="BI104" i="21"/>
  <c r="BJ104" i="21" s="1"/>
  <c r="BB106" i="21"/>
  <c r="BD105" i="21"/>
  <c r="BG105" i="21" s="1"/>
  <c r="BI105" i="21" s="1"/>
  <c r="BJ105" i="21" s="1"/>
  <c r="BF106" i="21"/>
  <c r="BE106" i="21"/>
  <c r="AZ108" i="21"/>
  <c r="AM108" i="21"/>
  <c r="AQ132" i="21"/>
  <c r="AO108" i="21"/>
  <c r="AR108" i="21" s="1"/>
  <c r="AS108" i="21" s="1"/>
  <c r="AV108" i="21" s="1"/>
  <c r="AP120" i="21"/>
  <c r="AI108" i="21"/>
  <c r="AW108" i="21" s="1"/>
  <c r="BF107" i="21"/>
  <c r="BE107" i="21"/>
  <c r="K109" i="21" l="1"/>
  <c r="BF108" i="21"/>
  <c r="BE108" i="21"/>
  <c r="BD106" i="21"/>
  <c r="BG106" i="21" s="1"/>
  <c r="BB107" i="21"/>
  <c r="K110" i="21"/>
  <c r="BB108" i="21" l="1"/>
  <c r="BD107" i="21"/>
  <c r="BG107" i="21" s="1"/>
  <c r="BI107" i="21" s="1"/>
  <c r="BJ107" i="21" s="1"/>
  <c r="K111" i="21"/>
  <c r="BI106" i="21"/>
  <c r="BJ106" i="21" s="1"/>
  <c r="AJ110" i="21"/>
  <c r="AK110" i="21" s="1"/>
  <c r="AH110" i="21"/>
  <c r="Q110" i="21"/>
  <c r="N110" i="21"/>
  <c r="AL110" i="21" s="1"/>
  <c r="Q109" i="21"/>
  <c r="AJ109" i="21"/>
  <c r="AK109" i="21" s="1"/>
  <c r="AH109" i="21"/>
  <c r="L109" i="21"/>
  <c r="N109" i="21"/>
  <c r="AI109" i="21" l="1"/>
  <c r="AW109" i="21" s="1"/>
  <c r="AL109" i="21"/>
  <c r="O109" i="21"/>
  <c r="O110" i="21" s="1"/>
  <c r="AQ133" i="21"/>
  <c r="AP121" i="21"/>
  <c r="AO109" i="21"/>
  <c r="AR109" i="21" s="1"/>
  <c r="AS109" i="21" s="1"/>
  <c r="AV109" i="21" s="1"/>
  <c r="AM109" i="21"/>
  <c r="AZ109" i="21"/>
  <c r="R109" i="21"/>
  <c r="R110" i="21" s="1"/>
  <c r="AJ111" i="21"/>
  <c r="AH111" i="21"/>
  <c r="Q111" i="21"/>
  <c r="N111" i="21"/>
  <c r="AL111" i="21" s="1"/>
  <c r="AI110" i="21"/>
  <c r="AW110" i="21" s="1"/>
  <c r="AZ110" i="21"/>
  <c r="AM110" i="21"/>
  <c r="L110" i="21"/>
  <c r="BD108" i="21"/>
  <c r="BG108" i="21" s="1"/>
  <c r="R111" i="21" l="1"/>
  <c r="O111" i="21"/>
  <c r="BF109" i="21"/>
  <c r="BE109" i="21"/>
  <c r="AQ134" i="21"/>
  <c r="AP122" i="21"/>
  <c r="AO110" i="21"/>
  <c r="AR110" i="21" s="1"/>
  <c r="AS110" i="21" s="1"/>
  <c r="AV110" i="21" s="1"/>
  <c r="BF110" i="21"/>
  <c r="BE110" i="21"/>
  <c r="AZ111" i="21"/>
  <c r="AM111" i="21"/>
  <c r="AJ112" i="21"/>
  <c r="AK111" i="21"/>
  <c r="BI108" i="21"/>
  <c r="BJ108" i="21" s="1"/>
  <c r="L111" i="21"/>
  <c r="BB109" i="21"/>
  <c r="AI111" i="21"/>
  <c r="AW111" i="21" s="1"/>
  <c r="AK112" i="21" l="1"/>
  <c r="AJ113" i="21"/>
  <c r="BF111" i="21"/>
  <c r="BE111" i="21"/>
  <c r="BB110" i="21"/>
  <c r="BD109" i="21"/>
  <c r="BG109" i="21" s="1"/>
  <c r="K112" i="21"/>
  <c r="AQ135" i="21"/>
  <c r="AP123" i="21"/>
  <c r="AO111" i="21"/>
  <c r="AR111" i="21" s="1"/>
  <c r="AS111" i="21" s="1"/>
  <c r="AV111" i="21" s="1"/>
  <c r="K113" i="21"/>
  <c r="AJ114" i="21" l="1"/>
  <c r="AK113" i="21"/>
  <c r="BB111" i="21"/>
  <c r="BD110" i="21"/>
  <c r="BG110" i="21" s="1"/>
  <c r="BI110" i="21" s="1"/>
  <c r="BJ110" i="21" s="1"/>
  <c r="AH112" i="21"/>
  <c r="L112" i="21"/>
  <c r="Q112" i="21"/>
  <c r="N112" i="21"/>
  <c r="AH113" i="21"/>
  <c r="Q113" i="21"/>
  <c r="N113" i="21"/>
  <c r="AL113" i="21" s="1"/>
  <c r="BI109" i="21"/>
  <c r="BJ109" i="21" s="1"/>
  <c r="K114" i="21"/>
  <c r="AL112" i="21" l="1"/>
  <c r="O112" i="21"/>
  <c r="O113" i="21" s="1"/>
  <c r="AQ136" i="21"/>
  <c r="AP124" i="21"/>
  <c r="AO112" i="21"/>
  <c r="AR112" i="21" s="1"/>
  <c r="AS112" i="21" s="1"/>
  <c r="AV112" i="21" s="1"/>
  <c r="AI112" i="21"/>
  <c r="AW112" i="21" s="1"/>
  <c r="AH114" i="21"/>
  <c r="Q114" i="21"/>
  <c r="N114" i="21"/>
  <c r="AL114" i="21" s="1"/>
  <c r="AZ112" i="21"/>
  <c r="AM112" i="21"/>
  <c r="R112" i="21"/>
  <c r="R113" i="21" s="1"/>
  <c r="R114" i="21" s="1"/>
  <c r="AZ113" i="21"/>
  <c r="AM113" i="21"/>
  <c r="BD111" i="21"/>
  <c r="BG111" i="21" s="1"/>
  <c r="BI111" i="21" s="1"/>
  <c r="BJ111" i="21" s="1"/>
  <c r="L113" i="21"/>
  <c r="L114" i="21" s="1"/>
  <c r="AJ115" i="21"/>
  <c r="AK114" i="21"/>
  <c r="AI113" i="21" l="1"/>
  <c r="AW113" i="21" s="1"/>
  <c r="AQ137" i="21"/>
  <c r="AO113" i="21"/>
  <c r="AR113" i="21" s="1"/>
  <c r="AS113" i="21" s="1"/>
  <c r="AV113" i="21" s="1"/>
  <c r="AP125" i="21"/>
  <c r="BE112" i="21"/>
  <c r="BF112" i="21"/>
  <c r="AJ116" i="21"/>
  <c r="AK115" i="21"/>
  <c r="BB112" i="21"/>
  <c r="AZ114" i="21"/>
  <c r="AM114" i="21"/>
  <c r="O114" i="21"/>
  <c r="AP126" i="21"/>
  <c r="AQ138" i="21"/>
  <c r="AO114" i="21"/>
  <c r="AR114" i="21" s="1"/>
  <c r="AS114" i="21" s="1"/>
  <c r="AV114" i="21" s="1"/>
  <c r="BF113" i="21"/>
  <c r="BE113" i="21"/>
  <c r="AI114" i="21" l="1"/>
  <c r="AW114" i="21" s="1"/>
  <c r="AJ117" i="21"/>
  <c r="AK116" i="21"/>
  <c r="BF114" i="21"/>
  <c r="BE114" i="21"/>
  <c r="K115" i="21"/>
  <c r="BB113" i="21"/>
  <c r="BD112" i="21"/>
  <c r="BG112" i="21" s="1"/>
  <c r="BI112" i="21" s="1"/>
  <c r="BJ112" i="21" s="1"/>
  <c r="BB114" i="21" l="1"/>
  <c r="BD113" i="21"/>
  <c r="BG113" i="21" s="1"/>
  <c r="BI113" i="21" s="1"/>
  <c r="BJ113" i="21" s="1"/>
  <c r="L115" i="21"/>
  <c r="AH115" i="21"/>
  <c r="AI115" i="21" s="1"/>
  <c r="AW115" i="21" s="1"/>
  <c r="Q115" i="21"/>
  <c r="N115" i="21"/>
  <c r="AJ118" i="21"/>
  <c r="AK117" i="21"/>
  <c r="K116" i="21"/>
  <c r="K117" i="21" l="1"/>
  <c r="AH116" i="21"/>
  <c r="L116" i="21"/>
  <c r="Q116" i="21"/>
  <c r="N116" i="21"/>
  <c r="AQ139" i="21"/>
  <c r="AO115" i="21"/>
  <c r="AR115" i="21" s="1"/>
  <c r="AS115" i="21" s="1"/>
  <c r="AV115" i="21" s="1"/>
  <c r="AP127" i="21"/>
  <c r="AL115" i="21"/>
  <c r="O115" i="21"/>
  <c r="AZ115" i="21"/>
  <c r="AM115" i="21"/>
  <c r="R115" i="21"/>
  <c r="AJ119" i="21"/>
  <c r="AK118" i="21"/>
  <c r="BD114" i="21"/>
  <c r="BG114" i="21" s="1"/>
  <c r="BI114" i="21" s="1"/>
  <c r="BJ114" i="21" s="1"/>
  <c r="R116" i="21" l="1"/>
  <c r="AJ120" i="21"/>
  <c r="AK119" i="21"/>
  <c r="BF115" i="21"/>
  <c r="BE115" i="21"/>
  <c r="O116" i="21"/>
  <c r="AP128" i="21"/>
  <c r="AQ140" i="21"/>
  <c r="AO116" i="21"/>
  <c r="AR116" i="21" s="1"/>
  <c r="AS116" i="21" s="1"/>
  <c r="AV116" i="21" s="1"/>
  <c r="AZ116" i="21"/>
  <c r="AM116" i="21"/>
  <c r="BB115" i="21"/>
  <c r="AI116" i="21"/>
  <c r="AW116" i="21" s="1"/>
  <c r="Q117" i="21"/>
  <c r="AH117" i="21"/>
  <c r="L117" i="21"/>
  <c r="N117" i="21"/>
  <c r="AL117" i="21" s="1"/>
  <c r="AL116" i="21"/>
  <c r="O117" i="21" l="1"/>
  <c r="BB116" i="21"/>
  <c r="BD115" i="21"/>
  <c r="BG115" i="21" s="1"/>
  <c r="BI115" i="21" s="1"/>
  <c r="BJ115" i="21" s="1"/>
  <c r="AM117" i="21"/>
  <c r="AZ117" i="21"/>
  <c r="R117" i="21"/>
  <c r="AP129" i="21"/>
  <c r="AQ141" i="21"/>
  <c r="AO117" i="21"/>
  <c r="AR117" i="21" s="1"/>
  <c r="AS117" i="21" s="1"/>
  <c r="AV117" i="21" s="1"/>
  <c r="BF116" i="21"/>
  <c r="BE116" i="21"/>
  <c r="AI117" i="21"/>
  <c r="AW117" i="21" s="1"/>
  <c r="AK120" i="21"/>
  <c r="AJ121" i="21"/>
  <c r="K118" i="21" l="1"/>
  <c r="BF117" i="21"/>
  <c r="BE117" i="21"/>
  <c r="AJ122" i="21"/>
  <c r="AK121" i="21"/>
  <c r="BB117" i="21"/>
  <c r="BD116" i="21"/>
  <c r="BG116" i="21" s="1"/>
  <c r="K119" i="21"/>
  <c r="AH119" i="21" l="1"/>
  <c r="Q119" i="21"/>
  <c r="N119" i="21"/>
  <c r="AL119" i="21" s="1"/>
  <c r="AH118" i="21"/>
  <c r="L118" i="21"/>
  <c r="Q118" i="21"/>
  <c r="N118" i="21"/>
  <c r="BI116" i="21"/>
  <c r="BJ116" i="21" s="1"/>
  <c r="BD117" i="21"/>
  <c r="BG117" i="21" s="1"/>
  <c r="BI117" i="21" s="1"/>
  <c r="BJ117" i="21" s="1"/>
  <c r="AJ123" i="21"/>
  <c r="AK122" i="21"/>
  <c r="AJ124" i="21" l="1"/>
  <c r="AK123" i="21"/>
  <c r="AQ142" i="21"/>
  <c r="AP130" i="21"/>
  <c r="AO118" i="21"/>
  <c r="AR118" i="21" s="1"/>
  <c r="AS118" i="21" s="1"/>
  <c r="AV118" i="21" s="1"/>
  <c r="AI118" i="21"/>
  <c r="AW118" i="21" s="1"/>
  <c r="AZ118" i="21"/>
  <c r="AM118" i="21"/>
  <c r="R118" i="21"/>
  <c r="R119" i="21" s="1"/>
  <c r="AZ119" i="21"/>
  <c r="AM119" i="21"/>
  <c r="L119" i="21"/>
  <c r="AL118" i="21"/>
  <c r="O118" i="21"/>
  <c r="O119" i="21" s="1"/>
  <c r="BF119" i="21" l="1"/>
  <c r="BE119" i="21"/>
  <c r="K120" i="21"/>
  <c r="AI119" i="21"/>
  <c r="AW119" i="21" s="1"/>
  <c r="BF118" i="21"/>
  <c r="BE118" i="21"/>
  <c r="BB118" i="21"/>
  <c r="AQ143" i="21"/>
  <c r="AP131" i="21"/>
  <c r="AO119" i="21"/>
  <c r="AR119" i="21" s="1"/>
  <c r="AS119" i="21" s="1"/>
  <c r="AV119" i="21" s="1"/>
  <c r="AJ125" i="21"/>
  <c r="AK124" i="21"/>
  <c r="K121" i="21"/>
  <c r="AH121" i="21" l="1"/>
  <c r="Q121" i="21"/>
  <c r="N121" i="21"/>
  <c r="AL121" i="21" s="1"/>
  <c r="BB119" i="21"/>
  <c r="BD118" i="21"/>
  <c r="BG118" i="21" s="1"/>
  <c r="AH120" i="21"/>
  <c r="L120" i="21"/>
  <c r="Q120" i="21"/>
  <c r="N120" i="21"/>
  <c r="AJ126" i="21"/>
  <c r="AK125" i="21"/>
  <c r="K122" i="21"/>
  <c r="AQ144" i="21" l="1"/>
  <c r="AP132" i="21"/>
  <c r="AO120" i="21"/>
  <c r="AR120" i="21" s="1"/>
  <c r="AS120" i="21" s="1"/>
  <c r="AV120" i="21" s="1"/>
  <c r="AH122" i="21"/>
  <c r="Q122" i="21"/>
  <c r="N122" i="21"/>
  <c r="AL122" i="21" s="1"/>
  <c r="AI120" i="21"/>
  <c r="AW120" i="21" s="1"/>
  <c r="BI118" i="21"/>
  <c r="BJ118" i="21" s="1"/>
  <c r="AJ127" i="21"/>
  <c r="AK126" i="21"/>
  <c r="BD119" i="21"/>
  <c r="BG119" i="21" s="1"/>
  <c r="BI119" i="21" s="1"/>
  <c r="BJ119" i="21" s="1"/>
  <c r="AZ121" i="21"/>
  <c r="AM121" i="21"/>
  <c r="AL120" i="21"/>
  <c r="O120" i="21"/>
  <c r="O121" i="21" s="1"/>
  <c r="L121" i="21"/>
  <c r="AZ120" i="21"/>
  <c r="AM120" i="21"/>
  <c r="R120" i="21"/>
  <c r="R121" i="21" s="1"/>
  <c r="K123" i="21"/>
  <c r="AI121" i="21" l="1"/>
  <c r="AW121" i="21" s="1"/>
  <c r="R122" i="21"/>
  <c r="BE120" i="21"/>
  <c r="BF120" i="21"/>
  <c r="AH123" i="21"/>
  <c r="Q123" i="21"/>
  <c r="N123" i="21"/>
  <c r="AP133" i="21"/>
  <c r="AQ145" i="21"/>
  <c r="AO121" i="21"/>
  <c r="AR121" i="21" s="1"/>
  <c r="AS121" i="21" s="1"/>
  <c r="AV121" i="21" s="1"/>
  <c r="BB120" i="21"/>
  <c r="AM122" i="21"/>
  <c r="AZ122" i="21"/>
  <c r="K124" i="21"/>
  <c r="O122" i="21"/>
  <c r="O123" i="21" s="1"/>
  <c r="L122" i="21"/>
  <c r="L123" i="21" s="1"/>
  <c r="AJ128" i="21"/>
  <c r="AK127" i="21"/>
  <c r="AI122" i="21"/>
  <c r="AW122" i="21" s="1"/>
  <c r="BF121" i="21"/>
  <c r="BE121" i="21"/>
  <c r="R123" i="21" l="1"/>
  <c r="R124" i="21" s="1"/>
  <c r="Q124" i="21"/>
  <c r="L124" i="21"/>
  <c r="AH124" i="21"/>
  <c r="N124" i="21"/>
  <c r="AL124" i="21" s="1"/>
  <c r="AL123" i="21"/>
  <c r="AM123" i="21"/>
  <c r="AZ123" i="21"/>
  <c r="BF122" i="21"/>
  <c r="BE122" i="21"/>
  <c r="AP135" i="21"/>
  <c r="AQ147" i="21"/>
  <c r="AO123" i="21"/>
  <c r="AR123" i="21" s="1"/>
  <c r="AS123" i="21" s="1"/>
  <c r="AV123" i="21" s="1"/>
  <c r="AI123" i="21"/>
  <c r="AW123" i="21" s="1"/>
  <c r="BB121" i="21"/>
  <c r="BD120" i="21"/>
  <c r="BG120" i="21" s="1"/>
  <c r="AK128" i="21"/>
  <c r="AJ129" i="21"/>
  <c r="AP134" i="21"/>
  <c r="AQ146" i="21"/>
  <c r="AO122" i="21"/>
  <c r="AR122" i="21" s="1"/>
  <c r="AS122" i="21" s="1"/>
  <c r="AV122" i="21" s="1"/>
  <c r="K125" i="21"/>
  <c r="AJ130" i="21" l="1"/>
  <c r="AK129" i="21"/>
  <c r="AH125" i="21"/>
  <c r="Q125" i="21"/>
  <c r="L125" i="21"/>
  <c r="N125" i="21"/>
  <c r="AL125" i="21" s="1"/>
  <c r="AI124" i="21"/>
  <c r="AW124" i="21" s="1"/>
  <c r="BI120" i="21"/>
  <c r="BJ120" i="21" s="1"/>
  <c r="AP136" i="21"/>
  <c r="AQ148" i="21"/>
  <c r="AO124" i="21"/>
  <c r="AR124" i="21" s="1"/>
  <c r="AS124" i="21" s="1"/>
  <c r="AV124" i="21" s="1"/>
  <c r="BD121" i="21"/>
  <c r="BG121" i="21" s="1"/>
  <c r="BI121" i="21" s="1"/>
  <c r="BJ121" i="21" s="1"/>
  <c r="BB122" i="21"/>
  <c r="BE123" i="21"/>
  <c r="BF123" i="21"/>
  <c r="AM124" i="21"/>
  <c r="AZ124" i="21"/>
  <c r="K126" i="21"/>
  <c r="O124" i="21"/>
  <c r="AI125" i="21" l="1"/>
  <c r="AW125" i="21" s="1"/>
  <c r="O125" i="21"/>
  <c r="L126" i="21"/>
  <c r="AH126" i="21"/>
  <c r="AI126" i="21" s="1"/>
  <c r="AW126" i="21" s="1"/>
  <c r="Q126" i="21"/>
  <c r="N126" i="21"/>
  <c r="AL126" i="21" s="1"/>
  <c r="BF124" i="21"/>
  <c r="BE124" i="21"/>
  <c r="AP137" i="21"/>
  <c r="AQ149" i="21"/>
  <c r="AO125" i="21"/>
  <c r="AR125" i="21" s="1"/>
  <c r="AS125" i="21" s="1"/>
  <c r="AV125" i="21" s="1"/>
  <c r="AM125" i="21"/>
  <c r="AZ125" i="21"/>
  <c r="AJ131" i="21"/>
  <c r="AK130" i="21"/>
  <c r="O126" i="21"/>
  <c r="BD122" i="21"/>
  <c r="BG122" i="21" s="1"/>
  <c r="BI122" i="21" s="1"/>
  <c r="BJ122" i="21" s="1"/>
  <c r="BB123" i="21"/>
  <c r="R125" i="21"/>
  <c r="R126" i="21" l="1"/>
  <c r="AJ132" i="21"/>
  <c r="AK131" i="21"/>
  <c r="BF125" i="21"/>
  <c r="BE125" i="21"/>
  <c r="AM126" i="21"/>
  <c r="AZ126" i="21"/>
  <c r="BB124" i="21"/>
  <c r="BD123" i="21"/>
  <c r="BG123" i="21" s="1"/>
  <c r="BI123" i="21" s="1"/>
  <c r="BJ123" i="21" s="1"/>
  <c r="AQ150" i="21"/>
  <c r="AP138" i="21"/>
  <c r="AO126" i="21"/>
  <c r="AR126" i="21" s="1"/>
  <c r="AS126" i="21" s="1"/>
  <c r="AV126" i="21" s="1"/>
  <c r="K128" i="21" l="1"/>
  <c r="BB125" i="21"/>
  <c r="BD124" i="21"/>
  <c r="BG124" i="21" s="1"/>
  <c r="BI124" i="21" s="1"/>
  <c r="BJ124" i="21" s="1"/>
  <c r="AJ133" i="21"/>
  <c r="AK132" i="21"/>
  <c r="K127" i="21"/>
  <c r="BE126" i="21"/>
  <c r="BF126" i="21"/>
  <c r="AH127" i="21" l="1"/>
  <c r="AI127" i="21" s="1"/>
  <c r="AW127" i="21" s="1"/>
  <c r="L127" i="21"/>
  <c r="Q127" i="21"/>
  <c r="N127" i="21"/>
  <c r="AJ134" i="21"/>
  <c r="AK133" i="21"/>
  <c r="BD125" i="21"/>
  <c r="BG125" i="21" s="1"/>
  <c r="BI125" i="21" s="1"/>
  <c r="BJ125" i="21" s="1"/>
  <c r="BB126" i="21"/>
  <c r="AH128" i="21"/>
  <c r="L128" i="21"/>
  <c r="Q128" i="21"/>
  <c r="N128" i="21"/>
  <c r="K129" i="21"/>
  <c r="AJ135" i="21" l="1"/>
  <c r="AK134" i="21"/>
  <c r="AL128" i="21"/>
  <c r="AM128" i="21"/>
  <c r="AZ128" i="21"/>
  <c r="AQ152" i="21"/>
  <c r="AP140" i="21"/>
  <c r="AO128" i="21"/>
  <c r="AR128" i="21" s="1"/>
  <c r="AS128" i="21" s="1"/>
  <c r="AV128" i="21" s="1"/>
  <c r="AL127" i="21"/>
  <c r="O127" i="21"/>
  <c r="O128" i="21" s="1"/>
  <c r="L129" i="21"/>
  <c r="AH129" i="21"/>
  <c r="Q129" i="21"/>
  <c r="N129" i="21"/>
  <c r="AL129" i="21" s="1"/>
  <c r="AI128" i="21"/>
  <c r="AW128" i="21" s="1"/>
  <c r="AZ127" i="21"/>
  <c r="BB127" i="21" s="1"/>
  <c r="AM127" i="21"/>
  <c r="R127" i="21"/>
  <c r="R128" i="21" s="1"/>
  <c r="BD126" i="21"/>
  <c r="BG126" i="21" s="1"/>
  <c r="BI126" i="21" s="1"/>
  <c r="BJ126" i="21" s="1"/>
  <c r="AQ151" i="21"/>
  <c r="AO127" i="21"/>
  <c r="AR127" i="21" s="1"/>
  <c r="AS127" i="21" s="1"/>
  <c r="AV127" i="21" s="1"/>
  <c r="AP139" i="21"/>
  <c r="O129" i="21" l="1"/>
  <c r="AI129" i="21"/>
  <c r="AW129" i="21" s="1"/>
  <c r="R129" i="21"/>
  <c r="BB128" i="21"/>
  <c r="BD127" i="21"/>
  <c r="K130" i="21"/>
  <c r="AZ129" i="21"/>
  <c r="AM129" i="21"/>
  <c r="BF128" i="21"/>
  <c r="BE128" i="21"/>
  <c r="AQ153" i="21"/>
  <c r="AO129" i="21"/>
  <c r="AR129" i="21" s="1"/>
  <c r="AS129" i="21" s="1"/>
  <c r="AV129" i="21" s="1"/>
  <c r="AP141" i="21"/>
  <c r="BF127" i="21"/>
  <c r="BE127" i="21"/>
  <c r="AJ136" i="21"/>
  <c r="AK135" i="21"/>
  <c r="AJ137" i="21" l="1"/>
  <c r="AK136" i="21"/>
  <c r="BF129" i="21"/>
  <c r="BE129" i="21"/>
  <c r="Q130" i="21"/>
  <c r="AH130" i="21"/>
  <c r="L130" i="21"/>
  <c r="N130" i="21"/>
  <c r="BG127" i="21"/>
  <c r="BI127" i="21" s="1"/>
  <c r="BJ127" i="21" s="1"/>
  <c r="BB129" i="21"/>
  <c r="BD128" i="21"/>
  <c r="BG128" i="21" s="1"/>
  <c r="AQ154" i="21" l="1"/>
  <c r="AO130" i="21"/>
  <c r="AR130" i="21" s="1"/>
  <c r="AS130" i="21" s="1"/>
  <c r="AV130" i="21" s="1"/>
  <c r="AP142" i="21"/>
  <c r="AI130" i="21"/>
  <c r="AW130" i="21" s="1"/>
  <c r="BI128" i="21"/>
  <c r="BJ128" i="21" s="1"/>
  <c r="AZ130" i="21"/>
  <c r="AM130" i="21"/>
  <c r="R130" i="21"/>
  <c r="BD129" i="21"/>
  <c r="BG129" i="21" s="1"/>
  <c r="BI129" i="21" s="1"/>
  <c r="BJ129" i="21" s="1"/>
  <c r="K131" i="21"/>
  <c r="AJ138" i="21"/>
  <c r="AK137" i="21"/>
  <c r="AL130" i="21"/>
  <c r="O130" i="21"/>
  <c r="K132" i="21"/>
  <c r="AJ139" i="21" l="1"/>
  <c r="AK138" i="21"/>
  <c r="BF130" i="21"/>
  <c r="BE130" i="21"/>
  <c r="AH131" i="21"/>
  <c r="L131" i="21"/>
  <c r="Q131" i="21"/>
  <c r="N131" i="21"/>
  <c r="O131" i="21" s="1"/>
  <c r="BB130" i="21"/>
  <c r="Q132" i="21"/>
  <c r="AH132" i="21"/>
  <c r="N132" i="21"/>
  <c r="AL132" i="21" s="1"/>
  <c r="K133" i="21"/>
  <c r="O132" i="21" l="1"/>
  <c r="AM131" i="21"/>
  <c r="AZ131" i="21"/>
  <c r="AZ132" i="21"/>
  <c r="AM132" i="21"/>
  <c r="AQ155" i="21"/>
  <c r="AP143" i="21"/>
  <c r="AO131" i="21"/>
  <c r="AR131" i="21" s="1"/>
  <c r="AS131" i="21" s="1"/>
  <c r="AV131" i="21" s="1"/>
  <c r="AH133" i="21"/>
  <c r="Q133" i="21"/>
  <c r="N133" i="21"/>
  <c r="AL133" i="21" s="1"/>
  <c r="R131" i="21"/>
  <c r="R132" i="21" s="1"/>
  <c r="AI131" i="21"/>
  <c r="AW131" i="21" s="1"/>
  <c r="BD130" i="21"/>
  <c r="BG130" i="21" s="1"/>
  <c r="L132" i="21"/>
  <c r="AL131" i="21"/>
  <c r="AJ140" i="21"/>
  <c r="AK139" i="21"/>
  <c r="K134" i="21"/>
  <c r="O133" i="21" l="1"/>
  <c r="AP144" i="21"/>
  <c r="AQ156" i="21"/>
  <c r="AO132" i="21"/>
  <c r="AR132" i="21" s="1"/>
  <c r="AS132" i="21" s="1"/>
  <c r="AV132" i="21" s="1"/>
  <c r="R133" i="21"/>
  <c r="BF132" i="21"/>
  <c r="BE132" i="21"/>
  <c r="AH134" i="21"/>
  <c r="Q134" i="21"/>
  <c r="N134" i="21"/>
  <c r="O134" i="21" s="1"/>
  <c r="AZ133" i="21"/>
  <c r="AM133" i="21"/>
  <c r="L133" i="21"/>
  <c r="L134" i="21" s="1"/>
  <c r="BF131" i="21"/>
  <c r="BE131" i="21"/>
  <c r="BI130" i="21"/>
  <c r="BJ130" i="21" s="1"/>
  <c r="AJ141" i="21"/>
  <c r="AK140" i="21"/>
  <c r="BB131" i="21"/>
  <c r="AI132" i="21"/>
  <c r="AW132" i="21" s="1"/>
  <c r="K135" i="21"/>
  <c r="R134" i="21" l="1"/>
  <c r="AQ158" i="21"/>
  <c r="AO134" i="21"/>
  <c r="AR134" i="21" s="1"/>
  <c r="AS134" i="21" s="1"/>
  <c r="AV134" i="21" s="1"/>
  <c r="AP146" i="21"/>
  <c r="BB132" i="21"/>
  <c r="BD131" i="21"/>
  <c r="BG131" i="21" s="1"/>
  <c r="AH135" i="21"/>
  <c r="L135" i="21"/>
  <c r="Q135" i="21"/>
  <c r="R135" i="21" s="1"/>
  <c r="N135" i="21"/>
  <c r="AL135" i="21" s="1"/>
  <c r="AQ157" i="21"/>
  <c r="AP145" i="21"/>
  <c r="AO133" i="21"/>
  <c r="AR133" i="21" s="1"/>
  <c r="AS133" i="21" s="1"/>
  <c r="AV133" i="21" s="1"/>
  <c r="AJ142" i="21"/>
  <c r="AK141" i="21"/>
  <c r="AI133" i="21"/>
  <c r="AW133" i="21" s="1"/>
  <c r="BF133" i="21"/>
  <c r="BE133" i="21"/>
  <c r="AL134" i="21"/>
  <c r="AZ134" i="21"/>
  <c r="AM134" i="21"/>
  <c r="AI134" i="21" l="1"/>
  <c r="AW134" i="21" s="1"/>
  <c r="AI135" i="21"/>
  <c r="AW135" i="21" s="1"/>
  <c r="O135" i="21"/>
  <c r="BI131" i="21"/>
  <c r="BJ131" i="21" s="1"/>
  <c r="BB133" i="21"/>
  <c r="BD132" i="21"/>
  <c r="BG132" i="21" s="1"/>
  <c r="BI132" i="21" s="1"/>
  <c r="BJ132" i="21" s="1"/>
  <c r="BE134" i="21"/>
  <c r="BF134" i="21"/>
  <c r="AZ135" i="21"/>
  <c r="AM135" i="21"/>
  <c r="AJ143" i="21"/>
  <c r="AK142" i="21"/>
  <c r="AQ159" i="21"/>
  <c r="AO135" i="21"/>
  <c r="AR135" i="21" s="1"/>
  <c r="AS135" i="21" s="1"/>
  <c r="AV135" i="21" s="1"/>
  <c r="AP147" i="21"/>
  <c r="BB134" i="21" l="1"/>
  <c r="BD133" i="21"/>
  <c r="BG133" i="21" s="1"/>
  <c r="AJ144" i="21"/>
  <c r="AK143" i="21"/>
  <c r="K136" i="21"/>
  <c r="BF135" i="21"/>
  <c r="BE135" i="21"/>
  <c r="K137" i="21"/>
  <c r="AH136" i="21" l="1"/>
  <c r="AI136" i="21" s="1"/>
  <c r="AW136" i="21" s="1"/>
  <c r="L136" i="21"/>
  <c r="L137" i="21" s="1"/>
  <c r="Q136" i="21"/>
  <c r="N136" i="21"/>
  <c r="AJ145" i="21"/>
  <c r="AK144" i="21"/>
  <c r="AH137" i="21"/>
  <c r="AI137" i="21" s="1"/>
  <c r="AW137" i="21" s="1"/>
  <c r="Q137" i="21"/>
  <c r="N137" i="21"/>
  <c r="AL137" i="21" s="1"/>
  <c r="BI133" i="21"/>
  <c r="BJ133" i="21" s="1"/>
  <c r="BB135" i="21"/>
  <c r="BD134" i="21"/>
  <c r="BG134" i="21" s="1"/>
  <c r="BI134" i="21" s="1"/>
  <c r="BJ134" i="21" s="1"/>
  <c r="K138" i="21"/>
  <c r="AQ161" i="21" l="1"/>
  <c r="AO137" i="21"/>
  <c r="AR137" i="21" s="1"/>
  <c r="AS137" i="21" s="1"/>
  <c r="AV137" i="21" s="1"/>
  <c r="AP149" i="21"/>
  <c r="BD135" i="21"/>
  <c r="BG135" i="21" s="1"/>
  <c r="BI135" i="21" s="1"/>
  <c r="BJ135" i="21" s="1"/>
  <c r="AJ146" i="21"/>
  <c r="AK145" i="21"/>
  <c r="AL136" i="21"/>
  <c r="O136" i="21"/>
  <c r="O137" i="21" s="1"/>
  <c r="AZ136" i="21"/>
  <c r="BB136" i="21" s="1"/>
  <c r="AM136" i="21"/>
  <c r="R136" i="21"/>
  <c r="R137" i="21" s="1"/>
  <c r="AQ160" i="21"/>
  <c r="AO136" i="21"/>
  <c r="AR136" i="21" s="1"/>
  <c r="AS136" i="21" s="1"/>
  <c r="AV136" i="21" s="1"/>
  <c r="AP148" i="21"/>
  <c r="Q138" i="21"/>
  <c r="AH138" i="21"/>
  <c r="AI138" i="21" s="1"/>
  <c r="AW138" i="21" s="1"/>
  <c r="L138" i="21"/>
  <c r="N138" i="21"/>
  <c r="AL138" i="21" s="1"/>
  <c r="AZ137" i="21"/>
  <c r="AM137" i="21"/>
  <c r="R138" i="21" l="1"/>
  <c r="BB137" i="21"/>
  <c r="BD136" i="21"/>
  <c r="K139" i="21"/>
  <c r="AJ147" i="21"/>
  <c r="AK146" i="21"/>
  <c r="BF137" i="21"/>
  <c r="BE137" i="21"/>
  <c r="AQ162" i="21"/>
  <c r="AO138" i="21"/>
  <c r="AR138" i="21" s="1"/>
  <c r="AS138" i="21" s="1"/>
  <c r="AV138" i="21" s="1"/>
  <c r="AP150" i="21"/>
  <c r="BF136" i="21"/>
  <c r="BE136" i="21"/>
  <c r="O138" i="21"/>
  <c r="AZ138" i="21"/>
  <c r="AM138" i="21"/>
  <c r="K140" i="21"/>
  <c r="BF138" i="21" l="1"/>
  <c r="BE138" i="21"/>
  <c r="AJ148" i="21"/>
  <c r="AK147" i="21"/>
  <c r="Q140" i="21"/>
  <c r="AH140" i="21"/>
  <c r="N140" i="21"/>
  <c r="AH139" i="21"/>
  <c r="AI139" i="21" s="1"/>
  <c r="AW139" i="21" s="1"/>
  <c r="L139" i="21"/>
  <c r="Q139" i="21"/>
  <c r="N139" i="21"/>
  <c r="AL139" i="21" s="1"/>
  <c r="BG136" i="21"/>
  <c r="BI136" i="21" s="1"/>
  <c r="BJ136" i="21" s="1"/>
  <c r="BB138" i="21"/>
  <c r="BD137" i="21"/>
  <c r="BG137" i="21" s="1"/>
  <c r="BI137" i="21" s="1"/>
  <c r="BJ137" i="21" s="1"/>
  <c r="K141" i="21"/>
  <c r="AZ140" i="21" l="1"/>
  <c r="AM140" i="21"/>
  <c r="AM139" i="21"/>
  <c r="AZ139" i="21"/>
  <c r="BB139" i="21" s="1"/>
  <c r="R139" i="21"/>
  <c r="R140" i="21" s="1"/>
  <c r="AQ163" i="21"/>
  <c r="AP151" i="21"/>
  <c r="AO139" i="21"/>
  <c r="AR139" i="21" s="1"/>
  <c r="AS139" i="21" s="1"/>
  <c r="AV139" i="21" s="1"/>
  <c r="AJ149" i="21"/>
  <c r="AK148" i="21"/>
  <c r="AL140" i="21"/>
  <c r="O139" i="21"/>
  <c r="O140" i="21" s="1"/>
  <c r="BD138" i="21"/>
  <c r="BG138" i="21" s="1"/>
  <c r="BI138" i="21" s="1"/>
  <c r="BJ138" i="21" s="1"/>
  <c r="L140" i="21"/>
  <c r="L141" i="21" s="1"/>
  <c r="AH141" i="21"/>
  <c r="AI141" i="21" s="1"/>
  <c r="AW141" i="21" s="1"/>
  <c r="Q141" i="21"/>
  <c r="N141" i="21"/>
  <c r="AL141" i="21" s="1"/>
  <c r="AI140" i="21"/>
  <c r="AW140" i="21" s="1"/>
  <c r="K142" i="21"/>
  <c r="AH142" i="21" l="1"/>
  <c r="L142" i="21"/>
  <c r="Q142" i="21"/>
  <c r="N142" i="21"/>
  <c r="AL142" i="21" s="1"/>
  <c r="BB140" i="21"/>
  <c r="BD139" i="21"/>
  <c r="O141" i="21"/>
  <c r="R141" i="21"/>
  <c r="R142" i="21" s="1"/>
  <c r="BF139" i="21"/>
  <c r="BE139" i="21"/>
  <c r="K143" i="21"/>
  <c r="AZ141" i="21"/>
  <c r="AM141" i="21"/>
  <c r="AP153" i="21"/>
  <c r="AQ165" i="21"/>
  <c r="AO141" i="21"/>
  <c r="AR141" i="21" s="1"/>
  <c r="AS141" i="21" s="1"/>
  <c r="AV141" i="21" s="1"/>
  <c r="AJ150" i="21"/>
  <c r="AK149" i="21"/>
  <c r="AQ164" i="21"/>
  <c r="AP152" i="21"/>
  <c r="AO140" i="21"/>
  <c r="AR140" i="21" s="1"/>
  <c r="AS140" i="21" s="1"/>
  <c r="AV140" i="21" s="1"/>
  <c r="BF140" i="21"/>
  <c r="BE140" i="21"/>
  <c r="O142" i="21" l="1"/>
  <c r="BG139" i="21"/>
  <c r="BI139" i="21" s="1"/>
  <c r="BJ139" i="21" s="1"/>
  <c r="BF141" i="21"/>
  <c r="BE141" i="21"/>
  <c r="AJ151" i="21"/>
  <c r="AK150" i="21"/>
  <c r="AH143" i="21"/>
  <c r="L143" i="21"/>
  <c r="Q143" i="21"/>
  <c r="N143" i="21"/>
  <c r="BB141" i="21"/>
  <c r="BD140" i="21"/>
  <c r="BG140" i="21" s="1"/>
  <c r="AZ142" i="21"/>
  <c r="AM142" i="21"/>
  <c r="AQ166" i="21"/>
  <c r="AO142" i="21"/>
  <c r="AR142" i="21" s="1"/>
  <c r="AS142" i="21" s="1"/>
  <c r="AV142" i="21" s="1"/>
  <c r="AP154" i="21"/>
  <c r="AI142" i="21"/>
  <c r="AW142" i="21" s="1"/>
  <c r="K144" i="21"/>
  <c r="AI143" i="21" l="1"/>
  <c r="AW143" i="21" s="1"/>
  <c r="AP155" i="21"/>
  <c r="AQ167" i="21"/>
  <c r="AO143" i="21"/>
  <c r="AR143" i="21" s="1"/>
  <c r="AS143" i="21" s="1"/>
  <c r="AV143" i="21" s="1"/>
  <c r="AH144" i="21"/>
  <c r="L144" i="21"/>
  <c r="Q144" i="21"/>
  <c r="N144" i="21"/>
  <c r="AL144" i="21" s="1"/>
  <c r="BE142" i="21"/>
  <c r="BF142" i="21"/>
  <c r="AJ152" i="21"/>
  <c r="AK151" i="21"/>
  <c r="BI140" i="21"/>
  <c r="BJ140" i="21" s="1"/>
  <c r="BB142" i="21"/>
  <c r="BD141" i="21"/>
  <c r="BG141" i="21" s="1"/>
  <c r="BI141" i="21" s="1"/>
  <c r="BJ141" i="21" s="1"/>
  <c r="AL143" i="21"/>
  <c r="O143" i="21"/>
  <c r="AZ143" i="21"/>
  <c r="AM143" i="21"/>
  <c r="R143" i="21"/>
  <c r="K145" i="21"/>
  <c r="R144" i="21" l="1"/>
  <c r="L145" i="21"/>
  <c r="AH145" i="21"/>
  <c r="Q145" i="21"/>
  <c r="R145" i="21" s="1"/>
  <c r="N145" i="21"/>
  <c r="BB143" i="21"/>
  <c r="BD142" i="21"/>
  <c r="BG142" i="21" s="1"/>
  <c r="BI142" i="21" s="1"/>
  <c r="BJ142" i="21" s="1"/>
  <c r="AZ144" i="21"/>
  <c r="AM144" i="21"/>
  <c r="AP156" i="21"/>
  <c r="AQ168" i="21"/>
  <c r="AO144" i="21"/>
  <c r="AR144" i="21" s="1"/>
  <c r="AS144" i="21" s="1"/>
  <c r="AV144" i="21" s="1"/>
  <c r="BF143" i="21"/>
  <c r="BE143" i="21"/>
  <c r="AI144" i="21"/>
  <c r="AW144" i="21" s="1"/>
  <c r="O144" i="21"/>
  <c r="AJ153" i="21"/>
  <c r="AK152" i="21"/>
  <c r="K146" i="21"/>
  <c r="O145" i="21" l="1"/>
  <c r="BB144" i="21"/>
  <c r="BD143" i="21"/>
  <c r="BG143" i="21" s="1"/>
  <c r="Q146" i="21"/>
  <c r="AH146" i="21"/>
  <c r="L146" i="21"/>
  <c r="N146" i="21"/>
  <c r="AL146" i="21" s="1"/>
  <c r="AJ154" i="21"/>
  <c r="AK153" i="21"/>
  <c r="AL145" i="21"/>
  <c r="O146" i="21"/>
  <c r="AZ145" i="21"/>
  <c r="AM145" i="21"/>
  <c r="AI145" i="21"/>
  <c r="AW145" i="21" s="1"/>
  <c r="BF144" i="21"/>
  <c r="BE144" i="21"/>
  <c r="AQ169" i="21"/>
  <c r="AO145" i="21"/>
  <c r="AR145" i="21" s="1"/>
  <c r="AS145" i="21" s="1"/>
  <c r="AV145" i="21" s="1"/>
  <c r="AP157" i="21"/>
  <c r="K147" i="21"/>
  <c r="AQ170" i="21" l="1"/>
  <c r="AP158" i="21"/>
  <c r="AO146" i="21"/>
  <c r="AR146" i="21" s="1"/>
  <c r="AS146" i="21" s="1"/>
  <c r="AV146" i="21" s="1"/>
  <c r="AI146" i="21"/>
  <c r="AW146" i="21" s="1"/>
  <c r="AH147" i="21"/>
  <c r="L147" i="21"/>
  <c r="Q147" i="21"/>
  <c r="N147" i="21"/>
  <c r="AL147" i="21" s="1"/>
  <c r="AZ146" i="21"/>
  <c r="AM146" i="21"/>
  <c r="BF145" i="21"/>
  <c r="BE145" i="21"/>
  <c r="AK154" i="21"/>
  <c r="AJ155" i="21"/>
  <c r="BI143" i="21"/>
  <c r="BJ143" i="21" s="1"/>
  <c r="R146" i="21"/>
  <c r="R147" i="21" s="1"/>
  <c r="BB145" i="21"/>
  <c r="BD144" i="21"/>
  <c r="BG144" i="21" s="1"/>
  <c r="BI144" i="21" s="1"/>
  <c r="BJ144" i="21" s="1"/>
  <c r="K148" i="21"/>
  <c r="AI147" i="21" l="1"/>
  <c r="AW147" i="21" s="1"/>
  <c r="AK155" i="21"/>
  <c r="AJ156" i="21"/>
  <c r="AQ171" i="21"/>
  <c r="AP159" i="21"/>
  <c r="AO147" i="21"/>
  <c r="AR147" i="21" s="1"/>
  <c r="AS147" i="21" s="1"/>
  <c r="AV147" i="21" s="1"/>
  <c r="BB146" i="21"/>
  <c r="BD145" i="21"/>
  <c r="BG145" i="21" s="1"/>
  <c r="BF146" i="21"/>
  <c r="BE146" i="21"/>
  <c r="Q148" i="21"/>
  <c r="AH148" i="21"/>
  <c r="AI148" i="21" s="1"/>
  <c r="AW148" i="21" s="1"/>
  <c r="L148" i="21"/>
  <c r="N148" i="21"/>
  <c r="AL148" i="21" s="1"/>
  <c r="AM147" i="21"/>
  <c r="AZ147" i="21"/>
  <c r="O147" i="21"/>
  <c r="O148" i="21" l="1"/>
  <c r="AP160" i="21"/>
  <c r="AQ172" i="21"/>
  <c r="AO148" i="21"/>
  <c r="AR148" i="21" s="1"/>
  <c r="AS148" i="21" s="1"/>
  <c r="AV148" i="21" s="1"/>
  <c r="BF147" i="21"/>
  <c r="BE147" i="21"/>
  <c r="AZ148" i="21"/>
  <c r="AM148" i="21"/>
  <c r="BB147" i="21"/>
  <c r="BD146" i="21"/>
  <c r="BG146" i="21" s="1"/>
  <c r="BI146" i="21" s="1"/>
  <c r="BJ146" i="21" s="1"/>
  <c r="R148" i="21"/>
  <c r="AJ157" i="21"/>
  <c r="AK156" i="21"/>
  <c r="BI145" i="21"/>
  <c r="BJ145" i="21" s="1"/>
  <c r="BF148" i="21" l="1"/>
  <c r="BE148" i="21"/>
  <c r="K149" i="21"/>
  <c r="AJ158" i="21"/>
  <c r="AK157" i="21"/>
  <c r="BB148" i="21"/>
  <c r="BD147" i="21"/>
  <c r="BG147" i="21" s="1"/>
  <c r="BI147" i="21" s="1"/>
  <c r="BJ147" i="21" s="1"/>
  <c r="K150" i="21"/>
  <c r="AJ159" i="21" l="1"/>
  <c r="AK158" i="21"/>
  <c r="AH150" i="21"/>
  <c r="Q150" i="21"/>
  <c r="N150" i="21"/>
  <c r="AL150" i="21" s="1"/>
  <c r="AH149" i="21"/>
  <c r="AI149" i="21" s="1"/>
  <c r="AW149" i="21" s="1"/>
  <c r="L149" i="21"/>
  <c r="Q149" i="21"/>
  <c r="N149" i="21"/>
  <c r="BD148" i="21"/>
  <c r="BG148" i="21" s="1"/>
  <c r="BI148" i="21" s="1"/>
  <c r="BJ148" i="21" s="1"/>
  <c r="K151" i="21"/>
  <c r="AQ173" i="21" l="1"/>
  <c r="AP161" i="21"/>
  <c r="AO149" i="21"/>
  <c r="AR149" i="21" s="1"/>
  <c r="AS149" i="21" s="1"/>
  <c r="AV149" i="21" s="1"/>
  <c r="AZ150" i="21"/>
  <c r="AM150" i="21"/>
  <c r="AH151" i="21"/>
  <c r="Q151" i="21"/>
  <c r="N151" i="21"/>
  <c r="AL151" i="21" s="1"/>
  <c r="L150" i="21"/>
  <c r="L151" i="21" s="1"/>
  <c r="AI150" i="21"/>
  <c r="AW150" i="21" s="1"/>
  <c r="AL149" i="21"/>
  <c r="O149" i="21"/>
  <c r="O150" i="21" s="1"/>
  <c r="O151" i="21" s="1"/>
  <c r="AZ149" i="21"/>
  <c r="AM149" i="21"/>
  <c r="R149" i="21"/>
  <c r="R150" i="21" s="1"/>
  <c r="AJ160" i="21"/>
  <c r="AK159" i="21"/>
  <c r="AI151" i="21" l="1"/>
  <c r="AW151" i="21" s="1"/>
  <c r="BF149" i="21"/>
  <c r="BE149" i="21"/>
  <c r="BB149" i="21"/>
  <c r="AZ151" i="21"/>
  <c r="AM151" i="21"/>
  <c r="AQ175" i="21"/>
  <c r="AP163" i="21"/>
  <c r="AO151" i="21"/>
  <c r="AR151" i="21" s="1"/>
  <c r="AS151" i="21" s="1"/>
  <c r="AV151" i="21" s="1"/>
  <c r="BE150" i="21"/>
  <c r="BF150" i="21"/>
  <c r="AJ161" i="21"/>
  <c r="AK160" i="21"/>
  <c r="R151" i="21"/>
  <c r="AQ174" i="21"/>
  <c r="AP162" i="21"/>
  <c r="AO150" i="21"/>
  <c r="AR150" i="21" s="1"/>
  <c r="AS150" i="21" s="1"/>
  <c r="AV150" i="21" s="1"/>
  <c r="AJ162" i="21" l="1"/>
  <c r="AK161" i="21"/>
  <c r="BF151" i="21"/>
  <c r="BE151" i="21"/>
  <c r="BB150" i="21"/>
  <c r="BD149" i="21"/>
  <c r="BG149" i="21" s="1"/>
  <c r="BI149" i="21" s="1"/>
  <c r="BJ149" i="21" s="1"/>
  <c r="K152" i="21"/>
  <c r="K153" i="21"/>
  <c r="AH153" i="21" l="1"/>
  <c r="Q153" i="21"/>
  <c r="N153" i="21"/>
  <c r="AL153" i="21" s="1"/>
  <c r="BB151" i="21"/>
  <c r="BD150" i="21"/>
  <c r="BG150" i="21" s="1"/>
  <c r="BI150" i="21" s="1"/>
  <c r="BJ150" i="21" s="1"/>
  <c r="AJ163" i="21"/>
  <c r="AK162" i="21"/>
  <c r="AH152" i="21"/>
  <c r="L152" i="21"/>
  <c r="Q152" i="21"/>
  <c r="N152" i="21"/>
  <c r="K154" i="21"/>
  <c r="AJ164" i="21" l="1"/>
  <c r="AK163" i="21"/>
  <c r="BD151" i="21"/>
  <c r="BG151" i="21" s="1"/>
  <c r="BI151" i="21" s="1"/>
  <c r="BJ151" i="21" s="1"/>
  <c r="AL152" i="21"/>
  <c r="O152" i="21"/>
  <c r="O153" i="21" s="1"/>
  <c r="AZ152" i="21"/>
  <c r="BB152" i="21" s="1"/>
  <c r="AM152" i="21"/>
  <c r="R152" i="21"/>
  <c r="R153" i="21" s="1"/>
  <c r="AZ153" i="21"/>
  <c r="AM153" i="21"/>
  <c r="AQ176" i="21"/>
  <c r="AP164" i="21"/>
  <c r="AO152" i="21"/>
  <c r="AR152" i="21" s="1"/>
  <c r="AS152" i="21" s="1"/>
  <c r="AV152" i="21" s="1"/>
  <c r="AH154" i="21"/>
  <c r="Q154" i="21"/>
  <c r="N154" i="21"/>
  <c r="AL154" i="21" s="1"/>
  <c r="AI152" i="21"/>
  <c r="AW152" i="21" s="1"/>
  <c r="L153" i="21"/>
  <c r="L154" i="21" s="1"/>
  <c r="K155" i="21"/>
  <c r="O154" i="21" l="1"/>
  <c r="O155" i="21" s="1"/>
  <c r="AI153" i="21"/>
  <c r="AW153" i="21" s="1"/>
  <c r="BB153" i="21"/>
  <c r="BD152" i="21"/>
  <c r="AO154" i="21"/>
  <c r="AR154" i="21" s="1"/>
  <c r="AS154" i="21" s="1"/>
  <c r="AV154" i="21" s="1"/>
  <c r="AQ178" i="21"/>
  <c r="AP166" i="21"/>
  <c r="AZ154" i="21"/>
  <c r="AM154" i="21"/>
  <c r="BE153" i="21"/>
  <c r="BF153" i="21"/>
  <c r="R154" i="21"/>
  <c r="AI154" i="21"/>
  <c r="AW154" i="21" s="1"/>
  <c r="AH155" i="21"/>
  <c r="L155" i="21"/>
  <c r="Q155" i="21"/>
  <c r="N155" i="21"/>
  <c r="AL155" i="21" s="1"/>
  <c r="AJ165" i="21"/>
  <c r="AK164" i="21"/>
  <c r="K156" i="21"/>
  <c r="AQ177" i="21"/>
  <c r="AO153" i="21"/>
  <c r="AR153" i="21" s="1"/>
  <c r="AS153" i="21" s="1"/>
  <c r="AV153" i="21" s="1"/>
  <c r="AP165" i="21"/>
  <c r="BF152" i="21"/>
  <c r="BE152" i="21"/>
  <c r="R155" i="21" l="1"/>
  <c r="L156" i="21"/>
  <c r="AH156" i="21"/>
  <c r="Q156" i="21"/>
  <c r="N156" i="21"/>
  <c r="AI155" i="21"/>
  <c r="AW155" i="21" s="1"/>
  <c r="K157" i="21"/>
  <c r="AJ166" i="21"/>
  <c r="AK165" i="21"/>
  <c r="BG152" i="21"/>
  <c r="AQ179" i="21"/>
  <c r="AP167" i="21"/>
  <c r="AO155" i="21"/>
  <c r="AR155" i="21" s="1"/>
  <c r="AS155" i="21" s="1"/>
  <c r="AV155" i="21" s="1"/>
  <c r="AM155" i="21"/>
  <c r="AZ155" i="21"/>
  <c r="BF154" i="21"/>
  <c r="BE154" i="21"/>
  <c r="BB154" i="21"/>
  <c r="BD153" i="21"/>
  <c r="BG153" i="21" s="1"/>
  <c r="BI153" i="21" s="1"/>
  <c r="BJ153" i="21" s="1"/>
  <c r="BF155" i="21" l="1"/>
  <c r="BE155" i="21"/>
  <c r="AJ167" i="21"/>
  <c r="AK166" i="21"/>
  <c r="AL156" i="21"/>
  <c r="BI152" i="21"/>
  <c r="BJ152" i="21" s="1"/>
  <c r="Q157" i="21"/>
  <c r="AH157" i="21"/>
  <c r="L157" i="21"/>
  <c r="N157" i="21"/>
  <c r="AL157" i="21" s="1"/>
  <c r="AZ156" i="21"/>
  <c r="AM156" i="21"/>
  <c r="AI156" i="21"/>
  <c r="AW156" i="21" s="1"/>
  <c r="BB155" i="21"/>
  <c r="BD154" i="21"/>
  <c r="BG154" i="21" s="1"/>
  <c r="BI154" i="21" s="1"/>
  <c r="BJ154" i="21" s="1"/>
  <c r="R156" i="21"/>
  <c r="AQ180" i="21"/>
  <c r="AO156" i="21"/>
  <c r="AR156" i="21" s="1"/>
  <c r="AS156" i="21" s="1"/>
  <c r="AV156" i="21" s="1"/>
  <c r="AP168" i="21"/>
  <c r="O156" i="21"/>
  <c r="O157" i="21" l="1"/>
  <c r="AQ181" i="21"/>
  <c r="AP169" i="21"/>
  <c r="AO157" i="21"/>
  <c r="AR157" i="21" s="1"/>
  <c r="AS157" i="21" s="1"/>
  <c r="AV157" i="21" s="1"/>
  <c r="R157" i="21"/>
  <c r="AI157" i="21"/>
  <c r="AW157" i="21" s="1"/>
  <c r="AK167" i="21"/>
  <c r="AJ168" i="21"/>
  <c r="K159" i="21"/>
  <c r="AZ157" i="21"/>
  <c r="AM157" i="21"/>
  <c r="BB156" i="21"/>
  <c r="BD155" i="21"/>
  <c r="BG155" i="21" s="1"/>
  <c r="K158" i="21"/>
  <c r="BF156" i="21"/>
  <c r="BE156" i="21"/>
  <c r="BB157" i="21" l="1"/>
  <c r="BD156" i="21"/>
  <c r="BG156" i="21" s="1"/>
  <c r="BI156" i="21" s="1"/>
  <c r="BJ156" i="21" s="1"/>
  <c r="K160" i="21"/>
  <c r="BF157" i="21"/>
  <c r="BE157" i="21"/>
  <c r="AH158" i="21"/>
  <c r="L158" i="21"/>
  <c r="Q158" i="21"/>
  <c r="R158" i="21" s="1"/>
  <c r="N158" i="21"/>
  <c r="AH159" i="21"/>
  <c r="L159" i="21"/>
  <c r="Q159" i="21"/>
  <c r="N159" i="21"/>
  <c r="AL159" i="21" s="1"/>
  <c r="AJ169" i="21"/>
  <c r="AK168" i="21"/>
  <c r="BI155" i="21"/>
  <c r="BJ155" i="21" s="1"/>
  <c r="R159" i="21" l="1"/>
  <c r="AJ170" i="21"/>
  <c r="AK169" i="21"/>
  <c r="AI158" i="21"/>
  <c r="AW158" i="21" s="1"/>
  <c r="K161" i="21"/>
  <c r="AZ159" i="21"/>
  <c r="AM159" i="21"/>
  <c r="AQ183" i="21"/>
  <c r="AP171" i="21"/>
  <c r="AO159" i="21"/>
  <c r="AR159" i="21" s="1"/>
  <c r="AS159" i="21" s="1"/>
  <c r="AV159" i="21" s="1"/>
  <c r="AH160" i="21"/>
  <c r="L160" i="21"/>
  <c r="Q160" i="21"/>
  <c r="N160" i="21"/>
  <c r="AL160" i="21" s="1"/>
  <c r="AL158" i="21"/>
  <c r="O158" i="21"/>
  <c r="O159" i="21" s="1"/>
  <c r="AM158" i="21"/>
  <c r="AZ158" i="21"/>
  <c r="BB158" i="21" s="1"/>
  <c r="AP170" i="21"/>
  <c r="AQ182" i="21"/>
  <c r="AO158" i="21"/>
  <c r="AR158" i="21" s="1"/>
  <c r="AS158" i="21" s="1"/>
  <c r="AV158" i="21" s="1"/>
  <c r="BD157" i="21"/>
  <c r="BG157" i="21" s="1"/>
  <c r="AI159" i="21" l="1"/>
  <c r="AW159" i="21" s="1"/>
  <c r="O160" i="21"/>
  <c r="BF159" i="21"/>
  <c r="BE159" i="21"/>
  <c r="AQ184" i="21"/>
  <c r="AP172" i="21"/>
  <c r="AO160" i="21"/>
  <c r="AR160" i="21" s="1"/>
  <c r="AS160" i="21" s="1"/>
  <c r="AV160" i="21" s="1"/>
  <c r="AH161" i="21"/>
  <c r="L161" i="21"/>
  <c r="Q161" i="21"/>
  <c r="N161" i="21"/>
  <c r="AL161" i="21" s="1"/>
  <c r="BF158" i="21"/>
  <c r="BE158" i="21"/>
  <c r="AI160" i="21"/>
  <c r="AW160" i="21" s="1"/>
  <c r="BI157" i="21"/>
  <c r="BJ157" i="21" s="1"/>
  <c r="AZ160" i="21"/>
  <c r="AM160" i="21"/>
  <c r="O161" i="21"/>
  <c r="BB159" i="21"/>
  <c r="BD158" i="21"/>
  <c r="AJ171" i="21"/>
  <c r="AK170" i="21"/>
  <c r="R160" i="21"/>
  <c r="BG158" i="21" l="1"/>
  <c r="BI158" i="21" s="1"/>
  <c r="BJ158" i="21" s="1"/>
  <c r="AI161" i="21"/>
  <c r="AW161" i="21" s="1"/>
  <c r="AZ161" i="21"/>
  <c r="AM161" i="21"/>
  <c r="AQ185" i="21"/>
  <c r="AP173" i="21"/>
  <c r="AO161" i="21"/>
  <c r="AR161" i="21" s="1"/>
  <c r="AS161" i="21" s="1"/>
  <c r="AV161" i="21" s="1"/>
  <c r="R161" i="21"/>
  <c r="AJ172" i="21"/>
  <c r="AK171" i="21"/>
  <c r="BF160" i="21"/>
  <c r="BE160" i="21"/>
  <c r="BB160" i="21"/>
  <c r="BD159" i="21"/>
  <c r="BG159" i="21" s="1"/>
  <c r="AJ173" i="21" l="1"/>
  <c r="AK172" i="21"/>
  <c r="K162" i="21"/>
  <c r="BI159" i="21"/>
  <c r="BJ159" i="21" s="1"/>
  <c r="BB161" i="21"/>
  <c r="BD160" i="21"/>
  <c r="BG160" i="21" s="1"/>
  <c r="BI160" i="21" s="1"/>
  <c r="BJ160" i="21" s="1"/>
  <c r="BE161" i="21"/>
  <c r="BF161" i="21"/>
  <c r="K163" i="21"/>
  <c r="BD161" i="21" l="1"/>
  <c r="BG161" i="21" s="1"/>
  <c r="BI161" i="21" s="1"/>
  <c r="BJ161" i="21" s="1"/>
  <c r="AH162" i="21"/>
  <c r="AI162" i="21" s="1"/>
  <c r="AW162" i="21" s="1"/>
  <c r="L162" i="21"/>
  <c r="L163" i="21" s="1"/>
  <c r="Q162" i="21"/>
  <c r="N162" i="21"/>
  <c r="AH163" i="21"/>
  <c r="AI163" i="21" s="1"/>
  <c r="AW163" i="21" s="1"/>
  <c r="Q163" i="21"/>
  <c r="N163" i="21"/>
  <c r="AL163" i="21" s="1"/>
  <c r="AJ174" i="21"/>
  <c r="AK173" i="21"/>
  <c r="K164" i="21"/>
  <c r="AP175" i="21" l="1"/>
  <c r="AQ187" i="21"/>
  <c r="AO163" i="21"/>
  <c r="AR163" i="21" s="1"/>
  <c r="AS163" i="21" s="1"/>
  <c r="AV163" i="21" s="1"/>
  <c r="AL162" i="21"/>
  <c r="O162" i="21"/>
  <c r="O163" i="21" s="1"/>
  <c r="AZ162" i="21"/>
  <c r="AM162" i="21"/>
  <c r="R162" i="21"/>
  <c r="R163" i="21" s="1"/>
  <c r="AP174" i="21"/>
  <c r="AQ186" i="21"/>
  <c r="AO162" i="21"/>
  <c r="AR162" i="21" s="1"/>
  <c r="AS162" i="21" s="1"/>
  <c r="AV162" i="21" s="1"/>
  <c r="AJ175" i="21"/>
  <c r="AK174" i="21"/>
  <c r="L164" i="21"/>
  <c r="Q164" i="21"/>
  <c r="AH164" i="21"/>
  <c r="N164" i="21"/>
  <c r="AZ163" i="21"/>
  <c r="AM163" i="21"/>
  <c r="K165" i="21"/>
  <c r="O164" i="21" l="1"/>
  <c r="R164" i="21"/>
  <c r="AI164" i="21"/>
  <c r="AW164" i="21" s="1"/>
  <c r="AZ164" i="21"/>
  <c r="AM164" i="21"/>
  <c r="AP176" i="21"/>
  <c r="AQ188" i="21"/>
  <c r="AO164" i="21"/>
  <c r="AR164" i="21" s="1"/>
  <c r="AS164" i="21" s="1"/>
  <c r="AV164" i="21" s="1"/>
  <c r="BF162" i="21"/>
  <c r="BE162" i="21"/>
  <c r="BB162" i="21"/>
  <c r="AJ176" i="21"/>
  <c r="AK175" i="21"/>
  <c r="BF163" i="21"/>
  <c r="BE163" i="21"/>
  <c r="Q165" i="21"/>
  <c r="AH165" i="21"/>
  <c r="AI165" i="21" s="1"/>
  <c r="AW165" i="21" s="1"/>
  <c r="L165" i="21"/>
  <c r="N165" i="21"/>
  <c r="AL165" i="21" s="1"/>
  <c r="AL164" i="21"/>
  <c r="R165" i="21" l="1"/>
  <c r="AJ177" i="21"/>
  <c r="AK176" i="21"/>
  <c r="O165" i="21"/>
  <c r="AP177" i="21"/>
  <c r="AQ189" i="21"/>
  <c r="AO165" i="21"/>
  <c r="AR165" i="21" s="1"/>
  <c r="AS165" i="21" s="1"/>
  <c r="AV165" i="21" s="1"/>
  <c r="BB163" i="21"/>
  <c r="BD162" i="21"/>
  <c r="BG162" i="21" s="1"/>
  <c r="BI162" i="21" s="1"/>
  <c r="BJ162" i="21" s="1"/>
  <c r="BF164" i="21"/>
  <c r="BE164" i="21"/>
  <c r="K166" i="21"/>
  <c r="AZ165" i="21"/>
  <c r="AM165" i="21"/>
  <c r="AH166" i="21" l="1"/>
  <c r="L166" i="21"/>
  <c r="Q166" i="21"/>
  <c r="N166" i="21"/>
  <c r="O166" i="21"/>
  <c r="AK177" i="21"/>
  <c r="AJ178" i="21"/>
  <c r="BB164" i="21"/>
  <c r="BD163" i="21"/>
  <c r="BG163" i="21" s="1"/>
  <c r="BI163" i="21" s="1"/>
  <c r="BJ163" i="21" s="1"/>
  <c r="BF165" i="21"/>
  <c r="BE165" i="21"/>
  <c r="K167" i="21" l="1"/>
  <c r="AJ179" i="21"/>
  <c r="AK178" i="21"/>
  <c r="AL166" i="21"/>
  <c r="BB165" i="21"/>
  <c r="BD164" i="21"/>
  <c r="BG164" i="21" s="1"/>
  <c r="AM166" i="21"/>
  <c r="AZ166" i="21"/>
  <c r="R166" i="21"/>
  <c r="AP178" i="21"/>
  <c r="AQ190" i="21"/>
  <c r="AO166" i="21"/>
  <c r="AR166" i="21" s="1"/>
  <c r="AS166" i="21" s="1"/>
  <c r="AV166" i="21" s="1"/>
  <c r="AI166" i="21"/>
  <c r="AW166" i="21" s="1"/>
  <c r="AJ180" i="21" l="1"/>
  <c r="AK179" i="21"/>
  <c r="BF166" i="21"/>
  <c r="BE166" i="21"/>
  <c r="AH167" i="21"/>
  <c r="L167" i="21"/>
  <c r="Q167" i="21"/>
  <c r="N167" i="21"/>
  <c r="BI164" i="21"/>
  <c r="BJ164" i="21" s="1"/>
  <c r="BB166" i="21"/>
  <c r="BD165" i="21"/>
  <c r="BG165" i="21" s="1"/>
  <c r="BI165" i="21" s="1"/>
  <c r="BJ165" i="21" s="1"/>
  <c r="AL167" i="21" l="1"/>
  <c r="O167" i="21"/>
  <c r="AJ181" i="21"/>
  <c r="AK180" i="21"/>
  <c r="AZ167" i="21"/>
  <c r="AM167" i="21"/>
  <c r="K168" i="21"/>
  <c r="K169" i="21"/>
  <c r="AQ191" i="21"/>
  <c r="AO167" i="21"/>
  <c r="AR167" i="21" s="1"/>
  <c r="AS167" i="21" s="1"/>
  <c r="AV167" i="21" s="1"/>
  <c r="AP179" i="21"/>
  <c r="AI167" i="21"/>
  <c r="AW167" i="21" s="1"/>
  <c r="R167" i="21"/>
  <c r="BD166" i="21"/>
  <c r="BG166" i="21" s="1"/>
  <c r="BE167" i="21" l="1"/>
  <c r="BF167" i="21"/>
  <c r="BB167" i="21"/>
  <c r="AH169" i="21"/>
  <c r="Q169" i="21"/>
  <c r="N169" i="21"/>
  <c r="AL169" i="21" s="1"/>
  <c r="AJ182" i="21"/>
  <c r="AK181" i="21"/>
  <c r="BI166" i="21"/>
  <c r="BJ166" i="21" s="1"/>
  <c r="L168" i="21"/>
  <c r="AH168" i="21"/>
  <c r="Q168" i="21"/>
  <c r="R168" i="21" s="1"/>
  <c r="N168" i="21"/>
  <c r="O168" i="21"/>
  <c r="O169" i="21" s="1"/>
  <c r="K170" i="21"/>
  <c r="R169" i="21" l="1"/>
  <c r="AQ192" i="21"/>
  <c r="AO168" i="21"/>
  <c r="AR168" i="21" s="1"/>
  <c r="AS168" i="21" s="1"/>
  <c r="AV168" i="21" s="1"/>
  <c r="AP180" i="21"/>
  <c r="L169" i="21"/>
  <c r="L170" i="21" s="1"/>
  <c r="Q170" i="21"/>
  <c r="AH170" i="21"/>
  <c r="N170" i="21"/>
  <c r="AL170" i="21" s="1"/>
  <c r="BD167" i="21"/>
  <c r="BG167" i="21" s="1"/>
  <c r="AL168" i="21"/>
  <c r="AZ168" i="21"/>
  <c r="BB168" i="21" s="1"/>
  <c r="AM168" i="21"/>
  <c r="AJ183" i="21"/>
  <c r="AK182" i="21"/>
  <c r="AI168" i="21"/>
  <c r="AW168" i="21" s="1"/>
  <c r="AM169" i="21"/>
  <c r="AZ169" i="21"/>
  <c r="K171" i="21"/>
  <c r="BB169" i="21" l="1"/>
  <c r="BD168" i="21"/>
  <c r="AZ170" i="21"/>
  <c r="AM170" i="21"/>
  <c r="O170" i="21"/>
  <c r="AQ194" i="21"/>
  <c r="AP182" i="21"/>
  <c r="AO170" i="21"/>
  <c r="AR170" i="21" s="1"/>
  <c r="AS170" i="21" s="1"/>
  <c r="AV170" i="21" s="1"/>
  <c r="Q171" i="21"/>
  <c r="AH171" i="21"/>
  <c r="L171" i="21"/>
  <c r="N171" i="21"/>
  <c r="AL171" i="21" s="1"/>
  <c r="BI167" i="21"/>
  <c r="BJ167" i="21" s="1"/>
  <c r="AQ193" i="21"/>
  <c r="AO169" i="21"/>
  <c r="AR169" i="21" s="1"/>
  <c r="AS169" i="21" s="1"/>
  <c r="AV169" i="21" s="1"/>
  <c r="AP181" i="21"/>
  <c r="AK183" i="21"/>
  <c r="AJ184" i="21"/>
  <c r="AI169" i="21"/>
  <c r="AW169" i="21" s="1"/>
  <c r="R170" i="21"/>
  <c r="BF169" i="21"/>
  <c r="BE169" i="21"/>
  <c r="BF168" i="21"/>
  <c r="BE168" i="21"/>
  <c r="K172" i="21"/>
  <c r="R171" i="21" l="1"/>
  <c r="O171" i="21"/>
  <c r="L172" i="21"/>
  <c r="AH172" i="21"/>
  <c r="Q172" i="21"/>
  <c r="N172" i="21"/>
  <c r="AL172" i="21" s="1"/>
  <c r="AO171" i="21"/>
  <c r="AR171" i="21" s="1"/>
  <c r="AS171" i="21" s="1"/>
  <c r="AV171" i="21" s="1"/>
  <c r="AP183" i="21"/>
  <c r="AQ195" i="21"/>
  <c r="BF170" i="21"/>
  <c r="BE170" i="21"/>
  <c r="AI170" i="21"/>
  <c r="AW170" i="21" s="1"/>
  <c r="AJ185" i="21"/>
  <c r="AK184" i="21"/>
  <c r="AZ171" i="21"/>
  <c r="AM171" i="21"/>
  <c r="BG168" i="21"/>
  <c r="BB170" i="21"/>
  <c r="BD169" i="21"/>
  <c r="BG169" i="21" s="1"/>
  <c r="BI169" i="21" s="1"/>
  <c r="BJ169" i="21" s="1"/>
  <c r="R172" i="21" l="1"/>
  <c r="O172" i="21"/>
  <c r="BF171" i="21"/>
  <c r="BE171" i="21"/>
  <c r="AJ186" i="21"/>
  <c r="AK185" i="21"/>
  <c r="AI171" i="21"/>
  <c r="AW171" i="21" s="1"/>
  <c r="BB171" i="21"/>
  <c r="BD170" i="21"/>
  <c r="BG170" i="21" s="1"/>
  <c r="BI170" i="21" s="1"/>
  <c r="BJ170" i="21" s="1"/>
  <c r="AM172" i="21"/>
  <c r="AZ172" i="21"/>
  <c r="BI168" i="21"/>
  <c r="BJ168" i="21" s="1"/>
  <c r="AI172" i="21"/>
  <c r="AW172" i="21" s="1"/>
  <c r="AQ196" i="21"/>
  <c r="AP184" i="21"/>
  <c r="AO172" i="21"/>
  <c r="AR172" i="21" s="1"/>
  <c r="AS172" i="21" s="1"/>
  <c r="AV172" i="21" s="1"/>
  <c r="BB172" i="21" l="1"/>
  <c r="BD171" i="21"/>
  <c r="BG171" i="21" s="1"/>
  <c r="BI171" i="21" s="1"/>
  <c r="BJ171" i="21" s="1"/>
  <c r="K173" i="21"/>
  <c r="BF172" i="21"/>
  <c r="BE172" i="21"/>
  <c r="AJ187" i="21"/>
  <c r="AK186" i="21"/>
  <c r="K174" i="21"/>
  <c r="AJ188" i="21" l="1"/>
  <c r="AK187" i="21"/>
  <c r="AH173" i="21"/>
  <c r="AI173" i="21" s="1"/>
  <c r="AW173" i="21" s="1"/>
  <c r="L173" i="21"/>
  <c r="Q173" i="21"/>
  <c r="N173" i="21"/>
  <c r="AH174" i="21"/>
  <c r="AI174" i="21" s="1"/>
  <c r="AW174" i="21" s="1"/>
  <c r="L174" i="21"/>
  <c r="Q174" i="21"/>
  <c r="N174" i="21"/>
  <c r="AL174" i="21" s="1"/>
  <c r="BD172" i="21"/>
  <c r="BG172" i="21" s="1"/>
  <c r="BI172" i="21" s="1"/>
  <c r="BJ172" i="21" s="1"/>
  <c r="K175" i="21"/>
  <c r="AP186" i="21" l="1"/>
  <c r="AQ198" i="21"/>
  <c r="AO174" i="21"/>
  <c r="AR174" i="21" s="1"/>
  <c r="AS174" i="21" s="1"/>
  <c r="AV174" i="21" s="1"/>
  <c r="AL173" i="21"/>
  <c r="O173" i="21"/>
  <c r="O174" i="21" s="1"/>
  <c r="AZ173" i="21"/>
  <c r="AM173" i="21"/>
  <c r="R173" i="21"/>
  <c r="R174" i="21" s="1"/>
  <c r="AQ197" i="21"/>
  <c r="AP185" i="21"/>
  <c r="AO173" i="21"/>
  <c r="AR173" i="21" s="1"/>
  <c r="AS173" i="21" s="1"/>
  <c r="AV173" i="21" s="1"/>
  <c r="AH175" i="21"/>
  <c r="AI175" i="21" s="1"/>
  <c r="AW175" i="21" s="1"/>
  <c r="L175" i="21"/>
  <c r="Q175" i="21"/>
  <c r="N175" i="21"/>
  <c r="AL175" i="21" s="1"/>
  <c r="AM174" i="21"/>
  <c r="AZ174" i="21"/>
  <c r="AJ189" i="21"/>
  <c r="AK188" i="21"/>
  <c r="K176" i="21"/>
  <c r="R175" i="21" l="1"/>
  <c r="AZ175" i="21"/>
  <c r="AM175" i="21"/>
  <c r="BF173" i="21"/>
  <c r="BE173" i="21"/>
  <c r="BB173" i="21"/>
  <c r="AQ199" i="21"/>
  <c r="AO175" i="21"/>
  <c r="AR175" i="21" s="1"/>
  <c r="AS175" i="21" s="1"/>
  <c r="AV175" i="21" s="1"/>
  <c r="AP187" i="21"/>
  <c r="O175" i="21"/>
  <c r="AH176" i="21"/>
  <c r="L176" i="21"/>
  <c r="Q176" i="21"/>
  <c r="N176" i="21"/>
  <c r="AJ190" i="21"/>
  <c r="AK189" i="21"/>
  <c r="BF174" i="21"/>
  <c r="BE174" i="21"/>
  <c r="K177" i="21"/>
  <c r="AL176" i="21" l="1"/>
  <c r="BB174" i="21"/>
  <c r="BD173" i="21"/>
  <c r="BG173" i="21" s="1"/>
  <c r="BI173" i="21" s="1"/>
  <c r="BJ173" i="21" s="1"/>
  <c r="AH177" i="21"/>
  <c r="L177" i="21"/>
  <c r="Q177" i="21"/>
  <c r="N177" i="21"/>
  <c r="AL177" i="21" s="1"/>
  <c r="AZ176" i="21"/>
  <c r="AM176" i="21"/>
  <c r="AQ200" i="21"/>
  <c r="AO176" i="21"/>
  <c r="AR176" i="21" s="1"/>
  <c r="AS176" i="21" s="1"/>
  <c r="AV176" i="21" s="1"/>
  <c r="AP188" i="21"/>
  <c r="AI176" i="21"/>
  <c r="AW176" i="21" s="1"/>
  <c r="AJ191" i="21"/>
  <c r="AK190" i="21"/>
  <c r="O176" i="21"/>
  <c r="O177" i="21" s="1"/>
  <c r="BE175" i="21"/>
  <c r="BF175" i="21"/>
  <c r="R176" i="21"/>
  <c r="K178" i="21"/>
  <c r="R177" i="21" l="1"/>
  <c r="AZ177" i="21"/>
  <c r="AM177" i="21"/>
  <c r="L178" i="21"/>
  <c r="AH178" i="21"/>
  <c r="Q178" i="21"/>
  <c r="R178" i="21" s="1"/>
  <c r="N178" i="21"/>
  <c r="AQ201" i="21"/>
  <c r="AO177" i="21"/>
  <c r="AR177" i="21" s="1"/>
  <c r="AS177" i="21" s="1"/>
  <c r="AV177" i="21" s="1"/>
  <c r="AP189" i="21"/>
  <c r="AI177" i="21"/>
  <c r="AW177" i="21" s="1"/>
  <c r="BB175" i="21"/>
  <c r="BD174" i="21"/>
  <c r="BG174" i="21" s="1"/>
  <c r="BI174" i="21" s="1"/>
  <c r="BJ174" i="21" s="1"/>
  <c r="AK191" i="21"/>
  <c r="AJ192" i="21"/>
  <c r="BF176" i="21"/>
  <c r="BE176" i="21"/>
  <c r="K179" i="21"/>
  <c r="AL178" i="21" l="1"/>
  <c r="BB176" i="21"/>
  <c r="BD175" i="21"/>
  <c r="BG175" i="21" s="1"/>
  <c r="BI175" i="21" s="1"/>
  <c r="BJ175" i="21" s="1"/>
  <c r="AZ178" i="21"/>
  <c r="AM178" i="21"/>
  <c r="O178" i="21"/>
  <c r="AI178" i="21"/>
  <c r="AW178" i="21" s="1"/>
  <c r="Q179" i="21"/>
  <c r="AH179" i="21"/>
  <c r="L179" i="21"/>
  <c r="N179" i="21"/>
  <c r="AL179" i="21" s="1"/>
  <c r="AQ202" i="21"/>
  <c r="AO178" i="21"/>
  <c r="AR178" i="21" s="1"/>
  <c r="AS178" i="21" s="1"/>
  <c r="AV178" i="21" s="1"/>
  <c r="AP190" i="21"/>
  <c r="AJ193" i="21"/>
  <c r="AK192" i="21"/>
  <c r="BE177" i="21"/>
  <c r="BF177" i="21"/>
  <c r="K180" i="21"/>
  <c r="AQ203" i="21" l="1"/>
  <c r="AO179" i="21"/>
  <c r="AR179" i="21" s="1"/>
  <c r="AS179" i="21" s="1"/>
  <c r="AV179" i="21" s="1"/>
  <c r="AP191" i="21"/>
  <c r="BF178" i="21"/>
  <c r="BE178" i="21"/>
  <c r="L180" i="21"/>
  <c r="AH180" i="21"/>
  <c r="Q180" i="21"/>
  <c r="N180" i="21"/>
  <c r="AL180" i="21" s="1"/>
  <c r="AK193" i="21"/>
  <c r="AJ194" i="21"/>
  <c r="AI179" i="21"/>
  <c r="AW179" i="21" s="1"/>
  <c r="AZ179" i="21"/>
  <c r="AM179" i="21"/>
  <c r="BB177" i="21"/>
  <c r="BD176" i="21"/>
  <c r="BG176" i="21" s="1"/>
  <c r="O179" i="21"/>
  <c r="R179" i="21"/>
  <c r="K181" i="21"/>
  <c r="R180" i="21" l="1"/>
  <c r="O180" i="21"/>
  <c r="AJ195" i="21"/>
  <c r="AK194" i="21"/>
  <c r="BI176" i="21"/>
  <c r="BJ176" i="21" s="1"/>
  <c r="AM180" i="21"/>
  <c r="AZ180" i="21"/>
  <c r="AH181" i="21"/>
  <c r="L181" i="21"/>
  <c r="Q181" i="21"/>
  <c r="N181" i="21"/>
  <c r="BB178" i="21"/>
  <c r="BD177" i="21"/>
  <c r="BG177" i="21" s="1"/>
  <c r="BI177" i="21" s="1"/>
  <c r="BJ177" i="21" s="1"/>
  <c r="AI180" i="21"/>
  <c r="AW180" i="21" s="1"/>
  <c r="BF179" i="21"/>
  <c r="BE179" i="21"/>
  <c r="AQ204" i="21"/>
  <c r="AP192" i="21"/>
  <c r="AO180" i="21"/>
  <c r="AR180" i="21" s="1"/>
  <c r="AS180" i="21" s="1"/>
  <c r="AV180" i="21" s="1"/>
  <c r="BF180" i="21" l="1"/>
  <c r="BE180" i="21"/>
  <c r="BB179" i="21"/>
  <c r="BD178" i="21"/>
  <c r="BG178" i="21" s="1"/>
  <c r="AZ181" i="21"/>
  <c r="AM181" i="21"/>
  <c r="AQ205" i="21"/>
  <c r="AP193" i="21"/>
  <c r="AO181" i="21"/>
  <c r="AR181" i="21" s="1"/>
  <c r="AS181" i="21" s="1"/>
  <c r="AV181" i="21" s="1"/>
  <c r="AJ196" i="21"/>
  <c r="AK195" i="21"/>
  <c r="AL181" i="21"/>
  <c r="AI181" i="21"/>
  <c r="AW181" i="21" s="1"/>
  <c r="O181" i="21"/>
  <c r="R181" i="21"/>
  <c r="BF181" i="21" l="1"/>
  <c r="BE181" i="21"/>
  <c r="K182" i="21"/>
  <c r="AK196" i="21"/>
  <c r="AJ197" i="21"/>
  <c r="BI178" i="21"/>
  <c r="BJ178" i="21" s="1"/>
  <c r="BD179" i="21"/>
  <c r="BG179" i="21" s="1"/>
  <c r="BI179" i="21" s="1"/>
  <c r="BJ179" i="21" s="1"/>
  <c r="BB180" i="21"/>
  <c r="AJ198" i="21" l="1"/>
  <c r="AK197" i="21"/>
  <c r="AH182" i="21"/>
  <c r="L182" i="21"/>
  <c r="Q182" i="21"/>
  <c r="N182" i="21"/>
  <c r="BB181" i="21"/>
  <c r="BD180" i="21"/>
  <c r="BG180" i="21" s="1"/>
  <c r="BD181" i="21" l="1"/>
  <c r="BG181" i="21" s="1"/>
  <c r="BI181" i="21" s="1"/>
  <c r="BJ181" i="21" s="1"/>
  <c r="AL182" i="21"/>
  <c r="O182" i="21"/>
  <c r="BI180" i="21"/>
  <c r="BJ180" i="21" s="1"/>
  <c r="AM182" i="21"/>
  <c r="AZ182" i="21"/>
  <c r="R182" i="21"/>
  <c r="AQ206" i="21"/>
  <c r="AP194" i="21"/>
  <c r="AO182" i="21"/>
  <c r="AR182" i="21" s="1"/>
  <c r="AS182" i="21" s="1"/>
  <c r="AV182" i="21" s="1"/>
  <c r="AI182" i="21"/>
  <c r="AW182" i="21" s="1"/>
  <c r="K183" i="21"/>
  <c r="AJ199" i="21"/>
  <c r="AK198" i="21"/>
  <c r="K184" i="21"/>
  <c r="BF182" i="21" l="1"/>
  <c r="BE182" i="21"/>
  <c r="AH184" i="21"/>
  <c r="Q184" i="21"/>
  <c r="N184" i="21"/>
  <c r="AL184" i="21" s="1"/>
  <c r="AJ200" i="21"/>
  <c r="AK199" i="21"/>
  <c r="AH183" i="21"/>
  <c r="AI183" i="21" s="1"/>
  <c r="AW183" i="21" s="1"/>
  <c r="L183" i="21"/>
  <c r="L184" i="21" s="1"/>
  <c r="Q183" i="21"/>
  <c r="R183" i="21" s="1"/>
  <c r="R184" i="21" s="1"/>
  <c r="N183" i="21"/>
  <c r="AL183" i="21" s="1"/>
  <c r="BB182" i="21"/>
  <c r="K185" i="21"/>
  <c r="AI184" i="21" l="1"/>
  <c r="AW184" i="21" s="1"/>
  <c r="AQ208" i="21"/>
  <c r="AP196" i="21"/>
  <c r="AO184" i="21"/>
  <c r="AR184" i="21" s="1"/>
  <c r="AS184" i="21" s="1"/>
  <c r="AV184" i="21" s="1"/>
  <c r="BD182" i="21"/>
  <c r="BG182" i="21" s="1"/>
  <c r="AZ184" i="21"/>
  <c r="AM184" i="21"/>
  <c r="AZ183" i="21"/>
  <c r="AM183" i="21"/>
  <c r="AQ207" i="21"/>
  <c r="AO183" i="21"/>
  <c r="AR183" i="21" s="1"/>
  <c r="AS183" i="21" s="1"/>
  <c r="AV183" i="21" s="1"/>
  <c r="AP195" i="21"/>
  <c r="O183" i="21"/>
  <c r="O184" i="21" s="1"/>
  <c r="AH185" i="21"/>
  <c r="L185" i="21"/>
  <c r="Q185" i="21"/>
  <c r="N185" i="21"/>
  <c r="AL185" i="21" s="1"/>
  <c r="AJ201" i="21"/>
  <c r="AK200" i="21"/>
  <c r="K186" i="21"/>
  <c r="O185" i="21" l="1"/>
  <c r="AI185" i="21"/>
  <c r="AW185" i="21" s="1"/>
  <c r="AZ185" i="21"/>
  <c r="AM185" i="21"/>
  <c r="BE183" i="21"/>
  <c r="BF183" i="21"/>
  <c r="AQ209" i="21"/>
  <c r="AP197" i="21"/>
  <c r="AO185" i="21"/>
  <c r="AR185" i="21" s="1"/>
  <c r="AS185" i="21" s="1"/>
  <c r="AV185" i="21" s="1"/>
  <c r="BF184" i="21"/>
  <c r="BE184" i="21"/>
  <c r="BI182" i="21"/>
  <c r="BJ182" i="21" s="1"/>
  <c r="BB183" i="21"/>
  <c r="AJ202" i="21"/>
  <c r="AK201" i="21"/>
  <c r="R185" i="21"/>
  <c r="L186" i="21"/>
  <c r="AH186" i="21"/>
  <c r="AI186" i="21" s="1"/>
  <c r="AW186" i="21" s="1"/>
  <c r="Q186" i="21"/>
  <c r="N186" i="21"/>
  <c r="AL186" i="21" s="1"/>
  <c r="AJ203" i="21" l="1"/>
  <c r="AK202" i="21"/>
  <c r="BB184" i="21"/>
  <c r="BD183" i="21"/>
  <c r="BG183" i="21" s="1"/>
  <c r="BI183" i="21" s="1"/>
  <c r="BJ183" i="21" s="1"/>
  <c r="AQ210" i="21"/>
  <c r="AP198" i="21"/>
  <c r="AO186" i="21"/>
  <c r="AR186" i="21" s="1"/>
  <c r="AS186" i="21" s="1"/>
  <c r="AV186" i="21" s="1"/>
  <c r="AZ186" i="21"/>
  <c r="AM186" i="21"/>
  <c r="R186" i="21"/>
  <c r="O186" i="21"/>
  <c r="BF185" i="21"/>
  <c r="BE185" i="21"/>
  <c r="BF186" i="21" l="1"/>
  <c r="BE186" i="21"/>
  <c r="K187" i="21"/>
  <c r="BB185" i="21"/>
  <c r="BD184" i="21"/>
  <c r="BG184" i="21" s="1"/>
  <c r="BI184" i="21" s="1"/>
  <c r="BJ184" i="21" s="1"/>
  <c r="AJ204" i="21"/>
  <c r="AK203" i="21"/>
  <c r="BD185" i="21" l="1"/>
  <c r="BG185" i="21" s="1"/>
  <c r="BI185" i="21" s="1"/>
  <c r="BJ185" i="21" s="1"/>
  <c r="BB186" i="21"/>
  <c r="Q187" i="21"/>
  <c r="AH187" i="21"/>
  <c r="AI187" i="21" s="1"/>
  <c r="AW187" i="21" s="1"/>
  <c r="L187" i="21"/>
  <c r="N187" i="21"/>
  <c r="AJ205" i="21"/>
  <c r="AK204" i="21"/>
  <c r="AL187" i="21" l="1"/>
  <c r="O187" i="21"/>
  <c r="K188" i="21"/>
  <c r="AO187" i="21"/>
  <c r="AR187" i="21" s="1"/>
  <c r="AS187" i="21" s="1"/>
  <c r="AV187" i="21" s="1"/>
  <c r="AP199" i="21"/>
  <c r="AQ211" i="21"/>
  <c r="AZ187" i="21"/>
  <c r="AM187" i="21"/>
  <c r="R187" i="21"/>
  <c r="BD186" i="21"/>
  <c r="BG186" i="21" s="1"/>
  <c r="BI186" i="21" s="1"/>
  <c r="BJ186" i="21" s="1"/>
  <c r="AJ206" i="21"/>
  <c r="AK205" i="21"/>
  <c r="K190" i="21" l="1"/>
  <c r="AJ207" i="21"/>
  <c r="AK206" i="21"/>
  <c r="K189" i="21"/>
  <c r="AH188" i="21"/>
  <c r="L188" i="21"/>
  <c r="Q188" i="21"/>
  <c r="N188" i="21"/>
  <c r="BF187" i="21"/>
  <c r="BE187" i="21"/>
  <c r="BB187" i="21"/>
  <c r="R188" i="21"/>
  <c r="O188" i="21"/>
  <c r="AI188" i="21" l="1"/>
  <c r="AW188" i="21" s="1"/>
  <c r="BD187" i="21"/>
  <c r="BG187" i="21" s="1"/>
  <c r="BI187" i="21" s="1"/>
  <c r="BJ187" i="21" s="1"/>
  <c r="AH189" i="21"/>
  <c r="L189" i="21"/>
  <c r="L190" i="21" s="1"/>
  <c r="Q189" i="21"/>
  <c r="N189" i="21"/>
  <c r="AL189" i="21" s="1"/>
  <c r="AJ208" i="21"/>
  <c r="AK207" i="21"/>
  <c r="AL188" i="21"/>
  <c r="AH190" i="21"/>
  <c r="Q190" i="21"/>
  <c r="N190" i="21"/>
  <c r="AL190" i="21" s="1"/>
  <c r="AM188" i="21"/>
  <c r="AZ188" i="21"/>
  <c r="O189" i="21"/>
  <c r="AQ212" i="21"/>
  <c r="AP200" i="21"/>
  <c r="AO188" i="21"/>
  <c r="AR188" i="21" s="1"/>
  <c r="AS188" i="21" s="1"/>
  <c r="AV188" i="21" s="1"/>
  <c r="K191" i="21"/>
  <c r="O190" i="21" l="1"/>
  <c r="AI189" i="21"/>
  <c r="AW189" i="21" s="1"/>
  <c r="AP202" i="21"/>
  <c r="AQ214" i="21"/>
  <c r="AO190" i="21"/>
  <c r="AR190" i="21" s="1"/>
  <c r="AS190" i="21" s="1"/>
  <c r="AV190" i="21" s="1"/>
  <c r="AZ189" i="21"/>
  <c r="AM189" i="21"/>
  <c r="AP201" i="21"/>
  <c r="AQ213" i="21"/>
  <c r="AO189" i="21"/>
  <c r="AR189" i="21" s="1"/>
  <c r="AS189" i="21" s="1"/>
  <c r="AV189" i="21" s="1"/>
  <c r="AH191" i="21"/>
  <c r="L191" i="21"/>
  <c r="Q191" i="21"/>
  <c r="N191" i="21"/>
  <c r="O191" i="21" s="1"/>
  <c r="BF188" i="21"/>
  <c r="BE188" i="21"/>
  <c r="BB188" i="21"/>
  <c r="AK208" i="21"/>
  <c r="AJ209" i="21"/>
  <c r="AZ190" i="21"/>
  <c r="AM190" i="21"/>
  <c r="R189" i="21"/>
  <c r="R190" i="21" s="1"/>
  <c r="K192" i="21"/>
  <c r="R191" i="21" l="1"/>
  <c r="AI190" i="21"/>
  <c r="AW190" i="21" s="1"/>
  <c r="AH192" i="21"/>
  <c r="L192" i="21"/>
  <c r="Q192" i="21"/>
  <c r="N192" i="21"/>
  <c r="AL192" i="21" s="1"/>
  <c r="AL191" i="21"/>
  <c r="BF189" i="21"/>
  <c r="BE189" i="21"/>
  <c r="BF190" i="21"/>
  <c r="BE190" i="21"/>
  <c r="AJ210" i="21"/>
  <c r="AK209" i="21"/>
  <c r="BB189" i="21"/>
  <c r="BD188" i="21"/>
  <c r="BG188" i="21" s="1"/>
  <c r="AZ191" i="21"/>
  <c r="AM191" i="21"/>
  <c r="AP203" i="21"/>
  <c r="AQ215" i="21"/>
  <c r="AO191" i="21"/>
  <c r="AR191" i="21" s="1"/>
  <c r="AS191" i="21" s="1"/>
  <c r="AV191" i="21" s="1"/>
  <c r="R192" i="21"/>
  <c r="AI191" i="21"/>
  <c r="AW191" i="21" s="1"/>
  <c r="O192" i="21" l="1"/>
  <c r="AJ211" i="21"/>
  <c r="AK210" i="21"/>
  <c r="AZ192" i="21"/>
  <c r="AM192" i="21"/>
  <c r="AQ216" i="21"/>
  <c r="AP204" i="21"/>
  <c r="AO192" i="21"/>
  <c r="AR192" i="21" s="1"/>
  <c r="AS192" i="21" s="1"/>
  <c r="AV192" i="21" s="1"/>
  <c r="BE191" i="21"/>
  <c r="BF191" i="21"/>
  <c r="AI192" i="21"/>
  <c r="AW192" i="21" s="1"/>
  <c r="BI188" i="21"/>
  <c r="BJ188" i="21" s="1"/>
  <c r="BB190" i="21"/>
  <c r="BD189" i="21"/>
  <c r="BG189" i="21" s="1"/>
  <c r="BI189" i="21" s="1"/>
  <c r="BJ189" i="21" s="1"/>
  <c r="BB191" i="21" l="1"/>
  <c r="BD190" i="21"/>
  <c r="BG190" i="21" s="1"/>
  <c r="K193" i="21"/>
  <c r="BF192" i="21"/>
  <c r="BE192" i="21"/>
  <c r="AJ212" i="21"/>
  <c r="AK211" i="21"/>
  <c r="K194" i="21"/>
  <c r="AH193" i="21" l="1"/>
  <c r="L193" i="21"/>
  <c r="Q193" i="21"/>
  <c r="N193" i="21"/>
  <c r="AH194" i="21"/>
  <c r="L194" i="21"/>
  <c r="Q194" i="21"/>
  <c r="N194" i="21"/>
  <c r="AL194" i="21" s="1"/>
  <c r="AJ213" i="21"/>
  <c r="AK212" i="21"/>
  <c r="BI190" i="21"/>
  <c r="BJ190" i="21" s="1"/>
  <c r="BB192" i="21"/>
  <c r="BD191" i="21"/>
  <c r="BG191" i="21" s="1"/>
  <c r="BI191" i="21" s="1"/>
  <c r="BJ191" i="21" s="1"/>
  <c r="K195" i="21"/>
  <c r="AZ194" i="21" l="1"/>
  <c r="AM194" i="21"/>
  <c r="K196" i="21"/>
  <c r="AQ218" i="21"/>
  <c r="AO194" i="21"/>
  <c r="AR194" i="21" s="1"/>
  <c r="AS194" i="21" s="1"/>
  <c r="AV194" i="21" s="1"/>
  <c r="AP206" i="21"/>
  <c r="BD192" i="21"/>
  <c r="BG192" i="21" s="1"/>
  <c r="AL193" i="21"/>
  <c r="O193" i="21"/>
  <c r="O194" i="21" s="1"/>
  <c r="AZ193" i="21"/>
  <c r="BB193" i="21" s="1"/>
  <c r="AM193" i="21"/>
  <c r="R193" i="21"/>
  <c r="R194" i="21" s="1"/>
  <c r="AJ214" i="21"/>
  <c r="AK213" i="21"/>
  <c r="AQ217" i="21"/>
  <c r="AP205" i="21"/>
  <c r="AO193" i="21"/>
  <c r="AR193" i="21" s="1"/>
  <c r="AS193" i="21" s="1"/>
  <c r="AV193" i="21" s="1"/>
  <c r="AH195" i="21"/>
  <c r="L195" i="21"/>
  <c r="Q195" i="21"/>
  <c r="N195" i="21"/>
  <c r="AL195" i="21" s="1"/>
  <c r="AI193" i="21"/>
  <c r="AW193" i="21" s="1"/>
  <c r="BB194" i="21" l="1"/>
  <c r="BD193" i="21"/>
  <c r="O195" i="21"/>
  <c r="AJ215" i="21"/>
  <c r="AK214" i="21"/>
  <c r="AZ195" i="21"/>
  <c r="AM195" i="21"/>
  <c r="R195" i="21"/>
  <c r="AH196" i="21"/>
  <c r="L196" i="21"/>
  <c r="Q196" i="21"/>
  <c r="N196" i="21"/>
  <c r="AO195" i="21"/>
  <c r="AR195" i="21" s="1"/>
  <c r="AS195" i="21" s="1"/>
  <c r="AV195" i="21" s="1"/>
  <c r="AQ219" i="21"/>
  <c r="AP207" i="21"/>
  <c r="AI194" i="21"/>
  <c r="AW194" i="21" s="1"/>
  <c r="BF193" i="21"/>
  <c r="BE193" i="21"/>
  <c r="BI192" i="21"/>
  <c r="BJ192" i="21" s="1"/>
  <c r="BF194" i="21"/>
  <c r="BE194" i="21"/>
  <c r="K197" i="21"/>
  <c r="AI195" i="21" l="1"/>
  <c r="AW195" i="21" s="1"/>
  <c r="R196" i="21"/>
  <c r="BE195" i="21"/>
  <c r="BF195" i="21"/>
  <c r="AL196" i="21"/>
  <c r="AJ216" i="21"/>
  <c r="AK215" i="21"/>
  <c r="AM196" i="21"/>
  <c r="AZ196" i="21"/>
  <c r="O196" i="21"/>
  <c r="Q197" i="21"/>
  <c r="AH197" i="21"/>
  <c r="AI197" i="21" s="1"/>
  <c r="AW197" i="21" s="1"/>
  <c r="L197" i="21"/>
  <c r="N197" i="21"/>
  <c r="AL197" i="21" s="1"/>
  <c r="AQ220" i="21"/>
  <c r="AP208" i="21"/>
  <c r="AO196" i="21"/>
  <c r="AR196" i="21" s="1"/>
  <c r="AS196" i="21" s="1"/>
  <c r="AV196" i="21" s="1"/>
  <c r="BG193" i="21"/>
  <c r="AI196" i="21"/>
  <c r="AW196" i="21" s="1"/>
  <c r="BB195" i="21"/>
  <c r="BD194" i="21"/>
  <c r="BG194" i="21" s="1"/>
  <c r="BI194" i="21" s="1"/>
  <c r="BJ194" i="21" s="1"/>
  <c r="K198" i="21"/>
  <c r="O197" i="21" l="1"/>
  <c r="L198" i="21"/>
  <c r="Q198" i="21"/>
  <c r="AH198" i="21"/>
  <c r="AI198" i="21" s="1"/>
  <c r="AW198" i="21" s="1"/>
  <c r="N198" i="21"/>
  <c r="AL198" i="21" s="1"/>
  <c r="BB196" i="21"/>
  <c r="BD195" i="21"/>
  <c r="BG195" i="21" s="1"/>
  <c r="BI195" i="21" s="1"/>
  <c r="BJ195" i="21" s="1"/>
  <c r="AQ221" i="21"/>
  <c r="AP209" i="21"/>
  <c r="AO197" i="21"/>
  <c r="AR197" i="21" s="1"/>
  <c r="AS197" i="21" s="1"/>
  <c r="AV197" i="21" s="1"/>
  <c r="AK216" i="21"/>
  <c r="AJ217" i="21"/>
  <c r="AM197" i="21"/>
  <c r="AZ197" i="21"/>
  <c r="BI193" i="21"/>
  <c r="BJ193" i="21" s="1"/>
  <c r="O198" i="21"/>
  <c r="BF196" i="21"/>
  <c r="BE196" i="21"/>
  <c r="R197" i="21"/>
  <c r="R198" i="21" s="1"/>
  <c r="K199" i="21"/>
  <c r="AH199" i="21" l="1"/>
  <c r="AI199" i="21" s="1"/>
  <c r="AW199" i="21" s="1"/>
  <c r="L199" i="21"/>
  <c r="Q199" i="21"/>
  <c r="N199" i="21"/>
  <c r="AL199" i="21" s="1"/>
  <c r="BF197" i="21"/>
  <c r="BE197" i="21"/>
  <c r="BB197" i="21"/>
  <c r="BD196" i="21"/>
  <c r="BG196" i="21" s="1"/>
  <c r="BI196" i="21" s="1"/>
  <c r="BJ196" i="21" s="1"/>
  <c r="R199" i="21"/>
  <c r="AJ218" i="21"/>
  <c r="AK217" i="21"/>
  <c r="AZ198" i="21"/>
  <c r="AM198" i="21"/>
  <c r="AP210" i="21"/>
  <c r="AQ222" i="21"/>
  <c r="AO198" i="21"/>
  <c r="AR198" i="21" s="1"/>
  <c r="AS198" i="21" s="1"/>
  <c r="AV198" i="21" s="1"/>
  <c r="K200" i="21"/>
  <c r="BB198" i="21" l="1"/>
  <c r="BD197" i="21"/>
  <c r="BG197" i="21" s="1"/>
  <c r="BI197" i="21" s="1"/>
  <c r="BJ197" i="21" s="1"/>
  <c r="BF198" i="21"/>
  <c r="BE198" i="21"/>
  <c r="AZ199" i="21"/>
  <c r="AM199" i="21"/>
  <c r="AJ219" i="21"/>
  <c r="AK218" i="21"/>
  <c r="AQ223" i="21"/>
  <c r="AP211" i="21"/>
  <c r="AO199" i="21"/>
  <c r="AR199" i="21" s="1"/>
  <c r="AS199" i="21" s="1"/>
  <c r="AV199" i="21" s="1"/>
  <c r="AH200" i="21"/>
  <c r="L200" i="21"/>
  <c r="Q200" i="21"/>
  <c r="N200" i="21"/>
  <c r="O199" i="21"/>
  <c r="AL200" i="21" l="1"/>
  <c r="AM200" i="21"/>
  <c r="AZ200" i="21"/>
  <c r="AJ220" i="21"/>
  <c r="AK219" i="21"/>
  <c r="AQ224" i="21"/>
  <c r="AP212" i="21"/>
  <c r="AO200" i="21"/>
  <c r="AR200" i="21" s="1"/>
  <c r="AS200" i="21" s="1"/>
  <c r="AV200" i="21" s="1"/>
  <c r="AI200" i="21"/>
  <c r="AW200" i="21" s="1"/>
  <c r="BE199" i="21"/>
  <c r="BF199" i="21"/>
  <c r="R200" i="21"/>
  <c r="O200" i="21"/>
  <c r="BD198" i="21"/>
  <c r="BG198" i="21" s="1"/>
  <c r="BI198" i="21" s="1"/>
  <c r="BJ198" i="21" s="1"/>
  <c r="BB199" i="21"/>
  <c r="AJ221" i="21" l="1"/>
  <c r="AK220" i="21"/>
  <c r="BE200" i="21"/>
  <c r="BF200" i="21"/>
  <c r="BB200" i="21"/>
  <c r="BD199" i="21"/>
  <c r="BG199" i="21" s="1"/>
  <c r="BI199" i="21" s="1"/>
  <c r="BJ199" i="21" s="1"/>
  <c r="K201" i="21"/>
  <c r="K202" i="21" l="1"/>
  <c r="BD200" i="21"/>
  <c r="BG200" i="21" s="1"/>
  <c r="AH201" i="21"/>
  <c r="L201" i="21"/>
  <c r="Q201" i="21"/>
  <c r="N201" i="21"/>
  <c r="AK221" i="21"/>
  <c r="AJ222" i="21"/>
  <c r="AQ225" i="21" l="1"/>
  <c r="AP213" i="21"/>
  <c r="AO201" i="21"/>
  <c r="AR201" i="21" s="1"/>
  <c r="AS201" i="21" s="1"/>
  <c r="AV201" i="21" s="1"/>
  <c r="AI201" i="21"/>
  <c r="AW201" i="21" s="1"/>
  <c r="AJ223" i="21"/>
  <c r="AK222" i="21"/>
  <c r="BI200" i="21"/>
  <c r="BJ200" i="21" s="1"/>
  <c r="AL201" i="21"/>
  <c r="O201" i="21"/>
  <c r="AH202" i="21"/>
  <c r="AI202" i="21" s="1"/>
  <c r="AW202" i="21" s="1"/>
  <c r="L202" i="21"/>
  <c r="Q202" i="21"/>
  <c r="N202" i="21"/>
  <c r="AL202" i="21" s="1"/>
  <c r="AM201" i="21"/>
  <c r="AZ201" i="21"/>
  <c r="R201" i="21"/>
  <c r="R202" i="21" s="1"/>
  <c r="AZ202" i="21" l="1"/>
  <c r="AM202" i="21"/>
  <c r="AQ226" i="21"/>
  <c r="AO202" i="21"/>
  <c r="AR202" i="21" s="1"/>
  <c r="AS202" i="21" s="1"/>
  <c r="AV202" i="21" s="1"/>
  <c r="AP214" i="21"/>
  <c r="AK223" i="21"/>
  <c r="AJ224" i="21"/>
  <c r="O202" i="21"/>
  <c r="K203" i="21"/>
  <c r="BF201" i="21"/>
  <c r="BE201" i="21"/>
  <c r="BB201" i="21"/>
  <c r="K204" i="21"/>
  <c r="AJ225" i="21" l="1"/>
  <c r="AK224" i="21"/>
  <c r="AH204" i="21"/>
  <c r="Q204" i="21"/>
  <c r="N204" i="21"/>
  <c r="AL204" i="21" s="1"/>
  <c r="L203" i="21"/>
  <c r="L204" i="21" s="1"/>
  <c r="Q203" i="21"/>
  <c r="AH203" i="21"/>
  <c r="N203" i="21"/>
  <c r="O203" i="21" s="1"/>
  <c r="O204" i="21" s="1"/>
  <c r="BB202" i="21"/>
  <c r="BD201" i="21"/>
  <c r="BG201" i="21" s="1"/>
  <c r="BF202" i="21"/>
  <c r="BE202" i="21"/>
  <c r="K205" i="21"/>
  <c r="BI201" i="21" l="1"/>
  <c r="BJ201" i="21" s="1"/>
  <c r="BD202" i="21"/>
  <c r="BG202" i="21" s="1"/>
  <c r="BI202" i="21" s="1"/>
  <c r="BJ202" i="21" s="1"/>
  <c r="AZ204" i="21"/>
  <c r="AM204" i="21"/>
  <c r="AQ228" i="21"/>
  <c r="AO204" i="21"/>
  <c r="AR204" i="21" s="1"/>
  <c r="AS204" i="21" s="1"/>
  <c r="AV204" i="21" s="1"/>
  <c r="AP216" i="21"/>
  <c r="AL203" i="21"/>
  <c r="AI203" i="21"/>
  <c r="AW203" i="21" s="1"/>
  <c r="AZ203" i="21"/>
  <c r="BB203" i="21" s="1"/>
  <c r="AM203" i="21"/>
  <c r="R203" i="21"/>
  <c r="R204" i="21" s="1"/>
  <c r="AH205" i="21"/>
  <c r="L205" i="21"/>
  <c r="Q205" i="21"/>
  <c r="N205" i="21"/>
  <c r="AL205" i="21" s="1"/>
  <c r="AO203" i="21"/>
  <c r="AR203" i="21" s="1"/>
  <c r="AS203" i="21" s="1"/>
  <c r="AV203" i="21" s="1"/>
  <c r="AP215" i="21"/>
  <c r="AQ227" i="21"/>
  <c r="AJ226" i="21"/>
  <c r="AK225" i="21"/>
  <c r="K206" i="21"/>
  <c r="AI204" i="21" l="1"/>
  <c r="AW204" i="21" s="1"/>
  <c r="R205" i="21"/>
  <c r="BB204" i="21"/>
  <c r="BD203" i="21"/>
  <c r="AQ229" i="21"/>
  <c r="AP217" i="21"/>
  <c r="AO205" i="21"/>
  <c r="AR205" i="21" s="1"/>
  <c r="AS205" i="21" s="1"/>
  <c r="AV205" i="21" s="1"/>
  <c r="BF204" i="21"/>
  <c r="BE204" i="21"/>
  <c r="AJ227" i="21"/>
  <c r="AK226" i="21"/>
  <c r="Q206" i="21"/>
  <c r="R206" i="21" s="1"/>
  <c r="AH206" i="21"/>
  <c r="L206" i="21"/>
  <c r="N206" i="21"/>
  <c r="AL206" i="21" s="1"/>
  <c r="O205" i="21"/>
  <c r="AM205" i="21"/>
  <c r="AZ205" i="21"/>
  <c r="BF203" i="21"/>
  <c r="BE203" i="21"/>
  <c r="K207" i="21"/>
  <c r="AI205" i="21" l="1"/>
  <c r="AW205" i="21" s="1"/>
  <c r="AP218" i="21"/>
  <c r="AO206" i="21"/>
  <c r="AR206" i="21" s="1"/>
  <c r="AS206" i="21" s="1"/>
  <c r="AV206" i="21" s="1"/>
  <c r="AQ230" i="21"/>
  <c r="AI206" i="21"/>
  <c r="AW206" i="21" s="1"/>
  <c r="BF205" i="21"/>
  <c r="BE205" i="21"/>
  <c r="AZ206" i="21"/>
  <c r="AM206" i="21"/>
  <c r="BG203" i="21"/>
  <c r="AH207" i="21"/>
  <c r="L207" i="21"/>
  <c r="Q207" i="21"/>
  <c r="N207" i="21"/>
  <c r="AL207" i="21" s="1"/>
  <c r="O206" i="21"/>
  <c r="O207" i="21" s="1"/>
  <c r="AK227" i="21"/>
  <c r="AJ228" i="21"/>
  <c r="BB205" i="21"/>
  <c r="BD204" i="21"/>
  <c r="BG204" i="21" s="1"/>
  <c r="BI204" i="21" s="1"/>
  <c r="BJ204" i="21" s="1"/>
  <c r="AI207" i="21" l="1"/>
  <c r="AW207" i="21" s="1"/>
  <c r="AZ207" i="21"/>
  <c r="AM207" i="21"/>
  <c r="BF206" i="21"/>
  <c r="BE206" i="21"/>
  <c r="AQ231" i="21"/>
  <c r="AP219" i="21"/>
  <c r="AO207" i="21"/>
  <c r="AR207" i="21" s="1"/>
  <c r="AS207" i="21" s="1"/>
  <c r="AV207" i="21" s="1"/>
  <c r="K208" i="21"/>
  <c r="BB206" i="21"/>
  <c r="BD205" i="21"/>
  <c r="BG205" i="21" s="1"/>
  <c r="BI205" i="21" s="1"/>
  <c r="BJ205" i="21" s="1"/>
  <c r="BI203" i="21"/>
  <c r="BJ203" i="21" s="1"/>
  <c r="AJ229" i="21"/>
  <c r="AK228" i="21"/>
  <c r="R207" i="21"/>
  <c r="K209" i="21"/>
  <c r="AH209" i="21" l="1"/>
  <c r="Q209" i="21"/>
  <c r="N209" i="21"/>
  <c r="AL209" i="21" s="1"/>
  <c r="AJ230" i="21"/>
  <c r="AK229" i="21"/>
  <c r="BB207" i="21"/>
  <c r="BD206" i="21"/>
  <c r="BG206" i="21" s="1"/>
  <c r="AH208" i="21"/>
  <c r="AI208" i="21" s="1"/>
  <c r="AW208" i="21" s="1"/>
  <c r="L208" i="21"/>
  <c r="Q208" i="21"/>
  <c r="R208" i="21" s="1"/>
  <c r="R209" i="21" s="1"/>
  <c r="N208" i="21"/>
  <c r="K210" i="21"/>
  <c r="BF207" i="21"/>
  <c r="BE207" i="21"/>
  <c r="BD207" i="21" l="1"/>
  <c r="BG207" i="21" s="1"/>
  <c r="BI207" i="21" s="1"/>
  <c r="BJ207" i="21" s="1"/>
  <c r="AH210" i="21"/>
  <c r="Q210" i="21"/>
  <c r="N210" i="21"/>
  <c r="AL210" i="21" s="1"/>
  <c r="R210" i="21"/>
  <c r="AL208" i="21"/>
  <c r="O208" i="21"/>
  <c r="O209" i="21" s="1"/>
  <c r="AJ231" i="21"/>
  <c r="AK230" i="21"/>
  <c r="AZ208" i="21"/>
  <c r="AM208" i="21"/>
  <c r="AO208" i="21"/>
  <c r="AR208" i="21" s="1"/>
  <c r="AS208" i="21" s="1"/>
  <c r="AV208" i="21" s="1"/>
  <c r="AP220" i="21"/>
  <c r="AQ232" i="21"/>
  <c r="AZ209" i="21"/>
  <c r="AM209" i="21"/>
  <c r="L209" i="21"/>
  <c r="BI206" i="21"/>
  <c r="BJ206" i="21" s="1"/>
  <c r="AI209" i="21"/>
  <c r="AW209" i="21" s="1"/>
  <c r="K211" i="21"/>
  <c r="O210" i="21" l="1"/>
  <c r="BE208" i="21"/>
  <c r="BF208" i="21"/>
  <c r="AZ210" i="21"/>
  <c r="AM210" i="21"/>
  <c r="AP221" i="21"/>
  <c r="AQ233" i="21"/>
  <c r="AO209" i="21"/>
  <c r="AR209" i="21" s="1"/>
  <c r="AS209" i="21" s="1"/>
  <c r="AV209" i="21" s="1"/>
  <c r="L210" i="21"/>
  <c r="AJ232" i="21"/>
  <c r="AK231" i="21"/>
  <c r="AI210" i="21"/>
  <c r="AW210" i="21" s="1"/>
  <c r="BF209" i="21"/>
  <c r="BE209" i="21"/>
  <c r="L211" i="21"/>
  <c r="Q211" i="21"/>
  <c r="AH211" i="21"/>
  <c r="N211" i="21"/>
  <c r="AL211" i="21" s="1"/>
  <c r="BB208" i="21"/>
  <c r="O211" i="21" l="1"/>
  <c r="K212" i="21"/>
  <c r="AQ235" i="21"/>
  <c r="AP223" i="21"/>
  <c r="AO211" i="21"/>
  <c r="AR211" i="21" s="1"/>
  <c r="AS211" i="21" s="1"/>
  <c r="AV211" i="21" s="1"/>
  <c r="BB209" i="21"/>
  <c r="BD208" i="21"/>
  <c r="BG208" i="21" s="1"/>
  <c r="BI208" i="21" s="1"/>
  <c r="BJ208" i="21" s="1"/>
  <c r="BF210" i="21"/>
  <c r="BE210" i="21"/>
  <c r="AI211" i="21"/>
  <c r="AW211" i="21" s="1"/>
  <c r="AJ233" i="21"/>
  <c r="AK232" i="21"/>
  <c r="AZ211" i="21"/>
  <c r="AM211" i="21"/>
  <c r="AP222" i="21"/>
  <c r="AQ234" i="21"/>
  <c r="AO210" i="21"/>
  <c r="AR210" i="21" s="1"/>
  <c r="AS210" i="21" s="1"/>
  <c r="AV210" i="21" s="1"/>
  <c r="R211" i="21"/>
  <c r="BB210" i="21" l="1"/>
  <c r="BD209" i="21"/>
  <c r="BG209" i="21" s="1"/>
  <c r="BI209" i="21" s="1"/>
  <c r="BJ209" i="21" s="1"/>
  <c r="BF211" i="21"/>
  <c r="BE211" i="21"/>
  <c r="AJ234" i="21"/>
  <c r="AK233" i="21"/>
  <c r="AH212" i="21"/>
  <c r="L212" i="21"/>
  <c r="Q212" i="21"/>
  <c r="R212" i="21" s="1"/>
  <c r="N212" i="21"/>
  <c r="AI212" i="21" l="1"/>
  <c r="AW212" i="21" s="1"/>
  <c r="K213" i="21"/>
  <c r="AJ235" i="21"/>
  <c r="AK234" i="21"/>
  <c r="AL212" i="21"/>
  <c r="O212" i="21"/>
  <c r="AZ212" i="21"/>
  <c r="AM212" i="21"/>
  <c r="AP224" i="21"/>
  <c r="AQ236" i="21"/>
  <c r="AO212" i="21"/>
  <c r="AR212" i="21" s="1"/>
  <c r="AS212" i="21" s="1"/>
  <c r="AV212" i="21" s="1"/>
  <c r="BD210" i="21"/>
  <c r="BG210" i="21" s="1"/>
  <c r="BI210" i="21" s="1"/>
  <c r="BJ210" i="21" s="1"/>
  <c r="BB211" i="21"/>
  <c r="K214" i="21"/>
  <c r="AJ236" i="21" l="1"/>
  <c r="AK235" i="21"/>
  <c r="AH213" i="21"/>
  <c r="L213" i="21"/>
  <c r="Q213" i="21"/>
  <c r="N213" i="21"/>
  <c r="O213" i="21" s="1"/>
  <c r="BF212" i="21"/>
  <c r="BE212" i="21"/>
  <c r="BB212" i="21"/>
  <c r="BD211" i="21"/>
  <c r="BG211" i="21" s="1"/>
  <c r="BI211" i="21" s="1"/>
  <c r="BJ211" i="21" s="1"/>
  <c r="Q214" i="21"/>
  <c r="AH214" i="21"/>
  <c r="L214" i="21"/>
  <c r="N214" i="21"/>
  <c r="AL214" i="21" s="1"/>
  <c r="K215" i="21"/>
  <c r="O214" i="21" l="1"/>
  <c r="AM213" i="21"/>
  <c r="AZ213" i="21"/>
  <c r="R213" i="21"/>
  <c r="R214" i="21" s="1"/>
  <c r="AZ214" i="21"/>
  <c r="AM214" i="21"/>
  <c r="AL213" i="21"/>
  <c r="BB213" i="21"/>
  <c r="BD212" i="21"/>
  <c r="BG212" i="21" s="1"/>
  <c r="AQ237" i="21"/>
  <c r="AP225" i="21"/>
  <c r="AO213" i="21"/>
  <c r="AR213" i="21" s="1"/>
  <c r="AS213" i="21" s="1"/>
  <c r="AV213" i="21" s="1"/>
  <c r="AI213" i="21"/>
  <c r="AW213" i="21" s="1"/>
  <c r="AH215" i="21"/>
  <c r="L215" i="21"/>
  <c r="Q215" i="21"/>
  <c r="N215" i="21"/>
  <c r="AL215" i="21" s="1"/>
  <c r="AQ238" i="21"/>
  <c r="AP226" i="21"/>
  <c r="AO214" i="21"/>
  <c r="AR214" i="21" s="1"/>
  <c r="AS214" i="21" s="1"/>
  <c r="AV214" i="21" s="1"/>
  <c r="AJ237" i="21"/>
  <c r="AK236" i="21"/>
  <c r="K216" i="21"/>
  <c r="BF214" i="21" l="1"/>
  <c r="BE214" i="21"/>
  <c r="AI214" i="21"/>
  <c r="AW214" i="21" s="1"/>
  <c r="AH216" i="21"/>
  <c r="L216" i="21"/>
  <c r="Q216" i="21"/>
  <c r="N216" i="21"/>
  <c r="AQ239" i="21"/>
  <c r="AO215" i="21"/>
  <c r="AR215" i="21" s="1"/>
  <c r="AS215" i="21" s="1"/>
  <c r="AV215" i="21" s="1"/>
  <c r="AP227" i="21"/>
  <c r="BI212" i="21"/>
  <c r="BJ212" i="21" s="1"/>
  <c r="R215" i="21"/>
  <c r="R216" i="21" s="1"/>
  <c r="AZ215" i="21"/>
  <c r="AM215" i="21"/>
  <c r="AK237" i="21"/>
  <c r="AJ238" i="21"/>
  <c r="BB214" i="21"/>
  <c r="BD213" i="21"/>
  <c r="BF213" i="21"/>
  <c r="BE213" i="21"/>
  <c r="O215" i="21"/>
  <c r="O216" i="21" l="1"/>
  <c r="BG213" i="21"/>
  <c r="BI213" i="21" s="1"/>
  <c r="BJ213" i="21" s="1"/>
  <c r="AI215" i="21"/>
  <c r="AW215" i="21" s="1"/>
  <c r="AL216" i="21"/>
  <c r="AZ216" i="21"/>
  <c r="AM216" i="21"/>
  <c r="AP228" i="21"/>
  <c r="AO216" i="21"/>
  <c r="AR216" i="21" s="1"/>
  <c r="AS216" i="21" s="1"/>
  <c r="AV216" i="21" s="1"/>
  <c r="AQ240" i="21"/>
  <c r="BF215" i="21"/>
  <c r="BE215" i="21"/>
  <c r="BB215" i="21"/>
  <c r="BD214" i="21"/>
  <c r="BG214" i="21" s="1"/>
  <c r="AI216" i="21"/>
  <c r="AW216" i="21" s="1"/>
  <c r="AJ239" i="21"/>
  <c r="AK238" i="21"/>
  <c r="BI214" i="21" l="1"/>
  <c r="BJ214" i="21" s="1"/>
  <c r="BB216" i="21"/>
  <c r="BD215" i="21"/>
  <c r="BG215" i="21" s="1"/>
  <c r="BI215" i="21" s="1"/>
  <c r="BJ215" i="21" s="1"/>
  <c r="K218" i="21"/>
  <c r="BE216" i="21"/>
  <c r="BF216" i="21"/>
  <c r="AJ240" i="21"/>
  <c r="AK239" i="21"/>
  <c r="K217" i="21"/>
  <c r="K219" i="21" l="1"/>
  <c r="AH218" i="21"/>
  <c r="Q218" i="21"/>
  <c r="N218" i="21"/>
  <c r="AL218" i="21" s="1"/>
  <c r="AH217" i="21"/>
  <c r="L217" i="21"/>
  <c r="Q217" i="21"/>
  <c r="N217" i="21"/>
  <c r="AJ241" i="21"/>
  <c r="AK240" i="21"/>
  <c r="BD216" i="21"/>
  <c r="BG216" i="21" s="1"/>
  <c r="AI217" i="21" l="1"/>
  <c r="AW217" i="21" s="1"/>
  <c r="AP229" i="21"/>
  <c r="AQ241" i="21"/>
  <c r="AO217" i="21"/>
  <c r="AR217" i="21" s="1"/>
  <c r="AS217" i="21" s="1"/>
  <c r="AV217" i="21" s="1"/>
  <c r="BI216" i="21"/>
  <c r="BJ216" i="21" s="1"/>
  <c r="AZ218" i="21"/>
  <c r="AM218" i="21"/>
  <c r="L218" i="21"/>
  <c r="L219" i="21" s="1"/>
  <c r="AK241" i="21"/>
  <c r="AJ242" i="21"/>
  <c r="AL217" i="21"/>
  <c r="O217" i="21"/>
  <c r="O218" i="21" s="1"/>
  <c r="AH219" i="21"/>
  <c r="Q219" i="21"/>
  <c r="N219" i="21"/>
  <c r="AL219" i="21" s="1"/>
  <c r="AZ217" i="21"/>
  <c r="AM217" i="21"/>
  <c r="R217" i="21"/>
  <c r="R218" i="21" s="1"/>
  <c r="K220" i="21"/>
  <c r="AI218" i="21" l="1"/>
  <c r="AW218" i="21" s="1"/>
  <c r="AI219" i="21"/>
  <c r="AW219" i="21" s="1"/>
  <c r="AH220" i="21"/>
  <c r="Q220" i="21"/>
  <c r="L220" i="21"/>
  <c r="N220" i="21"/>
  <c r="AL220" i="21" s="1"/>
  <c r="BF218" i="21"/>
  <c r="BE218" i="21"/>
  <c r="AK242" i="21"/>
  <c r="AJ243" i="21"/>
  <c r="BF217" i="21"/>
  <c r="BE217" i="21"/>
  <c r="BB217" i="21"/>
  <c r="AZ219" i="21"/>
  <c r="AM219" i="21"/>
  <c r="K221" i="21"/>
  <c r="AQ243" i="21"/>
  <c r="AP231" i="21"/>
  <c r="AO219" i="21"/>
  <c r="AR219" i="21" s="1"/>
  <c r="AS219" i="21" s="1"/>
  <c r="AV219" i="21" s="1"/>
  <c r="AQ242" i="21"/>
  <c r="AP230" i="21"/>
  <c r="AO218" i="21"/>
  <c r="AR218" i="21" s="1"/>
  <c r="AS218" i="21" s="1"/>
  <c r="AV218" i="21" s="1"/>
  <c r="R219" i="21"/>
  <c r="O219" i="21"/>
  <c r="O220" i="21" s="1"/>
  <c r="AI220" i="21" l="1"/>
  <c r="AW220" i="21" s="1"/>
  <c r="R220" i="21"/>
  <c r="AH221" i="21"/>
  <c r="AI221" i="21" s="1"/>
  <c r="AW221" i="21" s="1"/>
  <c r="L221" i="21"/>
  <c r="Q221" i="21"/>
  <c r="N221" i="21"/>
  <c r="AL221" i="21" s="1"/>
  <c r="AJ244" i="21"/>
  <c r="AK243" i="21"/>
  <c r="R221" i="21"/>
  <c r="BE219" i="21"/>
  <c r="BF219" i="21"/>
  <c r="BB218" i="21"/>
  <c r="BD217" i="21"/>
  <c r="BG217" i="21" s="1"/>
  <c r="AQ244" i="21"/>
  <c r="AP232" i="21"/>
  <c r="AO220" i="21"/>
  <c r="AR220" i="21" s="1"/>
  <c r="AS220" i="21" s="1"/>
  <c r="AV220" i="21" s="1"/>
  <c r="AM220" i="21"/>
  <c r="AZ220" i="21"/>
  <c r="K222" i="21"/>
  <c r="BI217" i="21" l="1"/>
  <c r="BJ217" i="21" s="1"/>
  <c r="AJ245" i="21"/>
  <c r="AK244" i="21"/>
  <c r="BB219" i="21"/>
  <c r="BD218" i="21"/>
  <c r="BG218" i="21" s="1"/>
  <c r="BI218" i="21" s="1"/>
  <c r="BJ218" i="21" s="1"/>
  <c r="AM221" i="21"/>
  <c r="AZ221" i="21"/>
  <c r="L222" i="21"/>
  <c r="AH222" i="21"/>
  <c r="AI222" i="21" s="1"/>
  <c r="AW222" i="21" s="1"/>
  <c r="Q222" i="21"/>
  <c r="N222" i="21"/>
  <c r="AL222" i="21" s="1"/>
  <c r="BF220" i="21"/>
  <c r="BE220" i="21"/>
  <c r="AQ245" i="21"/>
  <c r="AP233" i="21"/>
  <c r="AO221" i="21"/>
  <c r="AR221" i="21" s="1"/>
  <c r="AS221" i="21" s="1"/>
  <c r="AV221" i="21" s="1"/>
  <c r="O221" i="21"/>
  <c r="K223" i="21"/>
  <c r="O222" i="21" l="1"/>
  <c r="BB220" i="21"/>
  <c r="BD219" i="21"/>
  <c r="BG219" i="21" s="1"/>
  <c r="BI219" i="21" s="1"/>
  <c r="BJ219" i="21" s="1"/>
  <c r="AZ222" i="21"/>
  <c r="AM222" i="21"/>
  <c r="AJ246" i="21"/>
  <c r="AK245" i="21"/>
  <c r="AH223" i="21"/>
  <c r="AI223" i="21" s="1"/>
  <c r="AW223" i="21" s="1"/>
  <c r="Q223" i="21"/>
  <c r="L223" i="21"/>
  <c r="N223" i="21"/>
  <c r="AL223" i="21" s="1"/>
  <c r="AQ246" i="21"/>
  <c r="AO222" i="21"/>
  <c r="AR222" i="21" s="1"/>
  <c r="AS222" i="21" s="1"/>
  <c r="AV222" i="21" s="1"/>
  <c r="AP234" i="21"/>
  <c r="K224" i="21"/>
  <c r="BE221" i="21"/>
  <c r="BF221" i="21"/>
  <c r="R222" i="21"/>
  <c r="R223" i="21" l="1"/>
  <c r="R224" i="21" s="1"/>
  <c r="L224" i="21"/>
  <c r="AH224" i="21"/>
  <c r="Q224" i="21"/>
  <c r="N224" i="21"/>
  <c r="K225" i="21"/>
  <c r="AJ247" i="21"/>
  <c r="AK246" i="21"/>
  <c r="BF222" i="21"/>
  <c r="BE222" i="21"/>
  <c r="O223" i="21"/>
  <c r="O224" i="21" s="1"/>
  <c r="AO223" i="21"/>
  <c r="AR223" i="21" s="1"/>
  <c r="AS223" i="21" s="1"/>
  <c r="AV223" i="21" s="1"/>
  <c r="AP235" i="21"/>
  <c r="AQ247" i="21"/>
  <c r="AZ223" i="21"/>
  <c r="AM223" i="21"/>
  <c r="BB221" i="21"/>
  <c r="BD220" i="21"/>
  <c r="BG220" i="21" s="1"/>
  <c r="BI220" i="21" s="1"/>
  <c r="BJ220" i="21" s="1"/>
  <c r="AK247" i="21" l="1"/>
  <c r="AJ248" i="21"/>
  <c r="AH225" i="21"/>
  <c r="L225" i="21"/>
  <c r="Q225" i="21"/>
  <c r="R225" i="21" s="1"/>
  <c r="N225" i="21"/>
  <c r="AL225" i="21" s="1"/>
  <c r="AL224" i="21"/>
  <c r="BB222" i="21"/>
  <c r="BD221" i="21"/>
  <c r="BG221" i="21" s="1"/>
  <c r="BI221" i="21" s="1"/>
  <c r="BJ221" i="21" s="1"/>
  <c r="AM224" i="21"/>
  <c r="AZ224" i="21"/>
  <c r="K226" i="21"/>
  <c r="AI224" i="21"/>
  <c r="AW224" i="21" s="1"/>
  <c r="BE223" i="21"/>
  <c r="BF223" i="21"/>
  <c r="AQ248" i="21"/>
  <c r="AP236" i="21"/>
  <c r="AO224" i="21"/>
  <c r="AR224" i="21" s="1"/>
  <c r="AS224" i="21" s="1"/>
  <c r="AV224" i="21" s="1"/>
  <c r="BF224" i="21" l="1"/>
  <c r="BE224" i="21"/>
  <c r="AZ225" i="21"/>
  <c r="AM225" i="21"/>
  <c r="AO225" i="21"/>
  <c r="AR225" i="21" s="1"/>
  <c r="AS225" i="21" s="1"/>
  <c r="AV225" i="21" s="1"/>
  <c r="AP237" i="21"/>
  <c r="AQ249" i="21"/>
  <c r="AI225" i="21"/>
  <c r="AW225" i="21" s="1"/>
  <c r="BB223" i="21"/>
  <c r="BD222" i="21"/>
  <c r="BG222" i="21" s="1"/>
  <c r="BI222" i="21" s="1"/>
  <c r="BJ222" i="21" s="1"/>
  <c r="AJ249" i="21"/>
  <c r="AK248" i="21"/>
  <c r="L226" i="21"/>
  <c r="AH226" i="21"/>
  <c r="Q226" i="21"/>
  <c r="N226" i="21"/>
  <c r="O225" i="21"/>
  <c r="AQ250" i="21" l="1"/>
  <c r="AP238" i="21"/>
  <c r="AO226" i="21"/>
  <c r="AR226" i="21" s="1"/>
  <c r="AS226" i="21" s="1"/>
  <c r="AV226" i="21" s="1"/>
  <c r="O226" i="21"/>
  <c r="AJ250" i="21"/>
  <c r="AK249" i="21"/>
  <c r="BF225" i="21"/>
  <c r="BE225" i="21"/>
  <c r="BB224" i="21"/>
  <c r="BD223" i="21"/>
  <c r="BG223" i="21" s="1"/>
  <c r="BI223" i="21" s="1"/>
  <c r="BJ223" i="21" s="1"/>
  <c r="K227" i="21"/>
  <c r="AL226" i="21"/>
  <c r="AM226" i="21"/>
  <c r="AZ226" i="21"/>
  <c r="AI226" i="21"/>
  <c r="AW226" i="21" s="1"/>
  <c r="R226" i="21"/>
  <c r="AK250" i="21" l="1"/>
  <c r="AJ251" i="21"/>
  <c r="AH227" i="21"/>
  <c r="L227" i="21"/>
  <c r="Q227" i="21"/>
  <c r="N227" i="21"/>
  <c r="O227" i="21" s="1"/>
  <c r="BF226" i="21"/>
  <c r="BE226" i="21"/>
  <c r="BB225" i="21"/>
  <c r="BD224" i="21"/>
  <c r="BG224" i="21" s="1"/>
  <c r="K228" i="21"/>
  <c r="AL227" i="21" l="1"/>
  <c r="BI224" i="21"/>
  <c r="BJ224" i="21" s="1"/>
  <c r="AZ227" i="21"/>
  <c r="AM227" i="21"/>
  <c r="BD225" i="21"/>
  <c r="BG225" i="21" s="1"/>
  <c r="BI225" i="21" s="1"/>
  <c r="BJ225" i="21" s="1"/>
  <c r="BB226" i="21"/>
  <c r="AQ251" i="21"/>
  <c r="AP239" i="21"/>
  <c r="AO227" i="21"/>
  <c r="AR227" i="21" s="1"/>
  <c r="AS227" i="21" s="1"/>
  <c r="AV227" i="21" s="1"/>
  <c r="AI227" i="21"/>
  <c r="AW227" i="21" s="1"/>
  <c r="AJ252" i="21"/>
  <c r="AK251" i="21"/>
  <c r="AH228" i="21"/>
  <c r="AI228" i="21" s="1"/>
  <c r="AW228" i="21" s="1"/>
  <c r="L228" i="21"/>
  <c r="Q228" i="21"/>
  <c r="N228" i="21"/>
  <c r="AL228" i="21" s="1"/>
  <c r="R227" i="21"/>
  <c r="O228" i="21" l="1"/>
  <c r="R228" i="21"/>
  <c r="AQ252" i="21"/>
  <c r="AP240" i="21"/>
  <c r="AO228" i="21"/>
  <c r="AR228" i="21" s="1"/>
  <c r="AS228" i="21" s="1"/>
  <c r="AV228" i="21" s="1"/>
  <c r="AM228" i="21"/>
  <c r="AZ228" i="21"/>
  <c r="AK252" i="21"/>
  <c r="AJ253" i="21"/>
  <c r="K229" i="21"/>
  <c r="BE227" i="21"/>
  <c r="BF227" i="21"/>
  <c r="BB227" i="21"/>
  <c r="BD226" i="21"/>
  <c r="BG226" i="21" s="1"/>
  <c r="K230" i="21"/>
  <c r="AJ254" i="21" l="1"/>
  <c r="AK253" i="21"/>
  <c r="BF228" i="21"/>
  <c r="BE228" i="21"/>
  <c r="Q230" i="21"/>
  <c r="AH230" i="21"/>
  <c r="N230" i="21"/>
  <c r="AL230" i="21" s="1"/>
  <c r="BI226" i="21"/>
  <c r="BJ226" i="21" s="1"/>
  <c r="AH229" i="21"/>
  <c r="AI229" i="21" s="1"/>
  <c r="AW229" i="21" s="1"/>
  <c r="L229" i="21"/>
  <c r="L230" i="21" s="1"/>
  <c r="Q229" i="21"/>
  <c r="N229" i="21"/>
  <c r="BB228" i="21"/>
  <c r="BD227" i="21"/>
  <c r="BG227" i="21" s="1"/>
  <c r="BI227" i="21" s="1"/>
  <c r="BJ227" i="21" s="1"/>
  <c r="K231" i="21"/>
  <c r="AQ254" i="21" l="1"/>
  <c r="AP242" i="21"/>
  <c r="AO230" i="21"/>
  <c r="AR230" i="21" s="1"/>
  <c r="AS230" i="21" s="1"/>
  <c r="AV230" i="21" s="1"/>
  <c r="AL229" i="21"/>
  <c r="O229" i="21"/>
  <c r="O230" i="21" s="1"/>
  <c r="AZ230" i="21"/>
  <c r="AM230" i="21"/>
  <c r="AZ229" i="21"/>
  <c r="BB229" i="21" s="1"/>
  <c r="AM229" i="21"/>
  <c r="R229" i="21"/>
  <c r="R230" i="21" s="1"/>
  <c r="AQ253" i="21"/>
  <c r="AP241" i="21"/>
  <c r="AO229" i="21"/>
  <c r="AR229" i="21" s="1"/>
  <c r="AS229" i="21" s="1"/>
  <c r="AV229" i="21" s="1"/>
  <c r="AH231" i="21"/>
  <c r="L231" i="21"/>
  <c r="Q231" i="21"/>
  <c r="N231" i="21"/>
  <c r="AL231" i="21" s="1"/>
  <c r="BD228" i="21"/>
  <c r="BG228" i="21" s="1"/>
  <c r="AI230" i="21"/>
  <c r="AW230" i="21" s="1"/>
  <c r="AJ255" i="21"/>
  <c r="AK254" i="21"/>
  <c r="O231" i="21" l="1"/>
  <c r="AJ256" i="21"/>
  <c r="AK255" i="21"/>
  <c r="BF230" i="21"/>
  <c r="BE230" i="21"/>
  <c r="BI228" i="21"/>
  <c r="BJ228" i="21" s="1"/>
  <c r="BB230" i="21"/>
  <c r="BD229" i="21"/>
  <c r="R231" i="21"/>
  <c r="AQ255" i="21"/>
  <c r="AP243" i="21"/>
  <c r="AO231" i="21"/>
  <c r="AR231" i="21" s="1"/>
  <c r="AS231" i="21" s="1"/>
  <c r="AV231" i="21" s="1"/>
  <c r="AZ231" i="21"/>
  <c r="AM231" i="21"/>
  <c r="AI231" i="21"/>
  <c r="AW231" i="21" s="1"/>
  <c r="BE229" i="21"/>
  <c r="BF229" i="21"/>
  <c r="BB231" i="21" l="1"/>
  <c r="BD230" i="21"/>
  <c r="BG230" i="21" s="1"/>
  <c r="BI230" i="21" s="1"/>
  <c r="BJ230" i="21" s="1"/>
  <c r="BE231" i="21"/>
  <c r="BF231" i="21"/>
  <c r="K232" i="21"/>
  <c r="BG229" i="21"/>
  <c r="AJ257" i="21"/>
  <c r="AK256" i="21"/>
  <c r="BI229" i="21" l="1"/>
  <c r="BJ229" i="21" s="1"/>
  <c r="L232" i="21"/>
  <c r="AH232" i="21"/>
  <c r="AI232" i="21" s="1"/>
  <c r="AW232" i="21" s="1"/>
  <c r="Q232" i="21"/>
  <c r="N232" i="21"/>
  <c r="AJ258" i="21"/>
  <c r="AK257" i="21"/>
  <c r="BD231" i="21"/>
  <c r="BG231" i="21" s="1"/>
  <c r="BI231" i="21" s="1"/>
  <c r="BJ231" i="21" s="1"/>
  <c r="AJ259" i="21" l="1"/>
  <c r="AK258" i="21"/>
  <c r="AL232" i="21"/>
  <c r="O232" i="21"/>
  <c r="AZ232" i="21"/>
  <c r="AM232" i="21"/>
  <c r="R232" i="21"/>
  <c r="K233" i="21"/>
  <c r="AP244" i="21"/>
  <c r="AQ256" i="21"/>
  <c r="AO232" i="21"/>
  <c r="AR232" i="21" s="1"/>
  <c r="AS232" i="21" s="1"/>
  <c r="AV232" i="21" s="1"/>
  <c r="BF232" i="21" l="1"/>
  <c r="BE232" i="21"/>
  <c r="BB232" i="21"/>
  <c r="Q233" i="21"/>
  <c r="AH233" i="21"/>
  <c r="AI233" i="21" s="1"/>
  <c r="AW233" i="21" s="1"/>
  <c r="L233" i="21"/>
  <c r="N233" i="21"/>
  <c r="AL233" i="21" s="1"/>
  <c r="AJ260" i="21"/>
  <c r="AK259" i="21"/>
  <c r="O233" i="21" l="1"/>
  <c r="K234" i="21"/>
  <c r="AZ233" i="21"/>
  <c r="BB233" i="21" s="1"/>
  <c r="AM233" i="21"/>
  <c r="BD232" i="21"/>
  <c r="BG232" i="21" s="1"/>
  <c r="BI232" i="21" s="1"/>
  <c r="BJ232" i="21" s="1"/>
  <c r="AP245" i="21"/>
  <c r="AQ257" i="21"/>
  <c r="AO233" i="21"/>
  <c r="AR233" i="21" s="1"/>
  <c r="AS233" i="21" s="1"/>
  <c r="AV233" i="21" s="1"/>
  <c r="AJ261" i="21"/>
  <c r="AK260" i="21"/>
  <c r="R233" i="21"/>
  <c r="BD233" i="21" l="1"/>
  <c r="AJ262" i="21"/>
  <c r="AK261" i="21"/>
  <c r="BF233" i="21"/>
  <c r="BE233" i="21"/>
  <c r="Q234" i="21"/>
  <c r="R234" i="21" s="1"/>
  <c r="AH234" i="21"/>
  <c r="AI234" i="21" s="1"/>
  <c r="AW234" i="21" s="1"/>
  <c r="L234" i="21"/>
  <c r="N234" i="21"/>
  <c r="AJ263" i="21" l="1"/>
  <c r="AK262" i="21"/>
  <c r="AL234" i="21"/>
  <c r="O234" i="21"/>
  <c r="AQ258" i="21"/>
  <c r="AP246" i="21"/>
  <c r="AO234" i="21"/>
  <c r="AR234" i="21" s="1"/>
  <c r="AS234" i="21" s="1"/>
  <c r="AV234" i="21" s="1"/>
  <c r="AM234" i="21"/>
  <c r="AZ234" i="21"/>
  <c r="BG233" i="21"/>
  <c r="BI233" i="21" s="1"/>
  <c r="BJ233" i="21" s="1"/>
  <c r="K235" i="21"/>
  <c r="K236" i="21"/>
  <c r="AH236" i="21" l="1"/>
  <c r="Q236" i="21"/>
  <c r="N236" i="21"/>
  <c r="AH235" i="21"/>
  <c r="AI235" i="21" s="1"/>
  <c r="AW235" i="21" s="1"/>
  <c r="L235" i="21"/>
  <c r="Q235" i="21"/>
  <c r="N235" i="21"/>
  <c r="AL235" i="21" s="1"/>
  <c r="BF234" i="21"/>
  <c r="BE234" i="21"/>
  <c r="BB234" i="21"/>
  <c r="AJ264" i="21"/>
  <c r="AK263" i="21"/>
  <c r="K237" i="21"/>
  <c r="O235" i="21" l="1"/>
  <c r="AJ265" i="21"/>
  <c r="AK264" i="21"/>
  <c r="AZ235" i="21"/>
  <c r="BB235" i="21" s="1"/>
  <c r="AM235" i="21"/>
  <c r="R235" i="21"/>
  <c r="R236" i="21" s="1"/>
  <c r="BD234" i="21"/>
  <c r="BG234" i="21" s="1"/>
  <c r="BI234" i="21" s="1"/>
  <c r="BJ234" i="21" s="1"/>
  <c r="AP247" i="21"/>
  <c r="AQ259" i="21"/>
  <c r="AO235" i="21"/>
  <c r="AR235" i="21" s="1"/>
  <c r="AS235" i="21" s="1"/>
  <c r="AV235" i="21" s="1"/>
  <c r="AL236" i="21"/>
  <c r="AZ236" i="21"/>
  <c r="AM236" i="21"/>
  <c r="AH237" i="21"/>
  <c r="Q237" i="21"/>
  <c r="N237" i="21"/>
  <c r="AL237" i="21" s="1"/>
  <c r="O236" i="21"/>
  <c r="L236" i="21"/>
  <c r="AI236" i="21"/>
  <c r="AW236" i="21" s="1"/>
  <c r="O237" i="21" l="1"/>
  <c r="R237" i="21"/>
  <c r="BB236" i="21"/>
  <c r="BD235" i="21"/>
  <c r="AQ260" i="21"/>
  <c r="AP248" i="21"/>
  <c r="AO236" i="21"/>
  <c r="AR236" i="21" s="1"/>
  <c r="AS236" i="21" s="1"/>
  <c r="AV236" i="21" s="1"/>
  <c r="BF236" i="21"/>
  <c r="BE236" i="21"/>
  <c r="BF235" i="21"/>
  <c r="BE235" i="21"/>
  <c r="AZ237" i="21"/>
  <c r="AM237" i="21"/>
  <c r="L237" i="21"/>
  <c r="AJ266" i="21"/>
  <c r="AK265" i="21"/>
  <c r="AI237" i="21"/>
  <c r="AW237" i="21" s="1"/>
  <c r="BE237" i="21" l="1"/>
  <c r="BF237" i="21"/>
  <c r="AJ267" i="21"/>
  <c r="AK266" i="21"/>
  <c r="AQ261" i="21"/>
  <c r="AP249" i="21"/>
  <c r="AO237" i="21"/>
  <c r="AR237" i="21" s="1"/>
  <c r="AS237" i="21" s="1"/>
  <c r="AV237" i="21" s="1"/>
  <c r="BG235" i="21"/>
  <c r="BI235" i="21" s="1"/>
  <c r="BJ235" i="21" s="1"/>
  <c r="K238" i="21"/>
  <c r="BB237" i="21"/>
  <c r="BD236" i="21"/>
  <c r="BG236" i="21" s="1"/>
  <c r="K239" i="21"/>
  <c r="BI236" i="21" l="1"/>
  <c r="BJ236" i="21" s="1"/>
  <c r="BD237" i="21"/>
  <c r="BG237" i="21" s="1"/>
  <c r="BI237" i="21" s="1"/>
  <c r="BJ237" i="21" s="1"/>
  <c r="AJ268" i="21"/>
  <c r="AK267" i="21"/>
  <c r="AH239" i="21"/>
  <c r="Q239" i="21"/>
  <c r="N239" i="21"/>
  <c r="AL239" i="21" s="1"/>
  <c r="AH238" i="21"/>
  <c r="L238" i="21"/>
  <c r="L239" i="21" s="1"/>
  <c r="Q238" i="21"/>
  <c r="N238" i="21"/>
  <c r="K240" i="21" l="1"/>
  <c r="AL238" i="21"/>
  <c r="O238" i="21"/>
  <c r="O239" i="21" s="1"/>
  <c r="AZ238" i="21"/>
  <c r="AM238" i="21"/>
  <c r="R238" i="21"/>
  <c r="R239" i="21" s="1"/>
  <c r="AJ269" i="21"/>
  <c r="AK268" i="21"/>
  <c r="AQ262" i="21"/>
  <c r="AP250" i="21"/>
  <c r="AO238" i="21"/>
  <c r="AR238" i="21" s="1"/>
  <c r="AS238" i="21" s="1"/>
  <c r="AV238" i="21" s="1"/>
  <c r="AI238" i="21"/>
  <c r="AW238" i="21" s="1"/>
  <c r="AZ239" i="21"/>
  <c r="AM239" i="21"/>
  <c r="AQ263" i="21"/>
  <c r="AP251" i="21"/>
  <c r="AO239" i="21"/>
  <c r="AR239" i="21" s="1"/>
  <c r="AS239" i="21" s="1"/>
  <c r="AV239" i="21" s="1"/>
  <c r="K241" i="21"/>
  <c r="AI239" i="21" l="1"/>
  <c r="AW239" i="21" s="1"/>
  <c r="BF238" i="21"/>
  <c r="BE238" i="21"/>
  <c r="BB238" i="21"/>
  <c r="AK269" i="21"/>
  <c r="AJ270" i="21"/>
  <c r="L240" i="21"/>
  <c r="L241" i="21" s="1"/>
  <c r="AH240" i="21"/>
  <c r="Q240" i="21"/>
  <c r="R240" i="21" s="1"/>
  <c r="R241" i="21" s="1"/>
  <c r="N240" i="21"/>
  <c r="O240" i="21" s="1"/>
  <c r="Q241" i="21"/>
  <c r="AH241" i="21"/>
  <c r="N241" i="21"/>
  <c r="AL241" i="21" s="1"/>
  <c r="BF239" i="21"/>
  <c r="BE239" i="21"/>
  <c r="K242" i="21"/>
  <c r="AP253" i="21" l="1"/>
  <c r="AQ265" i="21"/>
  <c r="AO241" i="21"/>
  <c r="AR241" i="21" s="1"/>
  <c r="AS241" i="21" s="1"/>
  <c r="AV241" i="21" s="1"/>
  <c r="AI240" i="21"/>
  <c r="AW240" i="21" s="1"/>
  <c r="AJ271" i="21"/>
  <c r="AK270" i="21"/>
  <c r="Q242" i="21"/>
  <c r="R242" i="21" s="1"/>
  <c r="AH242" i="21"/>
  <c r="L242" i="21"/>
  <c r="N242" i="21"/>
  <c r="AL242" i="21" s="1"/>
  <c r="AZ241" i="21"/>
  <c r="AM241" i="21"/>
  <c r="O241" i="21"/>
  <c r="AL240" i="21"/>
  <c r="BB239" i="21"/>
  <c r="BD238" i="21"/>
  <c r="BG238" i="21" s="1"/>
  <c r="AZ240" i="21"/>
  <c r="AM240" i="21"/>
  <c r="AP252" i="21"/>
  <c r="AQ264" i="21"/>
  <c r="AO240" i="21"/>
  <c r="AR240" i="21" s="1"/>
  <c r="AS240" i="21" s="1"/>
  <c r="AV240" i="21" s="1"/>
  <c r="AI241" i="21" l="1"/>
  <c r="AW241" i="21" s="1"/>
  <c r="O242" i="21"/>
  <c r="AK271" i="21"/>
  <c r="AJ272" i="21"/>
  <c r="BF240" i="21"/>
  <c r="BE240" i="21"/>
  <c r="BF241" i="21"/>
  <c r="BE241" i="21"/>
  <c r="BI238" i="21"/>
  <c r="BJ238" i="21" s="1"/>
  <c r="AQ266" i="21"/>
  <c r="AO242" i="21"/>
  <c r="AR242" i="21" s="1"/>
  <c r="AS242" i="21" s="1"/>
  <c r="AV242" i="21" s="1"/>
  <c r="AP254" i="21"/>
  <c r="K243" i="21"/>
  <c r="BD239" i="21"/>
  <c r="BG239" i="21" s="1"/>
  <c r="BI239" i="21" s="1"/>
  <c r="BJ239" i="21" s="1"/>
  <c r="BB240" i="21"/>
  <c r="AI242" i="21"/>
  <c r="AW242" i="21" s="1"/>
  <c r="AM242" i="21"/>
  <c r="AZ242" i="21"/>
  <c r="K244" i="21"/>
  <c r="BB241" i="21" l="1"/>
  <c r="BD240" i="21"/>
  <c r="BG240" i="21" s="1"/>
  <c r="AH243" i="21"/>
  <c r="Q243" i="21"/>
  <c r="L243" i="21"/>
  <c r="N243" i="21"/>
  <c r="BF242" i="21"/>
  <c r="BE242" i="21"/>
  <c r="K245" i="21"/>
  <c r="AJ273" i="21"/>
  <c r="AK272" i="21"/>
  <c r="AH244" i="21"/>
  <c r="L244" i="21"/>
  <c r="Q244" i="21"/>
  <c r="N244" i="21"/>
  <c r="AL244" i="21" s="1"/>
  <c r="AZ244" i="21" l="1"/>
  <c r="AM244" i="21"/>
  <c r="AQ268" i="21"/>
  <c r="AO244" i="21"/>
  <c r="AR244" i="21" s="1"/>
  <c r="AS244" i="21" s="1"/>
  <c r="AV244" i="21" s="1"/>
  <c r="AP256" i="21"/>
  <c r="AL243" i="21"/>
  <c r="O243" i="21"/>
  <c r="O244" i="21" s="1"/>
  <c r="AP255" i="21"/>
  <c r="AQ267" i="21"/>
  <c r="AO243" i="21"/>
  <c r="AR243" i="21" s="1"/>
  <c r="AS243" i="21" s="1"/>
  <c r="AV243" i="21" s="1"/>
  <c r="AM243" i="21"/>
  <c r="AZ243" i="21"/>
  <c r="R243" i="21"/>
  <c r="R244" i="21" s="1"/>
  <c r="AJ274" i="21"/>
  <c r="AK273" i="21"/>
  <c r="AI243" i="21"/>
  <c r="AW243" i="21" s="1"/>
  <c r="L245" i="21"/>
  <c r="Q245" i="21"/>
  <c r="AH245" i="21"/>
  <c r="N245" i="21"/>
  <c r="AL245" i="21" s="1"/>
  <c r="BI240" i="21"/>
  <c r="BJ240" i="21" s="1"/>
  <c r="BB242" i="21"/>
  <c r="BD241" i="21"/>
  <c r="BG241" i="21" s="1"/>
  <c r="BI241" i="21" s="1"/>
  <c r="BJ241" i="21" s="1"/>
  <c r="K246" i="21"/>
  <c r="AZ245" i="21" l="1"/>
  <c r="AM245" i="21"/>
  <c r="BF243" i="21"/>
  <c r="BE243" i="21"/>
  <c r="AQ269" i="21"/>
  <c r="AO245" i="21"/>
  <c r="AR245" i="21" s="1"/>
  <c r="AS245" i="21" s="1"/>
  <c r="AV245" i="21" s="1"/>
  <c r="AP257" i="21"/>
  <c r="AI244" i="21"/>
  <c r="AW244" i="21" s="1"/>
  <c r="AJ275" i="21"/>
  <c r="AK274" i="21"/>
  <c r="AH246" i="21"/>
  <c r="L246" i="21"/>
  <c r="Q246" i="21"/>
  <c r="N246" i="21"/>
  <c r="AL246" i="21" s="1"/>
  <c r="BB243" i="21"/>
  <c r="BD242" i="21"/>
  <c r="BG242" i="21" s="1"/>
  <c r="BI242" i="21" s="1"/>
  <c r="BJ242" i="21" s="1"/>
  <c r="R245" i="21"/>
  <c r="O245" i="21"/>
  <c r="BE244" i="21"/>
  <c r="BF244" i="21"/>
  <c r="K247" i="21"/>
  <c r="O246" i="21" l="1"/>
  <c r="AI245" i="21"/>
  <c r="AW245" i="21" s="1"/>
  <c r="AZ246" i="21"/>
  <c r="AM246" i="21"/>
  <c r="AQ270" i="21"/>
  <c r="AO246" i="21"/>
  <c r="AR246" i="21" s="1"/>
  <c r="AS246" i="21" s="1"/>
  <c r="AV246" i="21" s="1"/>
  <c r="AP258" i="21"/>
  <c r="K248" i="21"/>
  <c r="L247" i="21"/>
  <c r="AH247" i="21"/>
  <c r="Q247" i="21"/>
  <c r="N247" i="21"/>
  <c r="AL247" i="21" s="1"/>
  <c r="R246" i="21"/>
  <c r="R247" i="21" s="1"/>
  <c r="AJ276" i="21"/>
  <c r="AK275" i="21"/>
  <c r="BB244" i="21"/>
  <c r="BD243" i="21"/>
  <c r="BG243" i="21" s="1"/>
  <c r="BI243" i="21" s="1"/>
  <c r="BJ243" i="21" s="1"/>
  <c r="BF245" i="21"/>
  <c r="BE245" i="21"/>
  <c r="AI246" i="21" l="1"/>
  <c r="AW246" i="21" s="1"/>
  <c r="AJ277" i="21"/>
  <c r="AK276" i="21"/>
  <c r="Q248" i="21"/>
  <c r="AH248" i="21"/>
  <c r="L248" i="21"/>
  <c r="N248" i="21"/>
  <c r="R248" i="21"/>
  <c r="O247" i="21"/>
  <c r="AM247" i="21"/>
  <c r="AZ247" i="21"/>
  <c r="AQ271" i="21"/>
  <c r="AP259" i="21"/>
  <c r="AO247" i="21"/>
  <c r="AR247" i="21" s="1"/>
  <c r="AS247" i="21" s="1"/>
  <c r="AV247" i="21" s="1"/>
  <c r="BD244" i="21"/>
  <c r="BG244" i="21" s="1"/>
  <c r="BI244" i="21" s="1"/>
  <c r="BJ244" i="21" s="1"/>
  <c r="BB245" i="21"/>
  <c r="BE246" i="21"/>
  <c r="BF246" i="21"/>
  <c r="K249" i="21"/>
  <c r="AI247" i="21" l="1"/>
  <c r="AW247" i="21" s="1"/>
  <c r="BB246" i="21"/>
  <c r="BD245" i="21"/>
  <c r="BG245" i="21" s="1"/>
  <c r="BI245" i="21" s="1"/>
  <c r="BJ245" i="21" s="1"/>
  <c r="AL248" i="21"/>
  <c r="AO248" i="21"/>
  <c r="AR248" i="21" s="1"/>
  <c r="AS248" i="21" s="1"/>
  <c r="AV248" i="21" s="1"/>
  <c r="AQ272" i="21"/>
  <c r="AP260" i="21"/>
  <c r="BF247" i="21"/>
  <c r="BE247" i="21"/>
  <c r="AZ248" i="21"/>
  <c r="AM248" i="21"/>
  <c r="L249" i="21"/>
  <c r="AH249" i="21"/>
  <c r="Q249" i="21"/>
  <c r="R249" i="21" s="1"/>
  <c r="N249" i="21"/>
  <c r="AL249" i="21" s="1"/>
  <c r="O248" i="21"/>
  <c r="AJ278" i="21"/>
  <c r="AK277" i="21"/>
  <c r="K250" i="21"/>
  <c r="O249" i="21" l="1"/>
  <c r="AI248" i="21"/>
  <c r="AW248" i="21" s="1"/>
  <c r="AJ279" i="21"/>
  <c r="AK278" i="21"/>
  <c r="BF248" i="21"/>
  <c r="BE248" i="21"/>
  <c r="AM249" i="21"/>
  <c r="AZ249" i="21"/>
  <c r="BB247" i="21"/>
  <c r="BD246" i="21"/>
  <c r="BG246" i="21" s="1"/>
  <c r="BI246" i="21" s="1"/>
  <c r="BJ246" i="21" s="1"/>
  <c r="AH250" i="21"/>
  <c r="L250" i="21"/>
  <c r="Q250" i="21"/>
  <c r="N250" i="21"/>
  <c r="O250" i="21" s="1"/>
  <c r="AQ273" i="21"/>
  <c r="AP261" i="21"/>
  <c r="AO249" i="21"/>
  <c r="AR249" i="21" s="1"/>
  <c r="AS249" i="21" s="1"/>
  <c r="AV249" i="21" s="1"/>
  <c r="K251" i="21"/>
  <c r="AI249" i="21" l="1"/>
  <c r="AW249" i="21" s="1"/>
  <c r="AZ250" i="21"/>
  <c r="AM250" i="21"/>
  <c r="AQ274" i="21"/>
  <c r="AP262" i="21"/>
  <c r="AO250" i="21"/>
  <c r="AR250" i="21" s="1"/>
  <c r="AS250" i="21" s="1"/>
  <c r="AV250" i="21" s="1"/>
  <c r="AH251" i="21"/>
  <c r="L251" i="21"/>
  <c r="Q251" i="21"/>
  <c r="N251" i="21"/>
  <c r="AL251" i="21" s="1"/>
  <c r="BB248" i="21"/>
  <c r="BD247" i="21"/>
  <c r="BG247" i="21" s="1"/>
  <c r="BI247" i="21" s="1"/>
  <c r="BJ247" i="21" s="1"/>
  <c r="AI250" i="21"/>
  <c r="AW250" i="21" s="1"/>
  <c r="BF249" i="21"/>
  <c r="BE249" i="21"/>
  <c r="AJ280" i="21"/>
  <c r="AK279" i="21"/>
  <c r="AL250" i="21"/>
  <c r="R250" i="21"/>
  <c r="K252" i="21"/>
  <c r="K253" i="21" l="1"/>
  <c r="AJ281" i="21"/>
  <c r="AK280" i="21"/>
  <c r="BB249" i="21"/>
  <c r="BD248" i="21"/>
  <c r="BG248" i="21" s="1"/>
  <c r="AM251" i="21"/>
  <c r="AZ251" i="21"/>
  <c r="AH252" i="21"/>
  <c r="L252" i="21"/>
  <c r="Q252" i="21"/>
  <c r="N252" i="21"/>
  <c r="R251" i="21"/>
  <c r="R252" i="21" s="1"/>
  <c r="AP263" i="21"/>
  <c r="AQ275" i="21"/>
  <c r="AO251" i="21"/>
  <c r="AR251" i="21" s="1"/>
  <c r="AS251" i="21" s="1"/>
  <c r="AV251" i="21" s="1"/>
  <c r="BE250" i="21"/>
  <c r="BF250" i="21"/>
  <c r="AI251" i="21"/>
  <c r="AW251" i="21" s="1"/>
  <c r="O251" i="21"/>
  <c r="O252" i="21" l="1"/>
  <c r="BI248" i="21"/>
  <c r="BJ248" i="21" s="1"/>
  <c r="AL252" i="21"/>
  <c r="BB250" i="21"/>
  <c r="BD249" i="21"/>
  <c r="BG249" i="21" s="1"/>
  <c r="BI249" i="21" s="1"/>
  <c r="BJ249" i="21" s="1"/>
  <c r="AZ252" i="21"/>
  <c r="AM252" i="21"/>
  <c r="AQ276" i="21"/>
  <c r="AP264" i="21"/>
  <c r="AO252" i="21"/>
  <c r="AR252" i="21" s="1"/>
  <c r="AS252" i="21" s="1"/>
  <c r="AV252" i="21" s="1"/>
  <c r="AJ282" i="21"/>
  <c r="AK281" i="21"/>
  <c r="AI252" i="21"/>
  <c r="AW252" i="21" s="1"/>
  <c r="L253" i="21"/>
  <c r="Q253" i="21"/>
  <c r="AH253" i="21"/>
  <c r="N253" i="21"/>
  <c r="AL253" i="21" s="1"/>
  <c r="BF251" i="21"/>
  <c r="BE251" i="21"/>
  <c r="AZ253" i="21" l="1"/>
  <c r="AM253" i="21"/>
  <c r="R253" i="21"/>
  <c r="BE252" i="21"/>
  <c r="BF252" i="21"/>
  <c r="AJ283" i="21"/>
  <c r="AK282" i="21"/>
  <c r="BB251" i="21"/>
  <c r="BD250" i="21"/>
  <c r="BG250" i="21" s="1"/>
  <c r="AQ277" i="21"/>
  <c r="AO253" i="21"/>
  <c r="AR253" i="21" s="1"/>
  <c r="AS253" i="21" s="1"/>
  <c r="AV253" i="21" s="1"/>
  <c r="AP265" i="21"/>
  <c r="AI253" i="21"/>
  <c r="AW253" i="21" s="1"/>
  <c r="O253" i="21"/>
  <c r="AJ284" i="21" l="1"/>
  <c r="AK283" i="21"/>
  <c r="BI250" i="21"/>
  <c r="BJ250" i="21" s="1"/>
  <c r="K254" i="21"/>
  <c r="BB252" i="21"/>
  <c r="BD251" i="21"/>
  <c r="BG251" i="21" s="1"/>
  <c r="BI251" i="21" s="1"/>
  <c r="BJ251" i="21" s="1"/>
  <c r="BF253" i="21"/>
  <c r="BE253" i="21"/>
  <c r="K255" i="21"/>
  <c r="AH255" i="21" l="1"/>
  <c r="Q255" i="21"/>
  <c r="N255" i="21"/>
  <c r="AL255" i="21" s="1"/>
  <c r="AH254" i="21"/>
  <c r="Q254" i="21"/>
  <c r="L254" i="21"/>
  <c r="N254" i="21"/>
  <c r="AJ285" i="21"/>
  <c r="AK284" i="21"/>
  <c r="BD252" i="21"/>
  <c r="BG252" i="21" s="1"/>
  <c r="BB253" i="21"/>
  <c r="AL254" i="21" l="1"/>
  <c r="O254" i="21"/>
  <c r="O255" i="21" s="1"/>
  <c r="AQ278" i="21"/>
  <c r="AO254" i="21"/>
  <c r="AR254" i="21" s="1"/>
  <c r="AS254" i="21" s="1"/>
  <c r="AV254" i="21" s="1"/>
  <c r="AP266" i="21"/>
  <c r="AZ254" i="21"/>
  <c r="BB254" i="21" s="1"/>
  <c r="AM254" i="21"/>
  <c r="R254" i="21"/>
  <c r="R255" i="21" s="1"/>
  <c r="BD253" i="21"/>
  <c r="BG253" i="21" s="1"/>
  <c r="BI253" i="21" s="1"/>
  <c r="BJ253" i="21" s="1"/>
  <c r="AI254" i="21"/>
  <c r="AW254" i="21" s="1"/>
  <c r="BI252" i="21"/>
  <c r="BJ252" i="21" s="1"/>
  <c r="AM255" i="21"/>
  <c r="AZ255" i="21"/>
  <c r="AJ286" i="21"/>
  <c r="AK285" i="21"/>
  <c r="AI255" i="21"/>
  <c r="AW255" i="21" s="1"/>
  <c r="L255" i="21"/>
  <c r="BE254" i="21" l="1"/>
  <c r="BF254" i="21"/>
  <c r="AQ279" i="21"/>
  <c r="AP267" i="21"/>
  <c r="AO255" i="21"/>
  <c r="AR255" i="21" s="1"/>
  <c r="AS255" i="21" s="1"/>
  <c r="AV255" i="21" s="1"/>
  <c r="K257" i="21"/>
  <c r="AJ287" i="21"/>
  <c r="AK286" i="21"/>
  <c r="BF255" i="21"/>
  <c r="BE255" i="21"/>
  <c r="K256" i="21"/>
  <c r="BD254" i="21"/>
  <c r="BG254" i="21" s="1"/>
  <c r="BB255" i="21"/>
  <c r="BI254" i="21" l="1"/>
  <c r="BJ254" i="21" s="1"/>
  <c r="Q257" i="21"/>
  <c r="AH257" i="21"/>
  <c r="N257" i="21"/>
  <c r="AL257" i="21" s="1"/>
  <c r="Q256" i="21"/>
  <c r="AH256" i="21"/>
  <c r="AI256" i="21" s="1"/>
  <c r="AW256" i="21" s="1"/>
  <c r="L256" i="21"/>
  <c r="L257" i="21" s="1"/>
  <c r="N256" i="21"/>
  <c r="BD255" i="21"/>
  <c r="BG255" i="21" s="1"/>
  <c r="BI255" i="21" s="1"/>
  <c r="BJ255" i="21" s="1"/>
  <c r="AJ288" i="21"/>
  <c r="AK287" i="21"/>
  <c r="AJ289" i="21" l="1"/>
  <c r="AK288" i="21"/>
  <c r="AZ256" i="21"/>
  <c r="AM256" i="21"/>
  <c r="R256" i="21"/>
  <c r="R257" i="21" s="1"/>
  <c r="AQ281" i="21"/>
  <c r="AP269" i="21"/>
  <c r="AO257" i="21"/>
  <c r="AR257" i="21" s="1"/>
  <c r="AS257" i="21" s="1"/>
  <c r="AV257" i="21" s="1"/>
  <c r="AI257" i="21"/>
  <c r="AW257" i="21" s="1"/>
  <c r="AM257" i="21"/>
  <c r="AZ257" i="21"/>
  <c r="AL256" i="21"/>
  <c r="O256" i="21"/>
  <c r="O257" i="21" s="1"/>
  <c r="AO256" i="21"/>
  <c r="AR256" i="21" s="1"/>
  <c r="AS256" i="21" s="1"/>
  <c r="AV256" i="21" s="1"/>
  <c r="AQ280" i="21"/>
  <c r="AP268" i="21"/>
  <c r="K258" i="21" l="1"/>
  <c r="BF257" i="21"/>
  <c r="BE257" i="21"/>
  <c r="BF256" i="21"/>
  <c r="BE256" i="21"/>
  <c r="BB256" i="21"/>
  <c r="AJ290" i="21"/>
  <c r="AK289" i="21"/>
  <c r="K259" i="21" l="1"/>
  <c r="AJ291" i="21"/>
  <c r="AK290" i="21"/>
  <c r="AH258" i="21"/>
  <c r="AI258" i="21" s="1"/>
  <c r="AW258" i="21" s="1"/>
  <c r="L258" i="21"/>
  <c r="Q258" i="21"/>
  <c r="N258" i="21"/>
  <c r="BB257" i="21"/>
  <c r="BD256" i="21"/>
  <c r="BG256" i="21" s="1"/>
  <c r="BI256" i="21" s="1"/>
  <c r="BJ256" i="21" s="1"/>
  <c r="K260" i="21"/>
  <c r="AH260" i="21" l="1"/>
  <c r="Q260" i="21"/>
  <c r="N260" i="21"/>
  <c r="AZ258" i="21"/>
  <c r="BB258" i="21" s="1"/>
  <c r="AM258" i="21"/>
  <c r="R258" i="21"/>
  <c r="AP270" i="21"/>
  <c r="AQ282" i="21"/>
  <c r="AO258" i="21"/>
  <c r="AR258" i="21" s="1"/>
  <c r="AS258" i="21" s="1"/>
  <c r="AV258" i="21" s="1"/>
  <c r="AL258" i="21"/>
  <c r="O258" i="21"/>
  <c r="AJ292" i="21"/>
  <c r="AK291" i="21"/>
  <c r="AH259" i="21"/>
  <c r="AI259" i="21" s="1"/>
  <c r="AW259" i="21" s="1"/>
  <c r="L259" i="21"/>
  <c r="Q259" i="21"/>
  <c r="N259" i="21"/>
  <c r="AL259" i="21" s="1"/>
  <c r="BD257" i="21"/>
  <c r="BG257" i="21" s="1"/>
  <c r="BI257" i="21" s="1"/>
  <c r="BJ257" i="21" s="1"/>
  <c r="K261" i="21"/>
  <c r="R259" i="21" l="1"/>
  <c r="R260" i="21" s="1"/>
  <c r="BF258" i="21"/>
  <c r="BE258" i="21"/>
  <c r="AK292" i="21"/>
  <c r="AJ293" i="21"/>
  <c r="K262" i="21"/>
  <c r="O259" i="21"/>
  <c r="O260" i="21" s="1"/>
  <c r="AZ259" i="21"/>
  <c r="BB259" i="21" s="1"/>
  <c r="AM259" i="21"/>
  <c r="AL260" i="21"/>
  <c r="AH261" i="21"/>
  <c r="Q261" i="21"/>
  <c r="R261" i="21" s="1"/>
  <c r="N261" i="21"/>
  <c r="AL261" i="21" s="1"/>
  <c r="AQ283" i="21"/>
  <c r="AO259" i="21"/>
  <c r="AR259" i="21" s="1"/>
  <c r="AS259" i="21" s="1"/>
  <c r="AV259" i="21" s="1"/>
  <c r="AP271" i="21"/>
  <c r="AZ260" i="21"/>
  <c r="AM260" i="21"/>
  <c r="L260" i="21"/>
  <c r="BD258" i="21"/>
  <c r="BG258" i="21" s="1"/>
  <c r="BI258" i="21" s="1"/>
  <c r="BJ258" i="21" s="1"/>
  <c r="AI260" i="21"/>
  <c r="AW260" i="21" s="1"/>
  <c r="K263" i="21" l="1"/>
  <c r="AP272" i="21"/>
  <c r="AQ284" i="21"/>
  <c r="AO260" i="21"/>
  <c r="AR260" i="21" s="1"/>
  <c r="AS260" i="21" s="1"/>
  <c r="AV260" i="21" s="1"/>
  <c r="O261" i="21"/>
  <c r="AZ261" i="21"/>
  <c r="AM261" i="21"/>
  <c r="AH262" i="21"/>
  <c r="Q262" i="21"/>
  <c r="R262" i="21" s="1"/>
  <c r="N262" i="21"/>
  <c r="L261" i="21"/>
  <c r="AI261" i="21"/>
  <c r="AW261" i="21" s="1"/>
  <c r="AJ294" i="21"/>
  <c r="AK293" i="21"/>
  <c r="BE260" i="21"/>
  <c r="BF260" i="21"/>
  <c r="BB260" i="21"/>
  <c r="BD259" i="21"/>
  <c r="BF259" i="21"/>
  <c r="BE259" i="21"/>
  <c r="BG259" i="21" l="1"/>
  <c r="BI259" i="21" s="1"/>
  <c r="BJ259" i="21" s="1"/>
  <c r="BF261" i="21"/>
  <c r="BE261" i="21"/>
  <c r="BB261" i="21"/>
  <c r="BD260" i="21"/>
  <c r="BG260" i="21" s="1"/>
  <c r="AQ285" i="21"/>
  <c r="AO261" i="21"/>
  <c r="AR261" i="21" s="1"/>
  <c r="AS261" i="21" s="1"/>
  <c r="AV261" i="21" s="1"/>
  <c r="AP273" i="21"/>
  <c r="O262" i="21"/>
  <c r="AL262" i="21"/>
  <c r="AZ262" i="21"/>
  <c r="AM262" i="21"/>
  <c r="L262" i="21"/>
  <c r="AI262" i="21"/>
  <c r="AW262" i="21" s="1"/>
  <c r="L263" i="21"/>
  <c r="AH263" i="21"/>
  <c r="Q263" i="21"/>
  <c r="N263" i="21"/>
  <c r="AL263" i="21" s="1"/>
  <c r="AJ295" i="21"/>
  <c r="AK294" i="21"/>
  <c r="K264" i="21" l="1"/>
  <c r="AZ263" i="21"/>
  <c r="AM263" i="21"/>
  <c r="AI263" i="21"/>
  <c r="AW263" i="21" s="1"/>
  <c r="BF262" i="21"/>
  <c r="BE262" i="21"/>
  <c r="R263" i="21"/>
  <c r="AQ287" i="21"/>
  <c r="AO263" i="21"/>
  <c r="AR263" i="21" s="1"/>
  <c r="AS263" i="21" s="1"/>
  <c r="AV263" i="21" s="1"/>
  <c r="AP275" i="21"/>
  <c r="BI260" i="21"/>
  <c r="BJ260" i="21" s="1"/>
  <c r="BB262" i="21"/>
  <c r="BD261" i="21"/>
  <c r="BG261" i="21" s="1"/>
  <c r="BI261" i="21" s="1"/>
  <c r="BJ261" i="21" s="1"/>
  <c r="AJ296" i="21"/>
  <c r="AK295" i="21"/>
  <c r="AQ286" i="21"/>
  <c r="AP274" i="21"/>
  <c r="AO262" i="21"/>
  <c r="AR262" i="21" s="1"/>
  <c r="AS262" i="21" s="1"/>
  <c r="AV262" i="21" s="1"/>
  <c r="O263" i="21"/>
  <c r="K265" i="21"/>
  <c r="Q265" i="21" l="1"/>
  <c r="AH265" i="21"/>
  <c r="N265" i="21"/>
  <c r="AL265" i="21" s="1"/>
  <c r="AJ297" i="21"/>
  <c r="AK296" i="21"/>
  <c r="BF263" i="21"/>
  <c r="BE263" i="21"/>
  <c r="Q264" i="21"/>
  <c r="AH264" i="21"/>
  <c r="L264" i="21"/>
  <c r="N264" i="21"/>
  <c r="O264" i="21" s="1"/>
  <c r="O265" i="21" s="1"/>
  <c r="BD262" i="21"/>
  <c r="BG262" i="21" s="1"/>
  <c r="BB263" i="21"/>
  <c r="K266" i="21"/>
  <c r="AH266" i="21" l="1"/>
  <c r="Q266" i="21"/>
  <c r="N266" i="21"/>
  <c r="AL266" i="21" s="1"/>
  <c r="AK297" i="21"/>
  <c r="AJ298" i="21"/>
  <c r="AO264" i="21"/>
  <c r="AR264" i="21" s="1"/>
  <c r="AS264" i="21" s="1"/>
  <c r="AV264" i="21" s="1"/>
  <c r="AQ288" i="21"/>
  <c r="AP276" i="21"/>
  <c r="AL264" i="21"/>
  <c r="AI264" i="21"/>
  <c r="AW264" i="21" s="1"/>
  <c r="L265" i="21"/>
  <c r="AZ264" i="21"/>
  <c r="BB264" i="21" s="1"/>
  <c r="AM264" i="21"/>
  <c r="O266" i="21"/>
  <c r="R264" i="21"/>
  <c r="R265" i="21" s="1"/>
  <c r="R266" i="21" s="1"/>
  <c r="AM265" i="21"/>
  <c r="AZ265" i="21"/>
  <c r="BD263" i="21"/>
  <c r="BG263" i="21" s="1"/>
  <c r="BI263" i="21" s="1"/>
  <c r="BJ263" i="21" s="1"/>
  <c r="BI262" i="21"/>
  <c r="BJ262" i="21" s="1"/>
  <c r="K267" i="21"/>
  <c r="BF265" i="21" l="1"/>
  <c r="BE265" i="21"/>
  <c r="AH267" i="21"/>
  <c r="Q267" i="21"/>
  <c r="R267" i="21" s="1"/>
  <c r="N267" i="21"/>
  <c r="AL267" i="21" s="1"/>
  <c r="AJ299" i="21"/>
  <c r="AK298" i="21"/>
  <c r="AP277" i="21"/>
  <c r="AQ289" i="21"/>
  <c r="AO265" i="21"/>
  <c r="AR265" i="21" s="1"/>
  <c r="AS265" i="21" s="1"/>
  <c r="AV265" i="21" s="1"/>
  <c r="AI265" i="21"/>
  <c r="AW265" i="21" s="1"/>
  <c r="AZ266" i="21"/>
  <c r="AM266" i="21"/>
  <c r="L266" i="21"/>
  <c r="L267" i="21" s="1"/>
  <c r="BB265" i="21"/>
  <c r="BD264" i="21"/>
  <c r="BF264" i="21"/>
  <c r="BE264" i="21"/>
  <c r="AP279" i="21" l="1"/>
  <c r="AQ291" i="21"/>
  <c r="AO267" i="21"/>
  <c r="AR267" i="21" s="1"/>
  <c r="AS267" i="21" s="1"/>
  <c r="AV267" i="21" s="1"/>
  <c r="BF266" i="21"/>
  <c r="BE266" i="21"/>
  <c r="BG264" i="21"/>
  <c r="AZ267" i="21"/>
  <c r="AM267" i="21"/>
  <c r="AJ300" i="21"/>
  <c r="AK299" i="21"/>
  <c r="BB266" i="21"/>
  <c r="BD265" i="21"/>
  <c r="BG265" i="21" s="1"/>
  <c r="BI265" i="21" s="1"/>
  <c r="BJ265" i="21" s="1"/>
  <c r="K268" i="21"/>
  <c r="AP278" i="21"/>
  <c r="AQ290" i="21"/>
  <c r="AO266" i="21"/>
  <c r="AR266" i="21" s="1"/>
  <c r="AS266" i="21" s="1"/>
  <c r="AV266" i="21" s="1"/>
  <c r="O267" i="21"/>
  <c r="AI266" i="21"/>
  <c r="AW266" i="21" s="1"/>
  <c r="K269" i="21"/>
  <c r="BI264" i="21" l="1"/>
  <c r="BJ264" i="21" s="1"/>
  <c r="BF267" i="21"/>
  <c r="BE267" i="21"/>
  <c r="BB267" i="21"/>
  <c r="BD266" i="21"/>
  <c r="BG266" i="21" s="1"/>
  <c r="BI266" i="21" s="1"/>
  <c r="BJ266" i="21" s="1"/>
  <c r="AH268" i="21"/>
  <c r="L268" i="21"/>
  <c r="L269" i="21" s="1"/>
  <c r="Q268" i="21"/>
  <c r="N268" i="21"/>
  <c r="AL268" i="21" s="1"/>
  <c r="AI267" i="21"/>
  <c r="AW267" i="21" s="1"/>
  <c r="AH269" i="21"/>
  <c r="Q269" i="21"/>
  <c r="N269" i="21"/>
  <c r="AL269" i="21" s="1"/>
  <c r="AK300" i="21"/>
  <c r="AJ301" i="21"/>
  <c r="O268" i="21" l="1"/>
  <c r="O269" i="21" s="1"/>
  <c r="AQ293" i="21"/>
  <c r="AO269" i="21"/>
  <c r="AR269" i="21" s="1"/>
  <c r="AS269" i="21" s="1"/>
  <c r="AV269" i="21" s="1"/>
  <c r="AP281" i="21"/>
  <c r="AM269" i="21"/>
  <c r="AZ269" i="21"/>
  <c r="BD267" i="21"/>
  <c r="BG267" i="21" s="1"/>
  <c r="BI267" i="21" s="1"/>
  <c r="BJ267" i="21" s="1"/>
  <c r="AI269" i="21"/>
  <c r="AW269" i="21" s="1"/>
  <c r="AJ302" i="21"/>
  <c r="AK301" i="21"/>
  <c r="AZ268" i="21"/>
  <c r="BB268" i="21" s="1"/>
  <c r="AM268" i="21"/>
  <c r="R268" i="21"/>
  <c r="R269" i="21" s="1"/>
  <c r="AP280" i="21"/>
  <c r="AQ292" i="21"/>
  <c r="AO268" i="21"/>
  <c r="AR268" i="21" s="1"/>
  <c r="AS268" i="21" s="1"/>
  <c r="AV268" i="21" s="1"/>
  <c r="AI268" i="21"/>
  <c r="AW268" i="21" s="1"/>
  <c r="BB269" i="21" l="1"/>
  <c r="BD268" i="21"/>
  <c r="BE269" i="21"/>
  <c r="BF269" i="21"/>
  <c r="BE268" i="21"/>
  <c r="BF268" i="21"/>
  <c r="K270" i="21"/>
  <c r="AJ303" i="21"/>
  <c r="AK302" i="21"/>
  <c r="K271" i="21"/>
  <c r="BG268" i="21" l="1"/>
  <c r="BI268" i="21" s="1"/>
  <c r="BJ268" i="21" s="1"/>
  <c r="AJ304" i="21"/>
  <c r="AK303" i="21"/>
  <c r="BD269" i="21"/>
  <c r="BG269" i="21" s="1"/>
  <c r="BI269" i="21" s="1"/>
  <c r="BJ269" i="21" s="1"/>
  <c r="AH271" i="21"/>
  <c r="Q271" i="21"/>
  <c r="N271" i="21"/>
  <c r="AL271" i="21" s="1"/>
  <c r="L270" i="21"/>
  <c r="L271" i="21" s="1"/>
  <c r="Q270" i="21"/>
  <c r="AH270" i="21"/>
  <c r="AI270" i="21" s="1"/>
  <c r="AW270" i="21" s="1"/>
  <c r="N270" i="21"/>
  <c r="AZ271" i="21" l="1"/>
  <c r="AM271" i="21"/>
  <c r="AI271" i="21"/>
  <c r="AW271" i="21" s="1"/>
  <c r="AL270" i="21"/>
  <c r="O270" i="21"/>
  <c r="O271" i="21" s="1"/>
  <c r="AO271" i="21"/>
  <c r="AR271" i="21" s="1"/>
  <c r="AS271" i="21" s="1"/>
  <c r="AV271" i="21" s="1"/>
  <c r="AP283" i="21"/>
  <c r="AQ295" i="21"/>
  <c r="AZ270" i="21"/>
  <c r="AM270" i="21"/>
  <c r="R270" i="21"/>
  <c r="R271" i="21" s="1"/>
  <c r="AQ294" i="21"/>
  <c r="AO270" i="21"/>
  <c r="AR270" i="21" s="1"/>
  <c r="AS270" i="21" s="1"/>
  <c r="AV270" i="21" s="1"/>
  <c r="AP282" i="21"/>
  <c r="AJ305" i="21"/>
  <c r="AK304" i="21"/>
  <c r="AJ306" i="21" l="1"/>
  <c r="AK305" i="21"/>
  <c r="K272" i="21"/>
  <c r="BF270" i="21"/>
  <c r="BE270" i="21"/>
  <c r="BB270" i="21"/>
  <c r="BE271" i="21"/>
  <c r="BF271" i="21"/>
  <c r="L272" i="21" l="1"/>
  <c r="AH272" i="21"/>
  <c r="Q272" i="21"/>
  <c r="N272" i="21"/>
  <c r="BB271" i="21"/>
  <c r="BD270" i="21"/>
  <c r="BG270" i="21" s="1"/>
  <c r="BI270" i="21" s="1"/>
  <c r="BJ270" i="21" s="1"/>
  <c r="AJ307" i="21"/>
  <c r="AK306" i="21"/>
  <c r="AJ308" i="21" l="1"/>
  <c r="AK307" i="21"/>
  <c r="K273" i="21"/>
  <c r="BD271" i="21"/>
  <c r="BG271" i="21" s="1"/>
  <c r="BI271" i="21" s="1"/>
  <c r="BJ271" i="21" s="1"/>
  <c r="AL272" i="21"/>
  <c r="O272" i="21"/>
  <c r="AM272" i="21"/>
  <c r="AZ272" i="21"/>
  <c r="BB272" i="21" s="1"/>
  <c r="R272" i="21"/>
  <c r="AI272" i="21"/>
  <c r="AW272" i="21" s="1"/>
  <c r="AQ296" i="21"/>
  <c r="AP284" i="21"/>
  <c r="AO272" i="21"/>
  <c r="AR272" i="21" s="1"/>
  <c r="AS272" i="21" s="1"/>
  <c r="AV272" i="21" s="1"/>
  <c r="K274" i="21"/>
  <c r="BD272" i="21" l="1"/>
  <c r="AH273" i="21"/>
  <c r="L273" i="21"/>
  <c r="L274" i="21" s="1"/>
  <c r="Q273" i="21"/>
  <c r="N273" i="21"/>
  <c r="K275" i="21"/>
  <c r="BF272" i="21"/>
  <c r="BE272" i="21"/>
  <c r="AH274" i="21"/>
  <c r="Q274" i="21"/>
  <c r="N274" i="21"/>
  <c r="AL274" i="21" s="1"/>
  <c r="O273" i="21"/>
  <c r="O274" i="21" s="1"/>
  <c r="AJ309" i="21"/>
  <c r="AK308" i="21"/>
  <c r="AQ298" i="21" l="1"/>
  <c r="AP286" i="21"/>
  <c r="AO274" i="21"/>
  <c r="AR274" i="21" s="1"/>
  <c r="AS274" i="21" s="1"/>
  <c r="AV274" i="21" s="1"/>
  <c r="AL273" i="21"/>
  <c r="AZ273" i="21"/>
  <c r="AM273" i="21"/>
  <c r="AO273" i="21"/>
  <c r="AR273" i="21" s="1"/>
  <c r="AS273" i="21" s="1"/>
  <c r="AV273" i="21" s="1"/>
  <c r="AP285" i="21"/>
  <c r="AQ297" i="21"/>
  <c r="AJ310" i="21"/>
  <c r="AK309" i="21"/>
  <c r="AI273" i="21"/>
  <c r="AW273" i="21" s="1"/>
  <c r="R273" i="21"/>
  <c r="R274" i="21" s="1"/>
  <c r="AH275" i="21"/>
  <c r="L275" i="21"/>
  <c r="Q275" i="21"/>
  <c r="N275" i="21"/>
  <c r="AL275" i="21" s="1"/>
  <c r="BG272" i="21"/>
  <c r="O275" i="21"/>
  <c r="AM274" i="21"/>
  <c r="AZ274" i="21"/>
  <c r="R275" i="21" l="1"/>
  <c r="AZ275" i="21"/>
  <c r="AM275" i="21"/>
  <c r="AP287" i="21"/>
  <c r="AQ299" i="21"/>
  <c r="AO275" i="21"/>
  <c r="AR275" i="21" s="1"/>
  <c r="AS275" i="21" s="1"/>
  <c r="AV275" i="21" s="1"/>
  <c r="AJ311" i="21"/>
  <c r="AK310" i="21"/>
  <c r="BF273" i="21"/>
  <c r="BE273" i="21"/>
  <c r="BB273" i="21"/>
  <c r="BF274" i="21"/>
  <c r="BE274" i="21"/>
  <c r="K276" i="21"/>
  <c r="BI272" i="21"/>
  <c r="BJ272" i="21" s="1"/>
  <c r="AI274" i="21"/>
  <c r="AW274" i="21" s="1"/>
  <c r="K277" i="21"/>
  <c r="AJ312" i="21" l="1"/>
  <c r="AK311" i="21"/>
  <c r="AI275" i="21"/>
  <c r="AW275" i="21" s="1"/>
  <c r="AH276" i="21"/>
  <c r="Q276" i="21"/>
  <c r="L276" i="21"/>
  <c r="N276" i="21"/>
  <c r="BD273" i="21"/>
  <c r="BG273" i="21" s="1"/>
  <c r="BB274" i="21"/>
  <c r="AH277" i="21"/>
  <c r="Q277" i="21"/>
  <c r="N277" i="21"/>
  <c r="AL277" i="21" s="1"/>
  <c r="BE275" i="21"/>
  <c r="BF275" i="21"/>
  <c r="K278" i="21"/>
  <c r="AL276" i="21" l="1"/>
  <c r="O276" i="21"/>
  <c r="O277" i="21" s="1"/>
  <c r="AP288" i="21"/>
  <c r="AO276" i="21"/>
  <c r="AR276" i="21" s="1"/>
  <c r="AS276" i="21" s="1"/>
  <c r="AV276" i="21" s="1"/>
  <c r="AQ300" i="21"/>
  <c r="AZ277" i="21"/>
  <c r="AM277" i="21"/>
  <c r="AM276" i="21"/>
  <c r="AZ276" i="21"/>
  <c r="R276" i="21"/>
  <c r="R277" i="21" s="1"/>
  <c r="AH278" i="21"/>
  <c r="Q278" i="21"/>
  <c r="N278" i="21"/>
  <c r="AL278" i="21" s="1"/>
  <c r="L277" i="21"/>
  <c r="L278" i="21" s="1"/>
  <c r="AI276" i="21"/>
  <c r="AW276" i="21" s="1"/>
  <c r="BB275" i="21"/>
  <c r="BD274" i="21"/>
  <c r="BG274" i="21" s="1"/>
  <c r="BI274" i="21" s="1"/>
  <c r="BJ274" i="21" s="1"/>
  <c r="BI273" i="21"/>
  <c r="BJ273" i="21" s="1"/>
  <c r="AJ313" i="21"/>
  <c r="AK312" i="21"/>
  <c r="K279" i="21"/>
  <c r="AZ278" i="21" l="1"/>
  <c r="AM278" i="21"/>
  <c r="BE277" i="21"/>
  <c r="BF277" i="21"/>
  <c r="AH279" i="21"/>
  <c r="L279" i="21"/>
  <c r="Q279" i="21"/>
  <c r="N279" i="21"/>
  <c r="AQ302" i="21"/>
  <c r="AO278" i="21"/>
  <c r="AR278" i="21" s="1"/>
  <c r="AS278" i="21" s="1"/>
  <c r="AV278" i="21" s="1"/>
  <c r="AP290" i="21"/>
  <c r="BB276" i="21"/>
  <c r="BD275" i="21"/>
  <c r="BG275" i="21" s="1"/>
  <c r="AI277" i="21"/>
  <c r="AW277" i="21" s="1"/>
  <c r="R278" i="21"/>
  <c r="R279" i="21" s="1"/>
  <c r="O278" i="21"/>
  <c r="AJ314" i="21"/>
  <c r="AK313" i="21"/>
  <c r="BF276" i="21"/>
  <c r="BE276" i="21"/>
  <c r="AQ301" i="21"/>
  <c r="AO277" i="21"/>
  <c r="AR277" i="21" s="1"/>
  <c r="AS277" i="21" s="1"/>
  <c r="AV277" i="21" s="1"/>
  <c r="AP289" i="21"/>
  <c r="K280" i="21"/>
  <c r="AZ279" i="21" l="1"/>
  <c r="AM279" i="21"/>
  <c r="AI278" i="21"/>
  <c r="AW278" i="21" s="1"/>
  <c r="AQ303" i="21"/>
  <c r="AO279" i="21"/>
  <c r="AR279" i="21" s="1"/>
  <c r="AS279" i="21" s="1"/>
  <c r="AV279" i="21" s="1"/>
  <c r="AP291" i="21"/>
  <c r="L280" i="21"/>
  <c r="AH280" i="21"/>
  <c r="Q280" i="21"/>
  <c r="R280" i="21" s="1"/>
  <c r="N280" i="21"/>
  <c r="AL280" i="21" s="1"/>
  <c r="BI275" i="21"/>
  <c r="BJ275" i="21" s="1"/>
  <c r="AL279" i="21"/>
  <c r="BB277" i="21"/>
  <c r="BD276" i="21"/>
  <c r="BG276" i="21" s="1"/>
  <c r="BI276" i="21" s="1"/>
  <c r="BJ276" i="21" s="1"/>
  <c r="AK314" i="21"/>
  <c r="AJ315" i="21"/>
  <c r="O279" i="21"/>
  <c r="BF278" i="21"/>
  <c r="BE278" i="21"/>
  <c r="K281" i="21"/>
  <c r="AI279" i="21" l="1"/>
  <c r="AW279" i="21" s="1"/>
  <c r="AQ304" i="21"/>
  <c r="AO280" i="21"/>
  <c r="AR280" i="21" s="1"/>
  <c r="AS280" i="21" s="1"/>
  <c r="AV280" i="21" s="1"/>
  <c r="AP292" i="21"/>
  <c r="O280" i="21"/>
  <c r="AJ316" i="21"/>
  <c r="AK315" i="21"/>
  <c r="AH281" i="21"/>
  <c r="L281" i="21"/>
  <c r="Q281" i="21"/>
  <c r="N281" i="21"/>
  <c r="AL281" i="21" s="1"/>
  <c r="BB278" i="21"/>
  <c r="BD277" i="21"/>
  <c r="BG277" i="21" s="1"/>
  <c r="BI277" i="21" s="1"/>
  <c r="BJ277" i="21" s="1"/>
  <c r="AZ280" i="21"/>
  <c r="AM280" i="21"/>
  <c r="AI280" i="21"/>
  <c r="AW280" i="21" s="1"/>
  <c r="BF279" i="21"/>
  <c r="BE279" i="21"/>
  <c r="K282" i="21"/>
  <c r="BB279" i="21" l="1"/>
  <c r="BD278" i="21"/>
  <c r="BG278" i="21" s="1"/>
  <c r="BI278" i="21" s="1"/>
  <c r="BJ278" i="21" s="1"/>
  <c r="AJ317" i="21"/>
  <c r="AK316" i="21"/>
  <c r="Q282" i="21"/>
  <c r="AH282" i="21"/>
  <c r="AI282" i="21" s="1"/>
  <c r="AW282" i="21" s="1"/>
  <c r="L282" i="21"/>
  <c r="N282" i="21"/>
  <c r="AL282" i="21" s="1"/>
  <c r="AZ281" i="21"/>
  <c r="AM281" i="21"/>
  <c r="R281" i="21"/>
  <c r="K283" i="21"/>
  <c r="AO281" i="21"/>
  <c r="AR281" i="21" s="1"/>
  <c r="AS281" i="21" s="1"/>
  <c r="AV281" i="21" s="1"/>
  <c r="AQ305" i="21"/>
  <c r="AP293" i="21"/>
  <c r="O281" i="21"/>
  <c r="AI281" i="21"/>
  <c r="AW281" i="21" s="1"/>
  <c r="BF280" i="21"/>
  <c r="BE280" i="21"/>
  <c r="AQ306" i="21" l="1"/>
  <c r="AP294" i="21"/>
  <c r="AO282" i="21"/>
  <c r="AR282" i="21" s="1"/>
  <c r="AS282" i="21" s="1"/>
  <c r="AV282" i="21" s="1"/>
  <c r="AH283" i="21"/>
  <c r="AI283" i="21" s="1"/>
  <c r="AW283" i="21" s="1"/>
  <c r="L283" i="21"/>
  <c r="Q283" i="21"/>
  <c r="N283" i="21"/>
  <c r="AL283" i="21" s="1"/>
  <c r="AM282" i="21"/>
  <c r="AZ282" i="21"/>
  <c r="R282" i="21"/>
  <c r="AK317" i="21"/>
  <c r="AJ318" i="21"/>
  <c r="O282" i="21"/>
  <c r="BF281" i="21"/>
  <c r="BE281" i="21"/>
  <c r="BD279" i="21"/>
  <c r="BG279" i="21" s="1"/>
  <c r="BI279" i="21" s="1"/>
  <c r="BJ279" i="21" s="1"/>
  <c r="BB280" i="21"/>
  <c r="K284" i="21"/>
  <c r="AZ283" i="21" l="1"/>
  <c r="AM283" i="21"/>
  <c r="O283" i="21"/>
  <c r="AP295" i="21"/>
  <c r="AQ307" i="21"/>
  <c r="AO283" i="21"/>
  <c r="AR283" i="21" s="1"/>
  <c r="AS283" i="21" s="1"/>
  <c r="AV283" i="21" s="1"/>
  <c r="AJ319" i="21"/>
  <c r="AK318" i="21"/>
  <c r="AH284" i="21"/>
  <c r="L284" i="21"/>
  <c r="Q284" i="21"/>
  <c r="N284" i="21"/>
  <c r="R283" i="21"/>
  <c r="BB281" i="21"/>
  <c r="BD280" i="21"/>
  <c r="BG280" i="21" s="1"/>
  <c r="BI280" i="21" s="1"/>
  <c r="BJ280" i="21" s="1"/>
  <c r="BF282" i="21"/>
  <c r="BE282" i="21"/>
  <c r="K285" i="21"/>
  <c r="R284" i="21" l="1"/>
  <c r="BB282" i="21"/>
  <c r="BD281" i="21"/>
  <c r="BG281" i="21" s="1"/>
  <c r="BI281" i="21" s="1"/>
  <c r="BJ281" i="21" s="1"/>
  <c r="AK319" i="21"/>
  <c r="AJ320" i="21"/>
  <c r="AL284" i="21"/>
  <c r="AZ284" i="21"/>
  <c r="AM284" i="21"/>
  <c r="O284" i="21"/>
  <c r="AQ308" i="21"/>
  <c r="AP296" i="21"/>
  <c r="AO284" i="21"/>
  <c r="AR284" i="21" s="1"/>
  <c r="AS284" i="21" s="1"/>
  <c r="AV284" i="21" s="1"/>
  <c r="AH285" i="21"/>
  <c r="L285" i="21"/>
  <c r="Q285" i="21"/>
  <c r="R285" i="21" s="1"/>
  <c r="N285" i="21"/>
  <c r="AL285" i="21" s="1"/>
  <c r="AI284" i="21"/>
  <c r="AW284" i="21" s="1"/>
  <c r="BF283" i="21"/>
  <c r="BE283" i="21"/>
  <c r="K286" i="21"/>
  <c r="AI285" i="21" l="1"/>
  <c r="AW285" i="21" s="1"/>
  <c r="AJ321" i="21"/>
  <c r="AK320" i="21"/>
  <c r="O285" i="21"/>
  <c r="AZ285" i="21"/>
  <c r="AM285" i="21"/>
  <c r="BB283" i="21"/>
  <c r="BD282" i="21"/>
  <c r="BG282" i="21" s="1"/>
  <c r="BI282" i="21" s="1"/>
  <c r="BJ282" i="21" s="1"/>
  <c r="AH286" i="21"/>
  <c r="AI286" i="21" s="1"/>
  <c r="AW286" i="21" s="1"/>
  <c r="L286" i="21"/>
  <c r="Q286" i="21"/>
  <c r="N286" i="21"/>
  <c r="AL286" i="21" s="1"/>
  <c r="AP297" i="21"/>
  <c r="AQ309" i="21"/>
  <c r="AO285" i="21"/>
  <c r="AR285" i="21" s="1"/>
  <c r="AS285" i="21" s="1"/>
  <c r="AV285" i="21" s="1"/>
  <c r="BF284" i="21"/>
  <c r="BE284" i="21"/>
  <c r="K287" i="21"/>
  <c r="BB284" i="21" l="1"/>
  <c r="BD283" i="21"/>
  <c r="BG283" i="21" s="1"/>
  <c r="BI283" i="21" s="1"/>
  <c r="BJ283" i="21" s="1"/>
  <c r="BE285" i="21"/>
  <c r="BF285" i="21"/>
  <c r="AZ286" i="21"/>
  <c r="AM286" i="21"/>
  <c r="O286" i="21"/>
  <c r="AQ310" i="21"/>
  <c r="AP298" i="21"/>
  <c r="AO286" i="21"/>
  <c r="AR286" i="21" s="1"/>
  <c r="AS286" i="21" s="1"/>
  <c r="AV286" i="21" s="1"/>
  <c r="K288" i="21"/>
  <c r="AJ322" i="21"/>
  <c r="AK321" i="21"/>
  <c r="AH287" i="21"/>
  <c r="L287" i="21"/>
  <c r="Q287" i="21"/>
  <c r="N287" i="21"/>
  <c r="R286" i="21"/>
  <c r="R287" i="21" l="1"/>
  <c r="O287" i="21"/>
  <c r="L288" i="21"/>
  <c r="AH288" i="21"/>
  <c r="Q288" i="21"/>
  <c r="N288" i="21"/>
  <c r="AL288" i="21" s="1"/>
  <c r="BF286" i="21"/>
  <c r="BE286" i="21"/>
  <c r="AZ287" i="21"/>
  <c r="AM287" i="21"/>
  <c r="AI287" i="21"/>
  <c r="AW287" i="21" s="1"/>
  <c r="AL287" i="21"/>
  <c r="AQ311" i="21"/>
  <c r="AP299" i="21"/>
  <c r="AO287" i="21"/>
  <c r="AR287" i="21" s="1"/>
  <c r="AS287" i="21" s="1"/>
  <c r="AV287" i="21" s="1"/>
  <c r="AJ323" i="21"/>
  <c r="AK322" i="21"/>
  <c r="BB285" i="21"/>
  <c r="BD284" i="21"/>
  <c r="BG284" i="21" s="1"/>
  <c r="K289" i="21"/>
  <c r="BI284" i="21" l="1"/>
  <c r="BJ284" i="21" s="1"/>
  <c r="AZ288" i="21"/>
  <c r="AM288" i="21"/>
  <c r="BB286" i="21"/>
  <c r="BD285" i="21"/>
  <c r="BG285" i="21" s="1"/>
  <c r="BI285" i="21" s="1"/>
  <c r="BJ285" i="21" s="1"/>
  <c r="AJ324" i="21"/>
  <c r="AK323" i="21"/>
  <c r="AI288" i="21"/>
  <c r="AW288" i="21" s="1"/>
  <c r="BF287" i="21"/>
  <c r="BE287" i="21"/>
  <c r="AQ312" i="21"/>
  <c r="AP300" i="21"/>
  <c r="AO288" i="21"/>
  <c r="AR288" i="21" s="1"/>
  <c r="AS288" i="21" s="1"/>
  <c r="AV288" i="21" s="1"/>
  <c r="K290" i="21"/>
  <c r="O288" i="21"/>
  <c r="AH289" i="21"/>
  <c r="L289" i="21"/>
  <c r="Q289" i="21"/>
  <c r="N289" i="21"/>
  <c r="R288" i="21"/>
  <c r="R289" i="21" s="1"/>
  <c r="AZ289" i="21" l="1"/>
  <c r="AM289" i="21"/>
  <c r="AO289" i="21"/>
  <c r="AR289" i="21" s="1"/>
  <c r="AS289" i="21" s="1"/>
  <c r="AV289" i="21" s="1"/>
  <c r="AP301" i="21"/>
  <c r="AQ313" i="21"/>
  <c r="AI289" i="21"/>
  <c r="AW289" i="21" s="1"/>
  <c r="O289" i="21"/>
  <c r="BF288" i="21"/>
  <c r="BE288" i="21"/>
  <c r="Q290" i="21"/>
  <c r="AH290" i="21"/>
  <c r="AI290" i="21" s="1"/>
  <c r="AW290" i="21" s="1"/>
  <c r="L290" i="21"/>
  <c r="N290" i="21"/>
  <c r="AL290" i="21" s="1"/>
  <c r="AJ325" i="21"/>
  <c r="AK324" i="21"/>
  <c r="AL289" i="21"/>
  <c r="BB287" i="21"/>
  <c r="BD286" i="21"/>
  <c r="BG286" i="21" s="1"/>
  <c r="BI286" i="21" s="1"/>
  <c r="BJ286" i="21" s="1"/>
  <c r="K291" i="21"/>
  <c r="AP302" i="21" l="1"/>
  <c r="AQ314" i="21"/>
  <c r="AO290" i="21"/>
  <c r="AR290" i="21" s="1"/>
  <c r="AS290" i="21" s="1"/>
  <c r="AV290" i="21" s="1"/>
  <c r="AH291" i="21"/>
  <c r="AI291" i="21" s="1"/>
  <c r="AW291" i="21" s="1"/>
  <c r="L291" i="21"/>
  <c r="Q291" i="21"/>
  <c r="N291" i="21"/>
  <c r="AL291" i="21" s="1"/>
  <c r="BD287" i="21"/>
  <c r="BG287" i="21" s="1"/>
  <c r="BI287" i="21" s="1"/>
  <c r="BJ287" i="21" s="1"/>
  <c r="BB288" i="21"/>
  <c r="K292" i="21"/>
  <c r="AM290" i="21"/>
  <c r="AZ290" i="21"/>
  <c r="AJ326" i="21"/>
  <c r="AK325" i="21"/>
  <c r="R290" i="21"/>
  <c r="BF289" i="21"/>
  <c r="BE289" i="21"/>
  <c r="O290" i="21"/>
  <c r="O291" i="21" l="1"/>
  <c r="AJ327" i="21"/>
  <c r="AK326" i="21"/>
  <c r="BF290" i="21"/>
  <c r="BE290" i="21"/>
  <c r="AZ291" i="21"/>
  <c r="AM291" i="21"/>
  <c r="AP303" i="21"/>
  <c r="AQ315" i="21"/>
  <c r="AO291" i="21"/>
  <c r="AR291" i="21" s="1"/>
  <c r="AS291" i="21" s="1"/>
  <c r="AV291" i="21" s="1"/>
  <c r="AH292" i="21"/>
  <c r="AI292" i="21" s="1"/>
  <c r="AW292" i="21" s="1"/>
  <c r="L292" i="21"/>
  <c r="Q292" i="21"/>
  <c r="N292" i="21"/>
  <c r="AL292" i="21" s="1"/>
  <c r="R291" i="21"/>
  <c r="BB289" i="21"/>
  <c r="BD288" i="21"/>
  <c r="BG288" i="21" s="1"/>
  <c r="O292" i="21" l="1"/>
  <c r="K293" i="21"/>
  <c r="R292" i="21"/>
  <c r="BF291" i="21"/>
  <c r="BE291" i="21"/>
  <c r="AZ292" i="21"/>
  <c r="AM292" i="21"/>
  <c r="K294" i="21"/>
  <c r="AP304" i="21"/>
  <c r="AQ316" i="21"/>
  <c r="AO292" i="21"/>
  <c r="AR292" i="21" s="1"/>
  <c r="AS292" i="21" s="1"/>
  <c r="AV292" i="21" s="1"/>
  <c r="BI288" i="21"/>
  <c r="BJ288" i="21" s="1"/>
  <c r="BB290" i="21"/>
  <c r="BD289" i="21"/>
  <c r="BG289" i="21" s="1"/>
  <c r="BI289" i="21" s="1"/>
  <c r="BJ289" i="21" s="1"/>
  <c r="AJ328" i="21"/>
  <c r="AK327" i="21"/>
  <c r="BB291" i="21" l="1"/>
  <c r="BD290" i="21"/>
  <c r="BG290" i="21" s="1"/>
  <c r="BI290" i="21" s="1"/>
  <c r="BJ290" i="21" s="1"/>
  <c r="BF292" i="21"/>
  <c r="BE292" i="21"/>
  <c r="AJ329" i="21"/>
  <c r="AK328" i="21"/>
  <c r="AH293" i="21"/>
  <c r="AI293" i="21" s="1"/>
  <c r="AW293" i="21" s="1"/>
  <c r="L293" i="21"/>
  <c r="Q293" i="21"/>
  <c r="R293" i="21" s="1"/>
  <c r="N293" i="21"/>
  <c r="AH294" i="21"/>
  <c r="L294" i="21"/>
  <c r="Q294" i="21"/>
  <c r="N294" i="21"/>
  <c r="AL294" i="21" s="1"/>
  <c r="R294" i="21" l="1"/>
  <c r="AM294" i="21"/>
  <c r="AZ294" i="21"/>
  <c r="AK329" i="21"/>
  <c r="AJ330" i="21"/>
  <c r="AQ318" i="21"/>
  <c r="AO294" i="21"/>
  <c r="AR294" i="21" s="1"/>
  <c r="AS294" i="21" s="1"/>
  <c r="AV294" i="21" s="1"/>
  <c r="AP306" i="21"/>
  <c r="AI294" i="21"/>
  <c r="AW294" i="21" s="1"/>
  <c r="AL293" i="21"/>
  <c r="O293" i="21"/>
  <c r="O294" i="21" s="1"/>
  <c r="AZ293" i="21"/>
  <c r="AM293" i="21"/>
  <c r="AP305" i="21"/>
  <c r="AQ317" i="21"/>
  <c r="AO293" i="21"/>
  <c r="AR293" i="21" s="1"/>
  <c r="AS293" i="21" s="1"/>
  <c r="AV293" i="21" s="1"/>
  <c r="BB292" i="21"/>
  <c r="BD291" i="21"/>
  <c r="BG291" i="21" s="1"/>
  <c r="BI291" i="21" s="1"/>
  <c r="BJ291" i="21" s="1"/>
  <c r="AJ331" i="21" l="1"/>
  <c r="AK330" i="21"/>
  <c r="BF293" i="21"/>
  <c r="BE293" i="21"/>
  <c r="BE294" i="21"/>
  <c r="BF294" i="21"/>
  <c r="K295" i="21"/>
  <c r="BD292" i="21"/>
  <c r="BG292" i="21" s="1"/>
  <c r="BI292" i="21" s="1"/>
  <c r="BJ292" i="21" s="1"/>
  <c r="BB293" i="21"/>
  <c r="K296" i="21"/>
  <c r="AH296" i="21" l="1"/>
  <c r="Q296" i="21"/>
  <c r="N296" i="21"/>
  <c r="BB294" i="21"/>
  <c r="BD293" i="21"/>
  <c r="BG293" i="21" s="1"/>
  <c r="BI293" i="21" s="1"/>
  <c r="BJ293" i="21" s="1"/>
  <c r="L295" i="21"/>
  <c r="AH295" i="21"/>
  <c r="AI295" i="21" s="1"/>
  <c r="AW295" i="21" s="1"/>
  <c r="Q295" i="21"/>
  <c r="N295" i="21"/>
  <c r="AJ332" i="21"/>
  <c r="AK331" i="21"/>
  <c r="AQ319" i="21" l="1"/>
  <c r="AO295" i="21"/>
  <c r="AR295" i="21" s="1"/>
  <c r="AS295" i="21" s="1"/>
  <c r="AV295" i="21" s="1"/>
  <c r="AP307" i="21"/>
  <c r="BD294" i="21"/>
  <c r="BG294" i="21" s="1"/>
  <c r="BI294" i="21" s="1"/>
  <c r="BJ294" i="21" s="1"/>
  <c r="AJ333" i="21"/>
  <c r="AK332" i="21"/>
  <c r="AL296" i="21"/>
  <c r="AL295" i="21"/>
  <c r="O295" i="21"/>
  <c r="O296" i="21" s="1"/>
  <c r="AZ296" i="21"/>
  <c r="AM296" i="21"/>
  <c r="AZ295" i="21"/>
  <c r="AM295" i="21"/>
  <c r="R295" i="21"/>
  <c r="R296" i="21" s="1"/>
  <c r="L296" i="21"/>
  <c r="AI296" i="21"/>
  <c r="AW296" i="21" s="1"/>
  <c r="K297" i="21" l="1"/>
  <c r="BF295" i="21"/>
  <c r="BE295" i="21"/>
  <c r="AJ334" i="21"/>
  <c r="AK333" i="21"/>
  <c r="BB295" i="21"/>
  <c r="BE296" i="21"/>
  <c r="BF296" i="21"/>
  <c r="AO296" i="21"/>
  <c r="AR296" i="21" s="1"/>
  <c r="AS296" i="21" s="1"/>
  <c r="AV296" i="21" s="1"/>
  <c r="AQ320" i="21"/>
  <c r="AP308" i="21"/>
  <c r="AJ335" i="21" l="1"/>
  <c r="AK334" i="21"/>
  <c r="BB296" i="21"/>
  <c r="BD295" i="21"/>
  <c r="BG295" i="21" s="1"/>
  <c r="BI295" i="21" s="1"/>
  <c r="BJ295" i="21" s="1"/>
  <c r="L297" i="21"/>
  <c r="AH297" i="21"/>
  <c r="Q297" i="21"/>
  <c r="N297" i="21"/>
  <c r="AI297" i="21" l="1"/>
  <c r="AW297" i="21" s="1"/>
  <c r="AQ321" i="21"/>
  <c r="AP309" i="21"/>
  <c r="AO297" i="21"/>
  <c r="AR297" i="21" s="1"/>
  <c r="AS297" i="21" s="1"/>
  <c r="AV297" i="21" s="1"/>
  <c r="K298" i="21"/>
  <c r="BD296" i="21"/>
  <c r="BG296" i="21" s="1"/>
  <c r="AL297" i="21"/>
  <c r="O297" i="21"/>
  <c r="AM297" i="21"/>
  <c r="AZ297" i="21"/>
  <c r="R297" i="21"/>
  <c r="AJ336" i="21"/>
  <c r="AK335" i="21"/>
  <c r="BF297" i="21" l="1"/>
  <c r="BE297" i="21"/>
  <c r="BB297" i="21"/>
  <c r="AH298" i="21"/>
  <c r="L298" i="21"/>
  <c r="Q298" i="21"/>
  <c r="N298" i="21"/>
  <c r="O298" i="21" s="1"/>
  <c r="AJ337" i="21"/>
  <c r="AK336" i="21"/>
  <c r="BI296" i="21"/>
  <c r="BJ296" i="21" s="1"/>
  <c r="AO298" i="21" l="1"/>
  <c r="AR298" i="21" s="1"/>
  <c r="AS298" i="21" s="1"/>
  <c r="AV298" i="21" s="1"/>
  <c r="AP310" i="21"/>
  <c r="AQ322" i="21"/>
  <c r="AI298" i="21"/>
  <c r="AW298" i="21" s="1"/>
  <c r="AJ338" i="21"/>
  <c r="AK337" i="21"/>
  <c r="BD297" i="21"/>
  <c r="BG297" i="21" s="1"/>
  <c r="AL298" i="21"/>
  <c r="K299" i="21"/>
  <c r="AZ298" i="21"/>
  <c r="AM298" i="21"/>
  <c r="R298" i="21"/>
  <c r="K300" i="21" l="1"/>
  <c r="BF298" i="21"/>
  <c r="BE298" i="21"/>
  <c r="BI297" i="21"/>
  <c r="BJ297" i="21" s="1"/>
  <c r="L299" i="21"/>
  <c r="Q299" i="21"/>
  <c r="R299" i="21" s="1"/>
  <c r="AH299" i="21"/>
  <c r="N299" i="21"/>
  <c r="BB298" i="21"/>
  <c r="AJ339" i="21"/>
  <c r="AK338" i="21"/>
  <c r="K301" i="21"/>
  <c r="AH301" i="21" l="1"/>
  <c r="Q301" i="21"/>
  <c r="N301" i="21"/>
  <c r="AL301" i="21" s="1"/>
  <c r="BD298" i="21"/>
  <c r="BG298" i="21" s="1"/>
  <c r="AL299" i="21"/>
  <c r="O299" i="21"/>
  <c r="AJ340" i="21"/>
  <c r="AK339" i="21"/>
  <c r="AI299" i="21"/>
  <c r="AW299" i="21" s="1"/>
  <c r="AM299" i="21"/>
  <c r="AZ299" i="21"/>
  <c r="BB299" i="21" s="1"/>
  <c r="AH300" i="21"/>
  <c r="L300" i="21"/>
  <c r="Q300" i="21"/>
  <c r="N300" i="21"/>
  <c r="AL300" i="21" s="1"/>
  <c r="AQ323" i="21"/>
  <c r="AP311" i="21"/>
  <c r="AO299" i="21"/>
  <c r="AR299" i="21" s="1"/>
  <c r="AS299" i="21" s="1"/>
  <c r="AV299" i="21" s="1"/>
  <c r="AI300" i="21" l="1"/>
  <c r="AW300" i="21" s="1"/>
  <c r="O300" i="21"/>
  <c r="O301" i="21" s="1"/>
  <c r="BD299" i="21"/>
  <c r="K302" i="21"/>
  <c r="AZ300" i="21"/>
  <c r="AM300" i="21"/>
  <c r="BI298" i="21"/>
  <c r="BJ298" i="21" s="1"/>
  <c r="BF299" i="21"/>
  <c r="BE299" i="21"/>
  <c r="AQ324" i="21"/>
  <c r="AP312" i="21"/>
  <c r="AO300" i="21"/>
  <c r="AR300" i="21" s="1"/>
  <c r="AS300" i="21" s="1"/>
  <c r="AV300" i="21" s="1"/>
  <c r="AK340" i="21"/>
  <c r="AJ341" i="21"/>
  <c r="AM301" i="21"/>
  <c r="AZ301" i="21"/>
  <c r="L301" i="21"/>
  <c r="AI301" i="21"/>
  <c r="AW301" i="21" s="1"/>
  <c r="R300" i="21"/>
  <c r="R301" i="21" s="1"/>
  <c r="K303" i="21"/>
  <c r="AK341" i="21" l="1"/>
  <c r="AJ342" i="21"/>
  <c r="AH303" i="21"/>
  <c r="Q303" i="21"/>
  <c r="N303" i="21"/>
  <c r="AL303" i="21" s="1"/>
  <c r="BE300" i="21"/>
  <c r="BF300" i="21"/>
  <c r="AH302" i="21"/>
  <c r="AI302" i="21" s="1"/>
  <c r="AW302" i="21" s="1"/>
  <c r="L302" i="21"/>
  <c r="L303" i="21" s="1"/>
  <c r="Q302" i="21"/>
  <c r="R302" i="21" s="1"/>
  <c r="N302" i="21"/>
  <c r="BF301" i="21"/>
  <c r="BE301" i="21"/>
  <c r="BG299" i="21"/>
  <c r="AQ325" i="21"/>
  <c r="AP313" i="21"/>
  <c r="AO301" i="21"/>
  <c r="AR301" i="21" s="1"/>
  <c r="AS301" i="21" s="1"/>
  <c r="AV301" i="21" s="1"/>
  <c r="BB300" i="21"/>
  <c r="K304" i="21"/>
  <c r="R303" i="21" l="1"/>
  <c r="AI303" i="21"/>
  <c r="AW303" i="21" s="1"/>
  <c r="AQ327" i="21"/>
  <c r="AO303" i="21"/>
  <c r="AR303" i="21" s="1"/>
  <c r="AS303" i="21" s="1"/>
  <c r="AV303" i="21" s="1"/>
  <c r="AP315" i="21"/>
  <c r="BI299" i="21"/>
  <c r="BJ299" i="21" s="1"/>
  <c r="AL302" i="21"/>
  <c r="O302" i="21"/>
  <c r="O303" i="21" s="1"/>
  <c r="AZ303" i="21"/>
  <c r="AM303" i="21"/>
  <c r="BB301" i="21"/>
  <c r="BD300" i="21"/>
  <c r="BG300" i="21" s="1"/>
  <c r="BI300" i="21" s="1"/>
  <c r="BJ300" i="21" s="1"/>
  <c r="AZ302" i="21"/>
  <c r="AM302" i="21"/>
  <c r="AQ326" i="21"/>
  <c r="AO302" i="21"/>
  <c r="AR302" i="21" s="1"/>
  <c r="AS302" i="21" s="1"/>
  <c r="AV302" i="21" s="1"/>
  <c r="AP314" i="21"/>
  <c r="AH304" i="21"/>
  <c r="AI304" i="21" s="1"/>
  <c r="AW304" i="21" s="1"/>
  <c r="L304" i="21"/>
  <c r="Q304" i="21"/>
  <c r="R304" i="21" s="1"/>
  <c r="N304" i="21"/>
  <c r="AL304" i="21" s="1"/>
  <c r="AK342" i="21"/>
  <c r="AJ343" i="21"/>
  <c r="O304" i="21" l="1"/>
  <c r="AJ344" i="21"/>
  <c r="AK343" i="21"/>
  <c r="AZ304" i="21"/>
  <c r="AM304" i="21"/>
  <c r="AQ328" i="21"/>
  <c r="AP316" i="21"/>
  <c r="AO304" i="21"/>
  <c r="AR304" i="21" s="1"/>
  <c r="AS304" i="21" s="1"/>
  <c r="AV304" i="21" s="1"/>
  <c r="BB302" i="21"/>
  <c r="BD301" i="21"/>
  <c r="BG301" i="21" s="1"/>
  <c r="BI301" i="21" s="1"/>
  <c r="BJ301" i="21" s="1"/>
  <c r="BE302" i="21"/>
  <c r="BF302" i="21"/>
  <c r="BF303" i="21"/>
  <c r="BE303" i="21"/>
  <c r="K305" i="21" l="1"/>
  <c r="BF304" i="21"/>
  <c r="BE304" i="21"/>
  <c r="AJ345" i="21"/>
  <c r="AK344" i="21"/>
  <c r="BB303" i="21"/>
  <c r="BD302" i="21"/>
  <c r="BG302" i="21" s="1"/>
  <c r="BI302" i="21" s="1"/>
  <c r="BJ302" i="21" s="1"/>
  <c r="BB304" i="21" l="1"/>
  <c r="BD303" i="21"/>
  <c r="BG303" i="21" s="1"/>
  <c r="BI303" i="21" s="1"/>
  <c r="BJ303" i="21" s="1"/>
  <c r="AJ346" i="21"/>
  <c r="AK345" i="21"/>
  <c r="K306" i="21"/>
  <c r="L305" i="21"/>
  <c r="AH305" i="21"/>
  <c r="AI305" i="21" s="1"/>
  <c r="AW305" i="21" s="1"/>
  <c r="Q305" i="21"/>
  <c r="N305" i="21"/>
  <c r="K307" i="21"/>
  <c r="AH306" i="21" l="1"/>
  <c r="AI306" i="21" s="1"/>
  <c r="AW306" i="21" s="1"/>
  <c r="L306" i="21"/>
  <c r="Q306" i="21"/>
  <c r="N306" i="21"/>
  <c r="AL306" i="21" s="1"/>
  <c r="AK346" i="21"/>
  <c r="AJ347" i="21"/>
  <c r="AL305" i="21"/>
  <c r="O305" i="21"/>
  <c r="O306" i="21" s="1"/>
  <c r="AZ305" i="21"/>
  <c r="BB305" i="21" s="1"/>
  <c r="AM305" i="21"/>
  <c r="R305" i="21"/>
  <c r="R306" i="21" s="1"/>
  <c r="Q307" i="21"/>
  <c r="AH307" i="21"/>
  <c r="AI307" i="21" s="1"/>
  <c r="AW307" i="21" s="1"/>
  <c r="L307" i="21"/>
  <c r="N307" i="21"/>
  <c r="AL307" i="21" s="1"/>
  <c r="AQ329" i="21"/>
  <c r="AO305" i="21"/>
  <c r="AR305" i="21" s="1"/>
  <c r="AS305" i="21" s="1"/>
  <c r="AV305" i="21" s="1"/>
  <c r="AP317" i="21"/>
  <c r="BD304" i="21"/>
  <c r="BG304" i="21" s="1"/>
  <c r="BI304" i="21" s="1"/>
  <c r="BJ304" i="21" s="1"/>
  <c r="K308" i="21"/>
  <c r="O307" i="21" l="1"/>
  <c r="AH308" i="21"/>
  <c r="L308" i="21"/>
  <c r="Q308" i="21"/>
  <c r="N308" i="21"/>
  <c r="AQ331" i="21"/>
  <c r="AP319" i="21"/>
  <c r="AO307" i="21"/>
  <c r="AR307" i="21" s="1"/>
  <c r="AS307" i="21" s="1"/>
  <c r="AV307" i="21" s="1"/>
  <c r="AJ348" i="21"/>
  <c r="AK347" i="21"/>
  <c r="BD305" i="21"/>
  <c r="AM307" i="21"/>
  <c r="AZ307" i="21"/>
  <c r="R307" i="21"/>
  <c r="AZ306" i="21"/>
  <c r="BB306" i="21" s="1"/>
  <c r="AM306" i="21"/>
  <c r="AQ330" i="21"/>
  <c r="AO306" i="21"/>
  <c r="AR306" i="21" s="1"/>
  <c r="AS306" i="21" s="1"/>
  <c r="AV306" i="21" s="1"/>
  <c r="AP318" i="21"/>
  <c r="BF305" i="21"/>
  <c r="BE305" i="21"/>
  <c r="K309" i="21"/>
  <c r="BG305" i="21" l="1"/>
  <c r="BI305" i="21" s="1"/>
  <c r="BJ305" i="21" s="1"/>
  <c r="BB307" i="21"/>
  <c r="BD306" i="21"/>
  <c r="AL308" i="21"/>
  <c r="AZ308" i="21"/>
  <c r="AM308" i="21"/>
  <c r="BF306" i="21"/>
  <c r="BE306" i="21"/>
  <c r="AP320" i="21"/>
  <c r="AQ332" i="21"/>
  <c r="AO308" i="21"/>
  <c r="AR308" i="21" s="1"/>
  <c r="AS308" i="21" s="1"/>
  <c r="AV308" i="21" s="1"/>
  <c r="AH309" i="21"/>
  <c r="L309" i="21"/>
  <c r="Q309" i="21"/>
  <c r="N309" i="21"/>
  <c r="AL309" i="21" s="1"/>
  <c r="R308" i="21"/>
  <c r="AJ349" i="21"/>
  <c r="AK348" i="21"/>
  <c r="AI308" i="21"/>
  <c r="AW308" i="21" s="1"/>
  <c r="BF307" i="21"/>
  <c r="BE307" i="21"/>
  <c r="O308" i="21"/>
  <c r="K310" i="21"/>
  <c r="O309" i="21" l="1"/>
  <c r="AZ309" i="21"/>
  <c r="AM309" i="21"/>
  <c r="AQ333" i="21"/>
  <c r="AP321" i="21"/>
  <c r="AO309" i="21"/>
  <c r="AR309" i="21" s="1"/>
  <c r="AS309" i="21" s="1"/>
  <c r="AV309" i="21" s="1"/>
  <c r="AI309" i="21"/>
  <c r="AW309" i="21" s="1"/>
  <c r="BF308" i="21"/>
  <c r="BE308" i="21"/>
  <c r="AJ350" i="21"/>
  <c r="AK349" i="21"/>
  <c r="BG306" i="21"/>
  <c r="BI306" i="21" s="1"/>
  <c r="BJ306" i="21" s="1"/>
  <c r="AH310" i="21"/>
  <c r="L310" i="21"/>
  <c r="Q310" i="21"/>
  <c r="N310" i="21"/>
  <c r="R309" i="21"/>
  <c r="BB308" i="21"/>
  <c r="BD307" i="21"/>
  <c r="BG307" i="21" s="1"/>
  <c r="BI307" i="21" s="1"/>
  <c r="BJ307" i="21" s="1"/>
  <c r="K311" i="21"/>
  <c r="R310" i="21" l="1"/>
  <c r="AH311" i="21"/>
  <c r="L311" i="21"/>
  <c r="Q311" i="21"/>
  <c r="N311" i="21"/>
  <c r="AL311" i="21" s="1"/>
  <c r="BB309" i="21"/>
  <c r="BD308" i="21"/>
  <c r="BG308" i="21" s="1"/>
  <c r="AK350" i="21"/>
  <c r="AJ351" i="21"/>
  <c r="K312" i="21"/>
  <c r="AL310" i="21"/>
  <c r="AZ310" i="21"/>
  <c r="AM310" i="21"/>
  <c r="AP322" i="21"/>
  <c r="AQ334" i="21"/>
  <c r="AO310" i="21"/>
  <c r="AR310" i="21" s="1"/>
  <c r="AS310" i="21" s="1"/>
  <c r="AV310" i="21" s="1"/>
  <c r="AI310" i="21"/>
  <c r="AW310" i="21" s="1"/>
  <c r="O310" i="21"/>
  <c r="BF309" i="21"/>
  <c r="BE309" i="21"/>
  <c r="O311" i="21" l="1"/>
  <c r="BI308" i="21"/>
  <c r="BJ308" i="21" s="1"/>
  <c r="BE310" i="21"/>
  <c r="BF310" i="21"/>
  <c r="BB310" i="21"/>
  <c r="BD309" i="21"/>
  <c r="BG309" i="21" s="1"/>
  <c r="BI309" i="21" s="1"/>
  <c r="BJ309" i="21" s="1"/>
  <c r="AH312" i="21"/>
  <c r="L312" i="21"/>
  <c r="Q312" i="21"/>
  <c r="N312" i="21"/>
  <c r="AZ311" i="21"/>
  <c r="AM311" i="21"/>
  <c r="K313" i="21"/>
  <c r="AQ335" i="21"/>
  <c r="AP323" i="21"/>
  <c r="AO311" i="21"/>
  <c r="AR311" i="21" s="1"/>
  <c r="AS311" i="21" s="1"/>
  <c r="AV311" i="21" s="1"/>
  <c r="R311" i="21"/>
  <c r="AI311" i="21"/>
  <c r="AW311" i="21" s="1"/>
  <c r="AJ352" i="21"/>
  <c r="AK351" i="21"/>
  <c r="O312" i="21" l="1"/>
  <c r="BF311" i="21"/>
  <c r="BE311" i="21"/>
  <c r="R312" i="21"/>
  <c r="AL312" i="21"/>
  <c r="BB311" i="21"/>
  <c r="BD310" i="21"/>
  <c r="BG310" i="21" s="1"/>
  <c r="AZ312" i="21"/>
  <c r="AM312" i="21"/>
  <c r="AQ336" i="21"/>
  <c r="AP324" i="21"/>
  <c r="AO312" i="21"/>
  <c r="AR312" i="21" s="1"/>
  <c r="AS312" i="21" s="1"/>
  <c r="AV312" i="21" s="1"/>
  <c r="AI312" i="21"/>
  <c r="AW312" i="21" s="1"/>
  <c r="AK352" i="21"/>
  <c r="AJ353" i="21"/>
  <c r="L313" i="21"/>
  <c r="AH313" i="21"/>
  <c r="Q313" i="21"/>
  <c r="N313" i="21"/>
  <c r="AL313" i="21" s="1"/>
  <c r="K314" i="21"/>
  <c r="O313" i="21" l="1"/>
  <c r="AQ337" i="21"/>
  <c r="AP325" i="21"/>
  <c r="AO313" i="21"/>
  <c r="AR313" i="21" s="1"/>
  <c r="AS313" i="21" s="1"/>
  <c r="AV313" i="21" s="1"/>
  <c r="AK353" i="21"/>
  <c r="AJ354" i="21"/>
  <c r="AZ313" i="21"/>
  <c r="AM313" i="21"/>
  <c r="BI310" i="21"/>
  <c r="BJ310" i="21" s="1"/>
  <c r="AI313" i="21"/>
  <c r="AW313" i="21" s="1"/>
  <c r="BB312" i="21"/>
  <c r="BD311" i="21"/>
  <c r="BG311" i="21" s="1"/>
  <c r="BI311" i="21" s="1"/>
  <c r="BJ311" i="21" s="1"/>
  <c r="R313" i="21"/>
  <c r="AH314" i="21"/>
  <c r="AI314" i="21" s="1"/>
  <c r="AW314" i="21" s="1"/>
  <c r="L314" i="21"/>
  <c r="Q314" i="21"/>
  <c r="N314" i="21"/>
  <c r="BF312" i="21"/>
  <c r="BE312" i="21"/>
  <c r="K315" i="21"/>
  <c r="L315" i="21" l="1"/>
  <c r="AH315" i="21"/>
  <c r="AI315" i="21" s="1"/>
  <c r="AW315" i="21" s="1"/>
  <c r="Q315" i="21"/>
  <c r="N315" i="21"/>
  <c r="AL315" i="21" s="1"/>
  <c r="AL314" i="21"/>
  <c r="AZ314" i="21"/>
  <c r="AM314" i="21"/>
  <c r="AQ338" i="21"/>
  <c r="AP326" i="21"/>
  <c r="AO314" i="21"/>
  <c r="AR314" i="21" s="1"/>
  <c r="AS314" i="21" s="1"/>
  <c r="AV314" i="21" s="1"/>
  <c r="BF313" i="21"/>
  <c r="BE313" i="21"/>
  <c r="R314" i="21"/>
  <c r="R315" i="21" s="1"/>
  <c r="AJ355" i="21"/>
  <c r="AK354" i="21"/>
  <c r="BD312" i="21"/>
  <c r="BG312" i="21" s="1"/>
  <c r="BB313" i="21"/>
  <c r="O314" i="21"/>
  <c r="K316" i="21"/>
  <c r="O315" i="21" l="1"/>
  <c r="AJ356" i="21"/>
  <c r="AK355" i="21"/>
  <c r="K317" i="21"/>
  <c r="BB314" i="21"/>
  <c r="BD313" i="21"/>
  <c r="BG313" i="21" s="1"/>
  <c r="BI313" i="21" s="1"/>
  <c r="BJ313" i="21" s="1"/>
  <c r="L316" i="21"/>
  <c r="AH316" i="21"/>
  <c r="AI316" i="21" s="1"/>
  <c r="AW316" i="21" s="1"/>
  <c r="Q316" i="21"/>
  <c r="N316" i="21"/>
  <c r="AL316" i="21" s="1"/>
  <c r="BI312" i="21"/>
  <c r="BJ312" i="21" s="1"/>
  <c r="AZ315" i="21"/>
  <c r="AM315" i="21"/>
  <c r="R316" i="21"/>
  <c r="BF314" i="21"/>
  <c r="BE314" i="21"/>
  <c r="AQ339" i="21"/>
  <c r="AO315" i="21"/>
  <c r="AR315" i="21" s="1"/>
  <c r="AS315" i="21" s="1"/>
  <c r="AV315" i="21" s="1"/>
  <c r="AP327" i="21"/>
  <c r="BF315" i="21" l="1"/>
  <c r="BE315" i="21"/>
  <c r="BB315" i="21"/>
  <c r="BD314" i="21"/>
  <c r="BG314" i="21" s="1"/>
  <c r="AH317" i="21"/>
  <c r="AI317" i="21" s="1"/>
  <c r="AW317" i="21" s="1"/>
  <c r="L317" i="21"/>
  <c r="Q317" i="21"/>
  <c r="N317" i="21"/>
  <c r="AL317" i="21" s="1"/>
  <c r="AQ340" i="21"/>
  <c r="AP328" i="21"/>
  <c r="AO316" i="21"/>
  <c r="AR316" i="21" s="1"/>
  <c r="AS316" i="21" s="1"/>
  <c r="AV316" i="21" s="1"/>
  <c r="O316" i="21"/>
  <c r="O317" i="21" s="1"/>
  <c r="AM316" i="21"/>
  <c r="AZ316" i="21"/>
  <c r="AK356" i="21"/>
  <c r="AJ357" i="21"/>
  <c r="BF316" i="21" l="1"/>
  <c r="BE316" i="21"/>
  <c r="BI314" i="21"/>
  <c r="BJ314" i="21" s="1"/>
  <c r="BB316" i="21"/>
  <c r="BD315" i="21"/>
  <c r="BG315" i="21" s="1"/>
  <c r="BI315" i="21" s="1"/>
  <c r="BJ315" i="21" s="1"/>
  <c r="AZ317" i="21"/>
  <c r="AM317" i="21"/>
  <c r="AQ341" i="21"/>
  <c r="AP329" i="21"/>
  <c r="AO317" i="21"/>
  <c r="AR317" i="21" s="1"/>
  <c r="AS317" i="21" s="1"/>
  <c r="AV317" i="21" s="1"/>
  <c r="K318" i="21"/>
  <c r="AJ358" i="21"/>
  <c r="AK357" i="21"/>
  <c r="R317" i="21"/>
  <c r="K319" i="21"/>
  <c r="AH318" i="21" l="1"/>
  <c r="AI318" i="21" s="1"/>
  <c r="AW318" i="21" s="1"/>
  <c r="Q318" i="21"/>
  <c r="L318" i="21"/>
  <c r="N318" i="21"/>
  <c r="BD316" i="21"/>
  <c r="BG316" i="21" s="1"/>
  <c r="BI316" i="21" s="1"/>
  <c r="BJ316" i="21" s="1"/>
  <c r="BB317" i="21"/>
  <c r="K320" i="21"/>
  <c r="BE317" i="21"/>
  <c r="BF317" i="21"/>
  <c r="AH319" i="21"/>
  <c r="AI319" i="21" s="1"/>
  <c r="AW319" i="21" s="1"/>
  <c r="L319" i="21"/>
  <c r="Q319" i="21"/>
  <c r="N319" i="21"/>
  <c r="AL319" i="21" s="1"/>
  <c r="AJ359" i="21"/>
  <c r="AK358" i="21"/>
  <c r="AM319" i="21" l="1"/>
  <c r="AZ319" i="21"/>
  <c r="BD317" i="21"/>
  <c r="BG317" i="21" s="1"/>
  <c r="BI317" i="21" s="1"/>
  <c r="BJ317" i="21" s="1"/>
  <c r="AJ360" i="21"/>
  <c r="AK359" i="21"/>
  <c r="AQ343" i="21"/>
  <c r="AP331" i="21"/>
  <c r="AO319" i="21"/>
  <c r="AR319" i="21" s="1"/>
  <c r="AS319" i="21" s="1"/>
  <c r="AV319" i="21" s="1"/>
  <c r="AL318" i="21"/>
  <c r="O318" i="21"/>
  <c r="O319" i="21" s="1"/>
  <c r="AQ342" i="21"/>
  <c r="AP330" i="21"/>
  <c r="AO318" i="21"/>
  <c r="AR318" i="21" s="1"/>
  <c r="AS318" i="21" s="1"/>
  <c r="AV318" i="21" s="1"/>
  <c r="AM318" i="21"/>
  <c r="AZ318" i="21"/>
  <c r="L320" i="21"/>
  <c r="Q320" i="21"/>
  <c r="AH320" i="21"/>
  <c r="N320" i="21"/>
  <c r="R318" i="21"/>
  <c r="R319" i="21" s="1"/>
  <c r="R320" i="21" l="1"/>
  <c r="AJ361" i="21"/>
  <c r="AK360" i="21"/>
  <c r="BF318" i="21"/>
  <c r="BE318" i="21"/>
  <c r="AI320" i="21"/>
  <c r="AW320" i="21" s="1"/>
  <c r="O320" i="21"/>
  <c r="BB318" i="21"/>
  <c r="AL320" i="21"/>
  <c r="AZ320" i="21"/>
  <c r="AM320" i="21"/>
  <c r="BE319" i="21"/>
  <c r="BF319" i="21"/>
  <c r="AP332" i="21"/>
  <c r="AQ344" i="21"/>
  <c r="AO320" i="21"/>
  <c r="AR320" i="21" s="1"/>
  <c r="AS320" i="21" s="1"/>
  <c r="AV320" i="21" s="1"/>
  <c r="BB319" i="21" l="1"/>
  <c r="BD318" i="21"/>
  <c r="BG318" i="21" s="1"/>
  <c r="BI318" i="21" s="1"/>
  <c r="BJ318" i="21" s="1"/>
  <c r="K322" i="21"/>
  <c r="BF320" i="21"/>
  <c r="BE320" i="21"/>
  <c r="K321" i="21"/>
  <c r="AJ362" i="21"/>
  <c r="AK361" i="21"/>
  <c r="K323" i="21" l="1"/>
  <c r="AJ363" i="21"/>
  <c r="AK362" i="21"/>
  <c r="AH322" i="21"/>
  <c r="Q322" i="21"/>
  <c r="N322" i="21"/>
  <c r="AL322" i="21" s="1"/>
  <c r="AH321" i="21"/>
  <c r="L321" i="21"/>
  <c r="L322" i="21" s="1"/>
  <c r="Q321" i="21"/>
  <c r="N321" i="21"/>
  <c r="BD319" i="21"/>
  <c r="BG319" i="21" s="1"/>
  <c r="BI319" i="21" s="1"/>
  <c r="BJ319" i="21" s="1"/>
  <c r="BB320" i="21"/>
  <c r="AL321" i="21" l="1"/>
  <c r="O321" i="21"/>
  <c r="O322" i="21" s="1"/>
  <c r="AQ346" i="21"/>
  <c r="AP334" i="21"/>
  <c r="AO322" i="21"/>
  <c r="AR322" i="21" s="1"/>
  <c r="AS322" i="21" s="1"/>
  <c r="AV322" i="21" s="1"/>
  <c r="AQ345" i="21"/>
  <c r="AO321" i="21"/>
  <c r="AR321" i="21" s="1"/>
  <c r="AS321" i="21" s="1"/>
  <c r="AV321" i="21" s="1"/>
  <c r="AP333" i="21"/>
  <c r="AZ322" i="21"/>
  <c r="AM322" i="21"/>
  <c r="AI321" i="21"/>
  <c r="AW321" i="21" s="1"/>
  <c r="AJ364" i="21"/>
  <c r="AK363" i="21"/>
  <c r="AH323" i="21"/>
  <c r="L323" i="21"/>
  <c r="Q323" i="21"/>
  <c r="N323" i="21"/>
  <c r="AL323" i="21" s="1"/>
  <c r="AZ321" i="21"/>
  <c r="BB321" i="21" s="1"/>
  <c r="AM321" i="21"/>
  <c r="R321" i="21"/>
  <c r="R322" i="21" s="1"/>
  <c r="BD320" i="21"/>
  <c r="BG320" i="21" s="1"/>
  <c r="R323" i="21" l="1"/>
  <c r="BF321" i="21"/>
  <c r="BE321" i="21"/>
  <c r="AI322" i="21"/>
  <c r="AW322" i="21" s="1"/>
  <c r="AZ323" i="21"/>
  <c r="AM323" i="21"/>
  <c r="AJ365" i="21"/>
  <c r="AK364" i="21"/>
  <c r="BI320" i="21"/>
  <c r="BJ320" i="21" s="1"/>
  <c r="AQ347" i="21"/>
  <c r="AO323" i="21"/>
  <c r="AR323" i="21" s="1"/>
  <c r="AS323" i="21" s="1"/>
  <c r="AV323" i="21" s="1"/>
  <c r="AP335" i="21"/>
  <c r="BF322" i="21"/>
  <c r="BE322" i="21"/>
  <c r="BD321" i="21"/>
  <c r="BG321" i="21" s="1"/>
  <c r="BI321" i="21" s="1"/>
  <c r="BJ321" i="21" s="1"/>
  <c r="BB322" i="21"/>
  <c r="O323" i="21"/>
  <c r="AI323" i="21" l="1"/>
  <c r="AW323" i="21" s="1"/>
  <c r="AJ366" i="21"/>
  <c r="AK366" i="21" s="1"/>
  <c r="AK365" i="21"/>
  <c r="BF323" i="21"/>
  <c r="BE323" i="21"/>
  <c r="BB323" i="21"/>
  <c r="BD322" i="21"/>
  <c r="BG322" i="21" s="1"/>
  <c r="K324" i="21"/>
  <c r="K325" i="21"/>
  <c r="BD323" i="21" l="1"/>
  <c r="BG323" i="21" s="1"/>
  <c r="BI323" i="21" s="1"/>
  <c r="BJ323" i="21" s="1"/>
  <c r="Q324" i="21"/>
  <c r="AH324" i="21"/>
  <c r="L324" i="21"/>
  <c r="N324" i="21"/>
  <c r="AH325" i="21"/>
  <c r="Q325" i="21"/>
  <c r="N325" i="21"/>
  <c r="AL325" i="21" s="1"/>
  <c r="BI322" i="21"/>
  <c r="BJ322" i="21" s="1"/>
  <c r="BS373" i="21"/>
  <c r="AK372" i="21"/>
  <c r="BS372" i="21"/>
  <c r="AK373" i="21"/>
  <c r="AK6" i="21"/>
  <c r="AK374" i="21"/>
  <c r="BS374" i="21"/>
  <c r="BS375" i="21"/>
  <c r="AK375" i="21"/>
  <c r="AK376" i="21"/>
  <c r="BS376" i="21"/>
  <c r="AK377" i="21"/>
  <c r="BS377" i="21"/>
  <c r="BS378" i="21"/>
  <c r="AK378" i="21"/>
  <c r="BS379" i="21"/>
  <c r="AK379" i="21"/>
  <c r="BS380" i="21"/>
  <c r="AK380" i="21"/>
  <c r="BS381" i="21"/>
  <c r="AK381" i="21"/>
  <c r="AK382" i="21"/>
  <c r="BS382" i="21"/>
  <c r="BS383" i="21"/>
  <c r="AK383" i="21"/>
  <c r="BS384" i="21"/>
  <c r="AK384" i="21"/>
  <c r="AK385" i="21"/>
  <c r="BS385" i="21"/>
  <c r="AK386" i="21"/>
  <c r="BS386" i="21"/>
  <c r="BS387" i="21"/>
  <c r="AK387" i="21"/>
  <c r="AK388" i="21"/>
  <c r="BS388" i="21"/>
  <c r="AK389" i="21"/>
  <c r="BS389" i="21"/>
  <c r="BS390" i="21"/>
  <c r="AK390" i="21"/>
  <c r="BS391" i="21"/>
  <c r="AK391" i="21"/>
  <c r="AK392" i="21"/>
  <c r="BS392" i="21"/>
  <c r="BS393" i="21"/>
  <c r="AK393" i="21"/>
  <c r="AK394" i="21"/>
  <c r="BS394" i="21"/>
  <c r="AK395" i="21"/>
  <c r="BS395" i="21"/>
  <c r="AK396" i="21"/>
  <c r="BS396" i="21"/>
  <c r="AK397" i="21"/>
  <c r="BS397" i="21"/>
  <c r="AK398" i="21"/>
  <c r="BS398" i="21"/>
  <c r="BS399" i="21"/>
  <c r="AK399" i="21"/>
  <c r="BS400" i="21"/>
  <c r="AK400" i="21"/>
  <c r="BS401" i="21"/>
  <c r="AK401" i="21"/>
  <c r="BS402" i="21"/>
  <c r="AK402" i="21"/>
  <c r="K326" i="21"/>
  <c r="AL324" i="21" l="1"/>
  <c r="O324" i="21"/>
  <c r="O325" i="21" s="1"/>
  <c r="AQ348" i="21"/>
  <c r="AP336" i="21"/>
  <c r="AO324" i="21"/>
  <c r="AR324" i="21" s="1"/>
  <c r="AS324" i="21" s="1"/>
  <c r="AV324" i="21" s="1"/>
  <c r="AH326" i="21"/>
  <c r="Q326" i="21"/>
  <c r="N326" i="21"/>
  <c r="AL326" i="21" s="1"/>
  <c r="AI324" i="21"/>
  <c r="AW324" i="21" s="1"/>
  <c r="AM324" i="21"/>
  <c r="AZ324" i="21"/>
  <c r="R324" i="21"/>
  <c r="R325" i="21" s="1"/>
  <c r="AZ325" i="21"/>
  <c r="AM325" i="21"/>
  <c r="L325" i="21"/>
  <c r="R326" i="21" l="1"/>
  <c r="BF324" i="21"/>
  <c r="BE324" i="21"/>
  <c r="BB324" i="21"/>
  <c r="AQ349" i="21"/>
  <c r="AP337" i="21"/>
  <c r="AO325" i="21"/>
  <c r="AR325" i="21" s="1"/>
  <c r="AS325" i="21" s="1"/>
  <c r="AV325" i="21" s="1"/>
  <c r="O326" i="21"/>
  <c r="K327" i="21"/>
  <c r="BF325" i="21"/>
  <c r="BE325" i="21"/>
  <c r="AZ326" i="21"/>
  <c r="AM326" i="21"/>
  <c r="L326" i="21"/>
  <c r="AI325" i="21"/>
  <c r="AW325" i="21" s="1"/>
  <c r="K328" i="21"/>
  <c r="BF326" i="21" l="1"/>
  <c r="BE326" i="21"/>
  <c r="AH328" i="21"/>
  <c r="Q328" i="21"/>
  <c r="N328" i="21"/>
  <c r="AL328" i="21" s="1"/>
  <c r="AI326" i="21"/>
  <c r="AW326" i="21" s="1"/>
  <c r="BB325" i="21"/>
  <c r="BD324" i="21"/>
  <c r="BG324" i="21" s="1"/>
  <c r="AH327" i="21"/>
  <c r="L327" i="21"/>
  <c r="L328" i="21" s="1"/>
  <c r="Q327" i="21"/>
  <c r="N327" i="21"/>
  <c r="K329" i="21"/>
  <c r="AQ350" i="21"/>
  <c r="AP338" i="21"/>
  <c r="AO326" i="21"/>
  <c r="AR326" i="21" s="1"/>
  <c r="AS326" i="21" s="1"/>
  <c r="AV326" i="21" s="1"/>
  <c r="AP340" i="21" l="1"/>
  <c r="AQ352" i="21"/>
  <c r="AO328" i="21"/>
  <c r="AR328" i="21" s="1"/>
  <c r="AS328" i="21" s="1"/>
  <c r="AV328" i="21" s="1"/>
  <c r="BB326" i="21"/>
  <c r="BD325" i="21"/>
  <c r="BG325" i="21" s="1"/>
  <c r="BI325" i="21" s="1"/>
  <c r="BJ325" i="21" s="1"/>
  <c r="AH329" i="21"/>
  <c r="L329" i="21"/>
  <c r="Q329" i="21"/>
  <c r="N329" i="21"/>
  <c r="AL329" i="21" s="1"/>
  <c r="AL327" i="21"/>
  <c r="AM328" i="21"/>
  <c r="AZ328" i="21"/>
  <c r="AZ327" i="21"/>
  <c r="AM327" i="21"/>
  <c r="R327" i="21"/>
  <c r="R328" i="21" s="1"/>
  <c r="O327" i="21"/>
  <c r="O328" i="21" s="1"/>
  <c r="O329" i="21" s="1"/>
  <c r="AP339" i="21"/>
  <c r="AQ351" i="21"/>
  <c r="AO327" i="21"/>
  <c r="AR327" i="21" s="1"/>
  <c r="AS327" i="21" s="1"/>
  <c r="AV327" i="21" s="1"/>
  <c r="AI327" i="21"/>
  <c r="AW327" i="21" s="1"/>
  <c r="BI324" i="21"/>
  <c r="BJ324" i="21" s="1"/>
  <c r="K330" i="21"/>
  <c r="AI328" i="21" l="1"/>
  <c r="AW328" i="21" s="1"/>
  <c r="AZ329" i="21"/>
  <c r="AM329" i="21"/>
  <c r="AQ353" i="21"/>
  <c r="AP341" i="21"/>
  <c r="AO329" i="21"/>
  <c r="AR329" i="21" s="1"/>
  <c r="AS329" i="21" s="1"/>
  <c r="AV329" i="21" s="1"/>
  <c r="BE327" i="21"/>
  <c r="BF327" i="21"/>
  <c r="BF328" i="21"/>
  <c r="BE328" i="21"/>
  <c r="AH330" i="21"/>
  <c r="Q330" i="21"/>
  <c r="L330" i="21"/>
  <c r="N330" i="21"/>
  <c r="AL330" i="21" s="1"/>
  <c r="BB327" i="21"/>
  <c r="BD326" i="21"/>
  <c r="BG326" i="21" s="1"/>
  <c r="R329" i="21"/>
  <c r="K331" i="21"/>
  <c r="AI329" i="21" l="1"/>
  <c r="AW329" i="21" s="1"/>
  <c r="AQ354" i="21"/>
  <c r="AP342" i="21"/>
  <c r="AO330" i="21"/>
  <c r="AR330" i="21" s="1"/>
  <c r="AS330" i="21" s="1"/>
  <c r="AV330" i="21" s="1"/>
  <c r="AM330" i="21"/>
  <c r="AZ330" i="21"/>
  <c r="AH331" i="21"/>
  <c r="L331" i="21"/>
  <c r="Q331" i="21"/>
  <c r="N331" i="21"/>
  <c r="AL331" i="21" s="1"/>
  <c r="R330" i="21"/>
  <c r="BB328" i="21"/>
  <c r="BD327" i="21"/>
  <c r="BG327" i="21" s="1"/>
  <c r="BI327" i="21" s="1"/>
  <c r="BJ327" i="21" s="1"/>
  <c r="O330" i="21"/>
  <c r="O331" i="21" s="1"/>
  <c r="BI326" i="21"/>
  <c r="BJ326" i="21" s="1"/>
  <c r="BE329" i="21"/>
  <c r="BF329" i="21"/>
  <c r="AI330" i="21" l="1"/>
  <c r="AW330" i="21" s="1"/>
  <c r="AZ331" i="21"/>
  <c r="AM331" i="21"/>
  <c r="AQ355" i="21"/>
  <c r="AP343" i="21"/>
  <c r="AO331" i="21"/>
  <c r="AR331" i="21" s="1"/>
  <c r="AS331" i="21" s="1"/>
  <c r="AV331" i="21" s="1"/>
  <c r="BF330" i="21"/>
  <c r="BE330" i="21"/>
  <c r="K332" i="21"/>
  <c r="BB329" i="21"/>
  <c r="BD328" i="21"/>
  <c r="BG328" i="21" s="1"/>
  <c r="BI328" i="21" s="1"/>
  <c r="BJ328" i="21" s="1"/>
  <c r="R331" i="21"/>
  <c r="K333" i="21"/>
  <c r="AI331" i="21" l="1"/>
  <c r="AW331" i="21" s="1"/>
  <c r="AH333" i="21"/>
  <c r="Q333" i="21"/>
  <c r="N333" i="21"/>
  <c r="AL333" i="21" s="1"/>
  <c r="BB330" i="21"/>
  <c r="BD329" i="21"/>
  <c r="BG329" i="21" s="1"/>
  <c r="BI329" i="21" s="1"/>
  <c r="BJ329" i="21" s="1"/>
  <c r="L332" i="21"/>
  <c r="Q332" i="21"/>
  <c r="R332" i="21" s="1"/>
  <c r="R333" i="21" s="1"/>
  <c r="AH332" i="21"/>
  <c r="N332" i="21"/>
  <c r="BE331" i="21"/>
  <c r="BF331" i="21"/>
  <c r="K334" i="21"/>
  <c r="AH334" i="21" l="1"/>
  <c r="Q334" i="21"/>
  <c r="N334" i="21"/>
  <c r="AL334" i="21" s="1"/>
  <c r="AQ356" i="21"/>
  <c r="AP344" i="21"/>
  <c r="AO332" i="21"/>
  <c r="AR332" i="21" s="1"/>
  <c r="AS332" i="21" s="1"/>
  <c r="AV332" i="21" s="1"/>
  <c r="BB331" i="21"/>
  <c r="BD330" i="21"/>
  <c r="BG330" i="21" s="1"/>
  <c r="BI330" i="21" s="1"/>
  <c r="BJ330" i="21" s="1"/>
  <c r="R334" i="21"/>
  <c r="AL332" i="21"/>
  <c r="O332" i="21"/>
  <c r="O333" i="21" s="1"/>
  <c r="O334" i="21" s="1"/>
  <c r="AZ333" i="21"/>
  <c r="AM333" i="21"/>
  <c r="AI332" i="21"/>
  <c r="AW332" i="21" s="1"/>
  <c r="L333" i="21"/>
  <c r="AZ332" i="21"/>
  <c r="AM332" i="21"/>
  <c r="K335" i="21"/>
  <c r="AI333" i="21" l="1"/>
  <c r="AW333" i="21" s="1"/>
  <c r="AQ357" i="21"/>
  <c r="AP345" i="21"/>
  <c r="AO333" i="21"/>
  <c r="AR333" i="21" s="1"/>
  <c r="AS333" i="21" s="1"/>
  <c r="AV333" i="21" s="1"/>
  <c r="BB332" i="21"/>
  <c r="BD331" i="21"/>
  <c r="BG331" i="21" s="1"/>
  <c r="BI331" i="21" s="1"/>
  <c r="BJ331" i="21" s="1"/>
  <c r="BF332" i="21"/>
  <c r="BE332" i="21"/>
  <c r="BE333" i="21"/>
  <c r="BF333" i="21"/>
  <c r="AZ334" i="21"/>
  <c r="AM334" i="21"/>
  <c r="Q335" i="21"/>
  <c r="R335" i="21" s="1"/>
  <c r="AH335" i="21"/>
  <c r="N335" i="21"/>
  <c r="O335" i="21" s="1"/>
  <c r="L334" i="21"/>
  <c r="AI334" i="21" l="1"/>
  <c r="AW334" i="21" s="1"/>
  <c r="BB333" i="21"/>
  <c r="BD332" i="21"/>
  <c r="BG332" i="21" s="1"/>
  <c r="AQ358" i="21"/>
  <c r="AP346" i="21"/>
  <c r="AO334" i="21"/>
  <c r="AR334" i="21" s="1"/>
  <c r="AS334" i="21" s="1"/>
  <c r="AV334" i="21" s="1"/>
  <c r="L335" i="21"/>
  <c r="BF334" i="21"/>
  <c r="BE334" i="21"/>
  <c r="AZ335" i="21"/>
  <c r="AM335" i="21"/>
  <c r="K336" i="21"/>
  <c r="AL335" i="21"/>
  <c r="AI335" i="21" l="1"/>
  <c r="AW335" i="21" s="1"/>
  <c r="BF335" i="21"/>
  <c r="BE335" i="21"/>
  <c r="BI332" i="21"/>
  <c r="BJ332" i="21" s="1"/>
  <c r="BD333" i="21"/>
  <c r="BG333" i="21" s="1"/>
  <c r="BI333" i="21" s="1"/>
  <c r="BJ333" i="21" s="1"/>
  <c r="BB334" i="21"/>
  <c r="Q336" i="21"/>
  <c r="AH336" i="21"/>
  <c r="L336" i="21"/>
  <c r="N336" i="21"/>
  <c r="AP347" i="21"/>
  <c r="AQ359" i="21"/>
  <c r="AO335" i="21"/>
  <c r="AR335" i="21" s="1"/>
  <c r="AS335" i="21" s="1"/>
  <c r="AV335" i="21" s="1"/>
  <c r="K337" i="21" l="1"/>
  <c r="AL336" i="21"/>
  <c r="O336" i="21"/>
  <c r="AQ360" i="21"/>
  <c r="AP348" i="21"/>
  <c r="AO336" i="21"/>
  <c r="AR336" i="21" s="1"/>
  <c r="AS336" i="21" s="1"/>
  <c r="AV336" i="21" s="1"/>
  <c r="AI336" i="21"/>
  <c r="AW336" i="21" s="1"/>
  <c r="AM336" i="21"/>
  <c r="AZ336" i="21"/>
  <c r="R336" i="21"/>
  <c r="BB335" i="21"/>
  <c r="BD334" i="21"/>
  <c r="BG334" i="21" s="1"/>
  <c r="K338" i="21" l="1"/>
  <c r="BB336" i="21"/>
  <c r="BD335" i="21"/>
  <c r="BG335" i="21" s="1"/>
  <c r="BI335" i="21" s="1"/>
  <c r="BJ335" i="21" s="1"/>
  <c r="BF336" i="21"/>
  <c r="BE336" i="21"/>
  <c r="BI334" i="21"/>
  <c r="BJ334" i="21" s="1"/>
  <c r="AH337" i="21"/>
  <c r="L337" i="21"/>
  <c r="Q337" i="21"/>
  <c r="N337" i="21"/>
  <c r="AL337" i="21" l="1"/>
  <c r="AZ337" i="21"/>
  <c r="BB337" i="21" s="1"/>
  <c r="AM337" i="21"/>
  <c r="AQ361" i="21"/>
  <c r="AP349" i="21"/>
  <c r="AO337" i="21"/>
  <c r="AR337" i="21" s="1"/>
  <c r="AS337" i="21" s="1"/>
  <c r="AV337" i="21" s="1"/>
  <c r="R337" i="21"/>
  <c r="K339" i="21"/>
  <c r="AI337" i="21"/>
  <c r="AW337" i="21" s="1"/>
  <c r="BD336" i="21"/>
  <c r="BG336" i="21" s="1"/>
  <c r="AH338" i="21"/>
  <c r="L338" i="21"/>
  <c r="Q338" i="21"/>
  <c r="N338" i="21"/>
  <c r="AL338" i="21" s="1"/>
  <c r="O337" i="21"/>
  <c r="O338" i="21" l="1"/>
  <c r="BI336" i="21"/>
  <c r="BJ336" i="21" s="1"/>
  <c r="BD337" i="21"/>
  <c r="AZ338" i="21"/>
  <c r="AM338" i="21"/>
  <c r="AH339" i="21"/>
  <c r="L339" i="21"/>
  <c r="Q339" i="21"/>
  <c r="N339" i="21"/>
  <c r="AL339" i="21" s="1"/>
  <c r="BF337" i="21"/>
  <c r="BE337" i="21"/>
  <c r="AQ362" i="21"/>
  <c r="AP350" i="21"/>
  <c r="AO338" i="21"/>
  <c r="AR338" i="21" s="1"/>
  <c r="AS338" i="21" s="1"/>
  <c r="AV338" i="21" s="1"/>
  <c r="AI338" i="21"/>
  <c r="AW338" i="21" s="1"/>
  <c r="R338" i="21"/>
  <c r="O339" i="21" l="1"/>
  <c r="AI339" i="21"/>
  <c r="AW339" i="21" s="1"/>
  <c r="BF338" i="21"/>
  <c r="BE338" i="21"/>
  <c r="K340" i="21"/>
  <c r="BG337" i="21"/>
  <c r="R339" i="21"/>
  <c r="BB338" i="21"/>
  <c r="AZ339" i="21"/>
  <c r="AM339" i="21"/>
  <c r="AQ363" i="21"/>
  <c r="AP351" i="21"/>
  <c r="AO339" i="21"/>
  <c r="AR339" i="21" s="1"/>
  <c r="AS339" i="21" s="1"/>
  <c r="AV339" i="21" s="1"/>
  <c r="K341" i="21"/>
  <c r="K342" i="21" l="1"/>
  <c r="BI337" i="21"/>
  <c r="BJ337" i="21" s="1"/>
  <c r="AH340" i="21"/>
  <c r="AI340" i="21" s="1"/>
  <c r="AW340" i="21" s="1"/>
  <c r="L340" i="21"/>
  <c r="Q340" i="21"/>
  <c r="N340" i="21"/>
  <c r="Q341" i="21"/>
  <c r="AH341" i="21"/>
  <c r="N341" i="21"/>
  <c r="AL341" i="21" s="1"/>
  <c r="BE339" i="21"/>
  <c r="BF339" i="21"/>
  <c r="BB339" i="21"/>
  <c r="BD338" i="21"/>
  <c r="BG338" i="21" s="1"/>
  <c r="BI338" i="21" s="1"/>
  <c r="BJ338" i="21" s="1"/>
  <c r="BD339" i="21" l="1"/>
  <c r="BG339" i="21" s="1"/>
  <c r="BI339" i="21" s="1"/>
  <c r="BJ339" i="21" s="1"/>
  <c r="AZ340" i="21"/>
  <c r="AM340" i="21"/>
  <c r="AQ364" i="21"/>
  <c r="AP352" i="21"/>
  <c r="AO340" i="21"/>
  <c r="AR340" i="21" s="1"/>
  <c r="AS340" i="21" s="1"/>
  <c r="AV340" i="21" s="1"/>
  <c r="AI341" i="21"/>
  <c r="AW341" i="21" s="1"/>
  <c r="AM341" i="21"/>
  <c r="AZ341" i="21"/>
  <c r="AH342" i="21"/>
  <c r="Q342" i="21"/>
  <c r="N342" i="21"/>
  <c r="AL342" i="21" s="1"/>
  <c r="K343" i="21"/>
  <c r="L341" i="21"/>
  <c r="L342" i="21" s="1"/>
  <c r="AL340" i="21"/>
  <c r="O340" i="21"/>
  <c r="O341" i="21" s="1"/>
  <c r="R340" i="21"/>
  <c r="R341" i="21" s="1"/>
  <c r="L343" i="21" l="1"/>
  <c r="AH343" i="21"/>
  <c r="Q343" i="21"/>
  <c r="N343" i="21"/>
  <c r="AL343" i="21" s="1"/>
  <c r="AZ342" i="21"/>
  <c r="AM342" i="21"/>
  <c r="R342" i="21"/>
  <c r="R343" i="21" s="1"/>
  <c r="AQ366" i="21"/>
  <c r="AO342" i="21"/>
  <c r="AR342" i="21" s="1"/>
  <c r="AS342" i="21" s="1"/>
  <c r="AV342" i="21" s="1"/>
  <c r="AP354" i="21"/>
  <c r="O342" i="21"/>
  <c r="AI342" i="21"/>
  <c r="AW342" i="21" s="1"/>
  <c r="BE340" i="21"/>
  <c r="BF340" i="21"/>
  <c r="BF341" i="21"/>
  <c r="BE341" i="21"/>
  <c r="AP353" i="21"/>
  <c r="AQ365" i="21"/>
  <c r="AO341" i="21"/>
  <c r="AR341" i="21" s="1"/>
  <c r="AS341" i="21" s="1"/>
  <c r="AV341" i="21" s="1"/>
  <c r="BB340" i="21"/>
  <c r="K344" i="21"/>
  <c r="L344" i="21" l="1"/>
  <c r="AH344" i="21"/>
  <c r="Q344" i="21"/>
  <c r="R344" i="21" s="1"/>
  <c r="N344" i="21"/>
  <c r="BF342" i="21"/>
  <c r="BE342" i="21"/>
  <c r="BD340" i="21"/>
  <c r="BG340" i="21" s="1"/>
  <c r="BI340" i="21" s="1"/>
  <c r="BJ340" i="21" s="1"/>
  <c r="BB341" i="21"/>
  <c r="O343" i="21"/>
  <c r="AM343" i="21"/>
  <c r="AZ343" i="21"/>
  <c r="AI343" i="21"/>
  <c r="AW343" i="21" s="1"/>
  <c r="AP355" i="21"/>
  <c r="AO343" i="21"/>
  <c r="AR343" i="21" s="1"/>
  <c r="AS343" i="21" s="1"/>
  <c r="AV343" i="21" s="1"/>
  <c r="K345" i="21"/>
  <c r="L345" i="21" l="1"/>
  <c r="AH345" i="21"/>
  <c r="Q345" i="21"/>
  <c r="N345" i="21"/>
  <c r="AL345" i="21" s="1"/>
  <c r="AL344" i="21"/>
  <c r="O344" i="21"/>
  <c r="O345" i="21" s="1"/>
  <c r="AM344" i="21"/>
  <c r="AZ344" i="21"/>
  <c r="BF343" i="21"/>
  <c r="BE343" i="21"/>
  <c r="BD341" i="21"/>
  <c r="BG341" i="21" s="1"/>
  <c r="BI341" i="21" s="1"/>
  <c r="BJ341" i="21" s="1"/>
  <c r="BB342" i="21"/>
  <c r="AI344" i="21"/>
  <c r="AW344" i="21" s="1"/>
  <c r="K346" i="21"/>
  <c r="AP356" i="21"/>
  <c r="AO344" i="21"/>
  <c r="AR344" i="21" s="1"/>
  <c r="AS344" i="21" s="1"/>
  <c r="AV344" i="21" s="1"/>
  <c r="BD342" i="21" l="1"/>
  <c r="BG342" i="21" s="1"/>
  <c r="BI342" i="21" s="1"/>
  <c r="BJ342" i="21" s="1"/>
  <c r="BB343" i="21"/>
  <c r="AZ345" i="21"/>
  <c r="AM345" i="21"/>
  <c r="AI345" i="21"/>
  <c r="AW345" i="21" s="1"/>
  <c r="AH346" i="21"/>
  <c r="L346" i="21"/>
  <c r="Q346" i="21"/>
  <c r="N346" i="21"/>
  <c r="BF344" i="21"/>
  <c r="BE344" i="21"/>
  <c r="AP357" i="21"/>
  <c r="AO345" i="21"/>
  <c r="AR345" i="21" s="1"/>
  <c r="AS345" i="21" s="1"/>
  <c r="AV345" i="21" s="1"/>
  <c r="R345" i="21"/>
  <c r="R346" i="21" s="1"/>
  <c r="AP358" i="21" l="1"/>
  <c r="AO346" i="21"/>
  <c r="AR346" i="21" s="1"/>
  <c r="AS346" i="21" s="1"/>
  <c r="AV346" i="21" s="1"/>
  <c r="AI346" i="21"/>
  <c r="AW346" i="21" s="1"/>
  <c r="BF345" i="21"/>
  <c r="BE345" i="21"/>
  <c r="BB344" i="21"/>
  <c r="BD343" i="21"/>
  <c r="BG343" i="21" s="1"/>
  <c r="BI343" i="21" s="1"/>
  <c r="BJ343" i="21" s="1"/>
  <c r="AL346" i="21"/>
  <c r="AZ346" i="21"/>
  <c r="AM346" i="21"/>
  <c r="O346" i="21"/>
  <c r="BE346" i="21" l="1"/>
  <c r="BF346" i="21"/>
  <c r="K347" i="21"/>
  <c r="BB345" i="21"/>
  <c r="BD344" i="21"/>
  <c r="BG344" i="21" s="1"/>
  <c r="BI344" i="21" l="1"/>
  <c r="BJ344" i="21" s="1"/>
  <c r="K348" i="21"/>
  <c r="BB346" i="21"/>
  <c r="BD345" i="21"/>
  <c r="BG345" i="21" s="1"/>
  <c r="BI345" i="21" s="1"/>
  <c r="BJ345" i="21" s="1"/>
  <c r="AH347" i="21"/>
  <c r="L347" i="21"/>
  <c r="Q347" i="21"/>
  <c r="N347" i="21"/>
  <c r="AL347" i="21" l="1"/>
  <c r="O347" i="21"/>
  <c r="AP359" i="21"/>
  <c r="AO347" i="21"/>
  <c r="AR347" i="21" s="1"/>
  <c r="AS347" i="21" s="1"/>
  <c r="AV347" i="21" s="1"/>
  <c r="AZ347" i="21"/>
  <c r="AM347" i="21"/>
  <c r="R347" i="21"/>
  <c r="AI347" i="21"/>
  <c r="AW347" i="21" s="1"/>
  <c r="BD346" i="21"/>
  <c r="BG346" i="21" s="1"/>
  <c r="AH348" i="21"/>
  <c r="L348" i="21"/>
  <c r="Q348" i="21"/>
  <c r="N348" i="21"/>
  <c r="AL348" i="21" s="1"/>
  <c r="O348" i="21" l="1"/>
  <c r="AO348" i="21"/>
  <c r="AR348" i="21" s="1"/>
  <c r="AS348" i="21" s="1"/>
  <c r="AV348" i="21" s="1"/>
  <c r="AP360" i="21"/>
  <c r="BF347" i="21"/>
  <c r="BE347" i="21"/>
  <c r="AZ348" i="21"/>
  <c r="AM348" i="21"/>
  <c r="AI348" i="21"/>
  <c r="AW348" i="21" s="1"/>
  <c r="BI346" i="21"/>
  <c r="BJ346" i="21" s="1"/>
  <c r="BB347" i="21"/>
  <c r="K349" i="21"/>
  <c r="R348" i="21"/>
  <c r="L349" i="21" l="1"/>
  <c r="Q349" i="21"/>
  <c r="AH349" i="21"/>
  <c r="N349" i="21"/>
  <c r="BF348" i="21"/>
  <c r="BE348" i="21"/>
  <c r="BB348" i="21"/>
  <c r="BD347" i="21"/>
  <c r="BG347" i="21" s="1"/>
  <c r="BD348" i="21" l="1"/>
  <c r="BG348" i="21" s="1"/>
  <c r="BI348" i="21" s="1"/>
  <c r="BJ348" i="21" s="1"/>
  <c r="K350" i="21"/>
  <c r="AL349" i="21"/>
  <c r="O349" i="21"/>
  <c r="AI349" i="21"/>
  <c r="AW349" i="21" s="1"/>
  <c r="AZ349" i="21"/>
  <c r="AM349" i="21"/>
  <c r="AP361" i="21"/>
  <c r="AO349" i="21"/>
  <c r="AR349" i="21" s="1"/>
  <c r="AS349" i="21" s="1"/>
  <c r="AV349" i="21" s="1"/>
  <c r="BI347" i="21"/>
  <c r="BJ347" i="21" s="1"/>
  <c r="R349" i="21"/>
  <c r="K351" i="21"/>
  <c r="AH350" i="21" l="1"/>
  <c r="AI350" i="21" s="1"/>
  <c r="AW350" i="21" s="1"/>
  <c r="L350" i="21"/>
  <c r="Q350" i="21"/>
  <c r="N350" i="21"/>
  <c r="AL350" i="21" s="1"/>
  <c r="Q351" i="21"/>
  <c r="AH351" i="21"/>
  <c r="AI351" i="21" s="1"/>
  <c r="AW351" i="21" s="1"/>
  <c r="N351" i="21"/>
  <c r="AL351" i="21" s="1"/>
  <c r="BF349" i="21"/>
  <c r="BE349" i="21"/>
  <c r="BB349" i="21"/>
  <c r="AZ351" i="21" l="1"/>
  <c r="AM351" i="21"/>
  <c r="AZ350" i="21"/>
  <c r="BB350" i="21" s="1"/>
  <c r="AM350" i="21"/>
  <c r="AP362" i="21"/>
  <c r="AO350" i="21"/>
  <c r="AR350" i="21" s="1"/>
  <c r="AS350" i="21" s="1"/>
  <c r="AV350" i="21" s="1"/>
  <c r="R350" i="21"/>
  <c r="R351" i="21" s="1"/>
  <c r="BD349" i="21"/>
  <c r="BG349" i="21" s="1"/>
  <c r="L351" i="21"/>
  <c r="O350" i="21"/>
  <c r="O351" i="21" s="1"/>
  <c r="BB351" i="21" l="1"/>
  <c r="BD350" i="21"/>
  <c r="K352" i="21"/>
  <c r="BF350" i="21"/>
  <c r="BE350" i="21"/>
  <c r="AO351" i="21"/>
  <c r="AR351" i="21" s="1"/>
  <c r="AS351" i="21" s="1"/>
  <c r="AV351" i="21" s="1"/>
  <c r="AP363" i="21"/>
  <c r="BI349" i="21"/>
  <c r="BJ349" i="21" s="1"/>
  <c r="BF351" i="21"/>
  <c r="BE351" i="21"/>
  <c r="L352" i="21" l="1"/>
  <c r="AH352" i="21"/>
  <c r="AI352" i="21" s="1"/>
  <c r="AW352" i="21" s="1"/>
  <c r="Q352" i="21"/>
  <c r="N352" i="21"/>
  <c r="BG350" i="21"/>
  <c r="BI350" i="21" s="1"/>
  <c r="BJ350" i="21" s="1"/>
  <c r="BD351" i="21"/>
  <c r="BG351" i="21" s="1"/>
  <c r="BI351" i="21" s="1"/>
  <c r="BJ351" i="21" s="1"/>
  <c r="K353" i="21" l="1"/>
  <c r="AL352" i="21"/>
  <c r="O352" i="21"/>
  <c r="AM352" i="21"/>
  <c r="AZ352" i="21"/>
  <c r="R352" i="21"/>
  <c r="AP364" i="21"/>
  <c r="AO352" i="21"/>
  <c r="AR352" i="21" s="1"/>
  <c r="AS352" i="21" s="1"/>
  <c r="AV352" i="21" s="1"/>
  <c r="BE352" i="21" l="1"/>
  <c r="BF352" i="21"/>
  <c r="BB352" i="21"/>
  <c r="K354" i="21"/>
  <c r="L353" i="21"/>
  <c r="AH353" i="21"/>
  <c r="AI353" i="21" s="1"/>
  <c r="AW353" i="21" s="1"/>
  <c r="Q353" i="21"/>
  <c r="N353" i="21"/>
  <c r="AL353" i="21" s="1"/>
  <c r="O353" i="21" l="1"/>
  <c r="AP365" i="21"/>
  <c r="AO353" i="21"/>
  <c r="AR353" i="21" s="1"/>
  <c r="AS353" i="21" s="1"/>
  <c r="AV353" i="21" s="1"/>
  <c r="AH354" i="21"/>
  <c r="AI354" i="21" s="1"/>
  <c r="AW354" i="21" s="1"/>
  <c r="Q354" i="21"/>
  <c r="L354" i="21"/>
  <c r="N354" i="21"/>
  <c r="AL354" i="21" s="1"/>
  <c r="O354" i="21"/>
  <c r="K355" i="21"/>
  <c r="BD352" i="21"/>
  <c r="BG352" i="21" s="1"/>
  <c r="BI352" i="21" s="1"/>
  <c r="BJ352" i="21" s="1"/>
  <c r="AM353" i="21"/>
  <c r="AZ353" i="21"/>
  <c r="R353" i="21"/>
  <c r="R354" i="21" s="1"/>
  <c r="BF353" i="21" l="1"/>
  <c r="BE353" i="21"/>
  <c r="AP366" i="21"/>
  <c r="AO354" i="21"/>
  <c r="AR354" i="21" s="1"/>
  <c r="AS354" i="21" s="1"/>
  <c r="AV354" i="21" s="1"/>
  <c r="K356" i="21"/>
  <c r="AM354" i="21"/>
  <c r="AZ354" i="21"/>
  <c r="BB353" i="21"/>
  <c r="AH355" i="21"/>
  <c r="AI355" i="21" s="1"/>
  <c r="AW355" i="21" s="1"/>
  <c r="L355" i="21"/>
  <c r="AO355" i="21" s="1"/>
  <c r="AR355" i="21" s="1"/>
  <c r="AS355" i="21" s="1"/>
  <c r="AV355" i="21" s="1"/>
  <c r="Q355" i="21"/>
  <c r="N355" i="21"/>
  <c r="AL355" i="21" s="1"/>
  <c r="K357" i="21"/>
  <c r="AM355" i="21" l="1"/>
  <c r="AZ355" i="21"/>
  <c r="AH356" i="21"/>
  <c r="L356" i="21"/>
  <c r="AO356" i="21" s="1"/>
  <c r="AR356" i="21" s="1"/>
  <c r="AS356" i="21" s="1"/>
  <c r="AV356" i="21" s="1"/>
  <c r="Q356" i="21"/>
  <c r="N356" i="21"/>
  <c r="BB354" i="21"/>
  <c r="BD353" i="21"/>
  <c r="BG353" i="21" s="1"/>
  <c r="BI353" i="21" s="1"/>
  <c r="BJ353" i="21" s="1"/>
  <c r="AH357" i="21"/>
  <c r="Q357" i="21"/>
  <c r="N357" i="21"/>
  <c r="AL357" i="21" s="1"/>
  <c r="BF354" i="21"/>
  <c r="BE354" i="21"/>
  <c r="R355" i="21"/>
  <c r="R356" i="21" s="1"/>
  <c r="R357" i="21" s="1"/>
  <c r="O355" i="21"/>
  <c r="K358" i="21"/>
  <c r="BB355" i="21" l="1"/>
  <c r="BD354" i="21"/>
  <c r="BG354" i="21" s="1"/>
  <c r="BI354" i="21" s="1"/>
  <c r="BJ354" i="21" s="1"/>
  <c r="AL356" i="21"/>
  <c r="AZ356" i="21"/>
  <c r="AM356" i="21"/>
  <c r="AZ357" i="21"/>
  <c r="AM357" i="21"/>
  <c r="AH358" i="21"/>
  <c r="Q358" i="21"/>
  <c r="N358" i="21"/>
  <c r="AL358" i="21" s="1"/>
  <c r="L357" i="21"/>
  <c r="AO357" i="21" s="1"/>
  <c r="AR357" i="21" s="1"/>
  <c r="AS357" i="21" s="1"/>
  <c r="AV357" i="21" s="1"/>
  <c r="AI356" i="21"/>
  <c r="AW356" i="21" s="1"/>
  <c r="BE355" i="21"/>
  <c r="BF355" i="21"/>
  <c r="O356" i="21"/>
  <c r="O357" i="21" s="1"/>
  <c r="O358" i="21" s="1"/>
  <c r="K359" i="21"/>
  <c r="BE356" i="21" l="1"/>
  <c r="BF356" i="21"/>
  <c r="Q359" i="21"/>
  <c r="AH359" i="21"/>
  <c r="N359" i="21"/>
  <c r="O359" i="21" s="1"/>
  <c r="AZ358" i="21"/>
  <c r="AM358" i="21"/>
  <c r="L358" i="21"/>
  <c r="AO358" i="21" s="1"/>
  <c r="AR358" i="21" s="1"/>
  <c r="AS358" i="21" s="1"/>
  <c r="AV358" i="21" s="1"/>
  <c r="AI357" i="21"/>
  <c r="AW357" i="21" s="1"/>
  <c r="AI358" i="21"/>
  <c r="AW358" i="21" s="1"/>
  <c r="R358" i="21"/>
  <c r="R359" i="21" s="1"/>
  <c r="BB356" i="21"/>
  <c r="BD355" i="21"/>
  <c r="BG355" i="21" s="1"/>
  <c r="BI355" i="21" s="1"/>
  <c r="BJ355" i="21" s="1"/>
  <c r="BF357" i="21"/>
  <c r="BE357" i="21"/>
  <c r="K360" i="21"/>
  <c r="Q360" i="21" l="1"/>
  <c r="R360" i="21" s="1"/>
  <c r="AH360" i="21"/>
  <c r="N360" i="21"/>
  <c r="AL360" i="21" s="1"/>
  <c r="AZ359" i="21"/>
  <c r="AM359" i="21"/>
  <c r="L359" i="21"/>
  <c r="AO359" i="21" s="1"/>
  <c r="AR359" i="21" s="1"/>
  <c r="AS359" i="21" s="1"/>
  <c r="AV359" i="21" s="1"/>
  <c r="BF358" i="21"/>
  <c r="BE358" i="21"/>
  <c r="AI359" i="21"/>
  <c r="AW359" i="21" s="1"/>
  <c r="BB357" i="21"/>
  <c r="BD356" i="21"/>
  <c r="BG356" i="21" s="1"/>
  <c r="AL359" i="21"/>
  <c r="L360" i="21" l="1"/>
  <c r="AO360" i="21" s="1"/>
  <c r="AR360" i="21" s="1"/>
  <c r="AS360" i="21" s="1"/>
  <c r="AV360" i="21" s="1"/>
  <c r="BF359" i="21"/>
  <c r="BE359" i="21"/>
  <c r="AI360" i="21"/>
  <c r="AW360" i="21" s="1"/>
  <c r="BI356" i="21"/>
  <c r="BJ356" i="21" s="1"/>
  <c r="AZ360" i="21"/>
  <c r="AM360" i="21"/>
  <c r="BB358" i="21"/>
  <c r="BD357" i="21"/>
  <c r="BG357" i="21" s="1"/>
  <c r="BI357" i="21" s="1"/>
  <c r="BJ357" i="21" s="1"/>
  <c r="O360" i="21"/>
  <c r="BD358" i="21" l="1"/>
  <c r="BG358" i="21" s="1"/>
  <c r="BB359" i="21"/>
  <c r="K361" i="21"/>
  <c r="BF360" i="21"/>
  <c r="BE360" i="21"/>
  <c r="K362" i="21"/>
  <c r="AH361" i="21" l="1"/>
  <c r="L361" i="21"/>
  <c r="AO361" i="21" s="1"/>
  <c r="AR361" i="21" s="1"/>
  <c r="AS361" i="21" s="1"/>
  <c r="AV361" i="21" s="1"/>
  <c r="Q361" i="21"/>
  <c r="N361" i="21"/>
  <c r="BB360" i="21"/>
  <c r="BD359" i="21"/>
  <c r="BG359" i="21" s="1"/>
  <c r="BI359" i="21" s="1"/>
  <c r="BJ359" i="21" s="1"/>
  <c r="Q362" i="21"/>
  <c r="AH362" i="21"/>
  <c r="N362" i="21"/>
  <c r="AL362" i="21" s="1"/>
  <c r="BI358" i="21"/>
  <c r="BJ358" i="21" s="1"/>
  <c r="K363" i="21"/>
  <c r="AZ362" i="21" l="1"/>
  <c r="AM362" i="21"/>
  <c r="K364" i="21"/>
  <c r="BD360" i="21"/>
  <c r="BG360" i="21" s="1"/>
  <c r="AL361" i="21"/>
  <c r="O361" i="21"/>
  <c r="O362" i="21" s="1"/>
  <c r="AM361" i="21"/>
  <c r="AZ361" i="21"/>
  <c r="BB361" i="21" s="1"/>
  <c r="R361" i="21"/>
  <c r="R362" i="21" s="1"/>
  <c r="AH363" i="21"/>
  <c r="Q363" i="21"/>
  <c r="N363" i="21"/>
  <c r="AL363" i="21" s="1"/>
  <c r="L362" i="21"/>
  <c r="AO362" i="21" s="1"/>
  <c r="AR362" i="21" s="1"/>
  <c r="AS362" i="21" s="1"/>
  <c r="AV362" i="21" s="1"/>
  <c r="AI361" i="21"/>
  <c r="AW361" i="21" s="1"/>
  <c r="L363" i="21" l="1"/>
  <c r="AO363" i="21" s="1"/>
  <c r="AR363" i="21" s="1"/>
  <c r="AS363" i="21" s="1"/>
  <c r="AV363" i="21" s="1"/>
  <c r="R363" i="21"/>
  <c r="BI360" i="21"/>
  <c r="BJ360" i="21" s="1"/>
  <c r="BB362" i="21"/>
  <c r="BD361" i="21"/>
  <c r="BF361" i="21"/>
  <c r="BE361" i="21"/>
  <c r="AH364" i="21"/>
  <c r="L364" i="21"/>
  <c r="AO364" i="21" s="1"/>
  <c r="AR364" i="21" s="1"/>
  <c r="AS364" i="21" s="1"/>
  <c r="AV364" i="21" s="1"/>
  <c r="Q364" i="21"/>
  <c r="N364" i="21"/>
  <c r="AZ363" i="21"/>
  <c r="AM363" i="21"/>
  <c r="O363" i="21"/>
  <c r="O364" i="21" s="1"/>
  <c r="BF362" i="21"/>
  <c r="BE362" i="21"/>
  <c r="AI362" i="21"/>
  <c r="AW362" i="21" s="1"/>
  <c r="K365" i="21"/>
  <c r="L365" i="21" l="1"/>
  <c r="AO365" i="21" s="1"/>
  <c r="AR365" i="21" s="1"/>
  <c r="AS365" i="21" s="1"/>
  <c r="AV365" i="21" s="1"/>
  <c r="AH365" i="21"/>
  <c r="Q365" i="21"/>
  <c r="N365" i="21"/>
  <c r="AL365" i="21" s="1"/>
  <c r="BF363" i="21"/>
  <c r="BE363" i="21"/>
  <c r="BG361" i="21"/>
  <c r="AL364" i="21"/>
  <c r="BB363" i="21"/>
  <c r="BD362" i="21"/>
  <c r="BG362" i="21" s="1"/>
  <c r="BI362" i="21" s="1"/>
  <c r="BJ362" i="21" s="1"/>
  <c r="AZ364" i="21"/>
  <c r="AM364" i="21"/>
  <c r="R364" i="21"/>
  <c r="R365" i="21" s="1"/>
  <c r="AI363" i="21"/>
  <c r="AW363" i="21" s="1"/>
  <c r="K366" i="21"/>
  <c r="O365" i="21" l="1"/>
  <c r="AI364" i="21"/>
  <c r="AW364" i="21" s="1"/>
  <c r="BI361" i="21"/>
  <c r="BJ361" i="21" s="1"/>
  <c r="BF364" i="21"/>
  <c r="BE364" i="21"/>
  <c r="L366" i="21"/>
  <c r="AO366" i="21" s="1"/>
  <c r="AR366" i="21" s="1"/>
  <c r="AS366" i="21" s="1"/>
  <c r="AV366" i="21" s="1"/>
  <c r="AH366" i="21"/>
  <c r="Q366" i="21"/>
  <c r="N366" i="21"/>
  <c r="O366" i="21" s="1"/>
  <c r="K373" i="21"/>
  <c r="K372" i="21"/>
  <c r="K374" i="21"/>
  <c r="K375" i="21"/>
  <c r="K376" i="21"/>
  <c r="K377" i="21"/>
  <c r="K378" i="21"/>
  <c r="K379" i="21"/>
  <c r="K380" i="21"/>
  <c r="K381" i="21"/>
  <c r="K382" i="21"/>
  <c r="K383" i="21"/>
  <c r="K384" i="21"/>
  <c r="K385" i="21"/>
  <c r="K386" i="21"/>
  <c r="K387" i="21"/>
  <c r="K388" i="21"/>
  <c r="K389" i="21"/>
  <c r="K390" i="21"/>
  <c r="K391" i="21"/>
  <c r="K392" i="21"/>
  <c r="K393" i="21"/>
  <c r="K394" i="21"/>
  <c r="K395" i="21"/>
  <c r="K396" i="21"/>
  <c r="K397" i="21"/>
  <c r="K398" i="21"/>
  <c r="K399" i="21"/>
  <c r="K400" i="21"/>
  <c r="K401" i="21"/>
  <c r="K402" i="21"/>
  <c r="BB364" i="21"/>
  <c r="BD363" i="21"/>
  <c r="BG363" i="21" s="1"/>
  <c r="BI363" i="21" s="1"/>
  <c r="BJ363" i="21" s="1"/>
  <c r="AZ365" i="21"/>
  <c r="AM365" i="21"/>
  <c r="AI365" i="21"/>
  <c r="AW365" i="21" s="1"/>
  <c r="BF365" i="21" l="1"/>
  <c r="BE365" i="21"/>
  <c r="K403" i="21"/>
  <c r="BD364" i="21"/>
  <c r="BG364" i="21" s="1"/>
  <c r="BI364" i="21" s="1"/>
  <c r="BJ364" i="21" s="1"/>
  <c r="BB365" i="21"/>
  <c r="AL366" i="21"/>
  <c r="N373" i="21"/>
  <c r="N372" i="21"/>
  <c r="O372" i="21" s="1"/>
  <c r="N6" i="21"/>
  <c r="N374" i="21"/>
  <c r="N375" i="21"/>
  <c r="N376" i="21"/>
  <c r="N377" i="21"/>
  <c r="N378" i="21"/>
  <c r="N379" i="21"/>
  <c r="N380" i="21"/>
  <c r="N381" i="21"/>
  <c r="N382" i="21"/>
  <c r="N383" i="21"/>
  <c r="N384" i="21"/>
  <c r="N385" i="21"/>
  <c r="N386" i="21"/>
  <c r="N387" i="21"/>
  <c r="N388" i="21"/>
  <c r="N389" i="21"/>
  <c r="N390" i="21"/>
  <c r="N391" i="21"/>
  <c r="N392" i="21"/>
  <c r="N393" i="21"/>
  <c r="N394" i="21"/>
  <c r="N395" i="21"/>
  <c r="N396" i="21"/>
  <c r="N397" i="21"/>
  <c r="N398" i="21"/>
  <c r="N399" i="21"/>
  <c r="N400" i="21"/>
  <c r="N401" i="21"/>
  <c r="N402" i="21"/>
  <c r="AZ366" i="21"/>
  <c r="AM366" i="21"/>
  <c r="Q367" i="21"/>
  <c r="Q373" i="21"/>
  <c r="Q372" i="21"/>
  <c r="R372" i="21" s="1"/>
  <c r="Q6" i="21"/>
  <c r="Q374" i="21"/>
  <c r="Q375" i="21"/>
  <c r="Q376" i="21"/>
  <c r="Q377" i="21"/>
  <c r="Q378" i="21"/>
  <c r="Q379" i="21"/>
  <c r="Q380" i="21"/>
  <c r="Q381" i="21"/>
  <c r="Q382" i="21"/>
  <c r="Q383" i="21"/>
  <c r="Q384" i="21"/>
  <c r="Q385" i="21"/>
  <c r="Q386" i="21"/>
  <c r="Q387" i="21"/>
  <c r="Q388" i="21"/>
  <c r="Q389" i="21"/>
  <c r="Q390" i="21"/>
  <c r="Q391" i="21"/>
  <c r="Q392" i="21"/>
  <c r="Q393" i="21"/>
  <c r="Q394" i="21"/>
  <c r="Q395" i="21"/>
  <c r="Q396" i="21"/>
  <c r="Q397" i="21"/>
  <c r="Q398" i="21"/>
  <c r="Q399" i="21"/>
  <c r="Q400" i="21"/>
  <c r="Q401" i="21"/>
  <c r="Q402" i="21"/>
  <c r="AI366" i="21"/>
  <c r="AH373" i="21"/>
  <c r="AH372" i="21"/>
  <c r="AH367" i="21"/>
  <c r="AH374" i="21"/>
  <c r="AH375" i="21"/>
  <c r="AH376" i="21"/>
  <c r="AH377" i="21"/>
  <c r="AH378" i="21"/>
  <c r="AH379" i="21"/>
  <c r="AH380" i="21"/>
  <c r="AH381" i="21"/>
  <c r="AH382" i="21"/>
  <c r="AH383" i="21"/>
  <c r="AH384" i="21"/>
  <c r="AH385" i="21"/>
  <c r="AH386" i="21"/>
  <c r="AH387" i="21"/>
  <c r="AH388" i="21"/>
  <c r="AH389" i="21"/>
  <c r="AH390" i="21"/>
  <c r="AH391" i="21"/>
  <c r="AH392" i="21"/>
  <c r="AH393" i="21"/>
  <c r="AH394" i="21"/>
  <c r="AH395" i="21"/>
  <c r="AH396" i="21"/>
  <c r="AH397" i="21"/>
  <c r="AH398" i="21"/>
  <c r="AH399" i="21"/>
  <c r="AH400" i="21"/>
  <c r="AH401" i="21"/>
  <c r="AH402" i="21"/>
  <c r="R366" i="21"/>
  <c r="R6" i="21" s="1"/>
  <c r="AM372" i="21" l="1"/>
  <c r="AM373" i="21"/>
  <c r="AM374" i="21"/>
  <c r="AM375" i="21"/>
  <c r="AM376" i="21"/>
  <c r="AM377" i="21"/>
  <c r="AM378" i="21"/>
  <c r="AM379" i="21"/>
  <c r="AM380" i="21"/>
  <c r="AM381" i="21"/>
  <c r="AM382" i="21"/>
  <c r="AM383" i="21"/>
  <c r="AM384" i="21"/>
  <c r="AM385" i="21"/>
  <c r="AM386" i="21"/>
  <c r="AM387" i="21"/>
  <c r="AM388" i="21"/>
  <c r="AM389" i="21"/>
  <c r="AM390" i="21"/>
  <c r="AM391" i="21"/>
  <c r="AM392" i="21"/>
  <c r="AM393" i="21"/>
  <c r="AM394" i="21"/>
  <c r="AM395" i="21"/>
  <c r="AM396" i="21"/>
  <c r="AM397" i="21"/>
  <c r="AM398" i="21"/>
  <c r="AM399" i="21"/>
  <c r="AM400" i="21"/>
  <c r="AM401" i="21"/>
  <c r="AM402" i="21"/>
  <c r="AT402" i="21" s="1"/>
  <c r="BE366" i="21"/>
  <c r="BF366" i="21"/>
  <c r="AZ372" i="21"/>
  <c r="BB372" i="21" s="1"/>
  <c r="AZ373" i="21"/>
  <c r="AZ374" i="21"/>
  <c r="BB374" i="21" s="1"/>
  <c r="AZ375" i="21"/>
  <c r="AZ376" i="21"/>
  <c r="AZ377" i="21"/>
  <c r="AZ378" i="21"/>
  <c r="AZ379" i="21"/>
  <c r="AZ380" i="21"/>
  <c r="AZ381" i="21"/>
  <c r="AZ382" i="21"/>
  <c r="AZ383" i="21"/>
  <c r="AZ384" i="21"/>
  <c r="AZ385" i="21"/>
  <c r="AZ386" i="21"/>
  <c r="AZ387" i="21"/>
  <c r="AZ388" i="21"/>
  <c r="AZ389" i="21"/>
  <c r="AZ390" i="21"/>
  <c r="AZ391" i="21"/>
  <c r="AZ392" i="21"/>
  <c r="AZ393" i="21"/>
  <c r="AZ394" i="21"/>
  <c r="AZ395" i="21"/>
  <c r="AZ396" i="21"/>
  <c r="AZ397" i="21"/>
  <c r="AZ398" i="21"/>
  <c r="AZ399" i="21"/>
  <c r="AZ400" i="21"/>
  <c r="AZ401" i="21"/>
  <c r="AZ402" i="21"/>
  <c r="N403" i="21"/>
  <c r="O373" i="21"/>
  <c r="O374" i="21" s="1"/>
  <c r="O375" i="21" s="1"/>
  <c r="O376" i="21" s="1"/>
  <c r="O377" i="21" s="1"/>
  <c r="O378" i="21" s="1"/>
  <c r="O379" i="21" s="1"/>
  <c r="O380" i="21" s="1"/>
  <c r="O381" i="21" s="1"/>
  <c r="O382" i="21" s="1"/>
  <c r="O383" i="21" s="1"/>
  <c r="O384" i="21" s="1"/>
  <c r="O385" i="21" s="1"/>
  <c r="O386" i="21" s="1"/>
  <c r="O387" i="21" s="1"/>
  <c r="O388" i="21" s="1"/>
  <c r="O389" i="21" s="1"/>
  <c r="O390" i="21" s="1"/>
  <c r="O391" i="21" s="1"/>
  <c r="O392" i="21" s="1"/>
  <c r="O393" i="21" s="1"/>
  <c r="O394" i="21" s="1"/>
  <c r="O395" i="21" s="1"/>
  <c r="O396" i="21" s="1"/>
  <c r="O397" i="21" s="1"/>
  <c r="O398" i="21" s="1"/>
  <c r="O399" i="21" s="1"/>
  <c r="O400" i="21" s="1"/>
  <c r="O401" i="21" s="1"/>
  <c r="O402" i="21" s="1"/>
  <c r="AR374" i="21"/>
  <c r="AR375" i="21" s="1"/>
  <c r="AR376" i="21" s="1"/>
  <c r="AR377" i="21" s="1"/>
  <c r="AR378" i="21" s="1"/>
  <c r="AR379" i="21" s="1"/>
  <c r="AR380" i="21" s="1"/>
  <c r="AR381" i="21" s="1"/>
  <c r="AR382" i="21" s="1"/>
  <c r="AR383" i="21" s="1"/>
  <c r="AR384" i="21" s="1"/>
  <c r="AR385" i="21" s="1"/>
  <c r="AR386" i="21" s="1"/>
  <c r="AR387" i="21" s="1"/>
  <c r="AR388" i="21" s="1"/>
  <c r="AR389" i="21" s="1"/>
  <c r="AR390" i="21" s="1"/>
  <c r="AR391" i="21" s="1"/>
  <c r="AR392" i="21" s="1"/>
  <c r="AR393" i="21" s="1"/>
  <c r="AR394" i="21" s="1"/>
  <c r="AR395" i="21" s="1"/>
  <c r="AR396" i="21" s="1"/>
  <c r="AR397" i="21" s="1"/>
  <c r="AR398" i="21" s="1"/>
  <c r="AR399" i="21" s="1"/>
  <c r="AR400" i="21" s="1"/>
  <c r="AR401" i="21" s="1"/>
  <c r="AR402" i="21" s="1"/>
  <c r="AS372" i="21"/>
  <c r="AS373" i="21"/>
  <c r="AS374" i="21"/>
  <c r="AS375" i="21"/>
  <c r="AS376" i="21"/>
  <c r="AS377" i="21"/>
  <c r="AS378" i="21"/>
  <c r="AS379" i="21"/>
  <c r="AS380" i="21"/>
  <c r="AS381" i="21"/>
  <c r="AS382" i="21"/>
  <c r="AS383" i="21"/>
  <c r="AS384" i="21"/>
  <c r="AS385" i="21"/>
  <c r="AS386" i="21"/>
  <c r="AS387" i="21"/>
  <c r="AS388" i="21"/>
  <c r="AS389" i="21"/>
  <c r="AS390" i="21"/>
  <c r="AS391" i="21"/>
  <c r="AS392" i="21"/>
  <c r="AS393" i="21"/>
  <c r="AS394" i="21"/>
  <c r="AS395" i="21"/>
  <c r="AS396" i="21"/>
  <c r="AS397" i="21"/>
  <c r="AS398" i="21"/>
  <c r="AS399" i="21"/>
  <c r="AS400" i="21"/>
  <c r="AS401" i="21"/>
  <c r="AS402" i="21"/>
  <c r="BD365" i="21"/>
  <c r="BG365" i="21" s="1"/>
  <c r="BI365" i="21" s="1"/>
  <c r="BJ365" i="21" s="1"/>
  <c r="BB366" i="21"/>
  <c r="BD366" i="21" s="1"/>
  <c r="BG366" i="21" s="1"/>
  <c r="AH403" i="21"/>
  <c r="AW366" i="21"/>
  <c r="AI373" i="21"/>
  <c r="AI372" i="21"/>
  <c r="AI6" i="21"/>
  <c r="AW7" i="21" s="1"/>
  <c r="AW6" i="21" s="1"/>
  <c r="Q403" i="21"/>
  <c r="R373" i="21"/>
  <c r="R374" i="21" s="1"/>
  <c r="R375" i="21" s="1"/>
  <c r="R376" i="21" s="1"/>
  <c r="R377" i="21" s="1"/>
  <c r="R378" i="21" s="1"/>
  <c r="R379" i="21" s="1"/>
  <c r="R380" i="21" s="1"/>
  <c r="R381" i="21" s="1"/>
  <c r="R382" i="21" s="1"/>
  <c r="R383" i="21" s="1"/>
  <c r="R384" i="21" s="1"/>
  <c r="R385" i="21" s="1"/>
  <c r="R386" i="21" s="1"/>
  <c r="R387" i="21" s="1"/>
  <c r="R388" i="21" s="1"/>
  <c r="R389" i="21" s="1"/>
  <c r="R390" i="21" s="1"/>
  <c r="R391" i="21" s="1"/>
  <c r="R392" i="21" s="1"/>
  <c r="R393" i="21" s="1"/>
  <c r="R394" i="21" s="1"/>
  <c r="R395" i="21" s="1"/>
  <c r="R396" i="21" s="1"/>
  <c r="R397" i="21" s="1"/>
  <c r="R398" i="21" s="1"/>
  <c r="R399" i="21" s="1"/>
  <c r="R400" i="21" s="1"/>
  <c r="R401" i="21" s="1"/>
  <c r="R402" i="21" s="1"/>
  <c r="AT394" i="21" l="1"/>
  <c r="AT378" i="21"/>
  <c r="AT387" i="21"/>
  <c r="AT397" i="21"/>
  <c r="AT381" i="21"/>
  <c r="AT386" i="21"/>
  <c r="AT399" i="21"/>
  <c r="AT383" i="21"/>
  <c r="AT396" i="21"/>
  <c r="AT380" i="21"/>
  <c r="AT395" i="21"/>
  <c r="AT379" i="21"/>
  <c r="AT391" i="21"/>
  <c r="AT375" i="21"/>
  <c r="AT389" i="21"/>
  <c r="AT388" i="21"/>
  <c r="BE372" i="21"/>
  <c r="BK372" i="21" s="1"/>
  <c r="BL372" i="21" s="1"/>
  <c r="BE373" i="21"/>
  <c r="BE374" i="21"/>
  <c r="BK374" i="21" s="1"/>
  <c r="BL374" i="21" s="1"/>
  <c r="BE375" i="21"/>
  <c r="BK375" i="21" s="1"/>
  <c r="BL375" i="21" s="1"/>
  <c r="BE376" i="21"/>
  <c r="BK376" i="21" s="1"/>
  <c r="BL376" i="21" s="1"/>
  <c r="BE377" i="21"/>
  <c r="BK377" i="21" s="1"/>
  <c r="BL377" i="21" s="1"/>
  <c r="BE378" i="21"/>
  <c r="BK378" i="21" s="1"/>
  <c r="BL378" i="21" s="1"/>
  <c r="BE379" i="21"/>
  <c r="BK379" i="21" s="1"/>
  <c r="BL379" i="21" s="1"/>
  <c r="BE380" i="21"/>
  <c r="BK380" i="21" s="1"/>
  <c r="BL380" i="21" s="1"/>
  <c r="BE381" i="21"/>
  <c r="BK381" i="21" s="1"/>
  <c r="BL381" i="21" s="1"/>
  <c r="BE382" i="21"/>
  <c r="BK382" i="21" s="1"/>
  <c r="BL382" i="21" s="1"/>
  <c r="BE383" i="21"/>
  <c r="BK383" i="21" s="1"/>
  <c r="BL383" i="21" s="1"/>
  <c r="BE384" i="21"/>
  <c r="BK384" i="21" s="1"/>
  <c r="BL384" i="21" s="1"/>
  <c r="BE385" i="21"/>
  <c r="BK385" i="21" s="1"/>
  <c r="BL385" i="21" s="1"/>
  <c r="BE386" i="21"/>
  <c r="BK386" i="21" s="1"/>
  <c r="BL386" i="21" s="1"/>
  <c r="BE387" i="21"/>
  <c r="BK387" i="21" s="1"/>
  <c r="BL387" i="21" s="1"/>
  <c r="BE388" i="21"/>
  <c r="BK388" i="21" s="1"/>
  <c r="BL388" i="21" s="1"/>
  <c r="BE389" i="21"/>
  <c r="BK389" i="21" s="1"/>
  <c r="BL389" i="21" s="1"/>
  <c r="BE390" i="21"/>
  <c r="BK390" i="21" s="1"/>
  <c r="BL390" i="21" s="1"/>
  <c r="BE391" i="21"/>
  <c r="BK391" i="21" s="1"/>
  <c r="BL391" i="21" s="1"/>
  <c r="BE392" i="21"/>
  <c r="BK392" i="21" s="1"/>
  <c r="BL392" i="21" s="1"/>
  <c r="BE393" i="21"/>
  <c r="BK393" i="21" s="1"/>
  <c r="BL393" i="21" s="1"/>
  <c r="BE394" i="21"/>
  <c r="BK394" i="21" s="1"/>
  <c r="BL394" i="21" s="1"/>
  <c r="BE395" i="21"/>
  <c r="BK395" i="21" s="1"/>
  <c r="BL395" i="21" s="1"/>
  <c r="BE396" i="21"/>
  <c r="BK396" i="21" s="1"/>
  <c r="BL396" i="21" s="1"/>
  <c r="BE397" i="21"/>
  <c r="BK397" i="21" s="1"/>
  <c r="BL397" i="21" s="1"/>
  <c r="BE398" i="21"/>
  <c r="BK398" i="21" s="1"/>
  <c r="BL398" i="21" s="1"/>
  <c r="BE399" i="21"/>
  <c r="BK399" i="21" s="1"/>
  <c r="BL399" i="21" s="1"/>
  <c r="BE400" i="21"/>
  <c r="BK400" i="21" s="1"/>
  <c r="BL400" i="21" s="1"/>
  <c r="BE401" i="21"/>
  <c r="BK401" i="21" s="1"/>
  <c r="BL401" i="21" s="1"/>
  <c r="BE402" i="21"/>
  <c r="BK402" i="21" s="1"/>
  <c r="BL402" i="21" s="1"/>
  <c r="AT398" i="21"/>
  <c r="AT390" i="21"/>
  <c r="AT382" i="21"/>
  <c r="AT374" i="21"/>
  <c r="AU374" i="21" s="1"/>
  <c r="AU375" i="21" s="1"/>
  <c r="AM403" i="21"/>
  <c r="AI374" i="21"/>
  <c r="AI375" i="21" s="1"/>
  <c r="AI376" i="21" s="1"/>
  <c r="AI377" i="21" s="1"/>
  <c r="AI378" i="21" s="1"/>
  <c r="AI379" i="21" s="1"/>
  <c r="AI380" i="21" s="1"/>
  <c r="AI381" i="21" s="1"/>
  <c r="AI382" i="21" s="1"/>
  <c r="AI383" i="21" s="1"/>
  <c r="AI384" i="21" s="1"/>
  <c r="AI385" i="21" s="1"/>
  <c r="AI386" i="21" s="1"/>
  <c r="AI387" i="21" s="1"/>
  <c r="AI388" i="21" s="1"/>
  <c r="AI389" i="21" s="1"/>
  <c r="AI390" i="21" s="1"/>
  <c r="AI391" i="21" s="1"/>
  <c r="AI392" i="21" s="1"/>
  <c r="AI393" i="21" s="1"/>
  <c r="AI394" i="21" s="1"/>
  <c r="AI395" i="21" s="1"/>
  <c r="AI396" i="21" s="1"/>
  <c r="AI397" i="21" s="1"/>
  <c r="AI398" i="21" s="1"/>
  <c r="AI399" i="21" s="1"/>
  <c r="AI400" i="21" s="1"/>
  <c r="AI401" i="21" s="1"/>
  <c r="AI402" i="21" s="1"/>
  <c r="BI366" i="21"/>
  <c r="BJ366" i="21" s="1"/>
  <c r="BG373" i="21"/>
  <c r="BG372" i="21"/>
  <c r="BG374" i="21"/>
  <c r="BG375" i="21"/>
  <c r="BG376" i="21"/>
  <c r="BG377" i="21"/>
  <c r="BG378" i="21"/>
  <c r="BG379" i="21"/>
  <c r="BG380" i="21"/>
  <c r="BG381" i="21"/>
  <c r="BG382" i="21"/>
  <c r="BG383" i="21"/>
  <c r="BG384" i="21"/>
  <c r="BG385" i="21"/>
  <c r="BG386" i="21"/>
  <c r="BG387" i="21"/>
  <c r="BG388" i="21"/>
  <c r="BG389" i="21"/>
  <c r="BG390" i="21"/>
  <c r="BG391" i="21"/>
  <c r="BG392" i="21"/>
  <c r="BG393" i="21"/>
  <c r="BG394" i="21"/>
  <c r="BG395" i="21"/>
  <c r="BG396" i="21"/>
  <c r="BG397" i="21"/>
  <c r="BG398" i="21"/>
  <c r="BG399" i="21"/>
  <c r="BG400" i="21"/>
  <c r="BG401" i="21"/>
  <c r="BG402" i="21"/>
  <c r="BD374" i="21"/>
  <c r="BI374" i="21" s="1"/>
  <c r="BB375" i="21"/>
  <c r="AZ403" i="21"/>
  <c r="BB373" i="21"/>
  <c r="AT401" i="21"/>
  <c r="AT393" i="21"/>
  <c r="AT385" i="21"/>
  <c r="AT377" i="21"/>
  <c r="AS403" i="21"/>
  <c r="BF372" i="21"/>
  <c r="BF373" i="21"/>
  <c r="BF374" i="21"/>
  <c r="BF375" i="21"/>
  <c r="BF376" i="21"/>
  <c r="BF377" i="21"/>
  <c r="BF378" i="21"/>
  <c r="BF379" i="21"/>
  <c r="BF380" i="21"/>
  <c r="BF381" i="21"/>
  <c r="BF382" i="21"/>
  <c r="BF383" i="21"/>
  <c r="BF384" i="21"/>
  <c r="BF385" i="21"/>
  <c r="BF386" i="21"/>
  <c r="BF387" i="21"/>
  <c r="BF388" i="21"/>
  <c r="BF389" i="21"/>
  <c r="BF390" i="21"/>
  <c r="BF391" i="21"/>
  <c r="BF392" i="21"/>
  <c r="BF393" i="21"/>
  <c r="BF394" i="21"/>
  <c r="BF395" i="21"/>
  <c r="BF396" i="21"/>
  <c r="BF397" i="21"/>
  <c r="BF398" i="21"/>
  <c r="BF399" i="21"/>
  <c r="BF400" i="21"/>
  <c r="BF401" i="21"/>
  <c r="BF402" i="21"/>
  <c r="AT400" i="21"/>
  <c r="AT392" i="21"/>
  <c r="AT384" i="21"/>
  <c r="AT376" i="21"/>
  <c r="BD375" i="21" l="1"/>
  <c r="BI375" i="21" s="1"/>
  <c r="BB376" i="21"/>
  <c r="BG403" i="21"/>
  <c r="BJ373" i="21"/>
  <c r="BJ372" i="21"/>
  <c r="BJ374" i="21"/>
  <c r="BJ375" i="21"/>
  <c r="BJ376" i="21"/>
  <c r="BJ377" i="21"/>
  <c r="BJ378" i="21"/>
  <c r="BJ379" i="21"/>
  <c r="BJ380" i="21"/>
  <c r="BJ381" i="21"/>
  <c r="BJ382" i="21"/>
  <c r="BJ383" i="21"/>
  <c r="BJ384" i="21"/>
  <c r="BJ385" i="21"/>
  <c r="BJ386" i="21"/>
  <c r="BJ387" i="21"/>
  <c r="BJ388" i="21"/>
  <c r="BJ389" i="21"/>
  <c r="BJ390" i="21"/>
  <c r="BJ391" i="21"/>
  <c r="BJ392" i="21"/>
  <c r="BJ393" i="21"/>
  <c r="BJ394" i="21"/>
  <c r="BJ395" i="21"/>
  <c r="BJ396" i="21"/>
  <c r="BJ397" i="21"/>
  <c r="BJ398" i="21"/>
  <c r="BJ399" i="21"/>
  <c r="BJ400" i="21"/>
  <c r="BJ401" i="21"/>
  <c r="BJ402" i="21"/>
  <c r="AI403" i="21"/>
  <c r="AU376" i="21"/>
  <c r="AU377" i="21" s="1"/>
  <c r="AU378" i="21" s="1"/>
  <c r="AU379" i="21" s="1"/>
  <c r="AU380" i="21" s="1"/>
  <c r="AU381" i="21" s="1"/>
  <c r="AU382" i="21" s="1"/>
  <c r="AU383" i="21" s="1"/>
  <c r="AU384" i="21" s="1"/>
  <c r="AU385" i="21" s="1"/>
  <c r="AU386" i="21" s="1"/>
  <c r="AU387" i="21" s="1"/>
  <c r="AU388" i="21" s="1"/>
  <c r="AU389" i="21" s="1"/>
  <c r="AU390" i="21" s="1"/>
  <c r="AU391" i="21" s="1"/>
  <c r="AU392" i="21" s="1"/>
  <c r="AU393" i="21" s="1"/>
  <c r="AU394" i="21" s="1"/>
  <c r="AU395" i="21" s="1"/>
  <c r="AU396" i="21" s="1"/>
  <c r="AU397" i="21" s="1"/>
  <c r="AU398" i="21" s="1"/>
  <c r="AU399" i="21" s="1"/>
  <c r="AU400" i="21" s="1"/>
  <c r="AU401" i="21" s="1"/>
  <c r="AU402" i="21" s="1"/>
  <c r="BE403" i="21"/>
  <c r="BI403" i="21" s="1"/>
  <c r="BK373" i="21"/>
  <c r="BF403" i="21"/>
  <c r="BJ403" i="21" l="1"/>
  <c r="BD376" i="21"/>
  <c r="BI376" i="21" s="1"/>
  <c r="BB377" i="21"/>
  <c r="BK403" i="21"/>
  <c r="BL373" i="21"/>
  <c r="BL403" i="21" s="1"/>
  <c r="BD377" i="21" l="1"/>
  <c r="BI377" i="21" s="1"/>
  <c r="BB378" i="21"/>
  <c r="P68" i="20"/>
  <c r="BD378" i="21" l="1"/>
  <c r="BI378" i="21" s="1"/>
  <c r="BB379" i="21"/>
  <c r="P69" i="20"/>
  <c r="P70" i="20" s="1"/>
  <c r="P60" i="20" s="1"/>
  <c r="BD379" i="21" l="1"/>
  <c r="BI379" i="21" s="1"/>
  <c r="BB380" i="21"/>
  <c r="BD380" i="21" l="1"/>
  <c r="BI380" i="21" s="1"/>
  <c r="BB381" i="21"/>
  <c r="BD381" i="21" l="1"/>
  <c r="BI381" i="21" s="1"/>
  <c r="BB382" i="21"/>
  <c r="BB383" i="21" l="1"/>
  <c r="BD382" i="21"/>
  <c r="BI382" i="21" s="1"/>
  <c r="BD383" i="21" l="1"/>
  <c r="BI383" i="21" s="1"/>
  <c r="BB384" i="21"/>
  <c r="BB385" i="21" l="1"/>
  <c r="BD384" i="21"/>
  <c r="BI384" i="21" s="1"/>
  <c r="BD385" i="21" l="1"/>
  <c r="BI385" i="21" s="1"/>
  <c r="BB386" i="21"/>
  <c r="BD386" i="21" l="1"/>
  <c r="BI386" i="21" s="1"/>
  <c r="BB387" i="21"/>
  <c r="BD387" i="21" l="1"/>
  <c r="BI387" i="21" s="1"/>
  <c r="BB388" i="21"/>
  <c r="BD388" i="21" l="1"/>
  <c r="BI388" i="21" s="1"/>
  <c r="BB389" i="21"/>
  <c r="BD389" i="21" l="1"/>
  <c r="BI389" i="21" s="1"/>
  <c r="BB390" i="21"/>
  <c r="BD390" i="21" l="1"/>
  <c r="BI390" i="21" s="1"/>
  <c r="BB391" i="21"/>
  <c r="BD391" i="21" l="1"/>
  <c r="BI391" i="21" s="1"/>
  <c r="BB392" i="21"/>
  <c r="BD392" i="21" l="1"/>
  <c r="BI392" i="21" s="1"/>
  <c r="BB393" i="21"/>
  <c r="BD393" i="21" l="1"/>
  <c r="BI393" i="21" s="1"/>
  <c r="BB394" i="21"/>
  <c r="BD394" i="21" l="1"/>
  <c r="BI394" i="21" s="1"/>
  <c r="BB395" i="21"/>
  <c r="BD395" i="21" l="1"/>
  <c r="BI395" i="21" s="1"/>
  <c r="BB396" i="21"/>
  <c r="BD396" i="21" l="1"/>
  <c r="BI396" i="21" s="1"/>
  <c r="BB397" i="21"/>
  <c r="BD397" i="21" l="1"/>
  <c r="BI397" i="21" s="1"/>
  <c r="BB398" i="21"/>
  <c r="BD398" i="21" l="1"/>
  <c r="BI398" i="21" s="1"/>
  <c r="BB399" i="21"/>
  <c r="BD399" i="21" l="1"/>
  <c r="BI399" i="21" s="1"/>
  <c r="BB400" i="21"/>
  <c r="BD400" i="21" l="1"/>
  <c r="BI400" i="21" s="1"/>
  <c r="BB401" i="21"/>
  <c r="BD401" i="21" l="1"/>
  <c r="BI401" i="21" s="1"/>
  <c r="BB402" i="21"/>
  <c r="BD402" i="21" s="1"/>
  <c r="BI402" i="21" s="1"/>
  <c r="E14" i="20" l="1"/>
  <c r="E15" i="20" l="1"/>
  <c r="E24" i="20" l="1"/>
  <c r="E23" i="20" l="1"/>
  <c r="E16" i="20" l="1"/>
  <c r="E17" i="20"/>
  <c r="E25" i="20" l="1"/>
  <c r="E26" i="20"/>
  <c r="AE21" i="9" l="1"/>
  <c r="AE22" i="9" s="1"/>
  <c r="V5" i="19" s="1" a="1"/>
  <c r="V5" i="19" s="1"/>
  <c r="Q9" i="9"/>
  <c r="P9" i="9"/>
  <c r="AD32" i="13"/>
  <c r="Z35" i="13" s="1" a="1"/>
  <c r="Z35" i="13" s="1"/>
  <c r="R8" i="13"/>
  <c r="S8" i="13"/>
  <c r="T8" i="13"/>
  <c r="Q8" i="13"/>
  <c r="X161" i="19"/>
  <c r="X84" i="19"/>
  <c r="X56" i="19"/>
  <c r="X40" i="19"/>
  <c r="X24" i="19"/>
  <c r="X15" i="19"/>
  <c r="Y9" i="19"/>
  <c r="W9" i="19"/>
  <c r="V9" i="19"/>
  <c r="Y27" i="19"/>
  <c r="W7" i="19"/>
  <c r="V7" i="19"/>
  <c r="Y218" i="19"/>
  <c r="X206" i="19"/>
  <c r="W6" i="19"/>
  <c r="V6" i="19"/>
  <c r="O370" i="19"/>
  <c r="U370" i="19"/>
  <c r="AA370" i="19"/>
  <c r="AB370" i="19"/>
  <c r="AC370" i="19"/>
  <c r="AD370" i="19"/>
  <c r="AE370" i="19"/>
  <c r="Q6" i="19"/>
  <c r="R6" i="19"/>
  <c r="S6" i="19"/>
  <c r="Q7" i="19"/>
  <c r="R7" i="19"/>
  <c r="S7" i="19"/>
  <c r="P7" i="19"/>
  <c r="P6" i="19"/>
  <c r="P8" i="19" s="1"/>
  <c r="P5" i="19"/>
  <c r="R4" i="19"/>
  <c r="L11" i="19"/>
  <c r="K11" i="19"/>
  <c r="J11" i="19"/>
  <c r="P4" i="19"/>
  <c r="V4" i="19" s="1"/>
  <c r="C12" i="19"/>
  <c r="E11" i="19"/>
  <c r="D11" i="19"/>
  <c r="O4" i="12"/>
  <c r="Y4" i="13"/>
  <c r="O4" i="13"/>
  <c r="F4" i="13"/>
  <c r="F4" i="12"/>
  <c r="AC32" i="12"/>
  <c r="T32" i="12"/>
  <c r="S32" i="12"/>
  <c r="R32" i="12"/>
  <c r="Q32" i="12"/>
  <c r="AC31" i="12"/>
  <c r="U31" i="12"/>
  <c r="AC30" i="12"/>
  <c r="U30" i="12"/>
  <c r="AC29" i="12"/>
  <c r="U29" i="12"/>
  <c r="AC28" i="12"/>
  <c r="U28" i="12"/>
  <c r="AC27" i="12"/>
  <c r="U27" i="12"/>
  <c r="AC26" i="12"/>
  <c r="U26" i="12"/>
  <c r="AC25" i="12"/>
  <c r="U25" i="12"/>
  <c r="AC24" i="12"/>
  <c r="U24" i="12"/>
  <c r="AC23" i="12"/>
  <c r="U23" i="12"/>
  <c r="AC22" i="12"/>
  <c r="U22" i="12"/>
  <c r="AC21" i="12"/>
  <c r="U21" i="12"/>
  <c r="AC20" i="12"/>
  <c r="U20" i="12"/>
  <c r="U19" i="12"/>
  <c r="U18" i="12"/>
  <c r="U17" i="12"/>
  <c r="U16" i="12"/>
  <c r="U15" i="12"/>
  <c r="U14" i="12"/>
  <c r="U13" i="12"/>
  <c r="U12" i="12"/>
  <c r="U11" i="12"/>
  <c r="U10" i="12"/>
  <c r="Y9" i="12"/>
  <c r="Y10" i="12" s="1"/>
  <c r="Y11" i="12" s="1"/>
  <c r="Y12" i="12" s="1"/>
  <c r="Y13" i="12" s="1"/>
  <c r="Y14" i="12" s="1"/>
  <c r="Y15" i="12" s="1"/>
  <c r="Y16" i="12" s="1"/>
  <c r="Y17" i="12" s="1"/>
  <c r="Y18" i="12" s="1"/>
  <c r="Y19" i="12" s="1"/>
  <c r="Y20" i="12" s="1"/>
  <c r="Y21" i="12" s="1"/>
  <c r="Y22" i="12" s="1"/>
  <c r="Y23" i="12" s="1"/>
  <c r="Y24" i="12" s="1"/>
  <c r="Y25" i="12" s="1"/>
  <c r="Y26" i="12" s="1"/>
  <c r="Y27" i="12" s="1"/>
  <c r="Y28" i="12" s="1"/>
  <c r="Y29" i="12" s="1"/>
  <c r="Y30" i="12" s="1"/>
  <c r="Y31" i="12" s="1"/>
  <c r="Y32" i="12" s="1"/>
  <c r="AG6" i="12"/>
  <c r="R5" i="12"/>
  <c r="S5" i="12" s="1"/>
  <c r="T5" i="12" s="1"/>
  <c r="Z4" i="11"/>
  <c r="AC32" i="11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9" i="11"/>
  <c r="AC18" i="11"/>
  <c r="AC17" i="11"/>
  <c r="AC16" i="11"/>
  <c r="AC15" i="11"/>
  <c r="Y9" i="11"/>
  <c r="Y10" i="11" s="1"/>
  <c r="AG6" i="11"/>
  <c r="Y4" i="9"/>
  <c r="X9" i="9"/>
  <c r="X10" i="9" s="1"/>
  <c r="X11" i="9" s="1"/>
  <c r="X12" i="9" s="1"/>
  <c r="X13" i="9" s="1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9" i="19" s="1"/>
  <c r="AJ6" i="9"/>
  <c r="AG6" i="13"/>
  <c r="AC31" i="13"/>
  <c r="AC30" i="13"/>
  <c r="AC29" i="13"/>
  <c r="AC28" i="13"/>
  <c r="AC27" i="13"/>
  <c r="AC26" i="13"/>
  <c r="AC25" i="13"/>
  <c r="AC24" i="13"/>
  <c r="AC23" i="13"/>
  <c r="AC22" i="13"/>
  <c r="Y9" i="13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O4" i="11"/>
  <c r="O5" i="11" s="1"/>
  <c r="F4" i="11"/>
  <c r="T32" i="11"/>
  <c r="S32" i="11"/>
  <c r="R32" i="11"/>
  <c r="Q32" i="11"/>
  <c r="U31" i="11"/>
  <c r="U30" i="11"/>
  <c r="U29" i="11"/>
  <c r="U28" i="1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R5" i="11"/>
  <c r="S5" i="11" s="1"/>
  <c r="T5" i="11" s="1"/>
  <c r="Q5" i="9"/>
  <c r="R5" i="9" s="1"/>
  <c r="S5" i="9" s="1"/>
  <c r="S5" i="19" s="1"/>
  <c r="S33" i="9"/>
  <c r="S9" i="19" s="1"/>
  <c r="R33" i="9"/>
  <c r="R9" i="19" s="1"/>
  <c r="Q33" i="9"/>
  <c r="Q9" i="19" s="1"/>
  <c r="P33" i="9"/>
  <c r="P9" i="19" s="1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32" i="13"/>
  <c r="S32" i="13"/>
  <c r="R32" i="13"/>
  <c r="Q32" i="13"/>
  <c r="W53" i="19" l="1"/>
  <c r="S11" i="19"/>
  <c r="P12" i="19"/>
  <c r="P11" i="19"/>
  <c r="Q8" i="19"/>
  <c r="R5" i="19"/>
  <c r="W37" i="19"/>
  <c r="Q5" i="19"/>
  <c r="R11" i="19"/>
  <c r="W12" i="19"/>
  <c r="W92" i="19"/>
  <c r="R8" i="19"/>
  <c r="W21" i="19"/>
  <c r="W110" i="19"/>
  <c r="S8" i="19"/>
  <c r="V168" i="19"/>
  <c r="V200" i="19"/>
  <c r="W369" i="19"/>
  <c r="W361" i="19"/>
  <c r="W353" i="19"/>
  <c r="W345" i="19"/>
  <c r="W337" i="19"/>
  <c r="W329" i="19"/>
  <c r="W321" i="19"/>
  <c r="W313" i="19"/>
  <c r="W305" i="19"/>
  <c r="W297" i="19"/>
  <c r="W289" i="19"/>
  <c r="W281" i="19"/>
  <c r="W273" i="19"/>
  <c r="W265" i="19"/>
  <c r="W257" i="19"/>
  <c r="W249" i="19"/>
  <c r="W241" i="19"/>
  <c r="W367" i="19"/>
  <c r="W359" i="19"/>
  <c r="W351" i="19"/>
  <c r="W343" i="19"/>
  <c r="W335" i="19"/>
  <c r="W327" i="19"/>
  <c r="W319" i="19"/>
  <c r="W311" i="19"/>
  <c r="W303" i="19"/>
  <c r="W295" i="19"/>
  <c r="W287" i="19"/>
  <c r="W279" i="19"/>
  <c r="W271" i="19"/>
  <c r="W370" i="19"/>
  <c r="W362" i="19"/>
  <c r="W354" i="19"/>
  <c r="W346" i="19"/>
  <c r="W338" i="19"/>
  <c r="W330" i="19"/>
  <c r="W322" i="19"/>
  <c r="W314" i="19"/>
  <c r="W306" i="19"/>
  <c r="W298" i="19"/>
  <c r="W290" i="19"/>
  <c r="W282" i="19"/>
  <c r="W274" i="19"/>
  <c r="W266" i="19"/>
  <c r="W258" i="19"/>
  <c r="W250" i="19"/>
  <c r="W242" i="19"/>
  <c r="W365" i="19"/>
  <c r="W357" i="19"/>
  <c r="W349" i="19"/>
  <c r="W341" i="19"/>
  <c r="W333" i="19"/>
  <c r="W325" i="19"/>
  <c r="W317" i="19"/>
  <c r="W309" i="19"/>
  <c r="W301" i="19"/>
  <c r="W293" i="19"/>
  <c r="W285" i="19"/>
  <c r="W277" i="19"/>
  <c r="W269" i="19"/>
  <c r="W261" i="19"/>
  <c r="W253" i="19"/>
  <c r="W245" i="19"/>
  <c r="W237" i="19"/>
  <c r="W364" i="19"/>
  <c r="W348" i="19"/>
  <c r="W332" i="19"/>
  <c r="W316" i="19"/>
  <c r="W300" i="19"/>
  <c r="W284" i="19"/>
  <c r="W268" i="19"/>
  <c r="W263" i="19"/>
  <c r="W230" i="19"/>
  <c r="W222" i="19"/>
  <c r="W214" i="19"/>
  <c r="W206" i="19"/>
  <c r="W198" i="19"/>
  <c r="W190" i="19"/>
  <c r="W182" i="19"/>
  <c r="W174" i="19"/>
  <c r="W360" i="19"/>
  <c r="W344" i="19"/>
  <c r="W328" i="19"/>
  <c r="W312" i="19"/>
  <c r="W296" i="19"/>
  <c r="W280" i="19"/>
  <c r="W260" i="19"/>
  <c r="W255" i="19"/>
  <c r="W233" i="19"/>
  <c r="W225" i="19"/>
  <c r="W217" i="19"/>
  <c r="W209" i="19"/>
  <c r="W201" i="19"/>
  <c r="W193" i="19"/>
  <c r="W185" i="19"/>
  <c r="W177" i="19"/>
  <c r="W363" i="19"/>
  <c r="W347" i="19"/>
  <c r="W331" i="19"/>
  <c r="W315" i="19"/>
  <c r="W299" i="19"/>
  <c r="W283" i="19"/>
  <c r="W366" i="19"/>
  <c r="W350" i="19"/>
  <c r="W334" i="19"/>
  <c r="W318" i="19"/>
  <c r="W302" i="19"/>
  <c r="W286" i="19"/>
  <c r="W270" i="19"/>
  <c r="W267" i="19"/>
  <c r="W262" i="19"/>
  <c r="W244" i="19"/>
  <c r="W239" i="19"/>
  <c r="W231" i="19"/>
  <c r="W223" i="19"/>
  <c r="W215" i="19"/>
  <c r="W207" i="19"/>
  <c r="W199" i="19"/>
  <c r="W191" i="19"/>
  <c r="W183" i="19"/>
  <c r="W175" i="19"/>
  <c r="W356" i="19"/>
  <c r="W340" i="19"/>
  <c r="W324" i="19"/>
  <c r="W308" i="19"/>
  <c r="W292" i="19"/>
  <c r="W276" i="19"/>
  <c r="W264" i="19"/>
  <c r="W259" i="19"/>
  <c r="W254" i="19"/>
  <c r="W236" i="19"/>
  <c r="W234" i="19"/>
  <c r="W226" i="19"/>
  <c r="W218" i="19"/>
  <c r="W210" i="19"/>
  <c r="W202" i="19"/>
  <c r="W194" i="19"/>
  <c r="W368" i="19"/>
  <c r="W310" i="19"/>
  <c r="W221" i="19"/>
  <c r="W205" i="19"/>
  <c r="W189" i="19"/>
  <c r="W186" i="19"/>
  <c r="W181" i="19"/>
  <c r="W176" i="19"/>
  <c r="W171" i="19"/>
  <c r="W169" i="19"/>
  <c r="W164" i="19"/>
  <c r="W156" i="19"/>
  <c r="W148" i="19"/>
  <c r="W140" i="19"/>
  <c r="W132" i="19"/>
  <c r="W124" i="19"/>
  <c r="W116" i="19"/>
  <c r="W108" i="19"/>
  <c r="W100" i="19"/>
  <c r="W326" i="19"/>
  <c r="W291" i="19"/>
  <c r="W275" i="19"/>
  <c r="W248" i="19"/>
  <c r="W243" i="19"/>
  <c r="W238" i="19"/>
  <c r="W224" i="19"/>
  <c r="W208" i="19"/>
  <c r="W192" i="19"/>
  <c r="W178" i="19"/>
  <c r="W173" i="19"/>
  <c r="W167" i="19"/>
  <c r="W159" i="19"/>
  <c r="W151" i="19"/>
  <c r="W143" i="19"/>
  <c r="W135" i="19"/>
  <c r="W127" i="19"/>
  <c r="W119" i="19"/>
  <c r="W111" i="19"/>
  <c r="W103" i="19"/>
  <c r="W342" i="19"/>
  <c r="W307" i="19"/>
  <c r="W227" i="19"/>
  <c r="W211" i="19"/>
  <c r="W195" i="19"/>
  <c r="W162" i="19"/>
  <c r="W154" i="19"/>
  <c r="W146" i="19"/>
  <c r="W138" i="19"/>
  <c r="W130" i="19"/>
  <c r="W122" i="19"/>
  <c r="W114" i="19"/>
  <c r="W106" i="19"/>
  <c r="W358" i="19"/>
  <c r="W323" i="19"/>
  <c r="W288" i="19"/>
  <c r="W252" i="19"/>
  <c r="W247" i="19"/>
  <c r="W220" i="19"/>
  <c r="W204" i="19"/>
  <c r="W188" i="19"/>
  <c r="W180" i="19"/>
  <c r="W165" i="19"/>
  <c r="W157" i="19"/>
  <c r="W149" i="19"/>
  <c r="W141" i="19"/>
  <c r="W133" i="19"/>
  <c r="W125" i="19"/>
  <c r="W117" i="19"/>
  <c r="W109" i="19"/>
  <c r="W339" i="19"/>
  <c r="W304" i="19"/>
  <c r="W272" i="19"/>
  <c r="W256" i="19"/>
  <c r="W251" i="19"/>
  <c r="W246" i="19"/>
  <c r="W229" i="19"/>
  <c r="W213" i="19"/>
  <c r="W355" i="19"/>
  <c r="W320" i="19"/>
  <c r="W232" i="19"/>
  <c r="W216" i="19"/>
  <c r="W161" i="19"/>
  <c r="W145" i="19"/>
  <c r="W129" i="19"/>
  <c r="W113" i="19"/>
  <c r="W95" i="19"/>
  <c r="W87" i="19"/>
  <c r="W79" i="19"/>
  <c r="W71" i="19"/>
  <c r="W294" i="19"/>
  <c r="W228" i="19"/>
  <c r="W197" i="19"/>
  <c r="W170" i="19"/>
  <c r="W160" i="19"/>
  <c r="W144" i="19"/>
  <c r="W128" i="19"/>
  <c r="W112" i="19"/>
  <c r="W98" i="19"/>
  <c r="W90" i="19"/>
  <c r="W82" i="19"/>
  <c r="W74" i="19"/>
  <c r="W66" i="19"/>
  <c r="W58" i="19"/>
  <c r="W50" i="19"/>
  <c r="W42" i="19"/>
  <c r="W34" i="19"/>
  <c r="W26" i="19"/>
  <c r="W240" i="19"/>
  <c r="W163" i="19"/>
  <c r="W147" i="19"/>
  <c r="W131" i="19"/>
  <c r="W115" i="19"/>
  <c r="W93" i="19"/>
  <c r="W85" i="19"/>
  <c r="W77" i="19"/>
  <c r="W69" i="19"/>
  <c r="W352" i="19"/>
  <c r="W212" i="19"/>
  <c r="W203" i="19"/>
  <c r="W166" i="19"/>
  <c r="W150" i="19"/>
  <c r="W134" i="19"/>
  <c r="W118" i="19"/>
  <c r="W96" i="19"/>
  <c r="W88" i="19"/>
  <c r="W80" i="19"/>
  <c r="W72" i="19"/>
  <c r="W64" i="19"/>
  <c r="W56" i="19"/>
  <c r="W48" i="19"/>
  <c r="W40" i="19"/>
  <c r="W32" i="19"/>
  <c r="W24" i="19"/>
  <c r="W278" i="19"/>
  <c r="W235" i="19"/>
  <c r="W196" i="19"/>
  <c r="W184" i="19"/>
  <c r="W179" i="19"/>
  <c r="W153" i="19"/>
  <c r="W137" i="19"/>
  <c r="W121" i="19"/>
  <c r="W105" i="19"/>
  <c r="W102" i="19"/>
  <c r="W91" i="19"/>
  <c r="W83" i="19"/>
  <c r="W75" i="19"/>
  <c r="W67" i="19"/>
  <c r="W59" i="19"/>
  <c r="W51" i="19"/>
  <c r="W43" i="19"/>
  <c r="W35" i="19"/>
  <c r="W27" i="19"/>
  <c r="W172" i="19"/>
  <c r="W152" i="19"/>
  <c r="W136" i="19"/>
  <c r="W120" i="19"/>
  <c r="W104" i="19"/>
  <c r="W99" i="19"/>
  <c r="W94" i="19"/>
  <c r="W86" i="19"/>
  <c r="W78" i="19"/>
  <c r="W70" i="19"/>
  <c r="W62" i="19"/>
  <c r="W54" i="19"/>
  <c r="W46" i="19"/>
  <c r="W38" i="19"/>
  <c r="W30" i="19"/>
  <c r="W22" i="19"/>
  <c r="W336" i="19"/>
  <c r="W219" i="19"/>
  <c r="W200" i="19"/>
  <c r="W168" i="19"/>
  <c r="W155" i="19"/>
  <c r="W139" i="19"/>
  <c r="W123" i="19"/>
  <c r="W107" i="19"/>
  <c r="W101" i="19"/>
  <c r="W97" i="19"/>
  <c r="X12" i="19"/>
  <c r="V14" i="19"/>
  <c r="Y15" i="19"/>
  <c r="W17" i="19"/>
  <c r="Y21" i="19"/>
  <c r="V28" i="19"/>
  <c r="W31" i="19"/>
  <c r="X34" i="19"/>
  <c r="Y37" i="19"/>
  <c r="V44" i="19"/>
  <c r="W47" i="19"/>
  <c r="X50" i="19"/>
  <c r="Y53" i="19"/>
  <c r="V60" i="19"/>
  <c r="W63" i="19"/>
  <c r="Y66" i="19"/>
  <c r="V73" i="19"/>
  <c r="X79" i="19"/>
  <c r="X113" i="19"/>
  <c r="V139" i="19"/>
  <c r="Y164" i="19"/>
  <c r="Y18" i="19"/>
  <c r="X364" i="19"/>
  <c r="X356" i="19"/>
  <c r="X348" i="19"/>
  <c r="X340" i="19"/>
  <c r="X332" i="19"/>
  <c r="X324" i="19"/>
  <c r="X316" i="19"/>
  <c r="X308" i="19"/>
  <c r="X300" i="19"/>
  <c r="X292" i="19"/>
  <c r="X284" i="19"/>
  <c r="X276" i="19"/>
  <c r="X268" i="19"/>
  <c r="X260" i="19"/>
  <c r="X252" i="19"/>
  <c r="X244" i="19"/>
  <c r="X236" i="19"/>
  <c r="X370" i="19"/>
  <c r="X362" i="19"/>
  <c r="X354" i="19"/>
  <c r="X346" i="19"/>
  <c r="X338" i="19"/>
  <c r="X330" i="19"/>
  <c r="X322" i="19"/>
  <c r="X314" i="19"/>
  <c r="X306" i="19"/>
  <c r="X298" i="19"/>
  <c r="X290" i="19"/>
  <c r="X282" i="19"/>
  <c r="X274" i="19"/>
  <c r="X365" i="19"/>
  <c r="X357" i="19"/>
  <c r="X349" i="19"/>
  <c r="X341" i="19"/>
  <c r="X333" i="19"/>
  <c r="X325" i="19"/>
  <c r="X317" i="19"/>
  <c r="X309" i="19"/>
  <c r="X301" i="19"/>
  <c r="X293" i="19"/>
  <c r="X285" i="19"/>
  <c r="X277" i="19"/>
  <c r="X269" i="19"/>
  <c r="X261" i="19"/>
  <c r="X253" i="19"/>
  <c r="X245" i="19"/>
  <c r="X237" i="19"/>
  <c r="X368" i="19"/>
  <c r="X360" i="19"/>
  <c r="X352" i="19"/>
  <c r="X344" i="19"/>
  <c r="X336" i="19"/>
  <c r="X328" i="19"/>
  <c r="X320" i="19"/>
  <c r="X312" i="19"/>
  <c r="X304" i="19"/>
  <c r="X296" i="19"/>
  <c r="X288" i="19"/>
  <c r="X280" i="19"/>
  <c r="X272" i="19"/>
  <c r="X264" i="19"/>
  <c r="X256" i="19"/>
  <c r="X248" i="19"/>
  <c r="X240" i="19"/>
  <c r="X367" i="19"/>
  <c r="X351" i="19"/>
  <c r="X335" i="19"/>
  <c r="X319" i="19"/>
  <c r="X303" i="19"/>
  <c r="X287" i="19"/>
  <c r="X271" i="19"/>
  <c r="X255" i="19"/>
  <c r="X250" i="19"/>
  <c r="X233" i="19"/>
  <c r="X225" i="19"/>
  <c r="X217" i="19"/>
  <c r="X209" i="19"/>
  <c r="X201" i="19"/>
  <c r="X193" i="19"/>
  <c r="X185" i="19"/>
  <c r="X177" i="19"/>
  <c r="X169" i="19"/>
  <c r="X363" i="19"/>
  <c r="X347" i="19"/>
  <c r="X331" i="19"/>
  <c r="X315" i="19"/>
  <c r="X299" i="19"/>
  <c r="X283" i="19"/>
  <c r="X265" i="19"/>
  <c r="X247" i="19"/>
  <c r="X242" i="19"/>
  <c r="X228" i="19"/>
  <c r="X220" i="19"/>
  <c r="X212" i="19"/>
  <c r="X204" i="19"/>
  <c r="X196" i="19"/>
  <c r="X188" i="19"/>
  <c r="X180" i="19"/>
  <c r="X172" i="19"/>
  <c r="X366" i="19"/>
  <c r="X350" i="19"/>
  <c r="X334" i="19"/>
  <c r="X318" i="19"/>
  <c r="X302" i="19"/>
  <c r="X286" i="19"/>
  <c r="X369" i="19"/>
  <c r="X353" i="19"/>
  <c r="X337" i="19"/>
  <c r="X321" i="19"/>
  <c r="X305" i="19"/>
  <c r="X289" i="19"/>
  <c r="X273" i="19"/>
  <c r="X259" i="19"/>
  <c r="X254" i="19"/>
  <c r="X249" i="19"/>
  <c r="X234" i="19"/>
  <c r="X226" i="19"/>
  <c r="X218" i="19"/>
  <c r="X210" i="19"/>
  <c r="X202" i="19"/>
  <c r="X194" i="19"/>
  <c r="X186" i="19"/>
  <c r="X178" i="19"/>
  <c r="X359" i="19"/>
  <c r="X343" i="19"/>
  <c r="X327" i="19"/>
  <c r="X311" i="19"/>
  <c r="X295" i="19"/>
  <c r="X279" i="19"/>
  <c r="X251" i="19"/>
  <c r="X246" i="19"/>
  <c r="X241" i="19"/>
  <c r="X229" i="19"/>
  <c r="X221" i="19"/>
  <c r="X213" i="19"/>
  <c r="X205" i="19"/>
  <c r="X197" i="19"/>
  <c r="X189" i="19"/>
  <c r="X361" i="19"/>
  <c r="X326" i="19"/>
  <c r="X291" i="19"/>
  <c r="X275" i="19"/>
  <c r="X243" i="19"/>
  <c r="X238" i="19"/>
  <c r="X224" i="19"/>
  <c r="X208" i="19"/>
  <c r="X192" i="19"/>
  <c r="X173" i="19"/>
  <c r="X167" i="19"/>
  <c r="X159" i="19"/>
  <c r="X151" i="19"/>
  <c r="X143" i="19"/>
  <c r="X135" i="19"/>
  <c r="X127" i="19"/>
  <c r="X119" i="19"/>
  <c r="X111" i="19"/>
  <c r="X103" i="19"/>
  <c r="X342" i="19"/>
  <c r="X307" i="19"/>
  <c r="X227" i="19"/>
  <c r="X211" i="19"/>
  <c r="X195" i="19"/>
  <c r="X183" i="19"/>
  <c r="X162" i="19"/>
  <c r="X154" i="19"/>
  <c r="X146" i="19"/>
  <c r="X138" i="19"/>
  <c r="X130" i="19"/>
  <c r="X122" i="19"/>
  <c r="X114" i="19"/>
  <c r="X106" i="19"/>
  <c r="X358" i="19"/>
  <c r="X323" i="19"/>
  <c r="X263" i="19"/>
  <c r="X258" i="19"/>
  <c r="X230" i="19"/>
  <c r="X214" i="19"/>
  <c r="X198" i="19"/>
  <c r="X175" i="19"/>
  <c r="X165" i="19"/>
  <c r="X157" i="19"/>
  <c r="X149" i="19"/>
  <c r="X141" i="19"/>
  <c r="X133" i="19"/>
  <c r="X125" i="19"/>
  <c r="X117" i="19"/>
  <c r="X109" i="19"/>
  <c r="X101" i="19"/>
  <c r="X339" i="19"/>
  <c r="X281" i="19"/>
  <c r="X267" i="19"/>
  <c r="X262" i="19"/>
  <c r="X257" i="19"/>
  <c r="X223" i="19"/>
  <c r="X207" i="19"/>
  <c r="X191" i="19"/>
  <c r="X170" i="19"/>
  <c r="X160" i="19"/>
  <c r="X152" i="19"/>
  <c r="X144" i="19"/>
  <c r="X136" i="19"/>
  <c r="X128" i="19"/>
  <c r="X120" i="19"/>
  <c r="X112" i="19"/>
  <c r="X104" i="19"/>
  <c r="X355" i="19"/>
  <c r="X297" i="19"/>
  <c r="X232" i="19"/>
  <c r="X216" i="19"/>
  <c r="X313" i="19"/>
  <c r="X278" i="19"/>
  <c r="X266" i="19"/>
  <c r="X235" i="19"/>
  <c r="X219" i="19"/>
  <c r="X329" i="19"/>
  <c r="X294" i="19"/>
  <c r="X199" i="19"/>
  <c r="X181" i="19"/>
  <c r="X176" i="19"/>
  <c r="X171" i="19"/>
  <c r="X164" i="19"/>
  <c r="X148" i="19"/>
  <c r="X132" i="19"/>
  <c r="X116" i="19"/>
  <c r="X98" i="19"/>
  <c r="X90" i="19"/>
  <c r="X82" i="19"/>
  <c r="X74" i="19"/>
  <c r="X66" i="19"/>
  <c r="X215" i="19"/>
  <c r="X163" i="19"/>
  <c r="X147" i="19"/>
  <c r="X131" i="19"/>
  <c r="X115" i="19"/>
  <c r="X93" i="19"/>
  <c r="X85" i="19"/>
  <c r="X77" i="19"/>
  <c r="X69" i="19"/>
  <c r="X61" i="19"/>
  <c r="X53" i="19"/>
  <c r="X45" i="19"/>
  <c r="X37" i="19"/>
  <c r="X29" i="19"/>
  <c r="X21" i="19"/>
  <c r="X203" i="19"/>
  <c r="X166" i="19"/>
  <c r="X150" i="19"/>
  <c r="X134" i="19"/>
  <c r="X118" i="19"/>
  <c r="X100" i="19"/>
  <c r="X96" i="19"/>
  <c r="X88" i="19"/>
  <c r="X80" i="19"/>
  <c r="X72" i="19"/>
  <c r="X239" i="19"/>
  <c r="X190" i="19"/>
  <c r="X184" i="19"/>
  <c r="X179" i="19"/>
  <c r="X174" i="19"/>
  <c r="X153" i="19"/>
  <c r="X137" i="19"/>
  <c r="X121" i="19"/>
  <c r="X105" i="19"/>
  <c r="X102" i="19"/>
  <c r="X91" i="19"/>
  <c r="X83" i="19"/>
  <c r="X75" i="19"/>
  <c r="X67" i="19"/>
  <c r="X59" i="19"/>
  <c r="X51" i="19"/>
  <c r="X43" i="19"/>
  <c r="X35" i="19"/>
  <c r="X27" i="19"/>
  <c r="X19" i="19"/>
  <c r="X222" i="19"/>
  <c r="X156" i="19"/>
  <c r="X140" i="19"/>
  <c r="X124" i="19"/>
  <c r="X108" i="19"/>
  <c r="X99" i="19"/>
  <c r="X94" i="19"/>
  <c r="X86" i="19"/>
  <c r="X78" i="19"/>
  <c r="X70" i="19"/>
  <c r="X62" i="19"/>
  <c r="X54" i="19"/>
  <c r="X46" i="19"/>
  <c r="X38" i="19"/>
  <c r="X30" i="19"/>
  <c r="X22" i="19"/>
  <c r="X345" i="19"/>
  <c r="X310" i="19"/>
  <c r="X200" i="19"/>
  <c r="X168" i="19"/>
  <c r="X155" i="19"/>
  <c r="X139" i="19"/>
  <c r="X123" i="19"/>
  <c r="X107" i="19"/>
  <c r="X97" i="19"/>
  <c r="X89" i="19"/>
  <c r="X81" i="19"/>
  <c r="X73" i="19"/>
  <c r="X65" i="19"/>
  <c r="X57" i="19"/>
  <c r="X49" i="19"/>
  <c r="X41" i="19"/>
  <c r="X33" i="19"/>
  <c r="X25" i="19"/>
  <c r="X187" i="19"/>
  <c r="X182" i="19"/>
  <c r="X158" i="19"/>
  <c r="X142" i="19"/>
  <c r="X126" i="19"/>
  <c r="X110" i="19"/>
  <c r="X92" i="19"/>
  <c r="V8" i="19"/>
  <c r="V11" i="19"/>
  <c r="Y12" i="19"/>
  <c r="W14" i="19"/>
  <c r="X17" i="19"/>
  <c r="V19" i="19"/>
  <c r="V25" i="19"/>
  <c r="W28" i="19"/>
  <c r="X31" i="19"/>
  <c r="Y34" i="19"/>
  <c r="V41" i="19"/>
  <c r="W44" i="19"/>
  <c r="X47" i="19"/>
  <c r="Y50" i="19"/>
  <c r="V57" i="19"/>
  <c r="W60" i="19"/>
  <c r="X63" i="19"/>
  <c r="W73" i="19"/>
  <c r="Y79" i="19"/>
  <c r="V86" i="19"/>
  <c r="X95" i="19"/>
  <c r="Y116" i="19"/>
  <c r="W142" i="19"/>
  <c r="V366" i="19"/>
  <c r="V358" i="19"/>
  <c r="V350" i="19"/>
  <c r="V342" i="19"/>
  <c r="V334" i="19"/>
  <c r="V326" i="19"/>
  <c r="V318" i="19"/>
  <c r="V310" i="19"/>
  <c r="V302" i="19"/>
  <c r="V294" i="19"/>
  <c r="V286" i="19"/>
  <c r="V278" i="19"/>
  <c r="V270" i="19"/>
  <c r="V262" i="19"/>
  <c r="V254" i="19"/>
  <c r="V246" i="19"/>
  <c r="V238" i="19"/>
  <c r="V364" i="19"/>
  <c r="V356" i="19"/>
  <c r="V348" i="19"/>
  <c r="V340" i="19"/>
  <c r="V332" i="19"/>
  <c r="V324" i="19"/>
  <c r="V316" i="19"/>
  <c r="V308" i="19"/>
  <c r="V300" i="19"/>
  <c r="V292" i="19"/>
  <c r="V284" i="19"/>
  <c r="V276" i="19"/>
  <c r="V367" i="19"/>
  <c r="V359" i="19"/>
  <c r="V351" i="19"/>
  <c r="V343" i="19"/>
  <c r="V335" i="19"/>
  <c r="V327" i="19"/>
  <c r="V319" i="19"/>
  <c r="V311" i="19"/>
  <c r="V303" i="19"/>
  <c r="V295" i="19"/>
  <c r="V287" i="19"/>
  <c r="V279" i="19"/>
  <c r="V271" i="19"/>
  <c r="V263" i="19"/>
  <c r="V255" i="19"/>
  <c r="V247" i="19"/>
  <c r="V239" i="19"/>
  <c r="V370" i="19"/>
  <c r="V362" i="19"/>
  <c r="V354" i="19"/>
  <c r="V346" i="19"/>
  <c r="V338" i="19"/>
  <c r="V330" i="19"/>
  <c r="V322" i="19"/>
  <c r="V314" i="19"/>
  <c r="V306" i="19"/>
  <c r="V298" i="19"/>
  <c r="V290" i="19"/>
  <c r="V282" i="19"/>
  <c r="V274" i="19"/>
  <c r="V266" i="19"/>
  <c r="V258" i="19"/>
  <c r="V250" i="19"/>
  <c r="V242" i="19"/>
  <c r="V361" i="19"/>
  <c r="V345" i="19"/>
  <c r="V329" i="19"/>
  <c r="V313" i="19"/>
  <c r="V297" i="19"/>
  <c r="V281" i="19"/>
  <c r="V245" i="19"/>
  <c r="V240" i="19"/>
  <c r="V235" i="19"/>
  <c r="V227" i="19"/>
  <c r="V219" i="19"/>
  <c r="V211" i="19"/>
  <c r="V203" i="19"/>
  <c r="V195" i="19"/>
  <c r="V187" i="19"/>
  <c r="V179" i="19"/>
  <c r="V171" i="19"/>
  <c r="V357" i="19"/>
  <c r="V341" i="19"/>
  <c r="V325" i="19"/>
  <c r="V309" i="19"/>
  <c r="V293" i="19"/>
  <c r="V277" i="19"/>
  <c r="V268" i="19"/>
  <c r="V237" i="19"/>
  <c r="V230" i="19"/>
  <c r="V222" i="19"/>
  <c r="V214" i="19"/>
  <c r="V206" i="19"/>
  <c r="V198" i="19"/>
  <c r="V190" i="19"/>
  <c r="V182" i="19"/>
  <c r="V174" i="19"/>
  <c r="V360" i="19"/>
  <c r="V344" i="19"/>
  <c r="V328" i="19"/>
  <c r="V312" i="19"/>
  <c r="V296" i="19"/>
  <c r="V280" i="19"/>
  <c r="V363" i="19"/>
  <c r="V347" i="19"/>
  <c r="V331" i="19"/>
  <c r="V315" i="19"/>
  <c r="V299" i="19"/>
  <c r="V283" i="19"/>
  <c r="V257" i="19"/>
  <c r="V252" i="19"/>
  <c r="V228" i="19"/>
  <c r="V220" i="19"/>
  <c r="V212" i="19"/>
  <c r="V204" i="19"/>
  <c r="V196" i="19"/>
  <c r="V188" i="19"/>
  <c r="V180" i="19"/>
  <c r="V172" i="19"/>
  <c r="V369" i="19"/>
  <c r="V353" i="19"/>
  <c r="V337" i="19"/>
  <c r="V321" i="19"/>
  <c r="V305" i="19"/>
  <c r="V289" i="19"/>
  <c r="V273" i="19"/>
  <c r="V267" i="19"/>
  <c r="V249" i="19"/>
  <c r="V244" i="19"/>
  <c r="V231" i="19"/>
  <c r="V223" i="19"/>
  <c r="V215" i="19"/>
  <c r="V207" i="19"/>
  <c r="V199" i="19"/>
  <c r="V191" i="19"/>
  <c r="V352" i="19"/>
  <c r="V317" i="19"/>
  <c r="V269" i="19"/>
  <c r="V264" i="19"/>
  <c r="V259" i="19"/>
  <c r="V234" i="19"/>
  <c r="V218" i="19"/>
  <c r="V202" i="19"/>
  <c r="V184" i="19"/>
  <c r="V161" i="19"/>
  <c r="V153" i="19"/>
  <c r="V145" i="19"/>
  <c r="V137" i="19"/>
  <c r="V129" i="19"/>
  <c r="V121" i="19"/>
  <c r="V113" i="19"/>
  <c r="V105" i="19"/>
  <c r="V368" i="19"/>
  <c r="V333" i="19"/>
  <c r="V221" i="19"/>
  <c r="V205" i="19"/>
  <c r="V189" i="19"/>
  <c r="V186" i="19"/>
  <c r="V181" i="19"/>
  <c r="V176" i="19"/>
  <c r="V169" i="19"/>
  <c r="V164" i="19"/>
  <c r="V156" i="19"/>
  <c r="V148" i="19"/>
  <c r="V140" i="19"/>
  <c r="V132" i="19"/>
  <c r="V124" i="19"/>
  <c r="V116" i="19"/>
  <c r="V108" i="19"/>
  <c r="V100" i="19"/>
  <c r="V349" i="19"/>
  <c r="V291" i="19"/>
  <c r="V275" i="19"/>
  <c r="V253" i="19"/>
  <c r="V248" i="19"/>
  <c r="V243" i="19"/>
  <c r="V224" i="19"/>
  <c r="V208" i="19"/>
  <c r="V192" i="19"/>
  <c r="V183" i="19"/>
  <c r="V178" i="19"/>
  <c r="V173" i="19"/>
  <c r="V167" i="19"/>
  <c r="V159" i="19"/>
  <c r="V151" i="19"/>
  <c r="V143" i="19"/>
  <c r="V135" i="19"/>
  <c r="V127" i="19"/>
  <c r="V119" i="19"/>
  <c r="V111" i="19"/>
  <c r="V103" i="19"/>
  <c r="V365" i="19"/>
  <c r="V307" i="19"/>
  <c r="V233" i="19"/>
  <c r="V217" i="19"/>
  <c r="V201" i="19"/>
  <c r="V175" i="19"/>
  <c r="V162" i="19"/>
  <c r="V154" i="19"/>
  <c r="V146" i="19"/>
  <c r="V138" i="19"/>
  <c r="V130" i="19"/>
  <c r="V122" i="19"/>
  <c r="V114" i="19"/>
  <c r="V106" i="19"/>
  <c r="V323" i="19"/>
  <c r="V288" i="19"/>
  <c r="V241" i="19"/>
  <c r="V236" i="19"/>
  <c r="V226" i="19"/>
  <c r="V210" i="19"/>
  <c r="V339" i="19"/>
  <c r="V304" i="19"/>
  <c r="V272" i="19"/>
  <c r="V261" i="19"/>
  <c r="V256" i="19"/>
  <c r="V251" i="19"/>
  <c r="V229" i="19"/>
  <c r="V213" i="19"/>
  <c r="V216" i="19"/>
  <c r="V193" i="19"/>
  <c r="V158" i="19"/>
  <c r="V142" i="19"/>
  <c r="V126" i="19"/>
  <c r="V110" i="19"/>
  <c r="V92" i="19"/>
  <c r="V84" i="19"/>
  <c r="V76" i="19"/>
  <c r="V68" i="19"/>
  <c r="V265" i="19"/>
  <c r="V185" i="19"/>
  <c r="V157" i="19"/>
  <c r="V141" i="19"/>
  <c r="V125" i="19"/>
  <c r="V109" i="19"/>
  <c r="V95" i="19"/>
  <c r="V87" i="19"/>
  <c r="V79" i="19"/>
  <c r="V71" i="19"/>
  <c r="V63" i="19"/>
  <c r="V55" i="19"/>
  <c r="V47" i="19"/>
  <c r="V39" i="19"/>
  <c r="V31" i="19"/>
  <c r="V23" i="19"/>
  <c r="V355" i="19"/>
  <c r="V320" i="19"/>
  <c r="V285" i="19"/>
  <c r="V197" i="19"/>
  <c r="V170" i="19"/>
  <c r="V160" i="19"/>
  <c r="V144" i="19"/>
  <c r="V128" i="19"/>
  <c r="V112" i="19"/>
  <c r="V98" i="19"/>
  <c r="V90" i="19"/>
  <c r="V82" i="19"/>
  <c r="V74" i="19"/>
  <c r="V260" i="19"/>
  <c r="V225" i="19"/>
  <c r="V163" i="19"/>
  <c r="V147" i="19"/>
  <c r="V131" i="19"/>
  <c r="V115" i="19"/>
  <c r="V93" i="19"/>
  <c r="V85" i="19"/>
  <c r="V77" i="19"/>
  <c r="V69" i="19"/>
  <c r="V61" i="19"/>
  <c r="V53" i="19"/>
  <c r="V45" i="19"/>
  <c r="V37" i="19"/>
  <c r="V29" i="19"/>
  <c r="V21" i="19"/>
  <c r="V166" i="19"/>
  <c r="V150" i="19"/>
  <c r="V134" i="19"/>
  <c r="V118" i="19"/>
  <c r="V96" i="19"/>
  <c r="V88" i="19"/>
  <c r="V80" i="19"/>
  <c r="V72" i="19"/>
  <c r="V64" i="19"/>
  <c r="V56" i="19"/>
  <c r="V48" i="19"/>
  <c r="V40" i="19"/>
  <c r="V32" i="19"/>
  <c r="V24" i="19"/>
  <c r="V209" i="19"/>
  <c r="V194" i="19"/>
  <c r="V165" i="19"/>
  <c r="V149" i="19"/>
  <c r="V133" i="19"/>
  <c r="V117" i="19"/>
  <c r="V102" i="19"/>
  <c r="V91" i="19"/>
  <c r="V83" i="19"/>
  <c r="V75" i="19"/>
  <c r="V67" i="19"/>
  <c r="V59" i="19"/>
  <c r="V51" i="19"/>
  <c r="V43" i="19"/>
  <c r="V35" i="19"/>
  <c r="V27" i="19"/>
  <c r="V232" i="19"/>
  <c r="V177" i="19"/>
  <c r="V152" i="19"/>
  <c r="V136" i="19"/>
  <c r="V120" i="19"/>
  <c r="V104" i="19"/>
  <c r="V99" i="19"/>
  <c r="V94" i="19"/>
  <c r="Y59" i="19"/>
  <c r="V66" i="19"/>
  <c r="Y71" i="19"/>
  <c r="V78" i="19"/>
  <c r="Y367" i="19"/>
  <c r="Y359" i="19"/>
  <c r="Y351" i="19"/>
  <c r="Y343" i="19"/>
  <c r="Y335" i="19"/>
  <c r="Y327" i="19"/>
  <c r="Y319" i="19"/>
  <c r="Y311" i="19"/>
  <c r="Y303" i="19"/>
  <c r="Y295" i="19"/>
  <c r="Y287" i="19"/>
  <c r="Y279" i="19"/>
  <c r="Y271" i="19"/>
  <c r="Y263" i="19"/>
  <c r="Y255" i="19"/>
  <c r="Y247" i="19"/>
  <c r="Y239" i="19"/>
  <c r="Y365" i="19"/>
  <c r="Y357" i="19"/>
  <c r="Y349" i="19"/>
  <c r="Y341" i="19"/>
  <c r="Y333" i="19"/>
  <c r="Y325" i="19"/>
  <c r="Y317" i="19"/>
  <c r="Y309" i="19"/>
  <c r="Y301" i="19"/>
  <c r="Y293" i="19"/>
  <c r="Y285" i="19"/>
  <c r="Y277" i="19"/>
  <c r="Y269" i="19"/>
  <c r="Y368" i="19"/>
  <c r="Y360" i="19"/>
  <c r="Y352" i="19"/>
  <c r="Y344" i="19"/>
  <c r="Y336" i="19"/>
  <c r="Y328" i="19"/>
  <c r="Y320" i="19"/>
  <c r="Y312" i="19"/>
  <c r="Y304" i="19"/>
  <c r="Y296" i="19"/>
  <c r="Y288" i="19"/>
  <c r="Y280" i="19"/>
  <c r="Y272" i="19"/>
  <c r="Y264" i="19"/>
  <c r="Y256" i="19"/>
  <c r="Y248" i="19"/>
  <c r="Y240" i="19"/>
  <c r="Y363" i="19"/>
  <c r="Y355" i="19"/>
  <c r="Y347" i="19"/>
  <c r="Y339" i="19"/>
  <c r="Y331" i="19"/>
  <c r="Y323" i="19"/>
  <c r="Y315" i="19"/>
  <c r="Y307" i="19"/>
  <c r="Y299" i="19"/>
  <c r="Y291" i="19"/>
  <c r="Y283" i="19"/>
  <c r="Y275" i="19"/>
  <c r="Y267" i="19"/>
  <c r="Y259" i="19"/>
  <c r="Y251" i="19"/>
  <c r="Y243" i="19"/>
  <c r="Y235" i="19"/>
  <c r="Y370" i="19"/>
  <c r="Y354" i="19"/>
  <c r="Y338" i="19"/>
  <c r="Y322" i="19"/>
  <c r="Y306" i="19"/>
  <c r="Y290" i="19"/>
  <c r="Y274" i="19"/>
  <c r="Y265" i="19"/>
  <c r="Y260" i="19"/>
  <c r="Y242" i="19"/>
  <c r="Y237" i="19"/>
  <c r="Y228" i="19"/>
  <c r="Y220" i="19"/>
  <c r="Y212" i="19"/>
  <c r="Y204" i="19"/>
  <c r="Y196" i="19"/>
  <c r="Y188" i="19"/>
  <c r="Y180" i="19"/>
  <c r="Y172" i="19"/>
  <c r="Y366" i="19"/>
  <c r="Y350" i="19"/>
  <c r="Y334" i="19"/>
  <c r="Y318" i="19"/>
  <c r="Y302" i="19"/>
  <c r="Y286" i="19"/>
  <c r="Y270" i="19"/>
  <c r="Y262" i="19"/>
  <c r="Y257" i="19"/>
  <c r="Y252" i="19"/>
  <c r="Y231" i="19"/>
  <c r="Y223" i="19"/>
  <c r="Y215" i="19"/>
  <c r="Y207" i="19"/>
  <c r="Y199" i="19"/>
  <c r="Y191" i="19"/>
  <c r="Y183" i="19"/>
  <c r="Y175" i="19"/>
  <c r="Y369" i="19"/>
  <c r="Y353" i="19"/>
  <c r="Y337" i="19"/>
  <c r="Y321" i="19"/>
  <c r="Y305" i="19"/>
  <c r="Y289" i="19"/>
  <c r="Y356" i="19"/>
  <c r="Y340" i="19"/>
  <c r="Y324" i="19"/>
  <c r="Y308" i="19"/>
  <c r="Y292" i="19"/>
  <c r="Y276" i="19"/>
  <c r="Y246" i="19"/>
  <c r="Y241" i="19"/>
  <c r="Y236" i="19"/>
  <c r="Y229" i="19"/>
  <c r="Y221" i="19"/>
  <c r="Y213" i="19"/>
  <c r="Y205" i="19"/>
  <c r="Y197" i="19"/>
  <c r="Y189" i="19"/>
  <c r="Y181" i="19"/>
  <c r="Y173" i="19"/>
  <c r="Y362" i="19"/>
  <c r="Y346" i="19"/>
  <c r="Y330" i="19"/>
  <c r="Y314" i="19"/>
  <c r="Y298" i="19"/>
  <c r="Y282" i="19"/>
  <c r="Y238" i="19"/>
  <c r="Y232" i="19"/>
  <c r="Y224" i="19"/>
  <c r="Y216" i="19"/>
  <c r="Y208" i="19"/>
  <c r="Y200" i="19"/>
  <c r="Y192" i="19"/>
  <c r="Y342" i="19"/>
  <c r="Y284" i="19"/>
  <c r="Y227" i="19"/>
  <c r="Y211" i="19"/>
  <c r="Y195" i="19"/>
  <c r="Y178" i="19"/>
  <c r="Y162" i="19"/>
  <c r="Y154" i="19"/>
  <c r="Y146" i="19"/>
  <c r="Y138" i="19"/>
  <c r="Y130" i="19"/>
  <c r="Y122" i="19"/>
  <c r="Y114" i="19"/>
  <c r="Y106" i="19"/>
  <c r="Y98" i="19"/>
  <c r="Y358" i="19"/>
  <c r="Y300" i="19"/>
  <c r="Y258" i="19"/>
  <c r="Y253" i="19"/>
  <c r="Y230" i="19"/>
  <c r="Y214" i="19"/>
  <c r="Y198" i="19"/>
  <c r="Y165" i="19"/>
  <c r="Y157" i="19"/>
  <c r="Y149" i="19"/>
  <c r="Y141" i="19"/>
  <c r="Y133" i="19"/>
  <c r="Y125" i="19"/>
  <c r="Y117" i="19"/>
  <c r="Y109" i="19"/>
  <c r="Y101" i="19"/>
  <c r="Y316" i="19"/>
  <c r="Y281" i="19"/>
  <c r="Y268" i="19"/>
  <c r="Y233" i="19"/>
  <c r="Y217" i="19"/>
  <c r="Y201" i="19"/>
  <c r="Y170" i="19"/>
  <c r="Y160" i="19"/>
  <c r="Y152" i="19"/>
  <c r="Y144" i="19"/>
  <c r="Y136" i="19"/>
  <c r="Y128" i="19"/>
  <c r="Y120" i="19"/>
  <c r="Y112" i="19"/>
  <c r="Y104" i="19"/>
  <c r="Y332" i="19"/>
  <c r="Y297" i="19"/>
  <c r="Y273" i="19"/>
  <c r="Y226" i="19"/>
  <c r="Y210" i="19"/>
  <c r="Y194" i="19"/>
  <c r="Y185" i="19"/>
  <c r="Y168" i="19"/>
  <c r="Y163" i="19"/>
  <c r="Y155" i="19"/>
  <c r="Y147" i="19"/>
  <c r="Y139" i="19"/>
  <c r="Y131" i="19"/>
  <c r="Y123" i="19"/>
  <c r="Y115" i="19"/>
  <c r="Y107" i="19"/>
  <c r="Y348" i="19"/>
  <c r="Y313" i="19"/>
  <c r="Y278" i="19"/>
  <c r="Y266" i="19"/>
  <c r="Y261" i="19"/>
  <c r="Y219" i="19"/>
  <c r="Y364" i="19"/>
  <c r="Y329" i="19"/>
  <c r="Y294" i="19"/>
  <c r="Y222" i="19"/>
  <c r="Y245" i="19"/>
  <c r="Y186" i="19"/>
  <c r="Y167" i="19"/>
  <c r="Y151" i="19"/>
  <c r="Y135" i="19"/>
  <c r="Y119" i="19"/>
  <c r="Y103" i="19"/>
  <c r="Y93" i="19"/>
  <c r="Y85" i="19"/>
  <c r="Y77" i="19"/>
  <c r="Y69" i="19"/>
  <c r="Y361" i="19"/>
  <c r="Y326" i="19"/>
  <c r="Y244" i="19"/>
  <c r="Y203" i="19"/>
  <c r="Y166" i="19"/>
  <c r="Y150" i="19"/>
  <c r="Y134" i="19"/>
  <c r="Y118" i="19"/>
  <c r="Y100" i="19"/>
  <c r="Y96" i="19"/>
  <c r="Y88" i="19"/>
  <c r="Y80" i="19"/>
  <c r="Y72" i="19"/>
  <c r="Y64" i="19"/>
  <c r="Y56" i="19"/>
  <c r="Y48" i="19"/>
  <c r="Y40" i="19"/>
  <c r="Y32" i="19"/>
  <c r="Y24" i="19"/>
  <c r="Y225" i="19"/>
  <c r="Y190" i="19"/>
  <c r="Y184" i="19"/>
  <c r="Y179" i="19"/>
  <c r="Y174" i="19"/>
  <c r="Y153" i="19"/>
  <c r="Y137" i="19"/>
  <c r="Y121" i="19"/>
  <c r="Y105" i="19"/>
  <c r="Y102" i="19"/>
  <c r="Y91" i="19"/>
  <c r="Y83" i="19"/>
  <c r="Y75" i="19"/>
  <c r="Y67" i="19"/>
  <c r="Y156" i="19"/>
  <c r="Y140" i="19"/>
  <c r="Y124" i="19"/>
  <c r="Y108" i="19"/>
  <c r="Y99" i="19"/>
  <c r="Y94" i="19"/>
  <c r="Y86" i="19"/>
  <c r="Y78" i="19"/>
  <c r="Y70" i="19"/>
  <c r="Y62" i="19"/>
  <c r="Y54" i="19"/>
  <c r="Y46" i="19"/>
  <c r="Y38" i="19"/>
  <c r="Y30" i="19"/>
  <c r="Y22" i="19"/>
  <c r="Y345" i="19"/>
  <c r="Y310" i="19"/>
  <c r="Y209" i="19"/>
  <c r="Y202" i="19"/>
  <c r="Y169" i="19"/>
  <c r="Y159" i="19"/>
  <c r="Y143" i="19"/>
  <c r="Y127" i="19"/>
  <c r="Y111" i="19"/>
  <c r="Y97" i="19"/>
  <c r="Y89" i="19"/>
  <c r="Y81" i="19"/>
  <c r="Y73" i="19"/>
  <c r="Y65" i="19"/>
  <c r="Y57" i="19"/>
  <c r="Y49" i="19"/>
  <c r="Y41" i="19"/>
  <c r="Y33" i="19"/>
  <c r="Y25" i="19"/>
  <c r="Y254" i="19"/>
  <c r="Y234" i="19"/>
  <c r="Y187" i="19"/>
  <c r="Y182" i="19"/>
  <c r="Y177" i="19"/>
  <c r="Y158" i="19"/>
  <c r="Y142" i="19"/>
  <c r="Y126" i="19"/>
  <c r="Y110" i="19"/>
  <c r="Y92" i="19"/>
  <c r="Y84" i="19"/>
  <c r="Y76" i="19"/>
  <c r="Y68" i="19"/>
  <c r="Y60" i="19"/>
  <c r="Y52" i="19"/>
  <c r="Y44" i="19"/>
  <c r="Y36" i="19"/>
  <c r="Y28" i="19"/>
  <c r="Y20" i="19"/>
  <c r="Y250" i="19"/>
  <c r="Y206" i="19"/>
  <c r="Y161" i="19"/>
  <c r="Y145" i="19"/>
  <c r="Y129" i="19"/>
  <c r="Y113" i="19"/>
  <c r="Y95" i="19"/>
  <c r="W8" i="19"/>
  <c r="W11" i="19"/>
  <c r="X14" i="19"/>
  <c r="V16" i="19"/>
  <c r="Y17" i="19"/>
  <c r="W19" i="19"/>
  <c r="V22" i="19"/>
  <c r="W25" i="19"/>
  <c r="X28" i="19"/>
  <c r="Y31" i="19"/>
  <c r="V38" i="19"/>
  <c r="W41" i="19"/>
  <c r="X44" i="19"/>
  <c r="Y47" i="19"/>
  <c r="V54" i="19"/>
  <c r="W57" i="19"/>
  <c r="X60" i="19"/>
  <c r="Y63" i="19"/>
  <c r="W68" i="19"/>
  <c r="Y74" i="19"/>
  <c r="V81" i="19"/>
  <c r="X87" i="19"/>
  <c r="V97" i="19"/>
  <c r="X145" i="19"/>
  <c r="Y171" i="19"/>
  <c r="X231" i="19"/>
  <c r="Y43" i="19"/>
  <c r="V50" i="19"/>
  <c r="X11" i="19"/>
  <c r="V13" i="19"/>
  <c r="Y14" i="19"/>
  <c r="W16" i="19"/>
  <c r="Y19" i="19"/>
  <c r="V26" i="19"/>
  <c r="W29" i="19"/>
  <c r="X32" i="19"/>
  <c r="Y35" i="19"/>
  <c r="V42" i="19"/>
  <c r="W45" i="19"/>
  <c r="X48" i="19"/>
  <c r="Y51" i="19"/>
  <c r="V58" i="19"/>
  <c r="W61" i="19"/>
  <c r="X64" i="19"/>
  <c r="X68" i="19"/>
  <c r="W81" i="19"/>
  <c r="Y87" i="19"/>
  <c r="V123" i="19"/>
  <c r="Y148" i="19"/>
  <c r="Y176" i="19"/>
  <c r="Y249" i="19"/>
  <c r="V17" i="19"/>
  <c r="V34" i="19"/>
  <c r="Y11" i="19"/>
  <c r="W13" i="19"/>
  <c r="X16" i="19"/>
  <c r="V18" i="19"/>
  <c r="V20" i="19"/>
  <c r="W23" i="19"/>
  <c r="X26" i="19"/>
  <c r="Y29" i="19"/>
  <c r="V36" i="19"/>
  <c r="W39" i="19"/>
  <c r="X42" i="19"/>
  <c r="Y45" i="19"/>
  <c r="V52" i="19"/>
  <c r="W55" i="19"/>
  <c r="X58" i="19"/>
  <c r="Y61" i="19"/>
  <c r="W76" i="19"/>
  <c r="Y82" i="19"/>
  <c r="V89" i="19"/>
  <c r="V101" i="19"/>
  <c r="W126" i="19"/>
  <c r="X270" i="19"/>
  <c r="X13" i="19"/>
  <c r="V15" i="19"/>
  <c r="Y16" i="19"/>
  <c r="W18" i="19"/>
  <c r="W20" i="19"/>
  <c r="X23" i="19"/>
  <c r="Y26" i="19"/>
  <c r="V33" i="19"/>
  <c r="W36" i="19"/>
  <c r="X39" i="19"/>
  <c r="Y42" i="19"/>
  <c r="V49" i="19"/>
  <c r="W52" i="19"/>
  <c r="X55" i="19"/>
  <c r="Y58" i="19"/>
  <c r="V65" i="19"/>
  <c r="V70" i="19"/>
  <c r="X76" i="19"/>
  <c r="W89" i="19"/>
  <c r="X129" i="19"/>
  <c r="V155" i="19"/>
  <c r="W187" i="19"/>
  <c r="V301" i="19"/>
  <c r="V12" i="19"/>
  <c r="Y13" i="19"/>
  <c r="W15" i="19"/>
  <c r="X18" i="19"/>
  <c r="X20" i="19"/>
  <c r="Y23" i="19"/>
  <c r="V30" i="19"/>
  <c r="W33" i="19"/>
  <c r="X36" i="19"/>
  <c r="Y39" i="19"/>
  <c r="V46" i="19"/>
  <c r="W49" i="19"/>
  <c r="X52" i="19"/>
  <c r="Y55" i="19"/>
  <c r="V62" i="19"/>
  <c r="W65" i="19"/>
  <c r="X71" i="19"/>
  <c r="W84" i="19"/>
  <c r="Y90" i="19"/>
  <c r="V107" i="19"/>
  <c r="Y132" i="19"/>
  <c r="W158" i="19"/>
  <c r="Y193" i="19"/>
  <c r="V336" i="19"/>
  <c r="T6" i="19"/>
  <c r="E12" i="19"/>
  <c r="S12" i="19"/>
  <c r="R12" i="19"/>
  <c r="Q12" i="19"/>
  <c r="Q11" i="19"/>
  <c r="T11" i="19" s="1"/>
  <c r="C13" i="19"/>
  <c r="F11" i="19"/>
  <c r="H11" i="19"/>
  <c r="D12" i="19"/>
  <c r="G370" i="19"/>
  <c r="G366" i="19"/>
  <c r="G362" i="19"/>
  <c r="G367" i="19"/>
  <c r="G363" i="19"/>
  <c r="G359" i="19"/>
  <c r="G368" i="19"/>
  <c r="G364" i="19"/>
  <c r="G360" i="19"/>
  <c r="G369" i="19"/>
  <c r="G365" i="19"/>
  <c r="G361" i="19"/>
  <c r="U32" i="12"/>
  <c r="Y4" i="12"/>
  <c r="Y11" i="11"/>
  <c r="U32" i="11"/>
  <c r="T33" i="9"/>
  <c r="T9" i="19" s="1"/>
  <c r="Z37" i="19" l="1"/>
  <c r="Z70" i="19"/>
  <c r="Z59" i="19"/>
  <c r="Z301" i="19"/>
  <c r="Z97" i="19"/>
  <c r="Z114" i="19"/>
  <c r="Z21" i="19"/>
  <c r="Z65" i="19"/>
  <c r="Z27" i="19"/>
  <c r="Z116" i="19"/>
  <c r="T12" i="19"/>
  <c r="Z53" i="19"/>
  <c r="Z30" i="19"/>
  <c r="Z89" i="19"/>
  <c r="Z78" i="19"/>
  <c r="Z136" i="19"/>
  <c r="Z56" i="19"/>
  <c r="Z150" i="19"/>
  <c r="Z144" i="19"/>
  <c r="Z31" i="19"/>
  <c r="Z76" i="19"/>
  <c r="Z216" i="19"/>
  <c r="Z339" i="19"/>
  <c r="Z127" i="19"/>
  <c r="Z183" i="19"/>
  <c r="Z137" i="19"/>
  <c r="Z259" i="19"/>
  <c r="Z328" i="19"/>
  <c r="Z214" i="19"/>
  <c r="Z325" i="19"/>
  <c r="Z211" i="19"/>
  <c r="Z356" i="19"/>
  <c r="Z350" i="19"/>
  <c r="Z22" i="19"/>
  <c r="Z107" i="19"/>
  <c r="Z17" i="19"/>
  <c r="Z33" i="19"/>
  <c r="Z38" i="19"/>
  <c r="Z18" i="19"/>
  <c r="Z155" i="19"/>
  <c r="Z120" i="19"/>
  <c r="Z133" i="19"/>
  <c r="Z134" i="19"/>
  <c r="Z304" i="19"/>
  <c r="Z106" i="19"/>
  <c r="Z175" i="19"/>
  <c r="Z275" i="19"/>
  <c r="Z289" i="19"/>
  <c r="Z312" i="19"/>
  <c r="Z206" i="19"/>
  <c r="Z266" i="19"/>
  <c r="Z330" i="19"/>
  <c r="Z255" i="19"/>
  <c r="Z319" i="19"/>
  <c r="Z348" i="19"/>
  <c r="Z342" i="19"/>
  <c r="Z95" i="19"/>
  <c r="Z291" i="19"/>
  <c r="Z196" i="19"/>
  <c r="Z338" i="19"/>
  <c r="Y10" i="19"/>
  <c r="Z152" i="19"/>
  <c r="Z67" i="19"/>
  <c r="Z165" i="19"/>
  <c r="Z166" i="19"/>
  <c r="Z260" i="19"/>
  <c r="Z160" i="19"/>
  <c r="Z210" i="19"/>
  <c r="Z217" i="19"/>
  <c r="Z192" i="19"/>
  <c r="Z156" i="19"/>
  <c r="Z221" i="19"/>
  <c r="Z204" i="19"/>
  <c r="Z315" i="19"/>
  <c r="Z344" i="19"/>
  <c r="Z294" i="19"/>
  <c r="Z168" i="19"/>
  <c r="Z207" i="19"/>
  <c r="Z149" i="19"/>
  <c r="Z148" i="19"/>
  <c r="Z274" i="19"/>
  <c r="Z292" i="19"/>
  <c r="Z46" i="19"/>
  <c r="Z34" i="19"/>
  <c r="X10" i="19"/>
  <c r="Z75" i="19"/>
  <c r="Z72" i="19"/>
  <c r="Z85" i="19"/>
  <c r="Z92" i="19"/>
  <c r="Z233" i="19"/>
  <c r="Z143" i="19"/>
  <c r="Z333" i="19"/>
  <c r="Z153" i="19"/>
  <c r="Z269" i="19"/>
  <c r="Z337" i="19"/>
  <c r="Z212" i="19"/>
  <c r="Z230" i="19"/>
  <c r="Z357" i="19"/>
  <c r="Z227" i="19"/>
  <c r="Z345" i="19"/>
  <c r="Z290" i="19"/>
  <c r="Z354" i="19"/>
  <c r="Z308" i="19"/>
  <c r="Z302" i="19"/>
  <c r="Z366" i="19"/>
  <c r="Z309" i="19"/>
  <c r="Z54" i="19"/>
  <c r="Z299" i="19"/>
  <c r="Z286" i="19"/>
  <c r="Z50" i="19"/>
  <c r="Z232" i="19"/>
  <c r="Z29" i="19"/>
  <c r="Z82" i="19"/>
  <c r="Z110" i="19"/>
  <c r="Z251" i="19"/>
  <c r="Z138" i="19"/>
  <c r="Z108" i="19"/>
  <c r="Z169" i="19"/>
  <c r="Z161" i="19"/>
  <c r="Z244" i="19"/>
  <c r="Z353" i="19"/>
  <c r="Z347" i="19"/>
  <c r="Z174" i="19"/>
  <c r="Z237" i="19"/>
  <c r="Z361" i="19"/>
  <c r="Z298" i="19"/>
  <c r="Z362" i="19"/>
  <c r="Z287" i="19"/>
  <c r="Z351" i="19"/>
  <c r="Z316" i="19"/>
  <c r="Z246" i="19"/>
  <c r="Z310" i="19"/>
  <c r="Z225" i="19"/>
  <c r="Z215" i="19"/>
  <c r="Z263" i="19"/>
  <c r="Z12" i="19"/>
  <c r="Z94" i="19"/>
  <c r="Z91" i="19"/>
  <c r="Z24" i="19"/>
  <c r="Z88" i="19"/>
  <c r="Z115" i="19"/>
  <c r="Z90" i="19"/>
  <c r="Z285" i="19"/>
  <c r="Z63" i="19"/>
  <c r="Z126" i="19"/>
  <c r="Z256" i="19"/>
  <c r="Z241" i="19"/>
  <c r="Z146" i="19"/>
  <c r="Z365" i="19"/>
  <c r="Z159" i="19"/>
  <c r="Z243" i="19"/>
  <c r="Z176" i="19"/>
  <c r="Z105" i="19"/>
  <c r="Z184" i="19"/>
  <c r="Z352" i="19"/>
  <c r="Z249" i="19"/>
  <c r="Z369" i="19"/>
  <c r="Z228" i="19"/>
  <c r="Z363" i="19"/>
  <c r="Z182" i="19"/>
  <c r="Z268" i="19"/>
  <c r="Z179" i="19"/>
  <c r="Z240" i="19"/>
  <c r="Z242" i="19"/>
  <c r="Z306" i="19"/>
  <c r="Z370" i="19"/>
  <c r="Z295" i="19"/>
  <c r="Z359" i="19"/>
  <c r="Z324" i="19"/>
  <c r="Z254" i="19"/>
  <c r="Z318" i="19"/>
  <c r="Z19" i="19"/>
  <c r="Z234" i="19"/>
  <c r="Z69" i="19"/>
  <c r="Z201" i="19"/>
  <c r="Z205" i="19"/>
  <c r="Z305" i="19"/>
  <c r="Z313" i="19"/>
  <c r="Z327" i="19"/>
  <c r="Z99" i="19"/>
  <c r="Z35" i="19"/>
  <c r="Z102" i="19"/>
  <c r="Z96" i="19"/>
  <c r="Z320" i="19"/>
  <c r="Z185" i="19"/>
  <c r="Z261" i="19"/>
  <c r="Z288" i="19"/>
  <c r="Z248" i="19"/>
  <c r="Z124" i="19"/>
  <c r="Z202" i="19"/>
  <c r="Z191" i="19"/>
  <c r="Z252" i="19"/>
  <c r="Z245" i="19"/>
  <c r="Z262" i="19"/>
  <c r="Z326" i="19"/>
  <c r="Z297" i="19"/>
  <c r="Z101" i="19"/>
  <c r="Z43" i="19"/>
  <c r="Z117" i="19"/>
  <c r="Z40" i="19"/>
  <c r="Z147" i="19"/>
  <c r="Z355" i="19"/>
  <c r="Z79" i="19"/>
  <c r="Z272" i="19"/>
  <c r="Z111" i="19"/>
  <c r="Z173" i="19"/>
  <c r="Z132" i="19"/>
  <c r="Z186" i="19"/>
  <c r="Z273" i="19"/>
  <c r="Z293" i="19"/>
  <c r="Z281" i="19"/>
  <c r="Z258" i="19"/>
  <c r="Z322" i="19"/>
  <c r="Z311" i="19"/>
  <c r="Z276" i="19"/>
  <c r="Z340" i="19"/>
  <c r="Z334" i="19"/>
  <c r="Z11" i="19"/>
  <c r="V10" i="19"/>
  <c r="Z64" i="19"/>
  <c r="Z77" i="19"/>
  <c r="Z39" i="19"/>
  <c r="Z109" i="19"/>
  <c r="Z84" i="19"/>
  <c r="Z213" i="19"/>
  <c r="Z122" i="19"/>
  <c r="Z135" i="19"/>
  <c r="Z349" i="19"/>
  <c r="Z145" i="19"/>
  <c r="Z264" i="19"/>
  <c r="Z223" i="19"/>
  <c r="Z321" i="19"/>
  <c r="Z222" i="19"/>
  <c r="Z341" i="19"/>
  <c r="Z219" i="19"/>
  <c r="Z329" i="19"/>
  <c r="Z282" i="19"/>
  <c r="Z346" i="19"/>
  <c r="Z271" i="19"/>
  <c r="Z335" i="19"/>
  <c r="Z300" i="19"/>
  <c r="Z364" i="19"/>
  <c r="Z358" i="19"/>
  <c r="Z44" i="19"/>
  <c r="Z14" i="19"/>
  <c r="Z336" i="19"/>
  <c r="Z52" i="19"/>
  <c r="Z20" i="19"/>
  <c r="Z81" i="19"/>
  <c r="Z66" i="19"/>
  <c r="Z177" i="19"/>
  <c r="Z194" i="19"/>
  <c r="Z74" i="19"/>
  <c r="Z170" i="19"/>
  <c r="Z47" i="19"/>
  <c r="Z125" i="19"/>
  <c r="Z229" i="19"/>
  <c r="Z226" i="19"/>
  <c r="Z130" i="19"/>
  <c r="Z208" i="19"/>
  <c r="Z100" i="19"/>
  <c r="Z164" i="19"/>
  <c r="Z231" i="19"/>
  <c r="Z331" i="19"/>
  <c r="Z360" i="19"/>
  <c r="Z279" i="19"/>
  <c r="Z343" i="19"/>
  <c r="Z238" i="19"/>
  <c r="Z73" i="19"/>
  <c r="Z62" i="19"/>
  <c r="Z58" i="19"/>
  <c r="Z26" i="19"/>
  <c r="Z16" i="19"/>
  <c r="Z83" i="19"/>
  <c r="Z209" i="19"/>
  <c r="Z80" i="19"/>
  <c r="Z93" i="19"/>
  <c r="Z197" i="19"/>
  <c r="Z55" i="19"/>
  <c r="Z141" i="19"/>
  <c r="Z236" i="19"/>
  <c r="Z307" i="19"/>
  <c r="Z151" i="19"/>
  <c r="Z224" i="19"/>
  <c r="Z368" i="19"/>
  <c r="Z317" i="19"/>
  <c r="Z220" i="19"/>
  <c r="Z171" i="19"/>
  <c r="Z235" i="19"/>
  <c r="Z57" i="19"/>
  <c r="Z25" i="19"/>
  <c r="Z157" i="19"/>
  <c r="Z123" i="19"/>
  <c r="W10" i="19"/>
  <c r="Z32" i="19"/>
  <c r="Z45" i="19"/>
  <c r="Z131" i="19"/>
  <c r="Z98" i="19"/>
  <c r="Z71" i="19"/>
  <c r="Z142" i="19"/>
  <c r="Z154" i="19"/>
  <c r="Z103" i="19"/>
  <c r="Z167" i="19"/>
  <c r="Z181" i="19"/>
  <c r="Z113" i="19"/>
  <c r="Z267" i="19"/>
  <c r="Z172" i="19"/>
  <c r="Z280" i="19"/>
  <c r="Z190" i="19"/>
  <c r="Z277" i="19"/>
  <c r="Z187" i="19"/>
  <c r="Z250" i="19"/>
  <c r="Z314" i="19"/>
  <c r="Z239" i="19"/>
  <c r="Z303" i="19"/>
  <c r="Z367" i="19"/>
  <c r="Z332" i="19"/>
  <c r="Z60" i="19"/>
  <c r="Z28" i="19"/>
  <c r="Z49" i="19"/>
  <c r="Z36" i="19"/>
  <c r="Z104" i="19"/>
  <c r="Z118" i="19"/>
  <c r="Z112" i="19"/>
  <c r="Z265" i="19"/>
  <c r="Z158" i="19"/>
  <c r="Z323" i="19"/>
  <c r="Z162" i="19"/>
  <c r="Z253" i="19"/>
  <c r="Z121" i="19"/>
  <c r="Z218" i="19"/>
  <c r="Z199" i="19"/>
  <c r="Z180" i="19"/>
  <c r="Z257" i="19"/>
  <c r="Z296" i="19"/>
  <c r="Z198" i="19"/>
  <c r="Z195" i="19"/>
  <c r="Z247" i="19"/>
  <c r="Z270" i="19"/>
  <c r="Z86" i="19"/>
  <c r="Z200" i="19"/>
  <c r="Z15" i="19"/>
  <c r="Z42" i="19"/>
  <c r="Z13" i="19"/>
  <c r="Z51" i="19"/>
  <c r="Z48" i="19"/>
  <c r="Z61" i="19"/>
  <c r="Z163" i="19"/>
  <c r="Z128" i="19"/>
  <c r="Z23" i="19"/>
  <c r="Z87" i="19"/>
  <c r="Z68" i="19"/>
  <c r="Z193" i="19"/>
  <c r="Z119" i="19"/>
  <c r="Z178" i="19"/>
  <c r="Z140" i="19"/>
  <c r="Z189" i="19"/>
  <c r="Z129" i="19"/>
  <c r="Z188" i="19"/>
  <c r="Z283" i="19"/>
  <c r="Z203" i="19"/>
  <c r="Z284" i="19"/>
  <c r="Z278" i="19"/>
  <c r="Z41" i="19"/>
  <c r="Z139" i="19"/>
  <c r="S13" i="19"/>
  <c r="R13" i="19"/>
  <c r="Q13" i="19"/>
  <c r="P13" i="19"/>
  <c r="E13" i="19"/>
  <c r="C14" i="19"/>
  <c r="F12" i="19"/>
  <c r="D13" i="19"/>
  <c r="H12" i="19"/>
  <c r="Y12" i="11"/>
  <c r="Z10" i="19" l="1"/>
  <c r="T13" i="19"/>
  <c r="R14" i="19"/>
  <c r="Q14" i="19"/>
  <c r="P14" i="19"/>
  <c r="S14" i="19"/>
  <c r="C15" i="19"/>
  <c r="E14" i="19"/>
  <c r="H13" i="19"/>
  <c r="F13" i="19"/>
  <c r="D14" i="19"/>
  <c r="Y13" i="11"/>
  <c r="S15" i="19" l="1"/>
  <c r="R15" i="19"/>
  <c r="Q15" i="19"/>
  <c r="P15" i="19"/>
  <c r="T14" i="19"/>
  <c r="E15" i="19"/>
  <c r="C16" i="19"/>
  <c r="D15" i="19"/>
  <c r="H14" i="19"/>
  <c r="F14" i="19"/>
  <c r="Y14" i="11"/>
  <c r="T15" i="19" l="1"/>
  <c r="R16" i="19"/>
  <c r="Q16" i="19"/>
  <c r="S16" i="19"/>
  <c r="E16" i="19"/>
  <c r="C17" i="19"/>
  <c r="F15" i="19"/>
  <c r="H15" i="19"/>
  <c r="D16" i="19"/>
  <c r="Y15" i="11"/>
  <c r="S17" i="19" l="1"/>
  <c r="R17" i="19"/>
  <c r="Q17" i="19"/>
  <c r="E17" i="19"/>
  <c r="C18" i="19"/>
  <c r="H16" i="19"/>
  <c r="F16" i="19"/>
  <c r="D17" i="19"/>
  <c r="Y16" i="11"/>
  <c r="R18" i="19" l="1"/>
  <c r="Q18" i="19"/>
  <c r="S18" i="19"/>
  <c r="E18" i="19"/>
  <c r="C19" i="19"/>
  <c r="D18" i="19"/>
  <c r="H17" i="19"/>
  <c r="F17" i="19"/>
  <c r="Y17" i="11"/>
  <c r="S19" i="19" l="1"/>
  <c r="R19" i="19"/>
  <c r="Q19" i="19"/>
  <c r="E19" i="19"/>
  <c r="C20" i="19"/>
  <c r="F18" i="19"/>
  <c r="D19" i="19"/>
  <c r="H18" i="19"/>
  <c r="Y18" i="11"/>
  <c r="R20" i="19" l="1"/>
  <c r="Q20" i="19"/>
  <c r="S20" i="19"/>
  <c r="C21" i="19"/>
  <c r="E20" i="19"/>
  <c r="F19" i="19"/>
  <c r="D20" i="19"/>
  <c r="H19" i="19"/>
  <c r="Y19" i="11"/>
  <c r="S21" i="19" l="1"/>
  <c r="R21" i="19"/>
  <c r="Q21" i="19"/>
  <c r="E21" i="19"/>
  <c r="C22" i="19"/>
  <c r="H20" i="19"/>
  <c r="D21" i="19"/>
  <c r="F20" i="19"/>
  <c r="Y20" i="11"/>
  <c r="R22" i="19" l="1"/>
  <c r="Q22" i="19"/>
  <c r="S22" i="19"/>
  <c r="C23" i="19"/>
  <c r="E22" i="19"/>
  <c r="D22" i="19"/>
  <c r="H21" i="19"/>
  <c r="F21" i="19"/>
  <c r="Y21" i="11"/>
  <c r="S23" i="19" l="1"/>
  <c r="R23" i="19"/>
  <c r="Q23" i="19"/>
  <c r="C24" i="19"/>
  <c r="E23" i="19"/>
  <c r="D23" i="19"/>
  <c r="H22" i="19"/>
  <c r="F22" i="19"/>
  <c r="Y22" i="11"/>
  <c r="R24" i="19" l="1"/>
  <c r="Q24" i="19"/>
  <c r="S24" i="19"/>
  <c r="C25" i="19"/>
  <c r="E24" i="19"/>
  <c r="F23" i="19"/>
  <c r="H23" i="19"/>
  <c r="D24" i="19"/>
  <c r="G11" i="19"/>
  <c r="Y23" i="11"/>
  <c r="S25" i="19" l="1"/>
  <c r="R25" i="19"/>
  <c r="Q25" i="19"/>
  <c r="E25" i="19"/>
  <c r="C26" i="19"/>
  <c r="H24" i="19"/>
  <c r="D25" i="19"/>
  <c r="G12" i="19"/>
  <c r="F24" i="19"/>
  <c r="Y24" i="11"/>
  <c r="R26" i="19" l="1"/>
  <c r="Q26" i="19"/>
  <c r="S26" i="19"/>
  <c r="E26" i="19"/>
  <c r="C27" i="19"/>
  <c r="D26" i="19"/>
  <c r="F25" i="19"/>
  <c r="H25" i="19"/>
  <c r="G13" i="19"/>
  <c r="Y25" i="11"/>
  <c r="S27" i="19" l="1"/>
  <c r="R27" i="19"/>
  <c r="Q27" i="19"/>
  <c r="E27" i="19"/>
  <c r="C28" i="19"/>
  <c r="D27" i="19"/>
  <c r="H26" i="19"/>
  <c r="F26" i="19"/>
  <c r="G14" i="19"/>
  <c r="Y26" i="11"/>
  <c r="R28" i="19" l="1"/>
  <c r="Q28" i="19"/>
  <c r="P28" i="19"/>
  <c r="S28" i="19"/>
  <c r="C29" i="19"/>
  <c r="E28" i="19"/>
  <c r="F27" i="19"/>
  <c r="D28" i="19"/>
  <c r="H27" i="19"/>
  <c r="G15" i="19"/>
  <c r="Y27" i="11"/>
  <c r="S29" i="19" l="1"/>
  <c r="R29" i="19"/>
  <c r="Q29" i="19"/>
  <c r="P29" i="19"/>
  <c r="T28" i="19"/>
  <c r="C30" i="19"/>
  <c r="E29" i="19"/>
  <c r="H28" i="19"/>
  <c r="D29" i="19"/>
  <c r="F28" i="19"/>
  <c r="G16" i="19"/>
  <c r="Y28" i="11"/>
  <c r="T29" i="19" l="1"/>
  <c r="R30" i="19"/>
  <c r="Q30" i="19"/>
  <c r="P30" i="19"/>
  <c r="S30" i="19"/>
  <c r="E30" i="19"/>
  <c r="C31" i="19"/>
  <c r="D30" i="19"/>
  <c r="H29" i="19"/>
  <c r="F29" i="19"/>
  <c r="G17" i="19"/>
  <c r="Y29" i="11"/>
  <c r="T30" i="19" l="1"/>
  <c r="S31" i="19"/>
  <c r="R31" i="19"/>
  <c r="Q31" i="19"/>
  <c r="P31" i="19"/>
  <c r="E31" i="19"/>
  <c r="C32" i="19"/>
  <c r="H30" i="19"/>
  <c r="F30" i="19"/>
  <c r="D31" i="19"/>
  <c r="G18" i="19"/>
  <c r="Y30" i="11"/>
  <c r="T31" i="19" l="1"/>
  <c r="R32" i="19"/>
  <c r="Q32" i="19"/>
  <c r="P32" i="19"/>
  <c r="S32" i="19"/>
  <c r="C33" i="19"/>
  <c r="E32" i="19"/>
  <c r="F31" i="19"/>
  <c r="D32" i="19"/>
  <c r="H31" i="19"/>
  <c r="G19" i="19"/>
  <c r="Y31" i="11"/>
  <c r="T32" i="19" l="1"/>
  <c r="S33" i="19"/>
  <c r="R33" i="19"/>
  <c r="Q33" i="19"/>
  <c r="P33" i="19"/>
  <c r="C34" i="19"/>
  <c r="E33" i="19"/>
  <c r="H32" i="19"/>
  <c r="F32" i="19"/>
  <c r="D33" i="19"/>
  <c r="G20" i="19"/>
  <c r="Y32" i="11"/>
  <c r="T33" i="19" l="1"/>
  <c r="R34" i="19"/>
  <c r="Q34" i="19"/>
  <c r="P34" i="19"/>
  <c r="S34" i="19"/>
  <c r="E34" i="19"/>
  <c r="C35" i="19"/>
  <c r="D34" i="19"/>
  <c r="F33" i="19"/>
  <c r="H33" i="19"/>
  <c r="G21" i="19"/>
  <c r="U26" i="13"/>
  <c r="U27" i="13"/>
  <c r="U28" i="13"/>
  <c r="U29" i="13"/>
  <c r="U30" i="13"/>
  <c r="U31" i="13"/>
  <c r="U32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R5" i="13"/>
  <c r="S5" i="13" s="1"/>
  <c r="T5" i="13" s="1"/>
  <c r="T34" i="19" l="1"/>
  <c r="S35" i="19"/>
  <c r="R35" i="19"/>
  <c r="Q35" i="19"/>
  <c r="P35" i="19"/>
  <c r="C36" i="19"/>
  <c r="E35" i="19"/>
  <c r="H34" i="19"/>
  <c r="F34" i="19"/>
  <c r="D35" i="19"/>
  <c r="G22" i="19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D8" i="13" s="1" a="1"/>
  <c r="D8" i="13" s="1"/>
  <c r="N43" i="3"/>
  <c r="N42" i="3"/>
  <c r="N41" i="3"/>
  <c r="N40" i="3"/>
  <c r="N39" i="3"/>
  <c r="N38" i="3"/>
  <c r="N37" i="3"/>
  <c r="N36" i="3"/>
  <c r="N35" i="3"/>
  <c r="N34" i="3"/>
  <c r="N33" i="3"/>
  <c r="N32" i="3"/>
  <c r="D8" i="12" s="1" a="1"/>
  <c r="D8" i="12" s="1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D8" i="9" s="1" a="1"/>
  <c r="D8" i="9" s="1"/>
  <c r="A16" i="3"/>
  <c r="A17" i="3"/>
  <c r="A19" i="3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/>
  <c r="A36" i="3" s="1"/>
  <c r="A37" i="3" s="1"/>
  <c r="AC32" i="9" l="1"/>
  <c r="AD32" i="9" s="1"/>
  <c r="AC24" i="9"/>
  <c r="AD24" i="9" s="1"/>
  <c r="AC25" i="9"/>
  <c r="AD25" i="9" s="1"/>
  <c r="AC31" i="9"/>
  <c r="AD31" i="9" s="1"/>
  <c r="AC23" i="9"/>
  <c r="AD23" i="9" s="1"/>
  <c r="AC30" i="9"/>
  <c r="AD30" i="9" s="1"/>
  <c r="AC29" i="9"/>
  <c r="AD29" i="9" s="1"/>
  <c r="AC28" i="9"/>
  <c r="AD28" i="9" s="1"/>
  <c r="AC27" i="9"/>
  <c r="AD27" i="9" s="1"/>
  <c r="AC26" i="9"/>
  <c r="AD26" i="9" s="1"/>
  <c r="T35" i="19"/>
  <c r="R36" i="19"/>
  <c r="Q36" i="19"/>
  <c r="P36" i="19"/>
  <c r="S36" i="19"/>
  <c r="C37" i="19"/>
  <c r="E36" i="19"/>
  <c r="F35" i="19"/>
  <c r="D36" i="19"/>
  <c r="H35" i="19"/>
  <c r="G23" i="19"/>
  <c r="D8" i="11" a="1"/>
  <c r="D8" i="11" s="1"/>
  <c r="AA31" i="11" s="1"/>
  <c r="O8" i="15"/>
  <c r="J21" i="15"/>
  <c r="H21" i="15"/>
  <c r="K20" i="15"/>
  <c r="L20" i="15" s="1"/>
  <c r="K19" i="15"/>
  <c r="L19" i="15" s="1"/>
  <c r="K18" i="15"/>
  <c r="L18" i="15" s="1"/>
  <c r="K17" i="15"/>
  <c r="L17" i="15" s="1"/>
  <c r="K16" i="15"/>
  <c r="L16" i="15" s="1"/>
  <c r="K15" i="15"/>
  <c r="L15" i="15" s="1"/>
  <c r="K14" i="15"/>
  <c r="L14" i="15" s="1"/>
  <c r="K13" i="15"/>
  <c r="L13" i="15" s="1"/>
  <c r="K12" i="15"/>
  <c r="L12" i="15" s="1"/>
  <c r="K11" i="15"/>
  <c r="L11" i="15" s="1"/>
  <c r="G30" i="9"/>
  <c r="AA9" i="3" a="1"/>
  <c r="AA9" i="3" s="1"/>
  <c r="U10" i="3" a="1"/>
  <c r="U10" i="3" s="1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I9" i="10"/>
  <c r="I8" i="10"/>
  <c r="G3" i="10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G32" i="9"/>
  <c r="G31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BG10" i="6" a="1"/>
  <c r="BG10" i="6" s="1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R48" i="3"/>
  <c r="Q48" i="3"/>
  <c r="R47" i="3"/>
  <c r="Q47" i="3"/>
  <c r="R46" i="3"/>
  <c r="Q46" i="3"/>
  <c r="R45" i="3"/>
  <c r="Q45" i="3"/>
  <c r="R44" i="3"/>
  <c r="Q44" i="3"/>
  <c r="R43" i="3"/>
  <c r="Q43" i="3"/>
  <c r="R42" i="3"/>
  <c r="Q42" i="3"/>
  <c r="R41" i="3"/>
  <c r="Q41" i="3"/>
  <c r="R40" i="3"/>
  <c r="Q40" i="3"/>
  <c r="R39" i="3"/>
  <c r="Q39" i="3"/>
  <c r="R38" i="3"/>
  <c r="Q38" i="3"/>
  <c r="R37" i="3"/>
  <c r="Q37" i="3"/>
  <c r="R36" i="3"/>
  <c r="Q36" i="3"/>
  <c r="R35" i="3"/>
  <c r="Q35" i="3"/>
  <c r="R34" i="3"/>
  <c r="Q34" i="3"/>
  <c r="R33" i="3"/>
  <c r="Q33" i="3"/>
  <c r="R32" i="3"/>
  <c r="Q32" i="3"/>
  <c r="R31" i="3"/>
  <c r="Q31" i="3"/>
  <c r="R30" i="3"/>
  <c r="Q30" i="3"/>
  <c r="R29" i="3"/>
  <c r="Q29" i="3"/>
  <c r="R28" i="3"/>
  <c r="Q28" i="3"/>
  <c r="R27" i="3"/>
  <c r="Q27" i="3"/>
  <c r="R26" i="3"/>
  <c r="Q26" i="3"/>
  <c r="R25" i="3"/>
  <c r="Q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Q10" i="3"/>
  <c r="R10" i="3"/>
  <c r="A42" i="3"/>
  <c r="A43" i="3" s="1"/>
  <c r="A44" i="3" s="1"/>
  <c r="A45" i="3" s="1"/>
  <c r="A46" i="3" s="1"/>
  <c r="AA29" i="11" l="1"/>
  <c r="AA15" i="11"/>
  <c r="AA26" i="11"/>
  <c r="AA18" i="11"/>
  <c r="AA20" i="11"/>
  <c r="S37" i="19"/>
  <c r="R37" i="19"/>
  <c r="Q37" i="19"/>
  <c r="P37" i="19"/>
  <c r="T36" i="19"/>
  <c r="C38" i="19"/>
  <c r="E37" i="19"/>
  <c r="H36" i="19"/>
  <c r="F36" i="19"/>
  <c r="D37" i="19"/>
  <c r="G24" i="19"/>
  <c r="AA21" i="11"/>
  <c r="AA17" i="11"/>
  <c r="AA28" i="11"/>
  <c r="AA24" i="11"/>
  <c r="AA23" i="11"/>
  <c r="AA27" i="11"/>
  <c r="AA22" i="11"/>
  <c r="AA30" i="11"/>
  <c r="AB27" i="11"/>
  <c r="AB15" i="11"/>
  <c r="AB21" i="11"/>
  <c r="AB26" i="11"/>
  <c r="AB32" i="11"/>
  <c r="Z8" i="11" a="1"/>
  <c r="AB18" i="11"/>
  <c r="AB24" i="11"/>
  <c r="AB16" i="11"/>
  <c r="AB30" i="11"/>
  <c r="AB28" i="11"/>
  <c r="AB19" i="11"/>
  <c r="AB22" i="11"/>
  <c r="AB20" i="11"/>
  <c r="AB25" i="11"/>
  <c r="AB29" i="11"/>
  <c r="AB17" i="11"/>
  <c r="AB31" i="11"/>
  <c r="AB23" i="11"/>
  <c r="AA19" i="11"/>
  <c r="AA16" i="11"/>
  <c r="AA32" i="11"/>
  <c r="AA25" i="11"/>
  <c r="AB27" i="13"/>
  <c r="AB25" i="13"/>
  <c r="Z8" i="13" a="1"/>
  <c r="AB30" i="13"/>
  <c r="AB24" i="13"/>
  <c r="AB22" i="13"/>
  <c r="AB23" i="13"/>
  <c r="AB31" i="13"/>
  <c r="AB29" i="13"/>
  <c r="AB26" i="13"/>
  <c r="AB28" i="13"/>
  <c r="K21" i="15"/>
  <c r="L21" i="15" s="1"/>
  <c r="AC10" i="3"/>
  <c r="AA10" i="3"/>
  <c r="AB10" i="3"/>
  <c r="AE11" i="3"/>
  <c r="AC13" i="3"/>
  <c r="AA12" i="3"/>
  <c r="AD13" i="3"/>
  <c r="AD10" i="3"/>
  <c r="AB12" i="3"/>
  <c r="AE13" i="3"/>
  <c r="AE10" i="3"/>
  <c r="AC12" i="3"/>
  <c r="AA11" i="3"/>
  <c r="AD12" i="3"/>
  <c r="AB11" i="3"/>
  <c r="AE12" i="3"/>
  <c r="AC11" i="3"/>
  <c r="AA13" i="3"/>
  <c r="AD11" i="3"/>
  <c r="AB13" i="3"/>
  <c r="Y12" i="3"/>
  <c r="Y10" i="3"/>
  <c r="V12" i="3"/>
  <c r="V11" i="3"/>
  <c r="Y13" i="3"/>
  <c r="W10" i="3"/>
  <c r="W11" i="3"/>
  <c r="W12" i="3"/>
  <c r="W13" i="3"/>
  <c r="X10" i="3"/>
  <c r="V10" i="3"/>
  <c r="X11" i="3"/>
  <c r="V13" i="3"/>
  <c r="Y11" i="3"/>
  <c r="X12" i="3"/>
  <c r="X13" i="3"/>
  <c r="A47" i="3"/>
  <c r="T37" i="19" l="1"/>
  <c r="R38" i="19"/>
  <c r="Q38" i="19"/>
  <c r="P38" i="19"/>
  <c r="S38" i="19"/>
  <c r="E38" i="19"/>
  <c r="C39" i="19"/>
  <c r="D38" i="19"/>
  <c r="F37" i="19"/>
  <c r="H37" i="19"/>
  <c r="G25" i="19"/>
  <c r="Z8" i="11"/>
  <c r="AB8" i="11" s="1"/>
  <c r="AB10" i="11"/>
  <c r="AB11" i="11"/>
  <c r="AB13" i="11"/>
  <c r="AB9" i="11"/>
  <c r="AB12" i="11"/>
  <c r="AB14" i="11"/>
  <c r="Z8" i="13"/>
  <c r="AB8" i="13" s="1"/>
  <c r="AB9" i="13"/>
  <c r="AB11" i="13"/>
  <c r="AB14" i="13"/>
  <c r="AB12" i="13"/>
  <c r="AB20" i="13"/>
  <c r="AB10" i="13"/>
  <c r="AB19" i="13"/>
  <c r="AB15" i="13"/>
  <c r="AB13" i="13"/>
  <c r="AB21" i="13"/>
  <c r="AB16" i="13"/>
  <c r="AB18" i="13"/>
  <c r="AB17" i="13"/>
  <c r="Z29" i="9"/>
  <c r="Z26" i="9"/>
  <c r="Z31" i="9"/>
  <c r="E12" i="9"/>
  <c r="F16" i="9"/>
  <c r="I16" i="9" s="1"/>
  <c r="F15" i="9"/>
  <c r="I15" i="9" s="1"/>
  <c r="F22" i="9"/>
  <c r="I22" i="9" s="1"/>
  <c r="F14" i="9"/>
  <c r="I14" i="9" s="1"/>
  <c r="F17" i="9"/>
  <c r="I17" i="9" s="1"/>
  <c r="F21" i="9"/>
  <c r="I21" i="9" s="1"/>
  <c r="F13" i="9"/>
  <c r="I13" i="9" s="1"/>
  <c r="F10" i="9"/>
  <c r="I10" i="9" s="1"/>
  <c r="F20" i="9"/>
  <c r="I20" i="9" s="1"/>
  <c r="F12" i="9"/>
  <c r="I12" i="9" s="1"/>
  <c r="F18" i="9"/>
  <c r="I18" i="9" s="1"/>
  <c r="F9" i="9"/>
  <c r="I9" i="9" s="1"/>
  <c r="F19" i="9"/>
  <c r="I19" i="9" s="1"/>
  <c r="F11" i="9"/>
  <c r="I11" i="9" s="1"/>
  <c r="AC14" i="3"/>
  <c r="AD14" i="3"/>
  <c r="AA14" i="3"/>
  <c r="AE14" i="3"/>
  <c r="AB14" i="3"/>
  <c r="X14" i="3"/>
  <c r="E10" i="9"/>
  <c r="E13" i="9"/>
  <c r="Y14" i="3"/>
  <c r="Z32" i="9"/>
  <c r="E17" i="9"/>
  <c r="E11" i="9"/>
  <c r="E22" i="9"/>
  <c r="E9" i="9"/>
  <c r="W14" i="3"/>
  <c r="E18" i="9"/>
  <c r="E21" i="9"/>
  <c r="V14" i="3"/>
  <c r="E16" i="9"/>
  <c r="E15" i="9"/>
  <c r="E20" i="9"/>
  <c r="E14" i="9"/>
  <c r="E19" i="9"/>
  <c r="A48" i="3"/>
  <c r="A38" i="3"/>
  <c r="Z9" i="19" l="1"/>
  <c r="S39" i="19"/>
  <c r="R39" i="19"/>
  <c r="Q39" i="19"/>
  <c r="P39" i="19"/>
  <c r="T38" i="19"/>
  <c r="E39" i="19"/>
  <c r="C40" i="19"/>
  <c r="D39" i="19"/>
  <c r="H38" i="19"/>
  <c r="F38" i="19"/>
  <c r="G26" i="19"/>
  <c r="Z24" i="9"/>
  <c r="AA27" i="9"/>
  <c r="AA32" i="9"/>
  <c r="AB32" i="9" s="1"/>
  <c r="AA24" i="9"/>
  <c r="AA30" i="9"/>
  <c r="AA29" i="9"/>
  <c r="AB29" i="9" s="1"/>
  <c r="Y8" i="9" a="1"/>
  <c r="AA26" i="9"/>
  <c r="AB26" i="9" s="1"/>
  <c r="AA25" i="9"/>
  <c r="AA31" i="9"/>
  <c r="AB31" i="9" s="1"/>
  <c r="AA23" i="9"/>
  <c r="AA28" i="9"/>
  <c r="Z27" i="9"/>
  <c r="Z28" i="9"/>
  <c r="AB28" i="9" s="1"/>
  <c r="Z25" i="9"/>
  <c r="AB25" i="9" s="1"/>
  <c r="Z23" i="9"/>
  <c r="AB23" i="9" s="1"/>
  <c r="Z30" i="9"/>
  <c r="AB30" i="9" s="1"/>
  <c r="A49" i="3"/>
  <c r="F8" i="9"/>
  <c r="I8" i="9" s="1"/>
  <c r="E8" i="9"/>
  <c r="A50" i="3"/>
  <c r="A39" i="3"/>
  <c r="AB27" i="9" l="1"/>
  <c r="AB24" i="9"/>
  <c r="AC16" i="9"/>
  <c r="AC13" i="9"/>
  <c r="AC15" i="9"/>
  <c r="AC21" i="9"/>
  <c r="AC22" i="9"/>
  <c r="AC14" i="9"/>
  <c r="AC20" i="9"/>
  <c r="AC12" i="9"/>
  <c r="AC18" i="9"/>
  <c r="AC10" i="9"/>
  <c r="AC17" i="9"/>
  <c r="AC19" i="9"/>
  <c r="AC11" i="9"/>
  <c r="AC9" i="9"/>
  <c r="T39" i="19"/>
  <c r="R40" i="19"/>
  <c r="P40" i="19"/>
  <c r="S40" i="19"/>
  <c r="C41" i="19"/>
  <c r="E40" i="19"/>
  <c r="F39" i="19"/>
  <c r="D40" i="19"/>
  <c r="H39" i="19"/>
  <c r="G27" i="19"/>
  <c r="Z22" i="9"/>
  <c r="AA22" i="9"/>
  <c r="AA18" i="9"/>
  <c r="Z10" i="9"/>
  <c r="Z21" i="9"/>
  <c r="Z9" i="9"/>
  <c r="AA17" i="9"/>
  <c r="Z16" i="9"/>
  <c r="AA16" i="9"/>
  <c r="Z11" i="9"/>
  <c r="Z19" i="9"/>
  <c r="AA10" i="9"/>
  <c r="AA13" i="9"/>
  <c r="Z12" i="9"/>
  <c r="AA19" i="9"/>
  <c r="AA21" i="9"/>
  <c r="AA14" i="9"/>
  <c r="Y8" i="9"/>
  <c r="AC8" i="9" s="1"/>
  <c r="AA9" i="9"/>
  <c r="AA11" i="9"/>
  <c r="AA15" i="9"/>
  <c r="AA12" i="9"/>
  <c r="Z14" i="9"/>
  <c r="AA20" i="9"/>
  <c r="Z17" i="9"/>
  <c r="Z18" i="9"/>
  <c r="Z20" i="9"/>
  <c r="Z13" i="9"/>
  <c r="Z15" i="9"/>
  <c r="A40" i="3"/>
  <c r="A51" i="3"/>
  <c r="AB13" i="9" l="1"/>
  <c r="AB20" i="9"/>
  <c r="AB17" i="9"/>
  <c r="AB15" i="9"/>
  <c r="AB19" i="9"/>
  <c r="AB16" i="9"/>
  <c r="AB11" i="9"/>
  <c r="AB22" i="9"/>
  <c r="AB18" i="9"/>
  <c r="AB14" i="9"/>
  <c r="AB12" i="9"/>
  <c r="AB9" i="9"/>
  <c r="AB10" i="9"/>
  <c r="AB21" i="9"/>
  <c r="S41" i="19"/>
  <c r="R41" i="19"/>
  <c r="P41" i="19"/>
  <c r="E41" i="19"/>
  <c r="C42" i="19"/>
  <c r="H40" i="19"/>
  <c r="F40" i="19"/>
  <c r="D41" i="19"/>
  <c r="G28" i="19"/>
  <c r="Z8" i="9"/>
  <c r="AA8" i="9"/>
  <c r="A52" i="3"/>
  <c r="A41" i="3"/>
  <c r="AB8" i="9" l="1"/>
  <c r="R42" i="19"/>
  <c r="P42" i="19"/>
  <c r="S42" i="19"/>
  <c r="E42" i="19"/>
  <c r="C43" i="19"/>
  <c r="D42" i="19"/>
  <c r="H41" i="19"/>
  <c r="F41" i="19"/>
  <c r="G29" i="19"/>
  <c r="A53" i="3"/>
  <c r="S43" i="19" l="1"/>
  <c r="R43" i="19"/>
  <c r="P43" i="19"/>
  <c r="C44" i="19"/>
  <c r="E43" i="19"/>
  <c r="D43" i="19"/>
  <c r="H42" i="19"/>
  <c r="F42" i="19"/>
  <c r="G30" i="19"/>
  <c r="F12" i="12"/>
  <c r="I12" i="12" s="1"/>
  <c r="E9" i="12"/>
  <c r="E13" i="12"/>
  <c r="F10" i="12"/>
  <c r="I10" i="12" s="1"/>
  <c r="F13" i="12"/>
  <c r="I13" i="12" s="1"/>
  <c r="E11" i="12"/>
  <c r="F14" i="12"/>
  <c r="I14" i="12" s="1"/>
  <c r="F11" i="12"/>
  <c r="I11" i="12" s="1"/>
  <c r="E14" i="12"/>
  <c r="F9" i="12"/>
  <c r="I9" i="12" s="1"/>
  <c r="E12" i="12"/>
  <c r="E10" i="12"/>
  <c r="F12" i="13"/>
  <c r="F10" i="13"/>
  <c r="E12" i="13"/>
  <c r="E10" i="13"/>
  <c r="F14" i="13"/>
  <c r="E14" i="13"/>
  <c r="F11" i="13"/>
  <c r="E11" i="13"/>
  <c r="E9" i="13"/>
  <c r="E13" i="13"/>
  <c r="F9" i="13"/>
  <c r="F13" i="13"/>
  <c r="E10" i="11"/>
  <c r="E13" i="11"/>
  <c r="E14" i="11"/>
  <c r="E11" i="11"/>
  <c r="E12" i="11"/>
  <c r="F14" i="11"/>
  <c r="F9" i="11"/>
  <c r="F13" i="11"/>
  <c r="F10" i="11"/>
  <c r="F11" i="11"/>
  <c r="F12" i="11"/>
  <c r="E9" i="11"/>
  <c r="A54" i="3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AT10" i="6"/>
  <c r="AU43" i="6" a="1"/>
  <c r="AU43" i="6" s="1"/>
  <c r="AU42" i="6" a="1"/>
  <c r="AU42" i="6" s="1"/>
  <c r="AU41" i="6" a="1"/>
  <c r="AU41" i="6" s="1"/>
  <c r="AU40" i="6" a="1"/>
  <c r="AU40" i="6" s="1"/>
  <c r="AU39" i="6" a="1"/>
  <c r="AU39" i="6" s="1"/>
  <c r="AU38" i="6" a="1"/>
  <c r="AU38" i="6" s="1"/>
  <c r="AU37" i="6" a="1"/>
  <c r="AU37" i="6" s="1"/>
  <c r="AU36" i="6" a="1"/>
  <c r="AU36" i="6" s="1"/>
  <c r="AU35" i="6" a="1"/>
  <c r="AU35" i="6" s="1"/>
  <c r="AU34" i="6" a="1"/>
  <c r="AU34" i="6" s="1"/>
  <c r="AU33" i="6" a="1"/>
  <c r="AU33" i="6" s="1"/>
  <c r="AU32" i="6" a="1"/>
  <c r="AU32" i="6" s="1"/>
  <c r="AU31" i="6" a="1"/>
  <c r="AU31" i="6" s="1"/>
  <c r="AU30" i="6" a="1"/>
  <c r="AU30" i="6" s="1"/>
  <c r="AU29" i="6" a="1"/>
  <c r="AU29" i="6" s="1"/>
  <c r="AU28" i="6" a="1"/>
  <c r="AU28" i="6" s="1"/>
  <c r="AU27" i="6" a="1"/>
  <c r="AU27" i="6" s="1"/>
  <c r="AU26" i="6" a="1"/>
  <c r="AU26" i="6" s="1"/>
  <c r="AU25" i="6" a="1"/>
  <c r="AU25" i="6" s="1"/>
  <c r="AU24" i="6" a="1"/>
  <c r="AU24" i="6" s="1"/>
  <c r="AU23" i="6" a="1"/>
  <c r="AU23" i="6" s="1"/>
  <c r="AU22" i="6" a="1"/>
  <c r="AU22" i="6" s="1"/>
  <c r="AU21" i="6" a="1"/>
  <c r="AU21" i="6" s="1"/>
  <c r="AU20" i="6" a="1"/>
  <c r="AU20" i="6" s="1"/>
  <c r="AU19" i="6" a="1"/>
  <c r="AU19" i="6" s="1"/>
  <c r="AU18" i="6" a="1"/>
  <c r="AU18" i="6" s="1"/>
  <c r="AU17" i="6" a="1"/>
  <c r="AU17" i="6" s="1"/>
  <c r="AU16" i="6" a="1"/>
  <c r="AU16" i="6" s="1"/>
  <c r="AU15" i="6" a="1"/>
  <c r="AU15" i="6" s="1"/>
  <c r="AU14" i="6" a="1"/>
  <c r="AU14" i="6" s="1"/>
  <c r="AU13" i="6" a="1"/>
  <c r="AU13" i="6" s="1"/>
  <c r="AU12" i="6" a="1"/>
  <c r="AU12" i="6" s="1"/>
  <c r="AU11" i="6" a="1"/>
  <c r="AU11" i="6" s="1"/>
  <c r="Z96" i="6" a="1"/>
  <c r="Z96" i="6" s="1"/>
  <c r="Z95" i="6" a="1"/>
  <c r="Z95" i="6" s="1"/>
  <c r="Z94" i="6" a="1"/>
  <c r="Z94" i="6" s="1"/>
  <c r="Z93" i="6" a="1"/>
  <c r="Z93" i="6" s="1"/>
  <c r="Z92" i="6" a="1"/>
  <c r="Z92" i="6" s="1"/>
  <c r="Z91" i="6" a="1"/>
  <c r="Z91" i="6" s="1"/>
  <c r="Z90" i="6" a="1"/>
  <c r="Z90" i="6" s="1"/>
  <c r="Z89" i="6" a="1"/>
  <c r="Z89" i="6" s="1"/>
  <c r="Z88" i="6" a="1"/>
  <c r="Z88" i="6" s="1"/>
  <c r="Z87" i="6" a="1"/>
  <c r="Z87" i="6" s="1"/>
  <c r="Z86" i="6" a="1"/>
  <c r="Z86" i="6" s="1"/>
  <c r="Z85" i="6" a="1"/>
  <c r="Z85" i="6" s="1"/>
  <c r="Z84" i="6" a="1"/>
  <c r="Z84" i="6" s="1"/>
  <c r="Z83" i="6" a="1"/>
  <c r="Z83" i="6" s="1"/>
  <c r="Z82" i="6" a="1"/>
  <c r="Z82" i="6" s="1"/>
  <c r="Z81" i="6" a="1"/>
  <c r="Z81" i="6" s="1"/>
  <c r="Z80" i="6" a="1"/>
  <c r="Z80" i="6" s="1"/>
  <c r="Z79" i="6" a="1"/>
  <c r="Z79" i="6" s="1"/>
  <c r="Z78" i="6" a="1"/>
  <c r="Z78" i="6" s="1"/>
  <c r="Z77" i="6" a="1"/>
  <c r="Z77" i="6" s="1"/>
  <c r="Z76" i="6" a="1"/>
  <c r="Z76" i="6" s="1"/>
  <c r="Z75" i="6" a="1"/>
  <c r="Z75" i="6" s="1"/>
  <c r="Z74" i="6" a="1"/>
  <c r="Z74" i="6" s="1"/>
  <c r="Z73" i="6" a="1"/>
  <c r="Z73" i="6" s="1"/>
  <c r="Z72" i="6" a="1"/>
  <c r="Z72" i="6" s="1"/>
  <c r="Z71" i="6" a="1"/>
  <c r="Z71" i="6" s="1"/>
  <c r="Z70" i="6" a="1"/>
  <c r="Z70" i="6" s="1"/>
  <c r="Z69" i="6" a="1"/>
  <c r="Z69" i="6" s="1"/>
  <c r="Z68" i="6" a="1"/>
  <c r="Z68" i="6" s="1"/>
  <c r="Z67" i="6" a="1"/>
  <c r="Z67" i="6" s="1"/>
  <c r="Z66" i="6" a="1"/>
  <c r="Z66" i="6" s="1"/>
  <c r="Z65" i="6" a="1"/>
  <c r="Z65" i="6" s="1"/>
  <c r="Z64" i="6" a="1"/>
  <c r="Z64" i="6" s="1"/>
  <c r="Z63" i="6" a="1"/>
  <c r="Z63" i="6" s="1"/>
  <c r="Z62" i="6" a="1"/>
  <c r="Z62" i="6" s="1"/>
  <c r="Z61" i="6" a="1"/>
  <c r="Z61" i="6" s="1"/>
  <c r="Z60" i="6" a="1"/>
  <c r="Z60" i="6" s="1"/>
  <c r="Z59" i="6" a="1"/>
  <c r="Z59" i="6" s="1"/>
  <c r="Q24" i="5"/>
  <c r="R24" i="5" a="1"/>
  <c r="R24" i="5" s="1"/>
  <c r="S24" i="5" s="1"/>
  <c r="Q25" i="5"/>
  <c r="R25" i="5" a="1"/>
  <c r="R25" i="5" s="1"/>
  <c r="S25" i="5" s="1"/>
  <c r="Q26" i="5"/>
  <c r="R26" i="5" a="1"/>
  <c r="R26" i="5" s="1"/>
  <c r="S26" i="5" s="1"/>
  <c r="Q27" i="5"/>
  <c r="R27" i="5" a="1"/>
  <c r="R27" i="5" s="1"/>
  <c r="S27" i="5" s="1"/>
  <c r="Q28" i="5"/>
  <c r="R28" i="5" a="1"/>
  <c r="R28" i="5" s="1"/>
  <c r="S28" i="5" s="1"/>
  <c r="Q29" i="5"/>
  <c r="R29" i="5" a="1"/>
  <c r="R29" i="5" s="1"/>
  <c r="S29" i="5" s="1"/>
  <c r="Q30" i="5"/>
  <c r="R30" i="5" a="1"/>
  <c r="R30" i="5" s="1"/>
  <c r="S30" i="5" s="1"/>
  <c r="Q31" i="5"/>
  <c r="R31" i="5" a="1"/>
  <c r="R31" i="5" s="1"/>
  <c r="S31" i="5" s="1"/>
  <c r="Q32" i="5"/>
  <c r="R32" i="5" a="1"/>
  <c r="R32" i="5" s="1"/>
  <c r="S32" i="5" s="1"/>
  <c r="AT11" i="6" a="1"/>
  <c r="AT11" i="6" s="1"/>
  <c r="R44" i="19" l="1"/>
  <c r="P44" i="19"/>
  <c r="S44" i="19"/>
  <c r="C45" i="19"/>
  <c r="E44" i="19"/>
  <c r="F43" i="19"/>
  <c r="D44" i="19"/>
  <c r="H43" i="19"/>
  <c r="G31" i="19"/>
  <c r="AA20" i="12"/>
  <c r="AB31" i="12"/>
  <c r="AB29" i="12"/>
  <c r="AB27" i="12"/>
  <c r="AB25" i="12"/>
  <c r="AB23" i="12"/>
  <c r="AB21" i="12"/>
  <c r="AB32" i="12"/>
  <c r="Z8" i="12" a="1"/>
  <c r="AB30" i="12"/>
  <c r="AB28" i="12"/>
  <c r="AB26" i="12"/>
  <c r="AB24" i="12"/>
  <c r="AB22" i="12"/>
  <c r="AB20" i="12"/>
  <c r="AA32" i="12"/>
  <c r="AA24" i="12"/>
  <c r="AA26" i="12"/>
  <c r="AA21" i="12"/>
  <c r="AA28" i="12"/>
  <c r="AA25" i="12"/>
  <c r="AA30" i="12"/>
  <c r="AA27" i="12"/>
  <c r="AA29" i="12"/>
  <c r="AA22" i="12"/>
  <c r="AA23" i="12"/>
  <c r="AA31" i="12"/>
  <c r="I12" i="11"/>
  <c r="AA12" i="11" s="1"/>
  <c r="AC12" i="11"/>
  <c r="I11" i="11"/>
  <c r="AA11" i="11" s="1"/>
  <c r="AC11" i="11"/>
  <c r="I10" i="11"/>
  <c r="AA10" i="11" s="1"/>
  <c r="AC10" i="11"/>
  <c r="I13" i="11"/>
  <c r="AA13" i="11" s="1"/>
  <c r="AC13" i="11"/>
  <c r="I9" i="11"/>
  <c r="AA9" i="11" s="1"/>
  <c r="AC9" i="11"/>
  <c r="I14" i="11"/>
  <c r="AA14" i="11" s="1"/>
  <c r="AC14" i="11"/>
  <c r="I11" i="13"/>
  <c r="AC11" i="13"/>
  <c r="I14" i="13"/>
  <c r="AC14" i="13"/>
  <c r="I13" i="13"/>
  <c r="AC13" i="13"/>
  <c r="I12" i="13"/>
  <c r="AC12" i="13"/>
  <c r="I9" i="13"/>
  <c r="AC9" i="13"/>
  <c r="I10" i="13"/>
  <c r="AC10" i="13"/>
  <c r="E8" i="12"/>
  <c r="F8" i="12"/>
  <c r="I8" i="12" s="1"/>
  <c r="E8" i="11"/>
  <c r="F8" i="11"/>
  <c r="E8" i="13"/>
  <c r="F8" i="13"/>
  <c r="AC8" i="13" s="1"/>
  <c r="A55" i="3"/>
  <c r="C10" i="6" a="1"/>
  <c r="C10" i="6" s="1"/>
  <c r="Y11" i="6" a="1"/>
  <c r="Y11" i="6" s="1"/>
  <c r="R44" i="6"/>
  <c r="V44" i="6"/>
  <c r="R45" i="6"/>
  <c r="V45" i="6"/>
  <c r="I13" i="10"/>
  <c r="L8" i="6" a="1"/>
  <c r="O11" i="6"/>
  <c r="V43" i="6"/>
  <c r="R43" i="6"/>
  <c r="V42" i="6"/>
  <c r="R42" i="6"/>
  <c r="V41" i="6"/>
  <c r="R41" i="6"/>
  <c r="V40" i="6"/>
  <c r="R40" i="6"/>
  <c r="V39" i="6"/>
  <c r="R39" i="6"/>
  <c r="V38" i="6"/>
  <c r="R38" i="6"/>
  <c r="V37" i="6"/>
  <c r="R37" i="6"/>
  <c r="V36" i="6"/>
  <c r="R36" i="6"/>
  <c r="V35" i="6"/>
  <c r="R35" i="6"/>
  <c r="V34" i="6"/>
  <c r="R34" i="6"/>
  <c r="V33" i="6"/>
  <c r="R33" i="6"/>
  <c r="V32" i="6"/>
  <c r="R32" i="6"/>
  <c r="V31" i="6"/>
  <c r="R31" i="6"/>
  <c r="V30" i="6"/>
  <c r="R30" i="6"/>
  <c r="V29" i="6"/>
  <c r="R29" i="6"/>
  <c r="V28" i="6"/>
  <c r="R28" i="6"/>
  <c r="U25" i="6"/>
  <c r="U26" i="6" s="1"/>
  <c r="R26" i="6" s="1"/>
  <c r="V24" i="6"/>
  <c r="R24" i="6"/>
  <c r="U21" i="6"/>
  <c r="U22" i="6" s="1"/>
  <c r="V20" i="6"/>
  <c r="R20" i="6"/>
  <c r="U17" i="6"/>
  <c r="V17" i="6" s="1"/>
  <c r="V16" i="6"/>
  <c r="R16" i="6"/>
  <c r="V15" i="6"/>
  <c r="R15" i="6"/>
  <c r="V14" i="6"/>
  <c r="R14" i="6"/>
  <c r="V13" i="6"/>
  <c r="R13" i="6"/>
  <c r="V12" i="6"/>
  <c r="R12" i="6"/>
  <c r="V11" i="6"/>
  <c r="R11" i="6"/>
  <c r="E12" i="6"/>
  <c r="G11" i="6"/>
  <c r="F11" i="6"/>
  <c r="J11" i="6" s="1"/>
  <c r="P11" i="6" l="1"/>
  <c r="N11" i="19" s="1"/>
  <c r="M11" i="19"/>
  <c r="L8" i="6"/>
  <c r="L9" i="6" s="1"/>
  <c r="L8" i="19"/>
  <c r="N8" i="19"/>
  <c r="M8" i="19"/>
  <c r="K8" i="19"/>
  <c r="S45" i="19"/>
  <c r="R45" i="19"/>
  <c r="P45" i="19"/>
  <c r="E45" i="19"/>
  <c r="C46" i="19"/>
  <c r="D45" i="19"/>
  <c r="H44" i="19"/>
  <c r="F44" i="19"/>
  <c r="G32" i="19"/>
  <c r="AB19" i="12"/>
  <c r="AB18" i="12"/>
  <c r="AB16" i="12"/>
  <c r="AB15" i="12"/>
  <c r="AB17" i="12"/>
  <c r="AA14" i="12"/>
  <c r="AB11" i="12"/>
  <c r="AB13" i="12"/>
  <c r="AB12" i="12"/>
  <c r="AA13" i="12"/>
  <c r="AA12" i="12"/>
  <c r="Z8" i="12"/>
  <c r="AC14" i="12"/>
  <c r="AB10" i="12"/>
  <c r="AB9" i="12"/>
  <c r="AA11" i="12"/>
  <c r="AC13" i="12"/>
  <c r="AC12" i="12"/>
  <c r="AC10" i="12"/>
  <c r="AA9" i="12"/>
  <c r="AC11" i="12"/>
  <c r="AC9" i="12"/>
  <c r="AB14" i="12"/>
  <c r="AA10" i="12"/>
  <c r="I8" i="11"/>
  <c r="AA8" i="11" s="1"/>
  <c r="AC8" i="11"/>
  <c r="I8" i="13"/>
  <c r="AA13" i="13" s="1"/>
  <c r="A56" i="3"/>
  <c r="Z26" i="6" a="1"/>
  <c r="Z26" i="6" s="1"/>
  <c r="Z28" i="6" a="1"/>
  <c r="Z28" i="6" s="1"/>
  <c r="Z58" i="6" a="1"/>
  <c r="Z58" i="6" s="1"/>
  <c r="Z48" i="6" a="1"/>
  <c r="Z48" i="6" s="1"/>
  <c r="Z32" i="6" a="1"/>
  <c r="Z32" i="6" s="1"/>
  <c r="Z27" i="6" a="1"/>
  <c r="Z27" i="6" s="1"/>
  <c r="Z31" i="6" a="1"/>
  <c r="Z31" i="6" s="1"/>
  <c r="Z30" i="6" a="1"/>
  <c r="Z30" i="6" s="1"/>
  <c r="Z45" i="6" a="1"/>
  <c r="Z45" i="6" s="1"/>
  <c r="Z29" i="6" a="1"/>
  <c r="Z29" i="6" s="1"/>
  <c r="Z52" i="6" a="1"/>
  <c r="Z52" i="6" s="1"/>
  <c r="Z42" i="6" a="1"/>
  <c r="Z42" i="6" s="1"/>
  <c r="Z34" i="6" a="1"/>
  <c r="Z34" i="6" s="1"/>
  <c r="Z33" i="6" a="1"/>
  <c r="Z33" i="6" s="1"/>
  <c r="Z35" i="6" a="1"/>
  <c r="Z35" i="6" s="1"/>
  <c r="Z41" i="6" a="1"/>
  <c r="Z41" i="6" s="1"/>
  <c r="Z56" i="6" a="1"/>
  <c r="Z56" i="6" s="1"/>
  <c r="Z55" i="6" a="1"/>
  <c r="Z55" i="6" s="1"/>
  <c r="Z47" i="6" a="1"/>
  <c r="Z47" i="6" s="1"/>
  <c r="Z15" i="6" a="1"/>
  <c r="Z15" i="6" s="1"/>
  <c r="Z22" i="6" a="1"/>
  <c r="Z22" i="6" s="1"/>
  <c r="Z11" i="6" a="1"/>
  <c r="Z11" i="6" s="1"/>
  <c r="Z21" i="6" a="1"/>
  <c r="Z21" i="6" s="1"/>
  <c r="Z12" i="6" a="1"/>
  <c r="Z12" i="6" s="1"/>
  <c r="I362" i="6"/>
  <c r="I361" i="6"/>
  <c r="P9" i="6"/>
  <c r="M9" i="6"/>
  <c r="I360" i="6"/>
  <c r="I367" i="6"/>
  <c r="I369" i="6"/>
  <c r="I366" i="6"/>
  <c r="I368" i="6"/>
  <c r="M10" i="6"/>
  <c r="I365" i="6"/>
  <c r="I370" i="6"/>
  <c r="N10" i="6"/>
  <c r="I364" i="6"/>
  <c r="N9" i="6"/>
  <c r="O10" i="6"/>
  <c r="I363" i="6"/>
  <c r="O9" i="6"/>
  <c r="P10" i="6"/>
  <c r="R25" i="6"/>
  <c r="V25" i="6"/>
  <c r="V22" i="6"/>
  <c r="R22" i="6"/>
  <c r="U23" i="6"/>
  <c r="V26" i="6"/>
  <c r="R21" i="6"/>
  <c r="U27" i="6"/>
  <c r="U18" i="6"/>
  <c r="V21" i="6"/>
  <c r="R17" i="6"/>
  <c r="I359" i="6"/>
  <c r="H11" i="6"/>
  <c r="F12" i="6"/>
  <c r="F13" i="6" s="1"/>
  <c r="G12" i="6"/>
  <c r="E13" i="6"/>
  <c r="K9" i="19" l="1"/>
  <c r="K10" i="19"/>
  <c r="M9" i="19"/>
  <c r="M10" i="19"/>
  <c r="N9" i="19"/>
  <c r="N10" i="19"/>
  <c r="L9" i="19"/>
  <c r="L10" i="19"/>
  <c r="L10" i="6"/>
  <c r="J8" i="19"/>
  <c r="R46" i="19"/>
  <c r="P46" i="19"/>
  <c r="S46" i="19"/>
  <c r="E46" i="19"/>
  <c r="C47" i="19"/>
  <c r="D46" i="19"/>
  <c r="H45" i="19"/>
  <c r="F45" i="19"/>
  <c r="G33" i="19"/>
  <c r="AA11" i="13"/>
  <c r="AA10" i="13"/>
  <c r="AA8" i="13"/>
  <c r="AA30" i="13"/>
  <c r="AA27" i="13"/>
  <c r="AA28" i="13"/>
  <c r="AA22" i="13"/>
  <c r="AA23" i="13"/>
  <c r="AA26" i="13"/>
  <c r="AA25" i="13"/>
  <c r="AA31" i="13"/>
  <c r="AA24" i="13"/>
  <c r="AA29" i="13"/>
  <c r="AA9" i="13"/>
  <c r="AA14" i="13"/>
  <c r="AA12" i="13"/>
  <c r="AC8" i="12"/>
  <c r="AB8" i="12"/>
  <c r="AA8" i="12"/>
  <c r="A57" i="3"/>
  <c r="R23" i="6"/>
  <c r="V23" i="6"/>
  <c r="U19" i="6"/>
  <c r="V18" i="6"/>
  <c r="R18" i="6"/>
  <c r="V27" i="6"/>
  <c r="R27" i="6"/>
  <c r="J12" i="6"/>
  <c r="H12" i="6"/>
  <c r="E14" i="6"/>
  <c r="G13" i="6"/>
  <c r="J13" i="6"/>
  <c r="H13" i="6"/>
  <c r="F14" i="6"/>
  <c r="J9" i="19" l="1"/>
  <c r="J10" i="19"/>
  <c r="S47" i="19"/>
  <c r="R47" i="19"/>
  <c r="P47" i="19"/>
  <c r="C48" i="19"/>
  <c r="E47" i="19"/>
  <c r="F46" i="19"/>
  <c r="D47" i="19"/>
  <c r="H46" i="19"/>
  <c r="G34" i="19"/>
  <c r="A58" i="3"/>
  <c r="V19" i="6"/>
  <c r="R19" i="6"/>
  <c r="Z36" i="6" s="1" a="1"/>
  <c r="Z36" i="6" s="1"/>
  <c r="H14" i="6"/>
  <c r="F15" i="6"/>
  <c r="J14" i="6"/>
  <c r="E15" i="6"/>
  <c r="G14" i="6"/>
  <c r="R48" i="19" l="1"/>
  <c r="Q48" i="19"/>
  <c r="P48" i="19"/>
  <c r="S48" i="19"/>
  <c r="C49" i="19"/>
  <c r="E48" i="19"/>
  <c r="H47" i="19"/>
  <c r="F47" i="19"/>
  <c r="D48" i="19"/>
  <c r="G35" i="19"/>
  <c r="A59" i="3"/>
  <c r="Z50" i="6" a="1"/>
  <c r="Z50" i="6" s="1"/>
  <c r="Z20" i="6" a="1"/>
  <c r="Z20" i="6" s="1"/>
  <c r="Z25" i="6" a="1"/>
  <c r="Z25" i="6" s="1"/>
  <c r="Z19" i="6" a="1"/>
  <c r="Z19" i="6" s="1"/>
  <c r="Z18" i="6" a="1"/>
  <c r="Z18" i="6" s="1"/>
  <c r="Z57" i="6" a="1"/>
  <c r="Z57" i="6" s="1"/>
  <c r="Z43" i="6" a="1"/>
  <c r="Z43" i="6" s="1"/>
  <c r="Z51" i="6" a="1"/>
  <c r="Z51" i="6" s="1"/>
  <c r="Z14" i="6" a="1"/>
  <c r="Z14" i="6" s="1"/>
  <c r="Z44" i="6" a="1"/>
  <c r="Z44" i="6" s="1"/>
  <c r="Z40" i="6" a="1"/>
  <c r="Z40" i="6" s="1"/>
  <c r="Z16" i="6" a="1"/>
  <c r="Z16" i="6" s="1"/>
  <c r="Z13" i="6" a="1"/>
  <c r="Z13" i="6" s="1"/>
  <c r="Z24" i="6" a="1"/>
  <c r="Z24" i="6" s="1"/>
  <c r="Z49" i="6" a="1"/>
  <c r="Z49" i="6" s="1"/>
  <c r="Z23" i="6" a="1"/>
  <c r="Z23" i="6" s="1"/>
  <c r="Z39" i="6" a="1"/>
  <c r="Z39" i="6" s="1"/>
  <c r="Z17" i="6" a="1"/>
  <c r="Z17" i="6" s="1"/>
  <c r="Z38" i="6" a="1"/>
  <c r="Z38" i="6" s="1"/>
  <c r="Z46" i="6" a="1"/>
  <c r="Z46" i="6" s="1"/>
  <c r="Z54" i="6" a="1"/>
  <c r="Z54" i="6" s="1"/>
  <c r="Z37" i="6" a="1"/>
  <c r="Z37" i="6" s="1"/>
  <c r="Z53" i="6" a="1"/>
  <c r="Z53" i="6" s="1"/>
  <c r="G15" i="6"/>
  <c r="E16" i="6"/>
  <c r="J15" i="6"/>
  <c r="H15" i="6"/>
  <c r="F16" i="6"/>
  <c r="S49" i="19" l="1"/>
  <c r="R49" i="19"/>
  <c r="Q49" i="19"/>
  <c r="P49" i="19"/>
  <c r="T48" i="19"/>
  <c r="C50" i="19"/>
  <c r="E49" i="19"/>
  <c r="D49" i="19"/>
  <c r="H48" i="19"/>
  <c r="F48" i="19"/>
  <c r="G36" i="19"/>
  <c r="A60" i="3"/>
  <c r="F17" i="6"/>
  <c r="J16" i="6"/>
  <c r="H16" i="6"/>
  <c r="E17" i="6"/>
  <c r="G16" i="6"/>
  <c r="T49" i="19" l="1"/>
  <c r="R50" i="19"/>
  <c r="Q50" i="19"/>
  <c r="P50" i="19"/>
  <c r="S50" i="19"/>
  <c r="E50" i="19"/>
  <c r="C51" i="19"/>
  <c r="D50" i="19"/>
  <c r="H49" i="19"/>
  <c r="F49" i="19"/>
  <c r="G37" i="19"/>
  <c r="A61" i="3"/>
  <c r="G17" i="6"/>
  <c r="E18" i="6"/>
  <c r="H17" i="6"/>
  <c r="F18" i="6"/>
  <c r="J17" i="6"/>
  <c r="T50" i="19" l="1"/>
  <c r="S51" i="19"/>
  <c r="R51" i="19"/>
  <c r="Q51" i="19"/>
  <c r="P51" i="19"/>
  <c r="E51" i="19"/>
  <c r="C52" i="19"/>
  <c r="F50" i="19"/>
  <c r="D51" i="19"/>
  <c r="H50" i="19"/>
  <c r="G38" i="19"/>
  <c r="A62" i="3"/>
  <c r="H18" i="6"/>
  <c r="F19" i="6"/>
  <c r="J18" i="6"/>
  <c r="G18" i="6"/>
  <c r="E19" i="6"/>
  <c r="T51" i="19" l="1"/>
  <c r="R52" i="19"/>
  <c r="Q52" i="19"/>
  <c r="P52" i="19"/>
  <c r="S52" i="19"/>
  <c r="C53" i="19"/>
  <c r="E52" i="19"/>
  <c r="H51" i="19"/>
  <c r="F51" i="19"/>
  <c r="D52" i="19"/>
  <c r="G39" i="19"/>
  <c r="A63" i="3"/>
  <c r="E20" i="6"/>
  <c r="G19" i="6"/>
  <c r="J19" i="6"/>
  <c r="F20" i="6"/>
  <c r="H19" i="6"/>
  <c r="T52" i="19" l="1"/>
  <c r="S53" i="19"/>
  <c r="R53" i="19"/>
  <c r="Q53" i="19"/>
  <c r="P53" i="19"/>
  <c r="C54" i="19"/>
  <c r="E53" i="19"/>
  <c r="D53" i="19"/>
  <c r="H52" i="19"/>
  <c r="F52" i="19"/>
  <c r="G40" i="19"/>
  <c r="A64" i="3"/>
  <c r="F21" i="6"/>
  <c r="J20" i="6"/>
  <c r="H20" i="6"/>
  <c r="E21" i="6"/>
  <c r="G20" i="6"/>
  <c r="T53" i="19" l="1"/>
  <c r="R54" i="19"/>
  <c r="Q54" i="19"/>
  <c r="P54" i="19"/>
  <c r="S54" i="19"/>
  <c r="E54" i="19"/>
  <c r="C55" i="19"/>
  <c r="D54" i="19"/>
  <c r="H53" i="19"/>
  <c r="F53" i="19"/>
  <c r="G41" i="19"/>
  <c r="A65" i="3"/>
  <c r="G21" i="6"/>
  <c r="E22" i="6"/>
  <c r="H21" i="6"/>
  <c r="J21" i="6"/>
  <c r="F22" i="6"/>
  <c r="T54" i="19" l="1"/>
  <c r="S55" i="19"/>
  <c r="R55" i="19"/>
  <c r="Q55" i="19"/>
  <c r="P55" i="19"/>
  <c r="C56" i="19"/>
  <c r="E55" i="19"/>
  <c r="F54" i="19"/>
  <c r="D55" i="19"/>
  <c r="H54" i="19"/>
  <c r="G42" i="19"/>
  <c r="F26" i="9"/>
  <c r="I26" i="9" s="1"/>
  <c r="F23" i="9"/>
  <c r="I23" i="9" s="1"/>
  <c r="F32" i="9"/>
  <c r="F31" i="9"/>
  <c r="I31" i="9" s="1"/>
  <c r="F24" i="9"/>
  <c r="I24" i="9" s="1"/>
  <c r="F30" i="9"/>
  <c r="I30" i="9" s="1"/>
  <c r="F27" i="9"/>
  <c r="I27" i="9" s="1"/>
  <c r="F28" i="9"/>
  <c r="I28" i="9" s="1"/>
  <c r="F29" i="9"/>
  <c r="I29" i="9" s="1"/>
  <c r="F25" i="9"/>
  <c r="I25" i="9" s="1"/>
  <c r="E29" i="11"/>
  <c r="E22" i="13"/>
  <c r="E24" i="9"/>
  <c r="E23" i="9"/>
  <c r="E18" i="13"/>
  <c r="E29" i="12"/>
  <c r="E32" i="13"/>
  <c r="E29" i="9"/>
  <c r="E22" i="12"/>
  <c r="E31" i="11"/>
  <c r="E16" i="13"/>
  <c r="E20" i="13"/>
  <c r="F17" i="13"/>
  <c r="E26" i="9"/>
  <c r="E17" i="13"/>
  <c r="F32" i="12"/>
  <c r="I32" i="12" s="1"/>
  <c r="F26" i="12"/>
  <c r="I26" i="12" s="1"/>
  <c r="E28" i="11"/>
  <c r="E26" i="13"/>
  <c r="E30" i="12"/>
  <c r="E24" i="11"/>
  <c r="E31" i="12"/>
  <c r="E24" i="12"/>
  <c r="E23" i="11"/>
  <c r="F31" i="12"/>
  <c r="I31" i="12" s="1"/>
  <c r="E18" i="12"/>
  <c r="E20" i="12"/>
  <c r="E32" i="11"/>
  <c r="F25" i="13"/>
  <c r="I25" i="13" s="1"/>
  <c r="F32" i="13"/>
  <c r="I32" i="13" s="1"/>
  <c r="E19" i="13"/>
  <c r="F19" i="13"/>
  <c r="E28" i="13"/>
  <c r="E30" i="9"/>
  <c r="E25" i="11"/>
  <c r="F24" i="12"/>
  <c r="I24" i="12" s="1"/>
  <c r="F17" i="11"/>
  <c r="I17" i="11" s="1"/>
  <c r="F15" i="13"/>
  <c r="AC15" i="13" s="1"/>
  <c r="E32" i="12"/>
  <c r="E27" i="11"/>
  <c r="E23" i="12"/>
  <c r="I32" i="9"/>
  <c r="E27" i="12"/>
  <c r="E27" i="9"/>
  <c r="E27" i="13"/>
  <c r="E23" i="13"/>
  <c r="E18" i="11"/>
  <c r="E29" i="13"/>
  <c r="E31" i="13"/>
  <c r="F28" i="11"/>
  <c r="I28" i="11" s="1"/>
  <c r="E25" i="13"/>
  <c r="E17" i="12"/>
  <c r="E26" i="12"/>
  <c r="F21" i="13"/>
  <c r="E19" i="12"/>
  <c r="E28" i="12"/>
  <c r="F27" i="12"/>
  <c r="I27" i="12" s="1"/>
  <c r="E22" i="11"/>
  <c r="E28" i="9"/>
  <c r="E25" i="12"/>
  <c r="F24" i="13"/>
  <c r="I24" i="13" s="1"/>
  <c r="F29" i="12"/>
  <c r="I29" i="12" s="1"/>
  <c r="F20" i="13"/>
  <c r="F30" i="13"/>
  <c r="I30" i="13" s="1"/>
  <c r="E24" i="13"/>
  <c r="E30" i="11"/>
  <c r="E20" i="11"/>
  <c r="E17" i="11"/>
  <c r="E25" i="9"/>
  <c r="E19" i="11"/>
  <c r="E26" i="11"/>
  <c r="E21" i="13"/>
  <c r="E21" i="12"/>
  <c r="E21" i="11"/>
  <c r="F22" i="11"/>
  <c r="I22" i="11" s="1"/>
  <c r="F23" i="11"/>
  <c r="I23" i="11" s="1"/>
  <c r="F25" i="11"/>
  <c r="I25" i="11" s="1"/>
  <c r="E15" i="12"/>
  <c r="F26" i="11"/>
  <c r="I26" i="11" s="1"/>
  <c r="F29" i="11"/>
  <c r="I29" i="11" s="1"/>
  <c r="F24" i="11"/>
  <c r="I24" i="11" s="1"/>
  <c r="E15" i="13"/>
  <c r="F22" i="12"/>
  <c r="I22" i="12" s="1"/>
  <c r="F28" i="12"/>
  <c r="I28" i="12" s="1"/>
  <c r="F27" i="13"/>
  <c r="I27" i="13" s="1"/>
  <c r="F23" i="12"/>
  <c r="I23" i="12" s="1"/>
  <c r="E30" i="13"/>
  <c r="F19" i="11"/>
  <c r="I19" i="11" s="1"/>
  <c r="F25" i="12"/>
  <c r="I25" i="12" s="1"/>
  <c r="F31" i="11"/>
  <c r="I31" i="11" s="1"/>
  <c r="F26" i="13"/>
  <c r="I26" i="13" s="1"/>
  <c r="F28" i="13"/>
  <c r="I28" i="13" s="1"/>
  <c r="F23" i="13"/>
  <c r="I23" i="13" s="1"/>
  <c r="F18" i="13"/>
  <c r="F17" i="12"/>
  <c r="F18" i="12"/>
  <c r="F19" i="12"/>
  <c r="F29" i="13"/>
  <c r="I29" i="13" s="1"/>
  <c r="E32" i="9"/>
  <c r="F16" i="12"/>
  <c r="E31" i="9"/>
  <c r="F22" i="13"/>
  <c r="I22" i="13" s="1"/>
  <c r="E15" i="11"/>
  <c r="F31" i="13"/>
  <c r="I31" i="13" s="1"/>
  <c r="E16" i="12"/>
  <c r="F16" i="13"/>
  <c r="E16" i="11"/>
  <c r="F21" i="12"/>
  <c r="I21" i="12" s="1"/>
  <c r="F30" i="11"/>
  <c r="I30" i="11" s="1"/>
  <c r="F15" i="12"/>
  <c r="F30" i="12"/>
  <c r="I30" i="12" s="1"/>
  <c r="F16" i="11"/>
  <c r="I16" i="11" s="1"/>
  <c r="F20" i="12"/>
  <c r="I20" i="12" s="1"/>
  <c r="F27" i="11"/>
  <c r="I27" i="11" s="1"/>
  <c r="F32" i="11"/>
  <c r="I32" i="11" s="1"/>
  <c r="F15" i="11"/>
  <c r="I15" i="11" s="1"/>
  <c r="F18" i="11"/>
  <c r="I18" i="11" s="1"/>
  <c r="F21" i="11"/>
  <c r="I21" i="11" s="1"/>
  <c r="F20" i="11"/>
  <c r="I20" i="11" s="1"/>
  <c r="H22" i="6"/>
  <c r="F23" i="6"/>
  <c r="I11" i="6" s="1"/>
  <c r="J22" i="6"/>
  <c r="E23" i="6"/>
  <c r="G22" i="6"/>
  <c r="T55" i="19" l="1"/>
  <c r="R56" i="19"/>
  <c r="Q56" i="19"/>
  <c r="P56" i="19"/>
  <c r="S56" i="19"/>
  <c r="C57" i="19"/>
  <c r="E56" i="19"/>
  <c r="H55" i="19"/>
  <c r="F55" i="19"/>
  <c r="D56" i="19"/>
  <c r="G43" i="19"/>
  <c r="I19" i="12"/>
  <c r="AA19" i="12" s="1"/>
  <c r="AC19" i="12"/>
  <c r="I18" i="12"/>
  <c r="AA18" i="12" s="1"/>
  <c r="AC18" i="12"/>
  <c r="I15" i="12"/>
  <c r="AA15" i="12" s="1"/>
  <c r="AC15" i="12"/>
  <c r="I17" i="12"/>
  <c r="AA17" i="12" s="1"/>
  <c r="AC17" i="12"/>
  <c r="I16" i="12"/>
  <c r="AA16" i="12" s="1"/>
  <c r="AC16" i="12"/>
  <c r="I20" i="13"/>
  <c r="AA20" i="13" s="1"/>
  <c r="AC20" i="13"/>
  <c r="I16" i="13"/>
  <c r="AA16" i="13" s="1"/>
  <c r="AC16" i="13"/>
  <c r="I19" i="13"/>
  <c r="AA19" i="13" s="1"/>
  <c r="AC19" i="13"/>
  <c r="I17" i="13"/>
  <c r="AA17" i="13" s="1"/>
  <c r="AC17" i="13"/>
  <c r="I21" i="13"/>
  <c r="AA21" i="13" s="1"/>
  <c r="AC21" i="13"/>
  <c r="I18" i="13"/>
  <c r="AA18" i="13" s="1"/>
  <c r="AC18" i="13"/>
  <c r="I15" i="13"/>
  <c r="AA15" i="13" s="1"/>
  <c r="O12" i="6"/>
  <c r="M12" i="19" s="1"/>
  <c r="N12" i="6"/>
  <c r="L12" i="19" s="1"/>
  <c r="M12" i="6"/>
  <c r="K12" i="19" s="1"/>
  <c r="G23" i="6"/>
  <c r="E24" i="6"/>
  <c r="J23" i="6"/>
  <c r="H23" i="6"/>
  <c r="F24" i="6"/>
  <c r="I12" i="6" s="1"/>
  <c r="AC32" i="13" l="1"/>
  <c r="AA32" i="13"/>
  <c r="AE32" i="13" s="1"/>
  <c r="S57" i="19"/>
  <c r="R57" i="19"/>
  <c r="Q57" i="19"/>
  <c r="P57" i="19"/>
  <c r="T56" i="19"/>
  <c r="C58" i="19"/>
  <c r="E57" i="19"/>
  <c r="D57" i="19"/>
  <c r="H56" i="19"/>
  <c r="F56" i="19"/>
  <c r="G44" i="19"/>
  <c r="M13" i="6"/>
  <c r="K13" i="19" s="1"/>
  <c r="N13" i="6"/>
  <c r="L13" i="19" s="1"/>
  <c r="O13" i="6"/>
  <c r="M13" i="19" s="1"/>
  <c r="P12" i="6"/>
  <c r="N12" i="19" s="1"/>
  <c r="E25" i="6"/>
  <c r="G24" i="6"/>
  <c r="F25" i="6"/>
  <c r="I13" i="6" s="1"/>
  <c r="J24" i="6"/>
  <c r="H24" i="6"/>
  <c r="T57" i="19" l="1"/>
  <c r="R58" i="19"/>
  <c r="Q58" i="19"/>
  <c r="P58" i="19"/>
  <c r="S58" i="19"/>
  <c r="E58" i="19"/>
  <c r="C59" i="19"/>
  <c r="D58" i="19"/>
  <c r="H57" i="19"/>
  <c r="F57" i="19"/>
  <c r="G45" i="19"/>
  <c r="O14" i="6"/>
  <c r="M14" i="19" s="1"/>
  <c r="M14" i="6"/>
  <c r="K14" i="19" s="1"/>
  <c r="N14" i="6"/>
  <c r="L14" i="19" s="1"/>
  <c r="L12" i="6"/>
  <c r="J12" i="19" s="1"/>
  <c r="P13" i="6"/>
  <c r="N13" i="19" s="1"/>
  <c r="J25" i="6"/>
  <c r="H25" i="6"/>
  <c r="F26" i="6"/>
  <c r="I14" i="6" s="1"/>
  <c r="G25" i="6"/>
  <c r="E26" i="6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E292" i="6" s="1"/>
  <c r="E293" i="6" s="1"/>
  <c r="E294" i="6" s="1"/>
  <c r="E295" i="6" s="1"/>
  <c r="E296" i="6" s="1"/>
  <c r="E297" i="6" s="1"/>
  <c r="E298" i="6" s="1"/>
  <c r="E299" i="6" s="1"/>
  <c r="E300" i="6" s="1"/>
  <c r="E301" i="6" s="1"/>
  <c r="E302" i="6" s="1"/>
  <c r="E303" i="6" s="1"/>
  <c r="E304" i="6" s="1"/>
  <c r="E305" i="6" s="1"/>
  <c r="E306" i="6" s="1"/>
  <c r="E307" i="6" s="1"/>
  <c r="E308" i="6" s="1"/>
  <c r="E309" i="6" s="1"/>
  <c r="E310" i="6" s="1"/>
  <c r="E311" i="6" s="1"/>
  <c r="E312" i="6" s="1"/>
  <c r="E313" i="6" s="1"/>
  <c r="E314" i="6" s="1"/>
  <c r="E315" i="6" s="1"/>
  <c r="E316" i="6" s="1"/>
  <c r="E317" i="6" s="1"/>
  <c r="E318" i="6" s="1"/>
  <c r="E319" i="6" s="1"/>
  <c r="E320" i="6" s="1"/>
  <c r="E321" i="6" s="1"/>
  <c r="E322" i="6" s="1"/>
  <c r="E323" i="6" s="1"/>
  <c r="E324" i="6" s="1"/>
  <c r="E325" i="6" s="1"/>
  <c r="E326" i="6" s="1"/>
  <c r="E327" i="6" s="1"/>
  <c r="E328" i="6" s="1"/>
  <c r="E329" i="6" s="1"/>
  <c r="E330" i="6" s="1"/>
  <c r="E331" i="6" s="1"/>
  <c r="E332" i="6" s="1"/>
  <c r="E333" i="6" s="1"/>
  <c r="E334" i="6" s="1"/>
  <c r="E335" i="6" s="1"/>
  <c r="E336" i="6" s="1"/>
  <c r="E337" i="6" s="1"/>
  <c r="E338" i="6" s="1"/>
  <c r="E339" i="6" s="1"/>
  <c r="E340" i="6" s="1"/>
  <c r="E341" i="6" s="1"/>
  <c r="E342" i="6" s="1"/>
  <c r="E343" i="6" s="1"/>
  <c r="E344" i="6" s="1"/>
  <c r="E345" i="6" s="1"/>
  <c r="E346" i="6" s="1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361" i="6" s="1"/>
  <c r="E362" i="6" s="1"/>
  <c r="E363" i="6" s="1"/>
  <c r="E364" i="6" s="1"/>
  <c r="E365" i="6" s="1"/>
  <c r="E366" i="6" s="1"/>
  <c r="E367" i="6" s="1"/>
  <c r="E368" i="6" s="1"/>
  <c r="E369" i="6" s="1"/>
  <c r="E370" i="6" s="1"/>
  <c r="T58" i="19" l="1"/>
  <c r="S59" i="19"/>
  <c r="R59" i="19"/>
  <c r="Q59" i="19"/>
  <c r="P59" i="19"/>
  <c r="C60" i="19"/>
  <c r="E59" i="19"/>
  <c r="F58" i="19"/>
  <c r="D59" i="19"/>
  <c r="H58" i="19"/>
  <c r="G46" i="19"/>
  <c r="M15" i="6"/>
  <c r="K15" i="19" s="1"/>
  <c r="O15" i="6"/>
  <c r="M15" i="19" s="1"/>
  <c r="N15" i="6"/>
  <c r="L15" i="19" s="1"/>
  <c r="L13" i="6"/>
  <c r="J13" i="19" s="1"/>
  <c r="P14" i="6"/>
  <c r="N14" i="19" s="1"/>
  <c r="G26" i="6"/>
  <c r="H26" i="6"/>
  <c r="J26" i="6"/>
  <c r="F27" i="6"/>
  <c r="I15" i="6" s="1"/>
  <c r="T59" i="19" l="1"/>
  <c r="R60" i="19"/>
  <c r="Q60" i="19"/>
  <c r="P60" i="19"/>
  <c r="S60" i="19"/>
  <c r="E60" i="19"/>
  <c r="C61" i="19"/>
  <c r="H59" i="19"/>
  <c r="F59" i="19"/>
  <c r="D60" i="19"/>
  <c r="G47" i="19"/>
  <c r="P15" i="6"/>
  <c r="N15" i="19" s="1"/>
  <c r="L14" i="6"/>
  <c r="J14" i="19" s="1"/>
  <c r="O16" i="6"/>
  <c r="M16" i="19" s="1"/>
  <c r="N16" i="6"/>
  <c r="L16" i="19" s="1"/>
  <c r="M16" i="6"/>
  <c r="K16" i="19" s="1"/>
  <c r="P16" i="19" s="1"/>
  <c r="T16" i="19" s="1"/>
  <c r="J27" i="6"/>
  <c r="F28" i="6"/>
  <c r="H27" i="6"/>
  <c r="G27" i="6"/>
  <c r="I16" i="6" l="1"/>
  <c r="AD8" i="9"/>
  <c r="AD12" i="9"/>
  <c r="AD11" i="9"/>
  <c r="AD15" i="9"/>
  <c r="AD10" i="9"/>
  <c r="AD9" i="9"/>
  <c r="AD13" i="9"/>
  <c r="AD14" i="9"/>
  <c r="S61" i="19"/>
  <c r="R61" i="19"/>
  <c r="Q61" i="19"/>
  <c r="P61" i="19"/>
  <c r="T60" i="19"/>
  <c r="C62" i="19"/>
  <c r="E61" i="19"/>
  <c r="D61" i="19"/>
  <c r="H60" i="19"/>
  <c r="F60" i="19"/>
  <c r="G48" i="19"/>
  <c r="F29" i="6"/>
  <c r="I17" i="6" s="1"/>
  <c r="H28" i="6"/>
  <c r="J28" i="6"/>
  <c r="G28" i="6"/>
  <c r="N17" i="6" l="1"/>
  <c r="L17" i="19" s="1"/>
  <c r="P16" i="6"/>
  <c r="M17" i="6"/>
  <c r="K17" i="19" s="1"/>
  <c r="P17" i="19" s="1"/>
  <c r="T17" i="19" s="1"/>
  <c r="L15" i="6"/>
  <c r="O17" i="6"/>
  <c r="M17" i="19" s="1"/>
  <c r="T61" i="19"/>
  <c r="R62" i="19"/>
  <c r="Q62" i="19"/>
  <c r="P62" i="19"/>
  <c r="S62" i="19"/>
  <c r="E62" i="19"/>
  <c r="C63" i="19"/>
  <c r="D62" i="19"/>
  <c r="H61" i="19"/>
  <c r="F61" i="19"/>
  <c r="G49" i="19"/>
  <c r="O18" i="6"/>
  <c r="M18" i="19" s="1"/>
  <c r="N18" i="6"/>
  <c r="L18" i="19" s="1"/>
  <c r="M18" i="6"/>
  <c r="K18" i="19" s="1"/>
  <c r="P18" i="19" s="1"/>
  <c r="T18" i="19" s="1"/>
  <c r="G29" i="6"/>
  <c r="F30" i="6"/>
  <c r="I18" i="6" s="1"/>
  <c r="J29" i="6"/>
  <c r="H29" i="6"/>
  <c r="N16" i="19" l="1"/>
  <c r="P17" i="6"/>
  <c r="J15" i="19"/>
  <c r="L16" i="6"/>
  <c r="T62" i="19"/>
  <c r="S63" i="19"/>
  <c r="R63" i="19"/>
  <c r="Q63" i="19"/>
  <c r="P63" i="19"/>
  <c r="E63" i="19"/>
  <c r="C64" i="19"/>
  <c r="F62" i="19"/>
  <c r="D63" i="19"/>
  <c r="H62" i="19"/>
  <c r="G50" i="19"/>
  <c r="M19" i="6"/>
  <c r="K19" i="19" s="1"/>
  <c r="P19" i="19" s="1"/>
  <c r="T19" i="19" s="1"/>
  <c r="O19" i="6"/>
  <c r="M19" i="19" s="1"/>
  <c r="N19" i="6"/>
  <c r="L19" i="19" s="1"/>
  <c r="H30" i="6"/>
  <c r="J30" i="6"/>
  <c r="F31" i="6"/>
  <c r="I19" i="6" s="1"/>
  <c r="G30" i="6"/>
  <c r="N17" i="19" l="1"/>
  <c r="P18" i="6"/>
  <c r="N18" i="19" s="1"/>
  <c r="J16" i="19"/>
  <c r="L17" i="6"/>
  <c r="J17" i="19" s="1"/>
  <c r="T63" i="19"/>
  <c r="R64" i="19"/>
  <c r="Q64" i="19"/>
  <c r="P64" i="19"/>
  <c r="S64" i="19"/>
  <c r="C65" i="19"/>
  <c r="E64" i="19"/>
  <c r="H63" i="19"/>
  <c r="F63" i="19"/>
  <c r="D64" i="19"/>
  <c r="G51" i="19"/>
  <c r="L18" i="6"/>
  <c r="J18" i="19" s="1"/>
  <c r="O20" i="6"/>
  <c r="M20" i="19" s="1"/>
  <c r="N20" i="6"/>
  <c r="L20" i="19" s="1"/>
  <c r="M20" i="6"/>
  <c r="K20" i="19" s="1"/>
  <c r="P20" i="19" s="1"/>
  <c r="T20" i="19" s="1"/>
  <c r="P19" i="6"/>
  <c r="N19" i="19" s="1"/>
  <c r="G31" i="6"/>
  <c r="J31" i="6"/>
  <c r="F32" i="6"/>
  <c r="I20" i="6" s="1"/>
  <c r="H31" i="6"/>
  <c r="T64" i="19" l="1"/>
  <c r="S65" i="19"/>
  <c r="R65" i="19"/>
  <c r="Q65" i="19"/>
  <c r="P65" i="19"/>
  <c r="C66" i="19"/>
  <c r="E65" i="19"/>
  <c r="D65" i="19"/>
  <c r="H64" i="19"/>
  <c r="F64" i="19"/>
  <c r="G52" i="19"/>
  <c r="O21" i="6"/>
  <c r="M21" i="19" s="1"/>
  <c r="M21" i="6"/>
  <c r="K21" i="19" s="1"/>
  <c r="P21" i="19" s="1"/>
  <c r="T21" i="19" s="1"/>
  <c r="N21" i="6"/>
  <c r="L21" i="19" s="1"/>
  <c r="L19" i="6"/>
  <c r="J19" i="19" s="1"/>
  <c r="P20" i="6"/>
  <c r="N20" i="19" s="1"/>
  <c r="F33" i="6"/>
  <c r="I21" i="6" s="1"/>
  <c r="J32" i="6"/>
  <c r="H32" i="6"/>
  <c r="G32" i="6"/>
  <c r="T65" i="19" l="1"/>
  <c r="R66" i="19"/>
  <c r="Q66" i="19"/>
  <c r="P66" i="19"/>
  <c r="S66" i="19"/>
  <c r="C67" i="19"/>
  <c r="E66" i="19"/>
  <c r="D66" i="19"/>
  <c r="H65" i="19"/>
  <c r="F65" i="19"/>
  <c r="G53" i="19"/>
  <c r="N22" i="6"/>
  <c r="L22" i="19" s="1"/>
  <c r="M22" i="6"/>
  <c r="K22" i="19" s="1"/>
  <c r="P22" i="19" s="1"/>
  <c r="T22" i="19" s="1"/>
  <c r="O22" i="6"/>
  <c r="M22" i="19" s="1"/>
  <c r="L20" i="6"/>
  <c r="J20" i="19" s="1"/>
  <c r="P21" i="6"/>
  <c r="N21" i="19" s="1"/>
  <c r="G33" i="6"/>
  <c r="J33" i="6"/>
  <c r="H33" i="6"/>
  <c r="F34" i="6"/>
  <c r="I22" i="6" s="1"/>
  <c r="T66" i="19" l="1"/>
  <c r="S67" i="19"/>
  <c r="R67" i="19"/>
  <c r="Q67" i="19"/>
  <c r="P67" i="19"/>
  <c r="E67" i="19"/>
  <c r="C68" i="19"/>
  <c r="F66" i="19"/>
  <c r="D67" i="19"/>
  <c r="H66" i="19"/>
  <c r="G54" i="19"/>
  <c r="L21" i="6"/>
  <c r="J21" i="19" s="1"/>
  <c r="M23" i="6"/>
  <c r="K23" i="19" s="1"/>
  <c r="P23" i="19" s="1"/>
  <c r="T23" i="19" s="1"/>
  <c r="O23" i="6"/>
  <c r="M23" i="19" s="1"/>
  <c r="N23" i="6"/>
  <c r="L23" i="19" s="1"/>
  <c r="P22" i="6"/>
  <c r="N22" i="19" s="1"/>
  <c r="H34" i="6"/>
  <c r="F35" i="6"/>
  <c r="I23" i="6" s="1"/>
  <c r="J34" i="6"/>
  <c r="G34" i="6"/>
  <c r="T67" i="19" l="1"/>
  <c r="R68" i="19"/>
  <c r="Q68" i="19"/>
  <c r="P68" i="19"/>
  <c r="S68" i="19"/>
  <c r="C69" i="19"/>
  <c r="E68" i="19"/>
  <c r="H67" i="19"/>
  <c r="F67" i="19"/>
  <c r="D68" i="19"/>
  <c r="G55" i="19"/>
  <c r="O24" i="6"/>
  <c r="M24" i="19" s="1"/>
  <c r="N24" i="6"/>
  <c r="L24" i="19" s="1"/>
  <c r="M24" i="6"/>
  <c r="K24" i="19" s="1"/>
  <c r="P24" i="19" s="1"/>
  <c r="T24" i="19" s="1"/>
  <c r="L22" i="6"/>
  <c r="J22" i="19" s="1"/>
  <c r="P23" i="6"/>
  <c r="N23" i="19" s="1"/>
  <c r="J35" i="6"/>
  <c r="H35" i="6"/>
  <c r="F36" i="6"/>
  <c r="I24" i="6" s="1"/>
  <c r="G35" i="6"/>
  <c r="S69" i="19" l="1"/>
  <c r="R69" i="19"/>
  <c r="Q69" i="19"/>
  <c r="P69" i="19"/>
  <c r="T68" i="19"/>
  <c r="E69" i="19"/>
  <c r="C70" i="19"/>
  <c r="D69" i="19"/>
  <c r="H68" i="19"/>
  <c r="F68" i="19"/>
  <c r="G56" i="19"/>
  <c r="O25" i="6"/>
  <c r="M25" i="19" s="1"/>
  <c r="N25" i="6"/>
  <c r="L25" i="19" s="1"/>
  <c r="L23" i="6"/>
  <c r="J23" i="19" s="1"/>
  <c r="M25" i="6"/>
  <c r="K25" i="19" s="1"/>
  <c r="P25" i="19" s="1"/>
  <c r="T25" i="19" s="1"/>
  <c r="P24" i="6"/>
  <c r="N24" i="19" s="1"/>
  <c r="F37" i="6"/>
  <c r="I25" i="6" s="1"/>
  <c r="H36" i="6"/>
  <c r="J36" i="6"/>
  <c r="G36" i="6"/>
  <c r="T69" i="19" l="1"/>
  <c r="R70" i="19"/>
  <c r="Q70" i="19"/>
  <c r="P70" i="19"/>
  <c r="S70" i="19"/>
  <c r="E70" i="19"/>
  <c r="C71" i="19"/>
  <c r="D70" i="19"/>
  <c r="H69" i="19"/>
  <c r="F69" i="19"/>
  <c r="G57" i="19"/>
  <c r="M26" i="6"/>
  <c r="K26" i="19" s="1"/>
  <c r="P26" i="19" s="1"/>
  <c r="T26" i="19" s="1"/>
  <c r="L24" i="6"/>
  <c r="J24" i="19" s="1"/>
  <c r="O26" i="6"/>
  <c r="M26" i="19" s="1"/>
  <c r="N26" i="6"/>
  <c r="L26" i="19" s="1"/>
  <c r="P25" i="6"/>
  <c r="N25" i="19" s="1"/>
  <c r="G37" i="6"/>
  <c r="H37" i="6"/>
  <c r="J37" i="6"/>
  <c r="F38" i="6"/>
  <c r="I26" i="6" s="1"/>
  <c r="S71" i="19" l="1"/>
  <c r="R71" i="19"/>
  <c r="Q71" i="19"/>
  <c r="P71" i="19"/>
  <c r="T70" i="19"/>
  <c r="E71" i="19"/>
  <c r="C72" i="19"/>
  <c r="F70" i="19"/>
  <c r="D71" i="19"/>
  <c r="H70" i="19"/>
  <c r="G58" i="19"/>
  <c r="L25" i="6"/>
  <c r="J25" i="19" s="1"/>
  <c r="O27" i="6"/>
  <c r="M27" i="19" s="1"/>
  <c r="N27" i="6"/>
  <c r="L27" i="19" s="1"/>
  <c r="M27" i="6"/>
  <c r="K27" i="19" s="1"/>
  <c r="P27" i="19" s="1"/>
  <c r="T27" i="19" s="1"/>
  <c r="P26" i="6"/>
  <c r="N26" i="19" s="1"/>
  <c r="H38" i="6"/>
  <c r="F39" i="6"/>
  <c r="I27" i="6" s="1"/>
  <c r="J38" i="6"/>
  <c r="G38" i="6"/>
  <c r="T71" i="19" l="1"/>
  <c r="R72" i="19"/>
  <c r="Q72" i="19"/>
  <c r="P72" i="19"/>
  <c r="S72" i="19"/>
  <c r="C73" i="19"/>
  <c r="E72" i="19"/>
  <c r="H71" i="19"/>
  <c r="F71" i="19"/>
  <c r="D72" i="19"/>
  <c r="G59" i="19"/>
  <c r="O28" i="6"/>
  <c r="M28" i="19" s="1"/>
  <c r="N28" i="6"/>
  <c r="L28" i="19" s="1"/>
  <c r="M28" i="6"/>
  <c r="K28" i="19" s="1"/>
  <c r="L26" i="6"/>
  <c r="J26" i="19" s="1"/>
  <c r="P27" i="6"/>
  <c r="N27" i="19" s="1"/>
  <c r="G39" i="6"/>
  <c r="J39" i="6"/>
  <c r="F40" i="6"/>
  <c r="I28" i="6" s="1"/>
  <c r="H39" i="6"/>
  <c r="T72" i="19" l="1"/>
  <c r="S73" i="19"/>
  <c r="R73" i="19"/>
  <c r="Q73" i="19"/>
  <c r="P73" i="19"/>
  <c r="C74" i="19"/>
  <c r="E73" i="19"/>
  <c r="D73" i="19"/>
  <c r="H72" i="19"/>
  <c r="F72" i="19"/>
  <c r="G60" i="19"/>
  <c r="L27" i="6"/>
  <c r="J27" i="19" s="1"/>
  <c r="O29" i="6"/>
  <c r="M29" i="19" s="1"/>
  <c r="N29" i="6"/>
  <c r="L29" i="19" s="1"/>
  <c r="M29" i="6"/>
  <c r="K29" i="19" s="1"/>
  <c r="P28" i="6"/>
  <c r="N28" i="19" s="1"/>
  <c r="F41" i="6"/>
  <c r="I29" i="6" s="1"/>
  <c r="J40" i="6"/>
  <c r="H40" i="6"/>
  <c r="G40" i="6"/>
  <c r="T73" i="19" l="1"/>
  <c r="R74" i="19"/>
  <c r="Q74" i="19"/>
  <c r="P74" i="19"/>
  <c r="S74" i="19"/>
  <c r="C75" i="19"/>
  <c r="E74" i="19"/>
  <c r="D74" i="19"/>
  <c r="H73" i="19"/>
  <c r="F73" i="19"/>
  <c r="G61" i="19"/>
  <c r="O30" i="6"/>
  <c r="M30" i="19" s="1"/>
  <c r="N30" i="6"/>
  <c r="L30" i="19" s="1"/>
  <c r="M30" i="6"/>
  <c r="K30" i="19" s="1"/>
  <c r="L28" i="6"/>
  <c r="J28" i="19" s="1"/>
  <c r="P29" i="6"/>
  <c r="N29" i="19" s="1"/>
  <c r="G41" i="6"/>
  <c r="F42" i="6"/>
  <c r="I30" i="6" s="1"/>
  <c r="J41" i="6"/>
  <c r="H41" i="6"/>
  <c r="S75" i="19" l="1"/>
  <c r="R75" i="19"/>
  <c r="Q75" i="19"/>
  <c r="P75" i="19"/>
  <c r="T74" i="19"/>
  <c r="E75" i="19"/>
  <c r="C76" i="19"/>
  <c r="F74" i="19"/>
  <c r="D75" i="19"/>
  <c r="H74" i="19"/>
  <c r="G62" i="19"/>
  <c r="O31" i="6"/>
  <c r="M31" i="19" s="1"/>
  <c r="N31" i="6"/>
  <c r="L31" i="19" s="1"/>
  <c r="L29" i="6"/>
  <c r="J29" i="19" s="1"/>
  <c r="M31" i="6"/>
  <c r="K31" i="19" s="1"/>
  <c r="P30" i="6"/>
  <c r="N30" i="19" s="1"/>
  <c r="H42" i="6"/>
  <c r="J42" i="6"/>
  <c r="F43" i="6"/>
  <c r="I31" i="6" s="1"/>
  <c r="G42" i="6"/>
  <c r="T75" i="19" l="1"/>
  <c r="R76" i="19"/>
  <c r="Q76" i="19"/>
  <c r="P76" i="19"/>
  <c r="S76" i="19"/>
  <c r="C77" i="19"/>
  <c r="E76" i="19"/>
  <c r="H75" i="19"/>
  <c r="F75" i="19"/>
  <c r="D76" i="19"/>
  <c r="G63" i="19"/>
  <c r="M32" i="6"/>
  <c r="K32" i="19" s="1"/>
  <c r="L30" i="6"/>
  <c r="J30" i="19" s="1"/>
  <c r="O32" i="6"/>
  <c r="M32" i="19" s="1"/>
  <c r="N32" i="6"/>
  <c r="L32" i="19" s="1"/>
  <c r="P31" i="6"/>
  <c r="N31" i="19" s="1"/>
  <c r="J43" i="6"/>
  <c r="H43" i="6"/>
  <c r="F44" i="6"/>
  <c r="I32" i="6" s="1"/>
  <c r="G43" i="6"/>
  <c r="T76" i="19" l="1"/>
  <c r="S77" i="19"/>
  <c r="R77" i="19"/>
  <c r="Q77" i="19"/>
  <c r="P77" i="19"/>
  <c r="C78" i="19"/>
  <c r="E77" i="19"/>
  <c r="D77" i="19"/>
  <c r="H76" i="19"/>
  <c r="F76" i="19"/>
  <c r="G64" i="19"/>
  <c r="L31" i="6"/>
  <c r="J31" i="19" s="1"/>
  <c r="O33" i="6"/>
  <c r="M33" i="19" s="1"/>
  <c r="N33" i="6"/>
  <c r="L33" i="19" s="1"/>
  <c r="M33" i="6"/>
  <c r="K33" i="19" s="1"/>
  <c r="P32" i="6"/>
  <c r="N32" i="19" s="1"/>
  <c r="G44" i="6"/>
  <c r="F45" i="6"/>
  <c r="I33" i="6" s="1"/>
  <c r="H44" i="6"/>
  <c r="J44" i="6"/>
  <c r="T77" i="19" l="1"/>
  <c r="R78" i="19"/>
  <c r="Q78" i="19"/>
  <c r="P78" i="19"/>
  <c r="S78" i="19"/>
  <c r="C79" i="19"/>
  <c r="E78" i="19"/>
  <c r="D78" i="19"/>
  <c r="H77" i="19"/>
  <c r="F77" i="19"/>
  <c r="G65" i="19"/>
  <c r="M34" i="6"/>
  <c r="K34" i="19" s="1"/>
  <c r="O34" i="6"/>
  <c r="M34" i="19" s="1"/>
  <c r="N34" i="6"/>
  <c r="L34" i="19" s="1"/>
  <c r="L32" i="6"/>
  <c r="J32" i="19" s="1"/>
  <c r="P33" i="6"/>
  <c r="N33" i="19" s="1"/>
  <c r="F46" i="6"/>
  <c r="I34" i="6" s="1"/>
  <c r="H45" i="6"/>
  <c r="J45" i="6"/>
  <c r="G45" i="6"/>
  <c r="S79" i="19" l="1"/>
  <c r="R79" i="19"/>
  <c r="Q79" i="19"/>
  <c r="P79" i="19"/>
  <c r="T78" i="19"/>
  <c r="E79" i="19"/>
  <c r="C80" i="19"/>
  <c r="F78" i="19"/>
  <c r="D79" i="19"/>
  <c r="H78" i="19"/>
  <c r="G66" i="19"/>
  <c r="L33" i="6"/>
  <c r="J33" i="19" s="1"/>
  <c r="O35" i="6"/>
  <c r="M35" i="19" s="1"/>
  <c r="N35" i="6"/>
  <c r="L35" i="19" s="1"/>
  <c r="M35" i="6"/>
  <c r="K35" i="19" s="1"/>
  <c r="P34" i="6"/>
  <c r="N34" i="19" s="1"/>
  <c r="G46" i="6"/>
  <c r="H46" i="6"/>
  <c r="F47" i="6"/>
  <c r="I35" i="6" s="1"/>
  <c r="J46" i="6"/>
  <c r="T79" i="19" l="1"/>
  <c r="R80" i="19"/>
  <c r="Q80" i="19"/>
  <c r="P80" i="19"/>
  <c r="S80" i="19"/>
  <c r="E80" i="19"/>
  <c r="C81" i="19"/>
  <c r="H79" i="19"/>
  <c r="F79" i="19"/>
  <c r="D80" i="19"/>
  <c r="G67" i="19"/>
  <c r="M36" i="6"/>
  <c r="K36" i="19" s="1"/>
  <c r="O36" i="6"/>
  <c r="M36" i="19" s="1"/>
  <c r="N36" i="6"/>
  <c r="L36" i="19" s="1"/>
  <c r="L34" i="6"/>
  <c r="J34" i="19" s="1"/>
  <c r="P35" i="6"/>
  <c r="N35" i="19" s="1"/>
  <c r="J47" i="6"/>
  <c r="F48" i="6"/>
  <c r="H47" i="6"/>
  <c r="G47" i="6"/>
  <c r="I36" i="6" l="1"/>
  <c r="O37" i="6" s="1"/>
  <c r="M37" i="19" s="1"/>
  <c r="AD19" i="9"/>
  <c r="AD18" i="9"/>
  <c r="AD21" i="9"/>
  <c r="AD16" i="9"/>
  <c r="AD22" i="9"/>
  <c r="AD17" i="9"/>
  <c r="AD20" i="9"/>
  <c r="S81" i="19"/>
  <c r="R81" i="19"/>
  <c r="Q81" i="19"/>
  <c r="P81" i="19"/>
  <c r="T80" i="19"/>
  <c r="C82" i="19"/>
  <c r="E81" i="19"/>
  <c r="D81" i="19"/>
  <c r="H80" i="19"/>
  <c r="F80" i="19"/>
  <c r="G68" i="19"/>
  <c r="L35" i="6"/>
  <c r="J35" i="19" s="1"/>
  <c r="N37" i="6"/>
  <c r="L37" i="19" s="1"/>
  <c r="M37" i="6"/>
  <c r="K37" i="19" s="1"/>
  <c r="P36" i="6"/>
  <c r="N36" i="19" s="1"/>
  <c r="G48" i="6"/>
  <c r="F49" i="6"/>
  <c r="I37" i="6" s="1"/>
  <c r="O38" i="6" s="1"/>
  <c r="M38" i="19" s="1"/>
  <c r="J48" i="6"/>
  <c r="H48" i="6"/>
  <c r="T81" i="19" l="1"/>
  <c r="R82" i="19"/>
  <c r="Q82" i="19"/>
  <c r="P82" i="19"/>
  <c r="S82" i="19"/>
  <c r="C83" i="19"/>
  <c r="E82" i="19"/>
  <c r="D82" i="19"/>
  <c r="H81" i="19"/>
  <c r="F81" i="19"/>
  <c r="G69" i="19"/>
  <c r="M38" i="6"/>
  <c r="K38" i="19" s="1"/>
  <c r="N38" i="6"/>
  <c r="L38" i="19" s="1"/>
  <c r="L36" i="6"/>
  <c r="J36" i="19" s="1"/>
  <c r="P37" i="6"/>
  <c r="N37" i="19" s="1"/>
  <c r="J49" i="6"/>
  <c r="H49" i="6"/>
  <c r="F50" i="6"/>
  <c r="I38" i="6" s="1"/>
  <c r="O39" i="6" s="1"/>
  <c r="M39" i="19" s="1"/>
  <c r="G49" i="6"/>
  <c r="T82" i="19" l="1"/>
  <c r="S83" i="19"/>
  <c r="R83" i="19"/>
  <c r="Q83" i="19"/>
  <c r="P83" i="19"/>
  <c r="C84" i="19"/>
  <c r="E83" i="19"/>
  <c r="F82" i="19"/>
  <c r="D83" i="19"/>
  <c r="H82" i="19"/>
  <c r="G70" i="19"/>
  <c r="L37" i="6"/>
  <c r="J37" i="19" s="1"/>
  <c r="N39" i="6"/>
  <c r="L39" i="19" s="1"/>
  <c r="M39" i="6"/>
  <c r="K39" i="19" s="1"/>
  <c r="P38" i="6"/>
  <c r="N38" i="19" s="1"/>
  <c r="G50" i="6"/>
  <c r="H50" i="6"/>
  <c r="F51" i="6"/>
  <c r="I39" i="6" s="1"/>
  <c r="O40" i="6" s="1"/>
  <c r="M40" i="19" s="1"/>
  <c r="J50" i="6"/>
  <c r="T83" i="19" l="1"/>
  <c r="R84" i="19"/>
  <c r="Q84" i="19"/>
  <c r="P84" i="19"/>
  <c r="S84" i="19"/>
  <c r="C85" i="19"/>
  <c r="E84" i="19"/>
  <c r="H83" i="19"/>
  <c r="F83" i="19"/>
  <c r="D84" i="19"/>
  <c r="G71" i="19"/>
  <c r="M40" i="6"/>
  <c r="K40" i="19" s="1"/>
  <c r="Q40" i="19" s="1"/>
  <c r="T40" i="19" s="1"/>
  <c r="N40" i="6"/>
  <c r="L40" i="19" s="1"/>
  <c r="L38" i="6"/>
  <c r="J38" i="19" s="1"/>
  <c r="P39" i="6"/>
  <c r="N39" i="19" s="1"/>
  <c r="G51" i="6"/>
  <c r="J51" i="6"/>
  <c r="H51" i="6"/>
  <c r="F52" i="6"/>
  <c r="I40" i="6" s="1"/>
  <c r="O41" i="6" s="1"/>
  <c r="M41" i="19" s="1"/>
  <c r="T84" i="19" l="1"/>
  <c r="S85" i="19"/>
  <c r="R85" i="19"/>
  <c r="Q85" i="19"/>
  <c r="P85" i="19"/>
  <c r="C86" i="19"/>
  <c r="E85" i="19"/>
  <c r="D85" i="19"/>
  <c r="H84" i="19"/>
  <c r="F84" i="19"/>
  <c r="G72" i="19"/>
  <c r="L39" i="6"/>
  <c r="J39" i="19" s="1"/>
  <c r="N41" i="6"/>
  <c r="L41" i="19" s="1"/>
  <c r="M41" i="6"/>
  <c r="K41" i="19" s="1"/>
  <c r="Q41" i="19" s="1"/>
  <c r="T41" i="19" s="1"/>
  <c r="P40" i="6"/>
  <c r="N40" i="19" s="1"/>
  <c r="F53" i="6"/>
  <c r="I41" i="6" s="1"/>
  <c r="O42" i="6" s="1"/>
  <c r="M42" i="19" s="1"/>
  <c r="H52" i="6"/>
  <c r="J52" i="6"/>
  <c r="G52" i="6"/>
  <c r="T85" i="19" l="1"/>
  <c r="R86" i="19"/>
  <c r="Q86" i="19"/>
  <c r="P86" i="19"/>
  <c r="S86" i="19"/>
  <c r="C87" i="19"/>
  <c r="E86" i="19"/>
  <c r="D86" i="19"/>
  <c r="H85" i="19"/>
  <c r="F85" i="19"/>
  <c r="G73" i="19"/>
  <c r="M42" i="6"/>
  <c r="K42" i="19" s="1"/>
  <c r="Q42" i="19" s="1"/>
  <c r="T42" i="19" s="1"/>
  <c r="N42" i="6"/>
  <c r="L42" i="19" s="1"/>
  <c r="L40" i="6"/>
  <c r="J40" i="19" s="1"/>
  <c r="P41" i="6"/>
  <c r="N41" i="19" s="1"/>
  <c r="G53" i="6"/>
  <c r="H53" i="6"/>
  <c r="F54" i="6"/>
  <c r="I42" i="6" s="1"/>
  <c r="O43" i="6" s="1"/>
  <c r="M43" i="19" s="1"/>
  <c r="J53" i="6"/>
  <c r="T86" i="19" l="1"/>
  <c r="S87" i="19"/>
  <c r="R87" i="19"/>
  <c r="Q87" i="19"/>
  <c r="P87" i="19"/>
  <c r="C88" i="19"/>
  <c r="E87" i="19"/>
  <c r="F86" i="19"/>
  <c r="D87" i="19"/>
  <c r="H86" i="19"/>
  <c r="G74" i="19"/>
  <c r="L41" i="6"/>
  <c r="J41" i="19" s="1"/>
  <c r="N43" i="6"/>
  <c r="L43" i="19" s="1"/>
  <c r="M43" i="6"/>
  <c r="K43" i="19" s="1"/>
  <c r="Q43" i="19" s="1"/>
  <c r="T43" i="19" s="1"/>
  <c r="P42" i="6"/>
  <c r="N42" i="19" s="1"/>
  <c r="H54" i="6"/>
  <c r="F55" i="6"/>
  <c r="I43" i="6" s="1"/>
  <c r="O44" i="6" s="1"/>
  <c r="M44" i="19" s="1"/>
  <c r="J54" i="6"/>
  <c r="G54" i="6"/>
  <c r="T87" i="19" l="1"/>
  <c r="R88" i="19"/>
  <c r="Q88" i="19"/>
  <c r="P88" i="19"/>
  <c r="S88" i="19"/>
  <c r="C89" i="19"/>
  <c r="E88" i="19"/>
  <c r="H87" i="19"/>
  <c r="F87" i="19"/>
  <c r="D88" i="19"/>
  <c r="G75" i="19"/>
  <c r="M44" i="6"/>
  <c r="K44" i="19" s="1"/>
  <c r="Q44" i="19" s="1"/>
  <c r="T44" i="19" s="1"/>
  <c r="N44" i="6"/>
  <c r="L44" i="19" s="1"/>
  <c r="L42" i="6"/>
  <c r="J42" i="19" s="1"/>
  <c r="P43" i="6"/>
  <c r="N43" i="19" s="1"/>
  <c r="G55" i="6"/>
  <c r="J55" i="6"/>
  <c r="H55" i="6"/>
  <c r="F56" i="6"/>
  <c r="I44" i="6" s="1"/>
  <c r="O45" i="6" s="1"/>
  <c r="M45" i="19" s="1"/>
  <c r="T88" i="19" l="1"/>
  <c r="S89" i="19"/>
  <c r="R89" i="19"/>
  <c r="Q89" i="19"/>
  <c r="P89" i="19"/>
  <c r="E89" i="19"/>
  <c r="C90" i="19"/>
  <c r="D89" i="19"/>
  <c r="H88" i="19"/>
  <c r="F88" i="19"/>
  <c r="G76" i="19"/>
  <c r="L43" i="6"/>
  <c r="J43" i="19" s="1"/>
  <c r="P44" i="6"/>
  <c r="N44" i="19" s="1"/>
  <c r="N45" i="6"/>
  <c r="L45" i="19" s="1"/>
  <c r="M45" i="6"/>
  <c r="K45" i="19" s="1"/>
  <c r="Q45" i="19" s="1"/>
  <c r="T45" i="19" s="1"/>
  <c r="F57" i="6"/>
  <c r="I45" i="6" s="1"/>
  <c r="O46" i="6" s="1"/>
  <c r="M46" i="19" s="1"/>
  <c r="J56" i="6"/>
  <c r="H56" i="6"/>
  <c r="G56" i="6"/>
  <c r="T89" i="19" l="1"/>
  <c r="R90" i="19"/>
  <c r="Q90" i="19"/>
  <c r="P90" i="19"/>
  <c r="S90" i="19"/>
  <c r="E90" i="19"/>
  <c r="C91" i="19"/>
  <c r="D90" i="19"/>
  <c r="H89" i="19"/>
  <c r="F89" i="19"/>
  <c r="G77" i="19"/>
  <c r="N46" i="6"/>
  <c r="L46" i="19" s="1"/>
  <c r="M46" i="6"/>
  <c r="K46" i="19" s="1"/>
  <c r="Q46" i="19" s="1"/>
  <c r="T46" i="19" s="1"/>
  <c r="L44" i="6"/>
  <c r="J44" i="19" s="1"/>
  <c r="P45" i="6"/>
  <c r="N45" i="19" s="1"/>
  <c r="G57" i="6"/>
  <c r="F58" i="6"/>
  <c r="I46" i="6" s="1"/>
  <c r="O47" i="6" s="1"/>
  <c r="M47" i="19" s="1"/>
  <c r="J57" i="6"/>
  <c r="H57" i="6"/>
  <c r="T90" i="19" l="1"/>
  <c r="S91" i="19"/>
  <c r="R91" i="19"/>
  <c r="Q91" i="19"/>
  <c r="P91" i="19"/>
  <c r="E91" i="19"/>
  <c r="C92" i="19"/>
  <c r="F90" i="19"/>
  <c r="D91" i="19"/>
  <c r="H90" i="19"/>
  <c r="G78" i="19"/>
  <c r="L45" i="6"/>
  <c r="J45" i="19" s="1"/>
  <c r="M47" i="6"/>
  <c r="K47" i="19" s="1"/>
  <c r="Q47" i="19" s="1"/>
  <c r="T47" i="19" s="1"/>
  <c r="N47" i="6"/>
  <c r="L47" i="19" s="1"/>
  <c r="P46" i="6"/>
  <c r="N46" i="19" s="1"/>
  <c r="H58" i="6"/>
  <c r="J58" i="6"/>
  <c r="F59" i="6"/>
  <c r="I47" i="6" s="1"/>
  <c r="O48" i="6" s="1"/>
  <c r="M48" i="19" s="1"/>
  <c r="G58" i="6"/>
  <c r="R92" i="19" l="1"/>
  <c r="Q92" i="19"/>
  <c r="P92" i="19"/>
  <c r="S92" i="19"/>
  <c r="T91" i="19"/>
  <c r="E92" i="19"/>
  <c r="C93" i="19"/>
  <c r="H91" i="19"/>
  <c r="F91" i="19"/>
  <c r="D92" i="19"/>
  <c r="G79" i="19"/>
  <c r="N48" i="6"/>
  <c r="L48" i="19" s="1"/>
  <c r="M48" i="6"/>
  <c r="K48" i="19" s="1"/>
  <c r="L46" i="6"/>
  <c r="J46" i="19" s="1"/>
  <c r="P47" i="6"/>
  <c r="N47" i="19" s="1"/>
  <c r="G59" i="6"/>
  <c r="J59" i="6"/>
  <c r="F60" i="6"/>
  <c r="I48" i="6" s="1"/>
  <c r="O49" i="6" s="1"/>
  <c r="M49" i="19" s="1"/>
  <c r="H59" i="6"/>
  <c r="T92" i="19" l="1"/>
  <c r="S93" i="19"/>
  <c r="R93" i="19"/>
  <c r="Q93" i="19"/>
  <c r="P93" i="19"/>
  <c r="C94" i="19"/>
  <c r="E93" i="19"/>
  <c r="D93" i="19"/>
  <c r="H92" i="19"/>
  <c r="F92" i="19"/>
  <c r="G80" i="19"/>
  <c r="L47" i="6"/>
  <c r="J47" i="19" s="1"/>
  <c r="M49" i="6"/>
  <c r="K49" i="19" s="1"/>
  <c r="N49" i="6"/>
  <c r="L49" i="19" s="1"/>
  <c r="P48" i="6"/>
  <c r="N48" i="19" s="1"/>
  <c r="G60" i="6"/>
  <c r="F61" i="6"/>
  <c r="I49" i="6" s="1"/>
  <c r="O50" i="6" s="1"/>
  <c r="M50" i="19" s="1"/>
  <c r="H60" i="6"/>
  <c r="J60" i="6"/>
  <c r="T93" i="19" l="1"/>
  <c r="R94" i="19"/>
  <c r="Q94" i="19"/>
  <c r="P94" i="19"/>
  <c r="S94" i="19"/>
  <c r="C95" i="19"/>
  <c r="E94" i="19"/>
  <c r="D94" i="19"/>
  <c r="H93" i="19"/>
  <c r="F93" i="19"/>
  <c r="G81" i="19"/>
  <c r="N50" i="6"/>
  <c r="L50" i="19" s="1"/>
  <c r="M50" i="6"/>
  <c r="K50" i="19" s="1"/>
  <c r="L48" i="6"/>
  <c r="J48" i="19" s="1"/>
  <c r="P49" i="6"/>
  <c r="N49" i="19" s="1"/>
  <c r="F62" i="6"/>
  <c r="I50" i="6" s="1"/>
  <c r="O51" i="6" s="1"/>
  <c r="M51" i="19" s="1"/>
  <c r="H61" i="6"/>
  <c r="J61" i="6"/>
  <c r="G61" i="6"/>
  <c r="T94" i="19" l="1"/>
  <c r="S95" i="19"/>
  <c r="R95" i="19"/>
  <c r="Q95" i="19"/>
  <c r="P95" i="19"/>
  <c r="C96" i="19"/>
  <c r="E95" i="19"/>
  <c r="F94" i="19"/>
  <c r="D95" i="19"/>
  <c r="H94" i="19"/>
  <c r="G82" i="19"/>
  <c r="M51" i="6"/>
  <c r="K51" i="19" s="1"/>
  <c r="N51" i="6"/>
  <c r="L51" i="19" s="1"/>
  <c r="L49" i="6"/>
  <c r="J49" i="19" s="1"/>
  <c r="P50" i="6"/>
  <c r="N50" i="19" s="1"/>
  <c r="G62" i="6"/>
  <c r="H62" i="6"/>
  <c r="J62" i="6"/>
  <c r="F63" i="6"/>
  <c r="I51" i="6" s="1"/>
  <c r="O52" i="6" s="1"/>
  <c r="M52" i="19" s="1"/>
  <c r="T95" i="19" l="1"/>
  <c r="R96" i="19"/>
  <c r="Q96" i="19"/>
  <c r="P96" i="19"/>
  <c r="S96" i="19"/>
  <c r="E96" i="19"/>
  <c r="C97" i="19"/>
  <c r="H95" i="19"/>
  <c r="F95" i="19"/>
  <c r="D96" i="19"/>
  <c r="G83" i="19"/>
  <c r="L50" i="6"/>
  <c r="J50" i="19" s="1"/>
  <c r="N52" i="6"/>
  <c r="L52" i="19" s="1"/>
  <c r="M52" i="6"/>
  <c r="K52" i="19" s="1"/>
  <c r="P51" i="6"/>
  <c r="N51" i="19" s="1"/>
  <c r="J63" i="6"/>
  <c r="F64" i="6"/>
  <c r="I52" i="6" s="1"/>
  <c r="O53" i="6" s="1"/>
  <c r="M53" i="19" s="1"/>
  <c r="H63" i="6"/>
  <c r="G63" i="6"/>
  <c r="T96" i="19" l="1"/>
  <c r="S97" i="19"/>
  <c r="R97" i="19"/>
  <c r="Q97" i="19"/>
  <c r="P97" i="19"/>
  <c r="C98" i="19"/>
  <c r="E97" i="19"/>
  <c r="D97" i="19"/>
  <c r="H96" i="19"/>
  <c r="F96" i="19"/>
  <c r="G84" i="19"/>
  <c r="N53" i="6"/>
  <c r="L53" i="19" s="1"/>
  <c r="L51" i="6"/>
  <c r="J51" i="19" s="1"/>
  <c r="M53" i="6"/>
  <c r="K53" i="19" s="1"/>
  <c r="P52" i="6"/>
  <c r="N52" i="19" s="1"/>
  <c r="G64" i="6"/>
  <c r="F65" i="6"/>
  <c r="I53" i="6" s="1"/>
  <c r="O54" i="6" s="1"/>
  <c r="M54" i="19" s="1"/>
  <c r="J64" i="6"/>
  <c r="H64" i="6"/>
  <c r="T97" i="19" l="1"/>
  <c r="R98" i="19"/>
  <c r="Q98" i="19"/>
  <c r="P98" i="19"/>
  <c r="S98" i="19"/>
  <c r="C99" i="19"/>
  <c r="E98" i="19"/>
  <c r="D98" i="19"/>
  <c r="H97" i="19"/>
  <c r="F97" i="19"/>
  <c r="G85" i="19"/>
  <c r="M54" i="6"/>
  <c r="K54" i="19" s="1"/>
  <c r="L52" i="6"/>
  <c r="J52" i="19" s="1"/>
  <c r="N54" i="6"/>
  <c r="L54" i="19" s="1"/>
  <c r="P53" i="6"/>
  <c r="N53" i="19" s="1"/>
  <c r="J65" i="6"/>
  <c r="F66" i="6"/>
  <c r="I54" i="6" s="1"/>
  <c r="O55" i="6" s="1"/>
  <c r="M55" i="19" s="1"/>
  <c r="H65" i="6"/>
  <c r="G65" i="6"/>
  <c r="S99" i="19" l="1"/>
  <c r="R99" i="19"/>
  <c r="Q99" i="19"/>
  <c r="P99" i="19"/>
  <c r="T98" i="19"/>
  <c r="C100" i="19"/>
  <c r="E99" i="19"/>
  <c r="H98" i="19"/>
  <c r="F98" i="19"/>
  <c r="D99" i="19"/>
  <c r="G86" i="19"/>
  <c r="L53" i="6"/>
  <c r="J53" i="19" s="1"/>
  <c r="M55" i="6"/>
  <c r="K55" i="19" s="1"/>
  <c r="N55" i="6"/>
  <c r="L55" i="19" s="1"/>
  <c r="P54" i="6"/>
  <c r="N54" i="19" s="1"/>
  <c r="G66" i="6"/>
  <c r="H66" i="6"/>
  <c r="J66" i="6"/>
  <c r="F67" i="6"/>
  <c r="I55" i="6" s="1"/>
  <c r="O56" i="6" s="1"/>
  <c r="M56" i="19" s="1"/>
  <c r="T99" i="19" l="1"/>
  <c r="R100" i="19"/>
  <c r="Q100" i="19"/>
  <c r="P100" i="19"/>
  <c r="S100" i="19"/>
  <c r="C101" i="19"/>
  <c r="E100" i="19"/>
  <c r="D100" i="19"/>
  <c r="H99" i="19"/>
  <c r="F99" i="19"/>
  <c r="G87" i="19"/>
  <c r="N56" i="6"/>
  <c r="L56" i="19" s="1"/>
  <c r="M56" i="6"/>
  <c r="K56" i="19" s="1"/>
  <c r="L54" i="6"/>
  <c r="J54" i="19" s="1"/>
  <c r="P55" i="6"/>
  <c r="N55" i="19" s="1"/>
  <c r="G67" i="6"/>
  <c r="J67" i="6"/>
  <c r="H67" i="6"/>
  <c r="F68" i="6"/>
  <c r="I56" i="6" s="1"/>
  <c r="O57" i="6" s="1"/>
  <c r="M57" i="19" s="1"/>
  <c r="T100" i="19" l="1"/>
  <c r="S101" i="19"/>
  <c r="R101" i="19"/>
  <c r="Q101" i="19"/>
  <c r="P101" i="19"/>
  <c r="E101" i="19"/>
  <c r="C102" i="19"/>
  <c r="H100" i="19"/>
  <c r="F100" i="19"/>
  <c r="D101" i="19"/>
  <c r="G88" i="19"/>
  <c r="L55" i="6"/>
  <c r="J55" i="19" s="1"/>
  <c r="M57" i="6"/>
  <c r="K57" i="19" s="1"/>
  <c r="N57" i="6"/>
  <c r="L57" i="19" s="1"/>
  <c r="P56" i="6"/>
  <c r="N56" i="19" s="1"/>
  <c r="F69" i="6"/>
  <c r="I57" i="6" s="1"/>
  <c r="O58" i="6" s="1"/>
  <c r="M58" i="19" s="1"/>
  <c r="H68" i="6"/>
  <c r="J68" i="6"/>
  <c r="G68" i="6"/>
  <c r="T101" i="19" l="1"/>
  <c r="R102" i="19"/>
  <c r="Q102" i="19"/>
  <c r="P102" i="19"/>
  <c r="S102" i="19"/>
  <c r="C103" i="19"/>
  <c r="E102" i="19"/>
  <c r="D102" i="19"/>
  <c r="H101" i="19"/>
  <c r="F101" i="19"/>
  <c r="G89" i="19"/>
  <c r="M58" i="6"/>
  <c r="K58" i="19" s="1"/>
  <c r="L56" i="6"/>
  <c r="J56" i="19" s="1"/>
  <c r="N58" i="6"/>
  <c r="L58" i="19" s="1"/>
  <c r="P57" i="6"/>
  <c r="N57" i="19" s="1"/>
  <c r="G69" i="6"/>
  <c r="H69" i="6"/>
  <c r="F70" i="6"/>
  <c r="I58" i="6" s="1"/>
  <c r="O59" i="6" s="1"/>
  <c r="M59" i="19" s="1"/>
  <c r="J69" i="6"/>
  <c r="S103" i="19" l="1"/>
  <c r="R103" i="19"/>
  <c r="Q103" i="19"/>
  <c r="P103" i="19"/>
  <c r="T102" i="19"/>
  <c r="E103" i="19"/>
  <c r="C104" i="19"/>
  <c r="F102" i="19"/>
  <c r="D103" i="19"/>
  <c r="H102" i="19"/>
  <c r="G90" i="19"/>
  <c r="N59" i="6"/>
  <c r="L59" i="19" s="1"/>
  <c r="M59" i="6"/>
  <c r="K59" i="19" s="1"/>
  <c r="L57" i="6"/>
  <c r="J57" i="19" s="1"/>
  <c r="P58" i="6"/>
  <c r="N58" i="19" s="1"/>
  <c r="G70" i="6"/>
  <c r="H70" i="6"/>
  <c r="F71" i="6"/>
  <c r="I59" i="6" s="1"/>
  <c r="O60" i="6" s="1"/>
  <c r="M60" i="19" s="1"/>
  <c r="J70" i="6"/>
  <c r="R104" i="19" l="1"/>
  <c r="Q104" i="19"/>
  <c r="P104" i="19"/>
  <c r="S104" i="19"/>
  <c r="T103" i="19"/>
  <c r="E104" i="19"/>
  <c r="C105" i="19"/>
  <c r="D104" i="19"/>
  <c r="H103" i="19"/>
  <c r="F103" i="19"/>
  <c r="G91" i="19"/>
  <c r="L58" i="6"/>
  <c r="J58" i="19" s="1"/>
  <c r="M60" i="6"/>
  <c r="K60" i="19" s="1"/>
  <c r="N60" i="6"/>
  <c r="L60" i="19" s="1"/>
  <c r="P59" i="6"/>
  <c r="N59" i="19" s="1"/>
  <c r="G71" i="6"/>
  <c r="J71" i="6"/>
  <c r="F72" i="6"/>
  <c r="I60" i="6" s="1"/>
  <c r="O61" i="6" s="1"/>
  <c r="M61" i="19" s="1"/>
  <c r="H71" i="6"/>
  <c r="T104" i="19" l="1"/>
  <c r="S105" i="19"/>
  <c r="R105" i="19"/>
  <c r="Q105" i="19"/>
  <c r="P105" i="19"/>
  <c r="E105" i="19"/>
  <c r="C106" i="19"/>
  <c r="D105" i="19"/>
  <c r="H104" i="19"/>
  <c r="F104" i="19"/>
  <c r="G92" i="19"/>
  <c r="N61" i="6"/>
  <c r="L61" i="19" s="1"/>
  <c r="M61" i="6"/>
  <c r="K61" i="19" s="1"/>
  <c r="L59" i="6"/>
  <c r="J59" i="19" s="1"/>
  <c r="P60" i="6"/>
  <c r="N60" i="19" s="1"/>
  <c r="F73" i="6"/>
  <c r="I61" i="6" s="1"/>
  <c r="O62" i="6" s="1"/>
  <c r="M62" i="19" s="1"/>
  <c r="J72" i="6"/>
  <c r="H72" i="6"/>
  <c r="G72" i="6"/>
  <c r="T105" i="19" l="1"/>
  <c r="R106" i="19"/>
  <c r="Q106" i="19"/>
  <c r="P106" i="19"/>
  <c r="S106" i="19"/>
  <c r="E106" i="19"/>
  <c r="C107" i="19"/>
  <c r="D106" i="19"/>
  <c r="H105" i="19"/>
  <c r="F105" i="19"/>
  <c r="G93" i="19"/>
  <c r="M62" i="6"/>
  <c r="K62" i="19" s="1"/>
  <c r="N62" i="6"/>
  <c r="L62" i="19" s="1"/>
  <c r="L60" i="6"/>
  <c r="J60" i="19" s="1"/>
  <c r="P61" i="6"/>
  <c r="N61" i="19" s="1"/>
  <c r="G73" i="6"/>
  <c r="H73" i="6"/>
  <c r="J73" i="6"/>
  <c r="F74" i="6"/>
  <c r="I62" i="6" s="1"/>
  <c r="O63" i="6" s="1"/>
  <c r="M63" i="19" s="1"/>
  <c r="T106" i="19" l="1"/>
  <c r="S107" i="19"/>
  <c r="R107" i="19"/>
  <c r="Q107" i="19"/>
  <c r="P107" i="19"/>
  <c r="E107" i="19"/>
  <c r="C108" i="19"/>
  <c r="D107" i="19"/>
  <c r="H106" i="19"/>
  <c r="F106" i="19"/>
  <c r="G94" i="19"/>
  <c r="L61" i="6"/>
  <c r="J61" i="19" s="1"/>
  <c r="P62" i="6"/>
  <c r="N62" i="19" s="1"/>
  <c r="N63" i="6"/>
  <c r="L63" i="19" s="1"/>
  <c r="M63" i="6"/>
  <c r="K63" i="19" s="1"/>
  <c r="G74" i="6"/>
  <c r="H74" i="6"/>
  <c r="J74" i="6"/>
  <c r="F75" i="6"/>
  <c r="I63" i="6" s="1"/>
  <c r="O64" i="6" s="1"/>
  <c r="M64" i="19" s="1"/>
  <c r="T107" i="19" l="1"/>
  <c r="R108" i="19"/>
  <c r="Q108" i="19"/>
  <c r="P108" i="19"/>
  <c r="S108" i="19"/>
  <c r="C109" i="19"/>
  <c r="E108" i="19"/>
  <c r="H107" i="19"/>
  <c r="F107" i="19"/>
  <c r="D108" i="19"/>
  <c r="G95" i="19"/>
  <c r="L62" i="6"/>
  <c r="J62" i="19" s="1"/>
  <c r="M64" i="6"/>
  <c r="K64" i="19" s="1"/>
  <c r="N64" i="6"/>
  <c r="L64" i="19" s="1"/>
  <c r="P63" i="6"/>
  <c r="N63" i="19" s="1"/>
  <c r="J75" i="6"/>
  <c r="H75" i="6"/>
  <c r="F76" i="6"/>
  <c r="I64" i="6" s="1"/>
  <c r="O65" i="6" s="1"/>
  <c r="M65" i="19" s="1"/>
  <c r="G75" i="6"/>
  <c r="T108" i="19" l="1"/>
  <c r="S109" i="19"/>
  <c r="R109" i="19"/>
  <c r="Q109" i="19"/>
  <c r="P109" i="19"/>
  <c r="C110" i="19"/>
  <c r="E109" i="19"/>
  <c r="F108" i="19"/>
  <c r="D109" i="19"/>
  <c r="H108" i="19"/>
  <c r="G96" i="19"/>
  <c r="M65" i="6"/>
  <c r="K65" i="19" s="1"/>
  <c r="L63" i="6"/>
  <c r="J63" i="19" s="1"/>
  <c r="N65" i="6"/>
  <c r="L65" i="19" s="1"/>
  <c r="P64" i="6"/>
  <c r="N64" i="19" s="1"/>
  <c r="G76" i="6"/>
  <c r="F77" i="6"/>
  <c r="I65" i="6" s="1"/>
  <c r="O66" i="6" s="1"/>
  <c r="M66" i="19" s="1"/>
  <c r="H76" i="6"/>
  <c r="J76" i="6"/>
  <c r="T109" i="19" l="1"/>
  <c r="R110" i="19"/>
  <c r="Q110" i="19"/>
  <c r="P110" i="19"/>
  <c r="S110" i="19"/>
  <c r="C111" i="19"/>
  <c r="E110" i="19"/>
  <c r="H109" i="19"/>
  <c r="D110" i="19"/>
  <c r="F109" i="19"/>
  <c r="G97" i="19"/>
  <c r="L64" i="6"/>
  <c r="J64" i="19" s="1"/>
  <c r="N66" i="6"/>
  <c r="L66" i="19" s="1"/>
  <c r="M66" i="6"/>
  <c r="K66" i="19" s="1"/>
  <c r="P65" i="6"/>
  <c r="N65" i="19" s="1"/>
  <c r="F78" i="6"/>
  <c r="I66" i="6" s="1"/>
  <c r="O67" i="6" s="1"/>
  <c r="M67" i="19" s="1"/>
  <c r="J77" i="6"/>
  <c r="H77" i="6"/>
  <c r="G77" i="6"/>
  <c r="S111" i="19" l="1"/>
  <c r="R111" i="19"/>
  <c r="Q111" i="19"/>
  <c r="P111" i="19"/>
  <c r="T110" i="19"/>
  <c r="C112" i="19"/>
  <c r="E111" i="19"/>
  <c r="D111" i="19"/>
  <c r="H110" i="19"/>
  <c r="F110" i="19"/>
  <c r="G98" i="19"/>
  <c r="N67" i="6"/>
  <c r="L67" i="19" s="1"/>
  <c r="M67" i="6"/>
  <c r="K67" i="19" s="1"/>
  <c r="L65" i="6"/>
  <c r="J65" i="19" s="1"/>
  <c r="P66" i="6"/>
  <c r="N66" i="19" s="1"/>
  <c r="G78" i="6"/>
  <c r="H78" i="6"/>
  <c r="J78" i="6"/>
  <c r="F79" i="6"/>
  <c r="I67" i="6" s="1"/>
  <c r="O68" i="6" s="1"/>
  <c r="M68" i="19" s="1"/>
  <c r="T111" i="19" l="1"/>
  <c r="R112" i="19"/>
  <c r="Q112" i="19"/>
  <c r="P112" i="19"/>
  <c r="S112" i="19"/>
  <c r="E112" i="19"/>
  <c r="C113" i="19"/>
  <c r="D112" i="19"/>
  <c r="H111" i="19"/>
  <c r="F111" i="19"/>
  <c r="G99" i="19"/>
  <c r="P67" i="6"/>
  <c r="N67" i="19" s="1"/>
  <c r="L66" i="6"/>
  <c r="J66" i="19" s="1"/>
  <c r="M68" i="6"/>
  <c r="K68" i="19" s="1"/>
  <c r="N68" i="6"/>
  <c r="L68" i="19" s="1"/>
  <c r="J79" i="6"/>
  <c r="F80" i="6"/>
  <c r="I68" i="6" s="1"/>
  <c r="O69" i="6" s="1"/>
  <c r="M69" i="19" s="1"/>
  <c r="H79" i="6"/>
  <c r="G79" i="6"/>
  <c r="T112" i="19" l="1"/>
  <c r="S113" i="19"/>
  <c r="R113" i="19"/>
  <c r="Q113" i="19"/>
  <c r="P113" i="19"/>
  <c r="E113" i="19"/>
  <c r="C114" i="19"/>
  <c r="F112" i="19"/>
  <c r="D113" i="19"/>
  <c r="H112" i="19"/>
  <c r="G100" i="19"/>
  <c r="L67" i="6"/>
  <c r="J67" i="19" s="1"/>
  <c r="N69" i="6"/>
  <c r="L69" i="19" s="1"/>
  <c r="M69" i="6"/>
  <c r="K69" i="19" s="1"/>
  <c r="P68" i="6"/>
  <c r="N68" i="19" s="1"/>
  <c r="G80" i="6"/>
  <c r="H80" i="6"/>
  <c r="F81" i="6"/>
  <c r="I69" i="6" s="1"/>
  <c r="O70" i="6" s="1"/>
  <c r="M70" i="19" s="1"/>
  <c r="J80" i="6"/>
  <c r="T113" i="19" l="1"/>
  <c r="R114" i="19"/>
  <c r="Q114" i="19"/>
  <c r="P114" i="19"/>
  <c r="S114" i="19"/>
  <c r="C115" i="19"/>
  <c r="E114" i="19"/>
  <c r="H113" i="19"/>
  <c r="D114" i="19"/>
  <c r="F113" i="19"/>
  <c r="G101" i="19"/>
  <c r="M70" i="6"/>
  <c r="K70" i="19" s="1"/>
  <c r="N70" i="6"/>
  <c r="L70" i="19" s="1"/>
  <c r="L68" i="6"/>
  <c r="J68" i="19" s="1"/>
  <c r="P69" i="6"/>
  <c r="N69" i="19" s="1"/>
  <c r="H81" i="6"/>
  <c r="F82" i="6"/>
  <c r="I70" i="6" s="1"/>
  <c r="O71" i="6" s="1"/>
  <c r="M71" i="19" s="1"/>
  <c r="J81" i="6"/>
  <c r="G81" i="6"/>
  <c r="S115" i="19" l="1"/>
  <c r="R115" i="19"/>
  <c r="Q115" i="19"/>
  <c r="P115" i="19"/>
  <c r="T114" i="19"/>
  <c r="E115" i="19"/>
  <c r="C116" i="19"/>
  <c r="D115" i="19"/>
  <c r="F114" i="19"/>
  <c r="H114" i="19"/>
  <c r="G102" i="19"/>
  <c r="N71" i="6"/>
  <c r="L71" i="19" s="1"/>
  <c r="M71" i="6"/>
  <c r="K71" i="19" s="1"/>
  <c r="L69" i="6"/>
  <c r="J69" i="19" s="1"/>
  <c r="P70" i="6"/>
  <c r="N70" i="19" s="1"/>
  <c r="J82" i="6"/>
  <c r="F83" i="6"/>
  <c r="I71" i="6" s="1"/>
  <c r="O72" i="6" s="1"/>
  <c r="M72" i="19" s="1"/>
  <c r="H82" i="6"/>
  <c r="G82" i="6"/>
  <c r="T115" i="19" l="1"/>
  <c r="R116" i="19"/>
  <c r="Q116" i="19"/>
  <c r="P116" i="19"/>
  <c r="S116" i="19"/>
  <c r="C117" i="19"/>
  <c r="E116" i="19"/>
  <c r="D116" i="19"/>
  <c r="H115" i="19"/>
  <c r="F115" i="19"/>
  <c r="G103" i="19"/>
  <c r="L70" i="6"/>
  <c r="J70" i="19" s="1"/>
  <c r="M72" i="6"/>
  <c r="K72" i="19" s="1"/>
  <c r="N72" i="6"/>
  <c r="L72" i="19" s="1"/>
  <c r="P71" i="6"/>
  <c r="N71" i="19" s="1"/>
  <c r="G83" i="6"/>
  <c r="F84" i="6"/>
  <c r="I72" i="6" s="1"/>
  <c r="O73" i="6" s="1"/>
  <c r="M73" i="19" s="1"/>
  <c r="J83" i="6"/>
  <c r="H83" i="6"/>
  <c r="T116" i="19" l="1"/>
  <c r="S117" i="19"/>
  <c r="R117" i="19"/>
  <c r="Q117" i="19"/>
  <c r="P117" i="19"/>
  <c r="C118" i="19"/>
  <c r="E117" i="19"/>
  <c r="F116" i="19"/>
  <c r="H116" i="19"/>
  <c r="D117" i="19"/>
  <c r="G104" i="19"/>
  <c r="N73" i="6"/>
  <c r="L73" i="19" s="1"/>
  <c r="M73" i="6"/>
  <c r="K73" i="19" s="1"/>
  <c r="L71" i="6"/>
  <c r="J71" i="19" s="1"/>
  <c r="P72" i="6"/>
  <c r="N72" i="19" s="1"/>
  <c r="H84" i="6"/>
  <c r="F85" i="6"/>
  <c r="I73" i="6" s="1"/>
  <c r="O74" i="6" s="1"/>
  <c r="M74" i="19" s="1"/>
  <c r="J84" i="6"/>
  <c r="G84" i="6"/>
  <c r="T117" i="19" l="1"/>
  <c r="R118" i="19"/>
  <c r="Q118" i="19"/>
  <c r="P118" i="19"/>
  <c r="S118" i="19"/>
  <c r="E118" i="19"/>
  <c r="C119" i="19"/>
  <c r="H117" i="19"/>
  <c r="D118" i="19"/>
  <c r="F117" i="19"/>
  <c r="G105" i="19"/>
  <c r="L72" i="6"/>
  <c r="J72" i="19" s="1"/>
  <c r="N74" i="6"/>
  <c r="L74" i="19" s="1"/>
  <c r="M74" i="6"/>
  <c r="K74" i="19" s="1"/>
  <c r="P73" i="6"/>
  <c r="N73" i="19" s="1"/>
  <c r="G85" i="6"/>
  <c r="F86" i="6"/>
  <c r="I74" i="6" s="1"/>
  <c r="O75" i="6" s="1"/>
  <c r="M75" i="19" s="1"/>
  <c r="J85" i="6"/>
  <c r="H85" i="6"/>
  <c r="S119" i="19" l="1"/>
  <c r="R119" i="19"/>
  <c r="Q119" i="19"/>
  <c r="P119" i="19"/>
  <c r="T118" i="19"/>
  <c r="C120" i="19"/>
  <c r="E119" i="19"/>
  <c r="D119" i="19"/>
  <c r="F118" i="19"/>
  <c r="H118" i="19"/>
  <c r="G106" i="19"/>
  <c r="N75" i="6"/>
  <c r="L75" i="19" s="1"/>
  <c r="L73" i="6"/>
  <c r="J73" i="19" s="1"/>
  <c r="M75" i="6"/>
  <c r="K75" i="19" s="1"/>
  <c r="P74" i="6"/>
  <c r="N74" i="19" s="1"/>
  <c r="H86" i="6"/>
  <c r="J86" i="6"/>
  <c r="F87" i="6"/>
  <c r="I75" i="6" s="1"/>
  <c r="O76" i="6" s="1"/>
  <c r="M76" i="19" s="1"/>
  <c r="G86" i="6"/>
  <c r="T119" i="19" l="1"/>
  <c r="R120" i="19"/>
  <c r="Q120" i="19"/>
  <c r="P120" i="19"/>
  <c r="S120" i="19"/>
  <c r="E120" i="19"/>
  <c r="C121" i="19"/>
  <c r="D120" i="19"/>
  <c r="H119" i="19"/>
  <c r="F119" i="19"/>
  <c r="G107" i="19"/>
  <c r="L74" i="6"/>
  <c r="J74" i="19" s="1"/>
  <c r="N76" i="6"/>
  <c r="L76" i="19" s="1"/>
  <c r="M76" i="6"/>
  <c r="K76" i="19" s="1"/>
  <c r="P75" i="6"/>
  <c r="N75" i="19" s="1"/>
  <c r="H87" i="6"/>
  <c r="J87" i="6"/>
  <c r="F88" i="6"/>
  <c r="I76" i="6" s="1"/>
  <c r="O77" i="6" s="1"/>
  <c r="M77" i="19" s="1"/>
  <c r="G87" i="6"/>
  <c r="T120" i="19" l="1"/>
  <c r="S121" i="19"/>
  <c r="R121" i="19"/>
  <c r="Q121" i="19"/>
  <c r="P121" i="19"/>
  <c r="C122" i="19"/>
  <c r="E121" i="19"/>
  <c r="F120" i="19"/>
  <c r="H120" i="19"/>
  <c r="D121" i="19"/>
  <c r="G108" i="19"/>
  <c r="N77" i="6"/>
  <c r="L77" i="19" s="1"/>
  <c r="L75" i="6"/>
  <c r="J75" i="19" s="1"/>
  <c r="M77" i="6"/>
  <c r="K77" i="19" s="1"/>
  <c r="P76" i="6"/>
  <c r="N76" i="19" s="1"/>
  <c r="J88" i="6"/>
  <c r="H88" i="6"/>
  <c r="F89" i="6"/>
  <c r="I77" i="6" s="1"/>
  <c r="O78" i="6" s="1"/>
  <c r="M78" i="19" s="1"/>
  <c r="G88" i="6"/>
  <c r="T121" i="19" l="1"/>
  <c r="R122" i="19"/>
  <c r="Q122" i="19"/>
  <c r="P122" i="19"/>
  <c r="S122" i="19"/>
  <c r="C123" i="19"/>
  <c r="E122" i="19"/>
  <c r="H121" i="19"/>
  <c r="D122" i="19"/>
  <c r="F121" i="19"/>
  <c r="G109" i="19"/>
  <c r="L76" i="6"/>
  <c r="J76" i="19" s="1"/>
  <c r="N78" i="6"/>
  <c r="L78" i="19" s="1"/>
  <c r="M78" i="6"/>
  <c r="K78" i="19" s="1"/>
  <c r="P77" i="6"/>
  <c r="N77" i="19" s="1"/>
  <c r="G89" i="6"/>
  <c r="F90" i="6"/>
  <c r="I78" i="6" s="1"/>
  <c r="O79" i="6" s="1"/>
  <c r="M79" i="19" s="1"/>
  <c r="H89" i="6"/>
  <c r="J89" i="6"/>
  <c r="T122" i="19" l="1"/>
  <c r="S123" i="19"/>
  <c r="R123" i="19"/>
  <c r="Q123" i="19"/>
  <c r="P123" i="19"/>
  <c r="E123" i="19"/>
  <c r="C124" i="19"/>
  <c r="D123" i="19"/>
  <c r="H122" i="19"/>
  <c r="F122" i="19"/>
  <c r="G110" i="19"/>
  <c r="M79" i="6"/>
  <c r="K79" i="19" s="1"/>
  <c r="N79" i="6"/>
  <c r="L79" i="19" s="1"/>
  <c r="L77" i="6"/>
  <c r="J77" i="19" s="1"/>
  <c r="P78" i="6"/>
  <c r="N78" i="19" s="1"/>
  <c r="F91" i="6"/>
  <c r="I79" i="6" s="1"/>
  <c r="O80" i="6" s="1"/>
  <c r="M80" i="19" s="1"/>
  <c r="J90" i="6"/>
  <c r="H90" i="6"/>
  <c r="G90" i="6"/>
  <c r="T123" i="19" l="1"/>
  <c r="R124" i="19"/>
  <c r="Q124" i="19"/>
  <c r="P124" i="19"/>
  <c r="S124" i="19"/>
  <c r="E124" i="19"/>
  <c r="C125" i="19"/>
  <c r="D124" i="19"/>
  <c r="H123" i="19"/>
  <c r="F123" i="19"/>
  <c r="G111" i="19"/>
  <c r="N80" i="6"/>
  <c r="L80" i="19" s="1"/>
  <c r="M80" i="6"/>
  <c r="K80" i="19" s="1"/>
  <c r="L78" i="6"/>
  <c r="J78" i="19" s="1"/>
  <c r="P79" i="6"/>
  <c r="N79" i="19" s="1"/>
  <c r="G91" i="6"/>
  <c r="H91" i="6"/>
  <c r="F92" i="6"/>
  <c r="I80" i="6" s="1"/>
  <c r="O81" i="6" s="1"/>
  <c r="M81" i="19" s="1"/>
  <c r="J91" i="6"/>
  <c r="T124" i="19" l="1"/>
  <c r="S125" i="19"/>
  <c r="R125" i="19"/>
  <c r="Q125" i="19"/>
  <c r="P125" i="19"/>
  <c r="C126" i="19"/>
  <c r="E125" i="19"/>
  <c r="F124" i="19"/>
  <c r="D125" i="19"/>
  <c r="H124" i="19"/>
  <c r="G112" i="19"/>
  <c r="L79" i="6"/>
  <c r="J79" i="19" s="1"/>
  <c r="M81" i="6"/>
  <c r="K81" i="19" s="1"/>
  <c r="N81" i="6"/>
  <c r="L81" i="19" s="1"/>
  <c r="P80" i="6"/>
  <c r="N80" i="19" s="1"/>
  <c r="G92" i="6"/>
  <c r="J92" i="6"/>
  <c r="F93" i="6"/>
  <c r="I81" i="6" s="1"/>
  <c r="O82" i="6" s="1"/>
  <c r="M82" i="19" s="1"/>
  <c r="H92" i="6"/>
  <c r="T125" i="19" l="1"/>
  <c r="R126" i="19"/>
  <c r="Q126" i="19"/>
  <c r="P126" i="19"/>
  <c r="S126" i="19"/>
  <c r="C127" i="19"/>
  <c r="E126" i="19"/>
  <c r="H125" i="19"/>
  <c r="D126" i="19"/>
  <c r="F125" i="19"/>
  <c r="G113" i="19"/>
  <c r="N82" i="6"/>
  <c r="L82" i="19" s="1"/>
  <c r="M82" i="6"/>
  <c r="K82" i="19" s="1"/>
  <c r="L80" i="6"/>
  <c r="J80" i="19" s="1"/>
  <c r="P81" i="6"/>
  <c r="N81" i="19" s="1"/>
  <c r="F94" i="6"/>
  <c r="I82" i="6" s="1"/>
  <c r="O83" i="6" s="1"/>
  <c r="M83" i="19" s="1"/>
  <c r="H93" i="6"/>
  <c r="J93" i="6"/>
  <c r="G93" i="6"/>
  <c r="T126" i="19" l="1"/>
  <c r="S127" i="19"/>
  <c r="R127" i="19"/>
  <c r="Q127" i="19"/>
  <c r="P127" i="19"/>
  <c r="E127" i="19"/>
  <c r="C128" i="19"/>
  <c r="D127" i="19"/>
  <c r="H126" i="19"/>
  <c r="F126" i="19"/>
  <c r="G114" i="19"/>
  <c r="M83" i="6"/>
  <c r="K83" i="19" s="1"/>
  <c r="N83" i="6"/>
  <c r="L83" i="19" s="1"/>
  <c r="L81" i="6"/>
  <c r="J81" i="19" s="1"/>
  <c r="P82" i="6"/>
  <c r="N82" i="19" s="1"/>
  <c r="G94" i="6"/>
  <c r="J94" i="6"/>
  <c r="F95" i="6"/>
  <c r="I83" i="6" s="1"/>
  <c r="O84" i="6" s="1"/>
  <c r="M84" i="19" s="1"/>
  <c r="H94" i="6"/>
  <c r="R128" i="19" l="1"/>
  <c r="Q128" i="19"/>
  <c r="P128" i="19"/>
  <c r="S128" i="19"/>
  <c r="T127" i="19"/>
  <c r="C129" i="19"/>
  <c r="E128" i="19"/>
  <c r="F127" i="19"/>
  <c r="D128" i="19"/>
  <c r="H127" i="19"/>
  <c r="G115" i="19"/>
  <c r="L82" i="6"/>
  <c r="J82" i="19" s="1"/>
  <c r="N84" i="6"/>
  <c r="L84" i="19" s="1"/>
  <c r="M84" i="6"/>
  <c r="K84" i="19" s="1"/>
  <c r="P83" i="6"/>
  <c r="N83" i="19" s="1"/>
  <c r="H95" i="6"/>
  <c r="J95" i="6"/>
  <c r="F96" i="6"/>
  <c r="I84" i="6" s="1"/>
  <c r="O85" i="6" s="1"/>
  <c r="M85" i="19" s="1"/>
  <c r="G95" i="6"/>
  <c r="S129" i="19" l="1"/>
  <c r="R129" i="19"/>
  <c r="Q129" i="19"/>
  <c r="P129" i="19"/>
  <c r="T128" i="19"/>
  <c r="C130" i="19"/>
  <c r="E129" i="19"/>
  <c r="F128" i="19"/>
  <c r="D129" i="19"/>
  <c r="H128" i="19"/>
  <c r="G116" i="19"/>
  <c r="N85" i="6"/>
  <c r="L85" i="19" s="1"/>
  <c r="L83" i="6"/>
  <c r="J83" i="19" s="1"/>
  <c r="M85" i="6"/>
  <c r="K85" i="19" s="1"/>
  <c r="P84" i="6"/>
  <c r="N84" i="19" s="1"/>
  <c r="J96" i="6"/>
  <c r="H96" i="6"/>
  <c r="F97" i="6"/>
  <c r="I85" i="6" s="1"/>
  <c r="O86" i="6" s="1"/>
  <c r="M86" i="19" s="1"/>
  <c r="G96" i="6"/>
  <c r="T129" i="19" l="1"/>
  <c r="R130" i="19"/>
  <c r="Q130" i="19"/>
  <c r="P130" i="19"/>
  <c r="S130" i="19"/>
  <c r="C131" i="19"/>
  <c r="E130" i="19"/>
  <c r="H129" i="19"/>
  <c r="D130" i="19"/>
  <c r="F129" i="19"/>
  <c r="G117" i="19"/>
  <c r="L84" i="6"/>
  <c r="J84" i="19" s="1"/>
  <c r="N86" i="6"/>
  <c r="L86" i="19" s="1"/>
  <c r="M86" i="6"/>
  <c r="K86" i="19" s="1"/>
  <c r="P85" i="6"/>
  <c r="N85" i="19" s="1"/>
  <c r="F98" i="6"/>
  <c r="I86" i="6" s="1"/>
  <c r="O87" i="6" s="1"/>
  <c r="M87" i="19" s="1"/>
  <c r="J97" i="6"/>
  <c r="H97" i="6"/>
  <c r="G97" i="6"/>
  <c r="T130" i="19" l="1"/>
  <c r="S131" i="19"/>
  <c r="R131" i="19"/>
  <c r="Q131" i="19"/>
  <c r="P131" i="19"/>
  <c r="E131" i="19"/>
  <c r="C132" i="19"/>
  <c r="D131" i="19"/>
  <c r="H130" i="19"/>
  <c r="F130" i="19"/>
  <c r="G118" i="19"/>
  <c r="M87" i="6"/>
  <c r="K87" i="19" s="1"/>
  <c r="L85" i="6"/>
  <c r="J85" i="19" s="1"/>
  <c r="N87" i="6"/>
  <c r="L87" i="19" s="1"/>
  <c r="P86" i="6"/>
  <c r="N86" i="19" s="1"/>
  <c r="G98" i="6"/>
  <c r="H98" i="6"/>
  <c r="J98" i="6"/>
  <c r="F99" i="6"/>
  <c r="I87" i="6" s="1"/>
  <c r="O88" i="6" s="1"/>
  <c r="M88" i="19" s="1"/>
  <c r="T131" i="19" l="1"/>
  <c r="S132" i="19"/>
  <c r="R132" i="19"/>
  <c r="Q132" i="19"/>
  <c r="P132" i="19"/>
  <c r="C133" i="19"/>
  <c r="E132" i="19"/>
  <c r="D132" i="19"/>
  <c r="H131" i="19"/>
  <c r="F131" i="19"/>
  <c r="G119" i="19"/>
  <c r="N88" i="6"/>
  <c r="L88" i="19" s="1"/>
  <c r="L86" i="6"/>
  <c r="J86" i="19" s="1"/>
  <c r="M88" i="6"/>
  <c r="K88" i="19" s="1"/>
  <c r="P87" i="6"/>
  <c r="N87" i="19" s="1"/>
  <c r="H99" i="6"/>
  <c r="F100" i="6"/>
  <c r="I88" i="6" s="1"/>
  <c r="O89" i="6" s="1"/>
  <c r="M89" i="19" s="1"/>
  <c r="J99" i="6"/>
  <c r="G99" i="6"/>
  <c r="T132" i="19" l="1"/>
  <c r="Q133" i="19"/>
  <c r="P133" i="19"/>
  <c r="R133" i="19"/>
  <c r="S133" i="19"/>
  <c r="C134" i="19"/>
  <c r="E133" i="19"/>
  <c r="F132" i="19"/>
  <c r="D133" i="19"/>
  <c r="H132" i="19"/>
  <c r="G120" i="19"/>
  <c r="M89" i="6"/>
  <c r="K89" i="19" s="1"/>
  <c r="N89" i="6"/>
  <c r="L89" i="19" s="1"/>
  <c r="L87" i="6"/>
  <c r="J87" i="19" s="1"/>
  <c r="P88" i="6"/>
  <c r="N88" i="19" s="1"/>
  <c r="G100" i="6"/>
  <c r="J100" i="6"/>
  <c r="H100" i="6"/>
  <c r="F101" i="6"/>
  <c r="I89" i="6" s="1"/>
  <c r="O90" i="6" s="1"/>
  <c r="M90" i="19" s="1"/>
  <c r="T133" i="19" l="1"/>
  <c r="S134" i="19"/>
  <c r="R134" i="19"/>
  <c r="Q134" i="19"/>
  <c r="P134" i="19"/>
  <c r="C135" i="19"/>
  <c r="E134" i="19"/>
  <c r="H133" i="19"/>
  <c r="F133" i="19"/>
  <c r="D134" i="19"/>
  <c r="G121" i="19"/>
  <c r="L88" i="6"/>
  <c r="J88" i="19" s="1"/>
  <c r="N90" i="6"/>
  <c r="L90" i="19" s="1"/>
  <c r="M90" i="6"/>
  <c r="K90" i="19" s="1"/>
  <c r="P89" i="6"/>
  <c r="N89" i="19" s="1"/>
  <c r="F102" i="6"/>
  <c r="I90" i="6" s="1"/>
  <c r="O91" i="6" s="1"/>
  <c r="M91" i="19" s="1"/>
  <c r="J101" i="6"/>
  <c r="H101" i="6"/>
  <c r="G101" i="6"/>
  <c r="T134" i="19" l="1"/>
  <c r="Q135" i="19"/>
  <c r="P135" i="19"/>
  <c r="S135" i="19"/>
  <c r="R135" i="19"/>
  <c r="E135" i="19"/>
  <c r="C136" i="19"/>
  <c r="D135" i="19"/>
  <c r="H134" i="19"/>
  <c r="F134" i="19"/>
  <c r="G122" i="19"/>
  <c r="M91" i="6"/>
  <c r="K91" i="19" s="1"/>
  <c r="L89" i="6"/>
  <c r="J89" i="19" s="1"/>
  <c r="N91" i="6"/>
  <c r="L91" i="19" s="1"/>
  <c r="P90" i="6"/>
  <c r="N90" i="19" s="1"/>
  <c r="G102" i="6"/>
  <c r="J102" i="6"/>
  <c r="H102" i="6"/>
  <c r="F103" i="6"/>
  <c r="I91" i="6" s="1"/>
  <c r="O92" i="6" s="1"/>
  <c r="M92" i="19" s="1"/>
  <c r="T135" i="19" l="1"/>
  <c r="S136" i="19"/>
  <c r="R136" i="19"/>
  <c r="Q136" i="19"/>
  <c r="P136" i="19"/>
  <c r="E136" i="19"/>
  <c r="C137" i="19"/>
  <c r="D136" i="19"/>
  <c r="H135" i="19"/>
  <c r="F135" i="19"/>
  <c r="G123" i="19"/>
  <c r="N92" i="6"/>
  <c r="L92" i="19" s="1"/>
  <c r="L90" i="6"/>
  <c r="J90" i="19" s="1"/>
  <c r="M92" i="6"/>
  <c r="K92" i="19" s="1"/>
  <c r="P91" i="6"/>
  <c r="N91" i="19" s="1"/>
  <c r="H103" i="6"/>
  <c r="J103" i="6"/>
  <c r="F104" i="6"/>
  <c r="I92" i="6" s="1"/>
  <c r="O93" i="6" s="1"/>
  <c r="M93" i="19" s="1"/>
  <c r="G103" i="6"/>
  <c r="T136" i="19" l="1"/>
  <c r="Q137" i="19"/>
  <c r="P137" i="19"/>
  <c r="R137" i="19"/>
  <c r="S137" i="19"/>
  <c r="C138" i="19"/>
  <c r="E137" i="19"/>
  <c r="F136" i="19"/>
  <c r="D137" i="19"/>
  <c r="H136" i="19"/>
  <c r="G124" i="19"/>
  <c r="L91" i="6"/>
  <c r="J91" i="19" s="1"/>
  <c r="M93" i="6"/>
  <c r="K93" i="19" s="1"/>
  <c r="N93" i="6"/>
  <c r="L93" i="19" s="1"/>
  <c r="P92" i="6"/>
  <c r="N92" i="19" s="1"/>
  <c r="G104" i="6"/>
  <c r="J104" i="6"/>
  <c r="F105" i="6"/>
  <c r="I93" i="6" s="1"/>
  <c r="O94" i="6" s="1"/>
  <c r="M94" i="19" s="1"/>
  <c r="H104" i="6"/>
  <c r="T137" i="19" l="1"/>
  <c r="S138" i="19"/>
  <c r="R138" i="19"/>
  <c r="Q138" i="19"/>
  <c r="P138" i="19"/>
  <c r="E138" i="19"/>
  <c r="C139" i="19"/>
  <c r="H137" i="19"/>
  <c r="F137" i="19"/>
  <c r="D138" i="19"/>
  <c r="G125" i="19"/>
  <c r="N94" i="6"/>
  <c r="L94" i="19" s="1"/>
  <c r="M94" i="6"/>
  <c r="K94" i="19" s="1"/>
  <c r="L92" i="6"/>
  <c r="J92" i="19" s="1"/>
  <c r="P93" i="6"/>
  <c r="N93" i="19" s="1"/>
  <c r="F106" i="6"/>
  <c r="I94" i="6" s="1"/>
  <c r="O95" i="6" s="1"/>
  <c r="M95" i="19" s="1"/>
  <c r="H105" i="6"/>
  <c r="J105" i="6"/>
  <c r="G105" i="6"/>
  <c r="T138" i="19" l="1"/>
  <c r="Q139" i="19"/>
  <c r="P139" i="19"/>
  <c r="S139" i="19"/>
  <c r="R139" i="19"/>
  <c r="C140" i="19"/>
  <c r="E139" i="19"/>
  <c r="D139" i="19"/>
  <c r="H138" i="19"/>
  <c r="F138" i="19"/>
  <c r="G126" i="19"/>
  <c r="M95" i="6"/>
  <c r="K95" i="19" s="1"/>
  <c r="N95" i="6"/>
  <c r="L95" i="19" s="1"/>
  <c r="L93" i="6"/>
  <c r="J93" i="19" s="1"/>
  <c r="P94" i="6"/>
  <c r="N94" i="19" s="1"/>
  <c r="G106" i="6"/>
  <c r="F107" i="6"/>
  <c r="I95" i="6" s="1"/>
  <c r="O96" i="6" s="1"/>
  <c r="M96" i="19" s="1"/>
  <c r="J106" i="6"/>
  <c r="H106" i="6"/>
  <c r="T139" i="19" l="1"/>
  <c r="S140" i="19"/>
  <c r="R140" i="19"/>
  <c r="Q140" i="19"/>
  <c r="P140" i="19"/>
  <c r="E140" i="19"/>
  <c r="C141" i="19"/>
  <c r="D140" i="19"/>
  <c r="H139" i="19"/>
  <c r="F139" i="19"/>
  <c r="G127" i="19"/>
  <c r="L94" i="6"/>
  <c r="J94" i="19" s="1"/>
  <c r="N96" i="6"/>
  <c r="L96" i="19" s="1"/>
  <c r="M96" i="6"/>
  <c r="K96" i="19" s="1"/>
  <c r="P95" i="6"/>
  <c r="N95" i="19" s="1"/>
  <c r="H107" i="6"/>
  <c r="J107" i="6"/>
  <c r="F108" i="6"/>
  <c r="I96" i="6" s="1"/>
  <c r="O97" i="6" s="1"/>
  <c r="M97" i="19" s="1"/>
  <c r="G107" i="6"/>
  <c r="T140" i="19" l="1"/>
  <c r="Q141" i="19"/>
  <c r="P141" i="19"/>
  <c r="S141" i="19"/>
  <c r="R141" i="19"/>
  <c r="E141" i="19"/>
  <c r="C142" i="19"/>
  <c r="F140" i="19"/>
  <c r="D141" i="19"/>
  <c r="H140" i="19"/>
  <c r="G128" i="19"/>
  <c r="M97" i="6"/>
  <c r="K97" i="19" s="1"/>
  <c r="N97" i="6"/>
  <c r="L97" i="19" s="1"/>
  <c r="L95" i="6"/>
  <c r="J95" i="19" s="1"/>
  <c r="P96" i="6"/>
  <c r="N96" i="19" s="1"/>
  <c r="G108" i="6"/>
  <c r="J108" i="6"/>
  <c r="F109" i="6"/>
  <c r="I97" i="6" s="1"/>
  <c r="O98" i="6" s="1"/>
  <c r="M98" i="19" s="1"/>
  <c r="H108" i="6"/>
  <c r="T141" i="19" l="1"/>
  <c r="S142" i="19"/>
  <c r="R142" i="19"/>
  <c r="Q142" i="19"/>
  <c r="P142" i="19"/>
  <c r="C143" i="19"/>
  <c r="E142" i="19"/>
  <c r="H141" i="19"/>
  <c r="F141" i="19"/>
  <c r="D142" i="19"/>
  <c r="G129" i="19"/>
  <c r="L96" i="6"/>
  <c r="J96" i="19" s="1"/>
  <c r="N98" i="6"/>
  <c r="L98" i="19" s="1"/>
  <c r="M98" i="6"/>
  <c r="K98" i="19" s="1"/>
  <c r="P97" i="6"/>
  <c r="N97" i="19" s="1"/>
  <c r="F110" i="6"/>
  <c r="I98" i="6" s="1"/>
  <c r="O99" i="6" s="1"/>
  <c r="M99" i="19" s="1"/>
  <c r="J109" i="6"/>
  <c r="H109" i="6"/>
  <c r="G109" i="6"/>
  <c r="T142" i="19" l="1"/>
  <c r="Q143" i="19"/>
  <c r="P143" i="19"/>
  <c r="S143" i="19"/>
  <c r="R143" i="19"/>
  <c r="E143" i="19"/>
  <c r="C144" i="19"/>
  <c r="D143" i="19"/>
  <c r="H142" i="19"/>
  <c r="F142" i="19"/>
  <c r="G130" i="19"/>
  <c r="M99" i="6"/>
  <c r="K99" i="19" s="1"/>
  <c r="N99" i="6"/>
  <c r="L99" i="19" s="1"/>
  <c r="L97" i="6"/>
  <c r="J97" i="19" s="1"/>
  <c r="P98" i="6"/>
  <c r="N98" i="19" s="1"/>
  <c r="G110" i="6"/>
  <c r="J110" i="6"/>
  <c r="H110" i="6"/>
  <c r="F111" i="6"/>
  <c r="I99" i="6" s="1"/>
  <c r="O100" i="6" s="1"/>
  <c r="M100" i="19" s="1"/>
  <c r="T143" i="19" l="1"/>
  <c r="S144" i="19"/>
  <c r="R144" i="19"/>
  <c r="Q144" i="19"/>
  <c r="P144" i="19"/>
  <c r="E144" i="19"/>
  <c r="C145" i="19"/>
  <c r="D144" i="19"/>
  <c r="H143" i="19"/>
  <c r="F143" i="19"/>
  <c r="G131" i="19"/>
  <c r="L98" i="6"/>
  <c r="J98" i="19" s="1"/>
  <c r="N100" i="6"/>
  <c r="L100" i="19" s="1"/>
  <c r="M100" i="6"/>
  <c r="K100" i="19" s="1"/>
  <c r="P99" i="6"/>
  <c r="N99" i="19" s="1"/>
  <c r="H111" i="6"/>
  <c r="F112" i="6"/>
  <c r="I100" i="6" s="1"/>
  <c r="O101" i="6" s="1"/>
  <c r="M101" i="19" s="1"/>
  <c r="J111" i="6"/>
  <c r="G111" i="6"/>
  <c r="T144" i="19" l="1"/>
  <c r="Q145" i="19"/>
  <c r="P145" i="19"/>
  <c r="S145" i="19"/>
  <c r="R145" i="19"/>
  <c r="C146" i="19"/>
  <c r="E145" i="19"/>
  <c r="F144" i="19"/>
  <c r="D145" i="19"/>
  <c r="H144" i="19"/>
  <c r="G132" i="19"/>
  <c r="M101" i="6"/>
  <c r="K101" i="19" s="1"/>
  <c r="L99" i="6"/>
  <c r="J99" i="19" s="1"/>
  <c r="N101" i="6"/>
  <c r="L101" i="19" s="1"/>
  <c r="P100" i="6"/>
  <c r="N100" i="19" s="1"/>
  <c r="G112" i="6"/>
  <c r="J112" i="6"/>
  <c r="H112" i="6"/>
  <c r="F113" i="6"/>
  <c r="I101" i="6" s="1"/>
  <c r="O102" i="6" s="1"/>
  <c r="M102" i="19" s="1"/>
  <c r="T145" i="19" l="1"/>
  <c r="S146" i="19"/>
  <c r="R146" i="19"/>
  <c r="Q146" i="19"/>
  <c r="P146" i="19"/>
  <c r="C147" i="19"/>
  <c r="E146" i="19"/>
  <c r="H145" i="19"/>
  <c r="F145" i="19"/>
  <c r="D146" i="19"/>
  <c r="G133" i="19"/>
  <c r="N102" i="6"/>
  <c r="L102" i="19" s="1"/>
  <c r="L100" i="6"/>
  <c r="J100" i="19" s="1"/>
  <c r="M102" i="6"/>
  <c r="K102" i="19" s="1"/>
  <c r="P101" i="6"/>
  <c r="N101" i="19" s="1"/>
  <c r="F114" i="6"/>
  <c r="I102" i="6" s="1"/>
  <c r="O103" i="6" s="1"/>
  <c r="M103" i="19" s="1"/>
  <c r="H113" i="6"/>
  <c r="J113" i="6"/>
  <c r="G113" i="6"/>
  <c r="T146" i="19" l="1"/>
  <c r="Q147" i="19"/>
  <c r="P147" i="19"/>
  <c r="S147" i="19"/>
  <c r="R147" i="19"/>
  <c r="C148" i="19"/>
  <c r="E147" i="19"/>
  <c r="D147" i="19"/>
  <c r="H146" i="19"/>
  <c r="F146" i="19"/>
  <c r="G134" i="19"/>
  <c r="M103" i="6"/>
  <c r="K103" i="19" s="1"/>
  <c r="N103" i="6"/>
  <c r="L103" i="19" s="1"/>
  <c r="L101" i="6"/>
  <c r="J101" i="19" s="1"/>
  <c r="P102" i="6"/>
  <c r="N102" i="19" s="1"/>
  <c r="G114" i="6"/>
  <c r="H114" i="6"/>
  <c r="J114" i="6"/>
  <c r="F115" i="6"/>
  <c r="I103" i="6" s="1"/>
  <c r="O104" i="6" s="1"/>
  <c r="M104" i="19" s="1"/>
  <c r="T147" i="19" l="1"/>
  <c r="S148" i="19"/>
  <c r="R148" i="19"/>
  <c r="Q148" i="19"/>
  <c r="P148" i="19"/>
  <c r="E148" i="19"/>
  <c r="C149" i="19"/>
  <c r="D148" i="19"/>
  <c r="H147" i="19"/>
  <c r="F147" i="19"/>
  <c r="G135" i="19"/>
  <c r="L102" i="6"/>
  <c r="J102" i="19" s="1"/>
  <c r="N104" i="6"/>
  <c r="L104" i="19" s="1"/>
  <c r="M104" i="6"/>
  <c r="K104" i="19" s="1"/>
  <c r="P103" i="6"/>
  <c r="N103" i="19" s="1"/>
  <c r="G115" i="6"/>
  <c r="H115" i="6"/>
  <c r="F116" i="6"/>
  <c r="I104" i="6" s="1"/>
  <c r="O105" i="6" s="1"/>
  <c r="M105" i="19" s="1"/>
  <c r="J115" i="6"/>
  <c r="T148" i="19" l="1"/>
  <c r="Q149" i="19"/>
  <c r="P149" i="19"/>
  <c r="S149" i="19"/>
  <c r="R149" i="19"/>
  <c r="C150" i="19"/>
  <c r="E149" i="19"/>
  <c r="F148" i="19"/>
  <c r="D149" i="19"/>
  <c r="H148" i="19"/>
  <c r="G136" i="19"/>
  <c r="M105" i="6"/>
  <c r="K105" i="19" s="1"/>
  <c r="N105" i="6"/>
  <c r="L105" i="19" s="1"/>
  <c r="L103" i="6"/>
  <c r="J103" i="19" s="1"/>
  <c r="P104" i="6"/>
  <c r="N104" i="19" s="1"/>
  <c r="J116" i="6"/>
  <c r="F117" i="6"/>
  <c r="I105" i="6" s="1"/>
  <c r="O106" i="6" s="1"/>
  <c r="M106" i="19" s="1"/>
  <c r="H116" i="6"/>
  <c r="G116" i="6"/>
  <c r="T149" i="19" l="1"/>
  <c r="S150" i="19"/>
  <c r="R150" i="19"/>
  <c r="Q150" i="19"/>
  <c r="P150" i="19"/>
  <c r="C151" i="19"/>
  <c r="E150" i="19"/>
  <c r="H149" i="19"/>
  <c r="F149" i="19"/>
  <c r="D150" i="19"/>
  <c r="G137" i="19"/>
  <c r="N106" i="6"/>
  <c r="L106" i="19" s="1"/>
  <c r="L104" i="6"/>
  <c r="J104" i="19" s="1"/>
  <c r="M106" i="6"/>
  <c r="K106" i="19" s="1"/>
  <c r="P105" i="6"/>
  <c r="N105" i="19" s="1"/>
  <c r="F118" i="6"/>
  <c r="I106" i="6" s="1"/>
  <c r="O107" i="6" s="1"/>
  <c r="M107" i="19" s="1"/>
  <c r="J117" i="6"/>
  <c r="H117" i="6"/>
  <c r="G117" i="6"/>
  <c r="T150" i="19" l="1"/>
  <c r="Q151" i="19"/>
  <c r="P151" i="19"/>
  <c r="S151" i="19"/>
  <c r="R151" i="19"/>
  <c r="E151" i="19"/>
  <c r="C152" i="19"/>
  <c r="D151" i="19"/>
  <c r="H150" i="19"/>
  <c r="F150" i="19"/>
  <c r="G138" i="19"/>
  <c r="L105" i="6"/>
  <c r="J105" i="19" s="1"/>
  <c r="N107" i="6"/>
  <c r="L107" i="19" s="1"/>
  <c r="M107" i="6"/>
  <c r="K107" i="19" s="1"/>
  <c r="P106" i="6"/>
  <c r="N106" i="19" s="1"/>
  <c r="G118" i="6"/>
  <c r="F119" i="6"/>
  <c r="I107" i="6" s="1"/>
  <c r="O108" i="6" s="1"/>
  <c r="M108" i="19" s="1"/>
  <c r="J118" i="6"/>
  <c r="H118" i="6"/>
  <c r="T151" i="19" l="1"/>
  <c r="S152" i="19"/>
  <c r="R152" i="19"/>
  <c r="Q152" i="19"/>
  <c r="P152" i="19"/>
  <c r="E152" i="19"/>
  <c r="C153" i="19"/>
  <c r="D152" i="19"/>
  <c r="H151" i="19"/>
  <c r="F151" i="19"/>
  <c r="G139" i="19"/>
  <c r="M108" i="6"/>
  <c r="K108" i="19" s="1"/>
  <c r="N108" i="6"/>
  <c r="L108" i="19" s="1"/>
  <c r="L106" i="6"/>
  <c r="J106" i="19" s="1"/>
  <c r="P107" i="6"/>
  <c r="N107" i="19" s="1"/>
  <c r="H119" i="6"/>
  <c r="J119" i="6"/>
  <c r="F120" i="6"/>
  <c r="I108" i="6" s="1"/>
  <c r="O109" i="6" s="1"/>
  <c r="M109" i="19" s="1"/>
  <c r="G119" i="6"/>
  <c r="T152" i="19" l="1"/>
  <c r="Q153" i="19"/>
  <c r="P153" i="19"/>
  <c r="R153" i="19"/>
  <c r="S153" i="19"/>
  <c r="E153" i="19"/>
  <c r="C154" i="19"/>
  <c r="F152" i="19"/>
  <c r="D153" i="19"/>
  <c r="H152" i="19"/>
  <c r="G140" i="19"/>
  <c r="L107" i="6"/>
  <c r="J107" i="19" s="1"/>
  <c r="M109" i="6"/>
  <c r="K109" i="19" s="1"/>
  <c r="N109" i="6"/>
  <c r="L109" i="19" s="1"/>
  <c r="P108" i="6"/>
  <c r="N108" i="19" s="1"/>
  <c r="J120" i="6"/>
  <c r="H120" i="6"/>
  <c r="F121" i="6"/>
  <c r="I109" i="6" s="1"/>
  <c r="O110" i="6" s="1"/>
  <c r="M110" i="19" s="1"/>
  <c r="G120" i="6"/>
  <c r="T153" i="19" l="1"/>
  <c r="S154" i="19"/>
  <c r="R154" i="19"/>
  <c r="Q154" i="19"/>
  <c r="P154" i="19"/>
  <c r="C155" i="19"/>
  <c r="E154" i="19"/>
  <c r="D154" i="19"/>
  <c r="H153" i="19"/>
  <c r="F153" i="19"/>
  <c r="G141" i="19"/>
  <c r="N110" i="6"/>
  <c r="L110" i="19" s="1"/>
  <c r="M110" i="6"/>
  <c r="K110" i="19" s="1"/>
  <c r="L108" i="6"/>
  <c r="J108" i="19" s="1"/>
  <c r="P109" i="6"/>
  <c r="N109" i="19" s="1"/>
  <c r="F122" i="6"/>
  <c r="I110" i="6" s="1"/>
  <c r="O111" i="6" s="1"/>
  <c r="M111" i="19" s="1"/>
  <c r="H121" i="6"/>
  <c r="J121" i="6"/>
  <c r="G121" i="6"/>
  <c r="T154" i="19" l="1"/>
  <c r="Q155" i="19"/>
  <c r="P155" i="19"/>
  <c r="S155" i="19"/>
  <c r="R155" i="19"/>
  <c r="E155" i="19"/>
  <c r="C156" i="19"/>
  <c r="D155" i="19"/>
  <c r="H154" i="19"/>
  <c r="F154" i="19"/>
  <c r="G142" i="19"/>
  <c r="L109" i="6"/>
  <c r="J109" i="19" s="1"/>
  <c r="N111" i="6"/>
  <c r="L111" i="19" s="1"/>
  <c r="M111" i="6"/>
  <c r="K111" i="19" s="1"/>
  <c r="P110" i="6"/>
  <c r="N110" i="19" s="1"/>
  <c r="G122" i="6"/>
  <c r="F123" i="6"/>
  <c r="I111" i="6" s="1"/>
  <c r="O112" i="6" s="1"/>
  <c r="M112" i="19" s="1"/>
  <c r="J122" i="6"/>
  <c r="H122" i="6"/>
  <c r="T155" i="19" l="1"/>
  <c r="S156" i="19"/>
  <c r="R156" i="19"/>
  <c r="Q156" i="19"/>
  <c r="P156" i="19"/>
  <c r="C157" i="19"/>
  <c r="E156" i="19"/>
  <c r="F155" i="19"/>
  <c r="D156" i="19"/>
  <c r="H155" i="19"/>
  <c r="G143" i="19"/>
  <c r="M112" i="6"/>
  <c r="K112" i="19" s="1"/>
  <c r="N112" i="6"/>
  <c r="L112" i="19" s="1"/>
  <c r="L110" i="6"/>
  <c r="J110" i="19" s="1"/>
  <c r="P111" i="6"/>
  <c r="N111" i="19" s="1"/>
  <c r="H123" i="6"/>
  <c r="F124" i="6"/>
  <c r="I112" i="6" s="1"/>
  <c r="O113" i="6" s="1"/>
  <c r="M113" i="19" s="1"/>
  <c r="J123" i="6"/>
  <c r="G123" i="6"/>
  <c r="T156" i="19" l="1"/>
  <c r="Q157" i="19"/>
  <c r="P157" i="19"/>
  <c r="S157" i="19"/>
  <c r="R157" i="19"/>
  <c r="C158" i="19"/>
  <c r="E157" i="19"/>
  <c r="H156" i="19"/>
  <c r="D157" i="19"/>
  <c r="F156" i="19"/>
  <c r="G144" i="19"/>
  <c r="L111" i="6"/>
  <c r="J111" i="19" s="1"/>
  <c r="M113" i="6"/>
  <c r="K113" i="19" s="1"/>
  <c r="N113" i="6"/>
  <c r="L113" i="19" s="1"/>
  <c r="P112" i="6"/>
  <c r="N112" i="19" s="1"/>
  <c r="G124" i="6"/>
  <c r="J124" i="6"/>
  <c r="F125" i="6"/>
  <c r="I113" i="6" s="1"/>
  <c r="O114" i="6" s="1"/>
  <c r="M114" i="19" s="1"/>
  <c r="H124" i="6"/>
  <c r="T157" i="19" l="1"/>
  <c r="S158" i="19"/>
  <c r="R158" i="19"/>
  <c r="Q158" i="19"/>
  <c r="P158" i="19"/>
  <c r="E158" i="19"/>
  <c r="C159" i="19"/>
  <c r="D158" i="19"/>
  <c r="H157" i="19"/>
  <c r="F157" i="19"/>
  <c r="G145" i="19"/>
  <c r="M114" i="6"/>
  <c r="K114" i="19" s="1"/>
  <c r="N114" i="6"/>
  <c r="L114" i="19" s="1"/>
  <c r="L112" i="6"/>
  <c r="J112" i="19" s="1"/>
  <c r="P113" i="6"/>
  <c r="N113" i="19" s="1"/>
  <c r="F126" i="6"/>
  <c r="I114" i="6" s="1"/>
  <c r="O115" i="6" s="1"/>
  <c r="M115" i="19" s="1"/>
  <c r="H125" i="6"/>
  <c r="J125" i="6"/>
  <c r="G125" i="6"/>
  <c r="T158" i="19" l="1"/>
  <c r="Q159" i="19"/>
  <c r="P159" i="19"/>
  <c r="R159" i="19"/>
  <c r="S159" i="19"/>
  <c r="E159" i="19"/>
  <c r="C160" i="19"/>
  <c r="F158" i="19"/>
  <c r="D159" i="19"/>
  <c r="H158" i="19"/>
  <c r="G146" i="19"/>
  <c r="N115" i="6"/>
  <c r="L115" i="19" s="1"/>
  <c r="L113" i="6"/>
  <c r="J113" i="19" s="1"/>
  <c r="M115" i="6"/>
  <c r="K115" i="19" s="1"/>
  <c r="P114" i="6"/>
  <c r="N114" i="19" s="1"/>
  <c r="G126" i="6"/>
  <c r="J126" i="6"/>
  <c r="H126" i="6"/>
  <c r="F127" i="6"/>
  <c r="I115" i="6" s="1"/>
  <c r="O116" i="6" s="1"/>
  <c r="M116" i="19" s="1"/>
  <c r="T159" i="19" l="1"/>
  <c r="S160" i="19"/>
  <c r="R160" i="19"/>
  <c r="Q160" i="19"/>
  <c r="P160" i="19"/>
  <c r="C161" i="19"/>
  <c r="E160" i="19"/>
  <c r="F159" i="19"/>
  <c r="D160" i="19"/>
  <c r="H159" i="19"/>
  <c r="G147" i="19"/>
  <c r="M116" i="6"/>
  <c r="K116" i="19" s="1"/>
  <c r="L114" i="6"/>
  <c r="J114" i="19" s="1"/>
  <c r="N116" i="6"/>
  <c r="L116" i="19" s="1"/>
  <c r="P115" i="6"/>
  <c r="N115" i="19" s="1"/>
  <c r="G127" i="6"/>
  <c r="H127" i="6"/>
  <c r="J127" i="6"/>
  <c r="F128" i="6"/>
  <c r="I116" i="6" s="1"/>
  <c r="O117" i="6" s="1"/>
  <c r="M117" i="19" s="1"/>
  <c r="T160" i="19" l="1"/>
  <c r="Q161" i="19"/>
  <c r="P161" i="19"/>
  <c r="S161" i="19"/>
  <c r="R161" i="19"/>
  <c r="E161" i="19"/>
  <c r="C162" i="19"/>
  <c r="H160" i="19"/>
  <c r="D161" i="19"/>
  <c r="F160" i="19"/>
  <c r="G148" i="19"/>
  <c r="N117" i="6"/>
  <c r="L117" i="19" s="1"/>
  <c r="M117" i="6"/>
  <c r="K117" i="19" s="1"/>
  <c r="L115" i="6"/>
  <c r="J115" i="19" s="1"/>
  <c r="P116" i="6"/>
  <c r="N116" i="19" s="1"/>
  <c r="J128" i="6"/>
  <c r="H128" i="6"/>
  <c r="F129" i="6"/>
  <c r="I117" i="6" s="1"/>
  <c r="O118" i="6" s="1"/>
  <c r="M118" i="19" s="1"/>
  <c r="G128" i="6"/>
  <c r="T161" i="19" l="1"/>
  <c r="S162" i="19"/>
  <c r="R162" i="19"/>
  <c r="Q162" i="19"/>
  <c r="P162" i="19"/>
  <c r="E162" i="19"/>
  <c r="C163" i="19"/>
  <c r="D162" i="19"/>
  <c r="F161" i="19"/>
  <c r="H161" i="19"/>
  <c r="G149" i="19"/>
  <c r="L116" i="6"/>
  <c r="J116" i="19" s="1"/>
  <c r="M118" i="6"/>
  <c r="K118" i="19" s="1"/>
  <c r="N118" i="6"/>
  <c r="L118" i="19" s="1"/>
  <c r="P117" i="6"/>
  <c r="N117" i="19" s="1"/>
  <c r="G129" i="6"/>
  <c r="F130" i="6"/>
  <c r="I118" i="6" s="1"/>
  <c r="O119" i="6" s="1"/>
  <c r="M119" i="19" s="1"/>
  <c r="H129" i="6"/>
  <c r="J129" i="6"/>
  <c r="T162" i="19" l="1"/>
  <c r="Q163" i="19"/>
  <c r="P163" i="19"/>
  <c r="S163" i="19"/>
  <c r="R163" i="19"/>
  <c r="C164" i="19"/>
  <c r="E163" i="19"/>
  <c r="D163" i="19"/>
  <c r="H162" i="19"/>
  <c r="F162" i="19"/>
  <c r="G150" i="19"/>
  <c r="N119" i="6"/>
  <c r="L119" i="19" s="1"/>
  <c r="M119" i="6"/>
  <c r="K119" i="19" s="1"/>
  <c r="L117" i="6"/>
  <c r="J117" i="19" s="1"/>
  <c r="P118" i="6"/>
  <c r="N118" i="19" s="1"/>
  <c r="H130" i="6"/>
  <c r="F131" i="6"/>
  <c r="I119" i="6" s="1"/>
  <c r="O120" i="6" s="1"/>
  <c r="M120" i="19" s="1"/>
  <c r="J130" i="6"/>
  <c r="G130" i="6"/>
  <c r="T163" i="19" l="1"/>
  <c r="S164" i="19"/>
  <c r="R164" i="19"/>
  <c r="Q164" i="19"/>
  <c r="P164" i="19"/>
  <c r="E164" i="19"/>
  <c r="C165" i="19"/>
  <c r="F163" i="19"/>
  <c r="D164" i="19"/>
  <c r="H163" i="19"/>
  <c r="G151" i="19"/>
  <c r="L118" i="6"/>
  <c r="J118" i="19" s="1"/>
  <c r="M120" i="6"/>
  <c r="K120" i="19" s="1"/>
  <c r="N120" i="6"/>
  <c r="L120" i="19" s="1"/>
  <c r="P119" i="6"/>
  <c r="N119" i="19" s="1"/>
  <c r="H131" i="6"/>
  <c r="F132" i="6"/>
  <c r="I120" i="6" s="1"/>
  <c r="O121" i="6" s="1"/>
  <c r="M121" i="19" s="1"/>
  <c r="J131" i="6"/>
  <c r="G131" i="6"/>
  <c r="T164" i="19" l="1"/>
  <c r="Q165" i="19"/>
  <c r="P165" i="19"/>
  <c r="S165" i="19"/>
  <c r="R165" i="19"/>
  <c r="C166" i="19"/>
  <c r="E165" i="19"/>
  <c r="H164" i="19"/>
  <c r="F164" i="19"/>
  <c r="D165" i="19"/>
  <c r="G152" i="19"/>
  <c r="M121" i="6"/>
  <c r="K121" i="19" s="1"/>
  <c r="L119" i="6"/>
  <c r="J119" i="19" s="1"/>
  <c r="N121" i="6"/>
  <c r="L121" i="19" s="1"/>
  <c r="P120" i="6"/>
  <c r="N120" i="19" s="1"/>
  <c r="G132" i="6"/>
  <c r="J132" i="6"/>
  <c r="H132" i="6"/>
  <c r="F133" i="6"/>
  <c r="I121" i="6" s="1"/>
  <c r="O122" i="6" s="1"/>
  <c r="M122" i="19" s="1"/>
  <c r="T165" i="19" l="1"/>
  <c r="S166" i="19"/>
  <c r="R166" i="19"/>
  <c r="Q166" i="19"/>
  <c r="P166" i="19"/>
  <c r="E166" i="19"/>
  <c r="C167" i="19"/>
  <c r="D166" i="19"/>
  <c r="H165" i="19"/>
  <c r="F165" i="19"/>
  <c r="G153" i="19"/>
  <c r="N122" i="6"/>
  <c r="L122" i="19" s="1"/>
  <c r="L120" i="6"/>
  <c r="J120" i="19" s="1"/>
  <c r="M122" i="6"/>
  <c r="K122" i="19" s="1"/>
  <c r="P121" i="6"/>
  <c r="N121" i="19" s="1"/>
  <c r="F134" i="6"/>
  <c r="I122" i="6" s="1"/>
  <c r="O123" i="6" s="1"/>
  <c r="M123" i="19" s="1"/>
  <c r="J133" i="6"/>
  <c r="H133" i="6"/>
  <c r="G133" i="6"/>
  <c r="T166" i="19" l="1"/>
  <c r="Q167" i="19"/>
  <c r="P167" i="19"/>
  <c r="S167" i="19"/>
  <c r="R167" i="19"/>
  <c r="C168" i="19"/>
  <c r="E167" i="19"/>
  <c r="D167" i="19"/>
  <c r="H166" i="19"/>
  <c r="F166" i="19"/>
  <c r="G154" i="19"/>
  <c r="L121" i="6"/>
  <c r="J121" i="19" s="1"/>
  <c r="N123" i="6"/>
  <c r="L123" i="19" s="1"/>
  <c r="M123" i="6"/>
  <c r="K123" i="19" s="1"/>
  <c r="P122" i="6"/>
  <c r="N122" i="19" s="1"/>
  <c r="G134" i="6"/>
  <c r="F135" i="6"/>
  <c r="I123" i="6" s="1"/>
  <c r="O124" i="6" s="1"/>
  <c r="M124" i="19" s="1"/>
  <c r="H134" i="6"/>
  <c r="J134" i="6"/>
  <c r="T167" i="19" l="1"/>
  <c r="S168" i="19"/>
  <c r="R168" i="19"/>
  <c r="Q168" i="19"/>
  <c r="P168" i="19"/>
  <c r="C169" i="19"/>
  <c r="E168" i="19"/>
  <c r="F167" i="19"/>
  <c r="H167" i="19"/>
  <c r="D168" i="19"/>
  <c r="G155" i="19"/>
  <c r="N124" i="6"/>
  <c r="L124" i="19" s="1"/>
  <c r="L122" i="6"/>
  <c r="J122" i="19" s="1"/>
  <c r="M124" i="6"/>
  <c r="K124" i="19" s="1"/>
  <c r="P123" i="6"/>
  <c r="N123" i="19" s="1"/>
  <c r="H135" i="6"/>
  <c r="J135" i="6"/>
  <c r="F136" i="6"/>
  <c r="I124" i="6" s="1"/>
  <c r="O125" i="6" s="1"/>
  <c r="M125" i="19" s="1"/>
  <c r="G135" i="6"/>
  <c r="T168" i="19" l="1"/>
  <c r="Q169" i="19"/>
  <c r="P169" i="19"/>
  <c r="R169" i="19"/>
  <c r="S169" i="19"/>
  <c r="C170" i="19"/>
  <c r="E169" i="19"/>
  <c r="H168" i="19"/>
  <c r="D169" i="19"/>
  <c r="F168" i="19"/>
  <c r="G156" i="19"/>
  <c r="M125" i="6"/>
  <c r="K125" i="19" s="1"/>
  <c r="L123" i="6"/>
  <c r="J123" i="19" s="1"/>
  <c r="N125" i="6"/>
  <c r="L125" i="19" s="1"/>
  <c r="P124" i="6"/>
  <c r="N124" i="19" s="1"/>
  <c r="G136" i="6"/>
  <c r="J136" i="6"/>
  <c r="F137" i="6"/>
  <c r="I125" i="6" s="1"/>
  <c r="O126" i="6" s="1"/>
  <c r="M126" i="19" s="1"/>
  <c r="H136" i="6"/>
  <c r="T169" i="19" l="1"/>
  <c r="S170" i="19"/>
  <c r="R170" i="19"/>
  <c r="Q170" i="19"/>
  <c r="P170" i="19"/>
  <c r="C171" i="19"/>
  <c r="E170" i="19"/>
  <c r="D170" i="19"/>
  <c r="H169" i="19"/>
  <c r="F169" i="19"/>
  <c r="G157" i="19"/>
  <c r="N126" i="6"/>
  <c r="L126" i="19" s="1"/>
  <c r="L124" i="6"/>
  <c r="J124" i="19" s="1"/>
  <c r="M126" i="6"/>
  <c r="K126" i="19" s="1"/>
  <c r="P125" i="6"/>
  <c r="N125" i="19" s="1"/>
  <c r="F138" i="6"/>
  <c r="I126" i="6" s="1"/>
  <c r="O127" i="6" s="1"/>
  <c r="M127" i="19" s="1"/>
  <c r="H137" i="6"/>
  <c r="J137" i="6"/>
  <c r="G137" i="6"/>
  <c r="T170" i="19" l="1"/>
  <c r="Q171" i="19"/>
  <c r="P171" i="19"/>
  <c r="S171" i="19"/>
  <c r="R171" i="19"/>
  <c r="E171" i="19"/>
  <c r="C172" i="19"/>
  <c r="H170" i="19"/>
  <c r="F170" i="19"/>
  <c r="D171" i="19"/>
  <c r="G158" i="19"/>
  <c r="L125" i="6"/>
  <c r="J125" i="19" s="1"/>
  <c r="N127" i="6"/>
  <c r="L127" i="19" s="1"/>
  <c r="M127" i="6"/>
  <c r="K127" i="19" s="1"/>
  <c r="P126" i="6"/>
  <c r="N126" i="19" s="1"/>
  <c r="G138" i="6"/>
  <c r="F139" i="6"/>
  <c r="I127" i="6" s="1"/>
  <c r="O128" i="6" s="1"/>
  <c r="M128" i="19" s="1"/>
  <c r="H138" i="6"/>
  <c r="J138" i="6"/>
  <c r="T171" i="19" l="1"/>
  <c r="S172" i="19"/>
  <c r="R172" i="19"/>
  <c r="Q172" i="19"/>
  <c r="P172" i="19"/>
  <c r="E172" i="19"/>
  <c r="C173" i="19"/>
  <c r="F171" i="19"/>
  <c r="D172" i="19"/>
  <c r="H171" i="19"/>
  <c r="G159" i="19"/>
  <c r="L126" i="6"/>
  <c r="J126" i="19" s="1"/>
  <c r="M128" i="6"/>
  <c r="K128" i="19" s="1"/>
  <c r="N128" i="6"/>
  <c r="L128" i="19" s="1"/>
  <c r="P127" i="6"/>
  <c r="N127" i="19" s="1"/>
  <c r="H139" i="6"/>
  <c r="J139" i="6"/>
  <c r="F140" i="6"/>
  <c r="I128" i="6" s="1"/>
  <c r="O129" i="6" s="1"/>
  <c r="M129" i="19" s="1"/>
  <c r="G139" i="6"/>
  <c r="T172" i="19" l="1"/>
  <c r="Q173" i="19"/>
  <c r="P173" i="19"/>
  <c r="S173" i="19"/>
  <c r="R173" i="19"/>
  <c r="E173" i="19"/>
  <c r="C174" i="19"/>
  <c r="H172" i="19"/>
  <c r="D173" i="19"/>
  <c r="F172" i="19"/>
  <c r="G160" i="19"/>
  <c r="L127" i="6"/>
  <c r="J127" i="19" s="1"/>
  <c r="N129" i="6"/>
  <c r="L129" i="19" s="1"/>
  <c r="M129" i="6"/>
  <c r="K129" i="19" s="1"/>
  <c r="P128" i="6"/>
  <c r="N128" i="19" s="1"/>
  <c r="G140" i="6"/>
  <c r="J140" i="6"/>
  <c r="F141" i="6"/>
  <c r="I129" i="6" s="1"/>
  <c r="O130" i="6" s="1"/>
  <c r="M130" i="19" s="1"/>
  <c r="H140" i="6"/>
  <c r="T173" i="19" l="1"/>
  <c r="S174" i="19"/>
  <c r="R174" i="19"/>
  <c r="Q174" i="19"/>
  <c r="P174" i="19"/>
  <c r="C175" i="19"/>
  <c r="E174" i="19"/>
  <c r="D174" i="19"/>
  <c r="H173" i="19"/>
  <c r="F173" i="19"/>
  <c r="G161" i="19"/>
  <c r="M130" i="6"/>
  <c r="K130" i="19" s="1"/>
  <c r="N130" i="6"/>
  <c r="L130" i="19" s="1"/>
  <c r="L128" i="6"/>
  <c r="J128" i="19" s="1"/>
  <c r="P129" i="6"/>
  <c r="N129" i="19" s="1"/>
  <c r="F142" i="6"/>
  <c r="I130" i="6" s="1"/>
  <c r="O131" i="6" s="1"/>
  <c r="M131" i="19" s="1"/>
  <c r="J141" i="6"/>
  <c r="H141" i="6"/>
  <c r="G141" i="6"/>
  <c r="T174" i="19" l="1"/>
  <c r="Q175" i="19"/>
  <c r="P175" i="19"/>
  <c r="S175" i="19"/>
  <c r="R175" i="19"/>
  <c r="E175" i="19"/>
  <c r="C176" i="19"/>
  <c r="D175" i="19"/>
  <c r="H174" i="19"/>
  <c r="F174" i="19"/>
  <c r="G162" i="19"/>
  <c r="L129" i="6"/>
  <c r="J129" i="19" s="1"/>
  <c r="M131" i="6"/>
  <c r="K131" i="19" s="1"/>
  <c r="N131" i="6"/>
  <c r="L131" i="19" s="1"/>
  <c r="P130" i="6"/>
  <c r="N130" i="19" s="1"/>
  <c r="G142" i="6"/>
  <c r="J142" i="6"/>
  <c r="F143" i="6"/>
  <c r="I131" i="6" s="1"/>
  <c r="O132" i="6" s="1"/>
  <c r="M132" i="19" s="1"/>
  <c r="H142" i="6"/>
  <c r="T175" i="19" l="1"/>
  <c r="S176" i="19"/>
  <c r="R176" i="19"/>
  <c r="Q176" i="19"/>
  <c r="P176" i="19"/>
  <c r="E176" i="19"/>
  <c r="C177" i="19"/>
  <c r="F175" i="19"/>
  <c r="D176" i="19"/>
  <c r="H175" i="19"/>
  <c r="G163" i="19"/>
  <c r="M132" i="6"/>
  <c r="K132" i="19" s="1"/>
  <c r="N132" i="6"/>
  <c r="L132" i="19" s="1"/>
  <c r="L130" i="6"/>
  <c r="J130" i="19" s="1"/>
  <c r="P131" i="6"/>
  <c r="N131" i="19" s="1"/>
  <c r="H143" i="6"/>
  <c r="J143" i="6"/>
  <c r="F144" i="6"/>
  <c r="I132" i="6" s="1"/>
  <c r="O133" i="6" s="1"/>
  <c r="M133" i="19" s="1"/>
  <c r="G143" i="6"/>
  <c r="T176" i="19" l="1"/>
  <c r="Q177" i="19"/>
  <c r="P177" i="19"/>
  <c r="S177" i="19"/>
  <c r="R177" i="19"/>
  <c r="C178" i="19"/>
  <c r="E177" i="19"/>
  <c r="H176" i="19"/>
  <c r="D177" i="19"/>
  <c r="F176" i="19"/>
  <c r="G164" i="19"/>
  <c r="N133" i="6"/>
  <c r="L133" i="19" s="1"/>
  <c r="L131" i="6"/>
  <c r="J131" i="19" s="1"/>
  <c r="M133" i="6"/>
  <c r="K133" i="19" s="1"/>
  <c r="P132" i="6"/>
  <c r="N132" i="19" s="1"/>
  <c r="J144" i="6"/>
  <c r="H144" i="6"/>
  <c r="F145" i="6"/>
  <c r="I133" i="6" s="1"/>
  <c r="O134" i="6" s="1"/>
  <c r="M134" i="19" s="1"/>
  <c r="G144" i="6"/>
  <c r="T177" i="19" l="1"/>
  <c r="S178" i="19"/>
  <c r="R178" i="19"/>
  <c r="Q178" i="19"/>
  <c r="P178" i="19"/>
  <c r="C179" i="19"/>
  <c r="E178" i="19"/>
  <c r="D178" i="19"/>
  <c r="F177" i="19"/>
  <c r="H177" i="19"/>
  <c r="G165" i="19"/>
  <c r="M134" i="6"/>
  <c r="K134" i="19" s="1"/>
  <c r="N134" i="6"/>
  <c r="L134" i="19" s="1"/>
  <c r="L132" i="6"/>
  <c r="J132" i="19" s="1"/>
  <c r="P133" i="6"/>
  <c r="N133" i="19" s="1"/>
  <c r="G145" i="6"/>
  <c r="F146" i="6"/>
  <c r="I134" i="6" s="1"/>
  <c r="O135" i="6" s="1"/>
  <c r="M135" i="19" s="1"/>
  <c r="H145" i="6"/>
  <c r="J145" i="6"/>
  <c r="T178" i="19" l="1"/>
  <c r="Q179" i="19"/>
  <c r="P179" i="19"/>
  <c r="S179" i="19"/>
  <c r="R179" i="19"/>
  <c r="C180" i="19"/>
  <c r="E179" i="19"/>
  <c r="H178" i="19"/>
  <c r="F178" i="19"/>
  <c r="D179" i="19"/>
  <c r="G166" i="19"/>
  <c r="L133" i="6"/>
  <c r="J133" i="19" s="1"/>
  <c r="N135" i="6"/>
  <c r="L135" i="19" s="1"/>
  <c r="M135" i="6"/>
  <c r="K135" i="19" s="1"/>
  <c r="P134" i="6"/>
  <c r="N134" i="19" s="1"/>
  <c r="G146" i="6"/>
  <c r="H146" i="6"/>
  <c r="J146" i="6"/>
  <c r="F147" i="6"/>
  <c r="I135" i="6" s="1"/>
  <c r="O136" i="6" s="1"/>
  <c r="M136" i="19" s="1"/>
  <c r="T179" i="19" l="1"/>
  <c r="S180" i="19"/>
  <c r="R180" i="19"/>
  <c r="Q180" i="19"/>
  <c r="P180" i="19"/>
  <c r="E180" i="19"/>
  <c r="C181" i="19"/>
  <c r="F179" i="19"/>
  <c r="D180" i="19"/>
  <c r="H179" i="19"/>
  <c r="G167" i="19"/>
  <c r="M136" i="6"/>
  <c r="K136" i="19" s="1"/>
  <c r="N136" i="6"/>
  <c r="L136" i="19" s="1"/>
  <c r="L134" i="6"/>
  <c r="J134" i="19" s="1"/>
  <c r="P135" i="6"/>
  <c r="N135" i="19" s="1"/>
  <c r="H147" i="6"/>
  <c r="F148" i="6"/>
  <c r="I136" i="6" s="1"/>
  <c r="O137" i="6" s="1"/>
  <c r="M137" i="19" s="1"/>
  <c r="J147" i="6"/>
  <c r="G147" i="6"/>
  <c r="T180" i="19" l="1"/>
  <c r="Q181" i="19"/>
  <c r="P181" i="19"/>
  <c r="S181" i="19"/>
  <c r="R181" i="19"/>
  <c r="C182" i="19"/>
  <c r="E181" i="19"/>
  <c r="H180" i="19"/>
  <c r="F180" i="19"/>
  <c r="D181" i="19"/>
  <c r="G168" i="19"/>
  <c r="L135" i="6"/>
  <c r="J135" i="19" s="1"/>
  <c r="N137" i="6"/>
  <c r="L137" i="19" s="1"/>
  <c r="M137" i="6"/>
  <c r="K137" i="19" s="1"/>
  <c r="P136" i="6"/>
  <c r="N136" i="19" s="1"/>
  <c r="G148" i="6"/>
  <c r="J148" i="6"/>
  <c r="F149" i="6"/>
  <c r="I137" i="6" s="1"/>
  <c r="O138" i="6" s="1"/>
  <c r="M138" i="19" s="1"/>
  <c r="H148" i="6"/>
  <c r="T181" i="19" l="1"/>
  <c r="S182" i="19"/>
  <c r="R182" i="19"/>
  <c r="Q182" i="19"/>
  <c r="P182" i="19"/>
  <c r="E182" i="19"/>
  <c r="C183" i="19"/>
  <c r="D182" i="19"/>
  <c r="F181" i="19"/>
  <c r="H181" i="19"/>
  <c r="G169" i="19"/>
  <c r="M138" i="6"/>
  <c r="K138" i="19" s="1"/>
  <c r="N138" i="6"/>
  <c r="L138" i="19" s="1"/>
  <c r="L136" i="6"/>
  <c r="J136" i="19" s="1"/>
  <c r="P137" i="6"/>
  <c r="N137" i="19" s="1"/>
  <c r="F150" i="6"/>
  <c r="I138" i="6" s="1"/>
  <c r="O139" i="6" s="1"/>
  <c r="M139" i="19" s="1"/>
  <c r="J149" i="6"/>
  <c r="H149" i="6"/>
  <c r="G149" i="6"/>
  <c r="T182" i="19" l="1"/>
  <c r="Q183" i="19"/>
  <c r="P183" i="19"/>
  <c r="S183" i="19"/>
  <c r="R183" i="19"/>
  <c r="C184" i="19"/>
  <c r="E183" i="19"/>
  <c r="H182" i="19"/>
  <c r="F182" i="19"/>
  <c r="D183" i="19"/>
  <c r="G170" i="19"/>
  <c r="L137" i="6"/>
  <c r="J137" i="19" s="1"/>
  <c r="N139" i="6"/>
  <c r="L139" i="19" s="1"/>
  <c r="M139" i="6"/>
  <c r="K139" i="19" s="1"/>
  <c r="P138" i="6"/>
  <c r="N138" i="19" s="1"/>
  <c r="G150" i="6"/>
  <c r="H150" i="6"/>
  <c r="J150" i="6"/>
  <c r="F151" i="6"/>
  <c r="I139" i="6" s="1"/>
  <c r="O140" i="6" s="1"/>
  <c r="M140" i="19" s="1"/>
  <c r="T183" i="19" l="1"/>
  <c r="S184" i="19"/>
  <c r="R184" i="19"/>
  <c r="Q184" i="19"/>
  <c r="P184" i="19"/>
  <c r="E184" i="19"/>
  <c r="C185" i="19"/>
  <c r="F183" i="19"/>
  <c r="D184" i="19"/>
  <c r="H183" i="19"/>
  <c r="G171" i="19"/>
  <c r="P139" i="6"/>
  <c r="N139" i="19" s="1"/>
  <c r="M140" i="6"/>
  <c r="K140" i="19" s="1"/>
  <c r="N140" i="6"/>
  <c r="L140" i="19" s="1"/>
  <c r="L138" i="6"/>
  <c r="J138" i="19" s="1"/>
  <c r="H151" i="6"/>
  <c r="J151" i="6"/>
  <c r="F152" i="6"/>
  <c r="I140" i="6" s="1"/>
  <c r="O141" i="6" s="1"/>
  <c r="M141" i="19" s="1"/>
  <c r="G151" i="6"/>
  <c r="T184" i="19" l="1"/>
  <c r="Q185" i="19"/>
  <c r="P185" i="19"/>
  <c r="R185" i="19"/>
  <c r="S185" i="19"/>
  <c r="E185" i="19"/>
  <c r="C186" i="19"/>
  <c r="H184" i="19"/>
  <c r="D185" i="19"/>
  <c r="F184" i="19"/>
  <c r="G172" i="19"/>
  <c r="N141" i="6"/>
  <c r="L141" i="19" s="1"/>
  <c r="M141" i="6"/>
  <c r="K141" i="19" s="1"/>
  <c r="L139" i="6"/>
  <c r="J139" i="19" s="1"/>
  <c r="P140" i="6"/>
  <c r="N140" i="19" s="1"/>
  <c r="J152" i="6"/>
  <c r="H152" i="6"/>
  <c r="F153" i="6"/>
  <c r="I141" i="6" s="1"/>
  <c r="O142" i="6" s="1"/>
  <c r="M142" i="19" s="1"/>
  <c r="G152" i="6"/>
  <c r="T185" i="19" l="1"/>
  <c r="S186" i="19"/>
  <c r="R186" i="19"/>
  <c r="Q186" i="19"/>
  <c r="P186" i="19"/>
  <c r="C187" i="19"/>
  <c r="E186" i="19"/>
  <c r="D186" i="19"/>
  <c r="F185" i="19"/>
  <c r="H185" i="19"/>
  <c r="G173" i="19"/>
  <c r="L140" i="6"/>
  <c r="J140" i="19" s="1"/>
  <c r="N142" i="6"/>
  <c r="L142" i="19" s="1"/>
  <c r="M142" i="6"/>
  <c r="K142" i="19" s="1"/>
  <c r="P141" i="6"/>
  <c r="N141" i="19" s="1"/>
  <c r="G153" i="6"/>
  <c r="F154" i="6"/>
  <c r="I142" i="6" s="1"/>
  <c r="O143" i="6" s="1"/>
  <c r="M143" i="19" s="1"/>
  <c r="H153" i="6"/>
  <c r="J153" i="6"/>
  <c r="T186" i="19" l="1"/>
  <c r="Q187" i="19"/>
  <c r="P187" i="19"/>
  <c r="S187" i="19"/>
  <c r="R187" i="19"/>
  <c r="C188" i="19"/>
  <c r="E187" i="19"/>
  <c r="H186" i="19"/>
  <c r="D187" i="19"/>
  <c r="F186" i="19"/>
  <c r="G174" i="19"/>
  <c r="M143" i="6"/>
  <c r="K143" i="19" s="1"/>
  <c r="N143" i="6"/>
  <c r="L143" i="19" s="1"/>
  <c r="L141" i="6"/>
  <c r="J141" i="19" s="1"/>
  <c r="P142" i="6"/>
  <c r="N142" i="19" s="1"/>
  <c r="F155" i="6"/>
  <c r="I143" i="6" s="1"/>
  <c r="O144" i="6" s="1"/>
  <c r="M144" i="19" s="1"/>
  <c r="J154" i="6"/>
  <c r="H154" i="6"/>
  <c r="G154" i="6"/>
  <c r="T187" i="19" l="1"/>
  <c r="S188" i="19"/>
  <c r="R188" i="19"/>
  <c r="Q188" i="19"/>
  <c r="P188" i="19"/>
  <c r="C189" i="19"/>
  <c r="E188" i="19"/>
  <c r="F187" i="19"/>
  <c r="D188" i="19"/>
  <c r="H187" i="19"/>
  <c r="G175" i="19"/>
  <c r="L142" i="6"/>
  <c r="J142" i="19" s="1"/>
  <c r="N144" i="6"/>
  <c r="L144" i="19" s="1"/>
  <c r="M144" i="6"/>
  <c r="K144" i="19" s="1"/>
  <c r="P143" i="6"/>
  <c r="N143" i="19" s="1"/>
  <c r="G155" i="6"/>
  <c r="H155" i="6"/>
  <c r="F156" i="6"/>
  <c r="I144" i="6" s="1"/>
  <c r="O145" i="6" s="1"/>
  <c r="M145" i="19" s="1"/>
  <c r="J155" i="6"/>
  <c r="T188" i="19" l="1"/>
  <c r="Q189" i="19"/>
  <c r="P189" i="19"/>
  <c r="S189" i="19"/>
  <c r="R189" i="19"/>
  <c r="C190" i="19"/>
  <c r="E189" i="19"/>
  <c r="H188" i="19"/>
  <c r="D189" i="19"/>
  <c r="F188" i="19"/>
  <c r="G176" i="19"/>
  <c r="M145" i="6"/>
  <c r="K145" i="19" s="1"/>
  <c r="N145" i="6"/>
  <c r="L145" i="19" s="1"/>
  <c r="L143" i="6"/>
  <c r="J143" i="19" s="1"/>
  <c r="P144" i="6"/>
  <c r="N144" i="19" s="1"/>
  <c r="J156" i="6"/>
  <c r="F157" i="6"/>
  <c r="I145" i="6" s="1"/>
  <c r="O146" i="6" s="1"/>
  <c r="M146" i="19" s="1"/>
  <c r="H156" i="6"/>
  <c r="G156" i="6"/>
  <c r="T189" i="19" l="1"/>
  <c r="S190" i="19"/>
  <c r="R190" i="19"/>
  <c r="Q190" i="19"/>
  <c r="P190" i="19"/>
  <c r="C191" i="19"/>
  <c r="E190" i="19"/>
  <c r="D190" i="19"/>
  <c r="F189" i="19"/>
  <c r="H189" i="19"/>
  <c r="G177" i="19"/>
  <c r="L144" i="6"/>
  <c r="J144" i="19" s="1"/>
  <c r="N146" i="6"/>
  <c r="L146" i="19" s="1"/>
  <c r="M146" i="6"/>
  <c r="K146" i="19" s="1"/>
  <c r="P145" i="6"/>
  <c r="N145" i="19" s="1"/>
  <c r="F158" i="6"/>
  <c r="I146" i="6" s="1"/>
  <c r="O147" i="6" s="1"/>
  <c r="M147" i="19" s="1"/>
  <c r="H157" i="6"/>
  <c r="J157" i="6"/>
  <c r="G157" i="6"/>
  <c r="T190" i="19" l="1"/>
  <c r="Q191" i="19"/>
  <c r="P191" i="19"/>
  <c r="S191" i="19"/>
  <c r="R191" i="19"/>
  <c r="C192" i="19"/>
  <c r="E191" i="19"/>
  <c r="H190" i="19"/>
  <c r="D191" i="19"/>
  <c r="F190" i="19"/>
  <c r="G178" i="19"/>
  <c r="N147" i="6"/>
  <c r="L147" i="19" s="1"/>
  <c r="L145" i="6"/>
  <c r="J145" i="19" s="1"/>
  <c r="M147" i="6"/>
  <c r="K147" i="19" s="1"/>
  <c r="P146" i="6"/>
  <c r="N146" i="19" s="1"/>
  <c r="G158" i="6"/>
  <c r="J158" i="6"/>
  <c r="H158" i="6"/>
  <c r="F159" i="6"/>
  <c r="I147" i="6" s="1"/>
  <c r="O148" i="6" s="1"/>
  <c r="M148" i="19" s="1"/>
  <c r="T191" i="19" l="1"/>
  <c r="S192" i="19"/>
  <c r="R192" i="19"/>
  <c r="Q192" i="19"/>
  <c r="P192" i="19"/>
  <c r="C193" i="19"/>
  <c r="E192" i="19"/>
  <c r="F191" i="19"/>
  <c r="D192" i="19"/>
  <c r="H191" i="19"/>
  <c r="G179" i="19"/>
  <c r="M148" i="6"/>
  <c r="K148" i="19" s="1"/>
  <c r="L146" i="6"/>
  <c r="J146" i="19" s="1"/>
  <c r="N148" i="6"/>
  <c r="L148" i="19" s="1"/>
  <c r="P147" i="6"/>
  <c r="N147" i="19" s="1"/>
  <c r="H159" i="6"/>
  <c r="J159" i="6"/>
  <c r="F160" i="6"/>
  <c r="I148" i="6" s="1"/>
  <c r="O149" i="6" s="1"/>
  <c r="M149" i="19" s="1"/>
  <c r="G159" i="6"/>
  <c r="T192" i="19" l="1"/>
  <c r="Q193" i="19"/>
  <c r="P193" i="19"/>
  <c r="S193" i="19"/>
  <c r="R193" i="19"/>
  <c r="E193" i="19"/>
  <c r="C194" i="19"/>
  <c r="H192" i="19"/>
  <c r="D193" i="19"/>
  <c r="F192" i="19"/>
  <c r="G180" i="19"/>
  <c r="L147" i="6"/>
  <c r="J147" i="19" s="1"/>
  <c r="M149" i="6"/>
  <c r="K149" i="19" s="1"/>
  <c r="N149" i="6"/>
  <c r="L149" i="19" s="1"/>
  <c r="P148" i="6"/>
  <c r="N148" i="19" s="1"/>
  <c r="G160" i="6"/>
  <c r="J160" i="6"/>
  <c r="H160" i="6"/>
  <c r="F161" i="6"/>
  <c r="I149" i="6" s="1"/>
  <c r="O150" i="6" s="1"/>
  <c r="M150" i="19" s="1"/>
  <c r="T193" i="19" l="1"/>
  <c r="S194" i="19"/>
  <c r="R194" i="19"/>
  <c r="Q194" i="19"/>
  <c r="P194" i="19"/>
  <c r="E194" i="19"/>
  <c r="C195" i="19"/>
  <c r="D194" i="19"/>
  <c r="F193" i="19"/>
  <c r="H193" i="19"/>
  <c r="G181" i="19"/>
  <c r="N150" i="6"/>
  <c r="L150" i="19" s="1"/>
  <c r="M150" i="6"/>
  <c r="K150" i="19" s="1"/>
  <c r="L148" i="6"/>
  <c r="J148" i="19" s="1"/>
  <c r="P149" i="6"/>
  <c r="N149" i="19" s="1"/>
  <c r="F162" i="6"/>
  <c r="I150" i="6" s="1"/>
  <c r="O151" i="6" s="1"/>
  <c r="M151" i="19" s="1"/>
  <c r="J161" i="6"/>
  <c r="H161" i="6"/>
  <c r="G161" i="6"/>
  <c r="T194" i="19" l="1"/>
  <c r="Q195" i="19"/>
  <c r="P195" i="19"/>
  <c r="S195" i="19"/>
  <c r="R195" i="19"/>
  <c r="C196" i="19"/>
  <c r="E195" i="19"/>
  <c r="H194" i="19"/>
  <c r="F194" i="19"/>
  <c r="D195" i="19"/>
  <c r="G182" i="19"/>
  <c r="M151" i="6"/>
  <c r="K151" i="19" s="1"/>
  <c r="N151" i="6"/>
  <c r="L151" i="19" s="1"/>
  <c r="L149" i="6"/>
  <c r="J149" i="19" s="1"/>
  <c r="P150" i="6"/>
  <c r="N150" i="19" s="1"/>
  <c r="G162" i="6"/>
  <c r="H162" i="6"/>
  <c r="J162" i="6"/>
  <c r="F163" i="6"/>
  <c r="I151" i="6" s="1"/>
  <c r="O152" i="6" s="1"/>
  <c r="M152" i="19" s="1"/>
  <c r="T195" i="19" l="1"/>
  <c r="S196" i="19"/>
  <c r="R196" i="19"/>
  <c r="Q196" i="19"/>
  <c r="P196" i="19"/>
  <c r="C197" i="19"/>
  <c r="E196" i="19"/>
  <c r="F195" i="19"/>
  <c r="D196" i="19"/>
  <c r="H195" i="19"/>
  <c r="G183" i="19"/>
  <c r="P151" i="6"/>
  <c r="N151" i="19" s="1"/>
  <c r="N152" i="6"/>
  <c r="L152" i="19" s="1"/>
  <c r="L150" i="6"/>
  <c r="J150" i="19" s="1"/>
  <c r="M152" i="6"/>
  <c r="K152" i="19" s="1"/>
  <c r="H163" i="6"/>
  <c r="F164" i="6"/>
  <c r="I152" i="6" s="1"/>
  <c r="O153" i="6" s="1"/>
  <c r="M153" i="19" s="1"/>
  <c r="J163" i="6"/>
  <c r="G163" i="6"/>
  <c r="T196" i="19" l="1"/>
  <c r="Q197" i="19"/>
  <c r="P197" i="19"/>
  <c r="R197" i="19"/>
  <c r="S197" i="19"/>
  <c r="C198" i="19"/>
  <c r="E197" i="19"/>
  <c r="H196" i="19"/>
  <c r="F196" i="19"/>
  <c r="D197" i="19"/>
  <c r="G184" i="19"/>
  <c r="L151" i="6"/>
  <c r="J151" i="19" s="1"/>
  <c r="M153" i="6"/>
  <c r="K153" i="19" s="1"/>
  <c r="N153" i="6"/>
  <c r="L153" i="19" s="1"/>
  <c r="P152" i="6"/>
  <c r="N152" i="19" s="1"/>
  <c r="G164" i="6"/>
  <c r="J164" i="6"/>
  <c r="H164" i="6"/>
  <c r="F165" i="6"/>
  <c r="I153" i="6" s="1"/>
  <c r="O154" i="6" s="1"/>
  <c r="M154" i="19" s="1"/>
  <c r="T197" i="19" l="1"/>
  <c r="S198" i="19"/>
  <c r="R198" i="19"/>
  <c r="Q198" i="19"/>
  <c r="P198" i="19"/>
  <c r="C199" i="19"/>
  <c r="E198" i="19"/>
  <c r="D198" i="19"/>
  <c r="F197" i="19"/>
  <c r="H197" i="19"/>
  <c r="G185" i="19"/>
  <c r="P153" i="6"/>
  <c r="N153" i="19" s="1"/>
  <c r="N154" i="6"/>
  <c r="L154" i="19" s="1"/>
  <c r="M154" i="6"/>
  <c r="K154" i="19" s="1"/>
  <c r="L152" i="6"/>
  <c r="J152" i="19" s="1"/>
  <c r="F166" i="6"/>
  <c r="I154" i="6" s="1"/>
  <c r="O155" i="6" s="1"/>
  <c r="M155" i="19" s="1"/>
  <c r="J165" i="6"/>
  <c r="H165" i="6"/>
  <c r="G165" i="6"/>
  <c r="T198" i="19" l="1"/>
  <c r="Q199" i="19"/>
  <c r="P199" i="19"/>
  <c r="S199" i="19"/>
  <c r="R199" i="19"/>
  <c r="C200" i="19"/>
  <c r="E199" i="19"/>
  <c r="H198" i="19"/>
  <c r="F198" i="19"/>
  <c r="D199" i="19"/>
  <c r="G186" i="19"/>
  <c r="L153" i="6"/>
  <c r="J153" i="19" s="1"/>
  <c r="N155" i="6"/>
  <c r="L155" i="19" s="1"/>
  <c r="M155" i="6"/>
  <c r="K155" i="19" s="1"/>
  <c r="P154" i="6"/>
  <c r="N154" i="19" s="1"/>
  <c r="G166" i="6"/>
  <c r="J166" i="6"/>
  <c r="F167" i="6"/>
  <c r="I155" i="6" s="1"/>
  <c r="O156" i="6" s="1"/>
  <c r="M156" i="19" s="1"/>
  <c r="H166" i="6"/>
  <c r="T199" i="19" l="1"/>
  <c r="S200" i="19"/>
  <c r="R200" i="19"/>
  <c r="Q200" i="19"/>
  <c r="P200" i="19"/>
  <c r="C201" i="19"/>
  <c r="E200" i="19"/>
  <c r="F199" i="19"/>
  <c r="D200" i="19"/>
  <c r="H199" i="19"/>
  <c r="G187" i="19"/>
  <c r="M156" i="6"/>
  <c r="K156" i="19" s="1"/>
  <c r="N156" i="6"/>
  <c r="L156" i="19" s="1"/>
  <c r="L154" i="6"/>
  <c r="J154" i="19" s="1"/>
  <c r="P155" i="6"/>
  <c r="N155" i="19" s="1"/>
  <c r="G167" i="6"/>
  <c r="H167" i="6"/>
  <c r="J167" i="6"/>
  <c r="F168" i="6"/>
  <c r="I156" i="6" s="1"/>
  <c r="O157" i="6" s="1"/>
  <c r="M157" i="19" s="1"/>
  <c r="T200" i="19" l="1"/>
  <c r="Q201" i="19"/>
  <c r="P201" i="19"/>
  <c r="R201" i="19"/>
  <c r="S201" i="19"/>
  <c r="E201" i="19"/>
  <c r="C202" i="19"/>
  <c r="H200" i="19"/>
  <c r="D201" i="19"/>
  <c r="F200" i="19"/>
  <c r="G188" i="19"/>
  <c r="L155" i="6"/>
  <c r="J155" i="19" s="1"/>
  <c r="N157" i="6"/>
  <c r="L157" i="19" s="1"/>
  <c r="M157" i="6"/>
  <c r="K157" i="19" s="1"/>
  <c r="P156" i="6"/>
  <c r="N156" i="19" s="1"/>
  <c r="J168" i="6"/>
  <c r="F169" i="6"/>
  <c r="I157" i="6" s="1"/>
  <c r="O158" i="6" s="1"/>
  <c r="M158" i="19" s="1"/>
  <c r="H168" i="6"/>
  <c r="G168" i="6"/>
  <c r="T201" i="19" l="1"/>
  <c r="S202" i="19"/>
  <c r="Q202" i="19"/>
  <c r="R202" i="19"/>
  <c r="P202" i="19"/>
  <c r="E202" i="19"/>
  <c r="C203" i="19"/>
  <c r="D202" i="19"/>
  <c r="F201" i="19"/>
  <c r="H201" i="19"/>
  <c r="G189" i="19"/>
  <c r="N158" i="6"/>
  <c r="L158" i="19" s="1"/>
  <c r="M158" i="6"/>
  <c r="K158" i="19" s="1"/>
  <c r="L156" i="6"/>
  <c r="J156" i="19" s="1"/>
  <c r="P157" i="6"/>
  <c r="N157" i="19" s="1"/>
  <c r="F170" i="6"/>
  <c r="I158" i="6" s="1"/>
  <c r="O159" i="6" s="1"/>
  <c r="M159" i="19" s="1"/>
  <c r="H169" i="6"/>
  <c r="J169" i="6"/>
  <c r="G169" i="6"/>
  <c r="T202" i="19" l="1"/>
  <c r="S203" i="19"/>
  <c r="R203" i="19"/>
  <c r="Q203" i="19"/>
  <c r="P203" i="19"/>
  <c r="C204" i="19"/>
  <c r="E203" i="19"/>
  <c r="H202" i="19"/>
  <c r="D203" i="19"/>
  <c r="F202" i="19"/>
  <c r="G190" i="19"/>
  <c r="M159" i="6"/>
  <c r="K159" i="19" s="1"/>
  <c r="N159" i="6"/>
  <c r="L159" i="19" s="1"/>
  <c r="L157" i="6"/>
  <c r="J157" i="19" s="1"/>
  <c r="P158" i="6"/>
  <c r="N158" i="19" s="1"/>
  <c r="G170" i="6"/>
  <c r="F171" i="6"/>
  <c r="I159" i="6" s="1"/>
  <c r="O160" i="6" s="1"/>
  <c r="M160" i="19" s="1"/>
  <c r="J170" i="6"/>
  <c r="H170" i="6"/>
  <c r="T203" i="19" l="1"/>
  <c r="S204" i="19"/>
  <c r="Q204" i="19"/>
  <c r="R204" i="19"/>
  <c r="P204" i="19"/>
  <c r="C205" i="19"/>
  <c r="E204" i="19"/>
  <c r="F203" i="19"/>
  <c r="D204" i="19"/>
  <c r="H203" i="19"/>
  <c r="G191" i="19"/>
  <c r="L158" i="6"/>
  <c r="J158" i="19" s="1"/>
  <c r="N160" i="6"/>
  <c r="L160" i="19" s="1"/>
  <c r="M160" i="6"/>
  <c r="K160" i="19" s="1"/>
  <c r="P159" i="6"/>
  <c r="N159" i="19" s="1"/>
  <c r="H171" i="6"/>
  <c r="J171" i="6"/>
  <c r="F172" i="6"/>
  <c r="I160" i="6" s="1"/>
  <c r="O161" i="6" s="1"/>
  <c r="M161" i="19" s="1"/>
  <c r="G171" i="6"/>
  <c r="T204" i="19" l="1"/>
  <c r="S205" i="19"/>
  <c r="R205" i="19"/>
  <c r="Q205" i="19"/>
  <c r="P205" i="19"/>
  <c r="C206" i="19"/>
  <c r="E205" i="19"/>
  <c r="H204" i="19"/>
  <c r="D205" i="19"/>
  <c r="F204" i="19"/>
  <c r="G192" i="19"/>
  <c r="N161" i="6"/>
  <c r="L161" i="19" s="1"/>
  <c r="M161" i="6"/>
  <c r="K161" i="19" s="1"/>
  <c r="L159" i="6"/>
  <c r="J159" i="19" s="1"/>
  <c r="P160" i="6"/>
  <c r="N160" i="19" s="1"/>
  <c r="G172" i="6"/>
  <c r="J172" i="6"/>
  <c r="F173" i="6"/>
  <c r="I161" i="6" s="1"/>
  <c r="O162" i="6" s="1"/>
  <c r="M162" i="19" s="1"/>
  <c r="H172" i="6"/>
  <c r="T205" i="19" l="1"/>
  <c r="S206" i="19"/>
  <c r="Q206" i="19"/>
  <c r="R206" i="19"/>
  <c r="P206" i="19"/>
  <c r="C207" i="19"/>
  <c r="E206" i="19"/>
  <c r="D206" i="19"/>
  <c r="F205" i="19"/>
  <c r="H205" i="19"/>
  <c r="G193" i="19"/>
  <c r="L160" i="6"/>
  <c r="J160" i="19" s="1"/>
  <c r="M162" i="6"/>
  <c r="K162" i="19" s="1"/>
  <c r="N162" i="6"/>
  <c r="L162" i="19" s="1"/>
  <c r="P161" i="6"/>
  <c r="N161" i="19" s="1"/>
  <c r="F174" i="6"/>
  <c r="I162" i="6" s="1"/>
  <c r="O163" i="6" s="1"/>
  <c r="M163" i="19" s="1"/>
  <c r="J173" i="6"/>
  <c r="H173" i="6"/>
  <c r="G173" i="6"/>
  <c r="T206" i="19" l="1"/>
  <c r="S207" i="19"/>
  <c r="R207" i="19"/>
  <c r="Q207" i="19"/>
  <c r="P207" i="19"/>
  <c r="E207" i="19"/>
  <c r="C208" i="19"/>
  <c r="H206" i="19"/>
  <c r="D207" i="19"/>
  <c r="F206" i="19"/>
  <c r="G194" i="19"/>
  <c r="M163" i="6"/>
  <c r="K163" i="19" s="1"/>
  <c r="L161" i="6"/>
  <c r="J161" i="19" s="1"/>
  <c r="N163" i="6"/>
  <c r="L163" i="19" s="1"/>
  <c r="P162" i="6"/>
  <c r="N162" i="19" s="1"/>
  <c r="G174" i="6"/>
  <c r="J174" i="6"/>
  <c r="H174" i="6"/>
  <c r="F175" i="6"/>
  <c r="I163" i="6" s="1"/>
  <c r="O164" i="6" s="1"/>
  <c r="M164" i="19" s="1"/>
  <c r="T207" i="19" l="1"/>
  <c r="S208" i="19"/>
  <c r="Q208" i="19"/>
  <c r="R208" i="19"/>
  <c r="P208" i="19"/>
  <c r="C209" i="19"/>
  <c r="E208" i="19"/>
  <c r="F207" i="19"/>
  <c r="D208" i="19"/>
  <c r="H207" i="19"/>
  <c r="G195" i="19"/>
  <c r="P163" i="6"/>
  <c r="N163" i="19" s="1"/>
  <c r="N164" i="6"/>
  <c r="L164" i="19" s="1"/>
  <c r="L162" i="6"/>
  <c r="J162" i="19" s="1"/>
  <c r="M164" i="6"/>
  <c r="K164" i="19" s="1"/>
  <c r="G175" i="6"/>
  <c r="H175" i="6"/>
  <c r="F176" i="6"/>
  <c r="I164" i="6" s="1"/>
  <c r="O165" i="6" s="1"/>
  <c r="M165" i="19" s="1"/>
  <c r="J175" i="6"/>
  <c r="T208" i="19" l="1"/>
  <c r="Q209" i="19"/>
  <c r="P209" i="19"/>
  <c r="S209" i="19"/>
  <c r="R209" i="19"/>
  <c r="E209" i="19"/>
  <c r="C210" i="19"/>
  <c r="H208" i="19"/>
  <c r="D209" i="19"/>
  <c r="F208" i="19"/>
  <c r="G196" i="19"/>
  <c r="M165" i="6"/>
  <c r="K165" i="19" s="1"/>
  <c r="N165" i="6"/>
  <c r="L165" i="19" s="1"/>
  <c r="L163" i="6"/>
  <c r="J163" i="19" s="1"/>
  <c r="P164" i="6"/>
  <c r="N164" i="19" s="1"/>
  <c r="J176" i="6"/>
  <c r="H176" i="6"/>
  <c r="F177" i="6"/>
  <c r="I165" i="6" s="1"/>
  <c r="O166" i="6" s="1"/>
  <c r="M166" i="19" s="1"/>
  <c r="G176" i="6"/>
  <c r="T209" i="19" l="1"/>
  <c r="S210" i="19"/>
  <c r="Q210" i="19"/>
  <c r="R210" i="19"/>
  <c r="P210" i="19"/>
  <c r="C211" i="19"/>
  <c r="E210" i="19"/>
  <c r="D210" i="19"/>
  <c r="F209" i="19"/>
  <c r="H209" i="19"/>
  <c r="G197" i="19"/>
  <c r="N166" i="6"/>
  <c r="L166" i="19" s="1"/>
  <c r="M166" i="6"/>
  <c r="K166" i="19" s="1"/>
  <c r="L164" i="6"/>
  <c r="J164" i="19" s="1"/>
  <c r="P165" i="6"/>
  <c r="N165" i="19" s="1"/>
  <c r="G177" i="6"/>
  <c r="F178" i="6"/>
  <c r="I166" i="6" s="1"/>
  <c r="O167" i="6" s="1"/>
  <c r="M167" i="19" s="1"/>
  <c r="H177" i="6"/>
  <c r="J177" i="6"/>
  <c r="T210" i="19" l="1"/>
  <c r="S211" i="19"/>
  <c r="R211" i="19"/>
  <c r="Q211" i="19"/>
  <c r="P211" i="19"/>
  <c r="E211" i="19"/>
  <c r="C212" i="19"/>
  <c r="H210" i="19"/>
  <c r="D211" i="19"/>
  <c r="F210" i="19"/>
  <c r="G198" i="19"/>
  <c r="M167" i="6"/>
  <c r="K167" i="19" s="1"/>
  <c r="L165" i="6"/>
  <c r="J165" i="19" s="1"/>
  <c r="N167" i="6"/>
  <c r="L167" i="19" s="1"/>
  <c r="P166" i="6"/>
  <c r="N166" i="19" s="1"/>
  <c r="H178" i="6"/>
  <c r="J178" i="6"/>
  <c r="F179" i="6"/>
  <c r="I167" i="6" s="1"/>
  <c r="O168" i="6" s="1"/>
  <c r="M168" i="19" s="1"/>
  <c r="G178" i="6"/>
  <c r="T211" i="19" l="1"/>
  <c r="S212" i="19"/>
  <c r="Q212" i="19"/>
  <c r="R212" i="19"/>
  <c r="P212" i="19"/>
  <c r="E212" i="19"/>
  <c r="C213" i="19"/>
  <c r="F211" i="19"/>
  <c r="D212" i="19"/>
  <c r="H211" i="19"/>
  <c r="G199" i="19"/>
  <c r="L166" i="6"/>
  <c r="J166" i="19" s="1"/>
  <c r="M168" i="6"/>
  <c r="K168" i="19" s="1"/>
  <c r="N168" i="6"/>
  <c r="L168" i="19" s="1"/>
  <c r="P167" i="6"/>
  <c r="N167" i="19" s="1"/>
  <c r="G179" i="6"/>
  <c r="H179" i="6"/>
  <c r="F180" i="6"/>
  <c r="I168" i="6" s="1"/>
  <c r="O169" i="6" s="1"/>
  <c r="M169" i="19" s="1"/>
  <c r="J179" i="6"/>
  <c r="T212" i="19" l="1"/>
  <c r="S213" i="19"/>
  <c r="R213" i="19"/>
  <c r="Q213" i="19"/>
  <c r="P213" i="19"/>
  <c r="E213" i="19"/>
  <c r="C214" i="19"/>
  <c r="H212" i="19"/>
  <c r="D213" i="19"/>
  <c r="F212" i="19"/>
  <c r="G200" i="19"/>
  <c r="N169" i="6"/>
  <c r="L169" i="19" s="1"/>
  <c r="M169" i="6"/>
  <c r="K169" i="19" s="1"/>
  <c r="L167" i="6"/>
  <c r="J167" i="19" s="1"/>
  <c r="P168" i="6"/>
  <c r="N168" i="19" s="1"/>
  <c r="J180" i="6"/>
  <c r="F181" i="6"/>
  <c r="I169" i="6" s="1"/>
  <c r="O170" i="6" s="1"/>
  <c r="M170" i="19" s="1"/>
  <c r="H180" i="6"/>
  <c r="G180" i="6"/>
  <c r="T213" i="19" l="1"/>
  <c r="S214" i="19"/>
  <c r="Q214" i="19"/>
  <c r="R214" i="19"/>
  <c r="P214" i="19"/>
  <c r="C215" i="19"/>
  <c r="E214" i="19"/>
  <c r="D214" i="19"/>
  <c r="F213" i="19"/>
  <c r="H213" i="19"/>
  <c r="G201" i="19"/>
  <c r="M170" i="6"/>
  <c r="K170" i="19" s="1"/>
  <c r="N170" i="6"/>
  <c r="L170" i="19" s="1"/>
  <c r="L168" i="6"/>
  <c r="J168" i="19" s="1"/>
  <c r="P169" i="6"/>
  <c r="N169" i="19" s="1"/>
  <c r="G181" i="6"/>
  <c r="F182" i="6"/>
  <c r="I170" i="6" s="1"/>
  <c r="O171" i="6" s="1"/>
  <c r="M171" i="19" s="1"/>
  <c r="J181" i="6"/>
  <c r="H181" i="6"/>
  <c r="T214" i="19" l="1"/>
  <c r="S215" i="19"/>
  <c r="Q215" i="19"/>
  <c r="R215" i="19"/>
  <c r="P215" i="19"/>
  <c r="C216" i="19"/>
  <c r="E215" i="19"/>
  <c r="H214" i="19"/>
  <c r="F214" i="19"/>
  <c r="D215" i="19"/>
  <c r="G202" i="19"/>
  <c r="L169" i="6"/>
  <c r="J169" i="19" s="1"/>
  <c r="N171" i="6"/>
  <c r="L171" i="19" s="1"/>
  <c r="M171" i="6"/>
  <c r="K171" i="19" s="1"/>
  <c r="P170" i="6"/>
  <c r="N170" i="19" s="1"/>
  <c r="F183" i="6"/>
  <c r="I171" i="6" s="1"/>
  <c r="O172" i="6" s="1"/>
  <c r="M172" i="19" s="1"/>
  <c r="J182" i="6"/>
  <c r="H182" i="6"/>
  <c r="G182" i="6"/>
  <c r="T215" i="19" l="1"/>
  <c r="S216" i="19"/>
  <c r="Q216" i="19"/>
  <c r="R216" i="19"/>
  <c r="P216" i="19"/>
  <c r="C217" i="19"/>
  <c r="E216" i="19"/>
  <c r="F215" i="19"/>
  <c r="D216" i="19"/>
  <c r="H215" i="19"/>
  <c r="G203" i="19"/>
  <c r="N172" i="6"/>
  <c r="L172" i="19" s="1"/>
  <c r="L170" i="6"/>
  <c r="J170" i="19" s="1"/>
  <c r="M172" i="6"/>
  <c r="K172" i="19" s="1"/>
  <c r="P171" i="6"/>
  <c r="N171" i="19" s="1"/>
  <c r="G183" i="6"/>
  <c r="H183" i="6"/>
  <c r="J183" i="6"/>
  <c r="F184" i="6"/>
  <c r="I172" i="6" s="1"/>
  <c r="O173" i="6" s="1"/>
  <c r="M173" i="19" s="1"/>
  <c r="T216" i="19" l="1"/>
  <c r="S217" i="19"/>
  <c r="R217" i="19"/>
  <c r="Q217" i="19"/>
  <c r="P217" i="19"/>
  <c r="E217" i="19"/>
  <c r="C218" i="19"/>
  <c r="H216" i="19"/>
  <c r="D217" i="19"/>
  <c r="F216" i="19"/>
  <c r="G204" i="19"/>
  <c r="M173" i="6"/>
  <c r="K173" i="19" s="1"/>
  <c r="L171" i="6"/>
  <c r="J171" i="19" s="1"/>
  <c r="N173" i="6"/>
  <c r="L173" i="19" s="1"/>
  <c r="P172" i="6"/>
  <c r="N172" i="19" s="1"/>
  <c r="J184" i="6"/>
  <c r="H184" i="6"/>
  <c r="F185" i="6"/>
  <c r="I173" i="6" s="1"/>
  <c r="O174" i="6" s="1"/>
  <c r="M174" i="19" s="1"/>
  <c r="G184" i="6"/>
  <c r="T217" i="19" l="1"/>
  <c r="S218" i="19"/>
  <c r="Q218" i="19"/>
  <c r="P218" i="19"/>
  <c r="R218" i="19"/>
  <c r="E218" i="19"/>
  <c r="C219" i="19"/>
  <c r="D218" i="19"/>
  <c r="F217" i="19"/>
  <c r="H217" i="19"/>
  <c r="G205" i="19"/>
  <c r="L172" i="6"/>
  <c r="J172" i="19" s="1"/>
  <c r="M174" i="6"/>
  <c r="K174" i="19" s="1"/>
  <c r="N174" i="6"/>
  <c r="L174" i="19" s="1"/>
  <c r="P173" i="6"/>
  <c r="N173" i="19" s="1"/>
  <c r="G185" i="6"/>
  <c r="F186" i="6"/>
  <c r="I174" i="6" s="1"/>
  <c r="O175" i="6" s="1"/>
  <c r="M175" i="19" s="1"/>
  <c r="H185" i="6"/>
  <c r="J185" i="6"/>
  <c r="T218" i="19" l="1"/>
  <c r="S219" i="19"/>
  <c r="R219" i="19"/>
  <c r="Q219" i="19"/>
  <c r="P219" i="19"/>
  <c r="E219" i="19"/>
  <c r="C220" i="19"/>
  <c r="D219" i="19"/>
  <c r="H218" i="19"/>
  <c r="F218" i="19"/>
  <c r="G206" i="19"/>
  <c r="N175" i="6"/>
  <c r="L175" i="19" s="1"/>
  <c r="M175" i="6"/>
  <c r="K175" i="19" s="1"/>
  <c r="L173" i="6"/>
  <c r="J173" i="19" s="1"/>
  <c r="P174" i="6"/>
  <c r="N174" i="19" s="1"/>
  <c r="F187" i="6"/>
  <c r="I175" i="6" s="1"/>
  <c r="O176" i="6" s="1"/>
  <c r="M176" i="19" s="1"/>
  <c r="H186" i="6"/>
  <c r="J186" i="6"/>
  <c r="G186" i="6"/>
  <c r="T219" i="19" l="1"/>
  <c r="S220" i="19"/>
  <c r="Q220" i="19"/>
  <c r="R220" i="19"/>
  <c r="P220" i="19"/>
  <c r="C221" i="19"/>
  <c r="E220" i="19"/>
  <c r="F219" i="19"/>
  <c r="D220" i="19"/>
  <c r="H219" i="19"/>
  <c r="G207" i="19"/>
  <c r="M176" i="6"/>
  <c r="K176" i="19" s="1"/>
  <c r="N176" i="6"/>
  <c r="L176" i="19" s="1"/>
  <c r="L174" i="6"/>
  <c r="J174" i="19" s="1"/>
  <c r="P175" i="6"/>
  <c r="N175" i="19" s="1"/>
  <c r="G187" i="6"/>
  <c r="H187" i="6"/>
  <c r="F188" i="6"/>
  <c r="I176" i="6" s="1"/>
  <c r="O177" i="6" s="1"/>
  <c r="M177" i="19" s="1"/>
  <c r="J187" i="6"/>
  <c r="T220" i="19" l="1"/>
  <c r="S221" i="19"/>
  <c r="P221" i="19"/>
  <c r="R221" i="19"/>
  <c r="Q221" i="19"/>
  <c r="E221" i="19"/>
  <c r="C222" i="19"/>
  <c r="D221" i="19"/>
  <c r="H220" i="19"/>
  <c r="F220" i="19"/>
  <c r="G208" i="19"/>
  <c r="L175" i="6"/>
  <c r="J175" i="19" s="1"/>
  <c r="N177" i="6"/>
  <c r="L177" i="19" s="1"/>
  <c r="M177" i="6"/>
  <c r="K177" i="19" s="1"/>
  <c r="P176" i="6"/>
  <c r="N176" i="19" s="1"/>
  <c r="J188" i="6"/>
  <c r="F189" i="6"/>
  <c r="I177" i="6" s="1"/>
  <c r="O178" i="6" s="1"/>
  <c r="M178" i="19" s="1"/>
  <c r="H188" i="6"/>
  <c r="G188" i="6"/>
  <c r="T221" i="19" l="1"/>
  <c r="S222" i="19"/>
  <c r="Q222" i="19"/>
  <c r="R222" i="19"/>
  <c r="P222" i="19"/>
  <c r="E222" i="19"/>
  <c r="C223" i="19"/>
  <c r="D222" i="19"/>
  <c r="H221" i="19"/>
  <c r="F221" i="19"/>
  <c r="G209" i="19"/>
  <c r="N178" i="6"/>
  <c r="L178" i="19" s="1"/>
  <c r="L176" i="6"/>
  <c r="J176" i="19" s="1"/>
  <c r="M178" i="6"/>
  <c r="K178" i="19" s="1"/>
  <c r="P177" i="6"/>
  <c r="N177" i="19" s="1"/>
  <c r="F190" i="6"/>
  <c r="H189" i="6"/>
  <c r="J189" i="6"/>
  <c r="G189" i="6"/>
  <c r="I178" i="6" l="1"/>
  <c r="O179" i="6" s="1"/>
  <c r="M179" i="19" s="1"/>
  <c r="AG31" i="9"/>
  <c r="AG27" i="9"/>
  <c r="AG30" i="9"/>
  <c r="AF31" i="9"/>
  <c r="AF27" i="9"/>
  <c r="AF30" i="9"/>
  <c r="AF25" i="9"/>
  <c r="AG32" i="9"/>
  <c r="AG23" i="9"/>
  <c r="AF32" i="9"/>
  <c r="AF23" i="9"/>
  <c r="AG26" i="9"/>
  <c r="AG28" i="9"/>
  <c r="AF26" i="9"/>
  <c r="AF28" i="9"/>
  <c r="AG29" i="9"/>
  <c r="AG25" i="9"/>
  <c r="AF29" i="9"/>
  <c r="AG17" i="9"/>
  <c r="AF20" i="9"/>
  <c r="AG19" i="9"/>
  <c r="AF17" i="9"/>
  <c r="AG16" i="9"/>
  <c r="AF19" i="9"/>
  <c r="AF16" i="9"/>
  <c r="AF13" i="9"/>
  <c r="AG15" i="9"/>
  <c r="AF15" i="9"/>
  <c r="AG24" i="9"/>
  <c r="AG13" i="9"/>
  <c r="AF24" i="9"/>
  <c r="AG20" i="9"/>
  <c r="AG21" i="9"/>
  <c r="AG18" i="9"/>
  <c r="AG11" i="9"/>
  <c r="AF11" i="9"/>
  <c r="AG10" i="9"/>
  <c r="AF21" i="9"/>
  <c r="AF18" i="9"/>
  <c r="AG14" i="9"/>
  <c r="AG22" i="9"/>
  <c r="AG8" i="9"/>
  <c r="AF12" i="9"/>
  <c r="AF14" i="9"/>
  <c r="AF22" i="9"/>
  <c r="AG9" i="9"/>
  <c r="AF9" i="9"/>
  <c r="AF8" i="9"/>
  <c r="AG12" i="9"/>
  <c r="AF10" i="9"/>
  <c r="T222" i="19"/>
  <c r="S223" i="19"/>
  <c r="R223" i="19"/>
  <c r="Q223" i="19"/>
  <c r="P223" i="19"/>
  <c r="E223" i="19"/>
  <c r="C224" i="19"/>
  <c r="F222" i="19"/>
  <c r="D223" i="19"/>
  <c r="H222" i="19"/>
  <c r="G210" i="19"/>
  <c r="G190" i="6"/>
  <c r="J190" i="6"/>
  <c r="H190" i="6"/>
  <c r="F191" i="6"/>
  <c r="I179" i="6" s="1"/>
  <c r="AH31" i="9" l="1"/>
  <c r="AH27" i="9"/>
  <c r="AH30" i="9"/>
  <c r="N179" i="6"/>
  <c r="L179" i="19" s="1"/>
  <c r="M179" i="6"/>
  <c r="K179" i="19" s="1"/>
  <c r="O180" i="6"/>
  <c r="M180" i="19" s="1"/>
  <c r="L177" i="6"/>
  <c r="J177" i="19" s="1"/>
  <c r="P178" i="6"/>
  <c r="N178" i="19" s="1"/>
  <c r="AH17" i="9"/>
  <c r="AH24" i="9"/>
  <c r="AH28" i="9"/>
  <c r="AH29" i="9"/>
  <c r="AH8" i="9"/>
  <c r="AH9" i="9"/>
  <c r="AH22" i="9"/>
  <c r="AH14" i="9"/>
  <c r="AH15" i="9"/>
  <c r="AH32" i="9"/>
  <c r="AH18" i="9"/>
  <c r="AH25" i="9"/>
  <c r="AH11" i="9"/>
  <c r="AH20" i="9"/>
  <c r="AH21" i="9"/>
  <c r="AH26" i="9"/>
  <c r="AH12" i="9"/>
  <c r="AH23" i="9"/>
  <c r="AH10" i="9"/>
  <c r="AH13" i="9"/>
  <c r="AH16" i="9"/>
  <c r="AH19" i="9"/>
  <c r="T223" i="19"/>
  <c r="S224" i="19"/>
  <c r="Q224" i="19"/>
  <c r="P224" i="19"/>
  <c r="R224" i="19"/>
  <c r="E224" i="19"/>
  <c r="C225" i="19"/>
  <c r="H223" i="19"/>
  <c r="F223" i="19"/>
  <c r="D224" i="19"/>
  <c r="G211" i="19"/>
  <c r="M180" i="6"/>
  <c r="K180" i="19" s="1"/>
  <c r="N180" i="6"/>
  <c r="L180" i="19" s="1"/>
  <c r="L178" i="6"/>
  <c r="J178" i="19" s="1"/>
  <c r="G191" i="6"/>
  <c r="H191" i="6"/>
  <c r="F192" i="6"/>
  <c r="I180" i="6" s="1"/>
  <c r="O181" i="6" s="1"/>
  <c r="M181" i="19" s="1"/>
  <c r="J191" i="6"/>
  <c r="P179" i="6" l="1"/>
  <c r="N179" i="19" s="1"/>
  <c r="T224" i="19"/>
  <c r="S225" i="19"/>
  <c r="R225" i="19"/>
  <c r="Q225" i="19"/>
  <c r="P225" i="19"/>
  <c r="C226" i="19"/>
  <c r="E225" i="19"/>
  <c r="D225" i="19"/>
  <c r="H224" i="19"/>
  <c r="F224" i="19"/>
  <c r="G212" i="19"/>
  <c r="L179" i="6"/>
  <c r="J179" i="19" s="1"/>
  <c r="M181" i="6"/>
  <c r="K181" i="19" s="1"/>
  <c r="N181" i="6"/>
  <c r="L181" i="19" s="1"/>
  <c r="P180" i="6"/>
  <c r="N180" i="19" s="1"/>
  <c r="J192" i="6"/>
  <c r="H192" i="6"/>
  <c r="F193" i="6"/>
  <c r="I181" i="6" s="1"/>
  <c r="O182" i="6" s="1"/>
  <c r="M182" i="19" s="1"/>
  <c r="G192" i="6"/>
  <c r="T225" i="19" l="1"/>
  <c r="S226" i="19"/>
  <c r="Q226" i="19"/>
  <c r="R226" i="19"/>
  <c r="P226" i="19"/>
  <c r="E226" i="19"/>
  <c r="C227" i="19"/>
  <c r="D226" i="19"/>
  <c r="H225" i="19"/>
  <c r="F225" i="19"/>
  <c r="G213" i="19"/>
  <c r="M182" i="6"/>
  <c r="K182" i="19" s="1"/>
  <c r="L180" i="6"/>
  <c r="J180" i="19" s="1"/>
  <c r="N182" i="6"/>
  <c r="L182" i="19" s="1"/>
  <c r="P181" i="6"/>
  <c r="N181" i="19" s="1"/>
  <c r="G193" i="6"/>
  <c r="F194" i="6"/>
  <c r="I182" i="6" s="1"/>
  <c r="O183" i="6" s="1"/>
  <c r="M183" i="19" s="1"/>
  <c r="H193" i="6"/>
  <c r="J193" i="6"/>
  <c r="T226" i="19" l="1"/>
  <c r="S227" i="19"/>
  <c r="Q227" i="19"/>
  <c r="P227" i="19"/>
  <c r="R227" i="19"/>
  <c r="C228" i="19"/>
  <c r="E227" i="19"/>
  <c r="F226" i="19"/>
  <c r="D227" i="19"/>
  <c r="H226" i="19"/>
  <c r="G214" i="19"/>
  <c r="N183" i="6"/>
  <c r="L183" i="19" s="1"/>
  <c r="L181" i="6"/>
  <c r="J181" i="19" s="1"/>
  <c r="M183" i="6"/>
  <c r="K183" i="19" s="1"/>
  <c r="P182" i="6"/>
  <c r="N182" i="19" s="1"/>
  <c r="H194" i="6"/>
  <c r="F195" i="6"/>
  <c r="I183" i="6" s="1"/>
  <c r="O184" i="6" s="1"/>
  <c r="M184" i="19" s="1"/>
  <c r="J194" i="6"/>
  <c r="G194" i="6"/>
  <c r="T227" i="19" l="1"/>
  <c r="S228" i="19"/>
  <c r="Q228" i="19"/>
  <c r="R228" i="19"/>
  <c r="P228" i="19"/>
  <c r="C229" i="19"/>
  <c r="E228" i="19"/>
  <c r="H227" i="19"/>
  <c r="F227" i="19"/>
  <c r="D228" i="19"/>
  <c r="G215" i="19"/>
  <c r="L182" i="6"/>
  <c r="J182" i="19" s="1"/>
  <c r="N184" i="6"/>
  <c r="L184" i="19" s="1"/>
  <c r="M184" i="6"/>
  <c r="K184" i="19" s="1"/>
  <c r="P183" i="6"/>
  <c r="N183" i="19" s="1"/>
  <c r="G195" i="6"/>
  <c r="H195" i="6"/>
  <c r="F196" i="6"/>
  <c r="I184" i="6" s="1"/>
  <c r="O185" i="6" s="1"/>
  <c r="M185" i="19" s="1"/>
  <c r="J195" i="6"/>
  <c r="T228" i="19" l="1"/>
  <c r="S229" i="19"/>
  <c r="R229" i="19"/>
  <c r="Q229" i="19"/>
  <c r="P229" i="19"/>
  <c r="C230" i="19"/>
  <c r="E229" i="19"/>
  <c r="D229" i="19"/>
  <c r="H228" i="19"/>
  <c r="F228" i="19"/>
  <c r="G216" i="19"/>
  <c r="M185" i="6"/>
  <c r="K185" i="19" s="1"/>
  <c r="N185" i="6"/>
  <c r="L185" i="19" s="1"/>
  <c r="L183" i="6"/>
  <c r="J183" i="19" s="1"/>
  <c r="P184" i="6"/>
  <c r="N184" i="19" s="1"/>
  <c r="G196" i="6"/>
  <c r="J196" i="6"/>
  <c r="H196" i="6"/>
  <c r="F197" i="6"/>
  <c r="I185" i="6" s="1"/>
  <c r="O186" i="6" s="1"/>
  <c r="M186" i="19" s="1"/>
  <c r="T229" i="19" l="1"/>
  <c r="S230" i="19"/>
  <c r="Q230" i="19"/>
  <c r="R230" i="19"/>
  <c r="P230" i="19"/>
  <c r="E230" i="19"/>
  <c r="C231" i="19"/>
  <c r="D230" i="19"/>
  <c r="H229" i="19"/>
  <c r="F229" i="19"/>
  <c r="G217" i="19"/>
  <c r="P185" i="6"/>
  <c r="N185" i="19" s="1"/>
  <c r="L184" i="6"/>
  <c r="J184" i="19" s="1"/>
  <c r="N186" i="6"/>
  <c r="L186" i="19" s="1"/>
  <c r="M186" i="6"/>
  <c r="K186" i="19" s="1"/>
  <c r="F198" i="6"/>
  <c r="I186" i="6" s="1"/>
  <c r="O187" i="6" s="1"/>
  <c r="M187" i="19" s="1"/>
  <c r="J197" i="6"/>
  <c r="H197" i="6"/>
  <c r="G197" i="6"/>
  <c r="T230" i="19" l="1"/>
  <c r="S231" i="19"/>
  <c r="R231" i="19"/>
  <c r="P231" i="19"/>
  <c r="Q231" i="19"/>
  <c r="C232" i="19"/>
  <c r="E231" i="19"/>
  <c r="F230" i="19"/>
  <c r="D231" i="19"/>
  <c r="H230" i="19"/>
  <c r="G218" i="19"/>
  <c r="M187" i="6"/>
  <c r="K187" i="19" s="1"/>
  <c r="L185" i="6"/>
  <c r="J185" i="19" s="1"/>
  <c r="N187" i="6"/>
  <c r="L187" i="19" s="1"/>
  <c r="P186" i="6"/>
  <c r="N186" i="19" s="1"/>
  <c r="G198" i="6"/>
  <c r="F199" i="6"/>
  <c r="I187" i="6" s="1"/>
  <c r="O188" i="6" s="1"/>
  <c r="M188" i="19" s="1"/>
  <c r="J198" i="6"/>
  <c r="H198" i="6"/>
  <c r="T231" i="19" l="1"/>
  <c r="S232" i="19"/>
  <c r="Q232" i="19"/>
  <c r="R232" i="19"/>
  <c r="P232" i="19"/>
  <c r="E232" i="19"/>
  <c r="C233" i="19"/>
  <c r="H231" i="19"/>
  <c r="F231" i="19"/>
  <c r="D232" i="19"/>
  <c r="G219" i="19"/>
  <c r="N188" i="6"/>
  <c r="L188" i="19" s="1"/>
  <c r="L186" i="6"/>
  <c r="J186" i="19" s="1"/>
  <c r="M188" i="6"/>
  <c r="K188" i="19" s="1"/>
  <c r="P187" i="6"/>
  <c r="N187" i="19" s="1"/>
  <c r="H199" i="6"/>
  <c r="J199" i="6"/>
  <c r="F200" i="6"/>
  <c r="I188" i="6" s="1"/>
  <c r="O189" i="6" s="1"/>
  <c r="M189" i="19" s="1"/>
  <c r="G199" i="6"/>
  <c r="T232" i="19" l="1"/>
  <c r="S233" i="19"/>
  <c r="R233" i="19"/>
  <c r="Q233" i="19"/>
  <c r="P233" i="19"/>
  <c r="E233" i="19"/>
  <c r="C234" i="19"/>
  <c r="D233" i="19"/>
  <c r="H232" i="19"/>
  <c r="F232" i="19"/>
  <c r="G220" i="19"/>
  <c r="N189" i="6"/>
  <c r="L189" i="19" s="1"/>
  <c r="M189" i="6"/>
  <c r="K189" i="19" s="1"/>
  <c r="L187" i="6"/>
  <c r="J187" i="19" s="1"/>
  <c r="P188" i="6"/>
  <c r="N188" i="19" s="1"/>
  <c r="G200" i="6"/>
  <c r="J200" i="6"/>
  <c r="H200" i="6"/>
  <c r="F201" i="6"/>
  <c r="I189" i="6" s="1"/>
  <c r="O190" i="6" s="1"/>
  <c r="M190" i="19" s="1"/>
  <c r="T233" i="19" l="1"/>
  <c r="S234" i="19"/>
  <c r="Q234" i="19"/>
  <c r="P234" i="19"/>
  <c r="R234" i="19"/>
  <c r="E234" i="19"/>
  <c r="C235" i="19"/>
  <c r="D234" i="19"/>
  <c r="H233" i="19"/>
  <c r="F233" i="19"/>
  <c r="G221" i="19"/>
  <c r="L188" i="6"/>
  <c r="J188" i="19" s="1"/>
  <c r="M190" i="6"/>
  <c r="K190" i="19" s="1"/>
  <c r="N190" i="6"/>
  <c r="L190" i="19" s="1"/>
  <c r="P189" i="6"/>
  <c r="N189" i="19" s="1"/>
  <c r="F202" i="6"/>
  <c r="I190" i="6" s="1"/>
  <c r="O191" i="6" s="1"/>
  <c r="M191" i="19" s="1"/>
  <c r="H201" i="6"/>
  <c r="J201" i="6"/>
  <c r="G201" i="6"/>
  <c r="T234" i="19" l="1"/>
  <c r="S235" i="19"/>
  <c r="R235" i="19"/>
  <c r="Q235" i="19"/>
  <c r="P235" i="19"/>
  <c r="C236" i="19"/>
  <c r="E235" i="19"/>
  <c r="F234" i="19"/>
  <c r="D235" i="19"/>
  <c r="H234" i="19"/>
  <c r="G222" i="19"/>
  <c r="N191" i="6"/>
  <c r="L191" i="19" s="1"/>
  <c r="L189" i="6"/>
  <c r="J189" i="19" s="1"/>
  <c r="M191" i="6"/>
  <c r="K191" i="19" s="1"/>
  <c r="P190" i="6"/>
  <c r="N190" i="19" s="1"/>
  <c r="G202" i="6"/>
  <c r="F203" i="6"/>
  <c r="I191" i="6" s="1"/>
  <c r="O192" i="6" s="1"/>
  <c r="M192" i="19" s="1"/>
  <c r="H202" i="6"/>
  <c r="J202" i="6"/>
  <c r="T235" i="19" l="1"/>
  <c r="S236" i="19"/>
  <c r="Q236" i="19"/>
  <c r="P236" i="19"/>
  <c r="R236" i="19"/>
  <c r="C237" i="19"/>
  <c r="E236" i="19"/>
  <c r="H235" i="19"/>
  <c r="F235" i="19"/>
  <c r="D236" i="19"/>
  <c r="G223" i="19"/>
  <c r="M192" i="6"/>
  <c r="K192" i="19" s="1"/>
  <c r="N192" i="6"/>
  <c r="L192" i="19" s="1"/>
  <c r="L190" i="6"/>
  <c r="J190" i="19" s="1"/>
  <c r="P191" i="6"/>
  <c r="N191" i="19" s="1"/>
  <c r="G203" i="6"/>
  <c r="H203" i="6"/>
  <c r="J203" i="6"/>
  <c r="F204" i="6"/>
  <c r="I192" i="6" s="1"/>
  <c r="O193" i="6" s="1"/>
  <c r="M193" i="19" s="1"/>
  <c r="T236" i="19" l="1"/>
  <c r="S237" i="19"/>
  <c r="R237" i="19"/>
  <c r="Q237" i="19"/>
  <c r="P237" i="19"/>
  <c r="E237" i="19"/>
  <c r="C238" i="19"/>
  <c r="D237" i="19"/>
  <c r="H236" i="19"/>
  <c r="F236" i="19"/>
  <c r="G224" i="19"/>
  <c r="L191" i="6"/>
  <c r="J191" i="19" s="1"/>
  <c r="N193" i="6"/>
  <c r="L193" i="19" s="1"/>
  <c r="P192" i="6"/>
  <c r="N192" i="19" s="1"/>
  <c r="M193" i="6"/>
  <c r="K193" i="19" s="1"/>
  <c r="G204" i="6"/>
  <c r="J204" i="6"/>
  <c r="F205" i="6"/>
  <c r="I193" i="6" s="1"/>
  <c r="O194" i="6" s="1"/>
  <c r="M194" i="19" s="1"/>
  <c r="H204" i="6"/>
  <c r="T237" i="19" l="1"/>
  <c r="S238" i="19"/>
  <c r="Q238" i="19"/>
  <c r="P238" i="19"/>
  <c r="R238" i="19"/>
  <c r="C239" i="19"/>
  <c r="E238" i="19"/>
  <c r="D238" i="19"/>
  <c r="H237" i="19"/>
  <c r="F237" i="19"/>
  <c r="G225" i="19"/>
  <c r="M194" i="6"/>
  <c r="K194" i="19" s="1"/>
  <c r="L192" i="6"/>
  <c r="J192" i="19" s="1"/>
  <c r="N194" i="6"/>
  <c r="L194" i="19" s="1"/>
  <c r="P193" i="6"/>
  <c r="N193" i="19" s="1"/>
  <c r="F206" i="6"/>
  <c r="I194" i="6" s="1"/>
  <c r="O195" i="6" s="1"/>
  <c r="M195" i="19" s="1"/>
  <c r="H205" i="6"/>
  <c r="J205" i="6"/>
  <c r="G205" i="6"/>
  <c r="T238" i="19" l="1"/>
  <c r="S239" i="19"/>
  <c r="R239" i="19"/>
  <c r="Q239" i="19"/>
  <c r="P239" i="19"/>
  <c r="C240" i="19"/>
  <c r="E239" i="19"/>
  <c r="F238" i="19"/>
  <c r="D239" i="19"/>
  <c r="H238" i="19"/>
  <c r="G226" i="19"/>
  <c r="L193" i="6"/>
  <c r="J193" i="19" s="1"/>
  <c r="M195" i="6"/>
  <c r="K195" i="19" s="1"/>
  <c r="N195" i="6"/>
  <c r="L195" i="19" s="1"/>
  <c r="P194" i="6"/>
  <c r="N194" i="19" s="1"/>
  <c r="G206" i="6"/>
  <c r="J206" i="6"/>
  <c r="F207" i="6"/>
  <c r="I195" i="6" s="1"/>
  <c r="O196" i="6" s="1"/>
  <c r="M196" i="19" s="1"/>
  <c r="H206" i="6"/>
  <c r="T239" i="19" l="1"/>
  <c r="S240" i="19"/>
  <c r="Q240" i="19"/>
  <c r="P240" i="19"/>
  <c r="R240" i="19"/>
  <c r="E240" i="19"/>
  <c r="C241" i="19"/>
  <c r="H239" i="19"/>
  <c r="F239" i="19"/>
  <c r="D240" i="19"/>
  <c r="G227" i="19"/>
  <c r="N196" i="6"/>
  <c r="L196" i="19" s="1"/>
  <c r="M196" i="6"/>
  <c r="K196" i="19" s="1"/>
  <c r="L194" i="6"/>
  <c r="J194" i="19" s="1"/>
  <c r="P195" i="6"/>
  <c r="N195" i="19" s="1"/>
  <c r="G207" i="6"/>
  <c r="H207" i="6"/>
  <c r="J207" i="6"/>
  <c r="F208" i="6"/>
  <c r="I196" i="6" s="1"/>
  <c r="O197" i="6" s="1"/>
  <c r="M197" i="19" s="1"/>
  <c r="T240" i="19" l="1"/>
  <c r="S241" i="19"/>
  <c r="R241" i="19"/>
  <c r="P241" i="19"/>
  <c r="Q241" i="19"/>
  <c r="E241" i="19"/>
  <c r="C242" i="19"/>
  <c r="D241" i="19"/>
  <c r="H240" i="19"/>
  <c r="F240" i="19"/>
  <c r="G228" i="19"/>
  <c r="L195" i="6"/>
  <c r="J195" i="19" s="1"/>
  <c r="M197" i="6"/>
  <c r="K197" i="19" s="1"/>
  <c r="P196" i="6"/>
  <c r="N196" i="19" s="1"/>
  <c r="N197" i="6"/>
  <c r="L197" i="19" s="1"/>
  <c r="J208" i="6"/>
  <c r="H208" i="6"/>
  <c r="F209" i="6"/>
  <c r="I197" i="6" s="1"/>
  <c r="O198" i="6" s="1"/>
  <c r="M198" i="19" s="1"/>
  <c r="G208" i="6"/>
  <c r="T241" i="19" l="1"/>
  <c r="S242" i="19"/>
  <c r="Q242" i="19"/>
  <c r="P242" i="19"/>
  <c r="R242" i="19"/>
  <c r="C243" i="19"/>
  <c r="E242" i="19"/>
  <c r="D242" i="19"/>
  <c r="H241" i="19"/>
  <c r="F241" i="19"/>
  <c r="G229" i="19"/>
  <c r="N198" i="6"/>
  <c r="L198" i="19" s="1"/>
  <c r="M198" i="6"/>
  <c r="K198" i="19" s="1"/>
  <c r="L196" i="6"/>
  <c r="J196" i="19" s="1"/>
  <c r="P197" i="6"/>
  <c r="N197" i="19" s="1"/>
  <c r="F210" i="6"/>
  <c r="I198" i="6" s="1"/>
  <c r="O199" i="6" s="1"/>
  <c r="M199" i="19" s="1"/>
  <c r="H209" i="6"/>
  <c r="J209" i="6"/>
  <c r="G209" i="6"/>
  <c r="T242" i="19" l="1"/>
  <c r="S243" i="19"/>
  <c r="S10" i="19" s="1"/>
  <c r="R243" i="19"/>
  <c r="R10" i="19" s="1"/>
  <c r="Q243" i="19"/>
  <c r="Q10" i="19" s="1"/>
  <c r="P243" i="19"/>
  <c r="P10" i="19" s="1"/>
  <c r="E243" i="19"/>
  <c r="C244" i="19"/>
  <c r="F242" i="19"/>
  <c r="D243" i="19"/>
  <c r="H242" i="19"/>
  <c r="G230" i="19"/>
  <c r="L197" i="6"/>
  <c r="J197" i="19" s="1"/>
  <c r="M199" i="6"/>
  <c r="K199" i="19" s="1"/>
  <c r="N199" i="6"/>
  <c r="L199" i="19" s="1"/>
  <c r="P198" i="6"/>
  <c r="N198" i="19" s="1"/>
  <c r="G210" i="6"/>
  <c r="H210" i="6"/>
  <c r="F211" i="6"/>
  <c r="I199" i="6" s="1"/>
  <c r="O200" i="6" s="1"/>
  <c r="M200" i="19" s="1"/>
  <c r="J210" i="6"/>
  <c r="T243" i="19" l="1"/>
  <c r="T10" i="19" s="1"/>
  <c r="S244" i="19"/>
  <c r="Q244" i="19"/>
  <c r="P244" i="19"/>
  <c r="R244" i="19"/>
  <c r="E244" i="19"/>
  <c r="C245" i="19"/>
  <c r="H243" i="19"/>
  <c r="F243" i="19"/>
  <c r="D244" i="19"/>
  <c r="G231" i="19"/>
  <c r="N200" i="6"/>
  <c r="L200" i="19" s="1"/>
  <c r="M200" i="6"/>
  <c r="K200" i="19" s="1"/>
  <c r="L198" i="6"/>
  <c r="J198" i="19" s="1"/>
  <c r="P199" i="6"/>
  <c r="N199" i="19" s="1"/>
  <c r="G211" i="6"/>
  <c r="H211" i="6"/>
  <c r="F212" i="6"/>
  <c r="I200" i="6" s="1"/>
  <c r="O201" i="6" s="1"/>
  <c r="M201" i="19" s="1"/>
  <c r="J211" i="6"/>
  <c r="T244" i="19" l="1"/>
  <c r="S245" i="19"/>
  <c r="R245" i="19"/>
  <c r="Q245" i="19"/>
  <c r="P245" i="19"/>
  <c r="C246" i="19"/>
  <c r="E245" i="19"/>
  <c r="D245" i="19"/>
  <c r="H244" i="19"/>
  <c r="F244" i="19"/>
  <c r="G232" i="19"/>
  <c r="L199" i="6"/>
  <c r="J199" i="19" s="1"/>
  <c r="M201" i="6"/>
  <c r="K201" i="19" s="1"/>
  <c r="N201" i="6"/>
  <c r="L201" i="19" s="1"/>
  <c r="P200" i="6"/>
  <c r="N200" i="19" s="1"/>
  <c r="J212" i="6"/>
  <c r="H212" i="6"/>
  <c r="F213" i="6"/>
  <c r="I201" i="6" s="1"/>
  <c r="O202" i="6" s="1"/>
  <c r="M202" i="19" s="1"/>
  <c r="G212" i="6"/>
  <c r="T245" i="19" l="1"/>
  <c r="S246" i="19"/>
  <c r="Q246" i="19"/>
  <c r="P246" i="19"/>
  <c r="R246" i="19"/>
  <c r="E246" i="19"/>
  <c r="C247" i="19"/>
  <c r="D246" i="19"/>
  <c r="H245" i="19"/>
  <c r="F245" i="19"/>
  <c r="G233" i="19"/>
  <c r="N202" i="6"/>
  <c r="L202" i="19" s="1"/>
  <c r="L200" i="6"/>
  <c r="J200" i="19" s="1"/>
  <c r="M202" i="6"/>
  <c r="K202" i="19" s="1"/>
  <c r="P201" i="6"/>
  <c r="N201" i="19" s="1"/>
  <c r="G213" i="6"/>
  <c r="F214" i="6"/>
  <c r="I202" i="6" s="1"/>
  <c r="O203" i="6" s="1"/>
  <c r="M203" i="19" s="1"/>
  <c r="J213" i="6"/>
  <c r="H213" i="6"/>
  <c r="T246" i="19" l="1"/>
  <c r="S247" i="19"/>
  <c r="R247" i="19"/>
  <c r="P247" i="19"/>
  <c r="Q247" i="19"/>
  <c r="C248" i="19"/>
  <c r="E247" i="19"/>
  <c r="F246" i="19"/>
  <c r="D247" i="19"/>
  <c r="H246" i="19"/>
  <c r="G234" i="19"/>
  <c r="M203" i="6"/>
  <c r="K203" i="19" s="1"/>
  <c r="L201" i="6"/>
  <c r="J201" i="19" s="1"/>
  <c r="N203" i="6"/>
  <c r="L203" i="19" s="1"/>
  <c r="P202" i="6"/>
  <c r="N202" i="19" s="1"/>
  <c r="H214" i="6"/>
  <c r="F215" i="6"/>
  <c r="I203" i="6" s="1"/>
  <c r="O204" i="6" s="1"/>
  <c r="M204" i="19" s="1"/>
  <c r="J214" i="6"/>
  <c r="G214" i="6"/>
  <c r="T247" i="19" l="1"/>
  <c r="S248" i="19"/>
  <c r="Q248" i="19"/>
  <c r="P248" i="19"/>
  <c r="R248" i="19"/>
  <c r="C249" i="19"/>
  <c r="E248" i="19"/>
  <c r="H247" i="19"/>
  <c r="F247" i="19"/>
  <c r="D248" i="19"/>
  <c r="G235" i="19"/>
  <c r="L202" i="6"/>
  <c r="J202" i="19" s="1"/>
  <c r="M204" i="6"/>
  <c r="K204" i="19" s="1"/>
  <c r="N204" i="6"/>
  <c r="L204" i="19" s="1"/>
  <c r="P203" i="6"/>
  <c r="N203" i="19" s="1"/>
  <c r="G215" i="6"/>
  <c r="H215" i="6"/>
  <c r="J215" i="6"/>
  <c r="F216" i="6"/>
  <c r="I204" i="6" s="1"/>
  <c r="O205" i="6" s="1"/>
  <c r="M205" i="19" s="1"/>
  <c r="T248" i="19" l="1"/>
  <c r="S249" i="19"/>
  <c r="R249" i="19"/>
  <c r="Q249" i="19"/>
  <c r="P249" i="19"/>
  <c r="E249" i="19"/>
  <c r="C250" i="19"/>
  <c r="D249" i="19"/>
  <c r="H248" i="19"/>
  <c r="F248" i="19"/>
  <c r="G236" i="19"/>
  <c r="N205" i="6"/>
  <c r="L205" i="19" s="1"/>
  <c r="M205" i="6"/>
  <c r="K205" i="19" s="1"/>
  <c r="L203" i="6"/>
  <c r="J203" i="19" s="1"/>
  <c r="P204" i="6"/>
  <c r="N204" i="19" s="1"/>
  <c r="J216" i="6"/>
  <c r="H216" i="6"/>
  <c r="F217" i="6"/>
  <c r="I205" i="6" s="1"/>
  <c r="O206" i="6" s="1"/>
  <c r="M206" i="19" s="1"/>
  <c r="G216" i="6"/>
  <c r="T249" i="19" l="1"/>
  <c r="S250" i="19"/>
  <c r="Q250" i="19"/>
  <c r="P250" i="19"/>
  <c r="R250" i="19"/>
  <c r="E250" i="19"/>
  <c r="C251" i="19"/>
  <c r="D250" i="19"/>
  <c r="H249" i="19"/>
  <c r="F249" i="19"/>
  <c r="G237" i="19"/>
  <c r="L204" i="6"/>
  <c r="J204" i="19" s="1"/>
  <c r="N206" i="6"/>
  <c r="L206" i="19" s="1"/>
  <c r="M206" i="6"/>
  <c r="K206" i="19" s="1"/>
  <c r="P205" i="6"/>
  <c r="N205" i="19" s="1"/>
  <c r="F218" i="6"/>
  <c r="I206" i="6" s="1"/>
  <c r="O207" i="6" s="1"/>
  <c r="M207" i="19" s="1"/>
  <c r="H217" i="6"/>
  <c r="J217" i="6"/>
  <c r="G217" i="6"/>
  <c r="T250" i="19" l="1"/>
  <c r="S251" i="19"/>
  <c r="R251" i="19"/>
  <c r="Q251" i="19"/>
  <c r="P251" i="19"/>
  <c r="C252" i="19"/>
  <c r="E251" i="19"/>
  <c r="F250" i="19"/>
  <c r="D251" i="19"/>
  <c r="H250" i="19"/>
  <c r="G238" i="19"/>
  <c r="N207" i="6"/>
  <c r="L207" i="19" s="1"/>
  <c r="L205" i="6"/>
  <c r="J205" i="19" s="1"/>
  <c r="M207" i="6"/>
  <c r="K207" i="19" s="1"/>
  <c r="P206" i="6"/>
  <c r="N206" i="19" s="1"/>
  <c r="G218" i="6"/>
  <c r="F219" i="6"/>
  <c r="I207" i="6" s="1"/>
  <c r="O208" i="6" s="1"/>
  <c r="M208" i="19" s="1"/>
  <c r="J218" i="6"/>
  <c r="H218" i="6"/>
  <c r="T251" i="19" l="1"/>
  <c r="S252" i="19"/>
  <c r="Q252" i="19"/>
  <c r="P252" i="19"/>
  <c r="R252" i="19"/>
  <c r="C253" i="19"/>
  <c r="E252" i="19"/>
  <c r="H251" i="19"/>
  <c r="F251" i="19"/>
  <c r="D252" i="19"/>
  <c r="G239" i="19"/>
  <c r="M208" i="6"/>
  <c r="K208" i="19" s="1"/>
  <c r="L206" i="6"/>
  <c r="J206" i="19" s="1"/>
  <c r="N208" i="6"/>
  <c r="L208" i="19" s="1"/>
  <c r="P207" i="6"/>
  <c r="N207" i="19" s="1"/>
  <c r="H219" i="6"/>
  <c r="J219" i="6"/>
  <c r="F220" i="6"/>
  <c r="I208" i="6" s="1"/>
  <c r="O209" i="6" s="1"/>
  <c r="M209" i="19" s="1"/>
  <c r="G219" i="6"/>
  <c r="T252" i="19" l="1"/>
  <c r="S253" i="19"/>
  <c r="R253" i="19"/>
  <c r="Q253" i="19"/>
  <c r="P253" i="19"/>
  <c r="E253" i="19"/>
  <c r="C254" i="19"/>
  <c r="D253" i="19"/>
  <c r="H252" i="19"/>
  <c r="F252" i="19"/>
  <c r="G240" i="19"/>
  <c r="L207" i="6"/>
  <c r="J207" i="19" s="1"/>
  <c r="M209" i="6"/>
  <c r="K209" i="19" s="1"/>
  <c r="N209" i="6"/>
  <c r="L209" i="19" s="1"/>
  <c r="P208" i="6"/>
  <c r="N208" i="19" s="1"/>
  <c r="F221" i="6"/>
  <c r="I209" i="6" s="1"/>
  <c r="O210" i="6" s="1"/>
  <c r="M210" i="19" s="1"/>
  <c r="J220" i="6"/>
  <c r="H220" i="6"/>
  <c r="G220" i="6"/>
  <c r="T253" i="19" l="1"/>
  <c r="S254" i="19"/>
  <c r="Q254" i="19"/>
  <c r="P254" i="19"/>
  <c r="R254" i="19"/>
  <c r="E254" i="19"/>
  <c r="C255" i="19"/>
  <c r="D254" i="19"/>
  <c r="H253" i="19"/>
  <c r="F253" i="19"/>
  <c r="G241" i="19"/>
  <c r="N210" i="6"/>
  <c r="L210" i="19" s="1"/>
  <c r="L208" i="6"/>
  <c r="J208" i="19" s="1"/>
  <c r="M210" i="6"/>
  <c r="K210" i="19" s="1"/>
  <c r="P209" i="6"/>
  <c r="N209" i="19" s="1"/>
  <c r="G221" i="6"/>
  <c r="H221" i="6"/>
  <c r="J221" i="6"/>
  <c r="F222" i="6"/>
  <c r="I210" i="6" s="1"/>
  <c r="O211" i="6" s="1"/>
  <c r="M211" i="19" s="1"/>
  <c r="T254" i="19" l="1"/>
  <c r="S255" i="19"/>
  <c r="R255" i="19"/>
  <c r="Q255" i="19"/>
  <c r="P255" i="19"/>
  <c r="E255" i="19"/>
  <c r="C256" i="19"/>
  <c r="F254" i="19"/>
  <c r="D255" i="19"/>
  <c r="H254" i="19"/>
  <c r="G242" i="19"/>
  <c r="M211" i="6"/>
  <c r="K211" i="19" s="1"/>
  <c r="N211" i="6"/>
  <c r="L211" i="19" s="1"/>
  <c r="L209" i="6"/>
  <c r="J209" i="19" s="1"/>
  <c r="P210" i="6"/>
  <c r="N210" i="19" s="1"/>
  <c r="H222" i="6"/>
  <c r="F223" i="6"/>
  <c r="I211" i="6" s="1"/>
  <c r="O212" i="6" s="1"/>
  <c r="M212" i="19" s="1"/>
  <c r="J222" i="6"/>
  <c r="G222" i="6"/>
  <c r="T255" i="19" l="1"/>
  <c r="S256" i="19"/>
  <c r="Q256" i="19"/>
  <c r="P256" i="19"/>
  <c r="R256" i="19"/>
  <c r="E256" i="19"/>
  <c r="C257" i="19"/>
  <c r="H255" i="19"/>
  <c r="F255" i="19"/>
  <c r="D256" i="19"/>
  <c r="G243" i="19"/>
  <c r="N212" i="6"/>
  <c r="L212" i="19" s="1"/>
  <c r="M212" i="6"/>
  <c r="K212" i="19" s="1"/>
  <c r="L210" i="6"/>
  <c r="J210" i="19" s="1"/>
  <c r="P211" i="6"/>
  <c r="N211" i="19" s="1"/>
  <c r="G223" i="6"/>
  <c r="F224" i="6"/>
  <c r="I212" i="6" s="1"/>
  <c r="O213" i="6" s="1"/>
  <c r="M213" i="19" s="1"/>
  <c r="H223" i="6"/>
  <c r="J223" i="6"/>
  <c r="T256" i="19" l="1"/>
  <c r="S257" i="19"/>
  <c r="R257" i="19"/>
  <c r="P257" i="19"/>
  <c r="Q257" i="19"/>
  <c r="C258" i="19"/>
  <c r="E257" i="19"/>
  <c r="D257" i="19"/>
  <c r="H256" i="19"/>
  <c r="F256" i="19"/>
  <c r="G244" i="19"/>
  <c r="L211" i="6"/>
  <c r="J211" i="19" s="1"/>
  <c r="M213" i="6"/>
  <c r="K213" i="19" s="1"/>
  <c r="N213" i="6"/>
  <c r="L213" i="19" s="1"/>
  <c r="P212" i="6"/>
  <c r="N212" i="19" s="1"/>
  <c r="F225" i="6"/>
  <c r="I213" i="6" s="1"/>
  <c r="O214" i="6" s="1"/>
  <c r="M214" i="19" s="1"/>
  <c r="H224" i="6"/>
  <c r="J224" i="6"/>
  <c r="G224" i="6"/>
  <c r="T257" i="19" l="1"/>
  <c r="S258" i="19"/>
  <c r="Q258" i="19"/>
  <c r="P258" i="19"/>
  <c r="R258" i="19"/>
  <c r="E258" i="19"/>
  <c r="C259" i="19"/>
  <c r="D258" i="19"/>
  <c r="H257" i="19"/>
  <c r="F257" i="19"/>
  <c r="G245" i="19"/>
  <c r="M214" i="6"/>
  <c r="K214" i="19" s="1"/>
  <c r="L212" i="6"/>
  <c r="J212" i="19" s="1"/>
  <c r="N214" i="6"/>
  <c r="L214" i="19" s="1"/>
  <c r="P213" i="6"/>
  <c r="N213" i="19" s="1"/>
  <c r="G225" i="6"/>
  <c r="J225" i="6"/>
  <c r="H225" i="6"/>
  <c r="F226" i="6"/>
  <c r="I214" i="6" s="1"/>
  <c r="O215" i="6" s="1"/>
  <c r="M215" i="19" s="1"/>
  <c r="T258" i="19" l="1"/>
  <c r="S259" i="19"/>
  <c r="R259" i="19"/>
  <c r="Q259" i="19"/>
  <c r="P259" i="19"/>
  <c r="E259" i="19"/>
  <c r="C260" i="19"/>
  <c r="F258" i="19"/>
  <c r="D259" i="19"/>
  <c r="H258" i="19"/>
  <c r="G246" i="19"/>
  <c r="N215" i="6"/>
  <c r="L215" i="19" s="1"/>
  <c r="L213" i="6"/>
  <c r="J213" i="19" s="1"/>
  <c r="M215" i="6"/>
  <c r="K215" i="19" s="1"/>
  <c r="P214" i="6"/>
  <c r="N214" i="19" s="1"/>
  <c r="F227" i="6"/>
  <c r="I215" i="6" s="1"/>
  <c r="O216" i="6" s="1"/>
  <c r="M216" i="19" s="1"/>
  <c r="J226" i="6"/>
  <c r="H226" i="6"/>
  <c r="G226" i="6"/>
  <c r="T259" i="19" l="1"/>
  <c r="S260" i="19"/>
  <c r="Q260" i="19"/>
  <c r="P260" i="19"/>
  <c r="R260" i="19"/>
  <c r="C261" i="19"/>
  <c r="E260" i="19"/>
  <c r="H259" i="19"/>
  <c r="D260" i="19"/>
  <c r="F259" i="19"/>
  <c r="G247" i="19"/>
  <c r="M216" i="6"/>
  <c r="K216" i="19" s="1"/>
  <c r="L214" i="6"/>
  <c r="J214" i="19" s="1"/>
  <c r="N216" i="6"/>
  <c r="L216" i="19" s="1"/>
  <c r="P215" i="6"/>
  <c r="N215" i="19" s="1"/>
  <c r="G227" i="6"/>
  <c r="H227" i="6"/>
  <c r="J227" i="6"/>
  <c r="F228" i="6"/>
  <c r="I216" i="6" s="1"/>
  <c r="O217" i="6" s="1"/>
  <c r="M217" i="19" s="1"/>
  <c r="T260" i="19" l="1"/>
  <c r="S261" i="19"/>
  <c r="R261" i="19"/>
  <c r="Q261" i="19"/>
  <c r="P261" i="19"/>
  <c r="E261" i="19"/>
  <c r="C262" i="19"/>
  <c r="D261" i="19"/>
  <c r="F260" i="19"/>
  <c r="H260" i="19"/>
  <c r="G248" i="19"/>
  <c r="N217" i="6"/>
  <c r="L217" i="19" s="1"/>
  <c r="L215" i="6"/>
  <c r="J215" i="19" s="1"/>
  <c r="M217" i="6"/>
  <c r="K217" i="19" s="1"/>
  <c r="P216" i="6"/>
  <c r="N216" i="19" s="1"/>
  <c r="H228" i="6"/>
  <c r="F229" i="6"/>
  <c r="I217" i="6" s="1"/>
  <c r="O218" i="6" s="1"/>
  <c r="M218" i="19" s="1"/>
  <c r="J228" i="6"/>
  <c r="G228" i="6"/>
  <c r="T261" i="19" l="1"/>
  <c r="S262" i="19"/>
  <c r="Q262" i="19"/>
  <c r="P262" i="19"/>
  <c r="R262" i="19"/>
  <c r="E262" i="19"/>
  <c r="C263" i="19"/>
  <c r="H261" i="19"/>
  <c r="F261" i="19"/>
  <c r="D262" i="19"/>
  <c r="G249" i="19"/>
  <c r="N218" i="6"/>
  <c r="L218" i="19" s="1"/>
  <c r="L216" i="6"/>
  <c r="J216" i="19" s="1"/>
  <c r="M218" i="6"/>
  <c r="K218" i="19" s="1"/>
  <c r="P217" i="6"/>
  <c r="N217" i="19" s="1"/>
  <c r="G229" i="6"/>
  <c r="J229" i="6"/>
  <c r="F230" i="6"/>
  <c r="I218" i="6" s="1"/>
  <c r="O219" i="6" s="1"/>
  <c r="M219" i="19" s="1"/>
  <c r="H229" i="6"/>
  <c r="T262" i="19" l="1"/>
  <c r="S263" i="19"/>
  <c r="R263" i="19"/>
  <c r="P263" i="19"/>
  <c r="Q263" i="19"/>
  <c r="E263" i="19"/>
  <c r="C264" i="19"/>
  <c r="F262" i="19"/>
  <c r="D263" i="19"/>
  <c r="H262" i="19"/>
  <c r="G250" i="19"/>
  <c r="L217" i="6"/>
  <c r="J217" i="19" s="1"/>
  <c r="M219" i="6"/>
  <c r="K219" i="19" s="1"/>
  <c r="N219" i="6"/>
  <c r="L219" i="19" s="1"/>
  <c r="P218" i="6"/>
  <c r="N218" i="19" s="1"/>
  <c r="F231" i="6"/>
  <c r="I219" i="6" s="1"/>
  <c r="O220" i="6" s="1"/>
  <c r="M220" i="19" s="1"/>
  <c r="J230" i="6"/>
  <c r="H230" i="6"/>
  <c r="G230" i="6"/>
  <c r="T263" i="19" l="1"/>
  <c r="S264" i="19"/>
  <c r="Q264" i="19"/>
  <c r="P264" i="19"/>
  <c r="R264" i="19"/>
  <c r="E264" i="19"/>
  <c r="C265" i="19"/>
  <c r="H263" i="19"/>
  <c r="F263" i="19"/>
  <c r="D264" i="19"/>
  <c r="G251" i="19"/>
  <c r="M220" i="6"/>
  <c r="K220" i="19" s="1"/>
  <c r="L218" i="6"/>
  <c r="J218" i="19" s="1"/>
  <c r="N220" i="6"/>
  <c r="L220" i="19" s="1"/>
  <c r="P219" i="6"/>
  <c r="N219" i="19" s="1"/>
  <c r="G231" i="6"/>
  <c r="F232" i="6"/>
  <c r="I220" i="6" s="1"/>
  <c r="O221" i="6" s="1"/>
  <c r="M221" i="19" s="1"/>
  <c r="H231" i="6"/>
  <c r="J231" i="6"/>
  <c r="T264" i="19" l="1"/>
  <c r="S265" i="19"/>
  <c r="R265" i="19"/>
  <c r="Q265" i="19"/>
  <c r="P265" i="19"/>
  <c r="E265" i="19"/>
  <c r="C266" i="19"/>
  <c r="D265" i="19"/>
  <c r="F264" i="19"/>
  <c r="H264" i="19"/>
  <c r="G252" i="19"/>
  <c r="N221" i="6"/>
  <c r="L221" i="19" s="1"/>
  <c r="L219" i="6"/>
  <c r="J219" i="19" s="1"/>
  <c r="M221" i="6"/>
  <c r="K221" i="19" s="1"/>
  <c r="P220" i="6"/>
  <c r="N220" i="19" s="1"/>
  <c r="G232" i="6"/>
  <c r="H232" i="6"/>
  <c r="J232" i="6"/>
  <c r="F233" i="6"/>
  <c r="I221" i="6" s="1"/>
  <c r="O222" i="6" s="1"/>
  <c r="M222" i="19" s="1"/>
  <c r="T265" i="19" l="1"/>
  <c r="S266" i="19"/>
  <c r="Q266" i="19"/>
  <c r="P266" i="19"/>
  <c r="R266" i="19"/>
  <c r="E266" i="19"/>
  <c r="C267" i="19"/>
  <c r="H265" i="19"/>
  <c r="F265" i="19"/>
  <c r="D266" i="19"/>
  <c r="G253" i="19"/>
  <c r="P221" i="6"/>
  <c r="N221" i="19" s="1"/>
  <c r="M222" i="6"/>
  <c r="K222" i="19" s="1"/>
  <c r="L220" i="6"/>
  <c r="J220" i="19" s="1"/>
  <c r="N222" i="6"/>
  <c r="L222" i="19" s="1"/>
  <c r="J233" i="6"/>
  <c r="H233" i="6"/>
  <c r="F234" i="6"/>
  <c r="I222" i="6" s="1"/>
  <c r="O223" i="6" s="1"/>
  <c r="M223" i="19" s="1"/>
  <c r="G233" i="6"/>
  <c r="T266" i="19" l="1"/>
  <c r="S267" i="19"/>
  <c r="R267" i="19"/>
  <c r="Q267" i="19"/>
  <c r="P267" i="19"/>
  <c r="E267" i="19"/>
  <c r="C268" i="19"/>
  <c r="F266" i="19"/>
  <c r="D267" i="19"/>
  <c r="H266" i="19"/>
  <c r="G254" i="19"/>
  <c r="N223" i="6"/>
  <c r="L223" i="19" s="1"/>
  <c r="L221" i="6"/>
  <c r="J221" i="19" s="1"/>
  <c r="M223" i="6"/>
  <c r="K223" i="19" s="1"/>
  <c r="P222" i="6"/>
  <c r="N222" i="19" s="1"/>
  <c r="F235" i="6"/>
  <c r="I223" i="6" s="1"/>
  <c r="O224" i="6" s="1"/>
  <c r="M224" i="19" s="1"/>
  <c r="H234" i="6"/>
  <c r="J234" i="6"/>
  <c r="G234" i="6"/>
  <c r="T267" i="19" l="1"/>
  <c r="S268" i="19"/>
  <c r="Q268" i="19"/>
  <c r="P268" i="19"/>
  <c r="R268" i="19"/>
  <c r="E268" i="19"/>
  <c r="C269" i="19"/>
  <c r="H267" i="19"/>
  <c r="D268" i="19"/>
  <c r="F267" i="19"/>
  <c r="G255" i="19"/>
  <c r="M224" i="6"/>
  <c r="K224" i="19" s="1"/>
  <c r="N224" i="6"/>
  <c r="L224" i="19" s="1"/>
  <c r="L222" i="6"/>
  <c r="J222" i="19" s="1"/>
  <c r="P223" i="6"/>
  <c r="N223" i="19" s="1"/>
  <c r="G235" i="6"/>
  <c r="F236" i="6"/>
  <c r="I224" i="6" s="1"/>
  <c r="O225" i="6" s="1"/>
  <c r="M225" i="19" s="1"/>
  <c r="J235" i="6"/>
  <c r="H235" i="6"/>
  <c r="T268" i="19" l="1"/>
  <c r="S269" i="19"/>
  <c r="R269" i="19"/>
  <c r="Q269" i="19"/>
  <c r="P269" i="19"/>
  <c r="C270" i="19"/>
  <c r="E269" i="19"/>
  <c r="D269" i="19"/>
  <c r="F268" i="19"/>
  <c r="H268" i="19"/>
  <c r="G256" i="19"/>
  <c r="L223" i="6"/>
  <c r="J223" i="19" s="1"/>
  <c r="N225" i="6"/>
  <c r="L225" i="19" s="1"/>
  <c r="M225" i="6"/>
  <c r="K225" i="19" s="1"/>
  <c r="P224" i="6"/>
  <c r="N224" i="19" s="1"/>
  <c r="H236" i="6"/>
  <c r="F237" i="6"/>
  <c r="I225" i="6" s="1"/>
  <c r="O226" i="6" s="1"/>
  <c r="M226" i="19" s="1"/>
  <c r="J236" i="6"/>
  <c r="G236" i="6"/>
  <c r="T269" i="19" l="1"/>
  <c r="S270" i="19"/>
  <c r="Q270" i="19"/>
  <c r="P270" i="19"/>
  <c r="R270" i="19"/>
  <c r="E270" i="19"/>
  <c r="C271" i="19"/>
  <c r="H269" i="19"/>
  <c r="D270" i="19"/>
  <c r="F269" i="19"/>
  <c r="G257" i="19"/>
  <c r="N226" i="6"/>
  <c r="L226" i="19" s="1"/>
  <c r="L224" i="6"/>
  <c r="J224" i="19" s="1"/>
  <c r="M226" i="6"/>
  <c r="K226" i="19" s="1"/>
  <c r="P225" i="6"/>
  <c r="N225" i="19" s="1"/>
  <c r="G237" i="6"/>
  <c r="J237" i="6"/>
  <c r="F238" i="6"/>
  <c r="I226" i="6" s="1"/>
  <c r="O227" i="6" s="1"/>
  <c r="M227" i="19" s="1"/>
  <c r="H237" i="6"/>
  <c r="T270" i="19" l="1"/>
  <c r="S271" i="19"/>
  <c r="R271" i="19"/>
  <c r="Q271" i="19"/>
  <c r="P271" i="19"/>
  <c r="C272" i="19"/>
  <c r="E271" i="19"/>
  <c r="F270" i="19"/>
  <c r="D271" i="19"/>
  <c r="H270" i="19"/>
  <c r="G258" i="19"/>
  <c r="M227" i="6"/>
  <c r="K227" i="19" s="1"/>
  <c r="L225" i="6"/>
  <c r="J225" i="19" s="1"/>
  <c r="N227" i="6"/>
  <c r="L227" i="19" s="1"/>
  <c r="P226" i="6"/>
  <c r="N226" i="19" s="1"/>
  <c r="F239" i="6"/>
  <c r="I227" i="6" s="1"/>
  <c r="O228" i="6" s="1"/>
  <c r="M228" i="19" s="1"/>
  <c r="H238" i="6"/>
  <c r="J238" i="6"/>
  <c r="G238" i="6"/>
  <c r="T271" i="19" l="1"/>
  <c r="S272" i="19"/>
  <c r="Q272" i="19"/>
  <c r="P272" i="19"/>
  <c r="R272" i="19"/>
  <c r="C273" i="19"/>
  <c r="E272" i="19"/>
  <c r="H271" i="19"/>
  <c r="D272" i="19"/>
  <c r="F271" i="19"/>
  <c r="G259" i="19"/>
  <c r="L226" i="6"/>
  <c r="J226" i="19" s="1"/>
  <c r="M228" i="6"/>
  <c r="K228" i="19" s="1"/>
  <c r="N228" i="6"/>
  <c r="L228" i="19" s="1"/>
  <c r="P227" i="6"/>
  <c r="N227" i="19" s="1"/>
  <c r="G239" i="6"/>
  <c r="J239" i="6"/>
  <c r="H239" i="6"/>
  <c r="F240" i="6"/>
  <c r="I228" i="6" s="1"/>
  <c r="O229" i="6" s="1"/>
  <c r="M229" i="19" s="1"/>
  <c r="T272" i="19" l="1"/>
  <c r="S273" i="19"/>
  <c r="R273" i="19"/>
  <c r="P273" i="19"/>
  <c r="Q273" i="19"/>
  <c r="C274" i="19"/>
  <c r="E273" i="19"/>
  <c r="D273" i="19"/>
  <c r="F272" i="19"/>
  <c r="H272" i="19"/>
  <c r="G260" i="19"/>
  <c r="N229" i="6"/>
  <c r="L229" i="19" s="1"/>
  <c r="M229" i="6"/>
  <c r="K229" i="19" s="1"/>
  <c r="L227" i="6"/>
  <c r="J227" i="19" s="1"/>
  <c r="P228" i="6"/>
  <c r="N228" i="19" s="1"/>
  <c r="G240" i="6"/>
  <c r="H240" i="6"/>
  <c r="F241" i="6"/>
  <c r="I229" i="6" s="1"/>
  <c r="O230" i="6" s="1"/>
  <c r="M230" i="19" s="1"/>
  <c r="J240" i="6"/>
  <c r="T273" i="19" l="1"/>
  <c r="S274" i="19"/>
  <c r="Q274" i="19"/>
  <c r="P274" i="19"/>
  <c r="R274" i="19"/>
  <c r="E274" i="19"/>
  <c r="C275" i="19"/>
  <c r="F273" i="19"/>
  <c r="H273" i="19"/>
  <c r="D274" i="19"/>
  <c r="G261" i="19"/>
  <c r="M230" i="6"/>
  <c r="K230" i="19" s="1"/>
  <c r="L228" i="6"/>
  <c r="J228" i="19" s="1"/>
  <c r="N230" i="6"/>
  <c r="L230" i="19" s="1"/>
  <c r="P229" i="6"/>
  <c r="N229" i="19" s="1"/>
  <c r="J241" i="6"/>
  <c r="H241" i="6"/>
  <c r="F242" i="6"/>
  <c r="I230" i="6" s="1"/>
  <c r="O231" i="6" s="1"/>
  <c r="M231" i="19" s="1"/>
  <c r="G241" i="6"/>
  <c r="T274" i="19" l="1"/>
  <c r="S275" i="19"/>
  <c r="R275" i="19"/>
  <c r="Q275" i="19"/>
  <c r="P275" i="19"/>
  <c r="C276" i="19"/>
  <c r="E275" i="19"/>
  <c r="H274" i="19"/>
  <c r="F274" i="19"/>
  <c r="D275" i="19"/>
  <c r="G262" i="19"/>
  <c r="N231" i="6"/>
  <c r="L231" i="19" s="1"/>
  <c r="L229" i="6"/>
  <c r="J229" i="19" s="1"/>
  <c r="M231" i="6"/>
  <c r="K231" i="19" s="1"/>
  <c r="P230" i="6"/>
  <c r="N230" i="19" s="1"/>
  <c r="F243" i="6"/>
  <c r="I231" i="6" s="1"/>
  <c r="O232" i="6" s="1"/>
  <c r="M232" i="19" s="1"/>
  <c r="J242" i="6"/>
  <c r="H242" i="6"/>
  <c r="G242" i="6"/>
  <c r="T275" i="19" l="1"/>
  <c r="S276" i="19"/>
  <c r="Q276" i="19"/>
  <c r="P276" i="19"/>
  <c r="R276" i="19"/>
  <c r="C277" i="19"/>
  <c r="E276" i="19"/>
  <c r="D276" i="19"/>
  <c r="H275" i="19"/>
  <c r="F275" i="19"/>
  <c r="G263" i="19"/>
  <c r="M232" i="6"/>
  <c r="K232" i="19" s="1"/>
  <c r="N232" i="6"/>
  <c r="L232" i="19" s="1"/>
  <c r="L230" i="6"/>
  <c r="J230" i="19" s="1"/>
  <c r="P231" i="6"/>
  <c r="N231" i="19" s="1"/>
  <c r="G243" i="6"/>
  <c r="H243" i="6"/>
  <c r="F244" i="6"/>
  <c r="I232" i="6" s="1"/>
  <c r="O233" i="6" s="1"/>
  <c r="M233" i="19" s="1"/>
  <c r="J243" i="6"/>
  <c r="T276" i="19" l="1"/>
  <c r="S277" i="19"/>
  <c r="R277" i="19"/>
  <c r="Q277" i="19"/>
  <c r="P277" i="19"/>
  <c r="C278" i="19"/>
  <c r="E277" i="19"/>
  <c r="D277" i="19"/>
  <c r="F276" i="19"/>
  <c r="H276" i="19"/>
  <c r="G264" i="19"/>
  <c r="L231" i="6"/>
  <c r="J231" i="19" s="1"/>
  <c r="N233" i="6"/>
  <c r="L233" i="19" s="1"/>
  <c r="M233" i="6"/>
  <c r="K233" i="19" s="1"/>
  <c r="P232" i="6"/>
  <c r="N232" i="19" s="1"/>
  <c r="H244" i="6"/>
  <c r="F245" i="6"/>
  <c r="I233" i="6" s="1"/>
  <c r="O234" i="6" s="1"/>
  <c r="M234" i="19" s="1"/>
  <c r="J244" i="6"/>
  <c r="G244" i="6"/>
  <c r="T277" i="19" l="1"/>
  <c r="S278" i="19"/>
  <c r="Q278" i="19"/>
  <c r="P278" i="19"/>
  <c r="R278" i="19"/>
  <c r="C279" i="19"/>
  <c r="E278" i="19"/>
  <c r="F277" i="19"/>
  <c r="H277" i="19"/>
  <c r="D278" i="19"/>
  <c r="G265" i="19"/>
  <c r="M234" i="6"/>
  <c r="K234" i="19" s="1"/>
  <c r="N234" i="6"/>
  <c r="L234" i="19" s="1"/>
  <c r="L232" i="6"/>
  <c r="J232" i="19" s="1"/>
  <c r="P233" i="6"/>
  <c r="N233" i="19" s="1"/>
  <c r="J245" i="6"/>
  <c r="F246" i="6"/>
  <c r="I234" i="6" s="1"/>
  <c r="O235" i="6" s="1"/>
  <c r="M235" i="19" s="1"/>
  <c r="H245" i="6"/>
  <c r="G245" i="6"/>
  <c r="T278" i="19" l="1"/>
  <c r="S279" i="19"/>
  <c r="R279" i="19"/>
  <c r="Q279" i="19"/>
  <c r="P279" i="19"/>
  <c r="C280" i="19"/>
  <c r="E279" i="19"/>
  <c r="H278" i="19"/>
  <c r="F278" i="19"/>
  <c r="D279" i="19"/>
  <c r="G266" i="19"/>
  <c r="L233" i="6"/>
  <c r="J233" i="19" s="1"/>
  <c r="N235" i="6"/>
  <c r="L235" i="19" s="1"/>
  <c r="M235" i="6"/>
  <c r="K235" i="19" s="1"/>
  <c r="P234" i="6"/>
  <c r="N234" i="19" s="1"/>
  <c r="G246" i="6"/>
  <c r="F247" i="6"/>
  <c r="I235" i="6" s="1"/>
  <c r="O236" i="6" s="1"/>
  <c r="M236" i="19" s="1"/>
  <c r="J246" i="6"/>
  <c r="H246" i="6"/>
  <c r="T279" i="19" l="1"/>
  <c r="S280" i="19"/>
  <c r="Q280" i="19"/>
  <c r="P280" i="19"/>
  <c r="R280" i="19"/>
  <c r="E280" i="19"/>
  <c r="C281" i="19"/>
  <c r="D280" i="19"/>
  <c r="H279" i="19"/>
  <c r="F279" i="19"/>
  <c r="G267" i="19"/>
  <c r="M236" i="6"/>
  <c r="K236" i="19" s="1"/>
  <c r="N236" i="6"/>
  <c r="L236" i="19" s="1"/>
  <c r="L234" i="6"/>
  <c r="J234" i="19" s="1"/>
  <c r="P235" i="6"/>
  <c r="N235" i="19" s="1"/>
  <c r="J247" i="6"/>
  <c r="H247" i="6"/>
  <c r="F248" i="6"/>
  <c r="I236" i="6" s="1"/>
  <c r="O237" i="6" s="1"/>
  <c r="M237" i="19" s="1"/>
  <c r="G247" i="6"/>
  <c r="T280" i="19" l="1"/>
  <c r="S281" i="19"/>
  <c r="R281" i="19"/>
  <c r="Q281" i="19"/>
  <c r="P281" i="19"/>
  <c r="C282" i="19"/>
  <c r="E281" i="19"/>
  <c r="D281" i="19"/>
  <c r="F280" i="19"/>
  <c r="H280" i="19"/>
  <c r="G268" i="19"/>
  <c r="N237" i="6"/>
  <c r="L237" i="19" s="1"/>
  <c r="L235" i="6"/>
  <c r="J235" i="19" s="1"/>
  <c r="M237" i="6"/>
  <c r="K237" i="19" s="1"/>
  <c r="P236" i="6"/>
  <c r="N236" i="19" s="1"/>
  <c r="G248" i="6"/>
  <c r="H248" i="6"/>
  <c r="J248" i="6"/>
  <c r="F249" i="6"/>
  <c r="I237" i="6" s="1"/>
  <c r="O238" i="6" s="1"/>
  <c r="M238" i="19" s="1"/>
  <c r="T281" i="19" l="1"/>
  <c r="S282" i="19"/>
  <c r="Q282" i="19"/>
  <c r="P282" i="19"/>
  <c r="R282" i="19"/>
  <c r="E282" i="19"/>
  <c r="C283" i="19"/>
  <c r="F281" i="19"/>
  <c r="H281" i="19"/>
  <c r="D282" i="19"/>
  <c r="G269" i="19"/>
  <c r="M238" i="6"/>
  <c r="K238" i="19" s="1"/>
  <c r="L236" i="6"/>
  <c r="J236" i="19" s="1"/>
  <c r="N238" i="6"/>
  <c r="L238" i="19" s="1"/>
  <c r="P237" i="6"/>
  <c r="N237" i="19" s="1"/>
  <c r="J249" i="6"/>
  <c r="H249" i="6"/>
  <c r="F250" i="6"/>
  <c r="I238" i="6" s="1"/>
  <c r="O239" i="6" s="1"/>
  <c r="M239" i="19" s="1"/>
  <c r="G249" i="6"/>
  <c r="T282" i="19" l="1"/>
  <c r="S283" i="19"/>
  <c r="R283" i="19"/>
  <c r="Q283" i="19"/>
  <c r="P283" i="19"/>
  <c r="C284" i="19"/>
  <c r="E283" i="19"/>
  <c r="H282" i="19"/>
  <c r="F282" i="19"/>
  <c r="D283" i="19"/>
  <c r="G270" i="19"/>
  <c r="L237" i="6"/>
  <c r="J237" i="19" s="1"/>
  <c r="N239" i="6"/>
  <c r="L239" i="19" s="1"/>
  <c r="M239" i="6"/>
  <c r="K239" i="19" s="1"/>
  <c r="P238" i="6"/>
  <c r="N238" i="19" s="1"/>
  <c r="F251" i="6"/>
  <c r="I239" i="6" s="1"/>
  <c r="O240" i="6" s="1"/>
  <c r="M240" i="19" s="1"/>
  <c r="H250" i="6"/>
  <c r="J250" i="6"/>
  <c r="G250" i="6"/>
  <c r="T283" i="19" l="1"/>
  <c r="S284" i="19"/>
  <c r="Q284" i="19"/>
  <c r="P284" i="19"/>
  <c r="R284" i="19"/>
  <c r="E284" i="19"/>
  <c r="C285" i="19"/>
  <c r="D284" i="19"/>
  <c r="H283" i="19"/>
  <c r="F283" i="19"/>
  <c r="G271" i="19"/>
  <c r="N240" i="6"/>
  <c r="L240" i="19" s="1"/>
  <c r="L238" i="6"/>
  <c r="J238" i="19" s="1"/>
  <c r="M240" i="6"/>
  <c r="K240" i="19" s="1"/>
  <c r="P239" i="6"/>
  <c r="N239" i="19" s="1"/>
  <c r="G251" i="6"/>
  <c r="F252" i="6"/>
  <c r="I240" i="6" s="1"/>
  <c r="O241" i="6" s="1"/>
  <c r="M241" i="19" s="1"/>
  <c r="H251" i="6"/>
  <c r="J251" i="6"/>
  <c r="T284" i="19" l="1"/>
  <c r="S285" i="19"/>
  <c r="R285" i="19"/>
  <c r="Q285" i="19"/>
  <c r="P285" i="19"/>
  <c r="E285" i="19"/>
  <c r="C286" i="19"/>
  <c r="D285" i="19"/>
  <c r="F284" i="19"/>
  <c r="H284" i="19"/>
  <c r="G272" i="19"/>
  <c r="M241" i="6"/>
  <c r="K241" i="19" s="1"/>
  <c r="L239" i="6"/>
  <c r="J239" i="19" s="1"/>
  <c r="N241" i="6"/>
  <c r="L241" i="19" s="1"/>
  <c r="P240" i="6"/>
  <c r="N240" i="19" s="1"/>
  <c r="H252" i="6"/>
  <c r="J252" i="6"/>
  <c r="F253" i="6"/>
  <c r="I241" i="6" s="1"/>
  <c r="O242" i="6" s="1"/>
  <c r="M242" i="19" s="1"/>
  <c r="G252" i="6"/>
  <c r="T285" i="19" l="1"/>
  <c r="S286" i="19"/>
  <c r="Q286" i="19"/>
  <c r="P286" i="19"/>
  <c r="R286" i="19"/>
  <c r="C287" i="19"/>
  <c r="E286" i="19"/>
  <c r="F285" i="19"/>
  <c r="H285" i="19"/>
  <c r="D286" i="19"/>
  <c r="G273" i="19"/>
  <c r="L240" i="6"/>
  <c r="J240" i="19" s="1"/>
  <c r="M242" i="6"/>
  <c r="K242" i="19" s="1"/>
  <c r="N242" i="6"/>
  <c r="L242" i="19" s="1"/>
  <c r="P241" i="6"/>
  <c r="N241" i="19" s="1"/>
  <c r="J253" i="6"/>
  <c r="F254" i="6"/>
  <c r="I242" i="6" s="1"/>
  <c r="O243" i="6" s="1"/>
  <c r="M243" i="19" s="1"/>
  <c r="H253" i="6"/>
  <c r="G253" i="6"/>
  <c r="T286" i="19" l="1"/>
  <c r="S287" i="19"/>
  <c r="R287" i="19"/>
  <c r="Q287" i="19"/>
  <c r="P287" i="19"/>
  <c r="C288" i="19"/>
  <c r="E287" i="19"/>
  <c r="H286" i="19"/>
  <c r="F286" i="19"/>
  <c r="D287" i="19"/>
  <c r="G274" i="19"/>
  <c r="M243" i="6"/>
  <c r="K243" i="19" s="1"/>
  <c r="L241" i="6"/>
  <c r="J241" i="19" s="1"/>
  <c r="N243" i="6"/>
  <c r="L243" i="19" s="1"/>
  <c r="P242" i="6"/>
  <c r="N242" i="19" s="1"/>
  <c r="F255" i="6"/>
  <c r="I243" i="6" s="1"/>
  <c r="O244" i="6" s="1"/>
  <c r="M244" i="19" s="1"/>
  <c r="J254" i="6"/>
  <c r="H254" i="6"/>
  <c r="G254" i="6"/>
  <c r="T287" i="19" l="1"/>
  <c r="S288" i="19"/>
  <c r="R288" i="19"/>
  <c r="Q288" i="19"/>
  <c r="P288" i="19"/>
  <c r="E288" i="19"/>
  <c r="C289" i="19"/>
  <c r="D288" i="19"/>
  <c r="H287" i="19"/>
  <c r="F287" i="19"/>
  <c r="G275" i="19"/>
  <c r="L242" i="6"/>
  <c r="J242" i="19" s="1"/>
  <c r="M244" i="6"/>
  <c r="K244" i="19" s="1"/>
  <c r="N244" i="6"/>
  <c r="L244" i="19" s="1"/>
  <c r="P243" i="6"/>
  <c r="N243" i="19" s="1"/>
  <c r="G255" i="6"/>
  <c r="J255" i="6"/>
  <c r="F256" i="6"/>
  <c r="I244" i="6" s="1"/>
  <c r="O245" i="6" s="1"/>
  <c r="M245" i="19" s="1"/>
  <c r="H255" i="6"/>
  <c r="T288" i="19" l="1"/>
  <c r="S289" i="19"/>
  <c r="R289" i="19"/>
  <c r="Q289" i="19"/>
  <c r="P289" i="19"/>
  <c r="E289" i="19"/>
  <c r="C290" i="19"/>
  <c r="D289" i="19"/>
  <c r="F288" i="19"/>
  <c r="H288" i="19"/>
  <c r="G276" i="19"/>
  <c r="N245" i="6"/>
  <c r="L245" i="19" s="1"/>
  <c r="M245" i="6"/>
  <c r="K245" i="19" s="1"/>
  <c r="L243" i="6"/>
  <c r="J243" i="19" s="1"/>
  <c r="P244" i="6"/>
  <c r="N244" i="19" s="1"/>
  <c r="G256" i="6"/>
  <c r="H256" i="6"/>
  <c r="J256" i="6"/>
  <c r="F257" i="6"/>
  <c r="I245" i="6" s="1"/>
  <c r="O246" i="6" s="1"/>
  <c r="M246" i="19" s="1"/>
  <c r="T289" i="19" l="1"/>
  <c r="S290" i="19"/>
  <c r="R290" i="19"/>
  <c r="Q290" i="19"/>
  <c r="P290" i="19"/>
  <c r="E290" i="19"/>
  <c r="C291" i="19"/>
  <c r="F289" i="19"/>
  <c r="H289" i="19"/>
  <c r="D290" i="19"/>
  <c r="G277" i="19"/>
  <c r="L244" i="6"/>
  <c r="J244" i="19" s="1"/>
  <c r="M246" i="6"/>
  <c r="K246" i="19" s="1"/>
  <c r="N246" i="6"/>
  <c r="L246" i="19" s="1"/>
  <c r="P245" i="6"/>
  <c r="N245" i="19" s="1"/>
  <c r="G257" i="6"/>
  <c r="J257" i="6"/>
  <c r="H257" i="6"/>
  <c r="F258" i="6"/>
  <c r="I246" i="6" s="1"/>
  <c r="O247" i="6" s="1"/>
  <c r="M247" i="19" s="1"/>
  <c r="T290" i="19" l="1"/>
  <c r="S291" i="19"/>
  <c r="R291" i="19"/>
  <c r="P291" i="19"/>
  <c r="Q291" i="19"/>
  <c r="E291" i="19"/>
  <c r="C292" i="19"/>
  <c r="H290" i="19"/>
  <c r="F290" i="19"/>
  <c r="D291" i="19"/>
  <c r="G278" i="19"/>
  <c r="P246" i="6"/>
  <c r="N246" i="19" s="1"/>
  <c r="N247" i="6"/>
  <c r="L247" i="19" s="1"/>
  <c r="M247" i="6"/>
  <c r="K247" i="19" s="1"/>
  <c r="L245" i="6"/>
  <c r="J245" i="19" s="1"/>
  <c r="H258" i="6"/>
  <c r="J258" i="6"/>
  <c r="F259" i="6"/>
  <c r="I247" i="6" s="1"/>
  <c r="O248" i="6" s="1"/>
  <c r="M248" i="19" s="1"/>
  <c r="G258" i="6"/>
  <c r="T291" i="19" l="1"/>
  <c r="S292" i="19"/>
  <c r="R292" i="19"/>
  <c r="Q292" i="19"/>
  <c r="P292" i="19"/>
  <c r="C293" i="19"/>
  <c r="E292" i="19"/>
  <c r="D292" i="19"/>
  <c r="H291" i="19"/>
  <c r="F291" i="19"/>
  <c r="G279" i="19"/>
  <c r="M248" i="6"/>
  <c r="K248" i="19" s="1"/>
  <c r="N248" i="6"/>
  <c r="L248" i="19" s="1"/>
  <c r="L246" i="6"/>
  <c r="J246" i="19" s="1"/>
  <c r="P247" i="6"/>
  <c r="N247" i="19" s="1"/>
  <c r="J259" i="6"/>
  <c r="H259" i="6"/>
  <c r="F260" i="6"/>
  <c r="I248" i="6" s="1"/>
  <c r="O249" i="6" s="1"/>
  <c r="M249" i="19" s="1"/>
  <c r="G259" i="6"/>
  <c r="T292" i="19" l="1"/>
  <c r="S293" i="19"/>
  <c r="R293" i="19"/>
  <c r="Q293" i="19"/>
  <c r="P293" i="19"/>
  <c r="E293" i="19"/>
  <c r="C294" i="19"/>
  <c r="D293" i="19"/>
  <c r="H292" i="19"/>
  <c r="F292" i="19"/>
  <c r="G280" i="19"/>
  <c r="N249" i="6"/>
  <c r="L249" i="19" s="1"/>
  <c r="M249" i="6"/>
  <c r="K249" i="19" s="1"/>
  <c r="L247" i="6"/>
  <c r="J247" i="19" s="1"/>
  <c r="P248" i="6"/>
  <c r="N248" i="19" s="1"/>
  <c r="F261" i="6"/>
  <c r="I249" i="6" s="1"/>
  <c r="O250" i="6" s="1"/>
  <c r="M250" i="19" s="1"/>
  <c r="J260" i="6"/>
  <c r="H260" i="6"/>
  <c r="G260" i="6"/>
  <c r="T293" i="19" l="1"/>
  <c r="S294" i="19"/>
  <c r="R294" i="19"/>
  <c r="Q294" i="19"/>
  <c r="P294" i="19"/>
  <c r="C295" i="19"/>
  <c r="E294" i="19"/>
  <c r="F293" i="19"/>
  <c r="D294" i="19"/>
  <c r="H293" i="19"/>
  <c r="G281" i="19"/>
  <c r="L248" i="6"/>
  <c r="J248" i="19" s="1"/>
  <c r="N250" i="6"/>
  <c r="L250" i="19" s="1"/>
  <c r="M250" i="6"/>
  <c r="K250" i="19" s="1"/>
  <c r="P249" i="6"/>
  <c r="N249" i="19" s="1"/>
  <c r="G261" i="6"/>
  <c r="J261" i="6"/>
  <c r="H261" i="6"/>
  <c r="F262" i="6"/>
  <c r="I250" i="6" s="1"/>
  <c r="O251" i="6" s="1"/>
  <c r="M251" i="19" s="1"/>
  <c r="T294" i="19" l="1"/>
  <c r="S295" i="19"/>
  <c r="R295" i="19"/>
  <c r="Q295" i="19"/>
  <c r="P295" i="19"/>
  <c r="C296" i="19"/>
  <c r="E295" i="19"/>
  <c r="H294" i="19"/>
  <c r="F294" i="19"/>
  <c r="D295" i="19"/>
  <c r="G282" i="19"/>
  <c r="M251" i="6"/>
  <c r="K251" i="19" s="1"/>
  <c r="N251" i="6"/>
  <c r="L251" i="19" s="1"/>
  <c r="L249" i="6"/>
  <c r="J249" i="19" s="1"/>
  <c r="P250" i="6"/>
  <c r="N250" i="19" s="1"/>
  <c r="H262" i="6"/>
  <c r="J262" i="6"/>
  <c r="F263" i="6"/>
  <c r="I251" i="6" s="1"/>
  <c r="O252" i="6" s="1"/>
  <c r="M252" i="19" s="1"/>
  <c r="G262" i="6"/>
  <c r="T295" i="19" l="1"/>
  <c r="S296" i="19"/>
  <c r="R296" i="19"/>
  <c r="Q296" i="19"/>
  <c r="P296" i="19"/>
  <c r="C297" i="19"/>
  <c r="E296" i="19"/>
  <c r="D296" i="19"/>
  <c r="H295" i="19"/>
  <c r="F295" i="19"/>
  <c r="G283" i="19"/>
  <c r="N252" i="6"/>
  <c r="L252" i="19" s="1"/>
  <c r="M252" i="6"/>
  <c r="K252" i="19" s="1"/>
  <c r="L250" i="6"/>
  <c r="J250" i="19" s="1"/>
  <c r="P251" i="6"/>
  <c r="N251" i="19" s="1"/>
  <c r="G263" i="6"/>
  <c r="J263" i="6"/>
  <c r="F264" i="6"/>
  <c r="I252" i="6" s="1"/>
  <c r="O253" i="6" s="1"/>
  <c r="M253" i="19" s="1"/>
  <c r="H263" i="6"/>
  <c r="T296" i="19" l="1"/>
  <c r="S297" i="19"/>
  <c r="R297" i="19"/>
  <c r="Q297" i="19"/>
  <c r="P297" i="19"/>
  <c r="C298" i="19"/>
  <c r="E297" i="19"/>
  <c r="D297" i="19"/>
  <c r="H296" i="19"/>
  <c r="F296" i="19"/>
  <c r="G284" i="19"/>
  <c r="L251" i="6"/>
  <c r="J251" i="19" s="1"/>
  <c r="M253" i="6"/>
  <c r="K253" i="19" s="1"/>
  <c r="N253" i="6"/>
  <c r="L253" i="19" s="1"/>
  <c r="P252" i="6"/>
  <c r="N252" i="19" s="1"/>
  <c r="F265" i="6"/>
  <c r="I253" i="6" s="1"/>
  <c r="O254" i="6" s="1"/>
  <c r="M254" i="19" s="1"/>
  <c r="H264" i="6"/>
  <c r="J264" i="6"/>
  <c r="G264" i="6"/>
  <c r="T297" i="19" l="1"/>
  <c r="S298" i="19"/>
  <c r="R298" i="19"/>
  <c r="Q298" i="19"/>
  <c r="P298" i="19"/>
  <c r="E298" i="19"/>
  <c r="C299" i="19"/>
  <c r="F297" i="19"/>
  <c r="D298" i="19"/>
  <c r="H297" i="19"/>
  <c r="G285" i="19"/>
  <c r="M254" i="6"/>
  <c r="K254" i="19" s="1"/>
  <c r="L252" i="6"/>
  <c r="J252" i="19" s="1"/>
  <c r="N254" i="6"/>
  <c r="L254" i="19" s="1"/>
  <c r="P253" i="6"/>
  <c r="N253" i="19" s="1"/>
  <c r="G265" i="6"/>
  <c r="H265" i="6"/>
  <c r="J265" i="6"/>
  <c r="F266" i="6"/>
  <c r="I254" i="6" s="1"/>
  <c r="O255" i="6" s="1"/>
  <c r="M255" i="19" s="1"/>
  <c r="T298" i="19" l="1"/>
  <c r="S299" i="19"/>
  <c r="R299" i="19"/>
  <c r="Q299" i="19"/>
  <c r="P299" i="19"/>
  <c r="E299" i="19"/>
  <c r="C300" i="19"/>
  <c r="H298" i="19"/>
  <c r="F298" i="19"/>
  <c r="D299" i="19"/>
  <c r="G286" i="19"/>
  <c r="P254" i="6"/>
  <c r="N254" i="19" s="1"/>
  <c r="N255" i="6"/>
  <c r="L255" i="19" s="1"/>
  <c r="L253" i="6"/>
  <c r="J253" i="19" s="1"/>
  <c r="M255" i="6"/>
  <c r="K255" i="19" s="1"/>
  <c r="H266" i="6"/>
  <c r="F267" i="6"/>
  <c r="I255" i="6" s="1"/>
  <c r="O256" i="6" s="1"/>
  <c r="M256" i="19" s="1"/>
  <c r="J266" i="6"/>
  <c r="G266" i="6"/>
  <c r="T299" i="19" l="1"/>
  <c r="S300" i="19"/>
  <c r="R300" i="19"/>
  <c r="Q300" i="19"/>
  <c r="P300" i="19"/>
  <c r="E300" i="19"/>
  <c r="C301" i="19"/>
  <c r="D300" i="19"/>
  <c r="H299" i="19"/>
  <c r="F299" i="19"/>
  <c r="G287" i="19"/>
  <c r="L254" i="6"/>
  <c r="J254" i="19" s="1"/>
  <c r="N256" i="6"/>
  <c r="L256" i="19" s="1"/>
  <c r="M256" i="6"/>
  <c r="K256" i="19" s="1"/>
  <c r="P255" i="6"/>
  <c r="N255" i="19" s="1"/>
  <c r="G267" i="6"/>
  <c r="J267" i="6"/>
  <c r="F268" i="6"/>
  <c r="I256" i="6" s="1"/>
  <c r="O257" i="6" s="1"/>
  <c r="M257" i="19" s="1"/>
  <c r="H267" i="6"/>
  <c r="T300" i="19" l="1"/>
  <c r="S301" i="19"/>
  <c r="R301" i="19"/>
  <c r="Q301" i="19"/>
  <c r="P301" i="19"/>
  <c r="E301" i="19"/>
  <c r="C302" i="19"/>
  <c r="D301" i="19"/>
  <c r="H300" i="19"/>
  <c r="F300" i="19"/>
  <c r="G288" i="19"/>
  <c r="M257" i="6"/>
  <c r="K257" i="19" s="1"/>
  <c r="N257" i="6"/>
  <c r="L257" i="19" s="1"/>
  <c r="L255" i="6"/>
  <c r="J255" i="19" s="1"/>
  <c r="P256" i="6"/>
  <c r="N256" i="19" s="1"/>
  <c r="F269" i="6"/>
  <c r="I257" i="6" s="1"/>
  <c r="O258" i="6" s="1"/>
  <c r="M258" i="19" s="1"/>
  <c r="J268" i="6"/>
  <c r="H268" i="6"/>
  <c r="G268" i="6"/>
  <c r="T301" i="19" l="1"/>
  <c r="S302" i="19"/>
  <c r="R302" i="19"/>
  <c r="Q302" i="19"/>
  <c r="P302" i="19"/>
  <c r="C303" i="19"/>
  <c r="E302" i="19"/>
  <c r="F301" i="19"/>
  <c r="D302" i="19"/>
  <c r="H301" i="19"/>
  <c r="G289" i="19"/>
  <c r="L256" i="6"/>
  <c r="J256" i="19" s="1"/>
  <c r="N258" i="6"/>
  <c r="L258" i="19" s="1"/>
  <c r="M258" i="6"/>
  <c r="K258" i="19" s="1"/>
  <c r="P257" i="6"/>
  <c r="N257" i="19" s="1"/>
  <c r="G269" i="6"/>
  <c r="F270" i="6"/>
  <c r="I258" i="6" s="1"/>
  <c r="O259" i="6" s="1"/>
  <c r="M259" i="19" s="1"/>
  <c r="J269" i="6"/>
  <c r="H269" i="6"/>
  <c r="T302" i="19" l="1"/>
  <c r="S303" i="19"/>
  <c r="R303" i="19"/>
  <c r="Q303" i="19"/>
  <c r="P303" i="19"/>
  <c r="E303" i="19"/>
  <c r="C304" i="19"/>
  <c r="H302" i="19"/>
  <c r="F302" i="19"/>
  <c r="D303" i="19"/>
  <c r="G290" i="19"/>
  <c r="M259" i="6"/>
  <c r="K259" i="19" s="1"/>
  <c r="N259" i="6"/>
  <c r="L259" i="19" s="1"/>
  <c r="L257" i="6"/>
  <c r="J257" i="19" s="1"/>
  <c r="P258" i="6"/>
  <c r="N258" i="19" s="1"/>
  <c r="H270" i="6"/>
  <c r="J270" i="6"/>
  <c r="F271" i="6"/>
  <c r="I259" i="6" s="1"/>
  <c r="O260" i="6" s="1"/>
  <c r="M260" i="19" s="1"/>
  <c r="G270" i="6"/>
  <c r="T303" i="19" l="1"/>
  <c r="S304" i="19"/>
  <c r="R304" i="19"/>
  <c r="Q304" i="19"/>
  <c r="P304" i="19"/>
  <c r="E304" i="19"/>
  <c r="C305" i="19"/>
  <c r="D304" i="19"/>
  <c r="H303" i="19"/>
  <c r="F303" i="19"/>
  <c r="G291" i="19"/>
  <c r="N260" i="6"/>
  <c r="L260" i="19" s="1"/>
  <c r="M260" i="6"/>
  <c r="K260" i="19" s="1"/>
  <c r="L258" i="6"/>
  <c r="J258" i="19" s="1"/>
  <c r="P259" i="6"/>
  <c r="N259" i="19" s="1"/>
  <c r="J271" i="6"/>
  <c r="F272" i="6"/>
  <c r="I260" i="6" s="1"/>
  <c r="O261" i="6" s="1"/>
  <c r="M261" i="19" s="1"/>
  <c r="H271" i="6"/>
  <c r="G271" i="6"/>
  <c r="T304" i="19" l="1"/>
  <c r="S305" i="19"/>
  <c r="R305" i="19"/>
  <c r="Q305" i="19"/>
  <c r="P305" i="19"/>
  <c r="E305" i="19"/>
  <c r="C306" i="19"/>
  <c r="D305" i="19"/>
  <c r="H304" i="19"/>
  <c r="F304" i="19"/>
  <c r="G292" i="19"/>
  <c r="L259" i="6"/>
  <c r="J259" i="19" s="1"/>
  <c r="N261" i="6"/>
  <c r="L261" i="19" s="1"/>
  <c r="M261" i="6"/>
  <c r="K261" i="19" s="1"/>
  <c r="P260" i="6"/>
  <c r="N260" i="19" s="1"/>
  <c r="G272" i="6"/>
  <c r="F273" i="6"/>
  <c r="I261" i="6" s="1"/>
  <c r="O262" i="6" s="1"/>
  <c r="M262" i="19" s="1"/>
  <c r="H272" i="6"/>
  <c r="J272" i="6"/>
  <c r="T305" i="19" l="1"/>
  <c r="S306" i="19"/>
  <c r="R306" i="19"/>
  <c r="Q306" i="19"/>
  <c r="P306" i="19"/>
  <c r="C307" i="19"/>
  <c r="E306" i="19"/>
  <c r="F305" i="19"/>
  <c r="D306" i="19"/>
  <c r="H305" i="19"/>
  <c r="G293" i="19"/>
  <c r="M262" i="6"/>
  <c r="K262" i="19" s="1"/>
  <c r="N262" i="6"/>
  <c r="L262" i="19" s="1"/>
  <c r="L260" i="6"/>
  <c r="J260" i="19" s="1"/>
  <c r="P261" i="6"/>
  <c r="N261" i="19" s="1"/>
  <c r="F274" i="6"/>
  <c r="I262" i="6" s="1"/>
  <c r="O263" i="6" s="1"/>
  <c r="M263" i="19" s="1"/>
  <c r="H273" i="6"/>
  <c r="J273" i="6"/>
  <c r="G273" i="6"/>
  <c r="T306" i="19" l="1"/>
  <c r="S307" i="19"/>
  <c r="R307" i="19"/>
  <c r="Q307" i="19"/>
  <c r="P307" i="19"/>
  <c r="E307" i="19"/>
  <c r="C308" i="19"/>
  <c r="H306" i="19"/>
  <c r="F306" i="19"/>
  <c r="D307" i="19"/>
  <c r="G294" i="19"/>
  <c r="N263" i="6"/>
  <c r="L263" i="19" s="1"/>
  <c r="M263" i="6"/>
  <c r="K263" i="19" s="1"/>
  <c r="L261" i="6"/>
  <c r="J261" i="19" s="1"/>
  <c r="P262" i="6"/>
  <c r="N262" i="19" s="1"/>
  <c r="G274" i="6"/>
  <c r="H274" i="6"/>
  <c r="F275" i="6"/>
  <c r="I263" i="6" s="1"/>
  <c r="O264" i="6" s="1"/>
  <c r="M264" i="19" s="1"/>
  <c r="J274" i="6"/>
  <c r="T307" i="19" l="1"/>
  <c r="S308" i="19"/>
  <c r="R308" i="19"/>
  <c r="Q308" i="19"/>
  <c r="P308" i="19"/>
  <c r="C309" i="19"/>
  <c r="E308" i="19"/>
  <c r="D308" i="19"/>
  <c r="H307" i="19"/>
  <c r="F307" i="19"/>
  <c r="G295" i="19"/>
  <c r="L262" i="6"/>
  <c r="J262" i="19" s="1"/>
  <c r="M264" i="6"/>
  <c r="K264" i="19" s="1"/>
  <c r="N264" i="6"/>
  <c r="L264" i="19" s="1"/>
  <c r="P263" i="6"/>
  <c r="N263" i="19" s="1"/>
  <c r="J275" i="6"/>
  <c r="F276" i="6"/>
  <c r="I264" i="6" s="1"/>
  <c r="O265" i="6" s="1"/>
  <c r="M265" i="19" s="1"/>
  <c r="H275" i="6"/>
  <c r="G275" i="6"/>
  <c r="T308" i="19" l="1"/>
  <c r="S309" i="19"/>
  <c r="R309" i="19"/>
  <c r="Q309" i="19"/>
  <c r="P309" i="19"/>
  <c r="C310" i="19"/>
  <c r="E309" i="19"/>
  <c r="D309" i="19"/>
  <c r="H308" i="19"/>
  <c r="F308" i="19"/>
  <c r="G296" i="19"/>
  <c r="M265" i="6"/>
  <c r="K265" i="19" s="1"/>
  <c r="L263" i="6"/>
  <c r="J263" i="19" s="1"/>
  <c r="N265" i="6"/>
  <c r="L265" i="19" s="1"/>
  <c r="P264" i="6"/>
  <c r="N264" i="19" s="1"/>
  <c r="F277" i="6"/>
  <c r="I265" i="6" s="1"/>
  <c r="O266" i="6" s="1"/>
  <c r="M266" i="19" s="1"/>
  <c r="H276" i="6"/>
  <c r="J276" i="6"/>
  <c r="G276" i="6"/>
  <c r="T309" i="19" l="1"/>
  <c r="S310" i="19"/>
  <c r="R310" i="19"/>
  <c r="Q310" i="19"/>
  <c r="P310" i="19"/>
  <c r="C311" i="19"/>
  <c r="E310" i="19"/>
  <c r="F309" i="19"/>
  <c r="D310" i="19"/>
  <c r="H309" i="19"/>
  <c r="G297" i="19"/>
  <c r="L264" i="6"/>
  <c r="J264" i="19" s="1"/>
  <c r="M266" i="6"/>
  <c r="K266" i="19" s="1"/>
  <c r="N266" i="6"/>
  <c r="L266" i="19" s="1"/>
  <c r="P265" i="6"/>
  <c r="N265" i="19" s="1"/>
  <c r="G277" i="6"/>
  <c r="J277" i="6"/>
  <c r="H277" i="6"/>
  <c r="F278" i="6"/>
  <c r="I266" i="6" s="1"/>
  <c r="O267" i="6" s="1"/>
  <c r="M267" i="19" s="1"/>
  <c r="T310" i="19" l="1"/>
  <c r="S311" i="19"/>
  <c r="R311" i="19"/>
  <c r="Q311" i="19"/>
  <c r="P311" i="19"/>
  <c r="E311" i="19"/>
  <c r="C312" i="19"/>
  <c r="H310" i="19"/>
  <c r="F310" i="19"/>
  <c r="D311" i="19"/>
  <c r="G298" i="19"/>
  <c r="N267" i="6"/>
  <c r="L267" i="19" s="1"/>
  <c r="M267" i="6"/>
  <c r="K267" i="19" s="1"/>
  <c r="L265" i="6"/>
  <c r="J265" i="19" s="1"/>
  <c r="P266" i="6"/>
  <c r="N266" i="19" s="1"/>
  <c r="H278" i="6"/>
  <c r="F279" i="6"/>
  <c r="I267" i="6" s="1"/>
  <c r="O268" i="6" s="1"/>
  <c r="M268" i="19" s="1"/>
  <c r="J278" i="6"/>
  <c r="G278" i="6"/>
  <c r="T311" i="19" l="1"/>
  <c r="S312" i="19"/>
  <c r="R312" i="19"/>
  <c r="Q312" i="19"/>
  <c r="P312" i="19"/>
  <c r="C313" i="19"/>
  <c r="E312" i="19"/>
  <c r="D312" i="19"/>
  <c r="H311" i="19"/>
  <c r="F311" i="19"/>
  <c r="G299" i="19"/>
  <c r="M268" i="6"/>
  <c r="K268" i="19" s="1"/>
  <c r="N268" i="6"/>
  <c r="L268" i="19" s="1"/>
  <c r="L266" i="6"/>
  <c r="J266" i="19" s="1"/>
  <c r="P267" i="6"/>
  <c r="N267" i="19" s="1"/>
  <c r="G279" i="6"/>
  <c r="J279" i="6"/>
  <c r="H279" i="6"/>
  <c r="F280" i="6"/>
  <c r="I268" i="6" s="1"/>
  <c r="O269" i="6" s="1"/>
  <c r="M269" i="19" s="1"/>
  <c r="T312" i="19" l="1"/>
  <c r="S313" i="19"/>
  <c r="R313" i="19"/>
  <c r="Q313" i="19"/>
  <c r="P313" i="19"/>
  <c r="E313" i="19"/>
  <c r="C314" i="19"/>
  <c r="D313" i="19"/>
  <c r="H312" i="19"/>
  <c r="F312" i="19"/>
  <c r="G300" i="19"/>
  <c r="L267" i="6"/>
  <c r="J267" i="19" s="1"/>
  <c r="N269" i="6"/>
  <c r="L269" i="19" s="1"/>
  <c r="M269" i="6"/>
  <c r="K269" i="19" s="1"/>
  <c r="P268" i="6"/>
  <c r="N268" i="19" s="1"/>
  <c r="F281" i="6"/>
  <c r="I269" i="6" s="1"/>
  <c r="O270" i="6" s="1"/>
  <c r="M270" i="19" s="1"/>
  <c r="J280" i="6"/>
  <c r="H280" i="6"/>
  <c r="G280" i="6"/>
  <c r="T313" i="19" l="1"/>
  <c r="S314" i="19"/>
  <c r="R314" i="19"/>
  <c r="Q314" i="19"/>
  <c r="P314" i="19"/>
  <c r="E314" i="19"/>
  <c r="C315" i="19"/>
  <c r="F313" i="19"/>
  <c r="D314" i="19"/>
  <c r="H313" i="19"/>
  <c r="G301" i="19"/>
  <c r="N270" i="6"/>
  <c r="L270" i="19" s="1"/>
  <c r="L268" i="6"/>
  <c r="J268" i="19" s="1"/>
  <c r="M270" i="6"/>
  <c r="K270" i="19" s="1"/>
  <c r="P269" i="6"/>
  <c r="N269" i="19" s="1"/>
  <c r="G281" i="6"/>
  <c r="H281" i="6"/>
  <c r="F282" i="6"/>
  <c r="I270" i="6" s="1"/>
  <c r="O271" i="6" s="1"/>
  <c r="M271" i="19" s="1"/>
  <c r="J281" i="6"/>
  <c r="T314" i="19" l="1"/>
  <c r="S315" i="19"/>
  <c r="R315" i="19"/>
  <c r="Q315" i="19"/>
  <c r="P315" i="19"/>
  <c r="E315" i="19"/>
  <c r="C316" i="19"/>
  <c r="H314" i="19"/>
  <c r="F314" i="19"/>
  <c r="D315" i="19"/>
  <c r="G302" i="19"/>
  <c r="M271" i="6"/>
  <c r="K271" i="19" s="1"/>
  <c r="L269" i="6"/>
  <c r="J269" i="19" s="1"/>
  <c r="N271" i="6"/>
  <c r="L271" i="19" s="1"/>
  <c r="P270" i="6"/>
  <c r="N270" i="19" s="1"/>
  <c r="H282" i="6"/>
  <c r="F283" i="6"/>
  <c r="I271" i="6" s="1"/>
  <c r="O272" i="6" s="1"/>
  <c r="M272" i="19" s="1"/>
  <c r="J282" i="6"/>
  <c r="G282" i="6"/>
  <c r="T315" i="19" l="1"/>
  <c r="S316" i="19"/>
  <c r="R316" i="19"/>
  <c r="Q316" i="19"/>
  <c r="P316" i="19"/>
  <c r="C317" i="19"/>
  <c r="E316" i="19"/>
  <c r="D316" i="19"/>
  <c r="H315" i="19"/>
  <c r="F315" i="19"/>
  <c r="G303" i="19"/>
  <c r="L270" i="6"/>
  <c r="J270" i="19" s="1"/>
  <c r="M272" i="6"/>
  <c r="K272" i="19" s="1"/>
  <c r="N272" i="6"/>
  <c r="L272" i="19" s="1"/>
  <c r="P271" i="6"/>
  <c r="N271" i="19" s="1"/>
  <c r="J283" i="6"/>
  <c r="H283" i="6"/>
  <c r="F284" i="6"/>
  <c r="I272" i="6" s="1"/>
  <c r="O273" i="6" s="1"/>
  <c r="M273" i="19" s="1"/>
  <c r="G283" i="6"/>
  <c r="T316" i="19" l="1"/>
  <c r="S317" i="19"/>
  <c r="R317" i="19"/>
  <c r="Q317" i="19"/>
  <c r="P317" i="19"/>
  <c r="E317" i="19"/>
  <c r="C318" i="19"/>
  <c r="D317" i="19"/>
  <c r="H316" i="19"/>
  <c r="F316" i="19"/>
  <c r="G304" i="19"/>
  <c r="M273" i="6"/>
  <c r="K273" i="19" s="1"/>
  <c r="L271" i="6"/>
  <c r="J271" i="19" s="1"/>
  <c r="N273" i="6"/>
  <c r="L273" i="19" s="1"/>
  <c r="P272" i="6"/>
  <c r="N272" i="19" s="1"/>
  <c r="G284" i="6"/>
  <c r="F285" i="6"/>
  <c r="I273" i="6" s="1"/>
  <c r="O274" i="6" s="1"/>
  <c r="M274" i="19" s="1"/>
  <c r="J284" i="6"/>
  <c r="H284" i="6"/>
  <c r="T317" i="19" l="1"/>
  <c r="S318" i="19"/>
  <c r="R318" i="19"/>
  <c r="Q318" i="19"/>
  <c r="P318" i="19"/>
  <c r="C319" i="19"/>
  <c r="E318" i="19"/>
  <c r="F317" i="19"/>
  <c r="D318" i="19"/>
  <c r="H317" i="19"/>
  <c r="G305" i="19"/>
  <c r="N274" i="6"/>
  <c r="L274" i="19" s="1"/>
  <c r="L272" i="6"/>
  <c r="J272" i="19" s="1"/>
  <c r="M274" i="6"/>
  <c r="K274" i="19" s="1"/>
  <c r="P273" i="6"/>
  <c r="N273" i="19" s="1"/>
  <c r="J285" i="6"/>
  <c r="H285" i="6"/>
  <c r="F286" i="6"/>
  <c r="I274" i="6" s="1"/>
  <c r="O275" i="6" s="1"/>
  <c r="M275" i="19" s="1"/>
  <c r="G285" i="6"/>
  <c r="T318" i="19" l="1"/>
  <c r="S319" i="19"/>
  <c r="R319" i="19"/>
  <c r="Q319" i="19"/>
  <c r="P319" i="19"/>
  <c r="E319" i="19"/>
  <c r="C320" i="19"/>
  <c r="H318" i="19"/>
  <c r="F318" i="19"/>
  <c r="D319" i="19"/>
  <c r="G306" i="19"/>
  <c r="M275" i="6"/>
  <c r="K275" i="19" s="1"/>
  <c r="N275" i="6"/>
  <c r="L275" i="19" s="1"/>
  <c r="L273" i="6"/>
  <c r="J273" i="19" s="1"/>
  <c r="P274" i="6"/>
  <c r="N274" i="19" s="1"/>
  <c r="G286" i="6"/>
  <c r="H286" i="6"/>
  <c r="F287" i="6"/>
  <c r="I275" i="6" s="1"/>
  <c r="O276" i="6" s="1"/>
  <c r="M276" i="19" s="1"/>
  <c r="J286" i="6"/>
  <c r="T319" i="19" l="1"/>
  <c r="S320" i="19"/>
  <c r="R320" i="19"/>
  <c r="Q320" i="19"/>
  <c r="P320" i="19"/>
  <c r="E320" i="19"/>
  <c r="C321" i="19"/>
  <c r="D320" i="19"/>
  <c r="H319" i="19"/>
  <c r="F319" i="19"/>
  <c r="G307" i="19"/>
  <c r="L274" i="6"/>
  <c r="J274" i="19" s="1"/>
  <c r="N276" i="6"/>
  <c r="L276" i="19" s="1"/>
  <c r="M276" i="6"/>
  <c r="K276" i="19" s="1"/>
  <c r="P275" i="6"/>
  <c r="N275" i="19" s="1"/>
  <c r="J287" i="6"/>
  <c r="H287" i="6"/>
  <c r="F288" i="6"/>
  <c r="I276" i="6" s="1"/>
  <c r="O277" i="6" s="1"/>
  <c r="M277" i="19" s="1"/>
  <c r="G287" i="6"/>
  <c r="T320" i="19" l="1"/>
  <c r="S321" i="19"/>
  <c r="R321" i="19"/>
  <c r="Q321" i="19"/>
  <c r="P321" i="19"/>
  <c r="E321" i="19"/>
  <c r="C322" i="19"/>
  <c r="D321" i="19"/>
  <c r="H320" i="19"/>
  <c r="F320" i="19"/>
  <c r="G308" i="19"/>
  <c r="N277" i="6"/>
  <c r="L277" i="19" s="1"/>
  <c r="L275" i="6"/>
  <c r="J275" i="19" s="1"/>
  <c r="M277" i="6"/>
  <c r="K277" i="19" s="1"/>
  <c r="P276" i="6"/>
  <c r="N276" i="19" s="1"/>
  <c r="F289" i="6"/>
  <c r="I277" i="6" s="1"/>
  <c r="O278" i="6" s="1"/>
  <c r="M278" i="19" s="1"/>
  <c r="J288" i="6"/>
  <c r="H288" i="6"/>
  <c r="G288" i="6"/>
  <c r="T321" i="19" l="1"/>
  <c r="S322" i="19"/>
  <c r="R322" i="19"/>
  <c r="Q322" i="19"/>
  <c r="P322" i="19"/>
  <c r="E322" i="19"/>
  <c r="C323" i="19"/>
  <c r="F321" i="19"/>
  <c r="D322" i="19"/>
  <c r="H321" i="19"/>
  <c r="G309" i="19"/>
  <c r="L276" i="6"/>
  <c r="J276" i="19" s="1"/>
  <c r="N278" i="6"/>
  <c r="L278" i="19" s="1"/>
  <c r="M278" i="6"/>
  <c r="K278" i="19" s="1"/>
  <c r="P277" i="6"/>
  <c r="N277" i="19" s="1"/>
  <c r="G289" i="6"/>
  <c r="H289" i="6"/>
  <c r="F290" i="6"/>
  <c r="I278" i="6" s="1"/>
  <c r="O279" i="6" s="1"/>
  <c r="M279" i="19" s="1"/>
  <c r="J289" i="6"/>
  <c r="T322" i="19" l="1"/>
  <c r="S323" i="19"/>
  <c r="R323" i="19"/>
  <c r="Q323" i="19"/>
  <c r="P323" i="19"/>
  <c r="C324" i="19"/>
  <c r="E323" i="19"/>
  <c r="H322" i="19"/>
  <c r="F322" i="19"/>
  <c r="D323" i="19"/>
  <c r="G310" i="19"/>
  <c r="M279" i="6"/>
  <c r="K279" i="19" s="1"/>
  <c r="N279" i="6"/>
  <c r="L279" i="19" s="1"/>
  <c r="L277" i="6"/>
  <c r="J277" i="19" s="1"/>
  <c r="P278" i="6"/>
  <c r="N278" i="19" s="1"/>
  <c r="H290" i="6"/>
  <c r="F291" i="6"/>
  <c r="I279" i="6" s="1"/>
  <c r="O280" i="6" s="1"/>
  <c r="M280" i="19" s="1"/>
  <c r="J290" i="6"/>
  <c r="G290" i="6"/>
  <c r="T323" i="19" l="1"/>
  <c r="S324" i="19"/>
  <c r="R324" i="19"/>
  <c r="Q324" i="19"/>
  <c r="P324" i="19"/>
  <c r="C325" i="19"/>
  <c r="E324" i="19"/>
  <c r="D324" i="19"/>
  <c r="H323" i="19"/>
  <c r="F323" i="19"/>
  <c r="G311" i="19"/>
  <c r="N280" i="6"/>
  <c r="L280" i="19" s="1"/>
  <c r="M280" i="6"/>
  <c r="K280" i="19" s="1"/>
  <c r="L278" i="6"/>
  <c r="J278" i="19" s="1"/>
  <c r="P279" i="6"/>
  <c r="N279" i="19" s="1"/>
  <c r="G291" i="6"/>
  <c r="J291" i="6"/>
  <c r="F292" i="6"/>
  <c r="I280" i="6" s="1"/>
  <c r="O281" i="6" s="1"/>
  <c r="M281" i="19" s="1"/>
  <c r="H291" i="6"/>
  <c r="T324" i="19" l="1"/>
  <c r="S325" i="19"/>
  <c r="R325" i="19"/>
  <c r="Q325" i="19"/>
  <c r="P325" i="19"/>
  <c r="E325" i="19"/>
  <c r="C326" i="19"/>
  <c r="D325" i="19"/>
  <c r="H324" i="19"/>
  <c r="F324" i="19"/>
  <c r="G312" i="19"/>
  <c r="L279" i="6"/>
  <c r="J279" i="19" s="1"/>
  <c r="M281" i="6"/>
  <c r="K281" i="19" s="1"/>
  <c r="N281" i="6"/>
  <c r="L281" i="19" s="1"/>
  <c r="P280" i="6"/>
  <c r="N280" i="19" s="1"/>
  <c r="F293" i="6"/>
  <c r="I281" i="6" s="1"/>
  <c r="O282" i="6" s="1"/>
  <c r="M282" i="19" s="1"/>
  <c r="J292" i="6"/>
  <c r="H292" i="6"/>
  <c r="G292" i="6"/>
  <c r="T325" i="19" l="1"/>
  <c r="S326" i="19"/>
  <c r="R326" i="19"/>
  <c r="Q326" i="19"/>
  <c r="P326" i="19"/>
  <c r="E326" i="19"/>
  <c r="C327" i="19"/>
  <c r="F325" i="19"/>
  <c r="D326" i="19"/>
  <c r="H325" i="19"/>
  <c r="G313" i="19"/>
  <c r="M282" i="6"/>
  <c r="K282" i="19" s="1"/>
  <c r="L280" i="6"/>
  <c r="J280" i="19" s="1"/>
  <c r="N282" i="6"/>
  <c r="L282" i="19" s="1"/>
  <c r="P281" i="6"/>
  <c r="N281" i="19" s="1"/>
  <c r="G293" i="6"/>
  <c r="H293" i="6"/>
  <c r="J293" i="6"/>
  <c r="F294" i="6"/>
  <c r="I282" i="6" s="1"/>
  <c r="O283" i="6" s="1"/>
  <c r="M283" i="19" s="1"/>
  <c r="T326" i="19" l="1"/>
  <c r="S327" i="19"/>
  <c r="R327" i="19"/>
  <c r="Q327" i="19"/>
  <c r="P327" i="19"/>
  <c r="C328" i="19"/>
  <c r="E327" i="19"/>
  <c r="H326" i="19"/>
  <c r="F326" i="19"/>
  <c r="D327" i="19"/>
  <c r="G314" i="19"/>
  <c r="N283" i="6"/>
  <c r="L283" i="19" s="1"/>
  <c r="L281" i="6"/>
  <c r="J281" i="19" s="1"/>
  <c r="M283" i="6"/>
  <c r="K283" i="19" s="1"/>
  <c r="P282" i="6"/>
  <c r="N282" i="19" s="1"/>
  <c r="G294" i="6"/>
  <c r="H294" i="6"/>
  <c r="F295" i="6"/>
  <c r="I283" i="6" s="1"/>
  <c r="O284" i="6" s="1"/>
  <c r="M284" i="19" s="1"/>
  <c r="J294" i="6"/>
  <c r="T327" i="19" l="1"/>
  <c r="S328" i="19"/>
  <c r="R328" i="19"/>
  <c r="Q328" i="19"/>
  <c r="P328" i="19"/>
  <c r="E328" i="19"/>
  <c r="C329" i="19"/>
  <c r="D328" i="19"/>
  <c r="H327" i="19"/>
  <c r="F327" i="19"/>
  <c r="G315" i="19"/>
  <c r="M284" i="6"/>
  <c r="K284" i="19" s="1"/>
  <c r="L282" i="6"/>
  <c r="J282" i="19" s="1"/>
  <c r="N284" i="6"/>
  <c r="L284" i="19" s="1"/>
  <c r="P283" i="6"/>
  <c r="N283" i="19" s="1"/>
  <c r="G295" i="6"/>
  <c r="J295" i="6"/>
  <c r="H295" i="6"/>
  <c r="F296" i="6"/>
  <c r="I284" i="6" s="1"/>
  <c r="O285" i="6" s="1"/>
  <c r="M285" i="19" s="1"/>
  <c r="T328" i="19" l="1"/>
  <c r="S329" i="19"/>
  <c r="R329" i="19"/>
  <c r="Q329" i="19"/>
  <c r="P329" i="19"/>
  <c r="E329" i="19"/>
  <c r="C330" i="19"/>
  <c r="D329" i="19"/>
  <c r="H328" i="19"/>
  <c r="F328" i="19"/>
  <c r="G316" i="19"/>
  <c r="N285" i="6"/>
  <c r="L285" i="19" s="1"/>
  <c r="L283" i="6"/>
  <c r="J283" i="19" s="1"/>
  <c r="M285" i="6"/>
  <c r="K285" i="19" s="1"/>
  <c r="P284" i="6"/>
  <c r="N284" i="19" s="1"/>
  <c r="F297" i="6"/>
  <c r="I285" i="6" s="1"/>
  <c r="O286" i="6" s="1"/>
  <c r="M286" i="19" s="1"/>
  <c r="J296" i="6"/>
  <c r="H296" i="6"/>
  <c r="G296" i="6"/>
  <c r="T329" i="19" l="1"/>
  <c r="S330" i="19"/>
  <c r="R330" i="19"/>
  <c r="Q330" i="19"/>
  <c r="P330" i="19"/>
  <c r="C331" i="19"/>
  <c r="E330" i="19"/>
  <c r="F329" i="19"/>
  <c r="D330" i="19"/>
  <c r="H329" i="19"/>
  <c r="G317" i="19"/>
  <c r="L284" i="6"/>
  <c r="J284" i="19" s="1"/>
  <c r="N286" i="6"/>
  <c r="L286" i="19" s="1"/>
  <c r="M286" i="6"/>
  <c r="K286" i="19" s="1"/>
  <c r="P285" i="6"/>
  <c r="N285" i="19" s="1"/>
  <c r="G297" i="6"/>
  <c r="J297" i="6"/>
  <c r="H297" i="6"/>
  <c r="F298" i="6"/>
  <c r="I286" i="6" s="1"/>
  <c r="O287" i="6" s="1"/>
  <c r="M287" i="19" s="1"/>
  <c r="T330" i="19" l="1"/>
  <c r="S331" i="19"/>
  <c r="R331" i="19"/>
  <c r="Q331" i="19"/>
  <c r="P331" i="19"/>
  <c r="C332" i="19"/>
  <c r="E331" i="19"/>
  <c r="H330" i="19"/>
  <c r="F330" i="19"/>
  <c r="D331" i="19"/>
  <c r="G318" i="19"/>
  <c r="M287" i="6"/>
  <c r="K287" i="19" s="1"/>
  <c r="N287" i="6"/>
  <c r="L287" i="19" s="1"/>
  <c r="L285" i="6"/>
  <c r="J285" i="19" s="1"/>
  <c r="P286" i="6"/>
  <c r="N286" i="19" s="1"/>
  <c r="G298" i="6"/>
  <c r="H298" i="6"/>
  <c r="J298" i="6"/>
  <c r="F299" i="6"/>
  <c r="I287" i="6" s="1"/>
  <c r="O288" i="6" s="1"/>
  <c r="M288" i="19" s="1"/>
  <c r="T331" i="19" l="1"/>
  <c r="S332" i="19"/>
  <c r="R332" i="19"/>
  <c r="Q332" i="19"/>
  <c r="P332" i="19"/>
  <c r="C333" i="19"/>
  <c r="E332" i="19"/>
  <c r="D332" i="19"/>
  <c r="H331" i="19"/>
  <c r="F331" i="19"/>
  <c r="G319" i="19"/>
  <c r="P287" i="6"/>
  <c r="N287" i="19" s="1"/>
  <c r="L286" i="6"/>
  <c r="J286" i="19" s="1"/>
  <c r="N288" i="6"/>
  <c r="L288" i="19" s="1"/>
  <c r="M288" i="6"/>
  <c r="K288" i="19" s="1"/>
  <c r="G299" i="6"/>
  <c r="J299" i="6"/>
  <c r="F300" i="6"/>
  <c r="I288" i="6" s="1"/>
  <c r="O289" i="6" s="1"/>
  <c r="M289" i="19" s="1"/>
  <c r="H299" i="6"/>
  <c r="T332" i="19" l="1"/>
  <c r="S333" i="19"/>
  <c r="R333" i="19"/>
  <c r="Q333" i="19"/>
  <c r="P333" i="19"/>
  <c r="E333" i="19"/>
  <c r="C334" i="19"/>
  <c r="D333" i="19"/>
  <c r="H332" i="19"/>
  <c r="F332" i="19"/>
  <c r="G320" i="19"/>
  <c r="M289" i="6"/>
  <c r="K289" i="19" s="1"/>
  <c r="N289" i="6"/>
  <c r="L289" i="19" s="1"/>
  <c r="L287" i="6"/>
  <c r="J287" i="19" s="1"/>
  <c r="P288" i="6"/>
  <c r="N288" i="19" s="1"/>
  <c r="F301" i="6"/>
  <c r="I289" i="6" s="1"/>
  <c r="O290" i="6" s="1"/>
  <c r="M290" i="19" s="1"/>
  <c r="J300" i="6"/>
  <c r="H300" i="6"/>
  <c r="G300" i="6"/>
  <c r="T333" i="19" l="1"/>
  <c r="S334" i="19"/>
  <c r="R334" i="19"/>
  <c r="Q334" i="19"/>
  <c r="P334" i="19"/>
  <c r="C335" i="19"/>
  <c r="E334" i="19"/>
  <c r="F333" i="19"/>
  <c r="D334" i="19"/>
  <c r="H333" i="19"/>
  <c r="G321" i="19"/>
  <c r="L288" i="6"/>
  <c r="J288" i="19" s="1"/>
  <c r="N290" i="6"/>
  <c r="L290" i="19" s="1"/>
  <c r="M290" i="6"/>
  <c r="K290" i="19" s="1"/>
  <c r="P289" i="6"/>
  <c r="N289" i="19" s="1"/>
  <c r="G301" i="6"/>
  <c r="J301" i="6"/>
  <c r="H301" i="6"/>
  <c r="F302" i="6"/>
  <c r="I290" i="6" s="1"/>
  <c r="O291" i="6" s="1"/>
  <c r="M291" i="19" s="1"/>
  <c r="T334" i="19" l="1"/>
  <c r="S335" i="19"/>
  <c r="R335" i="19"/>
  <c r="Q335" i="19"/>
  <c r="P335" i="19"/>
  <c r="C336" i="19"/>
  <c r="E335" i="19"/>
  <c r="H334" i="19"/>
  <c r="F334" i="19"/>
  <c r="D335" i="19"/>
  <c r="G322" i="19"/>
  <c r="P290" i="6"/>
  <c r="N290" i="19" s="1"/>
  <c r="M291" i="6"/>
  <c r="K291" i="19" s="1"/>
  <c r="N291" i="6"/>
  <c r="L291" i="19" s="1"/>
  <c r="L289" i="6"/>
  <c r="J289" i="19" s="1"/>
  <c r="G302" i="6"/>
  <c r="H302" i="6"/>
  <c r="F303" i="6"/>
  <c r="I291" i="6" s="1"/>
  <c r="O292" i="6" s="1"/>
  <c r="M292" i="19" s="1"/>
  <c r="J302" i="6"/>
  <c r="T335" i="19" l="1"/>
  <c r="S336" i="19"/>
  <c r="R336" i="19"/>
  <c r="Q336" i="19"/>
  <c r="P336" i="19"/>
  <c r="E336" i="19"/>
  <c r="C337" i="19"/>
  <c r="D336" i="19"/>
  <c r="H335" i="19"/>
  <c r="F335" i="19"/>
  <c r="G323" i="19"/>
  <c r="L290" i="6"/>
  <c r="J290" i="19" s="1"/>
  <c r="N292" i="6"/>
  <c r="L292" i="19" s="1"/>
  <c r="M292" i="6"/>
  <c r="K292" i="19" s="1"/>
  <c r="P291" i="6"/>
  <c r="N291" i="19" s="1"/>
  <c r="G303" i="6"/>
  <c r="J303" i="6"/>
  <c r="F304" i="6"/>
  <c r="I292" i="6" s="1"/>
  <c r="O293" i="6" s="1"/>
  <c r="M293" i="19" s="1"/>
  <c r="H303" i="6"/>
  <c r="T336" i="19" l="1"/>
  <c r="S337" i="19"/>
  <c r="R337" i="19"/>
  <c r="Q337" i="19"/>
  <c r="P337" i="19"/>
  <c r="E337" i="19"/>
  <c r="C338" i="19"/>
  <c r="D337" i="19"/>
  <c r="H336" i="19"/>
  <c r="F336" i="19"/>
  <c r="G324" i="19"/>
  <c r="M293" i="6"/>
  <c r="K293" i="19" s="1"/>
  <c r="N293" i="6"/>
  <c r="L293" i="19" s="1"/>
  <c r="L291" i="6"/>
  <c r="J291" i="19" s="1"/>
  <c r="P292" i="6"/>
  <c r="N292" i="19" s="1"/>
  <c r="F305" i="6"/>
  <c r="I293" i="6" s="1"/>
  <c r="O294" i="6" s="1"/>
  <c r="M294" i="19" s="1"/>
  <c r="H304" i="6"/>
  <c r="J304" i="6"/>
  <c r="G304" i="6"/>
  <c r="T337" i="19" l="1"/>
  <c r="S338" i="19"/>
  <c r="R338" i="19"/>
  <c r="Q338" i="19"/>
  <c r="P338" i="19"/>
  <c r="T338" i="19" s="1"/>
  <c r="C339" i="19"/>
  <c r="E338" i="19"/>
  <c r="F337" i="19"/>
  <c r="D338" i="19"/>
  <c r="H337" i="19"/>
  <c r="G325" i="19"/>
  <c r="L292" i="6"/>
  <c r="J292" i="19" s="1"/>
  <c r="N294" i="6"/>
  <c r="L294" i="19" s="1"/>
  <c r="M294" i="6"/>
  <c r="K294" i="19" s="1"/>
  <c r="P293" i="6"/>
  <c r="N293" i="19" s="1"/>
  <c r="G305" i="6"/>
  <c r="F306" i="6"/>
  <c r="I294" i="6" s="1"/>
  <c r="O295" i="6" s="1"/>
  <c r="M295" i="19" s="1"/>
  <c r="H305" i="6"/>
  <c r="J305" i="6"/>
  <c r="S339" i="19" l="1"/>
  <c r="R339" i="19"/>
  <c r="P339" i="19"/>
  <c r="Q339" i="19"/>
  <c r="C340" i="19"/>
  <c r="E339" i="19"/>
  <c r="H338" i="19"/>
  <c r="F338" i="19"/>
  <c r="D339" i="19"/>
  <c r="G326" i="19"/>
  <c r="M295" i="6"/>
  <c r="K295" i="19" s="1"/>
  <c r="N295" i="6"/>
  <c r="L295" i="19" s="1"/>
  <c r="L293" i="6"/>
  <c r="J293" i="19" s="1"/>
  <c r="P294" i="6"/>
  <c r="N294" i="19" s="1"/>
  <c r="H306" i="6"/>
  <c r="F307" i="6"/>
  <c r="I295" i="6" s="1"/>
  <c r="O296" i="6" s="1"/>
  <c r="M296" i="19" s="1"/>
  <c r="J306" i="6"/>
  <c r="G306" i="6"/>
  <c r="T339" i="19" l="1"/>
  <c r="S340" i="19"/>
  <c r="R340" i="19"/>
  <c r="Q340" i="19"/>
  <c r="P340" i="19"/>
  <c r="E340" i="19"/>
  <c r="C341" i="19"/>
  <c r="D340" i="19"/>
  <c r="H339" i="19"/>
  <c r="F339" i="19"/>
  <c r="G327" i="19"/>
  <c r="N296" i="6"/>
  <c r="L296" i="19" s="1"/>
  <c r="M296" i="6"/>
  <c r="K296" i="19" s="1"/>
  <c r="L294" i="6"/>
  <c r="J294" i="19" s="1"/>
  <c r="P295" i="6"/>
  <c r="N295" i="19" s="1"/>
  <c r="J307" i="6"/>
  <c r="F308" i="6"/>
  <c r="I296" i="6" s="1"/>
  <c r="O297" i="6" s="1"/>
  <c r="M297" i="19" s="1"/>
  <c r="H307" i="6"/>
  <c r="G307" i="6"/>
  <c r="T340" i="19" l="1"/>
  <c r="S341" i="19"/>
  <c r="R341" i="19"/>
  <c r="Q341" i="19"/>
  <c r="P341" i="19"/>
  <c r="E341" i="19"/>
  <c r="C342" i="19"/>
  <c r="D341" i="19"/>
  <c r="H340" i="19"/>
  <c r="F340" i="19"/>
  <c r="G328" i="19"/>
  <c r="M297" i="6"/>
  <c r="K297" i="19" s="1"/>
  <c r="N297" i="6"/>
  <c r="L297" i="19" s="1"/>
  <c r="L295" i="6"/>
  <c r="J295" i="19" s="1"/>
  <c r="P296" i="6"/>
  <c r="N296" i="19" s="1"/>
  <c r="G308" i="6"/>
  <c r="F309" i="6"/>
  <c r="I297" i="6" s="1"/>
  <c r="O298" i="6" s="1"/>
  <c r="M298" i="19" s="1"/>
  <c r="H308" i="6"/>
  <c r="J308" i="6"/>
  <c r="T341" i="19" l="1"/>
  <c r="S342" i="19"/>
  <c r="R342" i="19"/>
  <c r="Q342" i="19"/>
  <c r="P342" i="19"/>
  <c r="E342" i="19"/>
  <c r="C343" i="19"/>
  <c r="F341" i="19"/>
  <c r="D342" i="19"/>
  <c r="H341" i="19"/>
  <c r="G329" i="19"/>
  <c r="L296" i="6"/>
  <c r="J296" i="19" s="1"/>
  <c r="N298" i="6"/>
  <c r="L298" i="19" s="1"/>
  <c r="M298" i="6"/>
  <c r="K298" i="19" s="1"/>
  <c r="P297" i="6"/>
  <c r="N297" i="19" s="1"/>
  <c r="F310" i="6"/>
  <c r="I298" i="6" s="1"/>
  <c r="O299" i="6" s="1"/>
  <c r="M299" i="19" s="1"/>
  <c r="J309" i="6"/>
  <c r="H309" i="6"/>
  <c r="G309" i="6"/>
  <c r="T342" i="19" l="1"/>
  <c r="S343" i="19"/>
  <c r="R343" i="19"/>
  <c r="Q343" i="19"/>
  <c r="P343" i="19"/>
  <c r="C344" i="19"/>
  <c r="E343" i="19"/>
  <c r="H342" i="19"/>
  <c r="F342" i="19"/>
  <c r="D343" i="19"/>
  <c r="G330" i="19"/>
  <c r="M299" i="6"/>
  <c r="K299" i="19" s="1"/>
  <c r="N299" i="6"/>
  <c r="L299" i="19" s="1"/>
  <c r="L297" i="6"/>
  <c r="J297" i="19" s="1"/>
  <c r="P298" i="6"/>
  <c r="N298" i="19" s="1"/>
  <c r="G310" i="6"/>
  <c r="H310" i="6"/>
  <c r="J310" i="6"/>
  <c r="F311" i="6"/>
  <c r="I299" i="6" s="1"/>
  <c r="O300" i="6" s="1"/>
  <c r="M300" i="19" s="1"/>
  <c r="T343" i="19" l="1"/>
  <c r="S344" i="19"/>
  <c r="R344" i="19"/>
  <c r="Q344" i="19"/>
  <c r="P344" i="19"/>
  <c r="C345" i="19"/>
  <c r="E344" i="19"/>
  <c r="D344" i="19"/>
  <c r="H343" i="19"/>
  <c r="F343" i="19"/>
  <c r="G331" i="19"/>
  <c r="L298" i="6"/>
  <c r="J298" i="19" s="1"/>
  <c r="N300" i="6"/>
  <c r="L300" i="19" s="1"/>
  <c r="M300" i="6"/>
  <c r="K300" i="19" s="1"/>
  <c r="P299" i="6"/>
  <c r="N299" i="19" s="1"/>
  <c r="G311" i="6"/>
  <c r="J311" i="6"/>
  <c r="F312" i="6"/>
  <c r="I300" i="6" s="1"/>
  <c r="O301" i="6" s="1"/>
  <c r="M301" i="19" s="1"/>
  <c r="H311" i="6"/>
  <c r="T344" i="19" l="1"/>
  <c r="S345" i="19"/>
  <c r="R345" i="19"/>
  <c r="Q345" i="19"/>
  <c r="P345" i="19"/>
  <c r="E345" i="19"/>
  <c r="C346" i="19"/>
  <c r="D345" i="19"/>
  <c r="H344" i="19"/>
  <c r="F344" i="19"/>
  <c r="G332" i="19"/>
  <c r="M301" i="6"/>
  <c r="K301" i="19" s="1"/>
  <c r="N301" i="6"/>
  <c r="L301" i="19" s="1"/>
  <c r="L299" i="6"/>
  <c r="J299" i="19" s="1"/>
  <c r="P300" i="6"/>
  <c r="N300" i="19" s="1"/>
  <c r="F313" i="6"/>
  <c r="I301" i="6" s="1"/>
  <c r="O302" i="6" s="1"/>
  <c r="M302" i="19" s="1"/>
  <c r="H312" i="6"/>
  <c r="J312" i="6"/>
  <c r="G312" i="6"/>
  <c r="T345" i="19" l="1"/>
  <c r="S346" i="19"/>
  <c r="R346" i="19"/>
  <c r="Q346" i="19"/>
  <c r="P346" i="19"/>
  <c r="C347" i="19"/>
  <c r="E346" i="19"/>
  <c r="F345" i="19"/>
  <c r="D346" i="19"/>
  <c r="H345" i="19"/>
  <c r="G333" i="19"/>
  <c r="N302" i="6"/>
  <c r="L302" i="19" s="1"/>
  <c r="M302" i="6"/>
  <c r="K302" i="19" s="1"/>
  <c r="L300" i="6"/>
  <c r="J300" i="19" s="1"/>
  <c r="P301" i="6"/>
  <c r="N301" i="19" s="1"/>
  <c r="G313" i="6"/>
  <c r="H313" i="6"/>
  <c r="J313" i="6"/>
  <c r="F314" i="6"/>
  <c r="I302" i="6" s="1"/>
  <c r="O303" i="6" s="1"/>
  <c r="M303" i="19" s="1"/>
  <c r="T346" i="19" l="1"/>
  <c r="S347" i="19"/>
  <c r="R347" i="19"/>
  <c r="Q347" i="19"/>
  <c r="P347" i="19"/>
  <c r="C348" i="19"/>
  <c r="E347" i="19"/>
  <c r="H346" i="19"/>
  <c r="F346" i="19"/>
  <c r="D347" i="19"/>
  <c r="G334" i="19"/>
  <c r="P302" i="6"/>
  <c r="N302" i="19" s="1"/>
  <c r="L301" i="6"/>
  <c r="J301" i="19" s="1"/>
  <c r="N303" i="6"/>
  <c r="L303" i="19" s="1"/>
  <c r="M303" i="6"/>
  <c r="K303" i="19" s="1"/>
  <c r="G314" i="6"/>
  <c r="H314" i="6"/>
  <c r="J314" i="6"/>
  <c r="F315" i="6"/>
  <c r="I303" i="6" s="1"/>
  <c r="O304" i="6" s="1"/>
  <c r="M304" i="19" s="1"/>
  <c r="T347" i="19" l="1"/>
  <c r="S348" i="19"/>
  <c r="R348" i="19"/>
  <c r="Q348" i="19"/>
  <c r="P348" i="19"/>
  <c r="C349" i="19"/>
  <c r="E348" i="19"/>
  <c r="D348" i="19"/>
  <c r="H347" i="19"/>
  <c r="F347" i="19"/>
  <c r="G335" i="19"/>
  <c r="N304" i="6"/>
  <c r="L304" i="19" s="1"/>
  <c r="M304" i="6"/>
  <c r="K304" i="19" s="1"/>
  <c r="L302" i="6"/>
  <c r="J302" i="19" s="1"/>
  <c r="P303" i="6"/>
  <c r="N303" i="19" s="1"/>
  <c r="J315" i="6"/>
  <c r="F316" i="6"/>
  <c r="I304" i="6" s="1"/>
  <c r="O305" i="6" s="1"/>
  <c r="M305" i="19" s="1"/>
  <c r="H315" i="6"/>
  <c r="G315" i="6"/>
  <c r="T348" i="19" l="1"/>
  <c r="S349" i="19"/>
  <c r="R349" i="19"/>
  <c r="Q349" i="19"/>
  <c r="P349" i="19"/>
  <c r="C350" i="19"/>
  <c r="E349" i="19"/>
  <c r="D349" i="19"/>
  <c r="H348" i="19"/>
  <c r="F348" i="19"/>
  <c r="G336" i="19"/>
  <c r="L303" i="6"/>
  <c r="J303" i="19" s="1"/>
  <c r="N305" i="6"/>
  <c r="L305" i="19" s="1"/>
  <c r="M305" i="6"/>
  <c r="K305" i="19" s="1"/>
  <c r="P304" i="6"/>
  <c r="N304" i="19" s="1"/>
  <c r="G316" i="6"/>
  <c r="F317" i="6"/>
  <c r="I305" i="6" s="1"/>
  <c r="O306" i="6" s="1"/>
  <c r="M306" i="19" s="1"/>
  <c r="J316" i="6"/>
  <c r="H316" i="6"/>
  <c r="T349" i="19" l="1"/>
  <c r="S350" i="19"/>
  <c r="R350" i="19"/>
  <c r="Q350" i="19"/>
  <c r="P350" i="19"/>
  <c r="E350" i="19"/>
  <c r="C351" i="19"/>
  <c r="F349" i="19"/>
  <c r="D350" i="19"/>
  <c r="H349" i="19"/>
  <c r="G337" i="19"/>
  <c r="M306" i="6"/>
  <c r="K306" i="19" s="1"/>
  <c r="N306" i="6"/>
  <c r="L306" i="19" s="1"/>
  <c r="L304" i="6"/>
  <c r="J304" i="19" s="1"/>
  <c r="P305" i="6"/>
  <c r="N305" i="19" s="1"/>
  <c r="F318" i="6"/>
  <c r="I306" i="6" s="1"/>
  <c r="O307" i="6" s="1"/>
  <c r="M307" i="19" s="1"/>
  <c r="J317" i="6"/>
  <c r="H317" i="6"/>
  <c r="G317" i="6"/>
  <c r="T350" i="19" l="1"/>
  <c r="S351" i="19"/>
  <c r="R351" i="19"/>
  <c r="Q351" i="19"/>
  <c r="P351" i="19"/>
  <c r="C352" i="19"/>
  <c r="E351" i="19"/>
  <c r="H350" i="19"/>
  <c r="F350" i="19"/>
  <c r="D351" i="19"/>
  <c r="G338" i="19"/>
  <c r="N307" i="6"/>
  <c r="L307" i="19" s="1"/>
  <c r="M307" i="6"/>
  <c r="K307" i="19" s="1"/>
  <c r="L305" i="6"/>
  <c r="J305" i="19" s="1"/>
  <c r="P306" i="6"/>
  <c r="N306" i="19" s="1"/>
  <c r="G318" i="6"/>
  <c r="H318" i="6"/>
  <c r="F319" i="6"/>
  <c r="I307" i="6" s="1"/>
  <c r="O308" i="6" s="1"/>
  <c r="M308" i="19" s="1"/>
  <c r="J318" i="6"/>
  <c r="T351" i="19" l="1"/>
  <c r="S352" i="19"/>
  <c r="R352" i="19"/>
  <c r="Q352" i="19"/>
  <c r="P352" i="19"/>
  <c r="C353" i="19"/>
  <c r="E352" i="19"/>
  <c r="D352" i="19"/>
  <c r="H351" i="19"/>
  <c r="F351" i="19"/>
  <c r="G339" i="19"/>
  <c r="L306" i="6"/>
  <c r="J306" i="19" s="1"/>
  <c r="M308" i="6"/>
  <c r="K308" i="19" s="1"/>
  <c r="N308" i="6"/>
  <c r="L308" i="19" s="1"/>
  <c r="P307" i="6"/>
  <c r="N307" i="19" s="1"/>
  <c r="J319" i="6"/>
  <c r="F320" i="6"/>
  <c r="I308" i="6" s="1"/>
  <c r="O309" i="6" s="1"/>
  <c r="M309" i="19" s="1"/>
  <c r="H319" i="6"/>
  <c r="G319" i="6"/>
  <c r="T352" i="19" l="1"/>
  <c r="S353" i="19"/>
  <c r="R353" i="19"/>
  <c r="Q353" i="19"/>
  <c r="P353" i="19"/>
  <c r="C354" i="19"/>
  <c r="E353" i="19"/>
  <c r="D353" i="19"/>
  <c r="H352" i="19"/>
  <c r="F352" i="19"/>
  <c r="G340" i="19"/>
  <c r="N309" i="6"/>
  <c r="L309" i="19" s="1"/>
  <c r="L307" i="6"/>
  <c r="J307" i="19" s="1"/>
  <c r="M309" i="6"/>
  <c r="K309" i="19" s="1"/>
  <c r="P308" i="6"/>
  <c r="N308" i="19" s="1"/>
  <c r="G320" i="6"/>
  <c r="F321" i="6"/>
  <c r="I309" i="6" s="1"/>
  <c r="O310" i="6" s="1"/>
  <c r="M310" i="19" s="1"/>
  <c r="J320" i="6"/>
  <c r="H320" i="6"/>
  <c r="T353" i="19" l="1"/>
  <c r="S354" i="19"/>
  <c r="R354" i="19"/>
  <c r="Q354" i="19"/>
  <c r="P354" i="19"/>
  <c r="E354" i="19"/>
  <c r="C355" i="19"/>
  <c r="F353" i="19"/>
  <c r="D354" i="19"/>
  <c r="H353" i="19"/>
  <c r="G341" i="19"/>
  <c r="M310" i="6"/>
  <c r="K310" i="19" s="1"/>
  <c r="L308" i="6"/>
  <c r="J308" i="19" s="1"/>
  <c r="N310" i="6"/>
  <c r="L310" i="19" s="1"/>
  <c r="P309" i="6"/>
  <c r="N309" i="19" s="1"/>
  <c r="H321" i="6"/>
  <c r="J321" i="6"/>
  <c r="F322" i="6"/>
  <c r="I310" i="6" s="1"/>
  <c r="O311" i="6" s="1"/>
  <c r="M311" i="19" s="1"/>
  <c r="G321" i="6"/>
  <c r="T354" i="19" l="1"/>
  <c r="S355" i="19"/>
  <c r="R355" i="19"/>
  <c r="Q355" i="19"/>
  <c r="P355" i="19"/>
  <c r="C356" i="19"/>
  <c r="E355" i="19"/>
  <c r="H354" i="19"/>
  <c r="F354" i="19"/>
  <c r="D355" i="19"/>
  <c r="G342" i="19"/>
  <c r="L309" i="6"/>
  <c r="J309" i="19" s="1"/>
  <c r="M311" i="6"/>
  <c r="K311" i="19" s="1"/>
  <c r="N311" i="6"/>
  <c r="L311" i="19" s="1"/>
  <c r="P310" i="6"/>
  <c r="N310" i="19" s="1"/>
  <c r="H322" i="6"/>
  <c r="F323" i="6"/>
  <c r="I311" i="6" s="1"/>
  <c r="O312" i="6" s="1"/>
  <c r="M312" i="19" s="1"/>
  <c r="J322" i="6"/>
  <c r="G322" i="6"/>
  <c r="T355" i="19" l="1"/>
  <c r="S356" i="19"/>
  <c r="R356" i="19"/>
  <c r="Q356" i="19"/>
  <c r="P356" i="19"/>
  <c r="C357" i="19"/>
  <c r="E356" i="19"/>
  <c r="D356" i="19"/>
  <c r="H355" i="19"/>
  <c r="F355" i="19"/>
  <c r="G343" i="19"/>
  <c r="N312" i="6"/>
  <c r="L312" i="19" s="1"/>
  <c r="M312" i="6"/>
  <c r="K312" i="19" s="1"/>
  <c r="L310" i="6"/>
  <c r="J310" i="19" s="1"/>
  <c r="P311" i="6"/>
  <c r="N311" i="19" s="1"/>
  <c r="G323" i="6"/>
  <c r="J323" i="6"/>
  <c r="F324" i="6"/>
  <c r="I312" i="6" s="1"/>
  <c r="O313" i="6" s="1"/>
  <c r="M313" i="19" s="1"/>
  <c r="H323" i="6"/>
  <c r="T356" i="19" l="1"/>
  <c r="S357" i="19"/>
  <c r="R357" i="19"/>
  <c r="P357" i="19"/>
  <c r="Q357" i="19"/>
  <c r="E357" i="19"/>
  <c r="C358" i="19"/>
  <c r="D357" i="19"/>
  <c r="H356" i="19"/>
  <c r="F356" i="19"/>
  <c r="G344" i="19"/>
  <c r="L311" i="6"/>
  <c r="J311" i="19" s="1"/>
  <c r="M313" i="6"/>
  <c r="K313" i="19" s="1"/>
  <c r="N313" i="6"/>
  <c r="L313" i="19" s="1"/>
  <c r="P312" i="6"/>
  <c r="N312" i="19" s="1"/>
  <c r="F325" i="6"/>
  <c r="I313" i="6" s="1"/>
  <c r="O314" i="6" s="1"/>
  <c r="M314" i="19" s="1"/>
  <c r="H324" i="6"/>
  <c r="J324" i="6"/>
  <c r="G324" i="6"/>
  <c r="T357" i="19" l="1"/>
  <c r="S358" i="19"/>
  <c r="R358" i="19"/>
  <c r="Q358" i="19"/>
  <c r="P358" i="19"/>
  <c r="C359" i="19"/>
  <c r="E358" i="19"/>
  <c r="F357" i="19"/>
  <c r="D358" i="19"/>
  <c r="H357" i="19"/>
  <c r="G345" i="19"/>
  <c r="M314" i="6"/>
  <c r="K314" i="19" s="1"/>
  <c r="L312" i="6"/>
  <c r="J312" i="19" s="1"/>
  <c r="N314" i="6"/>
  <c r="L314" i="19" s="1"/>
  <c r="P313" i="6"/>
  <c r="N313" i="19" s="1"/>
  <c r="G325" i="6"/>
  <c r="H325" i="6"/>
  <c r="F326" i="6"/>
  <c r="I314" i="6" s="1"/>
  <c r="O315" i="6" s="1"/>
  <c r="M315" i="19" s="1"/>
  <c r="J325" i="6"/>
  <c r="T358" i="19" l="1"/>
  <c r="S359" i="19"/>
  <c r="R359" i="19"/>
  <c r="Q359" i="19"/>
  <c r="P359" i="19"/>
  <c r="C360" i="19"/>
  <c r="E359" i="19"/>
  <c r="H358" i="19"/>
  <c r="F358" i="19"/>
  <c r="D359" i="19"/>
  <c r="G346" i="19"/>
  <c r="N315" i="6"/>
  <c r="L315" i="19" s="1"/>
  <c r="L313" i="6"/>
  <c r="J313" i="19" s="1"/>
  <c r="M315" i="6"/>
  <c r="K315" i="19" s="1"/>
  <c r="P314" i="6"/>
  <c r="N314" i="19" s="1"/>
  <c r="H326" i="6"/>
  <c r="F327" i="6"/>
  <c r="I315" i="6" s="1"/>
  <c r="O316" i="6" s="1"/>
  <c r="M316" i="19" s="1"/>
  <c r="J326" i="6"/>
  <c r="G326" i="6"/>
  <c r="T359" i="19" l="1"/>
  <c r="S360" i="19"/>
  <c r="R360" i="19"/>
  <c r="Q360" i="19"/>
  <c r="P360" i="19"/>
  <c r="C361" i="19"/>
  <c r="E360" i="19"/>
  <c r="D360" i="19"/>
  <c r="H359" i="19"/>
  <c r="F359" i="19"/>
  <c r="G347" i="19"/>
  <c r="M316" i="6"/>
  <c r="K316" i="19" s="1"/>
  <c r="N316" i="6"/>
  <c r="L316" i="19" s="1"/>
  <c r="L314" i="6"/>
  <c r="J314" i="19" s="1"/>
  <c r="P315" i="6"/>
  <c r="N315" i="19" s="1"/>
  <c r="J327" i="6"/>
  <c r="H327" i="6"/>
  <c r="F328" i="6"/>
  <c r="I316" i="6" s="1"/>
  <c r="O317" i="6" s="1"/>
  <c r="M317" i="19" s="1"/>
  <c r="G327" i="6"/>
  <c r="T360" i="19" l="1"/>
  <c r="S361" i="19"/>
  <c r="R361" i="19"/>
  <c r="Q361" i="19"/>
  <c r="P361" i="19"/>
  <c r="E361" i="19"/>
  <c r="C362" i="19"/>
  <c r="D361" i="19"/>
  <c r="H360" i="19"/>
  <c r="F360" i="19"/>
  <c r="G348" i="19"/>
  <c r="N317" i="6"/>
  <c r="L317" i="19" s="1"/>
  <c r="M317" i="6"/>
  <c r="K317" i="19" s="1"/>
  <c r="L315" i="6"/>
  <c r="J315" i="19" s="1"/>
  <c r="P316" i="6"/>
  <c r="N316" i="19" s="1"/>
  <c r="G328" i="6"/>
  <c r="F329" i="6"/>
  <c r="I317" i="6" s="1"/>
  <c r="O318" i="6" s="1"/>
  <c r="M318" i="19" s="1"/>
  <c r="H328" i="6"/>
  <c r="J328" i="6"/>
  <c r="T361" i="19" l="1"/>
  <c r="S362" i="19"/>
  <c r="R362" i="19"/>
  <c r="Q362" i="19"/>
  <c r="P362" i="19"/>
  <c r="C363" i="19"/>
  <c r="E362" i="19"/>
  <c r="F361" i="19"/>
  <c r="D362" i="19"/>
  <c r="H361" i="19"/>
  <c r="G349" i="19"/>
  <c r="M318" i="6"/>
  <c r="K318" i="19" s="1"/>
  <c r="N318" i="6"/>
  <c r="L318" i="19" s="1"/>
  <c r="L316" i="6"/>
  <c r="J316" i="19" s="1"/>
  <c r="P317" i="6"/>
  <c r="N317" i="19" s="1"/>
  <c r="J329" i="6"/>
  <c r="F330" i="6"/>
  <c r="I318" i="6" s="1"/>
  <c r="O319" i="6" s="1"/>
  <c r="M319" i="19" s="1"/>
  <c r="H329" i="6"/>
  <c r="G329" i="6"/>
  <c r="T362" i="19" l="1"/>
  <c r="S363" i="19"/>
  <c r="R363" i="19"/>
  <c r="Q363" i="19"/>
  <c r="P363" i="19"/>
  <c r="C364" i="19"/>
  <c r="E363" i="19"/>
  <c r="H362" i="19"/>
  <c r="F362" i="19"/>
  <c r="D363" i="19"/>
  <c r="G350" i="19"/>
  <c r="N319" i="6"/>
  <c r="L319" i="19" s="1"/>
  <c r="M319" i="6"/>
  <c r="K319" i="19" s="1"/>
  <c r="L317" i="6"/>
  <c r="J317" i="19" s="1"/>
  <c r="P318" i="6"/>
  <c r="N318" i="19" s="1"/>
  <c r="H330" i="6"/>
  <c r="F331" i="6"/>
  <c r="I319" i="6" s="1"/>
  <c r="O320" i="6" s="1"/>
  <c r="M320" i="19" s="1"/>
  <c r="J330" i="6"/>
  <c r="G330" i="6"/>
  <c r="T363" i="19" l="1"/>
  <c r="S364" i="19"/>
  <c r="R364" i="19"/>
  <c r="Q364" i="19"/>
  <c r="P364" i="19"/>
  <c r="C365" i="19"/>
  <c r="E364" i="19"/>
  <c r="D364" i="19"/>
  <c r="H363" i="19"/>
  <c r="F363" i="19"/>
  <c r="G351" i="19"/>
  <c r="M320" i="6"/>
  <c r="K320" i="19" s="1"/>
  <c r="N320" i="6"/>
  <c r="L320" i="19" s="1"/>
  <c r="L318" i="6"/>
  <c r="J318" i="19" s="1"/>
  <c r="P319" i="6"/>
  <c r="N319" i="19" s="1"/>
  <c r="G331" i="6"/>
  <c r="J331" i="6"/>
  <c r="F332" i="6"/>
  <c r="I320" i="6" s="1"/>
  <c r="O321" i="6" s="1"/>
  <c r="M321" i="19" s="1"/>
  <c r="H331" i="6"/>
  <c r="T364" i="19" l="1"/>
  <c r="S365" i="19"/>
  <c r="R365" i="19"/>
  <c r="Q365" i="19"/>
  <c r="P365" i="19"/>
  <c r="E365" i="19"/>
  <c r="C366" i="19"/>
  <c r="D365" i="19"/>
  <c r="H364" i="19"/>
  <c r="F364" i="19"/>
  <c r="G352" i="19"/>
  <c r="L319" i="6"/>
  <c r="J319" i="19" s="1"/>
  <c r="N321" i="6"/>
  <c r="L321" i="19" s="1"/>
  <c r="M321" i="6"/>
  <c r="K321" i="19" s="1"/>
  <c r="P320" i="6"/>
  <c r="N320" i="19" s="1"/>
  <c r="F333" i="6"/>
  <c r="I321" i="6" s="1"/>
  <c r="O322" i="6" s="1"/>
  <c r="M322" i="19" s="1"/>
  <c r="J332" i="6"/>
  <c r="H332" i="6"/>
  <c r="G332" i="6"/>
  <c r="T365" i="19" l="1"/>
  <c r="S366" i="19"/>
  <c r="R366" i="19"/>
  <c r="Q366" i="19"/>
  <c r="P366" i="19"/>
  <c r="C367" i="19"/>
  <c r="E366" i="19"/>
  <c r="F365" i="19"/>
  <c r="D366" i="19"/>
  <c r="H365" i="19"/>
  <c r="G353" i="19"/>
  <c r="M322" i="6"/>
  <c r="K322" i="19" s="1"/>
  <c r="L320" i="6"/>
  <c r="J320" i="19" s="1"/>
  <c r="N322" i="6"/>
  <c r="L322" i="19" s="1"/>
  <c r="P321" i="6"/>
  <c r="N321" i="19" s="1"/>
  <c r="G333" i="6"/>
  <c r="J333" i="6"/>
  <c r="H333" i="6"/>
  <c r="F334" i="6"/>
  <c r="I322" i="6" s="1"/>
  <c r="O323" i="6" s="1"/>
  <c r="M323" i="19" s="1"/>
  <c r="T366" i="19" l="1"/>
  <c r="S367" i="19"/>
  <c r="R367" i="19"/>
  <c r="Q367" i="19"/>
  <c r="P367" i="19"/>
  <c r="C368" i="19"/>
  <c r="E367" i="19"/>
  <c r="H366" i="19"/>
  <c r="F366" i="19"/>
  <c r="D367" i="19"/>
  <c r="G354" i="19"/>
  <c r="N323" i="6"/>
  <c r="L323" i="19" s="1"/>
  <c r="L321" i="6"/>
  <c r="J321" i="19" s="1"/>
  <c r="M323" i="6"/>
  <c r="K323" i="19" s="1"/>
  <c r="P322" i="6"/>
  <c r="N322" i="19" s="1"/>
  <c r="H334" i="6"/>
  <c r="F335" i="6"/>
  <c r="I323" i="6" s="1"/>
  <c r="O324" i="6" s="1"/>
  <c r="M324" i="19" s="1"/>
  <c r="J334" i="6"/>
  <c r="G334" i="6"/>
  <c r="T367" i="19" l="1"/>
  <c r="S368" i="19"/>
  <c r="R368" i="19"/>
  <c r="Q368" i="19"/>
  <c r="P368" i="19"/>
  <c r="C369" i="19"/>
  <c r="E368" i="19"/>
  <c r="D368" i="19"/>
  <c r="H367" i="19"/>
  <c r="F367" i="19"/>
  <c r="G355" i="19"/>
  <c r="L322" i="6"/>
  <c r="J322" i="19" s="1"/>
  <c r="N324" i="6"/>
  <c r="L324" i="19" s="1"/>
  <c r="M324" i="6"/>
  <c r="K324" i="19" s="1"/>
  <c r="P323" i="6"/>
  <c r="N323" i="19" s="1"/>
  <c r="G335" i="6"/>
  <c r="J335" i="6"/>
  <c r="F336" i="6"/>
  <c r="I324" i="6" s="1"/>
  <c r="O325" i="6" s="1"/>
  <c r="M325" i="19" s="1"/>
  <c r="H335" i="6"/>
  <c r="T368" i="19" l="1"/>
  <c r="S369" i="19"/>
  <c r="R369" i="19"/>
  <c r="Q369" i="19"/>
  <c r="P369" i="19"/>
  <c r="E369" i="19"/>
  <c r="C370" i="19"/>
  <c r="D369" i="19"/>
  <c r="H368" i="19"/>
  <c r="F368" i="19"/>
  <c r="G356" i="19"/>
  <c r="N325" i="6"/>
  <c r="L325" i="19" s="1"/>
  <c r="L323" i="6"/>
  <c r="J323" i="19" s="1"/>
  <c r="M325" i="6"/>
  <c r="K325" i="19" s="1"/>
  <c r="P324" i="6"/>
  <c r="N324" i="19" s="1"/>
  <c r="F337" i="6"/>
  <c r="I325" i="6" s="1"/>
  <c r="O326" i="6" s="1"/>
  <c r="M326" i="19" s="1"/>
  <c r="J336" i="6"/>
  <c r="H336" i="6"/>
  <c r="G336" i="6"/>
  <c r="T369" i="19" l="1"/>
  <c r="E370" i="19"/>
  <c r="S370" i="19"/>
  <c r="R370" i="19"/>
  <c r="Q370" i="19"/>
  <c r="P370" i="19"/>
  <c r="F369" i="19"/>
  <c r="D370" i="19"/>
  <c r="H369" i="19"/>
  <c r="G357" i="19"/>
  <c r="M326" i="6"/>
  <c r="K326" i="19" s="1"/>
  <c r="L324" i="6"/>
  <c r="J324" i="19" s="1"/>
  <c r="N326" i="6"/>
  <c r="L326" i="19" s="1"/>
  <c r="P325" i="6"/>
  <c r="N325" i="19" s="1"/>
  <c r="G337" i="6"/>
  <c r="F338" i="6"/>
  <c r="I326" i="6" s="1"/>
  <c r="O327" i="6" s="1"/>
  <c r="M327" i="19" s="1"/>
  <c r="J337" i="6"/>
  <c r="H337" i="6"/>
  <c r="T370" i="19" l="1"/>
  <c r="T8" i="19" s="1" a="1"/>
  <c r="T8" i="19" s="1"/>
  <c r="T7" i="19" s="1"/>
  <c r="H370" i="19"/>
  <c r="F370" i="19"/>
  <c r="G358" i="19"/>
  <c r="L325" i="6"/>
  <c r="J325" i="19" s="1"/>
  <c r="N327" i="6"/>
  <c r="L327" i="19" s="1"/>
  <c r="M327" i="6"/>
  <c r="K327" i="19" s="1"/>
  <c r="P326" i="6"/>
  <c r="N326" i="19" s="1"/>
  <c r="G338" i="6"/>
  <c r="H338" i="6"/>
  <c r="J338" i="6"/>
  <c r="F339" i="6"/>
  <c r="I327" i="6" s="1"/>
  <c r="O328" i="6" s="1"/>
  <c r="M328" i="19" s="1"/>
  <c r="P327" i="6" l="1"/>
  <c r="N327" i="19" s="1"/>
  <c r="N328" i="6"/>
  <c r="L328" i="19" s="1"/>
  <c r="M328" i="6"/>
  <c r="K328" i="19" s="1"/>
  <c r="L326" i="6"/>
  <c r="J326" i="19" s="1"/>
  <c r="J339" i="6"/>
  <c r="F340" i="6"/>
  <c r="I328" i="6" s="1"/>
  <c r="O329" i="6" s="1"/>
  <c r="M329" i="19" s="1"/>
  <c r="H339" i="6"/>
  <c r="G339" i="6"/>
  <c r="M329" i="6" l="1"/>
  <c r="K329" i="19" s="1"/>
  <c r="L327" i="6"/>
  <c r="J327" i="19" s="1"/>
  <c r="N329" i="6"/>
  <c r="L329" i="19" s="1"/>
  <c r="P328" i="6"/>
  <c r="N328" i="19" s="1"/>
  <c r="F341" i="6"/>
  <c r="I329" i="6" s="1"/>
  <c r="O330" i="6" s="1"/>
  <c r="M330" i="19" s="1"/>
  <c r="H340" i="6"/>
  <c r="J340" i="6"/>
  <c r="G340" i="6"/>
  <c r="L328" i="6" l="1"/>
  <c r="J328" i="19" s="1"/>
  <c r="M330" i="6"/>
  <c r="K330" i="19" s="1"/>
  <c r="N330" i="6"/>
  <c r="L330" i="19" s="1"/>
  <c r="P329" i="6"/>
  <c r="N329" i="19" s="1"/>
  <c r="G341" i="6"/>
  <c r="F342" i="6"/>
  <c r="I330" i="6" s="1"/>
  <c r="O331" i="6" s="1"/>
  <c r="M331" i="19" s="1"/>
  <c r="H341" i="6"/>
  <c r="J341" i="6"/>
  <c r="M331" i="6" l="1"/>
  <c r="K331" i="19" s="1"/>
  <c r="N331" i="6"/>
  <c r="L331" i="19" s="1"/>
  <c r="L329" i="6"/>
  <c r="J329" i="19" s="1"/>
  <c r="P330" i="6"/>
  <c r="N330" i="19" s="1"/>
  <c r="H342" i="6"/>
  <c r="J342" i="6"/>
  <c r="F343" i="6"/>
  <c r="I331" i="6" s="1"/>
  <c r="O332" i="6" s="1"/>
  <c r="M332" i="19" s="1"/>
  <c r="G342" i="6"/>
  <c r="N332" i="6" l="1"/>
  <c r="L332" i="19" s="1"/>
  <c r="L330" i="6"/>
  <c r="J330" i="19" s="1"/>
  <c r="M332" i="6"/>
  <c r="K332" i="19" s="1"/>
  <c r="P331" i="6"/>
  <c r="N331" i="19" s="1"/>
  <c r="G343" i="6"/>
  <c r="J343" i="6"/>
  <c r="F344" i="6"/>
  <c r="I332" i="6" s="1"/>
  <c r="O333" i="6" s="1"/>
  <c r="M333" i="19" s="1"/>
  <c r="H343" i="6"/>
  <c r="M333" i="6" l="1"/>
  <c r="K333" i="19" s="1"/>
  <c r="L331" i="6"/>
  <c r="J331" i="19" s="1"/>
  <c r="N333" i="6"/>
  <c r="L333" i="19" s="1"/>
  <c r="P332" i="6"/>
  <c r="N332" i="19" s="1"/>
  <c r="F345" i="6"/>
  <c r="I333" i="6" s="1"/>
  <c r="O334" i="6" s="1"/>
  <c r="M334" i="19" s="1"/>
  <c r="H344" i="6"/>
  <c r="J344" i="6"/>
  <c r="G344" i="6"/>
  <c r="N334" i="6" l="1"/>
  <c r="L334" i="19" s="1"/>
  <c r="L332" i="6"/>
  <c r="J332" i="19" s="1"/>
  <c r="M334" i="6"/>
  <c r="K334" i="19" s="1"/>
  <c r="P333" i="6"/>
  <c r="N333" i="19" s="1"/>
  <c r="G345" i="6"/>
  <c r="F346" i="6"/>
  <c r="I334" i="6" s="1"/>
  <c r="O335" i="6" s="1"/>
  <c r="M335" i="19" s="1"/>
  <c r="J345" i="6"/>
  <c r="H345" i="6"/>
  <c r="L333" i="6" l="1"/>
  <c r="J333" i="19" s="1"/>
  <c r="M335" i="6"/>
  <c r="K335" i="19" s="1"/>
  <c r="N335" i="6"/>
  <c r="L335" i="19" s="1"/>
  <c r="P334" i="6"/>
  <c r="N334" i="19" s="1"/>
  <c r="H346" i="6"/>
  <c r="J346" i="6"/>
  <c r="F347" i="6"/>
  <c r="I335" i="6" s="1"/>
  <c r="O336" i="6" s="1"/>
  <c r="M336" i="19" s="1"/>
  <c r="G346" i="6"/>
  <c r="M336" i="6" l="1"/>
  <c r="K336" i="19" s="1"/>
  <c r="N336" i="6"/>
  <c r="L336" i="19" s="1"/>
  <c r="L334" i="6"/>
  <c r="J334" i="19" s="1"/>
  <c r="P335" i="6"/>
  <c r="N335" i="19" s="1"/>
  <c r="G347" i="6"/>
  <c r="J347" i="6"/>
  <c r="F348" i="6"/>
  <c r="I336" i="6" s="1"/>
  <c r="O337" i="6" s="1"/>
  <c r="M337" i="19" s="1"/>
  <c r="H347" i="6"/>
  <c r="L335" i="6" l="1"/>
  <c r="J335" i="19" s="1"/>
  <c r="N337" i="6"/>
  <c r="L337" i="19" s="1"/>
  <c r="M337" i="6"/>
  <c r="K337" i="19" s="1"/>
  <c r="P336" i="6"/>
  <c r="N336" i="19" s="1"/>
  <c r="F349" i="6"/>
  <c r="I337" i="6" s="1"/>
  <c r="O338" i="6" s="1"/>
  <c r="M338" i="19" s="1"/>
  <c r="J348" i="6"/>
  <c r="H348" i="6"/>
  <c r="G348" i="6"/>
  <c r="N338" i="6" l="1"/>
  <c r="L338" i="19" s="1"/>
  <c r="L336" i="6"/>
  <c r="J336" i="19" s="1"/>
  <c r="M338" i="6"/>
  <c r="K338" i="19" s="1"/>
  <c r="P337" i="6"/>
  <c r="N337" i="19" s="1"/>
  <c r="G349" i="6"/>
  <c r="J349" i="6"/>
  <c r="F350" i="6"/>
  <c r="I338" i="6" s="1"/>
  <c r="O339" i="6" s="1"/>
  <c r="M339" i="19" s="1"/>
  <c r="H349" i="6"/>
  <c r="M339" i="6" l="1"/>
  <c r="K339" i="19" s="1"/>
  <c r="L337" i="6"/>
  <c r="J337" i="19" s="1"/>
  <c r="N339" i="6"/>
  <c r="L339" i="19" s="1"/>
  <c r="P338" i="6"/>
  <c r="N338" i="19" s="1"/>
  <c r="G350" i="6"/>
  <c r="H350" i="6"/>
  <c r="F351" i="6"/>
  <c r="I339" i="6" s="1"/>
  <c r="O340" i="6" s="1"/>
  <c r="M340" i="19" s="1"/>
  <c r="J350" i="6"/>
  <c r="N340" i="6" l="1"/>
  <c r="L340" i="19" s="1"/>
  <c r="L338" i="6"/>
  <c r="J338" i="19" s="1"/>
  <c r="M340" i="6"/>
  <c r="K340" i="19" s="1"/>
  <c r="P339" i="6"/>
  <c r="N339" i="19" s="1"/>
  <c r="J351" i="6"/>
  <c r="F352" i="6"/>
  <c r="I340" i="6" s="1"/>
  <c r="O341" i="6" s="1"/>
  <c r="M341" i="19" s="1"/>
  <c r="H351" i="6"/>
  <c r="G351" i="6"/>
  <c r="L339" i="6" l="1"/>
  <c r="J339" i="19" s="1"/>
  <c r="N341" i="6"/>
  <c r="L341" i="19" s="1"/>
  <c r="M341" i="6"/>
  <c r="K341" i="19" s="1"/>
  <c r="P340" i="6"/>
  <c r="N340" i="19" s="1"/>
  <c r="G352" i="6"/>
  <c r="F353" i="6"/>
  <c r="I341" i="6" s="1"/>
  <c r="O342" i="6" s="1"/>
  <c r="M342" i="19" s="1"/>
  <c r="J352" i="6"/>
  <c r="H352" i="6"/>
  <c r="M342" i="6" l="1"/>
  <c r="K342" i="19" s="1"/>
  <c r="N342" i="6"/>
  <c r="L342" i="19" s="1"/>
  <c r="L340" i="6"/>
  <c r="J340" i="19" s="1"/>
  <c r="P341" i="6"/>
  <c r="N341" i="19" s="1"/>
  <c r="H353" i="6"/>
  <c r="F354" i="6"/>
  <c r="I342" i="6" s="1"/>
  <c r="O343" i="6" s="1"/>
  <c r="M343" i="19" s="1"/>
  <c r="J353" i="6"/>
  <c r="G353" i="6"/>
  <c r="N343" i="6" l="1"/>
  <c r="L343" i="19" s="1"/>
  <c r="M343" i="6"/>
  <c r="K343" i="19" s="1"/>
  <c r="L341" i="6"/>
  <c r="J341" i="19" s="1"/>
  <c r="P342" i="6"/>
  <c r="N342" i="19" s="1"/>
  <c r="G354" i="6"/>
  <c r="H354" i="6"/>
  <c r="F355" i="6"/>
  <c r="I343" i="6" s="1"/>
  <c r="O344" i="6" s="1"/>
  <c r="M344" i="19" s="1"/>
  <c r="J354" i="6"/>
  <c r="L342" i="6" l="1"/>
  <c r="J342" i="19" s="1"/>
  <c r="M344" i="6"/>
  <c r="K344" i="19" s="1"/>
  <c r="N344" i="6"/>
  <c r="L344" i="19" s="1"/>
  <c r="P343" i="6"/>
  <c r="N343" i="19" s="1"/>
  <c r="G355" i="6"/>
  <c r="J355" i="6"/>
  <c r="F356" i="6"/>
  <c r="I344" i="6" s="1"/>
  <c r="O345" i="6" s="1"/>
  <c r="M345" i="19" s="1"/>
  <c r="H355" i="6"/>
  <c r="N345" i="6" l="1"/>
  <c r="L345" i="19" s="1"/>
  <c r="M345" i="6"/>
  <c r="K345" i="19" s="1"/>
  <c r="L343" i="6"/>
  <c r="J343" i="19" s="1"/>
  <c r="P344" i="6"/>
  <c r="N344" i="19" s="1"/>
  <c r="F357" i="6"/>
  <c r="I345" i="6" s="1"/>
  <c r="O346" i="6" s="1"/>
  <c r="M346" i="19" s="1"/>
  <c r="J356" i="6"/>
  <c r="H356" i="6"/>
  <c r="G356" i="6"/>
  <c r="M346" i="6" l="1"/>
  <c r="K346" i="19" s="1"/>
  <c r="N346" i="6"/>
  <c r="L346" i="19" s="1"/>
  <c r="L344" i="6"/>
  <c r="J344" i="19" s="1"/>
  <c r="P345" i="6"/>
  <c r="N345" i="19" s="1"/>
  <c r="G357" i="6"/>
  <c r="H357" i="6"/>
  <c r="F358" i="6"/>
  <c r="I346" i="6" s="1"/>
  <c r="O347" i="6" s="1"/>
  <c r="M347" i="19" s="1"/>
  <c r="J357" i="6"/>
  <c r="N347" i="6" l="1"/>
  <c r="L347" i="19" s="1"/>
  <c r="M347" i="6"/>
  <c r="K347" i="19" s="1"/>
  <c r="L345" i="6"/>
  <c r="J345" i="19" s="1"/>
  <c r="P346" i="6"/>
  <c r="N346" i="19" s="1"/>
  <c r="G358" i="6"/>
  <c r="H358" i="6"/>
  <c r="J358" i="6"/>
  <c r="F359" i="6"/>
  <c r="I347" i="6" s="1"/>
  <c r="O348" i="6" s="1"/>
  <c r="M348" i="19" s="1"/>
  <c r="L346" i="6" l="1"/>
  <c r="J346" i="19" s="1"/>
  <c r="M348" i="6"/>
  <c r="K348" i="19" s="1"/>
  <c r="N348" i="6"/>
  <c r="L348" i="19" s="1"/>
  <c r="P347" i="6"/>
  <c r="N347" i="19" s="1"/>
  <c r="F360" i="6"/>
  <c r="I348" i="6" s="1"/>
  <c r="O349" i="6" s="1"/>
  <c r="M349" i="19" s="1"/>
  <c r="J359" i="6"/>
  <c r="H359" i="6"/>
  <c r="G359" i="6"/>
  <c r="L347" i="6" l="1"/>
  <c r="J347" i="19" s="1"/>
  <c r="N349" i="6"/>
  <c r="L349" i="19" s="1"/>
  <c r="M349" i="6"/>
  <c r="K349" i="19" s="1"/>
  <c r="P348" i="6"/>
  <c r="N348" i="19" s="1"/>
  <c r="G360" i="6"/>
  <c r="F361" i="6"/>
  <c r="I349" i="6" s="1"/>
  <c r="O350" i="6" s="1"/>
  <c r="M350" i="19" s="1"/>
  <c r="J360" i="6"/>
  <c r="H360" i="6"/>
  <c r="M350" i="6" l="1"/>
  <c r="K350" i="19" s="1"/>
  <c r="N350" i="6"/>
  <c r="L350" i="19" s="1"/>
  <c r="L348" i="6"/>
  <c r="J348" i="19" s="1"/>
  <c r="P349" i="6"/>
  <c r="N349" i="19" s="1"/>
  <c r="H361" i="6"/>
  <c r="J361" i="6"/>
  <c r="F362" i="6"/>
  <c r="I350" i="6" s="1"/>
  <c r="O351" i="6" s="1"/>
  <c r="M351" i="19" s="1"/>
  <c r="G361" i="6"/>
  <c r="L349" i="6" l="1"/>
  <c r="J349" i="19" s="1"/>
  <c r="M351" i="6"/>
  <c r="K351" i="19" s="1"/>
  <c r="N351" i="6"/>
  <c r="L351" i="19" s="1"/>
  <c r="P350" i="6"/>
  <c r="N350" i="19" s="1"/>
  <c r="J362" i="6"/>
  <c r="H362" i="6"/>
  <c r="F363" i="6"/>
  <c r="I351" i="6" s="1"/>
  <c r="O352" i="6" s="1"/>
  <c r="M352" i="19" s="1"/>
  <c r="G362" i="6"/>
  <c r="N352" i="6" l="1"/>
  <c r="L352" i="19" s="1"/>
  <c r="L350" i="6"/>
  <c r="J350" i="19" s="1"/>
  <c r="M352" i="6"/>
  <c r="K352" i="19" s="1"/>
  <c r="P351" i="6"/>
  <c r="N351" i="19" s="1"/>
  <c r="G363" i="6"/>
  <c r="F364" i="6"/>
  <c r="I352" i="6" s="1"/>
  <c r="O353" i="6" s="1"/>
  <c r="M353" i="19" s="1"/>
  <c r="J363" i="6"/>
  <c r="H363" i="6"/>
  <c r="M353" i="6" l="1"/>
  <c r="K353" i="19" s="1"/>
  <c r="L351" i="6"/>
  <c r="J351" i="19" s="1"/>
  <c r="N353" i="6"/>
  <c r="L353" i="19" s="1"/>
  <c r="P352" i="6"/>
  <c r="N352" i="19" s="1"/>
  <c r="F365" i="6"/>
  <c r="I353" i="6" s="1"/>
  <c r="O354" i="6" s="1"/>
  <c r="M354" i="19" s="1"/>
  <c r="H364" i="6"/>
  <c r="J364" i="6"/>
  <c r="G364" i="6"/>
  <c r="N354" i="6" l="1"/>
  <c r="L354" i="19" s="1"/>
  <c r="M354" i="6"/>
  <c r="K354" i="19" s="1"/>
  <c r="L352" i="6"/>
  <c r="J352" i="19" s="1"/>
  <c r="P353" i="6"/>
  <c r="N353" i="19" s="1"/>
  <c r="G365" i="6"/>
  <c r="H365" i="6"/>
  <c r="F366" i="6"/>
  <c r="I354" i="6" s="1"/>
  <c r="O355" i="6" s="1"/>
  <c r="M355" i="19" s="1"/>
  <c r="J365" i="6"/>
  <c r="L353" i="6" l="1"/>
  <c r="J353" i="19" s="1"/>
  <c r="M355" i="6"/>
  <c r="K355" i="19" s="1"/>
  <c r="N355" i="6"/>
  <c r="L355" i="19" s="1"/>
  <c r="P354" i="6"/>
  <c r="N354" i="19" s="1"/>
  <c r="G366" i="6"/>
  <c r="J366" i="6"/>
  <c r="H366" i="6"/>
  <c r="F367" i="6"/>
  <c r="I355" i="6" s="1"/>
  <c r="O356" i="6" s="1"/>
  <c r="M356" i="19" s="1"/>
  <c r="N356" i="6" l="1"/>
  <c r="L356" i="19" s="1"/>
  <c r="M356" i="6"/>
  <c r="K356" i="19" s="1"/>
  <c r="L354" i="6"/>
  <c r="J354" i="19" s="1"/>
  <c r="P355" i="6"/>
  <c r="N355" i="19" s="1"/>
  <c r="F368" i="6"/>
  <c r="I356" i="6" s="1"/>
  <c r="O357" i="6" s="1"/>
  <c r="M357" i="19" s="1"/>
  <c r="J367" i="6"/>
  <c r="H367" i="6"/>
  <c r="G367" i="6"/>
  <c r="L355" i="6" l="1"/>
  <c r="J355" i="19" s="1"/>
  <c r="N357" i="6"/>
  <c r="L357" i="19" s="1"/>
  <c r="M357" i="6"/>
  <c r="K357" i="19" s="1"/>
  <c r="P356" i="6"/>
  <c r="N356" i="19" s="1"/>
  <c r="G368" i="6"/>
  <c r="F369" i="6"/>
  <c r="I357" i="6" s="1"/>
  <c r="O358" i="6" s="1"/>
  <c r="M358" i="19" s="1"/>
  <c r="H368" i="6"/>
  <c r="J368" i="6"/>
  <c r="M358" i="6" l="1"/>
  <c r="K358" i="19" s="1"/>
  <c r="N358" i="6"/>
  <c r="L358" i="19" s="1"/>
  <c r="L356" i="6"/>
  <c r="J356" i="19" s="1"/>
  <c r="P357" i="6"/>
  <c r="N357" i="19" s="1"/>
  <c r="H369" i="6"/>
  <c r="F370" i="6"/>
  <c r="I358" i="6" s="1"/>
  <c r="O359" i="6" s="1"/>
  <c r="J369" i="6"/>
  <c r="G369" i="6"/>
  <c r="G370" i="6"/>
  <c r="O360" i="6" l="1"/>
  <c r="M359" i="19"/>
  <c r="L357" i="6"/>
  <c r="M359" i="6"/>
  <c r="N359" i="6"/>
  <c r="P358" i="6"/>
  <c r="J370" i="6"/>
  <c r="H370" i="6"/>
  <c r="P359" i="6" l="1"/>
  <c r="N358" i="19"/>
  <c r="N360" i="6"/>
  <c r="L359" i="19"/>
  <c r="M360" i="6"/>
  <c r="K359" i="19"/>
  <c r="L358" i="6"/>
  <c r="J357" i="19"/>
  <c r="O361" i="6"/>
  <c r="M360" i="19"/>
  <c r="Q19" i="5"/>
  <c r="R19" i="5" a="1"/>
  <c r="R19" i="5" s="1"/>
  <c r="S19" i="5" s="1"/>
  <c r="Q20" i="5"/>
  <c r="R20" i="5" a="1"/>
  <c r="R20" i="5" s="1"/>
  <c r="S20" i="5" s="1"/>
  <c r="Q21" i="5"/>
  <c r="R21" i="5" a="1"/>
  <c r="R21" i="5" s="1"/>
  <c r="S21" i="5" s="1"/>
  <c r="Q22" i="5"/>
  <c r="R22" i="5" a="1"/>
  <c r="R22" i="5" s="1"/>
  <c r="S22" i="5" s="1"/>
  <c r="Q23" i="5"/>
  <c r="R23" i="5" a="1"/>
  <c r="R23" i="5" s="1"/>
  <c r="S23" i="5" s="1"/>
  <c r="B23" i="5"/>
  <c r="A23" i="5"/>
  <c r="B22" i="5"/>
  <c r="A22" i="5"/>
  <c r="B21" i="5"/>
  <c r="A21" i="5"/>
  <c r="B20" i="5"/>
  <c r="A20" i="5"/>
  <c r="B19" i="5"/>
  <c r="A19" i="5"/>
  <c r="R18" i="5" a="1"/>
  <c r="R18" i="5" s="1"/>
  <c r="S18" i="5" s="1"/>
  <c r="Q18" i="5"/>
  <c r="B18" i="5"/>
  <c r="A18" i="5"/>
  <c r="R17" i="5" a="1"/>
  <c r="R17" i="5" s="1"/>
  <c r="S17" i="5" s="1"/>
  <c r="Q17" i="5"/>
  <c r="B17" i="5"/>
  <c r="A17" i="5"/>
  <c r="R16" i="5" a="1"/>
  <c r="R16" i="5" s="1"/>
  <c r="S16" i="5" s="1"/>
  <c r="Q16" i="5"/>
  <c r="B16" i="5"/>
  <c r="A16" i="5"/>
  <c r="R15" i="5" a="1"/>
  <c r="R15" i="5" s="1"/>
  <c r="S15" i="5" s="1"/>
  <c r="Q15" i="5"/>
  <c r="B15" i="5"/>
  <c r="A15" i="5"/>
  <c r="S14" i="5"/>
  <c r="R14" i="5" a="1"/>
  <c r="R14" i="5" s="1"/>
  <c r="Q14" i="5"/>
  <c r="B14" i="5"/>
  <c r="A14" i="5"/>
  <c r="R13" i="5" a="1"/>
  <c r="R13" i="5" s="1"/>
  <c r="S13" i="5" s="1"/>
  <c r="Q13" i="5"/>
  <c r="B13" i="5"/>
  <c r="A13" i="5"/>
  <c r="R12" i="5" a="1"/>
  <c r="R12" i="5" s="1"/>
  <c r="S12" i="5" s="1"/>
  <c r="Q12" i="5"/>
  <c r="B12" i="5"/>
  <c r="A12" i="5"/>
  <c r="R11" i="5" a="1"/>
  <c r="R11" i="5" s="1"/>
  <c r="S11" i="5" s="1"/>
  <c r="Q11" i="5"/>
  <c r="B11" i="5"/>
  <c r="A11" i="5"/>
  <c r="R10" i="5" a="1"/>
  <c r="R10" i="5" s="1"/>
  <c r="S10" i="5" s="1"/>
  <c r="Q10" i="5"/>
  <c r="B10" i="5"/>
  <c r="A10" i="5"/>
  <c r="R9" i="5" a="1"/>
  <c r="R9" i="5" s="1"/>
  <c r="S9" i="5" s="1"/>
  <c r="Q9" i="5"/>
  <c r="B9" i="5"/>
  <c r="A9" i="5"/>
  <c r="S8" i="5"/>
  <c r="R8" i="5" a="1"/>
  <c r="R8" i="5" s="1"/>
  <c r="Q8" i="5"/>
  <c r="B8" i="5"/>
  <c r="A8" i="5"/>
  <c r="R7" i="5" a="1"/>
  <c r="R7" i="5" s="1"/>
  <c r="S7" i="5" s="1"/>
  <c r="Q7" i="5"/>
  <c r="B7" i="5"/>
  <c r="A7" i="5"/>
  <c r="R6" i="5" a="1"/>
  <c r="R6" i="5" s="1"/>
  <c r="S6" i="5" s="1"/>
  <c r="Q6" i="5"/>
  <c r="B6" i="5"/>
  <c r="A6" i="5"/>
  <c r="R5" i="5" a="1"/>
  <c r="R5" i="5" s="1"/>
  <c r="S5" i="5" s="1"/>
  <c r="Q5" i="5"/>
  <c r="B5" i="5"/>
  <c r="A5" i="5"/>
  <c r="R4" i="5" a="1"/>
  <c r="R4" i="5" s="1"/>
  <c r="Q4" i="5"/>
  <c r="B4" i="5"/>
  <c r="A4" i="5"/>
  <c r="M361" i="6" l="1"/>
  <c r="K360" i="19"/>
  <c r="N361" i="6"/>
  <c r="L360" i="19"/>
  <c r="L359" i="6"/>
  <c r="J358" i="19"/>
  <c r="O362" i="6"/>
  <c r="M361" i="19"/>
  <c r="P360" i="6"/>
  <c r="N359" i="19"/>
  <c r="S4" i="5"/>
  <c r="L360" i="6" l="1"/>
  <c r="J359" i="19"/>
  <c r="O363" i="6"/>
  <c r="M362" i="19"/>
  <c r="N362" i="6"/>
  <c r="L361" i="19"/>
  <c r="P361" i="6"/>
  <c r="N360" i="19"/>
  <c r="M362" i="6"/>
  <c r="K361" i="19"/>
  <c r="N363" i="6" l="1"/>
  <c r="L362" i="19"/>
  <c r="O364" i="6"/>
  <c r="M363" i="19"/>
  <c r="P362" i="6"/>
  <c r="N361" i="19"/>
  <c r="M363" i="6"/>
  <c r="K362" i="19"/>
  <c r="L361" i="6"/>
  <c r="J360" i="19"/>
  <c r="M364" i="6" l="1"/>
  <c r="K363" i="19"/>
  <c r="O365" i="6"/>
  <c r="M364" i="19"/>
  <c r="P363" i="6"/>
  <c r="N362" i="19"/>
  <c r="L362" i="6"/>
  <c r="J361" i="19"/>
  <c r="N364" i="6"/>
  <c r="L363" i="19"/>
  <c r="P364" i="6" l="1"/>
  <c r="N363" i="19"/>
  <c r="L363" i="6"/>
  <c r="J362" i="19"/>
  <c r="O366" i="6"/>
  <c r="M365" i="19"/>
  <c r="N365" i="6"/>
  <c r="L364" i="19"/>
  <c r="M365" i="6"/>
  <c r="K364" i="19"/>
  <c r="L364" i="6" l="1"/>
  <c r="J363" i="19"/>
  <c r="O367" i="6"/>
  <c r="M366" i="19"/>
  <c r="N366" i="6"/>
  <c r="L365" i="19"/>
  <c r="M366" i="6"/>
  <c r="K365" i="19"/>
  <c r="P365" i="6"/>
  <c r="N364" i="19"/>
  <c r="M367" i="6" l="1"/>
  <c r="K366" i="19"/>
  <c r="N367" i="6"/>
  <c r="L366" i="19"/>
  <c r="O368" i="6"/>
  <c r="M367" i="19"/>
  <c r="P366" i="6"/>
  <c r="N365" i="19"/>
  <c r="L365" i="6"/>
  <c r="J364" i="19"/>
  <c r="O369" i="6" l="1"/>
  <c r="M368" i="19"/>
  <c r="N368" i="6"/>
  <c r="L367" i="19"/>
  <c r="P367" i="6"/>
  <c r="N366" i="19"/>
  <c r="L366" i="6"/>
  <c r="J365" i="19"/>
  <c r="M368" i="6"/>
  <c r="K367" i="19"/>
  <c r="P368" i="6" l="1"/>
  <c r="N367" i="19"/>
  <c r="L367" i="6"/>
  <c r="J366" i="19"/>
  <c r="N369" i="6"/>
  <c r="L368" i="19"/>
  <c r="M369" i="6"/>
  <c r="K368" i="19"/>
  <c r="O370" i="6"/>
  <c r="M370" i="19" s="1"/>
  <c r="M369" i="19"/>
  <c r="L368" i="6" l="1"/>
  <c r="J367" i="19"/>
  <c r="N370" i="6"/>
  <c r="L370" i="19" s="1"/>
  <c r="L369" i="19"/>
  <c r="M370" i="6"/>
  <c r="K370" i="19" s="1"/>
  <c r="K369" i="19"/>
  <c r="P369" i="6"/>
  <c r="N368" i="19"/>
  <c r="P370" i="6" l="1"/>
  <c r="N370" i="19" s="1"/>
  <c r="N369" i="19"/>
  <c r="L369" i="6"/>
  <c r="J368" i="19"/>
  <c r="L370" i="6" l="1"/>
  <c r="J370" i="19" s="1"/>
  <c r="J36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tc={4C15E291-4F88-4A36-AB55-7C424009EF59}</author>
  </authors>
  <commentList>
    <comment ref="O10" authorId="0" shapeId="0" xr:uid="{4C15E291-4F88-4A36-AB55-7C424009EF59}">
      <text>
        <t>[Threaded comment]
Your version of Excel allows you to read this threaded comment; however, any edits to it will get removed if the file is opened in a newer version of Excel. Learn more: https://go.microsoft.com/fwlink/?linkid=870924
Comment:
    Future Version should allow for each line to be expanded into a detailed schedule.  Start and end dates would feed Start Month and Months to complete above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tc={6968A64C-296E-4DA4-A354-7D5E534977C6}</author>
  </authors>
  <commentList>
    <comment ref="P9" authorId="0" shapeId="0" xr:uid="{6968A64C-296E-4DA4-A354-7D5E534977C6}">
      <text>
        <t>[Threaded comment]
Your version of Excel allows you to read this threaded comment; however, any edits to it will get removed if the file is opened in a newer version of Excel. Learn more: https://go.microsoft.com/fwlink/?linkid=870924
Comment:
    Future Version should allow for each line to be expanded into a detailed schedule.  Start and end dates would feed Start Month and Months to complete above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tc={09A64769-DED9-4554-92E6-017D48BED4EE}</author>
  </authors>
  <commentList>
    <comment ref="P9" authorId="0" shapeId="0" xr:uid="{09A64769-DED9-4554-92E6-017D48BED4EE}">
      <text>
        <t>[Threaded comment]
Your version of Excel allows you to read this threaded comment; however, any edits to it will get removed if the file is opened in a newer version of Excel. Learn more: https://go.microsoft.com/fwlink/?linkid=870924
Comment:
    Future Version should allow for each line to be expanded into a detailed schedule.  Start and end dates would feed Start Month and Months to complete above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tc={902F34BF-C38D-4B40-8023-634C706C1D0F}</author>
  </authors>
  <commentList>
    <comment ref="P9" authorId="0" shapeId="0" xr:uid="{902F34BF-C38D-4B40-8023-634C706C1D0F}">
      <text>
        <t>[Threaded comment]
Your version of Excel allows you to read this threaded comment; however, any edits to it will get removed if the file is opened in a newer version of Excel. Learn more: https://go.microsoft.com/fwlink/?linkid=870924
Comment:
    Future Version should allow for each line to be expanded into a detailed schedule.  Start and end dates would feed Start Month and Months to complete above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<sst xmlns="http://schemas.openxmlformats.org/spreadsheetml/2006/main" count="868" uniqueCount="368">
  <si>
    <t>Villages at Tortolita</t>
  </si>
  <si>
    <t>Start Date</t>
  </si>
  <si>
    <t>Rate</t>
  </si>
  <si>
    <t>Starts</t>
  </si>
  <si>
    <t>Name</t>
  </si>
  <si>
    <t>Price</t>
  </si>
  <si>
    <t>Cost</t>
  </si>
  <si>
    <t>ID</t>
  </si>
  <si>
    <t>Project Identification</t>
  </si>
  <si>
    <t>Notes</t>
  </si>
  <si>
    <t>Type</t>
  </si>
  <si>
    <t>Factor</t>
  </si>
  <si>
    <t>Contingency - Low</t>
  </si>
  <si>
    <t>Contingency - Hi</t>
  </si>
  <si>
    <t>Contingency - Mid</t>
  </si>
  <si>
    <t>Factors are global</t>
  </si>
  <si>
    <t>Growth rates can start at different times</t>
  </si>
  <si>
    <t>Acres</t>
  </si>
  <si>
    <t>Land Acquisition</t>
  </si>
  <si>
    <t>Seller</t>
  </si>
  <si>
    <t>Closing</t>
  </si>
  <si>
    <t>Location</t>
  </si>
  <si>
    <t>Transaction Costs</t>
  </si>
  <si>
    <t>% of</t>
  </si>
  <si>
    <t>Closing Costs</t>
  </si>
  <si>
    <t>Disposition Fee</t>
  </si>
  <si>
    <t>Gross</t>
  </si>
  <si>
    <t>Commissions</t>
  </si>
  <si>
    <t>Legal / Transaction</t>
  </si>
  <si>
    <t>Other</t>
  </si>
  <si>
    <t>Plan Area</t>
  </si>
  <si>
    <t>Development Phase</t>
  </si>
  <si>
    <t>Sale Phase</t>
  </si>
  <si>
    <t>Parcel</t>
  </si>
  <si>
    <t>Code</t>
  </si>
  <si>
    <t>PA</t>
  </si>
  <si>
    <t>DP</t>
  </si>
  <si>
    <t>SP</t>
  </si>
  <si>
    <t>P</t>
  </si>
  <si>
    <t>Product</t>
  </si>
  <si>
    <t>Units</t>
  </si>
  <si>
    <t>Use</t>
  </si>
  <si>
    <t>MDR</t>
  </si>
  <si>
    <t>#</t>
  </si>
  <si>
    <t>Area</t>
  </si>
  <si>
    <t>Category</t>
  </si>
  <si>
    <t>Budget</t>
  </si>
  <si>
    <t>Start Mo</t>
  </si>
  <si>
    <t>For</t>
  </si>
  <si>
    <t>Inflate</t>
  </si>
  <si>
    <t>End Mo</t>
  </si>
  <si>
    <t>End Date</t>
  </si>
  <si>
    <t>Budget
Inflated</t>
  </si>
  <si>
    <t>Entitlements</t>
  </si>
  <si>
    <t>y</t>
  </si>
  <si>
    <t>n</t>
  </si>
  <si>
    <t>Operation</t>
  </si>
  <si>
    <t>Ownership</t>
  </si>
  <si>
    <t>Contin</t>
  </si>
  <si>
    <t>Reimb</t>
  </si>
  <si>
    <t>Hide these helpers</t>
  </si>
  <si>
    <t>MLDR</t>
  </si>
  <si>
    <t>MHDR</t>
  </si>
  <si>
    <t>MU</t>
  </si>
  <si>
    <t>Land Planning Heirarchy - Largest to Smallest</t>
  </si>
  <si>
    <t>Residual</t>
  </si>
  <si>
    <t>Each PA has at lease 1 DP</t>
  </si>
  <si>
    <t>Each DP has at least 1 SP</t>
  </si>
  <si>
    <t>Each SP has at least 1 P</t>
  </si>
  <si>
    <t>Parcel#</t>
  </si>
  <si>
    <t>Mo</t>
  </si>
  <si>
    <t>Qtr</t>
  </si>
  <si>
    <t>Yr</t>
  </si>
  <si>
    <t>Date</t>
  </si>
  <si>
    <t>Width</t>
  </si>
  <si>
    <t>Depth</t>
  </si>
  <si>
    <t>Growth Rates</t>
  </si>
  <si>
    <t xml:space="preserve">Misc Factors </t>
  </si>
  <si>
    <t>Total</t>
  </si>
  <si>
    <t>Medium Density Residential</t>
  </si>
  <si>
    <t>From</t>
  </si>
  <si>
    <t>To</t>
  </si>
  <si>
    <t>Density Range (DUA)</t>
  </si>
  <si>
    <t>Medium Low Residential</t>
  </si>
  <si>
    <t>Medium Hi Residential</t>
  </si>
  <si>
    <t>Mixed Use</t>
  </si>
  <si>
    <t>Qtr-Yr</t>
  </si>
  <si>
    <t>Date-Yr</t>
  </si>
  <si>
    <t>Lot</t>
  </si>
  <si>
    <t>Lot Product Validation</t>
  </si>
  <si>
    <t>i</t>
  </si>
  <si>
    <t>Products</t>
  </si>
  <si>
    <t>60x120</t>
  </si>
  <si>
    <t>Analysis Start Date</t>
  </si>
  <si>
    <t>Dev
Phase</t>
  </si>
  <si>
    <t>Plan 
Area</t>
  </si>
  <si>
    <t>Engineering</t>
  </si>
  <si>
    <t>Offsites</t>
  </si>
  <si>
    <t>Onsites</t>
  </si>
  <si>
    <t>Exactions</t>
  </si>
  <si>
    <t>Deposits</t>
  </si>
  <si>
    <t>Zoning</t>
  </si>
  <si>
    <t>Project</t>
  </si>
  <si>
    <t>Survey</t>
  </si>
  <si>
    <t>Offsite</t>
  </si>
  <si>
    <t>G&amp;A</t>
  </si>
  <si>
    <t>Option Payments</t>
  </si>
  <si>
    <t>Dev Agmt</t>
  </si>
  <si>
    <t>Subdivisions</t>
  </si>
  <si>
    <t>Testing</t>
  </si>
  <si>
    <t>Onsite</t>
  </si>
  <si>
    <t>Management</t>
  </si>
  <si>
    <t>Diligence</t>
  </si>
  <si>
    <t>PrePlat [Block]</t>
  </si>
  <si>
    <t>Removals / Aband</t>
  </si>
  <si>
    <t>HOA</t>
  </si>
  <si>
    <t>Legal</t>
  </si>
  <si>
    <t>PrePlat [Subd]</t>
  </si>
  <si>
    <t>Permits</t>
  </si>
  <si>
    <t>Earthwork</t>
  </si>
  <si>
    <t>Accounting</t>
  </si>
  <si>
    <t>Wastewater</t>
  </si>
  <si>
    <t>Marketing</t>
  </si>
  <si>
    <t>Water</t>
  </si>
  <si>
    <t>Storm Drain</t>
  </si>
  <si>
    <t>Concrete</t>
  </si>
  <si>
    <t>Amenities</t>
  </si>
  <si>
    <t>Drainage</t>
  </si>
  <si>
    <t>Dry Utilities</t>
  </si>
  <si>
    <t>Paving</t>
  </si>
  <si>
    <t>Landscaping</t>
  </si>
  <si>
    <t>Walls / Monmt</t>
  </si>
  <si>
    <t xml:space="preserve">Lookup Lists &amp; Data Validation </t>
  </si>
  <si>
    <t>Periocity</t>
  </si>
  <si>
    <t>Rates (5 max)</t>
  </si>
  <si>
    <t>Lot Products</t>
  </si>
  <si>
    <t>Cost Center</t>
  </si>
  <si>
    <t>NAVIGATION</t>
  </si>
  <si>
    <t>Acquisition</t>
  </si>
  <si>
    <t>`</t>
  </si>
  <si>
    <t>Budget Validation</t>
  </si>
  <si>
    <t>Land Use Definitions</t>
  </si>
  <si>
    <t>Net</t>
  </si>
  <si>
    <t>Marana, AZ      Northeast of Marana Road and I-10</t>
  </si>
  <si>
    <t>45x110</t>
  </si>
  <si>
    <t>DUA</t>
  </si>
  <si>
    <t>60x125</t>
  </si>
  <si>
    <t>45x120</t>
  </si>
  <si>
    <t>50x125</t>
  </si>
  <si>
    <t>45x115</t>
  </si>
  <si>
    <t>50x110</t>
  </si>
  <si>
    <t>70x130</t>
  </si>
  <si>
    <t>65x120</t>
  </si>
  <si>
    <t>Village</t>
  </si>
  <si>
    <t>Low</t>
  </si>
  <si>
    <t>High</t>
  </si>
  <si>
    <t>Potential DUs</t>
  </si>
  <si>
    <t>Phasing</t>
  </si>
  <si>
    <t>Develop</t>
  </si>
  <si>
    <t>Sale</t>
  </si>
  <si>
    <t>Item</t>
  </si>
  <si>
    <t>Starting House Price</t>
  </si>
  <si>
    <t>Amount</t>
  </si>
  <si>
    <t>Unit</t>
  </si>
  <si>
    <t>Starting Market Pricing / Costs</t>
  </si>
  <si>
    <t>Subdivision Development Cost</t>
  </si>
  <si>
    <t>$ / FF</t>
  </si>
  <si>
    <t>$ / Unit</t>
  </si>
  <si>
    <t>Finished Residential Lot Price</t>
  </si>
  <si>
    <t>Commercial Land Value</t>
  </si>
  <si>
    <t>$ / SF</t>
  </si>
  <si>
    <t>Industrial Land Value</t>
  </si>
  <si>
    <t>Misc Factors</t>
  </si>
  <si>
    <t>Contingency</t>
  </si>
  <si>
    <t>Rates</t>
  </si>
  <si>
    <t>Description</t>
  </si>
  <si>
    <t>All</t>
  </si>
  <si>
    <t>Legal bribes</t>
  </si>
  <si>
    <t>Project Name</t>
  </si>
  <si>
    <t>Navigation here?</t>
  </si>
  <si>
    <t>Project Acres: Gross</t>
  </si>
  <si>
    <t>Project Economics</t>
  </si>
  <si>
    <t>Project Entitlements:</t>
  </si>
  <si>
    <t>Land Acqusition Price:</t>
  </si>
  <si>
    <t>Plan Areas</t>
  </si>
  <si>
    <t>Parcels</t>
  </si>
  <si>
    <t>Hi</t>
  </si>
  <si>
    <t>Maximum DUs</t>
  </si>
  <si>
    <t>Acres by Land Use</t>
  </si>
  <si>
    <t>Sale Schedule</t>
  </si>
  <si>
    <t>50x115</t>
  </si>
  <si>
    <t>Plan Area and Parcel Summary</t>
  </si>
  <si>
    <t>Dev</t>
  </si>
  <si>
    <t>Phase</t>
  </si>
  <si>
    <t>Lots</t>
  </si>
  <si>
    <t>Lag to Development Completion</t>
  </si>
  <si>
    <t>Installments</t>
  </si>
  <si>
    <t>Payment</t>
  </si>
  <si>
    <t>Joe Shmoe</t>
  </si>
  <si>
    <t xml:space="preserve">Price </t>
  </si>
  <si>
    <t>$/Acre</t>
  </si>
  <si>
    <t>$/SF</t>
  </si>
  <si>
    <t>Dave Smith</t>
  </si>
  <si>
    <t>Grand Total</t>
  </si>
  <si>
    <t>2022</t>
  </si>
  <si>
    <t>2023</t>
  </si>
  <si>
    <t>2024</t>
  </si>
  <si>
    <t>2025</t>
  </si>
  <si>
    <t xml:space="preserve"> Year</t>
  </si>
  <si>
    <t>$/Ac</t>
  </si>
  <si>
    <t>Land Conveyed</t>
  </si>
  <si>
    <t>Parcel Table - Village 1</t>
  </si>
  <si>
    <t>Village 4</t>
  </si>
  <si>
    <t>Months to Complete</t>
  </si>
  <si>
    <t>Start Month</t>
  </si>
  <si>
    <t>Acqusition</t>
  </si>
  <si>
    <t>Development &gt; OnSite</t>
  </si>
  <si>
    <t>Development &gt; Subdivision</t>
  </si>
  <si>
    <t>Development &gt; Offsite</t>
  </si>
  <si>
    <t>Development &gt; Other</t>
  </si>
  <si>
    <t>a</t>
  </si>
  <si>
    <t>Development Phasing</t>
  </si>
  <si>
    <t>insert summary</t>
  </si>
  <si>
    <t>or charts here</t>
  </si>
  <si>
    <t>Parcel Land Use &amp; Lot Product</t>
  </si>
  <si>
    <t>Proceeds</t>
  </si>
  <si>
    <t>GROSS</t>
  </si>
  <si>
    <t>NET</t>
  </si>
  <si>
    <t>Parcel Sales</t>
  </si>
  <si>
    <t>Thru Month</t>
  </si>
  <si>
    <t>Compl</t>
  </si>
  <si>
    <t>Development</t>
  </si>
  <si>
    <t>Feet</t>
  </si>
  <si>
    <t>Front</t>
  </si>
  <si>
    <t>Retail</t>
  </si>
  <si>
    <t>Subdivision</t>
  </si>
  <si>
    <t>Improvement</t>
  </si>
  <si>
    <t>Revenue</t>
  </si>
  <si>
    <t>Gross Parcel</t>
  </si>
  <si>
    <t>Capitalization</t>
  </si>
  <si>
    <t>Municipal Finance: CFD</t>
  </si>
  <si>
    <t>Total:</t>
  </si>
  <si>
    <t>Project Debt</t>
  </si>
  <si>
    <t>Loan 1: Senior</t>
  </si>
  <si>
    <t>Market Assumptions</t>
  </si>
  <si>
    <t>Lender</t>
  </si>
  <si>
    <t>LIP III</t>
  </si>
  <si>
    <t>Lund Investment Partmership III</t>
  </si>
  <si>
    <t>Starting Balance</t>
  </si>
  <si>
    <t xml:space="preserve">Home Offset to Land Sales </t>
  </si>
  <si>
    <t>Sales: Units / Month</t>
  </si>
  <si>
    <t>Additional Advances</t>
  </si>
  <si>
    <t>Total Resldential Units Sold</t>
  </si>
  <si>
    <t>Accrued Interest</t>
  </si>
  <si>
    <t>Balance: Average</t>
  </si>
  <si>
    <t>Tax Roll Assumptions</t>
  </si>
  <si>
    <t>Balance: Max</t>
  </si>
  <si>
    <t>Sale Year: 1</t>
  </si>
  <si>
    <t xml:space="preserve">Spreads new home </t>
  </si>
  <si>
    <t>Payoff Date</t>
  </si>
  <si>
    <t>Year After Sale: 2</t>
  </si>
  <si>
    <t>addition to tax rolls</t>
  </si>
  <si>
    <t>Loan 2: Junior</t>
  </si>
  <si>
    <t>2nd Year After Sale: 3</t>
  </si>
  <si>
    <t>over 3 years</t>
  </si>
  <si>
    <t>TMR Funding</t>
  </si>
  <si>
    <t>Property Tax Assumptions</t>
  </si>
  <si>
    <t>Limited Value Ratio</t>
  </si>
  <si>
    <t>Full Cash Value Ratio</t>
  </si>
  <si>
    <t>Residential Assessment Ratio</t>
  </si>
  <si>
    <t>Commercial Assessment Ratio</t>
  </si>
  <si>
    <t>Assessment Inflation Rate</t>
  </si>
  <si>
    <t>Loan 3: Subordinated</t>
  </si>
  <si>
    <t>Existing Assessment</t>
  </si>
  <si>
    <t>TMR Mezzanine</t>
  </si>
  <si>
    <t>TMR Mezzanine Funding</t>
  </si>
  <si>
    <t>need to add</t>
  </si>
  <si>
    <t>Need to add to reports</t>
  </si>
  <si>
    <t>Current Assessment</t>
  </si>
  <si>
    <t>Non-Residential Conversion Factors</t>
  </si>
  <si>
    <t>Commercial</t>
  </si>
  <si>
    <t>Conversion Factor</t>
  </si>
  <si>
    <t>Price / SF</t>
  </si>
  <si>
    <t>EDU / Acre</t>
  </si>
  <si>
    <t>Wont work without acreage</t>
  </si>
  <si>
    <t>Industrial</t>
  </si>
  <si>
    <t xml:space="preserve">Bond Assupmtions: </t>
  </si>
  <si>
    <t>Special Assessment (SA)</t>
  </si>
  <si>
    <t>Potential</t>
  </si>
  <si>
    <t>Total Units</t>
  </si>
  <si>
    <t>Maximum Assessment</t>
  </si>
  <si>
    <t>Bond Term</t>
  </si>
  <si>
    <t>Interest Rate</t>
  </si>
  <si>
    <t>Capitalized Interest</t>
  </si>
  <si>
    <t>Reserve Fund</t>
  </si>
  <si>
    <t>Cost of Issuance</t>
  </si>
  <si>
    <t>Underwriter Fee</t>
  </si>
  <si>
    <t>SA Bonding Capacity</t>
  </si>
  <si>
    <t>Total Issue Cost</t>
  </si>
  <si>
    <t>Available for Const</t>
  </si>
  <si>
    <t>General Obligation (GO)</t>
  </si>
  <si>
    <t>Oblig Rate / $1,000 of Val</t>
  </si>
  <si>
    <t>Delinquency Factor</t>
  </si>
  <si>
    <t>O&amp;M</t>
  </si>
  <si>
    <t>GO Bonding Capacity</t>
  </si>
  <si>
    <t>Working</t>
  </si>
  <si>
    <t>Periods</t>
  </si>
  <si>
    <t>Single Family</t>
  </si>
  <si>
    <t>Commercial / Industrial</t>
  </si>
  <si>
    <t>Total Absorption (EDU)</t>
  </si>
  <si>
    <t xml:space="preserve">Assessor </t>
  </si>
  <si>
    <t>Added to Tax Roll</t>
  </si>
  <si>
    <t>Assessed Value - Inflated</t>
  </si>
  <si>
    <t>Cumulative Debt Service - Inflated (3)</t>
  </si>
  <si>
    <t>Special Assessment Bonds</t>
  </si>
  <si>
    <t>cv_Period</t>
  </si>
  <si>
    <t>Sale Revenue - Uninflated</t>
  </si>
  <si>
    <t>Total Sale Revenue</t>
  </si>
  <si>
    <t>Average Unit Price</t>
  </si>
  <si>
    <t>Average EDU Price</t>
  </si>
  <si>
    <t>Tax Roll</t>
  </si>
  <si>
    <t>Assesed Value (Inflated)</t>
  </si>
  <si>
    <t>Cume</t>
  </si>
  <si>
    <t>Units on</t>
  </si>
  <si>
    <t>Inflation</t>
  </si>
  <si>
    <t>New</t>
  </si>
  <si>
    <t>Existing</t>
  </si>
  <si>
    <t>Debt Serviuce</t>
  </si>
  <si>
    <t xml:space="preserve">Total </t>
  </si>
  <si>
    <t>Cumulative</t>
  </si>
  <si>
    <t>Annual Bonding</t>
  </si>
  <si>
    <t>Eligible Costs</t>
  </si>
  <si>
    <t>SA Sales</t>
  </si>
  <si>
    <t>Issuance</t>
  </si>
  <si>
    <t>Sales</t>
  </si>
  <si>
    <t>Periodic</t>
  </si>
  <si>
    <t>Inflated</t>
  </si>
  <si>
    <t>Period</t>
  </si>
  <si>
    <t>Absorption</t>
  </si>
  <si>
    <t>Static</t>
  </si>
  <si>
    <t>Absorption - EDUs</t>
  </si>
  <si>
    <t>SFR Offset</t>
  </si>
  <si>
    <t>SFR</t>
  </si>
  <si>
    <t>MultiFam</t>
  </si>
  <si>
    <t>Added</t>
  </si>
  <si>
    <t>Tax Roll (1)</t>
  </si>
  <si>
    <t>Assess</t>
  </si>
  <si>
    <t>Undeveloped</t>
  </si>
  <si>
    <t>Assessed</t>
  </si>
  <si>
    <t>Annual</t>
  </si>
  <si>
    <t>Payments</t>
  </si>
  <si>
    <t>Bonding</t>
  </si>
  <si>
    <t>Capacity</t>
  </si>
  <si>
    <t>Annual Proceeds</t>
  </si>
  <si>
    <t>Land</t>
  </si>
  <si>
    <t>YR</t>
  </si>
  <si>
    <t>Not in use</t>
  </si>
  <si>
    <t>Uses</t>
  </si>
  <si>
    <t>Land Plan</t>
  </si>
  <si>
    <t>Total Absorption</t>
  </si>
  <si>
    <t>Dwelling Units</t>
  </si>
  <si>
    <t>Sale Revenue</t>
  </si>
  <si>
    <t>Added to</t>
  </si>
  <si>
    <t>Avg $$</t>
  </si>
  <si>
    <t>Value</t>
  </si>
  <si>
    <t>Debt Srvc</t>
  </si>
  <si>
    <t>Funds</t>
  </si>
  <si>
    <t>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</si>
</sst>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;_(\(#,##0\);_(&quot;-&quot;??_);_(@_)"/>
    <numFmt numFmtId="165" formatCode="_(&quot;$&quot;#,##0_);_(\(&quot;$&quot;#,##0\);_(&quot;-&quot;??_);_(@_)"/>
    <numFmt numFmtId="166" formatCode="&quot;Year &quot;0"/>
    <numFmt numFmtId="167" formatCode="0.0%"/>
    <numFmt numFmtId="168" formatCode="_(#,##0_);\(#,##0\);_(&quot;-&quot;_)"/>
    <numFmt numFmtId="169" formatCode="yyyy\-mm\-dd;@"/>
    <numFmt numFmtId="170" formatCode="_(#,##0_);_(\(#,##0\);_(&quot;&quot;_)"/>
    <numFmt numFmtId="171" formatCode="0.0"/>
    <numFmt numFmtId="172" formatCode="[$-409]mmm\-yy;@"/>
    <numFmt numFmtId="173" formatCode="_(#,##0_);_(\(#,##0\);_(&quot;-&quot;_)"/>
    <numFmt numFmtId="174" formatCode="##&quot; mos&quot;;;"/>
    <numFmt numFmtId="175" formatCode="&quot;Start Yr &quot;0"/>
    <numFmt numFmtId="176" formatCode="_(#,##0.00_);\(#,##0.00\);_(&quot;-&quot;_)"/>
    <numFmt numFmtId="177" formatCode="_(#,##0.0_);\(#,##0.0\);_(&quot;-&quot;_)"/>
    <numFmt numFmtId="178" formatCode="_(* #,##0_);_(* \(#,##0\);_(* &quot;-&quot;??_);_(@_)"/>
    <numFmt numFmtId="179" formatCode="&quot;Plan Area &quot;0"/>
    <numFmt numFmtId="180" formatCode="&quot;Village &quot;0"/>
    <numFmt numFmtId="181" formatCode="&quot;Parcel &quot;0"/>
    <numFmt numFmtId="182" formatCode="##&quot; of&quot;;;"/>
    <numFmt numFmtId="183" formatCode="_(#,##0.00_);_(\(#,##0.00\);_(&quot;-&quot;_)"/>
    <numFmt numFmtId="184" formatCode="#,###&quot; ac&quot;;;&quot;-&quot;"/>
    <numFmt numFmtId="185" formatCode="&quot;Phase &quot;0"/>
    <numFmt numFmtId="186" formatCode="##&quot; mo&quot;;;&quot;-&quot;"/>
    <numFmt numFmtId="187" formatCode="&quot;Start Mo: &quot;0"/>
    <numFmt numFmtId="188" formatCode="&quot;End Mo: &quot;0"/>
    <numFmt numFmtId="189" formatCode="&quot;Months: &quot;0"/>
    <numFmt numFmtId="190" formatCode="#,###&quot; Infl&quot;;;&quot;-&quot;"/>
    <numFmt numFmtId="191" formatCode="&quot;Sale &quot;0"/>
    <numFmt numFmtId="192" formatCode="&quot;$&quot;#,##0"/>
    <numFmt numFmtId="193" formatCode="0&quot; Months&quot;"/>
    <numFmt numFmtId="194" formatCode="_(#,##0.00_);_(\(#,##0.00\);_(&quot;-&quot;??_);_(@_)"/>
    <numFmt numFmtId="195" formatCode="_(&quot;$&quot;#,##0.0_);_(\(&quot;$&quot;#,##0.0\);_(&quot;-&quot;??_);_(@_)"/>
    <numFmt numFmtId="196" formatCode="0&quot; yrs&quot;"/>
    <numFmt numFmtId="197" formatCode="0&quot; year&quot;;;\-\ ;"/>
    <numFmt numFmtId="198" formatCode="_(&quot;$&quot;#,##0.00_);_(\(&quot;$&quot;#,##0.00\);_(&quot;-&quot;??_);_(@_)"/>
    <numFmt numFmtId="199" formatCode="&quot;$&quot;#,##0&quot; / lot&quot;"/>
    <numFmt numFmtId="200" formatCode="0.0000"/>
  </numFmts>
  <fonts count="14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Univers"/>
      <family val="2"/>
    </font>
    <font>
      <sz val="10"/>
      <color rgb="FFFFFF99"/>
      <name val="Arial"/>
      <family val="2"/>
    </font>
    <font>
      <sz val="10"/>
      <name val="Times New Roman"/>
      <family val="1"/>
    </font>
    <font>
      <sz val="11"/>
      <color rgb="FFFFFF99"/>
      <name val="Univers"/>
      <family val="2"/>
    </font>
    <font>
      <sz val="11"/>
      <name val="Arial"/>
      <family val="2"/>
    </font>
    <font>
      <b/>
      <sz val="10"/>
      <name val="Univers"/>
      <family val="2"/>
    </font>
    <font>
      <i/>
      <sz val="12"/>
      <name val="Univers"/>
      <family val="2"/>
    </font>
    <font>
      <sz val="12"/>
      <color rgb="FF0000FF"/>
      <name val="Univers"/>
      <family val="2"/>
    </font>
    <font>
      <sz val="11"/>
      <color rgb="FF0000FF"/>
      <name val="Univers"/>
      <family val="2"/>
    </font>
    <font>
      <sz val="9"/>
      <name val="Univers"/>
      <family val="2"/>
    </font>
    <font>
      <sz val="8"/>
      <name val="Univers"/>
      <family val="2"/>
    </font>
    <font>
      <sz val="8"/>
      <color rgb="FF002060"/>
      <name val="Univers"/>
      <family val="2"/>
    </font>
    <font>
      <sz val="10"/>
      <color rgb="FF0000FF"/>
      <name val="Univers"/>
      <family val="2"/>
    </font>
    <font>
      <sz val="10"/>
      <name val="Arial"/>
      <family val="2"/>
    </font>
    <font>
      <b/>
      <sz val="9"/>
      <name val="Univers"/>
      <family val="2"/>
    </font>
    <font>
      <b/>
      <sz val="8"/>
      <color theme="1" tint="0.499984740745262"/>
      <name val="Arial"/>
      <family val="2"/>
    </font>
    <font>
      <b/>
      <sz val="8"/>
      <name val="Univers"/>
      <family val="2"/>
    </font>
    <font>
      <b/>
      <sz val="9"/>
      <color theme="1" tint="0.499984740745262"/>
      <name val="Univers"/>
      <family val="2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9"/>
      <name val="Univers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11"/>
      <color theme="1"/>
      <name val="Univers"/>
      <family val="2"/>
    </font>
    <font>
      <b/>
      <sz val="10"/>
      <color indexed="56"/>
      <name val="Wingdings"/>
      <family val="2"/>
      <charset val="2"/>
    </font>
    <font>
      <sz val="11"/>
      <color rgb="FFFFFF99"/>
      <name val="Wingdings"/>
      <family val="2"/>
      <charset val="2"/>
    </font>
    <font>
      <sz val="12"/>
      <color theme="0"/>
      <name val="Univers"/>
      <family val="2"/>
    </font>
    <font>
      <sz val="12"/>
      <color theme="2"/>
      <name val="Univers"/>
      <family val="2"/>
    </font>
    <font>
      <sz val="12"/>
      <color rgb="FFFF0000"/>
      <name val="Calibri"/>
      <family val="2"/>
      <scheme val="minor"/>
    </font>
    <font>
      <sz val="11"/>
      <color rgb="FFFF0000"/>
      <name val="Univers"/>
      <family val="2"/>
    </font>
    <font>
      <b/>
      <sz val="10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Helvetica"/>
      <family val="2"/>
    </font>
    <font>
      <sz val="12"/>
      <color theme="1"/>
      <name val="ArialMT"/>
      <family val="2"/>
    </font>
    <font>
      <b/>
      <sz val="12"/>
      <color theme="0"/>
      <name val="Arial"/>
      <family val="2"/>
    </font>
    <font>
      <b/>
      <sz val="9"/>
      <color theme="1"/>
      <name val="Arial"/>
      <family val="2"/>
    </font>
    <font>
      <sz val="8"/>
      <color theme="1" tint="0.499984740745262"/>
      <name val="Univers"/>
      <family val="2"/>
    </font>
    <font>
      <sz val="8"/>
      <name val="Arial"/>
      <family val="2"/>
    </font>
    <font>
      <sz val="10"/>
      <color rgb="FF4F4FFF"/>
      <name val="Univers"/>
      <family val="2"/>
    </font>
    <font>
      <b/>
      <sz val="11"/>
      <color theme="1"/>
      <name val="ArialMT"/>
      <family val="2"/>
    </font>
    <font>
      <sz val="10"/>
      <color theme="1"/>
      <name val="Univers"/>
      <family val="2"/>
    </font>
    <font>
      <b/>
      <sz val="11"/>
      <color rgb="FF0000FF"/>
      <name val="Univers"/>
      <family val="2"/>
    </font>
    <font>
      <sz val="20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Univers"/>
      <family val="2"/>
    </font>
    <font>
      <b/>
      <sz val="9"/>
      <color theme="0"/>
      <name val="Univers"/>
      <family val="2"/>
    </font>
    <font>
      <b/>
      <sz val="8"/>
      <color theme="0"/>
      <name val="Univers"/>
      <family val="2"/>
    </font>
    <font>
      <b/>
      <sz val="10"/>
      <color theme="0"/>
      <name val="Univers"/>
      <family val="2"/>
    </font>
    <font>
      <b/>
      <sz val="9"/>
      <color rgb="FFFFFF00"/>
      <name val="Arial"/>
      <family val="2"/>
    </font>
    <font>
      <b/>
      <sz val="11"/>
      <color rgb="FFFFFF00"/>
      <name val="Arial"/>
      <family val="2"/>
    </font>
    <font>
      <sz val="12"/>
      <name val="Univers"/>
      <family val="2"/>
    </font>
    <font>
      <b/>
      <sz val="12"/>
      <color theme="0"/>
      <name val="Univers"/>
      <family val="2"/>
    </font>
    <font>
      <b/>
      <sz val="11"/>
      <color rgb="FF8FFFDA"/>
      <name val="Univers"/>
      <family val="2"/>
    </font>
    <font>
      <sz val="11"/>
      <color rgb="FFFFFF00"/>
      <name val="Univers"/>
      <family val="2"/>
    </font>
    <font>
      <sz val="12"/>
      <color theme="1"/>
      <name val="Univers"/>
      <family val="2"/>
    </font>
    <font>
      <b/>
      <sz val="8"/>
      <color rgb="FF002060"/>
      <name val="Univers"/>
      <family val="2"/>
    </font>
    <font>
      <sz val="9"/>
      <color theme="1"/>
      <name val="Arial"/>
      <family val="2"/>
    </font>
    <font>
      <sz val="11"/>
      <name val="Univers"/>
      <family val="2"/>
    </font>
    <font>
      <sz val="10"/>
      <color theme="1" tint="0.249977111117893"/>
      <name val="Univers"/>
      <family val="2"/>
    </font>
    <font>
      <sz val="8"/>
      <color theme="2" tint="-0.749992370372631"/>
      <name val="Univers"/>
      <family val="2"/>
    </font>
    <font>
      <b/>
      <sz val="11"/>
      <name val="Univers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0000FF"/>
      <name val="Webdings"/>
      <family val="1"/>
      <charset val="2"/>
    </font>
    <font>
      <b/>
      <sz val="10"/>
      <color rgb="FFFFFF00"/>
      <name val="Arial"/>
      <family val="2"/>
    </font>
    <font>
      <b/>
      <sz val="11"/>
      <color rgb="FF00B0F0"/>
      <name val="Univers"/>
      <family val="2"/>
    </font>
    <font>
      <sz val="10"/>
      <color rgb="FFFFC000"/>
      <name val="Univers"/>
      <family val="2"/>
    </font>
    <font>
      <b/>
      <sz val="14"/>
      <color rgb="FFFFC000"/>
      <name val="Univers"/>
      <family val="2"/>
    </font>
    <font>
      <sz val="9"/>
      <color theme="2" tint="-9.9978637043366805E-2"/>
      <name val="Univers"/>
      <family val="2"/>
    </font>
    <font>
      <sz val="8"/>
      <color rgb="FFFFC000"/>
      <name val="Univers"/>
      <family val="2"/>
    </font>
    <font>
      <b/>
      <sz val="10"/>
      <name val="Times New Roman"/>
      <family val="1"/>
    </font>
    <font>
      <b/>
      <sz val="12"/>
      <name val="Univers"/>
      <family val="2"/>
    </font>
    <font>
      <b/>
      <sz val="12"/>
      <color rgb="FF66CCFF"/>
      <name val="Univers"/>
      <family val="2"/>
    </font>
    <font>
      <b/>
      <sz val="12"/>
      <color rgb="FF50E1C2"/>
      <name val="Univers"/>
      <family val="2"/>
    </font>
    <font>
      <b/>
      <sz val="9"/>
      <color rgb="FF50E1C2"/>
      <name val="Univers"/>
      <family val="2"/>
    </font>
    <font>
      <b/>
      <sz val="14"/>
      <color rgb="FF66CCFF"/>
      <name val="Univers"/>
      <family val="2"/>
    </font>
    <font>
      <b/>
      <sz val="11"/>
      <color rgb="FFFFC000"/>
      <name val="Univers"/>
      <family val="2"/>
    </font>
    <font>
      <sz val="11"/>
      <color rgb="FFDCDBE0"/>
      <name val="Univers"/>
      <family val="2"/>
    </font>
    <font>
      <sz val="9"/>
      <color rgb="FFDCDBE0"/>
      <name val="Univers"/>
      <family val="2"/>
    </font>
    <font>
      <sz val="10"/>
      <color theme="0"/>
      <name val="Univers"/>
      <family val="2"/>
    </font>
    <font>
      <i/>
      <sz val="7"/>
      <color rgb="FF3BFF94"/>
      <name val="Univers"/>
      <family val="2"/>
    </font>
    <font>
      <sz val="9"/>
      <color theme="0"/>
      <name val="Univers"/>
      <family val="2"/>
    </font>
    <font>
      <sz val="8"/>
      <color theme="0"/>
      <name val="Univers"/>
      <family val="2"/>
    </font>
    <font>
      <sz val="11"/>
      <color theme="0"/>
      <name val="Univers"/>
      <family val="2"/>
    </font>
    <font>
      <b/>
      <sz val="10"/>
      <color rgb="FFFFC000"/>
      <name val="Univers"/>
      <family val="2"/>
    </font>
    <font>
      <sz val="8"/>
      <color rgb="FFFFFF99"/>
      <name val="Univers"/>
      <family val="2"/>
    </font>
    <font>
      <b/>
      <sz val="11"/>
      <color rgb="FF19C3FF"/>
      <name val="Univers"/>
      <family val="2"/>
    </font>
    <font>
      <b/>
      <sz val="10"/>
      <color rgb="FF19C3FF"/>
      <name val="Univers"/>
      <family val="2"/>
    </font>
    <font>
      <sz val="10"/>
      <color rgb="FF19C3FF"/>
      <name val="Univers"/>
      <family val="2"/>
    </font>
    <font>
      <sz val="9"/>
      <color rgb="FFFFC000"/>
      <name val="Univers"/>
      <family val="2"/>
    </font>
    <font>
      <b/>
      <sz val="11"/>
      <color rgb="FFFFFF99"/>
      <name val="Univers"/>
      <family val="2"/>
    </font>
    <font>
      <b/>
      <sz val="11"/>
      <color rgb="FF5BD4FF"/>
      <name val="Univers"/>
      <family val="2"/>
    </font>
    <font>
      <sz val="8"/>
      <color rgb="FF53FFA1"/>
      <name val="Univers"/>
      <family val="2"/>
    </font>
    <font>
      <b/>
      <sz val="12"/>
      <name val="Arial"/>
      <family val="2"/>
    </font>
    <font>
      <b/>
      <sz val="10"/>
      <color rgb="FF00B0F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color rgb="FFC0000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0"/>
      <name val="Times New Roman"/>
      <family val="1"/>
    </font>
    <font>
      <b/>
      <sz val="9"/>
      <color theme="0"/>
      <name val="Arial"/>
      <family val="2"/>
    </font>
    <font>
      <sz val="8"/>
      <color rgb="FFFFC000"/>
      <name val="Arial"/>
      <family val="2"/>
    </font>
    <font>
      <sz val="8"/>
      <color theme="0"/>
      <name val="Arial"/>
      <family val="2"/>
    </font>
    <font>
      <sz val="8"/>
      <name val="Times New Roman"/>
      <family val="1"/>
    </font>
    <font>
      <sz val="10"/>
      <color theme="0"/>
      <name val="Arial"/>
      <family val="2"/>
    </font>
    <font>
      <sz val="9"/>
      <color rgb="FFFFFF99"/>
      <name val="Arial"/>
      <family val="2"/>
    </font>
    <font>
      <b/>
      <sz val="12"/>
      <color rgb="FF00B0F0"/>
      <name val="Arial"/>
      <family val="2"/>
    </font>
    <font>
      <sz val="11"/>
      <color theme="1"/>
      <name val="ArialMT"/>
      <family val="2"/>
    </font>
    <font>
      <sz val="9"/>
      <color rgb="FF860000"/>
      <name val="Arial"/>
      <family val="2"/>
    </font>
    <font>
      <b/>
      <sz val="9"/>
      <color rgb="FF860000"/>
      <name val="Arial"/>
      <family val="2"/>
    </font>
    <font>
      <sz val="12"/>
      <name val="Arial"/>
      <family val="2"/>
    </font>
    <font>
      <b/>
      <sz val="8"/>
      <color rgb="FF860000"/>
      <name val="Arial"/>
      <family val="2"/>
    </font>
    <font>
      <b/>
      <sz val="9"/>
      <color rgb="FFC00000"/>
      <name val="Arial"/>
      <family val="2"/>
    </font>
    <font>
      <sz val="9"/>
      <color rgb="FFC00000"/>
      <name val="Arial"/>
      <family val="2"/>
    </font>
    <font>
      <sz val="8"/>
      <color rgb="FFC00000"/>
      <name val="Arial"/>
      <family val="2"/>
    </font>
    <font>
      <sz val="12"/>
      <color indexed="12"/>
      <name val="Arial"/>
      <family val="2"/>
    </font>
    <font>
      <sz val="12"/>
      <color rgb="FFFFC000"/>
      <name val="Arial"/>
      <family val="2"/>
    </font>
    <font>
      <b/>
      <sz val="10"/>
      <color rgb="FF940000"/>
      <name val="Arial"/>
      <family val="2"/>
    </font>
    <font>
      <u val="singleAccounting"/>
      <sz val="12"/>
      <name val="Arial"/>
      <family val="2"/>
    </font>
    <font>
      <sz val="9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14"/>
      <color rgb="FF2DFF8C"/>
      <name val="Eye glass Extended"/>
      <family val="2"/>
    </font>
    <font>
      <sz val="11"/>
      <color theme="2" tint="-9.9978637043366805E-2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2D2E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7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EBEBEB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D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474747"/>
        <bgColor indexed="64"/>
      </patternFill>
    </fill>
    <fill>
      <patternFill patternType="solid">
        <fgColor rgb="FF232429"/>
        <bgColor indexed="64"/>
      </patternFill>
    </fill>
    <fill>
      <patternFill patternType="solid">
        <fgColor rgb="FF40424F"/>
        <bgColor indexed="64"/>
      </patternFill>
    </fill>
    <fill>
      <patternFill patternType="solid">
        <fgColor rgb="FF353641"/>
        <bgColor indexed="64"/>
      </patternFill>
    </fill>
    <fill>
      <patternFill patternType="solid">
        <fgColor rgb="FF4547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13213D"/>
        <bgColor indexed="64"/>
      </patternFill>
    </fill>
  </fills>
  <borders count="103">
    <border>
      <left/>
      <right/>
      <top/>
      <bottom/>
      <diagonal/>
    </border>
    <border>
      <left/>
      <right style="thick">
        <color rgb="FF40424F"/>
      </right>
      <top style="thick">
        <color rgb="FF40424F"/>
      </top>
      <bottom style="thick">
        <color rgb="FF40424F"/>
      </bottom>
      <diagonal/>
    </border>
    <border>
      <left style="thick">
        <color rgb="FFE1E1E1"/>
      </left>
      <right style="thick">
        <color rgb="FFE1E1E1"/>
      </right>
      <top style="thick">
        <color rgb="FFE1E1E1"/>
      </top>
      <bottom style="thick">
        <color rgb="FFE1E1E1"/>
      </bottom>
      <diagonal/>
    </border>
    <border>
      <left/>
      <right style="thick">
        <color rgb="FFE1E1E1"/>
      </right>
      <top style="thick">
        <color rgb="FFE1E1E1"/>
      </top>
      <bottom style="thick">
        <color rgb="FFE1E1E1"/>
      </bottom>
      <diagonal/>
    </border>
    <border>
      <left style="thick">
        <color rgb="FFE1E1E1"/>
      </left>
      <right/>
      <top style="thick">
        <color rgb="FFE1E1E1"/>
      </top>
      <bottom style="thick">
        <color rgb="FFE1E1E1"/>
      </bottom>
      <diagonal/>
    </border>
    <border>
      <left/>
      <right/>
      <top style="thick">
        <color rgb="FFE1E1E1"/>
      </top>
      <bottom style="thick">
        <color rgb="FFE1E1E1"/>
      </bottom>
      <diagonal/>
    </border>
    <border>
      <left/>
      <right style="thick">
        <color rgb="FFE1E1E1"/>
      </right>
      <top/>
      <bottom style="thick">
        <color rgb="FFE1E1E1"/>
      </bottom>
      <diagonal/>
    </border>
    <border>
      <left style="thick">
        <color rgb="FFE1E1E1"/>
      </left>
      <right/>
      <top/>
      <bottom style="thick">
        <color rgb="FFE1E1E1"/>
      </bottom>
      <diagonal/>
    </border>
    <border>
      <left style="thick">
        <color rgb="FFE1E1E1"/>
      </left>
      <right style="thick">
        <color rgb="FFE1E1E1"/>
      </right>
      <top/>
      <bottom style="thick">
        <color rgb="FFE1E1E1"/>
      </bottom>
      <diagonal/>
    </border>
    <border>
      <left/>
      <right/>
      <top/>
      <bottom style="thick">
        <color rgb="FFE1E1E1"/>
      </bottom>
      <diagonal/>
    </border>
    <border>
      <left/>
      <right/>
      <top/>
      <bottom style="medium">
        <color rgb="FFC8C8C8"/>
      </bottom>
      <diagonal/>
    </border>
    <border>
      <left style="thick">
        <color rgb="FFDCDCDC"/>
      </left>
      <right style="thick">
        <color rgb="FFDCDCDC"/>
      </right>
      <top style="thick">
        <color rgb="FFDCDCDC"/>
      </top>
      <bottom style="thick">
        <color rgb="FFDCDCDC"/>
      </bottom>
      <diagonal/>
    </border>
    <border>
      <left style="thick">
        <color rgb="FFDCDCDC"/>
      </left>
      <right/>
      <top style="thick">
        <color rgb="FFDCDCDC"/>
      </top>
      <bottom style="thick">
        <color rgb="FFDCDCDC"/>
      </bottom>
      <diagonal/>
    </border>
    <border>
      <left style="thick">
        <color rgb="FFDCDCDC"/>
      </left>
      <right style="thick">
        <color rgb="FFDCDCDC"/>
      </right>
      <top/>
      <bottom style="thick">
        <color rgb="FFDCDCDC"/>
      </bottom>
      <diagonal/>
    </border>
    <border>
      <left style="thick">
        <color rgb="FFDCDCDC"/>
      </left>
      <right/>
      <top/>
      <bottom style="thick">
        <color rgb="FFDCDCDC"/>
      </bottom>
      <diagonal/>
    </border>
    <border>
      <left style="thick">
        <color rgb="FFE1E1E1"/>
      </left>
      <right style="thick">
        <color rgb="FFE1E1E1"/>
      </right>
      <top/>
      <bottom/>
      <diagonal/>
    </border>
    <border>
      <left/>
      <right style="thick">
        <color rgb="FFE1E1E1"/>
      </right>
      <top/>
      <bottom/>
      <diagonal/>
    </border>
    <border>
      <left style="thick">
        <color rgb="FFE1E1E1"/>
      </left>
      <right style="thick">
        <color rgb="FFE1E1E1"/>
      </right>
      <top style="thick">
        <color rgb="FFE1E1E1"/>
      </top>
      <bottom/>
      <diagonal/>
    </border>
    <border>
      <left style="thick">
        <color rgb="FFE1E1E1"/>
      </left>
      <right style="thick">
        <color rgb="FFE1E1E1"/>
      </right>
      <top style="thick">
        <color rgb="FFE1E1E1"/>
      </top>
      <bottom style="thin">
        <color theme="1" tint="0.499984740745262"/>
      </bottom>
      <diagonal/>
    </border>
    <border>
      <left/>
      <right/>
      <top style="medium">
        <color rgb="FFC8C8C8"/>
      </top>
      <bottom style="thick">
        <color rgb="FFE1E1E1"/>
      </bottom>
      <diagonal/>
    </border>
    <border>
      <left style="thick">
        <color rgb="FFE1E1E1"/>
      </left>
      <right style="thick">
        <color rgb="FFE1E1E1"/>
      </right>
      <top/>
      <bottom style="thin">
        <color theme="2" tint="-0.499984740745262"/>
      </bottom>
      <diagonal/>
    </border>
    <border>
      <left/>
      <right style="thick">
        <color rgb="FFE1E1E1"/>
      </right>
      <top style="thick">
        <color rgb="FFE1E1E1"/>
      </top>
      <bottom/>
      <diagonal/>
    </border>
    <border>
      <left/>
      <right style="thick">
        <color rgb="FFE1E1E1"/>
      </right>
      <top/>
      <bottom style="thin">
        <color theme="2" tint="-0.499984740745262"/>
      </bottom>
      <diagonal/>
    </border>
    <border>
      <left style="thick">
        <color rgb="FFE1E1E1"/>
      </left>
      <right/>
      <top style="thick">
        <color rgb="FFE1E1E1"/>
      </top>
      <bottom/>
      <diagonal/>
    </border>
    <border>
      <left style="thick">
        <color rgb="FFE1E1E1"/>
      </left>
      <right/>
      <top/>
      <bottom style="thin">
        <color theme="2" tint="-0.499984740745262"/>
      </bottom>
      <diagonal/>
    </border>
    <border>
      <left style="thick">
        <color rgb="FFE1E1E1"/>
      </left>
      <right/>
      <top style="medium">
        <color rgb="FFC8C8C8"/>
      </top>
      <bottom style="thick">
        <color rgb="FFE1E1E1"/>
      </bottom>
      <diagonal/>
    </border>
    <border>
      <left/>
      <right style="thick">
        <color rgb="FFE1E1E1"/>
      </right>
      <top style="medium">
        <color rgb="FFC8C8C8"/>
      </top>
      <bottom style="thick">
        <color rgb="FFE1E1E1"/>
      </bottom>
      <diagonal/>
    </border>
    <border>
      <left/>
      <right/>
      <top style="thick">
        <color rgb="FFE1E1E1"/>
      </top>
      <bottom style="medium">
        <color theme="2" tint="-0.24994659260841701"/>
      </bottom>
      <diagonal/>
    </border>
    <border>
      <left style="thick">
        <color rgb="FFF0F0F0"/>
      </left>
      <right/>
      <top style="medium">
        <color rgb="FFC8C8C8"/>
      </top>
      <bottom style="thick">
        <color rgb="FFE1E1E1"/>
      </bottom>
      <diagonal/>
    </border>
    <border>
      <left style="thick">
        <color rgb="FFF0F0F0"/>
      </left>
      <right/>
      <top style="thick">
        <color rgb="FFE1E1E1"/>
      </top>
      <bottom style="thick">
        <color rgb="FFE1E1E1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 style="thick">
        <color rgb="FFE1E1E1"/>
      </left>
      <right/>
      <top/>
      <bottom/>
      <diagonal/>
    </border>
    <border>
      <left style="thick">
        <color rgb="FFF0F0F0"/>
      </left>
      <right/>
      <top style="thick">
        <color rgb="FFE1E1E1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64"/>
      </top>
      <bottom style="thin">
        <color rgb="FF999999"/>
      </bottom>
      <diagonal/>
    </border>
    <border>
      <left style="thick">
        <color rgb="FFE7E6E6"/>
      </left>
      <right style="thick">
        <color rgb="FFE7E6E6"/>
      </right>
      <top style="thick">
        <color rgb="FFE7E6E6"/>
      </top>
      <bottom/>
      <diagonal/>
    </border>
    <border>
      <left/>
      <right style="thick">
        <color rgb="FFDCDCDC"/>
      </right>
      <top style="thick">
        <color rgb="FFDCDCDC"/>
      </top>
      <bottom style="thick">
        <color rgb="FFDCDCDC"/>
      </bottom>
      <diagonal/>
    </border>
    <border>
      <left style="thick">
        <color rgb="FFDCDCDC"/>
      </left>
      <right style="thin">
        <color theme="0"/>
      </right>
      <top style="thick">
        <color rgb="FFDCDCDC"/>
      </top>
      <bottom style="thick">
        <color rgb="FFDCDCDC"/>
      </bottom>
      <diagonal/>
    </border>
    <border>
      <left style="thick">
        <color rgb="FFE7E6E6"/>
      </left>
      <right/>
      <top style="thick">
        <color rgb="FFE7E6E6"/>
      </top>
      <bottom/>
      <diagonal/>
    </border>
    <border>
      <left/>
      <right/>
      <top style="thick">
        <color rgb="FFDCDCDC"/>
      </top>
      <bottom style="thick">
        <color rgb="FFDCDCDC"/>
      </bottom>
      <diagonal/>
    </border>
    <border>
      <left/>
      <right/>
      <top style="thick">
        <color rgb="FFE7E6E6"/>
      </top>
      <bottom/>
      <diagonal/>
    </border>
    <border>
      <left style="thick">
        <color rgb="FFDCDCDC"/>
      </left>
      <right style="thick">
        <color rgb="FFDCDCDC"/>
      </right>
      <top/>
      <bottom/>
      <diagonal/>
    </border>
    <border>
      <left style="thick">
        <color rgb="FFDCDCDC"/>
      </left>
      <right/>
      <top/>
      <bottom/>
      <diagonal/>
    </border>
    <border>
      <left style="thick">
        <color rgb="FFDCDCDC"/>
      </left>
      <right/>
      <top style="thick">
        <color rgb="FFDCDCDC"/>
      </top>
      <bottom style="medium">
        <color theme="0" tint="-0.499984740745262"/>
      </bottom>
      <diagonal/>
    </border>
    <border>
      <left style="thick">
        <color rgb="FFDCDCDC"/>
      </left>
      <right style="thick">
        <color rgb="FFDCDCDC"/>
      </right>
      <top style="thick">
        <color rgb="FFDCDCDC"/>
      </top>
      <bottom style="medium">
        <color theme="0" tint="-0.499984740745262"/>
      </bottom>
      <diagonal/>
    </border>
    <border>
      <left/>
      <right/>
      <top style="thick">
        <color rgb="FFE7E6E6"/>
      </top>
      <bottom style="thick">
        <color rgb="FFE7E6E6"/>
      </bottom>
      <diagonal/>
    </border>
    <border>
      <left/>
      <right style="thick">
        <color rgb="FFE7E6E6"/>
      </right>
      <top style="thick">
        <color rgb="FFE7E6E6"/>
      </top>
      <bottom style="thick">
        <color rgb="FFE7E6E6"/>
      </bottom>
      <diagonal/>
    </border>
    <border>
      <left style="thick">
        <color rgb="FFE7E6E6"/>
      </left>
      <right/>
      <top style="thick">
        <color rgb="FFE7E6E6"/>
      </top>
      <bottom style="thick">
        <color rgb="FFE7E6E6"/>
      </bottom>
      <diagonal/>
    </border>
    <border>
      <left style="thick">
        <color rgb="FFE7E6E6"/>
      </left>
      <right style="thick">
        <color rgb="FFE7E6E6"/>
      </right>
      <top/>
      <bottom/>
      <diagonal/>
    </border>
    <border>
      <left style="thick">
        <color rgb="FFEBEBEB"/>
      </left>
      <right/>
      <top style="thick">
        <color rgb="FFEBEBEB"/>
      </top>
      <bottom style="thick">
        <color rgb="FFEBEBEB"/>
      </bottom>
      <diagonal/>
    </border>
    <border>
      <left/>
      <right/>
      <top style="thick">
        <color rgb="FFEBEBEB"/>
      </top>
      <bottom style="thick">
        <color rgb="FFEBEBEB"/>
      </bottom>
      <diagonal/>
    </border>
    <border>
      <left/>
      <right style="thick">
        <color rgb="FFEBEBEB"/>
      </right>
      <top style="thick">
        <color rgb="FFEBEBEB"/>
      </top>
      <bottom style="thick">
        <color rgb="FFEBEBEB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rgb="FF626262"/>
      </left>
      <right/>
      <top style="thin">
        <color rgb="FF626262"/>
      </top>
      <bottom/>
      <diagonal/>
    </border>
    <border>
      <left/>
      <right/>
      <top style="thin">
        <color rgb="FF626262"/>
      </top>
      <bottom/>
      <diagonal/>
    </border>
    <border>
      <left/>
      <right style="thin">
        <color rgb="FF626262"/>
      </right>
      <top style="thin">
        <color rgb="FF626262"/>
      </top>
      <bottom/>
      <diagonal/>
    </border>
    <border>
      <left style="thin">
        <color rgb="FF626262"/>
      </left>
      <right/>
      <top/>
      <bottom style="thin">
        <color rgb="FF626262"/>
      </bottom>
      <diagonal/>
    </border>
    <border>
      <left/>
      <right/>
      <top/>
      <bottom style="thin">
        <color rgb="FF626262"/>
      </bottom>
      <diagonal/>
    </border>
    <border>
      <left/>
      <right style="thin">
        <color rgb="FF626262"/>
      </right>
      <top/>
      <bottom style="thin">
        <color rgb="FF626262"/>
      </bottom>
      <diagonal/>
    </border>
    <border>
      <left style="thin">
        <color rgb="FF505364"/>
      </left>
      <right/>
      <top/>
      <bottom/>
      <diagonal/>
    </border>
    <border>
      <left/>
      <right style="thick">
        <color rgb="FF40424F"/>
      </right>
      <top/>
      <bottom/>
      <diagonal/>
    </border>
    <border>
      <left/>
      <right/>
      <top style="thick">
        <color rgb="FF40424F"/>
      </top>
      <bottom style="thick">
        <color rgb="FF40424F"/>
      </bottom>
      <diagonal/>
    </border>
    <border>
      <left/>
      <right/>
      <top style="thick">
        <color rgb="FF40424F"/>
      </top>
      <bottom/>
      <diagonal/>
    </border>
    <border>
      <left style="thick">
        <color rgb="FF40424F"/>
      </left>
      <right/>
      <top style="thick">
        <color rgb="FF40424F"/>
      </top>
      <bottom/>
      <diagonal/>
    </border>
    <border>
      <left/>
      <right style="thick">
        <color rgb="FF40424F"/>
      </right>
      <top style="thick">
        <color rgb="FF40424F"/>
      </top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ck">
        <color rgb="FF232429"/>
      </top>
      <bottom style="thick">
        <color rgb="FF232429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2" tint="-9.9948118533890809E-2"/>
      </right>
      <top/>
      <bottom style="thin">
        <color indexed="64"/>
      </bottom>
      <diagonal/>
    </border>
    <border>
      <left style="thin">
        <color theme="2" tint="-9.9948118533890809E-2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rgb="FF0432FF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 diagonalUp="1" diagonalDown="1"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 style="thin">
        <color theme="2" tint="-0.499984740745262"/>
      </diagonal>
    </border>
    <border diagonalUp="1" diagonalDown="1"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 style="thin">
        <color theme="2" tint="-0.499984740745262"/>
      </diagonal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0" tint="-0.499984740745262"/>
      </bottom>
      <diagonal/>
    </border>
    <border diagonalUp="1" diagonalDown="1"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0" tint="-0.499984740745262"/>
      </bottom>
      <diagonal style="thin">
        <color theme="2" tint="-0.499984740745262"/>
      </diagonal>
    </border>
    <border>
      <left style="hair">
        <color rgb="FF0070C0"/>
      </left>
      <right style="hair">
        <color rgb="FF0070C0"/>
      </right>
      <top style="thin">
        <color auto="1"/>
      </top>
      <bottom style="hair">
        <color auto="1"/>
      </bottom>
      <diagonal/>
    </border>
    <border diagonalUp="1" diagonalDown="1">
      <left style="hair">
        <color rgb="FF0070C0"/>
      </left>
      <right style="hair">
        <color rgb="FF0070C0"/>
      </right>
      <top style="thin">
        <color auto="1"/>
      </top>
      <bottom style="hair">
        <color auto="1"/>
      </bottom>
      <diagonal style="thin">
        <color theme="2" tint="-0.499984740745262"/>
      </diagonal>
    </border>
    <border diagonalUp="1" diagonalDown="1">
      <left style="hair">
        <color rgb="FF0070C0"/>
      </left>
      <right style="hair">
        <color rgb="FF0070C0"/>
      </right>
      <top style="hair">
        <color auto="1"/>
      </top>
      <bottom style="hair">
        <color auto="1"/>
      </bottom>
      <diagonal style="thin">
        <color theme="2" tint="-0.499984740745262"/>
      </diagonal>
    </border>
    <border diagonalUp="1" diagonalDown="1">
      <left style="hair">
        <color rgb="FF0070C0"/>
      </left>
      <right style="hair">
        <color rgb="FF0070C0"/>
      </right>
      <top style="hair">
        <color auto="1"/>
      </top>
      <bottom style="thin">
        <color auto="1"/>
      </bottom>
      <diagonal style="thin">
        <color theme="2" tint="-0.499984740745262"/>
      </diagonal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 diagonalUp="1" diagonalDown="1">
      <left style="hair">
        <color rgb="FF0070C0"/>
      </left>
      <right style="hair">
        <color rgb="FF0070C0"/>
      </right>
      <top style="hair">
        <color auto="1"/>
      </top>
      <bottom style="medium">
        <color indexed="64"/>
      </bottom>
      <diagonal style="thin">
        <color theme="2" tint="-0.499984740745262"/>
      </diagonal>
    </border>
    <border>
      <left style="hair">
        <color rgb="FF0070C0"/>
      </left>
      <right style="hair">
        <color rgb="FF0070C0"/>
      </right>
      <top style="hair">
        <color auto="1"/>
      </top>
      <bottom style="hair">
        <color auto="1"/>
      </bottom>
      <diagonal/>
    </border>
    <border>
      <left style="hair">
        <color rgb="FF0070C0"/>
      </left>
      <right style="hair">
        <color rgb="FF0070C0"/>
      </right>
      <top style="hair">
        <color auto="1"/>
      </top>
      <bottom style="thin">
        <color auto="1"/>
      </bottom>
      <diagonal/>
    </border>
    <border>
      <left style="hair">
        <color rgb="FF0070C0"/>
      </left>
      <right style="hair">
        <color rgb="FF0070C0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2">
    <xf numFmtId="0" fontId="0" fillId="0" borderId="0"/>
    <xf numFmtId="41" fontId="86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4" fillId="2" borderId="1">
      <alignment horizontal="center" vertical="center"/>
    </xf>
    <xf numFmtId="165" fontId="4" fillId="2" borderId="1" applyProtection="0">
      <alignment horizontal="center" vertical="center"/>
    </xf>
    <xf numFmtId="41" fontId="5" fillId="0" borderId="0"/>
    <xf numFmtId="43" fontId="1" fillId="0" borderId="0" applyFont="0" applyFill="0" applyBorder="0" applyAlignment="0" applyProtection="0"/>
    <xf numFmtId="0" fontId="16" fillId="0" borderId="0"/>
    <xf numFmtId="0" fontId="26" fillId="0" borderId="0"/>
    <xf numFmtId="0" fontId="27" fillId="0" borderId="0" applyFill="0" applyBorder="0">
      <alignment horizontal="center" vertical="center"/>
    </xf>
    <xf numFmtId="0" fontId="28" fillId="8" borderId="0" applyNumberFormat="0" applyBorder="0" applyAlignment="0" applyProtection="0"/>
    <xf numFmtId="164" fontId="26" fillId="0" borderId="0"/>
    <xf numFmtId="0" fontId="6" fillId="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8" fillId="0" borderId="0"/>
    <xf numFmtId="43" fontId="1" fillId="0" borderId="0" applyFont="0" applyFill="0" applyBorder="0" applyAlignment="0" applyProtection="0"/>
    <xf numFmtId="0" fontId="67" fillId="0" borderId="0"/>
    <xf numFmtId="9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16" fillId="0" borderId="0"/>
    <xf numFmtId="0" fontId="67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/>
    <xf numFmtId="199" fontId="4" fillId="2" borderId="1" applyProtection="0">
      <alignment horizontal="center" vertical="center"/>
    </xf>
  </cellStyleXfs>
  <cellXfs count="652">
    <xf numFmtId="0" fontId="0" fillId="0" borderId="0" xfId="0"/>
    <xf numFmtId="179" fontId="54" fillId="15" borderId="0" xfId="0" applyNumberFormat="1" applyFont="1" applyFill="1" applyAlignment="1">
      <alignment horizontal="left" vertical="center" indent="1"/>
    </xf>
    <xf numFmtId="0" fontId="7" fillId="0" borderId="0" xfId="0" applyFont="1"/>
    <xf numFmtId="165" fontId="9" fillId="0" borderId="0" xfId="5" applyFont="1" applyFill="1" applyBorder="1" applyAlignment="1" applyProtection="1">
      <alignment horizontal="left" vertical="center" indent="1"/>
      <protection locked="0"/>
    </xf>
    <xf numFmtId="0" fontId="0" fillId="0" borderId="0" xfId="0" applyAlignment="1">
      <alignment horizontal="center"/>
    </xf>
    <xf numFmtId="0" fontId="2" fillId="5" borderId="0" xfId="0" applyFont="1" applyFill="1" applyAlignment="1">
      <alignment vertical="center"/>
    </xf>
    <xf numFmtId="0" fontId="0" fillId="7" borderId="0" xfId="0" applyFill="1"/>
    <xf numFmtId="0" fontId="7" fillId="7" borderId="0" xfId="0" applyFont="1" applyFill="1"/>
    <xf numFmtId="0" fontId="13" fillId="6" borderId="3" xfId="4" applyNumberFormat="1" applyFont="1" applyFill="1" applyBorder="1" applyAlignment="1" applyProtection="1">
      <alignment horizontal="left" vertical="center" shrinkToFit="1"/>
      <protection locked="0"/>
    </xf>
    <xf numFmtId="0" fontId="15" fillId="3" borderId="4" xfId="4" applyNumberFormat="1" applyFont="1" applyFill="1" applyBorder="1" applyAlignment="1" applyProtection="1">
      <alignment horizontal="left" vertical="center" indent="1"/>
      <protection locked="0"/>
    </xf>
    <xf numFmtId="0" fontId="15" fillId="3" borderId="3" xfId="4" applyNumberFormat="1" applyFont="1" applyFill="1" applyBorder="1" applyAlignment="1" applyProtection="1">
      <alignment horizontal="left" vertical="center" indent="1"/>
      <protection locked="0"/>
    </xf>
    <xf numFmtId="0" fontId="18" fillId="0" borderId="0" xfId="0" applyFont="1"/>
    <xf numFmtId="0" fontId="0" fillId="0" borderId="0" xfId="0" applyAlignment="1">
      <alignment horizontal="center" vertical="center"/>
    </xf>
    <xf numFmtId="0" fontId="13" fillId="6" borderId="6" xfId="4" applyNumberFormat="1" applyFont="1" applyFill="1" applyBorder="1" applyAlignment="1" applyProtection="1">
      <alignment horizontal="left" vertical="center" shrinkToFit="1"/>
      <protection locked="0"/>
    </xf>
    <xf numFmtId="0" fontId="19" fillId="0" borderId="10" xfId="3" applyFont="1" applyBorder="1" applyAlignment="1">
      <alignment horizontal="left" vertical="center"/>
    </xf>
    <xf numFmtId="0" fontId="17" fillId="0" borderId="10" xfId="3" applyFont="1" applyBorder="1" applyAlignment="1">
      <alignment horizontal="center" vertical="center"/>
    </xf>
    <xf numFmtId="166" fontId="15" fillId="3" borderId="3" xfId="4" applyNumberFormat="1" applyFont="1" applyFill="1" applyBorder="1" applyAlignment="1" applyProtection="1">
      <alignment horizontal="center" vertical="center" shrinkToFit="1"/>
      <protection locked="0"/>
    </xf>
    <xf numFmtId="0" fontId="15" fillId="3" borderId="7" xfId="4" applyNumberFormat="1" applyFont="1" applyFill="1" applyBorder="1" applyAlignment="1" applyProtection="1">
      <alignment horizontal="left" vertical="center" indent="1"/>
      <protection locked="0"/>
    </xf>
    <xf numFmtId="166" fontId="15" fillId="3" borderId="6" xfId="4" applyNumberFormat="1" applyFont="1" applyFill="1" applyBorder="1" applyAlignment="1" applyProtection="1">
      <alignment horizontal="center" vertical="center" shrinkToFit="1"/>
      <protection locked="0"/>
    </xf>
    <xf numFmtId="0" fontId="15" fillId="3" borderId="7" xfId="4" applyNumberFormat="1" applyFont="1" applyFill="1" applyBorder="1" applyAlignment="1" applyProtection="1">
      <alignment horizontal="left" vertical="center" indent="1" shrinkToFit="1"/>
      <protection locked="0"/>
    </xf>
    <xf numFmtId="0" fontId="11" fillId="3" borderId="7" xfId="4" applyNumberFormat="1" applyFont="1" applyFill="1" applyBorder="1" applyAlignment="1" applyProtection="1">
      <alignment horizontal="left" vertical="center" indent="1"/>
      <protection locked="0"/>
    </xf>
    <xf numFmtId="167" fontId="15" fillId="3" borderId="8" xfId="2" applyNumberFormat="1" applyFont="1" applyFill="1" applyBorder="1" applyAlignment="1" applyProtection="1">
      <alignment horizontal="center" vertical="center" shrinkToFit="1"/>
      <protection locked="0"/>
    </xf>
    <xf numFmtId="168" fontId="15" fillId="3" borderId="8" xfId="4" applyNumberFormat="1" applyFont="1" applyFill="1" applyBorder="1" applyAlignment="1" applyProtection="1">
      <alignment horizontal="center" vertical="center" shrinkToFit="1"/>
      <protection locked="0"/>
    </xf>
    <xf numFmtId="167" fontId="15" fillId="3" borderId="2" xfId="2" applyNumberFormat="1" applyFont="1" applyFill="1" applyBorder="1" applyAlignment="1" applyProtection="1">
      <alignment horizontal="center" vertical="center" shrinkToFit="1"/>
      <protection locked="0"/>
    </xf>
    <xf numFmtId="0" fontId="23" fillId="0" borderId="0" xfId="3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171" fontId="15" fillId="3" borderId="6" xfId="4" applyNumberFormat="1" applyFont="1" applyFill="1" applyBorder="1" applyProtection="1">
      <alignment horizontal="center" vertical="center"/>
      <protection locked="0"/>
    </xf>
    <xf numFmtId="0" fontId="24" fillId="7" borderId="0" xfId="0" applyFont="1" applyFill="1"/>
    <xf numFmtId="0" fontId="24" fillId="0" borderId="0" xfId="0" applyFont="1"/>
    <xf numFmtId="0" fontId="25" fillId="5" borderId="0" xfId="0" applyFont="1" applyFill="1" applyAlignment="1">
      <alignment vertical="center"/>
    </xf>
    <xf numFmtId="0" fontId="26" fillId="0" borderId="0" xfId="9"/>
    <xf numFmtId="0" fontId="22" fillId="0" borderId="0" xfId="9" applyFont="1"/>
    <xf numFmtId="0" fontId="22" fillId="0" borderId="0" xfId="9" applyFont="1" applyAlignment="1">
      <alignment horizontal="center"/>
    </xf>
    <xf numFmtId="0" fontId="26" fillId="0" borderId="0" xfId="9" applyAlignment="1">
      <alignment horizontal="right"/>
    </xf>
    <xf numFmtId="164" fontId="3" fillId="0" borderId="0" xfId="12" applyFont="1"/>
    <xf numFmtId="0" fontId="26" fillId="0" borderId="0" xfId="9" applyAlignment="1">
      <alignment horizontal="center"/>
    </xf>
    <xf numFmtId="164" fontId="30" fillId="0" borderId="0" xfId="12" applyFont="1"/>
    <xf numFmtId="164" fontId="26" fillId="0" borderId="0" xfId="12"/>
    <xf numFmtId="164" fontId="3" fillId="0" borderId="0" xfId="12" applyFont="1" applyAlignment="1">
      <alignment horizontal="center"/>
    </xf>
    <xf numFmtId="168" fontId="15" fillId="3" borderId="2" xfId="4" applyNumberFormat="1" applyFont="1" applyFill="1" applyBorder="1" applyAlignment="1" applyProtection="1">
      <alignment horizontal="center" vertical="center" shrinkToFit="1"/>
      <protection locked="0"/>
    </xf>
    <xf numFmtId="0" fontId="15" fillId="3" borderId="7" xfId="4" applyNumberFormat="1" applyFont="1" applyFill="1" applyBorder="1" applyProtection="1">
      <alignment horizontal="center" vertical="center"/>
      <protection locked="0"/>
    </xf>
    <xf numFmtId="164" fontId="26" fillId="0" borderId="0" xfId="12" applyAlignment="1">
      <alignment horizontal="center"/>
    </xf>
    <xf numFmtId="168" fontId="15" fillId="3" borderId="4" xfId="4" applyNumberFormat="1" applyFont="1" applyFill="1" applyBorder="1" applyAlignment="1" applyProtection="1">
      <alignment horizontal="center" vertical="center" shrinkToFit="1"/>
      <protection locked="0"/>
    </xf>
    <xf numFmtId="170" fontId="12" fillId="0" borderId="11" xfId="9" applyNumberFormat="1" applyFont="1" applyBorder="1" applyAlignment="1">
      <alignment horizontal="center" vertical="center"/>
    </xf>
    <xf numFmtId="172" fontId="13" fillId="0" borderId="11" xfId="9" applyNumberFormat="1" applyFont="1" applyBorder="1" applyAlignment="1">
      <alignment horizontal="center" vertical="center"/>
    </xf>
    <xf numFmtId="0" fontId="21" fillId="0" borderId="0" xfId="9" applyFont="1" applyAlignment="1">
      <alignment shrinkToFit="1"/>
    </xf>
    <xf numFmtId="164" fontId="0" fillId="0" borderId="0" xfId="12" applyFont="1" applyAlignment="1">
      <alignment shrinkToFit="1"/>
    </xf>
    <xf numFmtId="173" fontId="29" fillId="9" borderId="0" xfId="9" applyNumberFormat="1" applyFont="1" applyFill="1" applyAlignment="1">
      <alignment horizontal="center" vertical="center"/>
    </xf>
    <xf numFmtId="173" fontId="26" fillId="9" borderId="0" xfId="9" applyNumberFormat="1" applyFill="1" applyAlignment="1">
      <alignment horizontal="center" vertical="center"/>
    </xf>
    <xf numFmtId="173" fontId="30" fillId="0" borderId="0" xfId="12" applyNumberFormat="1" applyFont="1" applyAlignment="1">
      <alignment horizontal="center" vertical="center"/>
    </xf>
    <xf numFmtId="168" fontId="15" fillId="3" borderId="7" xfId="4" applyNumberFormat="1" applyFont="1" applyFill="1" applyBorder="1" applyAlignment="1" applyProtection="1">
      <alignment horizontal="center" vertical="center" shrinkToFit="1"/>
      <protection locked="0"/>
    </xf>
    <xf numFmtId="0" fontId="13" fillId="4" borderId="6" xfId="4" applyNumberFormat="1" applyFont="1" applyFill="1" applyBorder="1" applyProtection="1">
      <alignment horizontal="center" vertical="center"/>
      <protection locked="0"/>
    </xf>
    <xf numFmtId="0" fontId="31" fillId="0" borderId="0" xfId="9" applyFont="1" applyAlignment="1">
      <alignment horizontal="centerContinuous"/>
    </xf>
    <xf numFmtId="0" fontId="32" fillId="0" borderId="0" xfId="9" applyFont="1" applyAlignment="1">
      <alignment horizontal="centerContinuous"/>
    </xf>
    <xf numFmtId="164" fontId="3" fillId="0" borderId="0" xfId="12" applyFont="1" applyAlignment="1">
      <alignment horizontal="right"/>
    </xf>
    <xf numFmtId="170" fontId="15" fillId="3" borderId="14" xfId="9" applyNumberFormat="1" applyFont="1" applyFill="1" applyBorder="1" applyAlignment="1">
      <alignment horizontal="center" vertical="center"/>
    </xf>
    <xf numFmtId="170" fontId="15" fillId="3" borderId="12" xfId="9" applyNumberFormat="1" applyFont="1" applyFill="1" applyBorder="1" applyAlignment="1">
      <alignment horizontal="center" vertical="center"/>
    </xf>
    <xf numFmtId="170" fontId="8" fillId="10" borderId="14" xfId="9" applyNumberFormat="1" applyFont="1" applyFill="1" applyBorder="1" applyAlignment="1">
      <alignment horizontal="right" vertical="center"/>
    </xf>
    <xf numFmtId="170" fontId="8" fillId="10" borderId="12" xfId="9" applyNumberFormat="1" applyFont="1" applyFill="1" applyBorder="1" applyAlignment="1">
      <alignment horizontal="right" vertical="center"/>
    </xf>
    <xf numFmtId="170" fontId="12" fillId="0" borderId="13" xfId="9" applyNumberFormat="1" applyFont="1" applyBorder="1" applyAlignment="1">
      <alignment horizontal="center" vertical="center"/>
    </xf>
    <xf numFmtId="172" fontId="12" fillId="0" borderId="13" xfId="9" applyNumberFormat="1" applyFont="1" applyBorder="1" applyAlignment="1">
      <alignment horizontal="center" vertical="center"/>
    </xf>
    <xf numFmtId="174" fontId="15" fillId="3" borderId="7" xfId="9" applyNumberFormat="1" applyFont="1" applyFill="1" applyBorder="1" applyAlignment="1" applyProtection="1">
      <alignment horizontal="center" vertical="center"/>
      <protection locked="0"/>
    </xf>
    <xf numFmtId="174" fontId="15" fillId="3" borderId="4" xfId="9" applyNumberFormat="1" applyFont="1" applyFill="1" applyBorder="1" applyAlignment="1" applyProtection="1">
      <alignment horizontal="center" vertical="center"/>
      <protection locked="0"/>
    </xf>
    <xf numFmtId="0" fontId="33" fillId="0" borderId="0" xfId="9" applyFont="1" applyAlignment="1">
      <alignment horizontal="centerContinuous" vertical="center"/>
    </xf>
    <xf numFmtId="168" fontId="15" fillId="3" borderId="15" xfId="4" applyNumberFormat="1" applyFont="1" applyFill="1" applyBorder="1" applyAlignment="1" applyProtection="1">
      <alignment horizontal="center" vertical="center" shrinkToFit="1"/>
      <protection locked="0"/>
    </xf>
    <xf numFmtId="171" fontId="15" fillId="3" borderId="16" xfId="4" applyNumberFormat="1" applyFont="1" applyFill="1" applyBorder="1" applyProtection="1">
      <alignment horizontal="center" vertical="center"/>
      <protection locked="0"/>
    </xf>
    <xf numFmtId="0" fontId="36" fillId="5" borderId="0" xfId="0" applyFont="1" applyFill="1" applyAlignment="1">
      <alignment vertical="center"/>
    </xf>
    <xf numFmtId="0" fontId="37" fillId="0" borderId="0" xfId="0" quotePrefix="1" applyFont="1"/>
    <xf numFmtId="0" fontId="25" fillId="5" borderId="0" xfId="0" applyFont="1" applyFill="1" applyAlignment="1">
      <alignment horizontal="left" vertical="center"/>
    </xf>
    <xf numFmtId="0" fontId="0" fillId="9" borderId="0" xfId="0" applyFill="1"/>
    <xf numFmtId="0" fontId="24" fillId="9" borderId="0" xfId="0" applyFont="1" applyFill="1"/>
    <xf numFmtId="0" fontId="0" fillId="9" borderId="0" xfId="0" applyFill="1" applyAlignment="1">
      <alignment horizontal="center"/>
    </xf>
    <xf numFmtId="0" fontId="39" fillId="5" borderId="0" xfId="0" applyFont="1" applyFill="1" applyAlignment="1">
      <alignment vertical="center"/>
    </xf>
    <xf numFmtId="0" fontId="13" fillId="4" borderId="2" xfId="4" applyNumberFormat="1" applyFont="1" applyFill="1" applyBorder="1" applyProtection="1">
      <alignment horizontal="center" vertical="center"/>
      <protection locked="0"/>
    </xf>
    <xf numFmtId="172" fontId="13" fillId="4" borderId="2" xfId="4" applyNumberFormat="1" applyFont="1" applyFill="1" applyBorder="1" applyProtection="1">
      <alignment horizontal="center" vertical="center"/>
      <protection locked="0"/>
    </xf>
    <xf numFmtId="0" fontId="13" fillId="4" borderId="17" xfId="4" applyNumberFormat="1" applyFont="1" applyFill="1" applyBorder="1" applyProtection="1">
      <alignment horizontal="center" vertical="center"/>
      <protection locked="0"/>
    </xf>
    <xf numFmtId="0" fontId="0" fillId="9" borderId="0" xfId="0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168" fontId="0" fillId="9" borderId="0" xfId="0" applyNumberForma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2" fillId="5" borderId="0" xfId="0" applyNumberFormat="1" applyFont="1" applyFill="1" applyAlignment="1">
      <alignment horizontal="center" vertical="center"/>
    </xf>
    <xf numFmtId="2" fontId="13" fillId="4" borderId="2" xfId="4" applyNumberFormat="1" applyFont="1" applyFill="1" applyBorder="1" applyProtection="1">
      <alignment horizontal="center" vertical="center"/>
      <protection locked="0"/>
    </xf>
    <xf numFmtId="175" fontId="13" fillId="11" borderId="8" xfId="2" applyNumberFormat="1" applyFont="1" applyFill="1" applyBorder="1" applyAlignment="1" applyProtection="1">
      <alignment horizontal="center" vertical="center"/>
      <protection locked="0"/>
    </xf>
    <xf numFmtId="2" fontId="13" fillId="4" borderId="8" xfId="4" applyNumberFormat="1" applyFont="1" applyFill="1" applyBorder="1" applyProtection="1">
      <alignment horizontal="center" vertical="center"/>
      <protection locked="0"/>
    </xf>
    <xf numFmtId="167" fontId="13" fillId="11" borderId="18" xfId="2" applyNumberFormat="1" applyFont="1" applyFill="1" applyBorder="1" applyAlignment="1" applyProtection="1">
      <alignment horizontal="center" vertical="center"/>
      <protection locked="0"/>
    </xf>
    <xf numFmtId="167" fontId="19" fillId="11" borderId="18" xfId="2" applyNumberFormat="1" applyFont="1" applyFill="1" applyBorder="1" applyAlignment="1" applyProtection="1">
      <alignment horizontal="center" vertical="center"/>
      <protection locked="0"/>
    </xf>
    <xf numFmtId="0" fontId="13" fillId="4" borderId="8" xfId="4" applyNumberFormat="1" applyFont="1" applyFill="1" applyBorder="1" applyProtection="1">
      <alignment horizontal="center" vertical="center"/>
      <protection locked="0"/>
    </xf>
    <xf numFmtId="172" fontId="13" fillId="4" borderId="8" xfId="4" applyNumberFormat="1" applyFont="1" applyFill="1" applyBorder="1" applyProtection="1">
      <alignment horizontal="center" vertical="center"/>
      <protection locked="0"/>
    </xf>
    <xf numFmtId="0" fontId="17" fillId="0" borderId="10" xfId="3" applyFont="1" applyBorder="1" applyAlignment="1">
      <alignment horizontal="left" vertical="center" indent="1"/>
    </xf>
    <xf numFmtId="0" fontId="20" fillId="0" borderId="10" xfId="3" applyFont="1" applyBorder="1" applyAlignment="1">
      <alignment horizontal="left" vertical="center" indent="1" shrinkToFit="1"/>
    </xf>
    <xf numFmtId="0" fontId="14" fillId="4" borderId="19" xfId="4" applyNumberFormat="1" applyFont="1" applyFill="1" applyBorder="1" applyAlignment="1" applyProtection="1">
      <alignment horizontal="left" vertical="center" indent="1" shrinkToFit="1"/>
      <protection locked="0"/>
    </xf>
    <xf numFmtId="0" fontId="15" fillId="3" borderId="9" xfId="4" applyNumberFormat="1" applyFont="1" applyFill="1" applyBorder="1" applyAlignment="1" applyProtection="1">
      <alignment horizontal="left" vertical="center" indent="1"/>
      <protection locked="0"/>
    </xf>
    <xf numFmtId="0" fontId="15" fillId="3" borderId="5" xfId="4" applyNumberFormat="1" applyFont="1" applyFill="1" applyBorder="1" applyAlignment="1" applyProtection="1">
      <alignment horizontal="left" vertical="center" indent="1"/>
      <protection locked="0"/>
    </xf>
    <xf numFmtId="0" fontId="41" fillId="6" borderId="6" xfId="4" applyNumberFormat="1" applyFont="1" applyFill="1" applyBorder="1" applyAlignment="1" applyProtection="1">
      <alignment horizontal="left" vertical="center" shrinkToFit="1"/>
      <protection locked="0"/>
    </xf>
    <xf numFmtId="0" fontId="41" fillId="6" borderId="3" xfId="4" applyNumberFormat="1" applyFont="1" applyFill="1" applyBorder="1" applyAlignment="1" applyProtection="1">
      <alignment horizontal="left" vertical="center" shrinkToFit="1"/>
      <protection locked="0"/>
    </xf>
    <xf numFmtId="0" fontId="35" fillId="0" borderId="0" xfId="0" applyFont="1" applyAlignment="1">
      <alignment horizontal="centerContinuous"/>
    </xf>
    <xf numFmtId="0" fontId="24" fillId="0" borderId="0" xfId="0" applyFont="1" applyAlignment="1">
      <alignment horizontal="centerContinuous"/>
    </xf>
    <xf numFmtId="0" fontId="34" fillId="10" borderId="0" xfId="0" applyFont="1" applyFill="1" applyAlignment="1">
      <alignment horizontal="center"/>
    </xf>
    <xf numFmtId="173" fontId="19" fillId="11" borderId="17" xfId="2" applyNumberFormat="1" applyFont="1" applyFill="1" applyBorder="1" applyAlignment="1" applyProtection="1">
      <alignment horizontal="center" vertical="center" shrinkToFit="1"/>
      <protection locked="0"/>
    </xf>
    <xf numFmtId="175" fontId="19" fillId="11" borderId="20" xfId="2" applyNumberFormat="1" applyFont="1" applyFill="1" applyBorder="1" applyAlignment="1" applyProtection="1">
      <alignment horizontal="center" vertical="center"/>
      <protection locked="0"/>
    </xf>
    <xf numFmtId="175" fontId="19" fillId="11" borderId="22" xfId="2" applyNumberFormat="1" applyFont="1" applyFill="1" applyBorder="1" applyAlignment="1" applyProtection="1">
      <alignment horizontal="center" vertical="center"/>
      <protection locked="0"/>
    </xf>
    <xf numFmtId="0" fontId="13" fillId="4" borderId="3" xfId="4" applyNumberFormat="1" applyFont="1" applyFill="1" applyBorder="1" applyProtection="1">
      <alignment horizontal="center" vertical="center"/>
      <protection locked="0"/>
    </xf>
    <xf numFmtId="0" fontId="13" fillId="4" borderId="21" xfId="4" applyNumberFormat="1" applyFont="1" applyFill="1" applyBorder="1" applyProtection="1">
      <alignment horizontal="center" vertical="center"/>
      <protection locked="0"/>
    </xf>
    <xf numFmtId="175" fontId="19" fillId="11" borderId="24" xfId="2" applyNumberFormat="1" applyFont="1" applyFill="1" applyBorder="1" applyAlignment="1" applyProtection="1">
      <alignment horizontal="center" vertical="center"/>
      <protection locked="0"/>
    </xf>
    <xf numFmtId="168" fontId="13" fillId="4" borderId="7" xfId="4" applyNumberFormat="1" applyFont="1" applyFill="1" applyBorder="1" applyProtection="1">
      <alignment horizontal="center" vertical="center"/>
      <protection locked="0"/>
    </xf>
    <xf numFmtId="168" fontId="13" fillId="4" borderId="4" xfId="4" applyNumberFormat="1" applyFont="1" applyFill="1" applyBorder="1" applyProtection="1">
      <alignment horizontal="center" vertical="center"/>
      <protection locked="0"/>
    </xf>
    <xf numFmtId="168" fontId="13" fillId="4" borderId="23" xfId="4" applyNumberFormat="1" applyFont="1" applyFill="1" applyBorder="1" applyProtection="1">
      <alignment horizontal="center" vertical="center"/>
      <protection locked="0"/>
    </xf>
    <xf numFmtId="171" fontId="43" fillId="11" borderId="6" xfId="4" applyNumberFormat="1" applyFont="1" applyFill="1" applyBorder="1" applyProtection="1">
      <alignment horizontal="center" vertical="center"/>
      <protection locked="0"/>
    </xf>
    <xf numFmtId="168" fontId="13" fillId="4" borderId="2" xfId="4" applyNumberFormat="1" applyFont="1" applyFill="1" applyBorder="1" applyProtection="1">
      <alignment horizontal="center" vertical="center"/>
      <protection locked="0"/>
    </xf>
    <xf numFmtId="0" fontId="44" fillId="0" borderId="0" xfId="0" applyFont="1" applyAlignment="1">
      <alignment horizontal="left" vertical="center" indent="1"/>
    </xf>
    <xf numFmtId="0" fontId="44" fillId="0" borderId="0" xfId="0" applyFont="1" applyAlignment="1">
      <alignment horizontal="left" vertical="center"/>
    </xf>
    <xf numFmtId="1" fontId="45" fillId="0" borderId="0" xfId="0" applyNumberFormat="1" applyFont="1" applyAlignment="1" applyProtection="1">
      <alignment horizontal="center" vertical="center" shrinkToFit="1"/>
      <protection locked="0"/>
    </xf>
    <xf numFmtId="175" fontId="8" fillId="11" borderId="20" xfId="2" applyNumberFormat="1" applyFont="1" applyFill="1" applyBorder="1" applyAlignment="1" applyProtection="1">
      <alignment horizontal="left" vertical="center"/>
      <protection locked="0"/>
    </xf>
    <xf numFmtId="168" fontId="3" fillId="4" borderId="2" xfId="4" applyNumberFormat="1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/>
    </xf>
    <xf numFmtId="0" fontId="46" fillId="6" borderId="2" xfId="4" applyNumberFormat="1" applyFont="1" applyFill="1" applyBorder="1" applyAlignment="1" applyProtection="1">
      <alignment horizontal="left" vertical="center" indent="1"/>
      <protection locked="0"/>
    </xf>
    <xf numFmtId="168" fontId="3" fillId="12" borderId="2" xfId="4" applyNumberFormat="1" applyFont="1" applyFill="1" applyBorder="1" applyAlignment="1" applyProtection="1">
      <alignment horizontal="left" vertical="center" indent="1"/>
      <protection locked="0"/>
    </xf>
    <xf numFmtId="0" fontId="0" fillId="10" borderId="0" xfId="0" applyFill="1"/>
    <xf numFmtId="0" fontId="0" fillId="10" borderId="9" xfId="0" applyFill="1" applyBorder="1"/>
    <xf numFmtId="175" fontId="8" fillId="10" borderId="24" xfId="2" applyNumberFormat="1" applyFont="1" applyFill="1" applyBorder="1" applyAlignment="1" applyProtection="1">
      <alignment horizontal="left" vertical="center"/>
      <protection locked="0"/>
    </xf>
    <xf numFmtId="168" fontId="8" fillId="12" borderId="2" xfId="4" applyNumberFormat="1" applyFont="1" applyFill="1" applyBorder="1" applyAlignment="1" applyProtection="1">
      <alignment horizontal="left" vertical="center" indent="1"/>
      <protection locked="0"/>
    </xf>
    <xf numFmtId="0" fontId="47" fillId="0" borderId="0" xfId="0" applyFont="1" applyAlignment="1">
      <alignment horizontal="center" vertical="center"/>
    </xf>
    <xf numFmtId="0" fontId="14" fillId="4" borderId="19" xfId="4" applyNumberFormat="1" applyFont="1" applyFill="1" applyBorder="1" applyAlignment="1" applyProtection="1">
      <alignment horizontal="left" vertical="center" indent="1"/>
      <protection locked="0"/>
    </xf>
    <xf numFmtId="0" fontId="15" fillId="3" borderId="25" xfId="4" applyNumberFormat="1" applyFont="1" applyFill="1" applyBorder="1" applyAlignment="1" applyProtection="1">
      <alignment horizontal="left" vertical="center" indent="1"/>
      <protection locked="0"/>
    </xf>
    <xf numFmtId="0" fontId="15" fillId="3" borderId="26" xfId="4" applyNumberFormat="1" applyFont="1" applyFill="1" applyBorder="1" applyAlignment="1" applyProtection="1">
      <alignment horizontal="left" vertical="center" indent="1"/>
      <protection locked="0"/>
    </xf>
    <xf numFmtId="0" fontId="48" fillId="0" borderId="0" xfId="0" applyFont="1" applyAlignment="1">
      <alignment horizontal="center"/>
    </xf>
    <xf numFmtId="0" fontId="19" fillId="0" borderId="10" xfId="3" applyFont="1" applyBorder="1" applyAlignment="1">
      <alignment horizontal="center" vertical="center"/>
    </xf>
    <xf numFmtId="168" fontId="10" fillId="3" borderId="6" xfId="4" applyNumberFormat="1" applyFont="1" applyFill="1" applyBorder="1" applyAlignment="1" applyProtection="1">
      <alignment horizontal="left" vertical="center" indent="1" shrinkToFit="1"/>
      <protection locked="0"/>
    </xf>
    <xf numFmtId="0" fontId="2" fillId="5" borderId="0" xfId="0" applyFont="1" applyFill="1" applyAlignment="1">
      <alignment horizontal="left" vertical="center" indent="1"/>
    </xf>
    <xf numFmtId="0" fontId="19" fillId="0" borderId="10" xfId="3" applyFont="1" applyBorder="1" applyAlignment="1">
      <alignment horizontal="left"/>
    </xf>
    <xf numFmtId="0" fontId="8" fillId="0" borderId="10" xfId="3" applyFont="1" applyBorder="1" applyAlignment="1">
      <alignment horizontal="left"/>
    </xf>
    <xf numFmtId="0" fontId="8" fillId="0" borderId="10" xfId="3" applyFont="1" applyBorder="1" applyAlignment="1">
      <alignment horizontal="center"/>
    </xf>
    <xf numFmtId="0" fontId="20" fillId="0" borderId="10" xfId="3" applyFont="1" applyBorder="1" applyAlignment="1">
      <alignment horizontal="left" shrinkToFit="1"/>
    </xf>
    <xf numFmtId="0" fontId="40" fillId="0" borderId="10" xfId="0" applyFont="1" applyBorder="1" applyAlignment="1">
      <alignment horizontal="left"/>
    </xf>
    <xf numFmtId="0" fontId="17" fillId="0" borderId="10" xfId="3" applyFont="1" applyBorder="1" applyAlignment="1">
      <alignment horizontal="center"/>
    </xf>
    <xf numFmtId="9" fontId="15" fillId="3" borderId="8" xfId="2" applyFont="1" applyFill="1" applyBorder="1" applyAlignment="1" applyProtection="1">
      <alignment horizontal="center" vertical="center" shrinkToFit="1"/>
      <protection locked="0"/>
    </xf>
    <xf numFmtId="9" fontId="15" fillId="3" borderId="2" xfId="2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left" vertical="center" indent="1"/>
    </xf>
    <xf numFmtId="0" fontId="14" fillId="4" borderId="9" xfId="4" applyNumberFormat="1" applyFont="1" applyFill="1" applyBorder="1" applyAlignment="1" applyProtection="1">
      <alignment horizontal="left" vertical="center"/>
      <protection locked="0"/>
    </xf>
    <xf numFmtId="0" fontId="14" fillId="4" borderId="5" xfId="4" applyNumberFormat="1" applyFont="1" applyFill="1" applyBorder="1" applyAlignment="1" applyProtection="1">
      <alignment horizontal="left" vertical="center"/>
      <protection locked="0"/>
    </xf>
    <xf numFmtId="0" fontId="8" fillId="0" borderId="10" xfId="3" applyFont="1" applyBorder="1" applyAlignment="1">
      <alignment horizontal="left" indent="1"/>
    </xf>
    <xf numFmtId="9" fontId="49" fillId="11" borderId="0" xfId="2" applyFont="1" applyFill="1" applyBorder="1" applyAlignment="1" applyProtection="1">
      <alignment horizontal="center" vertical="center" shrinkToFit="1"/>
      <protection locked="0"/>
    </xf>
    <xf numFmtId="176" fontId="13" fillId="4" borderId="7" xfId="4" applyNumberFormat="1" applyFont="1" applyFill="1" applyBorder="1" applyProtection="1">
      <alignment horizontal="center" vertical="center"/>
      <protection locked="0"/>
    </xf>
    <xf numFmtId="176" fontId="13" fillId="4" borderId="4" xfId="4" applyNumberFormat="1" applyFont="1" applyFill="1" applyBorder="1" applyProtection="1">
      <alignment horizontal="center" vertical="center"/>
      <protection locked="0"/>
    </xf>
    <xf numFmtId="173" fontId="15" fillId="3" borderId="6" xfId="4" applyNumberFormat="1" applyFont="1" applyFill="1" applyBorder="1" applyProtection="1">
      <alignment horizontal="center" vertical="center"/>
      <protection locked="0"/>
    </xf>
    <xf numFmtId="0" fontId="50" fillId="13" borderId="10" xfId="0" applyFont="1" applyFill="1" applyBorder="1" applyAlignment="1">
      <alignment horizontal="center" vertical="center"/>
    </xf>
    <xf numFmtId="0" fontId="51" fillId="13" borderId="10" xfId="0" applyFont="1" applyFill="1" applyBorder="1" applyAlignment="1">
      <alignment horizontal="center" vertical="center" wrapText="1"/>
    </xf>
    <xf numFmtId="0" fontId="52" fillId="13" borderId="10" xfId="0" applyFont="1" applyFill="1" applyBorder="1" applyAlignment="1">
      <alignment horizontal="left" vertical="center" indent="1"/>
    </xf>
    <xf numFmtId="0" fontId="52" fillId="13" borderId="10" xfId="0" applyFont="1" applyFill="1" applyBorder="1" applyAlignment="1">
      <alignment horizontal="center" vertical="center" wrapText="1"/>
    </xf>
    <xf numFmtId="0" fontId="36" fillId="9" borderId="0" xfId="0" applyFont="1" applyFill="1" applyAlignment="1">
      <alignment vertical="center"/>
    </xf>
    <xf numFmtId="0" fontId="41" fillId="9" borderId="3" xfId="4" applyNumberFormat="1" applyFont="1" applyFill="1" applyBorder="1" applyAlignment="1" applyProtection="1">
      <alignment horizontal="left" vertical="center" shrinkToFit="1"/>
      <protection locked="0"/>
    </xf>
    <xf numFmtId="0" fontId="15" fillId="3" borderId="4" xfId="4" applyNumberFormat="1" applyFont="1" applyFill="1" applyBorder="1" applyProtection="1">
      <alignment horizontal="center" vertical="center"/>
      <protection locked="0"/>
    </xf>
    <xf numFmtId="168" fontId="15" fillId="3" borderId="6" xfId="4" applyNumberFormat="1" applyFont="1" applyFill="1" applyBorder="1" applyAlignment="1" applyProtection="1">
      <alignment horizontal="center" vertical="center" shrinkToFit="1"/>
      <protection locked="0"/>
    </xf>
    <xf numFmtId="171" fontId="3" fillId="6" borderId="6" xfId="4" applyNumberFormat="1" applyFont="1" applyFill="1" applyBorder="1" applyProtection="1">
      <alignment horizontal="center" vertical="center"/>
      <protection locked="0"/>
    </xf>
    <xf numFmtId="176" fontId="3" fillId="6" borderId="6" xfId="4" applyNumberFormat="1" applyFont="1" applyFill="1" applyBorder="1" applyProtection="1">
      <alignment horizontal="center" vertical="center"/>
      <protection locked="0"/>
    </xf>
    <xf numFmtId="176" fontId="15" fillId="3" borderId="2" xfId="4" applyNumberFormat="1" applyFont="1" applyFill="1" applyBorder="1" applyAlignment="1" applyProtection="1">
      <alignment horizontal="center" vertical="center" shrinkToFit="1"/>
      <protection locked="0"/>
    </xf>
    <xf numFmtId="0" fontId="15" fillId="3" borderId="19" xfId="4" applyNumberFormat="1" applyFont="1" applyFill="1" applyBorder="1" applyAlignment="1" applyProtection="1">
      <alignment horizontal="left" vertical="center" indent="1"/>
      <protection locked="0"/>
    </xf>
    <xf numFmtId="0" fontId="8" fillId="0" borderId="10" xfId="0" applyFont="1" applyBorder="1" applyAlignment="1">
      <alignment horizontal="left" vertical="center" indent="1"/>
    </xf>
    <xf numFmtId="9" fontId="0" fillId="0" borderId="0" xfId="2" applyFont="1" applyAlignment="1">
      <alignment horizontal="center"/>
    </xf>
    <xf numFmtId="0" fontId="50" fillId="13" borderId="10" xfId="0" applyFont="1" applyFill="1" applyBorder="1" applyAlignment="1">
      <alignment horizontal="center" vertical="center" wrapText="1"/>
    </xf>
    <xf numFmtId="0" fontId="22" fillId="0" borderId="0" xfId="9" applyFont="1" applyAlignment="1">
      <alignment horizontal="right" indent="1"/>
    </xf>
    <xf numFmtId="0" fontId="50" fillId="13" borderId="10" xfId="0" applyFont="1" applyFill="1" applyBorder="1" applyAlignment="1">
      <alignment horizontal="right" vertical="center" indent="1"/>
    </xf>
    <xf numFmtId="168" fontId="15" fillId="3" borderId="8" xfId="4" applyNumberFormat="1" applyFont="1" applyFill="1" applyBorder="1" applyAlignment="1" applyProtection="1">
      <alignment horizontal="right" vertical="center" indent="1" shrinkToFit="1"/>
      <protection locked="0"/>
    </xf>
    <xf numFmtId="168" fontId="15" fillId="3" borderId="2" xfId="4" applyNumberFormat="1" applyFont="1" applyFill="1" applyBorder="1" applyAlignment="1" applyProtection="1">
      <alignment horizontal="right" vertical="center" indent="1" shrinkToFit="1"/>
      <protection locked="0"/>
    </xf>
    <xf numFmtId="164" fontId="26" fillId="0" borderId="0" xfId="12" applyAlignment="1">
      <alignment horizontal="right" indent="1"/>
    </xf>
    <xf numFmtId="168" fontId="41" fillId="4" borderId="6" xfId="4" applyNumberFormat="1" applyFont="1" applyFill="1" applyBorder="1" applyAlignment="1" applyProtection="1">
      <alignment horizontal="center" vertical="center" shrinkToFit="1"/>
      <protection locked="0"/>
    </xf>
    <xf numFmtId="0" fontId="13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9" fontId="15" fillId="3" borderId="6" xfId="2" applyFont="1" applyFill="1" applyBorder="1" applyAlignment="1" applyProtection="1">
      <alignment horizontal="center" vertical="center" shrinkToFit="1"/>
      <protection locked="0"/>
    </xf>
    <xf numFmtId="0" fontId="35" fillId="0" borderId="0" xfId="0" applyFont="1"/>
    <xf numFmtId="178" fontId="55" fillId="4" borderId="6" xfId="17" applyNumberFormat="1" applyFont="1" applyFill="1" applyBorder="1" applyAlignment="1" applyProtection="1">
      <alignment horizontal="center" vertical="center"/>
      <protection locked="0"/>
    </xf>
    <xf numFmtId="0" fontId="26" fillId="7" borderId="0" xfId="0" applyFont="1" applyFill="1"/>
    <xf numFmtId="0" fontId="26" fillId="5" borderId="0" xfId="0" applyFont="1" applyFill="1"/>
    <xf numFmtId="0" fontId="26" fillId="0" borderId="0" xfId="0" applyFont="1"/>
    <xf numFmtId="0" fontId="56" fillId="5" borderId="0" xfId="0" applyFont="1" applyFill="1"/>
    <xf numFmtId="0" fontId="57" fillId="5" borderId="0" xfId="0" applyFont="1" applyFill="1"/>
    <xf numFmtId="0" fontId="58" fillId="5" borderId="0" xfId="0" applyFont="1" applyFill="1"/>
    <xf numFmtId="0" fontId="59" fillId="0" borderId="0" xfId="0" applyFont="1"/>
    <xf numFmtId="2" fontId="26" fillId="0" borderId="0" xfId="0" applyNumberFormat="1" applyFont="1"/>
    <xf numFmtId="0" fontId="26" fillId="9" borderId="0" xfId="0" applyFont="1" applyFill="1"/>
    <xf numFmtId="14" fontId="55" fillId="4" borderId="6" xfId="17" applyNumberFormat="1" applyFont="1" applyFill="1" applyBorder="1" applyAlignment="1" applyProtection="1">
      <alignment horizontal="right" vertical="center"/>
      <protection locked="0"/>
    </xf>
    <xf numFmtId="178" fontId="55" fillId="4" borderId="6" xfId="17" applyNumberFormat="1" applyFont="1" applyFill="1" applyBorder="1" applyAlignment="1" applyProtection="1">
      <alignment horizontal="right" vertical="center"/>
      <protection locked="0"/>
    </xf>
    <xf numFmtId="0" fontId="59" fillId="0" borderId="0" xfId="0" applyFont="1" applyAlignment="1">
      <alignment vertical="center"/>
    </xf>
    <xf numFmtId="0" fontId="4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80" fontId="3" fillId="4" borderId="19" xfId="4" applyNumberFormat="1" applyFont="1" applyFill="1" applyBorder="1" applyAlignment="1" applyProtection="1">
      <alignment horizontal="left" vertical="center" indent="1" shrinkToFit="1"/>
      <protection locked="0"/>
    </xf>
    <xf numFmtId="0" fontId="60" fillId="4" borderId="19" xfId="4" applyNumberFormat="1" applyFont="1" applyFill="1" applyBorder="1" applyAlignment="1" applyProtection="1">
      <alignment horizontal="left" vertical="center" indent="1"/>
      <protection locked="0"/>
    </xf>
    <xf numFmtId="168" fontId="3" fillId="4" borderId="19" xfId="17" applyNumberFormat="1" applyFont="1" applyFill="1" applyBorder="1" applyAlignment="1" applyProtection="1">
      <alignment horizontal="center" vertical="center" shrinkToFit="1"/>
      <protection locked="0"/>
    </xf>
    <xf numFmtId="168" fontId="0" fillId="0" borderId="0" xfId="0" applyNumberFormat="1" applyAlignment="1">
      <alignment horizontal="center"/>
    </xf>
    <xf numFmtId="168" fontId="8" fillId="4" borderId="9" xfId="17" applyNumberFormat="1" applyFont="1" applyFill="1" applyBorder="1" applyAlignment="1" applyProtection="1">
      <alignment horizontal="center" vertical="center" shrinkToFit="1"/>
      <protection locked="0"/>
    </xf>
    <xf numFmtId="180" fontId="3" fillId="4" borderId="27" xfId="4" applyNumberFormat="1" applyFont="1" applyFill="1" applyBorder="1" applyAlignment="1" applyProtection="1">
      <alignment horizontal="left" vertical="center" indent="1" shrinkToFit="1"/>
      <protection locked="0"/>
    </xf>
    <xf numFmtId="168" fontId="3" fillId="4" borderId="27" xfId="17" applyNumberFormat="1" applyFont="1" applyFill="1" applyBorder="1" applyAlignment="1" applyProtection="1">
      <alignment horizontal="center" vertical="center" shrinkToFit="1"/>
      <protection locked="0"/>
    </xf>
    <xf numFmtId="180" fontId="8" fillId="4" borderId="9" xfId="4" applyNumberFormat="1" applyFont="1" applyFill="1" applyBorder="1" applyAlignment="1" applyProtection="1">
      <alignment horizontal="left" vertical="center" indent="2" shrinkToFit="1"/>
      <protection locked="0"/>
    </xf>
    <xf numFmtId="168" fontId="35" fillId="0" borderId="0" xfId="0" applyNumberFormat="1" applyFont="1" applyAlignment="1">
      <alignment horizontal="center"/>
    </xf>
    <xf numFmtId="0" fontId="0" fillId="0" borderId="0" xfId="0" applyAlignment="1">
      <alignment horizontal="centerContinuous"/>
    </xf>
    <xf numFmtId="0" fontId="17" fillId="0" borderId="10" xfId="3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168" fontId="3" fillId="4" borderId="6" xfId="4" applyNumberFormat="1" applyFont="1" applyFill="1" applyBorder="1" applyAlignment="1" applyProtection="1">
      <alignment horizontal="center" vertical="center" shrinkToFit="1"/>
      <protection locked="0"/>
    </xf>
    <xf numFmtId="177" fontId="3" fillId="4" borderId="6" xfId="4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left" indent="1"/>
    </xf>
    <xf numFmtId="181" fontId="3" fillId="4" borderId="6" xfId="4" applyNumberFormat="1" applyFont="1" applyFill="1" applyBorder="1" applyAlignment="1" applyProtection="1">
      <alignment horizontal="left" vertical="center" indent="1" shrinkToFit="1"/>
      <protection locked="0"/>
    </xf>
    <xf numFmtId="0" fontId="41" fillId="4" borderId="6" xfId="4" applyNumberFormat="1" applyFont="1" applyFill="1" applyBorder="1" applyAlignment="1" applyProtection="1">
      <alignment horizontal="left" vertical="center" shrinkToFit="1"/>
      <protection locked="0"/>
    </xf>
    <xf numFmtId="0" fontId="41" fillId="4" borderId="3" xfId="4" applyNumberFormat="1" applyFont="1" applyFill="1" applyBorder="1" applyAlignment="1" applyProtection="1">
      <alignment horizontal="left" vertical="center" shrinkToFit="1"/>
      <protection locked="0"/>
    </xf>
    <xf numFmtId="171" fontId="62" fillId="4" borderId="6" xfId="4" applyNumberFormat="1" applyFont="1" applyFill="1" applyBorder="1" applyAlignment="1" applyProtection="1">
      <alignment horizontal="left" vertical="center" indent="1"/>
      <protection locked="0"/>
    </xf>
    <xf numFmtId="176" fontId="62" fillId="4" borderId="6" xfId="4" applyNumberFormat="1" applyFont="1" applyFill="1" applyBorder="1" applyProtection="1">
      <alignment horizontal="center" vertical="center"/>
      <protection locked="0"/>
    </xf>
    <xf numFmtId="173" fontId="11" fillId="3" borderId="6" xfId="4" applyNumberFormat="1" applyFont="1" applyFill="1" applyBorder="1" applyProtection="1">
      <alignment horizontal="center" vertical="center"/>
      <protection locked="0"/>
    </xf>
    <xf numFmtId="168" fontId="11" fillId="3" borderId="8" xfId="4" applyNumberFormat="1" applyFont="1" applyFill="1" applyBorder="1" applyAlignment="1" applyProtection="1">
      <alignment horizontal="center" vertical="center" shrinkToFit="1"/>
      <protection locked="0"/>
    </xf>
    <xf numFmtId="0" fontId="2" fillId="15" borderId="0" xfId="0" applyFont="1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19" fillId="0" borderId="10" xfId="3" applyFont="1" applyBorder="1" applyAlignment="1">
      <alignment horizontal="right" vertical="center"/>
    </xf>
    <xf numFmtId="0" fontId="19" fillId="0" borderId="10" xfId="3" applyFont="1" applyBorder="1" applyAlignment="1">
      <alignment horizontal="centerContinuous" vertical="center"/>
    </xf>
    <xf numFmtId="0" fontId="48" fillId="0" borderId="0" xfId="0" applyFont="1" applyAlignment="1">
      <alignment horizontal="right"/>
    </xf>
    <xf numFmtId="0" fontId="48" fillId="0" borderId="0" xfId="0" applyFont="1" applyAlignment="1">
      <alignment horizontal="left" indent="1"/>
    </xf>
    <xf numFmtId="173" fontId="63" fillId="17" borderId="9" xfId="4" applyNumberFormat="1" applyFont="1" applyFill="1" applyBorder="1" applyAlignment="1" applyProtection="1">
      <alignment horizontal="right" vertical="center" shrinkToFit="1"/>
      <protection locked="0"/>
    </xf>
    <xf numFmtId="176" fontId="63" fillId="17" borderId="8" xfId="4" applyNumberFormat="1" applyFont="1" applyFill="1" applyBorder="1" applyAlignment="1" applyProtection="1">
      <alignment horizontal="right" vertical="center" shrinkToFit="1"/>
      <protection locked="0"/>
    </xf>
    <xf numFmtId="176" fontId="63" fillId="17" borderId="2" xfId="4" applyNumberFormat="1" applyFont="1" applyFill="1" applyBorder="1" applyAlignment="1" applyProtection="1">
      <alignment horizontal="right" vertical="center" shrinkToFit="1"/>
      <protection locked="0"/>
    </xf>
    <xf numFmtId="0" fontId="11" fillId="16" borderId="4" xfId="4" applyNumberFormat="1" applyFont="1" applyFill="1" applyBorder="1" applyAlignment="1" applyProtection="1">
      <alignment horizontal="left" vertical="center" indent="1" shrinkToFit="1"/>
      <protection locked="0"/>
    </xf>
    <xf numFmtId="0" fontId="11" fillId="16" borderId="7" xfId="4" applyNumberFormat="1" applyFont="1" applyFill="1" applyBorder="1" applyAlignment="1" applyProtection="1">
      <alignment horizontal="left" vertical="center" indent="1" shrinkToFit="1"/>
      <protection locked="0"/>
    </xf>
    <xf numFmtId="182" fontId="11" fillId="16" borderId="7" xfId="4" applyNumberFormat="1" applyFont="1" applyFill="1" applyBorder="1" applyAlignment="1" applyProtection="1">
      <alignment horizontal="right" vertical="center" shrinkToFit="1"/>
      <protection locked="0"/>
    </xf>
    <xf numFmtId="168" fontId="11" fillId="16" borderId="8" xfId="4" applyNumberFormat="1" applyFont="1" applyFill="1" applyBorder="1" applyAlignment="1" applyProtection="1">
      <alignment horizontal="right" vertical="center" shrinkToFit="1"/>
      <protection locked="0"/>
    </xf>
    <xf numFmtId="168" fontId="11" fillId="16" borderId="2" xfId="4" applyNumberFormat="1" applyFont="1" applyFill="1" applyBorder="1" applyAlignment="1" applyProtection="1">
      <alignment horizontal="right" vertical="center" shrinkToFit="1"/>
      <protection locked="0"/>
    </xf>
    <xf numFmtId="0" fontId="11" fillId="16" borderId="26" xfId="4" applyNumberFormat="1" applyFont="1" applyFill="1" applyBorder="1" applyAlignment="1" applyProtection="1">
      <alignment horizontal="left" vertical="center" shrinkToFit="1"/>
      <protection locked="0"/>
    </xf>
    <xf numFmtId="0" fontId="11" fillId="16" borderId="6" xfId="4" applyNumberFormat="1" applyFont="1" applyFill="1" applyBorder="1" applyAlignment="1" applyProtection="1">
      <alignment horizontal="left" vertical="center" shrinkToFit="1"/>
      <protection locked="0"/>
    </xf>
    <xf numFmtId="0" fontId="64" fillId="4" borderId="28" xfId="4" applyNumberFormat="1" applyFont="1" applyFill="1" applyBorder="1" applyAlignment="1" applyProtection="1">
      <alignment horizontal="left" vertical="center" indent="2" shrinkToFit="1"/>
      <protection locked="0"/>
    </xf>
    <xf numFmtId="0" fontId="64" fillId="4" borderId="29" xfId="4" applyNumberFormat="1" applyFont="1" applyFill="1" applyBorder="1" applyAlignment="1" applyProtection="1">
      <alignment horizontal="left" vertical="center" indent="2" shrinkToFit="1"/>
      <protection locked="0"/>
    </xf>
    <xf numFmtId="184" fontId="11" fillId="16" borderId="8" xfId="4" applyNumberFormat="1" applyFont="1" applyFill="1" applyBorder="1" applyAlignment="1" applyProtection="1">
      <alignment horizontal="center" vertical="center" shrinkToFit="1"/>
      <protection locked="0"/>
    </xf>
    <xf numFmtId="184" fontId="11" fillId="16" borderId="2" xfId="4" applyNumberFormat="1" applyFont="1" applyFill="1" applyBorder="1" applyAlignment="1" applyProtection="1">
      <alignment horizontal="center" vertical="center" shrinkToFit="1"/>
      <protection locked="0"/>
    </xf>
    <xf numFmtId="169" fontId="11" fillId="16" borderId="7" xfId="4" applyNumberFormat="1" applyFont="1" applyFill="1" applyBorder="1" applyAlignment="1" applyProtection="1">
      <alignment horizontal="center" vertical="center" shrinkToFit="1"/>
      <protection locked="0"/>
    </xf>
    <xf numFmtId="169" fontId="11" fillId="16" borderId="4" xfId="4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vertical="center"/>
    </xf>
    <xf numFmtId="0" fontId="11" fillId="16" borderId="23" xfId="4" applyNumberFormat="1" applyFont="1" applyFill="1" applyBorder="1" applyAlignment="1" applyProtection="1">
      <alignment horizontal="left" vertical="center" indent="1" shrinkToFit="1"/>
      <protection locked="0"/>
    </xf>
    <xf numFmtId="182" fontId="11" fillId="16" borderId="31" xfId="4" applyNumberFormat="1" applyFont="1" applyFill="1" applyBorder="1" applyAlignment="1" applyProtection="1">
      <alignment horizontal="right" vertical="center" shrinkToFit="1"/>
      <protection locked="0"/>
    </xf>
    <xf numFmtId="0" fontId="11" fillId="16" borderId="16" xfId="4" applyNumberFormat="1" applyFont="1" applyFill="1" applyBorder="1" applyAlignment="1" applyProtection="1">
      <alignment horizontal="left" vertical="center" shrinkToFit="1"/>
      <protection locked="0"/>
    </xf>
    <xf numFmtId="184" fontId="11" fillId="16" borderId="17" xfId="4" applyNumberFormat="1" applyFont="1" applyFill="1" applyBorder="1" applyAlignment="1" applyProtection="1">
      <alignment horizontal="center" vertical="center" shrinkToFit="1"/>
      <protection locked="0"/>
    </xf>
    <xf numFmtId="168" fontId="11" fillId="16" borderId="17" xfId="4" applyNumberFormat="1" applyFont="1" applyFill="1" applyBorder="1" applyAlignment="1" applyProtection="1">
      <alignment horizontal="right" vertical="center" shrinkToFit="1"/>
      <protection locked="0"/>
    </xf>
    <xf numFmtId="173" fontId="63" fillId="17" borderId="0" xfId="4" applyNumberFormat="1" applyFont="1" applyFill="1" applyBorder="1" applyAlignment="1" applyProtection="1">
      <alignment horizontal="right" vertical="center" shrinkToFit="1"/>
      <protection locked="0"/>
    </xf>
    <xf numFmtId="176" fontId="63" fillId="17" borderId="17" xfId="4" applyNumberFormat="1" applyFont="1" applyFill="1" applyBorder="1" applyAlignment="1" applyProtection="1">
      <alignment horizontal="right" vertical="center" shrinkToFit="1"/>
      <protection locked="0"/>
    </xf>
    <xf numFmtId="0" fontId="64" fillId="4" borderId="32" xfId="4" applyNumberFormat="1" applyFont="1" applyFill="1" applyBorder="1" applyAlignment="1" applyProtection="1">
      <alignment horizontal="left" vertical="center" indent="2" shrinkToFit="1"/>
      <protection locked="0"/>
    </xf>
    <xf numFmtId="0" fontId="26" fillId="4" borderId="30" xfId="0" applyFont="1" applyFill="1" applyBorder="1" applyAlignment="1">
      <alignment vertical="center"/>
    </xf>
    <xf numFmtId="184" fontId="26" fillId="4" borderId="30" xfId="0" applyNumberFormat="1" applyFont="1" applyFill="1" applyBorder="1" applyAlignment="1">
      <alignment horizontal="center" vertical="center"/>
    </xf>
    <xf numFmtId="168" fontId="26" fillId="4" borderId="30" xfId="0" applyNumberFormat="1" applyFont="1" applyFill="1" applyBorder="1" applyAlignment="1">
      <alignment vertical="center"/>
    </xf>
    <xf numFmtId="173" fontId="26" fillId="4" borderId="30" xfId="0" applyNumberFormat="1" applyFont="1" applyFill="1" applyBorder="1" applyAlignment="1">
      <alignment vertical="center"/>
    </xf>
    <xf numFmtId="183" fontId="26" fillId="4" borderId="30" xfId="0" applyNumberFormat="1" applyFont="1" applyFill="1" applyBorder="1" applyAlignment="1">
      <alignment vertical="center"/>
    </xf>
    <xf numFmtId="14" fontId="0" fillId="0" borderId="0" xfId="0" applyNumberFormat="1" applyAlignment="1">
      <alignment horizontal="left"/>
    </xf>
    <xf numFmtId="168" fontId="0" fillId="0" borderId="0" xfId="0" applyNumberFormat="1" applyAlignment="1">
      <alignment vertical="center"/>
    </xf>
    <xf numFmtId="168" fontId="0" fillId="0" borderId="34" xfId="0" applyNumberFormat="1" applyBorder="1" applyAlignment="1">
      <alignment vertical="center"/>
    </xf>
    <xf numFmtId="0" fontId="65" fillId="18" borderId="35" xfId="0" applyFont="1" applyFill="1" applyBorder="1" applyAlignment="1" applyProtection="1">
      <alignment horizontal="left" vertical="center" shrinkToFit="1"/>
      <protection locked="0"/>
    </xf>
    <xf numFmtId="168" fontId="35" fillId="14" borderId="35" xfId="0" applyNumberFormat="1" applyFont="1" applyFill="1" applyBorder="1" applyAlignment="1">
      <alignment horizontal="center" vertical="center"/>
    </xf>
    <xf numFmtId="168" fontId="35" fillId="14" borderId="35" xfId="0" applyNumberFormat="1" applyFont="1" applyFill="1" applyBorder="1" applyAlignment="1">
      <alignment vertical="center"/>
    </xf>
    <xf numFmtId="176" fontId="61" fillId="14" borderId="35" xfId="0" applyNumberFormat="1" applyFont="1" applyFill="1" applyBorder="1" applyAlignment="1">
      <alignment vertical="center"/>
    </xf>
    <xf numFmtId="176" fontId="61" fillId="0" borderId="0" xfId="0" applyNumberFormat="1" applyFont="1"/>
    <xf numFmtId="0" fontId="19" fillId="0" borderId="10" xfId="3" applyFont="1" applyBorder="1" applyAlignment="1">
      <alignment horizontal="center" vertical="center" wrapText="1"/>
    </xf>
    <xf numFmtId="169" fontId="11" fillId="16" borderId="23" xfId="4" applyNumberFormat="1" applyFont="1" applyFill="1" applyBorder="1" applyAlignment="1" applyProtection="1">
      <alignment horizontal="center" vertical="center" shrinkToFit="1"/>
      <protection locked="0"/>
    </xf>
    <xf numFmtId="0" fontId="26" fillId="4" borderId="30" xfId="0" applyFont="1" applyFill="1" applyBorder="1" applyAlignment="1">
      <alignment horizontal="center" vertical="center"/>
    </xf>
    <xf numFmtId="0" fontId="35" fillId="4" borderId="30" xfId="0" applyFont="1" applyFill="1" applyBorder="1" applyAlignment="1">
      <alignment horizontal="right" vertical="center"/>
    </xf>
    <xf numFmtId="176" fontId="61" fillId="0" borderId="0" xfId="0" applyNumberFormat="1" applyFont="1" applyAlignment="1">
      <alignment vertical="center"/>
    </xf>
    <xf numFmtId="176" fontId="61" fillId="0" borderId="34" xfId="0" applyNumberFormat="1" applyFont="1" applyBorder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right" vertical="center"/>
    </xf>
    <xf numFmtId="0" fontId="66" fillId="0" borderId="33" xfId="0" applyFont="1" applyBorder="1" applyAlignment="1">
      <alignment horizontal="left" vertical="center"/>
    </xf>
    <xf numFmtId="0" fontId="66" fillId="0" borderId="34" xfId="0" applyFont="1" applyBorder="1" applyAlignment="1">
      <alignment horizontal="left" vertical="center"/>
    </xf>
    <xf numFmtId="2" fontId="15" fillId="3" borderId="8" xfId="4" applyNumberFormat="1" applyFont="1" applyFill="1" applyBorder="1" applyAlignment="1" applyProtection="1">
      <alignment horizontal="center" vertical="center" shrinkToFit="1"/>
      <protection locked="0"/>
    </xf>
    <xf numFmtId="0" fontId="67" fillId="0" borderId="0" xfId="18"/>
    <xf numFmtId="0" fontId="68" fillId="0" borderId="0" xfId="18" applyFont="1"/>
    <xf numFmtId="0" fontId="69" fillId="0" borderId="0" xfId="18" applyFont="1" applyAlignment="1">
      <alignment horizontal="center"/>
    </xf>
    <xf numFmtId="0" fontId="70" fillId="0" borderId="0" xfId="18" applyFont="1"/>
    <xf numFmtId="0" fontId="69" fillId="0" borderId="0" xfId="18" applyFont="1"/>
    <xf numFmtId="0" fontId="67" fillId="0" borderId="0" xfId="18" applyAlignment="1">
      <alignment horizontal="left"/>
    </xf>
    <xf numFmtId="0" fontId="67" fillId="19" borderId="0" xfId="18" applyFill="1"/>
    <xf numFmtId="0" fontId="77" fillId="0" borderId="0" xfId="18" applyFont="1"/>
    <xf numFmtId="0" fontId="78" fillId="0" borderId="0" xfId="18" applyFont="1"/>
    <xf numFmtId="0" fontId="16" fillId="12" borderId="0" xfId="18" applyFont="1" applyFill="1"/>
    <xf numFmtId="43" fontId="76" fillId="21" borderId="11" xfId="17" applyFont="1" applyFill="1" applyBorder="1" applyAlignment="1">
      <alignment horizontal="right" vertical="center" indent="1"/>
    </xf>
    <xf numFmtId="1" fontId="71" fillId="21" borderId="11" xfId="17" applyNumberFormat="1" applyFont="1" applyFill="1" applyBorder="1" applyAlignment="1">
      <alignment horizontal="center" vertical="center"/>
    </xf>
    <xf numFmtId="1" fontId="71" fillId="21" borderId="37" xfId="17" applyNumberFormat="1" applyFont="1" applyFill="1" applyBorder="1" applyAlignment="1">
      <alignment horizontal="center" vertical="center"/>
    </xf>
    <xf numFmtId="0" fontId="75" fillId="20" borderId="38" xfId="18" applyFont="1" applyFill="1" applyBorder="1" applyAlignment="1">
      <alignment horizontal="left" vertical="center" indent="1"/>
    </xf>
    <xf numFmtId="0" fontId="16" fillId="4" borderId="11" xfId="18" applyFont="1" applyFill="1" applyBorder="1" applyAlignment="1">
      <alignment horizontal="left" vertical="center" indent="1"/>
    </xf>
    <xf numFmtId="0" fontId="75" fillId="20" borderId="40" xfId="18" applyFont="1" applyFill="1" applyBorder="1" applyAlignment="1">
      <alignment horizontal="left" vertical="center" indent="1"/>
    </xf>
    <xf numFmtId="0" fontId="39" fillId="5" borderId="39" xfId="18" applyFont="1" applyFill="1" applyBorder="1" applyAlignment="1">
      <alignment horizontal="left" vertical="center" wrapText="1" indent="1"/>
    </xf>
    <xf numFmtId="185" fontId="39" fillId="5" borderId="36" xfId="18" applyNumberFormat="1" applyFont="1" applyFill="1" applyBorder="1" applyAlignment="1">
      <alignment horizontal="centerContinuous" vertical="center"/>
    </xf>
    <xf numFmtId="178" fontId="76" fillId="21" borderId="11" xfId="17" applyNumberFormat="1" applyFont="1" applyFill="1" applyBorder="1" applyAlignment="1">
      <alignment horizontal="right" vertical="center" indent="1"/>
    </xf>
    <xf numFmtId="0" fontId="79" fillId="4" borderId="11" xfId="18" applyFont="1" applyFill="1" applyBorder="1" applyAlignment="1">
      <alignment horizontal="center" vertical="center"/>
    </xf>
    <xf numFmtId="0" fontId="74" fillId="0" borderId="0" xfId="18" applyFont="1" applyAlignment="1">
      <alignment horizontal="left" vertical="center" indent="1"/>
    </xf>
    <xf numFmtId="0" fontId="72" fillId="0" borderId="0" xfId="18" applyFont="1"/>
    <xf numFmtId="0" fontId="16" fillId="0" borderId="0" xfId="18" applyFont="1"/>
    <xf numFmtId="0" fontId="16" fillId="0" borderId="0" xfId="18" applyFont="1" applyAlignment="1">
      <alignment horizontal="center"/>
    </xf>
    <xf numFmtId="178" fontId="72" fillId="14" borderId="12" xfId="17" applyNumberFormat="1" applyFont="1" applyFill="1" applyBorder="1" applyAlignment="1">
      <alignment horizontal="right" vertical="center" indent="1"/>
    </xf>
    <xf numFmtId="0" fontId="1" fillId="0" borderId="0" xfId="18" applyFont="1"/>
    <xf numFmtId="0" fontId="67" fillId="0" borderId="0" xfId="18" applyAlignment="1">
      <alignment horizontal="center"/>
    </xf>
    <xf numFmtId="185" fontId="36" fillId="5" borderId="36" xfId="18" applyNumberFormat="1" applyFont="1" applyFill="1" applyBorder="1" applyAlignment="1">
      <alignment horizontal="center" vertical="center" wrapText="1"/>
    </xf>
    <xf numFmtId="0" fontId="39" fillId="5" borderId="41" xfId="18" applyFont="1" applyFill="1" applyBorder="1" applyAlignment="1">
      <alignment horizontal="left" vertical="center" wrapText="1" indent="1"/>
    </xf>
    <xf numFmtId="0" fontId="72" fillId="0" borderId="0" xfId="18" applyFont="1" applyAlignment="1">
      <alignment horizontal="right"/>
    </xf>
    <xf numFmtId="0" fontId="16" fillId="4" borderId="42" xfId="18" applyFont="1" applyFill="1" applyBorder="1" applyAlignment="1">
      <alignment horizontal="left" vertical="center" indent="1"/>
    </xf>
    <xf numFmtId="178" fontId="16" fillId="21" borderId="42" xfId="17" applyNumberFormat="1" applyFont="1" applyFill="1" applyBorder="1" applyAlignment="1">
      <alignment horizontal="right" vertical="center" indent="1"/>
    </xf>
    <xf numFmtId="178" fontId="72" fillId="14" borderId="43" xfId="17" applyNumberFormat="1" applyFont="1" applyFill="1" applyBorder="1" applyAlignment="1">
      <alignment horizontal="right" vertical="center" indent="1"/>
    </xf>
    <xf numFmtId="0" fontId="16" fillId="4" borderId="45" xfId="18" applyFont="1" applyFill="1" applyBorder="1" applyAlignment="1">
      <alignment horizontal="left" vertical="center" indent="1"/>
    </xf>
    <xf numFmtId="43" fontId="76" fillId="21" borderId="45" xfId="17" applyFont="1" applyFill="1" applyBorder="1" applyAlignment="1">
      <alignment horizontal="right" vertical="center" indent="1"/>
    </xf>
    <xf numFmtId="178" fontId="72" fillId="14" borderId="44" xfId="17" applyNumberFormat="1" applyFont="1" applyFill="1" applyBorder="1" applyAlignment="1">
      <alignment horizontal="right" vertical="center" indent="1"/>
    </xf>
    <xf numFmtId="0" fontId="32" fillId="0" borderId="0" xfId="9" applyFont="1" applyAlignment="1">
      <alignment horizontal="center"/>
    </xf>
    <xf numFmtId="0" fontId="2" fillId="15" borderId="0" xfId="0" applyFont="1" applyFill="1" applyAlignment="1">
      <alignment horizontal="centerContinuous" vertical="center"/>
    </xf>
    <xf numFmtId="179" fontId="39" fillId="5" borderId="39" xfId="18" applyNumberFormat="1" applyFont="1" applyFill="1" applyBorder="1" applyAlignment="1">
      <alignment horizontal="left" vertical="center" wrapText="1" indent="1"/>
    </xf>
    <xf numFmtId="0" fontId="75" fillId="0" borderId="0" xfId="0" applyFont="1" applyAlignment="1">
      <alignment horizontal="center"/>
    </xf>
    <xf numFmtId="177" fontId="3" fillId="4" borderId="9" xfId="4" applyNumberFormat="1" applyFont="1" applyFill="1" applyBorder="1" applyAlignment="1" applyProtection="1">
      <alignment horizontal="center" vertical="center" shrinkToFit="1"/>
      <protection locked="0"/>
    </xf>
    <xf numFmtId="186" fontId="11" fillId="3" borderId="8" xfId="4" applyNumberFormat="1" applyFont="1" applyFill="1" applyBorder="1" applyAlignment="1" applyProtection="1">
      <alignment horizontal="center" vertical="center" shrinkToFit="1"/>
      <protection locked="0"/>
    </xf>
    <xf numFmtId="185" fontId="39" fillId="5" borderId="46" xfId="18" applyNumberFormat="1" applyFont="1" applyFill="1" applyBorder="1" applyAlignment="1">
      <alignment horizontal="centerContinuous" vertical="center"/>
    </xf>
    <xf numFmtId="185" fontId="39" fillId="5" borderId="47" xfId="18" applyNumberFormat="1" applyFont="1" applyFill="1" applyBorder="1" applyAlignment="1">
      <alignment horizontal="centerContinuous" vertical="center"/>
    </xf>
    <xf numFmtId="179" fontId="53" fillId="5" borderId="46" xfId="18" applyNumberFormat="1" applyFont="1" applyFill="1" applyBorder="1" applyAlignment="1">
      <alignment vertical="center"/>
    </xf>
    <xf numFmtId="185" fontId="39" fillId="5" borderId="46" xfId="18" applyNumberFormat="1" applyFont="1" applyFill="1" applyBorder="1" applyAlignment="1">
      <alignment horizontal="left" vertical="center"/>
    </xf>
    <xf numFmtId="177" fontId="3" fillId="0" borderId="9" xfId="4" applyNumberFormat="1" applyFont="1" applyFill="1" applyBorder="1" applyAlignment="1" applyProtection="1">
      <alignment horizontal="center" vertical="center" shrinkToFit="1"/>
      <protection locked="0"/>
    </xf>
    <xf numFmtId="177" fontId="3" fillId="0" borderId="6" xfId="4" applyNumberFormat="1" applyFont="1" applyFill="1" applyBorder="1" applyAlignment="1" applyProtection="1">
      <alignment horizontal="center" vertical="center" shrinkToFit="1"/>
      <protection locked="0"/>
    </xf>
    <xf numFmtId="177" fontId="12" fillId="4" borderId="7" xfId="4" applyNumberFormat="1" applyFont="1" applyFill="1" applyBorder="1" applyAlignment="1" applyProtection="1">
      <alignment horizontal="left" vertical="center" indent="2"/>
      <protection locked="0"/>
    </xf>
    <xf numFmtId="177" fontId="8" fillId="4" borderId="9" xfId="4" applyNumberFormat="1" applyFont="1" applyFill="1" applyBorder="1" applyAlignment="1" applyProtection="1">
      <alignment horizontal="center" vertical="center" shrinkToFit="1"/>
      <protection locked="0"/>
    </xf>
    <xf numFmtId="179" fontId="80" fillId="5" borderId="46" xfId="18" applyNumberFormat="1" applyFont="1" applyFill="1" applyBorder="1" applyAlignment="1">
      <alignment horizontal="centerContinuous" vertical="center"/>
    </xf>
    <xf numFmtId="0" fontId="16" fillId="0" borderId="0" xfId="18" applyFont="1" applyAlignment="1">
      <alignment horizontal="center" vertical="center"/>
    </xf>
    <xf numFmtId="0" fontId="39" fillId="5" borderId="41" xfId="18" applyFont="1" applyFill="1" applyBorder="1" applyAlignment="1">
      <alignment horizontal="left" vertical="center" wrapText="1"/>
    </xf>
    <xf numFmtId="0" fontId="16" fillId="0" borderId="0" xfId="18" applyFont="1" applyAlignment="1">
      <alignment vertical="center"/>
    </xf>
    <xf numFmtId="0" fontId="1" fillId="0" borderId="0" xfId="18" applyFont="1" applyAlignment="1">
      <alignment vertical="center"/>
    </xf>
    <xf numFmtId="0" fontId="70" fillId="0" borderId="0" xfId="18" applyFont="1" applyAlignment="1">
      <alignment vertical="center"/>
    </xf>
    <xf numFmtId="177" fontId="12" fillId="4" borderId="7" xfId="4" applyNumberFormat="1" applyFont="1" applyFill="1" applyBorder="1" applyAlignment="1" applyProtection="1">
      <alignment horizontal="left" vertical="center"/>
      <protection locked="0"/>
    </xf>
    <xf numFmtId="0" fontId="26" fillId="0" borderId="0" xfId="9" applyAlignment="1">
      <alignment vertical="center"/>
    </xf>
    <xf numFmtId="185" fontId="36" fillId="5" borderId="49" xfId="18" applyNumberFormat="1" applyFont="1" applyFill="1" applyBorder="1" applyAlignment="1">
      <alignment horizontal="center" vertical="center" wrapText="1"/>
    </xf>
    <xf numFmtId="0" fontId="2" fillId="15" borderId="51" xfId="0" applyFont="1" applyFill="1" applyBorder="1" applyAlignment="1">
      <alignment horizontal="centerContinuous" vertical="center"/>
    </xf>
    <xf numFmtId="0" fontId="2" fillId="15" borderId="52" xfId="0" applyFont="1" applyFill="1" applyBorder="1" applyAlignment="1">
      <alignment horizontal="centerContinuous" vertical="center"/>
    </xf>
    <xf numFmtId="0" fontId="36" fillId="22" borderId="0" xfId="0" applyFont="1" applyFill="1" applyAlignment="1">
      <alignment vertical="center"/>
    </xf>
    <xf numFmtId="179" fontId="54" fillId="15" borderId="51" xfId="0" applyNumberFormat="1" applyFont="1" applyFill="1" applyBorder="1" applyAlignment="1">
      <alignment vertical="center"/>
    </xf>
    <xf numFmtId="179" fontId="2" fillId="5" borderId="0" xfId="0" applyNumberFormat="1" applyFont="1" applyFill="1" applyAlignment="1">
      <alignment vertical="center"/>
    </xf>
    <xf numFmtId="178" fontId="76" fillId="21" borderId="45" xfId="17" applyNumberFormat="1" applyFont="1" applyFill="1" applyBorder="1" applyAlignment="1">
      <alignment horizontal="right" vertical="center" indent="1"/>
    </xf>
    <xf numFmtId="0" fontId="54" fillId="5" borderId="0" xfId="0" applyFont="1" applyFill="1" applyAlignment="1">
      <alignment vertical="center"/>
    </xf>
    <xf numFmtId="173" fontId="3" fillId="6" borderId="17" xfId="2" quotePrefix="1" applyNumberFormat="1" applyFont="1" applyFill="1" applyBorder="1" applyAlignment="1" applyProtection="1">
      <alignment horizontal="right" vertical="center" shrinkToFit="1"/>
      <protection locked="0"/>
    </xf>
    <xf numFmtId="187" fontId="61" fillId="23" borderId="17" xfId="0" applyNumberFormat="1" applyFont="1" applyFill="1" applyBorder="1" applyAlignment="1">
      <alignment horizontal="right" vertical="center"/>
    </xf>
    <xf numFmtId="168" fontId="40" fillId="23" borderId="17" xfId="0" applyNumberFormat="1" applyFont="1" applyFill="1" applyBorder="1" applyAlignment="1">
      <alignment horizontal="right"/>
    </xf>
    <xf numFmtId="190" fontId="24" fillId="23" borderId="8" xfId="0" applyNumberFormat="1" applyFont="1" applyFill="1" applyBorder="1" applyAlignment="1">
      <alignment horizontal="right"/>
    </xf>
    <xf numFmtId="173" fontId="3" fillId="24" borderId="17" xfId="2" quotePrefix="1" applyNumberFormat="1" applyFont="1" applyFill="1" applyBorder="1" applyAlignment="1" applyProtection="1">
      <alignment horizontal="right" vertical="center" shrinkToFit="1"/>
      <protection locked="0"/>
    </xf>
    <xf numFmtId="185" fontId="75" fillId="24" borderId="2" xfId="0" applyNumberFormat="1" applyFont="1" applyFill="1" applyBorder="1" applyAlignment="1">
      <alignment horizontal="right" vertical="center"/>
    </xf>
    <xf numFmtId="187" fontId="61" fillId="24" borderId="17" xfId="0" applyNumberFormat="1" applyFont="1" applyFill="1" applyBorder="1" applyAlignment="1">
      <alignment horizontal="right" vertical="center"/>
    </xf>
    <xf numFmtId="168" fontId="40" fillId="24" borderId="17" xfId="0" applyNumberFormat="1" applyFont="1" applyFill="1" applyBorder="1" applyAlignment="1">
      <alignment horizontal="right"/>
    </xf>
    <xf numFmtId="190" fontId="24" fillId="24" borderId="8" xfId="0" applyNumberFormat="1" applyFont="1" applyFill="1" applyBorder="1" applyAlignment="1">
      <alignment horizontal="right"/>
    </xf>
    <xf numFmtId="189" fontId="61" fillId="23" borderId="15" xfId="0" applyNumberFormat="1" applyFont="1" applyFill="1" applyBorder="1" applyAlignment="1">
      <alignment horizontal="right" vertical="center"/>
    </xf>
    <xf numFmtId="188" fontId="61" fillId="23" borderId="8" xfId="0" applyNumberFormat="1" applyFont="1" applyFill="1" applyBorder="1" applyAlignment="1">
      <alignment horizontal="right" vertical="center"/>
    </xf>
    <xf numFmtId="188" fontId="61" fillId="24" borderId="15" xfId="0" applyNumberFormat="1" applyFont="1" applyFill="1" applyBorder="1" applyAlignment="1">
      <alignment horizontal="right" vertical="center"/>
    </xf>
    <xf numFmtId="189" fontId="61" fillId="24" borderId="15" xfId="0" applyNumberFormat="1" applyFont="1" applyFill="1" applyBorder="1" applyAlignment="1">
      <alignment horizontal="right" vertical="center"/>
    </xf>
    <xf numFmtId="191" fontId="75" fillId="23" borderId="2" xfId="0" applyNumberFormat="1" applyFont="1" applyFill="1" applyBorder="1" applyAlignment="1">
      <alignment horizontal="right" vertical="center"/>
    </xf>
    <xf numFmtId="185" fontId="35" fillId="23" borderId="2" xfId="0" applyNumberFormat="1" applyFont="1" applyFill="1" applyBorder="1" applyAlignment="1">
      <alignment horizontal="right" vertical="center"/>
    </xf>
    <xf numFmtId="185" fontId="35" fillId="24" borderId="2" xfId="0" applyNumberFormat="1" applyFont="1" applyFill="1" applyBorder="1" applyAlignment="1">
      <alignment horizontal="right" vertical="center"/>
    </xf>
    <xf numFmtId="191" fontId="0" fillId="0" borderId="0" xfId="0" applyNumberFormat="1" applyAlignment="1">
      <alignment horizontal="left" indent="1"/>
    </xf>
    <xf numFmtId="168" fontId="8" fillId="4" borderId="6" xfId="4" applyNumberFormat="1" applyFont="1" applyFill="1" applyBorder="1" applyAlignment="1" applyProtection="1">
      <alignment horizontal="center" vertical="center" shrinkToFit="1"/>
      <protection locked="0"/>
    </xf>
    <xf numFmtId="0" fontId="75" fillId="20" borderId="12" xfId="18" applyFont="1" applyFill="1" applyBorder="1" applyAlignment="1">
      <alignment horizontal="left" vertical="center" indent="1"/>
    </xf>
    <xf numFmtId="0" fontId="72" fillId="4" borderId="42" xfId="18" applyFont="1" applyFill="1" applyBorder="1" applyAlignment="1">
      <alignment horizontal="right" vertical="center" indent="1"/>
    </xf>
    <xf numFmtId="172" fontId="11" fillId="3" borderId="8" xfId="4" applyNumberFormat="1" applyFont="1" applyFill="1" applyBorder="1" applyAlignment="1" applyProtection="1">
      <alignment horizontal="center" vertical="center" shrinkToFit="1"/>
      <protection locked="0"/>
    </xf>
    <xf numFmtId="172" fontId="15" fillId="3" borderId="6" xfId="2" applyNumberFormat="1" applyFont="1" applyFill="1" applyBorder="1" applyAlignment="1" applyProtection="1">
      <alignment horizontal="center" vertical="center" shrinkToFit="1"/>
      <protection locked="0"/>
    </xf>
    <xf numFmtId="172" fontId="0" fillId="0" borderId="0" xfId="0" applyNumberFormat="1"/>
    <xf numFmtId="0" fontId="40" fillId="0" borderId="0" xfId="0" applyFont="1" applyAlignment="1">
      <alignment horizontal="centerContinuous"/>
    </xf>
    <xf numFmtId="168" fontId="13" fillId="4" borderId="6" xfId="4" applyNumberFormat="1" applyFont="1" applyFill="1" applyBorder="1" applyAlignment="1" applyProtection="1">
      <alignment horizontal="center" vertical="center" shrinkToFit="1"/>
      <protection locked="0"/>
    </xf>
    <xf numFmtId="172" fontId="13" fillId="4" borderId="6" xfId="4" applyNumberFormat="1" applyFont="1" applyFill="1" applyBorder="1" applyAlignment="1" applyProtection="1">
      <alignment horizontal="center" vertical="center" shrinkToFit="1"/>
      <protection locked="0"/>
    </xf>
    <xf numFmtId="0" fontId="48" fillId="0" borderId="0" xfId="0" applyFont="1" applyAlignment="1">
      <alignment horizontal="centerContinuous"/>
    </xf>
    <xf numFmtId="168" fontId="3" fillId="4" borderId="6" xfId="4" applyNumberFormat="1" applyFont="1" applyFill="1" applyBorder="1" applyAlignment="1" applyProtection="1">
      <alignment horizontal="right" vertical="center" shrinkToFit="1"/>
      <protection locked="0"/>
    </xf>
    <xf numFmtId="168" fontId="8" fillId="4" borderId="6" xfId="4" applyNumberFormat="1" applyFont="1" applyFill="1" applyBorder="1" applyAlignment="1" applyProtection="1">
      <alignment horizontal="right" vertical="center" shrinkToFit="1"/>
      <protection locked="0"/>
    </xf>
    <xf numFmtId="0" fontId="26" fillId="25" borderId="0" xfId="26" applyFont="1" applyFill="1"/>
    <xf numFmtId="41" fontId="5" fillId="0" borderId="0" xfId="6"/>
    <xf numFmtId="0" fontId="81" fillId="25" borderId="53" xfId="26" applyFont="1" applyFill="1" applyBorder="1" applyAlignment="1">
      <alignment horizontal="left" indent="1"/>
    </xf>
    <xf numFmtId="0" fontId="26" fillId="25" borderId="54" xfId="26" applyFont="1" applyFill="1" applyBorder="1"/>
    <xf numFmtId="0" fontId="82" fillId="25" borderId="55" xfId="26" applyFont="1" applyFill="1" applyBorder="1" applyAlignment="1">
      <alignment horizontal="left" vertical="center" indent="2"/>
    </xf>
    <xf numFmtId="0" fontId="26" fillId="25" borderId="56" xfId="26" applyFont="1" applyFill="1" applyBorder="1" applyAlignment="1">
      <alignment horizontal="left" vertical="center" indent="1"/>
    </xf>
    <xf numFmtId="0" fontId="26" fillId="26" borderId="0" xfId="26" applyFont="1" applyFill="1"/>
    <xf numFmtId="41" fontId="5" fillId="27" borderId="0" xfId="6" applyFill="1"/>
    <xf numFmtId="0" fontId="85" fillId="2" borderId="58" xfId="3" applyFont="1" applyFill="1" applyBorder="1" applyAlignment="1">
      <alignment horizontal="left" vertical="center"/>
    </xf>
    <xf numFmtId="0" fontId="3" fillId="2" borderId="59" xfId="3" applyFont="1" applyFill="1" applyBorder="1"/>
    <xf numFmtId="0" fontId="3" fillId="27" borderId="0" xfId="3" applyFont="1" applyFill="1"/>
    <xf numFmtId="41" fontId="8" fillId="27" borderId="0" xfId="1" applyFont="1" applyFill="1"/>
    <xf numFmtId="0" fontId="85" fillId="2" borderId="61" xfId="3" applyFont="1" applyFill="1" applyBorder="1" applyAlignment="1">
      <alignment horizontal="left" vertical="center"/>
    </xf>
    <xf numFmtId="0" fontId="3" fillId="2" borderId="62" xfId="3" applyFont="1" applyFill="1" applyBorder="1"/>
    <xf numFmtId="41" fontId="87" fillId="27" borderId="0" xfId="1" applyFont="1" applyFill="1"/>
    <xf numFmtId="0" fontId="88" fillId="28" borderId="63" xfId="3" applyFont="1" applyFill="1" applyBorder="1" applyAlignment="1">
      <alignment horizontal="left" indent="1"/>
    </xf>
    <xf numFmtId="0" fontId="89" fillId="28" borderId="0" xfId="3" applyFont="1" applyFill="1" applyAlignment="1">
      <alignment vertical="top"/>
    </xf>
    <xf numFmtId="0" fontId="90" fillId="28" borderId="0" xfId="3" applyFont="1" applyFill="1" applyAlignment="1">
      <alignment vertical="top"/>
    </xf>
    <xf numFmtId="0" fontId="89" fillId="28" borderId="64" xfId="3" applyFont="1" applyFill="1" applyBorder="1" applyAlignment="1">
      <alignment vertical="top"/>
    </xf>
    <xf numFmtId="0" fontId="3" fillId="28" borderId="0" xfId="3" applyFont="1" applyFill="1"/>
    <xf numFmtId="0" fontId="91" fillId="28" borderId="63" xfId="3" applyFont="1" applyFill="1" applyBorder="1"/>
    <xf numFmtId="0" fontId="92" fillId="28" borderId="63" xfId="3" applyFont="1" applyFill="1" applyBorder="1" applyAlignment="1">
      <alignment horizontal="left" indent="2"/>
    </xf>
    <xf numFmtId="0" fontId="93" fillId="28" borderId="0" xfId="3" applyFont="1" applyFill="1" applyAlignment="1">
      <alignment horizontal="left" vertical="center"/>
    </xf>
    <xf numFmtId="0" fontId="94" fillId="28" borderId="0" xfId="3" applyFont="1" applyFill="1" applyAlignment="1">
      <alignment horizontal="left" vertical="center"/>
    </xf>
    <xf numFmtId="0" fontId="93" fillId="28" borderId="64" xfId="3" applyFont="1" applyFill="1" applyBorder="1" applyAlignment="1">
      <alignment horizontal="left" vertical="center"/>
    </xf>
    <xf numFmtId="0" fontId="92" fillId="28" borderId="63" xfId="3" applyFont="1" applyFill="1" applyBorder="1" applyAlignment="1">
      <alignment horizontal="left" indent="1"/>
    </xf>
    <xf numFmtId="0" fontId="95" fillId="28" borderId="63" xfId="3" applyFont="1" applyFill="1" applyBorder="1" applyAlignment="1">
      <alignment horizontal="left" indent="3"/>
    </xf>
    <xf numFmtId="192" fontId="6" fillId="2" borderId="1" xfId="4" applyNumberFormat="1" applyFont="1" applyProtection="1">
      <alignment horizontal="center" vertical="center"/>
      <protection locked="0"/>
    </xf>
    <xf numFmtId="165" fontId="96" fillId="29" borderId="65" xfId="5" applyFont="1" applyFill="1" applyBorder="1" applyAlignment="1" applyProtection="1">
      <alignment vertical="center"/>
      <protection locked="0"/>
    </xf>
    <xf numFmtId="0" fontId="95" fillId="28" borderId="63" xfId="3" applyFont="1" applyFill="1" applyBorder="1" applyAlignment="1">
      <alignment horizontal="left" indent="2"/>
    </xf>
    <xf numFmtId="192" fontId="6" fillId="2" borderId="1" xfId="27" applyNumberFormat="1" applyFont="1" applyFill="1" applyBorder="1" applyAlignment="1" applyProtection="1">
      <alignment horizontal="center" vertical="center"/>
      <protection locked="0"/>
    </xf>
    <xf numFmtId="165" fontId="96" fillId="29" borderId="66" xfId="5" applyFont="1" applyFill="1" applyBorder="1" applyAlignment="1" applyProtection="1">
      <alignment vertical="center"/>
      <protection locked="0"/>
    </xf>
    <xf numFmtId="193" fontId="6" fillId="2" borderId="1" xfId="27" applyNumberFormat="1" applyFont="1" applyFill="1" applyBorder="1" applyAlignment="1" applyProtection="1">
      <alignment horizontal="center" vertical="center"/>
      <protection locked="0"/>
    </xf>
    <xf numFmtId="9" fontId="6" fillId="2" borderId="1" xfId="27" applyFont="1" applyFill="1" applyBorder="1" applyAlignment="1" applyProtection="1">
      <alignment horizontal="center" vertical="center"/>
      <protection locked="0"/>
    </xf>
    <xf numFmtId="164" fontId="6" fillId="2" borderId="1" xfId="4" applyFont="1" applyProtection="1">
      <alignment horizontal="center" vertical="center"/>
      <protection locked="0"/>
    </xf>
    <xf numFmtId="0" fontId="97" fillId="28" borderId="63" xfId="3" applyFont="1" applyFill="1" applyBorder="1" applyAlignment="1">
      <alignment horizontal="left" indent="4"/>
    </xf>
    <xf numFmtId="164" fontId="98" fillId="30" borderId="67" xfId="6" applyNumberFormat="1" applyFont="1" applyFill="1" applyBorder="1" applyAlignment="1">
      <alignment horizontal="center" vertical="center"/>
    </xf>
    <xf numFmtId="0" fontId="93" fillId="28" borderId="0" xfId="3" applyFont="1" applyFill="1" applyAlignment="1">
      <alignment horizontal="left" vertical="center" indent="2"/>
    </xf>
    <xf numFmtId="164" fontId="99" fillId="30" borderId="67" xfId="6" applyNumberFormat="1" applyFont="1" applyFill="1" applyBorder="1" applyAlignment="1">
      <alignment horizontal="center" vertical="center"/>
    </xf>
    <xf numFmtId="0" fontId="96" fillId="28" borderId="0" xfId="3" applyFont="1" applyFill="1" applyAlignment="1">
      <alignment horizontal="left" vertical="center"/>
    </xf>
    <xf numFmtId="0" fontId="100" fillId="28" borderId="63" xfId="3" applyFont="1" applyFill="1" applyBorder="1" applyAlignment="1">
      <alignment horizontal="left" indent="1"/>
    </xf>
    <xf numFmtId="0" fontId="93" fillId="28" borderId="64" xfId="3" applyFont="1" applyFill="1" applyBorder="1" applyAlignment="1">
      <alignment horizontal="left" vertical="center" indent="1"/>
    </xf>
    <xf numFmtId="0" fontId="96" fillId="28" borderId="64" xfId="3" applyFont="1" applyFill="1" applyBorder="1" applyAlignment="1">
      <alignment vertical="center"/>
    </xf>
    <xf numFmtId="172" fontId="98" fillId="30" borderId="67" xfId="6" applyNumberFormat="1" applyFont="1" applyFill="1" applyBorder="1" applyAlignment="1">
      <alignment horizontal="center" vertical="center"/>
    </xf>
    <xf numFmtId="0" fontId="100" fillId="28" borderId="63" xfId="3" applyFont="1" applyFill="1" applyBorder="1" applyAlignment="1">
      <alignment horizontal="left" indent="2"/>
    </xf>
    <xf numFmtId="0" fontId="94" fillId="28" borderId="0" xfId="3" applyFont="1" applyFill="1" applyAlignment="1">
      <alignment horizontal="left" vertical="center" indent="2"/>
    </xf>
    <xf numFmtId="0" fontId="96" fillId="28" borderId="0" xfId="3" applyFont="1" applyFill="1" applyAlignment="1">
      <alignment horizontal="left" vertical="center" indent="2"/>
    </xf>
    <xf numFmtId="0" fontId="26" fillId="27" borderId="0" xfId="3" applyFont="1" applyFill="1"/>
    <xf numFmtId="41" fontId="95" fillId="28" borderId="63" xfId="6" applyFont="1" applyFill="1" applyBorder="1" applyAlignment="1">
      <alignment horizontal="left" indent="2"/>
    </xf>
    <xf numFmtId="0" fontId="94" fillId="28" borderId="64" xfId="3" applyFont="1" applyFill="1" applyBorder="1" applyAlignment="1">
      <alignment horizontal="left" vertical="center" indent="1"/>
    </xf>
    <xf numFmtId="0" fontId="99" fillId="28" borderId="63" xfId="3" applyFont="1" applyFill="1" applyBorder="1" applyAlignment="1">
      <alignment horizontal="left" indent="2"/>
    </xf>
    <xf numFmtId="165" fontId="101" fillId="29" borderId="66" xfId="5" applyFont="1" applyFill="1" applyBorder="1" applyAlignment="1" applyProtection="1">
      <alignment vertical="center"/>
      <protection locked="0"/>
    </xf>
    <xf numFmtId="0" fontId="102" fillId="2" borderId="57" xfId="3" applyFont="1" applyFill="1" applyBorder="1" applyAlignment="1">
      <alignment horizontal="left" vertical="center" indent="2"/>
    </xf>
    <xf numFmtId="0" fontId="103" fillId="2" borderId="58" xfId="3" applyFont="1" applyFill="1" applyBorder="1" applyAlignment="1">
      <alignment vertical="center"/>
    </xf>
    <xf numFmtId="165" fontId="104" fillId="2" borderId="58" xfId="3" applyNumberFormat="1" applyFont="1" applyFill="1" applyBorder="1" applyAlignment="1">
      <alignment horizontal="center" vertical="center"/>
    </xf>
    <xf numFmtId="0" fontId="104" fillId="2" borderId="58" xfId="3" applyFont="1" applyFill="1" applyBorder="1" applyAlignment="1">
      <alignment horizontal="left" vertical="center"/>
    </xf>
    <xf numFmtId="0" fontId="104" fillId="2" borderId="59" xfId="3" applyFont="1" applyFill="1" applyBorder="1"/>
    <xf numFmtId="0" fontId="99" fillId="28" borderId="63" xfId="3" applyFont="1" applyFill="1" applyBorder="1" applyAlignment="1">
      <alignment horizontal="left" indent="3"/>
    </xf>
    <xf numFmtId="167" fontId="6" fillId="2" borderId="1" xfId="28" applyNumberFormat="1" applyFont="1" applyFill="1" applyBorder="1" applyAlignment="1" applyProtection="1">
      <alignment horizontal="center" vertical="center"/>
      <protection locked="0"/>
    </xf>
    <xf numFmtId="0" fontId="93" fillId="28" borderId="0" xfId="3" applyFont="1" applyFill="1" applyAlignment="1">
      <alignment vertical="center"/>
    </xf>
    <xf numFmtId="0" fontId="99" fillId="28" borderId="63" xfId="3" applyFont="1" applyFill="1" applyBorder="1" applyAlignment="1">
      <alignment horizontal="left" indent="4"/>
    </xf>
    <xf numFmtId="194" fontId="99" fillId="30" borderId="67" xfId="3" applyNumberFormat="1" applyFont="1" applyFill="1" applyBorder="1" applyAlignment="1">
      <alignment horizontal="center" vertical="center"/>
    </xf>
    <xf numFmtId="0" fontId="99" fillId="28" borderId="63" xfId="3" applyFont="1" applyFill="1" applyBorder="1" applyAlignment="1">
      <alignment horizontal="left" indent="1"/>
    </xf>
    <xf numFmtId="165" fontId="101" fillId="29" borderId="65" xfId="5" applyFont="1" applyFill="1" applyBorder="1" applyAlignment="1" applyProtection="1">
      <alignment vertical="center"/>
      <protection locked="0"/>
    </xf>
    <xf numFmtId="195" fontId="6" fillId="2" borderId="1" xfId="5" applyNumberFormat="1" applyFont="1" applyProtection="1">
      <alignment horizontal="center" vertical="center"/>
      <protection locked="0"/>
    </xf>
    <xf numFmtId="41" fontId="92" fillId="28" borderId="63" xfId="6" applyFont="1" applyFill="1" applyBorder="1" applyAlignment="1">
      <alignment horizontal="left" indent="1"/>
    </xf>
    <xf numFmtId="0" fontId="95" fillId="28" borderId="0" xfId="3" applyFont="1" applyFill="1" applyAlignment="1">
      <alignment horizontal="left"/>
    </xf>
    <xf numFmtId="192" fontId="105" fillId="28" borderId="0" xfId="3" applyNumberFormat="1" applyFont="1" applyFill="1" applyAlignment="1">
      <alignment horizontal="right" vertical="center"/>
    </xf>
    <xf numFmtId="0" fontId="85" fillId="28" borderId="0" xfId="3" applyFont="1" applyFill="1" applyAlignment="1">
      <alignment horizontal="left"/>
    </xf>
    <xf numFmtId="41" fontId="99" fillId="28" borderId="63" xfId="6" applyFont="1" applyFill="1" applyBorder="1" applyAlignment="1">
      <alignment horizontal="left" indent="2"/>
    </xf>
    <xf numFmtId="164" fontId="99" fillId="30" borderId="67" xfId="3" applyNumberFormat="1" applyFont="1" applyFill="1" applyBorder="1" applyAlignment="1">
      <alignment horizontal="center" vertical="center"/>
    </xf>
    <xf numFmtId="0" fontId="97" fillId="28" borderId="0" xfId="3" applyFont="1" applyFill="1" applyAlignment="1">
      <alignment horizontal="left" indent="1"/>
    </xf>
    <xf numFmtId="41" fontId="99" fillId="28" borderId="63" xfId="6" applyFont="1" applyFill="1" applyBorder="1" applyAlignment="1">
      <alignment horizontal="left" indent="3"/>
    </xf>
    <xf numFmtId="196" fontId="6" fillId="2" borderId="1" xfId="27" applyNumberFormat="1" applyFont="1" applyFill="1" applyBorder="1" applyAlignment="1" applyProtection="1">
      <alignment horizontal="center" vertical="center"/>
      <protection locked="0"/>
    </xf>
    <xf numFmtId="167" fontId="6" fillId="2" borderId="1" xfId="27" applyNumberFormat="1" applyFont="1" applyFill="1" applyBorder="1" applyAlignment="1" applyProtection="1">
      <alignment horizontal="center" vertical="center"/>
      <protection locked="0"/>
    </xf>
    <xf numFmtId="197" fontId="6" fillId="2" borderId="1" xfId="27" applyNumberFormat="1" applyFont="1" applyFill="1" applyBorder="1" applyAlignment="1" applyProtection="1">
      <alignment horizontal="center" vertical="center"/>
      <protection locked="0"/>
    </xf>
    <xf numFmtId="167" fontId="106" fillId="2" borderId="1" xfId="27" applyNumberFormat="1" applyFont="1" applyFill="1" applyBorder="1" applyAlignment="1" applyProtection="1">
      <alignment horizontal="center" vertical="center"/>
      <protection locked="0"/>
    </xf>
    <xf numFmtId="10" fontId="101" fillId="29" borderId="66" xfId="27" applyNumberFormat="1" applyFont="1" applyFill="1" applyBorder="1" applyAlignment="1" applyProtection="1">
      <alignment vertical="center"/>
      <protection locked="0"/>
    </xf>
    <xf numFmtId="41" fontId="107" fillId="28" borderId="63" xfId="6" applyFont="1" applyFill="1" applyBorder="1" applyAlignment="1">
      <alignment horizontal="left" indent="2"/>
    </xf>
    <xf numFmtId="0" fontId="95" fillId="28" borderId="0" xfId="3" applyFont="1" applyFill="1" applyAlignment="1">
      <alignment horizontal="left" indent="1"/>
    </xf>
    <xf numFmtId="192" fontId="97" fillId="28" borderId="68" xfId="6" applyNumberFormat="1" applyFont="1" applyFill="1" applyBorder="1" applyAlignment="1">
      <alignment horizontal="right" vertical="center"/>
    </xf>
    <xf numFmtId="9" fontId="94" fillId="28" borderId="0" xfId="27" applyFont="1" applyFill="1" applyBorder="1" applyAlignment="1">
      <alignment horizontal="center" vertical="center"/>
    </xf>
    <xf numFmtId="178" fontId="97" fillId="28" borderId="69" xfId="29" applyNumberFormat="1" applyFont="1" applyFill="1" applyBorder="1" applyAlignment="1">
      <alignment horizontal="left" indent="1"/>
    </xf>
    <xf numFmtId="9" fontId="98" fillId="29" borderId="66" xfId="27" applyFont="1" applyFill="1" applyBorder="1" applyAlignment="1" applyProtection="1">
      <alignment horizontal="left" vertical="center"/>
      <protection locked="0"/>
    </xf>
    <xf numFmtId="178" fontId="97" fillId="28" borderId="0" xfId="29" applyNumberFormat="1" applyFont="1" applyFill="1" applyAlignment="1">
      <alignment horizontal="left" indent="1"/>
    </xf>
    <xf numFmtId="41" fontId="99" fillId="28" borderId="63" xfId="6" applyFont="1" applyFill="1" applyBorder="1" applyAlignment="1">
      <alignment horizontal="left" indent="1"/>
    </xf>
    <xf numFmtId="0" fontId="85" fillId="28" borderId="0" xfId="3" applyFont="1" applyFill="1" applyAlignment="1">
      <alignment horizontal="left" vertical="center" indent="1"/>
    </xf>
    <xf numFmtId="198" fontId="6" fillId="2" borderId="1" xfId="5" applyNumberFormat="1" applyFont="1" applyProtection="1">
      <alignment horizontal="center" vertical="center"/>
      <protection locked="0"/>
    </xf>
    <xf numFmtId="9" fontId="95" fillId="28" borderId="0" xfId="3" applyNumberFormat="1" applyFont="1" applyFill="1" applyAlignment="1">
      <alignment horizontal="center"/>
    </xf>
    <xf numFmtId="41" fontId="93" fillId="28" borderId="0" xfId="6" applyFont="1" applyFill="1" applyAlignment="1">
      <alignment horizontal="left" vertical="center" indent="1"/>
    </xf>
    <xf numFmtId="192" fontId="97" fillId="28" borderId="1" xfId="6" applyNumberFormat="1" applyFont="1" applyFill="1" applyBorder="1" applyAlignment="1">
      <alignment horizontal="right" vertical="center"/>
    </xf>
    <xf numFmtId="41" fontId="108" fillId="27" borderId="0" xfId="6" applyFont="1" applyFill="1" applyAlignment="1">
      <alignment horizontal="right"/>
    </xf>
    <xf numFmtId="41" fontId="86" fillId="27" borderId="0" xfId="1" applyFill="1" applyProtection="1"/>
    <xf numFmtId="41" fontId="109" fillId="27" borderId="0" xfId="1" applyFont="1" applyFill="1" applyAlignment="1" applyProtection="1">
      <alignment vertical="center"/>
    </xf>
    <xf numFmtId="2" fontId="110" fillId="2" borderId="70" xfId="6" applyNumberFormat="1" applyFont="1" applyFill="1" applyBorder="1" applyAlignment="1" applyProtection="1">
      <alignment horizontal="left" vertical="center"/>
      <protection locked="0"/>
    </xf>
    <xf numFmtId="0" fontId="38" fillId="0" borderId="0" xfId="16" applyAlignment="1">
      <alignment horizontal="left"/>
    </xf>
    <xf numFmtId="0" fontId="38" fillId="0" borderId="0" xfId="16"/>
    <xf numFmtId="0" fontId="16" fillId="0" borderId="0" xfId="8"/>
    <xf numFmtId="0" fontId="16" fillId="0" borderId="0" xfId="8" applyAlignment="1">
      <alignment horizontal="center"/>
    </xf>
    <xf numFmtId="164" fontId="42" fillId="0" borderId="0" xfId="8" applyNumberFormat="1" applyFont="1" applyAlignment="1">
      <alignment horizontal="center"/>
    </xf>
    <xf numFmtId="0" fontId="111" fillId="0" borderId="0" xfId="8" applyFont="1" applyAlignment="1">
      <alignment horizontal="center"/>
    </xf>
    <xf numFmtId="0" fontId="112" fillId="0" borderId="0" xfId="8" applyFont="1"/>
    <xf numFmtId="0" fontId="113" fillId="0" borderId="0" xfId="8" applyFont="1" applyAlignment="1">
      <alignment horizontal="center"/>
    </xf>
    <xf numFmtId="41" fontId="114" fillId="27" borderId="0" xfId="1" applyFont="1" applyFill="1" applyProtection="1"/>
    <xf numFmtId="41" fontId="115" fillId="27" borderId="0" xfId="6" applyFont="1" applyFill="1"/>
    <xf numFmtId="0" fontId="38" fillId="0" borderId="0" xfId="16" applyAlignment="1">
      <alignment horizontal="left" vertical="center"/>
    </xf>
    <xf numFmtId="0" fontId="39" fillId="31" borderId="0" xfId="30" applyFont="1" applyFill="1" applyAlignment="1">
      <alignment horizontal="left" indent="7"/>
    </xf>
    <xf numFmtId="0" fontId="39" fillId="31" borderId="0" xfId="30" applyFont="1" applyFill="1" applyAlignment="1">
      <alignment horizontal="center"/>
    </xf>
    <xf numFmtId="0" fontId="39" fillId="32" borderId="0" xfId="8" applyFont="1" applyFill="1" applyAlignment="1">
      <alignment horizontal="centerContinuous"/>
    </xf>
    <xf numFmtId="0" fontId="116" fillId="32" borderId="0" xfId="8" applyFont="1" applyFill="1" applyAlignment="1">
      <alignment horizontal="centerContinuous"/>
    </xf>
    <xf numFmtId="0" fontId="39" fillId="15" borderId="0" xfId="8" applyFont="1" applyFill="1" applyAlignment="1">
      <alignment horizontal="centerContinuous"/>
    </xf>
    <xf numFmtId="0" fontId="116" fillId="15" borderId="0" xfId="8" applyFont="1" applyFill="1" applyAlignment="1">
      <alignment horizontal="centerContinuous"/>
    </xf>
    <xf numFmtId="0" fontId="25" fillId="15" borderId="0" xfId="8" applyFont="1" applyFill="1" applyAlignment="1">
      <alignment horizontal="center"/>
    </xf>
    <xf numFmtId="0" fontId="117" fillId="15" borderId="0" xfId="8" applyFont="1" applyFill="1" applyAlignment="1">
      <alignment horizontal="centerContinuous"/>
    </xf>
    <xf numFmtId="0" fontId="25" fillId="33" borderId="0" xfId="8" applyFont="1" applyFill="1"/>
    <xf numFmtId="0" fontId="16" fillId="33" borderId="0" xfId="8" applyFill="1"/>
    <xf numFmtId="0" fontId="25" fillId="29" borderId="0" xfId="8" applyFont="1" applyFill="1" applyAlignment="1">
      <alignment horizontal="center"/>
    </xf>
    <xf numFmtId="0" fontId="39" fillId="34" borderId="0" xfId="8" applyFont="1" applyFill="1" applyAlignment="1">
      <alignment horizontal="centerContinuous"/>
    </xf>
    <xf numFmtId="0" fontId="116" fillId="34" borderId="0" xfId="8" applyFont="1" applyFill="1" applyAlignment="1">
      <alignment horizontal="centerContinuous"/>
    </xf>
    <xf numFmtId="41" fontId="86" fillId="27" borderId="0" xfId="1" applyFill="1"/>
    <xf numFmtId="0" fontId="118" fillId="31" borderId="71" xfId="30" applyFont="1" applyFill="1" applyBorder="1" applyAlignment="1">
      <alignment horizontal="left"/>
    </xf>
    <xf numFmtId="0" fontId="119" fillId="29" borderId="72" xfId="8" applyFont="1" applyFill="1" applyBorder="1" applyAlignment="1">
      <alignment horizontal="left" indent="1"/>
    </xf>
    <xf numFmtId="0" fontId="119" fillId="29" borderId="73" xfId="8" applyFont="1" applyFill="1" applyBorder="1" applyAlignment="1">
      <alignment horizontal="left" indent="1"/>
    </xf>
    <xf numFmtId="0" fontId="119" fillId="29" borderId="74" xfId="8" applyFont="1" applyFill="1" applyBorder="1" applyAlignment="1">
      <alignment horizontal="centerContinuous"/>
    </xf>
    <xf numFmtId="0" fontId="119" fillId="29" borderId="72" xfId="8" applyFont="1" applyFill="1" applyBorder="1" applyAlignment="1">
      <alignment horizontal="centerContinuous"/>
    </xf>
    <xf numFmtId="0" fontId="119" fillId="29" borderId="73" xfId="8" applyFont="1" applyFill="1" applyBorder="1" applyAlignment="1">
      <alignment horizontal="centerContinuous"/>
    </xf>
    <xf numFmtId="41" fontId="120" fillId="0" borderId="0" xfId="6" applyFont="1"/>
    <xf numFmtId="0" fontId="119" fillId="29" borderId="0" xfId="8" applyFont="1" applyFill="1" applyAlignment="1">
      <alignment horizontal="left" indent="1"/>
    </xf>
    <xf numFmtId="0" fontId="120" fillId="0" borderId="0" xfId="8" applyFont="1"/>
    <xf numFmtId="0" fontId="119" fillId="29" borderId="0" xfId="8" applyFont="1" applyFill="1" applyAlignment="1">
      <alignment horizontal="center"/>
    </xf>
    <xf numFmtId="0" fontId="120" fillId="33" borderId="0" xfId="8" applyFont="1" applyFill="1"/>
    <xf numFmtId="0" fontId="25" fillId="33" borderId="0" xfId="8" applyFont="1" applyFill="1" applyAlignment="1">
      <alignment horizontal="center"/>
    </xf>
    <xf numFmtId="0" fontId="42" fillId="0" borderId="0" xfId="8" applyFont="1"/>
    <xf numFmtId="0" fontId="121" fillId="35" borderId="0" xfId="8" applyFont="1" applyFill="1" applyAlignment="1">
      <alignment horizontal="left" indent="1"/>
    </xf>
    <xf numFmtId="0" fontId="121" fillId="35" borderId="0" xfId="8" applyFont="1" applyFill="1" applyAlignment="1">
      <alignment horizontal="center"/>
    </xf>
    <xf numFmtId="0" fontId="36" fillId="35" borderId="0" xfId="8" applyFont="1" applyFill="1"/>
    <xf numFmtId="0" fontId="36" fillId="35" borderId="0" xfId="8" applyFont="1" applyFill="1" applyAlignment="1">
      <alignment horizontal="center"/>
    </xf>
    <xf numFmtId="0" fontId="119" fillId="29" borderId="75" xfId="8" applyFont="1" applyFill="1" applyBorder="1" applyAlignment="1">
      <alignment horizontal="left" indent="1"/>
    </xf>
    <xf numFmtId="0" fontId="119" fillId="29" borderId="76" xfId="8" applyFont="1" applyFill="1" applyBorder="1" applyAlignment="1">
      <alignment horizontal="left" indent="1"/>
    </xf>
    <xf numFmtId="0" fontId="119" fillId="29" borderId="77" xfId="8" applyFont="1" applyFill="1" applyBorder="1" applyAlignment="1">
      <alignment horizontal="center" wrapText="1"/>
    </xf>
    <xf numFmtId="0" fontId="119" fillId="29" borderId="75" xfId="8" applyFont="1" applyFill="1" applyBorder="1" applyAlignment="1">
      <alignment horizontal="center"/>
    </xf>
    <xf numFmtId="0" fontId="119" fillId="29" borderId="76" xfId="8" applyFont="1" applyFill="1" applyBorder="1" applyAlignment="1">
      <alignment horizontal="center"/>
    </xf>
    <xf numFmtId="0" fontId="119" fillId="29" borderId="75" xfId="8" applyFont="1" applyFill="1" applyBorder="1" applyAlignment="1">
      <alignment horizontal="center" wrapText="1"/>
    </xf>
    <xf numFmtId="0" fontId="42" fillId="0" borderId="0" xfId="8" applyFont="1" applyAlignment="1">
      <alignment horizontal="left" indent="1"/>
    </xf>
    <xf numFmtId="0" fontId="111" fillId="0" borderId="0" xfId="8" applyFont="1"/>
    <xf numFmtId="0" fontId="25" fillId="33" borderId="75" xfId="8" applyFont="1" applyFill="1" applyBorder="1"/>
    <xf numFmtId="199" fontId="122" fillId="35" borderId="0" xfId="31" applyFont="1" applyFill="1" applyBorder="1">
      <alignment horizontal="center" vertical="center"/>
    </xf>
    <xf numFmtId="9" fontId="121" fillId="35" borderId="75" xfId="27" applyFont="1" applyFill="1" applyBorder="1" applyAlignment="1">
      <alignment horizontal="center" wrapText="1"/>
    </xf>
    <xf numFmtId="2" fontId="123" fillId="2" borderId="70" xfId="6" applyNumberFormat="1" applyFont="1" applyFill="1" applyBorder="1" applyAlignment="1" applyProtection="1">
      <alignment horizontal="left" vertical="center"/>
      <protection locked="0"/>
    </xf>
    <xf numFmtId="0" fontId="124" fillId="0" borderId="0" xfId="16" applyFont="1" applyAlignment="1">
      <alignment horizontal="left"/>
    </xf>
    <xf numFmtId="0" fontId="40" fillId="36" borderId="78" xfId="30" applyFont="1" applyFill="1" applyBorder="1" applyAlignment="1">
      <alignment horizontal="center"/>
    </xf>
    <xf numFmtId="0" fontId="40" fillId="36" borderId="79" xfId="30" applyFont="1" applyFill="1" applyBorder="1" applyAlignment="1">
      <alignment horizontal="center"/>
    </xf>
    <xf numFmtId="0" fontId="40" fillId="36" borderId="80" xfId="30" applyFont="1" applyFill="1" applyBorder="1" applyAlignment="1">
      <alignment horizontal="left"/>
    </xf>
    <xf numFmtId="0" fontId="40" fillId="36" borderId="80" xfId="30" applyFont="1" applyFill="1" applyBorder="1" applyAlignment="1">
      <alignment horizontal="center"/>
    </xf>
    <xf numFmtId="0" fontId="61" fillId="36" borderId="80" xfId="30" applyFont="1" applyFill="1" applyBorder="1" applyAlignment="1">
      <alignment horizontal="center"/>
    </xf>
    <xf numFmtId="192" fontId="125" fillId="36" borderId="80" xfId="30" applyNumberFormat="1" applyFont="1" applyFill="1" applyBorder="1" applyAlignment="1">
      <alignment horizontal="center"/>
    </xf>
    <xf numFmtId="164" fontId="61" fillId="36" borderId="80" xfId="30" applyNumberFormat="1" applyFont="1" applyFill="1" applyBorder="1" applyAlignment="1">
      <alignment horizontal="center"/>
    </xf>
    <xf numFmtId="192" fontId="126" fillId="36" borderId="80" xfId="30" applyNumberFormat="1" applyFont="1" applyFill="1" applyBorder="1" applyAlignment="1">
      <alignment horizontal="center"/>
    </xf>
    <xf numFmtId="1" fontId="125" fillId="36" borderId="80" xfId="30" applyNumberFormat="1" applyFont="1" applyFill="1" applyBorder="1" applyAlignment="1">
      <alignment horizontal="center"/>
    </xf>
    <xf numFmtId="0" fontId="127" fillId="0" borderId="0" xfId="8" applyFont="1"/>
    <xf numFmtId="9" fontId="128" fillId="36" borderId="80" xfId="27" applyFont="1" applyFill="1" applyBorder="1" applyAlignment="1">
      <alignment horizontal="center" vertical="center"/>
    </xf>
    <xf numFmtId="1" fontId="42" fillId="36" borderId="80" xfId="27" applyNumberFormat="1" applyFont="1" applyFill="1" applyBorder="1" applyAlignment="1">
      <alignment horizontal="center" vertical="center"/>
    </xf>
    <xf numFmtId="164" fontId="40" fillId="36" borderId="80" xfId="30" applyNumberFormat="1" applyFont="1" applyFill="1" applyBorder="1" applyAlignment="1">
      <alignment horizontal="center" vertical="center"/>
    </xf>
    <xf numFmtId="0" fontId="129" fillId="36" borderId="80" xfId="30" applyFont="1" applyFill="1" applyBorder="1" applyAlignment="1">
      <alignment horizontal="center" vertical="center"/>
    </xf>
    <xf numFmtId="164" fontId="61" fillId="36" borderId="80" xfId="30" applyNumberFormat="1" applyFont="1" applyFill="1" applyBorder="1" applyAlignment="1">
      <alignment horizontal="center" vertical="center"/>
    </xf>
    <xf numFmtId="9" fontId="130" fillId="36" borderId="80" xfId="27" applyFont="1" applyFill="1" applyBorder="1" applyAlignment="1">
      <alignment horizontal="center"/>
    </xf>
    <xf numFmtId="178" fontId="131" fillId="36" borderId="80" xfId="29" applyNumberFormat="1" applyFont="1" applyFill="1" applyBorder="1" applyAlignment="1">
      <alignment horizontal="center"/>
    </xf>
    <xf numFmtId="0" fontId="132" fillId="0" borderId="0" xfId="8" applyFont="1"/>
    <xf numFmtId="164" fontId="40" fillId="36" borderId="80" xfId="30" applyNumberFormat="1" applyFont="1" applyFill="1" applyBorder="1" applyAlignment="1">
      <alignment horizontal="center"/>
    </xf>
    <xf numFmtId="192" fontId="125" fillId="36" borderId="81" xfId="30" applyNumberFormat="1" applyFont="1" applyFill="1" applyBorder="1" applyAlignment="1">
      <alignment horizontal="center"/>
    </xf>
    <xf numFmtId="2" fontId="133" fillId="2" borderId="70" xfId="6" applyNumberFormat="1" applyFont="1" applyFill="1" applyBorder="1" applyAlignment="1" applyProtection="1">
      <alignment horizontal="left" vertical="center" indent="1"/>
      <protection locked="0"/>
    </xf>
    <xf numFmtId="168" fontId="112" fillId="0" borderId="82" xfId="16" applyNumberFormat="1" applyFont="1" applyBorder="1" applyAlignment="1">
      <alignment horizontal="center" vertical="center"/>
    </xf>
    <xf numFmtId="172" fontId="134" fillId="0" borderId="83" xfId="16" applyNumberFormat="1" applyFont="1" applyBorder="1" applyAlignment="1">
      <alignment horizontal="left" vertical="center"/>
    </xf>
    <xf numFmtId="1" fontId="112" fillId="0" borderId="83" xfId="16" applyNumberFormat="1" applyFont="1" applyBorder="1" applyAlignment="1">
      <alignment horizontal="center" vertical="center"/>
    </xf>
    <xf numFmtId="168" fontId="112" fillId="0" borderId="84" xfId="16" applyNumberFormat="1" applyFont="1" applyBorder="1" applyAlignment="1">
      <alignment horizontal="center" vertical="center"/>
    </xf>
    <xf numFmtId="42" fontId="135" fillId="0" borderId="0" xfId="8" applyNumberFormat="1" applyFont="1"/>
    <xf numFmtId="164" fontId="42" fillId="7" borderId="85" xfId="16" applyNumberFormat="1" applyFont="1" applyFill="1" applyBorder="1" applyAlignment="1">
      <alignment horizontal="center" vertical="center"/>
    </xf>
    <xf numFmtId="164" fontId="111" fillId="7" borderId="85" xfId="16" applyNumberFormat="1" applyFont="1" applyFill="1" applyBorder="1" applyAlignment="1">
      <alignment horizontal="center" vertical="center"/>
    </xf>
    <xf numFmtId="41" fontId="135" fillId="0" borderId="0" xfId="8" applyNumberFormat="1" applyFont="1"/>
    <xf numFmtId="2" fontId="112" fillId="0" borderId="82" xfId="29" applyNumberFormat="1" applyFont="1" applyBorder="1" applyAlignment="1">
      <alignment horizontal="center" vertical="center"/>
    </xf>
    <xf numFmtId="41" fontId="127" fillId="0" borderId="0" xfId="8" applyNumberFormat="1" applyFont="1"/>
    <xf numFmtId="168" fontId="74" fillId="0" borderId="82" xfId="16" applyNumberFormat="1" applyFont="1" applyBorder="1" applyAlignment="1">
      <alignment horizontal="center" vertical="center"/>
    </xf>
    <xf numFmtId="172" fontId="112" fillId="0" borderId="84" xfId="16" applyNumberFormat="1" applyFont="1" applyBorder="1" applyAlignment="1">
      <alignment horizontal="left" vertical="center"/>
    </xf>
    <xf numFmtId="1" fontId="112" fillId="0" borderId="84" xfId="16" applyNumberFormat="1" applyFont="1" applyBorder="1" applyAlignment="1">
      <alignment horizontal="center" vertical="center"/>
    </xf>
    <xf numFmtId="164" fontId="42" fillId="7" borderId="86" xfId="16" applyNumberFormat="1" applyFont="1" applyFill="1" applyBorder="1" applyAlignment="1">
      <alignment horizontal="center" vertical="center"/>
    </xf>
    <xf numFmtId="164" fontId="111" fillId="7" borderId="86" xfId="16" applyNumberFormat="1" applyFont="1" applyFill="1" applyBorder="1" applyAlignment="1">
      <alignment horizontal="center" vertical="center"/>
    </xf>
    <xf numFmtId="2" fontId="112" fillId="0" borderId="84" xfId="29" applyNumberFormat="1" applyFont="1" applyBorder="1" applyAlignment="1">
      <alignment horizontal="center" vertical="center"/>
    </xf>
    <xf numFmtId="168" fontId="74" fillId="0" borderId="84" xfId="16" applyNumberFormat="1" applyFont="1" applyBorder="1" applyAlignment="1">
      <alignment horizontal="center" vertical="center"/>
    </xf>
    <xf numFmtId="168" fontId="112" fillId="0" borderId="87" xfId="16" applyNumberFormat="1" applyFont="1" applyBorder="1" applyAlignment="1">
      <alignment horizontal="center" vertical="center"/>
    </xf>
    <xf numFmtId="172" fontId="112" fillId="0" borderId="87" xfId="16" applyNumberFormat="1" applyFont="1" applyBorder="1" applyAlignment="1">
      <alignment horizontal="left" vertical="center"/>
    </xf>
    <xf numFmtId="1" fontId="112" fillId="0" borderId="87" xfId="16" applyNumberFormat="1" applyFont="1" applyBorder="1" applyAlignment="1">
      <alignment horizontal="center" vertical="center"/>
    </xf>
    <xf numFmtId="164" fontId="42" fillId="7" borderId="88" xfId="16" applyNumberFormat="1" applyFont="1" applyFill="1" applyBorder="1" applyAlignment="1">
      <alignment horizontal="center" vertical="center"/>
    </xf>
    <xf numFmtId="164" fontId="111" fillId="7" borderId="88" xfId="16" applyNumberFormat="1" applyFont="1" applyFill="1" applyBorder="1" applyAlignment="1">
      <alignment horizontal="center" vertical="center"/>
    </xf>
    <xf numFmtId="2" fontId="112" fillId="0" borderId="87" xfId="29" applyNumberFormat="1" applyFont="1" applyBorder="1" applyAlignment="1">
      <alignment horizontal="center" vertical="center"/>
    </xf>
    <xf numFmtId="168" fontId="74" fillId="0" borderId="87" xfId="16" applyNumberFormat="1" applyFont="1" applyBorder="1" applyAlignment="1">
      <alignment horizontal="center" vertical="center"/>
    </xf>
    <xf numFmtId="172" fontId="112" fillId="0" borderId="89" xfId="16" applyNumberFormat="1" applyFont="1" applyBorder="1" applyAlignment="1">
      <alignment horizontal="left" vertical="center"/>
    </xf>
    <xf numFmtId="1" fontId="112" fillId="0" borderId="89" xfId="16" applyNumberFormat="1" applyFont="1" applyBorder="1" applyAlignment="1">
      <alignment horizontal="center" vertical="center"/>
    </xf>
    <xf numFmtId="164" fontId="42" fillId="7" borderId="90" xfId="16" applyNumberFormat="1" applyFont="1" applyFill="1" applyBorder="1" applyAlignment="1">
      <alignment horizontal="center" vertical="center"/>
    </xf>
    <xf numFmtId="164" fontId="111" fillId="7" borderId="90" xfId="16" applyNumberFormat="1" applyFont="1" applyFill="1" applyBorder="1" applyAlignment="1">
      <alignment horizontal="center" vertical="center"/>
    </xf>
    <xf numFmtId="164" fontId="42" fillId="7" borderId="91" xfId="16" applyNumberFormat="1" applyFont="1" applyFill="1" applyBorder="1" applyAlignment="1">
      <alignment horizontal="center" vertical="center"/>
    </xf>
    <xf numFmtId="164" fontId="111" fillId="7" borderId="91" xfId="16" applyNumberFormat="1" applyFont="1" applyFill="1" applyBorder="1" applyAlignment="1">
      <alignment horizontal="center" vertical="center"/>
    </xf>
    <xf numFmtId="164" fontId="42" fillId="7" borderId="92" xfId="16" applyNumberFormat="1" applyFont="1" applyFill="1" applyBorder="1" applyAlignment="1">
      <alignment horizontal="center" vertical="center"/>
    </xf>
    <xf numFmtId="164" fontId="111" fillId="7" borderId="92" xfId="16" applyNumberFormat="1" applyFont="1" applyFill="1" applyBorder="1" applyAlignment="1">
      <alignment horizontal="center" vertical="center"/>
    </xf>
    <xf numFmtId="41" fontId="127" fillId="27" borderId="0" xfId="6" applyFont="1" applyFill="1" applyAlignment="1">
      <alignment vertical="center"/>
    </xf>
    <xf numFmtId="200" fontId="112" fillId="0" borderId="84" xfId="29" applyNumberFormat="1" applyFont="1" applyBorder="1" applyAlignment="1">
      <alignment horizontal="center" vertical="center"/>
    </xf>
    <xf numFmtId="168" fontId="112" fillId="0" borderId="93" xfId="16" applyNumberFormat="1" applyFont="1" applyBorder="1" applyAlignment="1">
      <alignment horizontal="center" vertical="center"/>
    </xf>
    <xf numFmtId="172" fontId="112" fillId="0" borderId="93" xfId="16" applyNumberFormat="1" applyFont="1" applyBorder="1" applyAlignment="1">
      <alignment horizontal="left" vertical="center"/>
    </xf>
    <xf numFmtId="1" fontId="112" fillId="0" borderId="93" xfId="16" applyNumberFormat="1" applyFont="1" applyBorder="1" applyAlignment="1">
      <alignment horizontal="center" vertical="center"/>
    </xf>
    <xf numFmtId="164" fontId="42" fillId="7" borderId="94" xfId="16" applyNumberFormat="1" applyFont="1" applyFill="1" applyBorder="1" applyAlignment="1">
      <alignment horizontal="center" vertical="center"/>
    </xf>
    <xf numFmtId="164" fontId="111" fillId="7" borderId="94" xfId="16" applyNumberFormat="1" applyFont="1" applyFill="1" applyBorder="1" applyAlignment="1">
      <alignment horizontal="center" vertical="center"/>
    </xf>
    <xf numFmtId="200" fontId="112" fillId="0" borderId="93" xfId="29" applyNumberFormat="1" applyFont="1" applyBorder="1" applyAlignment="1">
      <alignment horizontal="center" vertical="center"/>
    </xf>
    <xf numFmtId="168" fontId="74" fillId="0" borderId="93" xfId="16" applyNumberFormat="1" applyFont="1" applyBorder="1" applyAlignment="1">
      <alignment horizontal="center" vertical="center"/>
    </xf>
    <xf numFmtId="172" fontId="61" fillId="0" borderId="83" xfId="16" applyNumberFormat="1" applyFont="1" applyBorder="1" applyAlignment="1">
      <alignment horizontal="left" vertical="center"/>
    </xf>
    <xf numFmtId="164" fontId="42" fillId="7" borderId="89" xfId="16" applyNumberFormat="1" applyFont="1" applyFill="1" applyBorder="1" applyAlignment="1">
      <alignment horizontal="center" vertical="center"/>
    </xf>
    <xf numFmtId="164" fontId="111" fillId="7" borderId="89" xfId="16" applyNumberFormat="1" applyFont="1" applyFill="1" applyBorder="1" applyAlignment="1">
      <alignment horizontal="center" vertical="center"/>
    </xf>
    <xf numFmtId="200" fontId="112" fillId="0" borderId="82" xfId="29" applyNumberFormat="1" applyFont="1" applyBorder="1" applyAlignment="1">
      <alignment horizontal="center" vertical="center"/>
    </xf>
    <xf numFmtId="164" fontId="42" fillId="7" borderId="95" xfId="16" applyNumberFormat="1" applyFont="1" applyFill="1" applyBorder="1" applyAlignment="1">
      <alignment horizontal="center" vertical="center"/>
    </xf>
    <xf numFmtId="164" fontId="111" fillId="7" borderId="95" xfId="16" applyNumberFormat="1" applyFont="1" applyFill="1" applyBorder="1" applyAlignment="1">
      <alignment horizontal="center" vertical="center"/>
    </xf>
    <xf numFmtId="164" fontId="42" fillId="7" borderId="96" xfId="16" applyNumberFormat="1" applyFont="1" applyFill="1" applyBorder="1" applyAlignment="1">
      <alignment horizontal="center" vertical="center"/>
    </xf>
    <xf numFmtId="164" fontId="111" fillId="7" borderId="96" xfId="16" applyNumberFormat="1" applyFont="1" applyFill="1" applyBorder="1" applyAlignment="1">
      <alignment horizontal="center" vertical="center"/>
    </xf>
    <xf numFmtId="200" fontId="112" fillId="0" borderId="87" xfId="29" applyNumberFormat="1" applyFont="1" applyBorder="1" applyAlignment="1">
      <alignment horizontal="center" vertical="center"/>
    </xf>
    <xf numFmtId="171" fontId="5" fillId="0" borderId="0" xfId="6" applyNumberFormat="1"/>
    <xf numFmtId="164" fontId="42" fillId="7" borderId="97" xfId="16" applyNumberFormat="1" applyFont="1" applyFill="1" applyBorder="1" applyAlignment="1">
      <alignment horizontal="center" vertical="center"/>
    </xf>
    <xf numFmtId="164" fontId="111" fillId="7" borderId="97" xfId="16" applyNumberFormat="1" applyFont="1" applyFill="1" applyBorder="1" applyAlignment="1">
      <alignment horizontal="center" vertical="center"/>
    </xf>
    <xf numFmtId="200" fontId="112" fillId="0" borderId="82" xfId="27" applyNumberFormat="1" applyFont="1" applyBorder="1" applyAlignment="1">
      <alignment horizontal="center" vertical="center"/>
    </xf>
    <xf numFmtId="200" fontId="112" fillId="0" borderId="84" xfId="27" applyNumberFormat="1" applyFont="1" applyBorder="1" applyAlignment="1">
      <alignment horizontal="center" vertical="center"/>
    </xf>
    <xf numFmtId="200" fontId="112" fillId="0" borderId="87" xfId="27" applyNumberFormat="1" applyFont="1" applyBorder="1" applyAlignment="1">
      <alignment horizontal="center" vertical="center"/>
    </xf>
    <xf numFmtId="164" fontId="112" fillId="0" borderId="95" xfId="16" applyNumberFormat="1" applyFont="1" applyBorder="1" applyAlignment="1">
      <alignment horizontal="center" vertical="center"/>
    </xf>
    <xf numFmtId="164" fontId="74" fillId="0" borderId="95" xfId="16" applyNumberFormat="1" applyFont="1" applyBorder="1" applyAlignment="1">
      <alignment horizontal="center" vertical="center"/>
    </xf>
    <xf numFmtId="164" fontId="112" fillId="0" borderId="96" xfId="16" applyNumberFormat="1" applyFont="1" applyBorder="1" applyAlignment="1">
      <alignment horizontal="center" vertical="center"/>
    </xf>
    <xf numFmtId="164" fontId="74" fillId="0" borderId="96" xfId="16" applyNumberFormat="1" applyFont="1" applyBorder="1" applyAlignment="1">
      <alignment horizontal="center" vertical="center"/>
    </xf>
    <xf numFmtId="164" fontId="112" fillId="0" borderId="89" xfId="16" applyNumberFormat="1" applyFont="1" applyBorder="1" applyAlignment="1">
      <alignment horizontal="center" vertical="center"/>
    </xf>
    <xf numFmtId="164" fontId="74" fillId="0" borderId="89" xfId="16" applyNumberFormat="1" applyFont="1" applyBorder="1" applyAlignment="1">
      <alignment horizontal="center" vertical="center"/>
    </xf>
    <xf numFmtId="200" fontId="112" fillId="0" borderId="93" xfId="27" applyNumberFormat="1" applyFont="1" applyBorder="1" applyAlignment="1">
      <alignment horizontal="center" vertical="center"/>
    </xf>
    <xf numFmtId="164" fontId="112" fillId="0" borderId="97" xfId="16" applyNumberFormat="1" applyFont="1" applyBorder="1" applyAlignment="1">
      <alignment horizontal="center" vertical="center"/>
    </xf>
    <xf numFmtId="164" fontId="74" fillId="0" borderId="97" xfId="16" applyNumberFormat="1" applyFont="1" applyBorder="1" applyAlignment="1">
      <alignment horizontal="center" vertical="center"/>
    </xf>
    <xf numFmtId="0" fontId="16" fillId="7" borderId="0" xfId="8" applyFill="1"/>
    <xf numFmtId="168" fontId="42" fillId="37" borderId="0" xfId="8" applyNumberFormat="1" applyFont="1" applyFill="1" applyAlignment="1">
      <alignment horizontal="center" vertical="center"/>
    </xf>
    <xf numFmtId="0" fontId="42" fillId="0" borderId="0" xfId="8" applyFont="1" applyAlignment="1">
      <alignment horizontal="center"/>
    </xf>
    <xf numFmtId="1" fontId="112" fillId="0" borderId="0" xfId="16" applyNumberFormat="1" applyFont="1" applyAlignment="1">
      <alignment horizontal="center" vertical="center"/>
    </xf>
    <xf numFmtId="178" fontId="74" fillId="9" borderId="98" xfId="29" applyNumberFormat="1" applyFont="1" applyFill="1" applyBorder="1" applyAlignment="1">
      <alignment horizontal="center" vertical="center"/>
    </xf>
    <xf numFmtId="178" fontId="74" fillId="9" borderId="98" xfId="29" applyNumberFormat="1" applyFont="1" applyFill="1" applyBorder="1" applyAlignment="1">
      <alignment horizontal="centerContinuous" vertical="center"/>
    </xf>
    <xf numFmtId="1" fontId="74" fillId="9" borderId="99" xfId="16" applyNumberFormat="1" applyFont="1" applyFill="1" applyBorder="1" applyAlignment="1">
      <alignment horizontal="center" vertical="center"/>
    </xf>
    <xf numFmtId="1" fontId="74" fillId="9" borderId="98" xfId="16" applyNumberFormat="1" applyFont="1" applyFill="1" applyBorder="1" applyAlignment="1">
      <alignment horizontal="center" vertical="center"/>
    </xf>
    <xf numFmtId="178" fontId="74" fillId="9" borderId="100" xfId="29" applyNumberFormat="1" applyFont="1" applyFill="1" applyBorder="1" applyAlignment="1">
      <alignment horizontal="center" vertical="center"/>
    </xf>
    <xf numFmtId="178" fontId="74" fillId="9" borderId="0" xfId="29" applyNumberFormat="1" applyFont="1" applyFill="1" applyBorder="1" applyAlignment="1">
      <alignment horizontal="center" vertical="center"/>
    </xf>
    <xf numFmtId="178" fontId="74" fillId="9" borderId="0" xfId="29" applyNumberFormat="1" applyFont="1" applyFill="1" applyBorder="1" applyAlignment="1">
      <alignment horizontal="centerContinuous" vertical="center"/>
    </xf>
    <xf numFmtId="1" fontId="74" fillId="9" borderId="71" xfId="16" applyNumberFormat="1" applyFont="1" applyFill="1" applyBorder="1" applyAlignment="1">
      <alignment horizontal="center" vertical="center"/>
    </xf>
    <xf numFmtId="178" fontId="74" fillId="9" borderId="101" xfId="29" applyNumberFormat="1" applyFont="1" applyFill="1" applyBorder="1" applyAlignment="1">
      <alignment horizontal="center" vertical="center"/>
    </xf>
    <xf numFmtId="178" fontId="74" fillId="9" borderId="75" xfId="29" applyNumberFormat="1" applyFont="1" applyFill="1" applyBorder="1" applyAlignment="1">
      <alignment horizontal="center" vertical="center"/>
    </xf>
    <xf numFmtId="1" fontId="74" fillId="9" borderId="84" xfId="16" applyNumberFormat="1" applyFont="1" applyFill="1" applyBorder="1" applyAlignment="1">
      <alignment horizontal="center" vertical="center"/>
    </xf>
    <xf numFmtId="178" fontId="112" fillId="9" borderId="75" xfId="29" applyNumberFormat="1" applyFont="1" applyFill="1" applyBorder="1" applyAlignment="1">
      <alignment horizontal="center" vertical="center"/>
    </xf>
    <xf numFmtId="1" fontId="74" fillId="9" borderId="102" xfId="16" applyNumberFormat="1" applyFont="1" applyFill="1" applyBorder="1" applyAlignment="1">
      <alignment horizontal="center" vertical="center"/>
    </xf>
    <xf numFmtId="178" fontId="74" fillId="9" borderId="81" xfId="29" applyNumberFormat="1" applyFont="1" applyFill="1" applyBorder="1" applyAlignment="1">
      <alignment horizontal="center" vertical="center"/>
    </xf>
    <xf numFmtId="41" fontId="136" fillId="0" borderId="0" xfId="6" applyFont="1"/>
    <xf numFmtId="178" fontId="120" fillId="0" borderId="0" xfId="29" applyNumberFormat="1" applyFont="1"/>
    <xf numFmtId="168" fontId="74" fillId="7" borderId="84" xfId="16" applyNumberFormat="1" applyFont="1" applyFill="1" applyBorder="1" applyAlignment="1">
      <alignment horizontal="center" vertical="center"/>
    </xf>
    <xf numFmtId="41" fontId="86" fillId="0" borderId="0" xfId="6" applyFont="1"/>
    <xf numFmtId="178" fontId="137" fillId="0" borderId="0" xfId="29" applyNumberFormat="1" applyFont="1"/>
    <xf numFmtId="41" fontId="137" fillId="0" borderId="0" xfId="6" applyFont="1"/>
    <xf numFmtId="1" fontId="86" fillId="0" borderId="0" xfId="6" applyNumberFormat="1" applyFont="1" applyAlignment="1">
      <alignment horizontal="center"/>
    </xf>
    <xf numFmtId="41" fontId="138" fillId="0" borderId="0" xfId="6" applyFont="1"/>
    <xf numFmtId="0" fontId="72" fillId="0" borderId="0" xfId="8" applyFont="1"/>
    <xf numFmtId="0" fontId="11" fillId="3" borderId="4" xfId="4" applyNumberFormat="1" applyFont="1" applyFill="1" applyBorder="1" applyAlignment="1" applyProtection="1">
      <alignment horizontal="left" vertical="center" indent="1"/>
      <protection locked="0"/>
    </xf>
    <xf numFmtId="168" fontId="10" fillId="3" borderId="5" xfId="4" applyNumberFormat="1" applyFont="1" applyFill="1" applyBorder="1" applyAlignment="1" applyProtection="1">
      <alignment horizontal="left" vertical="center" indent="1" shrinkToFit="1"/>
      <protection locked="0"/>
    </xf>
    <xf numFmtId="168" fontId="10" fillId="3" borderId="3" xfId="4" applyNumberFormat="1" applyFont="1" applyFill="1" applyBorder="1" applyAlignment="1" applyProtection="1">
      <alignment horizontal="left" vertical="center" indent="1" shrinkToFit="1"/>
      <protection locked="0"/>
    </xf>
    <xf numFmtId="0" fontId="0" fillId="9" borderId="0" xfId="0" applyFill="1" applyAlignment="1">
      <alignment horizontal="left" indent="1"/>
    </xf>
    <xf numFmtId="0" fontId="0" fillId="24" borderId="4" xfId="0" applyFill="1" applyBorder="1" applyAlignment="1">
      <alignment horizontal="left" vertical="center" indent="1"/>
    </xf>
    <xf numFmtId="0" fontId="11" fillId="3" borderId="9" xfId="4" applyNumberFormat="1" applyFont="1" applyFill="1" applyBorder="1" applyAlignment="1" applyProtection="1">
      <alignment horizontal="left" vertical="center" indent="1"/>
      <protection locked="0"/>
    </xf>
    <xf numFmtId="14" fontId="10" fillId="3" borderId="7" xfId="4" applyNumberFormat="1" applyFont="1" applyFill="1" applyBorder="1" applyProtection="1">
      <alignment horizontal="center" vertical="center"/>
      <protection locked="0"/>
    </xf>
    <xf numFmtId="0" fontId="0" fillId="32" borderId="0" xfId="0" applyFill="1"/>
    <xf numFmtId="0" fontId="0" fillId="32" borderId="0" xfId="0" applyFill="1" applyAlignment="1">
      <alignment horizontal="left" indent="1"/>
    </xf>
    <xf numFmtId="0" fontId="0" fillId="38" borderId="0" xfId="0" applyFill="1"/>
    <xf numFmtId="0" fontId="0" fillId="38" borderId="0" xfId="0" applyFill="1" applyAlignment="1">
      <alignment horizontal="left" indent="1"/>
    </xf>
    <xf numFmtId="0" fontId="0" fillId="24" borderId="3" xfId="0" applyFill="1" applyBorder="1" applyAlignment="1">
      <alignment horizontal="left" vertical="center" indent="1"/>
    </xf>
    <xf numFmtId="0" fontId="139" fillId="32" borderId="0" xfId="0" applyFont="1" applyFill="1" applyAlignment="1">
      <alignment vertical="top"/>
    </xf>
    <xf numFmtId="0" fontId="140" fillId="32" borderId="0" xfId="0" applyFont="1" applyFill="1" applyAlignment="1">
      <alignment vertical="top"/>
    </xf>
    <xf numFmtId="179" fontId="80" fillId="5" borderId="46" xfId="18" applyNumberFormat="1" applyFont="1" applyFill="1" applyBorder="1" applyAlignment="1">
      <alignment horizontal="left" vertical="center"/>
    </xf>
    <xf numFmtId="179" fontId="54" fillId="15" borderId="50" xfId="0" applyNumberFormat="1" applyFont="1" applyFill="1" applyBorder="1" applyAlignment="1">
      <alignment horizontal="left" vertical="center" indent="1"/>
    </xf>
    <xf numFmtId="179" fontId="54" fillId="15" borderId="51" xfId="0" applyNumberFormat="1" applyFont="1" applyFill="1" applyBorder="1" applyAlignment="1">
      <alignment horizontal="left" vertical="center" indent="1"/>
    </xf>
    <xf numFmtId="179" fontId="80" fillId="5" borderId="48" xfId="18" applyNumberFormat="1" applyFont="1" applyFill="1" applyBorder="1" applyAlignment="1">
      <alignment horizontal="left" vertical="center" indent="1"/>
    </xf>
    <xf numFmtId="179" fontId="80" fillId="5" borderId="46" xfId="18" applyNumberFormat="1" applyFont="1" applyFill="1" applyBorder="1" applyAlignment="1">
      <alignment horizontal="left" vertical="center" indent="1"/>
    </xf>
    <xf numFmtId="179" fontId="80" fillId="15" borderId="50" xfId="0" applyNumberFormat="1" applyFont="1" applyFill="1" applyBorder="1" applyAlignment="1">
      <alignment horizontal="center" vertical="center"/>
    </xf>
    <xf numFmtId="179" fontId="80" fillId="15" borderId="51" xfId="0" applyNumberFormat="1" applyFont="1" applyFill="1" applyBorder="1" applyAlignment="1">
      <alignment horizontal="center" vertical="center"/>
    </xf>
    <xf numFmtId="165" fontId="84" fillId="2" borderId="58" xfId="3" applyNumberFormat="1" applyFont="1" applyFill="1" applyBorder="1" applyAlignment="1">
      <alignment horizontal="center" vertical="center"/>
    </xf>
    <xf numFmtId="165" fontId="84" fillId="2" borderId="61" xfId="3" applyNumberFormat="1" applyFont="1" applyFill="1" applyBorder="1" applyAlignment="1">
      <alignment horizontal="center" vertical="center"/>
    </xf>
    <xf numFmtId="0" fontId="83" fillId="2" borderId="57" xfId="3" applyFont="1" applyFill="1" applyBorder="1" applyAlignment="1">
      <alignment horizontal="left" vertical="center" indent="1"/>
    </xf>
    <xf numFmtId="0" fontId="83" fillId="2" borderId="60" xfId="3" applyFont="1" applyFill="1" applyBorder="1" applyAlignment="1">
      <alignment horizontal="left" vertical="center" indent="1"/>
    </xf>
    <xf numFmtId="0" fontId="84" fillId="2" borderId="58" xfId="3" applyFont="1" applyFill="1" applyBorder="1" applyAlignment="1">
      <alignment horizontal="center" vertical="center"/>
    </xf>
    <xf numFmtId="0" fontId="84" fillId="2" borderId="61" xfId="3" applyFont="1" applyFill="1" applyBorder="1" applyAlignment="1">
      <alignment horizontal="center" vertical="center"/>
    </xf>
    <xf numFmtId="0" fontId="25" fillId="29" borderId="0" xfId="8" applyFont="1" applyFill="1" applyAlignment="1">
      <alignment horizontal="center"/>
    </xf>
    <xf numFmtId="0" fontId="25" fillId="15" borderId="0" xfId="8" applyFont="1" applyFill="1" applyAlignment="1">
      <alignment horizontal="center"/>
    </xf>
    <xf numFmtId="0" fontId="119" fillId="29" borderId="0" xfId="8" applyFont="1" applyFill="1" applyAlignment="1">
      <alignment horizontal="center"/>
    </xf>
  </cellXfs>
  <cellStyles count="32">
    <cellStyle name="ColLevel_1" xfId="1" builtinId="2" iLevel="0"/>
    <cellStyle name="Comma" xfId="17" builtinId="3"/>
    <cellStyle name="Comma 2" xfId="14" xr:uid="{FDEC7D64-9EE7-4CB1-B36F-9740BBB515A1}"/>
    <cellStyle name="Comma 3" xfId="21" xr:uid="{AC9D2A62-9F46-4C63-B190-4B2AADBD6A47}"/>
    <cellStyle name="Comma 4" xfId="22" xr:uid="{973A78FC-454A-4A4E-BAE8-8F4FE8414278}"/>
    <cellStyle name="Comma 5" xfId="7" xr:uid="{11920C3B-6BA5-4445-B50A-3230DEC22F2B}"/>
    <cellStyle name="Comma 6" xfId="29" xr:uid="{59C86456-1101-422E-B40A-E33DEC8502CB}"/>
    <cellStyle name="Currency 2" xfId="20" xr:uid="{2B1BFBDD-EAB0-4431-8D27-941EAFB906B1}"/>
    <cellStyle name="Currency 3" xfId="24" xr:uid="{D87D3795-FB17-4AF8-8742-08B62514F706}"/>
    <cellStyle name="Dark #" xfId="4" xr:uid="{F4689B4C-F145-4523-A789-4E5BB8ECAF29}"/>
    <cellStyle name="Dark $/Lot" xfId="31" xr:uid="{C01351C3-5116-45F9-B802-4995E515208F}"/>
    <cellStyle name="Dark $$" xfId="5" xr:uid="{1BEE30E3-0BC4-48EF-B70A-5B989C32EF94}"/>
    <cellStyle name="Followed Hyperlink 2" xfId="13" xr:uid="{3AA6768A-CFEA-47E7-AD4A-DE75B2F3E330}"/>
    <cellStyle name="Hyperlink 2" xfId="11" xr:uid="{8FFFEBCD-0703-4421-85BC-BF3ACE5CF401}"/>
    <cellStyle name="Hyperlink Check." xfId="10" xr:uid="{8B36AD57-9E82-4EE5-B91E-80F03043F2F8}"/>
    <cellStyle name="Normal" xfId="0" builtinId="0"/>
    <cellStyle name="Normal 11" xfId="3" xr:uid="{FB9FBF4A-8C2A-4820-8232-805ED53B63F1}"/>
    <cellStyle name="Normal 12" xfId="8" xr:uid="{B6BAA01B-64C9-4B21-AD80-C316C052083F}"/>
    <cellStyle name="Normal 17" xfId="16" xr:uid="{0AA10FAE-03E4-44A2-81E2-F6FDEF859667}"/>
    <cellStyle name="Normal 18" xfId="26" xr:uid="{D4FF1CCE-940E-4212-9D48-7C3F8850F898}"/>
    <cellStyle name="Normal 2" xfId="6" xr:uid="{390B6033-6753-4803-8CBD-8F69C83CBD0B}"/>
    <cellStyle name="Normal 2 2" xfId="12" xr:uid="{B93721D1-22AC-4C4D-BA49-88AD5C733722}"/>
    <cellStyle name="Normal 2 3" xfId="25" xr:uid="{ECC9506A-AA1D-4638-A998-562547E88D68}"/>
    <cellStyle name="Normal 3" xfId="9" xr:uid="{8D1CEDBB-6FCA-4110-8D73-E510F0597120}"/>
    <cellStyle name="Normal 4" xfId="18" xr:uid="{2E04C3EA-C330-4117-B02C-DE2266404D84}"/>
    <cellStyle name="Normal_PrescottLakes" xfId="30" xr:uid="{83823CFC-7D11-4466-B923-42E637A9B2F9}"/>
    <cellStyle name="Percent" xfId="2" builtinId="5"/>
    <cellStyle name="Percent 2" xfId="15" xr:uid="{00F42A57-0BD9-417A-B510-07B4C57BAA25}"/>
    <cellStyle name="Percent 2 2" xfId="19" xr:uid="{82E0FC29-EC30-42D7-9492-77B69B277AC3}"/>
    <cellStyle name="Percent 3" xfId="23" xr:uid="{02B66483-BE9A-47EB-9CD0-66981ED8EB02}"/>
    <cellStyle name="Percent 4" xfId="27" xr:uid="{6D220745-6C39-40B7-A39B-3FD1A5985986}"/>
    <cellStyle name="Percent 5" xfId="28" xr:uid="{924AD33B-0521-4A28-9D5D-FEE4867C3BBD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numFmt numFmtId="176" formatCode="_(#,##0.00_);\(#,##0.00\);_(&quot;-&quot;_)"/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E1E1E1"/>
        </left>
        <right style="thick">
          <color rgb="FFE1E1E1"/>
        </right>
        <top style="thick">
          <color rgb="FFE1E1E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numFmt numFmtId="168" formatCode="_(#,##0_);\(#,##0\);_(&quot;-&quot;_)"/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E1E1E1"/>
        </left>
        <right style="thick">
          <color rgb="FFE1E1E1"/>
        </right>
        <top style="thick">
          <color rgb="FFE1E1E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numFmt numFmtId="0" formatCode="General"/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E1E1E1"/>
        </left>
        <right style="thick">
          <color rgb="FFE1E1E1"/>
        </right>
        <top style="thick">
          <color rgb="FFE1E1E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numFmt numFmtId="0" formatCode="General"/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E1E1E1"/>
        </left>
        <right style="thick">
          <color rgb="FFE1E1E1"/>
        </right>
        <top style="thick">
          <color rgb="FFE1E1E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numFmt numFmtId="0" formatCode="General"/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E1E1E1"/>
        </left>
        <right style="thick">
          <color rgb="FFE1E1E1"/>
        </right>
        <top style="thick">
          <color rgb="FFE1E1E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numFmt numFmtId="0" formatCode="General"/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rgb="FFE1E1E1"/>
        </right>
        <top style="thick">
          <color rgb="FFE1E1E1"/>
        </top>
        <bottom/>
        <vertical/>
        <horizontal/>
      </border>
      <protection locked="0" hidden="0"/>
    </dxf>
    <dxf>
      <border outline="0">
        <left style="thick">
          <color rgb="FFE1E1E1"/>
        </left>
        <right style="thick">
          <color rgb="FFE1E1E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theme="2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Univers"/>
        <family val="2"/>
        <scheme val="none"/>
      </font>
      <numFmt numFmtId="175" formatCode="&quot;Start Yr &quot;0"/>
      <fill>
        <patternFill patternType="solid">
          <fgColor indexed="64"/>
          <bgColor rgb="FFFFFFF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E1E1E1"/>
        </left>
        <right style="thick">
          <color rgb="FFE1E1E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Univers"/>
        <family val="2"/>
        <scheme val="none"/>
      </font>
      <numFmt numFmtId="173" formatCode="_(#,##0_);_(\(#,##0\);_(&quot;-&quot;_)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rgb="FFE1E1E1"/>
        </right>
        <top/>
        <bottom style="thick">
          <color rgb="FFE1E1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Univers"/>
        <family val="2"/>
        <scheme val="none"/>
      </font>
      <numFmt numFmtId="173" formatCode="_(#,##0_);_(\(#,##0\);_(&quot;-&quot;_)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E1E1E1"/>
        </left>
        <right/>
        <top/>
        <bottom style="thick">
          <color rgb="FFE1E1E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F4FFF"/>
        <name val="Univers"/>
        <family val="2"/>
        <scheme val="none"/>
      </font>
      <numFmt numFmtId="171" formatCode="0.0"/>
      <fill>
        <patternFill patternType="solid">
          <fgColor indexed="64"/>
          <bgColor rgb="FFFFFFF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ck">
          <color rgb="FFE1E1E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Univers"/>
        <family val="2"/>
        <scheme val="none"/>
      </font>
      <numFmt numFmtId="171" formatCode="0.0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ck">
          <color rgb="FFE1E1E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Univers"/>
        <family val="2"/>
        <scheme val="none"/>
      </font>
      <numFmt numFmtId="201" formatCode="_(#,##0.000_);\(#,##0.000\);_(&quot;-&quot;_)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1" readingOrder="0"/>
      <border diagonalUp="0" diagonalDown="0">
        <left style="thick">
          <color rgb="FFE1E1E1"/>
        </left>
        <right style="thick">
          <color rgb="FFE1E1E1"/>
        </right>
        <top/>
        <bottom style="thick">
          <color rgb="FFE1E1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Univers"/>
        <family val="2"/>
        <scheme val="none"/>
      </font>
      <numFmt numFmtId="168" formatCode="_(#,##0_);\(#,##0\);_(&quot;-&quot;_)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1" readingOrder="0"/>
      <border diagonalUp="0" diagonalDown="0">
        <left style="thick">
          <color rgb="FFE1E1E1"/>
        </left>
        <right style="thick">
          <color rgb="FFE1E1E1"/>
        </right>
        <top/>
        <bottom style="thick">
          <color rgb="FFE1E1E1"/>
        </bottom>
        <vertical/>
        <horizontal/>
      </border>
      <protection locked="0" hidden="0"/>
    </dxf>
    <dxf>
      <border outline="0">
        <bottom style="thick">
          <color rgb="FFE1E1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Univer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niver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2"/>
      </font>
    </dxf>
    <dxf>
      <alignment vertical="center"/>
    </dxf>
    <dxf>
      <alignment vertical="center"/>
    </dxf>
    <dxf>
      <fill>
        <patternFill>
          <bgColor theme="3" tint="-0.499984740745262"/>
        </patternFill>
      </fill>
    </dxf>
    <dxf>
      <fill>
        <patternFill>
          <bgColor theme="3" tint="-0.499984740745262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font>
        <sz val="9"/>
      </font>
    </dxf>
    <dxf>
      <numFmt numFmtId="176" formatCode="_(#,##0.00_);\(#,##0.00\);_(&quot;-&quot;_)"/>
    </dxf>
    <dxf>
      <alignment horizontal="center"/>
    </dxf>
    <dxf>
      <numFmt numFmtId="176" formatCode="_(#,##0.00_);\(#,##0.00\);_(&quot;-&quot;_)"/>
    </dxf>
    <dxf>
      <font>
        <b/>
      </font>
    </dxf>
    <dxf>
      <border>
        <top style="thin">
          <color indexed="64"/>
        </top>
      </border>
    </dxf>
    <dxf>
      <alignment vertical="center"/>
    </dxf>
    <dxf>
      <alignment vertical="bottom" indent="0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border>
        <top style="thin">
          <color theme="1" tint="0.499984740745262"/>
        </top>
      </border>
    </dxf>
    <dxf>
      <fill>
        <patternFill>
          <bgColor theme="2"/>
        </patternFill>
      </fill>
    </dxf>
    <dxf>
      <font>
        <b/>
        <color auto="1"/>
        <name val="Univers"/>
      </font>
      <fill>
        <patternFill patternType="solid">
          <fgColor rgb="FFEBEBEB"/>
          <bgColor rgb="FFF0F0F0"/>
        </patternFill>
      </fill>
      <alignment vertical="center" indent="2" shrinkToFit="1"/>
      <protection locked="0"/>
    </dxf>
    <dxf>
      <font>
        <b/>
      </font>
      <alignment horizontal="right"/>
    </dxf>
    <dxf>
      <font>
        <b/>
      </font>
    </dxf>
    <dxf>
      <alignment horizontal="right"/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font>
        <b/>
      </font>
    </dxf>
    <dxf>
      <numFmt numFmtId="168" formatCode="_(#,##0_);\(#,##0\);_(&quot;-&quot;_)"/>
    </dxf>
    <dxf>
      <alignment horizontal="right"/>
    </dxf>
    <dxf>
      <alignment wrapText="1"/>
    </dxf>
    <dxf>
      <font>
        <b/>
      </font>
    </dxf>
    <dxf>
      <alignment horizontal="left" relativeIndent="1"/>
    </dxf>
    <dxf>
      <alignment horizontal="general"/>
    </dxf>
  </dxfs>
  <tableStyles count="0" defaultTableStyle="TableStyleMedium2" defaultPivotStyle="PivotStyleLight16"/>
  <colors>
    <mruColors>
      <color rgb="FF2DFF8C"/>
      <color rgb="FF13213D"/>
      <color rgb="FFFAFAFA"/>
      <color rgb="FFFFF1F1"/>
      <color rgb="FFE6E6E6"/>
      <color rgb="FFE1E1E1"/>
      <color rgb="FFEBEBEB"/>
      <color rgb="FFFFFFF0"/>
      <color rgb="FF0000FF"/>
      <color rgb="FFD2D2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Project!D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11563</xdr:colOff>
      <xdr:row>6</xdr:row>
      <xdr:rowOff>15867</xdr:rowOff>
    </xdr:from>
    <xdr:to>
      <xdr:col>1</xdr:col>
      <xdr:colOff>1383163</xdr:colOff>
      <xdr:row>6</xdr:row>
      <xdr:rowOff>198747</xdr:rowOff>
    </xdr:to>
    <xdr:sp macro="[0]!LandUseInputButton" textlink="">
      <xdr:nvSpPr>
        <xdr:cNvPr id="2" name="Rectangle 1">
          <a:extLst>
            <a:ext uri="{FF2B5EF4-FFF2-40B4-BE49-F238E27FC236}">
              <a16:creationId xmlns:a16="http://schemas.microsoft.com/office/drawing/2014/main" id="{B9A4E06E-B42A-430D-BCA2-8DF6153C95C5}"/>
            </a:ext>
          </a:extLst>
        </xdr:cNvPr>
        <xdr:cNvSpPr/>
      </xdr:nvSpPr>
      <xdr:spPr>
        <a:xfrm>
          <a:off x="116338" y="1406517"/>
          <a:ext cx="895350" cy="182880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</xdr:row>
      <xdr:rowOff>17318</xdr:rowOff>
    </xdr:from>
    <xdr:to>
      <xdr:col>1</xdr:col>
      <xdr:colOff>1342159</xdr:colOff>
      <xdr:row>1</xdr:row>
      <xdr:rowOff>294408</xdr:rowOff>
    </xdr:to>
    <xdr:sp macro="[0]!LandUseInputButton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E66B2C-358D-4673-AD14-5FC2DC398BD8}"/>
            </a:ext>
          </a:extLst>
        </xdr:cNvPr>
        <xdr:cNvSpPr/>
      </xdr:nvSpPr>
      <xdr:spPr>
        <a:xfrm>
          <a:off x="104775" y="226868"/>
          <a:ext cx="904009" cy="191365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</xdr:colOff>
      <xdr:row>5</xdr:row>
      <xdr:rowOff>15240</xdr:rowOff>
    </xdr:from>
    <xdr:to>
      <xdr:col>1</xdr:col>
      <xdr:colOff>1379220</xdr:colOff>
      <xdr:row>5</xdr:row>
      <xdr:rowOff>198120</xdr:rowOff>
    </xdr:to>
    <xdr:sp macro="[0]!SaleInputButton" textlink="">
      <xdr:nvSpPr>
        <xdr:cNvPr id="4" name="Rectangle 3">
          <a:extLst>
            <a:ext uri="{FF2B5EF4-FFF2-40B4-BE49-F238E27FC236}">
              <a16:creationId xmlns:a16="http://schemas.microsoft.com/office/drawing/2014/main" id="{83C46744-9A7B-4FFC-904D-519A8779C42A}"/>
            </a:ext>
          </a:extLst>
        </xdr:cNvPr>
        <xdr:cNvSpPr/>
      </xdr:nvSpPr>
      <xdr:spPr>
        <a:xfrm>
          <a:off x="112395" y="1186815"/>
          <a:ext cx="895350" cy="182880"/>
        </a:xfrm>
        <a:prstGeom prst="rect">
          <a:avLst/>
        </a:prstGeom>
        <a:noFill/>
        <a:ln w="3175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11563</xdr:colOff>
      <xdr:row>7</xdr:row>
      <xdr:rowOff>24552</xdr:rowOff>
    </xdr:from>
    <xdr:to>
      <xdr:col>1</xdr:col>
      <xdr:colOff>1383163</xdr:colOff>
      <xdr:row>7</xdr:row>
      <xdr:rowOff>205115</xdr:rowOff>
    </xdr:to>
    <xdr:sp macro="[0]!ParcelInputButton" textlink="">
      <xdr:nvSpPr>
        <xdr:cNvPr id="5" name="Rectangle 4">
          <a:extLst>
            <a:ext uri="{FF2B5EF4-FFF2-40B4-BE49-F238E27FC236}">
              <a16:creationId xmlns:a16="http://schemas.microsoft.com/office/drawing/2014/main" id="{6DFEA8C1-824A-4E26-BFC2-CCDDDE35BD31}"/>
            </a:ext>
          </a:extLst>
        </xdr:cNvPr>
        <xdr:cNvSpPr/>
      </xdr:nvSpPr>
      <xdr:spPr>
        <a:xfrm>
          <a:off x="116338" y="1653327"/>
          <a:ext cx="895350" cy="180563"/>
        </a:xfrm>
        <a:prstGeom prst="rect">
          <a:avLst/>
        </a:prstGeom>
        <a:noFill/>
        <a:ln w="3175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7620</xdr:colOff>
      <xdr:row>8</xdr:row>
      <xdr:rowOff>17557</xdr:rowOff>
    </xdr:from>
    <xdr:to>
      <xdr:col>1</xdr:col>
      <xdr:colOff>1379220</xdr:colOff>
      <xdr:row>8</xdr:row>
      <xdr:rowOff>198120</xdr:rowOff>
    </xdr:to>
    <xdr:sp macro="[0]!LandPlanButton" textlink="">
      <xdr:nvSpPr>
        <xdr:cNvPr id="6" name="Rectangle 5">
          <a:extLst>
            <a:ext uri="{FF2B5EF4-FFF2-40B4-BE49-F238E27FC236}">
              <a16:creationId xmlns:a16="http://schemas.microsoft.com/office/drawing/2014/main" id="{A5F5EC41-C516-4908-A41F-C53EBAEF84EA}"/>
            </a:ext>
          </a:extLst>
        </xdr:cNvPr>
        <xdr:cNvSpPr/>
      </xdr:nvSpPr>
      <xdr:spPr>
        <a:xfrm>
          <a:off x="112395" y="1884457"/>
          <a:ext cx="895350" cy="180563"/>
        </a:xfrm>
        <a:prstGeom prst="rect">
          <a:avLst/>
        </a:prstGeom>
        <a:noFill/>
        <a:ln w="3175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11563</xdr:colOff>
      <xdr:row>6</xdr:row>
      <xdr:rowOff>15867</xdr:rowOff>
    </xdr:from>
    <xdr:to>
      <xdr:col>1</xdr:col>
      <xdr:colOff>1383163</xdr:colOff>
      <xdr:row>6</xdr:row>
      <xdr:rowOff>196430</xdr:rowOff>
    </xdr:to>
    <xdr:sp macro="[0]!LandUseInputButton" textlink="">
      <xdr:nvSpPr>
        <xdr:cNvPr id="7" name="Rectangle 6">
          <a:extLst>
            <a:ext uri="{FF2B5EF4-FFF2-40B4-BE49-F238E27FC236}">
              <a16:creationId xmlns:a16="http://schemas.microsoft.com/office/drawing/2014/main" id="{8696836A-678E-4777-86B8-74ABF69F7920}"/>
            </a:ext>
          </a:extLst>
        </xdr:cNvPr>
        <xdr:cNvSpPr/>
      </xdr:nvSpPr>
      <xdr:spPr>
        <a:xfrm>
          <a:off x="116338" y="1406517"/>
          <a:ext cx="895350" cy="180563"/>
        </a:xfrm>
        <a:prstGeom prst="rect">
          <a:avLst/>
        </a:prstGeom>
        <a:noFill/>
        <a:ln w="3175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47624</xdr:rowOff>
    </xdr:from>
    <xdr:to>
      <xdr:col>16</xdr:col>
      <xdr:colOff>0</xdr:colOff>
      <xdr:row>10</xdr:row>
      <xdr:rowOff>257175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E06EA5-ECDB-40FF-BD3F-B962D2A5A3E3}"/>
            </a:ext>
          </a:extLst>
        </xdr:cNvPr>
        <xdr:cNvSpPr/>
      </xdr:nvSpPr>
      <xdr:spPr>
        <a:xfrm>
          <a:off x="1257300" y="428624"/>
          <a:ext cx="8305800" cy="4667251"/>
        </a:xfrm>
        <a:prstGeom prst="rect">
          <a:avLst/>
        </a:prstGeom>
        <a:noFill/>
        <a:ln w="762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000" b="1">
            <a:solidFill>
              <a:schemeClr val="tx2">
                <a:lumMod val="50000"/>
              </a:schemeClr>
            </a:solidFill>
            <a:latin typeface="Univers" panose="020B0503020202020204" pitchFamily="34" charset="0"/>
          </a:endParaRPr>
        </a:p>
        <a:p>
          <a:pPr algn="ctr"/>
          <a:r>
            <a:rPr lang="en-US" sz="2400" b="1">
              <a:solidFill>
                <a:schemeClr val="tx2">
                  <a:lumMod val="50000"/>
                </a:schemeClr>
              </a:solidFill>
              <a:latin typeface="Univers" panose="020B0503020202020204" pitchFamily="34" charset="0"/>
            </a:rPr>
            <a:t>Plan Area 1</a:t>
          </a:r>
          <a:endParaRPr lang="en-US" sz="1100" b="1">
            <a:solidFill>
              <a:schemeClr val="tx2">
                <a:lumMod val="50000"/>
              </a:schemeClr>
            </a:solidFill>
            <a:latin typeface="Univers" panose="020B0503020202020204" pitchFamily="34" charset="0"/>
          </a:endParaRPr>
        </a:p>
      </xdr:txBody>
    </xdr:sp>
    <xdr:clientData/>
  </xdr:twoCellAnchor>
  <xdr:twoCellAnchor>
    <xdr:from>
      <xdr:col>2</xdr:col>
      <xdr:colOff>114300</xdr:colOff>
      <xdr:row>3</xdr:row>
      <xdr:rowOff>180976</xdr:rowOff>
    </xdr:from>
    <xdr:to>
      <xdr:col>8</xdr:col>
      <xdr:colOff>28575</xdr:colOff>
      <xdr:row>9</xdr:row>
      <xdr:rowOff>428626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F8319AF8-FC01-430D-B605-E4187E32E9B6}"/>
            </a:ext>
          </a:extLst>
        </xdr:cNvPr>
        <xdr:cNvGrpSpPr/>
      </xdr:nvGrpSpPr>
      <xdr:grpSpPr>
        <a:xfrm>
          <a:off x="876300" y="1323976"/>
          <a:ext cx="3343275" cy="3359150"/>
          <a:chOff x="1809750" y="1447801"/>
          <a:chExt cx="3400425" cy="339090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C5CC734-15E1-42FE-92C1-292584D1FE6E}"/>
              </a:ext>
            </a:extLst>
          </xdr:cNvPr>
          <xdr:cNvSpPr/>
        </xdr:nvSpPr>
        <xdr:spPr>
          <a:xfrm>
            <a:off x="1809750" y="1447801"/>
            <a:ext cx="3400425" cy="3390900"/>
          </a:xfrm>
          <a:prstGeom prst="rect">
            <a:avLst/>
          </a:prstGeom>
          <a:noFill/>
          <a:ln w="38100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solidFill>
                  <a:schemeClr val="tx2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Development Phase 1</a:t>
            </a:r>
            <a:endParaRPr lang="en-US" sz="1100" b="1">
              <a:solidFill>
                <a:schemeClr val="tx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6380F58B-72EA-4D6F-85F5-676812D01711}"/>
              </a:ext>
            </a:extLst>
          </xdr:cNvPr>
          <xdr:cNvGrpSpPr/>
        </xdr:nvGrpSpPr>
        <xdr:grpSpPr>
          <a:xfrm>
            <a:off x="2038351" y="2028825"/>
            <a:ext cx="2790824" cy="2581275"/>
            <a:chOff x="2533650" y="2066925"/>
            <a:chExt cx="3343275" cy="2962275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9AE3A94D-765B-4884-A18C-0C2191B90D3E}"/>
                </a:ext>
              </a:extLst>
            </xdr:cNvPr>
            <xdr:cNvSpPr/>
          </xdr:nvSpPr>
          <xdr:spPr>
            <a:xfrm>
              <a:off x="2543175" y="2066925"/>
              <a:ext cx="1019175" cy="86677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1.101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14.5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55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1FEE587B-4B2A-4D40-A2CB-89063095FB41}"/>
                </a:ext>
              </a:extLst>
            </xdr:cNvPr>
            <xdr:cNvSpPr/>
          </xdr:nvSpPr>
          <xdr:spPr>
            <a:xfrm>
              <a:off x="3695700" y="2066925"/>
              <a:ext cx="1019175" cy="88582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75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E4B2A74D-DD05-4898-8102-39C73089097C}"/>
                </a:ext>
              </a:extLst>
            </xdr:cNvPr>
            <xdr:cNvSpPr/>
          </xdr:nvSpPr>
          <xdr:spPr>
            <a:xfrm>
              <a:off x="4819650" y="2076450"/>
              <a:ext cx="1057275" cy="88582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1.103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22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88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6038FF4C-AF8F-4EB0-A2A4-572C45901E25}"/>
                </a:ext>
              </a:extLst>
            </xdr:cNvPr>
            <xdr:cNvSpPr/>
          </xdr:nvSpPr>
          <xdr:spPr>
            <a:xfrm>
              <a:off x="2533650" y="3086100"/>
              <a:ext cx="1019175" cy="866775"/>
            </a:xfrm>
            <a:prstGeom prst="rect">
              <a:avLst/>
            </a:prstGeom>
            <a:solidFill>
              <a:srgbClr val="FFF1B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1.104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LDR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30.5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65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1FD52288-D0FF-4409-9E05-C8B2ACF6A97A}"/>
                </a:ext>
              </a:extLst>
            </xdr:cNvPr>
            <xdr:cNvSpPr/>
          </xdr:nvSpPr>
          <xdr:spPr>
            <a:xfrm>
              <a:off x="3686175" y="3086100"/>
              <a:ext cx="1019175" cy="885825"/>
            </a:xfrm>
            <a:prstGeom prst="rect">
              <a:avLst/>
            </a:prstGeom>
            <a:solidFill>
              <a:srgbClr val="EDC9DB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HDR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300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875B778E-083E-4CAD-A478-C511D1CA6EDD}"/>
                </a:ext>
              </a:extLst>
            </xdr:cNvPr>
            <xdr:cNvSpPr/>
          </xdr:nvSpPr>
          <xdr:spPr>
            <a:xfrm>
              <a:off x="4810125" y="3095625"/>
              <a:ext cx="1057275" cy="885825"/>
            </a:xfrm>
            <a:prstGeom prst="rect">
              <a:avLst/>
            </a:prstGeom>
            <a:solidFill>
              <a:srgbClr val="FFC5C5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1.106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C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15</a:t>
              </a: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EA316CA-9014-4679-8773-8DD7C3C5591E}"/>
                </a:ext>
              </a:extLst>
            </xdr:cNvPr>
            <xdr:cNvSpPr/>
          </xdr:nvSpPr>
          <xdr:spPr>
            <a:xfrm>
              <a:off x="2543175" y="4133850"/>
              <a:ext cx="1019175" cy="86677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1.107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14.5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55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14C80C1A-9C10-4B78-9A2D-CBE6B1A63690}"/>
                </a:ext>
              </a:extLst>
            </xdr:cNvPr>
            <xdr:cNvSpPr/>
          </xdr:nvSpPr>
          <xdr:spPr>
            <a:xfrm>
              <a:off x="3695700" y="4133850"/>
              <a:ext cx="1019175" cy="88582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1.108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75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5685E63F-3548-4760-888C-BC1ED9D0DD41}"/>
                </a:ext>
              </a:extLst>
            </xdr:cNvPr>
            <xdr:cNvSpPr/>
          </xdr:nvSpPr>
          <xdr:spPr>
            <a:xfrm>
              <a:off x="4819650" y="4143375"/>
              <a:ext cx="1057275" cy="88582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1.109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22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88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9</xdr:col>
      <xdr:colOff>28575</xdr:colOff>
      <xdr:row>3</xdr:row>
      <xdr:rowOff>171450</xdr:rowOff>
    </xdr:from>
    <xdr:to>
      <xdr:col>14</xdr:col>
      <xdr:colOff>523875</xdr:colOff>
      <xdr:row>9</xdr:row>
      <xdr:rowOff>419100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4100584-8F27-4033-92CB-B4961A5C1B3D}"/>
            </a:ext>
          </a:extLst>
        </xdr:cNvPr>
        <xdr:cNvGrpSpPr/>
      </xdr:nvGrpSpPr>
      <xdr:grpSpPr>
        <a:xfrm>
          <a:off x="4791075" y="1314450"/>
          <a:ext cx="3352800" cy="3359150"/>
          <a:chOff x="1809750" y="1447801"/>
          <a:chExt cx="3400425" cy="339090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11D949A3-0CBF-448B-A5B5-73E6A24A6D1B}"/>
              </a:ext>
            </a:extLst>
          </xdr:cNvPr>
          <xdr:cNvSpPr/>
        </xdr:nvSpPr>
        <xdr:spPr>
          <a:xfrm>
            <a:off x="1809750" y="1447801"/>
            <a:ext cx="3400425" cy="3390900"/>
          </a:xfrm>
          <a:prstGeom prst="rect">
            <a:avLst/>
          </a:prstGeom>
          <a:noFill/>
          <a:ln w="38100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solidFill>
                  <a:schemeClr val="tx2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Development Phase 2</a:t>
            </a:r>
            <a:endParaRPr lang="en-US" sz="1100" b="1">
              <a:solidFill>
                <a:schemeClr val="tx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8201E6DF-BA54-44F5-A4ED-BBF86418E8CD}"/>
              </a:ext>
            </a:extLst>
          </xdr:cNvPr>
          <xdr:cNvGrpSpPr/>
        </xdr:nvGrpSpPr>
        <xdr:grpSpPr>
          <a:xfrm>
            <a:off x="2038351" y="2028825"/>
            <a:ext cx="2846399" cy="1714501"/>
            <a:chOff x="2533650" y="2066925"/>
            <a:chExt cx="3409852" cy="1967564"/>
          </a:xfrm>
        </xdr:grpSpPr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EBE35879-DC3B-4342-B81C-39C3729C0BF2}"/>
                </a:ext>
              </a:extLst>
            </xdr:cNvPr>
            <xdr:cNvSpPr/>
          </xdr:nvSpPr>
          <xdr:spPr>
            <a:xfrm>
              <a:off x="2543175" y="2066925"/>
              <a:ext cx="1083354" cy="918673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1.201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14.5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55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FF7C6B8A-48C1-4B59-B1D3-BC84AD370D63}"/>
                </a:ext>
              </a:extLst>
            </xdr:cNvPr>
            <xdr:cNvSpPr/>
          </xdr:nvSpPr>
          <xdr:spPr>
            <a:xfrm>
              <a:off x="3695700" y="2066925"/>
              <a:ext cx="1083354" cy="938864"/>
            </a:xfrm>
            <a:prstGeom prst="rect">
              <a:avLst/>
            </a:prstGeom>
            <a:solidFill>
              <a:srgbClr val="FFC979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1.202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MHDR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75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B8224F91-9BDC-4FCB-8488-218FCBC9649E}"/>
                </a:ext>
              </a:extLst>
            </xdr:cNvPr>
            <xdr:cNvSpPr/>
          </xdr:nvSpPr>
          <xdr:spPr>
            <a:xfrm>
              <a:off x="4819649" y="2076450"/>
              <a:ext cx="1123853" cy="938864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1.203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22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88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A5A0D6D3-A9BE-40CE-9511-D51FAD06AA57}"/>
                </a:ext>
              </a:extLst>
            </xdr:cNvPr>
            <xdr:cNvSpPr/>
          </xdr:nvSpPr>
          <xdr:spPr>
            <a:xfrm>
              <a:off x="2533650" y="3086100"/>
              <a:ext cx="1083354" cy="918673"/>
            </a:xfrm>
            <a:prstGeom prst="rect">
              <a:avLst/>
            </a:prstGeom>
            <a:solidFill>
              <a:srgbClr val="FFF1B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1.204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LDR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30.5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65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10DB490B-3ADC-4751-921F-2E2F722606D8}"/>
                </a:ext>
              </a:extLst>
            </xdr:cNvPr>
            <xdr:cNvSpPr/>
          </xdr:nvSpPr>
          <xdr:spPr>
            <a:xfrm>
              <a:off x="3686175" y="3086100"/>
              <a:ext cx="1083354" cy="938864"/>
            </a:xfrm>
            <a:prstGeom prst="rect">
              <a:avLst/>
            </a:prstGeom>
            <a:solidFill>
              <a:srgbClr val="EDC9DB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1.205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HDR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300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7EE955AD-82C9-426F-9C86-5D29B95C31DC}"/>
                </a:ext>
              </a:extLst>
            </xdr:cNvPr>
            <xdr:cNvSpPr/>
          </xdr:nvSpPr>
          <xdr:spPr>
            <a:xfrm>
              <a:off x="4810124" y="3095625"/>
              <a:ext cx="1123853" cy="938864"/>
            </a:xfrm>
            <a:prstGeom prst="rect">
              <a:avLst/>
            </a:prstGeom>
            <a:solidFill>
              <a:srgbClr val="FFC5C5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1.206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C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15</a:t>
              </a: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17</xdr:col>
      <xdr:colOff>0</xdr:colOff>
      <xdr:row>1</xdr:row>
      <xdr:rowOff>45357</xdr:rowOff>
    </xdr:from>
    <xdr:to>
      <xdr:col>30</xdr:col>
      <xdr:colOff>647700</xdr:colOff>
      <xdr:row>10</xdr:row>
      <xdr:rowOff>254908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8D05DBC-268D-4E81-8773-AB11CD6D840A}"/>
            </a:ext>
          </a:extLst>
        </xdr:cNvPr>
        <xdr:cNvSpPr/>
      </xdr:nvSpPr>
      <xdr:spPr>
        <a:xfrm>
          <a:off x="9105446" y="430893"/>
          <a:ext cx="8245022" cy="4699908"/>
        </a:xfrm>
        <a:prstGeom prst="rect">
          <a:avLst/>
        </a:prstGeom>
        <a:noFill/>
        <a:ln w="762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900" b="1">
            <a:solidFill>
              <a:schemeClr val="tx2">
                <a:lumMod val="50000"/>
              </a:schemeClr>
            </a:solidFill>
            <a:latin typeface="Univers" panose="020B0503020202020204" pitchFamily="34" charset="0"/>
          </a:endParaRPr>
        </a:p>
        <a:p>
          <a:pPr algn="ctr"/>
          <a:r>
            <a:rPr lang="en-US" sz="1100" b="1">
              <a:solidFill>
                <a:schemeClr val="tx2">
                  <a:lumMod val="50000"/>
                </a:schemeClr>
              </a:solidFill>
              <a:latin typeface="Univers" panose="020B0503020202020204" pitchFamily="34" charset="0"/>
            </a:rPr>
            <a:t>Plan Area 1</a:t>
          </a:r>
        </a:p>
        <a:p>
          <a:pPr algn="ctr"/>
          <a:r>
            <a:rPr lang="en-US" sz="1800" b="1">
              <a:solidFill>
                <a:schemeClr val="tx2">
                  <a:lumMod val="50000"/>
                </a:schemeClr>
              </a:solidFill>
              <a:latin typeface="Univers" panose="020B0503020202020204" pitchFamily="34" charset="0"/>
            </a:rPr>
            <a:t>Development</a:t>
          </a:r>
          <a:r>
            <a:rPr lang="en-US" sz="1800" b="1" baseline="0">
              <a:solidFill>
                <a:schemeClr val="tx2">
                  <a:lumMod val="50000"/>
                </a:schemeClr>
              </a:solidFill>
              <a:latin typeface="Univers" panose="020B0503020202020204" pitchFamily="34" charset="0"/>
            </a:rPr>
            <a:t> Phase 1</a:t>
          </a:r>
          <a:endParaRPr lang="en-US" sz="1800" b="1">
            <a:solidFill>
              <a:schemeClr val="tx2">
                <a:lumMod val="50000"/>
              </a:schemeClr>
            </a:solidFill>
            <a:latin typeface="Univers" panose="020B0503020202020204" pitchFamily="34" charset="0"/>
          </a:endParaRPr>
        </a:p>
      </xdr:txBody>
    </xdr:sp>
    <xdr:clientData/>
  </xdr:twoCellAnchor>
  <xdr:twoCellAnchor>
    <xdr:from>
      <xdr:col>18</xdr:col>
      <xdr:colOff>104775</xdr:colOff>
      <xdr:row>3</xdr:row>
      <xdr:rowOff>152402</xdr:rowOff>
    </xdr:from>
    <xdr:to>
      <xdr:col>29</xdr:col>
      <xdr:colOff>409575</xdr:colOff>
      <xdr:row>9</xdr:row>
      <xdr:rowOff>400052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8ECE08B-6A87-4191-A3F4-49D1DA834960}"/>
            </a:ext>
          </a:extLst>
        </xdr:cNvPr>
        <xdr:cNvGrpSpPr/>
      </xdr:nvGrpSpPr>
      <xdr:grpSpPr>
        <a:xfrm>
          <a:off x="9439275" y="1295402"/>
          <a:ext cx="6705600" cy="3359150"/>
          <a:chOff x="1809750" y="1447801"/>
          <a:chExt cx="6877050" cy="3390900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AA5A04F6-6F2A-4870-94AB-047A7E276D79}"/>
              </a:ext>
            </a:extLst>
          </xdr:cNvPr>
          <xdr:cNvSpPr/>
        </xdr:nvSpPr>
        <xdr:spPr>
          <a:xfrm>
            <a:off x="1809750" y="1447801"/>
            <a:ext cx="3400425" cy="3390900"/>
          </a:xfrm>
          <a:prstGeom prst="rect">
            <a:avLst/>
          </a:prstGeom>
          <a:noFill/>
          <a:ln w="38100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solidFill>
                  <a:schemeClr val="tx2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Sale Phase 1</a:t>
            </a:r>
            <a:endParaRPr lang="en-US" sz="1100" b="1">
              <a:solidFill>
                <a:schemeClr val="tx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99D813CD-B0FC-41E2-B313-3276FCF9D33C}"/>
              </a:ext>
            </a:extLst>
          </xdr:cNvPr>
          <xdr:cNvGrpSpPr/>
        </xdr:nvGrpSpPr>
        <xdr:grpSpPr>
          <a:xfrm>
            <a:off x="2038351" y="2028825"/>
            <a:ext cx="6648449" cy="1763352"/>
            <a:chOff x="2533650" y="2066925"/>
            <a:chExt cx="7964527" cy="2023625"/>
          </a:xfrm>
        </xdr:grpSpPr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914D5101-5393-41E9-9E9E-312F9057A65C}"/>
                </a:ext>
              </a:extLst>
            </xdr:cNvPr>
            <xdr:cNvSpPr/>
          </xdr:nvSpPr>
          <xdr:spPr>
            <a:xfrm>
              <a:off x="2543175" y="2066925"/>
              <a:ext cx="1019175" cy="86677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1.101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14.5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55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33A0D319-C829-4BAE-B6AA-555E47DAF2CE}"/>
                </a:ext>
              </a:extLst>
            </xdr:cNvPr>
            <xdr:cNvSpPr/>
          </xdr:nvSpPr>
          <xdr:spPr>
            <a:xfrm>
              <a:off x="3695700" y="2066925"/>
              <a:ext cx="1019175" cy="88582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75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079242CF-0071-4E91-B6F8-F309CB6007E3}"/>
                </a:ext>
              </a:extLst>
            </xdr:cNvPr>
            <xdr:cNvSpPr/>
          </xdr:nvSpPr>
          <xdr:spPr>
            <a:xfrm>
              <a:off x="4819650" y="2076450"/>
              <a:ext cx="1057275" cy="88582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1.103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22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88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105DD1B7-F764-4026-8F1C-4DC7805E7C77}"/>
                </a:ext>
              </a:extLst>
            </xdr:cNvPr>
            <xdr:cNvSpPr/>
          </xdr:nvSpPr>
          <xdr:spPr>
            <a:xfrm>
              <a:off x="2533650" y="3086100"/>
              <a:ext cx="1019175" cy="866775"/>
            </a:xfrm>
            <a:prstGeom prst="rect">
              <a:avLst/>
            </a:prstGeom>
            <a:solidFill>
              <a:srgbClr val="FFF1B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1.104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LDR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30.5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65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14DCCEAD-F96D-4F3C-8347-4C0A5E7E2FBD}"/>
                </a:ext>
              </a:extLst>
            </xdr:cNvPr>
            <xdr:cNvSpPr/>
          </xdr:nvSpPr>
          <xdr:spPr>
            <a:xfrm>
              <a:off x="7143556" y="2102318"/>
              <a:ext cx="1019175" cy="885826"/>
            </a:xfrm>
            <a:prstGeom prst="rect">
              <a:avLst/>
            </a:prstGeom>
            <a:solidFill>
              <a:srgbClr val="EDC9DB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HDR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300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C96C7FDD-5D23-42EF-976F-DA9BCE901B71}"/>
                </a:ext>
              </a:extLst>
            </xdr:cNvPr>
            <xdr:cNvSpPr/>
          </xdr:nvSpPr>
          <xdr:spPr>
            <a:xfrm>
              <a:off x="8290328" y="2122774"/>
              <a:ext cx="1057275" cy="885826"/>
            </a:xfrm>
            <a:prstGeom prst="rect">
              <a:avLst/>
            </a:prstGeom>
            <a:solidFill>
              <a:srgbClr val="FFC5C5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1.106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C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15</a:t>
              </a: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47A64C0F-CAC8-425D-9B3A-CAC323FBC6C4}"/>
                </a:ext>
              </a:extLst>
            </xdr:cNvPr>
            <xdr:cNvSpPr/>
          </xdr:nvSpPr>
          <xdr:spPr>
            <a:xfrm>
              <a:off x="3786919" y="3084483"/>
              <a:ext cx="1019175" cy="866775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1.107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14.5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55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27CEBE53-9EE0-41E5-B167-A40DCC0FA988}"/>
                </a:ext>
              </a:extLst>
            </xdr:cNvPr>
            <xdr:cNvSpPr/>
          </xdr:nvSpPr>
          <xdr:spPr>
            <a:xfrm>
              <a:off x="7187313" y="3204724"/>
              <a:ext cx="1019175" cy="885826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1.108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17.5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75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EC92D73C-9257-40A5-92E3-5047A5F71C90}"/>
                </a:ext>
              </a:extLst>
            </xdr:cNvPr>
            <xdr:cNvSpPr/>
          </xdr:nvSpPr>
          <xdr:spPr>
            <a:xfrm>
              <a:off x="9440902" y="2121157"/>
              <a:ext cx="1057275" cy="885826"/>
            </a:xfrm>
            <a:prstGeom prst="rect">
              <a:avLst/>
            </a:prstGeom>
            <a:solidFill>
              <a:srgbClr val="FFDBA7"/>
            </a:solidFill>
            <a:ln w="12700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Parcel:   1.109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Use:       MDR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Acres:    22</a:t>
              </a:r>
            </a:p>
            <a:p>
              <a:pPr algn="l"/>
              <a:r>
                <a:rPr lang="en-US" sz="900">
                  <a:solidFill>
                    <a:sysClr val="windowText" lastClr="000000"/>
                  </a:solidFill>
                </a:rPr>
                <a:t>Units: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   88</a:t>
              </a:r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  <a:p>
              <a:pPr algn="l"/>
              <a:endParaRPr lang="en-US" sz="9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25</xdr:col>
      <xdr:colOff>209550</xdr:colOff>
      <xdr:row>3</xdr:row>
      <xdr:rowOff>123826</xdr:rowOff>
    </xdr:from>
    <xdr:to>
      <xdr:col>30</xdr:col>
      <xdr:colOff>180975</xdr:colOff>
      <xdr:row>9</xdr:row>
      <xdr:rowOff>371476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B53D1C-A0ED-427D-BA09-019F1284D208}"/>
            </a:ext>
          </a:extLst>
        </xdr:cNvPr>
        <xdr:cNvSpPr/>
      </xdr:nvSpPr>
      <xdr:spPr>
        <a:xfrm>
          <a:off x="15192375" y="1266826"/>
          <a:ext cx="3400425" cy="3390900"/>
        </a:xfrm>
        <a:prstGeom prst="rect">
          <a:avLst/>
        </a:prstGeom>
        <a:noFill/>
        <a:ln w="381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Sale Phase 2</a:t>
          </a:r>
          <a:endParaRPr lang="en-US" sz="1100" b="1">
            <a:solidFill>
              <a:schemeClr val="tx2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rtolita2019-1024(CO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General"/>
      <sheetName val="i.Property"/>
      <sheetName val="i.Revenue"/>
      <sheetName val="i.Costs"/>
      <sheetName val="i.Finance"/>
      <sheetName val="mProject"/>
      <sheetName val="mCFD"/>
      <sheetName val="mLists"/>
      <sheetName val="r.CashflowM"/>
      <sheetName val="r.CashFlowA"/>
      <sheetName val="r.Static P&amp;L"/>
      <sheetName val="Tortolita2019-1024(COE)"/>
    </sheetNames>
    <sheetDataSet>
      <sheetData sheetId="0"/>
      <sheetData sheetId="1">
        <row r="22">
          <cell r="I22">
            <v>0</v>
          </cell>
        </row>
      </sheetData>
      <sheetData sheetId="2"/>
      <sheetData sheetId="3"/>
      <sheetData sheetId="4">
        <row r="29">
          <cell r="O29">
            <v>0</v>
          </cell>
        </row>
        <row r="58">
          <cell r="O58">
            <v>0.78500000000000003</v>
          </cell>
        </row>
        <row r="61">
          <cell r="O61">
            <v>4.25</v>
          </cell>
        </row>
        <row r="62">
          <cell r="O62">
            <v>25</v>
          </cell>
        </row>
        <row r="63">
          <cell r="O63">
            <v>0.05</v>
          </cell>
        </row>
        <row r="64">
          <cell r="O64">
            <v>0.95</v>
          </cell>
        </row>
        <row r="65">
          <cell r="O65">
            <v>0.3</v>
          </cell>
        </row>
        <row r="70">
          <cell r="O70">
            <v>0.94</v>
          </cell>
        </row>
      </sheetData>
      <sheetData sheetId="5">
        <row r="11">
          <cell r="V11">
            <v>1</v>
          </cell>
          <cell r="W11">
            <v>295000</v>
          </cell>
          <cell r="KB11">
            <v>0</v>
          </cell>
        </row>
        <row r="12">
          <cell r="V12">
            <v>1</v>
          </cell>
          <cell r="W12">
            <v>295000</v>
          </cell>
          <cell r="KB12">
            <v>0</v>
          </cell>
        </row>
        <row r="13">
          <cell r="V13">
            <v>1</v>
          </cell>
          <cell r="W13">
            <v>295000</v>
          </cell>
          <cell r="KB13">
            <v>0</v>
          </cell>
        </row>
        <row r="14">
          <cell r="V14">
            <v>1</v>
          </cell>
          <cell r="W14">
            <v>295000</v>
          </cell>
          <cell r="KB14">
            <v>0</v>
          </cell>
        </row>
        <row r="15">
          <cell r="V15">
            <v>1</v>
          </cell>
          <cell r="W15">
            <v>295000</v>
          </cell>
          <cell r="KB15">
            <v>0</v>
          </cell>
        </row>
        <row r="16">
          <cell r="V16">
            <v>1</v>
          </cell>
          <cell r="W16">
            <v>295000</v>
          </cell>
          <cell r="KB16">
            <v>0</v>
          </cell>
        </row>
        <row r="17">
          <cell r="V17">
            <v>1</v>
          </cell>
          <cell r="W17">
            <v>295000</v>
          </cell>
          <cell r="KB17">
            <v>0</v>
          </cell>
        </row>
        <row r="18">
          <cell r="V18">
            <v>1</v>
          </cell>
          <cell r="W18">
            <v>295000</v>
          </cell>
          <cell r="KB18">
            <v>0</v>
          </cell>
        </row>
        <row r="19">
          <cell r="V19">
            <v>1</v>
          </cell>
          <cell r="W19">
            <v>295000</v>
          </cell>
          <cell r="KB19">
            <v>0</v>
          </cell>
        </row>
        <row r="20">
          <cell r="V20">
            <v>1</v>
          </cell>
          <cell r="W20">
            <v>295000</v>
          </cell>
          <cell r="KB20">
            <v>0</v>
          </cell>
        </row>
        <row r="21">
          <cell r="V21">
            <v>1</v>
          </cell>
          <cell r="W21">
            <v>295000</v>
          </cell>
          <cell r="KB21">
            <v>0</v>
          </cell>
        </row>
        <row r="22">
          <cell r="V22">
            <v>1</v>
          </cell>
          <cell r="W22">
            <v>295000</v>
          </cell>
          <cell r="KB22">
            <v>0</v>
          </cell>
        </row>
        <row r="23">
          <cell r="V23">
            <v>1</v>
          </cell>
          <cell r="W23">
            <v>295000</v>
          </cell>
          <cell r="KB23">
            <v>0</v>
          </cell>
        </row>
        <row r="24">
          <cell r="V24">
            <v>1</v>
          </cell>
          <cell r="W24">
            <v>295000</v>
          </cell>
          <cell r="KB24">
            <v>0</v>
          </cell>
        </row>
        <row r="25">
          <cell r="V25">
            <v>1</v>
          </cell>
          <cell r="W25">
            <v>295000</v>
          </cell>
          <cell r="KB25">
            <v>0</v>
          </cell>
        </row>
        <row r="26">
          <cell r="V26">
            <v>1</v>
          </cell>
          <cell r="W26">
            <v>295000</v>
          </cell>
          <cell r="KB26">
            <v>0</v>
          </cell>
        </row>
        <row r="27">
          <cell r="V27">
            <v>1</v>
          </cell>
          <cell r="W27">
            <v>295000</v>
          </cell>
          <cell r="KB27">
            <v>0</v>
          </cell>
        </row>
        <row r="28">
          <cell r="V28">
            <v>1</v>
          </cell>
          <cell r="W28">
            <v>295000</v>
          </cell>
          <cell r="KB28">
            <v>0</v>
          </cell>
        </row>
        <row r="29">
          <cell r="V29">
            <v>1</v>
          </cell>
          <cell r="W29">
            <v>295000</v>
          </cell>
          <cell r="KB29">
            <v>0</v>
          </cell>
        </row>
        <row r="30">
          <cell r="V30">
            <v>1</v>
          </cell>
          <cell r="W30">
            <v>295000</v>
          </cell>
          <cell r="KB30">
            <v>0</v>
          </cell>
        </row>
        <row r="31">
          <cell r="V31">
            <v>1</v>
          </cell>
          <cell r="W31">
            <v>295000</v>
          </cell>
          <cell r="KB31">
            <v>0</v>
          </cell>
        </row>
        <row r="32">
          <cell r="V32">
            <v>1</v>
          </cell>
          <cell r="W32">
            <v>295000</v>
          </cell>
          <cell r="KB32">
            <v>0</v>
          </cell>
        </row>
        <row r="33">
          <cell r="V33">
            <v>1</v>
          </cell>
          <cell r="W33">
            <v>295000</v>
          </cell>
          <cell r="KB33">
            <v>0</v>
          </cell>
        </row>
        <row r="34">
          <cell r="V34">
            <v>1</v>
          </cell>
          <cell r="W34">
            <v>295000</v>
          </cell>
          <cell r="KB34">
            <v>0</v>
          </cell>
        </row>
        <row r="35">
          <cell r="V35">
            <v>1.0016666666666667</v>
          </cell>
          <cell r="W35">
            <v>295491.66666666669</v>
          </cell>
          <cell r="KB35">
            <v>0</v>
          </cell>
        </row>
        <row r="36">
          <cell r="V36">
            <v>1.0033361111111112</v>
          </cell>
          <cell r="W36">
            <v>295984.15277777781</v>
          </cell>
          <cell r="KB36">
            <v>0</v>
          </cell>
        </row>
        <row r="37">
          <cell r="V37">
            <v>1.0050083379629631</v>
          </cell>
          <cell r="W37">
            <v>296477.4596990741</v>
          </cell>
          <cell r="KB37">
            <v>20</v>
          </cell>
        </row>
        <row r="38">
          <cell r="V38">
            <v>1.0066833518595681</v>
          </cell>
          <cell r="W38">
            <v>296971.58879857254</v>
          </cell>
          <cell r="KB38">
            <v>20</v>
          </cell>
        </row>
        <row r="39">
          <cell r="V39">
            <v>1.0083611574460007</v>
          </cell>
          <cell r="W39">
            <v>297466.54144657019</v>
          </cell>
          <cell r="KB39">
            <v>20</v>
          </cell>
        </row>
        <row r="40">
          <cell r="V40">
            <v>1.0100417593750775</v>
          </cell>
          <cell r="W40">
            <v>297962.31901564781</v>
          </cell>
          <cell r="KB40">
            <v>20</v>
          </cell>
        </row>
        <row r="41">
          <cell r="V41">
            <v>1.0117251623073693</v>
          </cell>
          <cell r="W41">
            <v>298458.9228806739</v>
          </cell>
          <cell r="KB41">
            <v>20</v>
          </cell>
        </row>
        <row r="42">
          <cell r="V42">
            <v>1.0134113709112149</v>
          </cell>
          <cell r="W42">
            <v>298956.35441880836</v>
          </cell>
          <cell r="KB42">
            <v>20</v>
          </cell>
        </row>
        <row r="43">
          <cell r="V43">
            <v>1.0151003898627335</v>
          </cell>
          <cell r="W43">
            <v>299454.61500950641</v>
          </cell>
          <cell r="KB43">
            <v>20</v>
          </cell>
        </row>
        <row r="44">
          <cell r="V44">
            <v>1.0167922238458382</v>
          </cell>
          <cell r="W44">
            <v>299953.70603452227</v>
          </cell>
          <cell r="KB44">
            <v>20</v>
          </cell>
        </row>
        <row r="45">
          <cell r="V45">
            <v>1.018486877552248</v>
          </cell>
          <cell r="W45">
            <v>300453.62887791317</v>
          </cell>
          <cell r="KB45">
            <v>20</v>
          </cell>
        </row>
        <row r="46">
          <cell r="V46">
            <v>1.0201843556815018</v>
          </cell>
          <cell r="W46">
            <v>300954.38492604304</v>
          </cell>
          <cell r="KB46">
            <v>20</v>
          </cell>
        </row>
        <row r="47">
          <cell r="V47">
            <v>1.021884662940971</v>
          </cell>
          <cell r="W47">
            <v>301455.97556758649</v>
          </cell>
          <cell r="KB47">
            <v>27</v>
          </cell>
        </row>
        <row r="48">
          <cell r="V48">
            <v>1.0235878040458726</v>
          </cell>
          <cell r="W48">
            <v>301958.4021935325</v>
          </cell>
          <cell r="KB48">
            <v>16</v>
          </cell>
        </row>
        <row r="49">
          <cell r="V49">
            <v>1.0252937837192824</v>
          </cell>
          <cell r="W49">
            <v>302461.66619718837</v>
          </cell>
          <cell r="KB49">
            <v>16</v>
          </cell>
        </row>
        <row r="50">
          <cell r="V50">
            <v>1.0270026066921478</v>
          </cell>
          <cell r="W50">
            <v>302965.76897418371</v>
          </cell>
          <cell r="KB50">
            <v>16</v>
          </cell>
        </row>
        <row r="51">
          <cell r="V51">
            <v>1.0287142777033014</v>
          </cell>
          <cell r="W51">
            <v>303470.71192247403</v>
          </cell>
          <cell r="KB51">
            <v>16</v>
          </cell>
        </row>
        <row r="52">
          <cell r="V52">
            <v>1.0304288014994736</v>
          </cell>
          <cell r="W52">
            <v>303976.49644234485</v>
          </cell>
          <cell r="KB52">
            <v>16</v>
          </cell>
        </row>
        <row r="53">
          <cell r="V53">
            <v>1.032146182835306</v>
          </cell>
          <cell r="W53">
            <v>304483.12393641542</v>
          </cell>
          <cell r="KB53">
            <v>16</v>
          </cell>
        </row>
        <row r="54">
          <cell r="V54">
            <v>1.0338664264733648</v>
          </cell>
          <cell r="W54">
            <v>304990.59580964281</v>
          </cell>
          <cell r="KB54">
            <v>16</v>
          </cell>
        </row>
        <row r="55">
          <cell r="V55">
            <v>1.0355895371841537</v>
          </cell>
          <cell r="W55">
            <v>305498.91346932558</v>
          </cell>
          <cell r="KB55">
            <v>20</v>
          </cell>
        </row>
        <row r="56">
          <cell r="V56">
            <v>1.0373155197461272</v>
          </cell>
          <cell r="W56">
            <v>306008.07832510781</v>
          </cell>
          <cell r="KB56">
            <v>12</v>
          </cell>
        </row>
        <row r="57">
          <cell r="V57">
            <v>1.0390443789457042</v>
          </cell>
          <cell r="W57">
            <v>306518.09178898297</v>
          </cell>
          <cell r="KB57">
            <v>29</v>
          </cell>
        </row>
        <row r="58">
          <cell r="V58">
            <v>1.0407761195772804</v>
          </cell>
          <cell r="W58">
            <v>307028.95527529798</v>
          </cell>
          <cell r="KB58">
            <v>0</v>
          </cell>
        </row>
        <row r="59">
          <cell r="V59">
            <v>1.0425107464432426</v>
          </cell>
          <cell r="W59">
            <v>307540.67020075681</v>
          </cell>
          <cell r="KB59">
            <v>0</v>
          </cell>
        </row>
        <row r="60">
          <cell r="V60">
            <v>1.0442482643539814</v>
          </cell>
          <cell r="W60">
            <v>308053.23798442475</v>
          </cell>
          <cell r="KB60">
            <v>0</v>
          </cell>
        </row>
        <row r="61">
          <cell r="V61">
            <v>1.0459886781279049</v>
          </cell>
          <cell r="W61">
            <v>308566.66004773212</v>
          </cell>
          <cell r="KB61">
            <v>16</v>
          </cell>
        </row>
        <row r="62">
          <cell r="V62">
            <v>1.0477319925914514</v>
          </cell>
          <cell r="W62">
            <v>309080.93781447835</v>
          </cell>
          <cell r="KB62">
            <v>16</v>
          </cell>
        </row>
        <row r="63">
          <cell r="V63">
            <v>1.049478212579104</v>
          </cell>
          <cell r="W63">
            <v>309596.07271083584</v>
          </cell>
          <cell r="KB63">
            <v>16</v>
          </cell>
        </row>
        <row r="64">
          <cell r="V64">
            <v>1.0512273429334025</v>
          </cell>
          <cell r="W64">
            <v>310112.06616535393</v>
          </cell>
          <cell r="KB64">
            <v>16</v>
          </cell>
        </row>
        <row r="65">
          <cell r="V65">
            <v>1.0529793885049581</v>
          </cell>
          <cell r="W65">
            <v>310628.91960896284</v>
          </cell>
          <cell r="KB65">
            <v>16</v>
          </cell>
        </row>
        <row r="66">
          <cell r="V66">
            <v>1.0547343541524663</v>
          </cell>
          <cell r="W66">
            <v>311146.63447497779</v>
          </cell>
          <cell r="KB66">
            <v>16</v>
          </cell>
        </row>
        <row r="67">
          <cell r="V67">
            <v>1.0564922447427205</v>
          </cell>
          <cell r="W67">
            <v>311665.2121991028</v>
          </cell>
          <cell r="KB67">
            <v>16</v>
          </cell>
        </row>
        <row r="68">
          <cell r="V68">
            <v>1.058253065150625</v>
          </cell>
          <cell r="W68">
            <v>312184.65421943465</v>
          </cell>
          <cell r="KB68">
            <v>16</v>
          </cell>
        </row>
        <row r="69">
          <cell r="V69">
            <v>1.0600168202592095</v>
          </cell>
          <cell r="W69">
            <v>312704.96197646705</v>
          </cell>
          <cell r="KB69">
            <v>16</v>
          </cell>
        </row>
        <row r="70">
          <cell r="V70">
            <v>1.0617835149596415</v>
          </cell>
          <cell r="W70">
            <v>313226.13691309449</v>
          </cell>
          <cell r="KB70">
            <v>25</v>
          </cell>
        </row>
        <row r="71">
          <cell r="V71">
            <v>1.0635531541512409</v>
          </cell>
          <cell r="W71">
            <v>313748.18047461635</v>
          </cell>
          <cell r="KB71">
            <v>8</v>
          </cell>
        </row>
        <row r="72">
          <cell r="V72">
            <v>1.0653257427414931</v>
          </cell>
          <cell r="W72">
            <v>314271.09410874074</v>
          </cell>
          <cell r="KB72">
            <v>8</v>
          </cell>
        </row>
        <row r="73">
          <cell r="V73">
            <v>1.0671012856460622</v>
          </cell>
          <cell r="W73">
            <v>314794.87926558865</v>
          </cell>
          <cell r="KB73">
            <v>8</v>
          </cell>
        </row>
        <row r="74">
          <cell r="V74">
            <v>1.0688797877888057</v>
          </cell>
          <cell r="W74">
            <v>315319.53739769798</v>
          </cell>
          <cell r="KB74">
            <v>12</v>
          </cell>
        </row>
        <row r="75">
          <cell r="V75">
            <v>1.070661254101787</v>
          </cell>
          <cell r="W75">
            <v>315845.06996002747</v>
          </cell>
          <cell r="KB75">
            <v>17</v>
          </cell>
        </row>
        <row r="76">
          <cell r="V76">
            <v>1.0724456895252901</v>
          </cell>
          <cell r="W76">
            <v>316371.47840996087</v>
          </cell>
          <cell r="KB76">
            <v>8</v>
          </cell>
        </row>
        <row r="77">
          <cell r="V77">
            <v>1.0742330990078324</v>
          </cell>
          <cell r="W77">
            <v>316898.7642073108</v>
          </cell>
          <cell r="KB77">
            <v>8</v>
          </cell>
        </row>
        <row r="78">
          <cell r="V78">
            <v>1.0760234875061787</v>
          </cell>
          <cell r="W78">
            <v>317426.92881432298</v>
          </cell>
          <cell r="KB78">
            <v>8</v>
          </cell>
        </row>
        <row r="79">
          <cell r="V79">
            <v>1.0778168599853557</v>
          </cell>
          <cell r="W79">
            <v>317955.97369568021</v>
          </cell>
          <cell r="KB79">
            <v>8</v>
          </cell>
        </row>
        <row r="80">
          <cell r="V80">
            <v>1.0796132214186647</v>
          </cell>
          <cell r="W80">
            <v>318485.90031850635</v>
          </cell>
          <cell r="KB80">
            <v>8</v>
          </cell>
        </row>
        <row r="81">
          <cell r="V81">
            <v>1.0814125767876959</v>
          </cell>
          <cell r="W81">
            <v>319016.71015237056</v>
          </cell>
          <cell r="KB81">
            <v>8</v>
          </cell>
        </row>
        <row r="82">
          <cell r="V82">
            <v>1.083214931082342</v>
          </cell>
          <cell r="W82">
            <v>319548.40466929117</v>
          </cell>
          <cell r="KB82">
            <v>8</v>
          </cell>
        </row>
        <row r="83">
          <cell r="V83">
            <v>1.0850202893008127</v>
          </cell>
          <cell r="W83">
            <v>320080.98534373997</v>
          </cell>
          <cell r="KB83">
            <v>8</v>
          </cell>
        </row>
        <row r="84">
          <cell r="V84">
            <v>1.0868286564496474</v>
          </cell>
          <cell r="W84">
            <v>320614.45365264622</v>
          </cell>
          <cell r="KB84">
            <v>8</v>
          </cell>
        </row>
        <row r="85">
          <cell r="V85">
            <v>1.0886400375437302</v>
          </cell>
          <cell r="W85">
            <v>321148.81107540062</v>
          </cell>
          <cell r="KB85">
            <v>12</v>
          </cell>
        </row>
        <row r="86">
          <cell r="V86">
            <v>1.090454437606303</v>
          </cell>
          <cell r="W86">
            <v>321684.05909385963</v>
          </cell>
          <cell r="KB86">
            <v>12</v>
          </cell>
        </row>
        <row r="87">
          <cell r="V87">
            <v>1.0922718616689802</v>
          </cell>
          <cell r="W87">
            <v>322220.19919234939</v>
          </cell>
          <cell r="KB87">
            <v>12</v>
          </cell>
        </row>
        <row r="88">
          <cell r="V88">
            <v>1.0940923147717618</v>
          </cell>
          <cell r="W88">
            <v>322757.23285766999</v>
          </cell>
          <cell r="KB88">
            <v>12</v>
          </cell>
        </row>
        <row r="89">
          <cell r="V89">
            <v>1.0959158019630482</v>
          </cell>
          <cell r="W89">
            <v>323295.16157909948</v>
          </cell>
          <cell r="KB89">
            <v>12</v>
          </cell>
        </row>
        <row r="90">
          <cell r="V90">
            <v>1.0977423282996532</v>
          </cell>
          <cell r="W90">
            <v>323833.986848398</v>
          </cell>
          <cell r="KB90">
            <v>12</v>
          </cell>
        </row>
        <row r="91">
          <cell r="V91">
            <v>1.0995718988468193</v>
          </cell>
          <cell r="W91">
            <v>324373.71015981201</v>
          </cell>
          <cell r="KB91">
            <v>12</v>
          </cell>
        </row>
        <row r="92">
          <cell r="V92">
            <v>1.1014045186782306</v>
          </cell>
          <cell r="W92">
            <v>324914.33301007835</v>
          </cell>
          <cell r="KB92">
            <v>12</v>
          </cell>
        </row>
        <row r="93">
          <cell r="V93">
            <v>1.1032401928760278</v>
          </cell>
          <cell r="W93">
            <v>325455.85689842846</v>
          </cell>
          <cell r="KB93">
            <v>12</v>
          </cell>
        </row>
        <row r="94">
          <cell r="V94">
            <v>1.1050789265308212</v>
          </cell>
          <cell r="W94">
            <v>325998.28332659253</v>
          </cell>
          <cell r="KB94">
            <v>12</v>
          </cell>
        </row>
        <row r="95">
          <cell r="V95">
            <v>1.1069207247417059</v>
          </cell>
          <cell r="W95">
            <v>326541.61379880353</v>
          </cell>
          <cell r="KB95">
            <v>12</v>
          </cell>
        </row>
        <row r="96">
          <cell r="V96">
            <v>1.1087655926162754</v>
          </cell>
          <cell r="W96">
            <v>327085.84982180153</v>
          </cell>
          <cell r="KB96">
            <v>12</v>
          </cell>
        </row>
        <row r="97">
          <cell r="V97">
            <v>1.1106135352706359</v>
          </cell>
          <cell r="W97">
            <v>327630.99290483788</v>
          </cell>
          <cell r="KB97">
            <v>12</v>
          </cell>
        </row>
        <row r="98">
          <cell r="V98">
            <v>1.1124645578294203</v>
          </cell>
          <cell r="W98">
            <v>328177.04455967929</v>
          </cell>
          <cell r="KB98">
            <v>12</v>
          </cell>
        </row>
        <row r="99">
          <cell r="V99">
            <v>1.1143186654258028</v>
          </cell>
          <cell r="W99">
            <v>328724.00630061212</v>
          </cell>
          <cell r="KB99">
            <v>12</v>
          </cell>
        </row>
        <row r="100">
          <cell r="V100">
            <v>1.1161758632015126</v>
          </cell>
          <cell r="W100">
            <v>329271.87964444648</v>
          </cell>
          <cell r="KB100">
            <v>12</v>
          </cell>
        </row>
        <row r="101">
          <cell r="V101">
            <v>1.1180361563068486</v>
          </cell>
          <cell r="W101">
            <v>329820.6661105206</v>
          </cell>
          <cell r="KB101">
            <v>19</v>
          </cell>
        </row>
        <row r="102">
          <cell r="V102">
            <v>1.1198995499006934</v>
          </cell>
          <cell r="W102">
            <v>330370.36722070479</v>
          </cell>
          <cell r="KB102">
            <v>8</v>
          </cell>
        </row>
        <row r="103">
          <cell r="V103">
            <v>1.1217660491505279</v>
          </cell>
          <cell r="W103">
            <v>330920.98449940595</v>
          </cell>
          <cell r="KB103">
            <v>8</v>
          </cell>
        </row>
        <row r="104">
          <cell r="V104">
            <v>1.1236356592324455</v>
          </cell>
          <cell r="W104">
            <v>331472.51947357162</v>
          </cell>
          <cell r="KB104">
            <v>8</v>
          </cell>
        </row>
        <row r="105">
          <cell r="V105">
            <v>1.1255083853311663</v>
          </cell>
          <cell r="W105">
            <v>332024.97367269424</v>
          </cell>
          <cell r="KB105">
            <v>13</v>
          </cell>
        </row>
        <row r="106">
          <cell r="V106">
            <v>1.1273842326400516</v>
          </cell>
          <cell r="W106">
            <v>332578.34862881538</v>
          </cell>
          <cell r="KB106">
            <v>4</v>
          </cell>
        </row>
        <row r="107">
          <cell r="V107">
            <v>1.1292632063611183</v>
          </cell>
          <cell r="W107">
            <v>333132.64587653009</v>
          </cell>
          <cell r="KB107">
            <v>4</v>
          </cell>
        </row>
        <row r="108">
          <cell r="V108">
            <v>1.1311453117050536</v>
          </cell>
          <cell r="W108">
            <v>333687.866952991</v>
          </cell>
          <cell r="KB108">
            <v>0</v>
          </cell>
        </row>
        <row r="109">
          <cell r="V109">
            <v>1.1330305538912286</v>
          </cell>
          <cell r="W109">
            <v>334244.01339791267</v>
          </cell>
          <cell r="KB109">
            <v>0</v>
          </cell>
        </row>
        <row r="110">
          <cell r="V110">
            <v>1.1349189381477141</v>
          </cell>
          <cell r="W110">
            <v>334801.08675357589</v>
          </cell>
          <cell r="KB110">
            <v>0</v>
          </cell>
        </row>
        <row r="111">
          <cell r="V111">
            <v>1.1368104697112935</v>
          </cell>
          <cell r="W111">
            <v>335359.08856483188</v>
          </cell>
          <cell r="KB111">
            <v>0</v>
          </cell>
        </row>
        <row r="112">
          <cell r="V112">
            <v>1.1387051538274791</v>
          </cell>
          <cell r="W112">
            <v>335918.02037910663</v>
          </cell>
          <cell r="KB112">
            <v>0</v>
          </cell>
        </row>
        <row r="113">
          <cell r="V113">
            <v>1.1406029957505248</v>
          </cell>
          <cell r="W113">
            <v>336477.88374640513</v>
          </cell>
          <cell r="KB113">
            <v>0</v>
          </cell>
        </row>
        <row r="114">
          <cell r="V114">
            <v>1.1425040007434424</v>
          </cell>
          <cell r="W114">
            <v>337038.68021931581</v>
          </cell>
          <cell r="KB114">
            <v>0</v>
          </cell>
        </row>
        <row r="115">
          <cell r="V115">
            <v>1.1444081740780148</v>
          </cell>
          <cell r="W115">
            <v>337600.4113530147</v>
          </cell>
          <cell r="KB115">
            <v>0</v>
          </cell>
        </row>
        <row r="116">
          <cell r="V116">
            <v>1.1463155210348115</v>
          </cell>
          <cell r="W116">
            <v>338163.07870526973</v>
          </cell>
          <cell r="KB116">
            <v>0</v>
          </cell>
        </row>
        <row r="117">
          <cell r="V117">
            <v>1.1482260469032028</v>
          </cell>
          <cell r="W117">
            <v>338726.68383644521</v>
          </cell>
          <cell r="KB117">
            <v>0</v>
          </cell>
        </row>
        <row r="118">
          <cell r="V118">
            <v>1.1501397569813749</v>
          </cell>
          <cell r="W118">
            <v>339291.22830950597</v>
          </cell>
          <cell r="KB118">
            <v>0</v>
          </cell>
        </row>
        <row r="119">
          <cell r="V119">
            <v>1.1520566565763439</v>
          </cell>
          <cell r="W119">
            <v>339856.71369002183</v>
          </cell>
          <cell r="KB119">
            <v>0</v>
          </cell>
        </row>
        <row r="120">
          <cell r="V120">
            <v>1.1539767510039711</v>
          </cell>
          <cell r="W120">
            <v>340423.14154617186</v>
          </cell>
          <cell r="KB120">
            <v>0</v>
          </cell>
        </row>
        <row r="121">
          <cell r="V121">
            <v>1.1559000455889779</v>
          </cell>
          <cell r="W121">
            <v>340990.5134487488</v>
          </cell>
          <cell r="KB121">
            <v>0</v>
          </cell>
        </row>
        <row r="122">
          <cell r="V122">
            <v>1.1578265456649595</v>
          </cell>
          <cell r="W122">
            <v>341558.83097116341</v>
          </cell>
          <cell r="KB122">
            <v>0</v>
          </cell>
        </row>
        <row r="123">
          <cell r="V123">
            <v>1.1597562565744011</v>
          </cell>
          <cell r="W123">
            <v>342128.0956894487</v>
          </cell>
          <cell r="KB123">
            <v>0</v>
          </cell>
        </row>
        <row r="124">
          <cell r="V124">
            <v>1.1616891836686918</v>
          </cell>
          <cell r="W124">
            <v>342698.30918226443</v>
          </cell>
          <cell r="KB124">
            <v>0</v>
          </cell>
        </row>
        <row r="125">
          <cell r="V125">
            <v>1.1636253323081396</v>
          </cell>
          <cell r="W125">
            <v>343269.47303090157</v>
          </cell>
          <cell r="KB125">
            <v>0</v>
          </cell>
        </row>
        <row r="126">
          <cell r="V126">
            <v>1.1655647078619866</v>
          </cell>
          <cell r="W126">
            <v>343841.58881928644</v>
          </cell>
          <cell r="KB126">
            <v>0</v>
          </cell>
        </row>
        <row r="127">
          <cell r="V127">
            <v>1.1675073157084233</v>
          </cell>
          <cell r="W127">
            <v>344414.65813398524</v>
          </cell>
          <cell r="KB127">
            <v>0</v>
          </cell>
        </row>
        <row r="128">
          <cell r="V128">
            <v>1.169453161234604</v>
          </cell>
          <cell r="W128">
            <v>344988.68256420858</v>
          </cell>
          <cell r="KB128">
            <v>0</v>
          </cell>
        </row>
        <row r="129">
          <cell r="V129">
            <v>1.1714022498366616</v>
          </cell>
          <cell r="W129">
            <v>345563.66370181559</v>
          </cell>
          <cell r="KB129">
            <v>0</v>
          </cell>
        </row>
        <row r="130">
          <cell r="V130">
            <v>1.1733545869197228</v>
          </cell>
          <cell r="W130">
            <v>346139.6031413186</v>
          </cell>
          <cell r="KB130">
            <v>0</v>
          </cell>
        </row>
        <row r="131">
          <cell r="V131">
            <v>1.1753101778979225</v>
          </cell>
          <cell r="W131">
            <v>346716.50247988745</v>
          </cell>
          <cell r="KB131">
            <v>0</v>
          </cell>
        </row>
        <row r="132">
          <cell r="V132">
            <v>1.1772690281944191</v>
          </cell>
          <cell r="W132">
            <v>347294.36331735394</v>
          </cell>
          <cell r="KB132">
            <v>0</v>
          </cell>
        </row>
        <row r="133">
          <cell r="V133">
            <v>1.17923114324141</v>
          </cell>
          <cell r="W133">
            <v>347873.18725621619</v>
          </cell>
          <cell r="KB133">
            <v>0</v>
          </cell>
        </row>
        <row r="134">
          <cell r="V134">
            <v>1.1811965284801458</v>
          </cell>
          <cell r="W134">
            <v>348452.97590164322</v>
          </cell>
          <cell r="KB134">
            <v>0</v>
          </cell>
        </row>
        <row r="135">
          <cell r="V135">
            <v>1.1831651893609461</v>
          </cell>
          <cell r="W135">
            <v>349033.7308614793</v>
          </cell>
          <cell r="KB135">
            <v>0</v>
          </cell>
        </row>
        <row r="136">
          <cell r="V136">
            <v>1.1851371313432144</v>
          </cell>
          <cell r="W136">
            <v>349615.45374624844</v>
          </cell>
          <cell r="KB136">
            <v>0</v>
          </cell>
        </row>
        <row r="137">
          <cell r="V137">
            <v>1.1871123598954532</v>
          </cell>
          <cell r="W137">
            <v>350198.14616915886</v>
          </cell>
          <cell r="KB137">
            <v>0</v>
          </cell>
        </row>
        <row r="138">
          <cell r="V138">
            <v>1.1890908804952789</v>
          </cell>
          <cell r="W138">
            <v>350781.80974610749</v>
          </cell>
          <cell r="KB138">
            <v>0</v>
          </cell>
        </row>
        <row r="139">
          <cell r="V139">
            <v>1.1910726986294378</v>
          </cell>
          <cell r="W139">
            <v>351366.44609568437</v>
          </cell>
          <cell r="KB139">
            <v>0</v>
          </cell>
        </row>
        <row r="140">
          <cell r="V140">
            <v>1.1930578197938202</v>
          </cell>
          <cell r="W140">
            <v>351952.05683917721</v>
          </cell>
          <cell r="KB140">
            <v>0</v>
          </cell>
        </row>
        <row r="141">
          <cell r="V141">
            <v>1.1950462494934766</v>
          </cell>
          <cell r="W141">
            <v>352538.64360057586</v>
          </cell>
          <cell r="KB141">
            <v>0</v>
          </cell>
        </row>
        <row r="142">
          <cell r="V142">
            <v>1.1970379932426325</v>
          </cell>
          <cell r="W142">
            <v>353126.20800657681</v>
          </cell>
          <cell r="KB142">
            <v>0</v>
          </cell>
        </row>
        <row r="143">
          <cell r="V143">
            <v>1.1990330565647036</v>
          </cell>
          <cell r="W143">
            <v>353714.75168658781</v>
          </cell>
          <cell r="KB143">
            <v>0</v>
          </cell>
        </row>
        <row r="144">
          <cell r="V144">
            <v>1.2010314449923114</v>
          </cell>
          <cell r="W144">
            <v>354304.27627273212</v>
          </cell>
          <cell r="KB144">
            <v>0</v>
          </cell>
        </row>
        <row r="145">
          <cell r="V145">
            <v>1.2030331640672987</v>
          </cell>
          <cell r="W145">
            <v>354894.78339985333</v>
          </cell>
          <cell r="KB145">
            <v>0</v>
          </cell>
        </row>
        <row r="146">
          <cell r="V146">
            <v>1.2050382193407443</v>
          </cell>
          <cell r="W146">
            <v>355486.27470551978</v>
          </cell>
          <cell r="KB146">
            <v>0</v>
          </cell>
        </row>
        <row r="147">
          <cell r="V147">
            <v>1.2070466163729789</v>
          </cell>
          <cell r="W147">
            <v>356078.75183002901</v>
          </cell>
          <cell r="KB147">
            <v>0</v>
          </cell>
        </row>
        <row r="148">
          <cell r="V148">
            <v>1.2090583607336005</v>
          </cell>
          <cell r="W148">
            <v>356672.21641641238</v>
          </cell>
          <cell r="KB148">
            <v>0</v>
          </cell>
        </row>
        <row r="149">
          <cell r="V149">
            <v>1.2110734580014899</v>
          </cell>
          <cell r="W149">
            <v>357266.67011043977</v>
          </cell>
          <cell r="KB149">
            <v>0</v>
          </cell>
        </row>
        <row r="150">
          <cell r="V150">
            <v>1.2130919137648257</v>
          </cell>
          <cell r="W150">
            <v>357862.11456062383</v>
          </cell>
          <cell r="KB150">
            <v>0</v>
          </cell>
        </row>
        <row r="151">
          <cell r="V151">
            <v>1.2151137336211004</v>
          </cell>
          <cell r="W151">
            <v>358458.55141822487</v>
          </cell>
          <cell r="KB151">
            <v>0</v>
          </cell>
        </row>
        <row r="152">
          <cell r="V152">
            <v>1.2171389231771357</v>
          </cell>
          <cell r="W152">
            <v>359055.98233725526</v>
          </cell>
          <cell r="KB152">
            <v>0</v>
          </cell>
        </row>
        <row r="153">
          <cell r="V153">
            <v>1.2191674880490977</v>
          </cell>
          <cell r="W153">
            <v>359654.40897448402</v>
          </cell>
          <cell r="KB153">
            <v>0</v>
          </cell>
        </row>
        <row r="154">
          <cell r="V154">
            <v>1.221199433862513</v>
          </cell>
          <cell r="W154">
            <v>360253.83298944152</v>
          </cell>
          <cell r="KB154">
            <v>0</v>
          </cell>
        </row>
        <row r="155">
          <cell r="V155">
            <v>1.2232347662522838</v>
          </cell>
          <cell r="W155">
            <v>360854.25604442396</v>
          </cell>
          <cell r="KB155">
            <v>0</v>
          </cell>
        </row>
        <row r="156">
          <cell r="V156">
            <v>1.2252734908627043</v>
          </cell>
          <cell r="W156">
            <v>361455.67980449804</v>
          </cell>
          <cell r="KB156">
            <v>0</v>
          </cell>
        </row>
        <row r="157">
          <cell r="V157">
            <v>1.2273156133474756</v>
          </cell>
          <cell r="W157">
            <v>362058.10593750555</v>
          </cell>
          <cell r="KB157">
            <v>0</v>
          </cell>
        </row>
        <row r="158">
          <cell r="V158">
            <v>1.2293611393697215</v>
          </cell>
          <cell r="W158">
            <v>362661.53611406806</v>
          </cell>
          <cell r="KB158">
            <v>0</v>
          </cell>
        </row>
        <row r="159">
          <cell r="V159">
            <v>1.2314100746020045</v>
          </cell>
          <cell r="W159">
            <v>363265.97200759151</v>
          </cell>
          <cell r="KB159">
            <v>0</v>
          </cell>
        </row>
        <row r="160">
          <cell r="V160">
            <v>1.2334624247263413</v>
          </cell>
          <cell r="W160">
            <v>363871.41529427085</v>
          </cell>
          <cell r="KB160">
            <v>0</v>
          </cell>
        </row>
        <row r="161">
          <cell r="V161">
            <v>1.2355181954342185</v>
          </cell>
          <cell r="W161">
            <v>364477.86765309464</v>
          </cell>
          <cell r="KB161">
            <v>0</v>
          </cell>
        </row>
        <row r="162">
          <cell r="V162">
            <v>1.2375773924266089</v>
          </cell>
          <cell r="W162">
            <v>365085.33076584979</v>
          </cell>
          <cell r="KB162">
            <v>0</v>
          </cell>
        </row>
        <row r="163">
          <cell r="V163">
            <v>1.2396400214139867</v>
          </cell>
          <cell r="W163">
            <v>365693.8063171262</v>
          </cell>
          <cell r="KB163">
            <v>0</v>
          </cell>
        </row>
        <row r="164">
          <cell r="V164">
            <v>1.2417060881163433</v>
          </cell>
          <cell r="W164">
            <v>366303.29599432141</v>
          </cell>
          <cell r="KB164">
            <v>0</v>
          </cell>
        </row>
        <row r="165">
          <cell r="V165">
            <v>1.2437755982632039</v>
          </cell>
          <cell r="W165">
            <v>366913.80148764531</v>
          </cell>
          <cell r="KB165">
            <v>0</v>
          </cell>
        </row>
        <row r="166">
          <cell r="V166">
            <v>1.2458485575936427</v>
          </cell>
          <cell r="W166">
            <v>367525.32449012471</v>
          </cell>
          <cell r="KB166">
            <v>0</v>
          </cell>
        </row>
        <row r="167">
          <cell r="V167">
            <v>1.2479249718562988</v>
          </cell>
          <cell r="W167">
            <v>368137.86669760826</v>
          </cell>
          <cell r="KB167">
            <v>0</v>
          </cell>
        </row>
        <row r="168">
          <cell r="V168">
            <v>1.2500048468093927</v>
          </cell>
          <cell r="W168">
            <v>368751.42980877095</v>
          </cell>
          <cell r="KB168">
            <v>0</v>
          </cell>
        </row>
        <row r="169">
          <cell r="V169">
            <v>1.2520881882207417</v>
          </cell>
          <cell r="W169">
            <v>369366.01552511891</v>
          </cell>
          <cell r="KB169">
            <v>0</v>
          </cell>
        </row>
        <row r="170">
          <cell r="V170">
            <v>1.2541750018677764</v>
          </cell>
          <cell r="W170">
            <v>369981.62555099413</v>
          </cell>
          <cell r="KB170">
            <v>0</v>
          </cell>
        </row>
        <row r="171">
          <cell r="V171">
            <v>1.256265293537556</v>
          </cell>
          <cell r="W171">
            <v>370598.26159357914</v>
          </cell>
          <cell r="KB171">
            <v>0</v>
          </cell>
        </row>
        <row r="172">
          <cell r="V172">
            <v>1.2583590690267854</v>
          </cell>
          <cell r="W172">
            <v>371215.92536290176</v>
          </cell>
          <cell r="KB172">
            <v>0</v>
          </cell>
        </row>
        <row r="173">
          <cell r="V173">
            <v>1.26045633414183</v>
          </cell>
          <cell r="W173">
            <v>371834.61857183994</v>
          </cell>
          <cell r="KB173">
            <v>0</v>
          </cell>
        </row>
        <row r="174">
          <cell r="V174">
            <v>1.262557094698733</v>
          </cell>
          <cell r="W174">
            <v>372454.34293612634</v>
          </cell>
          <cell r="KB174">
            <v>0</v>
          </cell>
        </row>
        <row r="175">
          <cell r="V175">
            <v>1.264661356523231</v>
          </cell>
          <cell r="W175">
            <v>373075.10017435323</v>
          </cell>
          <cell r="KB175">
            <v>0</v>
          </cell>
        </row>
        <row r="176">
          <cell r="V176">
            <v>1.2667691254507698</v>
          </cell>
          <cell r="W176">
            <v>373696.89200797718</v>
          </cell>
          <cell r="KB176">
            <v>0</v>
          </cell>
        </row>
        <row r="177">
          <cell r="V177">
            <v>1.2688804073265212</v>
          </cell>
          <cell r="W177">
            <v>374319.72016132384</v>
          </cell>
          <cell r="KB177">
            <v>0</v>
          </cell>
        </row>
        <row r="178">
          <cell r="V178">
            <v>1.2709952080053988</v>
          </cell>
          <cell r="W178">
            <v>374943.58636159275</v>
          </cell>
          <cell r="KB178">
            <v>0</v>
          </cell>
        </row>
        <row r="179">
          <cell r="V179">
            <v>1.2731135333520744</v>
          </cell>
          <cell r="W179">
            <v>375568.4923388621</v>
          </cell>
          <cell r="KB179">
            <v>0</v>
          </cell>
        </row>
        <row r="180">
          <cell r="V180">
            <v>1.2752353892409947</v>
          </cell>
          <cell r="W180">
            <v>376194.43982609356</v>
          </cell>
          <cell r="KB180">
            <v>0</v>
          </cell>
        </row>
        <row r="181">
          <cell r="V181">
            <v>1.2773607815563963</v>
          </cell>
          <cell r="W181">
            <v>376821.43055913708</v>
          </cell>
          <cell r="KB181">
            <v>0</v>
          </cell>
        </row>
        <row r="182">
          <cell r="V182">
            <v>1.2794897161923238</v>
          </cell>
          <cell r="W182">
            <v>377449.46627673565</v>
          </cell>
          <cell r="KB182">
            <v>0</v>
          </cell>
        </row>
        <row r="183">
          <cell r="V183">
            <v>1.2816221990526444</v>
          </cell>
          <cell r="W183">
            <v>378078.54872053023</v>
          </cell>
          <cell r="KB183">
            <v>0</v>
          </cell>
        </row>
        <row r="184">
          <cell r="V184">
            <v>1.2837582360510655</v>
          </cell>
          <cell r="W184">
            <v>378708.67963506444</v>
          </cell>
          <cell r="KB184">
            <v>0</v>
          </cell>
        </row>
        <row r="185">
          <cell r="V185">
            <v>1.2858978331111508</v>
          </cell>
          <cell r="W185">
            <v>379339.86076778959</v>
          </cell>
          <cell r="KB185">
            <v>0</v>
          </cell>
        </row>
        <row r="186">
          <cell r="V186">
            <v>1.2880409961663362</v>
          </cell>
          <cell r="W186">
            <v>379972.09386906924</v>
          </cell>
          <cell r="KB186">
            <v>0</v>
          </cell>
        </row>
        <row r="187">
          <cell r="V187">
            <v>1.2901877311599468</v>
          </cell>
          <cell r="W187">
            <v>380605.38069218438</v>
          </cell>
          <cell r="KB187">
            <v>0</v>
          </cell>
        </row>
        <row r="188">
          <cell r="V188">
            <v>1.2923380440452135</v>
          </cell>
          <cell r="W188">
            <v>381239.72299333801</v>
          </cell>
          <cell r="KB188">
            <v>0</v>
          </cell>
        </row>
        <row r="189">
          <cell r="V189">
            <v>1.2944919407852888</v>
          </cell>
          <cell r="W189">
            <v>381875.12253166025</v>
          </cell>
          <cell r="KB189">
            <v>0</v>
          </cell>
        </row>
        <row r="190">
          <cell r="V190">
            <v>1.2966494273532643</v>
          </cell>
          <cell r="W190">
            <v>382511.58106921305</v>
          </cell>
          <cell r="KB190">
            <v>0</v>
          </cell>
        </row>
        <row r="191">
          <cell r="V191">
            <v>1.2988105097321865</v>
          </cell>
          <cell r="W191">
            <v>383149.10037099506</v>
          </cell>
          <cell r="KB191">
            <v>0</v>
          </cell>
        </row>
        <row r="192">
          <cell r="V192">
            <v>1.3009751939150735</v>
          </cell>
          <cell r="W192">
            <v>383787.68220494676</v>
          </cell>
          <cell r="KB192">
            <v>0</v>
          </cell>
        </row>
        <row r="193">
          <cell r="V193">
            <v>1.303143485904932</v>
          </cell>
          <cell r="W193">
            <v>384427.32834195503</v>
          </cell>
          <cell r="KB193">
            <v>0</v>
          </cell>
        </row>
        <row r="194">
          <cell r="V194">
            <v>1.3053153917147735</v>
          </cell>
          <cell r="W194">
            <v>385068.04055585829</v>
          </cell>
          <cell r="KB194">
            <v>0</v>
          </cell>
        </row>
        <row r="195">
          <cell r="V195">
            <v>1.3074909173676315</v>
          </cell>
          <cell r="W195">
            <v>385709.82062345138</v>
          </cell>
          <cell r="KB195">
            <v>0</v>
          </cell>
        </row>
        <row r="196">
          <cell r="V196">
            <v>1.3096700688965777</v>
          </cell>
          <cell r="W196">
            <v>386352.67032449046</v>
          </cell>
          <cell r="KB196">
            <v>0</v>
          </cell>
        </row>
        <row r="197">
          <cell r="V197">
            <v>1.3118528523447386</v>
          </cell>
          <cell r="W197">
            <v>386996.59144169796</v>
          </cell>
          <cell r="KB197">
            <v>0</v>
          </cell>
        </row>
        <row r="198">
          <cell r="V198">
            <v>1.3140392737653133</v>
          </cell>
          <cell r="W198">
            <v>387641.58576076746</v>
          </cell>
          <cell r="KB198">
            <v>0</v>
          </cell>
        </row>
        <row r="199">
          <cell r="V199">
            <v>1.3162293392215889</v>
          </cell>
          <cell r="W199">
            <v>388287.65507036872</v>
          </cell>
          <cell r="KB199">
            <v>0</v>
          </cell>
        </row>
        <row r="200">
          <cell r="V200">
            <v>1.3184230547869582</v>
          </cell>
          <cell r="W200">
            <v>388934.80116215267</v>
          </cell>
          <cell r="KB200">
            <v>0</v>
          </cell>
        </row>
        <row r="201">
          <cell r="V201">
            <v>1.3206204265449366</v>
          </cell>
          <cell r="W201">
            <v>389583.02583075629</v>
          </cell>
          <cell r="KB201">
            <v>0</v>
          </cell>
        </row>
        <row r="202">
          <cell r="V202">
            <v>1.3228214605891782</v>
          </cell>
          <cell r="W202">
            <v>390232.33087380754</v>
          </cell>
          <cell r="KB202">
            <v>0</v>
          </cell>
        </row>
        <row r="203">
          <cell r="V203">
            <v>1.3250261630234934</v>
          </cell>
          <cell r="W203">
            <v>390882.71809193055</v>
          </cell>
          <cell r="KB203">
            <v>0</v>
          </cell>
        </row>
        <row r="204">
          <cell r="V204">
            <v>1.3272345399618659</v>
          </cell>
          <cell r="W204">
            <v>391534.18928875047</v>
          </cell>
          <cell r="KB204">
            <v>0</v>
          </cell>
        </row>
        <row r="205">
          <cell r="V205">
            <v>1.3294465975284691</v>
          </cell>
          <cell r="W205">
            <v>392186.74627089838</v>
          </cell>
          <cell r="KB205">
            <v>0</v>
          </cell>
        </row>
        <row r="206">
          <cell r="V206">
            <v>1.3316623418576832</v>
          </cell>
          <cell r="W206">
            <v>392840.39084801654</v>
          </cell>
          <cell r="KB206">
            <v>0</v>
          </cell>
        </row>
        <row r="207">
          <cell r="V207">
            <v>1.3338817790941127</v>
          </cell>
          <cell r="W207">
            <v>393495.12483276328</v>
          </cell>
          <cell r="KB207">
            <v>0</v>
          </cell>
        </row>
        <row r="208">
          <cell r="V208">
            <v>1.3361049153926028</v>
          </cell>
          <cell r="W208">
            <v>394150.9500408179</v>
          </cell>
          <cell r="KB208">
            <v>0</v>
          </cell>
        </row>
        <row r="209">
          <cell r="V209">
            <v>1.3383317569182571</v>
          </cell>
          <cell r="W209">
            <v>394807.86829088593</v>
          </cell>
          <cell r="KB209">
            <v>0</v>
          </cell>
        </row>
        <row r="210">
          <cell r="V210">
            <v>1.3405623098464543</v>
          </cell>
          <cell r="W210">
            <v>395465.88140470407</v>
          </cell>
          <cell r="KB210">
            <v>0</v>
          </cell>
        </row>
        <row r="211">
          <cell r="V211">
            <v>1.3427965803628652</v>
          </cell>
          <cell r="W211">
            <v>396124.99120704527</v>
          </cell>
          <cell r="KB211">
            <v>0</v>
          </cell>
        </row>
        <row r="212">
          <cell r="V212">
            <v>1.34503457466347</v>
          </cell>
          <cell r="W212">
            <v>396785.1995257237</v>
          </cell>
          <cell r="KB212">
            <v>0</v>
          </cell>
        </row>
        <row r="213">
          <cell r="V213">
            <v>1.3472762989545759</v>
          </cell>
          <cell r="W213">
            <v>397446.50819159992</v>
          </cell>
          <cell r="KB213">
            <v>0</v>
          </cell>
        </row>
        <row r="214">
          <cell r="V214">
            <v>1.3495217594528335</v>
          </cell>
          <cell r="W214">
            <v>398108.91903858591</v>
          </cell>
          <cell r="KB214">
            <v>0</v>
          </cell>
        </row>
        <row r="215">
          <cell r="V215">
            <v>1.351770962385255</v>
          </cell>
          <cell r="W215">
            <v>398772.43390365026</v>
          </cell>
          <cell r="KB215">
            <v>0</v>
          </cell>
        </row>
        <row r="216">
          <cell r="V216">
            <v>1.3540239139892305</v>
          </cell>
          <cell r="W216">
            <v>399437.05462682305</v>
          </cell>
          <cell r="KB216">
            <v>0</v>
          </cell>
        </row>
        <row r="217">
          <cell r="V217">
            <v>1.3562806205125459</v>
          </cell>
          <cell r="W217">
            <v>400102.78305120108</v>
          </cell>
          <cell r="KB217">
            <v>0</v>
          </cell>
        </row>
        <row r="218">
          <cell r="V218">
            <v>1.3585410882134001</v>
          </cell>
          <cell r="W218">
            <v>400769.62102295313</v>
          </cell>
          <cell r="KB218">
            <v>0</v>
          </cell>
        </row>
        <row r="219">
          <cell r="V219">
            <v>1.3608053233604225</v>
          </cell>
          <cell r="W219">
            <v>401437.57039132476</v>
          </cell>
          <cell r="KB219">
            <v>0</v>
          </cell>
        </row>
        <row r="220">
          <cell r="V220">
            <v>1.36307333223269</v>
          </cell>
          <cell r="W220">
            <v>402106.63300864364</v>
          </cell>
          <cell r="KB220">
            <v>0</v>
          </cell>
        </row>
        <row r="221">
          <cell r="V221">
            <v>1.3653451211197445</v>
          </cell>
          <cell r="W221">
            <v>402776.81073032471</v>
          </cell>
          <cell r="KB221">
            <v>0</v>
          </cell>
        </row>
        <row r="222">
          <cell r="V222">
            <v>1.3676206963216109</v>
          </cell>
          <cell r="W222">
            <v>403448.10541487526</v>
          </cell>
          <cell r="KB222">
            <v>0</v>
          </cell>
        </row>
        <row r="223">
          <cell r="V223">
            <v>1.3699000641488137</v>
          </cell>
          <cell r="W223">
            <v>404120.51892390009</v>
          </cell>
          <cell r="KB223">
            <v>0</v>
          </cell>
        </row>
        <row r="224">
          <cell r="V224">
            <v>1.3721832309223951</v>
          </cell>
          <cell r="W224">
            <v>404794.05312210659</v>
          </cell>
          <cell r="KB224">
            <v>0</v>
          </cell>
        </row>
        <row r="225">
          <cell r="V225">
            <v>1.3744702029739324</v>
          </cell>
          <cell r="W225">
            <v>405468.70987731009</v>
          </cell>
          <cell r="KB225">
            <v>0</v>
          </cell>
        </row>
        <row r="226">
          <cell r="V226">
            <v>1.3767609866455557</v>
          </cell>
          <cell r="W226">
            <v>406144.49106043897</v>
          </cell>
          <cell r="KB226">
            <v>0</v>
          </cell>
        </row>
        <row r="227">
          <cell r="V227">
            <v>1.3790555882899651</v>
          </cell>
          <cell r="W227">
            <v>406821.39854553971</v>
          </cell>
          <cell r="KB227">
            <v>0</v>
          </cell>
        </row>
        <row r="228">
          <cell r="V228">
            <v>1.3813540142704483</v>
          </cell>
          <cell r="W228">
            <v>407499.43420978228</v>
          </cell>
          <cell r="KB228">
            <v>0</v>
          </cell>
        </row>
        <row r="229">
          <cell r="V229">
            <v>1.383656270960899</v>
          </cell>
          <cell r="W229">
            <v>408178.59993346524</v>
          </cell>
          <cell r="KB229">
            <v>0</v>
          </cell>
        </row>
        <row r="230">
          <cell r="V230">
            <v>1.3859623647458339</v>
          </cell>
          <cell r="W230">
            <v>408858.89760002104</v>
          </cell>
          <cell r="KB230">
            <v>0</v>
          </cell>
        </row>
        <row r="231">
          <cell r="V231">
            <v>1.3882723020204104</v>
          </cell>
          <cell r="W231">
            <v>409540.32909602107</v>
          </cell>
          <cell r="KB231">
            <v>0</v>
          </cell>
        </row>
        <row r="232">
          <cell r="V232">
            <v>1.3905860891904445</v>
          </cell>
          <cell r="W232">
            <v>410222.89631118113</v>
          </cell>
          <cell r="KB232">
            <v>0</v>
          </cell>
        </row>
        <row r="233">
          <cell r="V233">
            <v>1.3929037326724285</v>
          </cell>
          <cell r="W233">
            <v>410906.60113836644</v>
          </cell>
          <cell r="KB233">
            <v>0</v>
          </cell>
        </row>
        <row r="234">
          <cell r="V234">
            <v>1.3952252388935493</v>
          </cell>
          <cell r="W234">
            <v>411591.44547359709</v>
          </cell>
          <cell r="KB234">
            <v>0</v>
          </cell>
        </row>
        <row r="235">
          <cell r="V235">
            <v>1.3975506142917054</v>
          </cell>
          <cell r="W235">
            <v>412277.43121605308</v>
          </cell>
          <cell r="KB235">
            <v>0</v>
          </cell>
        </row>
        <row r="236">
          <cell r="V236">
            <v>1.3998798653155249</v>
          </cell>
          <cell r="W236">
            <v>412964.56026807986</v>
          </cell>
          <cell r="KB236">
            <v>0</v>
          </cell>
        </row>
        <row r="237">
          <cell r="V237">
            <v>1.4022129984243841</v>
          </cell>
          <cell r="W237">
            <v>413652.83453519334</v>
          </cell>
          <cell r="KB237">
            <v>0</v>
          </cell>
        </row>
        <row r="238">
          <cell r="V238">
            <v>1.4045500200884247</v>
          </cell>
          <cell r="W238">
            <v>414342.25592608534</v>
          </cell>
          <cell r="KB238">
            <v>0</v>
          </cell>
        </row>
        <row r="239">
          <cell r="V239">
            <v>1.406890936788572</v>
          </cell>
          <cell r="W239">
            <v>415032.82635262882</v>
          </cell>
          <cell r="KB239">
            <v>0</v>
          </cell>
        </row>
        <row r="240">
          <cell r="V240">
            <v>1.4092357550165531</v>
          </cell>
          <cell r="W240">
            <v>415724.54772988323</v>
          </cell>
          <cell r="KB240">
            <v>0</v>
          </cell>
        </row>
        <row r="241">
          <cell r="V241">
            <v>1.4115844812749141</v>
          </cell>
          <cell r="W241">
            <v>416417.42197609972</v>
          </cell>
          <cell r="KB241">
            <v>0</v>
          </cell>
        </row>
        <row r="242">
          <cell r="V242">
            <v>1.4139371220770389</v>
          </cell>
          <cell r="W242">
            <v>417111.45101272658</v>
          </cell>
          <cell r="KB242">
            <v>0</v>
          </cell>
        </row>
        <row r="243">
          <cell r="V243">
            <v>1.4162936839471674</v>
          </cell>
          <cell r="W243">
            <v>417806.63676441449</v>
          </cell>
          <cell r="KB243">
            <v>0</v>
          </cell>
        </row>
        <row r="244">
          <cell r="V244">
            <v>1.4186541734204128</v>
          </cell>
          <cell r="W244">
            <v>418502.98115902185</v>
          </cell>
          <cell r="KB244">
            <v>0</v>
          </cell>
        </row>
        <row r="245">
          <cell r="V245">
            <v>1.4210185970427802</v>
          </cell>
          <cell r="W245">
            <v>419200.48612762021</v>
          </cell>
          <cell r="KB245">
            <v>0</v>
          </cell>
        </row>
        <row r="246">
          <cell r="V246">
            <v>1.4233869613711849</v>
          </cell>
          <cell r="W246">
            <v>419899.15360449959</v>
          </cell>
          <cell r="KB246">
            <v>0</v>
          </cell>
        </row>
        <row r="247">
          <cell r="V247">
            <v>1.4257592729734703</v>
          </cell>
          <cell r="W247">
            <v>420598.98552717379</v>
          </cell>
          <cell r="KB247">
            <v>0</v>
          </cell>
        </row>
        <row r="248">
          <cell r="V248">
            <v>1.428135538428426</v>
          </cell>
          <cell r="W248">
            <v>421299.98383638577</v>
          </cell>
          <cell r="KB248">
            <v>0</v>
          </cell>
        </row>
        <row r="249">
          <cell r="V249">
            <v>1.4305157643258068</v>
          </cell>
          <cell r="W249">
            <v>422002.15047611308</v>
          </cell>
          <cell r="KB249">
            <v>0</v>
          </cell>
        </row>
        <row r="250">
          <cell r="V250">
            <v>1.4328999572663499</v>
          </cell>
          <cell r="W250">
            <v>422705.48739357328</v>
          </cell>
          <cell r="KB250">
            <v>0</v>
          </cell>
        </row>
        <row r="251">
          <cell r="V251">
            <v>1.4352881238617938</v>
          </cell>
          <cell r="W251">
            <v>423409.99653922924</v>
          </cell>
          <cell r="KB251">
            <v>0</v>
          </cell>
        </row>
        <row r="252">
          <cell r="V252">
            <v>1.4376802707348968</v>
          </cell>
          <cell r="W252">
            <v>424115.67986679461</v>
          </cell>
          <cell r="KB252">
            <v>0</v>
          </cell>
        </row>
        <row r="253">
          <cell r="V253">
            <v>1.440076404519455</v>
          </cell>
          <cell r="W253">
            <v>424822.53933323931</v>
          </cell>
          <cell r="KB253">
            <v>0</v>
          </cell>
        </row>
        <row r="254">
          <cell r="V254">
            <v>1.4424765318603208</v>
          </cell>
          <cell r="W254">
            <v>425530.57689879474</v>
          </cell>
          <cell r="KB254">
            <v>0</v>
          </cell>
        </row>
        <row r="255">
          <cell r="V255">
            <v>1.4448806594134214</v>
          </cell>
          <cell r="W255">
            <v>426239.79452695942</v>
          </cell>
          <cell r="KB255">
            <v>0</v>
          </cell>
        </row>
        <row r="256">
          <cell r="V256">
            <v>1.447288793845777</v>
          </cell>
          <cell r="W256">
            <v>426950.19418450439</v>
          </cell>
          <cell r="KB256">
            <v>0</v>
          </cell>
        </row>
        <row r="257">
          <cell r="V257">
            <v>1.44970094183552</v>
          </cell>
          <cell r="W257">
            <v>427661.77784147859</v>
          </cell>
          <cell r="KB257">
            <v>0</v>
          </cell>
        </row>
        <row r="258">
          <cell r="V258">
            <v>1.4521171100719126</v>
          </cell>
          <cell r="W258">
            <v>428374.54747121438</v>
          </cell>
          <cell r="KB258">
            <v>0</v>
          </cell>
        </row>
        <row r="259">
          <cell r="V259">
            <v>1.4545373052553658</v>
          </cell>
          <cell r="W259">
            <v>429088.5050503331</v>
          </cell>
          <cell r="KB259">
            <v>0</v>
          </cell>
        </row>
        <row r="260">
          <cell r="V260">
            <v>1.4569615340974582</v>
          </cell>
          <cell r="W260">
            <v>429803.65255875036</v>
          </cell>
          <cell r="KB260">
            <v>0</v>
          </cell>
        </row>
        <row r="261">
          <cell r="V261">
            <v>1.459389803320954</v>
          </cell>
          <cell r="W261">
            <v>430519.9919796816</v>
          </cell>
          <cell r="KB261">
            <v>0</v>
          </cell>
        </row>
        <row r="262">
          <cell r="V262">
            <v>1.4618221196598224</v>
          </cell>
          <cell r="W262">
            <v>431237.52529964776</v>
          </cell>
          <cell r="KB262">
            <v>0</v>
          </cell>
        </row>
        <row r="263">
          <cell r="V263">
            <v>1.4642584898592554</v>
          </cell>
          <cell r="W263">
            <v>431956.25450848055</v>
          </cell>
          <cell r="KB263">
            <v>0</v>
          </cell>
        </row>
        <row r="264">
          <cell r="V264">
            <v>1.4666989206756875</v>
          </cell>
          <cell r="W264">
            <v>432676.181599328</v>
          </cell>
          <cell r="KB264">
            <v>0</v>
          </cell>
        </row>
        <row r="265">
          <cell r="V265">
            <v>1.4691434188768138</v>
          </cell>
          <cell r="W265">
            <v>433397.30856866023</v>
          </cell>
          <cell r="KB265">
            <v>0</v>
          </cell>
        </row>
        <row r="266">
          <cell r="V266">
            <v>1.4715919912416084</v>
          </cell>
          <cell r="W266">
            <v>434119.63741627469</v>
          </cell>
          <cell r="KB266">
            <v>0</v>
          </cell>
        </row>
        <row r="267">
          <cell r="V267">
            <v>1.4740446445603446</v>
          </cell>
          <cell r="W267">
            <v>434843.17014530185</v>
          </cell>
          <cell r="KB267">
            <v>0</v>
          </cell>
        </row>
        <row r="268">
          <cell r="V268">
            <v>1.4765013856346119</v>
          </cell>
          <cell r="W268">
            <v>435567.90876221069</v>
          </cell>
          <cell r="KB268">
            <v>0</v>
          </cell>
        </row>
        <row r="269">
          <cell r="V269">
            <v>1.4789622212773363</v>
          </cell>
          <cell r="W269">
            <v>436293.85527681437</v>
          </cell>
          <cell r="KB269">
            <v>0</v>
          </cell>
        </row>
        <row r="270">
          <cell r="V270">
            <v>1.4814271583127987</v>
          </cell>
          <cell r="W270">
            <v>437021.01170227572</v>
          </cell>
          <cell r="KB270">
            <v>0</v>
          </cell>
        </row>
        <row r="271">
          <cell r="V271">
            <v>1.4838962035766534</v>
          </cell>
          <cell r="W271">
            <v>437749.38005511288</v>
          </cell>
          <cell r="KB271">
            <v>0</v>
          </cell>
        </row>
        <row r="272">
          <cell r="V272">
            <v>1.4863693639159479</v>
          </cell>
          <cell r="W272">
            <v>438478.96235520474</v>
          </cell>
          <cell r="KB272">
            <v>0</v>
          </cell>
        </row>
        <row r="273">
          <cell r="V273">
            <v>1.4888466461891412</v>
          </cell>
          <cell r="W273">
            <v>439209.76062579674</v>
          </cell>
          <cell r="KB273">
            <v>0</v>
          </cell>
        </row>
        <row r="274">
          <cell r="V274">
            <v>1.4913280572661232</v>
          </cell>
          <cell r="W274">
            <v>439941.77689350641</v>
          </cell>
          <cell r="KB274">
            <v>0</v>
          </cell>
        </row>
        <row r="275">
          <cell r="V275">
            <v>1.4938136040282335</v>
          </cell>
          <cell r="W275">
            <v>440675.01318832894</v>
          </cell>
          <cell r="KB275">
            <v>0</v>
          </cell>
        </row>
        <row r="276">
          <cell r="V276">
            <v>1.4963032933682805</v>
          </cell>
          <cell r="W276">
            <v>441409.47154364287</v>
          </cell>
          <cell r="KB276">
            <v>0</v>
          </cell>
        </row>
        <row r="277">
          <cell r="V277">
            <v>1.4987971321905611</v>
          </cell>
          <cell r="W277">
            <v>442145.15399621561</v>
          </cell>
          <cell r="KB277">
            <v>0</v>
          </cell>
        </row>
        <row r="278">
          <cell r="V278">
            <v>1.5012951274108788</v>
          </cell>
          <cell r="W278">
            <v>442882.06258620933</v>
          </cell>
          <cell r="KB278">
            <v>0</v>
          </cell>
        </row>
        <row r="279">
          <cell r="V279">
            <v>1.5037972859565636</v>
          </cell>
          <cell r="W279">
            <v>443620.19935718639</v>
          </cell>
          <cell r="KB279">
            <v>0</v>
          </cell>
        </row>
        <row r="280">
          <cell r="V280">
            <v>1.5063036147664912</v>
          </cell>
          <cell r="W280">
            <v>444359.56635611504</v>
          </cell>
          <cell r="KB280">
            <v>0</v>
          </cell>
        </row>
        <row r="281">
          <cell r="V281">
            <v>1.5088141207911021</v>
          </cell>
          <cell r="W281">
            <v>445100.16563337523</v>
          </cell>
          <cell r="KB281">
            <v>0</v>
          </cell>
        </row>
        <row r="282">
          <cell r="V282">
            <v>1.5113288109924208</v>
          </cell>
          <cell r="W282">
            <v>445841.9992427642</v>
          </cell>
          <cell r="KB282">
            <v>0</v>
          </cell>
        </row>
        <row r="283">
          <cell r="V283">
            <v>1.5138476923440749</v>
          </cell>
          <cell r="W283">
            <v>446585.06924150215</v>
          </cell>
          <cell r="KB283">
            <v>0</v>
          </cell>
        </row>
        <row r="284">
          <cell r="V284">
            <v>1.5163707718313151</v>
          </cell>
          <cell r="W284">
            <v>447329.37769023801</v>
          </cell>
          <cell r="KB284">
            <v>0</v>
          </cell>
        </row>
        <row r="285">
          <cell r="V285">
            <v>1.5188980564510339</v>
          </cell>
          <cell r="W285">
            <v>448074.92665305507</v>
          </cell>
          <cell r="KB285">
            <v>0</v>
          </cell>
        </row>
        <row r="286">
          <cell r="V286">
            <v>1.5214295532117856</v>
          </cell>
          <cell r="W286">
            <v>448821.71819747682</v>
          </cell>
          <cell r="KB286">
            <v>0</v>
          </cell>
        </row>
        <row r="287">
          <cell r="V287">
            <v>1.5239652691338053</v>
          </cell>
          <cell r="W287">
            <v>449569.75439447263</v>
          </cell>
          <cell r="KB287">
            <v>0</v>
          </cell>
        </row>
        <row r="288">
          <cell r="V288">
            <v>1.5265052112490283</v>
          </cell>
          <cell r="W288">
            <v>450319.03731846344</v>
          </cell>
          <cell r="KB288">
            <v>0</v>
          </cell>
        </row>
        <row r="289">
          <cell r="V289">
            <v>1.5290493866011101</v>
          </cell>
          <cell r="W289">
            <v>451069.56904732756</v>
          </cell>
          <cell r="KB289">
            <v>0</v>
          </cell>
        </row>
        <row r="290">
          <cell r="V290">
            <v>1.5315978022454453</v>
          </cell>
          <cell r="W290">
            <v>451821.35166240647</v>
          </cell>
          <cell r="KB290">
            <v>0</v>
          </cell>
        </row>
        <row r="291">
          <cell r="V291">
            <v>1.5341504652491877</v>
          </cell>
          <cell r="W291">
            <v>452574.38724851049</v>
          </cell>
          <cell r="KB291">
            <v>0</v>
          </cell>
        </row>
        <row r="292">
          <cell r="V292">
            <v>1.5367073826912698</v>
          </cell>
          <cell r="W292">
            <v>453328.6778939247</v>
          </cell>
          <cell r="KB292">
            <v>0</v>
          </cell>
        </row>
        <row r="293">
          <cell r="V293">
            <v>1.539268561662422</v>
          </cell>
          <cell r="W293">
            <v>454084.22569041461</v>
          </cell>
          <cell r="KB293">
            <v>0</v>
          </cell>
        </row>
        <row r="294">
          <cell r="V294">
            <v>1.5418340092651928</v>
          </cell>
          <cell r="W294">
            <v>454841.03273323196</v>
          </cell>
          <cell r="KB294">
            <v>0</v>
          </cell>
        </row>
        <row r="295">
          <cell r="V295">
            <v>1.5444037326139681</v>
          </cell>
          <cell r="W295">
            <v>455599.10112112068</v>
          </cell>
          <cell r="KB295">
            <v>0</v>
          </cell>
        </row>
        <row r="296">
          <cell r="V296">
            <v>1.5469777388349915</v>
          </cell>
          <cell r="W296">
            <v>456358.43295632256</v>
          </cell>
          <cell r="KB296">
            <v>0</v>
          </cell>
        </row>
        <row r="297">
          <cell r="V297">
            <v>1.5495560350663831</v>
          </cell>
          <cell r="W297">
            <v>457119.03034458309</v>
          </cell>
          <cell r="KB297">
            <v>0</v>
          </cell>
        </row>
        <row r="298">
          <cell r="V298">
            <v>1.5521386284581604</v>
          </cell>
          <cell r="W298">
            <v>457880.89539515739</v>
          </cell>
          <cell r="KB298">
            <v>0</v>
          </cell>
        </row>
        <row r="299">
          <cell r="V299">
            <v>1.5547255261722575</v>
          </cell>
          <cell r="W299">
            <v>458644.03022081603</v>
          </cell>
          <cell r="KB299">
            <v>0</v>
          </cell>
        </row>
        <row r="300">
          <cell r="V300">
            <v>1.5573167353825446</v>
          </cell>
          <cell r="W300">
            <v>459408.43693785073</v>
          </cell>
          <cell r="KB300">
            <v>0</v>
          </cell>
        </row>
        <row r="301">
          <cell r="V301">
            <v>1.5599122632748488</v>
          </cell>
          <cell r="W301">
            <v>460174.11766608048</v>
          </cell>
          <cell r="KB301">
            <v>0</v>
          </cell>
        </row>
        <row r="302">
          <cell r="V302">
            <v>1.5625121170469736</v>
          </cell>
          <cell r="W302">
            <v>460941.07452885731</v>
          </cell>
          <cell r="KB302">
            <v>0</v>
          </cell>
        </row>
        <row r="303">
          <cell r="V303">
            <v>1.5651163039087186</v>
          </cell>
          <cell r="W303">
            <v>461709.30965307209</v>
          </cell>
          <cell r="KB303">
            <v>0</v>
          </cell>
        </row>
        <row r="304">
          <cell r="V304">
            <v>1.5677248310818999</v>
          </cell>
          <cell r="W304">
            <v>462478.82516916055</v>
          </cell>
          <cell r="KB304">
            <v>0</v>
          </cell>
        </row>
        <row r="305">
          <cell r="V305">
            <v>1.5703377058003698</v>
          </cell>
          <cell r="W305">
            <v>463249.6232111092</v>
          </cell>
          <cell r="KB305">
            <v>0</v>
          </cell>
        </row>
        <row r="306">
          <cell r="V306">
            <v>1.5729549353100372</v>
          </cell>
          <cell r="W306">
            <v>464021.70591646107</v>
          </cell>
          <cell r="KB306">
            <v>0</v>
          </cell>
        </row>
        <row r="307">
          <cell r="V307">
            <v>1.5755765268688873</v>
          </cell>
          <cell r="W307">
            <v>464795.07542632188</v>
          </cell>
          <cell r="KB307">
            <v>0</v>
          </cell>
        </row>
        <row r="308">
          <cell r="V308">
            <v>1.5782024877470022</v>
          </cell>
          <cell r="W308">
            <v>465569.73388536577</v>
          </cell>
          <cell r="KB308">
            <v>0</v>
          </cell>
        </row>
        <row r="309">
          <cell r="V309">
            <v>1.5808328252265806</v>
          </cell>
          <cell r="W309">
            <v>466345.68344184139</v>
          </cell>
          <cell r="KB309">
            <v>0</v>
          </cell>
        </row>
        <row r="310">
          <cell r="V310">
            <v>1.5834675466019583</v>
          </cell>
          <cell r="W310">
            <v>467122.92624757782</v>
          </cell>
          <cell r="KB310">
            <v>0</v>
          </cell>
        </row>
        <row r="311">
          <cell r="V311">
            <v>1.5861066591796282</v>
          </cell>
          <cell r="W311">
            <v>467901.46445799049</v>
          </cell>
          <cell r="KB311">
            <v>0</v>
          </cell>
        </row>
        <row r="312">
          <cell r="V312">
            <v>1.5887501702782609</v>
          </cell>
          <cell r="W312">
            <v>468681.30023208715</v>
          </cell>
          <cell r="KB312">
            <v>0</v>
          </cell>
        </row>
        <row r="313">
          <cell r="V313">
            <v>1.5913980872287248</v>
          </cell>
          <cell r="W313">
            <v>469462.43573247397</v>
          </cell>
          <cell r="KB313">
            <v>0</v>
          </cell>
        </row>
        <row r="314">
          <cell r="V314">
            <v>1.5940504173741061</v>
          </cell>
          <cell r="W314">
            <v>470244.87312536145</v>
          </cell>
          <cell r="KB314">
            <v>0</v>
          </cell>
        </row>
        <row r="315">
          <cell r="V315">
            <v>1.5967071680697298</v>
          </cell>
          <cell r="W315">
            <v>471028.61458057043</v>
          </cell>
          <cell r="KB315">
            <v>0</v>
          </cell>
        </row>
        <row r="316">
          <cell r="V316">
            <v>1.5993683466831794</v>
          </cell>
          <cell r="W316">
            <v>471813.66227153805</v>
          </cell>
          <cell r="KB316">
            <v>0</v>
          </cell>
        </row>
        <row r="317">
          <cell r="V317">
            <v>1.6020339605943181</v>
          </cell>
          <cell r="W317">
            <v>472600.01837532397</v>
          </cell>
          <cell r="KB317">
            <v>0</v>
          </cell>
        </row>
        <row r="318">
          <cell r="V318">
            <v>1.6047040171953086</v>
          </cell>
          <cell r="W318">
            <v>473387.68507261621</v>
          </cell>
          <cell r="KB318">
            <v>0</v>
          </cell>
        </row>
        <row r="319">
          <cell r="V319">
            <v>1.6073785238906342</v>
          </cell>
          <cell r="W319">
            <v>474176.66454773728</v>
          </cell>
          <cell r="KB319">
            <v>0</v>
          </cell>
        </row>
        <row r="320">
          <cell r="V320">
            <v>1.6100574880971186</v>
          </cell>
          <cell r="W320">
            <v>474966.95898865018</v>
          </cell>
          <cell r="KB320">
            <v>0</v>
          </cell>
        </row>
        <row r="321">
          <cell r="V321">
            <v>1.6127409172439471</v>
          </cell>
          <cell r="W321">
            <v>475758.5705869646</v>
          </cell>
          <cell r="KB321">
            <v>0</v>
          </cell>
        </row>
        <row r="322">
          <cell r="V322">
            <v>1.6154288187726871</v>
          </cell>
          <cell r="W322">
            <v>476551.50153794291</v>
          </cell>
          <cell r="KB322">
            <v>0</v>
          </cell>
        </row>
        <row r="323">
          <cell r="V323">
            <v>1.6181212001373082</v>
          </cell>
          <cell r="W323">
            <v>477345.75404050614</v>
          </cell>
          <cell r="KB323">
            <v>0</v>
          </cell>
        </row>
        <row r="324">
          <cell r="V324">
            <v>1.6208180688042038</v>
          </cell>
          <cell r="W324">
            <v>478141.33029724035</v>
          </cell>
          <cell r="KB324">
            <v>0</v>
          </cell>
        </row>
        <row r="325">
          <cell r="V325">
            <v>1.6235194322522108</v>
          </cell>
          <cell r="W325">
            <v>478938.23251440242</v>
          </cell>
          <cell r="KB325">
            <v>0</v>
          </cell>
        </row>
        <row r="326">
          <cell r="V326">
            <v>1.6262252979726313</v>
          </cell>
          <cell r="W326">
            <v>479736.46290192642</v>
          </cell>
          <cell r="KB326">
            <v>0</v>
          </cell>
        </row>
        <row r="327">
          <cell r="V327">
            <v>1.6289356734692524</v>
          </cell>
          <cell r="W327">
            <v>480536.02367342968</v>
          </cell>
          <cell r="KB327">
            <v>0</v>
          </cell>
        </row>
        <row r="328">
          <cell r="V328">
            <v>1.6316505662583678</v>
          </cell>
          <cell r="W328">
            <v>481336.91704621876</v>
          </cell>
          <cell r="KB328">
            <v>0</v>
          </cell>
        </row>
        <row r="329">
          <cell r="V329">
            <v>1.6343699838687984</v>
          </cell>
          <cell r="W329">
            <v>482139.1452412958</v>
          </cell>
          <cell r="KB329">
            <v>0</v>
          </cell>
        </row>
        <row r="330">
          <cell r="V330">
            <v>1.637093933841913</v>
          </cell>
          <cell r="W330">
            <v>482942.71048336464</v>
          </cell>
          <cell r="KB330">
            <v>0</v>
          </cell>
        </row>
        <row r="331">
          <cell r="V331">
            <v>1.6398224237316497</v>
          </cell>
          <cell r="W331">
            <v>483747.61500083696</v>
          </cell>
          <cell r="KB331">
            <v>0</v>
          </cell>
        </row>
        <row r="332">
          <cell r="V332">
            <v>1.6425554611045359</v>
          </cell>
          <cell r="W332">
            <v>484553.86102583836</v>
          </cell>
          <cell r="KB332">
            <v>0</v>
          </cell>
        </row>
        <row r="333">
          <cell r="V333">
            <v>1.6452930535397101</v>
          </cell>
          <cell r="W333">
            <v>485361.45079421479</v>
          </cell>
          <cell r="KB333">
            <v>0</v>
          </cell>
        </row>
        <row r="334">
          <cell r="V334">
            <v>1.6480352086289429</v>
          </cell>
          <cell r="W334">
            <v>486170.38654553849</v>
          </cell>
          <cell r="KB334">
            <v>0</v>
          </cell>
        </row>
        <row r="335">
          <cell r="V335">
            <v>1.6507819339766578</v>
          </cell>
          <cell r="W335">
            <v>486980.67052311439</v>
          </cell>
          <cell r="KB335">
            <v>0</v>
          </cell>
        </row>
        <row r="336">
          <cell r="V336">
            <v>1.6535332371999523</v>
          </cell>
          <cell r="W336">
            <v>487792.30497398629</v>
          </cell>
          <cell r="KB336">
            <v>0</v>
          </cell>
        </row>
        <row r="337">
          <cell r="V337">
            <v>1.656289125928619</v>
          </cell>
          <cell r="W337">
            <v>488605.29214894294</v>
          </cell>
          <cell r="KB337">
            <v>0</v>
          </cell>
        </row>
        <row r="338">
          <cell r="V338">
            <v>1.6590496078051669</v>
          </cell>
          <cell r="W338">
            <v>489419.63430252456</v>
          </cell>
          <cell r="KB338">
            <v>0</v>
          </cell>
        </row>
        <row r="339">
          <cell r="V339">
            <v>1.6618146904848421</v>
          </cell>
          <cell r="W339">
            <v>490235.33369302878</v>
          </cell>
          <cell r="KB339">
            <v>0</v>
          </cell>
        </row>
        <row r="340">
          <cell r="V340">
            <v>1.6645843816356503</v>
          </cell>
          <cell r="W340">
            <v>491052.39258251718</v>
          </cell>
          <cell r="KB340">
            <v>0</v>
          </cell>
        </row>
        <row r="341">
          <cell r="V341">
            <v>1.6673586889383765</v>
          </cell>
          <cell r="W341">
            <v>491870.81323682138</v>
          </cell>
          <cell r="KB341">
            <v>0</v>
          </cell>
        </row>
        <row r="342">
          <cell r="V342">
            <v>1.6701376200866072</v>
          </cell>
          <cell r="W342">
            <v>492690.59792554943</v>
          </cell>
          <cell r="KB342">
            <v>0</v>
          </cell>
        </row>
        <row r="343">
          <cell r="V343">
            <v>1.6729211827867516</v>
          </cell>
          <cell r="W343">
            <v>493511.74892209203</v>
          </cell>
          <cell r="KB343">
            <v>0</v>
          </cell>
        </row>
        <row r="344">
          <cell r="V344">
            <v>1.6757093847580629</v>
          </cell>
          <cell r="W344">
            <v>494334.26850362885</v>
          </cell>
          <cell r="KB344">
            <v>0</v>
          </cell>
        </row>
        <row r="345">
          <cell r="V345">
            <v>1.6785022337326596</v>
          </cell>
          <cell r="W345">
            <v>495158.15895113489</v>
          </cell>
          <cell r="KB345">
            <v>0</v>
          </cell>
        </row>
        <row r="346">
          <cell r="V346">
            <v>1.6812997374555474</v>
          </cell>
          <cell r="W346">
            <v>495983.4225493868</v>
          </cell>
          <cell r="KB346">
            <v>0</v>
          </cell>
        </row>
        <row r="347">
          <cell r="V347">
            <v>1.6841019036846401</v>
          </cell>
          <cell r="W347">
            <v>496810.06158696912</v>
          </cell>
          <cell r="KB347">
            <v>0</v>
          </cell>
        </row>
        <row r="348">
          <cell r="V348">
            <v>1.6869087401907812</v>
          </cell>
          <cell r="W348">
            <v>497638.07835628075</v>
          </cell>
          <cell r="KB348">
            <v>0</v>
          </cell>
        </row>
        <row r="349">
          <cell r="V349">
            <v>1.6897202547577659</v>
          </cell>
          <cell r="W349">
            <v>498467.47515354125</v>
          </cell>
          <cell r="KB349">
            <v>0</v>
          </cell>
        </row>
        <row r="350">
          <cell r="V350">
            <v>1.6925364551823623</v>
          </cell>
          <cell r="W350">
            <v>499298.25427879719</v>
          </cell>
          <cell r="KB350">
            <v>0</v>
          </cell>
        </row>
        <row r="351">
          <cell r="V351">
            <v>1.695357349274333</v>
          </cell>
          <cell r="W351">
            <v>500130.41803592857</v>
          </cell>
          <cell r="KB351">
            <v>0</v>
          </cell>
        </row>
        <row r="352">
          <cell r="V352">
            <v>1.6981829448564569</v>
          </cell>
          <cell r="W352">
            <v>500963.96873265511</v>
          </cell>
          <cell r="KB352">
            <v>0</v>
          </cell>
        </row>
        <row r="353">
          <cell r="V353">
            <v>1.7010132497645511</v>
          </cell>
          <cell r="W353">
            <v>501798.9086805429</v>
          </cell>
          <cell r="KB353">
            <v>0</v>
          </cell>
        </row>
        <row r="354">
          <cell r="V354">
            <v>1.7038482718474921</v>
          </cell>
          <cell r="W354">
            <v>502635.2401950105</v>
          </cell>
          <cell r="KB354">
            <v>0</v>
          </cell>
        </row>
        <row r="355">
          <cell r="V355">
            <v>1.706688018967238</v>
          </cell>
          <cell r="W355">
            <v>503472.96559533552</v>
          </cell>
          <cell r="KB355">
            <v>0</v>
          </cell>
        </row>
        <row r="356">
          <cell r="V356">
            <v>1.7095324989988501</v>
          </cell>
          <cell r="W356">
            <v>504312.0872046611</v>
          </cell>
          <cell r="KB356">
            <v>0</v>
          </cell>
        </row>
        <row r="357">
          <cell r="V357">
            <v>1.7123817198305149</v>
          </cell>
          <cell r="W357">
            <v>505152.60735000222</v>
          </cell>
          <cell r="KB357">
            <v>0</v>
          </cell>
        </row>
        <row r="358">
          <cell r="V358">
            <v>1.7152356893635659</v>
          </cell>
          <cell r="W358">
            <v>505994.52836225223</v>
          </cell>
          <cell r="KB358">
            <v>0</v>
          </cell>
        </row>
        <row r="359">
          <cell r="V359">
            <v>1.7180944155125053</v>
          </cell>
          <cell r="W359">
            <v>506837.85257618933</v>
          </cell>
          <cell r="KB359">
            <v>0</v>
          </cell>
        </row>
        <row r="360">
          <cell r="V360">
            <v>1.7209579062050262</v>
          </cell>
          <cell r="W360">
            <v>507682.58233048301</v>
          </cell>
          <cell r="KB360">
            <v>0</v>
          </cell>
        </row>
        <row r="361">
          <cell r="V361">
            <v>1.7238261693820347</v>
          </cell>
          <cell r="W361">
            <v>508528.71996770048</v>
          </cell>
          <cell r="KB361">
            <v>0</v>
          </cell>
        </row>
        <row r="362">
          <cell r="V362">
            <v>1.7266992129976715</v>
          </cell>
          <cell r="W362">
            <v>509376.26783431333</v>
          </cell>
          <cell r="KB362">
            <v>0</v>
          </cell>
        </row>
        <row r="363">
          <cell r="V363">
            <v>1.7295770450193344</v>
          </cell>
          <cell r="W363">
            <v>510225.22828070389</v>
          </cell>
          <cell r="KB363">
            <v>0</v>
          </cell>
        </row>
        <row r="364">
          <cell r="V364">
            <v>1.7324596734277</v>
          </cell>
          <cell r="W364">
            <v>511075.60366117174</v>
          </cell>
          <cell r="KB364">
            <v>0</v>
          </cell>
        </row>
        <row r="365">
          <cell r="V365">
            <v>1.7353471062167463</v>
          </cell>
          <cell r="W365">
            <v>511927.39633394039</v>
          </cell>
          <cell r="KB365">
            <v>0</v>
          </cell>
        </row>
        <row r="366">
          <cell r="V366">
            <v>1.7382393513937742</v>
          </cell>
          <cell r="W366">
            <v>512780.60866116366</v>
          </cell>
          <cell r="KB366">
            <v>0</v>
          </cell>
        </row>
        <row r="367">
          <cell r="V367">
            <v>1.7411364169794306</v>
          </cell>
          <cell r="W367">
            <v>513635.24300893227</v>
          </cell>
          <cell r="KB367">
            <v>0</v>
          </cell>
        </row>
        <row r="368">
          <cell r="V368">
            <v>1.7440383110077298</v>
          </cell>
          <cell r="W368">
            <v>514491.30174728052</v>
          </cell>
          <cell r="KB368">
            <v>0</v>
          </cell>
        </row>
        <row r="369">
          <cell r="V369">
            <v>1.7469450415260761</v>
          </cell>
          <cell r="W369">
            <v>515348.78725019266</v>
          </cell>
          <cell r="KB369">
            <v>0</v>
          </cell>
        </row>
        <row r="370">
          <cell r="V370">
            <v>1.7498566165952862</v>
          </cell>
          <cell r="W370">
            <v>516207.70189560967</v>
          </cell>
          <cell r="KB370">
            <v>0</v>
          </cell>
        </row>
        <row r="371">
          <cell r="V371"/>
        </row>
        <row r="375">
          <cell r="L375">
            <v>2020</v>
          </cell>
        </row>
        <row r="376">
          <cell r="L376">
            <v>2021</v>
          </cell>
        </row>
        <row r="377">
          <cell r="L377">
            <v>2022</v>
          </cell>
        </row>
        <row r="378">
          <cell r="L378">
            <v>2023</v>
          </cell>
        </row>
        <row r="379">
          <cell r="L379">
            <v>2024</v>
          </cell>
        </row>
        <row r="380">
          <cell r="L380">
            <v>2025</v>
          </cell>
        </row>
        <row r="381">
          <cell r="L381">
            <v>2026</v>
          </cell>
        </row>
        <row r="382">
          <cell r="L382">
            <v>2027</v>
          </cell>
        </row>
        <row r="383">
          <cell r="L383">
            <v>2028</v>
          </cell>
        </row>
        <row r="384">
          <cell r="L384">
            <v>2029</v>
          </cell>
        </row>
        <row r="385">
          <cell r="L385">
            <v>2030</v>
          </cell>
        </row>
        <row r="386">
          <cell r="L386">
            <v>2031</v>
          </cell>
        </row>
        <row r="387">
          <cell r="L387">
            <v>2032</v>
          </cell>
        </row>
        <row r="388">
          <cell r="L388">
            <v>2033</v>
          </cell>
        </row>
        <row r="389">
          <cell r="L389">
            <v>2034</v>
          </cell>
        </row>
        <row r="390">
          <cell r="L390">
            <v>2035</v>
          </cell>
        </row>
        <row r="391">
          <cell r="L391">
            <v>2036</v>
          </cell>
        </row>
        <row r="392">
          <cell r="L392">
            <v>2037</v>
          </cell>
        </row>
        <row r="393">
          <cell r="L393">
            <v>2038</v>
          </cell>
        </row>
        <row r="394">
          <cell r="L394">
            <v>2039</v>
          </cell>
        </row>
        <row r="395">
          <cell r="L395">
            <v>2040</v>
          </cell>
        </row>
        <row r="396">
          <cell r="L396">
            <v>2041</v>
          </cell>
        </row>
        <row r="397">
          <cell r="L397">
            <v>2042</v>
          </cell>
        </row>
        <row r="398">
          <cell r="L398">
            <v>2043</v>
          </cell>
        </row>
        <row r="399">
          <cell r="L399">
            <v>2044</v>
          </cell>
        </row>
        <row r="400">
          <cell r="L400">
            <v>2045</v>
          </cell>
        </row>
        <row r="401">
          <cell r="L401">
            <v>2046</v>
          </cell>
        </row>
        <row r="402">
          <cell r="L402">
            <v>2047</v>
          </cell>
        </row>
        <row r="403">
          <cell r="L403">
            <v>2048</v>
          </cell>
        </row>
        <row r="404">
          <cell r="L404">
            <v>2049</v>
          </cell>
        </row>
      </sheetData>
      <sheetData sheetId="6">
        <row r="367">
          <cell r="BR367">
            <v>6175000</v>
          </cell>
          <cell r="BS367">
            <v>-1327624.9999999998</v>
          </cell>
        </row>
        <row r="403">
          <cell r="BK403">
            <v>10118334.079878818</v>
          </cell>
          <cell r="BL403">
            <v>9511234.0350860879</v>
          </cell>
        </row>
      </sheetData>
      <sheetData sheetId="7"/>
      <sheetData sheetId="8">
        <row r="62">
          <cell r="G62">
            <v>8072045.2534424877</v>
          </cell>
        </row>
        <row r="63">
          <cell r="G63">
            <v>16412941.305955227</v>
          </cell>
        </row>
        <row r="65">
          <cell r="I65">
            <v>-8150214.2857142864</v>
          </cell>
          <cell r="J65">
            <v>-8613817.1092796102</v>
          </cell>
          <cell r="K65">
            <v>-9102207.7341524232</v>
          </cell>
          <cell r="L65">
            <v>-9598188.2808991764</v>
          </cell>
          <cell r="M65">
            <v>-10098301.998868817</v>
          </cell>
          <cell r="N65">
            <v>-10597303.331154874</v>
          </cell>
          <cell r="O65">
            <v>-11105743.007876646</v>
          </cell>
          <cell r="P65">
            <v>-11618419.681904433</v>
          </cell>
          <cell r="Q65">
            <v>-12130088.661549119</v>
          </cell>
          <cell r="R65">
            <v>-13051301.549357511</v>
          </cell>
          <cell r="S65">
            <v>-13335746.766786529</v>
          </cell>
          <cell r="T65">
            <v>-13611171.249916343</v>
          </cell>
          <cell r="U65">
            <v>-13894378.69806125</v>
          </cell>
          <cell r="V65">
            <v>-14180154.315531358</v>
          </cell>
          <cell r="W65">
            <v>-15782035.520632695</v>
          </cell>
          <cell r="X65">
            <v>-15974654.287046671</v>
          </cell>
          <cell r="Y65">
            <v>-16168912.575426765</v>
          </cell>
          <cell r="Z65">
            <v>-16199247.935109878</v>
          </cell>
          <cell r="AA65">
            <v>-16645667.489343071</v>
          </cell>
          <cell r="AB65">
            <v>-16845620.995184772</v>
          </cell>
          <cell r="AC65">
            <v>-16881687.826023255</v>
          </cell>
          <cell r="AD65">
            <v>-17334758.121117637</v>
          </cell>
          <cell r="AE65">
            <v>-17540558.007732954</v>
          </cell>
          <cell r="AF65">
            <v>-15540981.702207396</v>
          </cell>
          <cell r="AG65">
            <v>-17040650.030853268</v>
          </cell>
          <cell r="AH65">
            <v>-19212553.063909084</v>
          </cell>
          <cell r="AI65">
            <v>-21222406.347853947</v>
          </cell>
          <cell r="AJ65">
            <v>-21466929.525272805</v>
          </cell>
          <cell r="AK65">
            <v>-21713528.960985877</v>
          </cell>
          <cell r="AL65">
            <v>-21596331.404533576</v>
          </cell>
          <cell r="AM65">
            <v>-21844086.512471464</v>
          </cell>
          <cell r="AN65">
            <v>-22093945.004605189</v>
          </cell>
          <cell r="AO65">
            <v>-21980023.286392029</v>
          </cell>
          <cell r="AP65">
            <v>-22582742.256660882</v>
          </cell>
          <cell r="AQ65">
            <v>-22838872.876232374</v>
          </cell>
          <cell r="AR65">
            <v>-20813897.719375826</v>
          </cell>
          <cell r="AS65">
            <v>-21055366.067495532</v>
          </cell>
          <cell r="AT65">
            <v>-21298885.799347408</v>
          </cell>
          <cell r="AU65">
            <v>-13356004.098292824</v>
          </cell>
          <cell r="AV65">
            <v>-13619088.731250878</v>
          </cell>
          <cell r="AW65">
            <v>-13793950.034844335</v>
          </cell>
          <cell r="AX65">
            <v>-13279714.787562955</v>
          </cell>
          <cell r="AY65">
            <v>-13451818.646502197</v>
          </cell>
          <cell r="AZ65">
            <v>-13625392.128401471</v>
          </cell>
          <cell r="BA65">
            <v>-13108084.107696049</v>
          </cell>
          <cell r="BB65">
            <v>-13369558.457914026</v>
          </cell>
          <cell r="BC65">
            <v>-13542553.065283472</v>
          </cell>
          <cell r="BD65">
            <v>-9263893.9188066907</v>
          </cell>
          <cell r="BE65">
            <v>-9471110.1337793916</v>
          </cell>
          <cell r="BF65">
            <v>-9680092.5083853342</v>
          </cell>
          <cell r="BG65">
            <v>-9570199.9784011208</v>
          </cell>
          <cell r="BH65">
            <v>-9717888.2168847173</v>
          </cell>
          <cell r="BI65">
            <v>-9907531.8733040541</v>
          </cell>
          <cell r="BJ65">
            <v>-10051927.136951471</v>
          </cell>
          <cell r="BK65">
            <v>-10244569.488947483</v>
          </cell>
          <cell r="BL65">
            <v>-10438924.981703512</v>
          </cell>
          <cell r="BM65">
            <v>-10635008.071038937</v>
          </cell>
          <cell r="BN65">
            <v>-11060631.723257046</v>
          </cell>
          <cell r="BO65">
            <v>-11221018.49927095</v>
          </cell>
          <cell r="BP65">
            <v>-9695867.494890146</v>
          </cell>
          <cell r="BQ65">
            <v>-9844961.3398605566</v>
          </cell>
          <cell r="BR65">
            <v>-9995337.7857935335</v>
          </cell>
          <cell r="BS65">
            <v>-2843896.5647835899</v>
          </cell>
          <cell r="BT65">
            <v>-2972978.2121708211</v>
          </cell>
          <cell r="BU65">
            <v>-3103175.5232823249</v>
          </cell>
          <cell r="BV65">
            <v>-3234497.8619546853</v>
          </cell>
          <cell r="BW65">
            <v>-3366954.6701675239</v>
          </cell>
          <cell r="BX65">
            <v>-3500555.468694875</v>
          </cell>
          <cell r="BY65">
            <v>-3635309.8577619917</v>
          </cell>
          <cell r="BZ65">
            <v>-3771227.5177076254</v>
          </cell>
          <cell r="CA65">
            <v>-3908318.2096518241</v>
          </cell>
          <cell r="CB65">
            <v>-1862677.1482038607</v>
          </cell>
          <cell r="CC65">
            <v>-1983944.2254365731</v>
          </cell>
          <cell r="CD65">
            <v>-2106262.4487394653</v>
          </cell>
          <cell r="CE65">
            <v>-2161207.1475323234</v>
          </cell>
          <cell r="CF65">
            <v>-2179217.2070950926</v>
          </cell>
          <cell r="CG65">
            <v>-2197377.3504875517</v>
          </cell>
          <cell r="CH65">
            <v>-2215688.8284082813</v>
          </cell>
          <cell r="CI65">
            <v>-2234152.9019783502</v>
          </cell>
          <cell r="CJ65">
            <v>-2252770.8428281699</v>
          </cell>
          <cell r="CK65">
            <v>-2271543.9331850712</v>
          </cell>
          <cell r="CL65">
            <v>-2290473.4659616137</v>
          </cell>
          <cell r="CM65">
            <v>-2309560.7448446271</v>
          </cell>
          <cell r="CN65">
            <v>-918154.51565616252</v>
          </cell>
          <cell r="CO65">
            <v>-925805.80328663054</v>
          </cell>
          <cell r="CP65">
            <v>-933520.85164735245</v>
          </cell>
          <cell r="CQ65">
            <v>-941300.19207774708</v>
          </cell>
          <cell r="CR65">
            <v>-949144.36034506164</v>
          </cell>
          <cell r="CS65">
            <v>-957053.89668127045</v>
          </cell>
          <cell r="CT65">
            <v>-965029.34582028107</v>
          </cell>
          <cell r="CU65">
            <v>-973071.25703545008</v>
          </cell>
          <cell r="CV65">
            <v>-981180.18417741219</v>
          </cell>
          <cell r="CW65">
            <v>-989356.68571222399</v>
          </cell>
          <cell r="CX65">
            <v>-997601.32475982583</v>
          </cell>
          <cell r="CY65">
            <v>-1005914.6691328244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L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Q65">
            <v>0</v>
          </cell>
          <cell r="IR65">
            <v>0</v>
          </cell>
          <cell r="IS65">
            <v>0</v>
          </cell>
          <cell r="IT65">
            <v>0</v>
          </cell>
          <cell r="IU65">
            <v>0</v>
          </cell>
          <cell r="IV65">
            <v>0</v>
          </cell>
          <cell r="IW65">
            <v>0</v>
          </cell>
          <cell r="IX65">
            <v>0</v>
          </cell>
          <cell r="IY65">
            <v>0</v>
          </cell>
          <cell r="IZ65">
            <v>0</v>
          </cell>
          <cell r="JA65">
            <v>0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F65">
            <v>0</v>
          </cell>
          <cell r="JG65">
            <v>0</v>
          </cell>
          <cell r="JH65">
            <v>0</v>
          </cell>
          <cell r="JI65">
            <v>0</v>
          </cell>
          <cell r="JJ65">
            <v>0</v>
          </cell>
          <cell r="JK65">
            <v>0</v>
          </cell>
          <cell r="JL65">
            <v>0</v>
          </cell>
          <cell r="JM65">
            <v>0</v>
          </cell>
          <cell r="JN65">
            <v>0</v>
          </cell>
          <cell r="JO65">
            <v>0</v>
          </cell>
          <cell r="JP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JU65">
            <v>0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E65">
            <v>0</v>
          </cell>
          <cell r="KF65">
            <v>0</v>
          </cell>
          <cell r="KG65">
            <v>0</v>
          </cell>
          <cell r="KH65">
            <v>0</v>
          </cell>
          <cell r="KI65">
            <v>0</v>
          </cell>
          <cell r="KJ65">
            <v>0</v>
          </cell>
          <cell r="KK65">
            <v>0</v>
          </cell>
          <cell r="KL65">
            <v>0</v>
          </cell>
          <cell r="KM65">
            <v>0</v>
          </cell>
          <cell r="KN65">
            <v>0</v>
          </cell>
          <cell r="KO65">
            <v>0</v>
          </cell>
          <cell r="KP65">
            <v>0</v>
          </cell>
          <cell r="KQ65">
            <v>0</v>
          </cell>
          <cell r="KR65">
            <v>0</v>
          </cell>
          <cell r="KS65">
            <v>0</v>
          </cell>
          <cell r="KT65">
            <v>0</v>
          </cell>
          <cell r="KU65">
            <v>0</v>
          </cell>
          <cell r="KV65">
            <v>0</v>
          </cell>
          <cell r="KW65">
            <v>0</v>
          </cell>
          <cell r="KX65">
            <v>0</v>
          </cell>
          <cell r="KY65">
            <v>0</v>
          </cell>
          <cell r="KZ65">
            <v>0</v>
          </cell>
          <cell r="LA65">
            <v>0</v>
          </cell>
          <cell r="LB65">
            <v>0</v>
          </cell>
          <cell r="LC65">
            <v>0</v>
          </cell>
          <cell r="LD65">
            <v>0</v>
          </cell>
          <cell r="LE65">
            <v>0</v>
          </cell>
          <cell r="LF65">
            <v>0</v>
          </cell>
          <cell r="LG65">
            <v>0</v>
          </cell>
          <cell r="LH65">
            <v>0</v>
          </cell>
          <cell r="LI65">
            <v>0</v>
          </cell>
          <cell r="LJ65">
            <v>0</v>
          </cell>
          <cell r="LK65">
            <v>0</v>
          </cell>
          <cell r="LL65">
            <v>0</v>
          </cell>
          <cell r="LM65">
            <v>0</v>
          </cell>
          <cell r="LN65">
            <v>0</v>
          </cell>
          <cell r="LO65">
            <v>0</v>
          </cell>
          <cell r="LP65">
            <v>0</v>
          </cell>
          <cell r="LQ65">
            <v>0</v>
          </cell>
          <cell r="LR65">
            <v>0</v>
          </cell>
          <cell r="LS65">
            <v>0</v>
          </cell>
          <cell r="LT65">
            <v>0</v>
          </cell>
          <cell r="LU65">
            <v>0</v>
          </cell>
          <cell r="LV65">
            <v>0</v>
          </cell>
          <cell r="LW65">
            <v>0</v>
          </cell>
          <cell r="LX65">
            <v>0</v>
          </cell>
          <cell r="LY65">
            <v>0</v>
          </cell>
          <cell r="LZ65">
            <v>0</v>
          </cell>
          <cell r="MA65">
            <v>0</v>
          </cell>
          <cell r="MB65">
            <v>0</v>
          </cell>
          <cell r="MC65">
            <v>0</v>
          </cell>
          <cell r="MD65">
            <v>0</v>
          </cell>
          <cell r="ME65">
            <v>0</v>
          </cell>
          <cell r="MF65">
            <v>0</v>
          </cell>
          <cell r="MG65">
            <v>0</v>
          </cell>
          <cell r="MH65">
            <v>0</v>
          </cell>
          <cell r="MI65">
            <v>0</v>
          </cell>
          <cell r="MJ65">
            <v>0</v>
          </cell>
          <cell r="MK65">
            <v>0</v>
          </cell>
          <cell r="ML65">
            <v>0</v>
          </cell>
          <cell r="MM65">
            <v>0</v>
          </cell>
          <cell r="MN65">
            <v>0</v>
          </cell>
          <cell r="MO65">
            <v>0</v>
          </cell>
          <cell r="MP65">
            <v>0</v>
          </cell>
          <cell r="MQ65">
            <v>0</v>
          </cell>
          <cell r="MR65">
            <v>0</v>
          </cell>
          <cell r="MS65">
            <v>0</v>
          </cell>
          <cell r="MT65">
            <v>0</v>
          </cell>
          <cell r="MU65">
            <v>0</v>
          </cell>
          <cell r="MV65">
            <v>0</v>
          </cell>
          <cell r="MW65">
            <v>0</v>
          </cell>
          <cell r="MX65">
            <v>0</v>
          </cell>
          <cell r="MY65">
            <v>0</v>
          </cell>
          <cell r="MZ65">
            <v>0</v>
          </cell>
          <cell r="NA65">
            <v>0</v>
          </cell>
          <cell r="NB65">
            <v>0</v>
          </cell>
          <cell r="NC65">
            <v>0</v>
          </cell>
          <cell r="ND65">
            <v>0</v>
          </cell>
        </row>
        <row r="70">
          <cell r="G70">
            <v>26063719.254581057</v>
          </cell>
        </row>
        <row r="71">
          <cell r="G71">
            <v>0</v>
          </cell>
        </row>
        <row r="73">
          <cell r="I73">
            <v>-18150000</v>
          </cell>
          <cell r="J73">
            <v>-18301250</v>
          </cell>
          <cell r="K73">
            <v>-18453760.416666668</v>
          </cell>
          <cell r="L73">
            <v>-18607541.753472224</v>
          </cell>
          <cell r="M73">
            <v>-18762604.601417825</v>
          </cell>
          <cell r="N73">
            <v>-18918959.639762972</v>
          </cell>
          <cell r="O73">
            <v>-19076617.636760995</v>
          </cell>
          <cell r="P73">
            <v>-19235589.450400669</v>
          </cell>
          <cell r="Q73">
            <v>-19395886.029154006</v>
          </cell>
          <cell r="R73">
            <v>-19557518.412730291</v>
          </cell>
          <cell r="S73">
            <v>-19720497.732836377</v>
          </cell>
          <cell r="T73">
            <v>-19884835.213943347</v>
          </cell>
          <cell r="U73">
            <v>-20050542.17405954</v>
          </cell>
          <cell r="V73">
            <v>-20217630.025510035</v>
          </cell>
          <cell r="W73">
            <v>-20386110.275722619</v>
          </cell>
          <cell r="X73">
            <v>-20555994.528020307</v>
          </cell>
          <cell r="Y73">
            <v>-20727294.482420478</v>
          </cell>
          <cell r="Z73">
            <v>-20900021.93644065</v>
          </cell>
          <cell r="AA73">
            <v>-21074188.78591099</v>
          </cell>
          <cell r="AB73">
            <v>-21249807.025793582</v>
          </cell>
          <cell r="AC73">
            <v>-21426888.751008529</v>
          </cell>
          <cell r="AD73">
            <v>-21605446.157266933</v>
          </cell>
          <cell r="AE73">
            <v>-21785491.541910823</v>
          </cell>
          <cell r="AF73">
            <v>-21967037.30476008</v>
          </cell>
          <cell r="AG73">
            <v>-22150095.948966414</v>
          </cell>
          <cell r="AH73">
            <v>-22334680.081874467</v>
          </cell>
          <cell r="AI73">
            <v>-22520802.415890086</v>
          </cell>
          <cell r="AJ73">
            <v>-22708475.769355837</v>
          </cell>
          <cell r="AK73">
            <v>-22897713.067433804</v>
          </cell>
          <cell r="AL73">
            <v>-23088527.342995752</v>
          </cell>
          <cell r="AM73">
            <v>-23280931.737520717</v>
          </cell>
          <cell r="AN73">
            <v>-23474939.502000056</v>
          </cell>
          <cell r="AO73">
            <v>-23670563.997850057</v>
          </cell>
          <cell r="AP73">
            <v>-23867818.697832141</v>
          </cell>
          <cell r="AQ73">
            <v>-24066717.186980743</v>
          </cell>
          <cell r="AR73">
            <v>-24267273.163538914</v>
          </cell>
          <cell r="AS73">
            <v>-24469500.439901739</v>
          </cell>
          <cell r="AT73">
            <v>-24673412.943567589</v>
          </cell>
          <cell r="AU73">
            <v>-24879024.718097318</v>
          </cell>
          <cell r="AV73">
            <v>-25086349.924081463</v>
          </cell>
          <cell r="AW73">
            <v>-25295402.840115476</v>
          </cell>
          <cell r="AX73">
            <v>-25506197.863783106</v>
          </cell>
          <cell r="AY73">
            <v>-25718749.512647964</v>
          </cell>
          <cell r="AZ73">
            <v>-25933072.425253365</v>
          </cell>
          <cell r="BA73">
            <v>-26149181.362130478</v>
          </cell>
          <cell r="BB73">
            <v>-26367091.2068149</v>
          </cell>
          <cell r="BC73">
            <v>-26586816.96687169</v>
          </cell>
          <cell r="BD73">
            <v>-26808373.774928953</v>
          </cell>
          <cell r="BE73">
            <v>-27031776.889720026</v>
          </cell>
          <cell r="BF73">
            <v>-27257041.697134361</v>
          </cell>
          <cell r="BG73">
            <v>-27484183.711277146</v>
          </cell>
          <cell r="BH73">
            <v>-27713218.57553779</v>
          </cell>
          <cell r="BI73">
            <v>-27944162.063667271</v>
          </cell>
          <cell r="BJ73">
            <v>-28177030.0808645</v>
          </cell>
          <cell r="BK73">
            <v>-28411838.664871704</v>
          </cell>
          <cell r="BL73">
            <v>-28648603.987078968</v>
          </cell>
          <cell r="BM73">
            <v>-28887342.35363796</v>
          </cell>
          <cell r="BN73">
            <v>-29128070.206584942</v>
          </cell>
          <cell r="BO73">
            <v>-29370804.124973148</v>
          </cell>
          <cell r="BP73">
            <v>-29615560.82601459</v>
          </cell>
          <cell r="BQ73">
            <v>-29862357.166231379</v>
          </cell>
          <cell r="BR73">
            <v>-30111210.142616641</v>
          </cell>
          <cell r="BS73">
            <v>-30362136.893805113</v>
          </cell>
          <cell r="BT73">
            <v>-30615154.701253489</v>
          </cell>
          <cell r="BU73">
            <v>-30870280.990430601</v>
          </cell>
          <cell r="BV73">
            <v>-31127533.332017522</v>
          </cell>
          <cell r="BW73">
            <v>-31386929.443117667</v>
          </cell>
          <cell r="BX73">
            <v>-31648487.18847698</v>
          </cell>
          <cell r="BY73">
            <v>-31912224.581714287</v>
          </cell>
          <cell r="BZ73">
            <v>-32178159.786561906</v>
          </cell>
          <cell r="CA73">
            <v>-32446311.118116587</v>
          </cell>
          <cell r="CB73">
            <v>-32716697.044100892</v>
          </cell>
          <cell r="CC73">
            <v>-32989336.186135065</v>
          </cell>
          <cell r="CD73">
            <v>-33264247.321019523</v>
          </cell>
          <cell r="CE73">
            <v>-33541449.382028017</v>
          </cell>
          <cell r="CF73">
            <v>-33820961.460211582</v>
          </cell>
          <cell r="CG73">
            <v>-34102802.805713348</v>
          </cell>
          <cell r="CH73">
            <v>-34386992.829094291</v>
          </cell>
          <cell r="CI73">
            <v>-34673551.102670074</v>
          </cell>
          <cell r="CJ73">
            <v>-34962497.361858994</v>
          </cell>
          <cell r="CK73">
            <v>-35253851.506541155</v>
          </cell>
          <cell r="CL73">
            <v>-35547633.602428995</v>
          </cell>
          <cell r="CM73">
            <v>-35843863.882449239</v>
          </cell>
          <cell r="CN73">
            <v>-36142562.748136319</v>
          </cell>
          <cell r="CO73">
            <v>-36443750.771037452</v>
          </cell>
          <cell r="CP73">
            <v>-36747448.69412943</v>
          </cell>
          <cell r="CQ73">
            <v>-37053677.433247171</v>
          </cell>
          <cell r="CR73">
            <v>-37362458.078524232</v>
          </cell>
          <cell r="CS73">
            <v>-37673811.895845264</v>
          </cell>
          <cell r="CT73">
            <v>-37987760.328310639</v>
          </cell>
          <cell r="CU73">
            <v>-38304324.997713231</v>
          </cell>
          <cell r="CV73">
            <v>-38623527.706027508</v>
          </cell>
          <cell r="CW73">
            <v>-38945390.436911069</v>
          </cell>
          <cell r="CX73">
            <v>-39269935.35721866</v>
          </cell>
          <cell r="CY73">
            <v>-39597184.818528816</v>
          </cell>
          <cell r="CZ73">
            <v>-39503741.00364124</v>
          </cell>
          <cell r="DA73">
            <v>-39832938.845338248</v>
          </cell>
          <cell r="DB73">
            <v>-40164880.002382733</v>
          </cell>
          <cell r="DC73">
            <v>-40499587.335735925</v>
          </cell>
          <cell r="DD73">
            <v>-40837083.896867059</v>
          </cell>
          <cell r="DE73">
            <v>-41177392.929340951</v>
          </cell>
          <cell r="DF73">
            <v>-41520537.870418794</v>
          </cell>
          <cell r="DG73">
            <v>-41866542.352672286</v>
          </cell>
          <cell r="DH73">
            <v>-42215430.205611221</v>
          </cell>
          <cell r="DI73">
            <v>-42567225.457324646</v>
          </cell>
          <cell r="DJ73">
            <v>-42921952.336135685</v>
          </cell>
          <cell r="DK73">
            <v>-43279635.27227015</v>
          </cell>
          <cell r="DL73">
            <v>-43640298.899539068</v>
          </cell>
          <cell r="DM73">
            <v>-44003968.05703523</v>
          </cell>
          <cell r="DN73">
            <v>-44370667.790843859</v>
          </cell>
          <cell r="DO73">
            <v>-44740423.355767556</v>
          </cell>
          <cell r="DP73">
            <v>-45113260.217065617</v>
          </cell>
          <cell r="DQ73">
            <v>-45489204.052207828</v>
          </cell>
          <cell r="DR73">
            <v>-45868280.752642892</v>
          </cell>
          <cell r="DS73">
            <v>-46250516.425581582</v>
          </cell>
          <cell r="DT73">
            <v>-46635937.395794764</v>
          </cell>
          <cell r="DU73">
            <v>-47024570.207426384</v>
          </cell>
          <cell r="DV73">
            <v>-47416441.625821605</v>
          </cell>
          <cell r="DW73">
            <v>-47811578.639370121</v>
          </cell>
          <cell r="DX73">
            <v>-48210008.461364873</v>
          </cell>
          <cell r="DY73">
            <v>-48611758.531876244</v>
          </cell>
          <cell r="DZ73">
            <v>-49016856.519641876</v>
          </cell>
          <cell r="EA73">
            <v>-49425330.323972225</v>
          </cell>
          <cell r="EB73">
            <v>-49837208.076671995</v>
          </cell>
          <cell r="EC73">
            <v>-50252518.143977597</v>
          </cell>
          <cell r="ED73">
            <v>-50671289.128510743</v>
          </cell>
          <cell r="EE73">
            <v>-51093549.871248335</v>
          </cell>
          <cell r="EF73">
            <v>-51519329.453508735</v>
          </cell>
          <cell r="EG73">
            <v>-51948657.198954642</v>
          </cell>
          <cell r="EH73">
            <v>-52381562.675612599</v>
          </cell>
          <cell r="EI73">
            <v>-52818075.69790937</v>
          </cell>
          <cell r="EJ73">
            <v>-53258226.328725278</v>
          </cell>
          <cell r="EK73">
            <v>-53702044.881464653</v>
          </cell>
          <cell r="EL73">
            <v>-54149561.922143526</v>
          </cell>
          <cell r="EM73">
            <v>-54600808.271494724</v>
          </cell>
          <cell r="EN73">
            <v>-55055815.007090516</v>
          </cell>
          <cell r="EO73">
            <v>-55514613.465482935</v>
          </cell>
          <cell r="EP73">
            <v>-55977235.244361959</v>
          </cell>
          <cell r="EQ73">
            <v>-56443712.204731643</v>
          </cell>
          <cell r="ER73">
            <v>-56914076.47310441</v>
          </cell>
          <cell r="ES73">
            <v>-57388360.443713613</v>
          </cell>
          <cell r="ET73">
            <v>-57866596.78074456</v>
          </cell>
          <cell r="EU73">
            <v>-58348818.420584098</v>
          </cell>
          <cell r="EV73">
            <v>-58835058.574088968</v>
          </cell>
          <cell r="EW73">
            <v>-59325350.728873044</v>
          </cell>
          <cell r="EX73">
            <v>-59819728.651613653</v>
          </cell>
          <cell r="EY73">
            <v>-60318226.390377097</v>
          </cell>
          <cell r="EZ73">
            <v>-60820878.276963569</v>
          </cell>
          <cell r="FA73">
            <v>-61327718.929271601</v>
          </cell>
          <cell r="FB73">
            <v>-61838783.253682196</v>
          </cell>
          <cell r="FC73">
            <v>-62354106.447462879</v>
          </cell>
          <cell r="FD73">
            <v>-62873724.001191735</v>
          </cell>
          <cell r="FE73">
            <v>-63397671.70120167</v>
          </cell>
          <cell r="FF73">
            <v>-63925985.632045016</v>
          </cell>
          <cell r="FG73">
            <v>-64458702.178978726</v>
          </cell>
          <cell r="FH73">
            <v>-64995858.030470215</v>
          </cell>
          <cell r="FI73">
            <v>-65537490.180724137</v>
          </cell>
          <cell r="FJ73">
            <v>-66083635.932230175</v>
          </cell>
          <cell r="FK73">
            <v>-66634332.898332089</v>
          </cell>
          <cell r="FL73">
            <v>-67189619.005818188</v>
          </cell>
          <cell r="FM73">
            <v>-67749532.497533336</v>
          </cell>
          <cell r="FN73">
            <v>-68314111.935012788</v>
          </cell>
          <cell r="FO73">
            <v>-68883396.2011379</v>
          </cell>
          <cell r="FP73">
            <v>-69457424.502814054</v>
          </cell>
          <cell r="FQ73">
            <v>-70036236.373670831</v>
          </cell>
          <cell r="FR73">
            <v>-70619871.676784754</v>
          </cell>
          <cell r="FS73">
            <v>-71208370.607424632</v>
          </cell>
          <cell r="FT73">
            <v>-71801773.69581984</v>
          </cell>
          <cell r="FU73">
            <v>-72400121.809951678</v>
          </cell>
          <cell r="FV73">
            <v>-73003456.158367947</v>
          </cell>
          <cell r="FW73">
            <v>-73611818.293021008</v>
          </cell>
          <cell r="FX73">
            <v>-74225250.112129509</v>
          </cell>
          <cell r="FY73">
            <v>-74843793.863063917</v>
          </cell>
          <cell r="FZ73">
            <v>-75467492.145256117</v>
          </cell>
          <cell r="GA73">
            <v>-76096387.913133249</v>
          </cell>
          <cell r="GB73">
            <v>-76730524.479076028</v>
          </cell>
          <cell r="GC73">
            <v>-77369945.516401663</v>
          </cell>
          <cell r="GD73">
            <v>-78014695.062371671</v>
          </cell>
          <cell r="GE73">
            <v>-78664817.521224767</v>
          </cell>
          <cell r="GF73">
            <v>-79320357.667234972</v>
          </cell>
          <cell r="GG73">
            <v>-79981360.64779526</v>
          </cell>
          <cell r="GH73">
            <v>-80647871.986526892</v>
          </cell>
          <cell r="GI73">
            <v>-81319937.58641462</v>
          </cell>
          <cell r="GJ73">
            <v>-81997603.732968077</v>
          </cell>
          <cell r="GK73">
            <v>-82680917.097409472</v>
          </cell>
          <cell r="GL73">
            <v>-83369924.739887878</v>
          </cell>
          <cell r="GM73">
            <v>-84064674.112720281</v>
          </cell>
          <cell r="GN73">
            <v>-84765213.063659623</v>
          </cell>
          <cell r="GO73">
            <v>-85471589.839190125</v>
          </cell>
          <cell r="GP73">
            <v>-86183853.087850049</v>
          </cell>
          <cell r="GQ73">
            <v>-86902051.863582134</v>
          </cell>
          <cell r="GR73">
            <v>-87626235.62911199</v>
          </cell>
          <cell r="GS73">
            <v>-88356454.259354591</v>
          </cell>
          <cell r="GT73">
            <v>-89092758.044849217</v>
          </cell>
          <cell r="GU73">
            <v>-89835197.695222959</v>
          </cell>
          <cell r="GV73">
            <v>-90583824.342683151</v>
          </cell>
          <cell r="GW73">
            <v>-91338689.545538843</v>
          </cell>
          <cell r="GX73">
            <v>-92099845.291751668</v>
          </cell>
          <cell r="GY73">
            <v>-92867344.00251627</v>
          </cell>
          <cell r="GZ73">
            <v>-93641238.535870567</v>
          </cell>
          <cell r="HA73">
            <v>-94421582.190336153</v>
          </cell>
          <cell r="HB73">
            <v>-95208428.708588958</v>
          </cell>
          <cell r="HC73">
            <v>-96001832.281160533</v>
          </cell>
          <cell r="HD73">
            <v>-96801847.550170198</v>
          </cell>
          <cell r="HE73">
            <v>-97608529.61308828</v>
          </cell>
          <cell r="HF73">
            <v>-98421934.026530683</v>
          </cell>
          <cell r="HG73">
            <v>-99242116.810085103</v>
          </cell>
          <cell r="HH73">
            <v>-100069134.45016915</v>
          </cell>
          <cell r="HI73">
            <v>-100903043.90392056</v>
          </cell>
          <cell r="HJ73">
            <v>-101743902.60311989</v>
          </cell>
          <cell r="HK73">
            <v>-102591768.45814589</v>
          </cell>
          <cell r="HL73">
            <v>-103446699.86196376</v>
          </cell>
          <cell r="HM73">
            <v>-104308755.6941468</v>
          </cell>
          <cell r="HN73">
            <v>-105177995.32493135</v>
          </cell>
          <cell r="HO73">
            <v>-106054478.61930577</v>
          </cell>
          <cell r="HP73">
            <v>-106938265.94113332</v>
          </cell>
          <cell r="HQ73">
            <v>-107829418.15730943</v>
          </cell>
          <cell r="HR73">
            <v>-108727996.64195368</v>
          </cell>
          <cell r="HS73">
            <v>-109634063.28063662</v>
          </cell>
          <cell r="HT73">
            <v>-110547680.47464193</v>
          </cell>
          <cell r="HU73">
            <v>-111468911.14526395</v>
          </cell>
          <cell r="HV73">
            <v>-112397818.73814115</v>
          </cell>
          <cell r="HW73">
            <v>-113334467.22762565</v>
          </cell>
          <cell r="HX73">
            <v>-114278921.12118921</v>
          </cell>
          <cell r="HY73">
            <v>-115231245.46386579</v>
          </cell>
          <cell r="HZ73">
            <v>-116191505.84273134</v>
          </cell>
          <cell r="IA73">
            <v>-117159768.39142077</v>
          </cell>
          <cell r="IB73">
            <v>-118136099.79468261</v>
          </cell>
          <cell r="IC73">
            <v>-119120567.29297163</v>
          </cell>
          <cell r="ID73">
            <v>-120113238.68707973</v>
          </cell>
          <cell r="IE73">
            <v>-121114182.34280539</v>
          </cell>
          <cell r="IF73">
            <v>-122123467.1956621</v>
          </cell>
          <cell r="IG73">
            <v>-123141162.75562595</v>
          </cell>
          <cell r="IH73">
            <v>-124167339.11192283</v>
          </cell>
          <cell r="II73">
            <v>-125202066.93785553</v>
          </cell>
          <cell r="IJ73">
            <v>-126245417.49567099</v>
          </cell>
          <cell r="IK73">
            <v>-127297462.64146824</v>
          </cell>
          <cell r="IL73">
            <v>-128358274.83014715</v>
          </cell>
          <cell r="IM73">
            <v>-129427927.12039837</v>
          </cell>
          <cell r="IN73">
            <v>-130506493.17973502</v>
          </cell>
          <cell r="IO73">
            <v>-131594047.28956614</v>
          </cell>
          <cell r="IP73">
            <v>-132690664.35031253</v>
          </cell>
          <cell r="IQ73">
            <v>-133796419.88656513</v>
          </cell>
          <cell r="IR73">
            <v>-134911390.05228651</v>
          </cell>
          <cell r="IS73">
            <v>-136035651.63605556</v>
          </cell>
          <cell r="IT73">
            <v>-137169282.06635603</v>
          </cell>
          <cell r="IU73">
            <v>-138312359.41690901</v>
          </cell>
          <cell r="IV73">
            <v>-139464962.41204992</v>
          </cell>
          <cell r="IW73">
            <v>-140627170.43215033</v>
          </cell>
          <cell r="IX73">
            <v>-141799063.51908493</v>
          </cell>
          <cell r="IY73">
            <v>-142980722.38174397</v>
          </cell>
          <cell r="IZ73">
            <v>-144172228.40159184</v>
          </cell>
          <cell r="JA73">
            <v>-145373663.63827178</v>
          </cell>
          <cell r="JB73">
            <v>-146585110.83525738</v>
          </cell>
          <cell r="JC73">
            <v>-147806653.42555121</v>
          </cell>
          <cell r="JD73">
            <v>-149038375.53743079</v>
          </cell>
          <cell r="JE73">
            <v>-150280362.00024271</v>
          </cell>
          <cell r="JF73">
            <v>-151532698.35024473</v>
          </cell>
          <cell r="JG73">
            <v>-152795470.83649677</v>
          </cell>
          <cell r="JH73">
            <v>-154068766.42680091</v>
          </cell>
          <cell r="JI73">
            <v>-155352672.8136909</v>
          </cell>
          <cell r="JJ73">
            <v>-156647278.42047167</v>
          </cell>
          <cell r="JK73">
            <v>-157952672.40730894</v>
          </cell>
          <cell r="JL73">
            <v>-159268944.67736983</v>
          </cell>
          <cell r="JM73">
            <v>-160596185.88301459</v>
          </cell>
          <cell r="JN73">
            <v>-161934487.43203971</v>
          </cell>
          <cell r="JO73">
            <v>-163283941.49397337</v>
          </cell>
          <cell r="JP73">
            <v>-164644641.00642315</v>
          </cell>
          <cell r="JQ73">
            <v>-166016679.68147668</v>
          </cell>
          <cell r="JR73">
            <v>-167400152.01215565</v>
          </cell>
          <cell r="JS73">
            <v>-168795153.27892363</v>
          </cell>
          <cell r="JT73">
            <v>-170201779.55624801</v>
          </cell>
          <cell r="JU73">
            <v>-171620127.71921673</v>
          </cell>
          <cell r="JV73">
            <v>-173050295.45021021</v>
          </cell>
          <cell r="JW73">
            <v>-174492381.24562863</v>
          </cell>
          <cell r="JX73">
            <v>-175946484.42267552</v>
          </cell>
          <cell r="JY73">
            <v>-177412705.12619781</v>
          </cell>
          <cell r="JZ73">
            <v>-178891144.33558279</v>
          </cell>
          <cell r="KA73">
            <v>-180381903.87171265</v>
          </cell>
          <cell r="KB73">
            <v>-181885086.40397692</v>
          </cell>
          <cell r="KC73">
            <v>-183400795.4573434</v>
          </cell>
          <cell r="KD73">
            <v>-184929135.41948792</v>
          </cell>
          <cell r="KE73">
            <v>-186470211.54798365</v>
          </cell>
          <cell r="KF73">
            <v>-188024129.97755018</v>
          </cell>
          <cell r="KG73">
            <v>-189590997.72736311</v>
          </cell>
          <cell r="KH73">
            <v>-191170922.70842448</v>
          </cell>
          <cell r="KI73">
            <v>-192764013.73099467</v>
          </cell>
          <cell r="KJ73">
            <v>-194370380.5120863</v>
          </cell>
          <cell r="KK73">
            <v>-195990133.68302035</v>
          </cell>
          <cell r="KL73">
            <v>-197623384.79704553</v>
          </cell>
          <cell r="KM73">
            <v>-199270246.3370209</v>
          </cell>
          <cell r="KN73">
            <v>-200930831.72316274</v>
          </cell>
          <cell r="KO73">
            <v>-202605255.32085577</v>
          </cell>
          <cell r="KP73">
            <v>-204293632.44852957</v>
          </cell>
          <cell r="KQ73">
            <v>-205996079.38560066</v>
          </cell>
          <cell r="KR73">
            <v>-207712713.38048065</v>
          </cell>
          <cell r="KS73">
            <v>-209443652.65865132</v>
          </cell>
          <cell r="KT73">
            <v>-211189016.43080676</v>
          </cell>
          <cell r="KU73">
            <v>-212948924.90106347</v>
          </cell>
          <cell r="KV73">
            <v>-214723499.27523899</v>
          </cell>
          <cell r="KW73">
            <v>-216512861.76919931</v>
          </cell>
          <cell r="KX73">
            <v>-218317135.61727598</v>
          </cell>
          <cell r="KY73">
            <v>-220136445.0807533</v>
          </cell>
          <cell r="KZ73">
            <v>-221970915.45642623</v>
          </cell>
          <cell r="LA73">
            <v>-223820673.08522978</v>
          </cell>
          <cell r="LB73">
            <v>-225685845.36094004</v>
          </cell>
          <cell r="LC73">
            <v>-227566560.73894787</v>
          </cell>
          <cell r="LD73">
            <v>-229462948.74510577</v>
          </cell>
          <cell r="LE73">
            <v>-231375139.98464832</v>
          </cell>
          <cell r="LF73">
            <v>-233303266.15118706</v>
          </cell>
          <cell r="LG73">
            <v>-235247460.03578028</v>
          </cell>
          <cell r="LH73">
            <v>-237207855.53607845</v>
          </cell>
          <cell r="LI73">
            <v>-239184587.66554576</v>
          </cell>
          <cell r="LJ73">
            <v>-241177792.56275865</v>
          </cell>
          <cell r="LK73">
            <v>-243187607.50078166</v>
          </cell>
          <cell r="LL73">
            <v>-245214170.8966215</v>
          </cell>
          <cell r="LM73">
            <v>-247257622.32076001</v>
          </cell>
          <cell r="LN73">
            <v>-249318102.50676635</v>
          </cell>
          <cell r="LO73">
            <v>-251395753.36098939</v>
          </cell>
          <cell r="LP73">
            <v>-253490717.97233096</v>
          </cell>
          <cell r="LQ73">
            <v>-255603140.62210038</v>
          </cell>
          <cell r="LR73">
            <v>-257733166.79395121</v>
          </cell>
          <cell r="LS73">
            <v>-259880943.1839008</v>
          </cell>
          <cell r="LT73">
            <v>-262046617.7104333</v>
          </cell>
          <cell r="LU73">
            <v>-264230339.5246869</v>
          </cell>
          <cell r="LV73">
            <v>-266432259.02072597</v>
          </cell>
          <cell r="LW73">
            <v>-268652527.84589869</v>
          </cell>
          <cell r="LX73">
            <v>-270891298.91128117</v>
          </cell>
          <cell r="LY73">
            <v>-273148726.40220851</v>
          </cell>
          <cell r="LZ73">
            <v>-275424965.78889358</v>
          </cell>
          <cell r="MA73">
            <v>-277720173.83713436</v>
          </cell>
          <cell r="MB73">
            <v>-280034508.61911047</v>
          </cell>
          <cell r="MC73">
            <v>-282368129.5242697</v>
          </cell>
          <cell r="MD73">
            <v>-284721197.27030528</v>
          </cell>
          <cell r="ME73">
            <v>-287093873.91422451</v>
          </cell>
          <cell r="MF73">
            <v>-289486322.86350971</v>
          </cell>
          <cell r="MG73">
            <v>-291898708.88737231</v>
          </cell>
          <cell r="MH73">
            <v>-294331198.1281004</v>
          </cell>
          <cell r="MI73">
            <v>-296783958.1125012</v>
          </cell>
          <cell r="MJ73">
            <v>-299257157.7634387</v>
          </cell>
          <cell r="MK73">
            <v>-301750967.41146737</v>
          </cell>
          <cell r="ML73">
            <v>-304265558.80656296</v>
          </cell>
          <cell r="MM73">
            <v>-306801105.129951</v>
          </cell>
          <cell r="MN73">
            <v>-309357781.0060339</v>
          </cell>
          <cell r="MO73">
            <v>-311935762.51441753</v>
          </cell>
          <cell r="MP73">
            <v>-314535227.20203769</v>
          </cell>
          <cell r="MQ73">
            <v>-317156354.095388</v>
          </cell>
          <cell r="MR73">
            <v>-319799323.71284956</v>
          </cell>
          <cell r="MS73">
            <v>-322464318.07712328</v>
          </cell>
          <cell r="MT73">
            <v>-325151520.72776598</v>
          </cell>
          <cell r="MU73">
            <v>-327861116.73383069</v>
          </cell>
          <cell r="MV73">
            <v>-330593292.70661259</v>
          </cell>
          <cell r="MW73">
            <v>-333348236.81250101</v>
          </cell>
          <cell r="MX73">
            <v>-336126138.7859385</v>
          </cell>
          <cell r="MY73">
            <v>-338927189.94248801</v>
          </cell>
          <cell r="MZ73">
            <v>-341751583.19200873</v>
          </cell>
          <cell r="NA73">
            <v>-344599513.05194211</v>
          </cell>
          <cell r="NB73">
            <v>-347471175.66070831</v>
          </cell>
          <cell r="NC73">
            <v>-350366768.79121423</v>
          </cell>
          <cell r="ND73">
            <v>-353286491.86447436</v>
          </cell>
        </row>
      </sheetData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regg Wolin" id="{A0A88909-3267-4C1D-9179-F3D9B7D141A8}" userId="Gregg Woli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g Wolin" refreshedDate="44644.695638541663" createdVersion="7" refreshedVersion="7" minRefreshableVersion="3" recordCount="10" xr:uid="{7A9F1013-9903-4ECB-A1C3-FD8B552E1944}">
  <cacheSource type="worksheet">
    <worksheetSource ref="E10:J20" sheet="iLandAcquisition"/>
  </cacheSource>
  <cacheFields count="10">
    <cacheField name="Seller" numFmtId="0">
      <sharedItems containsBlank="1"/>
    </cacheField>
    <cacheField name="Installments" numFmtId="182">
      <sharedItems containsString="0" containsBlank="1" containsNumber="1" containsInteger="1" minValue="1" maxValue="3"/>
    </cacheField>
    <cacheField name="Column1" numFmtId="0">
      <sharedItems containsString="0" containsBlank="1" containsNumber="1" containsInteger="1" minValue="1" maxValue="3"/>
    </cacheField>
    <cacheField name="Conveyed" numFmtId="184">
      <sharedItems containsString="0" containsBlank="1" containsNumber="1" containsInteger="1" minValue="150" maxValue="750" count="5">
        <n v="150"/>
        <n v="500"/>
        <n v="750"/>
        <m/>
        <n v="250"/>
      </sharedItems>
    </cacheField>
    <cacheField name="Transaction" numFmtId="169">
      <sharedItems containsNonDate="0" containsDate="1" containsString="0" containsBlank="1" minDate="2022-12-01T00:00:00" maxDate="2025-05-05T00:00:00" count="5">
        <d v="2022-12-01T00:00:00"/>
        <d v="2023-12-31T00:00:00"/>
        <d v="2024-12-31T00:00:00"/>
        <m/>
        <d v="2025-05-04T00:00:00"/>
      </sharedItems>
      <fieldGroup par="7" base="4">
        <rangePr groupBy="months" startDate="2022-12-01T00:00:00" endDate="2025-05-05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5/2025"/>
        </groupItems>
      </fieldGroup>
    </cacheField>
    <cacheField name="Payment" numFmtId="168">
      <sharedItems containsString="0" containsBlank="1" containsNumber="1" containsInteger="1" minValue="750000" maxValue="5000000"/>
    </cacheField>
    <cacheField name="Quarters" numFmtId="0" databaseField="0">
      <fieldGroup base="4">
        <rangePr groupBy="quarters" startDate="2022-12-01T00:00:00" endDate="2025-05-05T00:00:00"/>
        <groupItems count="6">
          <s v="&lt;12/1/2022"/>
          <s v="Qtr1"/>
          <s v="Qtr2"/>
          <s v="Qtr3"/>
          <s v="Qtr4"/>
          <s v="&gt;5/5/2025"/>
        </groupItems>
      </fieldGroup>
    </cacheField>
    <cacheField name="Years" numFmtId="0" databaseField="0">
      <fieldGroup base="4">
        <rangePr groupBy="years" startDate="2022-12-01T00:00:00" endDate="2025-05-05T00:00:00"/>
        <groupItems count="6">
          <s v="&lt;12/1/2022"/>
          <s v="2022"/>
          <s v="2023"/>
          <s v="2024"/>
          <s v="2025"/>
          <s v="&gt;5/5/2025"/>
        </groupItems>
      </fieldGroup>
    </cacheField>
    <cacheField name="Per Acre" numFmtId="0" formula="Payment/Conveyed" databaseField="0"/>
    <cacheField name="PerSF" numFmtId="0" formula="'Per Acre'/4356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Joe Shmoe"/>
    <n v="1"/>
    <n v="3"/>
    <x v="0"/>
    <x v="0"/>
    <n v="1000000"/>
  </r>
  <r>
    <m/>
    <n v="2"/>
    <n v="3"/>
    <x v="1"/>
    <x v="1"/>
    <n v="5000000"/>
  </r>
  <r>
    <m/>
    <n v="3"/>
    <n v="3"/>
    <x v="2"/>
    <x v="2"/>
    <n v="750000"/>
  </r>
  <r>
    <m/>
    <m/>
    <m/>
    <x v="3"/>
    <x v="3"/>
    <m/>
  </r>
  <r>
    <s v="Dave Smith"/>
    <n v="1"/>
    <n v="1"/>
    <x v="4"/>
    <x v="4"/>
    <n v="2500000"/>
  </r>
  <r>
    <m/>
    <m/>
    <m/>
    <x v="3"/>
    <x v="3"/>
    <m/>
  </r>
  <r>
    <m/>
    <m/>
    <m/>
    <x v="3"/>
    <x v="3"/>
    <m/>
  </r>
  <r>
    <m/>
    <m/>
    <m/>
    <x v="3"/>
    <x v="3"/>
    <m/>
  </r>
  <r>
    <m/>
    <m/>
    <m/>
    <x v="3"/>
    <x v="3"/>
    <m/>
  </r>
  <r>
    <m/>
    <m/>
    <m/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DEF18-F89F-445B-9963-3CFA81FA5A1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 Year">
  <location ref="Q10:U15" firstHeaderRow="0" firstDataRow="1" firstDataCol="1"/>
  <pivotFields count="10">
    <pivotField showAll="0"/>
    <pivotField showAll="0"/>
    <pivotField showAll="0"/>
    <pivotField dataField="1" showAll="0">
      <items count="6">
        <item x="0"/>
        <item x="4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cres" fld="3" baseField="0" baseItem="0"/>
    <dataField name="Price" fld="5" baseField="0" baseItem="0"/>
    <dataField name="$/Ac" fld="8" baseField="0" baseItem="0"/>
    <dataField name="$/SF" fld="9" baseField="0" baseItem="0" numFmtId="176"/>
  </dataFields>
  <formats count="40">
    <format dxfId="58">
      <pivotArea dataOnly="0" labelOnly="1" grandRow="1" outline="0" fieldPosition="0"/>
    </format>
    <format dxfId="57">
      <pivotArea dataOnly="0" labelOnly="1" grandRow="1" outline="0" fieldPosition="0"/>
    </format>
    <format dxfId="56">
      <pivotArea field="7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7" type="button" dataOnly="0" labelOnly="1" outline="0" axis="axisRow" fieldPosition="0"/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3">
      <pivotArea dataOnly="0" labelOnly="1" grandRow="1" outline="0" fieldPosition="0"/>
    </format>
    <format dxfId="42">
      <pivotArea dataOnly="0" grandRow="1" fieldPosition="0"/>
    </format>
    <format dxfId="41">
      <pivotArea dataOnly="0" grandRow="1" fieldPosition="0"/>
    </format>
    <format dxfId="40">
      <pivotArea field="7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8">
      <pivotArea field="7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5">
      <pivotArea dataOnly="0" grandRow="1" fieldPosition="0"/>
    </format>
    <format dxfId="34">
      <pivotArea dataOnly="0" grandRow="1" fieldPosition="0"/>
    </format>
    <format dxfId="33">
      <pivotArea dataOnly="0" grandRow="1" axis="axisRow" fieldPosition="0"/>
    </format>
    <format dxfId="32">
      <pivotArea field="7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1">
      <pivotArea field="7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7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7" count="0"/>
        </references>
      </pivotArea>
    </format>
    <format dxfId="23">
      <pivotArea field="7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">
      <pivotArea field="7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dataOnly="0" labelOnly="1" fieldPosition="0">
        <references count="1">
          <reference field="7" count="0"/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2878FA-8E82-431E-9935-25DA1F614E2E}" name="tbl_Parcels" displayName="tbl_Parcels" ref="M9:R57" totalsRowShown="0" headerRowDxfId="18" dataDxfId="17" tableBorderDxfId="16" headerRowCellStyle="Normal 11" dataCellStyle="Dark #">
  <autoFilter ref="M9:R57" xr:uid="{CA2878FA-8E82-431E-9935-25DA1F614E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0290E9B-C022-428B-9832-1CCFA0A6618A}" name="Village" dataDxfId="15" dataCellStyle="Dark #"/>
    <tableColumn id="3" xr3:uid="{A4DD87CF-BD4C-4022-9BDB-A1BF4B23C30F}" name="Parcel" dataDxfId="14" dataCellStyle="Dark #">
      <calculatedColumnFormula>CONCATENATE(tbl_Parcels[[#This Row],[Village]],".",L10)</calculatedColumnFormula>
    </tableColumn>
    <tableColumn id="4" xr3:uid="{023B08E1-B979-4843-9CCD-3AF98B1DE2E7}" name="Acres" dataDxfId="13" dataCellStyle="Dark #"/>
    <tableColumn id="5" xr3:uid="{07B19159-2F05-4527-A51F-B68CD66D8F26}" name="Use" dataDxfId="12" dataCellStyle="Dark #"/>
    <tableColumn id="7" xr3:uid="{6A4646EF-B412-49CF-9169-AE47E609826A}" name="Low" dataDxfId="11" dataCellStyle="Dark #">
      <calculatedColumnFormula>INT(tbl_Parcels[[#This Row],[Acres]]*_xlfn.XLOOKUP(tbl_Parcels[[#This Row],[Use]],lst_LUcodes,$H$10:$H$14))</calculatedColumnFormula>
    </tableColumn>
    <tableColumn id="6" xr3:uid="{6E8FBE4E-307A-45C9-A4EF-2833C95BB5C5}" name="High" dataDxfId="10" dataCellStyle="Dark #">
      <calculatedColumnFormula>INT(tbl_Parcels[[#This Row],[Acres]]*_xlfn.XLOOKUP(tbl_Parcels[[#This Row],[Use]],lst_LUcodes,$I$10:$I$14))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C78941-4037-45D5-BAE5-5298F3D03B8F}" name="Table4" displayName="Table4" ref="R10:W45" totalsRowShown="0" headerRowDxfId="9" dataDxfId="7" headerRowBorderDxfId="8" tableBorderDxfId="6" headerRowCellStyle="Percent" dataCellStyle="Dark #">
  <autoFilter ref="R10:W45" xr:uid="{49C78941-4037-45D5-BAE5-5298F3D03B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D80BCFA-3D88-4DA8-84F3-F50CFDFE8F89}" name="Product" dataDxfId="5" dataCellStyle="Dark #">
      <calculatedColumnFormula>CONCATENATE(T11,"x",U11)</calculatedColumnFormula>
    </tableColumn>
    <tableColumn id="2" xr3:uid="{C7426F5C-ADDF-4B28-9604-AF6A625F0537}" name="Code" dataDxfId="4" dataCellStyle="Dark #"/>
    <tableColumn id="3" xr3:uid="{5E572750-02A8-4F9C-B112-25A352F01A3E}" name="Width" dataDxfId="3" dataCellStyle="Dark #"/>
    <tableColumn id="4" xr3:uid="{5860B31E-F904-49D5-A203-8A170E5CB378}" name="Depth" dataDxfId="2" dataCellStyle="Dark #"/>
    <tableColumn id="5" xr3:uid="{8B5A2AAF-8B3C-45E8-BEC7-9E88F0DB27EE}" name="Area" dataDxfId="1" dataCellStyle="Dark #">
      <calculatedColumnFormula>T11*U11</calculatedColumnFormula>
    </tableColumn>
    <tableColumn id="6" xr3:uid="{4B43DD59-EDB6-4434-9E1D-69D8C7A8F1D0}" name="DUA" dataDxfId="0" dataCellStyle="Dark #">
      <calculatedColumnFormula>43560/(Table4[[#This Row],[Area]])*W$9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0" dT="2022-04-04T16:36:20.79" personId="{A0A88909-3267-4C1D-9179-F3D9B7D141A8}" id="{4C15E291-4F88-4A36-AB55-7C424009EF59}">
    <text>Future Version should allow for each line to be expanded into a detailed schedule.  Start and end dates would feed Start Month and Months to complete above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9" dT="2022-04-04T16:36:20.79" personId="{A0A88909-3267-4C1D-9179-F3D9B7D141A8}" id="{6968A64C-296E-4DA4-A354-7D5E534977C6}">
    <text>Future Version should allow for each line to be expanded into a detailed schedule.  Start and end dates would feed Start Month and Months to complete above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9" dT="2022-04-04T16:36:20.79" personId="{A0A88909-3267-4C1D-9179-F3D9B7D141A8}" id="{09A64769-DED9-4554-92E6-017D48BED4EE}">
    <text>Future Version should allow for each line to be expanded into a detailed schedule.  Start and end dates would feed Start Month and Months to complete above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P9" dT="2022-04-04T16:36:20.79" personId="{A0A88909-3267-4C1D-9179-F3D9B7D141A8}" id="{902F34BF-C38D-4B40-8023-634C706C1D0F}">
    <text>Future Version should allow for each line to be expanded into a detailed schedule.  Start and end dates would feed Start Month and Months to complete above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5A0C-C4E5-469E-8561-17E41672CDCD}">
  <sheetPr codeName="Sheet6">
    <tabColor rgb="FF7030A0"/>
  </sheetPr>
  <dimension ref="A1:CF69"/>
  <sheetViews>
    <sheetView topLeftCell="B2" workbookViewId="0"/>
  </sheetViews>
  <sheetFormatPr baseColWidth="10" defaultColWidth="9" defaultRowHeight="14" zeroHeight="1"/>
  <cols>
    <col min="1" max="1" width="7.5" style="175" hidden="1" customWidth="1"/>
    <col min="2" max="2" width="4.33203125" style="175" bestFit="1" customWidth="1"/>
    <col min="3" max="3" width="1.83203125" style="175" customWidth="1"/>
    <col min="4" max="6" width="4.33203125" style="175" bestFit="1" customWidth="1"/>
    <col min="7" max="7" width="6.5" style="175" customWidth="1"/>
    <col min="8" max="8" width="5.83203125" style="175" customWidth="1"/>
    <col min="9" max="9" width="8.83203125" style="175" bestFit="1" customWidth="1"/>
    <col min="10" max="43" width="4.33203125" style="175" bestFit="1" customWidth="1"/>
    <col min="44" max="44" width="11.33203125" style="175" bestFit="1" customWidth="1"/>
    <col min="45" max="16384" width="9" style="175"/>
  </cols>
  <sheetData>
    <row r="1" spans="1:84" s="173" customFormat="1" hidden="1"/>
    <row r="2" spans="1:84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</row>
    <row r="3" spans="1:84" ht="16">
      <c r="A3" s="174"/>
      <c r="B3" s="174"/>
      <c r="C3" s="176" t="s">
        <v>178</v>
      </c>
      <c r="D3" s="174"/>
      <c r="E3" s="174"/>
      <c r="F3" s="174"/>
      <c r="G3" s="177" t="str">
        <f>iGeneral!F10</f>
        <v>Villages at Tortolita</v>
      </c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174"/>
      <c r="BP3" s="174"/>
      <c r="BQ3" s="174"/>
      <c r="BR3" s="174"/>
      <c r="BS3" s="174"/>
      <c r="BT3" s="174"/>
      <c r="BU3" s="174"/>
      <c r="BV3" s="174"/>
      <c r="BW3" s="174"/>
      <c r="BX3" s="174"/>
      <c r="BY3" s="174"/>
      <c r="BZ3" s="174"/>
      <c r="CA3" s="174"/>
      <c r="CB3" s="174"/>
      <c r="CC3" s="174"/>
      <c r="CD3" s="174"/>
      <c r="CE3" s="174"/>
      <c r="CF3" s="174"/>
    </row>
    <row r="4" spans="1:84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8" t="s">
        <v>179</v>
      </c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4"/>
      <c r="BN4" s="174"/>
      <c r="BO4" s="174"/>
      <c r="BP4" s="174"/>
      <c r="BQ4" s="174"/>
      <c r="BR4" s="174"/>
      <c r="BS4" s="174"/>
      <c r="BT4" s="174"/>
      <c r="BU4" s="174"/>
      <c r="BV4" s="174"/>
      <c r="BW4" s="174"/>
      <c r="BX4" s="174"/>
      <c r="BY4" s="174"/>
      <c r="BZ4" s="174"/>
      <c r="CA4" s="174"/>
      <c r="CB4" s="174"/>
      <c r="CC4" s="174"/>
      <c r="CD4" s="174"/>
      <c r="CE4" s="174"/>
      <c r="CF4" s="174"/>
    </row>
    <row r="5" spans="1:84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  <c r="BO5" s="174"/>
      <c r="BP5" s="174"/>
      <c r="BQ5" s="174"/>
      <c r="BR5" s="174"/>
      <c r="BS5" s="174"/>
      <c r="BT5" s="174"/>
      <c r="BU5" s="174"/>
      <c r="BV5" s="174"/>
      <c r="BW5" s="174"/>
      <c r="BX5" s="174"/>
      <c r="BY5" s="174"/>
      <c r="BZ5" s="174"/>
      <c r="CA5" s="174"/>
      <c r="CB5" s="174"/>
      <c r="CC5" s="174"/>
      <c r="CD5" s="174"/>
      <c r="CE5" s="174"/>
      <c r="CF5" s="174"/>
    </row>
    <row r="6" spans="1:84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174"/>
      <c r="BM6" s="174"/>
      <c r="BN6" s="174"/>
      <c r="BO6" s="174"/>
      <c r="BP6" s="174"/>
      <c r="BQ6" s="174"/>
      <c r="BR6" s="174"/>
      <c r="BS6" s="174"/>
      <c r="BT6" s="174"/>
      <c r="BU6" s="174"/>
      <c r="BV6" s="174"/>
      <c r="BW6" s="174"/>
      <c r="BX6" s="174"/>
      <c r="BY6" s="174"/>
      <c r="BZ6" s="174"/>
      <c r="CA6" s="174"/>
      <c r="CB6" s="174"/>
      <c r="CC6" s="174"/>
      <c r="CD6" s="174"/>
      <c r="CE6" s="174"/>
      <c r="CF6" s="174"/>
    </row>
    <row r="7" spans="1:84"/>
    <row r="8" spans="1:84" ht="20.25" customHeight="1" thickBot="1">
      <c r="C8" s="184" t="s">
        <v>1</v>
      </c>
      <c r="I8" s="182">
        <f>i_Date.Start</f>
        <v>44562</v>
      </c>
    </row>
    <row r="9" spans="1:84" ht="20.25" customHeight="1" thickTop="1" thickBot="1">
      <c r="C9" s="184" t="s">
        <v>180</v>
      </c>
      <c r="I9" s="183">
        <f>SUM(tbl_Parcels[Acres])</f>
        <v>1320.0000000000002</v>
      </c>
    </row>
    <row r="10" spans="1:84" ht="20.25" customHeight="1" thickTop="1">
      <c r="C10" s="184"/>
    </row>
    <row r="11" spans="1:84" ht="20.25" customHeight="1">
      <c r="C11" s="179" t="s">
        <v>181</v>
      </c>
    </row>
    <row r="12" spans="1:84" ht="16">
      <c r="C12" s="184"/>
    </row>
    <row r="13" spans="1:84" ht="17" thickBot="1">
      <c r="D13" s="184" t="s">
        <v>183</v>
      </c>
      <c r="I13" s="172" t="e">
        <f>iGeneral!#REF!</f>
        <v>#REF!</v>
      </c>
    </row>
    <row r="14" spans="1:84" ht="17" thickTop="1">
      <c r="D14" s="184" t="s">
        <v>182</v>
      </c>
    </row>
    <row r="15" spans="1:84" ht="16">
      <c r="C15" s="184"/>
    </row>
    <row r="16" spans="1:84" ht="16">
      <c r="C16" s="179"/>
    </row>
    <row r="17" spans="1:3" ht="16">
      <c r="A17" s="180"/>
      <c r="C17" s="179"/>
    </row>
    <row r="18" spans="1:3" ht="16">
      <c r="A18" s="180"/>
      <c r="C18" s="179"/>
    </row>
    <row r="19" spans="1:3" ht="16">
      <c r="A19" s="180"/>
      <c r="C19" s="179"/>
    </row>
    <row r="20" spans="1:3" ht="16">
      <c r="A20" s="180"/>
      <c r="C20" s="179"/>
    </row>
    <row r="21" spans="1:3">
      <c r="A21" s="180"/>
    </row>
    <row r="22" spans="1:3">
      <c r="A22" s="180"/>
    </row>
    <row r="23" spans="1:3">
      <c r="A23" s="180"/>
    </row>
    <row r="24" spans="1:3">
      <c r="A24" s="180"/>
    </row>
    <row r="25" spans="1:3">
      <c r="A25" s="180"/>
    </row>
    <row r="26" spans="1:3">
      <c r="A26" s="180"/>
    </row>
    <row r="27" spans="1:3">
      <c r="A27" s="180"/>
    </row>
    <row r="28" spans="1:3"/>
    <row r="29" spans="1:3"/>
    <row r="30" spans="1:3"/>
    <row r="31" spans="1:3"/>
    <row r="32" spans="1: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 s="181" customFormat="1"/>
    <row r="66" s="181" customFormat="1"/>
    <row r="67" s="181" customFormat="1"/>
    <row r="68" s="181" customFormat="1"/>
    <row r="69" s="181" customFormat="1"/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7066-6F1D-482B-8E9D-276D28C1B6AA}">
  <sheetPr codeName="Sheet1">
    <tabColor rgb="FF0000FF"/>
  </sheetPr>
  <dimension ref="A1:J55"/>
  <sheetViews>
    <sheetView topLeftCell="B2" workbookViewId="0">
      <selection activeCell="D50" sqref="D50"/>
    </sheetView>
  </sheetViews>
  <sheetFormatPr baseColWidth="10" defaultColWidth="8.83203125" defaultRowHeight="14"/>
  <cols>
    <col min="1" max="1" width="0" style="6" hidden="1" customWidth="1"/>
    <col min="2" max="2" width="3" customWidth="1"/>
    <col min="3" max="3" width="3.5" customWidth="1"/>
    <col min="4" max="4" width="16" customWidth="1"/>
    <col min="5" max="5" width="8.5" customWidth="1"/>
    <col min="6" max="6" width="12" customWidth="1"/>
    <col min="7" max="7" width="10.5" customWidth="1"/>
    <col min="8" max="8" width="44.83203125" customWidth="1"/>
    <col min="9" max="9" width="9" customWidth="1"/>
    <col min="10" max="10" width="3.83203125" customWidth="1"/>
    <col min="11" max="11" width="3" customWidth="1"/>
    <col min="12" max="12" width="19" customWidth="1"/>
    <col min="15" max="15" width="12.5" customWidth="1"/>
    <col min="16" max="16" width="9.1640625" customWidth="1"/>
    <col min="17" max="17" width="24.33203125" customWidth="1"/>
  </cols>
  <sheetData>
    <row r="1" spans="1:10" s="6" customFormat="1" hidden="1"/>
    <row r="2" spans="1:10" s="629" customFormat="1" ht="10.25" customHeight="1">
      <c r="G2" s="630"/>
      <c r="H2" s="630"/>
    </row>
    <row r="3" spans="1:10" s="629" customFormat="1" ht="20" customHeight="1">
      <c r="C3" s="634" t="str">
        <f>i_Name.Project</f>
        <v>Villages at Tortolita</v>
      </c>
      <c r="G3" s="630"/>
      <c r="H3" s="630"/>
    </row>
    <row r="4" spans="1:10" s="629" customFormat="1" ht="16.25" customHeight="1">
      <c r="C4" s="634"/>
      <c r="D4" s="635" t="str">
        <f>F11</f>
        <v>Marana, AZ      Northeast of Marana Road and I-10</v>
      </c>
      <c r="G4" s="630"/>
      <c r="H4" s="630"/>
    </row>
    <row r="5" spans="1:10" s="629" customFormat="1" ht="16.25" customHeight="1">
      <c r="C5" s="634"/>
      <c r="G5" s="630"/>
      <c r="H5" s="630"/>
    </row>
    <row r="6" spans="1:10" s="631" customFormat="1" ht="10.25" customHeight="1">
      <c r="G6" s="632"/>
      <c r="H6" s="632"/>
    </row>
    <row r="8" spans="1:10">
      <c r="C8" s="5" t="s">
        <v>8</v>
      </c>
      <c r="D8" s="5"/>
      <c r="E8" s="5"/>
      <c r="F8" s="5"/>
      <c r="G8" s="5"/>
      <c r="H8" s="5"/>
    </row>
    <row r="9" spans="1:10" ht="15" thickBot="1">
      <c r="A9" s="7"/>
      <c r="B9" s="2"/>
      <c r="C9" s="130" t="s">
        <v>7</v>
      </c>
      <c r="D9" s="134" t="s">
        <v>4</v>
      </c>
      <c r="E9" s="135"/>
      <c r="F9" s="135"/>
      <c r="G9" s="133"/>
      <c r="H9" s="133"/>
    </row>
    <row r="10" spans="1:10" ht="18" thickTop="1" thickBot="1">
      <c r="C10" s="13">
        <v>1</v>
      </c>
      <c r="D10" s="626" t="s">
        <v>178</v>
      </c>
      <c r="E10" s="633"/>
      <c r="F10" s="20" t="s">
        <v>0</v>
      </c>
      <c r="G10" s="627"/>
      <c r="H10" s="128"/>
    </row>
    <row r="11" spans="1:10" ht="18" thickTop="1" thickBot="1">
      <c r="C11" s="8">
        <v>2</v>
      </c>
      <c r="D11" s="626" t="s">
        <v>21</v>
      </c>
      <c r="E11" s="633"/>
      <c r="F11" s="622" t="s">
        <v>143</v>
      </c>
      <c r="G11" s="623"/>
      <c r="H11" s="624"/>
    </row>
    <row r="12" spans="1:10" ht="17" thickTop="1">
      <c r="A12" s="7"/>
      <c r="B12" s="2"/>
      <c r="C12" s="138"/>
      <c r="J12" s="3"/>
    </row>
    <row r="13" spans="1:10" ht="17" thickBot="1">
      <c r="A13" s="7"/>
      <c r="B13" s="2"/>
      <c r="C13" s="129" t="s">
        <v>93</v>
      </c>
      <c r="D13" s="5"/>
      <c r="E13" s="5"/>
      <c r="F13" s="628">
        <v>44562</v>
      </c>
      <c r="H13" s="139" t="s">
        <v>16</v>
      </c>
    </row>
    <row r="14" spans="1:10" ht="15" thickTop="1">
      <c r="A14" s="7"/>
      <c r="B14" s="2"/>
    </row>
    <row r="15" spans="1:10">
      <c r="C15" s="5" t="s">
        <v>64</v>
      </c>
      <c r="D15" s="5"/>
      <c r="E15" s="5"/>
      <c r="F15" s="5"/>
      <c r="G15" s="5"/>
      <c r="H15" s="5"/>
    </row>
    <row r="16" spans="1:10" ht="15" thickBot="1">
      <c r="C16" s="14" t="s">
        <v>7</v>
      </c>
      <c r="D16" s="89" t="s">
        <v>10</v>
      </c>
      <c r="E16" s="89"/>
      <c r="F16" s="15" t="s">
        <v>34</v>
      </c>
      <c r="H16" s="90" t="s">
        <v>9</v>
      </c>
    </row>
    <row r="17" spans="1:8" ht="15" thickBot="1">
      <c r="C17" s="94">
        <v>1</v>
      </c>
      <c r="D17" s="124" t="s">
        <v>30</v>
      </c>
      <c r="E17" s="125"/>
      <c r="F17" s="22" t="s">
        <v>35</v>
      </c>
      <c r="H17" s="123"/>
    </row>
    <row r="18" spans="1:8" ht="16" thickTop="1" thickBot="1">
      <c r="C18" s="95">
        <v>2</v>
      </c>
      <c r="D18" s="9" t="s">
        <v>31</v>
      </c>
      <c r="E18" s="10"/>
      <c r="F18" s="40" t="s">
        <v>36</v>
      </c>
      <c r="H18" s="188" t="s">
        <v>66</v>
      </c>
    </row>
    <row r="19" spans="1:8" ht="16" thickTop="1" thickBot="1">
      <c r="C19" s="94">
        <v>3</v>
      </c>
      <c r="D19" s="9" t="s">
        <v>32</v>
      </c>
      <c r="E19" s="10"/>
      <c r="F19" s="40" t="s">
        <v>37</v>
      </c>
      <c r="H19" s="123" t="s">
        <v>67</v>
      </c>
    </row>
    <row r="20" spans="1:8" ht="16" thickTop="1" thickBot="1">
      <c r="C20" s="95">
        <v>4</v>
      </c>
      <c r="D20" s="9" t="s">
        <v>33</v>
      </c>
      <c r="E20" s="10"/>
      <c r="F20" s="40" t="s">
        <v>38</v>
      </c>
      <c r="H20" s="123" t="s">
        <v>68</v>
      </c>
    </row>
    <row r="21" spans="1:8" ht="16" thickTop="1" thickBot="1">
      <c r="C21" s="94">
        <v>5</v>
      </c>
      <c r="D21" s="9"/>
      <c r="E21" s="10"/>
      <c r="F21" s="40"/>
      <c r="H21" s="123"/>
    </row>
    <row r="22" spans="1:8" ht="15" thickTop="1"/>
    <row r="23" spans="1:8">
      <c r="A23" s="7"/>
      <c r="B23" s="2"/>
      <c r="C23" s="5" t="s">
        <v>76</v>
      </c>
      <c r="D23" s="5"/>
      <c r="E23" s="5"/>
      <c r="F23" s="5"/>
      <c r="G23" s="5"/>
      <c r="H23" s="5"/>
    </row>
    <row r="24" spans="1:8" ht="15" thickBot="1">
      <c r="A24" s="7"/>
      <c r="B24" s="2"/>
      <c r="C24" s="130" t="s">
        <v>7</v>
      </c>
      <c r="D24" s="134" t="s">
        <v>4</v>
      </c>
      <c r="E24" s="135" t="s">
        <v>2</v>
      </c>
      <c r="F24" s="135" t="s">
        <v>3</v>
      </c>
      <c r="H24" s="133" t="s">
        <v>9</v>
      </c>
    </row>
    <row r="25" spans="1:8" ht="15" thickBot="1">
      <c r="A25" s="7"/>
      <c r="B25" s="2"/>
      <c r="C25" s="13">
        <v>1</v>
      </c>
      <c r="D25" s="17" t="s">
        <v>5</v>
      </c>
      <c r="E25" s="21">
        <v>0.02</v>
      </c>
      <c r="F25" s="18">
        <v>1</v>
      </c>
      <c r="H25" s="139" t="s">
        <v>16</v>
      </c>
    </row>
    <row r="26" spans="1:8" ht="16" thickTop="1" thickBot="1">
      <c r="A26" s="7"/>
      <c r="B26" s="2"/>
      <c r="C26" s="8">
        <v>2</v>
      </c>
      <c r="D26" s="17" t="s">
        <v>6</v>
      </c>
      <c r="E26" s="23">
        <v>0.01</v>
      </c>
      <c r="F26" s="16">
        <v>2</v>
      </c>
      <c r="H26" s="140"/>
    </row>
    <row r="27" spans="1:8" ht="16" thickTop="1" thickBot="1">
      <c r="A27" s="7"/>
      <c r="B27" s="2"/>
      <c r="C27" s="8">
        <v>3</v>
      </c>
      <c r="D27" s="17"/>
      <c r="E27" s="23"/>
      <c r="F27" s="16"/>
      <c r="H27" s="140"/>
    </row>
    <row r="28" spans="1:8" ht="16" thickTop="1" thickBot="1">
      <c r="A28" s="7"/>
      <c r="B28" s="2"/>
      <c r="C28" s="8">
        <v>4</v>
      </c>
      <c r="D28" s="17"/>
      <c r="E28" s="23"/>
      <c r="F28" s="16"/>
      <c r="H28" s="140"/>
    </row>
    <row r="29" spans="1:8" ht="16" thickTop="1" thickBot="1">
      <c r="A29" s="7"/>
      <c r="B29" s="2"/>
      <c r="C29" s="8">
        <v>5</v>
      </c>
      <c r="D29" s="17"/>
      <c r="E29" s="23"/>
      <c r="F29" s="16"/>
      <c r="H29" s="140"/>
    </row>
    <row r="30" spans="1:8" ht="15" thickTop="1">
      <c r="A30" s="7"/>
    </row>
    <row r="31" spans="1:8">
      <c r="C31" s="5" t="s">
        <v>22</v>
      </c>
      <c r="D31" s="5"/>
      <c r="E31" s="5"/>
      <c r="F31" s="5"/>
      <c r="G31" s="5"/>
      <c r="H31" s="5"/>
    </row>
    <row r="32" spans="1:8" ht="20.25" customHeight="1" thickBot="1">
      <c r="C32" s="130" t="s">
        <v>7</v>
      </c>
      <c r="D32" s="131" t="s">
        <v>22</v>
      </c>
      <c r="E32" s="131"/>
      <c r="F32" s="132" t="s">
        <v>11</v>
      </c>
      <c r="G32" s="132" t="s">
        <v>23</v>
      </c>
      <c r="H32" s="133" t="s">
        <v>9</v>
      </c>
    </row>
    <row r="33" spans="3:8" ht="15" thickBot="1">
      <c r="C33" s="13">
        <v>1</v>
      </c>
      <c r="D33" s="17" t="s">
        <v>24</v>
      </c>
      <c r="E33" s="92"/>
      <c r="F33" s="21">
        <v>5.0000000000000001E-3</v>
      </c>
      <c r="G33" s="22" t="s">
        <v>65</v>
      </c>
      <c r="H33" s="91"/>
    </row>
    <row r="34" spans="3:8" ht="16" thickTop="1" thickBot="1">
      <c r="C34" s="8">
        <v>2</v>
      </c>
      <c r="D34" s="17" t="s">
        <v>25</v>
      </c>
      <c r="E34" s="92"/>
      <c r="F34" s="23">
        <v>0.03</v>
      </c>
      <c r="G34" s="22" t="s">
        <v>26</v>
      </c>
      <c r="H34" s="91"/>
    </row>
    <row r="35" spans="3:8" ht="16" thickTop="1" thickBot="1">
      <c r="C35" s="13">
        <v>3</v>
      </c>
      <c r="D35" s="17" t="s">
        <v>27</v>
      </c>
      <c r="E35" s="92"/>
      <c r="F35" s="23">
        <v>2.5000000000000001E-2</v>
      </c>
      <c r="G35" s="22" t="s">
        <v>65</v>
      </c>
      <c r="H35" s="91"/>
    </row>
    <row r="36" spans="3:8" ht="16" thickTop="1" thickBot="1">
      <c r="C36" s="8">
        <v>4</v>
      </c>
      <c r="D36" s="17" t="s">
        <v>28</v>
      </c>
      <c r="E36" s="92"/>
      <c r="F36" s="23">
        <v>5.0000000000000001E-3</v>
      </c>
      <c r="G36" s="22" t="s">
        <v>65</v>
      </c>
      <c r="H36" s="91"/>
    </row>
    <row r="37" spans="3:8" ht="16" thickTop="1" thickBot="1">
      <c r="C37" s="13">
        <v>5</v>
      </c>
      <c r="D37" s="17" t="s">
        <v>29</v>
      </c>
      <c r="E37" s="92"/>
      <c r="F37" s="23">
        <v>5.0000000000000001E-3</v>
      </c>
      <c r="G37" s="22" t="s">
        <v>65</v>
      </c>
      <c r="H37" s="91"/>
    </row>
    <row r="38" spans="3:8" ht="15" thickTop="1"/>
    <row r="39" spans="3:8">
      <c r="C39" s="5" t="s">
        <v>77</v>
      </c>
      <c r="D39" s="5"/>
      <c r="E39" s="5"/>
      <c r="F39" s="5"/>
      <c r="G39" s="5"/>
      <c r="H39" s="5"/>
    </row>
    <row r="40" spans="3:8" ht="18" customHeight="1" thickBot="1">
      <c r="C40" s="14" t="s">
        <v>7</v>
      </c>
      <c r="D40" s="141" t="s">
        <v>10</v>
      </c>
      <c r="E40" s="131"/>
      <c r="F40" s="132" t="s">
        <v>11</v>
      </c>
      <c r="H40" s="133" t="s">
        <v>9</v>
      </c>
    </row>
    <row r="41" spans="3:8" ht="15" thickBot="1">
      <c r="C41" s="13">
        <v>1</v>
      </c>
      <c r="D41" s="17" t="s">
        <v>12</v>
      </c>
      <c r="E41" s="92"/>
      <c r="F41" s="136">
        <v>0.05</v>
      </c>
      <c r="H41" s="91" t="s">
        <v>15</v>
      </c>
    </row>
    <row r="42" spans="3:8" ht="16" thickTop="1" thickBot="1">
      <c r="C42" s="8">
        <v>2</v>
      </c>
      <c r="D42" s="9" t="s">
        <v>14</v>
      </c>
      <c r="E42" s="93"/>
      <c r="F42" s="137">
        <v>0.1</v>
      </c>
      <c r="H42" s="91"/>
    </row>
    <row r="43" spans="3:8" ht="16" thickTop="1" thickBot="1">
      <c r="C43" s="8">
        <v>3</v>
      </c>
      <c r="D43" s="9" t="s">
        <v>13</v>
      </c>
      <c r="E43" s="93"/>
      <c r="F43" s="137">
        <v>0.2</v>
      </c>
      <c r="H43" s="91"/>
    </row>
    <row r="44" spans="3:8" ht="16" thickTop="1" thickBot="1">
      <c r="C44" s="8">
        <v>4</v>
      </c>
      <c r="D44" s="9" t="s">
        <v>187</v>
      </c>
      <c r="E44" s="93"/>
      <c r="F44" s="40">
        <v>5000</v>
      </c>
      <c r="H44" s="91"/>
    </row>
    <row r="45" spans="3:8" ht="16" thickTop="1" thickBot="1">
      <c r="C45" s="8">
        <v>5</v>
      </c>
      <c r="D45" s="9"/>
      <c r="E45" s="93"/>
      <c r="F45" s="137"/>
      <c r="H45" s="91"/>
    </row>
    <row r="46" spans="3:8" ht="15" thickTop="1"/>
    <row r="48" spans="3:8">
      <c r="C48" s="5" t="s">
        <v>164</v>
      </c>
      <c r="D48" s="5"/>
      <c r="E48" s="5"/>
      <c r="F48" s="5"/>
      <c r="G48" s="5"/>
      <c r="H48" s="5"/>
    </row>
    <row r="49" spans="3:8" ht="15" thickBot="1">
      <c r="C49" s="14" t="s">
        <v>7</v>
      </c>
      <c r="D49" s="89" t="s">
        <v>160</v>
      </c>
      <c r="E49" s="89"/>
      <c r="F49" s="15" t="s">
        <v>162</v>
      </c>
      <c r="G49" s="15" t="s">
        <v>163</v>
      </c>
      <c r="H49" s="90"/>
    </row>
    <row r="50" spans="3:8" ht="15" thickBot="1">
      <c r="C50" s="94">
        <v>1</v>
      </c>
      <c r="D50" s="124" t="s">
        <v>161</v>
      </c>
      <c r="E50" s="125"/>
      <c r="F50" s="22">
        <v>300000</v>
      </c>
      <c r="G50" s="22" t="s">
        <v>167</v>
      </c>
      <c r="H50" s="91"/>
    </row>
    <row r="51" spans="3:8" ht="16" thickTop="1" thickBot="1">
      <c r="C51" s="95">
        <v>2</v>
      </c>
      <c r="D51" s="9" t="s">
        <v>165</v>
      </c>
      <c r="E51" s="10"/>
      <c r="F51" s="40">
        <v>1300</v>
      </c>
      <c r="G51" s="40" t="s">
        <v>166</v>
      </c>
      <c r="H51" s="91"/>
    </row>
    <row r="52" spans="3:8" ht="16" thickTop="1" thickBot="1">
      <c r="C52" s="94">
        <v>3</v>
      </c>
      <c r="D52" s="9" t="s">
        <v>168</v>
      </c>
      <c r="E52" s="10"/>
      <c r="F52" s="40">
        <v>2000</v>
      </c>
      <c r="G52" s="40" t="s">
        <v>166</v>
      </c>
      <c r="H52" s="91"/>
    </row>
    <row r="53" spans="3:8" ht="16" thickTop="1" thickBot="1">
      <c r="C53" s="95">
        <v>4</v>
      </c>
      <c r="D53" s="9" t="s">
        <v>169</v>
      </c>
      <c r="E53" s="10"/>
      <c r="F53" s="156">
        <v>8</v>
      </c>
      <c r="G53" s="40" t="s">
        <v>170</v>
      </c>
      <c r="H53" s="91"/>
    </row>
    <row r="54" spans="3:8" ht="16" thickTop="1" thickBot="1">
      <c r="C54" s="94">
        <v>5</v>
      </c>
      <c r="D54" s="9" t="s">
        <v>171</v>
      </c>
      <c r="E54" s="10"/>
      <c r="F54" s="156">
        <v>3</v>
      </c>
      <c r="G54" s="40" t="s">
        <v>170</v>
      </c>
      <c r="H54" s="91"/>
    </row>
    <row r="55" spans="3:8" ht="15" thickTop="1"/>
  </sheetData>
  <dataValidations count="1">
    <dataValidation type="list" allowBlank="1" showInputMessage="1" showErrorMessage="1" sqref="G33:G37" xr:uid="{3B20F694-73FD-4BFE-850E-12F69A4C6F18}">
      <formula1>"Gross, Residual"</formula1>
    </dataValidation>
  </dataValidations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7F2C-1CBA-4ABD-823A-402FD39396E2}">
  <sheetPr codeName="Sheet13">
    <tabColor rgb="FF0000FF"/>
  </sheetPr>
  <dimension ref="A1:W26"/>
  <sheetViews>
    <sheetView topLeftCell="B2" workbookViewId="0">
      <selection activeCell="J11" sqref="J11"/>
    </sheetView>
  </sheetViews>
  <sheetFormatPr baseColWidth="10" defaultColWidth="8.83203125" defaultRowHeight="14"/>
  <cols>
    <col min="1" max="1" width="0" style="6" hidden="1" customWidth="1"/>
    <col min="2" max="2" width="3" customWidth="1"/>
    <col min="3" max="3" width="3.83203125" customWidth="1"/>
    <col min="4" max="4" width="2.83203125" customWidth="1"/>
    <col min="5" max="5" width="20" customWidth="1"/>
    <col min="6" max="6" width="6.5" customWidth="1"/>
    <col min="7" max="7" width="5" customWidth="1"/>
    <col min="8" max="8" width="10.5" style="201" customWidth="1"/>
    <col min="9" max="9" width="15.33203125" style="201" customWidth="1"/>
    <col min="10" max="10" width="12.5" customWidth="1"/>
    <col min="11" max="11" width="8" bestFit="1" customWidth="1"/>
    <col min="12" max="12" width="7" customWidth="1"/>
    <col min="13" max="13" width="39.5" customWidth="1"/>
    <col min="14" max="14" width="6.33203125" customWidth="1"/>
    <col min="15" max="15" width="1.83203125" bestFit="1" customWidth="1"/>
    <col min="16" max="16" width="4.83203125" bestFit="1" customWidth="1"/>
    <col min="17" max="17" width="11.5" bestFit="1" customWidth="1"/>
    <col min="18" max="18" width="6.5" bestFit="1" customWidth="1"/>
    <col min="19" max="19" width="12" customWidth="1"/>
    <col min="20" max="20" width="9.5" customWidth="1"/>
    <col min="21" max="21" width="7.5" customWidth="1"/>
    <col min="22" max="22" width="11.5" bestFit="1" customWidth="1"/>
  </cols>
  <sheetData>
    <row r="1" spans="1:23" s="70" customFormat="1" hidden="1">
      <c r="H1" s="625"/>
      <c r="I1" s="625"/>
    </row>
    <row r="2" spans="1:23" s="629" customFormat="1" ht="10.25" customHeight="1">
      <c r="H2" s="630"/>
      <c r="I2" s="630"/>
    </row>
    <row r="3" spans="1:23" s="629" customFormat="1" ht="40.25" customHeight="1">
      <c r="H3" s="630"/>
      <c r="I3" s="630"/>
    </row>
    <row r="4" spans="1:23" s="629" customFormat="1" ht="10.25" customHeight="1">
      <c r="H4" s="630"/>
      <c r="I4" s="630"/>
    </row>
    <row r="5" spans="1:23" s="631" customFormat="1" ht="10.25" customHeight="1">
      <c r="H5" s="632"/>
      <c r="I5" s="632"/>
    </row>
    <row r="6" spans="1:23" ht="20" customHeight="1"/>
    <row r="7" spans="1:23" ht="23.25" customHeight="1">
      <c r="D7" s="129" t="s">
        <v>18</v>
      </c>
      <c r="E7" s="5"/>
      <c r="F7" s="5"/>
      <c r="G7" s="5"/>
      <c r="H7" s="129"/>
      <c r="I7" s="12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>
      <c r="O8" s="4" t="str">
        <f>IF(P10&gt;0,#REF!+1,"")</f>
        <v/>
      </c>
    </row>
    <row r="9" spans="1:23">
      <c r="F9" s="126"/>
      <c r="G9" s="126"/>
      <c r="H9" s="126"/>
      <c r="I9" s="214"/>
      <c r="J9" s="126"/>
      <c r="K9" s="213" t="s">
        <v>199</v>
      </c>
      <c r="L9" s="213"/>
      <c r="O9" s="4"/>
    </row>
    <row r="10" spans="1:23" ht="16" thickBot="1">
      <c r="A10" s="7"/>
      <c r="B10" s="2"/>
      <c r="C10" s="11"/>
      <c r="D10" s="14" t="s">
        <v>7</v>
      </c>
      <c r="E10" s="89" t="s">
        <v>19</v>
      </c>
      <c r="F10" s="212" t="s">
        <v>196</v>
      </c>
      <c r="G10" s="212"/>
      <c r="H10" s="253" t="s">
        <v>210</v>
      </c>
      <c r="I10" s="127" t="s">
        <v>73</v>
      </c>
      <c r="J10" s="211" t="s">
        <v>197</v>
      </c>
      <c r="K10" s="211" t="s">
        <v>200</v>
      </c>
      <c r="L10" s="211" t="s">
        <v>201</v>
      </c>
      <c r="M10" s="89" t="s">
        <v>9</v>
      </c>
      <c r="O10" s="4"/>
      <c r="Q10" s="5" t="s">
        <v>208</v>
      </c>
      <c r="R10" s="259" t="s">
        <v>17</v>
      </c>
      <c r="S10" s="260" t="s">
        <v>5</v>
      </c>
      <c r="T10" s="260" t="s">
        <v>209</v>
      </c>
      <c r="U10" s="260" t="s">
        <v>201</v>
      </c>
      <c r="V10" s="231"/>
    </row>
    <row r="11" spans="1:23" ht="24.75" customHeight="1" thickBot="1">
      <c r="A11" s="7"/>
      <c r="B11" s="2"/>
      <c r="C11" s="3"/>
      <c r="D11" s="13">
        <v>1</v>
      </c>
      <c r="E11" s="219" t="s">
        <v>198</v>
      </c>
      <c r="F11" s="220">
        <v>1</v>
      </c>
      <c r="G11" s="223">
        <v>3</v>
      </c>
      <c r="H11" s="227">
        <v>150</v>
      </c>
      <c r="I11" s="229">
        <v>44896</v>
      </c>
      <c r="J11" s="221">
        <v>2500000</v>
      </c>
      <c r="K11" s="215">
        <f>IFERROR(J11/H11,0)</f>
        <v>16666.666666666668</v>
      </c>
      <c r="L11" s="216">
        <f>K11/43560</f>
        <v>0.38261401897765535</v>
      </c>
      <c r="M11" s="225"/>
      <c r="O11" s="4"/>
      <c r="Q11" s="261" t="s">
        <v>204</v>
      </c>
      <c r="R11" s="246">
        <v>150</v>
      </c>
      <c r="S11" s="246">
        <v>1000000</v>
      </c>
      <c r="T11" s="246">
        <v>6666.666666666667</v>
      </c>
      <c r="U11" s="257">
        <v>0.15304560759106214</v>
      </c>
    </row>
    <row r="12" spans="1:23" ht="24.75" customHeight="1" thickTop="1" thickBot="1">
      <c r="A12" s="7"/>
      <c r="B12" s="2"/>
      <c r="D12" s="8">
        <v>2</v>
      </c>
      <c r="E12" s="218"/>
      <c r="F12" s="220">
        <v>2</v>
      </c>
      <c r="G12" s="224">
        <v>3</v>
      </c>
      <c r="H12" s="228">
        <v>500</v>
      </c>
      <c r="I12" s="230">
        <v>45291</v>
      </c>
      <c r="J12" s="222">
        <v>5000000</v>
      </c>
      <c r="K12" s="215">
        <f t="shared" ref="K12:K20" si="0">IFERROR(J12/H12,0)</f>
        <v>10000</v>
      </c>
      <c r="L12" s="217">
        <f t="shared" ref="L12:L20" si="1">K12/43560</f>
        <v>0.2295684113865932</v>
      </c>
      <c r="M12" s="226"/>
      <c r="O12" s="4"/>
      <c r="P12" s="231"/>
      <c r="Q12" s="262" t="s">
        <v>205</v>
      </c>
      <c r="R12" s="247">
        <v>500</v>
      </c>
      <c r="S12" s="247">
        <v>5000000</v>
      </c>
      <c r="T12" s="247">
        <v>10000</v>
      </c>
      <c r="U12" s="258">
        <v>0.2295684113865932</v>
      </c>
    </row>
    <row r="13" spans="1:23" ht="24.75" customHeight="1" thickTop="1" thickBot="1">
      <c r="A13" s="7"/>
      <c r="B13" s="2"/>
      <c r="D13" s="8">
        <v>3</v>
      </c>
      <c r="E13" s="218"/>
      <c r="F13" s="220">
        <v>3</v>
      </c>
      <c r="G13" s="224">
        <v>3</v>
      </c>
      <c r="H13" s="228">
        <v>750</v>
      </c>
      <c r="I13" s="230">
        <v>45657</v>
      </c>
      <c r="J13" s="222">
        <v>6000000</v>
      </c>
      <c r="K13" s="215">
        <f t="shared" si="0"/>
        <v>8000</v>
      </c>
      <c r="L13" s="217">
        <f t="shared" si="1"/>
        <v>0.18365472910927455</v>
      </c>
      <c r="M13" s="226"/>
      <c r="P13" s="231"/>
      <c r="Q13" s="262" t="s">
        <v>206</v>
      </c>
      <c r="R13" s="247">
        <v>750</v>
      </c>
      <c r="S13" s="247">
        <v>750000</v>
      </c>
      <c r="T13" s="247">
        <v>1000</v>
      </c>
      <c r="U13" s="258">
        <v>2.2956841138659319E-2</v>
      </c>
    </row>
    <row r="14" spans="1:23" ht="24.75" customHeight="1" thickTop="1" thickBot="1">
      <c r="A14" s="7"/>
      <c r="B14" s="2"/>
      <c r="D14" s="8">
        <v>4</v>
      </c>
      <c r="E14" s="218"/>
      <c r="F14" s="220"/>
      <c r="G14" s="224"/>
      <c r="H14" s="228"/>
      <c r="I14" s="230"/>
      <c r="J14" s="222"/>
      <c r="K14" s="215">
        <f t="shared" si="0"/>
        <v>0</v>
      </c>
      <c r="L14" s="217">
        <f t="shared" si="1"/>
        <v>0</v>
      </c>
      <c r="M14" s="226"/>
      <c r="P14" s="231"/>
      <c r="Q14" s="262" t="s">
        <v>207</v>
      </c>
      <c r="R14" s="247">
        <v>250</v>
      </c>
      <c r="S14" s="247">
        <v>2500000</v>
      </c>
      <c r="T14" s="247">
        <v>10000</v>
      </c>
      <c r="U14" s="258">
        <v>0.2295684113865932</v>
      </c>
    </row>
    <row r="15" spans="1:23" ht="24.75" customHeight="1" thickTop="1" thickBot="1">
      <c r="A15" s="7"/>
      <c r="B15" s="2"/>
      <c r="D15" s="8">
        <v>5</v>
      </c>
      <c r="E15" s="218" t="s">
        <v>202</v>
      </c>
      <c r="F15" s="220">
        <v>1</v>
      </c>
      <c r="G15" s="224">
        <v>1</v>
      </c>
      <c r="H15" s="228">
        <v>250</v>
      </c>
      <c r="I15" s="230">
        <v>46146</v>
      </c>
      <c r="J15" s="222">
        <v>2500000</v>
      </c>
      <c r="K15" s="215">
        <f t="shared" si="0"/>
        <v>10000</v>
      </c>
      <c r="L15" s="217">
        <f t="shared" si="1"/>
        <v>0.2295684113865932</v>
      </c>
      <c r="M15" s="226"/>
      <c r="P15" s="231"/>
      <c r="Q15" s="248" t="s">
        <v>203</v>
      </c>
      <c r="R15" s="249">
        <v>1650</v>
      </c>
      <c r="S15" s="250">
        <v>9250000</v>
      </c>
      <c r="T15" s="250">
        <v>5606.060606060606</v>
      </c>
      <c r="U15" s="251">
        <v>0.12869744274702952</v>
      </c>
    </row>
    <row r="16" spans="1:23" ht="24.75" customHeight="1" thickTop="1" thickBot="1">
      <c r="A16" s="7"/>
      <c r="D16" s="8">
        <v>6</v>
      </c>
      <c r="E16" s="218"/>
      <c r="F16" s="220"/>
      <c r="G16" s="224"/>
      <c r="H16" s="228"/>
      <c r="I16" s="230"/>
      <c r="J16" s="222"/>
      <c r="K16" s="215">
        <f t="shared" si="0"/>
        <v>0</v>
      </c>
      <c r="L16" s="217">
        <f t="shared" si="1"/>
        <v>0</v>
      </c>
      <c r="M16" s="226"/>
      <c r="P16" s="231"/>
      <c r="U16" s="252"/>
    </row>
    <row r="17" spans="1:17" ht="24.75" customHeight="1" thickTop="1" thickBot="1">
      <c r="A17" s="7"/>
      <c r="D17" s="8">
        <v>7</v>
      </c>
      <c r="E17" s="218"/>
      <c r="F17" s="220"/>
      <c r="G17" s="224"/>
      <c r="H17" s="228"/>
      <c r="I17" s="230"/>
      <c r="J17" s="222"/>
      <c r="K17" s="215">
        <f t="shared" si="0"/>
        <v>0</v>
      </c>
      <c r="L17" s="217">
        <f t="shared" si="1"/>
        <v>0</v>
      </c>
      <c r="M17" s="226"/>
    </row>
    <row r="18" spans="1:17" ht="24.75" customHeight="1" thickTop="1" thickBot="1">
      <c r="A18" s="7"/>
      <c r="D18" s="8">
        <v>8</v>
      </c>
      <c r="E18" s="218"/>
      <c r="F18" s="220"/>
      <c r="G18" s="224"/>
      <c r="H18" s="228"/>
      <c r="I18" s="230"/>
      <c r="J18" s="222"/>
      <c r="K18" s="215">
        <f t="shared" si="0"/>
        <v>0</v>
      </c>
      <c r="L18" s="217">
        <f t="shared" si="1"/>
        <v>0</v>
      </c>
      <c r="M18" s="226"/>
      <c r="Q18" s="245"/>
    </row>
    <row r="19" spans="1:17" ht="24.75" customHeight="1" thickTop="1" thickBot="1">
      <c r="A19" s="7"/>
      <c r="D19" s="8">
        <v>9</v>
      </c>
      <c r="E19" s="218"/>
      <c r="F19" s="220"/>
      <c r="G19" s="224"/>
      <c r="H19" s="228"/>
      <c r="I19" s="230"/>
      <c r="J19" s="222"/>
      <c r="K19" s="215">
        <f t="shared" si="0"/>
        <v>0</v>
      </c>
      <c r="L19" s="217">
        <f t="shared" si="1"/>
        <v>0</v>
      </c>
      <c r="M19" s="226"/>
      <c r="Q19" s="245"/>
    </row>
    <row r="20" spans="1:17" ht="24.75" customHeight="1" thickTop="1" thickBot="1">
      <c r="A20" s="7"/>
      <c r="D20" s="8">
        <v>10</v>
      </c>
      <c r="E20" s="232"/>
      <c r="F20" s="233"/>
      <c r="G20" s="234"/>
      <c r="H20" s="235"/>
      <c r="I20" s="254"/>
      <c r="J20" s="236"/>
      <c r="K20" s="237">
        <f t="shared" si="0"/>
        <v>0</v>
      </c>
      <c r="L20" s="238">
        <f t="shared" si="1"/>
        <v>0</v>
      </c>
      <c r="M20" s="239"/>
      <c r="Q20" s="245"/>
    </row>
    <row r="21" spans="1:17" ht="21" customHeight="1" thickTop="1" thickBot="1">
      <c r="E21" s="256" t="s">
        <v>78</v>
      </c>
      <c r="F21" s="240"/>
      <c r="G21" s="240"/>
      <c r="H21" s="241">
        <f>SUM(H11:H20)</f>
        <v>1650</v>
      </c>
      <c r="I21" s="255"/>
      <c r="J21" s="242">
        <f>SUM(J11:J20)</f>
        <v>16000000</v>
      </c>
      <c r="K21" s="243">
        <f>J21/H21</f>
        <v>9696.9696969696961</v>
      </c>
      <c r="L21" s="244">
        <f>K21/43560</f>
        <v>0.22261179285972674</v>
      </c>
      <c r="M21" s="240"/>
      <c r="N21" s="171"/>
      <c r="Q21" s="245"/>
    </row>
    <row r="22" spans="1:17" ht="21" customHeight="1">
      <c r="H22" s="4"/>
      <c r="I22" s="4"/>
    </row>
    <row r="23" spans="1:17" ht="21" customHeight="1">
      <c r="I23" s="4"/>
    </row>
    <row r="24" spans="1:17" ht="21" customHeight="1"/>
    <row r="25" spans="1:17" ht="21" customHeight="1"/>
    <row r="26" spans="1:17" ht="21" customHeight="1"/>
  </sheetData>
  <pageMargins left="0.7" right="0.7" top="0.75" bottom="0.75" header="0.3" footer="0.3"/>
  <pageSetup orientation="portrait"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1667-F63E-4404-927D-C04E4E57EFDD}">
  <sheetPr codeName="Sheet2">
    <tabColor rgb="FF0000FF"/>
  </sheetPr>
  <dimension ref="A1:AG76"/>
  <sheetViews>
    <sheetView topLeftCell="B2" workbookViewId="0">
      <selection activeCell="Q16" sqref="Q16"/>
    </sheetView>
  </sheetViews>
  <sheetFormatPr baseColWidth="10" defaultColWidth="8.83203125" defaultRowHeight="14" zeroHeight="1" outlineLevelCol="1"/>
  <cols>
    <col min="1" max="1" width="2.33203125" style="70" hidden="1" customWidth="1"/>
    <col min="2" max="2" width="3.5" customWidth="1" outlineLevel="1"/>
    <col min="3" max="3" width="2.5" customWidth="1" outlineLevel="1"/>
    <col min="4" max="9" width="8.5" customWidth="1" outlineLevel="1"/>
    <col min="10" max="10" width="1.83203125" customWidth="1"/>
    <col min="11" max="11" width="2.5" customWidth="1"/>
    <col min="12" max="12" width="3.5" customWidth="1"/>
    <col min="13" max="13" width="6.5" customWidth="1"/>
    <col min="14" max="14" width="9.5" customWidth="1"/>
    <col min="15" max="18" width="6.5" customWidth="1"/>
    <col min="19" max="19" width="1" customWidth="1"/>
    <col min="20" max="20" width="7" customWidth="1"/>
    <col min="21" max="21" width="9.5" customWidth="1"/>
    <col min="22" max="24" width="7" customWidth="1"/>
    <col min="25" max="25" width="5.83203125" bestFit="1" customWidth="1"/>
    <col min="26" max="26" width="1.5" customWidth="1"/>
    <col min="27" max="30" width="6.33203125" customWidth="1"/>
    <col min="31" max="31" width="3.33203125" customWidth="1"/>
    <col min="32" max="33" width="9.83203125" bestFit="1" customWidth="1"/>
    <col min="34" max="34" width="11.33203125" bestFit="1" customWidth="1"/>
    <col min="35" max="44" width="5.83203125" customWidth="1"/>
    <col min="45" max="60" width="4.33203125" bestFit="1" customWidth="1"/>
    <col min="61" max="61" width="11.33203125" bestFit="1" customWidth="1"/>
  </cols>
  <sheetData>
    <row r="1" spans="1:33" s="6" customFormat="1" hidden="1">
      <c r="A1" s="70"/>
      <c r="I1" s="28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33" s="629" customFormat="1" ht="10.25" customHeight="1">
      <c r="H2" s="630"/>
      <c r="I2" s="630"/>
    </row>
    <row r="3" spans="1:33" s="629" customFormat="1" ht="40.25" customHeight="1">
      <c r="H3" s="630"/>
      <c r="I3" s="630"/>
    </row>
    <row r="4" spans="1:33" s="629" customFormat="1" ht="10.25" customHeight="1">
      <c r="H4" s="630"/>
      <c r="I4" s="630"/>
    </row>
    <row r="5" spans="1:33" s="631" customFormat="1" ht="10.25" customHeight="1">
      <c r="H5" s="632"/>
      <c r="I5" s="632"/>
    </row>
    <row r="6" spans="1:33">
      <c r="I6" s="29"/>
      <c r="J6" s="4"/>
      <c r="K6" s="4"/>
      <c r="L6" s="4"/>
      <c r="M6" s="4"/>
      <c r="N6" s="4"/>
      <c r="O6" s="4"/>
      <c r="P6" s="4"/>
      <c r="Q6" s="4"/>
      <c r="R6" s="4"/>
      <c r="S6" s="4"/>
    </row>
    <row r="7" spans="1:33">
      <c r="A7" s="150"/>
      <c r="C7" s="67" t="s">
        <v>141</v>
      </c>
      <c r="D7" s="67"/>
      <c r="E7" s="67"/>
      <c r="F7" s="67"/>
      <c r="G7" s="67"/>
      <c r="H7" s="67"/>
      <c r="I7" s="67"/>
      <c r="J7" s="4"/>
      <c r="K7" s="4"/>
      <c r="L7" s="67" t="s">
        <v>211</v>
      </c>
      <c r="M7" s="67"/>
      <c r="N7" s="5"/>
      <c r="O7" s="5"/>
      <c r="P7" s="5"/>
      <c r="Q7" s="5"/>
      <c r="R7" s="5"/>
      <c r="T7" s="4"/>
      <c r="U7" s="325" t="s">
        <v>191</v>
      </c>
      <c r="V7" s="325"/>
      <c r="W7" s="325"/>
      <c r="X7" s="325"/>
      <c r="Y7" s="325"/>
      <c r="Z7" s="325"/>
      <c r="AA7" s="325"/>
      <c r="AB7" s="325"/>
      <c r="AC7" s="325"/>
      <c r="AD7" s="325"/>
      <c r="AE7" s="325"/>
    </row>
    <row r="8" spans="1:33">
      <c r="A8" s="71"/>
      <c r="H8" s="97" t="s">
        <v>82</v>
      </c>
      <c r="I8" s="96"/>
      <c r="J8" s="4"/>
      <c r="K8" s="4"/>
      <c r="M8" s="4"/>
      <c r="Q8" s="97" t="s">
        <v>156</v>
      </c>
      <c r="R8" s="97"/>
      <c r="T8" s="4"/>
      <c r="U8" s="171"/>
      <c r="V8" s="171"/>
      <c r="X8" s="97" t="s">
        <v>156</v>
      </c>
      <c r="Y8" s="196"/>
      <c r="Z8" s="190"/>
      <c r="AA8" s="97" t="s">
        <v>188</v>
      </c>
      <c r="AB8" s="196"/>
      <c r="AC8" s="196"/>
      <c r="AD8" s="196"/>
      <c r="AE8" s="96"/>
    </row>
    <row r="9" spans="1:33" ht="15" thickBot="1">
      <c r="C9" s="14" t="s">
        <v>7</v>
      </c>
      <c r="D9" s="15" t="s">
        <v>34</v>
      </c>
      <c r="E9" s="89" t="s">
        <v>41</v>
      </c>
      <c r="F9" s="89"/>
      <c r="G9" s="89"/>
      <c r="H9" s="15" t="s">
        <v>80</v>
      </c>
      <c r="I9" s="15" t="s">
        <v>81</v>
      </c>
      <c r="J9" s="4"/>
      <c r="K9" s="4"/>
      <c r="L9" s="14" t="s">
        <v>7</v>
      </c>
      <c r="M9" s="15" t="s">
        <v>153</v>
      </c>
      <c r="N9" s="15" t="s">
        <v>33</v>
      </c>
      <c r="O9" s="15" t="s">
        <v>17</v>
      </c>
      <c r="P9" s="15" t="s">
        <v>41</v>
      </c>
      <c r="Q9" s="15" t="s">
        <v>154</v>
      </c>
      <c r="R9" s="15" t="s">
        <v>155</v>
      </c>
      <c r="T9" s="4"/>
      <c r="U9" s="197" t="s">
        <v>184</v>
      </c>
      <c r="V9" s="15" t="s">
        <v>185</v>
      </c>
      <c r="W9" s="15" t="s">
        <v>17</v>
      </c>
      <c r="X9" s="15" t="s">
        <v>154</v>
      </c>
      <c r="Y9" s="15" t="s">
        <v>186</v>
      </c>
      <c r="Z9" s="195"/>
      <c r="AA9" s="15" t="str" cm="1">
        <f t="array" ref="AA9:AE9">TRANSPOSE(lst_LUcodes)</f>
        <v>MLDR</v>
      </c>
      <c r="AB9" s="15" t="str">
        <v>MDR</v>
      </c>
      <c r="AC9" s="15" t="str">
        <v>MHDR</v>
      </c>
      <c r="AD9" s="15" t="str">
        <v>MU</v>
      </c>
      <c r="AE9" s="15">
        <v>0</v>
      </c>
    </row>
    <row r="10" spans="1:33" ht="15" thickBot="1">
      <c r="C10" s="94">
        <v>1</v>
      </c>
      <c r="D10" s="22" t="s">
        <v>61</v>
      </c>
      <c r="E10" s="124" t="s">
        <v>83</v>
      </c>
      <c r="F10" s="157"/>
      <c r="G10" s="125"/>
      <c r="H10" s="41">
        <v>1</v>
      </c>
      <c r="I10" s="41">
        <v>2.9</v>
      </c>
      <c r="J10" s="4"/>
      <c r="K10" s="4"/>
      <c r="L10" s="94">
        <v>1</v>
      </c>
      <c r="M10" s="22">
        <v>1</v>
      </c>
      <c r="N10" s="263" t="str">
        <f>CONCATENATE(tbl_Parcels[[#This Row],[Village]],".",L10)</f>
        <v>1.1</v>
      </c>
      <c r="O10" s="27">
        <v>31.729999999999997</v>
      </c>
      <c r="P10" s="108" t="s">
        <v>61</v>
      </c>
      <c r="Q10" s="145">
        <f>INT(tbl_Parcels[[#This Row],[Acres]]*_xlfn.XLOOKUP(tbl_Parcels[[#This Row],[Use]],lst_LUcodes,$H$10:$H$14))</f>
        <v>31</v>
      </c>
      <c r="R10" s="145">
        <f>INT(tbl_Parcels[[#This Row],[Acres]]*_xlfn.XLOOKUP(tbl_Parcels[[#This Row],[Use]],lst_LUcodes,$I$10:$I$14))</f>
        <v>92</v>
      </c>
      <c r="T10" s="4"/>
      <c r="U10" s="187" cm="1">
        <f t="array" ref="U10:U13">_xlfn.UNIQUE(tbl_Parcels[Village])</f>
        <v>1</v>
      </c>
      <c r="V10" s="189">
        <f>COUNTIF(tbl_Parcels[Village],U10)</f>
        <v>15</v>
      </c>
      <c r="W10" s="189">
        <f>SUMIF(tbl_Parcels[Village],$U10,tbl_Parcels[Acres])</f>
        <v>379.51</v>
      </c>
      <c r="X10" s="189">
        <f>SUMIFS(tbl_Parcels[Low],tbl_Parcels[Village],$U10)</f>
        <v>856</v>
      </c>
      <c r="Y10" s="189">
        <f>SUMIF(tbl_Parcels[Village],$U10,tbl_Parcels[High])</f>
        <v>1825</v>
      </c>
      <c r="Z10" s="190"/>
      <c r="AA10" s="189">
        <f>SUMIFS(tbl_Parcels[Acres],tbl_Parcels[Use],AA$9,tbl_Parcels[Village],$U10)</f>
        <v>136.74</v>
      </c>
      <c r="AB10" s="189">
        <f>SUMIFS(tbl_Parcels[Acres],tbl_Parcels[Use],AB$9,tbl_Parcels[Village],$U10)</f>
        <v>242.77</v>
      </c>
      <c r="AC10" s="189">
        <f>SUMIFS(tbl_Parcels[Acres],tbl_Parcels[Use],AC$9,tbl_Parcels[Village],$U10)</f>
        <v>0</v>
      </c>
      <c r="AD10" s="189">
        <f>SUMIFS(tbl_Parcels[Acres],tbl_Parcels[Use],AD$9,tbl_Parcels[Village],$U10)</f>
        <v>0</v>
      </c>
      <c r="AE10" s="189">
        <f>SUMIFS(tbl_Parcels[Acres],tbl_Parcels[Use],AE$9,tbl_Parcels[Village],$U10)</f>
        <v>0</v>
      </c>
    </row>
    <row r="11" spans="1:33" ht="16" thickTop="1" thickBot="1">
      <c r="C11" s="95">
        <v>2</v>
      </c>
      <c r="D11" s="22" t="s">
        <v>42</v>
      </c>
      <c r="E11" s="17" t="s">
        <v>79</v>
      </c>
      <c r="F11" s="92"/>
      <c r="G11" s="10"/>
      <c r="H11" s="152">
        <v>3</v>
      </c>
      <c r="I11" s="152">
        <v>5.9</v>
      </c>
      <c r="J11" s="4"/>
      <c r="K11" s="4"/>
      <c r="L11" s="95">
        <v>2</v>
      </c>
      <c r="M11" s="22">
        <v>1</v>
      </c>
      <c r="N11" s="263" t="str">
        <f>CONCATENATE(tbl_Parcels[[#This Row],[Village]],".",L11)</f>
        <v>1.2</v>
      </c>
      <c r="O11" s="27">
        <v>20.83</v>
      </c>
      <c r="P11" s="108" t="s">
        <v>61</v>
      </c>
      <c r="Q11" s="145">
        <f>INT(tbl_Parcels[[#This Row],[Acres]]*_xlfn.XLOOKUP(tbl_Parcels[[#This Row],[Use]],lst_LUcodes,$H$10:$H$14))</f>
        <v>20</v>
      </c>
      <c r="R11" s="145">
        <f>INT(tbl_Parcels[[#This Row],[Acres]]*_xlfn.XLOOKUP(tbl_Parcels[[#This Row],[Use]],lst_LUcodes,$I$10:$I$14))</f>
        <v>60</v>
      </c>
      <c r="T11" s="4"/>
      <c r="U11" s="187">
        <v>2</v>
      </c>
      <c r="V11" s="189">
        <f>COUNTIF(tbl_Parcels[Village],U11)</f>
        <v>7</v>
      </c>
      <c r="W11" s="189">
        <f>SUMIF(tbl_Parcels[Village],$U11,tbl_Parcels[Acres])</f>
        <v>223.29999999999998</v>
      </c>
      <c r="X11" s="189">
        <f>SUMIFS(tbl_Parcels[Low],tbl_Parcels[Village],$U11)</f>
        <v>356</v>
      </c>
      <c r="Y11" s="189">
        <f>SUMIF(tbl_Parcels[Village],$U11,tbl_Parcels[High])</f>
        <v>712</v>
      </c>
      <c r="Z11" s="190"/>
      <c r="AA11" s="189">
        <f>SUMIFS(tbl_Parcels[Acres],tbl_Parcels[Use],AA$9,tbl_Parcels[Village],$U11)</f>
        <v>0</v>
      </c>
      <c r="AB11" s="189">
        <f>SUMIFS(tbl_Parcels[Acres],tbl_Parcels[Use],AB$9,tbl_Parcels[Village],$U11)</f>
        <v>0</v>
      </c>
      <c r="AC11" s="189">
        <f>SUMIFS(tbl_Parcels[Acres],tbl_Parcels[Use],AC$9,tbl_Parcels[Village],$U11)</f>
        <v>59.41</v>
      </c>
      <c r="AD11" s="189">
        <f>SUMIFS(tbl_Parcels[Acres],tbl_Parcels[Use],AD$9,tbl_Parcels[Village],$U11)</f>
        <v>163.89000000000001</v>
      </c>
      <c r="AE11" s="189">
        <f>SUMIFS(tbl_Parcels[Acres],tbl_Parcels[Use],AE$9,tbl_Parcels[Village],$U11)</f>
        <v>0</v>
      </c>
    </row>
    <row r="12" spans="1:33" ht="16" thickTop="1" thickBot="1">
      <c r="C12" s="94">
        <v>3</v>
      </c>
      <c r="D12" s="40" t="s">
        <v>62</v>
      </c>
      <c r="E12" s="17" t="s">
        <v>84</v>
      </c>
      <c r="F12" s="92"/>
      <c r="G12" s="10"/>
      <c r="H12" s="152">
        <v>6</v>
      </c>
      <c r="I12" s="152">
        <v>12</v>
      </c>
      <c r="J12" s="4"/>
      <c r="K12" s="4"/>
      <c r="L12" s="94">
        <v>3</v>
      </c>
      <c r="M12" s="22">
        <v>1</v>
      </c>
      <c r="N12" s="263" t="str">
        <f>CONCATENATE(tbl_Parcels[[#This Row],[Village]],".",L12)</f>
        <v>1.3</v>
      </c>
      <c r="O12" s="27">
        <v>18.850000000000001</v>
      </c>
      <c r="P12" s="108" t="s">
        <v>42</v>
      </c>
      <c r="Q12" s="145">
        <f>INT(tbl_Parcels[[#This Row],[Acres]]*_xlfn.XLOOKUP(tbl_Parcels[[#This Row],[Use]],lst_LUcodes,$H$10:$H$14))</f>
        <v>56</v>
      </c>
      <c r="R12" s="145">
        <f>INT(tbl_Parcels[[#This Row],[Acres]]*_xlfn.XLOOKUP(tbl_Parcels[[#This Row],[Use]],lst_LUcodes,$I$10:$I$14))</f>
        <v>111</v>
      </c>
      <c r="T12" s="4"/>
      <c r="U12" s="187">
        <v>3</v>
      </c>
      <c r="V12" s="189">
        <f>COUNTIF(tbl_Parcels[Village],U12)</f>
        <v>12</v>
      </c>
      <c r="W12" s="189">
        <f>SUMIF(tbl_Parcels[Village],$U12,tbl_Parcels[Acres])</f>
        <v>328.16</v>
      </c>
      <c r="X12" s="189">
        <f>SUMIFS(tbl_Parcels[Low],tbl_Parcels[Village],$U12)</f>
        <v>677</v>
      </c>
      <c r="Y12" s="189">
        <f>SUMIF(tbl_Parcels[Village],$U12,tbl_Parcels[High])</f>
        <v>1477</v>
      </c>
      <c r="Z12" s="190"/>
      <c r="AA12" s="189">
        <f>SUMIFS(tbl_Parcels[Acres],tbl_Parcels[Use],AA$9,tbl_Parcels[Village],$U12)</f>
        <v>150.63</v>
      </c>
      <c r="AB12" s="189">
        <f>SUMIFS(tbl_Parcels[Acres],tbl_Parcels[Use],AB$9,tbl_Parcels[Village],$U12)</f>
        <v>177.53</v>
      </c>
      <c r="AC12" s="189">
        <f>SUMIFS(tbl_Parcels[Acres],tbl_Parcels[Use],AC$9,tbl_Parcels[Village],$U12)</f>
        <v>0</v>
      </c>
      <c r="AD12" s="189">
        <f>SUMIFS(tbl_Parcels[Acres],tbl_Parcels[Use],AD$9,tbl_Parcels[Village],$U12)</f>
        <v>0</v>
      </c>
      <c r="AE12" s="189">
        <f>SUMIFS(tbl_Parcels[Acres],tbl_Parcels[Use],AE$9,tbl_Parcels[Village],$U12)</f>
        <v>0</v>
      </c>
    </row>
    <row r="13" spans="1:33" ht="16" thickTop="1" thickBot="1">
      <c r="C13" s="95">
        <v>4</v>
      </c>
      <c r="D13" s="40" t="s">
        <v>63</v>
      </c>
      <c r="E13" s="9" t="s">
        <v>85</v>
      </c>
      <c r="F13" s="93"/>
      <c r="G13" s="10"/>
      <c r="H13" s="152"/>
      <c r="I13" s="152"/>
      <c r="J13" s="4"/>
      <c r="K13" s="4"/>
      <c r="L13" s="95">
        <v>4</v>
      </c>
      <c r="M13" s="22">
        <v>1</v>
      </c>
      <c r="N13" s="263" t="str">
        <f>CONCATENATE(tbl_Parcels[[#This Row],[Village]],".",L13)</f>
        <v>1.4</v>
      </c>
      <c r="O13" s="27">
        <v>27.82</v>
      </c>
      <c r="P13" s="108" t="s">
        <v>42</v>
      </c>
      <c r="Q13" s="145">
        <f>INT(tbl_Parcels[[#This Row],[Acres]]*_xlfn.XLOOKUP(tbl_Parcels[[#This Row],[Use]],lst_LUcodes,$H$10:$H$14))</f>
        <v>83</v>
      </c>
      <c r="R13" s="145">
        <f>INT(tbl_Parcels[[#This Row],[Acres]]*_xlfn.XLOOKUP(tbl_Parcels[[#This Row],[Use]],lst_LUcodes,$I$10:$I$14))</f>
        <v>164</v>
      </c>
      <c r="T13" s="4"/>
      <c r="U13" s="192">
        <v>4</v>
      </c>
      <c r="V13" s="193">
        <f>COUNTIF(tbl_Parcels[Village],U13)</f>
        <v>14</v>
      </c>
      <c r="W13" s="193">
        <f>SUMIF(tbl_Parcels[Village],$U13,tbl_Parcels[Acres])</f>
        <v>389.03</v>
      </c>
      <c r="X13" s="193">
        <f>SUMIFS(tbl_Parcels[Low],tbl_Parcels[Village],$U13)</f>
        <v>794</v>
      </c>
      <c r="Y13" s="193">
        <f>SUMIF(tbl_Parcels[Village],$U13,tbl_Parcels[High])</f>
        <v>1638</v>
      </c>
      <c r="Z13" s="190"/>
      <c r="AA13" s="193">
        <f>SUMIFS(tbl_Parcels[Acres],tbl_Parcels[Use],AA$9,tbl_Parcels[Village],$U13)</f>
        <v>75.64</v>
      </c>
      <c r="AB13" s="193">
        <f>SUMIFS(tbl_Parcels[Acres],tbl_Parcels[Use],AB$9,tbl_Parcels[Village],$U13)</f>
        <v>241.44</v>
      </c>
      <c r="AC13" s="193">
        <f>SUMIFS(tbl_Parcels[Acres],tbl_Parcels[Use],AC$9,tbl_Parcels[Village],$U13)</f>
        <v>0</v>
      </c>
      <c r="AD13" s="193">
        <f>SUMIFS(tbl_Parcels[Acres],tbl_Parcels[Use],AD$9,tbl_Parcels[Village],$U13)</f>
        <v>71.95</v>
      </c>
      <c r="AE13" s="193">
        <f>SUMIFS(tbl_Parcels[Acres],tbl_Parcels[Use],AE$9,tbl_Parcels[Village],$U13)</f>
        <v>0</v>
      </c>
    </row>
    <row r="14" spans="1:33" ht="16" thickTop="1" thickBot="1">
      <c r="C14" s="94">
        <v>5</v>
      </c>
      <c r="D14" s="40"/>
      <c r="E14" s="9"/>
      <c r="F14" s="93"/>
      <c r="G14" s="10"/>
      <c r="H14" s="152"/>
      <c r="I14" s="152"/>
      <c r="J14" s="4"/>
      <c r="K14" s="4"/>
      <c r="L14" s="94">
        <v>5</v>
      </c>
      <c r="M14" s="22">
        <v>1</v>
      </c>
      <c r="N14" s="263" t="str">
        <f>CONCATENATE(tbl_Parcels[[#This Row],[Village]],".",L14)</f>
        <v>1.5</v>
      </c>
      <c r="O14" s="27">
        <v>27.770000000000003</v>
      </c>
      <c r="P14" s="108" t="s">
        <v>61</v>
      </c>
      <c r="Q14" s="145">
        <f>INT(tbl_Parcels[[#This Row],[Acres]]*_xlfn.XLOOKUP(tbl_Parcels[[#This Row],[Use]],lst_LUcodes,$H$10:$H$14))</f>
        <v>27</v>
      </c>
      <c r="R14" s="145">
        <f>INT(tbl_Parcels[[#This Row],[Acres]]*_xlfn.XLOOKUP(tbl_Parcels[[#This Row],[Use]],lst_LUcodes,$I$10:$I$14))</f>
        <v>80</v>
      </c>
      <c r="T14" s="4"/>
      <c r="U14" s="194" t="s">
        <v>78</v>
      </c>
      <c r="V14" s="191">
        <f>SUM(V10:V13)</f>
        <v>48</v>
      </c>
      <c r="W14" s="191">
        <f>SUM(W10:W13)</f>
        <v>1320</v>
      </c>
      <c r="X14" s="191">
        <f>SUM(X10:X13)</f>
        <v>2683</v>
      </c>
      <c r="Y14" s="191">
        <f>SUM(Y10:Y13)</f>
        <v>5652</v>
      </c>
      <c r="Z14" s="190"/>
      <c r="AA14" s="191">
        <f>SUM(AA10:AA13)</f>
        <v>363.01</v>
      </c>
      <c r="AB14" s="191">
        <f>SUM(AB10:AB13)</f>
        <v>661.74</v>
      </c>
      <c r="AC14" s="191">
        <f>SUM(AC10:AC13)</f>
        <v>59.41</v>
      </c>
      <c r="AD14" s="191">
        <f>SUM(AD10:AD13)</f>
        <v>235.84000000000003</v>
      </c>
      <c r="AE14" s="191">
        <f>SUM(AE10:AE13)</f>
        <v>0</v>
      </c>
    </row>
    <row r="15" spans="1:33" ht="16" thickTop="1" thickBot="1">
      <c r="C15" s="94">
        <v>6</v>
      </c>
      <c r="D15" s="40"/>
      <c r="E15" s="9"/>
      <c r="F15" s="93"/>
      <c r="G15" s="10"/>
      <c r="H15" s="152"/>
      <c r="I15" s="152"/>
      <c r="L15" s="95">
        <v>6</v>
      </c>
      <c r="M15" s="22">
        <v>1</v>
      </c>
      <c r="N15" s="263" t="str">
        <f>CONCATENATE(tbl_Parcels[[#This Row],[Village]],".",L15)</f>
        <v>1.6</v>
      </c>
      <c r="O15" s="27">
        <v>25.8</v>
      </c>
      <c r="P15" s="108" t="s">
        <v>42</v>
      </c>
      <c r="Q15" s="145">
        <f>INT(tbl_Parcels[[#This Row],[Acres]]*_xlfn.XLOOKUP(tbl_Parcels[[#This Row],[Use]],lst_LUcodes,$H$10:$H$14))</f>
        <v>77</v>
      </c>
      <c r="R15" s="145">
        <f>INT(tbl_Parcels[[#This Row],[Acres]]*_xlfn.XLOOKUP(tbl_Parcels[[#This Row],[Use]],lst_LUcodes,$I$10:$I$14))</f>
        <v>152</v>
      </c>
      <c r="AC15" s="190"/>
      <c r="AD15" s="190"/>
      <c r="AE15" s="190"/>
      <c r="AF15" s="190"/>
      <c r="AG15" s="190"/>
    </row>
    <row r="16" spans="1:33" ht="16" thickTop="1" thickBot="1">
      <c r="A16" s="151" t="e">
        <f>IF(tbl_Parcels[[#This Row],[Village]]=#REF!,A15+1,1)</f>
        <v>#REF!</v>
      </c>
      <c r="C16" s="94">
        <v>7</v>
      </c>
      <c r="D16" s="40"/>
      <c r="E16" s="9"/>
      <c r="F16" s="93"/>
      <c r="G16" s="10"/>
      <c r="H16" s="152"/>
      <c r="I16" s="152"/>
      <c r="J16" s="4"/>
      <c r="K16" s="4"/>
      <c r="L16" s="94">
        <v>7</v>
      </c>
      <c r="M16" s="22">
        <v>1</v>
      </c>
      <c r="N16" s="263" t="str">
        <f>CONCATENATE(tbl_Parcels[[#This Row],[Village]],".",L16)</f>
        <v>1.7</v>
      </c>
      <c r="O16" s="27">
        <v>19.53</v>
      </c>
      <c r="P16" s="108" t="s">
        <v>42</v>
      </c>
      <c r="Q16" s="145">
        <f>INT(tbl_Parcels[[#This Row],[Acres]]*_xlfn.XLOOKUP(tbl_Parcels[[#This Row],[Use]],lst_LUcodes,$H$10:$H$14))</f>
        <v>58</v>
      </c>
      <c r="R16" s="145">
        <f>INT(tbl_Parcels[[#This Row],[Acres]]*_xlfn.XLOOKUP(tbl_Parcels[[#This Row],[Use]],lst_LUcodes,$I$10:$I$14))</f>
        <v>115</v>
      </c>
      <c r="AC16" s="190"/>
      <c r="AD16" s="190"/>
      <c r="AE16" s="190"/>
      <c r="AF16" s="190"/>
      <c r="AG16" s="190"/>
    </row>
    <row r="17" spans="1:26" ht="16" thickTop="1" thickBot="1">
      <c r="A17" s="151" t="e">
        <f>IF(tbl_Parcels[[#This Row],[Village]]=#REF!,A16+1,1)</f>
        <v>#REF!</v>
      </c>
      <c r="C17" s="94">
        <v>8</v>
      </c>
      <c r="D17" s="40"/>
      <c r="E17" s="9"/>
      <c r="F17" s="93"/>
      <c r="G17" s="10"/>
      <c r="H17" s="152"/>
      <c r="I17" s="152"/>
      <c r="J17" s="4"/>
      <c r="K17" s="4"/>
      <c r="L17" s="95">
        <v>8</v>
      </c>
      <c r="M17" s="22">
        <v>1</v>
      </c>
      <c r="N17" s="263" t="str">
        <f>CONCATENATE(tbl_Parcels[[#This Row],[Village]],".",L17)</f>
        <v>1.8</v>
      </c>
      <c r="O17" s="27">
        <v>30.58</v>
      </c>
      <c r="P17" s="108" t="s">
        <v>42</v>
      </c>
      <c r="Q17" s="145">
        <f>INT(tbl_Parcels[[#This Row],[Acres]]*_xlfn.XLOOKUP(tbl_Parcels[[#This Row],[Use]],lst_LUcodes,$H$10:$H$14))</f>
        <v>91</v>
      </c>
      <c r="R17" s="145">
        <f>INT(tbl_Parcels[[#This Row],[Acres]]*_xlfn.XLOOKUP(tbl_Parcels[[#This Row],[Use]],lst_LUcodes,$I$10:$I$14))</f>
        <v>180</v>
      </c>
    </row>
    <row r="18" spans="1:26" ht="16" thickTop="1" thickBot="1">
      <c r="A18" s="151"/>
      <c r="C18" s="94">
        <v>9</v>
      </c>
      <c r="D18" s="40"/>
      <c r="E18" s="9"/>
      <c r="F18" s="93"/>
      <c r="G18" s="10"/>
      <c r="H18" s="152"/>
      <c r="I18" s="152"/>
      <c r="J18" s="4"/>
      <c r="K18" s="4"/>
      <c r="L18" s="94">
        <v>9</v>
      </c>
      <c r="M18" s="22">
        <v>1</v>
      </c>
      <c r="N18" s="263" t="str">
        <f>CONCATENATE(tbl_Parcels[[#This Row],[Village]],".",L18)</f>
        <v>1.9</v>
      </c>
      <c r="O18" s="27">
        <v>21.71</v>
      </c>
      <c r="P18" s="108" t="s">
        <v>42</v>
      </c>
      <c r="Q18" s="145">
        <f>INT(tbl_Parcels[[#This Row],[Acres]]*_xlfn.XLOOKUP(tbl_Parcels[[#This Row],[Use]],lst_LUcodes,$H$10:$H$14))</f>
        <v>65</v>
      </c>
      <c r="R18" s="145">
        <f>INT(tbl_Parcels[[#This Row],[Acres]]*_xlfn.XLOOKUP(tbl_Parcels[[#This Row],[Use]],lst_LUcodes,$I$10:$I$14))</f>
        <v>128</v>
      </c>
    </row>
    <row r="19" spans="1:26" ht="16" thickTop="1" thickBot="1">
      <c r="A19" s="151" t="e">
        <f>IF(tbl_Parcels[[#This Row],[Village]]=#REF!,#REF!+1,1)</f>
        <v>#REF!</v>
      </c>
      <c r="C19" s="94">
        <v>10</v>
      </c>
      <c r="D19" s="40"/>
      <c r="E19" s="9"/>
      <c r="F19" s="93"/>
      <c r="G19" s="10"/>
      <c r="H19" s="152"/>
      <c r="I19" s="152"/>
      <c r="J19" s="4"/>
      <c r="K19" s="4"/>
      <c r="L19" s="95">
        <v>10</v>
      </c>
      <c r="M19" s="22">
        <v>1</v>
      </c>
      <c r="N19" s="263" t="str">
        <f>CONCATENATE(tbl_Parcels[[#This Row],[Village]],".",L19)</f>
        <v>1.10</v>
      </c>
      <c r="O19" s="27">
        <v>22.39</v>
      </c>
      <c r="P19" s="108" t="s">
        <v>42</v>
      </c>
      <c r="Q19" s="145">
        <f>INT(tbl_Parcels[[#This Row],[Acres]]*_xlfn.XLOOKUP(tbl_Parcels[[#This Row],[Use]],lst_LUcodes,$H$10:$H$14))</f>
        <v>67</v>
      </c>
      <c r="R19" s="145">
        <f>INT(tbl_Parcels[[#This Row],[Acres]]*_xlfn.XLOOKUP(tbl_Parcels[[#This Row],[Use]],lst_LUcodes,$I$10:$I$14))</f>
        <v>132</v>
      </c>
    </row>
    <row r="20" spans="1:26" ht="16" thickTop="1" thickBot="1">
      <c r="A20" s="151">
        <f>IF(tbl_Parcels[[#This Row],[Village]]=M9,A19+1,1)</f>
        <v>1</v>
      </c>
      <c r="J20" s="4"/>
      <c r="K20" s="4"/>
      <c r="L20" s="94">
        <v>11</v>
      </c>
      <c r="M20" s="22">
        <v>1</v>
      </c>
      <c r="N20" s="263" t="str">
        <f>CONCATENATE(tbl_Parcels[[#This Row],[Village]],".",L20)</f>
        <v>1.11</v>
      </c>
      <c r="O20" s="27">
        <v>29.509999999999998</v>
      </c>
      <c r="P20" s="108" t="s">
        <v>61</v>
      </c>
      <c r="Q20" s="145">
        <f>INT(tbl_Parcels[[#This Row],[Acres]]*_xlfn.XLOOKUP(tbl_Parcels[[#This Row],[Use]],lst_LUcodes,$H$10:$H$14))</f>
        <v>29</v>
      </c>
      <c r="R20" s="145">
        <f>INT(tbl_Parcels[[#This Row],[Acres]]*_xlfn.XLOOKUP(tbl_Parcels[[#This Row],[Use]],lst_LUcodes,$I$10:$I$14))</f>
        <v>85</v>
      </c>
    </row>
    <row r="21" spans="1:26" ht="16" thickTop="1" thickBot="1">
      <c r="A21" s="151">
        <f>IF(tbl_Parcels[[#This Row],[Village]]=M10,A20+1,1)</f>
        <v>2</v>
      </c>
      <c r="J21" s="4"/>
      <c r="K21" s="4"/>
      <c r="L21" s="95">
        <v>12</v>
      </c>
      <c r="M21" s="22">
        <v>1</v>
      </c>
      <c r="N21" s="263" t="str">
        <f>CONCATENATE(tbl_Parcels[[#This Row],[Village]],".",L21)</f>
        <v>1.12</v>
      </c>
      <c r="O21" s="27">
        <v>26.9</v>
      </c>
      <c r="P21" s="108" t="s">
        <v>61</v>
      </c>
      <c r="Q21" s="145">
        <f>INT(tbl_Parcels[[#This Row],[Acres]]*_xlfn.XLOOKUP(tbl_Parcels[[#This Row],[Use]],lst_LUcodes,$H$10:$H$14))</f>
        <v>26</v>
      </c>
      <c r="R21" s="145">
        <f>INT(tbl_Parcels[[#This Row],[Acres]]*_xlfn.XLOOKUP(tbl_Parcels[[#This Row],[Use]],lst_LUcodes,$I$10:$I$14))</f>
        <v>78</v>
      </c>
    </row>
    <row r="22" spans="1:26" ht="16" thickTop="1" thickBot="1">
      <c r="A22" s="151">
        <f>IF(tbl_Parcels[[#This Row],[Village]]=M11,A21+1,1)</f>
        <v>3</v>
      </c>
      <c r="J22" s="4"/>
      <c r="K22" s="4"/>
      <c r="L22" s="94">
        <v>13</v>
      </c>
      <c r="M22" s="22">
        <v>1</v>
      </c>
      <c r="N22" s="263" t="str">
        <f>CONCATENATE(tbl_Parcels[[#This Row],[Village]],".",L22)</f>
        <v>1.13</v>
      </c>
      <c r="O22" s="27">
        <v>20.29</v>
      </c>
      <c r="P22" s="108" t="s">
        <v>42</v>
      </c>
      <c r="Q22" s="145">
        <f>INT(tbl_Parcels[[#This Row],[Acres]]*_xlfn.XLOOKUP(tbl_Parcels[[#This Row],[Use]],lst_LUcodes,$H$10:$H$14))</f>
        <v>60</v>
      </c>
      <c r="R22" s="145">
        <f>INT(tbl_Parcels[[#This Row],[Acres]]*_xlfn.XLOOKUP(tbl_Parcels[[#This Row],[Use]],lst_LUcodes,$I$10:$I$14))</f>
        <v>119</v>
      </c>
    </row>
    <row r="23" spans="1:26" ht="16" thickTop="1" thickBot="1">
      <c r="A23" s="151">
        <f>IF(tbl_Parcels[[#This Row],[Village]]=M12,A22+1,1)</f>
        <v>4</v>
      </c>
      <c r="J23" s="4"/>
      <c r="K23" s="4"/>
      <c r="L23" s="95">
        <v>14</v>
      </c>
      <c r="M23" s="22">
        <v>1</v>
      </c>
      <c r="N23" s="263" t="str">
        <f>CONCATENATE(tbl_Parcels[[#This Row],[Village]],".",L23)</f>
        <v>1.14</v>
      </c>
      <c r="O23" s="27">
        <v>21.53</v>
      </c>
      <c r="P23" s="108" t="s">
        <v>42</v>
      </c>
      <c r="Q23" s="145">
        <f>INT(tbl_Parcels[[#This Row],[Acres]]*_xlfn.XLOOKUP(tbl_Parcels[[#This Row],[Use]],lst_LUcodes,$H$10:$H$14))</f>
        <v>64</v>
      </c>
      <c r="R23" s="145">
        <f>INT(tbl_Parcels[[#This Row],[Acres]]*_xlfn.XLOOKUP(tbl_Parcels[[#This Row],[Use]],lst_LUcodes,$I$10:$I$14))</f>
        <v>127</v>
      </c>
      <c r="T23" s="4"/>
      <c r="U23" s="4"/>
      <c r="V23" s="4"/>
      <c r="W23" s="4"/>
      <c r="X23" s="4"/>
      <c r="Y23" s="4"/>
      <c r="Z23" s="4"/>
    </row>
    <row r="24" spans="1:26" ht="16" thickTop="1" thickBot="1">
      <c r="A24" s="151">
        <f>IF(tbl_Parcels[[#This Row],[Village]]=M13,A23+1,1)</f>
        <v>5</v>
      </c>
      <c r="J24" s="4"/>
      <c r="K24" s="4"/>
      <c r="L24" s="94">
        <v>15</v>
      </c>
      <c r="M24" s="22">
        <v>1</v>
      </c>
      <c r="N24" s="263" t="str">
        <f>CONCATENATE(tbl_Parcels[[#This Row],[Village]],".",L24)</f>
        <v>1.15</v>
      </c>
      <c r="O24" s="27">
        <v>34.270000000000003</v>
      </c>
      <c r="P24" s="108" t="s">
        <v>42</v>
      </c>
      <c r="Q24" s="145">
        <f>INT(tbl_Parcels[[#This Row],[Acres]]*_xlfn.XLOOKUP(tbl_Parcels[[#This Row],[Use]],lst_LUcodes,$H$10:$H$14))</f>
        <v>102</v>
      </c>
      <c r="R24" s="145">
        <f>INT(tbl_Parcels[[#This Row],[Acres]]*_xlfn.XLOOKUP(tbl_Parcels[[#This Row],[Use]],lst_LUcodes,$I$10:$I$14))</f>
        <v>202</v>
      </c>
      <c r="T24" s="4"/>
      <c r="U24" s="4"/>
      <c r="V24" s="4"/>
      <c r="W24" s="4"/>
      <c r="X24" s="4"/>
      <c r="Y24" s="4"/>
      <c r="Z24" s="4"/>
    </row>
    <row r="25" spans="1:26" ht="16" thickTop="1" thickBot="1">
      <c r="A25" s="151">
        <f>IF(tbl_Parcels[[#This Row],[Village]]=M14,A24+1,1)</f>
        <v>1</v>
      </c>
      <c r="J25" s="4"/>
      <c r="K25" s="4"/>
      <c r="L25" s="95">
        <v>16</v>
      </c>
      <c r="M25" s="22">
        <v>2</v>
      </c>
      <c r="N25" s="263" t="str">
        <f>CONCATENATE(tbl_Parcels[[#This Row],[Village]],".",L25)</f>
        <v>2.16</v>
      </c>
      <c r="O25" s="27">
        <v>31.85</v>
      </c>
      <c r="P25" s="108" t="s">
        <v>62</v>
      </c>
      <c r="Q25" s="145">
        <f>INT(tbl_Parcels[[#This Row],[Acres]]*_xlfn.XLOOKUP(tbl_Parcels[[#This Row],[Use]],lst_LUcodes,$H$10:$H$14))</f>
        <v>191</v>
      </c>
      <c r="R25" s="145">
        <f>INT(tbl_Parcels[[#This Row],[Acres]]*_xlfn.XLOOKUP(tbl_Parcels[[#This Row],[Use]],lst_LUcodes,$I$10:$I$14))</f>
        <v>382</v>
      </c>
      <c r="T25" s="4"/>
      <c r="U25" s="4"/>
      <c r="V25" s="4"/>
      <c r="W25" s="4"/>
      <c r="X25" s="4"/>
      <c r="Y25" s="4"/>
      <c r="Z25" s="4"/>
    </row>
    <row r="26" spans="1:26" ht="16" thickTop="1" thickBot="1">
      <c r="A26" s="151">
        <f>IF(tbl_Parcels[[#This Row],[Village]]=M15,A25+1,1)</f>
        <v>1</v>
      </c>
      <c r="J26" s="4"/>
      <c r="K26" s="4"/>
      <c r="L26" s="94">
        <v>17</v>
      </c>
      <c r="M26" s="22">
        <v>2</v>
      </c>
      <c r="N26" s="263" t="str">
        <f>CONCATENATE(tbl_Parcels[[#This Row],[Village]],".",L26)</f>
        <v>2.17</v>
      </c>
      <c r="O26" s="27">
        <v>31.04</v>
      </c>
      <c r="P26" s="108" t="s">
        <v>63</v>
      </c>
      <c r="Q26" s="145">
        <f>INT(tbl_Parcels[[#This Row],[Acres]]*_xlfn.XLOOKUP(tbl_Parcels[[#This Row],[Use]],lst_LUcodes,$H$10:$H$14))</f>
        <v>0</v>
      </c>
      <c r="R26" s="145">
        <f>INT(tbl_Parcels[[#This Row],[Acres]]*_xlfn.XLOOKUP(tbl_Parcels[[#This Row],[Use]],lst_LUcodes,$I$10:$I$14))</f>
        <v>0</v>
      </c>
      <c r="T26" s="4"/>
      <c r="U26" s="4"/>
      <c r="V26" s="4"/>
      <c r="W26" s="4"/>
      <c r="X26" s="4"/>
      <c r="Y26" s="4"/>
      <c r="Z26" s="4"/>
    </row>
    <row r="27" spans="1:26" ht="16" thickTop="1" thickBot="1">
      <c r="A27" s="151">
        <f>IF(tbl_Parcels[[#This Row],[Village]]=M16,A26+1,1)</f>
        <v>1</v>
      </c>
      <c r="J27" s="4"/>
      <c r="K27" s="4"/>
      <c r="L27" s="95">
        <v>18</v>
      </c>
      <c r="M27" s="22">
        <v>2</v>
      </c>
      <c r="N27" s="263" t="str">
        <f>CONCATENATE(tbl_Parcels[[#This Row],[Village]],".",L27)</f>
        <v>2.18</v>
      </c>
      <c r="O27" s="27">
        <v>27.56</v>
      </c>
      <c r="P27" s="108" t="s">
        <v>62</v>
      </c>
      <c r="Q27" s="145">
        <f>INT(tbl_Parcels[[#This Row],[Acres]]*_xlfn.XLOOKUP(tbl_Parcels[[#This Row],[Use]],lst_LUcodes,$H$10:$H$14))</f>
        <v>165</v>
      </c>
      <c r="R27" s="145">
        <f>INT(tbl_Parcels[[#This Row],[Acres]]*_xlfn.XLOOKUP(tbl_Parcels[[#This Row],[Use]],lst_LUcodes,$I$10:$I$14))</f>
        <v>330</v>
      </c>
      <c r="T27" s="4"/>
      <c r="U27" s="4"/>
      <c r="V27" s="4"/>
      <c r="W27" s="4"/>
      <c r="X27" s="4"/>
      <c r="Y27" s="4"/>
      <c r="Z27" s="4"/>
    </row>
    <row r="28" spans="1:26" ht="16" thickTop="1" thickBot="1">
      <c r="A28" s="151">
        <f>IF(tbl_Parcels[[#This Row],[Village]]=M17,A27+1,1)</f>
        <v>1</v>
      </c>
      <c r="J28" s="4"/>
      <c r="K28" s="4"/>
      <c r="L28" s="94">
        <v>19</v>
      </c>
      <c r="M28" s="22">
        <v>2</v>
      </c>
      <c r="N28" s="263" t="str">
        <f>CONCATENATE(tbl_Parcels[[#This Row],[Village]],".",L28)</f>
        <v>2.19</v>
      </c>
      <c r="O28" s="27">
        <v>21.86</v>
      </c>
      <c r="P28" s="108" t="s">
        <v>63</v>
      </c>
      <c r="Q28" s="145">
        <f>INT(tbl_Parcels[[#This Row],[Acres]]*_xlfn.XLOOKUP(tbl_Parcels[[#This Row],[Use]],lst_LUcodes,$H$10:$H$14))</f>
        <v>0</v>
      </c>
      <c r="R28" s="145">
        <f>INT(tbl_Parcels[[#This Row],[Acres]]*_xlfn.XLOOKUP(tbl_Parcels[[#This Row],[Use]],lst_LUcodes,$I$10:$I$14))</f>
        <v>0</v>
      </c>
      <c r="T28" s="4"/>
      <c r="U28" s="4"/>
      <c r="V28" s="4"/>
      <c r="W28" s="4"/>
      <c r="X28" s="4"/>
      <c r="Y28" s="4"/>
      <c r="Z28" s="4"/>
    </row>
    <row r="29" spans="1:26" ht="16" thickTop="1" thickBot="1">
      <c r="A29" s="151">
        <f>IF(tbl_Parcels[[#This Row],[Village]]=M18,A28+1,1)</f>
        <v>1</v>
      </c>
      <c r="J29" s="4"/>
      <c r="K29" s="4"/>
      <c r="L29" s="95">
        <v>20</v>
      </c>
      <c r="M29" s="22">
        <v>2</v>
      </c>
      <c r="N29" s="263" t="str">
        <f>CONCATENATE(tbl_Parcels[[#This Row],[Village]],".",L29)</f>
        <v>2.20</v>
      </c>
      <c r="O29" s="27">
        <v>35.51</v>
      </c>
      <c r="P29" s="108" t="s">
        <v>63</v>
      </c>
      <c r="Q29" s="145">
        <f>INT(tbl_Parcels[[#This Row],[Acres]]*_xlfn.XLOOKUP(tbl_Parcels[[#This Row],[Use]],lst_LUcodes,$H$10:$H$14))</f>
        <v>0</v>
      </c>
      <c r="R29" s="145">
        <f>INT(tbl_Parcels[[#This Row],[Acres]]*_xlfn.XLOOKUP(tbl_Parcels[[#This Row],[Use]],lst_LUcodes,$I$10:$I$14))</f>
        <v>0</v>
      </c>
      <c r="T29" s="4"/>
      <c r="U29" s="4"/>
      <c r="V29" s="4"/>
      <c r="W29" s="4"/>
      <c r="X29" s="4"/>
      <c r="Y29" s="4"/>
      <c r="Z29" s="4"/>
    </row>
    <row r="30" spans="1:26" ht="16" thickTop="1" thickBot="1">
      <c r="A30" s="151">
        <f>IF(tbl_Parcels[[#This Row],[Village]]=M19,A29+1,1)</f>
        <v>1</v>
      </c>
      <c r="J30" s="4"/>
      <c r="K30" s="4"/>
      <c r="L30" s="94">
        <v>21</v>
      </c>
      <c r="M30" s="22">
        <v>2</v>
      </c>
      <c r="N30" s="263" t="str">
        <f>CONCATENATE(tbl_Parcels[[#This Row],[Village]],".",L30)</f>
        <v>2.21</v>
      </c>
      <c r="O30" s="27">
        <v>43.89</v>
      </c>
      <c r="P30" s="108" t="s">
        <v>63</v>
      </c>
      <c r="Q30" s="145">
        <f>INT(tbl_Parcels[[#This Row],[Acres]]*_xlfn.XLOOKUP(tbl_Parcels[[#This Row],[Use]],lst_LUcodes,$H$10:$H$14))</f>
        <v>0</v>
      </c>
      <c r="R30" s="145">
        <f>INT(tbl_Parcels[[#This Row],[Acres]]*_xlfn.XLOOKUP(tbl_Parcels[[#This Row],[Use]],lst_LUcodes,$I$10:$I$14))</f>
        <v>0</v>
      </c>
      <c r="T30" s="4"/>
      <c r="U30" s="4"/>
      <c r="V30" s="4"/>
      <c r="W30" s="4"/>
      <c r="X30" s="4"/>
      <c r="Y30" s="4"/>
      <c r="Z30" s="4"/>
    </row>
    <row r="31" spans="1:26" ht="16" thickTop="1" thickBot="1">
      <c r="A31" s="151">
        <f>IF(tbl_Parcels[[#This Row],[Village]]=M20,A30+1,1)</f>
        <v>1</v>
      </c>
      <c r="J31" s="4"/>
      <c r="K31" s="4"/>
      <c r="L31" s="95">
        <v>22</v>
      </c>
      <c r="M31" s="22">
        <v>2</v>
      </c>
      <c r="N31" s="263" t="str">
        <f>CONCATENATE(tbl_Parcels[[#This Row],[Village]],".",L31)</f>
        <v>2.22</v>
      </c>
      <c r="O31" s="27">
        <v>31.59</v>
      </c>
      <c r="P31" s="108" t="s">
        <v>63</v>
      </c>
      <c r="Q31" s="145">
        <f>INT(tbl_Parcels[[#This Row],[Acres]]*_xlfn.XLOOKUP(tbl_Parcels[[#This Row],[Use]],lst_LUcodes,$H$10:$H$14))</f>
        <v>0</v>
      </c>
      <c r="R31" s="145">
        <f>INT(tbl_Parcels[[#This Row],[Acres]]*_xlfn.XLOOKUP(tbl_Parcels[[#This Row],[Use]],lst_LUcodes,$I$10:$I$14))</f>
        <v>0</v>
      </c>
      <c r="T31" s="4"/>
      <c r="U31" s="4"/>
      <c r="V31" s="4"/>
      <c r="W31" s="4"/>
      <c r="X31" s="4"/>
      <c r="Y31" s="4"/>
      <c r="Z31" s="4"/>
    </row>
    <row r="32" spans="1:26" ht="16" thickTop="1" thickBot="1">
      <c r="A32" s="151">
        <f>IF(tbl_Parcels[[#This Row],[Village]]=M21,A31+1,1)</f>
        <v>1</v>
      </c>
      <c r="J32" s="4"/>
      <c r="K32" s="4"/>
      <c r="L32" s="94">
        <v>23</v>
      </c>
      <c r="M32" s="22">
        <v>3</v>
      </c>
      <c r="N32" s="263" t="str">
        <f>CONCATENATE(tbl_Parcels[[#This Row],[Village]],".",L32)</f>
        <v>3.23</v>
      </c>
      <c r="O32" s="27">
        <v>22.45</v>
      </c>
      <c r="P32" s="108" t="s">
        <v>61</v>
      </c>
      <c r="Q32" s="145">
        <f>INT(tbl_Parcels[[#This Row],[Acres]]*_xlfn.XLOOKUP(tbl_Parcels[[#This Row],[Use]],lst_LUcodes,$H$10:$H$14))</f>
        <v>22</v>
      </c>
      <c r="R32" s="145">
        <f>INT(tbl_Parcels[[#This Row],[Acres]]*_xlfn.XLOOKUP(tbl_Parcels[[#This Row],[Use]],lst_LUcodes,$I$10:$I$14))</f>
        <v>65</v>
      </c>
      <c r="T32" s="4"/>
      <c r="U32" s="4"/>
      <c r="V32" s="4"/>
      <c r="W32" s="4"/>
      <c r="X32" s="4"/>
      <c r="Y32" s="4"/>
      <c r="Z32" s="4"/>
    </row>
    <row r="33" spans="1:26" ht="16" thickTop="1" thickBot="1">
      <c r="A33" s="151">
        <f>IF(tbl_Parcels[[#This Row],[Village]]=M22,A32+1,1)</f>
        <v>1</v>
      </c>
      <c r="J33" s="4"/>
      <c r="K33" s="4"/>
      <c r="L33" s="95">
        <v>24</v>
      </c>
      <c r="M33" s="22">
        <v>3</v>
      </c>
      <c r="N33" s="263" t="str">
        <f>CONCATENATE(tbl_Parcels[[#This Row],[Village]],".",L33)</f>
        <v>3.24</v>
      </c>
      <c r="O33" s="27">
        <v>37.51</v>
      </c>
      <c r="P33" s="108" t="s">
        <v>61</v>
      </c>
      <c r="Q33" s="145">
        <f>INT(tbl_Parcels[[#This Row],[Acres]]*_xlfn.XLOOKUP(tbl_Parcels[[#This Row],[Use]],lst_LUcodes,$H$10:$H$14))</f>
        <v>37</v>
      </c>
      <c r="R33" s="145">
        <f>INT(tbl_Parcels[[#This Row],[Acres]]*_xlfn.XLOOKUP(tbl_Parcels[[#This Row],[Use]],lst_LUcodes,$I$10:$I$14))</f>
        <v>108</v>
      </c>
      <c r="T33" s="4"/>
      <c r="U33" s="4"/>
      <c r="V33" s="4"/>
      <c r="W33" s="4"/>
      <c r="X33" s="4"/>
      <c r="Y33" s="4"/>
      <c r="Z33" s="4"/>
    </row>
    <row r="34" spans="1:26" ht="16" thickTop="1" thickBot="1">
      <c r="A34" s="151">
        <f>IF(tbl_Parcels[[#This Row],[Village]]=M23,A33+1,1)</f>
        <v>1</v>
      </c>
      <c r="J34" s="4"/>
      <c r="K34" s="4"/>
      <c r="L34" s="94">
        <v>25</v>
      </c>
      <c r="M34" s="22">
        <v>3</v>
      </c>
      <c r="N34" s="263" t="str">
        <f>CONCATENATE(tbl_Parcels[[#This Row],[Village]],".",L34)</f>
        <v>3.25</v>
      </c>
      <c r="O34" s="27">
        <v>28.33</v>
      </c>
      <c r="P34" s="108" t="s">
        <v>61</v>
      </c>
      <c r="Q34" s="145">
        <f>INT(tbl_Parcels[[#This Row],[Acres]]*_xlfn.XLOOKUP(tbl_Parcels[[#This Row],[Use]],lst_LUcodes,$H$10:$H$14))</f>
        <v>28</v>
      </c>
      <c r="R34" s="145">
        <f>INT(tbl_Parcels[[#This Row],[Acres]]*_xlfn.XLOOKUP(tbl_Parcels[[#This Row],[Use]],lst_LUcodes,$I$10:$I$14))</f>
        <v>82</v>
      </c>
      <c r="T34" s="4"/>
      <c r="U34" s="4"/>
      <c r="V34" s="4"/>
      <c r="W34" s="4"/>
      <c r="X34" s="4"/>
      <c r="Y34" s="4"/>
      <c r="Z34" s="4"/>
    </row>
    <row r="35" spans="1:26" ht="16" thickTop="1" thickBot="1">
      <c r="A35" s="151">
        <f>IF(tbl_Parcels[[#This Row],[Village]]=M24,A34+1,1)</f>
        <v>1</v>
      </c>
      <c r="J35" s="4"/>
      <c r="K35" s="4"/>
      <c r="L35" s="95">
        <v>26</v>
      </c>
      <c r="M35" s="22">
        <v>3</v>
      </c>
      <c r="N35" s="263" t="str">
        <f>CONCATENATE(tbl_Parcels[[#This Row],[Village]],".",L35)</f>
        <v>3.26</v>
      </c>
      <c r="O35" s="27">
        <v>15.04</v>
      </c>
      <c r="P35" s="108" t="s">
        <v>42</v>
      </c>
      <c r="Q35" s="145">
        <f>INT(tbl_Parcels[[#This Row],[Acres]]*_xlfn.XLOOKUP(tbl_Parcels[[#This Row],[Use]],lst_LUcodes,$H$10:$H$14))</f>
        <v>45</v>
      </c>
      <c r="R35" s="145">
        <f>INT(tbl_Parcels[[#This Row],[Acres]]*_xlfn.XLOOKUP(tbl_Parcels[[#This Row],[Use]],lst_LUcodes,$I$10:$I$14))</f>
        <v>88</v>
      </c>
      <c r="T35" s="4"/>
      <c r="U35" s="4"/>
      <c r="V35" s="4"/>
      <c r="W35" s="4"/>
      <c r="X35" s="4"/>
      <c r="Y35" s="4"/>
      <c r="Z35" s="4"/>
    </row>
    <row r="36" spans="1:26" ht="16" thickTop="1" thickBot="1">
      <c r="A36" s="151">
        <f>IF(tbl_Parcels[[#This Row],[Village]]=M25,A35+1,1)</f>
        <v>1</v>
      </c>
      <c r="J36" s="4"/>
      <c r="K36" s="4"/>
      <c r="L36" s="94">
        <v>27</v>
      </c>
      <c r="M36" s="22">
        <v>3</v>
      </c>
      <c r="N36" s="263" t="str">
        <f>CONCATENATE(tbl_Parcels[[#This Row],[Village]],".",L36)</f>
        <v>3.27</v>
      </c>
      <c r="O36" s="27">
        <v>24.04</v>
      </c>
      <c r="P36" s="108" t="s">
        <v>42</v>
      </c>
      <c r="Q36" s="145">
        <f>INT(tbl_Parcels[[#This Row],[Acres]]*_xlfn.XLOOKUP(tbl_Parcels[[#This Row],[Use]],lst_LUcodes,$H$10:$H$14))</f>
        <v>72</v>
      </c>
      <c r="R36" s="145">
        <f>INT(tbl_Parcels[[#This Row],[Acres]]*_xlfn.XLOOKUP(tbl_Parcels[[#This Row],[Use]],lst_LUcodes,$I$10:$I$14))</f>
        <v>141</v>
      </c>
      <c r="T36" s="4"/>
      <c r="U36" s="4"/>
      <c r="V36" s="4"/>
      <c r="W36" s="4"/>
      <c r="X36" s="4"/>
      <c r="Y36" s="4"/>
      <c r="Z36" s="4"/>
    </row>
    <row r="37" spans="1:26" ht="16" thickTop="1" thickBot="1">
      <c r="A37" s="151">
        <f>IF(tbl_Parcels[[#This Row],[Village]]=M26,A36+1,1)</f>
        <v>1</v>
      </c>
      <c r="J37" s="4"/>
      <c r="K37" s="4"/>
      <c r="L37" s="95">
        <v>28</v>
      </c>
      <c r="M37" s="22">
        <v>3</v>
      </c>
      <c r="N37" s="263" t="str">
        <f>CONCATENATE(tbl_Parcels[[#This Row],[Village]],".",L37)</f>
        <v>3.28</v>
      </c>
      <c r="O37" s="27">
        <v>44.64</v>
      </c>
      <c r="P37" s="108" t="s">
        <v>42</v>
      </c>
      <c r="Q37" s="145">
        <f>INT(tbl_Parcels[[#This Row],[Acres]]*_xlfn.XLOOKUP(tbl_Parcels[[#This Row],[Use]],lst_LUcodes,$H$10:$H$14))</f>
        <v>133</v>
      </c>
      <c r="R37" s="145">
        <f>INT(tbl_Parcels[[#This Row],[Acres]]*_xlfn.XLOOKUP(tbl_Parcels[[#This Row],[Use]],lst_LUcodes,$I$10:$I$14))</f>
        <v>263</v>
      </c>
      <c r="T37" s="4"/>
      <c r="U37" s="4"/>
      <c r="V37" s="4"/>
      <c r="W37" s="4"/>
      <c r="X37" s="4"/>
      <c r="Y37" s="4"/>
      <c r="Z37" s="4"/>
    </row>
    <row r="38" spans="1:26" ht="16" thickTop="1" thickBot="1">
      <c r="A38" s="151">
        <f>IF(tbl_Parcels[[#This Row],[Village]]=M27,A37+1,1)</f>
        <v>1</v>
      </c>
      <c r="J38" s="4"/>
      <c r="K38" s="4"/>
      <c r="L38" s="94">
        <v>29</v>
      </c>
      <c r="M38" s="22">
        <v>3</v>
      </c>
      <c r="N38" s="263" t="str">
        <f>CONCATENATE(tbl_Parcels[[#This Row],[Village]],".",L38)</f>
        <v>3.29</v>
      </c>
      <c r="O38" s="27">
        <v>18.55</v>
      </c>
      <c r="P38" s="108" t="s">
        <v>42</v>
      </c>
      <c r="Q38" s="145">
        <f>INT(tbl_Parcels[[#This Row],[Acres]]*_xlfn.XLOOKUP(tbl_Parcels[[#This Row],[Use]],lst_LUcodes,$H$10:$H$14))</f>
        <v>55</v>
      </c>
      <c r="R38" s="145">
        <f>INT(tbl_Parcels[[#This Row],[Acres]]*_xlfn.XLOOKUP(tbl_Parcels[[#This Row],[Use]],lst_LUcodes,$I$10:$I$14))</f>
        <v>109</v>
      </c>
      <c r="T38" s="4"/>
      <c r="U38" s="4"/>
      <c r="V38" s="4"/>
      <c r="W38" s="4"/>
      <c r="X38" s="4"/>
      <c r="Y38" s="4"/>
      <c r="Z38" s="4"/>
    </row>
    <row r="39" spans="1:26" ht="16" thickTop="1" thickBot="1">
      <c r="A39" s="151">
        <f>IF(tbl_Parcels[[#This Row],[Village]]=M28,A38+1,1)</f>
        <v>1</v>
      </c>
      <c r="J39" s="4"/>
      <c r="K39" s="4"/>
      <c r="L39" s="95">
        <v>30</v>
      </c>
      <c r="M39" s="22">
        <v>3</v>
      </c>
      <c r="N39" s="263" t="str">
        <f>CONCATENATE(tbl_Parcels[[#This Row],[Village]],".",L39)</f>
        <v>3.30</v>
      </c>
      <c r="O39" s="27">
        <v>25.21</v>
      </c>
      <c r="P39" s="108" t="s">
        <v>42</v>
      </c>
      <c r="Q39" s="145">
        <f>INT(tbl_Parcels[[#This Row],[Acres]]*_xlfn.XLOOKUP(tbl_Parcels[[#This Row],[Use]],lst_LUcodes,$H$10:$H$14))</f>
        <v>75</v>
      </c>
      <c r="R39" s="145">
        <f>INT(tbl_Parcels[[#This Row],[Acres]]*_xlfn.XLOOKUP(tbl_Parcels[[#This Row],[Use]],lst_LUcodes,$I$10:$I$14))</f>
        <v>148</v>
      </c>
      <c r="T39" s="4"/>
      <c r="U39" s="4"/>
      <c r="V39" s="4"/>
      <c r="W39" s="4"/>
      <c r="X39" s="4"/>
      <c r="Y39" s="4"/>
      <c r="Z39" s="4"/>
    </row>
    <row r="40" spans="1:26" ht="16" thickTop="1" thickBot="1">
      <c r="A40" s="151">
        <f>IF(tbl_Parcels[[#This Row],[Village]]=M29,A39+1,1)</f>
        <v>1</v>
      </c>
      <c r="J40" s="4"/>
      <c r="K40" s="4"/>
      <c r="L40" s="94">
        <v>31</v>
      </c>
      <c r="M40" s="22">
        <v>3</v>
      </c>
      <c r="N40" s="263" t="str">
        <f>CONCATENATE(tbl_Parcels[[#This Row],[Village]],".",L40)</f>
        <v>3.31</v>
      </c>
      <c r="O40" s="27">
        <v>32.4</v>
      </c>
      <c r="P40" s="108" t="s">
        <v>61</v>
      </c>
      <c r="Q40" s="145">
        <f>INT(tbl_Parcels[[#This Row],[Acres]]*_xlfn.XLOOKUP(tbl_Parcels[[#This Row],[Use]],lst_LUcodes,$H$10:$H$14))</f>
        <v>32</v>
      </c>
      <c r="R40" s="145">
        <f>INT(tbl_Parcels[[#This Row],[Acres]]*_xlfn.XLOOKUP(tbl_Parcels[[#This Row],[Use]],lst_LUcodes,$I$10:$I$14))</f>
        <v>93</v>
      </c>
      <c r="T40" s="4"/>
      <c r="U40" s="4"/>
      <c r="V40" s="4"/>
      <c r="W40" s="4"/>
      <c r="X40" s="4"/>
      <c r="Y40" s="4"/>
      <c r="Z40" s="4"/>
    </row>
    <row r="41" spans="1:26" ht="16" thickTop="1" thickBot="1">
      <c r="A41" s="151">
        <f>IF(tbl_Parcels[[#This Row],[Village]]=M30,A40+1,1)</f>
        <v>1</v>
      </c>
      <c r="J41" s="4"/>
      <c r="K41" s="4"/>
      <c r="L41" s="95">
        <v>32</v>
      </c>
      <c r="M41" s="22">
        <v>3</v>
      </c>
      <c r="N41" s="263" t="str">
        <f>CONCATENATE(tbl_Parcels[[#This Row],[Village]],".",L41)</f>
        <v>3.32</v>
      </c>
      <c r="O41" s="27">
        <v>29.939999999999998</v>
      </c>
      <c r="P41" s="108" t="s">
        <v>61</v>
      </c>
      <c r="Q41" s="145">
        <f>INT(tbl_Parcels[[#This Row],[Acres]]*_xlfn.XLOOKUP(tbl_Parcels[[#This Row],[Use]],lst_LUcodes,$H$10:$H$14))</f>
        <v>29</v>
      </c>
      <c r="R41" s="145">
        <f>INT(tbl_Parcels[[#This Row],[Acres]]*_xlfn.XLOOKUP(tbl_Parcels[[#This Row],[Use]],lst_LUcodes,$I$10:$I$14))</f>
        <v>86</v>
      </c>
      <c r="T41" s="4"/>
      <c r="U41" s="4"/>
      <c r="V41" s="4"/>
      <c r="W41" s="4"/>
      <c r="X41" s="4"/>
      <c r="Y41" s="4"/>
      <c r="Z41" s="4"/>
    </row>
    <row r="42" spans="1:26" ht="16" thickTop="1" thickBot="1">
      <c r="A42" s="151">
        <f>IF(tbl_Parcels[[#This Row],[Village]]=M31,A41+1,1)</f>
        <v>1</v>
      </c>
      <c r="J42" s="4"/>
      <c r="K42" s="4"/>
      <c r="L42" s="94">
        <v>33</v>
      </c>
      <c r="M42" s="22">
        <v>3</v>
      </c>
      <c r="N42" s="263" t="str">
        <f>CONCATENATE(tbl_Parcels[[#This Row],[Village]],".",L42)</f>
        <v>3.33</v>
      </c>
      <c r="O42" s="27">
        <v>29.31</v>
      </c>
      <c r="P42" s="108" t="s">
        <v>42</v>
      </c>
      <c r="Q42" s="145">
        <f>INT(tbl_Parcels[[#This Row],[Acres]]*_xlfn.XLOOKUP(tbl_Parcels[[#This Row],[Use]],lst_LUcodes,$H$10:$H$14))</f>
        <v>87</v>
      </c>
      <c r="R42" s="145">
        <f>INT(tbl_Parcels[[#This Row],[Acres]]*_xlfn.XLOOKUP(tbl_Parcels[[#This Row],[Use]],lst_LUcodes,$I$10:$I$14))</f>
        <v>172</v>
      </c>
      <c r="T42" s="4"/>
      <c r="U42" s="4"/>
      <c r="V42" s="4"/>
      <c r="W42" s="4"/>
      <c r="X42" s="4"/>
      <c r="Y42" s="4"/>
      <c r="Z42" s="4"/>
    </row>
    <row r="43" spans="1:26" ht="16" thickTop="1" thickBot="1">
      <c r="A43" s="151">
        <f>IF(tbl_Parcels[[#This Row],[Village]]=M32,A42+1,1)</f>
        <v>2</v>
      </c>
      <c r="J43" s="4"/>
      <c r="K43" s="4"/>
      <c r="L43" s="95">
        <v>34</v>
      </c>
      <c r="M43" s="22">
        <v>3</v>
      </c>
      <c r="N43" s="263" t="str">
        <f>CONCATENATE(tbl_Parcels[[#This Row],[Village]],".",L43)</f>
        <v>3.34</v>
      </c>
      <c r="O43" s="27">
        <v>20.74</v>
      </c>
      <c r="P43" s="108" t="s">
        <v>42</v>
      </c>
      <c r="Q43" s="145">
        <f>INT(tbl_Parcels[[#This Row],[Acres]]*_xlfn.XLOOKUP(tbl_Parcels[[#This Row],[Use]],lst_LUcodes,$H$10:$H$14))</f>
        <v>62</v>
      </c>
      <c r="R43" s="145">
        <f>INT(tbl_Parcels[[#This Row],[Acres]]*_xlfn.XLOOKUP(tbl_Parcels[[#This Row],[Use]],lst_LUcodes,$I$10:$I$14))</f>
        <v>122</v>
      </c>
      <c r="T43" s="4"/>
      <c r="U43" s="4"/>
      <c r="V43" s="4"/>
      <c r="W43" s="4"/>
      <c r="X43" s="4"/>
      <c r="Y43" s="4"/>
      <c r="Z43" s="4"/>
    </row>
    <row r="44" spans="1:26" ht="16" thickTop="1" thickBot="1">
      <c r="A44" s="151">
        <f>IF(tbl_Parcels[[#This Row],[Village]]=M33,A43+1,1)</f>
        <v>1</v>
      </c>
      <c r="J44" s="4"/>
      <c r="K44" s="4"/>
      <c r="L44" s="94">
        <v>35</v>
      </c>
      <c r="M44" s="22">
        <v>4</v>
      </c>
      <c r="N44" s="263" t="str">
        <f>CONCATENATE(tbl_Parcels[[#This Row],[Village]],".",L44)</f>
        <v>4.35</v>
      </c>
      <c r="O44" s="27">
        <v>14.85</v>
      </c>
      <c r="P44" s="108" t="s">
        <v>63</v>
      </c>
      <c r="Q44" s="145">
        <f>INT(tbl_Parcels[[#This Row],[Acres]]*_xlfn.XLOOKUP(tbl_Parcels[[#This Row],[Use]],lst_LUcodes,$H$10:$H$14))</f>
        <v>0</v>
      </c>
      <c r="R44" s="145">
        <f>INT(tbl_Parcels[[#This Row],[Acres]]*_xlfn.XLOOKUP(tbl_Parcels[[#This Row],[Use]],lst_LUcodes,$I$10:$I$14))</f>
        <v>0</v>
      </c>
      <c r="T44" s="4"/>
      <c r="U44" s="4"/>
      <c r="V44" s="4"/>
      <c r="W44" s="4"/>
      <c r="X44" s="4"/>
      <c r="Y44" s="4"/>
      <c r="Z44" s="4"/>
    </row>
    <row r="45" spans="1:26" ht="16" thickTop="1" thickBot="1">
      <c r="A45" s="151">
        <f>IF(tbl_Parcels[[#This Row],[Village]]=M34,A44+1,1)</f>
        <v>1</v>
      </c>
      <c r="J45" s="4"/>
      <c r="K45" s="4"/>
      <c r="L45" s="95">
        <v>36</v>
      </c>
      <c r="M45" s="22">
        <v>4</v>
      </c>
      <c r="N45" s="263" t="str">
        <f>CONCATENATE(tbl_Parcels[[#This Row],[Village]],".",L45)</f>
        <v>4.36</v>
      </c>
      <c r="O45" s="27">
        <v>30.25</v>
      </c>
      <c r="P45" s="108" t="s">
        <v>42</v>
      </c>
      <c r="Q45" s="145">
        <f>INT(tbl_Parcels[[#This Row],[Acres]]*_xlfn.XLOOKUP(tbl_Parcels[[#This Row],[Use]],lst_LUcodes,$H$10:$H$14))</f>
        <v>90</v>
      </c>
      <c r="R45" s="145">
        <f>INT(tbl_Parcels[[#This Row],[Acres]]*_xlfn.XLOOKUP(tbl_Parcels[[#This Row],[Use]],lst_LUcodes,$I$10:$I$14))</f>
        <v>178</v>
      </c>
      <c r="T45" s="4"/>
      <c r="U45" s="4"/>
      <c r="V45" s="4"/>
      <c r="W45" s="4"/>
      <c r="X45" s="4"/>
      <c r="Y45" s="4"/>
      <c r="Z45" s="4"/>
    </row>
    <row r="46" spans="1:26" ht="16" thickTop="1" thickBot="1">
      <c r="A46" s="151">
        <f>IF(tbl_Parcels[[#This Row],[Village]]=M35,A45+1,1)</f>
        <v>1</v>
      </c>
      <c r="J46" s="4"/>
      <c r="K46" s="4"/>
      <c r="L46" s="94">
        <v>37</v>
      </c>
      <c r="M46" s="22">
        <v>4</v>
      </c>
      <c r="N46" s="263" t="str">
        <f>CONCATENATE(tbl_Parcels[[#This Row],[Village]],".",L46)</f>
        <v>4.37</v>
      </c>
      <c r="O46" s="27">
        <v>27.959999999999997</v>
      </c>
      <c r="P46" s="108" t="s">
        <v>61</v>
      </c>
      <c r="Q46" s="145">
        <f>INT(tbl_Parcels[[#This Row],[Acres]]*_xlfn.XLOOKUP(tbl_Parcels[[#This Row],[Use]],lst_LUcodes,$H$10:$H$14))</f>
        <v>27</v>
      </c>
      <c r="R46" s="145">
        <f>INT(tbl_Parcels[[#This Row],[Acres]]*_xlfn.XLOOKUP(tbl_Parcels[[#This Row],[Use]],lst_LUcodes,$I$10:$I$14))</f>
        <v>81</v>
      </c>
      <c r="T46" s="4"/>
      <c r="U46" s="4"/>
      <c r="V46" s="4"/>
      <c r="W46" s="4"/>
      <c r="X46" s="4"/>
      <c r="Y46" s="4"/>
      <c r="Z46" s="4"/>
    </row>
    <row r="47" spans="1:26" ht="16" thickTop="1" thickBot="1">
      <c r="A47" s="151">
        <f>IF(tbl_Parcels[[#This Row],[Village]]=M36,A46+1,1)</f>
        <v>1</v>
      </c>
      <c r="J47" s="4"/>
      <c r="K47" s="4"/>
      <c r="L47" s="95">
        <v>38</v>
      </c>
      <c r="M47" s="22">
        <v>4</v>
      </c>
      <c r="N47" s="263" t="str">
        <f>CONCATENATE(tbl_Parcels[[#This Row],[Village]],".",L47)</f>
        <v>4.38</v>
      </c>
      <c r="O47" s="27">
        <v>36.72</v>
      </c>
      <c r="P47" s="108" t="s">
        <v>63</v>
      </c>
      <c r="Q47" s="145">
        <f>INT(tbl_Parcels[[#This Row],[Acres]]*_xlfn.XLOOKUP(tbl_Parcels[[#This Row],[Use]],lst_LUcodes,$H$10:$H$14))</f>
        <v>0</v>
      </c>
      <c r="R47" s="145">
        <f>INT(tbl_Parcels[[#This Row],[Acres]]*_xlfn.XLOOKUP(tbl_Parcels[[#This Row],[Use]],lst_LUcodes,$I$10:$I$14))</f>
        <v>0</v>
      </c>
      <c r="T47" s="4"/>
      <c r="U47" s="4"/>
      <c r="V47" s="4"/>
      <c r="W47" s="4"/>
      <c r="X47" s="4"/>
      <c r="Y47" s="4"/>
      <c r="Z47" s="4"/>
    </row>
    <row r="48" spans="1:26" ht="16" thickTop="1" thickBot="1">
      <c r="A48" s="151">
        <f>IF(tbl_Parcels[[#This Row],[Village]]=M37,A47+1,1)</f>
        <v>1</v>
      </c>
      <c r="J48" s="4"/>
      <c r="K48" s="4"/>
      <c r="L48" s="94">
        <v>39</v>
      </c>
      <c r="M48" s="22">
        <v>4</v>
      </c>
      <c r="N48" s="263" t="str">
        <f>CONCATENATE(tbl_Parcels[[#This Row],[Village]],".",L48)</f>
        <v>4.39</v>
      </c>
      <c r="O48" s="27">
        <v>28.29</v>
      </c>
      <c r="P48" s="108" t="s">
        <v>42</v>
      </c>
      <c r="Q48" s="145">
        <f>INT(tbl_Parcels[[#This Row],[Acres]]*_xlfn.XLOOKUP(tbl_Parcels[[#This Row],[Use]],lst_LUcodes,$H$10:$H$14))</f>
        <v>84</v>
      </c>
      <c r="R48" s="145">
        <f>INT(tbl_Parcels[[#This Row],[Acres]]*_xlfn.XLOOKUP(tbl_Parcels[[#This Row],[Use]],lst_LUcodes,$I$10:$I$14))</f>
        <v>166</v>
      </c>
      <c r="T48" s="4"/>
      <c r="U48" s="4"/>
      <c r="V48" s="4"/>
      <c r="W48" s="4"/>
      <c r="X48" s="4"/>
      <c r="Y48" s="4"/>
      <c r="Z48" s="4"/>
    </row>
    <row r="49" spans="1:26" ht="16" thickTop="1" thickBot="1">
      <c r="A49" s="151">
        <f>IF(tbl_Parcels[[#This Row],[Village]]=M38,A48+1,1)</f>
        <v>1</v>
      </c>
      <c r="J49" s="4"/>
      <c r="K49" s="4"/>
      <c r="L49" s="95">
        <v>40</v>
      </c>
      <c r="M49" s="22">
        <v>4</v>
      </c>
      <c r="N49" s="263" t="str">
        <f>CONCATENATE(tbl_Parcels[[#This Row],[Village]],".",L49)</f>
        <v>4.40</v>
      </c>
      <c r="O49" s="27">
        <v>49.27</v>
      </c>
      <c r="P49" s="108" t="s">
        <v>42</v>
      </c>
      <c r="Q49" s="145">
        <f>INT(tbl_Parcels[[#This Row],[Acres]]*_xlfn.XLOOKUP(tbl_Parcels[[#This Row],[Use]],lst_LUcodes,$H$10:$H$14))</f>
        <v>147</v>
      </c>
      <c r="R49" s="145">
        <f>INT(tbl_Parcels[[#This Row],[Acres]]*_xlfn.XLOOKUP(tbl_Parcels[[#This Row],[Use]],lst_LUcodes,$I$10:$I$14))</f>
        <v>290</v>
      </c>
      <c r="T49" s="4"/>
      <c r="U49" s="4"/>
      <c r="V49" s="4"/>
      <c r="W49" s="4"/>
      <c r="X49" s="4"/>
      <c r="Y49" s="4"/>
      <c r="Z49" s="4"/>
    </row>
    <row r="50" spans="1:26" ht="16" thickTop="1" thickBot="1">
      <c r="A50" s="151">
        <f>IF(tbl_Parcels[[#This Row],[Village]]=M39,A49+1,1)</f>
        <v>1</v>
      </c>
      <c r="J50" s="4"/>
      <c r="K50" s="4"/>
      <c r="L50" s="94">
        <v>41</v>
      </c>
      <c r="M50" s="22">
        <v>4</v>
      </c>
      <c r="N50" s="263" t="str">
        <f>CONCATENATE(tbl_Parcels[[#This Row],[Village]],".",L50)</f>
        <v>4.41</v>
      </c>
      <c r="O50" s="27">
        <v>34.130000000000003</v>
      </c>
      <c r="P50" s="108" t="s">
        <v>42</v>
      </c>
      <c r="Q50" s="145">
        <f>INT(tbl_Parcels[[#This Row],[Acres]]*_xlfn.XLOOKUP(tbl_Parcels[[#This Row],[Use]],lst_LUcodes,$H$10:$H$14))</f>
        <v>102</v>
      </c>
      <c r="R50" s="145">
        <f>INT(tbl_Parcels[[#This Row],[Acres]]*_xlfn.XLOOKUP(tbl_Parcels[[#This Row],[Use]],lst_LUcodes,$I$10:$I$14))</f>
        <v>201</v>
      </c>
      <c r="T50" s="4"/>
      <c r="U50" s="4"/>
      <c r="V50" s="4"/>
      <c r="W50" s="4"/>
      <c r="X50" s="4"/>
      <c r="Y50" s="4"/>
      <c r="Z50" s="4"/>
    </row>
    <row r="51" spans="1:26" ht="16" thickTop="1" thickBot="1">
      <c r="A51" s="151">
        <f>IF(tbl_Parcels[[#This Row],[Village]]=M40,A50+1,1)</f>
        <v>1</v>
      </c>
      <c r="J51" s="4"/>
      <c r="K51" s="4"/>
      <c r="L51" s="95">
        <v>42</v>
      </c>
      <c r="M51" s="22">
        <v>4</v>
      </c>
      <c r="N51" s="263" t="str">
        <f>CONCATENATE(tbl_Parcels[[#This Row],[Village]],".",L51)</f>
        <v>4.42</v>
      </c>
      <c r="O51" s="27">
        <v>5.91</v>
      </c>
      <c r="P51" s="108" t="s">
        <v>63</v>
      </c>
      <c r="Q51" s="145">
        <f>INT(tbl_Parcels[[#This Row],[Acres]]*_xlfn.XLOOKUP(tbl_Parcels[[#This Row],[Use]],lst_LUcodes,$H$10:$H$14))</f>
        <v>0</v>
      </c>
      <c r="R51" s="145">
        <f>INT(tbl_Parcels[[#This Row],[Acres]]*_xlfn.XLOOKUP(tbl_Parcels[[#This Row],[Use]],lst_LUcodes,$I$10:$I$14))</f>
        <v>0</v>
      </c>
      <c r="T51" s="4"/>
      <c r="U51" s="4"/>
      <c r="V51" s="4"/>
      <c r="W51" s="4"/>
      <c r="X51" s="4"/>
      <c r="Y51" s="4"/>
      <c r="Z51" s="4"/>
    </row>
    <row r="52" spans="1:26" ht="16" thickTop="1" thickBot="1">
      <c r="A52" s="151">
        <f>IF(tbl_Parcels[[#This Row],[Village]]=M41,A51+1,1)</f>
        <v>1</v>
      </c>
      <c r="J52" s="4"/>
      <c r="K52" s="4"/>
      <c r="L52" s="94">
        <v>43</v>
      </c>
      <c r="M52" s="22">
        <v>4</v>
      </c>
      <c r="N52" s="263" t="str">
        <f>CONCATENATE(tbl_Parcels[[#This Row],[Village]],".",L52)</f>
        <v>4.43</v>
      </c>
      <c r="O52" s="27">
        <v>33.72</v>
      </c>
      <c r="P52" s="108" t="s">
        <v>42</v>
      </c>
      <c r="Q52" s="145">
        <f>INT(tbl_Parcels[[#This Row],[Acres]]*_xlfn.XLOOKUP(tbl_Parcels[[#This Row],[Use]],lst_LUcodes,$H$10:$H$14))</f>
        <v>101</v>
      </c>
      <c r="R52" s="145">
        <f>INT(tbl_Parcels[[#This Row],[Acres]]*_xlfn.XLOOKUP(tbl_Parcels[[#This Row],[Use]],lst_LUcodes,$I$10:$I$14))</f>
        <v>198</v>
      </c>
      <c r="T52" s="4"/>
      <c r="U52" s="4"/>
      <c r="V52" s="4"/>
      <c r="W52" s="4"/>
      <c r="X52" s="4"/>
      <c r="Y52" s="4"/>
      <c r="Z52" s="4"/>
    </row>
    <row r="53" spans="1:26" ht="16" thickTop="1" thickBot="1">
      <c r="A53" s="151">
        <f>IF(tbl_Parcels[[#This Row],[Village]]=M42,A52+1,1)</f>
        <v>1</v>
      </c>
      <c r="J53" s="4"/>
      <c r="K53" s="4"/>
      <c r="L53" s="95">
        <v>44</v>
      </c>
      <c r="M53" s="22">
        <v>4</v>
      </c>
      <c r="N53" s="263" t="str">
        <f>CONCATENATE(tbl_Parcels[[#This Row],[Village]],".",L53)</f>
        <v>4.44</v>
      </c>
      <c r="O53" s="27">
        <v>41.4</v>
      </c>
      <c r="P53" s="108" t="s">
        <v>42</v>
      </c>
      <c r="Q53" s="145">
        <f>INT(tbl_Parcels[[#This Row],[Acres]]*_xlfn.XLOOKUP(tbl_Parcels[[#This Row],[Use]],lst_LUcodes,$H$10:$H$14))</f>
        <v>124</v>
      </c>
      <c r="R53" s="145">
        <f>INT(tbl_Parcels[[#This Row],[Acres]]*_xlfn.XLOOKUP(tbl_Parcels[[#This Row],[Use]],lst_LUcodes,$I$10:$I$14))</f>
        <v>244</v>
      </c>
      <c r="T53" s="4"/>
      <c r="U53" s="4"/>
      <c r="V53" s="4"/>
      <c r="W53" s="4"/>
      <c r="X53" s="4"/>
      <c r="Y53" s="4"/>
      <c r="Z53" s="4"/>
    </row>
    <row r="54" spans="1:26" ht="16" thickTop="1" thickBot="1">
      <c r="A54" s="151">
        <f>IF(tbl_Parcels[[#This Row],[Village]]=M43,A53+1,1)</f>
        <v>1</v>
      </c>
      <c r="J54" s="4"/>
      <c r="K54" s="4"/>
      <c r="L54" s="94">
        <v>45</v>
      </c>
      <c r="M54" s="22">
        <v>4</v>
      </c>
      <c r="N54" s="263" t="str">
        <f>CONCATENATE(tbl_Parcels[[#This Row],[Village]],".",L54)</f>
        <v>4.45</v>
      </c>
      <c r="O54" s="27">
        <v>26.71</v>
      </c>
      <c r="P54" s="108" t="s">
        <v>61</v>
      </c>
      <c r="Q54" s="145">
        <f>INT(tbl_Parcels[[#This Row],[Acres]]*_xlfn.XLOOKUP(tbl_Parcels[[#This Row],[Use]],lst_LUcodes,$H$10:$H$14))</f>
        <v>26</v>
      </c>
      <c r="R54" s="145">
        <f>INT(tbl_Parcels[[#This Row],[Acres]]*_xlfn.XLOOKUP(tbl_Parcels[[#This Row],[Use]],lst_LUcodes,$I$10:$I$14))</f>
        <v>77</v>
      </c>
      <c r="T54" s="4"/>
      <c r="U54" s="4"/>
      <c r="V54" s="4"/>
      <c r="W54" s="4"/>
      <c r="X54" s="4"/>
      <c r="Y54" s="4"/>
      <c r="Z54" s="4"/>
    </row>
    <row r="55" spans="1:26" ht="16" thickTop="1" thickBot="1">
      <c r="A55" s="151">
        <f>IF(tbl_Parcels[[#This Row],[Village]]=M44,A54+1,1)</f>
        <v>2</v>
      </c>
      <c r="J55" s="4"/>
      <c r="K55" s="4"/>
      <c r="L55" s="95">
        <v>46</v>
      </c>
      <c r="M55" s="22">
        <v>4</v>
      </c>
      <c r="N55" s="263" t="str">
        <f>CONCATENATE(tbl_Parcels[[#This Row],[Village]],".",L55)</f>
        <v>4.46</v>
      </c>
      <c r="O55" s="27">
        <v>20.97</v>
      </c>
      <c r="P55" s="108" t="s">
        <v>61</v>
      </c>
      <c r="Q55" s="145">
        <f>INT(tbl_Parcels[[#This Row],[Acres]]*_xlfn.XLOOKUP(tbl_Parcels[[#This Row],[Use]],lst_LUcodes,$H$10:$H$14))</f>
        <v>20</v>
      </c>
      <c r="R55" s="145">
        <f>INT(tbl_Parcels[[#This Row],[Acres]]*_xlfn.XLOOKUP(tbl_Parcels[[#This Row],[Use]],lst_LUcodes,$I$10:$I$14))</f>
        <v>60</v>
      </c>
      <c r="T55" s="4"/>
      <c r="U55" s="4"/>
      <c r="V55" s="4"/>
      <c r="W55" s="4"/>
      <c r="X55" s="4"/>
      <c r="Y55" s="4"/>
      <c r="Z55" s="4"/>
    </row>
    <row r="56" spans="1:26" ht="16" thickTop="1" thickBot="1">
      <c r="A56" s="151">
        <f>IF(tbl_Parcels[[#This Row],[Village]]=M45,A55+1,1)</f>
        <v>3</v>
      </c>
      <c r="J56" s="4"/>
      <c r="K56" s="4"/>
      <c r="L56" s="94">
        <v>47</v>
      </c>
      <c r="M56" s="22">
        <v>4</v>
      </c>
      <c r="N56" s="263" t="str">
        <f>CONCATENATE(tbl_Parcels[[#This Row],[Village]],".",L56)</f>
        <v>4.47</v>
      </c>
      <c r="O56" s="27">
        <v>24.379999999999995</v>
      </c>
      <c r="P56" s="108" t="s">
        <v>42</v>
      </c>
      <c r="Q56" s="145">
        <f>INT(tbl_Parcels[[#This Row],[Acres]]*_xlfn.XLOOKUP(tbl_Parcels[[#This Row],[Use]],lst_LUcodes,$H$10:$H$14))</f>
        <v>73</v>
      </c>
      <c r="R56" s="145">
        <f>INT(tbl_Parcels[[#This Row],[Acres]]*_xlfn.XLOOKUP(tbl_Parcels[[#This Row],[Use]],lst_LUcodes,$I$10:$I$14))</f>
        <v>143</v>
      </c>
      <c r="T56" s="4"/>
      <c r="U56" s="4"/>
      <c r="V56" s="4"/>
      <c r="W56" s="4"/>
      <c r="X56" s="4"/>
      <c r="Y56" s="4"/>
      <c r="Z56" s="4"/>
    </row>
    <row r="57" spans="1:26" ht="16" thickTop="1" thickBot="1">
      <c r="A57" s="151">
        <f>IF(tbl_Parcels[[#This Row],[Village]]=M46,A56+1,1)</f>
        <v>4</v>
      </c>
      <c r="J57" s="4"/>
      <c r="K57" s="4"/>
      <c r="L57" s="95">
        <v>48</v>
      </c>
      <c r="M57" s="65">
        <v>4</v>
      </c>
      <c r="N57" s="263" t="str">
        <f>CONCATENATE(tbl_Parcels[[#This Row],[Village]],".",L57)</f>
        <v>4.48</v>
      </c>
      <c r="O57" s="66">
        <v>14.469999999999999</v>
      </c>
      <c r="P57" s="108" t="s">
        <v>63</v>
      </c>
      <c r="Q57" s="145">
        <f>INT(tbl_Parcels[[#This Row],[Acres]]*_xlfn.XLOOKUP(tbl_Parcels[[#This Row],[Use]],lst_LUcodes,$H$10:$H$14))</f>
        <v>0</v>
      </c>
      <c r="R57" s="145">
        <f>INT(tbl_Parcels[[#This Row],[Acres]]*_xlfn.XLOOKUP(tbl_Parcels[[#This Row],[Use]],lst_LUcodes,$I$10:$I$14))</f>
        <v>0</v>
      </c>
      <c r="T57" s="4"/>
      <c r="U57" s="4"/>
      <c r="V57" s="4"/>
      <c r="W57" s="4"/>
      <c r="X57" s="4"/>
      <c r="Y57" s="4"/>
      <c r="Z57" s="4"/>
    </row>
    <row r="58" spans="1:26" ht="16" thickTop="1" thickBot="1">
      <c r="A58" s="151" t="e">
        <f>IF(tbl_Parcels[[#This Row],[Village]]=M47,A57+1,1)</f>
        <v>#VALUE!</v>
      </c>
      <c r="J58" s="4"/>
      <c r="K58" s="4"/>
      <c r="M58" s="4"/>
      <c r="N58" s="4"/>
      <c r="O58" s="4"/>
      <c r="P58" s="4"/>
      <c r="Q58" s="4"/>
      <c r="R58" s="4"/>
      <c r="S58" s="4"/>
    </row>
    <row r="59" spans="1:26" ht="16" thickTop="1" thickBot="1">
      <c r="A59" s="151" t="e">
        <f>IF(tbl_Parcels[[#This Row],[Village]]=M48,A58+1,1)</f>
        <v>#VALUE!</v>
      </c>
      <c r="J59" s="4"/>
      <c r="K59" s="4"/>
      <c r="M59" s="4"/>
      <c r="N59" s="4"/>
      <c r="O59" s="4"/>
      <c r="P59" s="4"/>
      <c r="Q59" s="4"/>
      <c r="R59" s="4"/>
      <c r="S59" s="4"/>
    </row>
    <row r="60" spans="1:26" ht="16" thickTop="1" thickBot="1">
      <c r="A60" s="151" t="e">
        <f>IF(tbl_Parcels[[#This Row],[Village]]=M49,A59+1,1)</f>
        <v>#VALUE!</v>
      </c>
      <c r="J60" s="4"/>
      <c r="K60" s="4"/>
      <c r="M60" s="4"/>
      <c r="N60" s="4"/>
      <c r="O60" s="4"/>
      <c r="P60" s="4"/>
      <c r="Q60" s="4"/>
      <c r="R60" s="4"/>
      <c r="S60" s="4"/>
    </row>
    <row r="61" spans="1:26" ht="16" thickTop="1" thickBot="1">
      <c r="A61" s="151" t="e">
        <f>IF(tbl_Parcels[[#This Row],[Village]]=M50,A60+1,1)</f>
        <v>#VALUE!</v>
      </c>
      <c r="J61" s="4"/>
      <c r="K61" s="4"/>
      <c r="M61" s="4"/>
      <c r="N61" s="4"/>
      <c r="O61" s="4"/>
      <c r="P61" s="4"/>
      <c r="Q61" s="4"/>
      <c r="R61" s="4"/>
      <c r="S61" s="4"/>
    </row>
    <row r="62" spans="1:26" ht="16" thickTop="1" thickBot="1">
      <c r="A62" s="151" t="e">
        <f>IF(tbl_Parcels[[#This Row],[Village]]=M51,A61+1,1)</f>
        <v>#VALUE!</v>
      </c>
      <c r="J62" s="4"/>
      <c r="K62" s="4"/>
      <c r="M62" s="4"/>
      <c r="N62" s="4"/>
      <c r="O62" s="4"/>
      <c r="P62" s="4"/>
      <c r="Q62" s="4"/>
      <c r="R62" s="4"/>
      <c r="S62" s="4"/>
    </row>
    <row r="63" spans="1:26" ht="16" thickTop="1" thickBot="1">
      <c r="A63" s="151" t="e">
        <f>IF(tbl_Parcels[[#This Row],[Village]]=M52,A62+1,1)</f>
        <v>#VALUE!</v>
      </c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26" ht="16" thickTop="1" thickBot="1">
      <c r="A64" s="151" t="e">
        <f>IF(tbl_Parcels[[#This Row],[Village]]=M53,A63+1,1)</f>
        <v>#VALUE!</v>
      </c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ht="16" thickTop="1" thickBot="1">
      <c r="A65" s="151" t="e">
        <f>IF(tbl_Parcels[[#This Row],[Village]]=M54,A64+1,1)</f>
        <v>#VALUE!</v>
      </c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16" thickTop="1" thickBot="1">
      <c r="A66" s="151">
        <v>47</v>
      </c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ht="16" thickTop="1" thickBot="1">
      <c r="A67" s="151">
        <v>48</v>
      </c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ht="15" thickTop="1"/>
    <row r="69" spans="1:19"/>
    <row r="70" spans="1:19"/>
    <row r="71" spans="1:19"/>
    <row r="72" spans="1:19"/>
    <row r="73" spans="1:19"/>
    <row r="74" spans="1:19"/>
    <row r="75" spans="1:19"/>
    <row r="76" spans="1:19"/>
  </sheetData>
  <phoneticPr fontId="42" type="noConversion"/>
  <pageMargins left="0.7" right="0.7" top="0.75" bottom="0.75" header="0.3" footer="0.3"/>
  <pageSetup orientation="portrait" r:id="rId1"/>
  <picture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684B29-C12C-46ED-94E0-24EAD8FA4BE9}">
          <x14:formula1>
            <xm:f>_xlfn.ANCHORARRAY(DATA!$Y$11)</xm:f>
          </x14:formula1>
          <xm:sqref>P10:P57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0ABC-8D15-4A92-A972-204EE9477189}">
  <sheetPr codeName="Sheet7">
    <tabColor rgb="FF0000FF"/>
  </sheetPr>
  <dimension ref="A1:AK107"/>
  <sheetViews>
    <sheetView topLeftCell="B2" zoomScale="90" zoomScaleNormal="90" workbookViewId="0">
      <selection activeCell="N37" sqref="N37"/>
    </sheetView>
  </sheetViews>
  <sheetFormatPr baseColWidth="10" defaultColWidth="9.5" defaultRowHeight="16" zeroHeight="1"/>
  <cols>
    <col min="1" max="1" width="5.33203125" style="50" hidden="1" customWidth="1"/>
    <col min="2" max="2" width="4" customWidth="1"/>
    <col min="3" max="3" width="2.5" customWidth="1"/>
    <col min="4" max="4" width="11" customWidth="1"/>
    <col min="5" max="7" width="6.5" customWidth="1"/>
    <col min="8" max="9" width="10.33203125" customWidth="1"/>
    <col min="10" max="10" width="7.83203125" customWidth="1"/>
    <col min="11" max="11" width="1.5" customWidth="1"/>
    <col min="12" max="12" width="17" style="37" customWidth="1"/>
    <col min="13" max="13" width="2" style="264" customWidth="1"/>
    <col min="14" max="14" width="24.5" style="267" customWidth="1"/>
    <col min="15" max="15" width="3.83203125" style="267" customWidth="1"/>
    <col min="16" max="16" width="12.83203125" style="267" bestFit="1" customWidth="1"/>
    <col min="17" max="17" width="12.5" style="266" bestFit="1" customWidth="1"/>
    <col min="18" max="19" width="11.33203125" style="265" bestFit="1" customWidth="1"/>
    <col min="20" max="20" width="12.33203125" style="269" bestFit="1" customWidth="1"/>
    <col min="21" max="21" width="4" style="290" customWidth="1"/>
    <col min="22" max="22" width="12.33203125" style="290" customWidth="1"/>
    <col min="23" max="23" width="2" customWidth="1"/>
    <col min="24" max="24" width="2.5" customWidth="1"/>
    <col min="25" max="25" width="8" style="201" customWidth="1"/>
    <col min="26" max="26" width="6" customWidth="1"/>
    <col min="27" max="27" width="10.5" customWidth="1"/>
    <col min="28" max="28" width="9" customWidth="1"/>
    <col min="29" max="30" width="6" customWidth="1"/>
    <col min="31" max="31" width="9" customWidth="1"/>
    <col min="32" max="32" width="10.83203125" customWidth="1"/>
    <col min="33" max="34" width="12" customWidth="1"/>
    <col min="35" max="35" width="11" customWidth="1"/>
  </cols>
  <sheetData>
    <row r="1" spans="1:36" ht="15.75" hidden="1" customHeight="1">
      <c r="B1" s="6"/>
      <c r="C1" s="6"/>
      <c r="D1" s="6"/>
      <c r="E1" s="6"/>
      <c r="F1" s="6"/>
      <c r="G1" s="6"/>
      <c r="H1" s="6"/>
      <c r="I1" s="6"/>
      <c r="J1" s="6"/>
      <c r="K1" s="6"/>
      <c r="M1" s="271"/>
      <c r="N1" s="272"/>
      <c r="O1" s="272"/>
      <c r="P1" s="272"/>
      <c r="Q1" s="271"/>
      <c r="R1" s="264"/>
      <c r="S1" s="264"/>
      <c r="U1" s="264"/>
      <c r="V1" s="264"/>
      <c r="AI1" s="6"/>
    </row>
    <row r="2" spans="1:36">
      <c r="A2" s="48"/>
      <c r="L2" s="31"/>
      <c r="N2" s="264"/>
      <c r="O2" s="264"/>
      <c r="P2" s="264"/>
      <c r="Q2" s="264"/>
      <c r="R2" s="264"/>
      <c r="S2" s="264"/>
      <c r="T2" s="264"/>
      <c r="U2" s="264"/>
      <c r="V2" s="264"/>
    </row>
    <row r="3" spans="1:36" ht="17" thickBot="1">
      <c r="A3" s="48"/>
      <c r="L3" s="31"/>
      <c r="N3" s="264"/>
      <c r="O3" s="264"/>
      <c r="P3" s="264"/>
      <c r="Q3" s="264"/>
      <c r="R3" s="264"/>
      <c r="S3" s="264"/>
      <c r="T3" s="264"/>
      <c r="U3" s="264"/>
      <c r="V3" s="289"/>
    </row>
    <row r="4" spans="1:36" ht="21" customHeight="1" thickTop="1" thickBot="1">
      <c r="A4" s="48"/>
      <c r="C4" s="1">
        <v>1</v>
      </c>
      <c r="D4" s="1"/>
      <c r="E4" s="209"/>
      <c r="F4" s="209" t="s">
        <v>224</v>
      </c>
      <c r="G4" s="209"/>
      <c r="H4" s="209"/>
      <c r="I4" s="209"/>
      <c r="J4" s="210"/>
      <c r="L4" s="31"/>
      <c r="M4" s="287"/>
      <c r="N4" s="1">
        <v>1</v>
      </c>
      <c r="O4" s="1"/>
      <c r="P4" s="301" t="s">
        <v>221</v>
      </c>
      <c r="Q4" s="301"/>
      <c r="R4" s="301"/>
      <c r="S4" s="301"/>
      <c r="T4" s="286"/>
      <c r="U4" s="289"/>
      <c r="V4" s="289"/>
      <c r="X4" s="306"/>
      <c r="Y4" s="636">
        <f>C4</f>
        <v>1</v>
      </c>
      <c r="Z4" s="636"/>
      <c r="AA4" s="309" t="s">
        <v>189</v>
      </c>
      <c r="AB4" s="309"/>
      <c r="AC4" s="309"/>
      <c r="AD4" s="309"/>
      <c r="AE4" s="306"/>
      <c r="AF4" s="306"/>
      <c r="AG4" s="306"/>
      <c r="AH4" s="306"/>
      <c r="AI4" s="306"/>
      <c r="AJ4" s="307"/>
    </row>
    <row r="5" spans="1:36" ht="19" thickTop="1" thickBot="1">
      <c r="A5" s="48"/>
      <c r="L5" s="31"/>
      <c r="M5" s="287"/>
      <c r="N5" s="280" t="s">
        <v>212</v>
      </c>
      <c r="O5" s="292"/>
      <c r="P5" s="291">
        <v>1</v>
      </c>
      <c r="Q5" s="291">
        <f>P5+1</f>
        <v>2</v>
      </c>
      <c r="R5" s="291">
        <f>Q5+1</f>
        <v>3</v>
      </c>
      <c r="S5" s="291">
        <f>R5+1</f>
        <v>4</v>
      </c>
      <c r="T5" s="286"/>
      <c r="U5" s="289"/>
      <c r="V5" s="289"/>
      <c r="X5" s="312" t="s">
        <v>195</v>
      </c>
      <c r="Y5" s="313"/>
      <c r="Z5" s="304"/>
      <c r="AA5" s="304"/>
      <c r="AG5" s="310"/>
      <c r="AH5" s="310"/>
      <c r="AI5" s="310"/>
      <c r="AJ5" s="311"/>
    </row>
    <row r="6" spans="1:36" ht="18" thickTop="1" thickBot="1">
      <c r="A6" s="48"/>
      <c r="C6" s="29"/>
      <c r="J6" s="185" t="s">
        <v>192</v>
      </c>
      <c r="L6" s="31"/>
      <c r="M6" s="287"/>
      <c r="N6" s="273"/>
      <c r="O6" s="273"/>
      <c r="P6" s="273"/>
      <c r="Q6" s="273"/>
      <c r="R6" s="273"/>
      <c r="S6" s="273"/>
      <c r="T6" s="286"/>
      <c r="U6" s="289"/>
      <c r="V6" s="289"/>
      <c r="AB6" s="185" t="s">
        <v>233</v>
      </c>
      <c r="AC6" s="356" t="s">
        <v>231</v>
      </c>
      <c r="AD6" s="353"/>
      <c r="AE6" s="185" t="s">
        <v>159</v>
      </c>
      <c r="AF6" s="303" t="s">
        <v>234</v>
      </c>
      <c r="AG6" s="185" t="s">
        <v>235</v>
      </c>
      <c r="AH6" s="185" t="s">
        <v>238</v>
      </c>
      <c r="AI6" s="303" t="s">
        <v>159</v>
      </c>
      <c r="AJ6" s="303" t="str">
        <f>AF6</f>
        <v>Retail</v>
      </c>
    </row>
    <row r="7" spans="1:36" ht="18" thickTop="1" thickBot="1">
      <c r="A7" s="48"/>
      <c r="C7" s="14" t="s">
        <v>7</v>
      </c>
      <c r="D7" s="89" t="s">
        <v>69</v>
      </c>
      <c r="E7" s="15" t="s">
        <v>41</v>
      </c>
      <c r="F7" s="15" t="s">
        <v>17</v>
      </c>
      <c r="G7" s="15" t="s">
        <v>145</v>
      </c>
      <c r="H7" s="15" t="s">
        <v>39</v>
      </c>
      <c r="I7" s="15" t="s">
        <v>40</v>
      </c>
      <c r="J7" s="15" t="s">
        <v>193</v>
      </c>
      <c r="L7" s="31"/>
      <c r="M7" s="287"/>
      <c r="N7" s="348" t="s">
        <v>214</v>
      </c>
      <c r="O7" s="279"/>
      <c r="P7" s="276">
        <v>6</v>
      </c>
      <c r="Q7" s="275">
        <v>30</v>
      </c>
      <c r="R7" s="275"/>
      <c r="S7" s="275"/>
      <c r="T7" s="286"/>
      <c r="U7" s="289"/>
      <c r="V7" s="289"/>
      <c r="X7" s="167" t="s">
        <v>43</v>
      </c>
      <c r="Y7" s="158" t="s">
        <v>33</v>
      </c>
      <c r="Z7" s="198" t="s">
        <v>194</v>
      </c>
      <c r="AA7" s="168" t="s">
        <v>39</v>
      </c>
      <c r="AB7" s="168" t="s">
        <v>232</v>
      </c>
      <c r="AC7" s="15" t="s">
        <v>193</v>
      </c>
      <c r="AD7" s="15" t="s">
        <v>230</v>
      </c>
      <c r="AE7" s="15" t="s">
        <v>73</v>
      </c>
      <c r="AF7" s="169" t="s">
        <v>5</v>
      </c>
      <c r="AG7" s="168" t="s">
        <v>236</v>
      </c>
      <c r="AH7" s="168" t="s">
        <v>237</v>
      </c>
      <c r="AI7" s="169" t="s">
        <v>6</v>
      </c>
      <c r="AJ7" s="169" t="s">
        <v>227</v>
      </c>
    </row>
    <row r="8" spans="1:36" ht="18" thickTop="1" thickBot="1">
      <c r="A8" s="48"/>
      <c r="C8" s="203">
        <v>1</v>
      </c>
      <c r="D8" s="205" t="str" cm="1">
        <f t="array" ref="D8:D22">_xlfn._xlws.FILTER(tbl_Parcels[Parcel],tbl_Parcels[Village]=C4,0)</f>
        <v>1.1</v>
      </c>
      <c r="E8" s="206" t="str">
        <f>IFERROR(_xlfn.XLOOKUP(D8,tbl_Parcels[Parcel],tbl_Parcels[Use]),0)</f>
        <v>MLDR</v>
      </c>
      <c r="F8" s="206">
        <f>IFERROR(_xlfn.XLOOKUP(D8,tbl_Parcels[Parcel],tbl_Parcels[Acres]),0)</f>
        <v>31.729999999999997</v>
      </c>
      <c r="G8" s="206">
        <f>LOOKUP('iV1'!$H8,Table4[Product],Table4[DUA])</f>
        <v>3.4484999999999997</v>
      </c>
      <c r="H8" s="207" t="s">
        <v>92</v>
      </c>
      <c r="I8" s="207">
        <f>IFERROR(INT(LOOKUP('iV1'!$H8,lst_LotProducts,lst_ProductDUA)*'iV1'!$F8),0)</f>
        <v>109</v>
      </c>
      <c r="J8" s="208">
        <v>1</v>
      </c>
      <c r="L8" s="31"/>
      <c r="M8" s="287"/>
      <c r="N8" s="348" t="s">
        <v>213</v>
      </c>
      <c r="O8" s="279"/>
      <c r="P8" s="276">
        <v>12</v>
      </c>
      <c r="Q8" s="275">
        <v>8</v>
      </c>
      <c r="R8" s="275"/>
      <c r="S8" s="275"/>
      <c r="T8" s="286"/>
      <c r="U8" s="289"/>
      <c r="V8" s="287"/>
      <c r="X8" s="166">
        <v>1</v>
      </c>
      <c r="Y8" s="202" t="str" cm="1">
        <f t="array" ref="Y8:Y22">_xlfn.UNIQUE(_xlfn._xlws.FILTER(D8:D32,D8:D32&lt;&gt;0))</f>
        <v>1.1</v>
      </c>
      <c r="Z8" s="199">
        <f>IFERROR(LOOKUP(Y8,$D$8:$D$32,$I$8:$I$32),0)</f>
        <v>109</v>
      </c>
      <c r="AA8" s="200" t="str">
        <f t="shared" ref="AA8:AA32" si="0">IFERROR(_xlfn.XLOOKUP($Y8,$D$8:$D$32,$H$8:$H$32),0)</f>
        <v>60x120</v>
      </c>
      <c r="AB8" s="199">
        <f>IFERROR(Z8*LOOKUP(AA8,Table4[Product],Table4[Width]),0)</f>
        <v>6540</v>
      </c>
      <c r="AC8" s="354">
        <f>IFERROR(_xlfn.XLOOKUP($Y8,$D$8:$D$32,$J$8:$J$32),0)</f>
        <v>1</v>
      </c>
      <c r="AD8" s="355">
        <f>IFERROR(_xlfn.XLOOKUP(LOOKUP(AC8,$P$5:$S$5,$P$9:$S$9)+1,DATA!$E$11:$E$370,DATA!$F$11:$F$370),"")</f>
        <v>45078</v>
      </c>
      <c r="AE8" s="350">
        <v>45108</v>
      </c>
      <c r="AF8" s="358">
        <f>IFERROR($AB8*(iGeneral!$F$52*LOOKUP($AE8,DATA!$F$11:$F$370,DATA!$L$11:$L$370)),0)</f>
        <v>13478008.723613115</v>
      </c>
      <c r="AG8" s="357">
        <f>-IFERROR($AB8*(i_Cost.Subd*LOOKUP($AE8,DATA!$F$11:$F$370,DATA!$L$11:$L$370)),0)</f>
        <v>-8760705.670348525</v>
      </c>
      <c r="AH8" s="358">
        <f>AF8+AG8</f>
        <v>4717303.05326459</v>
      </c>
      <c r="AI8" s="200"/>
      <c r="AJ8" s="200"/>
    </row>
    <row r="9" spans="1:36" ht="18" thickTop="1" thickBot="1">
      <c r="A9" s="48"/>
      <c r="C9" s="204">
        <v>2</v>
      </c>
      <c r="D9" s="205" t="str">
        <v>1.2</v>
      </c>
      <c r="E9" s="206" t="str">
        <f>IFERROR(_xlfn.XLOOKUP(D9,tbl_Parcels[Parcel],tbl_Parcels[Use]),0)</f>
        <v>MLDR</v>
      </c>
      <c r="F9" s="206">
        <f>IFERROR(_xlfn.XLOOKUP(D9,tbl_Parcels[Parcel],tbl_Parcels[Acres]),0)</f>
        <v>20.83</v>
      </c>
      <c r="G9" s="206">
        <f>LOOKUP('iV1'!$H9,Table4[Product],Table4[DUA])</f>
        <v>3.3105599999999997</v>
      </c>
      <c r="H9" s="207" t="s">
        <v>146</v>
      </c>
      <c r="I9" s="207">
        <f>IFERROR(INT(LOOKUP('iV1'!$H9,lst_LotProducts,lst_ProductDUA)*'iV1'!$F9),0)</f>
        <v>68</v>
      </c>
      <c r="J9" s="208">
        <v>1</v>
      </c>
      <c r="L9" s="31"/>
      <c r="M9" s="287"/>
      <c r="N9" s="348" t="s">
        <v>229</v>
      </c>
      <c r="O9" s="279"/>
      <c r="P9" s="347">
        <f>P7+P8-1</f>
        <v>17</v>
      </c>
      <c r="Q9" s="347">
        <f t="shared" ref="Q9" si="1">Q7+Q8-1</f>
        <v>37</v>
      </c>
      <c r="R9" s="347"/>
      <c r="S9" s="347"/>
      <c r="T9" s="286"/>
      <c r="U9" s="289"/>
      <c r="V9" s="287"/>
      <c r="X9" s="166">
        <f t="shared" ref="X9:X32" si="2">X8+1</f>
        <v>2</v>
      </c>
      <c r="Y9" s="202" t="str">
        <v>1.2</v>
      </c>
      <c r="Z9" s="199">
        <f t="shared" ref="Z9:Z32" si="3">IFERROR(LOOKUP(Y9,$D$8:$D$32,$I$8:$I$32),0)</f>
        <v>147</v>
      </c>
      <c r="AA9" s="200" t="str">
        <f t="shared" si="0"/>
        <v>60x125</v>
      </c>
      <c r="AB9" s="199">
        <f>IFERROR(Z9*LOOKUP(AA9,Table4[Product],Table4[Width]),0)</f>
        <v>8820</v>
      </c>
      <c r="AC9" s="354">
        <f t="shared" ref="AC9:AC32" si="4">IFERROR(_xlfn.XLOOKUP($Y9,$D$8:$D$32,$J$8:$J$32),0)</f>
        <v>1</v>
      </c>
      <c r="AD9" s="355">
        <f>IFERROR(_xlfn.XLOOKUP(LOOKUP(AC9,$P$5:$S$5,$P$9:$S$9)+1,DATA!$E$11:$E$370,DATA!$F$11:$F$370),"")</f>
        <v>45078</v>
      </c>
      <c r="AE9" s="350">
        <v>45108</v>
      </c>
      <c r="AF9" s="358">
        <f>IFERROR($AB9*(iGeneral!$F$52*LOOKUP($AE9,DATA!$F$11:$F$370,DATA!$L$11:$L$370)),0)</f>
        <v>18176764.058450714</v>
      </c>
      <c r="AG9" s="357">
        <f>-IFERROR($AB9*(i_Cost.Subd*LOOKUP($AE9,DATA!$F$11:$F$370,DATA!$L$11:$L$370)),0)</f>
        <v>-11814896.637992965</v>
      </c>
      <c r="AH9" s="358">
        <f t="shared" ref="AH9:AH32" si="5">AF9+AG9</f>
        <v>6361867.4204577487</v>
      </c>
      <c r="AI9" s="200"/>
      <c r="AJ9" s="200"/>
    </row>
    <row r="10" spans="1:36" ht="18" thickTop="1" thickBot="1">
      <c r="A10" s="48"/>
      <c r="C10" s="203">
        <v>3</v>
      </c>
      <c r="D10" s="205" t="str">
        <v>1.3</v>
      </c>
      <c r="E10" s="206" t="str">
        <f>IFERROR(_xlfn.XLOOKUP(D10,tbl_Parcels[Parcel],tbl_Parcels[Use]),0)</f>
        <v>MDR</v>
      </c>
      <c r="F10" s="206">
        <f>IFERROR(_xlfn.XLOOKUP(D10,tbl_Parcels[Parcel],tbl_Parcels[Acres]),0)</f>
        <v>18.850000000000001</v>
      </c>
      <c r="G10" s="206">
        <f>LOOKUP('iV1'!$H10,Table4[Product],Table4[DUA])</f>
        <v>5.016</v>
      </c>
      <c r="H10" s="207" t="s">
        <v>144</v>
      </c>
      <c r="I10" s="207">
        <f>IFERROR(INT(LOOKUP('iV1'!$H10,lst_LotProducts,lst_ProductDUA)*'iV1'!$F10),0)</f>
        <v>94</v>
      </c>
      <c r="J10" s="208">
        <v>1</v>
      </c>
      <c r="L10" s="31"/>
      <c r="M10" s="287"/>
      <c r="N10" s="287"/>
      <c r="O10" s="287"/>
      <c r="P10" s="287"/>
      <c r="Q10" s="287"/>
      <c r="R10" s="287"/>
      <c r="S10" s="287"/>
      <c r="T10" s="293" t="s">
        <v>78</v>
      </c>
      <c r="U10" s="287"/>
      <c r="X10" s="166">
        <f t="shared" si="2"/>
        <v>3</v>
      </c>
      <c r="Y10" s="202" t="str">
        <v>1.3</v>
      </c>
      <c r="Z10" s="199">
        <f t="shared" si="3"/>
        <v>147</v>
      </c>
      <c r="AA10" s="200" t="str">
        <f t="shared" si="0"/>
        <v>45x110</v>
      </c>
      <c r="AB10" s="199">
        <f>IFERROR(Z10*LOOKUP(AA10,Table4[Product],Table4[Width]),0)</f>
        <v>6615</v>
      </c>
      <c r="AC10" s="354">
        <f t="shared" si="4"/>
        <v>1</v>
      </c>
      <c r="AD10" s="355">
        <f>IFERROR(_xlfn.XLOOKUP(LOOKUP(AC10,$P$5:$S$5,$P$9:$S$9)+1,DATA!$E$11:$E$370,DATA!$F$11:$F$370),"")</f>
        <v>45078</v>
      </c>
      <c r="AE10" s="350">
        <v>45108</v>
      </c>
      <c r="AF10" s="358">
        <f>IFERROR($AB10*(iGeneral!$F$52*LOOKUP($AE10,DATA!$F$11:$F$370,DATA!$L$11:$L$370)),0)</f>
        <v>13632573.043838035</v>
      </c>
      <c r="AG10" s="357">
        <f>-IFERROR($AB10*(i_Cost.Subd*LOOKUP($AE10,DATA!$F$11:$F$370,DATA!$L$11:$L$370)),0)</f>
        <v>-8861172.4784947243</v>
      </c>
      <c r="AH10" s="358">
        <f t="shared" si="5"/>
        <v>4771400.5653433111</v>
      </c>
      <c r="AI10" s="200"/>
      <c r="AJ10" s="200"/>
    </row>
    <row r="11" spans="1:36" ht="18" thickTop="1" thickBot="1">
      <c r="A11" s="48"/>
      <c r="C11" s="204">
        <v>4</v>
      </c>
      <c r="D11" s="205" t="str">
        <v>1.4</v>
      </c>
      <c r="E11" s="206" t="str">
        <f>IFERROR(_xlfn.XLOOKUP(D11,tbl_Parcels[Parcel],tbl_Parcels[Use]),0)</f>
        <v>MDR</v>
      </c>
      <c r="F11" s="206">
        <f>IFERROR(_xlfn.XLOOKUP(D11,tbl_Parcels[Parcel],tbl_Parcels[Acres]),0)</f>
        <v>27.82</v>
      </c>
      <c r="G11" s="206">
        <f>LOOKUP('iV1'!$H11,Table4[Product],Table4[DUA])</f>
        <v>5.016</v>
      </c>
      <c r="H11" s="207" t="s">
        <v>144</v>
      </c>
      <c r="I11" s="207">
        <f>IFERROR(INT(LOOKUP('iV1'!$H11,lst_LotProducts,lst_ProductDUA)*'iV1'!$F11),0)</f>
        <v>139</v>
      </c>
      <c r="J11" s="208">
        <v>1</v>
      </c>
      <c r="L11" s="31"/>
      <c r="M11" s="287"/>
      <c r="N11" s="278" t="s">
        <v>215</v>
      </c>
      <c r="O11" s="283" t="s">
        <v>220</v>
      </c>
      <c r="P11" s="274">
        <v>0</v>
      </c>
      <c r="Q11" s="274">
        <v>0</v>
      </c>
      <c r="R11" s="274"/>
      <c r="S11" s="274"/>
      <c r="T11" s="288">
        <f t="shared" ref="T11:T33" si="6">P11+Q11+R11+S11</f>
        <v>0</v>
      </c>
      <c r="U11" s="287"/>
      <c r="V11" s="300" t="s">
        <v>222</v>
      </c>
      <c r="X11" s="166">
        <f t="shared" si="2"/>
        <v>4</v>
      </c>
      <c r="Y11" s="202" t="str">
        <v>1.4</v>
      </c>
      <c r="Z11" s="199">
        <f t="shared" si="3"/>
        <v>147</v>
      </c>
      <c r="AA11" s="200" t="str">
        <f t="shared" si="0"/>
        <v>45x110</v>
      </c>
      <c r="AB11" s="199">
        <f>IFERROR(Z11*LOOKUP(AA11,Table4[Product],Table4[Width]),0)</f>
        <v>6615</v>
      </c>
      <c r="AC11" s="354">
        <f t="shared" si="4"/>
        <v>1</v>
      </c>
      <c r="AD11" s="355">
        <f>IFERROR(_xlfn.XLOOKUP(LOOKUP(AC11,$P$5:$S$5,$P$9:$S$9)+1,DATA!$E$11:$E$370,DATA!$F$11:$F$370),"")</f>
        <v>45078</v>
      </c>
      <c r="AE11" s="350">
        <v>45231</v>
      </c>
      <c r="AF11" s="358">
        <f>IFERROR($AB11*(iGeneral!$F$52*LOOKUP($AE11,DATA!$F$11:$F$370,DATA!$L$11:$L$370)),0)</f>
        <v>13723684.326241262</v>
      </c>
      <c r="AG11" s="357">
        <f>-IFERROR($AB11*(i_Cost.Subd*LOOKUP($AE11,DATA!$F$11:$F$370,DATA!$L$11:$L$370)),0)</f>
        <v>-8920394.8120568208</v>
      </c>
      <c r="AH11" s="358">
        <f t="shared" si="5"/>
        <v>4803289.5141844414</v>
      </c>
      <c r="AI11" s="200"/>
      <c r="AJ11" s="200"/>
    </row>
    <row r="12" spans="1:36" ht="18" thickTop="1" thickBot="1">
      <c r="A12" s="48"/>
      <c r="C12" s="204">
        <v>5</v>
      </c>
      <c r="D12" s="205" t="str">
        <v>1.5</v>
      </c>
      <c r="E12" s="206" t="str">
        <f>IFERROR(_xlfn.XLOOKUP(D12,tbl_Parcels[Parcel],tbl_Parcels[Use]),0)</f>
        <v>MLDR</v>
      </c>
      <c r="F12" s="206">
        <f>IFERROR(_xlfn.XLOOKUP(D12,tbl_Parcels[Parcel],tbl_Parcels[Acres]),0)</f>
        <v>27.770000000000003</v>
      </c>
      <c r="G12" s="206">
        <f>LOOKUP('iV1'!$H12,Table4[Product],Table4[DUA])</f>
        <v>3.3105599999999997</v>
      </c>
      <c r="H12" s="207" t="s">
        <v>146</v>
      </c>
      <c r="I12" s="207">
        <f>IFERROR(INT(LOOKUP('iV1'!$H12,lst_LotProducts,lst_ProductDUA)*'iV1'!$F12),0)</f>
        <v>91</v>
      </c>
      <c r="J12" s="208">
        <v>1</v>
      </c>
      <c r="L12" s="300" t="s">
        <v>222</v>
      </c>
      <c r="M12" s="287"/>
      <c r="N12" s="278" t="s">
        <v>53</v>
      </c>
      <c r="O12" s="278"/>
      <c r="P12" s="282">
        <v>500000</v>
      </c>
      <c r="Q12" s="282">
        <v>100000</v>
      </c>
      <c r="R12" s="282"/>
      <c r="S12" s="282"/>
      <c r="T12" s="288">
        <f t="shared" si="6"/>
        <v>600000</v>
      </c>
      <c r="U12" s="287"/>
      <c r="V12" s="300" t="s">
        <v>223</v>
      </c>
      <c r="X12" s="166">
        <f t="shared" si="2"/>
        <v>5</v>
      </c>
      <c r="Y12" s="202" t="str">
        <v>1.5</v>
      </c>
      <c r="Z12" s="199">
        <f t="shared" si="3"/>
        <v>147</v>
      </c>
      <c r="AA12" s="200" t="str">
        <f t="shared" si="0"/>
        <v>60x125</v>
      </c>
      <c r="AB12" s="199">
        <f>IFERROR(Z12*LOOKUP(AA12,Table4[Product],Table4[Width]),0)</f>
        <v>8820</v>
      </c>
      <c r="AC12" s="354">
        <f t="shared" si="4"/>
        <v>1</v>
      </c>
      <c r="AD12" s="355">
        <f>IFERROR(_xlfn.XLOOKUP(LOOKUP(AC12,$P$5:$S$5,$P$9:$S$9)+1,DATA!$E$11:$E$370,DATA!$F$11:$F$370),"")</f>
        <v>45078</v>
      </c>
      <c r="AE12" s="350">
        <v>45231</v>
      </c>
      <c r="AF12" s="358">
        <f>IFERROR($AB12*(iGeneral!$F$52*LOOKUP($AE12,DATA!$F$11:$F$370,DATA!$L$11:$L$370)),0)</f>
        <v>18298245.768321682</v>
      </c>
      <c r="AG12" s="357">
        <f>-IFERROR($AB12*(i_Cost.Subd*LOOKUP($AE12,DATA!$F$11:$F$370,DATA!$L$11:$L$370)),0)</f>
        <v>-11893859.749409094</v>
      </c>
      <c r="AH12" s="358">
        <f t="shared" si="5"/>
        <v>6404386.0189125873</v>
      </c>
      <c r="AI12" s="200"/>
      <c r="AJ12" s="200"/>
    </row>
    <row r="13" spans="1:36" ht="18" thickTop="1" thickBot="1">
      <c r="A13" s="48"/>
      <c r="C13" s="204">
        <v>6</v>
      </c>
      <c r="D13" s="205" t="str">
        <v>1.6</v>
      </c>
      <c r="E13" s="206" t="str">
        <f>IFERROR(_xlfn.XLOOKUP(D13,tbl_Parcels[Parcel],tbl_Parcels[Use]),0)</f>
        <v>MDR</v>
      </c>
      <c r="F13" s="206">
        <f>IFERROR(_xlfn.XLOOKUP(D13,tbl_Parcels[Parcel],tbl_Parcels[Acres]),0)</f>
        <v>25.8</v>
      </c>
      <c r="G13" s="206">
        <f>LOOKUP('iV1'!$H13,Table4[Product],Table4[DUA])</f>
        <v>3.9726719999999998</v>
      </c>
      <c r="H13" s="207" t="s">
        <v>148</v>
      </c>
      <c r="I13" s="207">
        <f>IFERROR(INT(LOOKUP('iV1'!$H13,lst_LotProducts,lst_ProductDUA)*'iV1'!$F13),0)</f>
        <v>102</v>
      </c>
      <c r="J13" s="208">
        <v>1</v>
      </c>
      <c r="L13" s="300" t="s">
        <v>223</v>
      </c>
      <c r="M13" s="287"/>
      <c r="N13" s="278" t="s">
        <v>96</v>
      </c>
      <c r="O13" s="278"/>
      <c r="P13" s="282">
        <v>2500000</v>
      </c>
      <c r="Q13" s="282">
        <v>500000</v>
      </c>
      <c r="R13" s="282"/>
      <c r="S13" s="282"/>
      <c r="T13" s="288">
        <f t="shared" si="6"/>
        <v>3000000</v>
      </c>
      <c r="U13" s="287"/>
      <c r="V13" s="287"/>
      <c r="X13" s="166">
        <f t="shared" si="2"/>
        <v>6</v>
      </c>
      <c r="Y13" s="202" t="str">
        <v>1.6</v>
      </c>
      <c r="Z13" s="199">
        <f t="shared" si="3"/>
        <v>147</v>
      </c>
      <c r="AA13" s="200" t="str">
        <f t="shared" si="0"/>
        <v>50x125</v>
      </c>
      <c r="AB13" s="199">
        <f>IFERROR(Z13*LOOKUP(AA13,Table4[Product],Table4[Width]),0)</f>
        <v>7350</v>
      </c>
      <c r="AC13" s="354">
        <f t="shared" si="4"/>
        <v>1</v>
      </c>
      <c r="AD13" s="355">
        <f>IFERROR(_xlfn.XLOOKUP(LOOKUP(AC13,$P$5:$S$5,$P$9:$S$9)+1,DATA!$E$11:$E$370,DATA!$F$11:$F$370),"")</f>
        <v>45078</v>
      </c>
      <c r="AE13" s="350">
        <v>45231</v>
      </c>
      <c r="AF13" s="358">
        <f>IFERROR($AB13*(iGeneral!$F$52*LOOKUP($AE13,DATA!$F$11:$F$370,DATA!$L$11:$L$370)),0)</f>
        <v>15248538.140268069</v>
      </c>
      <c r="AG13" s="357">
        <f>-IFERROR($AB13*(i_Cost.Subd*LOOKUP($AE13,DATA!$F$11:$F$370,DATA!$L$11:$L$370)),0)</f>
        <v>-9911549.7911742441</v>
      </c>
      <c r="AH13" s="358">
        <f t="shared" si="5"/>
        <v>5336988.3490938246</v>
      </c>
      <c r="AI13" s="200"/>
      <c r="AJ13" s="200"/>
    </row>
    <row r="14" spans="1:36" ht="18" thickTop="1" thickBot="1">
      <c r="A14" s="48"/>
      <c r="C14" s="204">
        <v>7</v>
      </c>
      <c r="D14" s="205" t="str">
        <v>1.7</v>
      </c>
      <c r="E14" s="206" t="str">
        <f>IFERROR(_xlfn.XLOOKUP(D14,tbl_Parcels[Parcel],tbl_Parcels[Use]),0)</f>
        <v>MDR</v>
      </c>
      <c r="F14" s="206">
        <f>IFERROR(_xlfn.XLOOKUP(D14,tbl_Parcels[Parcel],tbl_Parcels[Acres]),0)</f>
        <v>19.53</v>
      </c>
      <c r="G14" s="206">
        <f>LOOKUP('iV1'!$H14,Table4[Product],Table4[DUA])</f>
        <v>4.5979999999999999</v>
      </c>
      <c r="H14" s="207" t="s">
        <v>147</v>
      </c>
      <c r="I14" s="207">
        <f>IFERROR(INT(LOOKUP('iV1'!$H14,lst_LotProducts,lst_ProductDUA)*'iV1'!$F14),0)</f>
        <v>89</v>
      </c>
      <c r="J14" s="208">
        <v>1</v>
      </c>
      <c r="L14" s="31"/>
      <c r="M14" s="287"/>
      <c r="N14" s="278" t="s">
        <v>218</v>
      </c>
      <c r="O14" s="278"/>
      <c r="P14" s="282">
        <v>2500000</v>
      </c>
      <c r="Q14" s="282">
        <v>0</v>
      </c>
      <c r="R14" s="282"/>
      <c r="S14" s="282"/>
      <c r="T14" s="288">
        <f t="shared" si="6"/>
        <v>2500000</v>
      </c>
      <c r="U14" s="287"/>
      <c r="V14" s="287"/>
      <c r="X14" s="166">
        <f t="shared" si="2"/>
        <v>7</v>
      </c>
      <c r="Y14" s="202" t="str">
        <v>1.7</v>
      </c>
      <c r="Z14" s="199">
        <f t="shared" si="3"/>
        <v>147</v>
      </c>
      <c r="AA14" s="200" t="str">
        <f t="shared" si="0"/>
        <v>45x120</v>
      </c>
      <c r="AB14" s="199">
        <f>IFERROR(Z14*LOOKUP(AA14,Table4[Product],Table4[Width]),0)</f>
        <v>6615</v>
      </c>
      <c r="AC14" s="354">
        <f t="shared" si="4"/>
        <v>1</v>
      </c>
      <c r="AD14" s="355">
        <f>IFERROR(_xlfn.XLOOKUP(LOOKUP(AC14,$P$5:$S$5,$P$9:$S$9)+1,DATA!$E$11:$E$370,DATA!$F$11:$F$370),"")</f>
        <v>45078</v>
      </c>
      <c r="AE14" s="350">
        <v>45231</v>
      </c>
      <c r="AF14" s="358">
        <f>IFERROR($AB14*(iGeneral!$F$52*LOOKUP($AE14,DATA!$F$11:$F$370,DATA!$L$11:$L$370)),0)</f>
        <v>13723684.326241262</v>
      </c>
      <c r="AG14" s="357">
        <f>-IFERROR($AB14*(i_Cost.Subd*LOOKUP($AE14,DATA!$F$11:$F$370,DATA!$L$11:$L$370)),0)</f>
        <v>-8920394.8120568208</v>
      </c>
      <c r="AH14" s="358">
        <f t="shared" si="5"/>
        <v>4803289.5141844414</v>
      </c>
      <c r="AI14" s="200"/>
      <c r="AJ14" s="200"/>
    </row>
    <row r="15" spans="1:36" ht="18" thickTop="1" thickBot="1">
      <c r="A15" s="48"/>
      <c r="C15" s="204">
        <v>8</v>
      </c>
      <c r="D15" s="205" t="str">
        <v>1.8</v>
      </c>
      <c r="E15" s="206" t="str">
        <f>IFERROR(_xlfn.XLOOKUP(D15,tbl_Parcels[Parcel],tbl_Parcels[Use]),0)</f>
        <v>MDR</v>
      </c>
      <c r="F15" s="206">
        <f>IFERROR(_xlfn.XLOOKUP(D15,tbl_Parcels[Parcel],tbl_Parcels[Acres]),0)</f>
        <v>30.58</v>
      </c>
      <c r="G15" s="206">
        <f>LOOKUP('iV1'!$H15,Table4[Product],Table4[DUA])</f>
        <v>4.7979130434782604</v>
      </c>
      <c r="H15" s="207" t="s">
        <v>149</v>
      </c>
      <c r="I15" s="207">
        <f>IFERROR(INT(LOOKUP('iV1'!$H15,lst_LotProducts,lst_ProductDUA)*'iV1'!$F15),0)</f>
        <v>146</v>
      </c>
      <c r="J15" s="208">
        <v>1</v>
      </c>
      <c r="L15" s="31"/>
      <c r="M15" s="287"/>
      <c r="N15" s="278" t="s">
        <v>216</v>
      </c>
      <c r="O15" s="278"/>
      <c r="P15" s="282">
        <v>5000000</v>
      </c>
      <c r="Q15" s="282">
        <v>3000000</v>
      </c>
      <c r="R15" s="282"/>
      <c r="S15" s="282"/>
      <c r="T15" s="288">
        <f t="shared" si="6"/>
        <v>8000000</v>
      </c>
      <c r="U15" s="287"/>
      <c r="V15" s="287"/>
      <c r="X15" s="166">
        <f t="shared" si="2"/>
        <v>8</v>
      </c>
      <c r="Y15" s="202" t="str">
        <v>1.8</v>
      </c>
      <c r="Z15" s="199">
        <f t="shared" si="3"/>
        <v>147</v>
      </c>
      <c r="AA15" s="200" t="str">
        <f t="shared" si="0"/>
        <v>45x115</v>
      </c>
      <c r="AB15" s="199">
        <f>IFERROR(Z15*LOOKUP(AA15,Table4[Product],Table4[Width]),0)</f>
        <v>6615</v>
      </c>
      <c r="AC15" s="354">
        <f t="shared" si="4"/>
        <v>1</v>
      </c>
      <c r="AD15" s="355">
        <f>IFERROR(_xlfn.XLOOKUP(LOOKUP(AC15,$P$5:$S$5,$P$9:$S$9)+1,DATA!$E$11:$E$370,DATA!$F$11:$F$370),"")</f>
        <v>45078</v>
      </c>
      <c r="AE15" s="350">
        <v>45231</v>
      </c>
      <c r="AF15" s="358">
        <f>IFERROR($AB15*(iGeneral!$F$52*LOOKUP($AE15,DATA!$F$11:$F$370,DATA!$L$11:$L$370)),0)</f>
        <v>13723684.326241262</v>
      </c>
      <c r="AG15" s="357">
        <f>-IFERROR($AB15*(i_Cost.Subd*LOOKUP($AE15,DATA!$F$11:$F$370,DATA!$L$11:$L$370)),0)</f>
        <v>-8920394.8120568208</v>
      </c>
      <c r="AH15" s="358">
        <f t="shared" si="5"/>
        <v>4803289.5141844414</v>
      </c>
      <c r="AI15" s="200"/>
      <c r="AJ15" s="200"/>
    </row>
    <row r="16" spans="1:36" ht="18" thickTop="1" thickBot="1">
      <c r="A16" s="48"/>
      <c r="C16" s="204">
        <v>9</v>
      </c>
      <c r="D16" s="205" t="str">
        <v>1.9</v>
      </c>
      <c r="E16" s="206" t="str">
        <f>IFERROR(_xlfn.XLOOKUP(D16,tbl_Parcels[Parcel],tbl_Parcels[Use]),0)</f>
        <v>MDR</v>
      </c>
      <c r="F16" s="206">
        <f>IFERROR(_xlfn.XLOOKUP(D16,tbl_Parcels[Parcel],tbl_Parcels[Acres]),0)</f>
        <v>21.71</v>
      </c>
      <c r="G16" s="206">
        <f>LOOKUP('iV1'!$H16,Table4[Product],Table4[DUA])</f>
        <v>4.5143999999999993</v>
      </c>
      <c r="H16" s="207" t="s">
        <v>150</v>
      </c>
      <c r="I16" s="207">
        <f>IFERROR(INT(LOOKUP('iV1'!$H16,lst_LotProducts,lst_ProductDUA)*'iV1'!$F16),0)</f>
        <v>98</v>
      </c>
      <c r="J16" s="208">
        <v>2</v>
      </c>
      <c r="L16" s="31"/>
      <c r="M16" s="287"/>
      <c r="N16" s="278" t="s">
        <v>217</v>
      </c>
      <c r="O16" s="278"/>
      <c r="P16" s="282">
        <v>0</v>
      </c>
      <c r="Q16" s="282">
        <v>15000000</v>
      </c>
      <c r="R16" s="282"/>
      <c r="S16" s="282"/>
      <c r="T16" s="288">
        <f t="shared" si="6"/>
        <v>15000000</v>
      </c>
      <c r="U16" s="287"/>
      <c r="V16" s="287"/>
      <c r="X16" s="166">
        <f t="shared" si="2"/>
        <v>9</v>
      </c>
      <c r="Y16" s="202" t="str">
        <v>1.9</v>
      </c>
      <c r="Z16" s="199">
        <f t="shared" si="3"/>
        <v>147</v>
      </c>
      <c r="AA16" s="200" t="str">
        <f t="shared" si="0"/>
        <v>50x110</v>
      </c>
      <c r="AB16" s="199">
        <f>IFERROR(Z16*LOOKUP(AA16,Table4[Product],Table4[Width]),0)</f>
        <v>7350</v>
      </c>
      <c r="AC16" s="354">
        <f t="shared" si="4"/>
        <v>2</v>
      </c>
      <c r="AD16" s="355">
        <f>IFERROR(_xlfn.XLOOKUP(LOOKUP(AC16,$P$5:$S$5,$P$9:$S$9)+1,DATA!$E$11:$E$370,DATA!$F$11:$F$370),"")</f>
        <v>45689</v>
      </c>
      <c r="AE16" s="350">
        <v>45717</v>
      </c>
      <c r="AF16" s="358">
        <f>IFERROR($AB16*(iGeneral!$F$52*LOOKUP($AE16,DATA!$F$11:$F$370,DATA!$L$11:$L$370)),0)</f>
        <v>15660288.418299949</v>
      </c>
      <c r="AG16" s="357">
        <f>-IFERROR($AB16*(i_Cost.Subd*LOOKUP($AE16,DATA!$F$11:$F$370,DATA!$L$11:$L$370)),0)</f>
        <v>-10179187.471894966</v>
      </c>
      <c r="AH16" s="358">
        <f t="shared" si="5"/>
        <v>5481100.9464049824</v>
      </c>
      <c r="AI16" s="200"/>
      <c r="AJ16" s="200"/>
    </row>
    <row r="17" spans="1:36" ht="18" thickTop="1" thickBot="1">
      <c r="A17" s="48"/>
      <c r="C17" s="204">
        <v>10</v>
      </c>
      <c r="D17" s="205" t="str">
        <v>1.10</v>
      </c>
      <c r="E17" s="206" t="str">
        <f>IFERROR(_xlfn.XLOOKUP(D17,tbl_Parcels[Parcel],tbl_Parcels[Use]),0)</f>
        <v>MDR</v>
      </c>
      <c r="F17" s="206">
        <f>IFERROR(_xlfn.XLOOKUP(D17,tbl_Parcels[Parcel],tbl_Parcels[Acres]),0)</f>
        <v>22.39</v>
      </c>
      <c r="G17" s="206">
        <f>LOOKUP('iV1'!$H17,Table4[Product],Table4[DUA])</f>
        <v>4.7979130434782604</v>
      </c>
      <c r="H17" s="207" t="s">
        <v>149</v>
      </c>
      <c r="I17" s="207">
        <f>IFERROR(INT(LOOKUP('iV1'!$H17,lst_LotProducts,lst_ProductDUA)*'iV1'!$F17),0)</f>
        <v>107</v>
      </c>
      <c r="J17" s="208">
        <v>2</v>
      </c>
      <c r="L17" s="31"/>
      <c r="M17" s="287"/>
      <c r="N17" s="278" t="s">
        <v>219</v>
      </c>
      <c r="O17" s="278"/>
      <c r="P17" s="282">
        <v>2500000</v>
      </c>
      <c r="Q17" s="282">
        <v>1000000</v>
      </c>
      <c r="R17" s="282"/>
      <c r="S17" s="282"/>
      <c r="T17" s="288">
        <f t="shared" si="6"/>
        <v>3500000</v>
      </c>
      <c r="U17" s="287"/>
      <c r="V17" s="287"/>
      <c r="X17" s="166">
        <f t="shared" si="2"/>
        <v>10</v>
      </c>
      <c r="Y17" s="202" t="str">
        <v>1.10</v>
      </c>
      <c r="Z17" s="199">
        <f t="shared" si="3"/>
        <v>109</v>
      </c>
      <c r="AA17" s="200" t="str">
        <f t="shared" si="0"/>
        <v>45x115</v>
      </c>
      <c r="AB17" s="199">
        <f>IFERROR(Z17*LOOKUP(AA17,Table4[Product],Table4[Width]),0)</f>
        <v>4905</v>
      </c>
      <c r="AC17" s="354">
        <f t="shared" si="4"/>
        <v>2</v>
      </c>
      <c r="AD17" s="355">
        <f>IFERROR(_xlfn.XLOOKUP(LOOKUP(AC17,$P$5:$S$5,$P$9:$S$9)+1,DATA!$E$11:$E$370,DATA!$F$11:$F$370),"")</f>
        <v>45689</v>
      </c>
      <c r="AE17" s="350">
        <v>45717</v>
      </c>
      <c r="AF17" s="358">
        <f>IFERROR($AB17*(iGeneral!$F$52*LOOKUP($AE17,DATA!$F$11:$F$370,DATA!$L$11:$L$370)),0)</f>
        <v>10450845.536294047</v>
      </c>
      <c r="AG17" s="357">
        <f>-IFERROR($AB17*(i_Cost.Subd*LOOKUP($AE17,DATA!$F$11:$F$370,DATA!$L$11:$L$370)),0)</f>
        <v>-6793049.5985911302</v>
      </c>
      <c r="AH17" s="358">
        <f t="shared" si="5"/>
        <v>3657795.9377029166</v>
      </c>
      <c r="AI17" s="200"/>
      <c r="AJ17" s="200"/>
    </row>
    <row r="18" spans="1:36" ht="18" thickTop="1" thickBot="1">
      <c r="A18" s="48"/>
      <c r="C18" s="204">
        <v>11</v>
      </c>
      <c r="D18" s="205" t="str">
        <v>1.11</v>
      </c>
      <c r="E18" s="206" t="str">
        <f>IFERROR(_xlfn.XLOOKUP(D18,tbl_Parcels[Parcel],tbl_Parcels[Use]),0)</f>
        <v>MLDR</v>
      </c>
      <c r="F18" s="206">
        <f>IFERROR(_xlfn.XLOOKUP(D18,tbl_Parcels[Parcel],tbl_Parcels[Acres]),0)</f>
        <v>29.509999999999998</v>
      </c>
      <c r="G18" s="206">
        <f>LOOKUP('iV1'!$H18,Table4[Product],Table4[DUA])</f>
        <v>2.7284835164835162</v>
      </c>
      <c r="H18" s="207" t="s">
        <v>151</v>
      </c>
      <c r="I18" s="207">
        <f>IFERROR(INT(LOOKUP('iV1'!$H18,lst_LotProducts,lst_ProductDUA)*'iV1'!$F18),0)</f>
        <v>80</v>
      </c>
      <c r="J18" s="208">
        <v>2</v>
      </c>
      <c r="L18" s="31"/>
      <c r="M18" s="287"/>
      <c r="N18" s="278" t="s">
        <v>29</v>
      </c>
      <c r="O18" s="278"/>
      <c r="P18" s="282">
        <v>0</v>
      </c>
      <c r="Q18" s="282">
        <v>0</v>
      </c>
      <c r="R18" s="282">
        <v>0</v>
      </c>
      <c r="S18" s="282">
        <v>0</v>
      </c>
      <c r="T18" s="288">
        <f t="shared" si="6"/>
        <v>0</v>
      </c>
      <c r="U18" s="287"/>
      <c r="V18" s="287"/>
      <c r="X18" s="166">
        <f t="shared" si="2"/>
        <v>11</v>
      </c>
      <c r="Y18" s="202" t="str">
        <v>1.11</v>
      </c>
      <c r="Z18" s="199">
        <f t="shared" si="3"/>
        <v>109</v>
      </c>
      <c r="AA18" s="200" t="str">
        <f t="shared" si="0"/>
        <v>70x130</v>
      </c>
      <c r="AB18" s="199">
        <f>IFERROR(Z18*LOOKUP(AA18,Table4[Product],Table4[Width]),0)</f>
        <v>7630</v>
      </c>
      <c r="AC18" s="354">
        <f t="shared" si="4"/>
        <v>2</v>
      </c>
      <c r="AD18" s="355">
        <f>IFERROR(_xlfn.XLOOKUP(LOOKUP(AC18,$P$5:$S$5,$P$9:$S$9)+1,DATA!$E$11:$E$370,DATA!$F$11:$F$370),"")</f>
        <v>45689</v>
      </c>
      <c r="AE18" s="350">
        <v>45717</v>
      </c>
      <c r="AF18" s="358">
        <f>IFERROR($AB18*(iGeneral!$F$52*LOOKUP($AE18,DATA!$F$11:$F$370,DATA!$L$11:$L$370)),0)</f>
        <v>16256870.834235184</v>
      </c>
      <c r="AG18" s="357">
        <f>-IFERROR($AB18*(i_Cost.Subd*LOOKUP($AE18,DATA!$F$11:$F$370,DATA!$L$11:$L$370)),0)</f>
        <v>-10566966.042252868</v>
      </c>
      <c r="AH18" s="358">
        <f t="shared" si="5"/>
        <v>5689904.7919823155</v>
      </c>
      <c r="AI18" s="200"/>
      <c r="AJ18" s="200"/>
    </row>
    <row r="19" spans="1:36" ht="18" thickTop="1" thickBot="1">
      <c r="A19" s="48"/>
      <c r="C19" s="204">
        <v>12</v>
      </c>
      <c r="D19" s="205" t="str">
        <v>1.12</v>
      </c>
      <c r="E19" s="206" t="str">
        <f>IFERROR(_xlfn.XLOOKUP(D19,tbl_Parcels[Parcel],tbl_Parcels[Use]),0)</f>
        <v>MLDR</v>
      </c>
      <c r="F19" s="206">
        <f>IFERROR(_xlfn.XLOOKUP(D19,tbl_Parcels[Parcel],tbl_Parcels[Acres]),0)</f>
        <v>26.9</v>
      </c>
      <c r="G19" s="206">
        <f>LOOKUP('iV1'!$H19,Table4[Product],Table4[DUA])</f>
        <v>3.1832307692307689</v>
      </c>
      <c r="H19" s="207" t="s">
        <v>152</v>
      </c>
      <c r="I19" s="207">
        <f>IFERROR(INT(LOOKUP('iV1'!$H19,lst_LotProducts,lst_ProductDUA)*'iV1'!$F19),0)</f>
        <v>85</v>
      </c>
      <c r="J19" s="208">
        <v>2</v>
      </c>
      <c r="L19" s="31"/>
      <c r="M19" s="287"/>
      <c r="N19" s="278"/>
      <c r="O19" s="278"/>
      <c r="P19" s="282">
        <v>0</v>
      </c>
      <c r="Q19" s="282">
        <v>0</v>
      </c>
      <c r="R19" s="282">
        <v>0</v>
      </c>
      <c r="S19" s="282">
        <v>0</v>
      </c>
      <c r="T19" s="288">
        <f t="shared" si="6"/>
        <v>0</v>
      </c>
      <c r="U19" s="287"/>
      <c r="V19" s="287"/>
      <c r="X19" s="166">
        <f t="shared" si="2"/>
        <v>12</v>
      </c>
      <c r="Y19" s="202" t="str">
        <v>1.12</v>
      </c>
      <c r="Z19" s="199">
        <f t="shared" si="3"/>
        <v>109</v>
      </c>
      <c r="AA19" s="200" t="str">
        <f t="shared" si="0"/>
        <v>65x120</v>
      </c>
      <c r="AB19" s="199">
        <f>IFERROR(Z19*LOOKUP(AA19,Table4[Product],Table4[Width]),0)</f>
        <v>7085</v>
      </c>
      <c r="AC19" s="354">
        <f t="shared" si="4"/>
        <v>2</v>
      </c>
      <c r="AD19" s="355">
        <f>IFERROR(_xlfn.XLOOKUP(LOOKUP(AC19,$P$5:$S$5,$P$9:$S$9)+1,DATA!$E$11:$E$370,DATA!$F$11:$F$370),"")</f>
        <v>45689</v>
      </c>
      <c r="AE19" s="350">
        <v>45717</v>
      </c>
      <c r="AF19" s="358">
        <f>IFERROR($AB19*(iGeneral!$F$52*LOOKUP($AE19,DATA!$F$11:$F$370,DATA!$L$11:$L$370)),0)</f>
        <v>15095665.774646956</v>
      </c>
      <c r="AG19" s="357">
        <f>-IFERROR($AB19*(i_Cost.Subd*LOOKUP($AE19,DATA!$F$11:$F$370,DATA!$L$11:$L$370)),0)</f>
        <v>-9812182.7535205223</v>
      </c>
      <c r="AH19" s="358">
        <f t="shared" si="5"/>
        <v>5283483.0211264342</v>
      </c>
      <c r="AI19" s="200"/>
      <c r="AJ19" s="200"/>
    </row>
    <row r="20" spans="1:36" ht="18" thickTop="1" thickBot="1">
      <c r="A20" s="48"/>
      <c r="C20" s="204">
        <v>13</v>
      </c>
      <c r="D20" s="205" t="str">
        <v>1.13</v>
      </c>
      <c r="E20" s="206" t="str">
        <f>IFERROR(_xlfn.XLOOKUP(D20,tbl_Parcels[Parcel],tbl_Parcels[Use]),0)</f>
        <v>MDR</v>
      </c>
      <c r="F20" s="206">
        <f>IFERROR(_xlfn.XLOOKUP(D20,tbl_Parcels[Parcel],tbl_Parcels[Acres]),0)</f>
        <v>20.29</v>
      </c>
      <c r="G20" s="206">
        <f>LOOKUP('iV1'!$H20,Table4[Product],Table4[DUA])</f>
        <v>4.7979130434782604</v>
      </c>
      <c r="H20" s="207" t="s">
        <v>149</v>
      </c>
      <c r="I20" s="207">
        <f>IFERROR(INT(LOOKUP('iV1'!$H20,lst_LotProducts,lst_ProductDUA)*'iV1'!$F20),0)</f>
        <v>97</v>
      </c>
      <c r="J20" s="208">
        <v>2</v>
      </c>
      <c r="L20" s="31"/>
      <c r="M20" s="287"/>
      <c r="N20" s="278"/>
      <c r="O20" s="278"/>
      <c r="P20" s="282">
        <v>0</v>
      </c>
      <c r="Q20" s="282">
        <v>0</v>
      </c>
      <c r="R20" s="282">
        <v>0</v>
      </c>
      <c r="S20" s="282">
        <v>0</v>
      </c>
      <c r="T20" s="288">
        <f t="shared" si="6"/>
        <v>0</v>
      </c>
      <c r="U20" s="287"/>
      <c r="V20" s="287"/>
      <c r="X20" s="166">
        <f t="shared" si="2"/>
        <v>13</v>
      </c>
      <c r="Y20" s="202" t="str">
        <v>1.13</v>
      </c>
      <c r="Z20" s="199">
        <f t="shared" si="3"/>
        <v>97</v>
      </c>
      <c r="AA20" s="200" t="str">
        <f t="shared" si="0"/>
        <v>45x115</v>
      </c>
      <c r="AB20" s="199">
        <f>IFERROR(Z20*LOOKUP(AA20,Table4[Product],Table4[Width]),0)</f>
        <v>4365</v>
      </c>
      <c r="AC20" s="354">
        <f t="shared" si="4"/>
        <v>2</v>
      </c>
      <c r="AD20" s="355">
        <f>IFERROR(_xlfn.XLOOKUP(LOOKUP(AC20,$P$5:$S$5,$P$9:$S$9)+1,DATA!$E$11:$E$370,DATA!$F$11:$F$370),"")</f>
        <v>45689</v>
      </c>
      <c r="AE20" s="350">
        <v>45992</v>
      </c>
      <c r="AF20" s="358">
        <f>IFERROR($AB20*(iGeneral!$F$52*LOOKUP($AE20,DATA!$F$11:$F$370,DATA!$L$11:$L$370)),0)</f>
        <v>9440731.7953565847</v>
      </c>
      <c r="AG20" s="357">
        <f>-IFERROR($AB20*(i_Cost.Subd*LOOKUP($AE20,DATA!$F$11:$F$370,DATA!$L$11:$L$370)),0)</f>
        <v>-6136475.66698178</v>
      </c>
      <c r="AH20" s="358">
        <f t="shared" si="5"/>
        <v>3304256.1283748047</v>
      </c>
      <c r="AI20" s="200"/>
      <c r="AJ20" s="200"/>
    </row>
    <row r="21" spans="1:36" ht="18" thickTop="1" thickBot="1">
      <c r="A21" s="48"/>
      <c r="C21" s="204">
        <v>14</v>
      </c>
      <c r="D21" s="205" t="str">
        <v>1.14</v>
      </c>
      <c r="E21" s="206" t="str">
        <f>IFERROR(_xlfn.XLOOKUP(D21,tbl_Parcels[Parcel],tbl_Parcels[Use]),0)</f>
        <v>MDR</v>
      </c>
      <c r="F21" s="206">
        <f>IFERROR(_xlfn.XLOOKUP(D21,tbl_Parcels[Parcel],tbl_Parcels[Acres]),0)</f>
        <v>21.53</v>
      </c>
      <c r="G21" s="206">
        <f>LOOKUP('iV1'!$H21,Table4[Product],Table4[DUA])</f>
        <v>5.016</v>
      </c>
      <c r="H21" s="207" t="s">
        <v>144</v>
      </c>
      <c r="I21" s="207">
        <f>IFERROR(INT(LOOKUP('iV1'!$H21,lst_LotProducts,lst_ProductDUA)*'iV1'!$F21),0)</f>
        <v>107</v>
      </c>
      <c r="J21" s="208">
        <v>2</v>
      </c>
      <c r="L21" s="31"/>
      <c r="M21" s="287"/>
      <c r="N21" s="278"/>
      <c r="O21" s="278"/>
      <c r="P21" s="282">
        <v>0</v>
      </c>
      <c r="Q21" s="282">
        <v>0</v>
      </c>
      <c r="R21" s="282">
        <v>0</v>
      </c>
      <c r="S21" s="282">
        <v>0</v>
      </c>
      <c r="T21" s="288">
        <f t="shared" si="6"/>
        <v>0</v>
      </c>
      <c r="U21" s="287"/>
      <c r="V21" s="287"/>
      <c r="X21" s="166">
        <f t="shared" si="2"/>
        <v>14</v>
      </c>
      <c r="Y21" s="202" t="str">
        <v>1.14</v>
      </c>
      <c r="Z21" s="199">
        <f t="shared" si="3"/>
        <v>107</v>
      </c>
      <c r="AA21" s="200" t="str">
        <f t="shared" si="0"/>
        <v>45x110</v>
      </c>
      <c r="AB21" s="199">
        <f>IFERROR(Z21*LOOKUP(AA21,Table4[Product],Table4[Width]),0)</f>
        <v>4815</v>
      </c>
      <c r="AC21" s="354">
        <f t="shared" si="4"/>
        <v>2</v>
      </c>
      <c r="AD21" s="355">
        <f>IFERROR(_xlfn.XLOOKUP(LOOKUP(AC21,$P$5:$S$5,$P$9:$S$9)+1,DATA!$E$11:$E$370,DATA!$F$11:$F$370),"")</f>
        <v>45689</v>
      </c>
      <c r="AE21" s="350">
        <f>AE20</f>
        <v>45992</v>
      </c>
      <c r="AF21" s="358">
        <f>IFERROR($AB21*(iGeneral!$F$52*LOOKUP($AE21,DATA!$F$11:$F$370,DATA!$L$11:$L$370)),0)</f>
        <v>10414003.11446551</v>
      </c>
      <c r="AG21" s="357">
        <f>-IFERROR($AB21*(i_Cost.Subd*LOOKUP($AE21,DATA!$F$11:$F$370,DATA!$L$11:$L$370)),0)</f>
        <v>-6769102.0244025821</v>
      </c>
      <c r="AH21" s="358">
        <f t="shared" si="5"/>
        <v>3644901.0900629284</v>
      </c>
      <c r="AI21" s="200"/>
      <c r="AJ21" s="200"/>
    </row>
    <row r="22" spans="1:36" ht="18" thickTop="1" thickBot="1">
      <c r="A22" s="48"/>
      <c r="C22" s="204">
        <v>15</v>
      </c>
      <c r="D22" s="205" t="str">
        <v>1.15</v>
      </c>
      <c r="E22" s="206" t="str">
        <f>IFERROR(_xlfn.XLOOKUP(D22,tbl_Parcels[Parcel],tbl_Parcels[Use]),0)</f>
        <v>MDR</v>
      </c>
      <c r="F22" s="206">
        <f>IFERROR(_xlfn.XLOOKUP(D22,tbl_Parcels[Parcel],tbl_Parcels[Acres]),0)</f>
        <v>34.270000000000003</v>
      </c>
      <c r="G22" s="206">
        <f>IFERROR(LOOKUP('iV1'!$H22,Table4[Product],Table4[DUA]),0)</f>
        <v>4.3181217391304347</v>
      </c>
      <c r="H22" s="207" t="s">
        <v>190</v>
      </c>
      <c r="I22" s="207">
        <f>IFERROR(INT(LOOKUP('iV1'!$H22,lst_LotProducts,lst_ProductDUA)*'iV1'!$F22),0)</f>
        <v>147</v>
      </c>
      <c r="J22" s="208">
        <v>2</v>
      </c>
      <c r="L22" s="31"/>
      <c r="M22" s="287"/>
      <c r="N22" s="278"/>
      <c r="O22" s="278"/>
      <c r="P22" s="282">
        <v>0</v>
      </c>
      <c r="Q22" s="282">
        <v>0</v>
      </c>
      <c r="R22" s="282">
        <v>0</v>
      </c>
      <c r="S22" s="282">
        <v>0</v>
      </c>
      <c r="T22" s="288">
        <f t="shared" si="6"/>
        <v>0</v>
      </c>
      <c r="U22" s="287"/>
      <c r="V22" s="287"/>
      <c r="X22" s="166">
        <f t="shared" si="2"/>
        <v>15</v>
      </c>
      <c r="Y22" s="202" t="str">
        <v>1.15</v>
      </c>
      <c r="Z22" s="199">
        <f t="shared" si="3"/>
        <v>147</v>
      </c>
      <c r="AA22" s="200" t="str">
        <f t="shared" si="0"/>
        <v>50x115</v>
      </c>
      <c r="AB22" s="199">
        <f>IFERROR(Z22*LOOKUP(AA22,Table4[Product],Table4[Width]),0)</f>
        <v>7350</v>
      </c>
      <c r="AC22" s="354">
        <f t="shared" si="4"/>
        <v>2</v>
      </c>
      <c r="AD22" s="355">
        <f>IFERROR(_xlfn.XLOOKUP(LOOKUP(AC22,$P$5:$S$5,$P$9:$S$9)+1,DATA!$E$11:$E$370,DATA!$F$11:$F$370),"")</f>
        <v>45689</v>
      </c>
      <c r="AE22" s="350">
        <f>AE21</f>
        <v>45992</v>
      </c>
      <c r="AF22" s="358">
        <f>IFERROR($AB22*(iGeneral!$F$52*LOOKUP($AE22,DATA!$F$11:$F$370,DATA!$L$11:$L$370)),0)</f>
        <v>15896764.878779128</v>
      </c>
      <c r="AG22" s="357">
        <f>-IFERROR($AB22*(i_Cost.Subd*LOOKUP($AE22,DATA!$F$11:$F$370,DATA!$L$11:$L$370)),0)</f>
        <v>-10332897.171206433</v>
      </c>
      <c r="AH22" s="358">
        <f t="shared" si="5"/>
        <v>5563867.7075726949</v>
      </c>
      <c r="AI22" s="200"/>
      <c r="AJ22" s="200"/>
    </row>
    <row r="23" spans="1:36" ht="18" thickTop="1" thickBot="1">
      <c r="A23" s="48"/>
      <c r="C23" s="204">
        <v>16</v>
      </c>
      <c r="D23" s="205"/>
      <c r="E23" s="206">
        <f>IFERROR(_xlfn.XLOOKUP(D23,tbl_Parcels[Parcel],tbl_Parcels[Use]),0)</f>
        <v>0</v>
      </c>
      <c r="F23" s="206">
        <f>IFERROR(_xlfn.XLOOKUP(D23,tbl_Parcels[Parcel],tbl_Parcels[Acres]),0)</f>
        <v>0</v>
      </c>
      <c r="G23" s="206">
        <f>IFERROR(LOOKUP('iV1'!$H23,Table4[Product],Table4[DUA]),0)</f>
        <v>0</v>
      </c>
      <c r="H23" s="207"/>
      <c r="I23" s="207">
        <f>IFERROR(INT(LOOKUP('iV1'!$H23,lst_LotProducts,lst_ProductDUA)*'iV1'!$F23),0)</f>
        <v>0</v>
      </c>
      <c r="J23" s="208"/>
      <c r="L23" s="31"/>
      <c r="M23" s="287"/>
      <c r="N23" s="278"/>
      <c r="O23" s="278"/>
      <c r="P23" s="282">
        <v>0</v>
      </c>
      <c r="Q23" s="282">
        <v>0</v>
      </c>
      <c r="R23" s="282">
        <v>0</v>
      </c>
      <c r="S23" s="282">
        <v>0</v>
      </c>
      <c r="T23" s="288">
        <f t="shared" si="6"/>
        <v>0</v>
      </c>
      <c r="U23" s="287"/>
      <c r="V23" s="287"/>
      <c r="X23" s="166">
        <f t="shared" si="2"/>
        <v>16</v>
      </c>
      <c r="Y23" s="202"/>
      <c r="Z23" s="199">
        <f t="shared" si="3"/>
        <v>0</v>
      </c>
      <c r="AA23" s="200">
        <f t="shared" si="0"/>
        <v>0</v>
      </c>
      <c r="AB23" s="199">
        <f>IFERROR(Z23*LOOKUP(AA23,Table4[Product],Table4[Width]),0)</f>
        <v>0</v>
      </c>
      <c r="AC23" s="354">
        <f t="shared" si="4"/>
        <v>0</v>
      </c>
      <c r="AD23" s="355" t="str">
        <f>IFERROR(_xlfn.XLOOKUP(LOOKUP(AC23,$P$5:$S$5,$P$9:$S$9)+1,DATA!$E$11:$E$370,DATA!$F$11:$F$370),"")</f>
        <v/>
      </c>
      <c r="AE23" s="350"/>
      <c r="AF23" s="358">
        <f>IFERROR($AB23*(iGeneral!$F$52*LOOKUP($AE23,DATA!$F$11:$F$370,DATA!$L$11:$L$370)),0)</f>
        <v>0</v>
      </c>
      <c r="AG23" s="357">
        <f>-IFERROR($AB23*(i_Cost.Subd*LOOKUP($AE23,DATA!$F$11:$F$370,DATA!$L$11:$L$370)),0)</f>
        <v>0</v>
      </c>
      <c r="AH23" s="358">
        <f t="shared" si="5"/>
        <v>0</v>
      </c>
      <c r="AI23" s="200"/>
      <c r="AJ23" s="200"/>
    </row>
    <row r="24" spans="1:36" ht="18" thickTop="1" thickBot="1">
      <c r="A24" s="48"/>
      <c r="C24" s="204">
        <v>17</v>
      </c>
      <c r="D24" s="205"/>
      <c r="E24" s="206">
        <f>IFERROR(_xlfn.XLOOKUP(D24,tbl_Parcels[Parcel],tbl_Parcels[Use]),0)</f>
        <v>0</v>
      </c>
      <c r="F24" s="206">
        <f>IFERROR(_xlfn.XLOOKUP(D24,tbl_Parcels[Parcel],tbl_Parcels[Acres]),0)</f>
        <v>0</v>
      </c>
      <c r="G24" s="206">
        <f>IFERROR(LOOKUP('iV1'!$H24,Table4[Product],Table4[DUA]),0)</f>
        <v>0</v>
      </c>
      <c r="H24" s="207"/>
      <c r="I24" s="207">
        <f>IFERROR(INT(LOOKUP('iV1'!$H24,lst_LotProducts,lst_ProductDUA)*'iV1'!$F24),0)</f>
        <v>0</v>
      </c>
      <c r="J24" s="208"/>
      <c r="L24" s="31"/>
      <c r="M24" s="287"/>
      <c r="N24" s="278"/>
      <c r="O24" s="278"/>
      <c r="P24" s="282">
        <v>0</v>
      </c>
      <c r="Q24" s="282">
        <v>0</v>
      </c>
      <c r="R24" s="282">
        <v>0</v>
      </c>
      <c r="S24" s="282">
        <v>0</v>
      </c>
      <c r="T24" s="288">
        <f t="shared" si="6"/>
        <v>0</v>
      </c>
      <c r="U24" s="287"/>
      <c r="V24" s="287"/>
      <c r="X24" s="166">
        <f t="shared" si="2"/>
        <v>17</v>
      </c>
      <c r="Y24" s="202"/>
      <c r="Z24" s="199">
        <f t="shared" si="3"/>
        <v>0</v>
      </c>
      <c r="AA24" s="200">
        <f t="shared" si="0"/>
        <v>0</v>
      </c>
      <c r="AB24" s="199">
        <f>IFERROR(Z24*LOOKUP(AA24,Table4[Product],Table4[Width]),0)</f>
        <v>0</v>
      </c>
      <c r="AC24" s="354">
        <f t="shared" si="4"/>
        <v>0</v>
      </c>
      <c r="AD24" s="355" t="str">
        <f>IFERROR(_xlfn.XLOOKUP(LOOKUP(AC24,$P$5:$S$5,$P$9:$S$9)+1,DATA!$E$11:$E$370,DATA!$F$11:$F$370),"")</f>
        <v/>
      </c>
      <c r="AE24" s="351"/>
      <c r="AF24" s="358">
        <f>IFERROR($AB24*(iGeneral!$F$52*LOOKUP($AE24,DATA!$F$11:$F$370,DATA!$L$11:$L$370)),0)</f>
        <v>0</v>
      </c>
      <c r="AG24" s="357">
        <f>-IFERROR($AB24*(i_Cost.Subd*LOOKUP($AE24,DATA!$F$11:$F$370,DATA!$L$11:$L$370)),0)</f>
        <v>0</v>
      </c>
      <c r="AH24" s="358">
        <f t="shared" si="5"/>
        <v>0</v>
      </c>
      <c r="AI24" s="200"/>
      <c r="AJ24" s="200"/>
    </row>
    <row r="25" spans="1:36" ht="18" thickTop="1" thickBot="1">
      <c r="A25" s="48"/>
      <c r="C25" s="204">
        <v>18</v>
      </c>
      <c r="D25" s="205"/>
      <c r="E25" s="206">
        <f>IFERROR(_xlfn.XLOOKUP(D25,tbl_Parcels[Parcel],tbl_Parcels[Use]),0)</f>
        <v>0</v>
      </c>
      <c r="F25" s="206">
        <f>IFERROR(_xlfn.XLOOKUP(D25,tbl_Parcels[Parcel],tbl_Parcels[Acres]),0)</f>
        <v>0</v>
      </c>
      <c r="G25" s="206">
        <f>IFERROR(LOOKUP('iV1'!$H25,Table4[Product],Table4[DUA]),0)</f>
        <v>0</v>
      </c>
      <c r="H25" s="207"/>
      <c r="I25" s="207">
        <f>IFERROR(INT(LOOKUP('iV1'!$H25,lst_LotProducts,lst_ProductDUA)*'iV1'!$F25),0)</f>
        <v>0</v>
      </c>
      <c r="J25" s="208"/>
      <c r="L25" s="31"/>
      <c r="M25" s="287"/>
      <c r="N25" s="278"/>
      <c r="O25" s="278"/>
      <c r="P25" s="282">
        <v>0</v>
      </c>
      <c r="Q25" s="282">
        <v>0</v>
      </c>
      <c r="R25" s="282">
        <v>0</v>
      </c>
      <c r="S25" s="282">
        <v>0</v>
      </c>
      <c r="T25" s="288">
        <f t="shared" si="6"/>
        <v>0</v>
      </c>
      <c r="U25" s="287"/>
      <c r="V25" s="287"/>
      <c r="X25" s="166">
        <f t="shared" si="2"/>
        <v>18</v>
      </c>
      <c r="Y25" s="202"/>
      <c r="Z25" s="199">
        <f t="shared" si="3"/>
        <v>0</v>
      </c>
      <c r="AA25" s="200">
        <f t="shared" si="0"/>
        <v>0</v>
      </c>
      <c r="AB25" s="199">
        <f>IFERROR(Z25*LOOKUP(AA25,Table4[Product],Table4[Width]),0)</f>
        <v>0</v>
      </c>
      <c r="AC25" s="354">
        <f t="shared" si="4"/>
        <v>0</v>
      </c>
      <c r="AD25" s="355" t="str">
        <f>IFERROR(_xlfn.XLOOKUP(LOOKUP(AC25,$P$5:$S$5,$P$9:$S$9)+1,DATA!$E$11:$E$370,DATA!$F$11:$F$370),"")</f>
        <v/>
      </c>
      <c r="AE25" s="351"/>
      <c r="AF25" s="358">
        <f>IFERROR($AB25*(iGeneral!$F$52*LOOKUP($AE25,DATA!$F$11:$F$370,DATA!$L$11:$L$370)),0)</f>
        <v>0</v>
      </c>
      <c r="AG25" s="357">
        <f>-IFERROR($AB25*(i_Cost.Subd*LOOKUP($AE25,DATA!$F$11:$F$370,DATA!$L$11:$L$370)),0)</f>
        <v>0</v>
      </c>
      <c r="AH25" s="358">
        <f t="shared" si="5"/>
        <v>0</v>
      </c>
      <c r="AI25" s="200"/>
      <c r="AJ25" s="200"/>
    </row>
    <row r="26" spans="1:36" ht="18" thickTop="1" thickBot="1">
      <c r="A26" s="48"/>
      <c r="C26" s="204">
        <v>19</v>
      </c>
      <c r="D26" s="205"/>
      <c r="E26" s="206">
        <f>IFERROR(_xlfn.XLOOKUP(D26,tbl_Parcels[Parcel],tbl_Parcels[Use]),0)</f>
        <v>0</v>
      </c>
      <c r="F26" s="206">
        <f>IFERROR(_xlfn.XLOOKUP(D26,tbl_Parcels[Parcel],tbl_Parcels[Acres]),0)</f>
        <v>0</v>
      </c>
      <c r="G26" s="206">
        <f>IFERROR(LOOKUP('iV1'!$H26,Table4[Product],Table4[DUA]),0)</f>
        <v>0</v>
      </c>
      <c r="H26" s="207"/>
      <c r="I26" s="207">
        <f>IFERROR(INT(LOOKUP('iV1'!$H26,lst_LotProducts,lst_ProductDUA)*'iV1'!$F26),0)</f>
        <v>0</v>
      </c>
      <c r="J26" s="208"/>
      <c r="M26" s="287"/>
      <c r="N26" s="278"/>
      <c r="O26" s="278"/>
      <c r="P26" s="282">
        <v>0</v>
      </c>
      <c r="Q26" s="282">
        <v>0</v>
      </c>
      <c r="R26" s="282">
        <v>0</v>
      </c>
      <c r="S26" s="282">
        <v>0</v>
      </c>
      <c r="T26" s="288">
        <f t="shared" si="6"/>
        <v>0</v>
      </c>
      <c r="U26" s="287"/>
      <c r="V26" s="287"/>
      <c r="X26" s="166">
        <f t="shared" si="2"/>
        <v>19</v>
      </c>
      <c r="Y26" s="202"/>
      <c r="Z26" s="199">
        <f t="shared" si="3"/>
        <v>0</v>
      </c>
      <c r="AA26" s="200">
        <f t="shared" si="0"/>
        <v>0</v>
      </c>
      <c r="AB26" s="199">
        <f>IFERROR(Z26*LOOKUP(AA26,Table4[Product],Table4[Width]),0)</f>
        <v>0</v>
      </c>
      <c r="AC26" s="354">
        <f t="shared" si="4"/>
        <v>0</v>
      </c>
      <c r="AD26" s="355" t="str">
        <f>IFERROR(_xlfn.XLOOKUP(LOOKUP(AC26,$P$5:$S$5,$P$9:$S$9)+1,DATA!$E$11:$E$370,DATA!$F$11:$F$370),"")</f>
        <v/>
      </c>
      <c r="AE26" s="351"/>
      <c r="AF26" s="358">
        <f>IFERROR($AB26*(iGeneral!$F$52*LOOKUP($AE26,DATA!$F$11:$F$370,DATA!$L$11:$L$370)),0)</f>
        <v>0</v>
      </c>
      <c r="AG26" s="357">
        <f>-IFERROR($AB26*(i_Cost.Subd*LOOKUP($AE26,DATA!$F$11:$F$370,DATA!$L$11:$L$370)),0)</f>
        <v>0</v>
      </c>
      <c r="AH26" s="358">
        <f t="shared" si="5"/>
        <v>0</v>
      </c>
      <c r="AI26" s="200"/>
      <c r="AJ26" s="200"/>
    </row>
    <row r="27" spans="1:36" ht="18" thickTop="1" thickBot="1">
      <c r="A27" s="48"/>
      <c r="C27" s="204">
        <v>20</v>
      </c>
      <c r="D27" s="205"/>
      <c r="E27" s="206">
        <f>IFERROR(_xlfn.XLOOKUP(D27,tbl_Parcels[Parcel],tbl_Parcels[Use]),0)</f>
        <v>0</v>
      </c>
      <c r="F27" s="206">
        <f>IFERROR(_xlfn.XLOOKUP(D27,tbl_Parcels[Parcel],tbl_Parcels[Acres]),0)</f>
        <v>0</v>
      </c>
      <c r="G27" s="206">
        <f>IFERROR(LOOKUP('iV1'!$H27,Table4[Product],Table4[DUA]),0)</f>
        <v>0</v>
      </c>
      <c r="H27" s="207"/>
      <c r="I27" s="207">
        <f>IFERROR(INT(LOOKUP('iV1'!$H27,lst_LotProducts,lst_ProductDUA)*'iV1'!$F27),0)</f>
        <v>0</v>
      </c>
      <c r="J27" s="208"/>
      <c r="M27" s="287"/>
      <c r="N27" s="278"/>
      <c r="O27" s="278"/>
      <c r="P27" s="282">
        <v>0</v>
      </c>
      <c r="Q27" s="282">
        <v>0</v>
      </c>
      <c r="R27" s="282">
        <v>0</v>
      </c>
      <c r="S27" s="282">
        <v>0</v>
      </c>
      <c r="T27" s="288">
        <f t="shared" si="6"/>
        <v>0</v>
      </c>
      <c r="U27" s="287"/>
      <c r="V27" s="287"/>
      <c r="X27" s="166">
        <f t="shared" si="2"/>
        <v>20</v>
      </c>
      <c r="Y27" s="202"/>
      <c r="Z27" s="199">
        <f t="shared" si="3"/>
        <v>0</v>
      </c>
      <c r="AA27" s="200">
        <f t="shared" si="0"/>
        <v>0</v>
      </c>
      <c r="AB27" s="199">
        <f>IFERROR(Z27*LOOKUP(AA27,Table4[Product],Table4[Width]),0)</f>
        <v>0</v>
      </c>
      <c r="AC27" s="354">
        <f t="shared" si="4"/>
        <v>0</v>
      </c>
      <c r="AD27" s="355" t="str">
        <f>IFERROR(_xlfn.XLOOKUP(LOOKUP(AC27,$P$5:$S$5,$P$9:$S$9)+1,DATA!$E$11:$E$370,DATA!$F$11:$F$370),"")</f>
        <v/>
      </c>
      <c r="AE27" s="351"/>
      <c r="AF27" s="358">
        <f>IFERROR($AB27*(iGeneral!$F$52*LOOKUP($AE27,DATA!$F$11:$F$370,DATA!$L$11:$L$370)),0)</f>
        <v>0</v>
      </c>
      <c r="AG27" s="357">
        <f>-IFERROR($AB27*(i_Cost.Subd*LOOKUP($AE27,DATA!$F$11:$F$370,DATA!$L$11:$L$370)),0)</f>
        <v>0</v>
      </c>
      <c r="AH27" s="358">
        <f t="shared" si="5"/>
        <v>0</v>
      </c>
      <c r="AI27" s="200"/>
      <c r="AJ27" s="200"/>
    </row>
    <row r="28" spans="1:36" ht="18" thickTop="1" thickBot="1">
      <c r="A28" s="48"/>
      <c r="C28" s="204">
        <v>21</v>
      </c>
      <c r="D28" s="205"/>
      <c r="E28" s="206">
        <f>IFERROR(_xlfn.XLOOKUP(D28,tbl_Parcels[Parcel],tbl_Parcels[Use]),0)</f>
        <v>0</v>
      </c>
      <c r="F28" s="206">
        <f>IFERROR(_xlfn.XLOOKUP(D28,tbl_Parcels[Parcel],tbl_Parcels[Acres]),0)</f>
        <v>0</v>
      </c>
      <c r="G28" s="206">
        <f>IFERROR(LOOKUP('iV1'!$H28,Table4[Product],Table4[DUA]),0)</f>
        <v>0</v>
      </c>
      <c r="H28" s="207"/>
      <c r="I28" s="207">
        <f>IFERROR(INT(LOOKUP('iV1'!$H28,lst_LotProducts,lst_ProductDUA)*'iV1'!$F28),0)</f>
        <v>0</v>
      </c>
      <c r="J28" s="208"/>
      <c r="M28" s="287"/>
      <c r="N28" s="278"/>
      <c r="O28" s="278"/>
      <c r="P28" s="282">
        <v>0</v>
      </c>
      <c r="Q28" s="282">
        <v>0</v>
      </c>
      <c r="R28" s="282">
        <v>0</v>
      </c>
      <c r="S28" s="282">
        <v>0</v>
      </c>
      <c r="T28" s="288">
        <f t="shared" si="6"/>
        <v>0</v>
      </c>
      <c r="U28" s="287"/>
      <c r="V28" s="287"/>
      <c r="X28" s="166">
        <f t="shared" si="2"/>
        <v>21</v>
      </c>
      <c r="Y28" s="202"/>
      <c r="Z28" s="199">
        <f t="shared" si="3"/>
        <v>0</v>
      </c>
      <c r="AA28" s="200">
        <f t="shared" si="0"/>
        <v>0</v>
      </c>
      <c r="AB28" s="199">
        <f>IFERROR(Z28*LOOKUP(AA28,Table4[Product],Table4[Width]),0)</f>
        <v>0</v>
      </c>
      <c r="AC28" s="354">
        <f t="shared" si="4"/>
        <v>0</v>
      </c>
      <c r="AD28" s="355" t="str">
        <f>IFERROR(_xlfn.XLOOKUP(LOOKUP(AC28,$P$5:$S$5,$P$9:$S$9)+1,DATA!$E$11:$E$370,DATA!$F$11:$F$370),"")</f>
        <v/>
      </c>
      <c r="AE28" s="351"/>
      <c r="AF28" s="358">
        <f>IFERROR($AB28*(iGeneral!$F$52*LOOKUP($AE28,DATA!$F$11:$F$370,DATA!$L$11:$L$370)),0)</f>
        <v>0</v>
      </c>
      <c r="AG28" s="357">
        <f>-IFERROR($AB28*(i_Cost.Subd*LOOKUP($AE28,DATA!$F$11:$F$370,DATA!$L$11:$L$370)),0)</f>
        <v>0</v>
      </c>
      <c r="AH28" s="358">
        <f t="shared" si="5"/>
        <v>0</v>
      </c>
      <c r="AI28" s="200"/>
      <c r="AJ28" s="200"/>
    </row>
    <row r="29" spans="1:36" ht="18" thickTop="1" thickBot="1">
      <c r="A29" s="48"/>
      <c r="C29" s="204">
        <v>22</v>
      </c>
      <c r="D29" s="205"/>
      <c r="E29" s="206">
        <f>IFERROR(_xlfn.XLOOKUP(D29,tbl_Parcels[Parcel],tbl_Parcels[Use]),0)</f>
        <v>0</v>
      </c>
      <c r="F29" s="206">
        <f>IFERROR(_xlfn.XLOOKUP(D29,tbl_Parcels[Parcel],tbl_Parcels[Acres]),0)</f>
        <v>0</v>
      </c>
      <c r="G29" s="206">
        <f>IFERROR(LOOKUP('iV1'!$H29,Table4[Product],Table4[DUA]),0)</f>
        <v>0</v>
      </c>
      <c r="H29" s="207"/>
      <c r="I29" s="207">
        <f>IFERROR(INT(LOOKUP('iV1'!$H29,lst_LotProducts,lst_ProductDUA)*'iV1'!$F29),0)</f>
        <v>0</v>
      </c>
      <c r="J29" s="208"/>
      <c r="M29" s="287"/>
      <c r="N29" s="278"/>
      <c r="O29" s="278"/>
      <c r="P29" s="282">
        <v>0</v>
      </c>
      <c r="Q29" s="282">
        <v>0</v>
      </c>
      <c r="R29" s="282">
        <v>0</v>
      </c>
      <c r="S29" s="282">
        <v>0</v>
      </c>
      <c r="T29" s="288">
        <f t="shared" si="6"/>
        <v>0</v>
      </c>
      <c r="U29" s="287"/>
      <c r="V29" s="287"/>
      <c r="X29" s="166">
        <f t="shared" si="2"/>
        <v>22</v>
      </c>
      <c r="Y29" s="202"/>
      <c r="Z29" s="199">
        <f t="shared" si="3"/>
        <v>0</v>
      </c>
      <c r="AA29" s="200">
        <f t="shared" si="0"/>
        <v>0</v>
      </c>
      <c r="AB29" s="199">
        <f>IFERROR(Z29*LOOKUP(AA29,Table4[Product],Table4[Width]),0)</f>
        <v>0</v>
      </c>
      <c r="AC29" s="354">
        <f t="shared" si="4"/>
        <v>0</v>
      </c>
      <c r="AD29" s="355" t="str">
        <f>IFERROR(_xlfn.XLOOKUP(LOOKUP(AC29,$P$5:$S$5,$P$9:$S$9)+1,DATA!$E$11:$E$370,DATA!$F$11:$F$370),"")</f>
        <v/>
      </c>
      <c r="AE29" s="351"/>
      <c r="AF29" s="358">
        <f>IFERROR($AB29*(iGeneral!$F$52*LOOKUP($AE29,DATA!$F$11:$F$370,DATA!$L$11:$L$370)),0)</f>
        <v>0</v>
      </c>
      <c r="AG29" s="357">
        <f>-IFERROR($AB29*(i_Cost.Subd*LOOKUP($AE29,DATA!$F$11:$F$370,DATA!$L$11:$L$370)),0)</f>
        <v>0</v>
      </c>
      <c r="AH29" s="358">
        <f t="shared" si="5"/>
        <v>0</v>
      </c>
      <c r="AI29" s="200"/>
      <c r="AJ29" s="200"/>
    </row>
    <row r="30" spans="1:36" ht="18" thickTop="1" thickBot="1">
      <c r="A30" s="48"/>
      <c r="C30" s="204">
        <v>23</v>
      </c>
      <c r="D30" s="205"/>
      <c r="E30" s="206">
        <f>IFERROR(_xlfn.XLOOKUP(D30,tbl_Parcels[Parcel],tbl_Parcels[Use]),0)</f>
        <v>0</v>
      </c>
      <c r="F30" s="206">
        <f>IFERROR(_xlfn.XLOOKUP(D30,tbl_Parcels[Parcel],tbl_Parcels[Acres]),0)</f>
        <v>0</v>
      </c>
      <c r="G30" s="206">
        <f>IFERROR(LOOKUP('iV1'!$H30,Table4[Product],Table4[DUA]),0)</f>
        <v>0</v>
      </c>
      <c r="H30" s="207"/>
      <c r="I30" s="207">
        <f>IFERROR(INT(LOOKUP('iV1'!$H30,lst_LotProducts,lst_ProductDUA)*'iV1'!$F30),0)</f>
        <v>0</v>
      </c>
      <c r="J30" s="208"/>
      <c r="M30" s="287"/>
      <c r="N30" s="278"/>
      <c r="O30" s="278"/>
      <c r="P30" s="282">
        <v>0</v>
      </c>
      <c r="Q30" s="282">
        <v>0</v>
      </c>
      <c r="R30" s="282">
        <v>0</v>
      </c>
      <c r="S30" s="282">
        <v>0</v>
      </c>
      <c r="T30" s="288">
        <f t="shared" si="6"/>
        <v>0</v>
      </c>
      <c r="U30" s="287"/>
      <c r="V30" s="287"/>
      <c r="X30" s="166">
        <f t="shared" si="2"/>
        <v>23</v>
      </c>
      <c r="Y30" s="202"/>
      <c r="Z30" s="199">
        <f t="shared" si="3"/>
        <v>0</v>
      </c>
      <c r="AA30" s="200">
        <f t="shared" si="0"/>
        <v>0</v>
      </c>
      <c r="AB30" s="199">
        <f>IFERROR(Z30*LOOKUP(AA30,Table4[Product],Table4[Width]),0)</f>
        <v>0</v>
      </c>
      <c r="AC30" s="354">
        <f t="shared" si="4"/>
        <v>0</v>
      </c>
      <c r="AD30" s="355" t="str">
        <f>IFERROR(_xlfn.XLOOKUP(LOOKUP(AC30,$P$5:$S$5,$P$9:$S$9)+1,DATA!$E$11:$E$370,DATA!$F$11:$F$370),"")</f>
        <v/>
      </c>
      <c r="AE30" s="351"/>
      <c r="AF30" s="358">
        <f>IFERROR($AB30*(iGeneral!$F$52*LOOKUP($AE30,DATA!$F$11:$F$370,DATA!$L$11:$L$370)),0)</f>
        <v>0</v>
      </c>
      <c r="AG30" s="357">
        <f>-IFERROR($AB30*(i_Cost.Subd*LOOKUP($AE30,DATA!$F$11:$F$370,DATA!$L$11:$L$370)),0)</f>
        <v>0</v>
      </c>
      <c r="AH30" s="358">
        <f t="shared" si="5"/>
        <v>0</v>
      </c>
      <c r="AI30" s="200"/>
      <c r="AJ30" s="200"/>
    </row>
    <row r="31" spans="1:36" ht="18" thickTop="1" thickBot="1">
      <c r="A31" s="48"/>
      <c r="C31" s="204">
        <v>24</v>
      </c>
      <c r="D31" s="205"/>
      <c r="E31" s="206">
        <f>IFERROR(_xlfn.XLOOKUP(D31,tbl_Parcels[Parcel],tbl_Parcels[Use]),0)</f>
        <v>0</v>
      </c>
      <c r="F31" s="206">
        <f>IFERROR(_xlfn.XLOOKUP(D31,tbl_Parcels[Parcel],tbl_Parcels[Acres]),0)</f>
        <v>0</v>
      </c>
      <c r="G31" s="206">
        <f>IFERROR(LOOKUP('iV1'!$H31,Table4[Product],Table4[DUA]),0)</f>
        <v>0</v>
      </c>
      <c r="H31" s="207"/>
      <c r="I31" s="207">
        <f>IFERROR(INT(LOOKUP('iV1'!$H31,lst_LotProducts,lst_ProductDUA)*'iV1'!$F31),0)</f>
        <v>0</v>
      </c>
      <c r="J31" s="208"/>
      <c r="M31" s="287"/>
      <c r="N31" s="278"/>
      <c r="O31" s="278"/>
      <c r="P31" s="282">
        <v>0</v>
      </c>
      <c r="Q31" s="282">
        <v>0</v>
      </c>
      <c r="R31" s="282">
        <v>0</v>
      </c>
      <c r="S31" s="282">
        <v>0</v>
      </c>
      <c r="T31" s="288">
        <f t="shared" si="6"/>
        <v>0</v>
      </c>
      <c r="U31" s="287"/>
      <c r="V31" s="287"/>
      <c r="X31" s="166">
        <f t="shared" si="2"/>
        <v>24</v>
      </c>
      <c r="Y31" s="202"/>
      <c r="Z31" s="199">
        <f t="shared" si="3"/>
        <v>0</v>
      </c>
      <c r="AA31" s="200">
        <f t="shared" si="0"/>
        <v>0</v>
      </c>
      <c r="AB31" s="199">
        <f>IFERROR(Z31*LOOKUP(AA31,Table4[Product],Table4[Width]),0)</f>
        <v>0</v>
      </c>
      <c r="AC31" s="354">
        <f t="shared" si="4"/>
        <v>0</v>
      </c>
      <c r="AD31" s="355" t="str">
        <f>IFERROR(_xlfn.XLOOKUP(LOOKUP(AC31,$P$5:$S$5,$P$9:$S$9)+1,DATA!$E$11:$E$370,DATA!$F$11:$F$370),"")</f>
        <v/>
      </c>
      <c r="AE31" s="351"/>
      <c r="AF31" s="358">
        <f>IFERROR($AB31*(iGeneral!$F$52*LOOKUP($AE31,DATA!$F$11:$F$370,DATA!$L$11:$L$370)),0)</f>
        <v>0</v>
      </c>
      <c r="AG31" s="357">
        <f>-IFERROR($AB31*(i_Cost.Subd*LOOKUP($AE31,DATA!$F$11:$F$370,DATA!$L$11:$L$370)),0)</f>
        <v>0</v>
      </c>
      <c r="AH31" s="358">
        <f t="shared" si="5"/>
        <v>0</v>
      </c>
      <c r="AI31" s="200"/>
      <c r="AJ31" s="200"/>
    </row>
    <row r="32" spans="1:36" ht="18" thickTop="1" thickBot="1">
      <c r="A32" s="48"/>
      <c r="C32" s="204">
        <v>25</v>
      </c>
      <c r="D32" s="205"/>
      <c r="E32" s="206">
        <f>IFERROR(_xlfn.XLOOKUP(D32,tbl_Parcels[Parcel],tbl_Parcels[Use]),0)</f>
        <v>0</v>
      </c>
      <c r="F32" s="206">
        <f>IFERROR(_xlfn.XLOOKUP(D32,tbl_Parcels[Parcel],tbl_Parcels[Acres]),0)</f>
        <v>0</v>
      </c>
      <c r="G32" s="206">
        <f>IFERROR(LOOKUP('iV1'!$H32,Table4[Product],Table4[DUA]),0)</f>
        <v>0</v>
      </c>
      <c r="H32" s="207"/>
      <c r="I32" s="207">
        <f>IFERROR(INT(LOOKUP('iV1'!$H32,lst_LotProducts,lst_ProductDUA)*'iV1'!$F32),0)</f>
        <v>0</v>
      </c>
      <c r="J32" s="208"/>
      <c r="M32" s="287"/>
      <c r="N32" s="297"/>
      <c r="O32" s="297"/>
      <c r="P32" s="328">
        <v>0</v>
      </c>
      <c r="Q32" s="328">
        <v>0</v>
      </c>
      <c r="R32" s="328">
        <v>0</v>
      </c>
      <c r="S32" s="328">
        <v>0</v>
      </c>
      <c r="T32" s="299">
        <f t="shared" si="6"/>
        <v>0</v>
      </c>
      <c r="U32" s="287"/>
      <c r="V32"/>
      <c r="X32" s="166">
        <f t="shared" si="2"/>
        <v>25</v>
      </c>
      <c r="Y32" s="202"/>
      <c r="Z32" s="199">
        <f t="shared" si="3"/>
        <v>0</v>
      </c>
      <c r="AA32" s="200">
        <f t="shared" si="0"/>
        <v>0</v>
      </c>
      <c r="AB32" s="199">
        <f>IFERROR(Z32*LOOKUP(AA32,Table4[Product],Table4[Width]),0)</f>
        <v>0</v>
      </c>
      <c r="AC32" s="354">
        <f t="shared" si="4"/>
        <v>0</v>
      </c>
      <c r="AD32" s="355" t="str">
        <f>IFERROR(_xlfn.XLOOKUP(LOOKUP(AC32,$P$5:$S$5,$P$9:$S$9)+1,DATA!$E$11:$E$370,DATA!$F$11:$F$370),"")</f>
        <v/>
      </c>
      <c r="AE32" s="351"/>
      <c r="AF32" s="358">
        <f>IFERROR($AB32*(iGeneral!$F$52*LOOKUP($AE32,DATA!$F$11:$F$370,DATA!$L$11:$L$370)),0)</f>
        <v>0</v>
      </c>
      <c r="AG32" s="357">
        <f>-IFERROR($AB32*(i_Cost.Subd*LOOKUP($AE32,DATA!$F$11:$F$370,DATA!$L$11:$L$370)),0)</f>
        <v>0</v>
      </c>
      <c r="AH32" s="358">
        <f t="shared" si="5"/>
        <v>0</v>
      </c>
      <c r="AI32" s="200"/>
      <c r="AJ32" s="200"/>
    </row>
    <row r="33" spans="1:37" ht="17" thickTop="1">
      <c r="A33" s="48"/>
      <c r="D33" s="201"/>
      <c r="M33" s="287"/>
      <c r="N33" s="349" t="s">
        <v>78</v>
      </c>
      <c r="O33" s="294"/>
      <c r="P33" s="295">
        <f>SUM(P11:P32)</f>
        <v>13000000</v>
      </c>
      <c r="Q33" s="295">
        <f>SUM(Q11:Q32)</f>
        <v>19600000</v>
      </c>
      <c r="R33" s="295">
        <f>SUM(R11:R32)</f>
        <v>0</v>
      </c>
      <c r="S33" s="295">
        <f>SUM(S11:S32)</f>
        <v>0</v>
      </c>
      <c r="T33" s="296">
        <f t="shared" si="6"/>
        <v>32600000</v>
      </c>
      <c r="U33" s="287"/>
      <c r="V33"/>
      <c r="W33" s="50"/>
      <c r="AE33" s="352"/>
      <c r="AF33" s="352"/>
    </row>
    <row r="34" spans="1:37">
      <c r="A34" s="48"/>
      <c r="M34" s="287"/>
      <c r="N34"/>
      <c r="O34"/>
      <c r="P34"/>
      <c r="Q34"/>
      <c r="R34"/>
      <c r="S34"/>
      <c r="T34"/>
      <c r="U34"/>
      <c r="V34"/>
      <c r="AK34" s="50"/>
    </row>
    <row r="35" spans="1:37">
      <c r="A35" s="48"/>
      <c r="M35" s="287"/>
      <c r="N35"/>
      <c r="O35"/>
      <c r="P35"/>
      <c r="Q35"/>
      <c r="R35"/>
      <c r="S35"/>
      <c r="T35"/>
      <c r="U35"/>
      <c r="V35"/>
      <c r="Y35" s="346"/>
    </row>
    <row r="36" spans="1:37" s="50" customFormat="1">
      <c r="A36" s="48"/>
      <c r="B36"/>
      <c r="C36"/>
      <c r="D36"/>
      <c r="E36"/>
      <c r="F36"/>
      <c r="G36"/>
      <c r="H36"/>
      <c r="I36"/>
      <c r="J36"/>
      <c r="K36"/>
      <c r="L36" s="37"/>
      <c r="M36" s="287"/>
      <c r="N36"/>
      <c r="O36"/>
      <c r="P36"/>
      <c r="Q36"/>
      <c r="R36"/>
      <c r="S36"/>
      <c r="T36"/>
      <c r="U36"/>
      <c r="V36"/>
      <c r="W36"/>
      <c r="X36"/>
      <c r="Y36" s="346"/>
      <c r="Z36"/>
      <c r="AA36"/>
      <c r="AB36"/>
      <c r="AC36"/>
      <c r="AD36"/>
      <c r="AE36"/>
      <c r="AF36"/>
      <c r="AG36"/>
      <c r="AH36"/>
      <c r="AI36"/>
      <c r="AK36"/>
    </row>
    <row r="37" spans="1:37">
      <c r="A37" s="48"/>
      <c r="M37" s="287"/>
      <c r="N37"/>
      <c r="O37"/>
      <c r="P37"/>
      <c r="Q37"/>
      <c r="R37"/>
      <c r="S37"/>
      <c r="T37"/>
      <c r="U37"/>
      <c r="V37"/>
      <c r="Y37" s="346"/>
    </row>
    <row r="38" spans="1:37">
      <c r="M38" s="287"/>
      <c r="N38"/>
      <c r="O38"/>
      <c r="P38"/>
      <c r="Q38"/>
      <c r="R38"/>
      <c r="S38"/>
      <c r="T38"/>
      <c r="U38"/>
      <c r="V38"/>
      <c r="Y38" s="346"/>
    </row>
    <row r="39" spans="1:37">
      <c r="M39" s="287"/>
      <c r="N39"/>
      <c r="O39"/>
      <c r="P39"/>
      <c r="Q39"/>
      <c r="R39"/>
      <c r="S39"/>
      <c r="T39"/>
      <c r="U39"/>
      <c r="V39" s="37"/>
    </row>
    <row r="40" spans="1:37">
      <c r="M40" s="287"/>
      <c r="N40"/>
      <c r="O40"/>
      <c r="P40"/>
      <c r="Q40"/>
      <c r="R40"/>
      <c r="S40"/>
      <c r="T40"/>
      <c r="U40"/>
      <c r="V40" s="37"/>
    </row>
    <row r="41" spans="1:37" ht="18" customHeight="1">
      <c r="M41" s="287"/>
      <c r="N41" s="37"/>
      <c r="O41" s="37"/>
      <c r="P41" s="37"/>
      <c r="Q41" s="37"/>
      <c r="R41" s="37"/>
      <c r="S41" s="37"/>
      <c r="T41" s="37"/>
      <c r="U41" s="37"/>
      <c r="V41" s="37"/>
    </row>
    <row r="42" spans="1:37" ht="18" customHeight="1">
      <c r="M42" s="287"/>
      <c r="N42" s="37"/>
      <c r="O42" s="37"/>
      <c r="P42" s="37"/>
      <c r="Q42" s="37"/>
      <c r="R42" s="37"/>
      <c r="S42" s="37"/>
      <c r="T42" s="37"/>
      <c r="U42" s="37"/>
      <c r="V42" s="37"/>
    </row>
    <row r="43" spans="1:37" ht="18" customHeight="1">
      <c r="M43" s="287"/>
      <c r="N43" s="37"/>
      <c r="O43" s="37"/>
      <c r="P43" s="37"/>
      <c r="Q43" s="37"/>
      <c r="R43" s="37"/>
      <c r="S43" s="37"/>
      <c r="T43" s="37"/>
      <c r="U43" s="37"/>
      <c r="V43" s="37"/>
    </row>
    <row r="44" spans="1:37" ht="18" customHeight="1">
      <c r="M44" s="287"/>
      <c r="N44" s="37"/>
      <c r="O44" s="37"/>
      <c r="P44" s="37"/>
      <c r="Q44" s="37"/>
      <c r="R44" s="37"/>
      <c r="S44" s="37"/>
      <c r="T44" s="37"/>
      <c r="U44" s="37"/>
      <c r="V44" s="37"/>
    </row>
    <row r="45" spans="1:37" ht="18" customHeight="1">
      <c r="M45" s="287"/>
      <c r="N45" s="37"/>
      <c r="O45" s="37"/>
      <c r="P45" s="37"/>
      <c r="Q45" s="37"/>
      <c r="R45" s="37"/>
      <c r="S45" s="37"/>
      <c r="T45" s="37"/>
      <c r="U45" s="37"/>
      <c r="V45" s="37"/>
    </row>
    <row r="46" spans="1:37" ht="18" customHeight="1">
      <c r="M46" s="287"/>
      <c r="N46" s="37"/>
      <c r="O46" s="37"/>
      <c r="P46" s="37"/>
      <c r="Q46" s="37"/>
      <c r="R46" s="37"/>
      <c r="S46" s="37"/>
      <c r="T46" s="37"/>
      <c r="U46" s="37"/>
      <c r="V46" s="37"/>
    </row>
    <row r="47" spans="1:37" ht="18" customHeight="1">
      <c r="M47" s="287"/>
      <c r="N47" s="37"/>
      <c r="O47" s="37"/>
      <c r="P47" s="37"/>
      <c r="Q47" s="37"/>
      <c r="R47" s="37"/>
      <c r="S47" s="37"/>
      <c r="T47" s="37"/>
      <c r="U47" s="37"/>
      <c r="V47" s="37"/>
    </row>
    <row r="48" spans="1:37" ht="18" customHeight="1">
      <c r="M48" s="287"/>
      <c r="N48" s="37"/>
      <c r="O48" s="37"/>
      <c r="P48" s="37"/>
      <c r="Q48" s="37"/>
      <c r="R48" s="37"/>
      <c r="S48" s="37"/>
      <c r="T48" s="37"/>
      <c r="U48" s="37"/>
      <c r="V48" s="37"/>
      <c r="AK48" s="50"/>
    </row>
    <row r="49" spans="13:36" ht="18" customHeight="1">
      <c r="M49" s="287"/>
      <c r="N49" s="37"/>
      <c r="O49" s="37"/>
      <c r="P49" s="37"/>
      <c r="Q49" s="37"/>
      <c r="R49" s="37"/>
      <c r="S49" s="37"/>
      <c r="T49" s="37"/>
      <c r="U49" s="37"/>
      <c r="V49" s="37"/>
    </row>
    <row r="50" spans="13:36">
      <c r="M50" s="287"/>
      <c r="N50" s="37"/>
      <c r="O50" s="37"/>
      <c r="P50" s="37"/>
      <c r="Q50" s="37"/>
      <c r="R50" s="37"/>
      <c r="S50" s="37"/>
      <c r="T50" s="37"/>
      <c r="U50" s="37"/>
      <c r="V50" s="37"/>
      <c r="AJ50" s="50"/>
    </row>
    <row r="51" spans="13:36">
      <c r="M51" s="287"/>
      <c r="N51" s="37"/>
      <c r="O51" s="37"/>
      <c r="P51" s="37"/>
      <c r="Q51" s="37"/>
      <c r="R51" s="37"/>
      <c r="S51" s="37"/>
      <c r="T51" s="37"/>
      <c r="U51" s="37"/>
      <c r="V51" s="37"/>
    </row>
    <row r="52" spans="13:36">
      <c r="M52" s="287"/>
      <c r="N52" s="37"/>
      <c r="O52" s="37"/>
      <c r="P52" s="37"/>
      <c r="Q52" s="37"/>
      <c r="R52" s="37"/>
      <c r="S52" s="37"/>
      <c r="T52" s="37"/>
      <c r="U52" s="37"/>
      <c r="V52" s="37"/>
    </row>
    <row r="53" spans="13:36">
      <c r="M53" s="287"/>
      <c r="N53" s="37"/>
      <c r="O53" s="37"/>
      <c r="P53" s="37"/>
      <c r="Q53" s="37"/>
      <c r="R53" s="37"/>
      <c r="S53" s="37"/>
      <c r="T53" s="37"/>
      <c r="U53" s="37"/>
      <c r="V53" s="37"/>
    </row>
    <row r="54" spans="13:36">
      <c r="M54" s="287"/>
      <c r="N54" s="37"/>
      <c r="O54" s="37"/>
      <c r="P54" s="37"/>
      <c r="Q54" s="37"/>
      <c r="R54" s="37"/>
      <c r="S54" s="37"/>
      <c r="T54" s="37"/>
      <c r="U54" s="37"/>
      <c r="V54" s="37"/>
    </row>
    <row r="55" spans="13:36">
      <c r="M55" s="287"/>
      <c r="N55" s="37"/>
      <c r="O55" s="37"/>
      <c r="P55" s="37"/>
      <c r="Q55" s="37"/>
      <c r="R55" s="37"/>
      <c r="S55" s="37"/>
      <c r="T55" s="37"/>
      <c r="U55" s="37"/>
      <c r="V55" s="37"/>
    </row>
    <row r="56" spans="13:36">
      <c r="M56" s="287"/>
      <c r="N56" s="37"/>
      <c r="O56" s="37"/>
      <c r="P56" s="37"/>
      <c r="Q56" s="37"/>
      <c r="R56" s="37"/>
      <c r="S56" s="37"/>
      <c r="T56" s="37"/>
      <c r="U56" s="37"/>
      <c r="V56" s="37"/>
    </row>
    <row r="57" spans="13:36">
      <c r="M57" s="287"/>
      <c r="N57" s="37"/>
      <c r="O57" s="37"/>
      <c r="P57" s="37"/>
      <c r="Q57" s="37"/>
      <c r="R57" s="37"/>
      <c r="S57" s="37"/>
      <c r="T57" s="37"/>
      <c r="U57" s="37"/>
      <c r="V57" s="37"/>
    </row>
    <row r="58" spans="13:36">
      <c r="M58" s="287"/>
      <c r="N58" s="37"/>
      <c r="O58" s="37"/>
      <c r="P58" s="37"/>
      <c r="Q58" s="37"/>
      <c r="R58" s="37"/>
      <c r="S58" s="37"/>
      <c r="T58" s="37"/>
      <c r="U58" s="37"/>
      <c r="V58" s="37"/>
    </row>
    <row r="59" spans="13:36">
      <c r="M59" s="287"/>
      <c r="N59" s="37"/>
      <c r="O59" s="37"/>
      <c r="P59" s="37"/>
      <c r="Q59" s="37"/>
      <c r="R59" s="37"/>
      <c r="S59" s="37"/>
      <c r="T59" s="37"/>
      <c r="U59" s="37"/>
      <c r="V59" s="37"/>
    </row>
    <row r="60" spans="13:36">
      <c r="M60" s="287"/>
      <c r="N60" s="37"/>
      <c r="O60" s="37"/>
      <c r="P60" s="37"/>
      <c r="Q60" s="37"/>
      <c r="R60" s="37"/>
      <c r="S60" s="37"/>
      <c r="T60" s="37"/>
      <c r="U60" s="37"/>
      <c r="V60" s="37"/>
    </row>
    <row r="61" spans="13:36" ht="15.75" hidden="1" customHeight="1">
      <c r="M61" s="287"/>
      <c r="N61" s="37"/>
      <c r="O61" s="37"/>
      <c r="P61" s="37"/>
      <c r="Q61" s="37"/>
      <c r="R61" s="37"/>
      <c r="S61" s="37"/>
      <c r="T61" s="37"/>
      <c r="U61" s="37"/>
      <c r="V61" s="37"/>
    </row>
    <row r="62" spans="13:36" ht="15.75" hidden="1" customHeight="1">
      <c r="M62" s="287"/>
      <c r="N62" s="37"/>
      <c r="O62" s="37"/>
      <c r="P62" s="37"/>
      <c r="Q62" s="37"/>
      <c r="R62" s="37"/>
      <c r="S62" s="37"/>
      <c r="T62" s="37"/>
      <c r="U62" s="37"/>
      <c r="V62" s="37"/>
    </row>
    <row r="63" spans="13:36" ht="15.75" hidden="1" customHeight="1">
      <c r="M63" s="287"/>
      <c r="N63" s="37"/>
      <c r="O63" s="37"/>
      <c r="P63" s="37"/>
      <c r="Q63" s="37"/>
      <c r="R63" s="37"/>
      <c r="S63" s="37"/>
      <c r="T63" s="37"/>
      <c r="U63" s="37"/>
      <c r="V63" s="37"/>
    </row>
    <row r="64" spans="13:36" ht="15.75" hidden="1" customHeight="1">
      <c r="M64" s="287"/>
      <c r="N64" s="37"/>
      <c r="O64" s="37"/>
      <c r="P64" s="37"/>
      <c r="Q64" s="37"/>
      <c r="R64" s="37"/>
      <c r="S64" s="37"/>
      <c r="T64" s="37"/>
      <c r="U64" s="37"/>
      <c r="V64" s="37"/>
    </row>
    <row r="65" spans="13:22" ht="15.75" hidden="1" customHeight="1">
      <c r="M65" s="287"/>
      <c r="N65" s="37"/>
      <c r="O65" s="37"/>
      <c r="P65" s="37"/>
      <c r="Q65" s="37"/>
      <c r="R65" s="37"/>
      <c r="S65" s="37"/>
      <c r="T65" s="37"/>
      <c r="U65" s="37"/>
      <c r="V65" s="37"/>
    </row>
    <row r="66" spans="13:22" ht="15.75" hidden="1" customHeight="1">
      <c r="M66" s="287"/>
      <c r="N66" s="37"/>
      <c r="O66" s="37"/>
      <c r="P66" s="37"/>
      <c r="Q66" s="37"/>
      <c r="R66" s="37"/>
      <c r="S66" s="37"/>
      <c r="T66" s="37"/>
      <c r="U66" s="37"/>
      <c r="V66" s="37"/>
    </row>
    <row r="67" spans="13:22" ht="15.75" hidden="1" customHeight="1">
      <c r="M67" s="287"/>
      <c r="N67" s="37"/>
      <c r="O67" s="37"/>
      <c r="P67" s="37"/>
      <c r="Q67" s="37"/>
      <c r="R67" s="37"/>
      <c r="S67" s="37"/>
      <c r="T67" s="37"/>
      <c r="U67" s="37"/>
      <c r="V67" s="37"/>
    </row>
    <row r="68" spans="13:22" ht="15.75" hidden="1" customHeight="1">
      <c r="M68" s="287"/>
      <c r="N68" s="37"/>
      <c r="O68" s="37"/>
      <c r="P68" s="37"/>
      <c r="Q68" s="37"/>
      <c r="R68" s="37"/>
      <c r="S68" s="37"/>
      <c r="T68" s="37"/>
      <c r="U68" s="37"/>
      <c r="V68" s="37"/>
    </row>
    <row r="69" spans="13:22" ht="15.75" hidden="1" customHeight="1">
      <c r="M69" s="287"/>
      <c r="N69" s="37"/>
      <c r="O69" s="37"/>
      <c r="P69" s="37"/>
      <c r="Q69" s="37"/>
      <c r="R69" s="37"/>
      <c r="S69" s="37"/>
      <c r="T69" s="37"/>
      <c r="U69" s="37"/>
      <c r="V69" s="37"/>
    </row>
    <row r="70" spans="13:22" ht="15.75" hidden="1" customHeight="1">
      <c r="M70" s="287"/>
      <c r="N70" s="37"/>
      <c r="O70" s="37"/>
      <c r="P70" s="37"/>
      <c r="Q70" s="37"/>
      <c r="R70" s="37"/>
      <c r="S70" s="37"/>
      <c r="T70" s="37"/>
      <c r="U70" s="37"/>
      <c r="V70" s="37"/>
    </row>
    <row r="71" spans="13:22" ht="15.75" hidden="1" customHeight="1">
      <c r="M71" s="287"/>
      <c r="N71" s="37"/>
      <c r="O71" s="37"/>
      <c r="P71" s="37"/>
      <c r="Q71" s="37"/>
      <c r="R71" s="37"/>
      <c r="S71" s="37"/>
      <c r="T71" s="37"/>
      <c r="U71" s="37"/>
      <c r="V71" s="37"/>
    </row>
    <row r="72" spans="13:22" ht="15.75" hidden="1" customHeight="1">
      <c r="M72" s="287"/>
      <c r="N72" s="37"/>
      <c r="O72" s="37"/>
      <c r="P72" s="37"/>
      <c r="Q72" s="37"/>
      <c r="R72" s="37"/>
      <c r="S72" s="37"/>
      <c r="T72" s="37"/>
      <c r="U72" s="37"/>
      <c r="V72" s="37"/>
    </row>
    <row r="73" spans="13:22" ht="15.75" hidden="1" customHeight="1">
      <c r="M73" s="287"/>
      <c r="N73" s="37"/>
      <c r="O73" s="37"/>
      <c r="P73" s="37"/>
      <c r="Q73" s="37"/>
      <c r="R73" s="37"/>
      <c r="S73" s="37"/>
      <c r="T73" s="37"/>
      <c r="U73" s="37"/>
      <c r="V73" s="37"/>
    </row>
    <row r="74" spans="13:22" ht="15.75" hidden="1" customHeight="1">
      <c r="M74" s="287"/>
      <c r="N74" s="37"/>
      <c r="O74" s="37"/>
      <c r="P74" s="37"/>
      <c r="Q74" s="37"/>
      <c r="R74" s="37"/>
      <c r="S74" s="37"/>
      <c r="T74" s="37"/>
      <c r="U74" s="37"/>
      <c r="V74" s="264"/>
    </row>
    <row r="75" spans="13:22" ht="15.75" hidden="1" customHeight="1">
      <c r="M75" s="287"/>
      <c r="N75" s="37"/>
      <c r="O75" s="37"/>
      <c r="P75" s="37"/>
      <c r="Q75" s="37"/>
      <c r="R75" s="37"/>
      <c r="S75" s="37"/>
      <c r="T75" s="37"/>
      <c r="U75" s="37"/>
      <c r="V75" s="264"/>
    </row>
    <row r="76" spans="13:22" ht="15.75" hidden="1" customHeight="1">
      <c r="M76" s="287"/>
      <c r="P76" s="266"/>
      <c r="R76" s="268"/>
      <c r="S76" s="268"/>
      <c r="T76" s="268"/>
      <c r="U76" s="264"/>
      <c r="V76" s="264"/>
    </row>
    <row r="77" spans="13:22" ht="15.75" hidden="1" customHeight="1">
      <c r="M77" s="287"/>
      <c r="P77" s="266"/>
      <c r="R77" s="268"/>
      <c r="S77" s="268"/>
      <c r="T77" s="268"/>
      <c r="U77" s="264"/>
      <c r="V77" s="264"/>
    </row>
    <row r="78" spans="13:22" ht="15.75" hidden="1" customHeight="1">
      <c r="M78" s="287"/>
      <c r="P78" s="266"/>
      <c r="R78" s="268"/>
      <c r="S78" s="268"/>
      <c r="T78" s="268"/>
      <c r="U78" s="264"/>
      <c r="V78" s="264"/>
    </row>
    <row r="79" spans="13:22" ht="15.75" hidden="1" customHeight="1">
      <c r="M79" s="287"/>
      <c r="P79" s="266"/>
      <c r="R79" s="268"/>
      <c r="S79" s="268"/>
      <c r="T79" s="268"/>
      <c r="U79" s="264"/>
      <c r="V79" s="264"/>
    </row>
    <row r="80" spans="13:22" ht="15.75" hidden="1" customHeight="1">
      <c r="M80" s="287"/>
      <c r="P80" s="266"/>
      <c r="R80" s="268"/>
      <c r="S80" s="268"/>
      <c r="T80" s="268"/>
      <c r="U80" s="264"/>
      <c r="V80" s="264"/>
    </row>
    <row r="81" spans="13:22" ht="15.75" hidden="1" customHeight="1">
      <c r="M81" s="287"/>
      <c r="P81" s="266"/>
      <c r="R81" s="268"/>
      <c r="S81" s="268"/>
      <c r="T81" s="268"/>
      <c r="U81" s="264"/>
      <c r="V81" s="264"/>
    </row>
    <row r="82" spans="13:22" ht="15.75" hidden="1" customHeight="1">
      <c r="M82" s="287"/>
      <c r="P82" s="266"/>
      <c r="R82" s="268"/>
      <c r="S82" s="268"/>
      <c r="T82" s="268"/>
      <c r="U82" s="264"/>
      <c r="V82" s="264"/>
    </row>
    <row r="83" spans="13:22" ht="15.75" hidden="1" customHeight="1">
      <c r="M83" s="287"/>
      <c r="P83" s="266"/>
      <c r="R83" s="268"/>
      <c r="S83" s="268"/>
      <c r="T83" s="268"/>
      <c r="U83" s="264"/>
      <c r="V83" s="264"/>
    </row>
    <row r="84" spans="13:22" ht="15.75" hidden="1" customHeight="1">
      <c r="M84" s="287"/>
      <c r="P84" s="266"/>
      <c r="R84" s="268"/>
      <c r="S84" s="268"/>
      <c r="T84" s="268"/>
      <c r="U84" s="264"/>
      <c r="V84" s="264"/>
    </row>
    <row r="85" spans="13:22" ht="15.75" hidden="1" customHeight="1">
      <c r="M85" s="287"/>
      <c r="P85" s="266"/>
      <c r="R85" s="268"/>
      <c r="S85" s="268"/>
      <c r="T85" s="268"/>
      <c r="U85" s="264"/>
      <c r="V85" s="264"/>
    </row>
    <row r="86" spans="13:22" ht="15.75" hidden="1" customHeight="1">
      <c r="M86" s="287"/>
      <c r="P86" s="266"/>
      <c r="R86" s="268"/>
      <c r="S86" s="268"/>
      <c r="T86" s="268"/>
      <c r="U86" s="264"/>
      <c r="V86" s="264"/>
    </row>
    <row r="87" spans="13:22" ht="15.75" hidden="1" customHeight="1">
      <c r="M87" s="287"/>
      <c r="P87" s="266"/>
      <c r="R87" s="268"/>
      <c r="S87" s="268"/>
      <c r="T87" s="268"/>
      <c r="U87" s="264"/>
      <c r="V87" s="264"/>
    </row>
    <row r="88" spans="13:22" ht="15.75" hidden="1" customHeight="1">
      <c r="M88" s="287"/>
      <c r="P88" s="266"/>
      <c r="R88" s="268"/>
      <c r="S88" s="268"/>
      <c r="T88" s="268"/>
      <c r="U88" s="264"/>
      <c r="V88" s="264"/>
    </row>
    <row r="89" spans="13:22" ht="15.75" hidden="1" customHeight="1">
      <c r="P89" s="266"/>
      <c r="R89" s="268"/>
      <c r="S89" s="268"/>
      <c r="T89" s="268"/>
      <c r="U89" s="264"/>
      <c r="V89" s="264"/>
    </row>
    <row r="90" spans="13:22" ht="15.75" hidden="1" customHeight="1">
      <c r="P90" s="266"/>
      <c r="R90" s="268"/>
      <c r="S90" s="268"/>
      <c r="T90" s="268"/>
      <c r="U90" s="264"/>
      <c r="V90" s="264"/>
    </row>
    <row r="91" spans="13:22" ht="15.75" hidden="1" customHeight="1">
      <c r="P91" s="266"/>
      <c r="R91" s="268"/>
      <c r="S91" s="268"/>
      <c r="T91" s="268"/>
      <c r="U91" s="264"/>
      <c r="V91" s="264"/>
    </row>
    <row r="92" spans="13:22" ht="15.75" hidden="1" customHeight="1">
      <c r="P92" s="266"/>
      <c r="R92" s="268"/>
      <c r="S92" s="268"/>
      <c r="T92" s="268"/>
      <c r="U92" s="264"/>
      <c r="V92" s="264"/>
    </row>
    <row r="93" spans="13:22" ht="15.75" hidden="1" customHeight="1">
      <c r="P93" s="266"/>
      <c r="R93" s="268"/>
      <c r="S93" s="268"/>
      <c r="T93" s="268"/>
      <c r="U93" s="264"/>
      <c r="V93" s="264"/>
    </row>
    <row r="94" spans="13:22" ht="15.75" hidden="1" customHeight="1">
      <c r="P94" s="266"/>
      <c r="R94" s="268"/>
      <c r="S94" s="268"/>
      <c r="T94" s="268"/>
      <c r="U94" s="264"/>
    </row>
    <row r="95" spans="13:22" ht="15.75" hidden="1" customHeight="1">
      <c r="P95" s="266"/>
      <c r="R95" s="268"/>
      <c r="S95" s="268"/>
      <c r="T95" s="268"/>
      <c r="U95" s="264"/>
    </row>
    <row r="96" spans="13:22" ht="15.75" hidden="1" customHeight="1">
      <c r="Q96" s="270"/>
    </row>
    <row r="97" spans="17:17" ht="15.75" hidden="1" customHeight="1">
      <c r="Q97" s="270"/>
    </row>
    <row r="98" spans="17:17" ht="15.75" hidden="1" customHeight="1">
      <c r="Q98" s="270"/>
    </row>
    <row r="99" spans="17:17" ht="15.75" hidden="1" customHeight="1">
      <c r="Q99" s="270"/>
    </row>
    <row r="100" spans="17:17" ht="15.75" hidden="1" customHeight="1">
      <c r="Q100" s="270"/>
    </row>
    <row r="101" spans="17:17" ht="15.75" hidden="1" customHeight="1">
      <c r="Q101" s="270"/>
    </row>
    <row r="102" spans="17:17" ht="15.75" hidden="1" customHeight="1">
      <c r="Q102" s="270"/>
    </row>
    <row r="103" spans="17:17" ht="15.75" hidden="1" customHeight="1">
      <c r="Q103" s="270"/>
    </row>
    <row r="104" spans="17:17" ht="15.75" hidden="1" customHeight="1">
      <c r="Q104" s="270"/>
    </row>
    <row r="105" spans="17:17" ht="15.75" hidden="1" customHeight="1">
      <c r="Q105" s="270"/>
    </row>
    <row r="106" spans="17:17" ht="15.75" hidden="1" customHeight="1">
      <c r="Q106" s="270"/>
    </row>
    <row r="107" spans="17:17" hidden="1">
      <c r="Q107" s="270"/>
    </row>
  </sheetData>
  <sheetProtection formatColumns="0" formatRows="0" selectLockedCells="1"/>
  <mergeCells count="3">
    <mergeCell ref="C4:D4"/>
    <mergeCell ref="N4:O4"/>
    <mergeCell ref="Y4:Z4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F775E5-3303-4898-918B-65C3F571CDCD}">
          <x14:formula1>
            <xm:f>_xlfn.ANCHORARRAY(DATA!$Y$11)</xm:f>
          </x14:formula1>
          <xm:sqref>I8:I32</xm:sqref>
        </x14:dataValidation>
        <x14:dataValidation type="list" allowBlank="1" showInputMessage="1" showErrorMessage="1" xr:uid="{68D4B826-35DD-4BA7-B307-991F121FD191}">
          <x14:formula1>
            <xm:f>_xlfn.ANCHORARRAY(DATA!$Z11)</xm:f>
          </x14:formula1>
          <xm:sqref>H8:H32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7664-9464-440B-A47B-2FA99586F462}">
  <sheetPr codeName="Sheet8">
    <tabColor rgb="FF0000FF"/>
  </sheetPr>
  <dimension ref="A1:AG106"/>
  <sheetViews>
    <sheetView topLeftCell="B2" workbookViewId="0"/>
  </sheetViews>
  <sheetFormatPr baseColWidth="10" defaultColWidth="9.5" defaultRowHeight="16"/>
  <cols>
    <col min="1" max="1" width="5.33203125" style="50" hidden="1" customWidth="1"/>
    <col min="2" max="2" width="4" customWidth="1"/>
    <col min="3" max="3" width="2.5" customWidth="1"/>
    <col min="4" max="4" width="6" bestFit="1" customWidth="1"/>
    <col min="5" max="5" width="6.5" customWidth="1"/>
    <col min="6" max="6" width="6.33203125" customWidth="1"/>
    <col min="7" max="7" width="6" customWidth="1"/>
    <col min="8" max="9" width="10.33203125" customWidth="1"/>
    <col min="10" max="11" width="7.83203125" customWidth="1"/>
    <col min="12" max="12" width="1.5" customWidth="1"/>
    <col min="13" max="13" width="18" style="37" customWidth="1"/>
    <col min="14" max="14" width="2" style="264" customWidth="1"/>
    <col min="15" max="15" width="24.5" style="267" customWidth="1"/>
    <col min="16" max="16" width="3.83203125" style="267" customWidth="1"/>
    <col min="17" max="17" width="11.33203125" style="267" bestFit="1" customWidth="1"/>
    <col min="18" max="18" width="11.33203125" style="266" bestFit="1" customWidth="1"/>
    <col min="19" max="20" width="11.33203125" style="265" bestFit="1" customWidth="1"/>
    <col min="21" max="21" width="14.5" style="269" bestFit="1" customWidth="1"/>
    <col min="22" max="22" width="4" style="290" customWidth="1"/>
    <col min="23" max="23" width="16" style="290" customWidth="1"/>
    <col min="24" max="24" width="2" customWidth="1"/>
    <col min="25" max="25" width="2.5" customWidth="1"/>
    <col min="26" max="26" width="13" style="201" customWidth="1"/>
    <col min="27" max="27" width="6" customWidth="1"/>
    <col min="28" max="28" width="10.5" customWidth="1"/>
    <col min="29" max="30" width="9" customWidth="1"/>
    <col min="31" max="31" width="12" customWidth="1"/>
    <col min="32" max="32" width="11" customWidth="1"/>
  </cols>
  <sheetData>
    <row r="1" spans="1:33" ht="15.75" hidden="1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N1" s="271"/>
      <c r="O1" s="272"/>
      <c r="P1" s="272"/>
      <c r="Q1" s="272"/>
      <c r="R1" s="271"/>
      <c r="S1" s="264"/>
      <c r="T1" s="264"/>
      <c r="V1" s="264"/>
      <c r="W1" s="264"/>
      <c r="AF1" s="6"/>
    </row>
    <row r="2" spans="1:33"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N2" s="271"/>
      <c r="O2" s="272"/>
      <c r="P2" s="272"/>
      <c r="Q2" s="272"/>
      <c r="R2" s="271"/>
      <c r="S2" s="264"/>
      <c r="T2" s="264"/>
      <c r="V2" s="264"/>
      <c r="W2" s="264"/>
    </row>
    <row r="3" spans="1:33" ht="17" thickBot="1">
      <c r="A3" s="48"/>
      <c r="M3" s="31"/>
      <c r="O3" s="264"/>
      <c r="P3" s="264"/>
      <c r="Q3" s="264"/>
      <c r="R3" s="264"/>
      <c r="S3" s="264"/>
      <c r="T3" s="264"/>
      <c r="U3" s="264"/>
      <c r="V3" s="264"/>
      <c r="W3" s="289"/>
    </row>
    <row r="4" spans="1:33" ht="18" thickTop="1" thickBot="1">
      <c r="A4" s="48"/>
      <c r="C4" s="1">
        <v>2</v>
      </c>
      <c r="D4" s="1"/>
      <c r="E4" s="1"/>
      <c r="F4" s="301" t="str">
        <f>'iV1'!F4</f>
        <v>Parcel Land Use &amp; Lot Product</v>
      </c>
      <c r="G4" s="301"/>
      <c r="H4" s="301"/>
      <c r="I4" s="301"/>
      <c r="J4" s="301"/>
      <c r="K4" s="301"/>
      <c r="M4" s="31"/>
      <c r="N4" s="287"/>
      <c r="O4" s="1">
        <f>C4</f>
        <v>2</v>
      </c>
      <c r="P4" s="1"/>
      <c r="Q4" s="301" t="s">
        <v>221</v>
      </c>
      <c r="R4" s="301"/>
      <c r="S4" s="301"/>
      <c r="T4" s="301"/>
      <c r="U4" s="286"/>
      <c r="V4" s="289"/>
      <c r="W4" s="289"/>
      <c r="Y4" s="306"/>
      <c r="Z4" s="314">
        <f>O4</f>
        <v>2</v>
      </c>
      <c r="AA4" s="308"/>
      <c r="AB4" s="309" t="s">
        <v>189</v>
      </c>
      <c r="AC4" s="309"/>
      <c r="AD4" s="306"/>
      <c r="AE4" s="306"/>
      <c r="AF4" s="306"/>
      <c r="AG4" s="307"/>
    </row>
    <row r="5" spans="1:33" ht="18" thickTop="1" thickBot="1">
      <c r="A5" s="48"/>
      <c r="M5" s="31"/>
      <c r="N5" s="287"/>
      <c r="O5" s="302">
        <f>O4</f>
        <v>2</v>
      </c>
      <c r="P5" s="292"/>
      <c r="Q5" s="291">
        <v>1</v>
      </c>
      <c r="R5" s="291">
        <f>Q5+1</f>
        <v>2</v>
      </c>
      <c r="S5" s="291">
        <f>R5+1</f>
        <v>3</v>
      </c>
      <c r="T5" s="291">
        <f>S5+1</f>
        <v>4</v>
      </c>
      <c r="U5" s="286"/>
      <c r="V5" s="289"/>
      <c r="W5" s="289"/>
      <c r="Y5" s="312" t="s">
        <v>195</v>
      </c>
      <c r="Z5" s="313"/>
      <c r="AA5" s="304"/>
      <c r="AB5" s="304"/>
      <c r="AC5" s="305">
        <v>1</v>
      </c>
      <c r="AE5" s="310"/>
      <c r="AF5" s="310"/>
      <c r="AG5" s="311"/>
    </row>
    <row r="6" spans="1:33" ht="18" thickTop="1" thickBot="1">
      <c r="A6" s="48"/>
      <c r="C6" s="29"/>
      <c r="J6" s="185" t="s">
        <v>157</v>
      </c>
      <c r="K6" s="186"/>
      <c r="M6" s="31"/>
      <c r="N6" s="287"/>
      <c r="O6" s="273"/>
      <c r="P6" s="273"/>
      <c r="Q6" s="273"/>
      <c r="R6" s="273"/>
      <c r="S6" s="273"/>
      <c r="T6" s="273"/>
      <c r="U6" s="286"/>
      <c r="V6" s="289"/>
      <c r="W6" s="289"/>
      <c r="AD6" s="185" t="s">
        <v>159</v>
      </c>
      <c r="AE6" s="303" t="s">
        <v>225</v>
      </c>
      <c r="AF6" s="303" t="s">
        <v>159</v>
      </c>
      <c r="AG6" s="303" t="str">
        <f>AE6</f>
        <v>Proceeds</v>
      </c>
    </row>
    <row r="7" spans="1:33" ht="18" thickTop="1" thickBot="1">
      <c r="A7" s="48"/>
      <c r="C7" s="14" t="s">
        <v>7</v>
      </c>
      <c r="D7" s="15" t="s">
        <v>69</v>
      </c>
      <c r="E7" s="15" t="s">
        <v>41</v>
      </c>
      <c r="F7" s="15" t="s">
        <v>17</v>
      </c>
      <c r="G7" s="15" t="s">
        <v>145</v>
      </c>
      <c r="H7" s="15" t="s">
        <v>39</v>
      </c>
      <c r="I7" s="15" t="s">
        <v>40</v>
      </c>
      <c r="J7" s="15" t="s">
        <v>158</v>
      </c>
      <c r="K7" s="15" t="s">
        <v>159</v>
      </c>
      <c r="M7" s="31"/>
      <c r="N7" s="287"/>
      <c r="O7" s="277" t="s">
        <v>214</v>
      </c>
      <c r="P7" s="279"/>
      <c r="Q7" s="276">
        <v>6</v>
      </c>
      <c r="R7" s="275">
        <v>18</v>
      </c>
      <c r="S7" s="275">
        <v>36</v>
      </c>
      <c r="T7" s="275">
        <v>60</v>
      </c>
      <c r="U7" s="286"/>
      <c r="V7" s="289"/>
      <c r="W7" s="289"/>
      <c r="Y7" s="167" t="s">
        <v>43</v>
      </c>
      <c r="Z7" s="158" t="s">
        <v>33</v>
      </c>
      <c r="AA7" s="198" t="s">
        <v>194</v>
      </c>
      <c r="AB7" s="168" t="s">
        <v>39</v>
      </c>
      <c r="AC7" s="168" t="s">
        <v>17</v>
      </c>
      <c r="AD7" s="15" t="s">
        <v>193</v>
      </c>
      <c r="AE7" s="169" t="s">
        <v>226</v>
      </c>
      <c r="AF7" s="169" t="s">
        <v>6</v>
      </c>
      <c r="AG7" s="169" t="s">
        <v>227</v>
      </c>
    </row>
    <row r="8" spans="1:33" ht="18" thickTop="1" thickBot="1">
      <c r="A8" s="48"/>
      <c r="C8" s="94">
        <v>1</v>
      </c>
      <c r="D8" s="154" t="str" cm="1">
        <f t="array" ref="D8:D14">_xlfn._xlws.FILTER(tbl_Parcels[Parcel],tbl_Parcels[Village]=C4,0)</f>
        <v>2.16</v>
      </c>
      <c r="E8" s="155" t="str">
        <f>IFERROR(_xlfn.XLOOKUP(D8,tbl_Parcels[Parcel],tbl_Parcels[Use]),0)</f>
        <v>MHDR</v>
      </c>
      <c r="F8" s="155">
        <f>IFERROR(LOOKUP(D8,tbl_Parcels[Parcel],tbl_Parcels[Acres]),0)</f>
        <v>31.85</v>
      </c>
      <c r="G8" s="155">
        <f>IFERROR(LOOKUP('V2'!$H8,Table4[Product],Table4[DUA]),0)</f>
        <v>3.4484999999999997</v>
      </c>
      <c r="H8" s="145" t="s">
        <v>92</v>
      </c>
      <c r="I8" s="145">
        <f>IFERROR(INT(LOOKUP('V2'!$H8,lst_LotProducts,lst_ProductDUA)*'V2'!$F8),0)</f>
        <v>109</v>
      </c>
      <c r="J8" s="22">
        <v>1</v>
      </c>
      <c r="K8" s="153"/>
      <c r="M8" s="31"/>
      <c r="N8" s="287"/>
      <c r="O8" s="277" t="s">
        <v>213</v>
      </c>
      <c r="P8" s="279"/>
      <c r="Q8" s="276">
        <v>12</v>
      </c>
      <c r="R8" s="275">
        <v>8</v>
      </c>
      <c r="S8" s="275">
        <v>10</v>
      </c>
      <c r="T8" s="275">
        <v>6</v>
      </c>
      <c r="U8" s="286"/>
      <c r="V8" s="289"/>
      <c r="W8" s="287"/>
      <c r="Y8" s="166">
        <v>1</v>
      </c>
      <c r="Z8" s="202" t="str" cm="1">
        <f t="array" ref="Z8:Z14">_xlfn.UNIQUE(_xlfn._xlws.FILTER(D8:D32,D8:D32&lt;&gt;0))</f>
        <v>2.16</v>
      </c>
      <c r="AA8" s="199">
        <f>IFERROR(LOOKUP(Z8,$D$8:$D$32,$I$8:$I$32),0)</f>
        <v>109</v>
      </c>
      <c r="AB8" s="200" t="str">
        <f>IFERROR(_xlfn.XLOOKUP($Z8,$D$8:$D$32,$H$8:$H$32),0)</f>
        <v>60x120</v>
      </c>
      <c r="AC8" s="200">
        <f>IFERROR(_xlfn.XLOOKUP($Z8,$D$6:$D$30,$F$6:$F$30),0)</f>
        <v>31.85</v>
      </c>
      <c r="AD8" s="208">
        <v>1</v>
      </c>
      <c r="AE8" s="200"/>
      <c r="AF8" s="200"/>
      <c r="AG8" s="200"/>
    </row>
    <row r="9" spans="1:33" ht="18" thickTop="1" thickBot="1">
      <c r="A9" s="48"/>
      <c r="C9" s="95">
        <v>2</v>
      </c>
      <c r="D9" s="154" t="str">
        <v>2.17</v>
      </c>
      <c r="E9" s="155" t="str">
        <f>IFERROR(_xlfn.XLOOKUP(D9,tbl_Parcels[Parcel],tbl_Parcels[Use]),0)</f>
        <v>MU</v>
      </c>
      <c r="F9" s="155">
        <f>IFERROR(LOOKUP(D9,tbl_Parcels[Parcel],tbl_Parcels[Acres]),0)</f>
        <v>31.04</v>
      </c>
      <c r="G9" s="155">
        <f>IFERROR(LOOKUP('V2'!$H9,Table4[Product],Table4[DUA]),0)</f>
        <v>3.3105599999999997</v>
      </c>
      <c r="H9" s="145" t="s">
        <v>146</v>
      </c>
      <c r="I9" s="145">
        <f>IFERROR(INT(LOOKUP('V2'!$H9,lst_LotProducts,lst_ProductDUA)*'V2'!$F9),0)</f>
        <v>102</v>
      </c>
      <c r="J9" s="22">
        <v>1</v>
      </c>
      <c r="K9" s="153"/>
      <c r="M9" s="31"/>
      <c r="N9" s="287"/>
      <c r="O9" s="287"/>
      <c r="P9" s="287"/>
      <c r="Q9" s="287"/>
      <c r="R9" s="287"/>
      <c r="S9" s="287"/>
      <c r="T9" s="287"/>
      <c r="U9" s="293" t="s">
        <v>78</v>
      </c>
      <c r="V9" s="287"/>
      <c r="W9" s="287"/>
      <c r="Y9" s="166">
        <f t="shared" ref="Y9:Y32" si="0">Y8+1</f>
        <v>2</v>
      </c>
      <c r="Z9" s="202" t="str">
        <v>2.17</v>
      </c>
      <c r="AA9" s="199">
        <f t="shared" ref="AA9:AA32" si="1">IFERROR(LOOKUP(Z9,$D$8:$D$32,$I$8:$I$32),0)</f>
        <v>102</v>
      </c>
      <c r="AB9" s="200" t="str">
        <f t="shared" ref="AB9:AB32" si="2">IFERROR(_xlfn.XLOOKUP($Z9,$D$8:$D$32,$H$8:$H$32),0)</f>
        <v>60x125</v>
      </c>
      <c r="AC9" s="200">
        <f t="shared" ref="AC9:AC32" si="3">IFERROR(_xlfn.XLOOKUP($Z9,$D$6:$D$30,$F$6:$F$30),0)</f>
        <v>31.04</v>
      </c>
      <c r="AD9" s="208">
        <v>1</v>
      </c>
      <c r="AE9" s="200"/>
      <c r="AF9" s="200"/>
      <c r="AG9" s="200"/>
    </row>
    <row r="10" spans="1:33" ht="18" thickTop="1" thickBot="1">
      <c r="A10" s="48"/>
      <c r="C10" s="94">
        <v>3</v>
      </c>
      <c r="D10" s="154" t="str">
        <v>2.18</v>
      </c>
      <c r="E10" s="155" t="str">
        <f>IFERROR(_xlfn.XLOOKUP(D10,tbl_Parcels[Parcel],tbl_Parcels[Use]),0)</f>
        <v>MHDR</v>
      </c>
      <c r="F10" s="155">
        <f>IFERROR(LOOKUP(D10,tbl_Parcels[Parcel],tbl_Parcels[Acres]),0)</f>
        <v>27.56</v>
      </c>
      <c r="G10" s="155">
        <f>IFERROR(LOOKUP('V2'!$H10,Table4[Product],Table4[DUA]),0)</f>
        <v>5.016</v>
      </c>
      <c r="H10" s="145" t="s">
        <v>144</v>
      </c>
      <c r="I10" s="145">
        <f>IFERROR(INT(LOOKUP('V2'!$H10,lst_LotProducts,lst_ProductDUA)*'V2'!$F10),0)</f>
        <v>138</v>
      </c>
      <c r="J10" s="22">
        <v>1</v>
      </c>
      <c r="K10" s="153"/>
      <c r="M10" s="31"/>
      <c r="N10" s="287"/>
      <c r="O10" s="278" t="s">
        <v>215</v>
      </c>
      <c r="P10" s="283" t="s">
        <v>220</v>
      </c>
      <c r="Q10" s="274">
        <v>0</v>
      </c>
      <c r="R10" s="274">
        <v>0</v>
      </c>
      <c r="S10" s="274">
        <v>0</v>
      </c>
      <c r="T10" s="274">
        <v>0</v>
      </c>
      <c r="U10" s="288">
        <f t="shared" ref="U10:U32" si="4">Q10+R10+S10+T10</f>
        <v>0</v>
      </c>
      <c r="V10" s="287"/>
      <c r="Y10" s="166">
        <f t="shared" si="0"/>
        <v>3</v>
      </c>
      <c r="Z10" s="202" t="str">
        <v>2.18</v>
      </c>
      <c r="AA10" s="199">
        <f t="shared" si="1"/>
        <v>138</v>
      </c>
      <c r="AB10" s="200" t="str">
        <f t="shared" si="2"/>
        <v>45x110</v>
      </c>
      <c r="AC10" s="200">
        <f t="shared" si="3"/>
        <v>27.56</v>
      </c>
      <c r="AD10" s="208">
        <v>1</v>
      </c>
      <c r="AE10" s="200"/>
      <c r="AF10" s="200"/>
      <c r="AG10" s="200"/>
    </row>
    <row r="11" spans="1:33" ht="18" thickTop="1" thickBot="1">
      <c r="A11" s="48"/>
      <c r="C11" s="95">
        <v>4</v>
      </c>
      <c r="D11" s="154" t="str">
        <v>2.19</v>
      </c>
      <c r="E11" s="155" t="str">
        <f>IFERROR(_xlfn.XLOOKUP(D11,tbl_Parcels[Parcel],tbl_Parcels[Use]),0)</f>
        <v>MU</v>
      </c>
      <c r="F11" s="155">
        <f>IFERROR(LOOKUP(D11,tbl_Parcels[Parcel],tbl_Parcels[Acres]),0)</f>
        <v>21.86</v>
      </c>
      <c r="G11" s="155">
        <f>IFERROR(LOOKUP('V2'!$H11,Table4[Product],Table4[DUA]),0)</f>
        <v>5.016</v>
      </c>
      <c r="H11" s="145" t="s">
        <v>144</v>
      </c>
      <c r="I11" s="145">
        <f>IFERROR(INT(LOOKUP('V2'!$H11,lst_LotProducts,lst_ProductDUA)*'V2'!$F11),0)</f>
        <v>109</v>
      </c>
      <c r="J11" s="22">
        <v>1</v>
      </c>
      <c r="K11" s="153"/>
      <c r="M11" s="300" t="s">
        <v>222</v>
      </c>
      <c r="N11" s="287"/>
      <c r="O11" s="278" t="s">
        <v>53</v>
      </c>
      <c r="P11" s="278"/>
      <c r="Q11" s="282">
        <v>5000000</v>
      </c>
      <c r="R11" s="282">
        <v>2500000</v>
      </c>
      <c r="S11" s="282">
        <v>1500000</v>
      </c>
      <c r="T11" s="282">
        <v>3000000</v>
      </c>
      <c r="U11" s="288">
        <f t="shared" si="4"/>
        <v>12000000</v>
      </c>
      <c r="V11" s="287"/>
      <c r="W11" s="300" t="s">
        <v>222</v>
      </c>
      <c r="Y11" s="166">
        <f t="shared" si="0"/>
        <v>4</v>
      </c>
      <c r="Z11" s="202" t="str">
        <v>2.19</v>
      </c>
      <c r="AA11" s="199">
        <f t="shared" si="1"/>
        <v>109</v>
      </c>
      <c r="AB11" s="200" t="str">
        <f t="shared" si="2"/>
        <v>45x110</v>
      </c>
      <c r="AC11" s="200">
        <f t="shared" si="3"/>
        <v>21.86</v>
      </c>
      <c r="AD11" s="208">
        <v>1</v>
      </c>
      <c r="AE11" s="200"/>
      <c r="AF11" s="200"/>
      <c r="AG11" s="200"/>
    </row>
    <row r="12" spans="1:33" ht="18" thickTop="1" thickBot="1">
      <c r="A12" s="48"/>
      <c r="C12" s="95">
        <v>5</v>
      </c>
      <c r="D12" s="154" t="str">
        <v>2.20</v>
      </c>
      <c r="E12" s="155" t="str">
        <f>IFERROR(_xlfn.XLOOKUP(D12,tbl_Parcels[Parcel],tbl_Parcels[Use]),0)</f>
        <v>MU</v>
      </c>
      <c r="F12" s="155">
        <f>IFERROR(LOOKUP(D12,tbl_Parcels[Parcel],tbl_Parcels[Acres]),0)</f>
        <v>35.51</v>
      </c>
      <c r="G12" s="155">
        <f>IFERROR(LOOKUP('V2'!$H12,Table4[Product],Table4[DUA]),0)</f>
        <v>3.3105599999999997</v>
      </c>
      <c r="H12" s="145" t="s">
        <v>146</v>
      </c>
      <c r="I12" s="145">
        <f>IFERROR(INT(LOOKUP('V2'!$H12,lst_LotProducts,lst_ProductDUA)*'V2'!$F12),0)</f>
        <v>117</v>
      </c>
      <c r="J12" s="22">
        <v>1</v>
      </c>
      <c r="K12" s="153"/>
      <c r="M12" s="300" t="s">
        <v>223</v>
      </c>
      <c r="N12" s="287"/>
      <c r="O12" s="278" t="s">
        <v>96</v>
      </c>
      <c r="P12" s="278"/>
      <c r="Q12" s="274">
        <v>0</v>
      </c>
      <c r="R12" s="274">
        <v>0</v>
      </c>
      <c r="S12" s="274">
        <v>0</v>
      </c>
      <c r="T12" s="274">
        <v>0</v>
      </c>
      <c r="U12" s="288">
        <f t="shared" si="4"/>
        <v>0</v>
      </c>
      <c r="V12" s="287"/>
      <c r="W12" s="300" t="s">
        <v>223</v>
      </c>
      <c r="Y12" s="166">
        <f t="shared" si="0"/>
        <v>5</v>
      </c>
      <c r="Z12" s="202" t="str">
        <v>2.20</v>
      </c>
      <c r="AA12" s="199">
        <f t="shared" si="1"/>
        <v>117</v>
      </c>
      <c r="AB12" s="200" t="str">
        <f t="shared" si="2"/>
        <v>60x125</v>
      </c>
      <c r="AC12" s="200">
        <f t="shared" si="3"/>
        <v>35.51</v>
      </c>
      <c r="AD12" s="208">
        <v>1</v>
      </c>
      <c r="AE12" s="200"/>
      <c r="AF12" s="200"/>
      <c r="AG12" s="200"/>
    </row>
    <row r="13" spans="1:33" ht="18" thickTop="1" thickBot="1">
      <c r="A13" s="48"/>
      <c r="C13" s="95">
        <v>6</v>
      </c>
      <c r="D13" s="154" t="str">
        <v>2.21</v>
      </c>
      <c r="E13" s="155" t="str">
        <f>IFERROR(_xlfn.XLOOKUP(D13,tbl_Parcels[Parcel],tbl_Parcels[Use]),0)</f>
        <v>MU</v>
      </c>
      <c r="F13" s="155">
        <f>IFERROR(LOOKUP(D13,tbl_Parcels[Parcel],tbl_Parcels[Acres]),0)</f>
        <v>43.89</v>
      </c>
      <c r="G13" s="155">
        <f>IFERROR(LOOKUP('V2'!$H13,Table4[Product],Table4[DUA]),0)</f>
        <v>3.9726719999999998</v>
      </c>
      <c r="H13" s="145" t="s">
        <v>148</v>
      </c>
      <c r="I13" s="145">
        <f>IFERROR(INT(LOOKUP('V2'!$H13,lst_LotProducts,lst_ProductDUA)*'V2'!$F13),0)</f>
        <v>174</v>
      </c>
      <c r="J13" s="22">
        <v>1</v>
      </c>
      <c r="K13" s="153"/>
      <c r="M13" s="31"/>
      <c r="N13" s="287"/>
      <c r="O13" s="278" t="s">
        <v>218</v>
      </c>
      <c r="P13" s="278"/>
      <c r="Q13" s="274">
        <v>0</v>
      </c>
      <c r="R13" s="274">
        <v>0</v>
      </c>
      <c r="S13" s="274">
        <v>0</v>
      </c>
      <c r="T13" s="274">
        <v>0</v>
      </c>
      <c r="U13" s="288">
        <f t="shared" si="4"/>
        <v>0</v>
      </c>
      <c r="V13" s="287"/>
      <c r="W13" s="287"/>
      <c r="Y13" s="166">
        <f t="shared" si="0"/>
        <v>6</v>
      </c>
      <c r="Z13" s="202" t="str">
        <v>2.21</v>
      </c>
      <c r="AA13" s="199">
        <f t="shared" si="1"/>
        <v>174</v>
      </c>
      <c r="AB13" s="200" t="str">
        <f t="shared" si="2"/>
        <v>50x125</v>
      </c>
      <c r="AC13" s="200">
        <f t="shared" si="3"/>
        <v>43.89</v>
      </c>
      <c r="AD13" s="208">
        <v>1</v>
      </c>
      <c r="AE13" s="200"/>
      <c r="AF13" s="200"/>
      <c r="AG13" s="200"/>
    </row>
    <row r="14" spans="1:33" ht="18" thickTop="1" thickBot="1">
      <c r="A14" s="48"/>
      <c r="C14" s="95">
        <v>7</v>
      </c>
      <c r="D14" s="154" t="str">
        <v>2.22</v>
      </c>
      <c r="E14" s="155" t="str">
        <f>IFERROR(_xlfn.XLOOKUP(D14,tbl_Parcels[Parcel],tbl_Parcels[Use]),0)</f>
        <v>MU</v>
      </c>
      <c r="F14" s="155">
        <f>IFERROR(LOOKUP(D14,tbl_Parcels[Parcel],tbl_Parcels[Acres]),0)</f>
        <v>31.59</v>
      </c>
      <c r="G14" s="155">
        <f>IFERROR(LOOKUP('V2'!$H14,Table4[Product],Table4[DUA]),0)</f>
        <v>4.5979999999999999</v>
      </c>
      <c r="H14" s="145" t="s">
        <v>147</v>
      </c>
      <c r="I14" s="145">
        <f>IFERROR(INT(LOOKUP('V2'!$H14,lst_LotProducts,lst_ProductDUA)*'V2'!$F14),0)</f>
        <v>145</v>
      </c>
      <c r="J14" s="22">
        <v>1</v>
      </c>
      <c r="K14" s="153"/>
      <c r="M14" s="31"/>
      <c r="N14" s="287"/>
      <c r="O14" s="278" t="s">
        <v>216</v>
      </c>
      <c r="P14" s="278"/>
      <c r="Q14" s="274">
        <v>0</v>
      </c>
      <c r="R14" s="274">
        <v>0</v>
      </c>
      <c r="S14" s="274">
        <v>0</v>
      </c>
      <c r="T14" s="274">
        <v>0</v>
      </c>
      <c r="U14" s="288">
        <f t="shared" si="4"/>
        <v>0</v>
      </c>
      <c r="V14" s="287"/>
      <c r="W14" s="287"/>
      <c r="Y14" s="166">
        <f t="shared" si="0"/>
        <v>7</v>
      </c>
      <c r="Z14" s="202" t="str">
        <v>2.22</v>
      </c>
      <c r="AA14" s="199">
        <f t="shared" si="1"/>
        <v>145</v>
      </c>
      <c r="AB14" s="200" t="str">
        <f t="shared" si="2"/>
        <v>45x120</v>
      </c>
      <c r="AC14" s="200">
        <f t="shared" si="3"/>
        <v>31.59</v>
      </c>
      <c r="AD14" s="208">
        <v>1</v>
      </c>
      <c r="AE14" s="200"/>
      <c r="AF14" s="200"/>
      <c r="AG14" s="200"/>
    </row>
    <row r="15" spans="1:33" ht="18" thickTop="1" thickBot="1">
      <c r="A15" s="48"/>
      <c r="C15" s="95">
        <v>8</v>
      </c>
      <c r="D15" s="154"/>
      <c r="E15" s="155">
        <f>IFERROR(_xlfn.XLOOKUP(D15,tbl_Parcels[Parcel],tbl_Parcels[Use]),0)</f>
        <v>0</v>
      </c>
      <c r="F15" s="155">
        <f>IFERROR(LOOKUP(D15,tbl_Parcels[Parcel],tbl_Parcels[Acres]),0)</f>
        <v>0</v>
      </c>
      <c r="G15" s="155">
        <f>IFERROR(LOOKUP('V2'!$H15,Table4[Product],Table4[DUA]),0)</f>
        <v>0</v>
      </c>
      <c r="H15" s="145"/>
      <c r="I15" s="145">
        <f>IFERROR(INT(LOOKUP('V2'!$H15,lst_LotProducts,lst_ProductDUA)*'V2'!$F15),0)</f>
        <v>0</v>
      </c>
      <c r="J15" s="22">
        <v>1</v>
      </c>
      <c r="K15" s="153"/>
      <c r="M15" s="31"/>
      <c r="N15" s="287"/>
      <c r="O15" s="278" t="s">
        <v>217</v>
      </c>
      <c r="P15" s="278"/>
      <c r="Q15" s="274">
        <v>0</v>
      </c>
      <c r="R15" s="274">
        <v>0</v>
      </c>
      <c r="S15" s="274">
        <v>0</v>
      </c>
      <c r="T15" s="274">
        <v>0</v>
      </c>
      <c r="U15" s="288">
        <f t="shared" si="4"/>
        <v>0</v>
      </c>
      <c r="V15" s="287"/>
      <c r="W15" s="287"/>
      <c r="Y15" s="166">
        <f t="shared" si="0"/>
        <v>8</v>
      </c>
      <c r="Z15" s="202"/>
      <c r="AA15" s="199">
        <f t="shared" si="1"/>
        <v>0</v>
      </c>
      <c r="AB15" s="200">
        <f t="shared" si="2"/>
        <v>0</v>
      </c>
      <c r="AC15" s="200">
        <f t="shared" si="3"/>
        <v>0</v>
      </c>
      <c r="AD15" s="208">
        <v>2</v>
      </c>
      <c r="AE15" s="200"/>
      <c r="AF15" s="200"/>
      <c r="AG15" s="200"/>
    </row>
    <row r="16" spans="1:33" ht="18" thickTop="1" thickBot="1">
      <c r="A16" s="48"/>
      <c r="C16" s="95">
        <v>9</v>
      </c>
      <c r="D16" s="154"/>
      <c r="E16" s="155">
        <f>IFERROR(_xlfn.XLOOKUP(D16,tbl_Parcels[Parcel],tbl_Parcels[Use]),0)</f>
        <v>0</v>
      </c>
      <c r="F16" s="155">
        <f>IFERROR(LOOKUP(D16,tbl_Parcels[Parcel],tbl_Parcels[Acres]),0)</f>
        <v>0</v>
      </c>
      <c r="G16" s="155">
        <f>IFERROR(LOOKUP('V2'!$H16,Table4[Product],Table4[DUA]),0)</f>
        <v>0</v>
      </c>
      <c r="H16" s="145"/>
      <c r="I16" s="145">
        <f>IFERROR(INT(LOOKUP('V2'!$H16,lst_LotProducts,lst_ProductDUA)*'V2'!$F16),0)</f>
        <v>0</v>
      </c>
      <c r="J16" s="22">
        <v>2</v>
      </c>
      <c r="K16" s="153"/>
      <c r="M16" s="31"/>
      <c r="N16" s="287"/>
      <c r="O16" s="278" t="s">
        <v>219</v>
      </c>
      <c r="P16" s="278"/>
      <c r="Q16" s="274">
        <v>0</v>
      </c>
      <c r="R16" s="274">
        <v>0</v>
      </c>
      <c r="S16" s="274">
        <v>0</v>
      </c>
      <c r="T16" s="274">
        <v>0</v>
      </c>
      <c r="U16" s="288">
        <f t="shared" si="4"/>
        <v>0</v>
      </c>
      <c r="V16" s="287"/>
      <c r="W16" s="287"/>
      <c r="Y16" s="166">
        <f t="shared" si="0"/>
        <v>9</v>
      </c>
      <c r="Z16" s="202"/>
      <c r="AA16" s="199">
        <f t="shared" si="1"/>
        <v>0</v>
      </c>
      <c r="AB16" s="200">
        <f t="shared" si="2"/>
        <v>0</v>
      </c>
      <c r="AC16" s="200">
        <f t="shared" si="3"/>
        <v>0</v>
      </c>
      <c r="AD16" s="208">
        <v>2</v>
      </c>
      <c r="AE16" s="200"/>
      <c r="AF16" s="200"/>
      <c r="AG16" s="200"/>
    </row>
    <row r="17" spans="1:33" ht="18" thickTop="1" thickBot="1">
      <c r="A17" s="48"/>
      <c r="C17" s="95">
        <v>10</v>
      </c>
      <c r="D17" s="154"/>
      <c r="E17" s="155">
        <f>IFERROR(_xlfn.XLOOKUP(D17,tbl_Parcels[Parcel],tbl_Parcels[Use]),0)</f>
        <v>0</v>
      </c>
      <c r="F17" s="155">
        <f>IFERROR(LOOKUP(D17,tbl_Parcels[Parcel],tbl_Parcels[Acres]),0)</f>
        <v>0</v>
      </c>
      <c r="G17" s="155">
        <f>IFERROR(LOOKUP('V2'!$H17,Table4[Product],Table4[DUA]),0)</f>
        <v>0</v>
      </c>
      <c r="H17" s="145"/>
      <c r="I17" s="145">
        <f>IFERROR(INT(LOOKUP('V2'!$H17,lst_LotProducts,lst_ProductDUA)*'V2'!$F17),0)</f>
        <v>0</v>
      </c>
      <c r="J17" s="22">
        <v>2</v>
      </c>
      <c r="K17" s="153"/>
      <c r="M17" s="31"/>
      <c r="N17" s="287"/>
      <c r="O17" s="278" t="s">
        <v>29</v>
      </c>
      <c r="P17" s="278"/>
      <c r="Q17" s="274">
        <v>0</v>
      </c>
      <c r="R17" s="274">
        <v>0</v>
      </c>
      <c r="S17" s="274">
        <v>0</v>
      </c>
      <c r="T17" s="274">
        <v>0</v>
      </c>
      <c r="U17" s="288">
        <f t="shared" si="4"/>
        <v>0</v>
      </c>
      <c r="V17" s="287"/>
      <c r="W17" s="287"/>
      <c r="Y17" s="166">
        <f t="shared" si="0"/>
        <v>10</v>
      </c>
      <c r="Z17" s="202"/>
      <c r="AA17" s="199">
        <f t="shared" si="1"/>
        <v>0</v>
      </c>
      <c r="AB17" s="200">
        <f t="shared" si="2"/>
        <v>0</v>
      </c>
      <c r="AC17" s="200">
        <f t="shared" si="3"/>
        <v>0</v>
      </c>
      <c r="AD17" s="208">
        <v>2</v>
      </c>
      <c r="AE17" s="200"/>
      <c r="AF17" s="200"/>
      <c r="AG17" s="200"/>
    </row>
    <row r="18" spans="1:33" ht="18" thickTop="1" thickBot="1">
      <c r="A18" s="48"/>
      <c r="C18" s="95">
        <v>11</v>
      </c>
      <c r="D18" s="154"/>
      <c r="E18" s="155">
        <f>IFERROR(_xlfn.XLOOKUP(D18,tbl_Parcels[Parcel],tbl_Parcels[Use]),0)</f>
        <v>0</v>
      </c>
      <c r="F18" s="155">
        <f>IFERROR(LOOKUP(D18,tbl_Parcels[Parcel],tbl_Parcels[Acres]),0)</f>
        <v>0</v>
      </c>
      <c r="G18" s="155">
        <f>IFERROR(LOOKUP('V2'!$H18,Table4[Product],Table4[DUA]),0)</f>
        <v>0</v>
      </c>
      <c r="H18" s="145"/>
      <c r="I18" s="145">
        <f>IFERROR(INT(LOOKUP('V2'!$H18,lst_LotProducts,lst_ProductDUA)*'V2'!$F18),0)</f>
        <v>0</v>
      </c>
      <c r="J18" s="22">
        <v>2</v>
      </c>
      <c r="K18" s="153"/>
      <c r="M18" s="31"/>
      <c r="N18" s="287"/>
      <c r="O18" s="278"/>
      <c r="P18" s="278"/>
      <c r="Q18" s="274">
        <v>0</v>
      </c>
      <c r="R18" s="274">
        <v>0</v>
      </c>
      <c r="S18" s="274">
        <v>0</v>
      </c>
      <c r="T18" s="274">
        <v>0</v>
      </c>
      <c r="U18" s="288">
        <f t="shared" si="4"/>
        <v>0</v>
      </c>
      <c r="V18" s="287"/>
      <c r="W18" s="287"/>
      <c r="Y18" s="166">
        <f t="shared" si="0"/>
        <v>11</v>
      </c>
      <c r="Z18" s="202"/>
      <c r="AA18" s="199">
        <f t="shared" si="1"/>
        <v>0</v>
      </c>
      <c r="AB18" s="200">
        <f t="shared" si="2"/>
        <v>0</v>
      </c>
      <c r="AC18" s="200">
        <f t="shared" si="3"/>
        <v>0</v>
      </c>
      <c r="AD18" s="208">
        <v>2</v>
      </c>
      <c r="AE18" s="200"/>
      <c r="AF18" s="200"/>
      <c r="AG18" s="200"/>
    </row>
    <row r="19" spans="1:33" ht="18" thickTop="1" thickBot="1">
      <c r="A19" s="48"/>
      <c r="C19" s="95">
        <v>12</v>
      </c>
      <c r="D19" s="154"/>
      <c r="E19" s="155">
        <f>IFERROR(_xlfn.XLOOKUP(D19,tbl_Parcels[Parcel],tbl_Parcels[Use]),0)</f>
        <v>0</v>
      </c>
      <c r="F19" s="155">
        <f>IFERROR(LOOKUP(D19,tbl_Parcels[Parcel],tbl_Parcels[Acres]),0)</f>
        <v>0</v>
      </c>
      <c r="G19" s="155">
        <f>IFERROR(LOOKUP('V2'!$H19,Table4[Product],Table4[DUA]),0)</f>
        <v>0</v>
      </c>
      <c r="H19" s="145"/>
      <c r="I19" s="145">
        <f>IFERROR(INT(LOOKUP('V2'!$H19,lst_LotProducts,lst_ProductDUA)*'V2'!$F19),0)</f>
        <v>0</v>
      </c>
      <c r="J19" s="22">
        <v>2</v>
      </c>
      <c r="K19" s="153"/>
      <c r="M19" s="31"/>
      <c r="N19" s="287"/>
      <c r="O19" s="278"/>
      <c r="P19" s="278"/>
      <c r="Q19" s="274">
        <v>0</v>
      </c>
      <c r="R19" s="274">
        <v>0</v>
      </c>
      <c r="S19" s="274">
        <v>0</v>
      </c>
      <c r="T19" s="274">
        <v>0</v>
      </c>
      <c r="U19" s="288">
        <f t="shared" si="4"/>
        <v>0</v>
      </c>
      <c r="V19" s="287"/>
      <c r="W19" s="287"/>
      <c r="Y19" s="166">
        <f t="shared" si="0"/>
        <v>12</v>
      </c>
      <c r="Z19" s="202"/>
      <c r="AA19" s="199">
        <f t="shared" si="1"/>
        <v>0</v>
      </c>
      <c r="AB19" s="200">
        <f t="shared" si="2"/>
        <v>0</v>
      </c>
      <c r="AC19" s="200">
        <f t="shared" si="3"/>
        <v>0</v>
      </c>
      <c r="AD19" s="208">
        <v>2</v>
      </c>
      <c r="AE19" s="200"/>
      <c r="AF19" s="200"/>
      <c r="AG19" s="200"/>
    </row>
    <row r="20" spans="1:33" ht="18" thickTop="1" thickBot="1">
      <c r="A20" s="48"/>
      <c r="C20" s="95">
        <v>13</v>
      </c>
      <c r="D20" s="154"/>
      <c r="E20" s="155">
        <f>IFERROR(_xlfn.XLOOKUP(D20,tbl_Parcels[Parcel],tbl_Parcels[Use]),0)</f>
        <v>0</v>
      </c>
      <c r="F20" s="155">
        <f>IFERROR(LOOKUP(D20,tbl_Parcels[Parcel],tbl_Parcels[Acres]),0)</f>
        <v>0</v>
      </c>
      <c r="G20" s="155">
        <f>IFERROR(LOOKUP('V2'!$H20,Table4[Product],Table4[DUA]),0)</f>
        <v>0</v>
      </c>
      <c r="H20" s="145"/>
      <c r="I20" s="145">
        <f>IFERROR(INT(LOOKUP('V2'!$H20,lst_LotProducts,lst_ProductDUA)*'V2'!$F20),0)</f>
        <v>0</v>
      </c>
      <c r="J20" s="22">
        <v>2</v>
      </c>
      <c r="K20" s="153"/>
      <c r="M20" s="31"/>
      <c r="N20" s="287"/>
      <c r="O20" s="278"/>
      <c r="P20" s="278"/>
      <c r="Q20" s="274">
        <v>0</v>
      </c>
      <c r="R20" s="274">
        <v>0</v>
      </c>
      <c r="S20" s="274">
        <v>0</v>
      </c>
      <c r="T20" s="274">
        <v>0</v>
      </c>
      <c r="U20" s="288">
        <f t="shared" si="4"/>
        <v>0</v>
      </c>
      <c r="V20" s="287"/>
      <c r="W20" s="287"/>
      <c r="Y20" s="166">
        <f t="shared" si="0"/>
        <v>13</v>
      </c>
      <c r="Z20" s="202"/>
      <c r="AA20" s="199">
        <f t="shared" si="1"/>
        <v>0</v>
      </c>
      <c r="AB20" s="200">
        <f t="shared" si="2"/>
        <v>0</v>
      </c>
      <c r="AC20" s="200">
        <f t="shared" si="3"/>
        <v>0</v>
      </c>
      <c r="AD20" s="208">
        <v>2</v>
      </c>
      <c r="AE20" s="200"/>
      <c r="AF20" s="200"/>
      <c r="AG20" s="200"/>
    </row>
    <row r="21" spans="1:33" ht="18" thickTop="1" thickBot="1">
      <c r="A21" s="48"/>
      <c r="C21" s="95">
        <v>14</v>
      </c>
      <c r="D21" s="154"/>
      <c r="E21" s="155">
        <f>IFERROR(_xlfn.XLOOKUP(D21,tbl_Parcels[Parcel],tbl_Parcels[Use]),0)</f>
        <v>0</v>
      </c>
      <c r="F21" s="155">
        <f>IFERROR(LOOKUP(D21,tbl_Parcels[Parcel],tbl_Parcels[Acres]),0)</f>
        <v>0</v>
      </c>
      <c r="G21" s="155">
        <f>IFERROR(LOOKUP('V2'!$H21,Table4[Product],Table4[DUA]),0)</f>
        <v>0</v>
      </c>
      <c r="H21" s="145"/>
      <c r="I21" s="145">
        <f>IFERROR(INT(LOOKUP('V2'!$H21,lst_LotProducts,lst_ProductDUA)*'V2'!$F21),0)</f>
        <v>0</v>
      </c>
      <c r="J21" s="22">
        <v>2</v>
      </c>
      <c r="K21" s="153"/>
      <c r="M21" s="31"/>
      <c r="N21" s="287"/>
      <c r="O21" s="278"/>
      <c r="P21" s="278"/>
      <c r="Q21" s="274">
        <v>0</v>
      </c>
      <c r="R21" s="274">
        <v>0</v>
      </c>
      <c r="S21" s="274">
        <v>0</v>
      </c>
      <c r="T21" s="274">
        <v>0</v>
      </c>
      <c r="U21" s="288">
        <f t="shared" si="4"/>
        <v>0</v>
      </c>
      <c r="V21" s="287"/>
      <c r="W21" s="287"/>
      <c r="Y21" s="166">
        <f t="shared" si="0"/>
        <v>14</v>
      </c>
      <c r="Z21" s="202"/>
      <c r="AA21" s="199">
        <f t="shared" si="1"/>
        <v>0</v>
      </c>
      <c r="AB21" s="200">
        <f t="shared" si="2"/>
        <v>0</v>
      </c>
      <c r="AC21" s="200">
        <f t="shared" si="3"/>
        <v>0</v>
      </c>
      <c r="AD21" s="208">
        <v>2</v>
      </c>
      <c r="AE21" s="200"/>
      <c r="AF21" s="200"/>
      <c r="AG21" s="200"/>
    </row>
    <row r="22" spans="1:33" ht="18" thickTop="1" thickBot="1">
      <c r="A22" s="48"/>
      <c r="C22" s="95">
        <v>15</v>
      </c>
      <c r="D22" s="154"/>
      <c r="E22" s="155">
        <f>IFERROR(_xlfn.XLOOKUP(D22,tbl_Parcels[Parcel],tbl_Parcels[Use]),0)</f>
        <v>0</v>
      </c>
      <c r="F22" s="155">
        <f>IFERROR(LOOKUP(D22,tbl_Parcels[Parcel],tbl_Parcels[Acres]),0)</f>
        <v>0</v>
      </c>
      <c r="G22" s="155">
        <f>IFERROR(LOOKUP('V2'!$H22,Table4[Product],Table4[DUA]),0)</f>
        <v>0</v>
      </c>
      <c r="H22" s="145"/>
      <c r="I22" s="145">
        <f>IFERROR(INT(LOOKUP('V2'!$H22,lst_LotProducts,lst_ProductDUA)*'V2'!$F22),0)</f>
        <v>0</v>
      </c>
      <c r="J22" s="22"/>
      <c r="K22" s="153"/>
      <c r="M22" s="31"/>
      <c r="N22" s="287"/>
      <c r="O22" s="278"/>
      <c r="P22" s="278"/>
      <c r="Q22" s="274">
        <v>0</v>
      </c>
      <c r="R22" s="274">
        <v>0</v>
      </c>
      <c r="S22" s="274">
        <v>0</v>
      </c>
      <c r="T22" s="274">
        <v>0</v>
      </c>
      <c r="U22" s="288">
        <f t="shared" si="4"/>
        <v>0</v>
      </c>
      <c r="V22" s="287"/>
      <c r="W22" s="287"/>
      <c r="Y22" s="166">
        <f t="shared" si="0"/>
        <v>15</v>
      </c>
      <c r="Z22" s="202"/>
      <c r="AA22" s="199">
        <f t="shared" si="1"/>
        <v>0</v>
      </c>
      <c r="AB22" s="200">
        <f t="shared" si="2"/>
        <v>0</v>
      </c>
      <c r="AC22" s="200">
        <f t="shared" si="3"/>
        <v>0</v>
      </c>
      <c r="AD22" s="208">
        <v>2</v>
      </c>
      <c r="AE22" s="200"/>
      <c r="AF22" s="200"/>
      <c r="AG22" s="200"/>
    </row>
    <row r="23" spans="1:33" ht="18" thickTop="1" thickBot="1">
      <c r="A23" s="48"/>
      <c r="C23" s="95">
        <v>16</v>
      </c>
      <c r="D23" s="154"/>
      <c r="E23" s="155">
        <f>IFERROR(_xlfn.XLOOKUP(D23,tbl_Parcels[Parcel],tbl_Parcels[Use]),0)</f>
        <v>0</v>
      </c>
      <c r="F23" s="155">
        <f>IFERROR(LOOKUP(D23,tbl_Parcels[Parcel],tbl_Parcels[Acres]),0)</f>
        <v>0</v>
      </c>
      <c r="G23" s="155">
        <f>IFERROR(LOOKUP('V2'!$H23,Table4[Product],Table4[DUA]),0)</f>
        <v>0</v>
      </c>
      <c r="H23" s="145"/>
      <c r="I23" s="145">
        <f>IFERROR(INT(LOOKUP('V2'!$H23,lst_LotProducts,lst_ProductDUA)*'V2'!$F23),0)</f>
        <v>0</v>
      </c>
      <c r="J23" s="22"/>
      <c r="K23" s="153"/>
      <c r="M23" s="31"/>
      <c r="N23" s="287"/>
      <c r="O23" s="278"/>
      <c r="P23" s="278"/>
      <c r="Q23" s="274">
        <v>0</v>
      </c>
      <c r="R23" s="274">
        <v>0</v>
      </c>
      <c r="S23" s="274">
        <v>0</v>
      </c>
      <c r="T23" s="274">
        <v>0</v>
      </c>
      <c r="U23" s="288">
        <f t="shared" si="4"/>
        <v>0</v>
      </c>
      <c r="V23" s="287"/>
      <c r="W23" s="287"/>
      <c r="Y23" s="166">
        <f t="shared" si="0"/>
        <v>16</v>
      </c>
      <c r="Z23" s="202"/>
      <c r="AA23" s="199">
        <f t="shared" si="1"/>
        <v>0</v>
      </c>
      <c r="AB23" s="200">
        <f t="shared" si="2"/>
        <v>0</v>
      </c>
      <c r="AC23" s="200">
        <f t="shared" si="3"/>
        <v>0</v>
      </c>
      <c r="AD23" s="208"/>
      <c r="AE23" s="200"/>
      <c r="AF23" s="200"/>
      <c r="AG23" s="200"/>
    </row>
    <row r="24" spans="1:33" ht="18" thickTop="1" thickBot="1">
      <c r="A24" s="48"/>
      <c r="C24" s="95">
        <v>17</v>
      </c>
      <c r="D24" s="154"/>
      <c r="E24" s="155">
        <f>IFERROR(_xlfn.XLOOKUP(D24,tbl_Parcels[Parcel],tbl_Parcels[Use]),0)</f>
        <v>0</v>
      </c>
      <c r="F24" s="155">
        <f>IFERROR(LOOKUP(D24,tbl_Parcels[Parcel],tbl_Parcels[Acres]),0)</f>
        <v>0</v>
      </c>
      <c r="G24" s="155">
        <f>IFERROR(LOOKUP('V2'!$H24,Table4[Product],Table4[DUA]),0)</f>
        <v>0</v>
      </c>
      <c r="H24" s="145"/>
      <c r="I24" s="145">
        <f>IFERROR(INT(LOOKUP('V2'!$H24,lst_LotProducts,lst_ProductDUA)*'V2'!$F24),0)</f>
        <v>0</v>
      </c>
      <c r="J24" s="22"/>
      <c r="K24" s="153"/>
      <c r="M24" s="31"/>
      <c r="N24" s="287"/>
      <c r="O24" s="278"/>
      <c r="P24" s="278"/>
      <c r="Q24" s="274">
        <v>0</v>
      </c>
      <c r="R24" s="274">
        <v>0</v>
      </c>
      <c r="S24" s="274">
        <v>0</v>
      </c>
      <c r="T24" s="274">
        <v>0</v>
      </c>
      <c r="U24" s="288">
        <f t="shared" si="4"/>
        <v>0</v>
      </c>
      <c r="V24" s="287"/>
      <c r="W24" s="287"/>
      <c r="Y24" s="166">
        <f t="shared" si="0"/>
        <v>17</v>
      </c>
      <c r="Z24" s="202"/>
      <c r="AA24" s="199">
        <f t="shared" si="1"/>
        <v>0</v>
      </c>
      <c r="AB24" s="200">
        <f t="shared" si="2"/>
        <v>0</v>
      </c>
      <c r="AC24" s="200">
        <f t="shared" si="3"/>
        <v>0</v>
      </c>
      <c r="AD24" s="170"/>
      <c r="AE24" s="200"/>
      <c r="AF24" s="200"/>
      <c r="AG24" s="200"/>
    </row>
    <row r="25" spans="1:33" ht="18" thickTop="1" thickBot="1">
      <c r="A25" s="48"/>
      <c r="C25" s="95">
        <v>18</v>
      </c>
      <c r="D25" s="154"/>
      <c r="E25" s="155">
        <f>IFERROR(_xlfn.XLOOKUP(D25,tbl_Parcels[Parcel],tbl_Parcels[Use]),0)</f>
        <v>0</v>
      </c>
      <c r="F25" s="155">
        <f>IFERROR(LOOKUP(D25,tbl_Parcels[Parcel],tbl_Parcels[Acres]),0)</f>
        <v>0</v>
      </c>
      <c r="G25" s="155">
        <f>IFERROR(LOOKUP('V2'!$H25,Table4[Product],Table4[DUA]),0)</f>
        <v>0</v>
      </c>
      <c r="H25" s="145"/>
      <c r="I25" s="145">
        <f>IFERROR(INT(LOOKUP('V2'!$H25,lst_LotProducts,lst_ProductDUA)*'V2'!$F25),0)</f>
        <v>0</v>
      </c>
      <c r="J25" s="22"/>
      <c r="K25" s="153"/>
      <c r="N25" s="287"/>
      <c r="O25" s="278"/>
      <c r="P25" s="278"/>
      <c r="Q25" s="274">
        <v>0</v>
      </c>
      <c r="R25" s="274">
        <v>0</v>
      </c>
      <c r="S25" s="274">
        <v>0</v>
      </c>
      <c r="T25" s="274">
        <v>0</v>
      </c>
      <c r="U25" s="288">
        <f t="shared" si="4"/>
        <v>0</v>
      </c>
      <c r="V25" s="287"/>
      <c r="W25" s="287"/>
      <c r="Y25" s="166">
        <f t="shared" si="0"/>
        <v>18</v>
      </c>
      <c r="Z25" s="202"/>
      <c r="AA25" s="199">
        <f t="shared" si="1"/>
        <v>0</v>
      </c>
      <c r="AB25" s="200">
        <f t="shared" si="2"/>
        <v>0</v>
      </c>
      <c r="AC25" s="200">
        <f t="shared" si="3"/>
        <v>0</v>
      </c>
      <c r="AD25" s="170"/>
      <c r="AE25" s="200"/>
      <c r="AF25" s="200"/>
      <c r="AG25" s="200"/>
    </row>
    <row r="26" spans="1:33" ht="18" thickTop="1" thickBot="1">
      <c r="A26" s="48"/>
      <c r="C26" s="95">
        <v>19</v>
      </c>
      <c r="D26" s="154"/>
      <c r="E26" s="155">
        <f>IFERROR(_xlfn.XLOOKUP(D26,tbl_Parcels[Parcel],tbl_Parcels[Use]),0)</f>
        <v>0</v>
      </c>
      <c r="F26" s="155">
        <f>IFERROR(LOOKUP(D26,tbl_Parcels[Parcel],tbl_Parcels[Acres]),0)</f>
        <v>0</v>
      </c>
      <c r="G26" s="155">
        <f>IFERROR(LOOKUP('V2'!$H26,Table4[Product],Table4[DUA]),0)</f>
        <v>0</v>
      </c>
      <c r="H26" s="145"/>
      <c r="I26" s="145">
        <f>IFERROR(INT(LOOKUP('V2'!$H26,lst_LotProducts,lst_ProductDUA)*'V2'!$F26),0)</f>
        <v>0</v>
      </c>
      <c r="J26" s="22"/>
      <c r="K26" s="153"/>
      <c r="N26" s="287"/>
      <c r="O26" s="278"/>
      <c r="P26" s="278"/>
      <c r="Q26" s="274">
        <v>0</v>
      </c>
      <c r="R26" s="274">
        <v>0</v>
      </c>
      <c r="S26" s="274">
        <v>0</v>
      </c>
      <c r="T26" s="274">
        <v>0</v>
      </c>
      <c r="U26" s="288">
        <f t="shared" si="4"/>
        <v>0</v>
      </c>
      <c r="V26" s="287"/>
      <c r="W26" s="287"/>
      <c r="Y26" s="166">
        <f t="shared" si="0"/>
        <v>19</v>
      </c>
      <c r="Z26" s="202"/>
      <c r="AA26" s="199">
        <f t="shared" si="1"/>
        <v>0</v>
      </c>
      <c r="AB26" s="200">
        <f t="shared" si="2"/>
        <v>0</v>
      </c>
      <c r="AC26" s="200">
        <f t="shared" si="3"/>
        <v>0</v>
      </c>
      <c r="AD26" s="170"/>
      <c r="AE26" s="200"/>
      <c r="AF26" s="200"/>
      <c r="AG26" s="200"/>
    </row>
    <row r="27" spans="1:33" ht="18" thickTop="1" thickBot="1">
      <c r="A27" s="48"/>
      <c r="C27" s="95">
        <v>20</v>
      </c>
      <c r="D27" s="154"/>
      <c r="E27" s="155">
        <f>IFERROR(_xlfn.XLOOKUP(D27,tbl_Parcels[Parcel],tbl_Parcels[Use]),0)</f>
        <v>0</v>
      </c>
      <c r="F27" s="155">
        <f>IFERROR(LOOKUP(D27,tbl_Parcels[Parcel],tbl_Parcels[Acres]),0)</f>
        <v>0</v>
      </c>
      <c r="G27" s="155">
        <f>IFERROR(LOOKUP('V2'!$H27,Table4[Product],Table4[DUA]),0)</f>
        <v>0</v>
      </c>
      <c r="H27" s="145"/>
      <c r="I27" s="145">
        <f>IFERROR(INT(LOOKUP('V2'!$H27,lst_LotProducts,lst_ProductDUA)*'V2'!$F27),0)</f>
        <v>0</v>
      </c>
      <c r="J27" s="22"/>
      <c r="K27" s="153"/>
      <c r="N27" s="287"/>
      <c r="O27" s="278"/>
      <c r="P27" s="278"/>
      <c r="Q27" s="274">
        <v>0</v>
      </c>
      <c r="R27" s="274">
        <v>0</v>
      </c>
      <c r="S27" s="274">
        <v>0</v>
      </c>
      <c r="T27" s="274">
        <v>0</v>
      </c>
      <c r="U27" s="288">
        <f t="shared" si="4"/>
        <v>0</v>
      </c>
      <c r="V27" s="287"/>
      <c r="W27" s="287"/>
      <c r="Y27" s="166">
        <f t="shared" si="0"/>
        <v>20</v>
      </c>
      <c r="Z27" s="202"/>
      <c r="AA27" s="199">
        <f t="shared" si="1"/>
        <v>0</v>
      </c>
      <c r="AB27" s="200">
        <f t="shared" si="2"/>
        <v>0</v>
      </c>
      <c r="AC27" s="200">
        <f t="shared" si="3"/>
        <v>0</v>
      </c>
      <c r="AD27" s="170"/>
      <c r="AE27" s="200"/>
      <c r="AF27" s="200"/>
      <c r="AG27" s="200"/>
    </row>
    <row r="28" spans="1:33" ht="18" thickTop="1" thickBot="1">
      <c r="A28" s="48"/>
      <c r="C28" s="95">
        <v>21</v>
      </c>
      <c r="D28" s="154"/>
      <c r="E28" s="155">
        <f>IFERROR(_xlfn.XLOOKUP(D28,tbl_Parcels[Parcel],tbl_Parcels[Use]),0)</f>
        <v>0</v>
      </c>
      <c r="F28" s="155">
        <f>IFERROR(LOOKUP(D28,tbl_Parcels[Parcel],tbl_Parcels[Acres]),0)</f>
        <v>0</v>
      </c>
      <c r="G28" s="155">
        <f>IFERROR(LOOKUP('V2'!$H28,Table4[Product],Table4[DUA]),0)</f>
        <v>0</v>
      </c>
      <c r="H28" s="145"/>
      <c r="I28" s="145">
        <f>IFERROR(INT(LOOKUP('V2'!$H28,lst_LotProducts,lst_ProductDUA)*'V2'!$F28),0)</f>
        <v>0</v>
      </c>
      <c r="J28" s="22"/>
      <c r="K28" s="153"/>
      <c r="N28" s="287"/>
      <c r="O28" s="278"/>
      <c r="P28" s="278"/>
      <c r="Q28" s="274">
        <v>0</v>
      </c>
      <c r="R28" s="274">
        <v>0</v>
      </c>
      <c r="S28" s="274">
        <v>0</v>
      </c>
      <c r="T28" s="274">
        <v>0</v>
      </c>
      <c r="U28" s="288">
        <f t="shared" si="4"/>
        <v>0</v>
      </c>
      <c r="V28" s="287"/>
      <c r="W28" s="287"/>
      <c r="Y28" s="166">
        <f t="shared" si="0"/>
        <v>21</v>
      </c>
      <c r="Z28" s="202"/>
      <c r="AA28" s="199">
        <f t="shared" si="1"/>
        <v>0</v>
      </c>
      <c r="AB28" s="200">
        <f t="shared" si="2"/>
        <v>0</v>
      </c>
      <c r="AC28" s="200">
        <f t="shared" si="3"/>
        <v>0</v>
      </c>
      <c r="AD28" s="170"/>
      <c r="AE28" s="200"/>
      <c r="AF28" s="200"/>
      <c r="AG28" s="200"/>
    </row>
    <row r="29" spans="1:33" ht="18" thickTop="1" thickBot="1">
      <c r="A29" s="48"/>
      <c r="C29" s="95">
        <v>22</v>
      </c>
      <c r="D29" s="154"/>
      <c r="E29" s="155">
        <f>IFERROR(_xlfn.XLOOKUP(D29,tbl_Parcels[Parcel],tbl_Parcels[Use]),0)</f>
        <v>0</v>
      </c>
      <c r="F29" s="155">
        <f>IFERROR(LOOKUP(D29,tbl_Parcels[Parcel],tbl_Parcels[Acres]),0)</f>
        <v>0</v>
      </c>
      <c r="G29" s="155">
        <f>IFERROR(LOOKUP('V2'!$H29,Table4[Product],Table4[DUA]),0)</f>
        <v>0</v>
      </c>
      <c r="H29" s="145"/>
      <c r="I29" s="145">
        <f>IFERROR(INT(LOOKUP('V2'!$H29,lst_LotProducts,lst_ProductDUA)*'V2'!$F29),0)</f>
        <v>0</v>
      </c>
      <c r="J29" s="22"/>
      <c r="K29" s="153"/>
      <c r="N29" s="287"/>
      <c r="O29" s="278"/>
      <c r="P29" s="278"/>
      <c r="Q29" s="274">
        <v>0</v>
      </c>
      <c r="R29" s="274">
        <v>0</v>
      </c>
      <c r="S29" s="274">
        <v>0</v>
      </c>
      <c r="T29" s="274">
        <v>0</v>
      </c>
      <c r="U29" s="288">
        <f t="shared" si="4"/>
        <v>0</v>
      </c>
      <c r="V29" s="287"/>
      <c r="W29" s="287"/>
      <c r="Y29" s="166">
        <f t="shared" si="0"/>
        <v>22</v>
      </c>
      <c r="Z29" s="202"/>
      <c r="AA29" s="199">
        <f t="shared" si="1"/>
        <v>0</v>
      </c>
      <c r="AB29" s="200">
        <f t="shared" si="2"/>
        <v>0</v>
      </c>
      <c r="AC29" s="200">
        <f t="shared" si="3"/>
        <v>0</v>
      </c>
      <c r="AD29" s="170"/>
      <c r="AE29" s="200"/>
      <c r="AF29" s="200"/>
      <c r="AG29" s="200"/>
    </row>
    <row r="30" spans="1:33" ht="18" thickTop="1" thickBot="1">
      <c r="A30" s="48"/>
      <c r="C30" s="95">
        <v>23</v>
      </c>
      <c r="D30" s="154"/>
      <c r="E30" s="155">
        <f>IFERROR(_xlfn.XLOOKUP(D30,tbl_Parcels[Parcel],tbl_Parcels[Use]),0)</f>
        <v>0</v>
      </c>
      <c r="F30" s="155">
        <f>IFERROR(LOOKUP(D30,tbl_Parcels[Parcel],tbl_Parcels[Acres]),0)</f>
        <v>0</v>
      </c>
      <c r="G30" s="155">
        <f>IFERROR(LOOKUP('V2'!$H30,Table4[Product],Table4[DUA]),0)</f>
        <v>0</v>
      </c>
      <c r="H30" s="145"/>
      <c r="I30" s="145">
        <f>IFERROR(INT(LOOKUP('V2'!$H30,lst_LotProducts,lst_ProductDUA)*'V2'!$F30),0)</f>
        <v>0</v>
      </c>
      <c r="J30" s="22"/>
      <c r="K30" s="153"/>
      <c r="N30" s="287"/>
      <c r="O30" s="278"/>
      <c r="P30" s="278"/>
      <c r="Q30" s="274">
        <v>0</v>
      </c>
      <c r="R30" s="274">
        <v>0</v>
      </c>
      <c r="S30" s="274">
        <v>0</v>
      </c>
      <c r="T30" s="274">
        <v>0</v>
      </c>
      <c r="U30" s="288">
        <f t="shared" si="4"/>
        <v>0</v>
      </c>
      <c r="V30" s="287"/>
      <c r="W30" s="287"/>
      <c r="Y30" s="166">
        <f t="shared" si="0"/>
        <v>23</v>
      </c>
      <c r="Z30" s="202"/>
      <c r="AA30" s="199">
        <f t="shared" si="1"/>
        <v>0</v>
      </c>
      <c r="AB30" s="200">
        <f t="shared" si="2"/>
        <v>0</v>
      </c>
      <c r="AC30" s="200">
        <f t="shared" si="3"/>
        <v>0</v>
      </c>
      <c r="AD30" s="170"/>
      <c r="AE30" s="200"/>
      <c r="AF30" s="200"/>
      <c r="AG30" s="200"/>
    </row>
    <row r="31" spans="1:33" ht="18" thickTop="1" thickBot="1">
      <c r="A31" s="48"/>
      <c r="C31" s="95">
        <v>24</v>
      </c>
      <c r="D31" s="154"/>
      <c r="E31" s="155">
        <f>IFERROR(_xlfn.XLOOKUP(D31,tbl_Parcels[Parcel],tbl_Parcels[Use]),0)</f>
        <v>0</v>
      </c>
      <c r="F31" s="155">
        <f>IFERROR(LOOKUP(D31,tbl_Parcels[Parcel],tbl_Parcels[Acres]),0)</f>
        <v>0</v>
      </c>
      <c r="G31" s="155">
        <f>IFERROR(LOOKUP('V2'!$H31,Table4[Product],Table4[DUA]),0)</f>
        <v>0</v>
      </c>
      <c r="H31" s="145"/>
      <c r="I31" s="145">
        <f>IFERROR(INT(LOOKUP('V2'!$H31,lst_LotProducts,lst_ProductDUA)*'V2'!$F31),0)</f>
        <v>0</v>
      </c>
      <c r="J31" s="22"/>
      <c r="K31" s="153"/>
      <c r="N31" s="287"/>
      <c r="O31" s="297"/>
      <c r="P31" s="297"/>
      <c r="Q31" s="298">
        <v>0</v>
      </c>
      <c r="R31" s="298">
        <v>0</v>
      </c>
      <c r="S31" s="298">
        <v>0</v>
      </c>
      <c r="T31" s="298">
        <v>0</v>
      </c>
      <c r="U31" s="299">
        <f t="shared" si="4"/>
        <v>0</v>
      </c>
      <c r="V31" s="287"/>
      <c r="W31" s="287"/>
      <c r="Y31" s="166">
        <f t="shared" si="0"/>
        <v>24</v>
      </c>
      <c r="Z31" s="202"/>
      <c r="AA31" s="199">
        <f t="shared" si="1"/>
        <v>0</v>
      </c>
      <c r="AB31" s="200">
        <f t="shared" si="2"/>
        <v>0</v>
      </c>
      <c r="AC31" s="200">
        <f t="shared" si="3"/>
        <v>0</v>
      </c>
      <c r="AD31" s="170"/>
      <c r="AE31" s="200"/>
      <c r="AF31" s="200"/>
      <c r="AG31" s="200"/>
    </row>
    <row r="32" spans="1:33" ht="18" thickTop="1" thickBot="1">
      <c r="A32" s="48"/>
      <c r="C32" s="95">
        <v>25</v>
      </c>
      <c r="D32" s="154"/>
      <c r="E32" s="155">
        <f>IFERROR(_xlfn.XLOOKUP(D32,tbl_Parcels[Parcel],tbl_Parcels[Use]),0)</f>
        <v>0</v>
      </c>
      <c r="F32" s="155">
        <f>IFERROR(LOOKUP(D32,tbl_Parcels[Parcel],tbl_Parcels[Acres]),0)</f>
        <v>0</v>
      </c>
      <c r="G32" s="155">
        <f>IFERROR(LOOKUP('V2'!$H32,Table4[Product],Table4[DUA]),0)</f>
        <v>0</v>
      </c>
      <c r="H32" s="145"/>
      <c r="I32" s="145">
        <f>IFERROR(INT(LOOKUP('V2'!$H32,lst_LotProducts,lst_ProductDUA)*'V2'!$F32),0)</f>
        <v>0</v>
      </c>
      <c r="J32" s="22"/>
      <c r="K32" s="153"/>
      <c r="N32" s="287"/>
      <c r="O32" s="294"/>
      <c r="P32" s="294" t="s">
        <v>78</v>
      </c>
      <c r="Q32" s="295">
        <f>SUM(Q10:Q31)</f>
        <v>5000000</v>
      </c>
      <c r="R32" s="295">
        <f>SUM(R10:R31)</f>
        <v>2500000</v>
      </c>
      <c r="S32" s="295">
        <f>SUM(S10:S31)</f>
        <v>1500000</v>
      </c>
      <c r="T32" s="295">
        <f>SUM(T10:T31)</f>
        <v>3000000</v>
      </c>
      <c r="U32" s="296">
        <f t="shared" si="4"/>
        <v>12000000</v>
      </c>
      <c r="V32" s="287"/>
      <c r="W32"/>
      <c r="Y32" s="166">
        <f t="shared" si="0"/>
        <v>25</v>
      </c>
      <c r="Z32" s="202"/>
      <c r="AA32" s="199">
        <f t="shared" si="1"/>
        <v>0</v>
      </c>
      <c r="AB32" s="200">
        <f t="shared" si="2"/>
        <v>0</v>
      </c>
      <c r="AC32" s="200">
        <f t="shared" si="3"/>
        <v>0</v>
      </c>
      <c r="AD32" s="170"/>
      <c r="AE32" s="200"/>
      <c r="AF32" s="200"/>
      <c r="AG32" s="200"/>
    </row>
    <row r="33" spans="1:32" ht="17" thickTop="1">
      <c r="A33" s="48"/>
      <c r="N33" s="287"/>
      <c r="O33"/>
      <c r="P33"/>
      <c r="Q33"/>
      <c r="R33"/>
      <c r="S33"/>
      <c r="T33"/>
      <c r="U33"/>
      <c r="V33"/>
      <c r="W33"/>
      <c r="X33" s="50"/>
    </row>
    <row r="34" spans="1:32">
      <c r="A34" s="48"/>
      <c r="N34" s="287"/>
      <c r="O34"/>
      <c r="P34"/>
      <c r="Q34"/>
      <c r="R34"/>
      <c r="S34"/>
      <c r="T34"/>
      <c r="U34"/>
      <c r="V34"/>
      <c r="W34"/>
    </row>
    <row r="35" spans="1:32">
      <c r="A35" s="48"/>
      <c r="N35" s="287"/>
      <c r="O35"/>
      <c r="P35"/>
      <c r="Q35"/>
      <c r="R35"/>
      <c r="S35"/>
      <c r="T35"/>
      <c r="U35"/>
      <c r="V35"/>
      <c r="W35"/>
    </row>
    <row r="36" spans="1:32" s="50" customFormat="1">
      <c r="A36" s="48"/>
      <c r="B36"/>
      <c r="C36"/>
      <c r="D36"/>
      <c r="E36"/>
      <c r="F36"/>
      <c r="G36"/>
      <c r="H36"/>
      <c r="I36"/>
      <c r="J36"/>
      <c r="K36"/>
      <c r="L36"/>
      <c r="M36" s="37"/>
      <c r="N36" s="287"/>
      <c r="O36"/>
      <c r="P36"/>
      <c r="Q36"/>
      <c r="R36"/>
      <c r="S36"/>
      <c r="T36"/>
      <c r="U36"/>
      <c r="V36"/>
      <c r="W36"/>
      <c r="X36"/>
      <c r="Y36"/>
      <c r="Z36" s="201"/>
      <c r="AA36"/>
      <c r="AB36"/>
      <c r="AC36"/>
      <c r="AD36"/>
      <c r="AE36"/>
      <c r="AF36"/>
    </row>
    <row r="37" spans="1:32">
      <c r="A37" s="48"/>
      <c r="N37" s="287"/>
      <c r="O37"/>
      <c r="P37"/>
      <c r="Q37"/>
      <c r="R37"/>
      <c r="S37"/>
      <c r="T37"/>
      <c r="U37"/>
      <c r="V37"/>
      <c r="W37"/>
    </row>
    <row r="38" spans="1:32">
      <c r="N38" s="287"/>
      <c r="O38"/>
      <c r="P38"/>
      <c r="Q38"/>
      <c r="R38"/>
      <c r="S38"/>
      <c r="T38"/>
      <c r="U38"/>
      <c r="V38"/>
      <c r="W38"/>
    </row>
    <row r="39" spans="1:32">
      <c r="N39" s="287"/>
      <c r="O39"/>
      <c r="P39"/>
      <c r="Q39"/>
      <c r="R39"/>
      <c r="S39"/>
      <c r="T39"/>
      <c r="U39"/>
      <c r="V39"/>
      <c r="W39" s="37"/>
    </row>
    <row r="40" spans="1:32">
      <c r="N40" s="287"/>
      <c r="O40" s="37"/>
      <c r="P40" s="37"/>
      <c r="Q40" s="37"/>
      <c r="R40" s="37"/>
      <c r="S40" s="37"/>
      <c r="T40" s="37"/>
      <c r="U40" s="37"/>
      <c r="V40" s="37"/>
      <c r="W40" s="37"/>
    </row>
    <row r="41" spans="1:32">
      <c r="N41" s="287"/>
      <c r="O41" s="37"/>
      <c r="P41" s="37"/>
      <c r="Q41" s="37"/>
      <c r="R41" s="37"/>
      <c r="S41" s="37"/>
      <c r="T41" s="37"/>
      <c r="U41" s="37"/>
      <c r="V41" s="37"/>
      <c r="W41" s="37"/>
    </row>
    <row r="42" spans="1:32">
      <c r="N42" s="287"/>
      <c r="O42" s="37"/>
      <c r="P42" s="37"/>
      <c r="Q42" s="37"/>
      <c r="R42" s="37"/>
      <c r="S42" s="37"/>
      <c r="T42" s="37"/>
      <c r="U42" s="37"/>
      <c r="V42" s="37"/>
      <c r="W42" s="37"/>
    </row>
    <row r="43" spans="1:32">
      <c r="N43" s="287"/>
      <c r="O43" s="37"/>
      <c r="P43" s="37"/>
      <c r="Q43" s="37"/>
      <c r="R43" s="37"/>
      <c r="S43" s="37"/>
      <c r="T43" s="37"/>
      <c r="U43" s="37"/>
      <c r="V43" s="37"/>
      <c r="W43" s="37"/>
    </row>
    <row r="44" spans="1:32">
      <c r="N44" s="287"/>
      <c r="O44" s="37"/>
      <c r="P44" s="37"/>
      <c r="Q44" s="37"/>
      <c r="R44" s="37"/>
      <c r="S44" s="37"/>
      <c r="T44" s="37"/>
      <c r="U44" s="37"/>
      <c r="V44" s="37"/>
      <c r="W44" s="37"/>
    </row>
    <row r="45" spans="1:32">
      <c r="N45" s="287"/>
      <c r="O45" s="37"/>
      <c r="P45" s="37"/>
      <c r="Q45" s="37"/>
      <c r="R45" s="37"/>
      <c r="S45" s="37"/>
      <c r="T45" s="37"/>
      <c r="U45" s="37"/>
      <c r="V45" s="37"/>
      <c r="W45" s="37"/>
    </row>
    <row r="46" spans="1:32">
      <c r="N46" s="287"/>
      <c r="O46" s="37"/>
      <c r="P46" s="37"/>
      <c r="Q46" s="37"/>
      <c r="R46" s="37"/>
      <c r="S46" s="37"/>
      <c r="T46" s="37"/>
      <c r="U46" s="37"/>
      <c r="V46" s="37"/>
      <c r="W46" s="37"/>
    </row>
    <row r="47" spans="1:32">
      <c r="N47" s="287"/>
      <c r="O47" s="37"/>
      <c r="P47" s="37"/>
      <c r="Q47" s="37"/>
      <c r="R47" s="37"/>
      <c r="S47" s="37"/>
      <c r="T47" s="37"/>
      <c r="U47" s="37"/>
      <c r="V47" s="37"/>
      <c r="W47" s="37"/>
    </row>
    <row r="48" spans="1:32">
      <c r="N48" s="287"/>
      <c r="O48" s="37"/>
      <c r="P48" s="37"/>
      <c r="Q48" s="37"/>
      <c r="R48" s="37"/>
      <c r="S48" s="37"/>
      <c r="T48" s="37"/>
      <c r="U48" s="37"/>
      <c r="V48" s="37"/>
      <c r="W48" s="37"/>
    </row>
    <row r="49" spans="2:32">
      <c r="N49" s="287"/>
      <c r="O49" s="37"/>
      <c r="P49" s="37"/>
      <c r="Q49" s="37"/>
      <c r="R49" s="37"/>
      <c r="S49" s="37"/>
      <c r="T49" s="37"/>
      <c r="U49" s="37"/>
      <c r="V49" s="37"/>
      <c r="W49" s="37"/>
    </row>
    <row r="50" spans="2:32" s="50" customFormat="1">
      <c r="B50"/>
      <c r="C50"/>
      <c r="D50"/>
      <c r="E50"/>
      <c r="F50"/>
      <c r="G50"/>
      <c r="H50"/>
      <c r="I50"/>
      <c r="J50"/>
      <c r="K50"/>
      <c r="L50"/>
      <c r="M50" s="37"/>
      <c r="N50" s="287"/>
      <c r="O50" s="37"/>
      <c r="P50" s="37"/>
      <c r="Q50" s="37"/>
      <c r="R50" s="37"/>
      <c r="S50" s="37"/>
      <c r="T50" s="37"/>
      <c r="U50" s="37"/>
      <c r="V50" s="37"/>
      <c r="W50" s="37"/>
      <c r="X50"/>
      <c r="Y50"/>
      <c r="Z50" s="201"/>
      <c r="AA50"/>
      <c r="AB50"/>
      <c r="AC50"/>
      <c r="AD50"/>
      <c r="AE50"/>
      <c r="AF50"/>
    </row>
    <row r="51" spans="2:32">
      <c r="N51" s="287"/>
      <c r="O51" s="37"/>
      <c r="P51" s="37"/>
      <c r="Q51" s="37"/>
      <c r="R51" s="37"/>
      <c r="S51" s="37"/>
      <c r="T51" s="37"/>
      <c r="U51" s="37"/>
      <c r="V51" s="37"/>
      <c r="W51" s="37"/>
    </row>
    <row r="52" spans="2:32">
      <c r="N52" s="287"/>
      <c r="O52" s="37"/>
      <c r="P52" s="37"/>
      <c r="Q52" s="37"/>
      <c r="R52" s="37"/>
      <c r="S52" s="37"/>
      <c r="T52" s="37"/>
      <c r="U52" s="37"/>
      <c r="V52" s="37"/>
      <c r="W52" s="37"/>
    </row>
    <row r="53" spans="2:32">
      <c r="N53" s="287"/>
      <c r="O53" s="37"/>
      <c r="P53" s="37"/>
      <c r="Q53" s="37"/>
      <c r="R53" s="37"/>
      <c r="S53" s="37"/>
      <c r="T53" s="37"/>
      <c r="U53" s="37"/>
      <c r="V53" s="37"/>
      <c r="W53" s="37"/>
    </row>
    <row r="54" spans="2:32">
      <c r="N54" s="287"/>
      <c r="O54" s="37"/>
      <c r="P54" s="37"/>
      <c r="Q54" s="37"/>
      <c r="R54" s="37"/>
      <c r="S54" s="37"/>
      <c r="T54" s="37"/>
      <c r="U54" s="37"/>
      <c r="V54" s="37"/>
      <c r="W54" s="37"/>
    </row>
    <row r="55" spans="2:32">
      <c r="N55" s="287"/>
      <c r="O55" s="37"/>
      <c r="P55" s="37"/>
      <c r="Q55" s="37"/>
      <c r="R55" s="37"/>
      <c r="S55" s="37"/>
      <c r="T55" s="37"/>
      <c r="U55" s="37"/>
      <c r="V55" s="37"/>
      <c r="W55" s="37"/>
    </row>
    <row r="56" spans="2:32">
      <c r="N56" s="287"/>
      <c r="O56" s="37"/>
      <c r="P56" s="37"/>
      <c r="Q56" s="37"/>
      <c r="R56" s="37"/>
      <c r="S56" s="37"/>
      <c r="T56" s="37"/>
      <c r="U56" s="37"/>
      <c r="V56" s="37"/>
      <c r="W56" s="37"/>
    </row>
    <row r="57" spans="2:32">
      <c r="N57" s="287"/>
      <c r="O57" s="37"/>
      <c r="P57" s="37"/>
      <c r="Q57" s="37"/>
      <c r="R57" s="37"/>
      <c r="S57" s="37"/>
      <c r="T57" s="37"/>
      <c r="U57" s="37"/>
      <c r="V57" s="37"/>
      <c r="W57" s="37"/>
    </row>
    <row r="58" spans="2:32">
      <c r="N58" s="287"/>
      <c r="O58" s="37"/>
      <c r="P58" s="37"/>
      <c r="Q58" s="37"/>
      <c r="R58" s="37"/>
      <c r="S58" s="37"/>
      <c r="T58" s="37"/>
      <c r="U58" s="37"/>
      <c r="V58" s="37"/>
      <c r="W58" s="37"/>
    </row>
    <row r="59" spans="2:32">
      <c r="N59" s="287"/>
      <c r="O59" s="37"/>
      <c r="P59" s="37"/>
      <c r="Q59" s="37"/>
      <c r="R59" s="37"/>
      <c r="S59" s="37"/>
      <c r="T59" s="37"/>
      <c r="U59" s="37"/>
      <c r="V59" s="37"/>
      <c r="W59" s="37"/>
    </row>
    <row r="60" spans="2:32">
      <c r="N60" s="287"/>
      <c r="O60" s="37"/>
      <c r="P60" s="37"/>
      <c r="Q60" s="37"/>
      <c r="R60" s="37"/>
      <c r="S60" s="37"/>
      <c r="T60" s="37"/>
      <c r="U60" s="37"/>
      <c r="V60" s="37"/>
      <c r="W60" s="37"/>
    </row>
    <row r="61" spans="2:32">
      <c r="N61" s="287"/>
      <c r="O61" s="37"/>
      <c r="P61" s="37"/>
      <c r="Q61" s="37"/>
      <c r="R61" s="37"/>
      <c r="S61" s="37"/>
      <c r="T61" s="37"/>
      <c r="U61" s="37"/>
      <c r="V61" s="37"/>
      <c r="W61" s="37"/>
    </row>
    <row r="62" spans="2:32">
      <c r="N62" s="287"/>
      <c r="O62" s="37"/>
      <c r="P62" s="37"/>
      <c r="Q62" s="37"/>
      <c r="R62" s="37"/>
      <c r="S62" s="37"/>
      <c r="T62" s="37"/>
      <c r="U62" s="37"/>
      <c r="V62" s="37"/>
      <c r="W62" s="37"/>
    </row>
    <row r="63" spans="2:32">
      <c r="N63" s="287"/>
      <c r="O63" s="37"/>
      <c r="P63" s="37"/>
      <c r="Q63" s="37"/>
      <c r="R63" s="37"/>
      <c r="S63" s="37"/>
      <c r="T63" s="37"/>
      <c r="U63" s="37"/>
      <c r="V63" s="37"/>
      <c r="W63" s="37"/>
    </row>
    <row r="64" spans="2:32">
      <c r="N64" s="287"/>
      <c r="O64" s="37"/>
      <c r="P64" s="37"/>
      <c r="Q64" s="37"/>
      <c r="R64" s="37"/>
      <c r="S64" s="37"/>
      <c r="T64" s="37"/>
      <c r="U64" s="37"/>
      <c r="V64" s="37"/>
      <c r="W64" s="37"/>
    </row>
    <row r="65" spans="14:23">
      <c r="N65" s="287"/>
      <c r="O65" s="37"/>
      <c r="P65" s="37"/>
      <c r="Q65" s="37"/>
      <c r="R65" s="37"/>
      <c r="S65" s="37"/>
      <c r="T65" s="37"/>
      <c r="U65" s="37"/>
      <c r="V65" s="37"/>
      <c r="W65" s="37"/>
    </row>
    <row r="66" spans="14:23">
      <c r="N66" s="287"/>
      <c r="O66" s="37"/>
      <c r="P66" s="37"/>
      <c r="Q66" s="37"/>
      <c r="R66" s="37"/>
      <c r="S66" s="37"/>
      <c r="T66" s="37"/>
      <c r="U66" s="37"/>
      <c r="V66" s="37"/>
      <c r="W66" s="37"/>
    </row>
    <row r="67" spans="14:23">
      <c r="N67" s="287"/>
      <c r="O67" s="37"/>
      <c r="P67" s="37"/>
      <c r="Q67" s="37"/>
      <c r="R67" s="37"/>
      <c r="S67" s="37"/>
      <c r="T67" s="37"/>
      <c r="U67" s="37"/>
      <c r="V67" s="37"/>
      <c r="W67" s="37"/>
    </row>
    <row r="68" spans="14:23">
      <c r="N68" s="287"/>
      <c r="O68" s="37"/>
      <c r="P68" s="37"/>
      <c r="Q68" s="37"/>
      <c r="R68" s="37"/>
      <c r="S68" s="37"/>
      <c r="T68" s="37"/>
      <c r="U68" s="37"/>
      <c r="V68" s="37"/>
      <c r="W68" s="37"/>
    </row>
    <row r="69" spans="14:23">
      <c r="N69" s="287"/>
      <c r="O69" s="37"/>
      <c r="P69" s="37"/>
      <c r="Q69" s="37"/>
      <c r="R69" s="37"/>
      <c r="S69" s="37"/>
      <c r="T69" s="37"/>
      <c r="U69" s="37"/>
      <c r="V69" s="37"/>
      <c r="W69" s="37"/>
    </row>
    <row r="70" spans="14:23">
      <c r="N70" s="287"/>
      <c r="O70" s="37"/>
      <c r="P70" s="37"/>
      <c r="Q70" s="37"/>
      <c r="R70" s="37"/>
      <c r="S70" s="37"/>
      <c r="T70" s="37"/>
      <c r="U70" s="37"/>
      <c r="V70" s="37"/>
      <c r="W70" s="37"/>
    </row>
    <row r="71" spans="14:23">
      <c r="N71" s="287"/>
      <c r="O71" s="37"/>
      <c r="P71" s="37"/>
      <c r="Q71" s="37"/>
      <c r="R71" s="37"/>
      <c r="S71" s="37"/>
      <c r="T71" s="37"/>
      <c r="U71" s="37"/>
      <c r="V71" s="37"/>
      <c r="W71" s="37"/>
    </row>
    <row r="72" spans="14:23">
      <c r="N72" s="287"/>
      <c r="O72" s="37"/>
      <c r="P72" s="37"/>
      <c r="Q72" s="37"/>
      <c r="R72" s="37"/>
      <c r="S72" s="37"/>
      <c r="T72" s="37"/>
      <c r="U72" s="37"/>
      <c r="V72" s="37"/>
      <c r="W72" s="37"/>
    </row>
    <row r="73" spans="14:23">
      <c r="N73" s="287"/>
      <c r="O73" s="37"/>
      <c r="P73" s="37"/>
      <c r="Q73" s="37"/>
      <c r="R73" s="37"/>
      <c r="S73" s="37"/>
      <c r="T73" s="37"/>
      <c r="U73" s="37"/>
      <c r="V73" s="37"/>
      <c r="W73" s="37"/>
    </row>
    <row r="74" spans="14:23">
      <c r="N74" s="287"/>
      <c r="O74" s="37"/>
      <c r="P74" s="37"/>
      <c r="Q74" s="37"/>
      <c r="R74" s="37"/>
      <c r="S74" s="37"/>
      <c r="T74" s="37"/>
      <c r="U74" s="37"/>
      <c r="V74" s="37"/>
      <c r="W74" s="264"/>
    </row>
    <row r="75" spans="14:23">
      <c r="N75" s="287"/>
      <c r="Q75" s="266"/>
      <c r="S75" s="268"/>
      <c r="T75" s="268"/>
      <c r="U75" s="268"/>
      <c r="V75" s="264"/>
      <c r="W75" s="264"/>
    </row>
    <row r="76" spans="14:23">
      <c r="N76" s="287"/>
      <c r="Q76" s="266"/>
      <c r="S76" s="268"/>
      <c r="T76" s="268"/>
      <c r="U76" s="268"/>
      <c r="V76" s="264"/>
      <c r="W76" s="264"/>
    </row>
    <row r="77" spans="14:23">
      <c r="N77" s="287"/>
      <c r="Q77" s="266"/>
      <c r="S77" s="268"/>
      <c r="T77" s="268"/>
      <c r="U77" s="268"/>
      <c r="V77" s="264"/>
      <c r="W77" s="264"/>
    </row>
    <row r="78" spans="14:23">
      <c r="N78" s="287"/>
      <c r="Q78" s="266"/>
      <c r="S78" s="268"/>
      <c r="T78" s="268"/>
      <c r="U78" s="268"/>
      <c r="V78" s="264"/>
      <c r="W78" s="264"/>
    </row>
    <row r="79" spans="14:23">
      <c r="N79" s="287"/>
      <c r="Q79" s="266"/>
      <c r="S79" s="268"/>
      <c r="T79" s="268"/>
      <c r="U79" s="268"/>
      <c r="V79" s="264"/>
      <c r="W79" s="264"/>
    </row>
    <row r="80" spans="14:23">
      <c r="N80" s="287"/>
      <c r="Q80" s="266"/>
      <c r="S80" s="268"/>
      <c r="T80" s="268"/>
      <c r="U80" s="268"/>
      <c r="V80" s="264"/>
      <c r="W80" s="264"/>
    </row>
    <row r="81" spans="14:23">
      <c r="N81" s="287"/>
      <c r="Q81" s="266"/>
      <c r="S81" s="268"/>
      <c r="T81" s="268"/>
      <c r="U81" s="268"/>
      <c r="V81" s="264"/>
      <c r="W81" s="264"/>
    </row>
    <row r="82" spans="14:23">
      <c r="N82" s="287"/>
      <c r="Q82" s="266"/>
      <c r="S82" s="268"/>
      <c r="T82" s="268"/>
      <c r="U82" s="268"/>
      <c r="V82" s="264"/>
      <c r="W82" s="264"/>
    </row>
    <row r="83" spans="14:23">
      <c r="N83" s="287"/>
      <c r="Q83" s="266"/>
      <c r="S83" s="268"/>
      <c r="T83" s="268"/>
      <c r="U83" s="268"/>
      <c r="V83" s="264"/>
      <c r="W83" s="264"/>
    </row>
    <row r="84" spans="14:23">
      <c r="N84" s="287"/>
      <c r="Q84" s="266"/>
      <c r="S84" s="268"/>
      <c r="T84" s="268"/>
      <c r="U84" s="268"/>
      <c r="V84" s="264"/>
      <c r="W84" s="264"/>
    </row>
    <row r="85" spans="14:23">
      <c r="N85" s="287"/>
      <c r="Q85" s="266"/>
      <c r="S85" s="268"/>
      <c r="T85" s="268"/>
      <c r="U85" s="268"/>
      <c r="V85" s="264"/>
      <c r="W85" s="264"/>
    </row>
    <row r="86" spans="14:23">
      <c r="N86" s="287"/>
      <c r="Q86" s="266"/>
      <c r="S86" s="268"/>
      <c r="T86" s="268"/>
      <c r="U86" s="268"/>
      <c r="V86" s="264"/>
      <c r="W86" s="264"/>
    </row>
    <row r="87" spans="14:23">
      <c r="N87" s="287"/>
      <c r="Q87" s="266"/>
      <c r="S87" s="268"/>
      <c r="T87" s="268"/>
      <c r="U87" s="268"/>
      <c r="V87" s="264"/>
      <c r="W87" s="264"/>
    </row>
    <row r="88" spans="14:23">
      <c r="N88" s="287"/>
      <c r="Q88" s="266"/>
      <c r="S88" s="268"/>
      <c r="T88" s="268"/>
      <c r="U88" s="268"/>
      <c r="V88" s="264"/>
      <c r="W88" s="264"/>
    </row>
    <row r="89" spans="14:23">
      <c r="Q89" s="266"/>
      <c r="S89" s="268"/>
      <c r="T89" s="268"/>
      <c r="U89" s="268"/>
      <c r="V89" s="264"/>
      <c r="W89" s="264"/>
    </row>
    <row r="90" spans="14:23">
      <c r="Q90" s="266"/>
      <c r="S90" s="268"/>
      <c r="T90" s="268"/>
      <c r="U90" s="268"/>
      <c r="V90" s="264"/>
      <c r="W90" s="264"/>
    </row>
    <row r="91" spans="14:23">
      <c r="Q91" s="266"/>
      <c r="S91" s="268"/>
      <c r="T91" s="268"/>
      <c r="U91" s="268"/>
      <c r="V91" s="264"/>
      <c r="W91" s="264"/>
    </row>
    <row r="92" spans="14:23">
      <c r="Q92" s="266"/>
      <c r="S92" s="268"/>
      <c r="T92" s="268"/>
      <c r="U92" s="268"/>
      <c r="V92" s="264"/>
      <c r="W92" s="264"/>
    </row>
    <row r="93" spans="14:23">
      <c r="Q93" s="266"/>
      <c r="S93" s="268"/>
      <c r="T93" s="268"/>
      <c r="U93" s="268"/>
      <c r="V93" s="264"/>
      <c r="W93" s="264"/>
    </row>
    <row r="94" spans="14:23">
      <c r="Q94" s="266"/>
      <c r="S94" s="268"/>
      <c r="T94" s="268"/>
      <c r="U94" s="268"/>
      <c r="V94" s="264"/>
    </row>
    <row r="95" spans="14:23">
      <c r="R95" s="270"/>
    </row>
    <row r="96" spans="14:23">
      <c r="R96" s="270"/>
    </row>
    <row r="97" spans="18:18">
      <c r="R97" s="270"/>
    </row>
    <row r="98" spans="18:18">
      <c r="R98" s="270"/>
    </row>
    <row r="99" spans="18:18">
      <c r="R99" s="270"/>
    </row>
    <row r="100" spans="18:18">
      <c r="R100" s="270"/>
    </row>
    <row r="101" spans="18:18">
      <c r="R101" s="270"/>
    </row>
    <row r="102" spans="18:18">
      <c r="R102" s="270"/>
    </row>
    <row r="103" spans="18:18">
      <c r="R103" s="270"/>
    </row>
    <row r="104" spans="18:18">
      <c r="R104" s="270"/>
    </row>
    <row r="105" spans="18:18">
      <c r="R105" s="270"/>
    </row>
    <row r="106" spans="18:18">
      <c r="R106" s="270"/>
    </row>
  </sheetData>
  <sheetProtection formatColumns="0" formatRows="0" selectLockedCells="1"/>
  <mergeCells count="2">
    <mergeCell ref="O4:P4"/>
    <mergeCell ref="C4:E4"/>
  </mergeCells>
  <pageMargins left="0.7" right="0.7" top="0.75" bottom="0.75" header="0.3" footer="0.3"/>
  <pageSetup orientation="portrait" r:id="rId1"/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5A04F6-A3F2-46C1-8A61-584B5F3A9112}">
          <x14:formula1>
            <xm:f>_xlfn.ANCHORARRAY(DATA!$Y$11)</xm:f>
          </x14:formula1>
          <xm:sqref>I8:I32</xm:sqref>
        </x14:dataValidation>
        <x14:dataValidation type="list" allowBlank="1" showInputMessage="1" showErrorMessage="1" xr:uid="{6A5C6EDE-BAA0-4F10-9B75-4CC2A5CBE435}">
          <x14:formula1>
            <xm:f>_xlfn.ANCHORARRAY(DATA!$Z11)</xm:f>
          </x14:formula1>
          <xm:sqref>H8:H32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5403-478B-4D02-ABD9-590E2F5303CF}">
  <sheetPr codeName="Sheet9">
    <tabColor rgb="FF0000FF"/>
  </sheetPr>
  <dimension ref="A1:AH106"/>
  <sheetViews>
    <sheetView topLeftCell="B2" workbookViewId="0"/>
  </sheetViews>
  <sheetFormatPr baseColWidth="10" defaultColWidth="9.5" defaultRowHeight="16"/>
  <cols>
    <col min="1" max="1" width="5.33203125" style="50" hidden="1" customWidth="1"/>
    <col min="2" max="2" width="4" customWidth="1"/>
    <col min="3" max="3" width="2.5" customWidth="1"/>
    <col min="4" max="4" width="7" customWidth="1"/>
    <col min="5" max="5" width="9" bestFit="1" customWidth="1"/>
    <col min="6" max="6" width="6.33203125" customWidth="1"/>
    <col min="7" max="7" width="6" customWidth="1"/>
    <col min="8" max="9" width="10.33203125" customWidth="1"/>
    <col min="10" max="11" width="7.83203125" customWidth="1"/>
    <col min="12" max="12" width="5" customWidth="1"/>
    <col min="13" max="13" width="18" style="37" customWidth="1"/>
    <col min="14" max="14" width="2" style="264" customWidth="1"/>
    <col min="15" max="15" width="24.5" style="267" customWidth="1"/>
    <col min="16" max="16" width="3.83203125" style="267" customWidth="1"/>
    <col min="17" max="17" width="11.33203125" style="267" bestFit="1" customWidth="1"/>
    <col min="18" max="18" width="11.33203125" style="266" bestFit="1" customWidth="1"/>
    <col min="19" max="20" width="11.33203125" style="265" bestFit="1" customWidth="1"/>
    <col min="21" max="21" width="14.5" style="269" bestFit="1" customWidth="1"/>
    <col min="22" max="22" width="4" style="290" customWidth="1"/>
    <col min="23" max="23" width="16" style="290" customWidth="1"/>
    <col min="24" max="24" width="2" customWidth="1"/>
    <col min="25" max="25" width="2.5" customWidth="1"/>
    <col min="26" max="26" width="13" style="201" customWidth="1"/>
    <col min="27" max="27" width="6" customWidth="1"/>
    <col min="28" max="28" width="10.5" customWidth="1"/>
    <col min="29" max="30" width="9" customWidth="1"/>
    <col min="31" max="31" width="12" customWidth="1"/>
    <col min="32" max="32" width="11" customWidth="1"/>
  </cols>
  <sheetData>
    <row r="1" spans="1:33" ht="15.75" hidden="1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N1" s="271"/>
      <c r="O1" s="272"/>
      <c r="P1" s="272"/>
      <c r="Q1" s="272"/>
      <c r="R1" s="271"/>
      <c r="S1" s="264"/>
      <c r="T1" s="264"/>
      <c r="V1" s="264"/>
      <c r="W1" s="264"/>
      <c r="AF1" s="6"/>
    </row>
    <row r="2" spans="1:33">
      <c r="A2" s="48"/>
      <c r="N2" s="271"/>
      <c r="O2" s="272"/>
      <c r="P2" s="272"/>
      <c r="Q2" s="272"/>
      <c r="R2" s="271"/>
      <c r="S2" s="264"/>
      <c r="T2" s="264"/>
      <c r="V2" s="264"/>
      <c r="W2" s="264"/>
    </row>
    <row r="3" spans="1:33" ht="17" thickBot="1">
      <c r="A3" s="48"/>
      <c r="M3" s="31"/>
      <c r="O3" s="264"/>
      <c r="P3" s="264"/>
      <c r="Q3" s="264"/>
      <c r="R3" s="264"/>
      <c r="S3" s="264"/>
      <c r="T3" s="264"/>
      <c r="U3" s="264"/>
      <c r="V3" s="264"/>
      <c r="W3" s="289"/>
    </row>
    <row r="4" spans="1:33" s="231" customFormat="1" ht="21.75" customHeight="1" thickTop="1" thickBot="1">
      <c r="A4" s="48"/>
      <c r="C4" s="637">
        <v>3</v>
      </c>
      <c r="D4" s="638"/>
      <c r="E4" s="638"/>
      <c r="F4" s="323" t="str">
        <f>'iV1'!F4</f>
        <v>Parcel Land Use &amp; Lot Product</v>
      </c>
      <c r="G4" s="323"/>
      <c r="H4" s="323"/>
      <c r="I4" s="323"/>
      <c r="J4" s="323"/>
      <c r="K4" s="324"/>
      <c r="M4" s="321"/>
      <c r="N4" s="315"/>
      <c r="O4" s="637">
        <f>C4</f>
        <v>3</v>
      </c>
      <c r="P4" s="638"/>
      <c r="Q4" s="323" t="s">
        <v>221</v>
      </c>
      <c r="R4" s="323"/>
      <c r="S4" s="323"/>
      <c r="T4" s="324"/>
      <c r="U4" s="317"/>
      <c r="V4" s="318"/>
      <c r="W4" s="318"/>
      <c r="Y4" s="639">
        <f>O4</f>
        <v>3</v>
      </c>
      <c r="Z4" s="640"/>
      <c r="AA4" s="308"/>
      <c r="AB4" s="309" t="s">
        <v>189</v>
      </c>
      <c r="AC4" s="309"/>
      <c r="AD4" s="306"/>
      <c r="AE4" s="306"/>
      <c r="AF4" s="306"/>
      <c r="AG4" s="307"/>
    </row>
    <row r="5" spans="1:33" ht="18" thickTop="1" thickBot="1">
      <c r="A5" s="48"/>
      <c r="M5" s="31"/>
      <c r="N5" s="31"/>
      <c r="O5" s="31"/>
      <c r="P5" s="31"/>
      <c r="Q5" s="322">
        <v>1</v>
      </c>
      <c r="R5" s="322">
        <f>Q5+1</f>
        <v>2</v>
      </c>
      <c r="S5" s="322">
        <f>R5+1</f>
        <v>3</v>
      </c>
      <c r="T5" s="322">
        <f>S5+1</f>
        <v>4</v>
      </c>
      <c r="U5" s="286"/>
      <c r="V5" s="289"/>
      <c r="W5" s="289"/>
      <c r="Y5" s="312" t="s">
        <v>195</v>
      </c>
      <c r="Z5" s="313"/>
      <c r="AA5" s="304"/>
      <c r="AB5" s="304"/>
      <c r="AC5" s="305">
        <v>1</v>
      </c>
      <c r="AE5" s="310"/>
      <c r="AF5" s="310"/>
      <c r="AG5" s="311"/>
    </row>
    <row r="6" spans="1:33" ht="18" thickTop="1" thickBot="1">
      <c r="A6" s="48"/>
      <c r="C6" s="29"/>
      <c r="J6" s="185" t="s">
        <v>157</v>
      </c>
      <c r="K6" s="186"/>
      <c r="M6" s="31"/>
      <c r="N6" s="287"/>
      <c r="O6" s="273"/>
      <c r="P6" s="273"/>
      <c r="Q6" s="273"/>
      <c r="R6" s="273"/>
      <c r="S6" s="273"/>
      <c r="T6" s="273"/>
      <c r="U6" s="286"/>
      <c r="V6" s="289"/>
      <c r="W6" s="289"/>
      <c r="AD6" s="185" t="s">
        <v>159</v>
      </c>
      <c r="AE6" s="303" t="s">
        <v>225</v>
      </c>
      <c r="AF6" s="303" t="s">
        <v>159</v>
      </c>
      <c r="AG6" s="303" t="str">
        <f>AE6</f>
        <v>Proceeds</v>
      </c>
    </row>
    <row r="7" spans="1:33" ht="18" thickTop="1" thickBot="1">
      <c r="A7" s="48"/>
      <c r="C7" s="14" t="s">
        <v>7</v>
      </c>
      <c r="D7" s="15" t="s">
        <v>69</v>
      </c>
      <c r="E7" s="15" t="s">
        <v>41</v>
      </c>
      <c r="F7" s="15" t="s">
        <v>17</v>
      </c>
      <c r="G7" s="15" t="s">
        <v>145</v>
      </c>
      <c r="H7" s="15" t="s">
        <v>39</v>
      </c>
      <c r="I7" s="15" t="s">
        <v>40</v>
      </c>
      <c r="J7" s="15" t="s">
        <v>158</v>
      </c>
      <c r="K7" s="15" t="s">
        <v>159</v>
      </c>
      <c r="M7" s="31"/>
      <c r="N7" s="287"/>
      <c r="O7" s="277" t="s">
        <v>214</v>
      </c>
      <c r="P7" s="279"/>
      <c r="Q7" s="276">
        <v>6</v>
      </c>
      <c r="R7" s="275">
        <v>18</v>
      </c>
      <c r="S7" s="275">
        <v>36</v>
      </c>
      <c r="T7" s="275">
        <v>60</v>
      </c>
      <c r="U7" s="286"/>
      <c r="V7" s="289"/>
      <c r="W7" s="289"/>
      <c r="Y7" s="167" t="s">
        <v>43</v>
      </c>
      <c r="Z7" s="158" t="s">
        <v>33</v>
      </c>
      <c r="AA7" s="198" t="s">
        <v>194</v>
      </c>
      <c r="AB7" s="168" t="s">
        <v>39</v>
      </c>
      <c r="AC7" s="168" t="s">
        <v>17</v>
      </c>
      <c r="AD7" s="15" t="s">
        <v>193</v>
      </c>
      <c r="AE7" s="169" t="s">
        <v>226</v>
      </c>
      <c r="AF7" s="169" t="s">
        <v>6</v>
      </c>
      <c r="AG7" s="169" t="s">
        <v>227</v>
      </c>
    </row>
    <row r="8" spans="1:33" ht="18" thickTop="1" thickBot="1">
      <c r="A8" s="48"/>
      <c r="C8" s="94">
        <v>1</v>
      </c>
      <c r="D8" s="154" t="str" cm="1">
        <f t="array" ref="D8:D19">_xlfn._xlws.FILTER(tbl_Parcels[Parcel],tbl_Parcels[Village]=C4,0)</f>
        <v>3.23</v>
      </c>
      <c r="E8" s="155" t="str">
        <f>IFERROR(_xlfn.XLOOKUP(D8,tbl_Parcels[Parcel],tbl_Parcels[Use]),0)</f>
        <v>MLDR</v>
      </c>
      <c r="F8" s="155">
        <f>IFERROR(LOOKUP(D8,tbl_Parcels[Parcel],tbl_Parcels[Acres]),0)</f>
        <v>22.45</v>
      </c>
      <c r="G8" s="155">
        <f>IFERROR(LOOKUP('V3'!$H8,Table4[Product],Table4[DUA]),0)</f>
        <v>3.4484999999999997</v>
      </c>
      <c r="H8" s="145" t="s">
        <v>92</v>
      </c>
      <c r="I8" s="145">
        <f>IFERROR(INT(LOOKUP('V3'!$H8,lst_LotProducts,lst_ProductDUA)*'V3'!$F8),0)</f>
        <v>77</v>
      </c>
      <c r="J8" s="22">
        <v>1</v>
      </c>
      <c r="K8" s="153"/>
      <c r="M8" s="31"/>
      <c r="N8" s="287"/>
      <c r="O8" s="277" t="s">
        <v>213</v>
      </c>
      <c r="P8" s="279"/>
      <c r="Q8" s="276">
        <v>12</v>
      </c>
      <c r="R8" s="275">
        <v>8</v>
      </c>
      <c r="S8" s="275">
        <v>10</v>
      </c>
      <c r="T8" s="275">
        <v>6</v>
      </c>
      <c r="U8" s="286"/>
      <c r="V8" s="289"/>
      <c r="W8" s="287"/>
      <c r="Y8" s="166">
        <v>1</v>
      </c>
      <c r="Z8" s="202" t="str" cm="1">
        <f t="array" ref="Z8:Z19">_xlfn.UNIQUE(_xlfn._xlws.FILTER(D8:D32,D8:D32&lt;&gt;0))</f>
        <v>3.23</v>
      </c>
      <c r="AA8" s="199">
        <f t="shared" ref="AA8:AA32" si="0">IFERROR(LOOKUP(Z8,$D$8:$D$32,$I$8:$I$32),0)</f>
        <v>77</v>
      </c>
      <c r="AB8" s="200" t="str">
        <f t="shared" ref="AB8:AB32" si="1">IFERROR(_xlfn.XLOOKUP($Z8,$D$8:$D$32,$H$8:$H$32),0)</f>
        <v>60x120</v>
      </c>
      <c r="AC8" s="200">
        <f t="shared" ref="AC8:AC32" si="2">IFERROR(_xlfn.XLOOKUP($Z8,$D$6:$D$30,$F$6:$F$30),0)</f>
        <v>22.45</v>
      </c>
      <c r="AD8" s="208">
        <v>1</v>
      </c>
      <c r="AE8" s="200"/>
      <c r="AF8" s="200"/>
      <c r="AG8" s="200"/>
    </row>
    <row r="9" spans="1:33" ht="18" thickTop="1" thickBot="1">
      <c r="A9" s="48"/>
      <c r="C9" s="95">
        <v>2</v>
      </c>
      <c r="D9" s="154" t="str">
        <v>3.24</v>
      </c>
      <c r="E9" s="155" t="str">
        <f>IFERROR(_xlfn.XLOOKUP(D9,tbl_Parcels[Parcel],tbl_Parcels[Use]),0)</f>
        <v>MLDR</v>
      </c>
      <c r="F9" s="155">
        <f>IFERROR(LOOKUP(D9,tbl_Parcels[Parcel],tbl_Parcels[Acres]),0)</f>
        <v>37.51</v>
      </c>
      <c r="G9" s="155">
        <f>IFERROR(LOOKUP('V3'!$H9,Table4[Product],Table4[DUA]),0)</f>
        <v>3.3105599999999997</v>
      </c>
      <c r="H9" s="145" t="s">
        <v>146</v>
      </c>
      <c r="I9" s="145">
        <f>IFERROR(INT(LOOKUP('V3'!$H9,lst_LotProducts,lst_ProductDUA)*'V3'!$F9),0)</f>
        <v>124</v>
      </c>
      <c r="J9" s="22">
        <v>1</v>
      </c>
      <c r="K9" s="153"/>
      <c r="M9" s="31"/>
      <c r="N9" s="287"/>
      <c r="O9" s="287"/>
      <c r="P9" s="287"/>
      <c r="Q9" s="287"/>
      <c r="R9" s="287"/>
      <c r="S9" s="287"/>
      <c r="T9" s="287"/>
      <c r="U9" s="293" t="s">
        <v>78</v>
      </c>
      <c r="V9" s="287"/>
      <c r="W9" s="287"/>
      <c r="Y9" s="166">
        <f t="shared" ref="Y9:Y32" si="3">Y8+1</f>
        <v>2</v>
      </c>
      <c r="Z9" s="202" t="str">
        <v>3.24</v>
      </c>
      <c r="AA9" s="199">
        <f t="shared" si="0"/>
        <v>124</v>
      </c>
      <c r="AB9" s="200" t="str">
        <f t="shared" si="1"/>
        <v>60x125</v>
      </c>
      <c r="AC9" s="200">
        <f t="shared" si="2"/>
        <v>37.51</v>
      </c>
      <c r="AD9" s="208">
        <v>1</v>
      </c>
      <c r="AE9" s="200"/>
      <c r="AF9" s="200"/>
      <c r="AG9" s="200"/>
    </row>
    <row r="10" spans="1:33" ht="18" thickTop="1" thickBot="1">
      <c r="A10" s="48"/>
      <c r="C10" s="94">
        <v>3</v>
      </c>
      <c r="D10" s="154" t="str">
        <v>3.25</v>
      </c>
      <c r="E10" s="155" t="str">
        <f>IFERROR(_xlfn.XLOOKUP(D10,tbl_Parcels[Parcel],tbl_Parcels[Use]),0)</f>
        <v>MLDR</v>
      </c>
      <c r="F10" s="155">
        <f>IFERROR(LOOKUP(D10,tbl_Parcels[Parcel],tbl_Parcels[Acres]),0)</f>
        <v>28.33</v>
      </c>
      <c r="G10" s="155">
        <f>IFERROR(LOOKUP('V3'!$H10,Table4[Product],Table4[DUA]),0)</f>
        <v>5.016</v>
      </c>
      <c r="H10" s="145" t="s">
        <v>144</v>
      </c>
      <c r="I10" s="145">
        <f>IFERROR(INT(LOOKUP('V3'!$H10,lst_LotProducts,lst_ProductDUA)*'V3'!$F10),0)</f>
        <v>142</v>
      </c>
      <c r="J10" s="22">
        <v>1</v>
      </c>
      <c r="K10" s="153"/>
      <c r="M10" s="31"/>
      <c r="N10" s="287"/>
      <c r="O10" s="278" t="s">
        <v>215</v>
      </c>
      <c r="P10" s="283" t="s">
        <v>220</v>
      </c>
      <c r="Q10" s="274">
        <v>0</v>
      </c>
      <c r="R10" s="274">
        <v>0</v>
      </c>
      <c r="S10" s="274">
        <v>0</v>
      </c>
      <c r="T10" s="274">
        <v>0</v>
      </c>
      <c r="U10" s="288">
        <f t="shared" ref="U10:U32" si="4">Q10+R10+S10+T10</f>
        <v>0</v>
      </c>
      <c r="V10" s="287"/>
      <c r="Y10" s="166">
        <f t="shared" si="3"/>
        <v>3</v>
      </c>
      <c r="Z10" s="202" t="str">
        <v>3.25</v>
      </c>
      <c r="AA10" s="199">
        <f t="shared" si="0"/>
        <v>142</v>
      </c>
      <c r="AB10" s="200" t="str">
        <f t="shared" si="1"/>
        <v>45x110</v>
      </c>
      <c r="AC10" s="200">
        <f t="shared" si="2"/>
        <v>28.33</v>
      </c>
      <c r="AD10" s="208">
        <v>1</v>
      </c>
      <c r="AE10" s="200"/>
      <c r="AF10" s="200"/>
      <c r="AG10" s="200"/>
    </row>
    <row r="11" spans="1:33" ht="18" thickTop="1" thickBot="1">
      <c r="A11" s="48"/>
      <c r="C11" s="95">
        <v>4</v>
      </c>
      <c r="D11" s="154" t="str">
        <v>3.26</v>
      </c>
      <c r="E11" s="155" t="str">
        <f>IFERROR(_xlfn.XLOOKUP(D11,tbl_Parcels[Parcel],tbl_Parcels[Use]),0)</f>
        <v>MDR</v>
      </c>
      <c r="F11" s="155">
        <f>IFERROR(LOOKUP(D11,tbl_Parcels[Parcel],tbl_Parcels[Acres]),0)</f>
        <v>15.04</v>
      </c>
      <c r="G11" s="155">
        <f>IFERROR(LOOKUP('V3'!$H11,Table4[Product],Table4[DUA]),0)</f>
        <v>5.016</v>
      </c>
      <c r="H11" s="145" t="s">
        <v>144</v>
      </c>
      <c r="I11" s="145">
        <f>IFERROR(INT(LOOKUP('V3'!$H11,lst_LotProducts,lst_ProductDUA)*'V3'!$F11),0)</f>
        <v>75</v>
      </c>
      <c r="J11" s="22">
        <v>1</v>
      </c>
      <c r="K11" s="153"/>
      <c r="M11" s="300" t="s">
        <v>222</v>
      </c>
      <c r="N11" s="287"/>
      <c r="O11" s="278" t="s">
        <v>53</v>
      </c>
      <c r="P11" s="278"/>
      <c r="Q11" s="282">
        <v>5000000</v>
      </c>
      <c r="R11" s="282">
        <v>2500000</v>
      </c>
      <c r="S11" s="282">
        <v>1500000</v>
      </c>
      <c r="T11" s="282">
        <v>3000000</v>
      </c>
      <c r="U11" s="288">
        <f t="shared" si="4"/>
        <v>12000000</v>
      </c>
      <c r="V11" s="287"/>
      <c r="W11" s="300" t="s">
        <v>222</v>
      </c>
      <c r="Y11" s="166">
        <f t="shared" si="3"/>
        <v>4</v>
      </c>
      <c r="Z11" s="202" t="str">
        <v>3.26</v>
      </c>
      <c r="AA11" s="199">
        <f t="shared" si="0"/>
        <v>75</v>
      </c>
      <c r="AB11" s="200" t="str">
        <f t="shared" si="1"/>
        <v>45x110</v>
      </c>
      <c r="AC11" s="200">
        <f t="shared" si="2"/>
        <v>15.04</v>
      </c>
      <c r="AD11" s="208">
        <v>1</v>
      </c>
      <c r="AE11" s="200"/>
      <c r="AF11" s="200"/>
      <c r="AG11" s="200"/>
    </row>
    <row r="12" spans="1:33" ht="18" thickTop="1" thickBot="1">
      <c r="A12" s="48"/>
      <c r="C12" s="95">
        <v>5</v>
      </c>
      <c r="D12" s="154" t="str">
        <v>3.27</v>
      </c>
      <c r="E12" s="155" t="str">
        <f>IFERROR(_xlfn.XLOOKUP(D12,tbl_Parcels[Parcel],tbl_Parcels[Use]),0)</f>
        <v>MDR</v>
      </c>
      <c r="F12" s="155">
        <f>IFERROR(LOOKUP(D12,tbl_Parcels[Parcel],tbl_Parcels[Acres]),0)</f>
        <v>24.04</v>
      </c>
      <c r="G12" s="155">
        <f>IFERROR(LOOKUP('V3'!$H12,Table4[Product],Table4[DUA]),0)</f>
        <v>3.3105599999999997</v>
      </c>
      <c r="H12" s="145" t="s">
        <v>146</v>
      </c>
      <c r="I12" s="145">
        <f>IFERROR(INT(LOOKUP('V3'!$H12,lst_LotProducts,lst_ProductDUA)*'V3'!$F12),0)</f>
        <v>79</v>
      </c>
      <c r="J12" s="22">
        <v>1</v>
      </c>
      <c r="K12" s="153"/>
      <c r="M12" s="300" t="s">
        <v>223</v>
      </c>
      <c r="N12" s="287"/>
      <c r="O12" s="278" t="s">
        <v>96</v>
      </c>
      <c r="P12" s="278"/>
      <c r="Q12" s="274">
        <v>0</v>
      </c>
      <c r="R12" s="274">
        <v>0</v>
      </c>
      <c r="S12" s="274">
        <v>0</v>
      </c>
      <c r="T12" s="274">
        <v>0</v>
      </c>
      <c r="U12" s="288">
        <f t="shared" si="4"/>
        <v>0</v>
      </c>
      <c r="V12" s="287"/>
      <c r="W12" s="300" t="s">
        <v>223</v>
      </c>
      <c r="Y12" s="166">
        <f t="shared" si="3"/>
        <v>5</v>
      </c>
      <c r="Z12" s="202" t="str">
        <v>3.27</v>
      </c>
      <c r="AA12" s="199">
        <f t="shared" si="0"/>
        <v>79</v>
      </c>
      <c r="AB12" s="200" t="str">
        <f t="shared" si="1"/>
        <v>60x125</v>
      </c>
      <c r="AC12" s="200">
        <f t="shared" si="2"/>
        <v>24.04</v>
      </c>
      <c r="AD12" s="208">
        <v>1</v>
      </c>
      <c r="AE12" s="200"/>
      <c r="AF12" s="200"/>
      <c r="AG12" s="200"/>
    </row>
    <row r="13" spans="1:33" ht="18" thickTop="1" thickBot="1">
      <c r="A13" s="48"/>
      <c r="C13" s="95">
        <v>6</v>
      </c>
      <c r="D13" s="154" t="str">
        <v>3.28</v>
      </c>
      <c r="E13" s="155" t="str">
        <f>IFERROR(_xlfn.XLOOKUP(D13,tbl_Parcels[Parcel],tbl_Parcels[Use]),0)</f>
        <v>MDR</v>
      </c>
      <c r="F13" s="155">
        <f>IFERROR(LOOKUP(D13,tbl_Parcels[Parcel],tbl_Parcels[Acres]),0)</f>
        <v>44.64</v>
      </c>
      <c r="G13" s="155">
        <f>IFERROR(LOOKUP('V3'!$H13,Table4[Product],Table4[DUA]),0)</f>
        <v>3.9726719999999998</v>
      </c>
      <c r="H13" s="145" t="s">
        <v>148</v>
      </c>
      <c r="I13" s="145">
        <f>IFERROR(INT(LOOKUP('V3'!$H13,lst_LotProducts,lst_ProductDUA)*'V3'!$F13),0)</f>
        <v>177</v>
      </c>
      <c r="J13" s="22">
        <v>1</v>
      </c>
      <c r="K13" s="153"/>
      <c r="M13" s="31"/>
      <c r="N13" s="287"/>
      <c r="O13" s="278" t="s">
        <v>218</v>
      </c>
      <c r="P13" s="278"/>
      <c r="Q13" s="274">
        <v>0</v>
      </c>
      <c r="R13" s="274">
        <v>0</v>
      </c>
      <c r="S13" s="274">
        <v>0</v>
      </c>
      <c r="T13" s="274">
        <v>0</v>
      </c>
      <c r="U13" s="288">
        <f t="shared" si="4"/>
        <v>0</v>
      </c>
      <c r="V13" s="287"/>
      <c r="W13" s="287"/>
      <c r="Y13" s="166">
        <f t="shared" si="3"/>
        <v>6</v>
      </c>
      <c r="Z13" s="202" t="str">
        <v>3.28</v>
      </c>
      <c r="AA13" s="199">
        <f t="shared" si="0"/>
        <v>177</v>
      </c>
      <c r="AB13" s="200" t="str">
        <f t="shared" si="1"/>
        <v>50x125</v>
      </c>
      <c r="AC13" s="200">
        <f t="shared" si="2"/>
        <v>44.64</v>
      </c>
      <c r="AD13" s="208">
        <v>1</v>
      </c>
      <c r="AE13" s="200"/>
      <c r="AF13" s="200"/>
      <c r="AG13" s="200"/>
    </row>
    <row r="14" spans="1:33" ht="18" thickTop="1" thickBot="1">
      <c r="A14" s="48"/>
      <c r="C14" s="95">
        <v>7</v>
      </c>
      <c r="D14" s="154" t="str">
        <v>3.29</v>
      </c>
      <c r="E14" s="155" t="str">
        <f>IFERROR(_xlfn.XLOOKUP(D14,tbl_Parcels[Parcel],tbl_Parcels[Use]),0)</f>
        <v>MDR</v>
      </c>
      <c r="F14" s="155">
        <f>IFERROR(LOOKUP(D14,tbl_Parcels[Parcel],tbl_Parcels[Acres]),0)</f>
        <v>18.55</v>
      </c>
      <c r="G14" s="155">
        <f>IFERROR(LOOKUP('V3'!$H14,Table4[Product],Table4[DUA]),0)</f>
        <v>4.5979999999999999</v>
      </c>
      <c r="H14" s="145" t="s">
        <v>147</v>
      </c>
      <c r="I14" s="145">
        <f>IFERROR(INT(LOOKUP('V3'!$H14,lst_LotProducts,lst_ProductDUA)*'V3'!$F14),0)</f>
        <v>85</v>
      </c>
      <c r="J14" s="22">
        <v>1</v>
      </c>
      <c r="K14" s="153"/>
      <c r="M14" s="31"/>
      <c r="N14" s="287"/>
      <c r="O14" s="278" t="s">
        <v>216</v>
      </c>
      <c r="P14" s="278"/>
      <c r="Q14" s="274">
        <v>0</v>
      </c>
      <c r="R14" s="274">
        <v>0</v>
      </c>
      <c r="S14" s="274">
        <v>0</v>
      </c>
      <c r="T14" s="274">
        <v>0</v>
      </c>
      <c r="U14" s="288">
        <f t="shared" si="4"/>
        <v>0</v>
      </c>
      <c r="V14" s="287"/>
      <c r="W14" s="287"/>
      <c r="Y14" s="166">
        <f t="shared" si="3"/>
        <v>7</v>
      </c>
      <c r="Z14" s="202" t="str">
        <v>3.29</v>
      </c>
      <c r="AA14" s="199">
        <f t="shared" si="0"/>
        <v>85</v>
      </c>
      <c r="AB14" s="200" t="str">
        <f t="shared" si="1"/>
        <v>45x120</v>
      </c>
      <c r="AC14" s="200">
        <f t="shared" si="2"/>
        <v>18.55</v>
      </c>
      <c r="AD14" s="208">
        <v>1</v>
      </c>
      <c r="AE14" s="200"/>
      <c r="AF14" s="200"/>
      <c r="AG14" s="200"/>
    </row>
    <row r="15" spans="1:33" ht="18" thickTop="1" thickBot="1">
      <c r="A15" s="48"/>
      <c r="C15" s="95">
        <v>8</v>
      </c>
      <c r="D15" s="154" t="str">
        <v>3.30</v>
      </c>
      <c r="E15" s="155" t="str">
        <f>IFERROR(_xlfn.XLOOKUP(D15,tbl_Parcels[Parcel],tbl_Parcels[Use]),0)</f>
        <v>MDR</v>
      </c>
      <c r="F15" s="155">
        <f>IFERROR(LOOKUP(D15,tbl_Parcels[Parcel],tbl_Parcels[Acres]),0)</f>
        <v>25.21</v>
      </c>
      <c r="G15" s="155">
        <f>IFERROR(LOOKUP('V3'!$H15,Table4[Product],Table4[DUA]),0)</f>
        <v>0</v>
      </c>
      <c r="H15" s="145"/>
      <c r="I15" s="145">
        <f>IFERROR(INT(LOOKUP('V3'!$H15,lst_LotProducts,lst_ProductDUA)*'V3'!$F15),0)</f>
        <v>0</v>
      </c>
      <c r="J15" s="22">
        <v>1</v>
      </c>
      <c r="K15" s="153"/>
      <c r="M15" s="31"/>
      <c r="N15" s="287"/>
      <c r="O15" s="278" t="s">
        <v>217</v>
      </c>
      <c r="P15" s="278"/>
      <c r="Q15" s="274">
        <v>0</v>
      </c>
      <c r="R15" s="274">
        <v>0</v>
      </c>
      <c r="S15" s="274">
        <v>0</v>
      </c>
      <c r="T15" s="274">
        <v>0</v>
      </c>
      <c r="U15" s="288">
        <f t="shared" si="4"/>
        <v>0</v>
      </c>
      <c r="V15" s="287"/>
      <c r="W15" s="287"/>
      <c r="Y15" s="166">
        <f t="shared" si="3"/>
        <v>8</v>
      </c>
      <c r="Z15" s="202" t="str">
        <v>3.30</v>
      </c>
      <c r="AA15" s="199">
        <f t="shared" si="0"/>
        <v>0</v>
      </c>
      <c r="AB15" s="200">
        <f t="shared" si="1"/>
        <v>0</v>
      </c>
      <c r="AC15" s="200">
        <f t="shared" si="2"/>
        <v>25.21</v>
      </c>
      <c r="AD15" s="208">
        <v>2</v>
      </c>
      <c r="AE15" s="200"/>
      <c r="AF15" s="200"/>
      <c r="AG15" s="200"/>
    </row>
    <row r="16" spans="1:33" ht="18" thickTop="1" thickBot="1">
      <c r="A16" s="48"/>
      <c r="C16" s="95">
        <v>9</v>
      </c>
      <c r="D16" s="154" t="str">
        <v>3.31</v>
      </c>
      <c r="E16" s="155" t="str">
        <f>IFERROR(_xlfn.XLOOKUP(D16,tbl_Parcels[Parcel],tbl_Parcels[Use]),0)</f>
        <v>MLDR</v>
      </c>
      <c r="F16" s="155">
        <f>IFERROR(LOOKUP(D16,tbl_Parcels[Parcel],tbl_Parcels[Acres]),0)</f>
        <v>32.4</v>
      </c>
      <c r="G16" s="155">
        <f>IFERROR(LOOKUP('V3'!$H16,Table4[Product],Table4[DUA]),0)</f>
        <v>0</v>
      </c>
      <c r="H16" s="145"/>
      <c r="I16" s="145">
        <f>IFERROR(INT(LOOKUP('V3'!$H16,lst_LotProducts,lst_ProductDUA)*'V3'!$F16),0)</f>
        <v>0</v>
      </c>
      <c r="J16" s="22">
        <v>2</v>
      </c>
      <c r="K16" s="153"/>
      <c r="M16" s="31"/>
      <c r="N16" s="287"/>
      <c r="O16" s="278" t="s">
        <v>219</v>
      </c>
      <c r="P16" s="278"/>
      <c r="Q16" s="274">
        <v>0</v>
      </c>
      <c r="R16" s="274">
        <v>0</v>
      </c>
      <c r="S16" s="274">
        <v>0</v>
      </c>
      <c r="T16" s="274">
        <v>0</v>
      </c>
      <c r="U16" s="288">
        <f t="shared" si="4"/>
        <v>0</v>
      </c>
      <c r="V16" s="287"/>
      <c r="W16" s="287"/>
      <c r="Y16" s="166">
        <f t="shared" si="3"/>
        <v>9</v>
      </c>
      <c r="Z16" s="202" t="str">
        <v>3.31</v>
      </c>
      <c r="AA16" s="199">
        <f t="shared" si="0"/>
        <v>0</v>
      </c>
      <c r="AB16" s="200">
        <f t="shared" si="1"/>
        <v>0</v>
      </c>
      <c r="AC16" s="200">
        <f t="shared" si="2"/>
        <v>32.4</v>
      </c>
      <c r="AD16" s="208">
        <v>2</v>
      </c>
      <c r="AE16" s="200"/>
      <c r="AF16" s="200"/>
      <c r="AG16" s="200"/>
    </row>
    <row r="17" spans="1:33" ht="18" thickTop="1" thickBot="1">
      <c r="A17" s="48"/>
      <c r="C17" s="95">
        <v>10</v>
      </c>
      <c r="D17" s="154" t="str">
        <v>3.32</v>
      </c>
      <c r="E17" s="155" t="str">
        <f>IFERROR(_xlfn.XLOOKUP(D17,tbl_Parcels[Parcel],tbl_Parcels[Use]),0)</f>
        <v>MLDR</v>
      </c>
      <c r="F17" s="155">
        <f>IFERROR(LOOKUP(D17,tbl_Parcels[Parcel],tbl_Parcels[Acres]),0)</f>
        <v>29.939999999999998</v>
      </c>
      <c r="G17" s="155">
        <f>IFERROR(LOOKUP('V3'!$H17,Table4[Product],Table4[DUA]),0)</f>
        <v>0</v>
      </c>
      <c r="H17" s="145"/>
      <c r="I17" s="145">
        <f>IFERROR(INT(LOOKUP('V3'!$H17,lst_LotProducts,lst_ProductDUA)*'V3'!$F17),0)</f>
        <v>0</v>
      </c>
      <c r="J17" s="22">
        <v>2</v>
      </c>
      <c r="K17" s="153"/>
      <c r="M17" s="31"/>
      <c r="N17" s="287"/>
      <c r="O17" s="278" t="s">
        <v>29</v>
      </c>
      <c r="P17" s="278"/>
      <c r="Q17" s="274">
        <v>0</v>
      </c>
      <c r="R17" s="274">
        <v>0</v>
      </c>
      <c r="S17" s="274">
        <v>0</v>
      </c>
      <c r="T17" s="274">
        <v>0</v>
      </c>
      <c r="U17" s="288">
        <f t="shared" si="4"/>
        <v>0</v>
      </c>
      <c r="V17" s="287"/>
      <c r="W17" s="287"/>
      <c r="Y17" s="166">
        <f t="shared" si="3"/>
        <v>10</v>
      </c>
      <c r="Z17" s="202" t="str">
        <v>3.32</v>
      </c>
      <c r="AA17" s="199">
        <f t="shared" si="0"/>
        <v>0</v>
      </c>
      <c r="AB17" s="200">
        <f t="shared" si="1"/>
        <v>0</v>
      </c>
      <c r="AC17" s="200">
        <f t="shared" si="2"/>
        <v>29.939999999999998</v>
      </c>
      <c r="AD17" s="208">
        <v>2</v>
      </c>
      <c r="AE17" s="200"/>
      <c r="AF17" s="200"/>
      <c r="AG17" s="200"/>
    </row>
    <row r="18" spans="1:33" ht="18" thickTop="1" thickBot="1">
      <c r="A18" s="48"/>
      <c r="C18" s="95">
        <v>11</v>
      </c>
      <c r="D18" s="154" t="str">
        <v>3.33</v>
      </c>
      <c r="E18" s="155" t="str">
        <f>IFERROR(_xlfn.XLOOKUP(D18,tbl_Parcels[Parcel],tbl_Parcels[Use]),0)</f>
        <v>MDR</v>
      </c>
      <c r="F18" s="155">
        <f>IFERROR(LOOKUP(D18,tbl_Parcels[Parcel],tbl_Parcels[Acres]),0)</f>
        <v>29.31</v>
      </c>
      <c r="G18" s="155">
        <f>IFERROR(LOOKUP('V3'!$H18,Table4[Product],Table4[DUA]),0)</f>
        <v>0</v>
      </c>
      <c r="H18" s="145"/>
      <c r="I18" s="145">
        <f>IFERROR(INT(LOOKUP('V3'!$H18,lst_LotProducts,lst_ProductDUA)*'V3'!$F18),0)</f>
        <v>0</v>
      </c>
      <c r="J18" s="22">
        <v>2</v>
      </c>
      <c r="K18" s="153"/>
      <c r="M18" s="31"/>
      <c r="N18" s="287"/>
      <c r="O18" s="278"/>
      <c r="P18" s="278"/>
      <c r="Q18" s="274">
        <v>0</v>
      </c>
      <c r="R18" s="274">
        <v>0</v>
      </c>
      <c r="S18" s="274">
        <v>0</v>
      </c>
      <c r="T18" s="274">
        <v>0</v>
      </c>
      <c r="U18" s="288">
        <f t="shared" si="4"/>
        <v>0</v>
      </c>
      <c r="V18" s="287"/>
      <c r="W18" s="287"/>
      <c r="Y18" s="166">
        <f t="shared" si="3"/>
        <v>11</v>
      </c>
      <c r="Z18" s="202" t="str">
        <v>3.33</v>
      </c>
      <c r="AA18" s="199">
        <f t="shared" si="0"/>
        <v>0</v>
      </c>
      <c r="AB18" s="200">
        <f t="shared" si="1"/>
        <v>0</v>
      </c>
      <c r="AC18" s="200">
        <f t="shared" si="2"/>
        <v>29.31</v>
      </c>
      <c r="AD18" s="208">
        <v>2</v>
      </c>
      <c r="AE18" s="200"/>
      <c r="AF18" s="200"/>
      <c r="AG18" s="200"/>
    </row>
    <row r="19" spans="1:33" ht="18" thickTop="1" thickBot="1">
      <c r="A19" s="48"/>
      <c r="C19" s="95">
        <v>12</v>
      </c>
      <c r="D19" s="154" t="str">
        <v>3.34</v>
      </c>
      <c r="E19" s="155" t="str">
        <f>IFERROR(_xlfn.XLOOKUP(D19,tbl_Parcels[Parcel],tbl_Parcels[Use]),0)</f>
        <v>MDR</v>
      </c>
      <c r="F19" s="155">
        <f>IFERROR(LOOKUP(D19,tbl_Parcels[Parcel],tbl_Parcels[Acres]),0)</f>
        <v>20.74</v>
      </c>
      <c r="G19" s="155">
        <f>IFERROR(LOOKUP('V3'!$H19,Table4[Product],Table4[DUA]),0)</f>
        <v>0</v>
      </c>
      <c r="H19" s="145"/>
      <c r="I19" s="145">
        <f>IFERROR(INT(LOOKUP('V3'!$H19,lst_LotProducts,lst_ProductDUA)*'V3'!$F19),0)</f>
        <v>0</v>
      </c>
      <c r="J19" s="22">
        <v>2</v>
      </c>
      <c r="K19" s="153"/>
      <c r="M19" s="31"/>
      <c r="N19" s="287"/>
      <c r="O19" s="278"/>
      <c r="P19" s="278"/>
      <c r="Q19" s="274">
        <v>0</v>
      </c>
      <c r="R19" s="274">
        <v>0</v>
      </c>
      <c r="S19" s="274">
        <v>0</v>
      </c>
      <c r="T19" s="274">
        <v>0</v>
      </c>
      <c r="U19" s="288">
        <f t="shared" si="4"/>
        <v>0</v>
      </c>
      <c r="V19" s="287"/>
      <c r="W19" s="287"/>
      <c r="Y19" s="166">
        <f t="shared" si="3"/>
        <v>12</v>
      </c>
      <c r="Z19" s="202" t="str">
        <v>3.34</v>
      </c>
      <c r="AA19" s="199">
        <f t="shared" si="0"/>
        <v>0</v>
      </c>
      <c r="AB19" s="200">
        <f t="shared" si="1"/>
        <v>0</v>
      </c>
      <c r="AC19" s="200">
        <f t="shared" si="2"/>
        <v>20.74</v>
      </c>
      <c r="AD19" s="208">
        <v>2</v>
      </c>
      <c r="AE19" s="200"/>
      <c r="AF19" s="200"/>
      <c r="AG19" s="200"/>
    </row>
    <row r="20" spans="1:33" ht="18" thickTop="1" thickBot="1">
      <c r="A20" s="48"/>
      <c r="C20" s="95">
        <v>13</v>
      </c>
      <c r="D20" s="154"/>
      <c r="E20" s="155">
        <f>IFERROR(_xlfn.XLOOKUP(D20,tbl_Parcels[Parcel],tbl_Parcels[Use]),0)</f>
        <v>0</v>
      </c>
      <c r="F20" s="155">
        <f>IFERROR(LOOKUP(D20,tbl_Parcels[Parcel],tbl_Parcels[Acres]),0)</f>
        <v>0</v>
      </c>
      <c r="G20" s="155">
        <f>IFERROR(LOOKUP('V3'!$H20,Table4[Product],Table4[DUA]),0)</f>
        <v>0</v>
      </c>
      <c r="H20" s="145"/>
      <c r="I20" s="145">
        <f>IFERROR(INT(LOOKUP('V3'!$H20,lst_LotProducts,lst_ProductDUA)*'V3'!$F20),0)</f>
        <v>0</v>
      </c>
      <c r="J20" s="22">
        <v>2</v>
      </c>
      <c r="K20" s="153"/>
      <c r="M20" s="31"/>
      <c r="N20" s="287"/>
      <c r="O20" s="278"/>
      <c r="P20" s="278"/>
      <c r="Q20" s="274">
        <v>0</v>
      </c>
      <c r="R20" s="274">
        <v>0</v>
      </c>
      <c r="S20" s="274">
        <v>0</v>
      </c>
      <c r="T20" s="274">
        <v>0</v>
      </c>
      <c r="U20" s="288">
        <f t="shared" si="4"/>
        <v>0</v>
      </c>
      <c r="V20" s="287"/>
      <c r="W20" s="287"/>
      <c r="Y20" s="166">
        <f t="shared" si="3"/>
        <v>13</v>
      </c>
      <c r="Z20" s="202"/>
      <c r="AA20" s="199">
        <f t="shared" si="0"/>
        <v>0</v>
      </c>
      <c r="AB20" s="200">
        <f t="shared" si="1"/>
        <v>0</v>
      </c>
      <c r="AC20" s="200">
        <f t="shared" si="2"/>
        <v>0</v>
      </c>
      <c r="AD20" s="208">
        <v>2</v>
      </c>
      <c r="AE20" s="200"/>
      <c r="AF20" s="200"/>
      <c r="AG20" s="200"/>
    </row>
    <row r="21" spans="1:33" ht="18" thickTop="1" thickBot="1">
      <c r="A21" s="48"/>
      <c r="C21" s="95">
        <v>14</v>
      </c>
      <c r="D21" s="154"/>
      <c r="E21" s="155">
        <f>IFERROR(_xlfn.XLOOKUP(D21,tbl_Parcels[Parcel],tbl_Parcels[Use]),0)</f>
        <v>0</v>
      </c>
      <c r="F21" s="155">
        <f>IFERROR(LOOKUP(D21,tbl_Parcels[Parcel],tbl_Parcels[Acres]),0)</f>
        <v>0</v>
      </c>
      <c r="G21" s="155">
        <f>IFERROR(LOOKUP('V3'!$H21,Table4[Product],Table4[DUA]),0)</f>
        <v>0</v>
      </c>
      <c r="H21" s="145"/>
      <c r="I21" s="145">
        <f>IFERROR(INT(LOOKUP('V3'!$H21,lst_LotProducts,lst_ProductDUA)*'V3'!$F21),0)</f>
        <v>0</v>
      </c>
      <c r="J21" s="22">
        <v>2</v>
      </c>
      <c r="K21" s="153"/>
      <c r="M21" s="31"/>
      <c r="N21" s="287"/>
      <c r="O21" s="278"/>
      <c r="P21" s="278"/>
      <c r="Q21" s="274">
        <v>0</v>
      </c>
      <c r="R21" s="274">
        <v>0</v>
      </c>
      <c r="S21" s="274">
        <v>0</v>
      </c>
      <c r="T21" s="274">
        <v>0</v>
      </c>
      <c r="U21" s="288">
        <f t="shared" si="4"/>
        <v>0</v>
      </c>
      <c r="V21" s="287"/>
      <c r="W21" s="287"/>
      <c r="Y21" s="166">
        <f t="shared" si="3"/>
        <v>14</v>
      </c>
      <c r="Z21" s="202"/>
      <c r="AA21" s="199">
        <f t="shared" si="0"/>
        <v>0</v>
      </c>
      <c r="AB21" s="200">
        <f t="shared" si="1"/>
        <v>0</v>
      </c>
      <c r="AC21" s="200">
        <f t="shared" si="2"/>
        <v>0</v>
      </c>
      <c r="AD21" s="208">
        <v>2</v>
      </c>
      <c r="AE21" s="200"/>
      <c r="AF21" s="200"/>
      <c r="AG21" s="200"/>
    </row>
    <row r="22" spans="1:33" ht="18" thickTop="1" thickBot="1">
      <c r="A22" s="48"/>
      <c r="C22" s="95">
        <v>15</v>
      </c>
      <c r="D22" s="154"/>
      <c r="E22" s="155">
        <f>IFERROR(_xlfn.XLOOKUP(D22,tbl_Parcels[Parcel],tbl_Parcels[Use]),0)</f>
        <v>0</v>
      </c>
      <c r="F22" s="155">
        <f>IFERROR(LOOKUP(D22,tbl_Parcels[Parcel],tbl_Parcels[Acres]),0)</f>
        <v>0</v>
      </c>
      <c r="G22" s="155">
        <f>IFERROR(LOOKUP('V3'!$H22,Table4[Product],Table4[DUA]),0)</f>
        <v>0</v>
      </c>
      <c r="H22" s="145"/>
      <c r="I22" s="145">
        <f>IFERROR(INT(LOOKUP('V3'!$H22,lst_LotProducts,lst_ProductDUA)*'V3'!$F22),0)</f>
        <v>0</v>
      </c>
      <c r="J22" s="22"/>
      <c r="K22" s="153"/>
      <c r="M22" s="31"/>
      <c r="N22" s="287"/>
      <c r="O22" s="278"/>
      <c r="P22" s="278"/>
      <c r="Q22" s="274">
        <v>0</v>
      </c>
      <c r="R22" s="274">
        <v>0</v>
      </c>
      <c r="S22" s="274">
        <v>0</v>
      </c>
      <c r="T22" s="274">
        <v>0</v>
      </c>
      <c r="U22" s="288">
        <f t="shared" si="4"/>
        <v>0</v>
      </c>
      <c r="V22" s="287"/>
      <c r="W22" s="287"/>
      <c r="Y22" s="166">
        <f t="shared" si="3"/>
        <v>15</v>
      </c>
      <c r="Z22" s="202"/>
      <c r="AA22" s="199">
        <f t="shared" si="0"/>
        <v>0</v>
      </c>
      <c r="AB22" s="200">
        <f t="shared" si="1"/>
        <v>0</v>
      </c>
      <c r="AC22" s="200">
        <f t="shared" si="2"/>
        <v>0</v>
      </c>
      <c r="AD22" s="208">
        <v>2</v>
      </c>
      <c r="AE22" s="200"/>
      <c r="AF22" s="200"/>
      <c r="AG22" s="200"/>
    </row>
    <row r="23" spans="1:33" ht="18" thickTop="1" thickBot="1">
      <c r="A23" s="48"/>
      <c r="C23" s="95">
        <v>16</v>
      </c>
      <c r="D23" s="154"/>
      <c r="E23" s="155">
        <f>IFERROR(_xlfn.XLOOKUP(D23,tbl_Parcels[Parcel],tbl_Parcels[Use]),0)</f>
        <v>0</v>
      </c>
      <c r="F23" s="155">
        <f>IFERROR(LOOKUP(D23,tbl_Parcels[Parcel],tbl_Parcels[Acres]),0)</f>
        <v>0</v>
      </c>
      <c r="G23" s="155">
        <f>IFERROR(LOOKUP('V3'!$H23,Table4[Product],Table4[DUA]),0)</f>
        <v>0</v>
      </c>
      <c r="H23" s="145"/>
      <c r="I23" s="145">
        <f>IFERROR(INT(LOOKUP('V3'!$H23,lst_LotProducts,lst_ProductDUA)*'V3'!$F23),0)</f>
        <v>0</v>
      </c>
      <c r="J23" s="22"/>
      <c r="K23" s="153"/>
      <c r="M23" s="31"/>
      <c r="N23" s="287"/>
      <c r="O23" s="278"/>
      <c r="P23" s="278"/>
      <c r="Q23" s="274">
        <v>0</v>
      </c>
      <c r="R23" s="274">
        <v>0</v>
      </c>
      <c r="S23" s="274">
        <v>0</v>
      </c>
      <c r="T23" s="274">
        <v>0</v>
      </c>
      <c r="U23" s="288">
        <f t="shared" si="4"/>
        <v>0</v>
      </c>
      <c r="V23" s="287"/>
      <c r="W23" s="287"/>
      <c r="Y23" s="166">
        <f t="shared" si="3"/>
        <v>16</v>
      </c>
      <c r="Z23" s="202"/>
      <c r="AA23" s="199">
        <f t="shared" si="0"/>
        <v>0</v>
      </c>
      <c r="AB23" s="200">
        <f t="shared" si="1"/>
        <v>0</v>
      </c>
      <c r="AC23" s="200">
        <f t="shared" si="2"/>
        <v>0</v>
      </c>
      <c r="AD23" s="208"/>
      <c r="AE23" s="200"/>
      <c r="AF23" s="200"/>
      <c r="AG23" s="200"/>
    </row>
    <row r="24" spans="1:33" ht="18" thickTop="1" thickBot="1">
      <c r="A24" s="48"/>
      <c r="C24" s="95">
        <v>17</v>
      </c>
      <c r="D24" s="154"/>
      <c r="E24" s="155">
        <f>IFERROR(_xlfn.XLOOKUP(D24,tbl_Parcels[Parcel],tbl_Parcels[Use]),0)</f>
        <v>0</v>
      </c>
      <c r="F24" s="155">
        <f>IFERROR(LOOKUP(D24,tbl_Parcels[Parcel],tbl_Parcels[Acres]),0)</f>
        <v>0</v>
      </c>
      <c r="G24" s="155">
        <f>IFERROR(LOOKUP('V3'!$H24,Table4[Product],Table4[DUA]),0)</f>
        <v>0</v>
      </c>
      <c r="H24" s="145"/>
      <c r="I24" s="145">
        <f>IFERROR(INT(LOOKUP('V3'!$H24,lst_LotProducts,lst_ProductDUA)*'V3'!$F24),0)</f>
        <v>0</v>
      </c>
      <c r="J24" s="22"/>
      <c r="K24" s="153"/>
      <c r="M24" s="31"/>
      <c r="N24" s="287"/>
      <c r="O24" s="278"/>
      <c r="P24" s="278"/>
      <c r="Q24" s="274">
        <v>0</v>
      </c>
      <c r="R24" s="274">
        <v>0</v>
      </c>
      <c r="S24" s="274">
        <v>0</v>
      </c>
      <c r="T24" s="274">
        <v>0</v>
      </c>
      <c r="U24" s="288">
        <f t="shared" si="4"/>
        <v>0</v>
      </c>
      <c r="V24" s="287"/>
      <c r="W24" s="287"/>
      <c r="Y24" s="166">
        <f t="shared" si="3"/>
        <v>17</v>
      </c>
      <c r="Z24" s="202"/>
      <c r="AA24" s="199">
        <f t="shared" si="0"/>
        <v>0</v>
      </c>
      <c r="AB24" s="200">
        <f t="shared" si="1"/>
        <v>0</v>
      </c>
      <c r="AC24" s="200">
        <f t="shared" si="2"/>
        <v>0</v>
      </c>
      <c r="AD24" s="170"/>
      <c r="AE24" s="200"/>
      <c r="AF24" s="200"/>
      <c r="AG24" s="200"/>
    </row>
    <row r="25" spans="1:33" ht="18" thickTop="1" thickBot="1">
      <c r="A25" s="48"/>
      <c r="C25" s="95">
        <v>18</v>
      </c>
      <c r="D25" s="154"/>
      <c r="E25" s="155">
        <f>IFERROR(_xlfn.XLOOKUP(D25,tbl_Parcels[Parcel],tbl_Parcels[Use]),0)</f>
        <v>0</v>
      </c>
      <c r="F25" s="155">
        <f>IFERROR(LOOKUP(D25,tbl_Parcels[Parcel],tbl_Parcels[Acres]),0)</f>
        <v>0</v>
      </c>
      <c r="G25" s="155">
        <f>IFERROR(LOOKUP('V3'!$H25,Table4[Product],Table4[DUA]),0)</f>
        <v>0</v>
      </c>
      <c r="H25" s="145"/>
      <c r="I25" s="145">
        <f>IFERROR(INT(LOOKUP('V3'!$H25,lst_LotProducts,lst_ProductDUA)*'V3'!$F25),0)</f>
        <v>0</v>
      </c>
      <c r="J25" s="22"/>
      <c r="K25" s="153"/>
      <c r="N25" s="287"/>
      <c r="O25" s="278"/>
      <c r="P25" s="278"/>
      <c r="Q25" s="274">
        <v>0</v>
      </c>
      <c r="R25" s="274">
        <v>0</v>
      </c>
      <c r="S25" s="274">
        <v>0</v>
      </c>
      <c r="T25" s="274">
        <v>0</v>
      </c>
      <c r="U25" s="288">
        <f t="shared" si="4"/>
        <v>0</v>
      </c>
      <c r="V25" s="287"/>
      <c r="W25" s="287"/>
      <c r="Y25" s="166">
        <f t="shared" si="3"/>
        <v>18</v>
      </c>
      <c r="Z25" s="202"/>
      <c r="AA25" s="199">
        <f t="shared" si="0"/>
        <v>0</v>
      </c>
      <c r="AB25" s="200">
        <f t="shared" si="1"/>
        <v>0</v>
      </c>
      <c r="AC25" s="200">
        <f t="shared" si="2"/>
        <v>0</v>
      </c>
      <c r="AD25" s="170"/>
      <c r="AE25" s="200"/>
      <c r="AF25" s="200"/>
      <c r="AG25" s="200"/>
    </row>
    <row r="26" spans="1:33" ht="18" thickTop="1" thickBot="1">
      <c r="A26" s="48"/>
      <c r="C26" s="95">
        <v>19</v>
      </c>
      <c r="D26" s="154"/>
      <c r="E26" s="155">
        <f>IFERROR(_xlfn.XLOOKUP(D26,tbl_Parcels[Parcel],tbl_Parcels[Use]),0)</f>
        <v>0</v>
      </c>
      <c r="F26" s="155">
        <f>IFERROR(LOOKUP(D26,tbl_Parcels[Parcel],tbl_Parcels[Acres]),0)</f>
        <v>0</v>
      </c>
      <c r="G26" s="155">
        <f>IFERROR(LOOKUP('V3'!$H26,Table4[Product],Table4[DUA]),0)</f>
        <v>0</v>
      </c>
      <c r="H26" s="145"/>
      <c r="I26" s="145">
        <f>IFERROR(INT(LOOKUP('V3'!$H26,lst_LotProducts,lst_ProductDUA)*'V3'!$F26),0)</f>
        <v>0</v>
      </c>
      <c r="J26" s="22"/>
      <c r="K26" s="153"/>
      <c r="N26" s="287"/>
      <c r="O26" s="278"/>
      <c r="P26" s="278"/>
      <c r="Q26" s="274">
        <v>0</v>
      </c>
      <c r="R26" s="274">
        <v>0</v>
      </c>
      <c r="S26" s="274">
        <v>0</v>
      </c>
      <c r="T26" s="274">
        <v>0</v>
      </c>
      <c r="U26" s="288">
        <f t="shared" si="4"/>
        <v>0</v>
      </c>
      <c r="V26" s="287"/>
      <c r="W26" s="287"/>
      <c r="Y26" s="166">
        <f t="shared" si="3"/>
        <v>19</v>
      </c>
      <c r="Z26" s="202"/>
      <c r="AA26" s="199">
        <f t="shared" si="0"/>
        <v>0</v>
      </c>
      <c r="AB26" s="200">
        <f t="shared" si="1"/>
        <v>0</v>
      </c>
      <c r="AC26" s="200">
        <f t="shared" si="2"/>
        <v>0</v>
      </c>
      <c r="AD26" s="170"/>
      <c r="AE26" s="200"/>
      <c r="AF26" s="200"/>
      <c r="AG26" s="200"/>
    </row>
    <row r="27" spans="1:33" ht="18" thickTop="1" thickBot="1">
      <c r="A27" s="48"/>
      <c r="C27" s="95">
        <v>20</v>
      </c>
      <c r="D27" s="154"/>
      <c r="E27" s="155">
        <f>IFERROR(_xlfn.XLOOKUP(D27,tbl_Parcels[Parcel],tbl_Parcels[Use]),0)</f>
        <v>0</v>
      </c>
      <c r="F27" s="155">
        <f>IFERROR(LOOKUP(D27,tbl_Parcels[Parcel],tbl_Parcels[Acres]),0)</f>
        <v>0</v>
      </c>
      <c r="G27" s="155">
        <f>IFERROR(LOOKUP('V3'!$H27,Table4[Product],Table4[DUA]),0)</f>
        <v>0</v>
      </c>
      <c r="H27" s="145"/>
      <c r="I27" s="145">
        <f>IFERROR(INT(LOOKUP('V3'!$H27,lst_LotProducts,lst_ProductDUA)*'V3'!$F27),0)</f>
        <v>0</v>
      </c>
      <c r="J27" s="22"/>
      <c r="K27" s="153"/>
      <c r="N27" s="287"/>
      <c r="O27" s="278"/>
      <c r="P27" s="278"/>
      <c r="Q27" s="274">
        <v>0</v>
      </c>
      <c r="R27" s="274">
        <v>0</v>
      </c>
      <c r="S27" s="274">
        <v>0</v>
      </c>
      <c r="T27" s="274">
        <v>0</v>
      </c>
      <c r="U27" s="288">
        <f t="shared" si="4"/>
        <v>0</v>
      </c>
      <c r="V27" s="287"/>
      <c r="W27" s="287"/>
      <c r="Y27" s="166">
        <f t="shared" si="3"/>
        <v>20</v>
      </c>
      <c r="Z27" s="202"/>
      <c r="AA27" s="199">
        <f t="shared" si="0"/>
        <v>0</v>
      </c>
      <c r="AB27" s="200">
        <f t="shared" si="1"/>
        <v>0</v>
      </c>
      <c r="AC27" s="200">
        <f t="shared" si="2"/>
        <v>0</v>
      </c>
      <c r="AD27" s="170"/>
      <c r="AE27" s="200"/>
      <c r="AF27" s="200"/>
      <c r="AG27" s="200"/>
    </row>
    <row r="28" spans="1:33" ht="18" thickTop="1" thickBot="1">
      <c r="A28" s="48"/>
      <c r="C28" s="95">
        <v>21</v>
      </c>
      <c r="D28" s="154"/>
      <c r="E28" s="155">
        <f>IFERROR(_xlfn.XLOOKUP(D28,tbl_Parcels[Parcel],tbl_Parcels[Use]),0)</f>
        <v>0</v>
      </c>
      <c r="F28" s="155">
        <f>IFERROR(LOOKUP(D28,tbl_Parcels[Parcel],tbl_Parcels[Acres]),0)</f>
        <v>0</v>
      </c>
      <c r="G28" s="155">
        <f>IFERROR(LOOKUP('V3'!$H28,Table4[Product],Table4[DUA]),0)</f>
        <v>0</v>
      </c>
      <c r="H28" s="145"/>
      <c r="I28" s="145">
        <f>IFERROR(INT(LOOKUP('V3'!$H28,lst_LotProducts,lst_ProductDUA)*'V3'!$F28),0)</f>
        <v>0</v>
      </c>
      <c r="J28" s="22"/>
      <c r="K28" s="153"/>
      <c r="N28" s="287"/>
      <c r="O28" s="278"/>
      <c r="P28" s="278"/>
      <c r="Q28" s="274">
        <v>0</v>
      </c>
      <c r="R28" s="274">
        <v>0</v>
      </c>
      <c r="S28" s="274">
        <v>0</v>
      </c>
      <c r="T28" s="274">
        <v>0</v>
      </c>
      <c r="U28" s="288">
        <f t="shared" si="4"/>
        <v>0</v>
      </c>
      <c r="V28" s="287"/>
      <c r="W28" s="287"/>
      <c r="Y28" s="166">
        <f t="shared" si="3"/>
        <v>21</v>
      </c>
      <c r="Z28" s="202"/>
      <c r="AA28" s="199">
        <f t="shared" si="0"/>
        <v>0</v>
      </c>
      <c r="AB28" s="200">
        <f t="shared" si="1"/>
        <v>0</v>
      </c>
      <c r="AC28" s="200">
        <f t="shared" si="2"/>
        <v>0</v>
      </c>
      <c r="AD28" s="170"/>
      <c r="AE28" s="200"/>
      <c r="AF28" s="200"/>
      <c r="AG28" s="200"/>
    </row>
    <row r="29" spans="1:33" ht="18" thickTop="1" thickBot="1">
      <c r="A29" s="48"/>
      <c r="C29" s="95">
        <v>22</v>
      </c>
      <c r="D29" s="154"/>
      <c r="E29" s="155">
        <f>IFERROR(_xlfn.XLOOKUP(D29,tbl_Parcels[Parcel],tbl_Parcels[Use]),0)</f>
        <v>0</v>
      </c>
      <c r="F29" s="155">
        <f>IFERROR(LOOKUP(D29,tbl_Parcels[Parcel],tbl_Parcels[Acres]),0)</f>
        <v>0</v>
      </c>
      <c r="G29" s="155">
        <f>IFERROR(LOOKUP('V3'!$H29,Table4[Product],Table4[DUA]),0)</f>
        <v>0</v>
      </c>
      <c r="H29" s="145"/>
      <c r="I29" s="145">
        <f>IFERROR(INT(LOOKUP('V3'!$H29,lst_LotProducts,lst_ProductDUA)*'V3'!$F29),0)</f>
        <v>0</v>
      </c>
      <c r="J29" s="22"/>
      <c r="K29" s="153"/>
      <c r="N29" s="287"/>
      <c r="O29" s="278"/>
      <c r="P29" s="278"/>
      <c r="Q29" s="274">
        <v>0</v>
      </c>
      <c r="R29" s="274">
        <v>0</v>
      </c>
      <c r="S29" s="274">
        <v>0</v>
      </c>
      <c r="T29" s="274">
        <v>0</v>
      </c>
      <c r="U29" s="288">
        <f t="shared" si="4"/>
        <v>0</v>
      </c>
      <c r="V29" s="287"/>
      <c r="W29" s="287"/>
      <c r="Y29" s="166">
        <f t="shared" si="3"/>
        <v>22</v>
      </c>
      <c r="Z29" s="202"/>
      <c r="AA29" s="199">
        <f t="shared" si="0"/>
        <v>0</v>
      </c>
      <c r="AB29" s="200">
        <f t="shared" si="1"/>
        <v>0</v>
      </c>
      <c r="AC29" s="200">
        <f t="shared" si="2"/>
        <v>0</v>
      </c>
      <c r="AD29" s="170"/>
      <c r="AE29" s="200"/>
      <c r="AF29" s="200"/>
      <c r="AG29" s="200"/>
    </row>
    <row r="30" spans="1:33" ht="18" thickTop="1" thickBot="1">
      <c r="A30" s="48"/>
      <c r="C30" s="95">
        <v>23</v>
      </c>
      <c r="D30" s="154"/>
      <c r="E30" s="155">
        <f>IFERROR(_xlfn.XLOOKUP(D30,tbl_Parcels[Parcel],tbl_Parcels[Use]),0)</f>
        <v>0</v>
      </c>
      <c r="F30" s="155">
        <f>IFERROR(LOOKUP(D30,tbl_Parcels[Parcel],tbl_Parcels[Acres]),0)</f>
        <v>0</v>
      </c>
      <c r="G30" s="155">
        <f>IFERROR(LOOKUP('V3'!$H30,Table4[Product],Table4[DUA]),0)</f>
        <v>0</v>
      </c>
      <c r="H30" s="145"/>
      <c r="I30" s="145">
        <f>IFERROR(INT(LOOKUP('V3'!$H30,lst_LotProducts,lst_ProductDUA)*'V3'!$F30),0)</f>
        <v>0</v>
      </c>
      <c r="J30" s="22"/>
      <c r="K30" s="153"/>
      <c r="N30" s="287"/>
      <c r="O30" s="278"/>
      <c r="P30" s="278"/>
      <c r="Q30" s="274">
        <v>0</v>
      </c>
      <c r="R30" s="274">
        <v>0</v>
      </c>
      <c r="S30" s="274">
        <v>0</v>
      </c>
      <c r="T30" s="274">
        <v>0</v>
      </c>
      <c r="U30" s="288">
        <f t="shared" si="4"/>
        <v>0</v>
      </c>
      <c r="V30" s="287"/>
      <c r="W30" s="287"/>
      <c r="Y30" s="166">
        <f t="shared" si="3"/>
        <v>23</v>
      </c>
      <c r="Z30" s="202"/>
      <c r="AA30" s="199">
        <f t="shared" si="0"/>
        <v>0</v>
      </c>
      <c r="AB30" s="200">
        <f t="shared" si="1"/>
        <v>0</v>
      </c>
      <c r="AC30" s="200">
        <f t="shared" si="2"/>
        <v>0</v>
      </c>
      <c r="AD30" s="170"/>
      <c r="AE30" s="200"/>
      <c r="AF30" s="200"/>
      <c r="AG30" s="200"/>
    </row>
    <row r="31" spans="1:33" ht="18" thickTop="1" thickBot="1">
      <c r="A31" s="48"/>
      <c r="C31" s="95">
        <v>24</v>
      </c>
      <c r="D31" s="154"/>
      <c r="E31" s="155">
        <f>IFERROR(_xlfn.XLOOKUP(D31,tbl_Parcels[Parcel],tbl_Parcels[Use]),0)</f>
        <v>0</v>
      </c>
      <c r="F31" s="155">
        <f>IFERROR(LOOKUP(D31,tbl_Parcels[Parcel],tbl_Parcels[Acres]),0)</f>
        <v>0</v>
      </c>
      <c r="G31" s="155">
        <f>IFERROR(LOOKUP('V3'!$H31,Table4[Product],Table4[DUA]),0)</f>
        <v>0</v>
      </c>
      <c r="H31" s="145"/>
      <c r="I31" s="145">
        <f>IFERROR(INT(LOOKUP('V3'!$H31,lst_LotProducts,lst_ProductDUA)*'V3'!$F31),0)</f>
        <v>0</v>
      </c>
      <c r="J31" s="22"/>
      <c r="K31" s="153"/>
      <c r="N31" s="287"/>
      <c r="O31" s="297"/>
      <c r="P31" s="297"/>
      <c r="Q31" s="298">
        <v>0</v>
      </c>
      <c r="R31" s="298">
        <v>0</v>
      </c>
      <c r="S31" s="298">
        <v>0</v>
      </c>
      <c r="T31" s="298">
        <v>0</v>
      </c>
      <c r="U31" s="299">
        <f t="shared" si="4"/>
        <v>0</v>
      </c>
      <c r="V31" s="287"/>
      <c r="W31" s="287"/>
      <c r="Y31" s="166">
        <f t="shared" si="3"/>
        <v>24</v>
      </c>
      <c r="Z31" s="202"/>
      <c r="AA31" s="199">
        <f t="shared" si="0"/>
        <v>0</v>
      </c>
      <c r="AB31" s="200">
        <f t="shared" si="1"/>
        <v>0</v>
      </c>
      <c r="AC31" s="200">
        <f t="shared" si="2"/>
        <v>0</v>
      </c>
      <c r="AD31" s="170"/>
      <c r="AE31" s="200"/>
      <c r="AF31" s="200"/>
      <c r="AG31" s="200"/>
    </row>
    <row r="32" spans="1:33" ht="18" thickTop="1" thickBot="1">
      <c r="A32" s="48"/>
      <c r="C32" s="95">
        <v>25</v>
      </c>
      <c r="D32" s="154"/>
      <c r="E32" s="155">
        <f>IFERROR(_xlfn.XLOOKUP(D32,tbl_Parcels[Parcel],tbl_Parcels[Use]),0)</f>
        <v>0</v>
      </c>
      <c r="F32" s="155">
        <f>IFERROR(LOOKUP(D32,tbl_Parcels[Parcel],tbl_Parcels[Acres]),0)</f>
        <v>0</v>
      </c>
      <c r="G32" s="155">
        <f>IFERROR(LOOKUP('V3'!$H32,Table4[Product],Table4[DUA]),0)</f>
        <v>0</v>
      </c>
      <c r="H32" s="145"/>
      <c r="I32" s="145">
        <f>IFERROR(INT(LOOKUP('V3'!$H32,lst_LotProducts,lst_ProductDUA)*'V3'!$F32),0)</f>
        <v>0</v>
      </c>
      <c r="J32" s="22"/>
      <c r="K32" s="153"/>
      <c r="N32" s="287"/>
      <c r="O32" s="294"/>
      <c r="P32" s="294" t="s">
        <v>78</v>
      </c>
      <c r="Q32" s="295">
        <f>SUM(Q10:Q31)</f>
        <v>5000000</v>
      </c>
      <c r="R32" s="295">
        <f>SUM(R10:R31)</f>
        <v>2500000</v>
      </c>
      <c r="S32" s="295">
        <f>SUM(S10:S31)</f>
        <v>1500000</v>
      </c>
      <c r="T32" s="295">
        <f>SUM(T10:T31)</f>
        <v>3000000</v>
      </c>
      <c r="U32" s="296">
        <f t="shared" si="4"/>
        <v>12000000</v>
      </c>
      <c r="V32" s="287"/>
      <c r="W32"/>
      <c r="Y32" s="166">
        <f t="shared" si="3"/>
        <v>25</v>
      </c>
      <c r="Z32" s="202"/>
      <c r="AA32" s="199">
        <f t="shared" si="0"/>
        <v>0</v>
      </c>
      <c r="AB32" s="200">
        <f t="shared" si="1"/>
        <v>0</v>
      </c>
      <c r="AC32" s="200">
        <f t="shared" si="2"/>
        <v>0</v>
      </c>
      <c r="AD32" s="170"/>
      <c r="AE32" s="200"/>
      <c r="AF32" s="200"/>
      <c r="AG32" s="200"/>
    </row>
    <row r="33" spans="1:34" ht="17" thickTop="1">
      <c r="A33" s="48"/>
      <c r="N33" s="287"/>
      <c r="O33"/>
      <c r="P33"/>
      <c r="Q33"/>
      <c r="R33"/>
      <c r="S33"/>
      <c r="T33"/>
      <c r="U33"/>
      <c r="V33"/>
      <c r="W33"/>
      <c r="X33" s="50"/>
    </row>
    <row r="34" spans="1:34">
      <c r="A34" s="48"/>
      <c r="N34" s="287"/>
      <c r="O34"/>
      <c r="P34"/>
      <c r="Q34"/>
      <c r="R34"/>
      <c r="S34"/>
      <c r="T34"/>
      <c r="U34"/>
      <c r="V34"/>
      <c r="W34"/>
    </row>
    <row r="35" spans="1:34" s="50" customFormat="1">
      <c r="A35" s="48"/>
      <c r="B35"/>
      <c r="C35"/>
      <c r="D35"/>
      <c r="E35"/>
      <c r="F35"/>
      <c r="G35"/>
      <c r="H35"/>
      <c r="I35"/>
      <c r="J35"/>
      <c r="K35"/>
      <c r="L35"/>
      <c r="M35" s="37"/>
      <c r="N35" s="287"/>
      <c r="O35"/>
      <c r="P35"/>
      <c r="Q35"/>
      <c r="R35"/>
      <c r="S35"/>
      <c r="T35"/>
      <c r="U35"/>
      <c r="V35"/>
      <c r="W35"/>
      <c r="X35"/>
      <c r="Y35"/>
      <c r="Z35" s="201"/>
      <c r="AA35"/>
      <c r="AB35"/>
      <c r="AC35"/>
      <c r="AD35"/>
      <c r="AE35"/>
      <c r="AF35"/>
      <c r="AG35"/>
      <c r="AH35"/>
    </row>
    <row r="36" spans="1:34">
      <c r="A36" s="48"/>
      <c r="N36" s="287"/>
      <c r="O36"/>
      <c r="P36"/>
      <c r="Q36"/>
      <c r="R36"/>
      <c r="S36"/>
      <c r="T36"/>
      <c r="U36"/>
      <c r="V36"/>
      <c r="W36"/>
      <c r="AG36" s="50"/>
      <c r="AH36" s="50"/>
    </row>
    <row r="37" spans="1:34">
      <c r="N37" s="287"/>
      <c r="O37"/>
      <c r="P37"/>
      <c r="Q37"/>
      <c r="R37"/>
      <c r="S37"/>
      <c r="T37"/>
      <c r="U37"/>
      <c r="V37"/>
      <c r="W37"/>
    </row>
    <row r="38" spans="1:34">
      <c r="N38" s="287"/>
      <c r="O38"/>
      <c r="P38"/>
      <c r="Q38"/>
      <c r="R38"/>
      <c r="S38"/>
      <c r="T38"/>
      <c r="U38"/>
      <c r="V38"/>
      <c r="W38"/>
    </row>
    <row r="39" spans="1:34">
      <c r="N39" s="287"/>
      <c r="O39"/>
      <c r="P39"/>
      <c r="Q39"/>
      <c r="R39"/>
      <c r="S39"/>
      <c r="T39"/>
      <c r="U39"/>
      <c r="V39"/>
      <c r="W39" s="37"/>
    </row>
    <row r="40" spans="1:34">
      <c r="N40" s="287"/>
      <c r="O40" s="37"/>
      <c r="P40" s="37"/>
      <c r="Q40" s="37"/>
      <c r="R40" s="37"/>
      <c r="S40" s="37"/>
      <c r="T40" s="37"/>
      <c r="U40" s="37"/>
      <c r="V40" s="37"/>
      <c r="W40" s="37"/>
    </row>
    <row r="41" spans="1:34">
      <c r="N41" s="287"/>
      <c r="O41" s="37"/>
      <c r="P41" s="37"/>
      <c r="Q41" s="37"/>
      <c r="R41" s="37"/>
      <c r="S41" s="37"/>
      <c r="T41" s="37"/>
      <c r="U41" s="37"/>
      <c r="V41" s="37"/>
      <c r="W41" s="37"/>
    </row>
    <row r="42" spans="1:34">
      <c r="N42" s="287"/>
      <c r="O42" s="37"/>
      <c r="P42" s="37"/>
      <c r="Q42" s="37"/>
      <c r="R42" s="37"/>
      <c r="S42" s="37"/>
      <c r="T42" s="37"/>
      <c r="U42" s="37"/>
      <c r="V42" s="37"/>
      <c r="W42" s="37"/>
    </row>
    <row r="43" spans="1:34">
      <c r="N43" s="287"/>
      <c r="O43" s="37"/>
      <c r="P43" s="37"/>
      <c r="Q43" s="37"/>
      <c r="R43" s="37"/>
      <c r="S43" s="37"/>
      <c r="T43" s="37"/>
      <c r="U43" s="37"/>
      <c r="V43" s="37"/>
      <c r="W43" s="37"/>
    </row>
    <row r="44" spans="1:34">
      <c r="N44" s="287"/>
      <c r="O44" s="37"/>
      <c r="P44" s="37"/>
      <c r="Q44" s="37"/>
      <c r="R44" s="37"/>
      <c r="S44" s="37"/>
      <c r="T44" s="37"/>
      <c r="U44" s="37"/>
      <c r="V44" s="37"/>
      <c r="W44" s="37"/>
    </row>
    <row r="45" spans="1:34">
      <c r="N45" s="287"/>
      <c r="O45" s="37"/>
      <c r="P45" s="37"/>
      <c r="Q45" s="37"/>
      <c r="R45" s="37"/>
      <c r="S45" s="37"/>
      <c r="T45" s="37"/>
      <c r="U45" s="37"/>
      <c r="V45" s="37"/>
      <c r="W45" s="37"/>
    </row>
    <row r="46" spans="1:34">
      <c r="N46" s="287"/>
      <c r="O46" s="37"/>
      <c r="P46" s="37"/>
      <c r="Q46" s="37"/>
      <c r="R46" s="37"/>
      <c r="S46" s="37"/>
      <c r="T46" s="37"/>
      <c r="U46" s="37"/>
      <c r="V46" s="37"/>
      <c r="W46" s="37"/>
    </row>
    <row r="47" spans="1:34">
      <c r="N47" s="287"/>
      <c r="O47" s="37"/>
      <c r="P47" s="37"/>
      <c r="Q47" s="37"/>
      <c r="R47" s="37"/>
      <c r="S47" s="37"/>
      <c r="T47" s="37"/>
      <c r="U47" s="37"/>
      <c r="V47" s="37"/>
      <c r="W47" s="37"/>
    </row>
    <row r="48" spans="1:34">
      <c r="N48" s="287"/>
      <c r="O48" s="37"/>
      <c r="P48" s="37"/>
      <c r="Q48" s="37"/>
      <c r="R48" s="37"/>
      <c r="S48" s="37"/>
      <c r="T48" s="37"/>
      <c r="U48" s="37"/>
      <c r="V48" s="37"/>
      <c r="W48" s="37"/>
    </row>
    <row r="49" spans="2:34" s="50" customFormat="1">
      <c r="B49"/>
      <c r="C49"/>
      <c r="D49"/>
      <c r="E49"/>
      <c r="F49"/>
      <c r="G49"/>
      <c r="H49"/>
      <c r="I49"/>
      <c r="J49"/>
      <c r="K49"/>
      <c r="L49"/>
      <c r="M49" s="37"/>
      <c r="N49" s="287"/>
      <c r="O49" s="37"/>
      <c r="P49" s="37"/>
      <c r="Q49" s="37"/>
      <c r="R49" s="37"/>
      <c r="S49" s="37"/>
      <c r="T49" s="37"/>
      <c r="U49" s="37"/>
      <c r="V49" s="37"/>
      <c r="W49" s="37"/>
      <c r="X49"/>
      <c r="Y49"/>
      <c r="Z49" s="201"/>
      <c r="AA49"/>
      <c r="AB49"/>
      <c r="AC49"/>
      <c r="AD49"/>
      <c r="AE49"/>
      <c r="AF49"/>
      <c r="AG49"/>
      <c r="AH49"/>
    </row>
    <row r="50" spans="2:34">
      <c r="N50" s="287"/>
      <c r="O50" s="37"/>
      <c r="P50" s="37"/>
      <c r="Q50" s="37"/>
      <c r="R50" s="37"/>
      <c r="S50" s="37"/>
      <c r="T50" s="37"/>
      <c r="U50" s="37"/>
      <c r="V50" s="37"/>
      <c r="W50" s="37"/>
      <c r="AG50" s="50"/>
      <c r="AH50" s="50"/>
    </row>
    <row r="51" spans="2:34">
      <c r="N51" s="287"/>
      <c r="O51" s="37"/>
      <c r="P51" s="37"/>
      <c r="Q51" s="37"/>
      <c r="R51" s="37"/>
      <c r="S51" s="37"/>
      <c r="T51" s="37"/>
      <c r="U51" s="37"/>
      <c r="V51" s="37"/>
      <c r="W51" s="37"/>
    </row>
    <row r="52" spans="2:34">
      <c r="N52" s="287"/>
      <c r="O52" s="37"/>
      <c r="P52" s="37"/>
      <c r="Q52" s="37"/>
      <c r="R52" s="37"/>
      <c r="S52" s="37"/>
      <c r="T52" s="37"/>
      <c r="U52" s="37"/>
      <c r="V52" s="37"/>
      <c r="W52" s="37"/>
    </row>
    <row r="53" spans="2:34">
      <c r="N53" s="287"/>
      <c r="O53" s="37"/>
      <c r="P53" s="37"/>
      <c r="Q53" s="37"/>
      <c r="R53" s="37"/>
      <c r="S53" s="37"/>
      <c r="T53" s="37"/>
      <c r="U53" s="37"/>
      <c r="V53" s="37"/>
      <c r="W53" s="37"/>
    </row>
    <row r="54" spans="2:34">
      <c r="N54" s="287"/>
      <c r="O54" s="37"/>
      <c r="P54" s="37"/>
      <c r="Q54" s="37"/>
      <c r="R54" s="37"/>
      <c r="S54" s="37"/>
      <c r="T54" s="37"/>
      <c r="U54" s="37"/>
      <c r="V54" s="37"/>
      <c r="W54" s="37"/>
    </row>
    <row r="55" spans="2:34">
      <c r="N55" s="287"/>
      <c r="O55" s="37"/>
      <c r="P55" s="37"/>
      <c r="Q55" s="37"/>
      <c r="R55" s="37"/>
      <c r="S55" s="37"/>
      <c r="T55" s="37"/>
      <c r="U55" s="37"/>
      <c r="V55" s="37"/>
      <c r="W55" s="37"/>
    </row>
    <row r="56" spans="2:34">
      <c r="N56" s="287"/>
      <c r="O56" s="37"/>
      <c r="P56" s="37"/>
      <c r="Q56" s="37"/>
      <c r="R56" s="37"/>
      <c r="S56" s="37"/>
      <c r="T56" s="37"/>
      <c r="U56" s="37"/>
      <c r="V56" s="37"/>
      <c r="W56" s="37"/>
    </row>
    <row r="57" spans="2:34">
      <c r="N57" s="287"/>
      <c r="O57" s="37"/>
      <c r="P57" s="37"/>
      <c r="Q57" s="37"/>
      <c r="R57" s="37"/>
      <c r="S57" s="37"/>
      <c r="T57" s="37"/>
      <c r="U57" s="37"/>
      <c r="V57" s="37"/>
      <c r="W57" s="37"/>
    </row>
    <row r="58" spans="2:34">
      <c r="N58" s="287"/>
      <c r="O58" s="37"/>
      <c r="P58" s="37"/>
      <c r="Q58" s="37"/>
      <c r="R58" s="37"/>
      <c r="S58" s="37"/>
      <c r="T58" s="37"/>
      <c r="U58" s="37"/>
      <c r="V58" s="37"/>
      <c r="W58" s="37"/>
    </row>
    <row r="59" spans="2:34">
      <c r="N59" s="287"/>
      <c r="O59" s="37"/>
      <c r="P59" s="37"/>
      <c r="Q59" s="37"/>
      <c r="R59" s="37"/>
      <c r="S59" s="37"/>
      <c r="T59" s="37"/>
      <c r="U59" s="37"/>
      <c r="V59" s="37"/>
      <c r="W59" s="37"/>
    </row>
    <row r="60" spans="2:34">
      <c r="N60" s="287"/>
      <c r="O60" s="37"/>
      <c r="P60" s="37"/>
      <c r="Q60" s="37"/>
      <c r="R60" s="37"/>
      <c r="S60" s="37"/>
      <c r="T60" s="37"/>
      <c r="U60" s="37"/>
      <c r="V60" s="37"/>
      <c r="W60" s="37"/>
    </row>
    <row r="61" spans="2:34">
      <c r="N61" s="287"/>
      <c r="O61" s="37"/>
      <c r="P61" s="37"/>
      <c r="Q61" s="37"/>
      <c r="R61" s="37"/>
      <c r="S61" s="37"/>
      <c r="T61" s="37"/>
      <c r="U61" s="37"/>
      <c r="V61" s="37"/>
      <c r="W61" s="37"/>
    </row>
    <row r="62" spans="2:34">
      <c r="N62" s="287"/>
      <c r="O62" s="37"/>
      <c r="P62" s="37"/>
      <c r="Q62" s="37"/>
      <c r="R62" s="37"/>
      <c r="S62" s="37"/>
      <c r="T62" s="37"/>
      <c r="U62" s="37"/>
      <c r="V62" s="37"/>
      <c r="W62" s="37"/>
    </row>
    <row r="63" spans="2:34">
      <c r="N63" s="287"/>
      <c r="O63" s="37"/>
      <c r="P63" s="37"/>
      <c r="Q63" s="37"/>
      <c r="R63" s="37"/>
      <c r="S63" s="37"/>
      <c r="T63" s="37"/>
      <c r="U63" s="37"/>
      <c r="V63" s="37"/>
      <c r="W63" s="37"/>
    </row>
    <row r="64" spans="2:34">
      <c r="N64" s="287"/>
      <c r="O64" s="37"/>
      <c r="P64" s="37"/>
      <c r="Q64" s="37"/>
      <c r="R64" s="37"/>
      <c r="S64" s="37"/>
      <c r="T64" s="37"/>
      <c r="U64" s="37"/>
      <c r="V64" s="37"/>
      <c r="W64" s="37"/>
    </row>
    <row r="65" spans="14:23">
      <c r="N65" s="287"/>
      <c r="O65" s="37"/>
      <c r="P65" s="37"/>
      <c r="Q65" s="37"/>
      <c r="R65" s="37"/>
      <c r="S65" s="37"/>
      <c r="T65" s="37"/>
      <c r="U65" s="37"/>
      <c r="V65" s="37"/>
      <c r="W65" s="37"/>
    </row>
    <row r="66" spans="14:23">
      <c r="N66" s="287"/>
      <c r="O66" s="37"/>
      <c r="P66" s="37"/>
      <c r="Q66" s="37"/>
      <c r="R66" s="37"/>
      <c r="S66" s="37"/>
      <c r="T66" s="37"/>
      <c r="U66" s="37"/>
      <c r="V66" s="37"/>
      <c r="W66" s="37"/>
    </row>
    <row r="67" spans="14:23">
      <c r="N67" s="287"/>
      <c r="O67" s="37"/>
      <c r="P67" s="37"/>
      <c r="Q67" s="37"/>
      <c r="R67" s="37"/>
      <c r="S67" s="37"/>
      <c r="T67" s="37"/>
      <c r="U67" s="37"/>
      <c r="V67" s="37"/>
      <c r="W67" s="37"/>
    </row>
    <row r="68" spans="14:23">
      <c r="N68" s="287"/>
      <c r="O68" s="37"/>
      <c r="P68" s="37"/>
      <c r="Q68" s="37"/>
      <c r="R68" s="37"/>
      <c r="S68" s="37"/>
      <c r="T68" s="37"/>
      <c r="U68" s="37"/>
      <c r="V68" s="37"/>
      <c r="W68" s="37"/>
    </row>
    <row r="69" spans="14:23">
      <c r="N69" s="287"/>
      <c r="O69" s="37"/>
      <c r="P69" s="37"/>
      <c r="Q69" s="37"/>
      <c r="R69" s="37"/>
      <c r="S69" s="37"/>
      <c r="T69" s="37"/>
      <c r="U69" s="37"/>
      <c r="V69" s="37"/>
      <c r="W69" s="37"/>
    </row>
    <row r="70" spans="14:23">
      <c r="N70" s="287"/>
      <c r="O70" s="37"/>
      <c r="P70" s="37"/>
      <c r="Q70" s="37"/>
      <c r="R70" s="37"/>
      <c r="S70" s="37"/>
      <c r="T70" s="37"/>
      <c r="U70" s="37"/>
      <c r="V70" s="37"/>
      <c r="W70" s="37"/>
    </row>
    <row r="71" spans="14:23">
      <c r="N71" s="287"/>
      <c r="O71" s="37"/>
      <c r="P71" s="37"/>
      <c r="Q71" s="37"/>
      <c r="R71" s="37"/>
      <c r="S71" s="37"/>
      <c r="T71" s="37"/>
      <c r="U71" s="37"/>
      <c r="V71" s="37"/>
      <c r="W71" s="37"/>
    </row>
    <row r="72" spans="14:23">
      <c r="N72" s="287"/>
      <c r="O72" s="37"/>
      <c r="P72" s="37"/>
      <c r="Q72" s="37"/>
      <c r="R72" s="37"/>
      <c r="S72" s="37"/>
      <c r="T72" s="37"/>
      <c r="U72" s="37"/>
      <c r="V72" s="37"/>
      <c r="W72" s="37"/>
    </row>
    <row r="73" spans="14:23">
      <c r="N73" s="287"/>
      <c r="O73" s="37"/>
      <c r="P73" s="37"/>
      <c r="Q73" s="37"/>
      <c r="R73" s="37"/>
      <c r="S73" s="37"/>
      <c r="T73" s="37"/>
      <c r="U73" s="37"/>
      <c r="V73" s="37"/>
      <c r="W73" s="37"/>
    </row>
    <row r="74" spans="14:23">
      <c r="N74" s="287"/>
      <c r="O74" s="37"/>
      <c r="P74" s="37"/>
      <c r="Q74" s="37"/>
      <c r="R74" s="37"/>
      <c r="S74" s="37"/>
      <c r="T74" s="37"/>
      <c r="U74" s="37"/>
      <c r="V74" s="37"/>
      <c r="W74" s="264"/>
    </row>
    <row r="75" spans="14:23">
      <c r="N75" s="287"/>
      <c r="Q75" s="266"/>
      <c r="S75" s="268"/>
      <c r="T75" s="268"/>
      <c r="U75" s="268"/>
      <c r="V75" s="264"/>
      <c r="W75" s="264"/>
    </row>
    <row r="76" spans="14:23">
      <c r="N76" s="287"/>
      <c r="Q76" s="266"/>
      <c r="S76" s="268"/>
      <c r="T76" s="268"/>
      <c r="U76" s="268"/>
      <c r="V76" s="264"/>
      <c r="W76" s="264"/>
    </row>
    <row r="77" spans="14:23">
      <c r="N77" s="287"/>
      <c r="Q77" s="266"/>
      <c r="S77" s="268"/>
      <c r="T77" s="268"/>
      <c r="U77" s="268"/>
      <c r="V77" s="264"/>
      <c r="W77" s="264"/>
    </row>
    <row r="78" spans="14:23">
      <c r="N78" s="287"/>
      <c r="Q78" s="266"/>
      <c r="S78" s="268"/>
      <c r="T78" s="268"/>
      <c r="U78" s="268"/>
      <c r="V78" s="264"/>
      <c r="W78" s="264"/>
    </row>
    <row r="79" spans="14:23">
      <c r="N79" s="287"/>
      <c r="Q79" s="266"/>
      <c r="S79" s="268"/>
      <c r="T79" s="268"/>
      <c r="U79" s="268"/>
      <c r="V79" s="264"/>
      <c r="W79" s="264"/>
    </row>
    <row r="80" spans="14:23">
      <c r="N80" s="287"/>
      <c r="Q80" s="266"/>
      <c r="S80" s="268"/>
      <c r="T80" s="268"/>
      <c r="U80" s="268"/>
      <c r="V80" s="264"/>
      <c r="W80" s="264"/>
    </row>
    <row r="81" spans="14:23">
      <c r="N81" s="287"/>
      <c r="Q81" s="266"/>
      <c r="S81" s="268"/>
      <c r="T81" s="268"/>
      <c r="U81" s="268"/>
      <c r="V81" s="264"/>
      <c r="W81" s="264"/>
    </row>
    <row r="82" spans="14:23">
      <c r="N82" s="287"/>
      <c r="Q82" s="266"/>
      <c r="S82" s="268"/>
      <c r="T82" s="268"/>
      <c r="U82" s="268"/>
      <c r="V82" s="264"/>
      <c r="W82" s="264"/>
    </row>
    <row r="83" spans="14:23">
      <c r="N83" s="287"/>
      <c r="Q83" s="266"/>
      <c r="S83" s="268"/>
      <c r="T83" s="268"/>
      <c r="U83" s="268"/>
      <c r="V83" s="264"/>
      <c r="W83" s="264"/>
    </row>
    <row r="84" spans="14:23">
      <c r="N84" s="287"/>
      <c r="Q84" s="266"/>
      <c r="S84" s="268"/>
      <c r="T84" s="268"/>
      <c r="U84" s="268"/>
      <c r="V84" s="264"/>
      <c r="W84" s="264"/>
    </row>
    <row r="85" spans="14:23">
      <c r="N85" s="287"/>
      <c r="Q85" s="266"/>
      <c r="S85" s="268"/>
      <c r="T85" s="268"/>
      <c r="U85" s="268"/>
      <c r="V85" s="264"/>
      <c r="W85" s="264"/>
    </row>
    <row r="86" spans="14:23">
      <c r="N86" s="287"/>
      <c r="Q86" s="266"/>
      <c r="S86" s="268"/>
      <c r="T86" s="268"/>
      <c r="U86" s="268"/>
      <c r="V86" s="264"/>
      <c r="W86" s="264"/>
    </row>
    <row r="87" spans="14:23">
      <c r="N87" s="287"/>
      <c r="Q87" s="266"/>
      <c r="S87" s="268"/>
      <c r="T87" s="268"/>
      <c r="U87" s="268"/>
      <c r="V87" s="264"/>
      <c r="W87" s="264"/>
    </row>
    <row r="88" spans="14:23">
      <c r="N88" s="287"/>
      <c r="Q88" s="266"/>
      <c r="S88" s="268"/>
      <c r="T88" s="268"/>
      <c r="U88" s="268"/>
      <c r="V88" s="264"/>
      <c r="W88" s="264"/>
    </row>
    <row r="89" spans="14:23">
      <c r="Q89" s="266"/>
      <c r="S89" s="268"/>
      <c r="T89" s="268"/>
      <c r="U89" s="268"/>
      <c r="V89" s="264"/>
      <c r="W89" s="264"/>
    </row>
    <row r="90" spans="14:23">
      <c r="Q90" s="266"/>
      <c r="S90" s="268"/>
      <c r="T90" s="268"/>
      <c r="U90" s="268"/>
      <c r="V90" s="264"/>
      <c r="W90" s="264"/>
    </row>
    <row r="91" spans="14:23">
      <c r="Q91" s="266"/>
      <c r="S91" s="268"/>
      <c r="T91" s="268"/>
      <c r="U91" s="268"/>
      <c r="V91" s="264"/>
      <c r="W91" s="264"/>
    </row>
    <row r="92" spans="14:23">
      <c r="Q92" s="266"/>
      <c r="S92" s="268"/>
      <c r="T92" s="268"/>
      <c r="U92" s="268"/>
      <c r="V92" s="264"/>
      <c r="W92" s="264"/>
    </row>
    <row r="93" spans="14:23">
      <c r="Q93" s="266"/>
      <c r="S93" s="268"/>
      <c r="T93" s="268"/>
      <c r="U93" s="268"/>
      <c r="V93" s="264"/>
      <c r="W93" s="264"/>
    </row>
    <row r="94" spans="14:23">
      <c r="Q94" s="266"/>
      <c r="S94" s="268"/>
      <c r="T94" s="268"/>
      <c r="U94" s="268"/>
      <c r="V94" s="264"/>
    </row>
    <row r="95" spans="14:23">
      <c r="R95" s="270"/>
    </row>
    <row r="96" spans="14:23">
      <c r="R96" s="270"/>
    </row>
    <row r="97" spans="18:18">
      <c r="R97" s="270"/>
    </row>
    <row r="98" spans="18:18">
      <c r="R98" s="270"/>
    </row>
    <row r="99" spans="18:18">
      <c r="R99" s="270"/>
    </row>
    <row r="100" spans="18:18">
      <c r="R100" s="270"/>
    </row>
    <row r="101" spans="18:18">
      <c r="R101" s="270"/>
    </row>
    <row r="102" spans="18:18">
      <c r="R102" s="270"/>
    </row>
    <row r="103" spans="18:18">
      <c r="R103" s="270"/>
    </row>
    <row r="104" spans="18:18">
      <c r="R104" s="270"/>
    </row>
    <row r="105" spans="18:18">
      <c r="R105" s="270"/>
    </row>
    <row r="106" spans="18:18">
      <c r="R106" s="270"/>
    </row>
  </sheetData>
  <sheetProtection formatColumns="0" formatRows="0" selectLockedCells="1"/>
  <mergeCells count="3">
    <mergeCell ref="O4:P4"/>
    <mergeCell ref="C4:E4"/>
    <mergeCell ref="Y4:Z4"/>
  </mergeCells>
  <pageMargins left="0.7" right="0.7" top="0.75" bottom="0.75" header="0.3" footer="0.3"/>
  <pageSetup orientation="portrait" r:id="rId1"/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1C7F6A-D574-4118-BBCE-01874A51258D}">
          <x14:formula1>
            <xm:f>_xlfn.ANCHORARRAY(DATA!$Y$11)</xm:f>
          </x14:formula1>
          <xm:sqref>I8:I32</xm:sqref>
        </x14:dataValidation>
        <x14:dataValidation type="list" allowBlank="1" showInputMessage="1" showErrorMessage="1" xr:uid="{4917D035-FAA0-476B-A0FC-5A59C7BCFFA5}">
          <x14:formula1>
            <xm:f>_xlfn.ANCHORARRAY(DATA!$Z11)</xm:f>
          </x14:formula1>
          <xm:sqref>H8:H32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BCF4-D800-4B22-8C8E-7C1F0E92E755}">
  <sheetPr codeName="Sheet10">
    <tabColor rgb="FF0000FF"/>
  </sheetPr>
  <dimension ref="A1:AH106"/>
  <sheetViews>
    <sheetView topLeftCell="N3" workbookViewId="0">
      <selection activeCell="AD32" sqref="AD32"/>
    </sheetView>
  </sheetViews>
  <sheetFormatPr baseColWidth="10" defaultColWidth="9.5" defaultRowHeight="16"/>
  <cols>
    <col min="1" max="1" width="5.33203125" style="50" hidden="1" customWidth="1"/>
    <col min="2" max="2" width="4" customWidth="1"/>
    <col min="3" max="3" width="2.5" customWidth="1"/>
    <col min="4" max="4" width="9.5" customWidth="1"/>
    <col min="5" max="5" width="9" bestFit="1" customWidth="1"/>
    <col min="6" max="6" width="6.33203125" customWidth="1"/>
    <col min="7" max="7" width="6" customWidth="1"/>
    <col min="8" max="9" width="10.33203125" customWidth="1"/>
    <col min="10" max="11" width="7.83203125" customWidth="1"/>
    <col min="12" max="12" width="2" customWidth="1"/>
    <col min="13" max="13" width="20" style="37" customWidth="1"/>
    <col min="14" max="14" width="2" style="264" customWidth="1"/>
    <col min="15" max="15" width="24.5" style="267" customWidth="1"/>
    <col min="16" max="16" width="6" style="267" customWidth="1"/>
    <col min="17" max="17" width="11.5" style="267" bestFit="1" customWidth="1"/>
    <col min="18" max="18" width="11.5" style="266" bestFit="1" customWidth="1"/>
    <col min="19" max="19" width="11" style="265" bestFit="1" customWidth="1"/>
    <col min="20" max="20" width="11.83203125" style="265" bestFit="1" customWidth="1"/>
    <col min="21" max="21" width="14" style="269" bestFit="1" customWidth="1"/>
    <col min="22" max="22" width="6" style="290" customWidth="1"/>
    <col min="23" max="23" width="16" style="290" customWidth="1"/>
    <col min="24" max="24" width="2" customWidth="1"/>
    <col min="25" max="25" width="2.5" customWidth="1"/>
    <col min="26" max="26" width="10" style="201" bestFit="1" customWidth="1"/>
    <col min="27" max="27" width="6" customWidth="1"/>
    <col min="28" max="28" width="10.5" customWidth="1"/>
    <col min="29" max="30" width="9" customWidth="1"/>
    <col min="31" max="31" width="12" customWidth="1"/>
    <col min="32" max="32" width="11" customWidth="1"/>
  </cols>
  <sheetData>
    <row r="1" spans="1:33" hidden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N1" s="271"/>
      <c r="O1" s="272"/>
      <c r="P1" s="272"/>
      <c r="Q1" s="272"/>
      <c r="R1" s="271"/>
      <c r="S1" s="264"/>
      <c r="T1" s="264"/>
      <c r="V1" s="264"/>
      <c r="W1" s="264"/>
      <c r="AF1" s="6"/>
    </row>
    <row r="2" spans="1:33">
      <c r="A2" s="48"/>
      <c r="M2" s="31"/>
      <c r="O2" s="264"/>
      <c r="P2" s="264"/>
      <c r="Q2" s="264"/>
      <c r="R2" s="264"/>
      <c r="S2" s="264"/>
      <c r="T2" s="264"/>
      <c r="U2" s="264"/>
      <c r="V2" s="264"/>
      <c r="W2" s="264"/>
    </row>
    <row r="3" spans="1:33" ht="17" thickBot="1">
      <c r="A3" s="48"/>
      <c r="M3" s="31"/>
      <c r="N3" s="284"/>
      <c r="O3" s="285"/>
      <c r="P3" s="285"/>
      <c r="Q3" s="264"/>
      <c r="R3" s="264"/>
      <c r="S3" s="264"/>
      <c r="T3" s="264"/>
      <c r="U3" s="264"/>
      <c r="V3" s="264"/>
      <c r="W3" s="289"/>
    </row>
    <row r="4" spans="1:33" s="231" customFormat="1" ht="21" customHeight="1" thickTop="1" thickBot="1">
      <c r="A4" s="48"/>
      <c r="C4" s="641">
        <v>4</v>
      </c>
      <c r="D4" s="642"/>
      <c r="E4" s="326"/>
      <c r="F4" s="323" t="str">
        <f>'iV1'!F4</f>
        <v>Parcel Land Use &amp; Lot Product</v>
      </c>
      <c r="G4" s="323"/>
      <c r="H4" s="323"/>
      <c r="I4" s="323"/>
      <c r="J4" s="323"/>
      <c r="K4" s="324"/>
      <c r="M4" s="315"/>
      <c r="N4" s="315"/>
      <c r="O4" s="302">
        <f>C4</f>
        <v>4</v>
      </c>
      <c r="P4" s="316"/>
      <c r="Q4" s="281" t="s">
        <v>221</v>
      </c>
      <c r="R4" s="281"/>
      <c r="S4" s="281"/>
      <c r="T4" s="281"/>
      <c r="U4" s="317"/>
      <c r="V4" s="318"/>
      <c r="W4" s="318"/>
      <c r="Y4" s="639">
        <f>O4</f>
        <v>4</v>
      </c>
      <c r="Z4" s="640"/>
      <c r="AA4" s="308"/>
      <c r="AB4" s="309" t="s">
        <v>189</v>
      </c>
      <c r="AC4" s="309" t="s">
        <v>189</v>
      </c>
      <c r="AD4" s="306"/>
      <c r="AE4" s="306"/>
      <c r="AF4" s="306"/>
      <c r="AG4" s="307"/>
    </row>
    <row r="5" spans="1:33" s="231" customFormat="1" ht="18" thickTop="1" thickBot="1">
      <c r="A5" s="48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9"/>
      <c r="P5" s="319"/>
      <c r="Q5" s="291">
        <v>1</v>
      </c>
      <c r="R5" s="291">
        <f>Q5+1</f>
        <v>2</v>
      </c>
      <c r="S5" s="291">
        <f>R5+1</f>
        <v>3</v>
      </c>
      <c r="T5" s="291">
        <f>S5+1</f>
        <v>4</v>
      </c>
      <c r="U5" s="317"/>
      <c r="V5" s="318"/>
      <c r="W5" s="318"/>
      <c r="Y5" s="320" t="s">
        <v>195</v>
      </c>
      <c r="Z5" s="313"/>
      <c r="AA5" s="304"/>
      <c r="AB5" s="304"/>
      <c r="AC5" s="305">
        <v>1</v>
      </c>
      <c r="AE5" s="310"/>
      <c r="AF5" s="310"/>
      <c r="AG5" s="311"/>
    </row>
    <row r="6" spans="1:33" ht="18" thickTop="1" thickBot="1">
      <c r="A6" s="48"/>
      <c r="C6" s="29"/>
      <c r="J6" s="185" t="s">
        <v>157</v>
      </c>
      <c r="K6" s="186"/>
      <c r="M6" s="287"/>
      <c r="N6" s="287"/>
      <c r="O6" s="277" t="s">
        <v>214</v>
      </c>
      <c r="P6" s="279"/>
      <c r="Q6" s="276">
        <v>6</v>
      </c>
      <c r="R6" s="275">
        <v>18</v>
      </c>
      <c r="S6" s="275">
        <v>36</v>
      </c>
      <c r="T6" s="275">
        <v>60</v>
      </c>
      <c r="U6" s="287"/>
      <c r="V6" s="287"/>
      <c r="W6" s="289"/>
      <c r="AD6" s="185" t="s">
        <v>159</v>
      </c>
      <c r="AE6" s="303" t="s">
        <v>225</v>
      </c>
      <c r="AF6" s="303" t="s">
        <v>159</v>
      </c>
      <c r="AG6" s="303" t="str">
        <f>AE6</f>
        <v>Proceeds</v>
      </c>
    </row>
    <row r="7" spans="1:33" ht="18" thickTop="1" thickBot="1">
      <c r="A7" s="48"/>
      <c r="C7" s="14" t="s">
        <v>7</v>
      </c>
      <c r="D7" s="15" t="s">
        <v>69</v>
      </c>
      <c r="E7" s="15" t="s">
        <v>41</v>
      </c>
      <c r="F7" s="15" t="s">
        <v>17</v>
      </c>
      <c r="G7" s="15" t="s">
        <v>145</v>
      </c>
      <c r="H7" s="15" t="s">
        <v>39</v>
      </c>
      <c r="I7" s="15" t="s">
        <v>40</v>
      </c>
      <c r="J7" s="15" t="s">
        <v>158</v>
      </c>
      <c r="K7" s="15" t="s">
        <v>159</v>
      </c>
      <c r="M7" s="287"/>
      <c r="N7" s="287"/>
      <c r="O7" s="277" t="s">
        <v>213</v>
      </c>
      <c r="P7" s="279"/>
      <c r="Q7" s="276">
        <v>12</v>
      </c>
      <c r="R7" s="275">
        <v>8</v>
      </c>
      <c r="S7" s="275">
        <v>10</v>
      </c>
      <c r="T7" s="275">
        <v>6</v>
      </c>
      <c r="U7" s="286"/>
      <c r="V7" s="289"/>
      <c r="W7" s="289"/>
      <c r="Y7" s="167" t="s">
        <v>43</v>
      </c>
      <c r="Z7" s="158" t="s">
        <v>33</v>
      </c>
      <c r="AA7" s="198" t="s">
        <v>194</v>
      </c>
      <c r="AB7" s="168" t="s">
        <v>39</v>
      </c>
      <c r="AC7" s="168" t="s">
        <v>17</v>
      </c>
      <c r="AD7" s="15" t="s">
        <v>193</v>
      </c>
      <c r="AE7" s="169" t="s">
        <v>226</v>
      </c>
      <c r="AF7" s="169" t="s">
        <v>6</v>
      </c>
      <c r="AG7" s="169" t="s">
        <v>227</v>
      </c>
    </row>
    <row r="8" spans="1:33" ht="18" thickTop="1" thickBot="1">
      <c r="A8" s="48"/>
      <c r="C8" s="94">
        <v>1</v>
      </c>
      <c r="D8" s="154" t="str" cm="1">
        <f t="array" ref="D8:D21">_xlfn._xlws.FILTER(tbl_Parcels[Parcel],tbl_Parcels[Village]=C4,0)</f>
        <v>4.35</v>
      </c>
      <c r="E8" s="155" t="str">
        <f>IFERROR(_xlfn.XLOOKUP(D8,tbl_Parcels[Parcel],tbl_Parcels[Use]),0)</f>
        <v>MU</v>
      </c>
      <c r="F8" s="155">
        <f>IFERROR(LOOKUP(D8,tbl_Parcels[Parcel],tbl_Parcels[Acres]),0)</f>
        <v>14.85</v>
      </c>
      <c r="G8" s="155">
        <f>IFERROR(LOOKUP('V4'!$H8,Table4[Product],Table4[DUA]),0)</f>
        <v>3.4484999999999997</v>
      </c>
      <c r="H8" s="145" t="s">
        <v>92</v>
      </c>
      <c r="I8" s="145">
        <f>IFERROR(INT(LOOKUP('V4'!$H8,lst_LotProducts,lst_ProductDUA)*'V4'!$F8),0)</f>
        <v>51</v>
      </c>
      <c r="J8" s="22">
        <v>1</v>
      </c>
      <c r="K8" s="153"/>
      <c r="M8" s="287"/>
      <c r="N8" s="287"/>
      <c r="O8" s="277" t="s">
        <v>229</v>
      </c>
      <c r="P8" s="279"/>
      <c r="Q8" s="276">
        <f>Q6+Q7-1</f>
        <v>17</v>
      </c>
      <c r="R8" s="276">
        <f t="shared" ref="R8:T8" si="0">R6+R7-1</f>
        <v>25</v>
      </c>
      <c r="S8" s="276">
        <f t="shared" si="0"/>
        <v>45</v>
      </c>
      <c r="T8" s="276">
        <f t="shared" si="0"/>
        <v>65</v>
      </c>
      <c r="U8" s="286"/>
      <c r="V8" s="289"/>
      <c r="W8" s="287"/>
      <c r="Y8" s="166">
        <v>1</v>
      </c>
      <c r="Z8" s="202" t="str" cm="1">
        <f t="array" ref="Z8:Z21">_xlfn.UNIQUE(_xlfn._xlws.FILTER(D8:D32,D8:D32&lt;&gt;0))</f>
        <v>4.35</v>
      </c>
      <c r="AA8" s="199">
        <f t="shared" ref="AA8:AA31" si="1">IFERROR(LOOKUP(Z8,$D$8:$D$32,$I$8:$I$32),0)</f>
        <v>51</v>
      </c>
      <c r="AB8" s="200" t="str">
        <f t="shared" ref="AB8:AB31" si="2">IFERROR(_xlfn.XLOOKUP($Z8,$D$8:$D$32,$H$8:$H$32),0)</f>
        <v>60x120</v>
      </c>
      <c r="AC8" s="200">
        <f t="shared" ref="AC8:AC31" si="3">IFERROR(_xlfn.XLOOKUP($Z8,$D$6:$D$30,$F$6:$F$30),0)</f>
        <v>14.85</v>
      </c>
      <c r="AD8" s="208">
        <v>1</v>
      </c>
      <c r="AE8" s="200"/>
      <c r="AF8" s="200"/>
      <c r="AG8" s="200"/>
    </row>
    <row r="9" spans="1:33" ht="18" thickTop="1" thickBot="1">
      <c r="A9" s="48"/>
      <c r="C9" s="95">
        <v>2</v>
      </c>
      <c r="D9" s="154" t="str">
        <v>4.36</v>
      </c>
      <c r="E9" s="155" t="str">
        <f>IFERROR(_xlfn.XLOOKUP(D9,tbl_Parcels[Parcel],tbl_Parcels[Use]),0)</f>
        <v>MDR</v>
      </c>
      <c r="F9" s="155">
        <f>IFERROR(LOOKUP(D9,tbl_Parcels[Parcel],tbl_Parcels[Acres]),0)</f>
        <v>30.25</v>
      </c>
      <c r="G9" s="155">
        <f>IFERROR(LOOKUP('V4'!$H9,Table4[Product],Table4[DUA]),0)</f>
        <v>3.3105599999999997</v>
      </c>
      <c r="H9" s="145" t="s">
        <v>146</v>
      </c>
      <c r="I9" s="145">
        <f>IFERROR(INT(LOOKUP('V4'!$H9,lst_LotProducts,lst_ProductDUA)*'V4'!$F9),0)</f>
        <v>100</v>
      </c>
      <c r="J9" s="22">
        <v>1</v>
      </c>
      <c r="K9" s="153"/>
      <c r="M9" s="287"/>
      <c r="N9" s="287"/>
      <c r="O9" s="287"/>
      <c r="P9" s="287"/>
      <c r="Q9" s="287"/>
      <c r="R9" s="287"/>
      <c r="S9" s="287"/>
      <c r="T9" s="287"/>
      <c r="U9" s="293" t="s">
        <v>78</v>
      </c>
      <c r="V9" s="287"/>
      <c r="W9" s="287"/>
      <c r="Y9" s="166">
        <f t="shared" ref="Y9:Y31" si="4">Y8+1</f>
        <v>2</v>
      </c>
      <c r="Z9" s="202" t="str">
        <v>4.36</v>
      </c>
      <c r="AA9" s="199">
        <f t="shared" si="1"/>
        <v>100</v>
      </c>
      <c r="AB9" s="200" t="str">
        <f t="shared" si="2"/>
        <v>60x125</v>
      </c>
      <c r="AC9" s="200">
        <f t="shared" si="3"/>
        <v>30.25</v>
      </c>
      <c r="AD9" s="208">
        <v>1</v>
      </c>
      <c r="AE9" s="200"/>
      <c r="AF9" s="200"/>
      <c r="AG9" s="200"/>
    </row>
    <row r="10" spans="1:33" ht="18" thickTop="1" thickBot="1">
      <c r="A10" s="48"/>
      <c r="C10" s="94">
        <v>3</v>
      </c>
      <c r="D10" s="154" t="str">
        <v>4.37</v>
      </c>
      <c r="E10" s="155" t="str">
        <f>IFERROR(_xlfn.XLOOKUP(D10,tbl_Parcels[Parcel],tbl_Parcels[Use]),0)</f>
        <v>MLDR</v>
      </c>
      <c r="F10" s="155">
        <f>IFERROR(LOOKUP(D10,tbl_Parcels[Parcel],tbl_Parcels[Acres]),0)</f>
        <v>27.959999999999997</v>
      </c>
      <c r="G10" s="155">
        <f>IFERROR(LOOKUP('V4'!$H10,Table4[Product],Table4[DUA]),0)</f>
        <v>5.016</v>
      </c>
      <c r="H10" s="145" t="s">
        <v>144</v>
      </c>
      <c r="I10" s="145">
        <f>IFERROR(INT(LOOKUP('V4'!$H10,lst_LotProducts,lst_ProductDUA)*'V4'!$F10),0)</f>
        <v>140</v>
      </c>
      <c r="J10" s="22">
        <v>1</v>
      </c>
      <c r="K10" s="153"/>
      <c r="M10" s="287"/>
      <c r="N10" s="287"/>
      <c r="O10" s="278" t="s">
        <v>215</v>
      </c>
      <c r="P10" s="283" t="s">
        <v>220</v>
      </c>
      <c r="Q10" s="274">
        <v>0</v>
      </c>
      <c r="R10" s="274">
        <v>0</v>
      </c>
      <c r="S10" s="274">
        <v>0</v>
      </c>
      <c r="T10" s="274">
        <v>0</v>
      </c>
      <c r="U10" s="288">
        <f t="shared" ref="U10:U25" si="5">Q10+R10+S10+T10</f>
        <v>0</v>
      </c>
      <c r="V10" s="287"/>
      <c r="Y10" s="166">
        <f t="shared" si="4"/>
        <v>3</v>
      </c>
      <c r="Z10" s="202" t="str">
        <v>4.37</v>
      </c>
      <c r="AA10" s="199">
        <f t="shared" si="1"/>
        <v>140</v>
      </c>
      <c r="AB10" s="200" t="str">
        <f t="shared" si="2"/>
        <v>45x110</v>
      </c>
      <c r="AC10" s="200">
        <f t="shared" si="3"/>
        <v>27.959999999999997</v>
      </c>
      <c r="AD10" s="208">
        <v>1</v>
      </c>
      <c r="AE10" s="200"/>
      <c r="AF10" s="200"/>
      <c r="AG10" s="200"/>
    </row>
    <row r="11" spans="1:33" ht="18" thickTop="1" thickBot="1">
      <c r="A11" s="48"/>
      <c r="C11" s="95">
        <v>4</v>
      </c>
      <c r="D11" s="154" t="str">
        <v>4.38</v>
      </c>
      <c r="E11" s="155" t="str">
        <f>IFERROR(_xlfn.XLOOKUP(D11,tbl_Parcels[Parcel],tbl_Parcels[Use]),0)</f>
        <v>MU</v>
      </c>
      <c r="F11" s="155">
        <f>IFERROR(LOOKUP(D11,tbl_Parcels[Parcel],tbl_Parcels[Acres]),0)</f>
        <v>36.72</v>
      </c>
      <c r="G11" s="155">
        <f>IFERROR(LOOKUP('V4'!$H11,Table4[Product],Table4[DUA]),0)</f>
        <v>5.016</v>
      </c>
      <c r="H11" s="145" t="s">
        <v>144</v>
      </c>
      <c r="I11" s="145">
        <f>IFERROR(INT(LOOKUP('V4'!$H11,lst_LotProducts,lst_ProductDUA)*'V4'!$F11),0)</f>
        <v>184</v>
      </c>
      <c r="J11" s="22">
        <v>1</v>
      </c>
      <c r="K11" s="153"/>
      <c r="M11" s="300" t="s">
        <v>222</v>
      </c>
      <c r="N11" s="287"/>
      <c r="O11" s="278" t="s">
        <v>53</v>
      </c>
      <c r="P11" s="278"/>
      <c r="Q11" s="282">
        <v>500000</v>
      </c>
      <c r="R11" s="282">
        <v>100000</v>
      </c>
      <c r="S11" s="282">
        <v>50000</v>
      </c>
      <c r="T11" s="282">
        <v>50000</v>
      </c>
      <c r="U11" s="288">
        <f t="shared" si="5"/>
        <v>700000</v>
      </c>
      <c r="V11" s="287"/>
      <c r="W11" s="300" t="s">
        <v>222</v>
      </c>
      <c r="Y11" s="166">
        <f t="shared" si="4"/>
        <v>4</v>
      </c>
      <c r="Z11" s="202" t="str">
        <v>4.38</v>
      </c>
      <c r="AA11" s="199">
        <f t="shared" si="1"/>
        <v>184</v>
      </c>
      <c r="AB11" s="200" t="str">
        <f t="shared" si="2"/>
        <v>45x110</v>
      </c>
      <c r="AC11" s="200">
        <f t="shared" si="3"/>
        <v>36.72</v>
      </c>
      <c r="AD11" s="208">
        <v>1</v>
      </c>
      <c r="AE11" s="200"/>
      <c r="AF11" s="200"/>
      <c r="AG11" s="200"/>
    </row>
    <row r="12" spans="1:33" ht="18" thickTop="1" thickBot="1">
      <c r="A12" s="48"/>
      <c r="C12" s="95">
        <v>5</v>
      </c>
      <c r="D12" s="154" t="str">
        <v>4.39</v>
      </c>
      <c r="E12" s="155" t="str">
        <f>IFERROR(_xlfn.XLOOKUP(D12,tbl_Parcels[Parcel],tbl_Parcels[Use]),0)</f>
        <v>MDR</v>
      </c>
      <c r="F12" s="155">
        <f>IFERROR(LOOKUP(D12,tbl_Parcels[Parcel],tbl_Parcels[Acres]),0)</f>
        <v>28.29</v>
      </c>
      <c r="G12" s="155">
        <f>IFERROR(LOOKUP('V4'!$H12,Table4[Product],Table4[DUA]),0)</f>
        <v>3.3105599999999997</v>
      </c>
      <c r="H12" s="145" t="s">
        <v>146</v>
      </c>
      <c r="I12" s="145">
        <f>IFERROR(INT(LOOKUP('V4'!$H12,lst_LotProducts,lst_ProductDUA)*'V4'!$F12),0)</f>
        <v>93</v>
      </c>
      <c r="J12" s="22">
        <v>1</v>
      </c>
      <c r="K12" s="153"/>
      <c r="M12" s="300" t="s">
        <v>223</v>
      </c>
      <c r="N12" s="287"/>
      <c r="O12" s="278" t="s">
        <v>96</v>
      </c>
      <c r="P12" s="278"/>
      <c r="Q12" s="282">
        <v>2500000</v>
      </c>
      <c r="R12" s="282">
        <v>500000</v>
      </c>
      <c r="S12" s="282">
        <v>100000</v>
      </c>
      <c r="T12" s="282">
        <v>100000</v>
      </c>
      <c r="U12" s="288">
        <f t="shared" si="5"/>
        <v>3200000</v>
      </c>
      <c r="V12" s="287"/>
      <c r="W12" s="300" t="s">
        <v>223</v>
      </c>
      <c r="Y12" s="166">
        <f t="shared" si="4"/>
        <v>5</v>
      </c>
      <c r="Z12" s="202" t="str">
        <v>4.39</v>
      </c>
      <c r="AA12" s="199">
        <f t="shared" si="1"/>
        <v>93</v>
      </c>
      <c r="AB12" s="200" t="str">
        <f t="shared" si="2"/>
        <v>60x125</v>
      </c>
      <c r="AC12" s="200">
        <f t="shared" si="3"/>
        <v>28.29</v>
      </c>
      <c r="AD12" s="208">
        <v>1</v>
      </c>
      <c r="AE12" s="200"/>
      <c r="AF12" s="200"/>
      <c r="AG12" s="200"/>
    </row>
    <row r="13" spans="1:33" ht="18" thickTop="1" thickBot="1">
      <c r="A13" s="48"/>
      <c r="C13" s="95">
        <v>6</v>
      </c>
      <c r="D13" s="154" t="str">
        <v>4.40</v>
      </c>
      <c r="E13" s="155" t="str">
        <f>IFERROR(_xlfn.XLOOKUP(D13,tbl_Parcels[Parcel],tbl_Parcels[Use]),0)</f>
        <v>MDR</v>
      </c>
      <c r="F13" s="155">
        <f>IFERROR(LOOKUP(D13,tbl_Parcels[Parcel],tbl_Parcels[Acres]),0)</f>
        <v>49.27</v>
      </c>
      <c r="G13" s="155">
        <f>IFERROR(LOOKUP('V4'!$H13,Table4[Product],Table4[DUA]),0)</f>
        <v>3.9726719999999998</v>
      </c>
      <c r="H13" s="145" t="s">
        <v>148</v>
      </c>
      <c r="I13" s="145">
        <f>IFERROR(INT(LOOKUP('V4'!$H13,lst_LotProducts,lst_ProductDUA)*'V4'!$F13),0)</f>
        <v>195</v>
      </c>
      <c r="J13" s="22">
        <v>1</v>
      </c>
      <c r="K13" s="153"/>
      <c r="M13" s="287"/>
      <c r="N13" s="287"/>
      <c r="O13" s="278" t="s">
        <v>218</v>
      </c>
      <c r="P13" s="278"/>
      <c r="Q13" s="282">
        <v>2500000</v>
      </c>
      <c r="R13" s="282">
        <v>0</v>
      </c>
      <c r="S13" s="282">
        <v>0</v>
      </c>
      <c r="T13" s="282">
        <v>0</v>
      </c>
      <c r="U13" s="288">
        <f t="shared" si="5"/>
        <v>2500000</v>
      </c>
      <c r="V13" s="287"/>
      <c r="W13" s="287"/>
      <c r="Y13" s="166">
        <f t="shared" si="4"/>
        <v>6</v>
      </c>
      <c r="Z13" s="202" t="str">
        <v>4.40</v>
      </c>
      <c r="AA13" s="199">
        <f t="shared" si="1"/>
        <v>195</v>
      </c>
      <c r="AB13" s="200" t="str">
        <f t="shared" si="2"/>
        <v>50x125</v>
      </c>
      <c r="AC13" s="200">
        <f t="shared" si="3"/>
        <v>49.27</v>
      </c>
      <c r="AD13" s="208">
        <v>2</v>
      </c>
      <c r="AE13" s="200"/>
      <c r="AF13" s="200"/>
      <c r="AG13" s="200"/>
    </row>
    <row r="14" spans="1:33" ht="18" thickTop="1" thickBot="1">
      <c r="A14" s="48"/>
      <c r="C14" s="95">
        <v>7</v>
      </c>
      <c r="D14" s="154" t="str">
        <v>4.41</v>
      </c>
      <c r="E14" s="155" t="str">
        <f>IFERROR(_xlfn.XLOOKUP(D14,tbl_Parcels[Parcel],tbl_Parcels[Use]),0)</f>
        <v>MDR</v>
      </c>
      <c r="F14" s="155">
        <f>IFERROR(LOOKUP(D14,tbl_Parcels[Parcel],tbl_Parcels[Acres]),0)</f>
        <v>34.130000000000003</v>
      </c>
      <c r="G14" s="155">
        <f>IFERROR(LOOKUP('V4'!$H14,Table4[Product],Table4[DUA]),0)</f>
        <v>4.5979999999999999</v>
      </c>
      <c r="H14" s="145" t="s">
        <v>147</v>
      </c>
      <c r="I14" s="145">
        <f>IFERROR(INT(LOOKUP('V4'!$H14,lst_LotProducts,lst_ProductDUA)*'V4'!$F14),0)</f>
        <v>156</v>
      </c>
      <c r="J14" s="22">
        <v>1</v>
      </c>
      <c r="K14" s="153"/>
      <c r="M14" s="287"/>
      <c r="N14" s="287"/>
      <c r="O14" s="278" t="s">
        <v>216</v>
      </c>
      <c r="P14" s="278"/>
      <c r="Q14" s="282">
        <v>5000000</v>
      </c>
      <c r="R14" s="282">
        <v>3000000</v>
      </c>
      <c r="S14" s="282">
        <v>3000000</v>
      </c>
      <c r="T14" s="282">
        <v>3000000</v>
      </c>
      <c r="U14" s="288">
        <f t="shared" si="5"/>
        <v>14000000</v>
      </c>
      <c r="V14" s="287"/>
      <c r="W14" s="287"/>
      <c r="Y14" s="166">
        <f t="shared" si="4"/>
        <v>7</v>
      </c>
      <c r="Z14" s="202" t="str">
        <v>4.41</v>
      </c>
      <c r="AA14" s="199">
        <f t="shared" si="1"/>
        <v>156</v>
      </c>
      <c r="AB14" s="200" t="str">
        <f t="shared" si="2"/>
        <v>45x120</v>
      </c>
      <c r="AC14" s="200">
        <f t="shared" si="3"/>
        <v>34.130000000000003</v>
      </c>
      <c r="AD14" s="208">
        <v>2</v>
      </c>
      <c r="AE14" s="200"/>
      <c r="AF14" s="200"/>
      <c r="AG14" s="200"/>
    </row>
    <row r="15" spans="1:33" ht="18" thickTop="1" thickBot="1">
      <c r="A15" s="48"/>
      <c r="C15" s="95">
        <v>8</v>
      </c>
      <c r="D15" s="154" t="str">
        <v>4.42</v>
      </c>
      <c r="E15" s="155" t="str">
        <f>IFERROR(_xlfn.XLOOKUP(D15,tbl_Parcels[Parcel],tbl_Parcels[Use]),0)</f>
        <v>MU</v>
      </c>
      <c r="F15" s="155">
        <f>IFERROR(LOOKUP(D15,tbl_Parcels[Parcel],tbl_Parcels[Acres]),0)</f>
        <v>5.91</v>
      </c>
      <c r="G15" s="155">
        <f>IFERROR(LOOKUP('V4'!$H15,Table4[Product],Table4[DUA]),0)</f>
        <v>0</v>
      </c>
      <c r="H15" s="145"/>
      <c r="I15" s="145">
        <f>IFERROR(INT(LOOKUP('V4'!$H15,lst_LotProducts,lst_ProductDUA)*'V4'!$F15),0)</f>
        <v>0</v>
      </c>
      <c r="J15" s="22">
        <v>1</v>
      </c>
      <c r="K15" s="153"/>
      <c r="M15" s="287"/>
      <c r="N15" s="287"/>
      <c r="O15" s="278" t="s">
        <v>217</v>
      </c>
      <c r="P15" s="278"/>
      <c r="Q15" s="282">
        <v>15000000</v>
      </c>
      <c r="R15" s="282">
        <v>15000000</v>
      </c>
      <c r="S15" s="282">
        <v>12000000</v>
      </c>
      <c r="T15" s="282">
        <v>5000000</v>
      </c>
      <c r="U15" s="288">
        <f t="shared" si="5"/>
        <v>47000000</v>
      </c>
      <c r="V15" s="287"/>
      <c r="W15" s="287"/>
      <c r="Y15" s="166">
        <f t="shared" si="4"/>
        <v>8</v>
      </c>
      <c r="Z15" s="202" t="str">
        <v>4.42</v>
      </c>
      <c r="AA15" s="199">
        <f t="shared" si="1"/>
        <v>0</v>
      </c>
      <c r="AB15" s="200">
        <f t="shared" si="2"/>
        <v>0</v>
      </c>
      <c r="AC15" s="200">
        <f t="shared" si="3"/>
        <v>5.91</v>
      </c>
      <c r="AD15" s="208">
        <v>2</v>
      </c>
      <c r="AE15" s="200"/>
      <c r="AF15" s="200"/>
      <c r="AG15" s="200"/>
    </row>
    <row r="16" spans="1:33" ht="18" thickTop="1" thickBot="1">
      <c r="A16" s="48"/>
      <c r="C16" s="95">
        <v>9</v>
      </c>
      <c r="D16" s="154" t="str">
        <v>4.43</v>
      </c>
      <c r="E16" s="155" t="str">
        <f>IFERROR(_xlfn.XLOOKUP(D16,tbl_Parcels[Parcel],tbl_Parcels[Use]),0)</f>
        <v>MDR</v>
      </c>
      <c r="F16" s="155">
        <f>IFERROR(LOOKUP(D16,tbl_Parcels[Parcel],tbl_Parcels[Acres]),0)</f>
        <v>33.72</v>
      </c>
      <c r="G16" s="155">
        <f>IFERROR(LOOKUP('V4'!$H16,Table4[Product],Table4[DUA]),0)</f>
        <v>0</v>
      </c>
      <c r="H16" s="145"/>
      <c r="I16" s="145">
        <f>IFERROR(INT(LOOKUP('V4'!$H16,lst_LotProducts,lst_ProductDUA)*'V4'!$F16),0)</f>
        <v>0</v>
      </c>
      <c r="J16" s="22">
        <v>2</v>
      </c>
      <c r="K16" s="153"/>
      <c r="M16" s="287"/>
      <c r="N16" s="287"/>
      <c r="O16" s="278" t="s">
        <v>219</v>
      </c>
      <c r="P16" s="278"/>
      <c r="Q16" s="282">
        <v>2500000</v>
      </c>
      <c r="R16" s="282">
        <v>1000000</v>
      </c>
      <c r="S16" s="282">
        <v>500000</v>
      </c>
      <c r="T16" s="282">
        <v>500000</v>
      </c>
      <c r="U16" s="288">
        <f t="shared" si="5"/>
        <v>4500000</v>
      </c>
      <c r="V16" s="287"/>
      <c r="W16" s="287"/>
      <c r="Y16" s="166">
        <f t="shared" si="4"/>
        <v>9</v>
      </c>
      <c r="Z16" s="202" t="str">
        <v>4.43</v>
      </c>
      <c r="AA16" s="199">
        <f t="shared" si="1"/>
        <v>0</v>
      </c>
      <c r="AB16" s="200">
        <f t="shared" si="2"/>
        <v>0</v>
      </c>
      <c r="AC16" s="200">
        <f t="shared" si="3"/>
        <v>33.72</v>
      </c>
      <c r="AD16" s="208">
        <v>2</v>
      </c>
      <c r="AE16" s="200"/>
      <c r="AF16" s="200"/>
      <c r="AG16" s="200"/>
    </row>
    <row r="17" spans="1:33" ht="18" thickTop="1" thickBot="1">
      <c r="A17" s="48"/>
      <c r="C17" s="95">
        <v>10</v>
      </c>
      <c r="D17" s="154" t="str">
        <v>4.44</v>
      </c>
      <c r="E17" s="155" t="str">
        <f>IFERROR(_xlfn.XLOOKUP(D17,tbl_Parcels[Parcel],tbl_Parcels[Use]),0)</f>
        <v>MDR</v>
      </c>
      <c r="F17" s="155">
        <f>IFERROR(LOOKUP(D17,tbl_Parcels[Parcel],tbl_Parcels[Acres]),0)</f>
        <v>41.4</v>
      </c>
      <c r="G17" s="155">
        <f>IFERROR(LOOKUP('V4'!$H17,Table4[Product],Table4[DUA]),0)</f>
        <v>0</v>
      </c>
      <c r="H17" s="145"/>
      <c r="I17" s="145">
        <f>IFERROR(INT(LOOKUP('V4'!$H17,lst_LotProducts,lst_ProductDUA)*'V4'!$F17),0)</f>
        <v>0</v>
      </c>
      <c r="J17" s="22">
        <v>2</v>
      </c>
      <c r="K17" s="153"/>
      <c r="M17" s="287"/>
      <c r="N17" s="287"/>
      <c r="O17" s="278" t="s">
        <v>29</v>
      </c>
      <c r="P17" s="278"/>
      <c r="Q17" s="274">
        <v>0</v>
      </c>
      <c r="R17" s="274">
        <v>0</v>
      </c>
      <c r="S17" s="274">
        <v>0</v>
      </c>
      <c r="T17" s="274">
        <v>0</v>
      </c>
      <c r="U17" s="288">
        <f t="shared" si="5"/>
        <v>0</v>
      </c>
      <c r="V17" s="287"/>
      <c r="W17" s="287"/>
      <c r="Y17" s="166">
        <f t="shared" si="4"/>
        <v>10</v>
      </c>
      <c r="Z17" s="202" t="str">
        <v>4.44</v>
      </c>
      <c r="AA17" s="199">
        <f t="shared" si="1"/>
        <v>0</v>
      </c>
      <c r="AB17" s="200">
        <f t="shared" si="2"/>
        <v>0</v>
      </c>
      <c r="AC17" s="200">
        <f t="shared" si="3"/>
        <v>41.4</v>
      </c>
      <c r="AD17" s="208">
        <v>3</v>
      </c>
      <c r="AE17" s="200"/>
      <c r="AF17" s="200"/>
      <c r="AG17" s="200"/>
    </row>
    <row r="18" spans="1:33" ht="18" thickTop="1" thickBot="1">
      <c r="A18" s="48"/>
      <c r="C18" s="95">
        <v>11</v>
      </c>
      <c r="D18" s="154" t="str">
        <v>4.45</v>
      </c>
      <c r="E18" s="155" t="str">
        <f>IFERROR(_xlfn.XLOOKUP(D18,tbl_Parcels[Parcel],tbl_Parcels[Use]),0)</f>
        <v>MLDR</v>
      </c>
      <c r="F18" s="155">
        <f>IFERROR(LOOKUP(D18,tbl_Parcels[Parcel],tbl_Parcels[Acres]),0)</f>
        <v>26.71</v>
      </c>
      <c r="G18" s="155">
        <f>IFERROR(LOOKUP('V4'!$H18,Table4[Product],Table4[DUA]),0)</f>
        <v>0</v>
      </c>
      <c r="H18" s="145"/>
      <c r="I18" s="145">
        <f>IFERROR(INT(LOOKUP('V4'!$H18,lst_LotProducts,lst_ProductDUA)*'V4'!$F18),0)</f>
        <v>0</v>
      </c>
      <c r="J18" s="22">
        <v>2</v>
      </c>
      <c r="K18" s="153"/>
      <c r="M18" s="287"/>
      <c r="N18" s="287"/>
      <c r="O18" s="278"/>
      <c r="P18" s="278"/>
      <c r="Q18" s="274">
        <v>0</v>
      </c>
      <c r="R18" s="274">
        <v>0</v>
      </c>
      <c r="S18" s="274">
        <v>0</v>
      </c>
      <c r="T18" s="274">
        <v>0</v>
      </c>
      <c r="U18" s="288">
        <f t="shared" si="5"/>
        <v>0</v>
      </c>
      <c r="V18" s="287"/>
      <c r="W18" s="287"/>
      <c r="Y18" s="166">
        <f t="shared" si="4"/>
        <v>11</v>
      </c>
      <c r="Z18" s="202" t="str">
        <v>4.45</v>
      </c>
      <c r="AA18" s="199">
        <f t="shared" si="1"/>
        <v>0</v>
      </c>
      <c r="AB18" s="200">
        <f t="shared" si="2"/>
        <v>0</v>
      </c>
      <c r="AC18" s="200">
        <f t="shared" si="3"/>
        <v>26.71</v>
      </c>
      <c r="AD18" s="208">
        <v>3</v>
      </c>
      <c r="AE18" s="200"/>
      <c r="AF18" s="200"/>
      <c r="AG18" s="200"/>
    </row>
    <row r="19" spans="1:33" ht="18" thickTop="1" thickBot="1">
      <c r="A19" s="48"/>
      <c r="C19" s="95">
        <v>12</v>
      </c>
      <c r="D19" s="154" t="str">
        <v>4.46</v>
      </c>
      <c r="E19" s="155" t="str">
        <f>IFERROR(_xlfn.XLOOKUP(D19,tbl_Parcels[Parcel],tbl_Parcels[Use]),0)</f>
        <v>MLDR</v>
      </c>
      <c r="F19" s="155">
        <f>IFERROR(LOOKUP(D19,tbl_Parcels[Parcel],tbl_Parcels[Acres]),0)</f>
        <v>20.97</v>
      </c>
      <c r="G19" s="155">
        <f>IFERROR(LOOKUP('V4'!$H19,Table4[Product],Table4[DUA]),0)</f>
        <v>0</v>
      </c>
      <c r="H19" s="145"/>
      <c r="I19" s="145">
        <f>IFERROR(INT(LOOKUP('V4'!$H19,lst_LotProducts,lst_ProductDUA)*'V4'!$F19),0)</f>
        <v>0</v>
      </c>
      <c r="J19" s="22">
        <v>2</v>
      </c>
      <c r="K19" s="153"/>
      <c r="M19" s="287"/>
      <c r="N19" s="287"/>
      <c r="O19" s="278"/>
      <c r="P19" s="278"/>
      <c r="Q19" s="274">
        <v>0</v>
      </c>
      <c r="R19" s="274">
        <v>0</v>
      </c>
      <c r="S19" s="274">
        <v>0</v>
      </c>
      <c r="T19" s="274">
        <v>0</v>
      </c>
      <c r="U19" s="288">
        <f t="shared" si="5"/>
        <v>0</v>
      </c>
      <c r="V19" s="287"/>
      <c r="W19" s="287"/>
      <c r="Y19" s="166">
        <f t="shared" si="4"/>
        <v>12</v>
      </c>
      <c r="Z19" s="202" t="str">
        <v>4.46</v>
      </c>
      <c r="AA19" s="199">
        <f t="shared" si="1"/>
        <v>0</v>
      </c>
      <c r="AB19" s="200">
        <f t="shared" si="2"/>
        <v>0</v>
      </c>
      <c r="AC19" s="200">
        <f t="shared" si="3"/>
        <v>20.97</v>
      </c>
      <c r="AD19" s="208">
        <v>3</v>
      </c>
      <c r="AE19" s="200"/>
      <c r="AF19" s="200"/>
      <c r="AG19" s="200"/>
    </row>
    <row r="20" spans="1:33" ht="18" thickTop="1" thickBot="1">
      <c r="A20" s="48"/>
      <c r="C20" s="95">
        <v>13</v>
      </c>
      <c r="D20" s="154" t="str">
        <v>4.47</v>
      </c>
      <c r="E20" s="155" t="str">
        <f>IFERROR(_xlfn.XLOOKUP(D20,tbl_Parcels[Parcel],tbl_Parcels[Use]),0)</f>
        <v>MDR</v>
      </c>
      <c r="F20" s="155">
        <f>IFERROR(LOOKUP(D20,tbl_Parcels[Parcel],tbl_Parcels[Acres]),0)</f>
        <v>24.379999999999995</v>
      </c>
      <c r="G20" s="155">
        <f>IFERROR(LOOKUP('V4'!$H20,Table4[Product],Table4[DUA]),0)</f>
        <v>0</v>
      </c>
      <c r="H20" s="145"/>
      <c r="I20" s="145">
        <f>IFERROR(INT(LOOKUP('V4'!$H20,lst_LotProducts,lst_ProductDUA)*'V4'!$F20),0)</f>
        <v>0</v>
      </c>
      <c r="J20" s="22">
        <v>2</v>
      </c>
      <c r="K20" s="153"/>
      <c r="M20" s="287"/>
      <c r="N20" s="287"/>
      <c r="O20" s="278"/>
      <c r="P20" s="278"/>
      <c r="Q20" s="274">
        <v>0</v>
      </c>
      <c r="R20" s="274">
        <v>0</v>
      </c>
      <c r="S20" s="274">
        <v>0</v>
      </c>
      <c r="T20" s="274">
        <v>0</v>
      </c>
      <c r="U20" s="288">
        <f t="shared" si="5"/>
        <v>0</v>
      </c>
      <c r="V20" s="287"/>
      <c r="W20" s="287"/>
      <c r="Y20" s="166">
        <f t="shared" si="4"/>
        <v>13</v>
      </c>
      <c r="Z20" s="202" t="str">
        <v>4.47</v>
      </c>
      <c r="AA20" s="199">
        <f t="shared" si="1"/>
        <v>0</v>
      </c>
      <c r="AB20" s="200">
        <f t="shared" si="2"/>
        <v>0</v>
      </c>
      <c r="AC20" s="200">
        <f t="shared" si="3"/>
        <v>24.379999999999995</v>
      </c>
      <c r="AD20" s="208">
        <v>4</v>
      </c>
      <c r="AE20" s="200"/>
      <c r="AF20" s="200"/>
      <c r="AG20" s="200"/>
    </row>
    <row r="21" spans="1:33" ht="18" thickTop="1" thickBot="1">
      <c r="A21" s="48"/>
      <c r="C21" s="95">
        <v>14</v>
      </c>
      <c r="D21" s="154" t="str">
        <v>4.48</v>
      </c>
      <c r="E21" s="155" t="str">
        <f>IFERROR(_xlfn.XLOOKUP(D21,tbl_Parcels[Parcel],tbl_Parcels[Use]),0)</f>
        <v>MU</v>
      </c>
      <c r="F21" s="155">
        <f>IFERROR(LOOKUP(D21,tbl_Parcels[Parcel],tbl_Parcels[Acres]),0)</f>
        <v>14.469999999999999</v>
      </c>
      <c r="G21" s="155">
        <f>IFERROR(LOOKUP('V4'!$H21,Table4[Product],Table4[DUA]),0)</f>
        <v>0</v>
      </c>
      <c r="H21" s="145"/>
      <c r="I21" s="145">
        <f>IFERROR(INT(LOOKUP('V4'!$H21,lst_LotProducts,lst_ProductDUA)*'V4'!$F21),0)</f>
        <v>0</v>
      </c>
      <c r="J21" s="22">
        <v>2</v>
      </c>
      <c r="K21" s="153"/>
      <c r="M21" s="287"/>
      <c r="N21" s="287"/>
      <c r="O21" s="278"/>
      <c r="P21" s="278"/>
      <c r="Q21" s="274">
        <v>0</v>
      </c>
      <c r="R21" s="274">
        <v>0</v>
      </c>
      <c r="S21" s="274">
        <v>0</v>
      </c>
      <c r="T21" s="274">
        <v>0</v>
      </c>
      <c r="U21" s="288">
        <f t="shared" si="5"/>
        <v>0</v>
      </c>
      <c r="V21" s="287"/>
      <c r="W21" s="287"/>
      <c r="Y21" s="166">
        <f t="shared" si="4"/>
        <v>14</v>
      </c>
      <c r="Z21" s="202" t="str">
        <v>4.48</v>
      </c>
      <c r="AA21" s="199">
        <f t="shared" si="1"/>
        <v>0</v>
      </c>
      <c r="AB21" s="200">
        <f t="shared" si="2"/>
        <v>0</v>
      </c>
      <c r="AC21" s="200">
        <f t="shared" si="3"/>
        <v>14.469999999999999</v>
      </c>
      <c r="AD21" s="208">
        <v>4</v>
      </c>
      <c r="AE21" s="200"/>
      <c r="AF21" s="200"/>
      <c r="AG21" s="200"/>
    </row>
    <row r="22" spans="1:33" ht="18" thickTop="1" thickBot="1">
      <c r="A22" s="48"/>
      <c r="C22" s="95">
        <v>15</v>
      </c>
      <c r="D22" s="154"/>
      <c r="E22" s="155">
        <f>IFERROR(_xlfn.XLOOKUP(D22,tbl_Parcels[Parcel],tbl_Parcels[Use]),0)</f>
        <v>0</v>
      </c>
      <c r="F22" s="155">
        <f>IFERROR(LOOKUP(D22,tbl_Parcels[Parcel],tbl_Parcels[Acres]),0)</f>
        <v>0</v>
      </c>
      <c r="G22" s="155">
        <f>IFERROR(LOOKUP('V4'!$H22,Table4[Product],Table4[DUA]),0)</f>
        <v>0</v>
      </c>
      <c r="H22" s="145"/>
      <c r="I22" s="145">
        <f>IFERROR(INT(LOOKUP('V4'!$H22,lst_LotProducts,lst_ProductDUA)*'V4'!$F22),0)</f>
        <v>0</v>
      </c>
      <c r="J22" s="22"/>
      <c r="K22" s="153"/>
      <c r="M22" s="287"/>
      <c r="N22" s="287"/>
      <c r="O22" s="278"/>
      <c r="P22" s="278"/>
      <c r="Q22" s="274">
        <v>0</v>
      </c>
      <c r="R22" s="274">
        <v>0</v>
      </c>
      <c r="S22" s="274">
        <v>0</v>
      </c>
      <c r="T22" s="274">
        <v>0</v>
      </c>
      <c r="U22" s="288">
        <f t="shared" si="5"/>
        <v>0</v>
      </c>
      <c r="V22" s="287"/>
      <c r="W22" s="287"/>
      <c r="Y22" s="166">
        <f t="shared" si="4"/>
        <v>15</v>
      </c>
      <c r="Z22" s="202"/>
      <c r="AA22" s="199">
        <f t="shared" si="1"/>
        <v>0</v>
      </c>
      <c r="AB22" s="200">
        <f t="shared" si="2"/>
        <v>0</v>
      </c>
      <c r="AC22" s="200">
        <f t="shared" si="3"/>
        <v>0</v>
      </c>
      <c r="AD22" s="208"/>
      <c r="AE22" s="200"/>
      <c r="AF22" s="200"/>
      <c r="AG22" s="200"/>
    </row>
    <row r="23" spans="1:33" ht="18" thickTop="1" thickBot="1">
      <c r="A23" s="48"/>
      <c r="C23" s="95">
        <v>16</v>
      </c>
      <c r="D23" s="154"/>
      <c r="E23" s="155">
        <f>IFERROR(_xlfn.XLOOKUP(D23,tbl_Parcels[Parcel],tbl_Parcels[Use]),0)</f>
        <v>0</v>
      </c>
      <c r="F23" s="155">
        <f>IFERROR(LOOKUP(D23,tbl_Parcels[Parcel],tbl_Parcels[Acres]),0)</f>
        <v>0</v>
      </c>
      <c r="G23" s="155">
        <f>IFERROR(LOOKUP('V4'!$H23,Table4[Product],Table4[DUA]),0)</f>
        <v>0</v>
      </c>
      <c r="H23" s="145"/>
      <c r="I23" s="145">
        <f>IFERROR(INT(LOOKUP('V4'!$H23,lst_LotProducts,lst_ProductDUA)*'V4'!$F23),0)</f>
        <v>0</v>
      </c>
      <c r="J23" s="22"/>
      <c r="K23" s="153"/>
      <c r="M23" s="287"/>
      <c r="N23" s="287"/>
      <c r="O23" s="278"/>
      <c r="P23" s="278"/>
      <c r="Q23" s="274">
        <v>0</v>
      </c>
      <c r="R23" s="274">
        <v>0</v>
      </c>
      <c r="S23" s="274">
        <v>0</v>
      </c>
      <c r="T23" s="274">
        <v>0</v>
      </c>
      <c r="U23" s="288">
        <f t="shared" si="5"/>
        <v>0</v>
      </c>
      <c r="V23" s="287"/>
      <c r="W23" s="287"/>
      <c r="Y23" s="166">
        <f t="shared" si="4"/>
        <v>16</v>
      </c>
      <c r="Z23" s="202"/>
      <c r="AA23" s="199">
        <f t="shared" si="1"/>
        <v>0</v>
      </c>
      <c r="AB23" s="200">
        <f t="shared" si="2"/>
        <v>0</v>
      </c>
      <c r="AC23" s="200">
        <f t="shared" si="3"/>
        <v>0</v>
      </c>
      <c r="AD23" s="208"/>
      <c r="AE23" s="200"/>
      <c r="AF23" s="200"/>
      <c r="AG23" s="200"/>
    </row>
    <row r="24" spans="1:33" ht="18" thickTop="1" thickBot="1">
      <c r="A24" s="48"/>
      <c r="C24" s="95">
        <v>17</v>
      </c>
      <c r="D24" s="154"/>
      <c r="E24" s="155">
        <f>IFERROR(_xlfn.XLOOKUP(D24,tbl_Parcels[Parcel],tbl_Parcels[Use]),0)</f>
        <v>0</v>
      </c>
      <c r="F24" s="155">
        <f>IFERROR(LOOKUP(D24,tbl_Parcels[Parcel],tbl_Parcels[Acres]),0)</f>
        <v>0</v>
      </c>
      <c r="G24" s="155">
        <f>IFERROR(LOOKUP('V4'!$H24,Table4[Product],Table4[DUA]),0)</f>
        <v>0</v>
      </c>
      <c r="H24" s="145"/>
      <c r="I24" s="145">
        <f>IFERROR(INT(LOOKUP('V4'!$H24,lst_LotProducts,lst_ProductDUA)*'V4'!$F24),0)</f>
        <v>0</v>
      </c>
      <c r="J24" s="22"/>
      <c r="K24" s="153"/>
      <c r="M24" s="287"/>
      <c r="N24" s="287"/>
      <c r="O24" s="278"/>
      <c r="P24" s="278"/>
      <c r="Q24" s="274">
        <v>0</v>
      </c>
      <c r="R24" s="274">
        <v>0</v>
      </c>
      <c r="S24" s="274">
        <v>0</v>
      </c>
      <c r="T24" s="274">
        <v>0</v>
      </c>
      <c r="U24" s="288">
        <f t="shared" si="5"/>
        <v>0</v>
      </c>
      <c r="V24" s="287"/>
      <c r="W24" s="287"/>
      <c r="Y24" s="166">
        <f t="shared" si="4"/>
        <v>17</v>
      </c>
      <c r="Z24" s="202"/>
      <c r="AA24" s="199">
        <f t="shared" si="1"/>
        <v>0</v>
      </c>
      <c r="AB24" s="200">
        <f t="shared" si="2"/>
        <v>0</v>
      </c>
      <c r="AC24" s="200">
        <f t="shared" si="3"/>
        <v>0</v>
      </c>
      <c r="AD24" s="170"/>
      <c r="AE24" s="200"/>
      <c r="AF24" s="200"/>
      <c r="AG24" s="200"/>
    </row>
    <row r="25" spans="1:33" ht="18" thickTop="1" thickBot="1">
      <c r="A25" s="48"/>
      <c r="C25" s="95">
        <v>18</v>
      </c>
      <c r="D25" s="154"/>
      <c r="E25" s="155">
        <f>IFERROR(_xlfn.XLOOKUP(D25,tbl_Parcels[Parcel],tbl_Parcels[Use]),0)</f>
        <v>0</v>
      </c>
      <c r="F25" s="155">
        <f>IFERROR(LOOKUP(D25,tbl_Parcels[Parcel],tbl_Parcels[Acres]),0)</f>
        <v>0</v>
      </c>
      <c r="G25" s="155">
        <f>IFERROR(LOOKUP('V4'!$H25,Table4[Product],Table4[DUA]),0)</f>
        <v>0</v>
      </c>
      <c r="H25" s="145"/>
      <c r="I25" s="145">
        <f>IFERROR(INT(LOOKUP('V4'!$H25,lst_LotProducts,lst_ProductDUA)*'V4'!$F25),0)</f>
        <v>0</v>
      </c>
      <c r="J25" s="22"/>
      <c r="K25" s="153"/>
      <c r="M25" s="287"/>
      <c r="N25" s="287"/>
      <c r="O25" s="278"/>
      <c r="P25" s="278"/>
      <c r="Q25" s="274">
        <v>0</v>
      </c>
      <c r="R25" s="274">
        <v>0</v>
      </c>
      <c r="S25" s="274">
        <v>0</v>
      </c>
      <c r="T25" s="274">
        <v>0</v>
      </c>
      <c r="U25" s="288">
        <f t="shared" si="5"/>
        <v>0</v>
      </c>
      <c r="V25" s="287"/>
      <c r="W25" s="287"/>
      <c r="Y25" s="166">
        <f t="shared" si="4"/>
        <v>18</v>
      </c>
      <c r="Z25" s="202"/>
      <c r="AA25" s="199">
        <f t="shared" si="1"/>
        <v>0</v>
      </c>
      <c r="AB25" s="200">
        <f t="shared" si="2"/>
        <v>0</v>
      </c>
      <c r="AC25" s="200">
        <f t="shared" si="3"/>
        <v>0</v>
      </c>
      <c r="AD25" s="170"/>
      <c r="AE25" s="200"/>
      <c r="AF25" s="200"/>
      <c r="AG25" s="200"/>
    </row>
    <row r="26" spans="1:33" ht="18" thickTop="1" thickBot="1">
      <c r="A26" s="48"/>
      <c r="C26" s="95">
        <v>19</v>
      </c>
      <c r="D26" s="154"/>
      <c r="E26" s="155">
        <f>IFERROR(_xlfn.XLOOKUP(D26,tbl_Parcels[Parcel],tbl_Parcels[Use]),0)</f>
        <v>0</v>
      </c>
      <c r="F26" s="155">
        <f>IFERROR(LOOKUP(D26,tbl_Parcels[Parcel],tbl_Parcels[Acres]),0)</f>
        <v>0</v>
      </c>
      <c r="G26" s="155">
        <f>IFERROR(LOOKUP('V4'!$H26,Table4[Product],Table4[DUA]),0)</f>
        <v>0</v>
      </c>
      <c r="H26" s="145"/>
      <c r="I26" s="145">
        <f>IFERROR(INT(LOOKUP('V4'!$H26,lst_LotProducts,lst_ProductDUA)*'V4'!$F26),0)</f>
        <v>0</v>
      </c>
      <c r="J26" s="22"/>
      <c r="K26" s="153"/>
      <c r="M26" s="287"/>
      <c r="N26" s="287"/>
      <c r="O26" s="278"/>
      <c r="P26" s="278"/>
      <c r="Q26" s="274">
        <v>0</v>
      </c>
      <c r="R26" s="274">
        <v>0</v>
      </c>
      <c r="S26" s="274">
        <v>0</v>
      </c>
      <c r="T26" s="274">
        <v>0</v>
      </c>
      <c r="U26" s="288">
        <f t="shared" ref="U26:U32" si="6">Q26+R26+S26+T26</f>
        <v>0</v>
      </c>
      <c r="V26" s="287"/>
      <c r="W26" s="287"/>
      <c r="Y26" s="166">
        <f t="shared" si="4"/>
        <v>19</v>
      </c>
      <c r="Z26" s="202"/>
      <c r="AA26" s="199">
        <f t="shared" si="1"/>
        <v>0</v>
      </c>
      <c r="AB26" s="200">
        <f t="shared" si="2"/>
        <v>0</v>
      </c>
      <c r="AC26" s="200">
        <f t="shared" si="3"/>
        <v>0</v>
      </c>
      <c r="AD26" s="170"/>
      <c r="AE26" s="200"/>
      <c r="AF26" s="200"/>
      <c r="AG26" s="200"/>
    </row>
    <row r="27" spans="1:33" ht="18" thickTop="1" thickBot="1">
      <c r="A27" s="48"/>
      <c r="C27" s="95">
        <v>20</v>
      </c>
      <c r="D27" s="154"/>
      <c r="E27" s="155">
        <f>IFERROR(_xlfn.XLOOKUP(D27,tbl_Parcels[Parcel],tbl_Parcels[Use]),0)</f>
        <v>0</v>
      </c>
      <c r="F27" s="155">
        <f>IFERROR(LOOKUP(D27,tbl_Parcels[Parcel],tbl_Parcels[Acres]),0)</f>
        <v>0</v>
      </c>
      <c r="G27" s="155">
        <f>IFERROR(LOOKUP('V4'!$H27,Table4[Product],Table4[DUA]),0)</f>
        <v>0</v>
      </c>
      <c r="H27" s="145"/>
      <c r="I27" s="145">
        <f>IFERROR(INT(LOOKUP('V4'!$H27,lst_LotProducts,lst_ProductDUA)*'V4'!$F27),0)</f>
        <v>0</v>
      </c>
      <c r="J27" s="22"/>
      <c r="K27" s="153"/>
      <c r="M27" s="287"/>
      <c r="N27" s="287"/>
      <c r="O27" s="278"/>
      <c r="P27" s="278"/>
      <c r="Q27" s="274">
        <v>0</v>
      </c>
      <c r="R27" s="274">
        <v>0</v>
      </c>
      <c r="S27" s="274">
        <v>0</v>
      </c>
      <c r="T27" s="274">
        <v>0</v>
      </c>
      <c r="U27" s="288">
        <f t="shared" si="6"/>
        <v>0</v>
      </c>
      <c r="V27" s="287"/>
      <c r="W27" s="287"/>
      <c r="Y27" s="166">
        <f t="shared" si="4"/>
        <v>20</v>
      </c>
      <c r="Z27" s="202"/>
      <c r="AA27" s="199">
        <f t="shared" si="1"/>
        <v>0</v>
      </c>
      <c r="AB27" s="200">
        <f t="shared" si="2"/>
        <v>0</v>
      </c>
      <c r="AC27" s="200">
        <f t="shared" si="3"/>
        <v>0</v>
      </c>
      <c r="AD27" s="170"/>
      <c r="AE27" s="200"/>
      <c r="AF27" s="200"/>
      <c r="AG27" s="200"/>
    </row>
    <row r="28" spans="1:33" ht="18" thickTop="1" thickBot="1">
      <c r="A28" s="48"/>
      <c r="C28" s="95">
        <v>21</v>
      </c>
      <c r="D28" s="154"/>
      <c r="E28" s="155">
        <f>IFERROR(_xlfn.XLOOKUP(D28,tbl_Parcels[Parcel],tbl_Parcels[Use]),0)</f>
        <v>0</v>
      </c>
      <c r="F28" s="155">
        <f>IFERROR(LOOKUP(D28,tbl_Parcels[Parcel],tbl_Parcels[Acres]),0)</f>
        <v>0</v>
      </c>
      <c r="G28" s="155">
        <f>IFERROR(LOOKUP('V4'!$H28,Table4[Product],Table4[DUA]),0)</f>
        <v>0</v>
      </c>
      <c r="H28" s="145"/>
      <c r="I28" s="145">
        <f>IFERROR(INT(LOOKUP('V4'!$H28,lst_LotProducts,lst_ProductDUA)*'V4'!$F28),0)</f>
        <v>0</v>
      </c>
      <c r="J28" s="22"/>
      <c r="K28" s="153"/>
      <c r="M28" s="287"/>
      <c r="N28" s="287"/>
      <c r="O28" s="278"/>
      <c r="P28" s="278"/>
      <c r="Q28" s="274">
        <v>0</v>
      </c>
      <c r="R28" s="274">
        <v>0</v>
      </c>
      <c r="S28" s="274">
        <v>0</v>
      </c>
      <c r="T28" s="274">
        <v>0</v>
      </c>
      <c r="U28" s="288">
        <f t="shared" si="6"/>
        <v>0</v>
      </c>
      <c r="V28" s="287"/>
      <c r="W28" s="287"/>
      <c r="Y28" s="166">
        <f t="shared" si="4"/>
        <v>21</v>
      </c>
      <c r="Z28" s="202"/>
      <c r="AA28" s="199">
        <f t="shared" si="1"/>
        <v>0</v>
      </c>
      <c r="AB28" s="200">
        <f t="shared" si="2"/>
        <v>0</v>
      </c>
      <c r="AC28" s="200">
        <f t="shared" si="3"/>
        <v>0</v>
      </c>
      <c r="AD28" s="170"/>
      <c r="AE28" s="200"/>
      <c r="AF28" s="200"/>
      <c r="AG28" s="200"/>
    </row>
    <row r="29" spans="1:33" ht="18" thickTop="1" thickBot="1">
      <c r="A29" s="48"/>
      <c r="C29" s="95">
        <v>22</v>
      </c>
      <c r="D29" s="154"/>
      <c r="E29" s="155">
        <f>IFERROR(_xlfn.XLOOKUP(D29,tbl_Parcels[Parcel],tbl_Parcels[Use]),0)</f>
        <v>0</v>
      </c>
      <c r="F29" s="155">
        <f>IFERROR(LOOKUP(D29,tbl_Parcels[Parcel],tbl_Parcels[Acres]),0)</f>
        <v>0</v>
      </c>
      <c r="G29" s="155">
        <f>IFERROR(LOOKUP('V4'!$H29,Table4[Product],Table4[DUA]),0)</f>
        <v>0</v>
      </c>
      <c r="H29" s="145"/>
      <c r="I29" s="145">
        <f>IFERROR(INT(LOOKUP('V4'!$H29,lst_LotProducts,lst_ProductDUA)*'V4'!$F29),0)</f>
        <v>0</v>
      </c>
      <c r="J29" s="22"/>
      <c r="K29" s="153"/>
      <c r="M29" s="287"/>
      <c r="N29" s="287"/>
      <c r="O29" s="278"/>
      <c r="P29" s="278"/>
      <c r="Q29" s="274">
        <v>0</v>
      </c>
      <c r="R29" s="274">
        <v>0</v>
      </c>
      <c r="S29" s="274">
        <v>0</v>
      </c>
      <c r="T29" s="274">
        <v>0</v>
      </c>
      <c r="U29" s="288">
        <f t="shared" si="6"/>
        <v>0</v>
      </c>
      <c r="V29" s="287"/>
      <c r="W29" s="287"/>
      <c r="Y29" s="166">
        <f t="shared" si="4"/>
        <v>22</v>
      </c>
      <c r="Z29" s="202"/>
      <c r="AA29" s="199">
        <f t="shared" si="1"/>
        <v>0</v>
      </c>
      <c r="AB29" s="200">
        <f t="shared" si="2"/>
        <v>0</v>
      </c>
      <c r="AC29" s="200">
        <f t="shared" si="3"/>
        <v>0</v>
      </c>
      <c r="AD29" s="170"/>
      <c r="AE29" s="200"/>
      <c r="AF29" s="200"/>
      <c r="AG29" s="200"/>
    </row>
    <row r="30" spans="1:33" ht="18" thickTop="1" thickBot="1">
      <c r="A30" s="48"/>
      <c r="C30" s="95">
        <v>23</v>
      </c>
      <c r="D30" s="154"/>
      <c r="E30" s="155">
        <f>IFERROR(_xlfn.XLOOKUP(D30,tbl_Parcels[Parcel],tbl_Parcels[Use]),0)</f>
        <v>0</v>
      </c>
      <c r="F30" s="155">
        <f>IFERROR(LOOKUP(D30,tbl_Parcels[Parcel],tbl_Parcels[Acres]),0)</f>
        <v>0</v>
      </c>
      <c r="G30" s="155">
        <f>IFERROR(LOOKUP('V4'!$H30,Table4[Product],Table4[DUA]),0)</f>
        <v>0</v>
      </c>
      <c r="H30" s="145"/>
      <c r="I30" s="145">
        <f>IFERROR(INT(LOOKUP('V4'!$H30,lst_LotProducts,lst_ProductDUA)*'V4'!$F30),0)</f>
        <v>0</v>
      </c>
      <c r="J30" s="22"/>
      <c r="K30" s="153"/>
      <c r="M30" s="287"/>
      <c r="N30" s="287"/>
      <c r="O30" s="278"/>
      <c r="P30" s="278"/>
      <c r="Q30" s="274">
        <v>0</v>
      </c>
      <c r="R30" s="274">
        <v>0</v>
      </c>
      <c r="S30" s="274">
        <v>0</v>
      </c>
      <c r="T30" s="274">
        <v>0</v>
      </c>
      <c r="U30" s="288">
        <f t="shared" si="6"/>
        <v>0</v>
      </c>
      <c r="V30" s="287"/>
      <c r="W30" s="287"/>
      <c r="Y30" s="166">
        <f t="shared" si="4"/>
        <v>23</v>
      </c>
      <c r="Z30" s="202"/>
      <c r="AA30" s="199">
        <f t="shared" si="1"/>
        <v>0</v>
      </c>
      <c r="AB30" s="200">
        <f t="shared" si="2"/>
        <v>0</v>
      </c>
      <c r="AC30" s="200">
        <f t="shared" si="3"/>
        <v>0</v>
      </c>
      <c r="AD30" s="170"/>
      <c r="AE30" s="200"/>
      <c r="AF30" s="200"/>
      <c r="AG30" s="200"/>
    </row>
    <row r="31" spans="1:33" ht="18" thickTop="1" thickBot="1">
      <c r="A31" s="48"/>
      <c r="C31" s="95">
        <v>24</v>
      </c>
      <c r="D31" s="154"/>
      <c r="E31" s="155">
        <f>IFERROR(_xlfn.XLOOKUP(D31,tbl_Parcels[Parcel],tbl_Parcels[Use]),0)</f>
        <v>0</v>
      </c>
      <c r="F31" s="155">
        <f>IFERROR(LOOKUP(D31,tbl_Parcels[Parcel],tbl_Parcels[Acres]),0)</f>
        <v>0</v>
      </c>
      <c r="G31" s="155">
        <f>IFERROR(LOOKUP('V4'!$H31,Table4[Product],Table4[DUA]),0)</f>
        <v>0</v>
      </c>
      <c r="H31" s="145"/>
      <c r="I31" s="145">
        <f>IFERROR(INT(LOOKUP('V4'!$H31,lst_LotProducts,lst_ProductDUA)*'V4'!$F31),0)</f>
        <v>0</v>
      </c>
      <c r="J31" s="22"/>
      <c r="K31" s="153"/>
      <c r="M31" s="287"/>
      <c r="N31" s="287"/>
      <c r="O31" s="297"/>
      <c r="P31" s="297"/>
      <c r="Q31" s="298">
        <v>0</v>
      </c>
      <c r="R31" s="298">
        <v>0</v>
      </c>
      <c r="S31" s="298">
        <v>0</v>
      </c>
      <c r="T31" s="298">
        <v>0</v>
      </c>
      <c r="U31" s="299">
        <f t="shared" si="6"/>
        <v>0</v>
      </c>
      <c r="V31" s="287"/>
      <c r="W31" s="287"/>
      <c r="Y31" s="166">
        <f t="shared" si="4"/>
        <v>24</v>
      </c>
      <c r="Z31" s="202"/>
      <c r="AA31" s="199">
        <f t="shared" si="1"/>
        <v>0</v>
      </c>
      <c r="AB31" s="200">
        <f t="shared" si="2"/>
        <v>0</v>
      </c>
      <c r="AC31" s="200">
        <f t="shared" si="3"/>
        <v>0</v>
      </c>
      <c r="AD31" s="170"/>
      <c r="AE31" s="200"/>
      <c r="AF31" s="200"/>
      <c r="AG31" s="200"/>
    </row>
    <row r="32" spans="1:33" ht="18" thickTop="1" thickBot="1">
      <c r="A32" s="48"/>
      <c r="C32" s="95">
        <v>25</v>
      </c>
      <c r="D32" s="154"/>
      <c r="E32" s="155">
        <f>IFERROR(_xlfn.XLOOKUP(D32,tbl_Parcels[Parcel],tbl_Parcels[Use]),0)</f>
        <v>0</v>
      </c>
      <c r="F32" s="155">
        <f>IFERROR(LOOKUP(D32,tbl_Parcels[Parcel],tbl_Parcels[Acres]),0)</f>
        <v>0</v>
      </c>
      <c r="G32" s="155">
        <f>IFERROR(LOOKUP('V4'!$H32,Table4[Product],Table4[DUA]),0)</f>
        <v>0</v>
      </c>
      <c r="H32" s="145"/>
      <c r="I32" s="145">
        <f>IFERROR(INT(LOOKUP('V4'!$H32,lst_LotProducts,lst_ProductDUA)*'V4'!$F32),0)</f>
        <v>0</v>
      </c>
      <c r="J32" s="22"/>
      <c r="K32" s="153"/>
      <c r="M32" s="287"/>
      <c r="N32" s="287"/>
      <c r="O32" s="294"/>
      <c r="P32" s="294" t="s">
        <v>78</v>
      </c>
      <c r="Q32" s="295">
        <f>SUM(Q10:Q31)</f>
        <v>28000000</v>
      </c>
      <c r="R32" s="295">
        <f>SUM(R10:R31)</f>
        <v>19600000</v>
      </c>
      <c r="S32" s="295">
        <f>SUM(S10:S31)</f>
        <v>15650000</v>
      </c>
      <c r="T32" s="295">
        <f>SUM(T10:T31)</f>
        <v>8650000</v>
      </c>
      <c r="U32" s="296">
        <f t="shared" si="6"/>
        <v>71900000</v>
      </c>
      <c r="V32" s="287"/>
      <c r="W32"/>
      <c r="Z32" s="294" t="s">
        <v>78</v>
      </c>
      <c r="AA32" s="295">
        <f>SUM(AA8:AA31)</f>
        <v>919</v>
      </c>
      <c r="AB32" s="295"/>
      <c r="AC32" s="295">
        <f>SUM(AC8:AC31)</f>
        <v>389.03</v>
      </c>
      <c r="AD32" s="295">
        <f>SUM(AD10:AD31)</f>
        <v>28</v>
      </c>
      <c r="AE32" s="296">
        <f t="shared" ref="AE32" si="7">AA32+AB32+AC32+AD32</f>
        <v>1336.03</v>
      </c>
      <c r="AF32" s="200"/>
      <c r="AG32" s="200"/>
    </row>
    <row r="33" spans="1:34" ht="17" thickTop="1">
      <c r="A33" s="48"/>
      <c r="M33" s="287"/>
      <c r="N33" s="287"/>
      <c r="O33"/>
      <c r="P33"/>
      <c r="Q33"/>
      <c r="R33"/>
      <c r="S33"/>
      <c r="T33"/>
      <c r="U33"/>
      <c r="V33"/>
      <c r="W33"/>
      <c r="X33" s="50"/>
    </row>
    <row r="34" spans="1:34">
      <c r="A34" s="48"/>
      <c r="M34" s="287"/>
      <c r="N34" s="287"/>
      <c r="O34"/>
      <c r="P34"/>
      <c r="Q34"/>
      <c r="R34"/>
      <c r="S34"/>
      <c r="T34"/>
      <c r="U34"/>
      <c r="V34"/>
      <c r="W34"/>
      <c r="AH34" s="50"/>
    </row>
    <row r="35" spans="1:34" s="50" customFormat="1">
      <c r="A35" s="48"/>
      <c r="B35"/>
      <c r="C35"/>
      <c r="D35"/>
      <c r="E35"/>
      <c r="F35"/>
      <c r="G35"/>
      <c r="H35"/>
      <c r="I35"/>
      <c r="J35"/>
      <c r="K35"/>
      <c r="L35"/>
      <c r="M35" s="287"/>
      <c r="N35" s="287"/>
      <c r="O35"/>
      <c r="P35"/>
      <c r="Q35"/>
      <c r="R35"/>
      <c r="S35"/>
      <c r="T35"/>
      <c r="U35"/>
      <c r="V35"/>
      <c r="W35"/>
      <c r="X35"/>
      <c r="Y35"/>
      <c r="Z35" s="201" cm="1">
        <f t="array" ref="Z35:Z39">_xlfn.UNIQUE(_xlfn._xlws.FILTER(AD9:AD33,AD9:AD33&lt;&gt;0))</f>
        <v>1</v>
      </c>
      <c r="AA35"/>
      <c r="AB35"/>
      <c r="AC35"/>
      <c r="AD35"/>
      <c r="AE35"/>
      <c r="AF35"/>
      <c r="AG35"/>
      <c r="AH35"/>
    </row>
    <row r="36" spans="1:34">
      <c r="A36" s="48"/>
      <c r="M36" s="287"/>
      <c r="N36" s="287"/>
      <c r="O36"/>
      <c r="P36"/>
      <c r="Q36"/>
      <c r="R36"/>
      <c r="S36"/>
      <c r="T36"/>
      <c r="U36"/>
      <c r="V36"/>
      <c r="W36"/>
      <c r="Z36" s="201">
        <v>2</v>
      </c>
      <c r="AG36" s="50"/>
    </row>
    <row r="37" spans="1:34">
      <c r="M37" s="287"/>
      <c r="N37" s="287"/>
      <c r="O37"/>
      <c r="P37"/>
      <c r="Q37"/>
      <c r="R37"/>
      <c r="S37"/>
      <c r="T37"/>
      <c r="U37"/>
      <c r="V37"/>
      <c r="W37"/>
      <c r="Z37" s="201">
        <v>3</v>
      </c>
    </row>
    <row r="38" spans="1:34">
      <c r="M38" s="287"/>
      <c r="N38" s="287"/>
      <c r="O38"/>
      <c r="P38"/>
      <c r="Q38"/>
      <c r="R38"/>
      <c r="S38"/>
      <c r="T38"/>
      <c r="U38"/>
      <c r="V38"/>
      <c r="W38"/>
      <c r="Z38" s="201">
        <v>4</v>
      </c>
    </row>
    <row r="39" spans="1:34">
      <c r="M39" s="287"/>
      <c r="N39" s="287"/>
      <c r="O39"/>
      <c r="P39"/>
      <c r="Q39"/>
      <c r="R39"/>
      <c r="S39"/>
      <c r="T39"/>
      <c r="U39"/>
      <c r="V39"/>
      <c r="W39" s="37"/>
      <c r="Z39" s="201">
        <v>28</v>
      </c>
    </row>
    <row r="40" spans="1:34">
      <c r="M40" s="287"/>
      <c r="N40" s="287"/>
      <c r="O40" s="37"/>
      <c r="P40" s="37"/>
      <c r="Q40" s="37"/>
      <c r="R40" s="37"/>
      <c r="S40" s="37"/>
      <c r="T40" s="37"/>
      <c r="U40" s="37"/>
      <c r="V40" s="37"/>
      <c r="W40" s="37"/>
    </row>
    <row r="41" spans="1:34">
      <c r="M41" s="287"/>
      <c r="N41" s="287"/>
      <c r="O41" s="37"/>
      <c r="P41" s="37"/>
      <c r="Q41" s="37"/>
      <c r="R41" s="37"/>
      <c r="S41" s="37"/>
      <c r="T41" s="37"/>
      <c r="U41" s="37"/>
      <c r="V41" s="37"/>
      <c r="W41" s="37"/>
    </row>
    <row r="42" spans="1:34">
      <c r="M42" s="287"/>
      <c r="N42" s="287"/>
      <c r="O42" s="37"/>
      <c r="P42" s="37"/>
      <c r="Q42" s="37"/>
      <c r="R42" s="37"/>
      <c r="S42" s="37"/>
      <c r="T42" s="37"/>
      <c r="U42" s="37"/>
      <c r="V42" s="37"/>
      <c r="W42" s="37"/>
    </row>
    <row r="43" spans="1:34">
      <c r="M43" s="287"/>
      <c r="N43" s="287"/>
      <c r="O43" s="37"/>
      <c r="P43" s="37"/>
      <c r="Q43" s="37"/>
      <c r="R43" s="37"/>
      <c r="S43" s="37"/>
      <c r="T43" s="37"/>
      <c r="U43" s="37"/>
      <c r="V43" s="37"/>
      <c r="W43" s="37"/>
    </row>
    <row r="44" spans="1:34">
      <c r="M44" s="287"/>
      <c r="N44" s="287"/>
      <c r="O44" s="37"/>
      <c r="P44" s="37"/>
      <c r="Q44" s="37"/>
      <c r="R44" s="37"/>
      <c r="S44" s="37"/>
      <c r="T44" s="37"/>
      <c r="U44" s="37"/>
      <c r="V44" s="37"/>
      <c r="W44" s="37"/>
    </row>
    <row r="45" spans="1:34">
      <c r="M45" s="287"/>
      <c r="N45" s="287"/>
      <c r="O45" s="37"/>
      <c r="P45" s="37"/>
      <c r="Q45" s="37"/>
      <c r="R45" s="37"/>
      <c r="S45" s="37"/>
      <c r="T45" s="37"/>
      <c r="U45" s="37"/>
      <c r="V45" s="37"/>
      <c r="W45" s="37"/>
    </row>
    <row r="46" spans="1:34">
      <c r="M46" s="287"/>
      <c r="N46" s="287"/>
      <c r="O46" s="37"/>
      <c r="P46" s="37"/>
      <c r="Q46" s="37"/>
      <c r="R46" s="37"/>
      <c r="S46" s="37"/>
      <c r="T46" s="37"/>
      <c r="U46" s="37"/>
      <c r="V46" s="37"/>
      <c r="W46" s="37"/>
    </row>
    <row r="47" spans="1:34">
      <c r="M47" s="287"/>
      <c r="N47" s="287"/>
      <c r="O47" s="37"/>
      <c r="P47" s="37"/>
      <c r="Q47" s="37"/>
      <c r="R47" s="37"/>
      <c r="S47" s="37"/>
      <c r="T47" s="37"/>
      <c r="U47" s="37"/>
      <c r="V47" s="37"/>
      <c r="W47" s="37"/>
    </row>
    <row r="48" spans="1:34">
      <c r="M48" s="287"/>
      <c r="N48" s="287"/>
      <c r="O48" s="37"/>
      <c r="P48" s="37"/>
      <c r="Q48" s="37"/>
      <c r="R48" s="37"/>
      <c r="S48" s="37"/>
      <c r="T48" s="37"/>
      <c r="U48" s="37"/>
      <c r="V48" s="37"/>
      <c r="W48" s="37"/>
      <c r="AH48" s="50"/>
    </row>
    <row r="49" spans="2:34" s="50" customFormat="1">
      <c r="B49"/>
      <c r="C49"/>
      <c r="D49"/>
      <c r="E49"/>
      <c r="F49"/>
      <c r="G49"/>
      <c r="H49"/>
      <c r="I49"/>
      <c r="J49"/>
      <c r="K49"/>
      <c r="L49"/>
      <c r="M49" s="287"/>
      <c r="N49" s="287"/>
      <c r="O49" s="37"/>
      <c r="P49" s="37"/>
      <c r="Q49" s="37"/>
      <c r="R49" s="37"/>
      <c r="S49" s="37"/>
      <c r="T49" s="37"/>
      <c r="U49" s="37"/>
      <c r="V49" s="37"/>
      <c r="W49" s="37"/>
      <c r="X49"/>
      <c r="Y49"/>
      <c r="Z49" s="201"/>
      <c r="AA49"/>
      <c r="AB49"/>
      <c r="AC49"/>
      <c r="AD49"/>
      <c r="AE49"/>
      <c r="AF49"/>
      <c r="AG49"/>
      <c r="AH49"/>
    </row>
    <row r="50" spans="2:34">
      <c r="M50" s="287"/>
      <c r="N50" s="287"/>
      <c r="O50" s="37"/>
      <c r="P50" s="37"/>
      <c r="Q50" s="37"/>
      <c r="R50" s="37"/>
      <c r="S50" s="37"/>
      <c r="T50" s="37"/>
      <c r="U50" s="37"/>
      <c r="V50" s="37"/>
      <c r="W50" s="37"/>
      <c r="AG50" s="50"/>
    </row>
    <row r="51" spans="2:34">
      <c r="M51" s="287"/>
      <c r="N51" s="287"/>
      <c r="O51" s="37"/>
      <c r="P51" s="37"/>
      <c r="Q51" s="37"/>
      <c r="R51" s="37"/>
      <c r="S51" s="37"/>
      <c r="T51" s="37"/>
      <c r="U51" s="37"/>
      <c r="V51" s="37"/>
      <c r="W51" s="37"/>
    </row>
    <row r="52" spans="2:34">
      <c r="M52" s="287"/>
      <c r="N52" s="287"/>
      <c r="O52" s="37"/>
      <c r="P52" s="37"/>
      <c r="Q52" s="37"/>
      <c r="R52" s="37"/>
      <c r="S52" s="37"/>
      <c r="T52" s="37"/>
      <c r="U52" s="37"/>
      <c r="V52" s="37"/>
      <c r="W52" s="37"/>
    </row>
    <row r="53" spans="2:34">
      <c r="M53" s="287"/>
      <c r="N53" s="287"/>
      <c r="O53" s="37"/>
      <c r="P53" s="37"/>
      <c r="Q53" s="37"/>
      <c r="R53" s="37"/>
      <c r="S53" s="37"/>
      <c r="T53" s="37"/>
      <c r="U53" s="37"/>
      <c r="V53" s="37"/>
      <c r="W53" s="37"/>
    </row>
    <row r="54" spans="2:34">
      <c r="M54" s="287"/>
      <c r="N54" s="287"/>
      <c r="O54" s="37"/>
      <c r="P54" s="37"/>
      <c r="Q54" s="37"/>
      <c r="R54" s="37"/>
      <c r="S54" s="37"/>
      <c r="T54" s="37"/>
      <c r="U54" s="37"/>
      <c r="V54" s="37"/>
      <c r="W54" s="37"/>
    </row>
    <row r="55" spans="2:34">
      <c r="M55" s="287"/>
      <c r="N55" s="287"/>
      <c r="O55" s="37"/>
      <c r="P55" s="37"/>
      <c r="Q55" s="37"/>
      <c r="R55" s="37"/>
      <c r="S55" s="37"/>
      <c r="T55" s="37"/>
      <c r="U55" s="37"/>
      <c r="V55" s="37"/>
      <c r="W55" s="37"/>
    </row>
    <row r="56" spans="2:34">
      <c r="M56" s="287"/>
      <c r="N56" s="287"/>
      <c r="O56" s="37"/>
      <c r="P56" s="37"/>
      <c r="Q56" s="37"/>
      <c r="R56" s="37"/>
      <c r="S56" s="37"/>
      <c r="T56" s="37"/>
      <c r="U56" s="37"/>
      <c r="V56" s="37"/>
      <c r="W56" s="37"/>
    </row>
    <row r="57" spans="2:34">
      <c r="M57" s="287"/>
      <c r="N57" s="287"/>
      <c r="O57" s="37"/>
      <c r="P57" s="37"/>
      <c r="Q57" s="37"/>
      <c r="R57" s="37"/>
      <c r="S57" s="37"/>
      <c r="T57" s="37"/>
      <c r="U57" s="37"/>
      <c r="V57" s="37"/>
      <c r="W57" s="37"/>
    </row>
    <row r="58" spans="2:34">
      <c r="M58" s="287"/>
      <c r="N58" s="287"/>
      <c r="O58" s="37"/>
      <c r="P58" s="37"/>
      <c r="Q58" s="37"/>
      <c r="R58" s="37"/>
      <c r="S58" s="37"/>
      <c r="T58" s="37"/>
      <c r="U58" s="37"/>
      <c r="V58" s="37"/>
      <c r="W58" s="37"/>
    </row>
    <row r="59" spans="2:34">
      <c r="M59" s="287"/>
      <c r="N59" s="287"/>
      <c r="O59" s="37"/>
      <c r="P59" s="37"/>
      <c r="Q59" s="37"/>
      <c r="R59" s="37"/>
      <c r="S59" s="37"/>
      <c r="T59" s="37"/>
      <c r="U59" s="37"/>
      <c r="V59" s="37"/>
      <c r="W59" s="37"/>
    </row>
    <row r="60" spans="2:34">
      <c r="M60" s="287"/>
      <c r="N60" s="287"/>
      <c r="O60" s="37"/>
      <c r="P60" s="37"/>
      <c r="Q60" s="37"/>
      <c r="R60" s="37"/>
      <c r="S60" s="37"/>
      <c r="T60" s="37"/>
      <c r="U60" s="37"/>
      <c r="V60" s="37"/>
      <c r="W60" s="37"/>
    </row>
    <row r="61" spans="2:34">
      <c r="M61" s="287"/>
      <c r="N61" s="287"/>
      <c r="O61" s="37"/>
      <c r="P61" s="37"/>
      <c r="Q61" s="37"/>
      <c r="R61" s="37"/>
      <c r="S61" s="37"/>
      <c r="T61" s="37"/>
      <c r="U61" s="37"/>
      <c r="V61" s="37"/>
      <c r="W61" s="37"/>
    </row>
    <row r="62" spans="2:34">
      <c r="M62" s="287"/>
      <c r="N62" s="287"/>
      <c r="O62" s="37"/>
      <c r="P62" s="37"/>
      <c r="Q62" s="37"/>
      <c r="R62" s="37"/>
      <c r="S62" s="37"/>
      <c r="T62" s="37"/>
      <c r="U62" s="37"/>
      <c r="V62" s="37"/>
      <c r="W62" s="37"/>
    </row>
    <row r="63" spans="2:34">
      <c r="M63" s="287"/>
      <c r="N63" s="287"/>
      <c r="O63" s="37"/>
      <c r="P63" s="37"/>
      <c r="Q63" s="37"/>
      <c r="R63" s="37"/>
      <c r="S63" s="37"/>
      <c r="T63" s="37"/>
      <c r="U63" s="37"/>
      <c r="V63" s="37"/>
      <c r="W63" s="37"/>
    </row>
    <row r="64" spans="2:34">
      <c r="M64" s="287"/>
      <c r="N64" s="287"/>
      <c r="O64" s="37"/>
      <c r="P64" s="37"/>
      <c r="Q64" s="37"/>
      <c r="R64" s="37"/>
      <c r="S64" s="37"/>
      <c r="T64" s="37"/>
      <c r="U64" s="37"/>
      <c r="V64" s="37"/>
      <c r="W64" s="37"/>
    </row>
    <row r="65" spans="13:23">
      <c r="M65" s="287"/>
      <c r="N65" s="287"/>
      <c r="O65" s="37"/>
      <c r="P65" s="37"/>
      <c r="Q65" s="37"/>
      <c r="R65" s="37"/>
      <c r="S65" s="37"/>
      <c r="T65" s="37"/>
      <c r="U65" s="37"/>
      <c r="V65" s="37"/>
      <c r="W65" s="37"/>
    </row>
    <row r="66" spans="13:23">
      <c r="M66" s="287"/>
      <c r="N66" s="287"/>
      <c r="O66" s="37"/>
      <c r="P66" s="37"/>
      <c r="Q66" s="37"/>
      <c r="R66" s="37"/>
      <c r="S66" s="37"/>
      <c r="T66" s="37"/>
      <c r="U66" s="37"/>
      <c r="V66" s="37"/>
      <c r="W66" s="37"/>
    </row>
    <row r="67" spans="13:23">
      <c r="M67" s="287"/>
      <c r="N67" s="287"/>
      <c r="O67" s="37"/>
      <c r="P67" s="37"/>
      <c r="Q67" s="37"/>
      <c r="R67" s="37"/>
      <c r="S67" s="37"/>
      <c r="T67" s="37"/>
      <c r="U67" s="37"/>
      <c r="V67" s="37"/>
      <c r="W67" s="37"/>
    </row>
    <row r="68" spans="13:23">
      <c r="M68" s="287"/>
      <c r="N68" s="287"/>
      <c r="O68" s="37"/>
      <c r="P68" s="37"/>
      <c r="Q68" s="37"/>
      <c r="R68" s="37"/>
      <c r="S68" s="37"/>
      <c r="T68" s="37"/>
      <c r="U68" s="37"/>
      <c r="V68" s="37"/>
      <c r="W68" s="37"/>
    </row>
    <row r="69" spans="13:23">
      <c r="M69" s="287"/>
      <c r="N69" s="287"/>
      <c r="O69" s="37"/>
      <c r="P69" s="37"/>
      <c r="Q69" s="37"/>
      <c r="R69" s="37"/>
      <c r="S69" s="37"/>
      <c r="T69" s="37"/>
      <c r="U69" s="37"/>
      <c r="V69" s="37"/>
      <c r="W69" s="37"/>
    </row>
    <row r="70" spans="13:23">
      <c r="M70" s="287"/>
      <c r="N70" s="287"/>
      <c r="O70" s="37"/>
      <c r="P70" s="37"/>
      <c r="Q70" s="37"/>
      <c r="R70" s="37"/>
      <c r="S70" s="37"/>
      <c r="T70" s="37"/>
      <c r="U70" s="37"/>
      <c r="V70" s="37"/>
      <c r="W70" s="37"/>
    </row>
    <row r="71" spans="13:23">
      <c r="M71" s="287"/>
      <c r="N71" s="287"/>
      <c r="O71" s="37"/>
      <c r="P71" s="37"/>
      <c r="Q71" s="37"/>
      <c r="R71" s="37"/>
      <c r="S71" s="37"/>
      <c r="T71" s="37"/>
      <c r="U71" s="37"/>
      <c r="V71" s="37"/>
      <c r="W71" s="37"/>
    </row>
    <row r="72" spans="13:23">
      <c r="M72" s="287"/>
      <c r="N72" s="287"/>
      <c r="O72" s="37"/>
      <c r="P72" s="37"/>
      <c r="Q72" s="37"/>
      <c r="R72" s="37"/>
      <c r="S72" s="37"/>
      <c r="T72" s="37"/>
      <c r="U72" s="37"/>
      <c r="V72" s="37"/>
      <c r="W72" s="37"/>
    </row>
    <row r="73" spans="13:23">
      <c r="M73" s="287"/>
      <c r="N73" s="287"/>
      <c r="O73" s="37"/>
      <c r="P73" s="37"/>
      <c r="Q73" s="37"/>
      <c r="R73" s="37"/>
      <c r="S73" s="37"/>
      <c r="T73" s="37"/>
      <c r="U73" s="37"/>
      <c r="V73" s="37"/>
      <c r="W73" s="37"/>
    </row>
    <row r="74" spans="13:23">
      <c r="M74" s="287"/>
      <c r="N74" s="287"/>
      <c r="O74" s="37"/>
      <c r="P74" s="37"/>
      <c r="Q74" s="37"/>
      <c r="R74" s="37"/>
      <c r="S74" s="37"/>
      <c r="T74" s="37"/>
      <c r="U74" s="37"/>
      <c r="V74" s="37"/>
      <c r="W74" s="264"/>
    </row>
    <row r="75" spans="13:23">
      <c r="M75" s="287"/>
      <c r="N75" s="287"/>
      <c r="Q75" s="266"/>
      <c r="S75" s="268"/>
      <c r="T75" s="268"/>
      <c r="U75" s="268"/>
      <c r="V75" s="264"/>
      <c r="W75" s="264"/>
    </row>
    <row r="76" spans="13:23">
      <c r="M76" s="287"/>
      <c r="N76" s="287"/>
      <c r="Q76" s="266"/>
      <c r="S76" s="268"/>
      <c r="T76" s="268"/>
      <c r="U76" s="268"/>
      <c r="V76" s="264"/>
      <c r="W76" s="264"/>
    </row>
    <row r="77" spans="13:23">
      <c r="M77" s="287"/>
      <c r="N77" s="287"/>
      <c r="Q77" s="266"/>
      <c r="S77" s="268"/>
      <c r="T77" s="268"/>
      <c r="U77" s="268"/>
      <c r="V77" s="264"/>
      <c r="W77" s="264"/>
    </row>
    <row r="78" spans="13:23">
      <c r="M78" s="287"/>
      <c r="N78" s="287"/>
      <c r="Q78" s="266"/>
      <c r="S78" s="268"/>
      <c r="T78" s="268"/>
      <c r="U78" s="268"/>
      <c r="V78" s="264"/>
      <c r="W78" s="264"/>
    </row>
    <row r="79" spans="13:23">
      <c r="M79" s="287"/>
      <c r="N79" s="287"/>
      <c r="Q79" s="266"/>
      <c r="S79" s="268"/>
      <c r="T79" s="268"/>
      <c r="U79" s="268"/>
      <c r="V79" s="264"/>
      <c r="W79" s="264"/>
    </row>
    <row r="80" spans="13:23">
      <c r="M80" s="287"/>
      <c r="N80" s="287"/>
      <c r="Q80" s="266"/>
      <c r="S80" s="268"/>
      <c r="T80" s="268"/>
      <c r="U80" s="268"/>
      <c r="V80" s="264"/>
      <c r="W80" s="264"/>
    </row>
    <row r="81" spans="13:23">
      <c r="M81" s="287"/>
      <c r="N81" s="287"/>
      <c r="Q81" s="266"/>
      <c r="S81" s="268"/>
      <c r="T81" s="268"/>
      <c r="U81" s="268"/>
      <c r="V81" s="264"/>
      <c r="W81" s="264"/>
    </row>
    <row r="82" spans="13:23">
      <c r="M82" s="287"/>
      <c r="N82" s="287"/>
      <c r="Q82" s="266"/>
      <c r="S82" s="268"/>
      <c r="T82" s="268"/>
      <c r="U82" s="268"/>
      <c r="V82" s="264"/>
      <c r="W82" s="264"/>
    </row>
    <row r="83" spans="13:23">
      <c r="M83" s="287"/>
      <c r="N83" s="287"/>
      <c r="Q83" s="266"/>
      <c r="S83" s="268"/>
      <c r="T83" s="268"/>
      <c r="U83" s="268"/>
      <c r="V83" s="264"/>
      <c r="W83" s="264"/>
    </row>
    <row r="84" spans="13:23">
      <c r="M84" s="287"/>
      <c r="N84" s="287"/>
      <c r="Q84" s="266"/>
      <c r="S84" s="268"/>
      <c r="T84" s="268"/>
      <c r="U84" s="268"/>
      <c r="V84" s="264"/>
      <c r="W84" s="264"/>
    </row>
    <row r="85" spans="13:23">
      <c r="M85" s="287"/>
      <c r="N85" s="287"/>
      <c r="Q85" s="266"/>
      <c r="S85" s="268"/>
      <c r="T85" s="268"/>
      <c r="U85" s="268"/>
      <c r="V85" s="264"/>
      <c r="W85" s="264"/>
    </row>
    <row r="86" spans="13:23">
      <c r="M86" s="287"/>
      <c r="N86" s="287"/>
      <c r="Q86" s="266"/>
      <c r="S86" s="268"/>
      <c r="T86" s="268"/>
      <c r="U86" s="268"/>
      <c r="V86" s="264"/>
      <c r="W86" s="264"/>
    </row>
    <row r="87" spans="13:23">
      <c r="M87" s="287"/>
      <c r="N87" s="287"/>
      <c r="Q87" s="266"/>
      <c r="S87" s="268"/>
      <c r="T87" s="268"/>
      <c r="U87" s="268"/>
      <c r="V87" s="264"/>
      <c r="W87" s="264"/>
    </row>
    <row r="88" spans="13:23">
      <c r="M88" s="287"/>
      <c r="N88" s="287"/>
      <c r="Q88" s="266"/>
      <c r="S88" s="268"/>
      <c r="T88" s="268"/>
      <c r="U88" s="268"/>
      <c r="V88" s="264"/>
      <c r="W88" s="264"/>
    </row>
    <row r="89" spans="13:23">
      <c r="M89" s="287"/>
      <c r="Q89" s="266"/>
      <c r="S89" s="268"/>
      <c r="T89" s="268"/>
      <c r="U89" s="268"/>
      <c r="V89" s="264"/>
      <c r="W89" s="264"/>
    </row>
    <row r="90" spans="13:23">
      <c r="Q90" s="266"/>
      <c r="S90" s="268"/>
      <c r="T90" s="268"/>
      <c r="U90" s="268"/>
      <c r="V90" s="264"/>
      <c r="W90" s="264"/>
    </row>
    <row r="91" spans="13:23">
      <c r="Q91" s="266"/>
      <c r="S91" s="268"/>
      <c r="T91" s="268"/>
      <c r="U91" s="268"/>
      <c r="V91" s="264"/>
      <c r="W91" s="264"/>
    </row>
    <row r="92" spans="13:23">
      <c r="Q92" s="266"/>
      <c r="S92" s="268"/>
      <c r="T92" s="268"/>
      <c r="U92" s="268"/>
      <c r="V92" s="264"/>
      <c r="W92" s="264"/>
    </row>
    <row r="93" spans="13:23">
      <c r="Q93" s="266"/>
      <c r="S93" s="268"/>
      <c r="T93" s="268"/>
      <c r="U93" s="268"/>
      <c r="V93" s="264"/>
      <c r="W93" s="264"/>
    </row>
    <row r="94" spans="13:23">
      <c r="Q94" s="266"/>
      <c r="S94" s="268"/>
      <c r="T94" s="268"/>
      <c r="U94" s="268"/>
      <c r="V94" s="264"/>
    </row>
    <row r="95" spans="13:23">
      <c r="R95" s="270"/>
    </row>
    <row r="96" spans="13:23">
      <c r="R96" s="270"/>
    </row>
    <row r="97" spans="18:18">
      <c r="R97" s="270"/>
    </row>
    <row r="98" spans="18:18">
      <c r="R98" s="270"/>
    </row>
    <row r="99" spans="18:18">
      <c r="R99" s="270"/>
    </row>
    <row r="100" spans="18:18">
      <c r="R100" s="270"/>
    </row>
    <row r="101" spans="18:18">
      <c r="R101" s="270"/>
    </row>
    <row r="102" spans="18:18">
      <c r="R102" s="270"/>
    </row>
    <row r="103" spans="18:18">
      <c r="R103" s="270"/>
    </row>
    <row r="104" spans="18:18">
      <c r="R104" s="270"/>
    </row>
    <row r="105" spans="18:18">
      <c r="R105" s="270"/>
    </row>
    <row r="106" spans="18:18">
      <c r="R106" s="270"/>
    </row>
  </sheetData>
  <sheetProtection formatColumns="0" formatRows="0" selectLockedCells="1"/>
  <mergeCells count="2">
    <mergeCell ref="C4:D4"/>
    <mergeCell ref="Y4:Z4"/>
  </mergeCells>
  <pageMargins left="0.7" right="0.7" top="0.75" bottom="0.75" header="0.3" footer="0.3"/>
  <pageSetup orientation="portrait" r:id="rId1"/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AA75924-9101-475D-9301-A2876F04D797}">
          <x14:formula1>
            <xm:f>_xlfn.ANCHORARRAY(DATA!$Y$11)</xm:f>
          </x14:formula1>
          <xm:sqref>I8:I32</xm:sqref>
        </x14:dataValidation>
        <x14:dataValidation type="list" allowBlank="1" showInputMessage="1" showErrorMessage="1" xr:uid="{9747A1E6-B0F3-4111-9C91-284803F460AB}">
          <x14:formula1>
            <xm:f>_xlfn.ANCHORARRAY(DATA!$Z11)</xm:f>
          </x14:formula1>
          <xm:sqref>H8:H32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68E8-7F8E-45CB-9810-67D7057C64FC}">
  <sheetPr codeName="Sheet3">
    <tabColor rgb="FF0000FF"/>
  </sheetPr>
  <dimension ref="A2:T33"/>
  <sheetViews>
    <sheetView topLeftCell="C1" workbookViewId="0"/>
  </sheetViews>
  <sheetFormatPr baseColWidth="10" defaultColWidth="9.5" defaultRowHeight="16"/>
  <cols>
    <col min="1" max="2" width="5.33203125" style="50" hidden="1" customWidth="1"/>
    <col min="3" max="3" width="4" style="37" customWidth="1"/>
    <col min="4" max="4" width="3.5" style="42" customWidth="1"/>
    <col min="5" max="5" width="4.33203125" style="42" bestFit="1" customWidth="1"/>
    <col min="6" max="6" width="5.83203125" style="42" customWidth="1"/>
    <col min="7" max="7" width="14.33203125" style="38" customWidth="1"/>
    <col min="8" max="8" width="18.5" style="38" customWidth="1"/>
    <col min="9" max="9" width="33.5" style="47" customWidth="1"/>
    <col min="10" max="10" width="11.83203125" style="165" customWidth="1"/>
    <col min="11" max="11" width="5.83203125" style="39" bestFit="1" customWidth="1"/>
    <col min="12" max="12" width="5.5" style="38" bestFit="1" customWidth="1"/>
    <col min="13" max="13" width="6" style="38" bestFit="1" customWidth="1"/>
    <col min="14" max="14" width="6.33203125" style="38" customWidth="1"/>
    <col min="15" max="15" width="7" style="38" bestFit="1" customWidth="1"/>
    <col min="16" max="16" width="11.5" style="55" customWidth="1"/>
    <col min="17" max="17" width="5" style="35" hidden="1" customWidth="1"/>
    <col min="18" max="19" width="6.5" style="35" hidden="1" customWidth="1"/>
    <col min="20" max="20" width="9.5" style="35"/>
    <col min="104" max="367" width="1.5" customWidth="1"/>
  </cols>
  <sheetData>
    <row r="2" spans="1:20" ht="20.25" customHeight="1">
      <c r="A2" s="48"/>
      <c r="B2" s="48"/>
      <c r="C2" s="31"/>
      <c r="D2" s="36"/>
      <c r="E2" s="36"/>
      <c r="F2" s="36"/>
      <c r="G2" s="31"/>
      <c r="H2" s="31"/>
      <c r="I2" s="46"/>
      <c r="J2" s="161"/>
      <c r="K2" s="36"/>
      <c r="L2" s="33"/>
      <c r="M2" s="33"/>
      <c r="N2" s="32"/>
      <c r="O2" s="33"/>
      <c r="P2" s="34"/>
      <c r="Q2" s="64" t="s">
        <v>60</v>
      </c>
      <c r="R2" s="53"/>
      <c r="S2" s="54"/>
      <c r="T2"/>
    </row>
    <row r="3" spans="1:20" ht="30" customHeight="1" thickBot="1">
      <c r="A3" s="49"/>
      <c r="B3" s="49"/>
      <c r="C3" s="31"/>
      <c r="D3" s="146" t="s">
        <v>43</v>
      </c>
      <c r="E3" s="147" t="s">
        <v>95</v>
      </c>
      <c r="F3" s="147" t="s">
        <v>94</v>
      </c>
      <c r="G3" s="148" t="s">
        <v>136</v>
      </c>
      <c r="H3" s="148" t="s">
        <v>45</v>
      </c>
      <c r="I3" s="148" t="s">
        <v>175</v>
      </c>
      <c r="J3" s="162" t="s">
        <v>46</v>
      </c>
      <c r="K3" s="146" t="s">
        <v>59</v>
      </c>
      <c r="L3" s="160" t="s">
        <v>49</v>
      </c>
      <c r="M3" s="160" t="s">
        <v>58</v>
      </c>
      <c r="N3" s="160" t="s">
        <v>47</v>
      </c>
      <c r="O3" s="149" t="s">
        <v>48</v>
      </c>
      <c r="P3" s="149" t="s">
        <v>52</v>
      </c>
      <c r="Q3" s="149" t="s">
        <v>50</v>
      </c>
      <c r="R3" s="149" t="s">
        <v>1</v>
      </c>
      <c r="S3" s="149" t="s">
        <v>51</v>
      </c>
      <c r="T3"/>
    </row>
    <row r="4" spans="1:20" ht="19.5" customHeight="1" thickBot="1">
      <c r="A4" s="49">
        <f t="shared" ref="A4:B23" si="0">IF($L4="y",1,0)</f>
        <v>1</v>
      </c>
      <c r="B4" s="49">
        <f t="shared" si="0"/>
        <v>1</v>
      </c>
      <c r="C4" s="31"/>
      <c r="D4" s="52">
        <f>IF(ISBLANK(H4),"",COUNTA(G$4:$G4))</f>
        <v>1</v>
      </c>
      <c r="E4" s="41">
        <v>1</v>
      </c>
      <c r="F4" s="41"/>
      <c r="G4" s="17" t="s">
        <v>138</v>
      </c>
      <c r="H4" s="17" t="s">
        <v>112</v>
      </c>
      <c r="I4" s="19"/>
      <c r="J4" s="163">
        <v>25000</v>
      </c>
      <c r="K4" s="56"/>
      <c r="L4" s="56" t="s">
        <v>54</v>
      </c>
      <c r="M4" s="56" t="s">
        <v>55</v>
      </c>
      <c r="N4" s="51">
        <v>1</v>
      </c>
      <c r="O4" s="62">
        <v>4</v>
      </c>
      <c r="P4" s="58"/>
      <c r="Q4" s="60">
        <f t="shared" ref="Q4:Q23" si="1">IF(J4=0,0,IF(N4+O4-1,N4+O4-1))</f>
        <v>4</v>
      </c>
      <c r="R4" s="61">
        <f t="array" ref="R4">IF(N4=0,"",EDATE(i_Date.Start,N4-1))</f>
        <v>44562</v>
      </c>
      <c r="S4" s="61">
        <f t="shared" ref="S4:S23" si="2">IF(O4=0,"",EOMONTH(EDATE(R4,O4),0))</f>
        <v>44712</v>
      </c>
      <c r="T4"/>
    </row>
    <row r="5" spans="1:20" ht="19.5" customHeight="1" thickTop="1" thickBot="1">
      <c r="A5" s="49">
        <f t="shared" si="0"/>
        <v>0</v>
      </c>
      <c r="B5" s="49">
        <f t="shared" si="0"/>
        <v>0</v>
      </c>
      <c r="C5" s="31"/>
      <c r="D5" s="52">
        <f>IF(ISBLANK(H5),"",COUNTA(G$4:$G5))</f>
        <v>2</v>
      </c>
      <c r="E5" s="41">
        <v>1</v>
      </c>
      <c r="F5" s="41"/>
      <c r="G5" s="17" t="s">
        <v>53</v>
      </c>
      <c r="H5" s="17" t="s">
        <v>113</v>
      </c>
      <c r="I5" s="19"/>
      <c r="J5" s="164">
        <v>25000</v>
      </c>
      <c r="K5" s="57"/>
      <c r="L5" s="57"/>
      <c r="M5" s="57"/>
      <c r="N5" s="43">
        <v>1</v>
      </c>
      <c r="O5" s="63">
        <v>6</v>
      </c>
      <c r="P5" s="59"/>
      <c r="Q5" s="44">
        <f t="shared" si="1"/>
        <v>6</v>
      </c>
      <c r="R5" s="45">
        <f t="array" ref="R5">IF(N5=0,"",EDATE(i_Date.Start,N5-1))</f>
        <v>44562</v>
      </c>
      <c r="S5" s="45">
        <f t="shared" si="2"/>
        <v>44773</v>
      </c>
      <c r="T5"/>
    </row>
    <row r="6" spans="1:20" ht="19.5" customHeight="1" thickTop="1" thickBot="1">
      <c r="A6" s="49">
        <f t="shared" si="0"/>
        <v>0</v>
      </c>
      <c r="B6" s="49">
        <f t="shared" si="0"/>
        <v>0</v>
      </c>
      <c r="C6" s="31"/>
      <c r="D6" s="52">
        <f>IF(ISBLANK(H6),"",COUNTA(G$4:$G6))</f>
        <v>3</v>
      </c>
      <c r="E6" s="41">
        <v>1</v>
      </c>
      <c r="F6" s="41"/>
      <c r="G6" s="17" t="s">
        <v>53</v>
      </c>
      <c r="H6" s="17" t="s">
        <v>117</v>
      </c>
      <c r="I6" s="19"/>
      <c r="J6" s="164">
        <v>50000</v>
      </c>
      <c r="K6" s="57"/>
      <c r="L6" s="57"/>
      <c r="M6" s="57"/>
      <c r="N6" s="43">
        <v>1</v>
      </c>
      <c r="O6" s="63">
        <v>15</v>
      </c>
      <c r="P6" s="59"/>
      <c r="Q6" s="44">
        <f t="shared" si="1"/>
        <v>15</v>
      </c>
      <c r="R6" s="45">
        <f t="array" ref="R6">IF(N6=0,"",EDATE(i_Date.Start,N6-1))</f>
        <v>44562</v>
      </c>
      <c r="S6" s="45">
        <f t="shared" si="2"/>
        <v>45046</v>
      </c>
      <c r="T6"/>
    </row>
    <row r="7" spans="1:20" ht="19.5" customHeight="1" thickTop="1" thickBot="1">
      <c r="A7" s="49">
        <f t="shared" si="0"/>
        <v>0</v>
      </c>
      <c r="B7" s="49">
        <f t="shared" si="0"/>
        <v>0</v>
      </c>
      <c r="C7" s="31"/>
      <c r="D7" s="52">
        <f>IF(ISBLANK(H7),"",COUNTA(G$4:$G7))</f>
        <v>4</v>
      </c>
      <c r="E7" s="41">
        <v>1</v>
      </c>
      <c r="F7" s="41"/>
      <c r="G7" s="17" t="s">
        <v>96</v>
      </c>
      <c r="H7" s="17" t="s">
        <v>29</v>
      </c>
      <c r="I7" s="19" t="s">
        <v>97</v>
      </c>
      <c r="J7" s="164">
        <v>200000</v>
      </c>
      <c r="K7" s="57"/>
      <c r="L7" s="57"/>
      <c r="M7" s="57"/>
      <c r="N7" s="43">
        <v>1</v>
      </c>
      <c r="O7" s="63">
        <v>4</v>
      </c>
      <c r="P7" s="59"/>
      <c r="Q7" s="44">
        <f t="shared" si="1"/>
        <v>4</v>
      </c>
      <c r="R7" s="45">
        <f t="array" ref="R7">IF(N7=0,"",EDATE(i_Date.Start,N7-1))</f>
        <v>44562</v>
      </c>
      <c r="S7" s="45">
        <f t="shared" si="2"/>
        <v>44712</v>
      </c>
      <c r="T7"/>
    </row>
    <row r="8" spans="1:20" ht="19.5" customHeight="1" thickTop="1" thickBot="1">
      <c r="A8" s="49">
        <f t="shared" si="0"/>
        <v>0</v>
      </c>
      <c r="B8" s="49">
        <f t="shared" si="0"/>
        <v>0</v>
      </c>
      <c r="C8" s="31"/>
      <c r="D8" s="52">
        <f>IF(ISBLANK(H8),"",COUNTA(G$4:$G8))</f>
        <v>5</v>
      </c>
      <c r="E8" s="41"/>
      <c r="F8" s="41"/>
      <c r="G8" s="17" t="s">
        <v>96</v>
      </c>
      <c r="H8" s="17" t="s">
        <v>102</v>
      </c>
      <c r="I8" s="19"/>
      <c r="J8" s="164">
        <v>750000</v>
      </c>
      <c r="K8" s="57"/>
      <c r="L8" s="57"/>
      <c r="M8" s="57"/>
      <c r="N8" s="43"/>
      <c r="O8" s="63"/>
      <c r="P8" s="59"/>
      <c r="Q8" s="44">
        <f t="shared" si="1"/>
        <v>-1</v>
      </c>
      <c r="R8" s="45" t="str">
        <f t="array" ref="R8">IF(N8=0,"",EDATE(i_Date.Start,N8-1))</f>
        <v/>
      </c>
      <c r="S8" s="45" t="str">
        <f t="shared" si="2"/>
        <v/>
      </c>
      <c r="T8"/>
    </row>
    <row r="9" spans="1:20" ht="19.5" customHeight="1" thickTop="1" thickBot="1">
      <c r="A9" s="49">
        <f t="shared" si="0"/>
        <v>0</v>
      </c>
      <c r="B9" s="49">
        <f t="shared" si="0"/>
        <v>0</v>
      </c>
      <c r="C9" s="31"/>
      <c r="D9" s="52">
        <f>IF(ISBLANK(H9),"",COUNTA(G$4:$G9))</f>
        <v>6</v>
      </c>
      <c r="E9" s="41">
        <v>1</v>
      </c>
      <c r="F9" s="41"/>
      <c r="G9" s="17" t="s">
        <v>96</v>
      </c>
      <c r="H9" s="17" t="s">
        <v>108</v>
      </c>
      <c r="I9" s="19"/>
      <c r="J9" s="164"/>
      <c r="K9" s="57"/>
      <c r="L9" s="57"/>
      <c r="M9" s="57"/>
      <c r="N9" s="43">
        <v>1</v>
      </c>
      <c r="O9" s="63">
        <v>18</v>
      </c>
      <c r="P9" s="59"/>
      <c r="Q9" s="44">
        <f t="shared" si="1"/>
        <v>0</v>
      </c>
      <c r="R9" s="45">
        <f t="array" ref="R9">IF(N9=0,"",EDATE(i_Date.Start,N9-1))</f>
        <v>44562</v>
      </c>
      <c r="S9" s="45">
        <f t="shared" si="2"/>
        <v>45138</v>
      </c>
      <c r="T9"/>
    </row>
    <row r="10" spans="1:20" ht="19.5" customHeight="1" thickTop="1" thickBot="1">
      <c r="A10" s="49">
        <f t="shared" si="0"/>
        <v>0</v>
      </c>
      <c r="B10" s="49">
        <f t="shared" si="0"/>
        <v>0</v>
      </c>
      <c r="C10" s="31"/>
      <c r="D10" s="52">
        <f>IF(ISBLANK(H10),"",COUNTA(G$4:$G10))</f>
        <v>7</v>
      </c>
      <c r="E10" s="41">
        <v>1</v>
      </c>
      <c r="F10" s="41"/>
      <c r="G10" s="17" t="s">
        <v>97</v>
      </c>
      <c r="H10" s="17" t="s">
        <v>29</v>
      </c>
      <c r="I10" s="19" t="s">
        <v>176</v>
      </c>
      <c r="J10" s="164"/>
      <c r="K10" s="57"/>
      <c r="L10" s="57"/>
      <c r="M10" s="57"/>
      <c r="N10" s="43">
        <v>1</v>
      </c>
      <c r="O10" s="63">
        <v>18</v>
      </c>
      <c r="P10" s="59"/>
      <c r="Q10" s="44">
        <f t="shared" si="1"/>
        <v>0</v>
      </c>
      <c r="R10" s="45">
        <f t="array" ref="R10">IF(N10=0,"",EDATE(i_Date.Start,N10-1))</f>
        <v>44562</v>
      </c>
      <c r="S10" s="45">
        <f t="shared" si="2"/>
        <v>45138</v>
      </c>
      <c r="T10"/>
    </row>
    <row r="11" spans="1:20" ht="19.5" customHeight="1" thickTop="1" thickBot="1">
      <c r="A11" s="49">
        <f t="shared" si="0"/>
        <v>0</v>
      </c>
      <c r="B11" s="49">
        <f t="shared" si="0"/>
        <v>0</v>
      </c>
      <c r="C11" s="31"/>
      <c r="D11" s="52">
        <f>IF(ISBLANK(H11),"",COUNTA(G$4:$G11))</f>
        <v>8</v>
      </c>
      <c r="E11" s="41">
        <v>1</v>
      </c>
      <c r="F11" s="41"/>
      <c r="G11" s="17" t="s">
        <v>98</v>
      </c>
      <c r="H11" s="17" t="s">
        <v>29</v>
      </c>
      <c r="I11" s="19" t="s">
        <v>176</v>
      </c>
      <c r="J11" s="164"/>
      <c r="K11" s="57"/>
      <c r="L11" s="57"/>
      <c r="M11" s="57"/>
      <c r="N11" s="43">
        <v>19</v>
      </c>
      <c r="O11" s="63">
        <v>54</v>
      </c>
      <c r="P11" s="59"/>
      <c r="Q11" s="44">
        <f t="shared" si="1"/>
        <v>0</v>
      </c>
      <c r="R11" s="45">
        <f t="array" ref="R11">IF(N11=0,"",EDATE(i_Date.Start,N11-1))</f>
        <v>45108</v>
      </c>
      <c r="S11" s="45">
        <f t="shared" si="2"/>
        <v>46783</v>
      </c>
      <c r="T11"/>
    </row>
    <row r="12" spans="1:20" ht="19.5" customHeight="1" thickTop="1" thickBot="1">
      <c r="A12" s="49">
        <f t="shared" si="0"/>
        <v>0</v>
      </c>
      <c r="B12" s="49">
        <f t="shared" si="0"/>
        <v>0</v>
      </c>
      <c r="C12" s="31"/>
      <c r="D12" s="52">
        <f>IF(ISBLANK(H12),"",COUNTA(G$4:$G12))</f>
        <v>9</v>
      </c>
      <c r="E12" s="41">
        <v>1</v>
      </c>
      <c r="F12" s="41"/>
      <c r="G12" s="17" t="s">
        <v>99</v>
      </c>
      <c r="H12" s="17" t="s">
        <v>29</v>
      </c>
      <c r="I12" s="19" t="s">
        <v>177</v>
      </c>
      <c r="J12" s="164"/>
      <c r="K12" s="57"/>
      <c r="L12" s="57"/>
      <c r="M12" s="57"/>
      <c r="N12" s="43">
        <v>1</v>
      </c>
      <c r="O12" s="63">
        <v>18</v>
      </c>
      <c r="P12" s="59"/>
      <c r="Q12" s="44">
        <f t="shared" si="1"/>
        <v>0</v>
      </c>
      <c r="R12" s="45">
        <f t="array" ref="R12">IF(N12=0,"",EDATE(i_Date.Start,N12-1))</f>
        <v>44562</v>
      </c>
      <c r="S12" s="45">
        <f t="shared" si="2"/>
        <v>45138</v>
      </c>
      <c r="T12"/>
    </row>
    <row r="13" spans="1:20" ht="19.5" customHeight="1" thickTop="1" thickBot="1">
      <c r="A13" s="49">
        <f t="shared" si="0"/>
        <v>0</v>
      </c>
      <c r="B13" s="49">
        <f t="shared" si="0"/>
        <v>0</v>
      </c>
      <c r="C13" s="31"/>
      <c r="D13" s="52" t="str">
        <f>IF(ISBLANK(H13),"",COUNTA(G$4:$G13))</f>
        <v/>
      </c>
      <c r="E13" s="41">
        <v>1</v>
      </c>
      <c r="F13" s="41"/>
      <c r="G13" s="17"/>
      <c r="H13" s="17"/>
      <c r="I13" s="19"/>
      <c r="J13" s="164"/>
      <c r="K13" s="57"/>
      <c r="L13" s="57"/>
      <c r="M13" s="57"/>
      <c r="N13" s="43">
        <v>19</v>
      </c>
      <c r="O13" s="63">
        <v>54</v>
      </c>
      <c r="P13" s="59"/>
      <c r="Q13" s="44">
        <f t="shared" si="1"/>
        <v>0</v>
      </c>
      <c r="R13" s="45">
        <f t="array" ref="R13">IF(N13=0,"",EDATE(i_Date.Start,N13-1))</f>
        <v>45108</v>
      </c>
      <c r="S13" s="45">
        <f t="shared" si="2"/>
        <v>46783</v>
      </c>
      <c r="T13"/>
    </row>
    <row r="14" spans="1:20" ht="19.5" customHeight="1" thickTop="1" thickBot="1">
      <c r="A14" s="49">
        <f t="shared" si="0"/>
        <v>0</v>
      </c>
      <c r="B14" s="49">
        <f t="shared" si="0"/>
        <v>0</v>
      </c>
      <c r="C14" s="31"/>
      <c r="D14" s="52" t="str">
        <f>IF(ISBLANK(H14),"",COUNTA(G$4:$G14))</f>
        <v/>
      </c>
      <c r="E14" s="41"/>
      <c r="F14" s="41"/>
      <c r="G14" s="17"/>
      <c r="H14" s="17"/>
      <c r="I14" s="19"/>
      <c r="J14" s="164"/>
      <c r="K14" s="57"/>
      <c r="L14" s="57"/>
      <c r="M14" s="57"/>
      <c r="N14" s="43"/>
      <c r="O14" s="63"/>
      <c r="P14" s="59"/>
      <c r="Q14" s="44">
        <f t="shared" si="1"/>
        <v>0</v>
      </c>
      <c r="R14" s="45" t="str">
        <f t="array" ref="R14">IF(N14=0,"",EDATE(i_Date.Start,N14-1))</f>
        <v/>
      </c>
      <c r="S14" s="45" t="str">
        <f t="shared" si="2"/>
        <v/>
      </c>
      <c r="T14"/>
    </row>
    <row r="15" spans="1:20" ht="19.5" customHeight="1" thickTop="1" thickBot="1">
      <c r="A15" s="49">
        <f t="shared" si="0"/>
        <v>0</v>
      </c>
      <c r="B15" s="49">
        <f t="shared" si="0"/>
        <v>0</v>
      </c>
      <c r="C15" s="31"/>
      <c r="D15" s="52" t="str">
        <f>IF(ISBLANK(H15),"",COUNTA(G$4:$G15))</f>
        <v/>
      </c>
      <c r="E15" s="41">
        <v>1</v>
      </c>
      <c r="F15" s="41"/>
      <c r="G15" s="17"/>
      <c r="H15" s="17"/>
      <c r="I15" s="19"/>
      <c r="J15" s="164"/>
      <c r="K15" s="57"/>
      <c r="L15" s="57"/>
      <c r="M15" s="57"/>
      <c r="N15" s="43">
        <v>1</v>
      </c>
      <c r="O15" s="63">
        <v>2</v>
      </c>
      <c r="P15" s="59"/>
      <c r="Q15" s="44">
        <f t="shared" si="1"/>
        <v>0</v>
      </c>
      <c r="R15" s="45">
        <f t="array" ref="R15">IF(N15=0,"",EDATE(i_Date.Start,N15-1))</f>
        <v>44562</v>
      </c>
      <c r="S15" s="45">
        <f t="shared" si="2"/>
        <v>44651</v>
      </c>
      <c r="T15"/>
    </row>
    <row r="16" spans="1:20" ht="19.5" customHeight="1" thickTop="1" thickBot="1">
      <c r="A16" s="49">
        <f t="shared" si="0"/>
        <v>0</v>
      </c>
      <c r="B16" s="49">
        <f t="shared" si="0"/>
        <v>0</v>
      </c>
      <c r="C16" s="31"/>
      <c r="D16" s="52" t="str">
        <f>IF(ISBLANK(H16),"",COUNTA(G$4:$G16))</f>
        <v/>
      </c>
      <c r="E16" s="41">
        <v>1</v>
      </c>
      <c r="F16" s="41"/>
      <c r="G16" s="17"/>
      <c r="H16" s="17"/>
      <c r="I16" s="19"/>
      <c r="J16" s="164"/>
      <c r="K16" s="57"/>
      <c r="L16" s="57"/>
      <c r="M16" s="57"/>
      <c r="N16" s="43">
        <v>1</v>
      </c>
      <c r="O16" s="63">
        <v>2</v>
      </c>
      <c r="P16" s="59"/>
      <c r="Q16" s="44">
        <f t="shared" si="1"/>
        <v>0</v>
      </c>
      <c r="R16" s="45">
        <f t="array" ref="R16">IF(N16=0,"",EDATE(i_Date.Start,N16-1))</f>
        <v>44562</v>
      </c>
      <c r="S16" s="45">
        <f t="shared" si="2"/>
        <v>44651</v>
      </c>
      <c r="T16"/>
    </row>
    <row r="17" spans="1:20" ht="19.5" customHeight="1" thickTop="1" thickBot="1">
      <c r="A17" s="49">
        <f t="shared" si="0"/>
        <v>0</v>
      </c>
      <c r="B17" s="49">
        <f t="shared" si="0"/>
        <v>0</v>
      </c>
      <c r="C17" s="31"/>
      <c r="D17" s="52" t="str">
        <f>IF(ISBLANK(H17),"",COUNTA(G$4:$G17))</f>
        <v/>
      </c>
      <c r="E17" s="41">
        <v>1</v>
      </c>
      <c r="F17" s="41"/>
      <c r="G17" s="17"/>
      <c r="H17" s="17"/>
      <c r="I17" s="19"/>
      <c r="J17" s="164"/>
      <c r="K17" s="57"/>
      <c r="L17" s="57"/>
      <c r="M17" s="57"/>
      <c r="N17" s="43">
        <v>1</v>
      </c>
      <c r="O17" s="63">
        <v>2</v>
      </c>
      <c r="P17" s="59"/>
      <c r="Q17" s="44">
        <f t="shared" si="1"/>
        <v>0</v>
      </c>
      <c r="R17" s="45">
        <f t="array" ref="R17">IF(N17=0,"",EDATE(i_Date.Start,N17-1))</f>
        <v>44562</v>
      </c>
      <c r="S17" s="45">
        <f t="shared" si="2"/>
        <v>44651</v>
      </c>
      <c r="T17"/>
    </row>
    <row r="18" spans="1:20" ht="19.5" customHeight="1" thickTop="1" thickBot="1">
      <c r="A18" s="49">
        <f t="shared" si="0"/>
        <v>0</v>
      </c>
      <c r="B18" s="49">
        <f t="shared" si="0"/>
        <v>0</v>
      </c>
      <c r="C18" s="31"/>
      <c r="D18" s="52" t="str">
        <f>IF(ISBLANK(H18),"",COUNTA(G$4:$G18))</f>
        <v/>
      </c>
      <c r="E18" s="41">
        <v>1</v>
      </c>
      <c r="F18" s="41"/>
      <c r="G18" s="17"/>
      <c r="H18" s="17"/>
      <c r="I18" s="19"/>
      <c r="J18" s="164"/>
      <c r="K18" s="57"/>
      <c r="L18" s="57"/>
      <c r="M18" s="57"/>
      <c r="N18" s="43">
        <v>1</v>
      </c>
      <c r="O18" s="63">
        <v>2</v>
      </c>
      <c r="P18" s="59"/>
      <c r="Q18" s="44">
        <f t="shared" si="1"/>
        <v>0</v>
      </c>
      <c r="R18" s="45">
        <f t="array" ref="R18">IF(N18=0,"",EDATE(i_Date.Start,N18-1))</f>
        <v>44562</v>
      </c>
      <c r="S18" s="45">
        <f t="shared" si="2"/>
        <v>44651</v>
      </c>
      <c r="T18"/>
    </row>
    <row r="19" spans="1:20" ht="19.5" customHeight="1" thickTop="1" thickBot="1">
      <c r="A19" s="49">
        <f t="shared" si="0"/>
        <v>0</v>
      </c>
      <c r="B19" s="49">
        <f t="shared" si="0"/>
        <v>0</v>
      </c>
      <c r="C19" s="31"/>
      <c r="D19" s="52" t="str">
        <f>IF(ISBLANK(H19),"",COUNTA(G$4:$G19))</f>
        <v/>
      </c>
      <c r="E19" s="41"/>
      <c r="F19" s="41"/>
      <c r="G19" s="17"/>
      <c r="H19" s="17"/>
      <c r="I19" s="19"/>
      <c r="J19" s="164"/>
      <c r="K19" s="57"/>
      <c r="L19" s="57"/>
      <c r="M19" s="57"/>
      <c r="N19" s="43">
        <v>1</v>
      </c>
      <c r="O19" s="63">
        <v>2</v>
      </c>
      <c r="P19" s="59"/>
      <c r="Q19" s="44">
        <f t="shared" si="1"/>
        <v>0</v>
      </c>
      <c r="R19" s="45">
        <f t="array" ref="R19">IF(N19=0,"",EDATE(i_Date.Start,N19-1))</f>
        <v>44562</v>
      </c>
      <c r="S19" s="45">
        <f t="shared" si="2"/>
        <v>44651</v>
      </c>
      <c r="T19"/>
    </row>
    <row r="20" spans="1:20" ht="19.5" customHeight="1" thickTop="1" thickBot="1">
      <c r="A20" s="49">
        <f t="shared" si="0"/>
        <v>0</v>
      </c>
      <c r="B20" s="49">
        <f t="shared" si="0"/>
        <v>0</v>
      </c>
      <c r="C20" s="31"/>
      <c r="D20" s="52" t="str">
        <f>IF(ISBLANK(H20),"",COUNTA(G$4:$G20))</f>
        <v/>
      </c>
      <c r="E20" s="41">
        <v>1</v>
      </c>
      <c r="F20" s="41"/>
      <c r="G20" s="17"/>
      <c r="H20" s="17"/>
      <c r="I20" s="19"/>
      <c r="J20" s="164"/>
      <c r="K20" s="57"/>
      <c r="L20" s="57"/>
      <c r="M20" s="57"/>
      <c r="N20" s="43">
        <v>1</v>
      </c>
      <c r="O20" s="63">
        <v>2</v>
      </c>
      <c r="P20" s="59"/>
      <c r="Q20" s="44">
        <f t="shared" si="1"/>
        <v>0</v>
      </c>
      <c r="R20" s="45">
        <f t="array" ref="R20">IF(N20=0,"",EDATE(i_Date.Start,N20-1))</f>
        <v>44562</v>
      </c>
      <c r="S20" s="45">
        <f t="shared" si="2"/>
        <v>44651</v>
      </c>
      <c r="T20"/>
    </row>
    <row r="21" spans="1:20" ht="19.5" customHeight="1" thickTop="1" thickBot="1">
      <c r="A21" s="49">
        <f t="shared" si="0"/>
        <v>0</v>
      </c>
      <c r="B21" s="49">
        <f t="shared" si="0"/>
        <v>0</v>
      </c>
      <c r="C21" s="31"/>
      <c r="D21" s="52" t="str">
        <f>IF(ISBLANK(H21),"",COUNTA(G$4:$G21))</f>
        <v/>
      </c>
      <c r="E21" s="41">
        <v>1</v>
      </c>
      <c r="F21" s="41"/>
      <c r="G21" s="17"/>
      <c r="H21" s="17"/>
      <c r="I21" s="19"/>
      <c r="J21" s="164"/>
      <c r="K21" s="57"/>
      <c r="L21" s="57"/>
      <c r="M21" s="57"/>
      <c r="N21" s="43">
        <v>1</v>
      </c>
      <c r="O21" s="63">
        <v>2</v>
      </c>
      <c r="P21" s="59"/>
      <c r="Q21" s="44">
        <f t="shared" si="1"/>
        <v>0</v>
      </c>
      <c r="R21" s="45">
        <f t="array" ref="R21">IF(N21=0,"",EDATE(i_Date.Start,N21-1))</f>
        <v>44562</v>
      </c>
      <c r="S21" s="45">
        <f t="shared" si="2"/>
        <v>44651</v>
      </c>
      <c r="T21"/>
    </row>
    <row r="22" spans="1:20" ht="19.5" customHeight="1" thickTop="1" thickBot="1">
      <c r="A22" s="49">
        <f t="shared" si="0"/>
        <v>0</v>
      </c>
      <c r="B22" s="49">
        <f t="shared" si="0"/>
        <v>0</v>
      </c>
      <c r="C22" s="31"/>
      <c r="D22" s="52" t="str">
        <f>IF(ISBLANK(H22),"",COUNTA(G$4:$G22))</f>
        <v/>
      </c>
      <c r="E22" s="41">
        <v>1</v>
      </c>
      <c r="F22" s="41"/>
      <c r="G22" s="17"/>
      <c r="H22" s="17"/>
      <c r="I22" s="19"/>
      <c r="J22" s="164"/>
      <c r="K22" s="57"/>
      <c r="L22" s="57"/>
      <c r="M22" s="57"/>
      <c r="N22" s="43">
        <v>1</v>
      </c>
      <c r="O22" s="63">
        <v>2</v>
      </c>
      <c r="P22" s="59"/>
      <c r="Q22" s="44">
        <f t="shared" si="1"/>
        <v>0</v>
      </c>
      <c r="R22" s="45">
        <f t="array" ref="R22">IF(N22=0,"",EDATE(i_Date.Start,N22-1))</f>
        <v>44562</v>
      </c>
      <c r="S22" s="45">
        <f t="shared" si="2"/>
        <v>44651</v>
      </c>
      <c r="T22"/>
    </row>
    <row r="23" spans="1:20" ht="19.5" customHeight="1" thickTop="1" thickBot="1">
      <c r="A23" s="49">
        <f t="shared" si="0"/>
        <v>0</v>
      </c>
      <c r="B23" s="49">
        <f t="shared" si="0"/>
        <v>0</v>
      </c>
      <c r="C23" s="31"/>
      <c r="D23" s="52" t="str">
        <f>IF(ISBLANK(H23),"",COUNTA(G$4:$G23))</f>
        <v/>
      </c>
      <c r="E23" s="41">
        <v>1</v>
      </c>
      <c r="F23" s="41"/>
      <c r="G23" s="17"/>
      <c r="H23" s="17"/>
      <c r="I23" s="19"/>
      <c r="J23" s="164"/>
      <c r="K23" s="57"/>
      <c r="L23" s="57"/>
      <c r="M23" s="57"/>
      <c r="N23" s="43">
        <v>1</v>
      </c>
      <c r="O23" s="63">
        <v>2</v>
      </c>
      <c r="P23" s="59"/>
      <c r="Q23" s="44">
        <f t="shared" si="1"/>
        <v>0</v>
      </c>
      <c r="R23" s="45">
        <f t="array" ref="R23">IF(N23=0,"",EDATE(i_Date.Start,N23-1))</f>
        <v>44562</v>
      </c>
      <c r="S23" s="45">
        <f t="shared" si="2"/>
        <v>44651</v>
      </c>
      <c r="T23"/>
    </row>
    <row r="24" spans="1:20" ht="18" thickTop="1" thickBot="1">
      <c r="D24" s="52" t="str">
        <f>IF(ISBLANK(H24),"",COUNTA(G$4:$G24))</f>
        <v/>
      </c>
      <c r="E24" s="41">
        <v>2</v>
      </c>
      <c r="F24" s="41"/>
      <c r="G24" s="17"/>
      <c r="H24" s="17"/>
      <c r="I24" s="19"/>
      <c r="J24" s="164"/>
      <c r="K24" s="57"/>
      <c r="L24" s="57"/>
      <c r="M24" s="57"/>
      <c r="N24" s="43">
        <v>1</v>
      </c>
      <c r="O24" s="63">
        <v>2</v>
      </c>
      <c r="P24" s="59"/>
      <c r="Q24" s="44">
        <f t="shared" ref="Q24:Q32" si="3">IF(J24=0,0,IF(N24+O24-1,N24+O24-1))</f>
        <v>0</v>
      </c>
      <c r="R24" s="45">
        <f t="array" ref="R24">IF(N24=0,"",EDATE(i_Date.Start,N24-1))</f>
        <v>44562</v>
      </c>
      <c r="S24" s="45">
        <f t="shared" ref="S24:S32" si="4">IF(O24=0,"",EOMONTH(EDATE(R24,O24),0))</f>
        <v>44651</v>
      </c>
      <c r="T24"/>
    </row>
    <row r="25" spans="1:20" ht="18" thickTop="1" thickBot="1">
      <c r="D25" s="52" t="str">
        <f>IF(ISBLANK(H25),"",COUNTA(G$4:$G25))</f>
        <v/>
      </c>
      <c r="E25" s="41">
        <v>3</v>
      </c>
      <c r="F25" s="41"/>
      <c r="G25" s="17"/>
      <c r="H25" s="17"/>
      <c r="I25" s="19"/>
      <c r="J25" s="164"/>
      <c r="K25" s="57"/>
      <c r="L25" s="57"/>
      <c r="M25" s="57"/>
      <c r="N25" s="43">
        <v>1</v>
      </c>
      <c r="O25" s="63">
        <v>2</v>
      </c>
      <c r="P25" s="59"/>
      <c r="Q25" s="44">
        <f t="shared" si="3"/>
        <v>0</v>
      </c>
      <c r="R25" s="45">
        <f t="array" ref="R25">IF(N25=0,"",EDATE(i_Date.Start,N25-1))</f>
        <v>44562</v>
      </c>
      <c r="S25" s="45">
        <f t="shared" si="4"/>
        <v>44651</v>
      </c>
      <c r="T25"/>
    </row>
    <row r="26" spans="1:20" ht="18" thickTop="1" thickBot="1">
      <c r="D26" s="52" t="str">
        <f>IF(ISBLANK(H26),"",COUNTA(G$4:$G26))</f>
        <v/>
      </c>
      <c r="E26" s="41">
        <v>4</v>
      </c>
      <c r="F26" s="41"/>
      <c r="G26" s="17"/>
      <c r="H26" s="17"/>
      <c r="I26" s="19"/>
      <c r="J26" s="164"/>
      <c r="K26" s="57"/>
      <c r="L26" s="57"/>
      <c r="M26" s="57"/>
      <c r="N26" s="43">
        <v>1</v>
      </c>
      <c r="O26" s="63">
        <v>2</v>
      </c>
      <c r="P26" s="59"/>
      <c r="Q26" s="44">
        <f t="shared" si="3"/>
        <v>0</v>
      </c>
      <c r="R26" s="45">
        <f t="array" ref="R26">IF(N26=0,"",EDATE(i_Date.Start,N26-1))</f>
        <v>44562</v>
      </c>
      <c r="S26" s="45">
        <f t="shared" si="4"/>
        <v>44651</v>
      </c>
    </row>
    <row r="27" spans="1:20" ht="18" thickTop="1" thickBot="1">
      <c r="D27" s="52" t="str">
        <f>IF(ISBLANK(H27),"",COUNTA(G$4:$G27))</f>
        <v/>
      </c>
      <c r="E27" s="41">
        <v>5</v>
      </c>
      <c r="F27" s="41"/>
      <c r="G27" s="17"/>
      <c r="H27" s="17"/>
      <c r="I27" s="19"/>
      <c r="J27" s="164"/>
      <c r="K27" s="57"/>
      <c r="L27" s="57"/>
      <c r="M27" s="57"/>
      <c r="N27" s="43">
        <v>1</v>
      </c>
      <c r="O27" s="63">
        <v>2</v>
      </c>
      <c r="P27" s="59"/>
      <c r="Q27" s="44">
        <f t="shared" si="3"/>
        <v>0</v>
      </c>
      <c r="R27" s="45">
        <f t="array" ref="R27">IF(N27=0,"",EDATE(i_Date.Start,N27-1))</f>
        <v>44562</v>
      </c>
      <c r="S27" s="45">
        <f t="shared" si="4"/>
        <v>44651</v>
      </c>
    </row>
    <row r="28" spans="1:20" ht="18" thickTop="1" thickBot="1">
      <c r="D28" s="52" t="str">
        <f>IF(ISBLANK(H28),"",COUNTA(G$4:$G28))</f>
        <v/>
      </c>
      <c r="E28" s="41">
        <v>6</v>
      </c>
      <c r="F28" s="41"/>
      <c r="G28" s="17"/>
      <c r="H28" s="17"/>
      <c r="I28" s="19"/>
      <c r="J28" s="164"/>
      <c r="K28" s="57"/>
      <c r="L28" s="57"/>
      <c r="M28" s="57"/>
      <c r="N28" s="43">
        <v>1</v>
      </c>
      <c r="O28" s="63">
        <v>2</v>
      </c>
      <c r="P28" s="59"/>
      <c r="Q28" s="44">
        <f t="shared" si="3"/>
        <v>0</v>
      </c>
      <c r="R28" s="45">
        <f t="array" ref="R28">IF(N28=0,"",EDATE(i_Date.Start,N28-1))</f>
        <v>44562</v>
      </c>
      <c r="S28" s="45">
        <f t="shared" si="4"/>
        <v>44651</v>
      </c>
    </row>
    <row r="29" spans="1:20" ht="18" thickTop="1" thickBot="1">
      <c r="D29" s="52" t="str">
        <f>IF(ISBLANK(H29),"",COUNTA(G$4:$G29))</f>
        <v/>
      </c>
      <c r="E29" s="41">
        <v>7</v>
      </c>
      <c r="F29" s="41"/>
      <c r="G29" s="17"/>
      <c r="H29" s="17"/>
      <c r="I29" s="19"/>
      <c r="J29" s="164"/>
      <c r="K29" s="57"/>
      <c r="L29" s="57"/>
      <c r="M29" s="57"/>
      <c r="N29" s="43">
        <v>1</v>
      </c>
      <c r="O29" s="63">
        <v>2</v>
      </c>
      <c r="P29" s="59"/>
      <c r="Q29" s="44">
        <f t="shared" si="3"/>
        <v>0</v>
      </c>
      <c r="R29" s="45">
        <f t="array" ref="R29">IF(N29=0,"",EDATE(i_Date.Start,N29-1))</f>
        <v>44562</v>
      </c>
      <c r="S29" s="45">
        <f t="shared" si="4"/>
        <v>44651</v>
      </c>
    </row>
    <row r="30" spans="1:20" ht="18" thickTop="1" thickBot="1">
      <c r="D30" s="52" t="str">
        <f>IF(ISBLANK(H30),"",COUNTA(G$4:$G30))</f>
        <v/>
      </c>
      <c r="E30" s="41">
        <v>8</v>
      </c>
      <c r="F30" s="41"/>
      <c r="G30" s="17"/>
      <c r="H30" s="17"/>
      <c r="I30" s="19"/>
      <c r="J30" s="164"/>
      <c r="K30" s="57"/>
      <c r="L30" s="57"/>
      <c r="M30" s="57"/>
      <c r="N30" s="43">
        <v>1</v>
      </c>
      <c r="O30" s="63">
        <v>2</v>
      </c>
      <c r="P30" s="59"/>
      <c r="Q30" s="44">
        <f t="shared" si="3"/>
        <v>0</v>
      </c>
      <c r="R30" s="45">
        <f t="array" ref="R30">IF(N30=0,"",EDATE(i_Date.Start,N30-1))</f>
        <v>44562</v>
      </c>
      <c r="S30" s="45">
        <f t="shared" si="4"/>
        <v>44651</v>
      </c>
    </row>
    <row r="31" spans="1:20" ht="18" thickTop="1" thickBot="1">
      <c r="D31" s="52" t="str">
        <f>IF(ISBLANK(H31),"",COUNTA(G$4:$G31))</f>
        <v/>
      </c>
      <c r="E31" s="41">
        <v>9</v>
      </c>
      <c r="F31" s="41"/>
      <c r="G31" s="17"/>
      <c r="H31" s="17"/>
      <c r="I31" s="19"/>
      <c r="J31" s="164"/>
      <c r="K31" s="57"/>
      <c r="L31" s="57"/>
      <c r="M31" s="57"/>
      <c r="N31" s="43">
        <v>1</v>
      </c>
      <c r="O31" s="63">
        <v>2</v>
      </c>
      <c r="P31" s="59"/>
      <c r="Q31" s="44">
        <f t="shared" si="3"/>
        <v>0</v>
      </c>
      <c r="R31" s="45">
        <f t="array" ref="R31">IF(N31=0,"",EDATE(i_Date.Start,N31-1))</f>
        <v>44562</v>
      </c>
      <c r="S31" s="45">
        <f t="shared" si="4"/>
        <v>44651</v>
      </c>
    </row>
    <row r="32" spans="1:20" ht="18" thickTop="1" thickBot="1">
      <c r="D32" s="52" t="str">
        <f>IF(ISBLANK(H32),"",COUNTA(G$4:$G32))</f>
        <v/>
      </c>
      <c r="E32" s="41">
        <v>10</v>
      </c>
      <c r="F32" s="41"/>
      <c r="G32" s="17"/>
      <c r="H32" s="17"/>
      <c r="I32" s="19"/>
      <c r="J32" s="164"/>
      <c r="K32" s="57"/>
      <c r="L32" s="57"/>
      <c r="M32" s="57"/>
      <c r="N32" s="43">
        <v>1</v>
      </c>
      <c r="O32" s="63">
        <v>2</v>
      </c>
      <c r="P32" s="59"/>
      <c r="Q32" s="44">
        <f t="shared" si="3"/>
        <v>0</v>
      </c>
      <c r="R32" s="45">
        <f t="array" ref="R32">IF(N32=0,"",EDATE(i_Date.Start,N32-1))</f>
        <v>44562</v>
      </c>
      <c r="S32" s="45">
        <f t="shared" si="4"/>
        <v>44651</v>
      </c>
    </row>
    <row r="33" ht="17" thickTop="1"/>
  </sheetData>
  <sheetProtection formatColumns="0" formatRows="0" selectLockedCells="1"/>
  <pageMargins left="0.7" right="0.7" top="0.75" bottom="0.75" header="0.3" footer="0.3"/>
  <pageSetup orientation="portrait" r:id="rId1"/>
  <picture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59CC92-E9C3-42E5-99AF-A6B001087C95}">
          <x14:formula1>
            <xm:f>_xlfn.ANCHORARRAY(DATA!$AT$11)</xm:f>
          </x14:formula1>
          <xm:sqref>G4:G32</xm:sqref>
        </x14:dataValidation>
        <x14:dataValidation type="list" allowBlank="1" showInputMessage="1" showErrorMessage="1" xr:uid="{1D1B9561-BFC0-4512-9C5D-0F2AF0AE744C}">
          <x14:formula1>
            <xm:f>_xlfn.ANCHORARRAY(DATA!$AU11)</xm:f>
          </x14:formula1>
          <xm:sqref>H4:H32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80A3-355F-4F21-AB3F-ED4BB2621307}">
  <sheetPr codeName="Sheet11"/>
  <dimension ref="A1:AE373"/>
  <sheetViews>
    <sheetView topLeftCell="B2" workbookViewId="0">
      <selection activeCell="Q25" sqref="Q25"/>
    </sheetView>
  </sheetViews>
  <sheetFormatPr baseColWidth="10" defaultColWidth="8.83203125" defaultRowHeight="14" outlineLevelRow="1" outlineLevelCol="1"/>
  <cols>
    <col min="1" max="1" width="0" hidden="1" customWidth="1"/>
    <col min="3" max="3" width="6" style="29" customWidth="1"/>
    <col min="4" max="4" width="6" style="4" customWidth="1"/>
    <col min="5" max="7" width="6" customWidth="1"/>
    <col min="8" max="8" width="7" customWidth="1"/>
    <col min="9" max="9" width="1.83203125" customWidth="1"/>
    <col min="10" max="11" width="9" customWidth="1" outlineLevel="1"/>
    <col min="12" max="14" width="4" customWidth="1" outlineLevel="1"/>
    <col min="15" max="15" width="3.5" customWidth="1"/>
    <col min="16" max="19" width="11" customWidth="1"/>
    <col min="20" max="20" width="9.83203125" customWidth="1"/>
    <col min="22" max="22" width="10.5" bestFit="1" customWidth="1"/>
    <col min="23" max="23" width="9.5" customWidth="1"/>
    <col min="24" max="24" width="12" customWidth="1"/>
    <col min="25" max="26" width="9.5" customWidth="1"/>
  </cols>
  <sheetData>
    <row r="1" spans="1:26" hidden="1">
      <c r="A1" s="71"/>
      <c r="B1" s="71"/>
      <c r="C1" s="71"/>
      <c r="D1" s="72"/>
      <c r="E1" s="70"/>
      <c r="F1" s="70"/>
      <c r="G1" s="70"/>
      <c r="H1" s="70"/>
      <c r="J1" s="70"/>
      <c r="K1" s="70"/>
      <c r="L1" s="70"/>
      <c r="M1" s="70"/>
      <c r="N1" s="70"/>
    </row>
    <row r="2" spans="1:26">
      <c r="A2" s="29"/>
      <c r="B2" s="29"/>
    </row>
    <row r="3" spans="1:26">
      <c r="A3" s="29"/>
      <c r="B3" s="29"/>
    </row>
    <row r="4" spans="1:26" ht="15" thickBot="1">
      <c r="A4" s="29"/>
      <c r="B4" s="29"/>
      <c r="P4" s="327">
        <f>'iV1'!C4</f>
        <v>1</v>
      </c>
      <c r="Q4" s="5"/>
      <c r="R4" s="329" t="str">
        <f>'iV1'!P4</f>
        <v>Development Phasing</v>
      </c>
      <c r="S4" s="5"/>
      <c r="T4" s="5"/>
      <c r="V4" s="327">
        <f>P4</f>
        <v>1</v>
      </c>
      <c r="W4" s="5"/>
      <c r="X4" s="329" t="s">
        <v>228</v>
      </c>
      <c r="Y4" s="5"/>
      <c r="Z4" s="5" t="s">
        <v>78</v>
      </c>
    </row>
    <row r="5" spans="1:26" ht="24" customHeight="1" thickTop="1" thickBot="1">
      <c r="A5" s="71"/>
      <c r="P5" s="344">
        <f>'iV1'!P5</f>
        <v>1</v>
      </c>
      <c r="Q5" s="344">
        <f>'iV1'!Q5</f>
        <v>2</v>
      </c>
      <c r="R5" s="344">
        <f>'iV1'!R5</f>
        <v>3</v>
      </c>
      <c r="S5" s="344">
        <f>'iV1'!S5</f>
        <v>4</v>
      </c>
      <c r="T5" s="345" t="s">
        <v>78</v>
      </c>
      <c r="V5" s="343" cm="1">
        <f t="array" ref="V5:Y5">TRANSPOSE(_xlfn.UNIQUE(_xlfn._xlws.FILTER('iV1'!AE8:AE32,'iV1'!AE8:AE32&lt;&gt;0)))</f>
        <v>45108</v>
      </c>
      <c r="W5" s="343">
        <v>45231</v>
      </c>
      <c r="X5" s="343">
        <v>45717</v>
      </c>
      <c r="Y5" s="343">
        <v>45992</v>
      </c>
      <c r="Z5" s="335"/>
    </row>
    <row r="6" spans="1:26" ht="15" thickTop="1">
      <c r="A6" s="71"/>
      <c r="P6" s="331">
        <f>'iV1'!P7</f>
        <v>6</v>
      </c>
      <c r="Q6" s="331">
        <f>'iV1'!Q7</f>
        <v>30</v>
      </c>
      <c r="R6" s="331">
        <f>'iV1'!R7</f>
        <v>0</v>
      </c>
      <c r="S6" s="331">
        <f>'iV1'!S7</f>
        <v>0</v>
      </c>
      <c r="T6" s="336">
        <f>MIN(P6:S6)</f>
        <v>0</v>
      </c>
      <c r="V6" s="331">
        <f>'iV1'!V7</f>
        <v>0</v>
      </c>
      <c r="W6" s="331">
        <f>'iV1'!W7</f>
        <v>0</v>
      </c>
      <c r="X6" s="331"/>
      <c r="Y6" s="331"/>
      <c r="Z6" s="336"/>
    </row>
    <row r="7" spans="1:26" ht="15" thickBot="1">
      <c r="A7" s="71"/>
      <c r="C7" s="30" t="s">
        <v>133</v>
      </c>
      <c r="D7" s="26"/>
      <c r="E7" s="5"/>
      <c r="F7" s="5"/>
      <c r="G7" s="5"/>
      <c r="H7" s="5"/>
      <c r="J7" s="30" t="s">
        <v>134</v>
      </c>
      <c r="K7" s="26"/>
      <c r="L7" s="5"/>
      <c r="M7" s="5"/>
      <c r="N7" s="5"/>
      <c r="P7" s="339">
        <f>'iV1'!P8</f>
        <v>12</v>
      </c>
      <c r="Q7" s="339">
        <f>'iV1'!Q8</f>
        <v>8</v>
      </c>
      <c r="R7" s="339">
        <f>'iV1'!R8</f>
        <v>0</v>
      </c>
      <c r="S7" s="339">
        <f>'iV1'!S8</f>
        <v>0</v>
      </c>
      <c r="T7" s="342">
        <f>T8-T6+1</f>
        <v>38</v>
      </c>
      <c r="V7" s="339">
        <f>'iV1'!V8</f>
        <v>0</v>
      </c>
      <c r="W7" s="339">
        <f>'iV1'!W8</f>
        <v>0</v>
      </c>
      <c r="X7" s="339"/>
      <c r="Y7" s="339"/>
      <c r="Z7" s="342"/>
    </row>
    <row r="8" spans="1:26" ht="16" thickTop="1" thickBot="1">
      <c r="A8" s="71"/>
      <c r="C8" s="24"/>
      <c r="D8" s="24"/>
      <c r="E8" s="24"/>
      <c r="F8" s="24"/>
      <c r="G8" s="24"/>
      <c r="H8" s="24"/>
      <c r="J8" s="99" t="str">
        <f>DATA!L8</f>
        <v>Price</v>
      </c>
      <c r="K8" s="99" t="str">
        <f>DATA!M8</f>
        <v>Cost</v>
      </c>
      <c r="L8" s="99">
        <f>DATA!N8</f>
        <v>0</v>
      </c>
      <c r="M8" s="99">
        <f>DATA!O8</f>
        <v>0</v>
      </c>
      <c r="N8" s="99">
        <f>DATA!P8</f>
        <v>0</v>
      </c>
      <c r="P8" s="340">
        <f>P6+P7-1</f>
        <v>17</v>
      </c>
      <c r="Q8" s="340">
        <f>Q6+Q7-1</f>
        <v>37</v>
      </c>
      <c r="R8" s="340">
        <f>R6+R7-1</f>
        <v>-1</v>
      </c>
      <c r="S8" s="340">
        <f>S6+S7-1</f>
        <v>-1</v>
      </c>
      <c r="T8" s="341" cm="1">
        <f t="array" ref="T8">_xlfn.XLOOKUP(LOOKUP(2,1/(T12:T371&lt;&gt;0),T12:T371),T12:T371,C12:C371)</f>
        <v>37</v>
      </c>
      <c r="V8" s="340">
        <f>V6+V7-1</f>
        <v>-1</v>
      </c>
      <c r="W8" s="340">
        <f>W6+W7-1</f>
        <v>-1</v>
      </c>
      <c r="X8" s="340"/>
      <c r="Y8" s="340"/>
      <c r="Z8" s="341"/>
    </row>
    <row r="9" spans="1:26" ht="16" thickTop="1" thickBot="1">
      <c r="A9" s="71"/>
      <c r="J9" s="83">
        <f>IFERROR(_xlfn.XLOOKUP(J$8,iGeneral!$D$25:$D$29,iGeneral!$F$25:$F$29),"")</f>
        <v>1</v>
      </c>
      <c r="K9" s="83">
        <f>IFERROR(_xlfn.XLOOKUP(K$8,iGeneral!$D$25:$D$29,iGeneral!$F$25:$F$29),"")</f>
        <v>2</v>
      </c>
      <c r="L9" s="83" t="str">
        <f>IFERROR(_xlfn.XLOOKUP(L$8,iGeneral!$D$25:$D$29,iGeneral!$F$25:$F$29),"")</f>
        <v/>
      </c>
      <c r="M9" s="83" t="str">
        <f>IFERROR(_xlfn.XLOOKUP(M$8,iGeneral!$D$25:$D$29,iGeneral!$F$25:$F$29),"")</f>
        <v/>
      </c>
      <c r="N9" s="83" t="str">
        <f>IFERROR(_xlfn.XLOOKUP(N$8,iGeneral!$D$25:$D$29,iGeneral!$F$25:$F$29),"")</f>
        <v/>
      </c>
      <c r="P9" s="332">
        <f>'iV1'!P33</f>
        <v>13000000</v>
      </c>
      <c r="Q9" s="332">
        <f>'iV1'!Q33</f>
        <v>19600000</v>
      </c>
      <c r="R9" s="332">
        <f>'iV1'!R33</f>
        <v>0</v>
      </c>
      <c r="S9" s="332">
        <f>'iV1'!S33</f>
        <v>0</v>
      </c>
      <c r="T9" s="337">
        <f>'iV1'!T33</f>
        <v>32600000</v>
      </c>
      <c r="V9" s="332">
        <f>'iV1'!V32</f>
        <v>0</v>
      </c>
      <c r="W9" s="332">
        <f>'iV1'!W32</f>
        <v>0</v>
      </c>
      <c r="X9" s="332">
        <f>'iV1'!X32</f>
        <v>25</v>
      </c>
      <c r="Y9" s="332">
        <f>'iV1'!Y32</f>
        <v>0</v>
      </c>
      <c r="Z9" s="337">
        <f>'iV1'!Z32</f>
        <v>0</v>
      </c>
    </row>
    <row r="10" spans="1:26" ht="16" thickTop="1" thickBot="1">
      <c r="A10" s="71"/>
      <c r="C10" s="86" t="s">
        <v>70</v>
      </c>
      <c r="D10" s="86" t="s">
        <v>73</v>
      </c>
      <c r="E10" s="86" t="s">
        <v>71</v>
      </c>
      <c r="F10" s="86" t="s">
        <v>86</v>
      </c>
      <c r="G10" s="86" t="s">
        <v>72</v>
      </c>
      <c r="H10" s="86" t="s">
        <v>87</v>
      </c>
      <c r="J10" s="85">
        <f>IFERROR(_xlfn.XLOOKUP(J$8,iGeneral!$D$25:$D$29,iGeneral!$E$25:$E$29),0)</f>
        <v>0.02</v>
      </c>
      <c r="K10" s="85">
        <f>IFERROR(_xlfn.XLOOKUP(K$8,iGeneral!$D$25:$D$29,iGeneral!$E$25:$E$29),0)</f>
        <v>0.01</v>
      </c>
      <c r="L10" s="85">
        <f>IFERROR(_xlfn.XLOOKUP(L$8,iGeneral!$D$25:$D$29,iGeneral!$E$25:$E$29),0)</f>
        <v>0</v>
      </c>
      <c r="M10" s="85">
        <f>IFERROR(_xlfn.XLOOKUP(M$8,iGeneral!$D$25:$D$29,iGeneral!$E$25:$E$29),0)</f>
        <v>0</v>
      </c>
      <c r="N10" s="85">
        <f>IFERROR(_xlfn.XLOOKUP(N$8,iGeneral!$D$25:$D$29,iGeneral!$E$25:$E$29),0)</f>
        <v>0</v>
      </c>
      <c r="P10" s="333">
        <f>SUM(P11:P243)</f>
        <v>13009035.304061091</v>
      </c>
      <c r="Q10" s="333">
        <f>SUM(Q11:Q243)</f>
        <v>19937604.200012017</v>
      </c>
      <c r="R10" s="333">
        <f>SUM(R11:R243)</f>
        <v>0</v>
      </c>
      <c r="S10" s="333">
        <f>SUM(S11:S243)</f>
        <v>0</v>
      </c>
      <c r="T10" s="338">
        <f>SUM(T11:T243)</f>
        <v>32946639.504073102</v>
      </c>
      <c r="V10" s="333">
        <f>SUM(V11:V243)</f>
        <v>0</v>
      </c>
      <c r="W10" s="333">
        <f>SUM(W11:W243)</f>
        <v>0</v>
      </c>
      <c r="X10" s="333">
        <f>SUM(X11:X243)</f>
        <v>0</v>
      </c>
      <c r="Y10" s="333">
        <f>SUM(Y11:Y243)</f>
        <v>0</v>
      </c>
      <c r="Z10" s="338">
        <f>SUM(Z11:Z243)</f>
        <v>0</v>
      </c>
    </row>
    <row r="11" spans="1:26" ht="16" thickTop="1" thickBot="1">
      <c r="A11" s="71"/>
      <c r="C11" s="87">
        <v>1</v>
      </c>
      <c r="D11" s="88">
        <f>i_Date.Start</f>
        <v>44562</v>
      </c>
      <c r="E11" s="87">
        <f t="shared" ref="E11:E74" si="0">INT(INT(C11+2)/3)</f>
        <v>1</v>
      </c>
      <c r="F11" s="87" t="str">
        <f t="shared" ref="F11:F74" si="1">"Q"&amp;INT((MONTH(D11)/4)+1)&amp;"-"&amp;RIGHT(YEAR(D11),2)</f>
        <v>Q1-22</v>
      </c>
      <c r="G11" s="87">
        <f>MIN(INT(YEARFRAC(D$11,D23)),30)</f>
        <v>1</v>
      </c>
      <c r="H11" s="87">
        <f t="shared" ref="H11:H74" si="2">YEAR(D11)</f>
        <v>2022</v>
      </c>
      <c r="J11" s="84">
        <f>DATA!L11</f>
        <v>1</v>
      </c>
      <c r="K11" s="84">
        <f>DATA!M11</f>
        <v>1</v>
      </c>
      <c r="L11" s="84">
        <f>DATA!N11</f>
        <v>1</v>
      </c>
      <c r="M11" s="84">
        <f>DATA!O11</f>
        <v>1</v>
      </c>
      <c r="N11" s="84">
        <f>DATA!P11</f>
        <v>1</v>
      </c>
      <c r="P11" s="330">
        <f t="shared" ref="P11:S30" si="3">IF(AND($C11&gt;=P$6,$C11&lt;=P$6+P$7-1),P$9/P$7*$K11,0)</f>
        <v>0</v>
      </c>
      <c r="Q11" s="330">
        <f t="shared" si="3"/>
        <v>0</v>
      </c>
      <c r="R11" s="330">
        <f t="shared" si="3"/>
        <v>0</v>
      </c>
      <c r="S11" s="330">
        <f t="shared" si="3"/>
        <v>0</v>
      </c>
      <c r="T11" s="334">
        <f>SUM(P11:S11)</f>
        <v>0</v>
      </c>
      <c r="V11" s="330">
        <f t="shared" ref="V11:Y30" si="4">IF(AND($C11&gt;=V$6,$C11&lt;=V$6+V$7-1),V$9/V$7*$K11,0)</f>
        <v>0</v>
      </c>
      <c r="W11" s="330">
        <f t="shared" si="4"/>
        <v>0</v>
      </c>
      <c r="X11" s="330">
        <f t="shared" si="4"/>
        <v>0</v>
      </c>
      <c r="Y11" s="330">
        <f t="shared" si="4"/>
        <v>0</v>
      </c>
      <c r="Z11" s="334">
        <f>SUM(V11:Y11)</f>
        <v>0</v>
      </c>
    </row>
    <row r="12" spans="1:26" ht="16" thickTop="1" thickBot="1">
      <c r="A12" s="71"/>
      <c r="C12" s="74">
        <f t="shared" ref="C12:C75" si="5">C11+1</f>
        <v>2</v>
      </c>
      <c r="D12" s="75">
        <f t="shared" ref="D12:D75" si="6">EOMONTH(D11,0)+1</f>
        <v>44593</v>
      </c>
      <c r="E12" s="74">
        <f t="shared" si="0"/>
        <v>1</v>
      </c>
      <c r="F12" s="74" t="str">
        <f t="shared" si="1"/>
        <v>Q1-22</v>
      </c>
      <c r="G12" s="74">
        <f t="shared" ref="G12:G75" si="7">MIN(INT(YEARFRAC(D$11,D24)),30)</f>
        <v>1</v>
      </c>
      <c r="H12" s="74">
        <f t="shared" si="2"/>
        <v>2022</v>
      </c>
      <c r="J12" s="82">
        <f>DATA!L12</f>
        <v>1.0016666666666667</v>
      </c>
      <c r="K12" s="82">
        <f>DATA!M12</f>
        <v>1</v>
      </c>
      <c r="L12" s="82">
        <f>DATA!N12</f>
        <v>1</v>
      </c>
      <c r="M12" s="82">
        <f>DATA!O12</f>
        <v>1</v>
      </c>
      <c r="N12" s="82">
        <f>DATA!P12</f>
        <v>1</v>
      </c>
      <c r="P12" s="330">
        <f t="shared" si="3"/>
        <v>0</v>
      </c>
      <c r="Q12" s="330">
        <f t="shared" si="3"/>
        <v>0</v>
      </c>
      <c r="R12" s="330">
        <f t="shared" si="3"/>
        <v>0</v>
      </c>
      <c r="S12" s="330">
        <f t="shared" si="3"/>
        <v>0</v>
      </c>
      <c r="T12" s="334">
        <f t="shared" ref="T12:T75" si="8">SUM(P12:S12)</f>
        <v>0</v>
      </c>
      <c r="V12" s="330">
        <f t="shared" si="4"/>
        <v>0</v>
      </c>
      <c r="W12" s="330">
        <f t="shared" si="4"/>
        <v>0</v>
      </c>
      <c r="X12" s="330">
        <f t="shared" si="4"/>
        <v>0</v>
      </c>
      <c r="Y12" s="330">
        <f t="shared" si="4"/>
        <v>0</v>
      </c>
      <c r="Z12" s="334">
        <f t="shared" ref="Z12:Z75" si="9">SUM(V12:Y12)</f>
        <v>0</v>
      </c>
    </row>
    <row r="13" spans="1:26" ht="16" thickTop="1" thickBot="1">
      <c r="A13" s="71"/>
      <c r="C13" s="74">
        <f t="shared" si="5"/>
        <v>3</v>
      </c>
      <c r="D13" s="75">
        <f t="shared" si="6"/>
        <v>44621</v>
      </c>
      <c r="E13" s="74">
        <f t="shared" si="0"/>
        <v>1</v>
      </c>
      <c r="F13" s="74" t="str">
        <f t="shared" si="1"/>
        <v>Q1-22</v>
      </c>
      <c r="G13" s="74">
        <f t="shared" si="7"/>
        <v>1</v>
      </c>
      <c r="H13" s="74">
        <f t="shared" si="2"/>
        <v>2022</v>
      </c>
      <c r="J13" s="82">
        <f>DATA!L13</f>
        <v>1.0033361111111112</v>
      </c>
      <c r="K13" s="82">
        <f>DATA!M13</f>
        <v>1</v>
      </c>
      <c r="L13" s="82">
        <f>DATA!N13</f>
        <v>1</v>
      </c>
      <c r="M13" s="82">
        <f>DATA!O13</f>
        <v>1</v>
      </c>
      <c r="N13" s="82">
        <f>DATA!P13</f>
        <v>1</v>
      </c>
      <c r="P13" s="330">
        <f t="shared" si="3"/>
        <v>0</v>
      </c>
      <c r="Q13" s="330">
        <f t="shared" si="3"/>
        <v>0</v>
      </c>
      <c r="R13" s="330">
        <f t="shared" si="3"/>
        <v>0</v>
      </c>
      <c r="S13" s="330">
        <f t="shared" si="3"/>
        <v>0</v>
      </c>
      <c r="T13" s="334">
        <f t="shared" si="8"/>
        <v>0</v>
      </c>
      <c r="V13" s="330">
        <f t="shared" si="4"/>
        <v>0</v>
      </c>
      <c r="W13" s="330">
        <f t="shared" si="4"/>
        <v>0</v>
      </c>
      <c r="X13" s="330">
        <f t="shared" si="4"/>
        <v>0</v>
      </c>
      <c r="Y13" s="330">
        <f t="shared" si="4"/>
        <v>0</v>
      </c>
      <c r="Z13" s="334">
        <f t="shared" si="9"/>
        <v>0</v>
      </c>
    </row>
    <row r="14" spans="1:26" ht="16" thickTop="1" thickBot="1">
      <c r="A14" s="71"/>
      <c r="C14" s="74">
        <f t="shared" si="5"/>
        <v>4</v>
      </c>
      <c r="D14" s="75">
        <f t="shared" si="6"/>
        <v>44652</v>
      </c>
      <c r="E14" s="74">
        <f t="shared" si="0"/>
        <v>2</v>
      </c>
      <c r="F14" s="74" t="str">
        <f t="shared" si="1"/>
        <v>Q2-22</v>
      </c>
      <c r="G14" s="74">
        <f t="shared" si="7"/>
        <v>1</v>
      </c>
      <c r="H14" s="74">
        <f t="shared" si="2"/>
        <v>2022</v>
      </c>
      <c r="J14" s="82">
        <f>DATA!L14</f>
        <v>1.0050083379629631</v>
      </c>
      <c r="K14" s="82">
        <f>DATA!M14</f>
        <v>1</v>
      </c>
      <c r="L14" s="82">
        <f>DATA!N14</f>
        <v>1</v>
      </c>
      <c r="M14" s="82">
        <f>DATA!O14</f>
        <v>1</v>
      </c>
      <c r="N14" s="82">
        <f>DATA!P14</f>
        <v>1</v>
      </c>
      <c r="P14" s="330">
        <f t="shared" si="3"/>
        <v>0</v>
      </c>
      <c r="Q14" s="330">
        <f t="shared" si="3"/>
        <v>0</v>
      </c>
      <c r="R14" s="330">
        <f t="shared" si="3"/>
        <v>0</v>
      </c>
      <c r="S14" s="330">
        <f t="shared" si="3"/>
        <v>0</v>
      </c>
      <c r="T14" s="334">
        <f t="shared" si="8"/>
        <v>0</v>
      </c>
      <c r="V14" s="330">
        <f t="shared" si="4"/>
        <v>0</v>
      </c>
      <c r="W14" s="330">
        <f t="shared" si="4"/>
        <v>0</v>
      </c>
      <c r="X14" s="330">
        <f t="shared" si="4"/>
        <v>0</v>
      </c>
      <c r="Y14" s="330">
        <f t="shared" si="4"/>
        <v>0</v>
      </c>
      <c r="Z14" s="334">
        <f t="shared" si="9"/>
        <v>0</v>
      </c>
    </row>
    <row r="15" spans="1:26" ht="16" thickTop="1" thickBot="1">
      <c r="A15" s="71"/>
      <c r="C15" s="74">
        <f t="shared" si="5"/>
        <v>5</v>
      </c>
      <c r="D15" s="75">
        <f t="shared" si="6"/>
        <v>44682</v>
      </c>
      <c r="E15" s="74">
        <f t="shared" si="0"/>
        <v>2</v>
      </c>
      <c r="F15" s="74" t="str">
        <f t="shared" si="1"/>
        <v>Q2-22</v>
      </c>
      <c r="G15" s="74">
        <f t="shared" si="7"/>
        <v>1</v>
      </c>
      <c r="H15" s="74">
        <f t="shared" si="2"/>
        <v>2022</v>
      </c>
      <c r="J15" s="82">
        <f>DATA!L15</f>
        <v>1.0066833518595681</v>
      </c>
      <c r="K15" s="82">
        <f>DATA!M15</f>
        <v>1</v>
      </c>
      <c r="L15" s="82">
        <f>DATA!N15</f>
        <v>1</v>
      </c>
      <c r="M15" s="82">
        <f>DATA!O15</f>
        <v>1</v>
      </c>
      <c r="N15" s="82">
        <f>DATA!P15</f>
        <v>1</v>
      </c>
      <c r="P15" s="330">
        <f t="shared" si="3"/>
        <v>0</v>
      </c>
      <c r="Q15" s="330">
        <f t="shared" si="3"/>
        <v>0</v>
      </c>
      <c r="R15" s="330">
        <f t="shared" si="3"/>
        <v>0</v>
      </c>
      <c r="S15" s="330">
        <f t="shared" si="3"/>
        <v>0</v>
      </c>
      <c r="T15" s="334">
        <f t="shared" si="8"/>
        <v>0</v>
      </c>
      <c r="V15" s="330">
        <f t="shared" si="4"/>
        <v>0</v>
      </c>
      <c r="W15" s="330">
        <f t="shared" si="4"/>
        <v>0</v>
      </c>
      <c r="X15" s="330">
        <f t="shared" si="4"/>
        <v>0</v>
      </c>
      <c r="Y15" s="330">
        <f t="shared" si="4"/>
        <v>0</v>
      </c>
      <c r="Z15" s="334">
        <f t="shared" si="9"/>
        <v>0</v>
      </c>
    </row>
    <row r="16" spans="1:26" ht="16" thickTop="1" thickBot="1">
      <c r="A16" s="71"/>
      <c r="C16" s="74">
        <f t="shared" si="5"/>
        <v>6</v>
      </c>
      <c r="D16" s="75">
        <f t="shared" si="6"/>
        <v>44713</v>
      </c>
      <c r="E16" s="74">
        <f t="shared" si="0"/>
        <v>2</v>
      </c>
      <c r="F16" s="74" t="str">
        <f t="shared" si="1"/>
        <v>Q2-22</v>
      </c>
      <c r="G16" s="74">
        <f t="shared" si="7"/>
        <v>1</v>
      </c>
      <c r="H16" s="74">
        <f t="shared" si="2"/>
        <v>2022</v>
      </c>
      <c r="J16" s="82">
        <f>DATA!L16</f>
        <v>1.0083611574460007</v>
      </c>
      <c r="K16" s="82">
        <f>DATA!M16</f>
        <v>1</v>
      </c>
      <c r="L16" s="82">
        <f>DATA!N16</f>
        <v>1</v>
      </c>
      <c r="M16" s="82">
        <f>DATA!O16</f>
        <v>1</v>
      </c>
      <c r="N16" s="82">
        <f>DATA!P16</f>
        <v>1</v>
      </c>
      <c r="P16" s="330">
        <f t="shared" si="3"/>
        <v>1083333.3333333333</v>
      </c>
      <c r="Q16" s="330">
        <f t="shared" si="3"/>
        <v>0</v>
      </c>
      <c r="R16" s="330">
        <f t="shared" si="3"/>
        <v>0</v>
      </c>
      <c r="S16" s="330">
        <f t="shared" si="3"/>
        <v>0</v>
      </c>
      <c r="T16" s="334">
        <f t="shared" si="8"/>
        <v>1083333.3333333333</v>
      </c>
      <c r="V16" s="330">
        <f t="shared" si="4"/>
        <v>0</v>
      </c>
      <c r="W16" s="330">
        <f t="shared" si="4"/>
        <v>0</v>
      </c>
      <c r="X16" s="330">
        <f t="shared" si="4"/>
        <v>0</v>
      </c>
      <c r="Y16" s="330">
        <f t="shared" si="4"/>
        <v>0</v>
      </c>
      <c r="Z16" s="334">
        <f t="shared" si="9"/>
        <v>0</v>
      </c>
    </row>
    <row r="17" spans="1:26" ht="16" thickTop="1" thickBot="1">
      <c r="A17" s="71"/>
      <c r="C17" s="74">
        <f t="shared" si="5"/>
        <v>7</v>
      </c>
      <c r="D17" s="75">
        <f t="shared" si="6"/>
        <v>44743</v>
      </c>
      <c r="E17" s="74">
        <f t="shared" si="0"/>
        <v>3</v>
      </c>
      <c r="F17" s="74" t="str">
        <f t="shared" si="1"/>
        <v>Q2-22</v>
      </c>
      <c r="G17" s="74">
        <f t="shared" si="7"/>
        <v>1</v>
      </c>
      <c r="H17" s="74">
        <f t="shared" si="2"/>
        <v>2022</v>
      </c>
      <c r="J17" s="82">
        <f>DATA!L17</f>
        <v>1.0100417593750775</v>
      </c>
      <c r="K17" s="82">
        <f>DATA!M17</f>
        <v>1</v>
      </c>
      <c r="L17" s="82">
        <f>DATA!N17</f>
        <v>1</v>
      </c>
      <c r="M17" s="82">
        <f>DATA!O17</f>
        <v>1</v>
      </c>
      <c r="N17" s="82">
        <f>DATA!P17</f>
        <v>1</v>
      </c>
      <c r="P17" s="330">
        <f t="shared" si="3"/>
        <v>1083333.3333333333</v>
      </c>
      <c r="Q17" s="330">
        <f t="shared" si="3"/>
        <v>0</v>
      </c>
      <c r="R17" s="330">
        <f t="shared" si="3"/>
        <v>0</v>
      </c>
      <c r="S17" s="330">
        <f t="shared" si="3"/>
        <v>0</v>
      </c>
      <c r="T17" s="334">
        <f t="shared" si="8"/>
        <v>1083333.3333333333</v>
      </c>
      <c r="V17" s="330">
        <f t="shared" si="4"/>
        <v>0</v>
      </c>
      <c r="W17" s="330">
        <f t="shared" si="4"/>
        <v>0</v>
      </c>
      <c r="X17" s="330">
        <f t="shared" si="4"/>
        <v>0</v>
      </c>
      <c r="Y17" s="330">
        <f t="shared" si="4"/>
        <v>0</v>
      </c>
      <c r="Z17" s="334">
        <f t="shared" si="9"/>
        <v>0</v>
      </c>
    </row>
    <row r="18" spans="1:26" ht="16" thickTop="1" thickBot="1">
      <c r="A18" s="71"/>
      <c r="C18" s="74">
        <f t="shared" si="5"/>
        <v>8</v>
      </c>
      <c r="D18" s="75">
        <f t="shared" si="6"/>
        <v>44774</v>
      </c>
      <c r="E18" s="74">
        <f t="shared" si="0"/>
        <v>3</v>
      </c>
      <c r="F18" s="74" t="str">
        <f t="shared" si="1"/>
        <v>Q3-22</v>
      </c>
      <c r="G18" s="74">
        <f t="shared" si="7"/>
        <v>1</v>
      </c>
      <c r="H18" s="74">
        <f t="shared" si="2"/>
        <v>2022</v>
      </c>
      <c r="J18" s="82">
        <f>DATA!L18</f>
        <v>1.0117251623073693</v>
      </c>
      <c r="K18" s="82">
        <f>DATA!M18</f>
        <v>1</v>
      </c>
      <c r="L18" s="82">
        <f>DATA!N18</f>
        <v>1</v>
      </c>
      <c r="M18" s="82">
        <f>DATA!O18</f>
        <v>1</v>
      </c>
      <c r="N18" s="82">
        <f>DATA!P18</f>
        <v>1</v>
      </c>
      <c r="P18" s="330">
        <f t="shared" si="3"/>
        <v>1083333.3333333333</v>
      </c>
      <c r="Q18" s="330">
        <f t="shared" si="3"/>
        <v>0</v>
      </c>
      <c r="R18" s="330">
        <f t="shared" si="3"/>
        <v>0</v>
      </c>
      <c r="S18" s="330">
        <f t="shared" si="3"/>
        <v>0</v>
      </c>
      <c r="T18" s="334">
        <f t="shared" si="8"/>
        <v>1083333.3333333333</v>
      </c>
      <c r="V18" s="330">
        <f t="shared" si="4"/>
        <v>0</v>
      </c>
      <c r="W18" s="330">
        <f t="shared" si="4"/>
        <v>0</v>
      </c>
      <c r="X18" s="330">
        <f t="shared" si="4"/>
        <v>0</v>
      </c>
      <c r="Y18" s="330">
        <f t="shared" si="4"/>
        <v>0</v>
      </c>
      <c r="Z18" s="334">
        <f t="shared" si="9"/>
        <v>0</v>
      </c>
    </row>
    <row r="19" spans="1:26" ht="16" thickTop="1" thickBot="1">
      <c r="A19" s="71"/>
      <c r="C19" s="74">
        <f t="shared" si="5"/>
        <v>9</v>
      </c>
      <c r="D19" s="75">
        <f t="shared" si="6"/>
        <v>44805</v>
      </c>
      <c r="E19" s="74">
        <f t="shared" si="0"/>
        <v>3</v>
      </c>
      <c r="F19" s="74" t="str">
        <f t="shared" si="1"/>
        <v>Q3-22</v>
      </c>
      <c r="G19" s="74">
        <f t="shared" si="7"/>
        <v>1</v>
      </c>
      <c r="H19" s="74">
        <f t="shared" si="2"/>
        <v>2022</v>
      </c>
      <c r="J19" s="82">
        <f>DATA!L19</f>
        <v>1.0134113709112149</v>
      </c>
      <c r="K19" s="82">
        <f>DATA!M19</f>
        <v>1</v>
      </c>
      <c r="L19" s="82">
        <f>DATA!N19</f>
        <v>1</v>
      </c>
      <c r="M19" s="82">
        <f>DATA!O19</f>
        <v>1</v>
      </c>
      <c r="N19" s="82">
        <f>DATA!P19</f>
        <v>1</v>
      </c>
      <c r="P19" s="330">
        <f t="shared" si="3"/>
        <v>1083333.3333333333</v>
      </c>
      <c r="Q19" s="330">
        <f t="shared" si="3"/>
        <v>0</v>
      </c>
      <c r="R19" s="330">
        <f t="shared" si="3"/>
        <v>0</v>
      </c>
      <c r="S19" s="330">
        <f t="shared" si="3"/>
        <v>0</v>
      </c>
      <c r="T19" s="334">
        <f t="shared" si="8"/>
        <v>1083333.3333333333</v>
      </c>
      <c r="V19" s="330">
        <f t="shared" si="4"/>
        <v>0</v>
      </c>
      <c r="W19" s="330">
        <f t="shared" si="4"/>
        <v>0</v>
      </c>
      <c r="X19" s="330">
        <f t="shared" si="4"/>
        <v>0</v>
      </c>
      <c r="Y19" s="330">
        <f t="shared" si="4"/>
        <v>0</v>
      </c>
      <c r="Z19" s="334">
        <f t="shared" si="9"/>
        <v>0</v>
      </c>
    </row>
    <row r="20" spans="1:26" ht="16" thickTop="1" thickBot="1">
      <c r="A20" s="71"/>
      <c r="C20" s="74">
        <f t="shared" si="5"/>
        <v>10</v>
      </c>
      <c r="D20" s="75">
        <f t="shared" si="6"/>
        <v>44835</v>
      </c>
      <c r="E20" s="74">
        <f t="shared" si="0"/>
        <v>4</v>
      </c>
      <c r="F20" s="74" t="str">
        <f t="shared" si="1"/>
        <v>Q3-22</v>
      </c>
      <c r="G20" s="74">
        <f t="shared" si="7"/>
        <v>1</v>
      </c>
      <c r="H20" s="74">
        <f t="shared" si="2"/>
        <v>2022</v>
      </c>
      <c r="J20" s="82">
        <f>DATA!L20</f>
        <v>1.0151003898627335</v>
      </c>
      <c r="K20" s="82">
        <f>DATA!M20</f>
        <v>1</v>
      </c>
      <c r="L20" s="82">
        <f>DATA!N20</f>
        <v>1</v>
      </c>
      <c r="M20" s="82">
        <f>DATA!O20</f>
        <v>1</v>
      </c>
      <c r="N20" s="82">
        <f>DATA!P20</f>
        <v>1</v>
      </c>
      <c r="P20" s="330">
        <f t="shared" si="3"/>
        <v>1083333.3333333333</v>
      </c>
      <c r="Q20" s="330">
        <f t="shared" si="3"/>
        <v>0</v>
      </c>
      <c r="R20" s="330">
        <f t="shared" si="3"/>
        <v>0</v>
      </c>
      <c r="S20" s="330">
        <f t="shared" si="3"/>
        <v>0</v>
      </c>
      <c r="T20" s="334">
        <f t="shared" si="8"/>
        <v>1083333.3333333333</v>
      </c>
      <c r="V20" s="330">
        <f t="shared" si="4"/>
        <v>0</v>
      </c>
      <c r="W20" s="330">
        <f t="shared" si="4"/>
        <v>0</v>
      </c>
      <c r="X20" s="330">
        <f t="shared" si="4"/>
        <v>0</v>
      </c>
      <c r="Y20" s="330">
        <f t="shared" si="4"/>
        <v>0</v>
      </c>
      <c r="Z20" s="334">
        <f t="shared" si="9"/>
        <v>0</v>
      </c>
    </row>
    <row r="21" spans="1:26" ht="16" thickTop="1" thickBot="1">
      <c r="A21" s="71"/>
      <c r="C21" s="74">
        <f t="shared" si="5"/>
        <v>11</v>
      </c>
      <c r="D21" s="75">
        <f t="shared" si="6"/>
        <v>44866</v>
      </c>
      <c r="E21" s="74">
        <f t="shared" si="0"/>
        <v>4</v>
      </c>
      <c r="F21" s="74" t="str">
        <f t="shared" si="1"/>
        <v>Q3-22</v>
      </c>
      <c r="G21" s="74">
        <f t="shared" si="7"/>
        <v>1</v>
      </c>
      <c r="H21" s="74">
        <f t="shared" si="2"/>
        <v>2022</v>
      </c>
      <c r="J21" s="82">
        <f>DATA!L21</f>
        <v>1.0167922238458382</v>
      </c>
      <c r="K21" s="82">
        <f>DATA!M21</f>
        <v>1</v>
      </c>
      <c r="L21" s="82">
        <f>DATA!N21</f>
        <v>1</v>
      </c>
      <c r="M21" s="82">
        <f>DATA!O21</f>
        <v>1</v>
      </c>
      <c r="N21" s="82">
        <f>DATA!P21</f>
        <v>1</v>
      </c>
      <c r="P21" s="330">
        <f t="shared" si="3"/>
        <v>1083333.3333333333</v>
      </c>
      <c r="Q21" s="330">
        <f t="shared" si="3"/>
        <v>0</v>
      </c>
      <c r="R21" s="330">
        <f t="shared" si="3"/>
        <v>0</v>
      </c>
      <c r="S21" s="330">
        <f t="shared" si="3"/>
        <v>0</v>
      </c>
      <c r="T21" s="334">
        <f t="shared" si="8"/>
        <v>1083333.3333333333</v>
      </c>
      <c r="V21" s="330">
        <f t="shared" si="4"/>
        <v>0</v>
      </c>
      <c r="W21" s="330">
        <f t="shared" si="4"/>
        <v>0</v>
      </c>
      <c r="X21" s="330">
        <f t="shared" si="4"/>
        <v>0</v>
      </c>
      <c r="Y21" s="330">
        <f t="shared" si="4"/>
        <v>0</v>
      </c>
      <c r="Z21" s="334">
        <f t="shared" si="9"/>
        <v>0</v>
      </c>
    </row>
    <row r="22" spans="1:26" ht="16" thickTop="1" thickBot="1">
      <c r="A22" s="71"/>
      <c r="C22" s="74">
        <f t="shared" si="5"/>
        <v>12</v>
      </c>
      <c r="D22" s="75">
        <f t="shared" si="6"/>
        <v>44896</v>
      </c>
      <c r="E22" s="74">
        <f t="shared" si="0"/>
        <v>4</v>
      </c>
      <c r="F22" s="74" t="str">
        <f t="shared" si="1"/>
        <v>Q4-22</v>
      </c>
      <c r="G22" s="74">
        <f t="shared" si="7"/>
        <v>1</v>
      </c>
      <c r="H22" s="74">
        <f t="shared" si="2"/>
        <v>2022</v>
      </c>
      <c r="J22" s="82">
        <f>DATA!L22</f>
        <v>1.018486877552248</v>
      </c>
      <c r="K22" s="82">
        <f>DATA!M22</f>
        <v>1</v>
      </c>
      <c r="L22" s="82">
        <f>DATA!N22</f>
        <v>1</v>
      </c>
      <c r="M22" s="82">
        <f>DATA!O22</f>
        <v>1</v>
      </c>
      <c r="N22" s="82">
        <f>DATA!P22</f>
        <v>1</v>
      </c>
      <c r="P22" s="330">
        <f t="shared" si="3"/>
        <v>1083333.3333333333</v>
      </c>
      <c r="Q22" s="330">
        <f t="shared" si="3"/>
        <v>0</v>
      </c>
      <c r="R22" s="330">
        <f t="shared" si="3"/>
        <v>0</v>
      </c>
      <c r="S22" s="330">
        <f t="shared" si="3"/>
        <v>0</v>
      </c>
      <c r="T22" s="334">
        <f t="shared" si="8"/>
        <v>1083333.3333333333</v>
      </c>
      <c r="V22" s="330">
        <f t="shared" si="4"/>
        <v>0</v>
      </c>
      <c r="W22" s="330">
        <f t="shared" si="4"/>
        <v>0</v>
      </c>
      <c r="X22" s="330">
        <f t="shared" si="4"/>
        <v>0</v>
      </c>
      <c r="Y22" s="330">
        <f t="shared" si="4"/>
        <v>0</v>
      </c>
      <c r="Z22" s="334">
        <f t="shared" si="9"/>
        <v>0</v>
      </c>
    </row>
    <row r="23" spans="1:26" ht="16" thickTop="1" thickBot="1">
      <c r="A23" s="71"/>
      <c r="C23" s="74">
        <f t="shared" si="5"/>
        <v>13</v>
      </c>
      <c r="D23" s="75">
        <f t="shared" si="6"/>
        <v>44927</v>
      </c>
      <c r="E23" s="74">
        <f t="shared" si="0"/>
        <v>5</v>
      </c>
      <c r="F23" s="74" t="str">
        <f t="shared" si="1"/>
        <v>Q1-23</v>
      </c>
      <c r="G23" s="74">
        <f t="shared" si="7"/>
        <v>2</v>
      </c>
      <c r="H23" s="74">
        <f t="shared" si="2"/>
        <v>2023</v>
      </c>
      <c r="J23" s="82">
        <f>DATA!L23</f>
        <v>1.0201843556815018</v>
      </c>
      <c r="K23" s="82">
        <f>DATA!M23</f>
        <v>1</v>
      </c>
      <c r="L23" s="82">
        <f>DATA!N23</f>
        <v>1</v>
      </c>
      <c r="M23" s="82">
        <f>DATA!O23</f>
        <v>1</v>
      </c>
      <c r="N23" s="82">
        <f>DATA!P23</f>
        <v>1</v>
      </c>
      <c r="P23" s="330">
        <f t="shared" si="3"/>
        <v>1083333.3333333333</v>
      </c>
      <c r="Q23" s="330">
        <f t="shared" si="3"/>
        <v>0</v>
      </c>
      <c r="R23" s="330">
        <f t="shared" si="3"/>
        <v>0</v>
      </c>
      <c r="S23" s="330">
        <f t="shared" si="3"/>
        <v>0</v>
      </c>
      <c r="T23" s="334">
        <f t="shared" si="8"/>
        <v>1083333.3333333333</v>
      </c>
      <c r="V23" s="330">
        <f t="shared" si="4"/>
        <v>0</v>
      </c>
      <c r="W23" s="330">
        <f t="shared" si="4"/>
        <v>0</v>
      </c>
      <c r="X23" s="330">
        <f t="shared" si="4"/>
        <v>0</v>
      </c>
      <c r="Y23" s="330">
        <f t="shared" si="4"/>
        <v>0</v>
      </c>
      <c r="Z23" s="334">
        <f t="shared" si="9"/>
        <v>0</v>
      </c>
    </row>
    <row r="24" spans="1:26" ht="16" thickTop="1" thickBot="1">
      <c r="A24" s="71"/>
      <c r="C24" s="74">
        <f t="shared" si="5"/>
        <v>14</v>
      </c>
      <c r="D24" s="75">
        <f t="shared" si="6"/>
        <v>44958</v>
      </c>
      <c r="E24" s="74">
        <f t="shared" si="0"/>
        <v>5</v>
      </c>
      <c r="F24" s="74" t="str">
        <f t="shared" si="1"/>
        <v>Q1-23</v>
      </c>
      <c r="G24" s="74">
        <f t="shared" si="7"/>
        <v>2</v>
      </c>
      <c r="H24" s="74">
        <f t="shared" si="2"/>
        <v>2023</v>
      </c>
      <c r="J24" s="82">
        <f>DATA!L24</f>
        <v>1.021884662940971</v>
      </c>
      <c r="K24" s="82">
        <f>DATA!M24</f>
        <v>1.0008333333333332</v>
      </c>
      <c r="L24" s="82">
        <f>DATA!N24</f>
        <v>1</v>
      </c>
      <c r="M24" s="82">
        <f>DATA!O24</f>
        <v>1</v>
      </c>
      <c r="N24" s="82">
        <f>DATA!P24</f>
        <v>1</v>
      </c>
      <c r="P24" s="330">
        <f t="shared" si="3"/>
        <v>1084236.111111111</v>
      </c>
      <c r="Q24" s="330">
        <f t="shared" si="3"/>
        <v>0</v>
      </c>
      <c r="R24" s="330">
        <f t="shared" si="3"/>
        <v>0</v>
      </c>
      <c r="S24" s="330">
        <f t="shared" si="3"/>
        <v>0</v>
      </c>
      <c r="T24" s="334">
        <f t="shared" si="8"/>
        <v>1084236.111111111</v>
      </c>
      <c r="V24" s="330">
        <f t="shared" si="4"/>
        <v>0</v>
      </c>
      <c r="W24" s="330">
        <f t="shared" si="4"/>
        <v>0</v>
      </c>
      <c r="X24" s="330">
        <f t="shared" si="4"/>
        <v>0</v>
      </c>
      <c r="Y24" s="330">
        <f t="shared" si="4"/>
        <v>0</v>
      </c>
      <c r="Z24" s="334">
        <f t="shared" si="9"/>
        <v>0</v>
      </c>
    </row>
    <row r="25" spans="1:26" ht="16" thickTop="1" thickBot="1">
      <c r="A25" s="71"/>
      <c r="C25" s="74">
        <f t="shared" si="5"/>
        <v>15</v>
      </c>
      <c r="D25" s="75">
        <f t="shared" si="6"/>
        <v>44986</v>
      </c>
      <c r="E25" s="74">
        <f t="shared" si="0"/>
        <v>5</v>
      </c>
      <c r="F25" s="74" t="str">
        <f t="shared" si="1"/>
        <v>Q1-23</v>
      </c>
      <c r="G25" s="74">
        <f t="shared" si="7"/>
        <v>2</v>
      </c>
      <c r="H25" s="74">
        <f t="shared" si="2"/>
        <v>2023</v>
      </c>
      <c r="J25" s="82">
        <f>DATA!L25</f>
        <v>1.0235878040458726</v>
      </c>
      <c r="K25" s="82">
        <f>DATA!M25</f>
        <v>1.0016673611111109</v>
      </c>
      <c r="L25" s="82">
        <f>DATA!N25</f>
        <v>1</v>
      </c>
      <c r="M25" s="82">
        <f>DATA!O25</f>
        <v>1</v>
      </c>
      <c r="N25" s="82">
        <f>DATA!P25</f>
        <v>1</v>
      </c>
      <c r="P25" s="330">
        <f t="shared" si="3"/>
        <v>1085139.6412037034</v>
      </c>
      <c r="Q25" s="330">
        <f t="shared" si="3"/>
        <v>0</v>
      </c>
      <c r="R25" s="330">
        <f t="shared" si="3"/>
        <v>0</v>
      </c>
      <c r="S25" s="330">
        <f t="shared" si="3"/>
        <v>0</v>
      </c>
      <c r="T25" s="334">
        <f t="shared" si="8"/>
        <v>1085139.6412037034</v>
      </c>
      <c r="V25" s="330">
        <f t="shared" si="4"/>
        <v>0</v>
      </c>
      <c r="W25" s="330">
        <f t="shared" si="4"/>
        <v>0</v>
      </c>
      <c r="X25" s="330">
        <f t="shared" si="4"/>
        <v>0</v>
      </c>
      <c r="Y25" s="330">
        <f t="shared" si="4"/>
        <v>0</v>
      </c>
      <c r="Z25" s="334">
        <f t="shared" si="9"/>
        <v>0</v>
      </c>
    </row>
    <row r="26" spans="1:26" ht="16" thickTop="1" thickBot="1">
      <c r="A26" s="71"/>
      <c r="C26" s="74">
        <f t="shared" si="5"/>
        <v>16</v>
      </c>
      <c r="D26" s="75">
        <f t="shared" si="6"/>
        <v>45017</v>
      </c>
      <c r="E26" s="74">
        <f t="shared" si="0"/>
        <v>6</v>
      </c>
      <c r="F26" s="74" t="str">
        <f t="shared" si="1"/>
        <v>Q2-23</v>
      </c>
      <c r="G26" s="74">
        <f t="shared" si="7"/>
        <v>2</v>
      </c>
      <c r="H26" s="74">
        <f t="shared" si="2"/>
        <v>2023</v>
      </c>
      <c r="J26" s="82">
        <f>DATA!L26</f>
        <v>1.0252937837192824</v>
      </c>
      <c r="K26" s="82">
        <f>DATA!M26</f>
        <v>1.0025020839120367</v>
      </c>
      <c r="L26" s="82">
        <f>DATA!N26</f>
        <v>1</v>
      </c>
      <c r="M26" s="82">
        <f>DATA!O26</f>
        <v>1</v>
      </c>
      <c r="N26" s="82">
        <f>DATA!P26</f>
        <v>1</v>
      </c>
      <c r="P26" s="330">
        <f t="shared" si="3"/>
        <v>1086043.9242380396</v>
      </c>
      <c r="Q26" s="330">
        <f t="shared" si="3"/>
        <v>0</v>
      </c>
      <c r="R26" s="330">
        <f t="shared" si="3"/>
        <v>0</v>
      </c>
      <c r="S26" s="330">
        <f t="shared" si="3"/>
        <v>0</v>
      </c>
      <c r="T26" s="334">
        <f t="shared" si="8"/>
        <v>1086043.9242380396</v>
      </c>
      <c r="V26" s="330">
        <f t="shared" si="4"/>
        <v>0</v>
      </c>
      <c r="W26" s="330">
        <f t="shared" si="4"/>
        <v>0</v>
      </c>
      <c r="X26" s="330">
        <f t="shared" si="4"/>
        <v>0</v>
      </c>
      <c r="Y26" s="330">
        <f t="shared" si="4"/>
        <v>0</v>
      </c>
      <c r="Z26" s="334">
        <f t="shared" si="9"/>
        <v>0</v>
      </c>
    </row>
    <row r="27" spans="1:26" ht="16" thickTop="1" thickBot="1">
      <c r="A27" s="71"/>
      <c r="C27" s="74">
        <f t="shared" si="5"/>
        <v>17</v>
      </c>
      <c r="D27" s="75">
        <f t="shared" si="6"/>
        <v>45047</v>
      </c>
      <c r="E27" s="74">
        <f t="shared" si="0"/>
        <v>6</v>
      </c>
      <c r="F27" s="74" t="str">
        <f t="shared" si="1"/>
        <v>Q2-23</v>
      </c>
      <c r="G27" s="74">
        <f t="shared" si="7"/>
        <v>2</v>
      </c>
      <c r="H27" s="74">
        <f t="shared" si="2"/>
        <v>2023</v>
      </c>
      <c r="J27" s="82">
        <f>DATA!L27</f>
        <v>1.0270026066921478</v>
      </c>
      <c r="K27" s="82">
        <f>DATA!M27</f>
        <v>1.0033375023152966</v>
      </c>
      <c r="L27" s="82">
        <f>DATA!N27</f>
        <v>1</v>
      </c>
      <c r="M27" s="82">
        <f>DATA!O27</f>
        <v>1</v>
      </c>
      <c r="N27" s="82">
        <f>DATA!P27</f>
        <v>1</v>
      </c>
      <c r="P27" s="330">
        <f t="shared" si="3"/>
        <v>1086948.9608415712</v>
      </c>
      <c r="Q27" s="330">
        <f t="shared" si="3"/>
        <v>0</v>
      </c>
      <c r="R27" s="330">
        <f t="shared" si="3"/>
        <v>0</v>
      </c>
      <c r="S27" s="330">
        <f t="shared" si="3"/>
        <v>0</v>
      </c>
      <c r="T27" s="334">
        <f t="shared" si="8"/>
        <v>1086948.9608415712</v>
      </c>
      <c r="V27" s="330">
        <f t="shared" si="4"/>
        <v>0</v>
      </c>
      <c r="W27" s="330">
        <f t="shared" si="4"/>
        <v>0</v>
      </c>
      <c r="X27" s="330">
        <f t="shared" si="4"/>
        <v>0</v>
      </c>
      <c r="Y27" s="330">
        <f t="shared" si="4"/>
        <v>0</v>
      </c>
      <c r="Z27" s="334">
        <f t="shared" si="9"/>
        <v>0</v>
      </c>
    </row>
    <row r="28" spans="1:26" ht="16" thickTop="1" thickBot="1">
      <c r="A28" s="71"/>
      <c r="C28" s="74">
        <f t="shared" si="5"/>
        <v>18</v>
      </c>
      <c r="D28" s="75">
        <f t="shared" si="6"/>
        <v>45078</v>
      </c>
      <c r="E28" s="74">
        <f t="shared" si="0"/>
        <v>6</v>
      </c>
      <c r="F28" s="74" t="str">
        <f t="shared" si="1"/>
        <v>Q2-23</v>
      </c>
      <c r="G28" s="74">
        <f t="shared" si="7"/>
        <v>2</v>
      </c>
      <c r="H28" s="74">
        <f t="shared" si="2"/>
        <v>2023</v>
      </c>
      <c r="J28" s="82">
        <f>DATA!L28</f>
        <v>1.0287142777033014</v>
      </c>
      <c r="K28" s="82">
        <f>DATA!M28</f>
        <v>1.0041736169005593</v>
      </c>
      <c r="L28" s="82">
        <f>DATA!N28</f>
        <v>1</v>
      </c>
      <c r="M28" s="82">
        <f>DATA!O28</f>
        <v>1</v>
      </c>
      <c r="N28" s="82">
        <f>DATA!P28</f>
        <v>1</v>
      </c>
      <c r="P28" s="330">
        <f t="shared" si="3"/>
        <v>0</v>
      </c>
      <c r="Q28" s="330">
        <f t="shared" si="3"/>
        <v>0</v>
      </c>
      <c r="R28" s="330">
        <f t="shared" si="3"/>
        <v>0</v>
      </c>
      <c r="S28" s="330">
        <f t="shared" si="3"/>
        <v>0</v>
      </c>
      <c r="T28" s="334">
        <f t="shared" si="8"/>
        <v>0</v>
      </c>
      <c r="V28" s="330">
        <f t="shared" si="4"/>
        <v>0</v>
      </c>
      <c r="W28" s="330">
        <f t="shared" si="4"/>
        <v>0</v>
      </c>
      <c r="X28" s="330">
        <f t="shared" si="4"/>
        <v>0</v>
      </c>
      <c r="Y28" s="330">
        <f t="shared" si="4"/>
        <v>0</v>
      </c>
      <c r="Z28" s="334">
        <f t="shared" si="9"/>
        <v>0</v>
      </c>
    </row>
    <row r="29" spans="1:26" ht="16" thickTop="1" thickBot="1">
      <c r="A29" s="71"/>
      <c r="C29" s="74">
        <f t="shared" si="5"/>
        <v>19</v>
      </c>
      <c r="D29" s="75">
        <f t="shared" si="6"/>
        <v>45108</v>
      </c>
      <c r="E29" s="74">
        <f t="shared" si="0"/>
        <v>7</v>
      </c>
      <c r="F29" s="74" t="str">
        <f t="shared" si="1"/>
        <v>Q2-23</v>
      </c>
      <c r="G29" s="74">
        <f t="shared" si="7"/>
        <v>2</v>
      </c>
      <c r="H29" s="74">
        <f t="shared" si="2"/>
        <v>2023</v>
      </c>
      <c r="J29" s="82">
        <f>DATA!L29</f>
        <v>1.0304288014994736</v>
      </c>
      <c r="K29" s="82">
        <f>DATA!M29</f>
        <v>1.0050104282479764</v>
      </c>
      <c r="L29" s="82">
        <f>DATA!N29</f>
        <v>1</v>
      </c>
      <c r="M29" s="82">
        <f>DATA!O29</f>
        <v>1</v>
      </c>
      <c r="N29" s="82">
        <f>DATA!P29</f>
        <v>1</v>
      </c>
      <c r="P29" s="330">
        <f t="shared" si="3"/>
        <v>0</v>
      </c>
      <c r="Q29" s="330">
        <f t="shared" si="3"/>
        <v>0</v>
      </c>
      <c r="R29" s="330">
        <f t="shared" si="3"/>
        <v>0</v>
      </c>
      <c r="S29" s="330">
        <f t="shared" si="3"/>
        <v>0</v>
      </c>
      <c r="T29" s="334">
        <f t="shared" si="8"/>
        <v>0</v>
      </c>
      <c r="V29" s="330">
        <f t="shared" si="4"/>
        <v>0</v>
      </c>
      <c r="W29" s="330">
        <f t="shared" si="4"/>
        <v>0</v>
      </c>
      <c r="X29" s="330">
        <f t="shared" si="4"/>
        <v>0</v>
      </c>
      <c r="Y29" s="330">
        <f t="shared" si="4"/>
        <v>0</v>
      </c>
      <c r="Z29" s="334">
        <f t="shared" si="9"/>
        <v>0</v>
      </c>
    </row>
    <row r="30" spans="1:26" ht="16" thickTop="1" thickBot="1">
      <c r="A30" s="71"/>
      <c r="C30" s="74">
        <f t="shared" si="5"/>
        <v>20</v>
      </c>
      <c r="D30" s="75">
        <f t="shared" si="6"/>
        <v>45139</v>
      </c>
      <c r="E30" s="74">
        <f t="shared" si="0"/>
        <v>7</v>
      </c>
      <c r="F30" s="74" t="str">
        <f t="shared" si="1"/>
        <v>Q3-23</v>
      </c>
      <c r="G30" s="74">
        <f t="shared" si="7"/>
        <v>2</v>
      </c>
      <c r="H30" s="74">
        <f t="shared" si="2"/>
        <v>2023</v>
      </c>
      <c r="J30" s="82">
        <f>DATA!L30</f>
        <v>1.032146182835306</v>
      </c>
      <c r="K30" s="82">
        <f>DATA!M30</f>
        <v>1.005847936938183</v>
      </c>
      <c r="L30" s="82">
        <f>DATA!N30</f>
        <v>1</v>
      </c>
      <c r="M30" s="82">
        <f>DATA!O30</f>
        <v>1</v>
      </c>
      <c r="N30" s="82">
        <f>DATA!P30</f>
        <v>1</v>
      </c>
      <c r="P30" s="330">
        <f t="shared" si="3"/>
        <v>0</v>
      </c>
      <c r="Q30" s="330">
        <f t="shared" si="3"/>
        <v>0</v>
      </c>
      <c r="R30" s="330">
        <f t="shared" si="3"/>
        <v>0</v>
      </c>
      <c r="S30" s="330">
        <f t="shared" si="3"/>
        <v>0</v>
      </c>
      <c r="T30" s="334">
        <f t="shared" si="8"/>
        <v>0</v>
      </c>
      <c r="V30" s="330">
        <f t="shared" si="4"/>
        <v>0</v>
      </c>
      <c r="W30" s="330">
        <f t="shared" si="4"/>
        <v>0</v>
      </c>
      <c r="X30" s="330">
        <f t="shared" si="4"/>
        <v>0</v>
      </c>
      <c r="Y30" s="330">
        <f t="shared" si="4"/>
        <v>0</v>
      </c>
      <c r="Z30" s="334">
        <f t="shared" si="9"/>
        <v>0</v>
      </c>
    </row>
    <row r="31" spans="1:26" ht="16" thickTop="1" thickBot="1">
      <c r="A31" s="71"/>
      <c r="C31" s="74">
        <f t="shared" si="5"/>
        <v>21</v>
      </c>
      <c r="D31" s="75">
        <f t="shared" si="6"/>
        <v>45170</v>
      </c>
      <c r="E31" s="74">
        <f t="shared" si="0"/>
        <v>7</v>
      </c>
      <c r="F31" s="74" t="str">
        <f t="shared" si="1"/>
        <v>Q3-23</v>
      </c>
      <c r="G31" s="74">
        <f t="shared" si="7"/>
        <v>2</v>
      </c>
      <c r="H31" s="74">
        <f t="shared" si="2"/>
        <v>2023</v>
      </c>
      <c r="J31" s="82">
        <f>DATA!L31</f>
        <v>1.0338664264733648</v>
      </c>
      <c r="K31" s="82">
        <f>DATA!M31</f>
        <v>1.006686143552298</v>
      </c>
      <c r="L31" s="82">
        <f>DATA!N31</f>
        <v>1</v>
      </c>
      <c r="M31" s="82">
        <f>DATA!O31</f>
        <v>1</v>
      </c>
      <c r="N31" s="82">
        <f>DATA!P31</f>
        <v>1</v>
      </c>
      <c r="P31" s="330">
        <f t="shared" ref="P31:S50" si="10">IF(AND($C31&gt;=P$6,$C31&lt;=P$6+P$7-1),P$9/P$7*$K31,0)</f>
        <v>0</v>
      </c>
      <c r="Q31" s="330">
        <f t="shared" si="10"/>
        <v>0</v>
      </c>
      <c r="R31" s="330">
        <f t="shared" si="10"/>
        <v>0</v>
      </c>
      <c r="S31" s="330">
        <f t="shared" si="10"/>
        <v>0</v>
      </c>
      <c r="T31" s="334">
        <f t="shared" si="8"/>
        <v>0</v>
      </c>
      <c r="V31" s="330">
        <f t="shared" ref="V31:Y50" si="11">IF(AND($C31&gt;=V$6,$C31&lt;=V$6+V$7-1),V$9/V$7*$K31,0)</f>
        <v>0</v>
      </c>
      <c r="W31" s="330">
        <f t="shared" si="11"/>
        <v>0</v>
      </c>
      <c r="X31" s="330">
        <f t="shared" si="11"/>
        <v>0</v>
      </c>
      <c r="Y31" s="330">
        <f t="shared" si="11"/>
        <v>0</v>
      </c>
      <c r="Z31" s="334">
        <f t="shared" si="9"/>
        <v>0</v>
      </c>
    </row>
    <row r="32" spans="1:26" ht="16" thickTop="1" thickBot="1">
      <c r="C32" s="74">
        <f t="shared" si="5"/>
        <v>22</v>
      </c>
      <c r="D32" s="75">
        <f t="shared" si="6"/>
        <v>45200</v>
      </c>
      <c r="E32" s="74">
        <f t="shared" si="0"/>
        <v>8</v>
      </c>
      <c r="F32" s="74" t="str">
        <f t="shared" si="1"/>
        <v>Q3-23</v>
      </c>
      <c r="G32" s="74">
        <f t="shared" si="7"/>
        <v>2</v>
      </c>
      <c r="H32" s="74">
        <f t="shared" si="2"/>
        <v>2023</v>
      </c>
      <c r="J32" s="82">
        <f>DATA!L32</f>
        <v>1.0355895371841537</v>
      </c>
      <c r="K32" s="82">
        <f>DATA!M32</f>
        <v>1.0075250486719249</v>
      </c>
      <c r="L32" s="82">
        <f>DATA!N32</f>
        <v>1</v>
      </c>
      <c r="M32" s="82">
        <f>DATA!O32</f>
        <v>1</v>
      </c>
      <c r="N32" s="82">
        <f>DATA!P32</f>
        <v>1</v>
      </c>
      <c r="P32" s="330">
        <f t="shared" si="10"/>
        <v>0</v>
      </c>
      <c r="Q32" s="330">
        <f t="shared" si="10"/>
        <v>0</v>
      </c>
      <c r="R32" s="330">
        <f t="shared" si="10"/>
        <v>0</v>
      </c>
      <c r="S32" s="330">
        <f t="shared" si="10"/>
        <v>0</v>
      </c>
      <c r="T32" s="334">
        <f t="shared" si="8"/>
        <v>0</v>
      </c>
      <c r="V32" s="330">
        <f t="shared" si="11"/>
        <v>0</v>
      </c>
      <c r="W32" s="330">
        <f t="shared" si="11"/>
        <v>0</v>
      </c>
      <c r="X32" s="330">
        <f t="shared" si="11"/>
        <v>0</v>
      </c>
      <c r="Y32" s="330">
        <f t="shared" si="11"/>
        <v>0</v>
      </c>
      <c r="Z32" s="334">
        <f t="shared" si="9"/>
        <v>0</v>
      </c>
    </row>
    <row r="33" spans="3:26" ht="16" thickTop="1" thickBot="1">
      <c r="C33" s="74">
        <f t="shared" si="5"/>
        <v>23</v>
      </c>
      <c r="D33" s="75">
        <f t="shared" si="6"/>
        <v>45231</v>
      </c>
      <c r="E33" s="74">
        <f t="shared" si="0"/>
        <v>8</v>
      </c>
      <c r="F33" s="74" t="str">
        <f t="shared" si="1"/>
        <v>Q3-23</v>
      </c>
      <c r="G33" s="74">
        <f t="shared" si="7"/>
        <v>2</v>
      </c>
      <c r="H33" s="74">
        <f t="shared" si="2"/>
        <v>2023</v>
      </c>
      <c r="J33" s="82">
        <f>DATA!L33</f>
        <v>1.0373155197461272</v>
      </c>
      <c r="K33" s="82">
        <f>DATA!M33</f>
        <v>1.0083646528791514</v>
      </c>
      <c r="L33" s="82">
        <f>DATA!N33</f>
        <v>1</v>
      </c>
      <c r="M33" s="82">
        <f>DATA!O33</f>
        <v>1</v>
      </c>
      <c r="N33" s="82">
        <f>DATA!P33</f>
        <v>1</v>
      </c>
      <c r="P33" s="330">
        <f t="shared" si="10"/>
        <v>0</v>
      </c>
      <c r="Q33" s="330">
        <f t="shared" si="10"/>
        <v>0</v>
      </c>
      <c r="R33" s="330">
        <f t="shared" si="10"/>
        <v>0</v>
      </c>
      <c r="S33" s="330">
        <f t="shared" si="10"/>
        <v>0</v>
      </c>
      <c r="T33" s="334">
        <f t="shared" si="8"/>
        <v>0</v>
      </c>
      <c r="V33" s="330">
        <f t="shared" si="11"/>
        <v>0</v>
      </c>
      <c r="W33" s="330">
        <f t="shared" si="11"/>
        <v>0</v>
      </c>
      <c r="X33" s="330">
        <f t="shared" si="11"/>
        <v>0</v>
      </c>
      <c r="Y33" s="330">
        <f t="shared" si="11"/>
        <v>0</v>
      </c>
      <c r="Z33" s="334">
        <f t="shared" si="9"/>
        <v>0</v>
      </c>
    </row>
    <row r="34" spans="3:26" ht="16" thickTop="1" thickBot="1">
      <c r="C34" s="74">
        <f t="shared" si="5"/>
        <v>24</v>
      </c>
      <c r="D34" s="75">
        <f t="shared" si="6"/>
        <v>45261</v>
      </c>
      <c r="E34" s="74">
        <f t="shared" si="0"/>
        <v>8</v>
      </c>
      <c r="F34" s="74" t="str">
        <f t="shared" si="1"/>
        <v>Q4-23</v>
      </c>
      <c r="G34" s="74">
        <f t="shared" si="7"/>
        <v>2</v>
      </c>
      <c r="H34" s="74">
        <f t="shared" si="2"/>
        <v>2023</v>
      </c>
      <c r="J34" s="82">
        <f>DATA!L34</f>
        <v>1.0390443789457042</v>
      </c>
      <c r="K34" s="82">
        <f>DATA!M34</f>
        <v>1.0092049567565506</v>
      </c>
      <c r="L34" s="82">
        <f>DATA!N34</f>
        <v>1</v>
      </c>
      <c r="M34" s="82">
        <f>DATA!O34</f>
        <v>1</v>
      </c>
      <c r="N34" s="82">
        <f>DATA!P34</f>
        <v>1</v>
      </c>
      <c r="P34" s="330">
        <f t="shared" si="10"/>
        <v>0</v>
      </c>
      <c r="Q34" s="330">
        <f t="shared" si="10"/>
        <v>0</v>
      </c>
      <c r="R34" s="330">
        <f t="shared" si="10"/>
        <v>0</v>
      </c>
      <c r="S34" s="330">
        <f t="shared" si="10"/>
        <v>0</v>
      </c>
      <c r="T34" s="334">
        <f t="shared" si="8"/>
        <v>0</v>
      </c>
      <c r="V34" s="330">
        <f t="shared" si="11"/>
        <v>0</v>
      </c>
      <c r="W34" s="330">
        <f t="shared" si="11"/>
        <v>0</v>
      </c>
      <c r="X34" s="330">
        <f t="shared" si="11"/>
        <v>0</v>
      </c>
      <c r="Y34" s="330">
        <f t="shared" si="11"/>
        <v>0</v>
      </c>
      <c r="Z34" s="334">
        <f t="shared" si="9"/>
        <v>0</v>
      </c>
    </row>
    <row r="35" spans="3:26" ht="16" thickTop="1" thickBot="1">
      <c r="C35" s="74">
        <f t="shared" si="5"/>
        <v>25</v>
      </c>
      <c r="D35" s="75">
        <f t="shared" si="6"/>
        <v>45292</v>
      </c>
      <c r="E35" s="74">
        <f t="shared" si="0"/>
        <v>9</v>
      </c>
      <c r="F35" s="74" t="str">
        <f t="shared" si="1"/>
        <v>Q1-24</v>
      </c>
      <c r="G35" s="74">
        <f t="shared" si="7"/>
        <v>3</v>
      </c>
      <c r="H35" s="74">
        <f t="shared" si="2"/>
        <v>2024</v>
      </c>
      <c r="J35" s="82">
        <f>DATA!L35</f>
        <v>1.0407761195772804</v>
      </c>
      <c r="K35" s="82">
        <f>DATA!M35</f>
        <v>1.010045960887181</v>
      </c>
      <c r="L35" s="82">
        <f>DATA!N35</f>
        <v>1</v>
      </c>
      <c r="M35" s="82">
        <f>DATA!O35</f>
        <v>1</v>
      </c>
      <c r="N35" s="82">
        <f>DATA!P35</f>
        <v>1</v>
      </c>
      <c r="P35" s="330">
        <f t="shared" si="10"/>
        <v>0</v>
      </c>
      <c r="Q35" s="330">
        <f t="shared" si="10"/>
        <v>0</v>
      </c>
      <c r="R35" s="330">
        <f t="shared" si="10"/>
        <v>0</v>
      </c>
      <c r="S35" s="330">
        <f t="shared" si="10"/>
        <v>0</v>
      </c>
      <c r="T35" s="334">
        <f t="shared" si="8"/>
        <v>0</v>
      </c>
      <c r="V35" s="330">
        <f t="shared" si="11"/>
        <v>0</v>
      </c>
      <c r="W35" s="330">
        <f t="shared" si="11"/>
        <v>0</v>
      </c>
      <c r="X35" s="330">
        <f t="shared" si="11"/>
        <v>0</v>
      </c>
      <c r="Y35" s="330">
        <f t="shared" si="11"/>
        <v>0</v>
      </c>
      <c r="Z35" s="334">
        <f t="shared" si="9"/>
        <v>0</v>
      </c>
    </row>
    <row r="36" spans="3:26" ht="16" thickTop="1" thickBot="1">
      <c r="C36" s="74">
        <f t="shared" si="5"/>
        <v>26</v>
      </c>
      <c r="D36" s="75">
        <f t="shared" si="6"/>
        <v>45323</v>
      </c>
      <c r="E36" s="74">
        <f t="shared" si="0"/>
        <v>9</v>
      </c>
      <c r="F36" s="74" t="str">
        <f t="shared" si="1"/>
        <v>Q1-24</v>
      </c>
      <c r="G36" s="74">
        <f t="shared" si="7"/>
        <v>3</v>
      </c>
      <c r="H36" s="74">
        <f t="shared" si="2"/>
        <v>2024</v>
      </c>
      <c r="J36" s="82">
        <f>DATA!L36</f>
        <v>1.0425107464432426</v>
      </c>
      <c r="K36" s="82">
        <f>DATA!M36</f>
        <v>1.0108876658545869</v>
      </c>
      <c r="L36" s="82">
        <f>DATA!N36</f>
        <v>1</v>
      </c>
      <c r="M36" s="82">
        <f>DATA!O36</f>
        <v>1</v>
      </c>
      <c r="N36" s="82">
        <f>DATA!P36</f>
        <v>1</v>
      </c>
      <c r="P36" s="330">
        <f t="shared" si="10"/>
        <v>0</v>
      </c>
      <c r="Q36" s="330">
        <f t="shared" si="10"/>
        <v>0</v>
      </c>
      <c r="R36" s="330">
        <f t="shared" si="10"/>
        <v>0</v>
      </c>
      <c r="S36" s="330">
        <f t="shared" si="10"/>
        <v>0</v>
      </c>
      <c r="T36" s="334">
        <f t="shared" si="8"/>
        <v>0</v>
      </c>
      <c r="V36" s="330">
        <f t="shared" si="11"/>
        <v>0</v>
      </c>
      <c r="W36" s="330">
        <f t="shared" si="11"/>
        <v>0</v>
      </c>
      <c r="X36" s="330">
        <f t="shared" si="11"/>
        <v>0</v>
      </c>
      <c r="Y36" s="330">
        <f t="shared" si="11"/>
        <v>0</v>
      </c>
      <c r="Z36" s="334">
        <f t="shared" si="9"/>
        <v>0</v>
      </c>
    </row>
    <row r="37" spans="3:26" ht="16" thickTop="1" thickBot="1">
      <c r="C37" s="74">
        <f t="shared" si="5"/>
        <v>27</v>
      </c>
      <c r="D37" s="75">
        <f t="shared" si="6"/>
        <v>45352</v>
      </c>
      <c r="E37" s="74">
        <f t="shared" si="0"/>
        <v>9</v>
      </c>
      <c r="F37" s="74" t="str">
        <f t="shared" si="1"/>
        <v>Q1-24</v>
      </c>
      <c r="G37" s="74">
        <f t="shared" si="7"/>
        <v>3</v>
      </c>
      <c r="H37" s="74">
        <f t="shared" si="2"/>
        <v>2024</v>
      </c>
      <c r="J37" s="82">
        <f>DATA!L37</f>
        <v>1.0442482643539814</v>
      </c>
      <c r="K37" s="82">
        <f>DATA!M37</f>
        <v>1.0117300722427989</v>
      </c>
      <c r="L37" s="82">
        <f>DATA!N37</f>
        <v>1</v>
      </c>
      <c r="M37" s="82">
        <f>DATA!O37</f>
        <v>1</v>
      </c>
      <c r="N37" s="82">
        <f>DATA!P37</f>
        <v>1</v>
      </c>
      <c r="P37" s="330">
        <f t="shared" si="10"/>
        <v>0</v>
      </c>
      <c r="Q37" s="330">
        <f t="shared" si="10"/>
        <v>0</v>
      </c>
      <c r="R37" s="330">
        <f t="shared" si="10"/>
        <v>0</v>
      </c>
      <c r="S37" s="330">
        <f t="shared" si="10"/>
        <v>0</v>
      </c>
      <c r="T37" s="334">
        <f t="shared" si="8"/>
        <v>0</v>
      </c>
      <c r="V37" s="330">
        <f t="shared" si="11"/>
        <v>0</v>
      </c>
      <c r="W37" s="330">
        <f t="shared" si="11"/>
        <v>0</v>
      </c>
      <c r="X37" s="330">
        <f t="shared" si="11"/>
        <v>0</v>
      </c>
      <c r="Y37" s="330">
        <f t="shared" si="11"/>
        <v>0</v>
      </c>
      <c r="Z37" s="334">
        <f t="shared" si="9"/>
        <v>0</v>
      </c>
    </row>
    <row r="38" spans="3:26" ht="16" thickTop="1" thickBot="1">
      <c r="C38" s="74">
        <f t="shared" si="5"/>
        <v>28</v>
      </c>
      <c r="D38" s="75">
        <f t="shared" si="6"/>
        <v>45383</v>
      </c>
      <c r="E38" s="74">
        <f t="shared" si="0"/>
        <v>10</v>
      </c>
      <c r="F38" s="74" t="str">
        <f t="shared" si="1"/>
        <v>Q2-24</v>
      </c>
      <c r="G38" s="74">
        <f t="shared" si="7"/>
        <v>3</v>
      </c>
      <c r="H38" s="74">
        <f t="shared" si="2"/>
        <v>2024</v>
      </c>
      <c r="J38" s="82">
        <f>DATA!L38</f>
        <v>1.0459886781279049</v>
      </c>
      <c r="K38" s="82">
        <f>DATA!M38</f>
        <v>1.0125731806363345</v>
      </c>
      <c r="L38" s="82">
        <f>DATA!N38</f>
        <v>1</v>
      </c>
      <c r="M38" s="82">
        <f>DATA!O38</f>
        <v>1</v>
      </c>
      <c r="N38" s="82">
        <f>DATA!P38</f>
        <v>1</v>
      </c>
      <c r="P38" s="330">
        <f t="shared" si="10"/>
        <v>0</v>
      </c>
      <c r="Q38" s="330">
        <f t="shared" si="10"/>
        <v>0</v>
      </c>
      <c r="R38" s="330">
        <f t="shared" si="10"/>
        <v>0</v>
      </c>
      <c r="S38" s="330">
        <f t="shared" si="10"/>
        <v>0</v>
      </c>
      <c r="T38" s="334">
        <f t="shared" si="8"/>
        <v>0</v>
      </c>
      <c r="V38" s="330">
        <f t="shared" si="11"/>
        <v>0</v>
      </c>
      <c r="W38" s="330">
        <f t="shared" si="11"/>
        <v>0</v>
      </c>
      <c r="X38" s="330">
        <f t="shared" si="11"/>
        <v>0</v>
      </c>
      <c r="Y38" s="330">
        <f t="shared" si="11"/>
        <v>0</v>
      </c>
      <c r="Z38" s="334">
        <f t="shared" si="9"/>
        <v>0</v>
      </c>
    </row>
    <row r="39" spans="3:26" ht="16" thickTop="1" thickBot="1">
      <c r="C39" s="74">
        <f t="shared" si="5"/>
        <v>29</v>
      </c>
      <c r="D39" s="75">
        <f t="shared" si="6"/>
        <v>45413</v>
      </c>
      <c r="E39" s="74">
        <f t="shared" si="0"/>
        <v>10</v>
      </c>
      <c r="F39" s="74" t="str">
        <f t="shared" si="1"/>
        <v>Q2-24</v>
      </c>
      <c r="G39" s="74">
        <f t="shared" si="7"/>
        <v>3</v>
      </c>
      <c r="H39" s="74">
        <f t="shared" si="2"/>
        <v>2024</v>
      </c>
      <c r="J39" s="82">
        <f>DATA!L39</f>
        <v>1.0477319925914514</v>
      </c>
      <c r="K39" s="82">
        <f>DATA!M39</f>
        <v>1.013416991620198</v>
      </c>
      <c r="L39" s="82">
        <f>DATA!N39</f>
        <v>1</v>
      </c>
      <c r="M39" s="82">
        <f>DATA!O39</f>
        <v>1</v>
      </c>
      <c r="N39" s="82">
        <f>DATA!P39</f>
        <v>1</v>
      </c>
      <c r="P39" s="330">
        <f t="shared" si="10"/>
        <v>0</v>
      </c>
      <c r="Q39" s="330">
        <f t="shared" si="10"/>
        <v>0</v>
      </c>
      <c r="R39" s="330">
        <f t="shared" si="10"/>
        <v>0</v>
      </c>
      <c r="S39" s="330">
        <f t="shared" si="10"/>
        <v>0</v>
      </c>
      <c r="T39" s="334">
        <f t="shared" si="8"/>
        <v>0</v>
      </c>
      <c r="V39" s="330">
        <f t="shared" si="11"/>
        <v>0</v>
      </c>
      <c r="W39" s="330">
        <f t="shared" si="11"/>
        <v>0</v>
      </c>
      <c r="X39" s="330">
        <f t="shared" si="11"/>
        <v>0</v>
      </c>
      <c r="Y39" s="330">
        <f t="shared" si="11"/>
        <v>0</v>
      </c>
      <c r="Z39" s="334">
        <f t="shared" si="9"/>
        <v>0</v>
      </c>
    </row>
    <row r="40" spans="3:26" ht="16" thickTop="1" thickBot="1">
      <c r="C40" s="74">
        <f t="shared" si="5"/>
        <v>30</v>
      </c>
      <c r="D40" s="75">
        <f t="shared" si="6"/>
        <v>45444</v>
      </c>
      <c r="E40" s="74">
        <f t="shared" si="0"/>
        <v>10</v>
      </c>
      <c r="F40" s="74" t="str">
        <f t="shared" si="1"/>
        <v>Q2-24</v>
      </c>
      <c r="G40" s="74">
        <f t="shared" si="7"/>
        <v>3</v>
      </c>
      <c r="H40" s="74">
        <f t="shared" si="2"/>
        <v>2024</v>
      </c>
      <c r="J40" s="82">
        <f>DATA!L40</f>
        <v>1.049478212579104</v>
      </c>
      <c r="K40" s="82">
        <f>DATA!M40</f>
        <v>1.0142615057798814</v>
      </c>
      <c r="L40" s="82">
        <f>DATA!N40</f>
        <v>1</v>
      </c>
      <c r="M40" s="82">
        <f>DATA!O40</f>
        <v>1</v>
      </c>
      <c r="N40" s="82">
        <f>DATA!P40</f>
        <v>1</v>
      </c>
      <c r="P40" s="330">
        <f t="shared" si="10"/>
        <v>0</v>
      </c>
      <c r="Q40" s="330">
        <f t="shared" si="10"/>
        <v>2484940.6891607093</v>
      </c>
      <c r="R40" s="330">
        <f t="shared" si="10"/>
        <v>0</v>
      </c>
      <c r="S40" s="330">
        <f t="shared" si="10"/>
        <v>0</v>
      </c>
      <c r="T40" s="334">
        <f t="shared" si="8"/>
        <v>2484940.6891607093</v>
      </c>
      <c r="V40" s="330">
        <f t="shared" si="11"/>
        <v>0</v>
      </c>
      <c r="W40" s="330">
        <f t="shared" si="11"/>
        <v>0</v>
      </c>
      <c r="X40" s="330">
        <f t="shared" si="11"/>
        <v>0</v>
      </c>
      <c r="Y40" s="330">
        <f t="shared" si="11"/>
        <v>0</v>
      </c>
      <c r="Z40" s="334">
        <f t="shared" si="9"/>
        <v>0</v>
      </c>
    </row>
    <row r="41" spans="3:26" ht="16" thickTop="1" thickBot="1">
      <c r="C41" s="74">
        <f t="shared" si="5"/>
        <v>31</v>
      </c>
      <c r="D41" s="75">
        <f t="shared" si="6"/>
        <v>45474</v>
      </c>
      <c r="E41" s="74">
        <f t="shared" si="0"/>
        <v>11</v>
      </c>
      <c r="F41" s="74" t="str">
        <f t="shared" si="1"/>
        <v>Q2-24</v>
      </c>
      <c r="G41" s="74">
        <f t="shared" si="7"/>
        <v>3</v>
      </c>
      <c r="H41" s="74">
        <f t="shared" si="2"/>
        <v>2024</v>
      </c>
      <c r="J41" s="82">
        <f>DATA!L41</f>
        <v>1.0512273429334025</v>
      </c>
      <c r="K41" s="82">
        <f>DATA!M41</f>
        <v>1.0151067237013645</v>
      </c>
      <c r="L41" s="82">
        <f>DATA!N41</f>
        <v>1</v>
      </c>
      <c r="M41" s="82">
        <f>DATA!O41</f>
        <v>1</v>
      </c>
      <c r="N41" s="82">
        <f>DATA!P41</f>
        <v>1</v>
      </c>
      <c r="P41" s="330">
        <f t="shared" si="10"/>
        <v>0</v>
      </c>
      <c r="Q41" s="330">
        <f t="shared" si="10"/>
        <v>2487011.473068343</v>
      </c>
      <c r="R41" s="330">
        <f t="shared" si="10"/>
        <v>0</v>
      </c>
      <c r="S41" s="330">
        <f t="shared" si="10"/>
        <v>0</v>
      </c>
      <c r="T41" s="334">
        <f t="shared" si="8"/>
        <v>2487011.473068343</v>
      </c>
      <c r="V41" s="330">
        <f t="shared" si="11"/>
        <v>0</v>
      </c>
      <c r="W41" s="330">
        <f t="shared" si="11"/>
        <v>0</v>
      </c>
      <c r="X41" s="330">
        <f t="shared" si="11"/>
        <v>0</v>
      </c>
      <c r="Y41" s="330">
        <f t="shared" si="11"/>
        <v>0</v>
      </c>
      <c r="Z41" s="334">
        <f t="shared" si="9"/>
        <v>0</v>
      </c>
    </row>
    <row r="42" spans="3:26" ht="16" thickTop="1" thickBot="1">
      <c r="C42" s="74">
        <f t="shared" si="5"/>
        <v>32</v>
      </c>
      <c r="D42" s="75">
        <f t="shared" si="6"/>
        <v>45505</v>
      </c>
      <c r="E42" s="74">
        <f t="shared" si="0"/>
        <v>11</v>
      </c>
      <c r="F42" s="74" t="str">
        <f t="shared" si="1"/>
        <v>Q3-24</v>
      </c>
      <c r="G42" s="74">
        <f t="shared" si="7"/>
        <v>3</v>
      </c>
      <c r="H42" s="74">
        <f t="shared" si="2"/>
        <v>2024</v>
      </c>
      <c r="J42" s="82">
        <f>DATA!L42</f>
        <v>1.0529793885049581</v>
      </c>
      <c r="K42" s="82">
        <f>DATA!M42</f>
        <v>1.0159526459711155</v>
      </c>
      <c r="L42" s="82">
        <f>DATA!N42</f>
        <v>1</v>
      </c>
      <c r="M42" s="82">
        <f>DATA!O42</f>
        <v>1</v>
      </c>
      <c r="N42" s="82">
        <f>DATA!P42</f>
        <v>1</v>
      </c>
      <c r="P42" s="330">
        <f t="shared" si="10"/>
        <v>0</v>
      </c>
      <c r="Q42" s="330">
        <f t="shared" si="10"/>
        <v>2489083.982629233</v>
      </c>
      <c r="R42" s="330">
        <f t="shared" si="10"/>
        <v>0</v>
      </c>
      <c r="S42" s="330">
        <f t="shared" si="10"/>
        <v>0</v>
      </c>
      <c r="T42" s="334">
        <f t="shared" si="8"/>
        <v>2489083.982629233</v>
      </c>
      <c r="V42" s="330">
        <f t="shared" si="11"/>
        <v>0</v>
      </c>
      <c r="W42" s="330">
        <f t="shared" si="11"/>
        <v>0</v>
      </c>
      <c r="X42" s="330">
        <f t="shared" si="11"/>
        <v>0</v>
      </c>
      <c r="Y42" s="330">
        <f t="shared" si="11"/>
        <v>0</v>
      </c>
      <c r="Z42" s="334">
        <f t="shared" si="9"/>
        <v>0</v>
      </c>
    </row>
    <row r="43" spans="3:26" ht="16" thickTop="1" thickBot="1">
      <c r="C43" s="74">
        <f t="shared" si="5"/>
        <v>33</v>
      </c>
      <c r="D43" s="75">
        <f t="shared" si="6"/>
        <v>45536</v>
      </c>
      <c r="E43" s="74">
        <f t="shared" si="0"/>
        <v>11</v>
      </c>
      <c r="F43" s="74" t="str">
        <f t="shared" si="1"/>
        <v>Q3-24</v>
      </c>
      <c r="G43" s="74">
        <f t="shared" si="7"/>
        <v>3</v>
      </c>
      <c r="H43" s="74">
        <f t="shared" si="2"/>
        <v>2024</v>
      </c>
      <c r="J43" s="82">
        <f>DATA!L43</f>
        <v>1.0547343541524663</v>
      </c>
      <c r="K43" s="82">
        <f>DATA!M43</f>
        <v>1.0167992731760913</v>
      </c>
      <c r="L43" s="82">
        <f>DATA!N43</f>
        <v>1</v>
      </c>
      <c r="M43" s="82">
        <f>DATA!O43</f>
        <v>1</v>
      </c>
      <c r="N43" s="82">
        <f>DATA!P43</f>
        <v>1</v>
      </c>
      <c r="P43" s="330">
        <f t="shared" si="10"/>
        <v>0</v>
      </c>
      <c r="Q43" s="330">
        <f t="shared" si="10"/>
        <v>2491158.2192814238</v>
      </c>
      <c r="R43" s="330">
        <f t="shared" si="10"/>
        <v>0</v>
      </c>
      <c r="S43" s="330">
        <f t="shared" si="10"/>
        <v>0</v>
      </c>
      <c r="T43" s="334">
        <f t="shared" si="8"/>
        <v>2491158.2192814238</v>
      </c>
      <c r="V43" s="330">
        <f t="shared" si="11"/>
        <v>0</v>
      </c>
      <c r="W43" s="330">
        <f t="shared" si="11"/>
        <v>0</v>
      </c>
      <c r="X43" s="330">
        <f t="shared" si="11"/>
        <v>0</v>
      </c>
      <c r="Y43" s="330">
        <f t="shared" si="11"/>
        <v>0</v>
      </c>
      <c r="Z43" s="334">
        <f t="shared" si="9"/>
        <v>0</v>
      </c>
    </row>
    <row r="44" spans="3:26" ht="16" thickTop="1" thickBot="1">
      <c r="C44" s="74">
        <f t="shared" si="5"/>
        <v>34</v>
      </c>
      <c r="D44" s="75">
        <f t="shared" si="6"/>
        <v>45566</v>
      </c>
      <c r="E44" s="74">
        <f t="shared" si="0"/>
        <v>12</v>
      </c>
      <c r="F44" s="74" t="str">
        <f t="shared" si="1"/>
        <v>Q3-24</v>
      </c>
      <c r="G44" s="74">
        <f t="shared" si="7"/>
        <v>3</v>
      </c>
      <c r="H44" s="74">
        <f t="shared" si="2"/>
        <v>2024</v>
      </c>
      <c r="J44" s="82">
        <f>DATA!L44</f>
        <v>1.0564922447427205</v>
      </c>
      <c r="K44" s="82">
        <f>DATA!M44</f>
        <v>1.0176466059037379</v>
      </c>
      <c r="L44" s="82">
        <f>DATA!N44</f>
        <v>1</v>
      </c>
      <c r="M44" s="82">
        <f>DATA!O44</f>
        <v>1</v>
      </c>
      <c r="N44" s="82">
        <f>DATA!P44</f>
        <v>1</v>
      </c>
      <c r="P44" s="330">
        <f t="shared" si="10"/>
        <v>0</v>
      </c>
      <c r="Q44" s="330">
        <f t="shared" si="10"/>
        <v>2493234.184464158</v>
      </c>
      <c r="R44" s="330">
        <f t="shared" si="10"/>
        <v>0</v>
      </c>
      <c r="S44" s="330">
        <f t="shared" si="10"/>
        <v>0</v>
      </c>
      <c r="T44" s="334">
        <f t="shared" si="8"/>
        <v>2493234.184464158</v>
      </c>
      <c r="V44" s="330">
        <f t="shared" si="11"/>
        <v>0</v>
      </c>
      <c r="W44" s="330">
        <f t="shared" si="11"/>
        <v>0</v>
      </c>
      <c r="X44" s="330">
        <f t="shared" si="11"/>
        <v>0</v>
      </c>
      <c r="Y44" s="330">
        <f t="shared" si="11"/>
        <v>0</v>
      </c>
      <c r="Z44" s="334">
        <f t="shared" si="9"/>
        <v>0</v>
      </c>
    </row>
    <row r="45" spans="3:26" ht="16" thickTop="1" thickBot="1">
      <c r="C45" s="74">
        <f t="shared" si="5"/>
        <v>35</v>
      </c>
      <c r="D45" s="75">
        <f t="shared" si="6"/>
        <v>45597</v>
      </c>
      <c r="E45" s="74">
        <f t="shared" si="0"/>
        <v>12</v>
      </c>
      <c r="F45" s="74" t="str">
        <f t="shared" si="1"/>
        <v>Q3-24</v>
      </c>
      <c r="G45" s="74">
        <f t="shared" si="7"/>
        <v>3</v>
      </c>
      <c r="H45" s="74">
        <f t="shared" si="2"/>
        <v>2024</v>
      </c>
      <c r="J45" s="82">
        <f>DATA!L45</f>
        <v>1.058253065150625</v>
      </c>
      <c r="K45" s="82">
        <f>DATA!M45</f>
        <v>1.0184946447419909</v>
      </c>
      <c r="L45" s="82">
        <f>DATA!N45</f>
        <v>1</v>
      </c>
      <c r="M45" s="82">
        <f>DATA!O45</f>
        <v>1</v>
      </c>
      <c r="N45" s="82">
        <f>DATA!P45</f>
        <v>1</v>
      </c>
      <c r="P45" s="330">
        <f t="shared" si="10"/>
        <v>0</v>
      </c>
      <c r="Q45" s="330">
        <f t="shared" si="10"/>
        <v>2495311.8796178778</v>
      </c>
      <c r="R45" s="330">
        <f t="shared" si="10"/>
        <v>0</v>
      </c>
      <c r="S45" s="330">
        <f t="shared" si="10"/>
        <v>0</v>
      </c>
      <c r="T45" s="334">
        <f t="shared" si="8"/>
        <v>2495311.8796178778</v>
      </c>
      <c r="V45" s="330">
        <f t="shared" si="11"/>
        <v>0</v>
      </c>
      <c r="W45" s="330">
        <f t="shared" si="11"/>
        <v>0</v>
      </c>
      <c r="X45" s="330">
        <f t="shared" si="11"/>
        <v>0</v>
      </c>
      <c r="Y45" s="330">
        <f t="shared" si="11"/>
        <v>0</v>
      </c>
      <c r="Z45" s="334">
        <f t="shared" si="9"/>
        <v>0</v>
      </c>
    </row>
    <row r="46" spans="3:26" ht="16" thickTop="1" thickBot="1">
      <c r="C46" s="74">
        <f t="shared" si="5"/>
        <v>36</v>
      </c>
      <c r="D46" s="75">
        <f t="shared" si="6"/>
        <v>45627</v>
      </c>
      <c r="E46" s="74">
        <f t="shared" si="0"/>
        <v>12</v>
      </c>
      <c r="F46" s="74" t="str">
        <f t="shared" si="1"/>
        <v>Q4-24</v>
      </c>
      <c r="G46" s="74">
        <f t="shared" si="7"/>
        <v>3</v>
      </c>
      <c r="H46" s="74">
        <f t="shared" si="2"/>
        <v>2024</v>
      </c>
      <c r="J46" s="82">
        <f>DATA!L46</f>
        <v>1.0600168202592095</v>
      </c>
      <c r="K46" s="82">
        <f>DATA!M46</f>
        <v>1.0193433902792759</v>
      </c>
      <c r="L46" s="82">
        <f>DATA!N46</f>
        <v>1</v>
      </c>
      <c r="M46" s="82">
        <f>DATA!O46</f>
        <v>1</v>
      </c>
      <c r="N46" s="82">
        <f>DATA!P46</f>
        <v>1</v>
      </c>
      <c r="P46" s="330">
        <f t="shared" si="10"/>
        <v>0</v>
      </c>
      <c r="Q46" s="330">
        <f t="shared" si="10"/>
        <v>2497391.3061842257</v>
      </c>
      <c r="R46" s="330">
        <f t="shared" si="10"/>
        <v>0</v>
      </c>
      <c r="S46" s="330">
        <f t="shared" si="10"/>
        <v>0</v>
      </c>
      <c r="T46" s="334">
        <f t="shared" si="8"/>
        <v>2497391.3061842257</v>
      </c>
      <c r="V46" s="330">
        <f t="shared" si="11"/>
        <v>0</v>
      </c>
      <c r="W46" s="330">
        <f t="shared" si="11"/>
        <v>0</v>
      </c>
      <c r="X46" s="330">
        <f t="shared" si="11"/>
        <v>0</v>
      </c>
      <c r="Y46" s="330">
        <f t="shared" si="11"/>
        <v>0</v>
      </c>
      <c r="Z46" s="334">
        <f t="shared" si="9"/>
        <v>0</v>
      </c>
    </row>
    <row r="47" spans="3:26" ht="16" thickTop="1" thickBot="1">
      <c r="C47" s="74">
        <f t="shared" si="5"/>
        <v>37</v>
      </c>
      <c r="D47" s="75">
        <f t="shared" si="6"/>
        <v>45658</v>
      </c>
      <c r="E47" s="74">
        <f t="shared" si="0"/>
        <v>13</v>
      </c>
      <c r="F47" s="74" t="str">
        <f t="shared" si="1"/>
        <v>Q1-25</v>
      </c>
      <c r="G47" s="74">
        <f t="shared" si="7"/>
        <v>4</v>
      </c>
      <c r="H47" s="74">
        <f t="shared" si="2"/>
        <v>2025</v>
      </c>
      <c r="J47" s="82">
        <f>DATA!L47</f>
        <v>1.0617835149596415</v>
      </c>
      <c r="K47" s="82">
        <f>DATA!M47</f>
        <v>1.0201928431045086</v>
      </c>
      <c r="L47" s="82">
        <f>DATA!N47</f>
        <v>1</v>
      </c>
      <c r="M47" s="82">
        <f>DATA!O47</f>
        <v>1</v>
      </c>
      <c r="N47" s="82">
        <f>DATA!P47</f>
        <v>1</v>
      </c>
      <c r="P47" s="330">
        <f t="shared" si="10"/>
        <v>0</v>
      </c>
      <c r="Q47" s="330">
        <f t="shared" si="10"/>
        <v>2499472.4656060464</v>
      </c>
      <c r="R47" s="330">
        <f t="shared" si="10"/>
        <v>0</v>
      </c>
      <c r="S47" s="330">
        <f t="shared" si="10"/>
        <v>0</v>
      </c>
      <c r="T47" s="334">
        <f t="shared" si="8"/>
        <v>2499472.4656060464</v>
      </c>
      <c r="V47" s="330">
        <f t="shared" si="11"/>
        <v>0</v>
      </c>
      <c r="W47" s="330">
        <f t="shared" si="11"/>
        <v>0</v>
      </c>
      <c r="X47" s="330">
        <f t="shared" si="11"/>
        <v>0</v>
      </c>
      <c r="Y47" s="330">
        <f t="shared" si="11"/>
        <v>0</v>
      </c>
      <c r="Z47" s="334">
        <f t="shared" si="9"/>
        <v>0</v>
      </c>
    </row>
    <row r="48" spans="3:26" ht="16" thickTop="1" thickBot="1">
      <c r="C48" s="74">
        <f t="shared" si="5"/>
        <v>38</v>
      </c>
      <c r="D48" s="75">
        <f t="shared" si="6"/>
        <v>45689</v>
      </c>
      <c r="E48" s="74">
        <f t="shared" si="0"/>
        <v>13</v>
      </c>
      <c r="F48" s="74" t="str">
        <f t="shared" si="1"/>
        <v>Q1-25</v>
      </c>
      <c r="G48" s="74">
        <f t="shared" si="7"/>
        <v>4</v>
      </c>
      <c r="H48" s="74">
        <f t="shared" si="2"/>
        <v>2025</v>
      </c>
      <c r="J48" s="82">
        <f>DATA!L48</f>
        <v>1.0635531541512409</v>
      </c>
      <c r="K48" s="82">
        <f>DATA!M48</f>
        <v>1.0210430038070957</v>
      </c>
      <c r="L48" s="82">
        <f>DATA!N48</f>
        <v>1</v>
      </c>
      <c r="M48" s="82">
        <f>DATA!O48</f>
        <v>1</v>
      </c>
      <c r="N48" s="82">
        <f>DATA!P48</f>
        <v>1</v>
      </c>
      <c r="P48" s="330">
        <f t="shared" si="10"/>
        <v>0</v>
      </c>
      <c r="Q48" s="330">
        <f t="shared" si="10"/>
        <v>0</v>
      </c>
      <c r="R48" s="330">
        <f t="shared" si="10"/>
        <v>0</v>
      </c>
      <c r="S48" s="330">
        <f t="shared" si="10"/>
        <v>0</v>
      </c>
      <c r="T48" s="334">
        <f t="shared" si="8"/>
        <v>0</v>
      </c>
      <c r="V48" s="330">
        <f t="shared" si="11"/>
        <v>0</v>
      </c>
      <c r="W48" s="330">
        <f t="shared" si="11"/>
        <v>0</v>
      </c>
      <c r="X48" s="330">
        <f t="shared" si="11"/>
        <v>0</v>
      </c>
      <c r="Y48" s="330">
        <f t="shared" si="11"/>
        <v>0</v>
      </c>
      <c r="Z48" s="334">
        <f t="shared" si="9"/>
        <v>0</v>
      </c>
    </row>
    <row r="49" spans="3:26" ht="16" thickTop="1" thickBot="1">
      <c r="C49" s="74">
        <f t="shared" si="5"/>
        <v>39</v>
      </c>
      <c r="D49" s="75">
        <f t="shared" si="6"/>
        <v>45717</v>
      </c>
      <c r="E49" s="74">
        <f t="shared" si="0"/>
        <v>13</v>
      </c>
      <c r="F49" s="74" t="str">
        <f t="shared" si="1"/>
        <v>Q1-25</v>
      </c>
      <c r="G49" s="74">
        <f t="shared" si="7"/>
        <v>4</v>
      </c>
      <c r="H49" s="74">
        <f t="shared" si="2"/>
        <v>2025</v>
      </c>
      <c r="J49" s="82">
        <f>DATA!L49</f>
        <v>1.0653257427414931</v>
      </c>
      <c r="K49" s="82">
        <f>DATA!M49</f>
        <v>1.0218938729769349</v>
      </c>
      <c r="L49" s="82">
        <f>DATA!N49</f>
        <v>1</v>
      </c>
      <c r="M49" s="82">
        <f>DATA!O49</f>
        <v>1</v>
      </c>
      <c r="N49" s="82">
        <f>DATA!P49</f>
        <v>1</v>
      </c>
      <c r="P49" s="330">
        <f t="shared" si="10"/>
        <v>0</v>
      </c>
      <c r="Q49" s="330">
        <f t="shared" si="10"/>
        <v>0</v>
      </c>
      <c r="R49" s="330">
        <f t="shared" si="10"/>
        <v>0</v>
      </c>
      <c r="S49" s="330">
        <f t="shared" si="10"/>
        <v>0</v>
      </c>
      <c r="T49" s="334">
        <f t="shared" si="8"/>
        <v>0</v>
      </c>
      <c r="V49" s="330">
        <f t="shared" si="11"/>
        <v>0</v>
      </c>
      <c r="W49" s="330">
        <f t="shared" si="11"/>
        <v>0</v>
      </c>
      <c r="X49" s="330">
        <f t="shared" si="11"/>
        <v>0</v>
      </c>
      <c r="Y49" s="330">
        <f t="shared" si="11"/>
        <v>0</v>
      </c>
      <c r="Z49" s="334">
        <f t="shared" si="9"/>
        <v>0</v>
      </c>
    </row>
    <row r="50" spans="3:26" ht="16" thickTop="1" thickBot="1">
      <c r="C50" s="74">
        <f t="shared" si="5"/>
        <v>40</v>
      </c>
      <c r="D50" s="75">
        <f t="shared" si="6"/>
        <v>45748</v>
      </c>
      <c r="E50" s="74">
        <f t="shared" si="0"/>
        <v>14</v>
      </c>
      <c r="F50" s="74" t="str">
        <f t="shared" si="1"/>
        <v>Q2-25</v>
      </c>
      <c r="G50" s="74">
        <f t="shared" si="7"/>
        <v>4</v>
      </c>
      <c r="H50" s="74">
        <f t="shared" si="2"/>
        <v>2025</v>
      </c>
      <c r="J50" s="82">
        <f>DATA!L50</f>
        <v>1.0671012856460622</v>
      </c>
      <c r="K50" s="82">
        <f>DATA!M50</f>
        <v>1.0227454512044156</v>
      </c>
      <c r="L50" s="82">
        <f>DATA!N50</f>
        <v>1</v>
      </c>
      <c r="M50" s="82">
        <f>DATA!O50</f>
        <v>1</v>
      </c>
      <c r="N50" s="82">
        <f>DATA!P50</f>
        <v>1</v>
      </c>
      <c r="P50" s="330">
        <f t="shared" si="10"/>
        <v>0</v>
      </c>
      <c r="Q50" s="330">
        <f t="shared" si="10"/>
        <v>0</v>
      </c>
      <c r="R50" s="330">
        <f t="shared" si="10"/>
        <v>0</v>
      </c>
      <c r="S50" s="330">
        <f t="shared" si="10"/>
        <v>0</v>
      </c>
      <c r="T50" s="334">
        <f t="shared" si="8"/>
        <v>0</v>
      </c>
      <c r="V50" s="330">
        <f t="shared" si="11"/>
        <v>0</v>
      </c>
      <c r="W50" s="330">
        <f t="shared" si="11"/>
        <v>0</v>
      </c>
      <c r="X50" s="330">
        <f t="shared" si="11"/>
        <v>0</v>
      </c>
      <c r="Y50" s="330">
        <f t="shared" si="11"/>
        <v>0</v>
      </c>
      <c r="Z50" s="334">
        <f t="shared" si="9"/>
        <v>0</v>
      </c>
    </row>
    <row r="51" spans="3:26" ht="16" thickTop="1" thickBot="1">
      <c r="C51" s="74">
        <f t="shared" si="5"/>
        <v>41</v>
      </c>
      <c r="D51" s="75">
        <f t="shared" si="6"/>
        <v>45778</v>
      </c>
      <c r="E51" s="74">
        <f t="shared" si="0"/>
        <v>14</v>
      </c>
      <c r="F51" s="74" t="str">
        <f t="shared" si="1"/>
        <v>Q2-25</v>
      </c>
      <c r="G51" s="74">
        <f t="shared" si="7"/>
        <v>4</v>
      </c>
      <c r="H51" s="74">
        <f t="shared" si="2"/>
        <v>2025</v>
      </c>
      <c r="J51" s="82">
        <f>DATA!L51</f>
        <v>1.0688797877888057</v>
      </c>
      <c r="K51" s="82">
        <f>DATA!M51</f>
        <v>1.0235977390804192</v>
      </c>
      <c r="L51" s="82">
        <f>DATA!N51</f>
        <v>1</v>
      </c>
      <c r="M51" s="82">
        <f>DATA!O51</f>
        <v>1</v>
      </c>
      <c r="N51" s="82">
        <f>DATA!P51</f>
        <v>1</v>
      </c>
      <c r="P51" s="330">
        <f t="shared" ref="P51:S70" si="12">IF(AND($C51&gt;=P$6,$C51&lt;=P$6+P$7-1),P$9/P$7*$K51,0)</f>
        <v>0</v>
      </c>
      <c r="Q51" s="330">
        <f t="shared" si="12"/>
        <v>0</v>
      </c>
      <c r="R51" s="330">
        <f t="shared" si="12"/>
        <v>0</v>
      </c>
      <c r="S51" s="330">
        <f t="shared" si="12"/>
        <v>0</v>
      </c>
      <c r="T51" s="334">
        <f t="shared" si="8"/>
        <v>0</v>
      </c>
      <c r="V51" s="330">
        <f t="shared" ref="V51:Y70" si="13">IF(AND($C51&gt;=V$6,$C51&lt;=V$6+V$7-1),V$9/V$7*$K51,0)</f>
        <v>0</v>
      </c>
      <c r="W51" s="330">
        <f t="shared" si="13"/>
        <v>0</v>
      </c>
      <c r="X51" s="330">
        <f t="shared" si="13"/>
        <v>0</v>
      </c>
      <c r="Y51" s="330">
        <f t="shared" si="13"/>
        <v>0</v>
      </c>
      <c r="Z51" s="334">
        <f t="shared" si="9"/>
        <v>0</v>
      </c>
    </row>
    <row r="52" spans="3:26" ht="16" thickTop="1" thickBot="1">
      <c r="C52" s="74">
        <f t="shared" si="5"/>
        <v>42</v>
      </c>
      <c r="D52" s="75">
        <f t="shared" si="6"/>
        <v>45809</v>
      </c>
      <c r="E52" s="74">
        <f t="shared" si="0"/>
        <v>14</v>
      </c>
      <c r="F52" s="74" t="str">
        <f t="shared" si="1"/>
        <v>Q2-25</v>
      </c>
      <c r="G52" s="74">
        <f t="shared" si="7"/>
        <v>4</v>
      </c>
      <c r="H52" s="74">
        <f t="shared" si="2"/>
        <v>2025</v>
      </c>
      <c r="J52" s="82">
        <f>DATA!L52</f>
        <v>1.070661254101787</v>
      </c>
      <c r="K52" s="82">
        <f>DATA!M52</f>
        <v>1.0244507371963194</v>
      </c>
      <c r="L52" s="82">
        <f>DATA!N52</f>
        <v>1</v>
      </c>
      <c r="M52" s="82">
        <f>DATA!O52</f>
        <v>1</v>
      </c>
      <c r="N52" s="82">
        <f>DATA!P52</f>
        <v>1</v>
      </c>
      <c r="P52" s="330">
        <f t="shared" si="12"/>
        <v>0</v>
      </c>
      <c r="Q52" s="330">
        <f t="shared" si="12"/>
        <v>0</v>
      </c>
      <c r="R52" s="330">
        <f t="shared" si="12"/>
        <v>0</v>
      </c>
      <c r="S52" s="330">
        <f t="shared" si="12"/>
        <v>0</v>
      </c>
      <c r="T52" s="334">
        <f t="shared" si="8"/>
        <v>0</v>
      </c>
      <c r="V52" s="330">
        <f t="shared" si="13"/>
        <v>0</v>
      </c>
      <c r="W52" s="330">
        <f t="shared" si="13"/>
        <v>0</v>
      </c>
      <c r="X52" s="330">
        <f t="shared" si="13"/>
        <v>0</v>
      </c>
      <c r="Y52" s="330">
        <f t="shared" si="13"/>
        <v>0</v>
      </c>
      <c r="Z52" s="334">
        <f t="shared" si="9"/>
        <v>0</v>
      </c>
    </row>
    <row r="53" spans="3:26" ht="16" thickTop="1" thickBot="1">
      <c r="C53" s="74">
        <f t="shared" si="5"/>
        <v>43</v>
      </c>
      <c r="D53" s="75">
        <f t="shared" si="6"/>
        <v>45839</v>
      </c>
      <c r="E53" s="74">
        <f t="shared" si="0"/>
        <v>15</v>
      </c>
      <c r="F53" s="74" t="str">
        <f t="shared" si="1"/>
        <v>Q2-25</v>
      </c>
      <c r="G53" s="74">
        <f t="shared" si="7"/>
        <v>4</v>
      </c>
      <c r="H53" s="74">
        <f t="shared" si="2"/>
        <v>2025</v>
      </c>
      <c r="J53" s="82">
        <f>DATA!L53</f>
        <v>1.0724456895252901</v>
      </c>
      <c r="K53" s="82">
        <f>DATA!M53</f>
        <v>1.0253044461439829</v>
      </c>
      <c r="L53" s="82">
        <f>DATA!N53</f>
        <v>1</v>
      </c>
      <c r="M53" s="82">
        <f>DATA!O53</f>
        <v>1</v>
      </c>
      <c r="N53" s="82">
        <f>DATA!P53</f>
        <v>1</v>
      </c>
      <c r="P53" s="330">
        <f t="shared" si="12"/>
        <v>0</v>
      </c>
      <c r="Q53" s="330">
        <f t="shared" si="12"/>
        <v>0</v>
      </c>
      <c r="R53" s="330">
        <f t="shared" si="12"/>
        <v>0</v>
      </c>
      <c r="S53" s="330">
        <f t="shared" si="12"/>
        <v>0</v>
      </c>
      <c r="T53" s="334">
        <f t="shared" si="8"/>
        <v>0</v>
      </c>
      <c r="V53" s="330">
        <f t="shared" si="13"/>
        <v>0</v>
      </c>
      <c r="W53" s="330">
        <f t="shared" si="13"/>
        <v>0</v>
      </c>
      <c r="X53" s="330">
        <f t="shared" si="13"/>
        <v>0</v>
      </c>
      <c r="Y53" s="330">
        <f t="shared" si="13"/>
        <v>0</v>
      </c>
      <c r="Z53" s="334">
        <f t="shared" si="9"/>
        <v>0</v>
      </c>
    </row>
    <row r="54" spans="3:26" ht="16" thickTop="1" thickBot="1">
      <c r="C54" s="74">
        <f t="shared" si="5"/>
        <v>44</v>
      </c>
      <c r="D54" s="75">
        <f t="shared" si="6"/>
        <v>45870</v>
      </c>
      <c r="E54" s="74">
        <f t="shared" si="0"/>
        <v>15</v>
      </c>
      <c r="F54" s="74" t="str">
        <f t="shared" si="1"/>
        <v>Q3-25</v>
      </c>
      <c r="G54" s="74">
        <f t="shared" si="7"/>
        <v>4</v>
      </c>
      <c r="H54" s="74">
        <f t="shared" si="2"/>
        <v>2025</v>
      </c>
      <c r="J54" s="82">
        <f>DATA!L54</f>
        <v>1.0742330990078324</v>
      </c>
      <c r="K54" s="82">
        <f>DATA!M54</f>
        <v>1.0261588665157695</v>
      </c>
      <c r="L54" s="82">
        <f>DATA!N54</f>
        <v>1</v>
      </c>
      <c r="M54" s="82">
        <f>DATA!O54</f>
        <v>1</v>
      </c>
      <c r="N54" s="82">
        <f>DATA!P54</f>
        <v>1</v>
      </c>
      <c r="P54" s="330">
        <f t="shared" si="12"/>
        <v>0</v>
      </c>
      <c r="Q54" s="330">
        <f t="shared" si="12"/>
        <v>0</v>
      </c>
      <c r="R54" s="330">
        <f t="shared" si="12"/>
        <v>0</v>
      </c>
      <c r="S54" s="330">
        <f t="shared" si="12"/>
        <v>0</v>
      </c>
      <c r="T54" s="334">
        <f t="shared" si="8"/>
        <v>0</v>
      </c>
      <c r="V54" s="330">
        <f t="shared" si="13"/>
        <v>0</v>
      </c>
      <c r="W54" s="330">
        <f t="shared" si="13"/>
        <v>0</v>
      </c>
      <c r="X54" s="330">
        <f t="shared" si="13"/>
        <v>0</v>
      </c>
      <c r="Y54" s="330">
        <f t="shared" si="13"/>
        <v>0</v>
      </c>
      <c r="Z54" s="334">
        <f t="shared" si="9"/>
        <v>0</v>
      </c>
    </row>
    <row r="55" spans="3:26" ht="16" thickTop="1" thickBot="1">
      <c r="C55" s="74">
        <f t="shared" si="5"/>
        <v>45</v>
      </c>
      <c r="D55" s="75">
        <f t="shared" si="6"/>
        <v>45901</v>
      </c>
      <c r="E55" s="74">
        <f t="shared" si="0"/>
        <v>15</v>
      </c>
      <c r="F55" s="74" t="str">
        <f t="shared" si="1"/>
        <v>Q3-25</v>
      </c>
      <c r="G55" s="74">
        <f t="shared" si="7"/>
        <v>4</v>
      </c>
      <c r="H55" s="74">
        <f t="shared" si="2"/>
        <v>2025</v>
      </c>
      <c r="J55" s="82">
        <f>DATA!L55</f>
        <v>1.0760234875061787</v>
      </c>
      <c r="K55" s="82">
        <f>DATA!M55</f>
        <v>1.0270139989045326</v>
      </c>
      <c r="L55" s="82">
        <f>DATA!N55</f>
        <v>1</v>
      </c>
      <c r="M55" s="82">
        <f>DATA!O55</f>
        <v>1</v>
      </c>
      <c r="N55" s="82">
        <f>DATA!P55</f>
        <v>1</v>
      </c>
      <c r="P55" s="330">
        <f t="shared" si="12"/>
        <v>0</v>
      </c>
      <c r="Q55" s="330">
        <f t="shared" si="12"/>
        <v>0</v>
      </c>
      <c r="R55" s="330">
        <f t="shared" si="12"/>
        <v>0</v>
      </c>
      <c r="S55" s="330">
        <f t="shared" si="12"/>
        <v>0</v>
      </c>
      <c r="T55" s="334">
        <f t="shared" si="8"/>
        <v>0</v>
      </c>
      <c r="V55" s="330">
        <f t="shared" si="13"/>
        <v>0</v>
      </c>
      <c r="W55" s="330">
        <f t="shared" si="13"/>
        <v>0</v>
      </c>
      <c r="X55" s="330">
        <f t="shared" si="13"/>
        <v>0</v>
      </c>
      <c r="Y55" s="330">
        <f t="shared" si="13"/>
        <v>0</v>
      </c>
      <c r="Z55" s="334">
        <f t="shared" si="9"/>
        <v>0</v>
      </c>
    </row>
    <row r="56" spans="3:26" ht="16" thickTop="1" thickBot="1">
      <c r="C56" s="74">
        <f t="shared" si="5"/>
        <v>46</v>
      </c>
      <c r="D56" s="75">
        <f t="shared" si="6"/>
        <v>45931</v>
      </c>
      <c r="E56" s="74">
        <f t="shared" si="0"/>
        <v>16</v>
      </c>
      <c r="F56" s="74" t="str">
        <f t="shared" si="1"/>
        <v>Q3-25</v>
      </c>
      <c r="G56" s="74">
        <f t="shared" si="7"/>
        <v>4</v>
      </c>
      <c r="H56" s="74">
        <f t="shared" si="2"/>
        <v>2025</v>
      </c>
      <c r="J56" s="82">
        <f>DATA!L56</f>
        <v>1.0778168599853557</v>
      </c>
      <c r="K56" s="82">
        <f>DATA!M56</f>
        <v>1.0278698439036196</v>
      </c>
      <c r="L56" s="82">
        <f>DATA!N56</f>
        <v>1</v>
      </c>
      <c r="M56" s="82">
        <f>DATA!O56</f>
        <v>1</v>
      </c>
      <c r="N56" s="82">
        <f>DATA!P56</f>
        <v>1</v>
      </c>
      <c r="P56" s="330">
        <f t="shared" si="12"/>
        <v>0</v>
      </c>
      <c r="Q56" s="330">
        <f t="shared" si="12"/>
        <v>0</v>
      </c>
      <c r="R56" s="330">
        <f t="shared" si="12"/>
        <v>0</v>
      </c>
      <c r="S56" s="330">
        <f t="shared" si="12"/>
        <v>0</v>
      </c>
      <c r="T56" s="334">
        <f t="shared" si="8"/>
        <v>0</v>
      </c>
      <c r="V56" s="330">
        <f t="shared" si="13"/>
        <v>0</v>
      </c>
      <c r="W56" s="330">
        <f t="shared" si="13"/>
        <v>0</v>
      </c>
      <c r="X56" s="330">
        <f t="shared" si="13"/>
        <v>0</v>
      </c>
      <c r="Y56" s="330">
        <f t="shared" si="13"/>
        <v>0</v>
      </c>
      <c r="Z56" s="334">
        <f t="shared" si="9"/>
        <v>0</v>
      </c>
    </row>
    <row r="57" spans="3:26" ht="16" thickTop="1" thickBot="1">
      <c r="C57" s="74">
        <f t="shared" si="5"/>
        <v>47</v>
      </c>
      <c r="D57" s="75">
        <f t="shared" si="6"/>
        <v>45962</v>
      </c>
      <c r="E57" s="74">
        <f t="shared" si="0"/>
        <v>16</v>
      </c>
      <c r="F57" s="74" t="str">
        <f t="shared" si="1"/>
        <v>Q3-25</v>
      </c>
      <c r="G57" s="74">
        <f t="shared" si="7"/>
        <v>4</v>
      </c>
      <c r="H57" s="74">
        <f t="shared" si="2"/>
        <v>2025</v>
      </c>
      <c r="J57" s="82">
        <f>DATA!L57</f>
        <v>1.0796132214186647</v>
      </c>
      <c r="K57" s="82">
        <f>DATA!M57</f>
        <v>1.0287264021068725</v>
      </c>
      <c r="L57" s="82">
        <f>DATA!N57</f>
        <v>1</v>
      </c>
      <c r="M57" s="82">
        <f>DATA!O57</f>
        <v>1</v>
      </c>
      <c r="N57" s="82">
        <f>DATA!P57</f>
        <v>1</v>
      </c>
      <c r="P57" s="330">
        <f t="shared" si="12"/>
        <v>0</v>
      </c>
      <c r="Q57" s="330">
        <f t="shared" si="12"/>
        <v>0</v>
      </c>
      <c r="R57" s="330">
        <f t="shared" si="12"/>
        <v>0</v>
      </c>
      <c r="S57" s="330">
        <f t="shared" si="12"/>
        <v>0</v>
      </c>
      <c r="T57" s="334">
        <f t="shared" si="8"/>
        <v>0</v>
      </c>
      <c r="V57" s="330">
        <f t="shared" si="13"/>
        <v>0</v>
      </c>
      <c r="W57" s="330">
        <f t="shared" si="13"/>
        <v>0</v>
      </c>
      <c r="X57" s="330">
        <f t="shared" si="13"/>
        <v>0</v>
      </c>
      <c r="Y57" s="330">
        <f t="shared" si="13"/>
        <v>0</v>
      </c>
      <c r="Z57" s="334">
        <f t="shared" si="9"/>
        <v>0</v>
      </c>
    </row>
    <row r="58" spans="3:26" ht="16" thickTop="1" thickBot="1">
      <c r="C58" s="74">
        <f t="shared" si="5"/>
        <v>48</v>
      </c>
      <c r="D58" s="75">
        <f t="shared" si="6"/>
        <v>45992</v>
      </c>
      <c r="E58" s="74">
        <f t="shared" si="0"/>
        <v>16</v>
      </c>
      <c r="F58" s="74" t="str">
        <f t="shared" si="1"/>
        <v>Q4-25</v>
      </c>
      <c r="G58" s="74">
        <f t="shared" si="7"/>
        <v>4</v>
      </c>
      <c r="H58" s="74">
        <f t="shared" si="2"/>
        <v>2025</v>
      </c>
      <c r="J58" s="82">
        <f>DATA!L58</f>
        <v>1.0814125767876959</v>
      </c>
      <c r="K58" s="82">
        <f>DATA!M58</f>
        <v>1.0295836741086282</v>
      </c>
      <c r="L58" s="82">
        <f>DATA!N58</f>
        <v>1</v>
      </c>
      <c r="M58" s="82">
        <f>DATA!O58</f>
        <v>1</v>
      </c>
      <c r="N58" s="82">
        <f>DATA!P58</f>
        <v>1</v>
      </c>
      <c r="P58" s="330">
        <f t="shared" si="12"/>
        <v>0</v>
      </c>
      <c r="Q58" s="330">
        <f t="shared" si="12"/>
        <v>0</v>
      </c>
      <c r="R58" s="330">
        <f t="shared" si="12"/>
        <v>0</v>
      </c>
      <c r="S58" s="330">
        <f t="shared" si="12"/>
        <v>0</v>
      </c>
      <c r="T58" s="334">
        <f t="shared" si="8"/>
        <v>0</v>
      </c>
      <c r="V58" s="330">
        <f t="shared" si="13"/>
        <v>0</v>
      </c>
      <c r="W58" s="330">
        <f t="shared" si="13"/>
        <v>0</v>
      </c>
      <c r="X58" s="330">
        <f t="shared" si="13"/>
        <v>0</v>
      </c>
      <c r="Y58" s="330">
        <f t="shared" si="13"/>
        <v>0</v>
      </c>
      <c r="Z58" s="334">
        <f t="shared" si="9"/>
        <v>0</v>
      </c>
    </row>
    <row r="59" spans="3:26" ht="16" thickTop="1" thickBot="1">
      <c r="C59" s="74">
        <f t="shared" si="5"/>
        <v>49</v>
      </c>
      <c r="D59" s="75">
        <f t="shared" si="6"/>
        <v>46023</v>
      </c>
      <c r="E59" s="74">
        <f t="shared" si="0"/>
        <v>17</v>
      </c>
      <c r="F59" s="74" t="str">
        <f t="shared" si="1"/>
        <v>Q1-26</v>
      </c>
      <c r="G59" s="74">
        <f t="shared" si="7"/>
        <v>5</v>
      </c>
      <c r="H59" s="74">
        <f t="shared" si="2"/>
        <v>2026</v>
      </c>
      <c r="J59" s="82">
        <f>DATA!L59</f>
        <v>1.083214931082342</v>
      </c>
      <c r="K59" s="82">
        <f>DATA!M59</f>
        <v>1.0304416605037185</v>
      </c>
      <c r="L59" s="82">
        <f>DATA!N59</f>
        <v>1</v>
      </c>
      <c r="M59" s="82">
        <f>DATA!O59</f>
        <v>1</v>
      </c>
      <c r="N59" s="82">
        <f>DATA!P59</f>
        <v>1</v>
      </c>
      <c r="P59" s="330">
        <f t="shared" si="12"/>
        <v>0</v>
      </c>
      <c r="Q59" s="330">
        <f t="shared" si="12"/>
        <v>0</v>
      </c>
      <c r="R59" s="330">
        <f t="shared" si="12"/>
        <v>0</v>
      </c>
      <c r="S59" s="330">
        <f t="shared" si="12"/>
        <v>0</v>
      </c>
      <c r="T59" s="334">
        <f t="shared" si="8"/>
        <v>0</v>
      </c>
      <c r="V59" s="330">
        <f t="shared" si="13"/>
        <v>0</v>
      </c>
      <c r="W59" s="330">
        <f t="shared" si="13"/>
        <v>0</v>
      </c>
      <c r="X59" s="330">
        <f t="shared" si="13"/>
        <v>0</v>
      </c>
      <c r="Y59" s="330">
        <f t="shared" si="13"/>
        <v>0</v>
      </c>
      <c r="Z59" s="334">
        <f t="shared" si="9"/>
        <v>0</v>
      </c>
    </row>
    <row r="60" spans="3:26" ht="16" thickTop="1" thickBot="1">
      <c r="C60" s="74">
        <f t="shared" si="5"/>
        <v>50</v>
      </c>
      <c r="D60" s="75">
        <f t="shared" si="6"/>
        <v>46054</v>
      </c>
      <c r="E60" s="74">
        <f t="shared" si="0"/>
        <v>17</v>
      </c>
      <c r="F60" s="74" t="str">
        <f t="shared" si="1"/>
        <v>Q1-26</v>
      </c>
      <c r="G60" s="74">
        <f t="shared" si="7"/>
        <v>5</v>
      </c>
      <c r="H60" s="74">
        <f t="shared" si="2"/>
        <v>2026</v>
      </c>
      <c r="J60" s="82">
        <f>DATA!L60</f>
        <v>1.0850202893008127</v>
      </c>
      <c r="K60" s="82">
        <f>DATA!M60</f>
        <v>1.0313003618874717</v>
      </c>
      <c r="L60" s="82">
        <f>DATA!N60</f>
        <v>1</v>
      </c>
      <c r="M60" s="82">
        <f>DATA!O60</f>
        <v>1</v>
      </c>
      <c r="N60" s="82">
        <f>DATA!P60</f>
        <v>1</v>
      </c>
      <c r="P60" s="330">
        <f t="shared" si="12"/>
        <v>0</v>
      </c>
      <c r="Q60" s="330">
        <f t="shared" si="12"/>
        <v>0</v>
      </c>
      <c r="R60" s="330">
        <f t="shared" si="12"/>
        <v>0</v>
      </c>
      <c r="S60" s="330">
        <f t="shared" si="12"/>
        <v>0</v>
      </c>
      <c r="T60" s="334">
        <f t="shared" si="8"/>
        <v>0</v>
      </c>
      <c r="V60" s="330">
        <f t="shared" si="13"/>
        <v>0</v>
      </c>
      <c r="W60" s="330">
        <f t="shared" si="13"/>
        <v>0</v>
      </c>
      <c r="X60" s="330">
        <f t="shared" si="13"/>
        <v>0</v>
      </c>
      <c r="Y60" s="330">
        <f t="shared" si="13"/>
        <v>0</v>
      </c>
      <c r="Z60" s="334">
        <f t="shared" si="9"/>
        <v>0</v>
      </c>
    </row>
    <row r="61" spans="3:26" ht="16" thickTop="1" thickBot="1">
      <c r="C61" s="74">
        <f t="shared" si="5"/>
        <v>51</v>
      </c>
      <c r="D61" s="75">
        <f t="shared" si="6"/>
        <v>46082</v>
      </c>
      <c r="E61" s="74">
        <f t="shared" si="0"/>
        <v>17</v>
      </c>
      <c r="F61" s="74" t="str">
        <f t="shared" si="1"/>
        <v>Q1-26</v>
      </c>
      <c r="G61" s="74">
        <f t="shared" si="7"/>
        <v>5</v>
      </c>
      <c r="H61" s="74">
        <f t="shared" si="2"/>
        <v>2026</v>
      </c>
      <c r="J61" s="82">
        <f>DATA!L61</f>
        <v>1.0868286564496474</v>
      </c>
      <c r="K61" s="82">
        <f>DATA!M61</f>
        <v>1.0321597788557111</v>
      </c>
      <c r="L61" s="82">
        <f>DATA!N61</f>
        <v>1</v>
      </c>
      <c r="M61" s="82">
        <f>DATA!O61</f>
        <v>1</v>
      </c>
      <c r="N61" s="82">
        <f>DATA!P61</f>
        <v>1</v>
      </c>
      <c r="P61" s="330">
        <f t="shared" si="12"/>
        <v>0</v>
      </c>
      <c r="Q61" s="330">
        <f t="shared" si="12"/>
        <v>0</v>
      </c>
      <c r="R61" s="330">
        <f t="shared" si="12"/>
        <v>0</v>
      </c>
      <c r="S61" s="330">
        <f t="shared" si="12"/>
        <v>0</v>
      </c>
      <c r="T61" s="334">
        <f t="shared" si="8"/>
        <v>0</v>
      </c>
      <c r="V61" s="330">
        <f t="shared" si="13"/>
        <v>0</v>
      </c>
      <c r="W61" s="330">
        <f t="shared" si="13"/>
        <v>0</v>
      </c>
      <c r="X61" s="330">
        <f t="shared" si="13"/>
        <v>0</v>
      </c>
      <c r="Y61" s="330">
        <f t="shared" si="13"/>
        <v>0</v>
      </c>
      <c r="Z61" s="334">
        <f t="shared" si="9"/>
        <v>0</v>
      </c>
    </row>
    <row r="62" spans="3:26" ht="16" thickTop="1" thickBot="1">
      <c r="C62" s="74">
        <f t="shared" si="5"/>
        <v>52</v>
      </c>
      <c r="D62" s="75">
        <f t="shared" si="6"/>
        <v>46113</v>
      </c>
      <c r="E62" s="74">
        <f t="shared" si="0"/>
        <v>18</v>
      </c>
      <c r="F62" s="74" t="str">
        <f t="shared" si="1"/>
        <v>Q2-26</v>
      </c>
      <c r="G62" s="74">
        <f t="shared" si="7"/>
        <v>5</v>
      </c>
      <c r="H62" s="74">
        <f t="shared" si="2"/>
        <v>2026</v>
      </c>
      <c r="J62" s="82">
        <f>DATA!L62</f>
        <v>1.0886400375437302</v>
      </c>
      <c r="K62" s="82">
        <f>DATA!M62</f>
        <v>1.0330199120047574</v>
      </c>
      <c r="L62" s="82">
        <f>DATA!N62</f>
        <v>1</v>
      </c>
      <c r="M62" s="82">
        <f>DATA!O62</f>
        <v>1</v>
      </c>
      <c r="N62" s="82">
        <f>DATA!P62</f>
        <v>1</v>
      </c>
      <c r="P62" s="330">
        <f t="shared" si="12"/>
        <v>0</v>
      </c>
      <c r="Q62" s="330">
        <f t="shared" si="12"/>
        <v>0</v>
      </c>
      <c r="R62" s="330">
        <f t="shared" si="12"/>
        <v>0</v>
      </c>
      <c r="S62" s="330">
        <f t="shared" si="12"/>
        <v>0</v>
      </c>
      <c r="T62" s="334">
        <f t="shared" si="8"/>
        <v>0</v>
      </c>
      <c r="V62" s="330">
        <f t="shared" si="13"/>
        <v>0</v>
      </c>
      <c r="W62" s="330">
        <f t="shared" si="13"/>
        <v>0</v>
      </c>
      <c r="X62" s="330">
        <f t="shared" si="13"/>
        <v>0</v>
      </c>
      <c r="Y62" s="330">
        <f t="shared" si="13"/>
        <v>0</v>
      </c>
      <c r="Z62" s="334">
        <f t="shared" si="9"/>
        <v>0</v>
      </c>
    </row>
    <row r="63" spans="3:26" ht="16" thickTop="1" thickBot="1">
      <c r="C63" s="74">
        <f t="shared" si="5"/>
        <v>53</v>
      </c>
      <c r="D63" s="75">
        <f t="shared" si="6"/>
        <v>46143</v>
      </c>
      <c r="E63" s="74">
        <f t="shared" si="0"/>
        <v>18</v>
      </c>
      <c r="F63" s="74" t="str">
        <f t="shared" si="1"/>
        <v>Q2-26</v>
      </c>
      <c r="G63" s="74">
        <f t="shared" si="7"/>
        <v>5</v>
      </c>
      <c r="H63" s="74">
        <f t="shared" si="2"/>
        <v>2026</v>
      </c>
      <c r="J63" s="82">
        <f>DATA!L63</f>
        <v>1.090454437606303</v>
      </c>
      <c r="K63" s="82">
        <f>DATA!M63</f>
        <v>1.0338807619314279</v>
      </c>
      <c r="L63" s="82">
        <f>DATA!N63</f>
        <v>1</v>
      </c>
      <c r="M63" s="82">
        <f>DATA!O63</f>
        <v>1</v>
      </c>
      <c r="N63" s="82">
        <f>DATA!P63</f>
        <v>1</v>
      </c>
      <c r="P63" s="330">
        <f t="shared" si="12"/>
        <v>0</v>
      </c>
      <c r="Q63" s="330">
        <f t="shared" si="12"/>
        <v>0</v>
      </c>
      <c r="R63" s="330">
        <f t="shared" si="12"/>
        <v>0</v>
      </c>
      <c r="S63" s="330">
        <f t="shared" si="12"/>
        <v>0</v>
      </c>
      <c r="T63" s="334">
        <f t="shared" si="8"/>
        <v>0</v>
      </c>
      <c r="V63" s="330">
        <f t="shared" si="13"/>
        <v>0</v>
      </c>
      <c r="W63" s="330">
        <f t="shared" si="13"/>
        <v>0</v>
      </c>
      <c r="X63" s="330">
        <f t="shared" si="13"/>
        <v>0</v>
      </c>
      <c r="Y63" s="330">
        <f t="shared" si="13"/>
        <v>0</v>
      </c>
      <c r="Z63" s="334">
        <f t="shared" si="9"/>
        <v>0</v>
      </c>
    </row>
    <row r="64" spans="3:26" ht="16" thickTop="1" thickBot="1">
      <c r="C64" s="74">
        <f t="shared" si="5"/>
        <v>54</v>
      </c>
      <c r="D64" s="75">
        <f t="shared" si="6"/>
        <v>46174</v>
      </c>
      <c r="E64" s="74">
        <f t="shared" si="0"/>
        <v>18</v>
      </c>
      <c r="F64" s="74" t="str">
        <f t="shared" si="1"/>
        <v>Q2-26</v>
      </c>
      <c r="G64" s="74">
        <f t="shared" si="7"/>
        <v>5</v>
      </c>
      <c r="H64" s="74">
        <f t="shared" si="2"/>
        <v>2026</v>
      </c>
      <c r="J64" s="82">
        <f>DATA!L64</f>
        <v>1.0922718616689802</v>
      </c>
      <c r="K64" s="82">
        <f>DATA!M64</f>
        <v>1.0347423292330373</v>
      </c>
      <c r="L64" s="82">
        <f>DATA!N64</f>
        <v>1</v>
      </c>
      <c r="M64" s="82">
        <f>DATA!O64</f>
        <v>1</v>
      </c>
      <c r="N64" s="82">
        <f>DATA!P64</f>
        <v>1</v>
      </c>
      <c r="P64" s="330">
        <f t="shared" si="12"/>
        <v>0</v>
      </c>
      <c r="Q64" s="330">
        <f t="shared" si="12"/>
        <v>0</v>
      </c>
      <c r="R64" s="330">
        <f t="shared" si="12"/>
        <v>0</v>
      </c>
      <c r="S64" s="330">
        <f t="shared" si="12"/>
        <v>0</v>
      </c>
      <c r="T64" s="334">
        <f t="shared" si="8"/>
        <v>0</v>
      </c>
      <c r="V64" s="330">
        <f t="shared" si="13"/>
        <v>0</v>
      </c>
      <c r="W64" s="330">
        <f t="shared" si="13"/>
        <v>0</v>
      </c>
      <c r="X64" s="330">
        <f t="shared" si="13"/>
        <v>0</v>
      </c>
      <c r="Y64" s="330">
        <f t="shared" si="13"/>
        <v>0</v>
      </c>
      <c r="Z64" s="334">
        <f t="shared" si="9"/>
        <v>0</v>
      </c>
    </row>
    <row r="65" spans="3:26" ht="16" thickTop="1" thickBot="1">
      <c r="C65" s="74">
        <f t="shared" si="5"/>
        <v>55</v>
      </c>
      <c r="D65" s="75">
        <f t="shared" si="6"/>
        <v>46204</v>
      </c>
      <c r="E65" s="74">
        <f t="shared" si="0"/>
        <v>19</v>
      </c>
      <c r="F65" s="74" t="str">
        <f t="shared" si="1"/>
        <v>Q2-26</v>
      </c>
      <c r="G65" s="74">
        <f t="shared" si="7"/>
        <v>5</v>
      </c>
      <c r="H65" s="74">
        <f t="shared" si="2"/>
        <v>2026</v>
      </c>
      <c r="J65" s="82">
        <f>DATA!L65</f>
        <v>1.0940923147717618</v>
      </c>
      <c r="K65" s="82">
        <f>DATA!M65</f>
        <v>1.035604614507398</v>
      </c>
      <c r="L65" s="82">
        <f>DATA!N65</f>
        <v>1</v>
      </c>
      <c r="M65" s="82">
        <f>DATA!O65</f>
        <v>1</v>
      </c>
      <c r="N65" s="82">
        <f>DATA!P65</f>
        <v>1</v>
      </c>
      <c r="P65" s="330">
        <f t="shared" si="12"/>
        <v>0</v>
      </c>
      <c r="Q65" s="330">
        <f t="shared" si="12"/>
        <v>0</v>
      </c>
      <c r="R65" s="330">
        <f t="shared" si="12"/>
        <v>0</v>
      </c>
      <c r="S65" s="330">
        <f t="shared" si="12"/>
        <v>0</v>
      </c>
      <c r="T65" s="334">
        <f t="shared" si="8"/>
        <v>0</v>
      </c>
      <c r="V65" s="330">
        <f t="shared" si="13"/>
        <v>0</v>
      </c>
      <c r="W65" s="330">
        <f t="shared" si="13"/>
        <v>0</v>
      </c>
      <c r="X65" s="330">
        <f t="shared" si="13"/>
        <v>0</v>
      </c>
      <c r="Y65" s="330">
        <f t="shared" si="13"/>
        <v>0</v>
      </c>
      <c r="Z65" s="334">
        <f t="shared" si="9"/>
        <v>0</v>
      </c>
    </row>
    <row r="66" spans="3:26" ht="16" thickTop="1" thickBot="1">
      <c r="C66" s="74">
        <f t="shared" si="5"/>
        <v>56</v>
      </c>
      <c r="D66" s="75">
        <f t="shared" si="6"/>
        <v>46235</v>
      </c>
      <c r="E66" s="74">
        <f t="shared" si="0"/>
        <v>19</v>
      </c>
      <c r="F66" s="74" t="str">
        <f t="shared" si="1"/>
        <v>Q3-26</v>
      </c>
      <c r="G66" s="74">
        <f t="shared" si="7"/>
        <v>5</v>
      </c>
      <c r="H66" s="74">
        <f t="shared" si="2"/>
        <v>2026</v>
      </c>
      <c r="J66" s="82">
        <f>DATA!L66</f>
        <v>1.0959158019630482</v>
      </c>
      <c r="K66" s="82">
        <f>DATA!M66</f>
        <v>1.0364676183528208</v>
      </c>
      <c r="L66" s="82">
        <f>DATA!N66</f>
        <v>1</v>
      </c>
      <c r="M66" s="82">
        <f>DATA!O66</f>
        <v>1</v>
      </c>
      <c r="N66" s="82">
        <f>DATA!P66</f>
        <v>1</v>
      </c>
      <c r="P66" s="330">
        <f t="shared" si="12"/>
        <v>0</v>
      </c>
      <c r="Q66" s="330">
        <f t="shared" si="12"/>
        <v>0</v>
      </c>
      <c r="R66" s="330">
        <f t="shared" si="12"/>
        <v>0</v>
      </c>
      <c r="S66" s="330">
        <f t="shared" si="12"/>
        <v>0</v>
      </c>
      <c r="T66" s="334">
        <f t="shared" si="8"/>
        <v>0</v>
      </c>
      <c r="V66" s="330">
        <f t="shared" si="13"/>
        <v>0</v>
      </c>
      <c r="W66" s="330">
        <f t="shared" si="13"/>
        <v>0</v>
      </c>
      <c r="X66" s="330">
        <f t="shared" si="13"/>
        <v>0</v>
      </c>
      <c r="Y66" s="330">
        <f t="shared" si="13"/>
        <v>0</v>
      </c>
      <c r="Z66" s="334">
        <f t="shared" si="9"/>
        <v>0</v>
      </c>
    </row>
    <row r="67" spans="3:26" ht="16" thickTop="1" thickBot="1">
      <c r="C67" s="74">
        <f t="shared" si="5"/>
        <v>57</v>
      </c>
      <c r="D67" s="75">
        <f t="shared" si="6"/>
        <v>46266</v>
      </c>
      <c r="E67" s="74">
        <f t="shared" si="0"/>
        <v>19</v>
      </c>
      <c r="F67" s="74" t="str">
        <f t="shared" si="1"/>
        <v>Q3-26</v>
      </c>
      <c r="G67" s="74">
        <f t="shared" si="7"/>
        <v>5</v>
      </c>
      <c r="H67" s="74">
        <f t="shared" si="2"/>
        <v>2026</v>
      </c>
      <c r="J67" s="82">
        <f>DATA!L67</f>
        <v>1.0977423282996532</v>
      </c>
      <c r="K67" s="82">
        <f>DATA!M67</f>
        <v>1.0373313413681147</v>
      </c>
      <c r="L67" s="82">
        <f>DATA!N67</f>
        <v>1</v>
      </c>
      <c r="M67" s="82">
        <f>DATA!O67</f>
        <v>1</v>
      </c>
      <c r="N67" s="82">
        <f>DATA!P67</f>
        <v>1</v>
      </c>
      <c r="P67" s="330">
        <f t="shared" si="12"/>
        <v>0</v>
      </c>
      <c r="Q67" s="330">
        <f t="shared" si="12"/>
        <v>0</v>
      </c>
      <c r="R67" s="330">
        <f t="shared" si="12"/>
        <v>0</v>
      </c>
      <c r="S67" s="330">
        <f t="shared" si="12"/>
        <v>0</v>
      </c>
      <c r="T67" s="334">
        <f t="shared" si="8"/>
        <v>0</v>
      </c>
      <c r="V67" s="330">
        <f t="shared" si="13"/>
        <v>0</v>
      </c>
      <c r="W67" s="330">
        <f t="shared" si="13"/>
        <v>0</v>
      </c>
      <c r="X67" s="330">
        <f t="shared" si="13"/>
        <v>0</v>
      </c>
      <c r="Y67" s="330">
        <f t="shared" si="13"/>
        <v>0</v>
      </c>
      <c r="Z67" s="334">
        <f t="shared" si="9"/>
        <v>0</v>
      </c>
    </row>
    <row r="68" spans="3:26" ht="16" thickTop="1" thickBot="1">
      <c r="C68" s="74">
        <f t="shared" si="5"/>
        <v>58</v>
      </c>
      <c r="D68" s="75">
        <f t="shared" si="6"/>
        <v>46296</v>
      </c>
      <c r="E68" s="74">
        <f t="shared" si="0"/>
        <v>20</v>
      </c>
      <c r="F68" s="74" t="str">
        <f t="shared" si="1"/>
        <v>Q3-26</v>
      </c>
      <c r="G68" s="74">
        <f t="shared" si="7"/>
        <v>5</v>
      </c>
      <c r="H68" s="74">
        <f t="shared" si="2"/>
        <v>2026</v>
      </c>
      <c r="J68" s="82">
        <f>DATA!L68</f>
        <v>1.0995718988468193</v>
      </c>
      <c r="K68" s="82">
        <f>DATA!M68</f>
        <v>1.038195784152588</v>
      </c>
      <c r="L68" s="82">
        <f>DATA!N68</f>
        <v>1</v>
      </c>
      <c r="M68" s="82">
        <f>DATA!O68</f>
        <v>1</v>
      </c>
      <c r="N68" s="82">
        <f>DATA!P68</f>
        <v>1</v>
      </c>
      <c r="P68" s="330">
        <f t="shared" si="12"/>
        <v>0</v>
      </c>
      <c r="Q68" s="330">
        <f t="shared" si="12"/>
        <v>0</v>
      </c>
      <c r="R68" s="330">
        <f t="shared" si="12"/>
        <v>0</v>
      </c>
      <c r="S68" s="330">
        <f t="shared" si="12"/>
        <v>0</v>
      </c>
      <c r="T68" s="334">
        <f t="shared" si="8"/>
        <v>0</v>
      </c>
      <c r="V68" s="330">
        <f t="shared" si="13"/>
        <v>0</v>
      </c>
      <c r="W68" s="330">
        <f t="shared" si="13"/>
        <v>0</v>
      </c>
      <c r="X68" s="330">
        <f t="shared" si="13"/>
        <v>0</v>
      </c>
      <c r="Y68" s="330">
        <f t="shared" si="13"/>
        <v>0</v>
      </c>
      <c r="Z68" s="334">
        <f t="shared" si="9"/>
        <v>0</v>
      </c>
    </row>
    <row r="69" spans="3:26" ht="16" thickTop="1" thickBot="1">
      <c r="C69" s="74">
        <f t="shared" si="5"/>
        <v>59</v>
      </c>
      <c r="D69" s="75">
        <f t="shared" si="6"/>
        <v>46327</v>
      </c>
      <c r="E69" s="74">
        <f t="shared" si="0"/>
        <v>20</v>
      </c>
      <c r="F69" s="74" t="str">
        <f t="shared" si="1"/>
        <v>Q3-26</v>
      </c>
      <c r="G69" s="74">
        <f t="shared" si="7"/>
        <v>5</v>
      </c>
      <c r="H69" s="74">
        <f t="shared" si="2"/>
        <v>2026</v>
      </c>
      <c r="J69" s="82">
        <f>DATA!L69</f>
        <v>1.1014045186782306</v>
      </c>
      <c r="K69" s="82">
        <f>DATA!M69</f>
        <v>1.0390609473060484</v>
      </c>
      <c r="L69" s="82">
        <f>DATA!N69</f>
        <v>1</v>
      </c>
      <c r="M69" s="82">
        <f>DATA!O69</f>
        <v>1</v>
      </c>
      <c r="N69" s="82">
        <f>DATA!P69</f>
        <v>1</v>
      </c>
      <c r="P69" s="330">
        <f t="shared" si="12"/>
        <v>0</v>
      </c>
      <c r="Q69" s="330">
        <f t="shared" si="12"/>
        <v>0</v>
      </c>
      <c r="R69" s="330">
        <f t="shared" si="12"/>
        <v>0</v>
      </c>
      <c r="S69" s="330">
        <f t="shared" si="12"/>
        <v>0</v>
      </c>
      <c r="T69" s="334">
        <f t="shared" si="8"/>
        <v>0</v>
      </c>
      <c r="V69" s="330">
        <f t="shared" si="13"/>
        <v>0</v>
      </c>
      <c r="W69" s="330">
        <f t="shared" si="13"/>
        <v>0</v>
      </c>
      <c r="X69" s="330">
        <f t="shared" si="13"/>
        <v>0</v>
      </c>
      <c r="Y69" s="330">
        <f t="shared" si="13"/>
        <v>0</v>
      </c>
      <c r="Z69" s="334">
        <f t="shared" si="9"/>
        <v>0</v>
      </c>
    </row>
    <row r="70" spans="3:26" ht="16" thickTop="1" thickBot="1">
      <c r="C70" s="74">
        <f t="shared" si="5"/>
        <v>60</v>
      </c>
      <c r="D70" s="75">
        <f t="shared" si="6"/>
        <v>46357</v>
      </c>
      <c r="E70" s="74">
        <f t="shared" si="0"/>
        <v>20</v>
      </c>
      <c r="F70" s="74" t="str">
        <f t="shared" si="1"/>
        <v>Q4-26</v>
      </c>
      <c r="G70" s="74">
        <f t="shared" si="7"/>
        <v>5</v>
      </c>
      <c r="H70" s="74">
        <f t="shared" si="2"/>
        <v>2026</v>
      </c>
      <c r="J70" s="82">
        <f>DATA!L70</f>
        <v>1.1032401928760278</v>
      </c>
      <c r="K70" s="82">
        <f>DATA!M70</f>
        <v>1.0399268314288033</v>
      </c>
      <c r="L70" s="82">
        <f>DATA!N70</f>
        <v>1</v>
      </c>
      <c r="M70" s="82">
        <f>DATA!O70</f>
        <v>1</v>
      </c>
      <c r="N70" s="82">
        <f>DATA!P70</f>
        <v>1</v>
      </c>
      <c r="P70" s="330">
        <f t="shared" si="12"/>
        <v>0</v>
      </c>
      <c r="Q70" s="330">
        <f t="shared" si="12"/>
        <v>0</v>
      </c>
      <c r="R70" s="330">
        <f t="shared" si="12"/>
        <v>0</v>
      </c>
      <c r="S70" s="330">
        <f t="shared" si="12"/>
        <v>0</v>
      </c>
      <c r="T70" s="334">
        <f t="shared" si="8"/>
        <v>0</v>
      </c>
      <c r="V70" s="330">
        <f t="shared" si="13"/>
        <v>0</v>
      </c>
      <c r="W70" s="330">
        <f t="shared" si="13"/>
        <v>0</v>
      </c>
      <c r="X70" s="330">
        <f t="shared" si="13"/>
        <v>0</v>
      </c>
      <c r="Y70" s="330">
        <f t="shared" si="13"/>
        <v>0</v>
      </c>
      <c r="Z70" s="334">
        <f t="shared" si="9"/>
        <v>0</v>
      </c>
    </row>
    <row r="71" spans="3:26" ht="16" thickTop="1" thickBot="1">
      <c r="C71" s="74">
        <f t="shared" si="5"/>
        <v>61</v>
      </c>
      <c r="D71" s="75">
        <f t="shared" si="6"/>
        <v>46388</v>
      </c>
      <c r="E71" s="74">
        <f t="shared" si="0"/>
        <v>21</v>
      </c>
      <c r="F71" s="74" t="str">
        <f t="shared" si="1"/>
        <v>Q1-27</v>
      </c>
      <c r="G71" s="74">
        <f t="shared" si="7"/>
        <v>6</v>
      </c>
      <c r="H71" s="74">
        <f t="shared" si="2"/>
        <v>2027</v>
      </c>
      <c r="J71" s="82">
        <f>DATA!L71</f>
        <v>1.1050789265308212</v>
      </c>
      <c r="K71" s="82">
        <f>DATA!M71</f>
        <v>1.0407934371216605</v>
      </c>
      <c r="L71" s="82">
        <f>DATA!N71</f>
        <v>1</v>
      </c>
      <c r="M71" s="82">
        <f>DATA!O71</f>
        <v>1</v>
      </c>
      <c r="N71" s="82">
        <f>DATA!P71</f>
        <v>1</v>
      </c>
      <c r="P71" s="330">
        <f t="shared" ref="P71:S90" si="14">IF(AND($C71&gt;=P$6,$C71&lt;=P$6+P$7-1),P$9/P$7*$K71,0)</f>
        <v>0</v>
      </c>
      <c r="Q71" s="330">
        <f t="shared" si="14"/>
        <v>0</v>
      </c>
      <c r="R71" s="330">
        <f t="shared" si="14"/>
        <v>0</v>
      </c>
      <c r="S71" s="330">
        <f t="shared" si="14"/>
        <v>0</v>
      </c>
      <c r="T71" s="334">
        <f t="shared" si="8"/>
        <v>0</v>
      </c>
      <c r="V71" s="330">
        <f t="shared" ref="V71:Y90" si="15">IF(AND($C71&gt;=V$6,$C71&lt;=V$6+V$7-1),V$9/V$7*$K71,0)</f>
        <v>0</v>
      </c>
      <c r="W71" s="330">
        <f t="shared" si="15"/>
        <v>0</v>
      </c>
      <c r="X71" s="330">
        <f t="shared" si="15"/>
        <v>0</v>
      </c>
      <c r="Y71" s="330">
        <f t="shared" si="15"/>
        <v>0</v>
      </c>
      <c r="Z71" s="334">
        <f t="shared" si="9"/>
        <v>0</v>
      </c>
    </row>
    <row r="72" spans="3:26" ht="16" thickTop="1" thickBot="1">
      <c r="C72" s="74">
        <f t="shared" si="5"/>
        <v>62</v>
      </c>
      <c r="D72" s="75">
        <f t="shared" si="6"/>
        <v>46419</v>
      </c>
      <c r="E72" s="74">
        <f t="shared" si="0"/>
        <v>21</v>
      </c>
      <c r="F72" s="74" t="str">
        <f t="shared" si="1"/>
        <v>Q1-27</v>
      </c>
      <c r="G72" s="74">
        <f t="shared" si="7"/>
        <v>6</v>
      </c>
      <c r="H72" s="74">
        <f t="shared" si="2"/>
        <v>2027</v>
      </c>
      <c r="J72" s="82">
        <f>DATA!L72</f>
        <v>1.1069207247417059</v>
      </c>
      <c r="K72" s="82">
        <f>DATA!M72</f>
        <v>1.0416607649859284</v>
      </c>
      <c r="L72" s="82">
        <f>DATA!N72</f>
        <v>1</v>
      </c>
      <c r="M72" s="82">
        <f>DATA!O72</f>
        <v>1</v>
      </c>
      <c r="N72" s="82">
        <f>DATA!P72</f>
        <v>1</v>
      </c>
      <c r="P72" s="330">
        <f t="shared" si="14"/>
        <v>0</v>
      </c>
      <c r="Q72" s="330">
        <f t="shared" si="14"/>
        <v>0</v>
      </c>
      <c r="R72" s="330">
        <f t="shared" si="14"/>
        <v>0</v>
      </c>
      <c r="S72" s="330">
        <f t="shared" si="14"/>
        <v>0</v>
      </c>
      <c r="T72" s="334">
        <f t="shared" si="8"/>
        <v>0</v>
      </c>
      <c r="V72" s="330">
        <f t="shared" si="15"/>
        <v>0</v>
      </c>
      <c r="W72" s="330">
        <f t="shared" si="15"/>
        <v>0</v>
      </c>
      <c r="X72" s="330">
        <f t="shared" si="15"/>
        <v>0</v>
      </c>
      <c r="Y72" s="330">
        <f t="shared" si="15"/>
        <v>0</v>
      </c>
      <c r="Z72" s="334">
        <f t="shared" si="9"/>
        <v>0</v>
      </c>
    </row>
    <row r="73" spans="3:26" ht="16" thickTop="1" thickBot="1">
      <c r="C73" s="74">
        <f t="shared" si="5"/>
        <v>63</v>
      </c>
      <c r="D73" s="75">
        <f t="shared" si="6"/>
        <v>46447</v>
      </c>
      <c r="E73" s="74">
        <f t="shared" si="0"/>
        <v>21</v>
      </c>
      <c r="F73" s="74" t="str">
        <f t="shared" si="1"/>
        <v>Q1-27</v>
      </c>
      <c r="G73" s="74">
        <f t="shared" si="7"/>
        <v>6</v>
      </c>
      <c r="H73" s="74">
        <f t="shared" si="2"/>
        <v>2027</v>
      </c>
      <c r="J73" s="82">
        <f>DATA!L73</f>
        <v>1.1087655926162754</v>
      </c>
      <c r="K73" s="82">
        <f>DATA!M73</f>
        <v>1.0425288156234165</v>
      </c>
      <c r="L73" s="82">
        <f>DATA!N73</f>
        <v>1</v>
      </c>
      <c r="M73" s="82">
        <f>DATA!O73</f>
        <v>1</v>
      </c>
      <c r="N73" s="82">
        <f>DATA!P73</f>
        <v>1</v>
      </c>
      <c r="P73" s="330">
        <f t="shared" si="14"/>
        <v>0</v>
      </c>
      <c r="Q73" s="330">
        <f t="shared" si="14"/>
        <v>0</v>
      </c>
      <c r="R73" s="330">
        <f t="shared" si="14"/>
        <v>0</v>
      </c>
      <c r="S73" s="330">
        <f t="shared" si="14"/>
        <v>0</v>
      </c>
      <c r="T73" s="334">
        <f t="shared" si="8"/>
        <v>0</v>
      </c>
      <c r="V73" s="330">
        <f t="shared" si="15"/>
        <v>0</v>
      </c>
      <c r="W73" s="330">
        <f t="shared" si="15"/>
        <v>0</v>
      </c>
      <c r="X73" s="330">
        <f t="shared" si="15"/>
        <v>0</v>
      </c>
      <c r="Y73" s="330">
        <f t="shared" si="15"/>
        <v>0</v>
      </c>
      <c r="Z73" s="334">
        <f t="shared" si="9"/>
        <v>0</v>
      </c>
    </row>
    <row r="74" spans="3:26" ht="16" thickTop="1" thickBot="1">
      <c r="C74" s="74">
        <f t="shared" si="5"/>
        <v>64</v>
      </c>
      <c r="D74" s="75">
        <f t="shared" si="6"/>
        <v>46478</v>
      </c>
      <c r="E74" s="74">
        <f t="shared" si="0"/>
        <v>22</v>
      </c>
      <c r="F74" s="74" t="str">
        <f t="shared" si="1"/>
        <v>Q2-27</v>
      </c>
      <c r="G74" s="74">
        <f t="shared" si="7"/>
        <v>6</v>
      </c>
      <c r="H74" s="74">
        <f t="shared" si="2"/>
        <v>2027</v>
      </c>
      <c r="J74" s="82">
        <f>DATA!L74</f>
        <v>1.1106135352706359</v>
      </c>
      <c r="K74" s="82">
        <f>DATA!M74</f>
        <v>1.0433975896364358</v>
      </c>
      <c r="L74" s="82">
        <f>DATA!N74</f>
        <v>1</v>
      </c>
      <c r="M74" s="82">
        <f>DATA!O74</f>
        <v>1</v>
      </c>
      <c r="N74" s="82">
        <f>DATA!P74</f>
        <v>1</v>
      </c>
      <c r="P74" s="330">
        <f t="shared" si="14"/>
        <v>0</v>
      </c>
      <c r="Q74" s="330">
        <f t="shared" si="14"/>
        <v>0</v>
      </c>
      <c r="R74" s="330">
        <f t="shared" si="14"/>
        <v>0</v>
      </c>
      <c r="S74" s="330">
        <f t="shared" si="14"/>
        <v>0</v>
      </c>
      <c r="T74" s="334">
        <f t="shared" si="8"/>
        <v>0</v>
      </c>
      <c r="V74" s="330">
        <f t="shared" si="15"/>
        <v>0</v>
      </c>
      <c r="W74" s="330">
        <f t="shared" si="15"/>
        <v>0</v>
      </c>
      <c r="X74" s="330">
        <f t="shared" si="15"/>
        <v>0</v>
      </c>
      <c r="Y74" s="330">
        <f t="shared" si="15"/>
        <v>0</v>
      </c>
      <c r="Z74" s="334">
        <f t="shared" si="9"/>
        <v>0</v>
      </c>
    </row>
    <row r="75" spans="3:26" ht="16" thickTop="1" thickBot="1">
      <c r="C75" s="74">
        <f t="shared" si="5"/>
        <v>65</v>
      </c>
      <c r="D75" s="75">
        <f t="shared" si="6"/>
        <v>46508</v>
      </c>
      <c r="E75" s="74">
        <f t="shared" ref="E75:E138" si="16">INT(INT(C75+2)/3)</f>
        <v>22</v>
      </c>
      <c r="F75" s="74" t="str">
        <f t="shared" ref="F75:F138" si="17">"Q"&amp;INT((MONTH(D75)/4)+1)&amp;"-"&amp;RIGHT(YEAR(D75),2)</f>
        <v>Q2-27</v>
      </c>
      <c r="G75" s="74">
        <f t="shared" si="7"/>
        <v>6</v>
      </c>
      <c r="H75" s="74">
        <f t="shared" ref="H75:H138" si="18">YEAR(D75)</f>
        <v>2027</v>
      </c>
      <c r="J75" s="82">
        <f>DATA!L75</f>
        <v>1.1124645578294203</v>
      </c>
      <c r="K75" s="82">
        <f>DATA!M75</f>
        <v>1.0442670876277995</v>
      </c>
      <c r="L75" s="82">
        <f>DATA!N75</f>
        <v>1</v>
      </c>
      <c r="M75" s="82">
        <f>DATA!O75</f>
        <v>1</v>
      </c>
      <c r="N75" s="82">
        <f>DATA!P75</f>
        <v>1</v>
      </c>
      <c r="P75" s="330">
        <f t="shared" si="14"/>
        <v>0</v>
      </c>
      <c r="Q75" s="330">
        <f t="shared" si="14"/>
        <v>0</v>
      </c>
      <c r="R75" s="330">
        <f t="shared" si="14"/>
        <v>0</v>
      </c>
      <c r="S75" s="330">
        <f t="shared" si="14"/>
        <v>0</v>
      </c>
      <c r="T75" s="334">
        <f t="shared" si="8"/>
        <v>0</v>
      </c>
      <c r="V75" s="330">
        <f t="shared" si="15"/>
        <v>0</v>
      </c>
      <c r="W75" s="330">
        <f t="shared" si="15"/>
        <v>0</v>
      </c>
      <c r="X75" s="330">
        <f t="shared" si="15"/>
        <v>0</v>
      </c>
      <c r="Y75" s="330">
        <f t="shared" si="15"/>
        <v>0</v>
      </c>
      <c r="Z75" s="334">
        <f t="shared" si="9"/>
        <v>0</v>
      </c>
    </row>
    <row r="76" spans="3:26" ht="16" thickTop="1" thickBot="1">
      <c r="C76" s="74">
        <f t="shared" ref="C76:C139" si="19">C75+1</f>
        <v>66</v>
      </c>
      <c r="D76" s="75">
        <f t="shared" ref="D76:D139" si="20">EOMONTH(D75,0)+1</f>
        <v>46539</v>
      </c>
      <c r="E76" s="74">
        <f t="shared" si="16"/>
        <v>22</v>
      </c>
      <c r="F76" s="74" t="str">
        <f t="shared" si="17"/>
        <v>Q2-27</v>
      </c>
      <c r="G76" s="74">
        <f t="shared" ref="G76:G139" si="21">MIN(INT(YEARFRAC(D$11,D88)),30)</f>
        <v>6</v>
      </c>
      <c r="H76" s="74">
        <f t="shared" si="18"/>
        <v>2027</v>
      </c>
      <c r="J76" s="82">
        <f>DATA!L76</f>
        <v>1.1143186654258028</v>
      </c>
      <c r="K76" s="82">
        <f>DATA!M76</f>
        <v>1.0451373102008226</v>
      </c>
      <c r="L76" s="82">
        <f>DATA!N76</f>
        <v>1</v>
      </c>
      <c r="M76" s="82">
        <f>DATA!O76</f>
        <v>1</v>
      </c>
      <c r="N76" s="82">
        <f>DATA!P76</f>
        <v>1</v>
      </c>
      <c r="P76" s="330">
        <f t="shared" si="14"/>
        <v>0</v>
      </c>
      <c r="Q76" s="330">
        <f t="shared" si="14"/>
        <v>0</v>
      </c>
      <c r="R76" s="330">
        <f t="shared" si="14"/>
        <v>0</v>
      </c>
      <c r="S76" s="330">
        <f t="shared" si="14"/>
        <v>0</v>
      </c>
      <c r="T76" s="334">
        <f t="shared" ref="T76:T139" si="22">SUM(P76:S76)</f>
        <v>0</v>
      </c>
      <c r="V76" s="330">
        <f t="shared" si="15"/>
        <v>0</v>
      </c>
      <c r="W76" s="330">
        <f t="shared" si="15"/>
        <v>0</v>
      </c>
      <c r="X76" s="330">
        <f t="shared" si="15"/>
        <v>0</v>
      </c>
      <c r="Y76" s="330">
        <f t="shared" si="15"/>
        <v>0</v>
      </c>
      <c r="Z76" s="334">
        <f t="shared" ref="Z76:Z139" si="23">SUM(V76:Y76)</f>
        <v>0</v>
      </c>
    </row>
    <row r="77" spans="3:26" ht="16" thickTop="1" thickBot="1">
      <c r="C77" s="74">
        <f t="shared" si="19"/>
        <v>67</v>
      </c>
      <c r="D77" s="75">
        <f t="shared" si="20"/>
        <v>46569</v>
      </c>
      <c r="E77" s="74">
        <f t="shared" si="16"/>
        <v>23</v>
      </c>
      <c r="F77" s="74" t="str">
        <f t="shared" si="17"/>
        <v>Q2-27</v>
      </c>
      <c r="G77" s="74">
        <f t="shared" si="21"/>
        <v>6</v>
      </c>
      <c r="H77" s="74">
        <f t="shared" si="18"/>
        <v>2027</v>
      </c>
      <c r="J77" s="82">
        <f>DATA!L77</f>
        <v>1.1161758632015126</v>
      </c>
      <c r="K77" s="82">
        <f>DATA!M77</f>
        <v>1.0460082579593231</v>
      </c>
      <c r="L77" s="82">
        <f>DATA!N77</f>
        <v>1</v>
      </c>
      <c r="M77" s="82">
        <f>DATA!O77</f>
        <v>1</v>
      </c>
      <c r="N77" s="82">
        <f>DATA!P77</f>
        <v>1</v>
      </c>
      <c r="P77" s="330">
        <f t="shared" si="14"/>
        <v>0</v>
      </c>
      <c r="Q77" s="330">
        <f t="shared" si="14"/>
        <v>0</v>
      </c>
      <c r="R77" s="330">
        <f t="shared" si="14"/>
        <v>0</v>
      </c>
      <c r="S77" s="330">
        <f t="shared" si="14"/>
        <v>0</v>
      </c>
      <c r="T77" s="334">
        <f t="shared" si="22"/>
        <v>0</v>
      </c>
      <c r="V77" s="330">
        <f t="shared" si="15"/>
        <v>0</v>
      </c>
      <c r="W77" s="330">
        <f t="shared" si="15"/>
        <v>0</v>
      </c>
      <c r="X77" s="330">
        <f t="shared" si="15"/>
        <v>0</v>
      </c>
      <c r="Y77" s="330">
        <f t="shared" si="15"/>
        <v>0</v>
      </c>
      <c r="Z77" s="334">
        <f t="shared" si="23"/>
        <v>0</v>
      </c>
    </row>
    <row r="78" spans="3:26" ht="16" thickTop="1" thickBot="1">
      <c r="C78" s="74">
        <f t="shared" si="19"/>
        <v>68</v>
      </c>
      <c r="D78" s="75">
        <f t="shared" si="20"/>
        <v>46600</v>
      </c>
      <c r="E78" s="74">
        <f t="shared" si="16"/>
        <v>23</v>
      </c>
      <c r="F78" s="74" t="str">
        <f t="shared" si="17"/>
        <v>Q3-27</v>
      </c>
      <c r="G78" s="74">
        <f t="shared" si="21"/>
        <v>6</v>
      </c>
      <c r="H78" s="74">
        <f t="shared" si="18"/>
        <v>2027</v>
      </c>
      <c r="J78" s="82">
        <f>DATA!L78</f>
        <v>1.1180361563068486</v>
      </c>
      <c r="K78" s="82">
        <f>DATA!M78</f>
        <v>1.0468799315076225</v>
      </c>
      <c r="L78" s="82">
        <f>DATA!N78</f>
        <v>1</v>
      </c>
      <c r="M78" s="82">
        <f>DATA!O78</f>
        <v>1</v>
      </c>
      <c r="N78" s="82">
        <f>DATA!P78</f>
        <v>1</v>
      </c>
      <c r="P78" s="330">
        <f t="shared" si="14"/>
        <v>0</v>
      </c>
      <c r="Q78" s="330">
        <f t="shared" si="14"/>
        <v>0</v>
      </c>
      <c r="R78" s="330">
        <f t="shared" si="14"/>
        <v>0</v>
      </c>
      <c r="S78" s="330">
        <f t="shared" si="14"/>
        <v>0</v>
      </c>
      <c r="T78" s="334">
        <f t="shared" si="22"/>
        <v>0</v>
      </c>
      <c r="V78" s="330">
        <f t="shared" si="15"/>
        <v>0</v>
      </c>
      <c r="W78" s="330">
        <f t="shared" si="15"/>
        <v>0</v>
      </c>
      <c r="X78" s="330">
        <f t="shared" si="15"/>
        <v>0</v>
      </c>
      <c r="Y78" s="330">
        <f t="shared" si="15"/>
        <v>0</v>
      </c>
      <c r="Z78" s="334">
        <f t="shared" si="23"/>
        <v>0</v>
      </c>
    </row>
    <row r="79" spans="3:26" ht="16" thickTop="1" thickBot="1">
      <c r="C79" s="74">
        <f t="shared" si="19"/>
        <v>69</v>
      </c>
      <c r="D79" s="75">
        <f t="shared" si="20"/>
        <v>46631</v>
      </c>
      <c r="E79" s="74">
        <f t="shared" si="16"/>
        <v>23</v>
      </c>
      <c r="F79" s="74" t="str">
        <f t="shared" si="17"/>
        <v>Q3-27</v>
      </c>
      <c r="G79" s="74">
        <f t="shared" si="21"/>
        <v>6</v>
      </c>
      <c r="H79" s="74">
        <f t="shared" si="18"/>
        <v>2027</v>
      </c>
      <c r="J79" s="82">
        <f>DATA!L79</f>
        <v>1.1198995499006934</v>
      </c>
      <c r="K79" s="82">
        <f>DATA!M79</f>
        <v>1.0477523314505455</v>
      </c>
      <c r="L79" s="82">
        <f>DATA!N79</f>
        <v>1</v>
      </c>
      <c r="M79" s="82">
        <f>DATA!O79</f>
        <v>1</v>
      </c>
      <c r="N79" s="82">
        <f>DATA!P79</f>
        <v>1</v>
      </c>
      <c r="P79" s="330">
        <f t="shared" si="14"/>
        <v>0</v>
      </c>
      <c r="Q79" s="330">
        <f t="shared" si="14"/>
        <v>0</v>
      </c>
      <c r="R79" s="330">
        <f t="shared" si="14"/>
        <v>0</v>
      </c>
      <c r="S79" s="330">
        <f t="shared" si="14"/>
        <v>0</v>
      </c>
      <c r="T79" s="334">
        <f t="shared" si="22"/>
        <v>0</v>
      </c>
      <c r="V79" s="330">
        <f t="shared" si="15"/>
        <v>0</v>
      </c>
      <c r="W79" s="330">
        <f t="shared" si="15"/>
        <v>0</v>
      </c>
      <c r="X79" s="330">
        <f t="shared" si="15"/>
        <v>0</v>
      </c>
      <c r="Y79" s="330">
        <f t="shared" si="15"/>
        <v>0</v>
      </c>
      <c r="Z79" s="334">
        <f t="shared" si="23"/>
        <v>0</v>
      </c>
    </row>
    <row r="80" spans="3:26" ht="16" thickTop="1" thickBot="1">
      <c r="C80" s="74">
        <f t="shared" si="19"/>
        <v>70</v>
      </c>
      <c r="D80" s="75">
        <f t="shared" si="20"/>
        <v>46661</v>
      </c>
      <c r="E80" s="74">
        <f t="shared" si="16"/>
        <v>24</v>
      </c>
      <c r="F80" s="74" t="str">
        <f t="shared" si="17"/>
        <v>Q3-27</v>
      </c>
      <c r="G80" s="74">
        <f t="shared" si="21"/>
        <v>6</v>
      </c>
      <c r="H80" s="74">
        <f t="shared" si="18"/>
        <v>2027</v>
      </c>
      <c r="J80" s="82">
        <f>DATA!L80</f>
        <v>1.1217660491505279</v>
      </c>
      <c r="K80" s="82">
        <f>DATA!M80</f>
        <v>1.0486254583934209</v>
      </c>
      <c r="L80" s="82">
        <f>DATA!N80</f>
        <v>1</v>
      </c>
      <c r="M80" s="82">
        <f>DATA!O80</f>
        <v>1</v>
      </c>
      <c r="N80" s="82">
        <f>DATA!P80</f>
        <v>1</v>
      </c>
      <c r="P80" s="330">
        <f t="shared" si="14"/>
        <v>0</v>
      </c>
      <c r="Q80" s="330">
        <f t="shared" si="14"/>
        <v>0</v>
      </c>
      <c r="R80" s="330">
        <f t="shared" si="14"/>
        <v>0</v>
      </c>
      <c r="S80" s="330">
        <f t="shared" si="14"/>
        <v>0</v>
      </c>
      <c r="T80" s="334">
        <f t="shared" si="22"/>
        <v>0</v>
      </c>
      <c r="V80" s="330">
        <f t="shared" si="15"/>
        <v>0</v>
      </c>
      <c r="W80" s="330">
        <f t="shared" si="15"/>
        <v>0</v>
      </c>
      <c r="X80" s="330">
        <f t="shared" si="15"/>
        <v>0</v>
      </c>
      <c r="Y80" s="330">
        <f t="shared" si="15"/>
        <v>0</v>
      </c>
      <c r="Z80" s="334">
        <f t="shared" si="23"/>
        <v>0</v>
      </c>
    </row>
    <row r="81" spans="3:26" ht="16" thickTop="1" thickBot="1">
      <c r="C81" s="74">
        <f t="shared" si="19"/>
        <v>71</v>
      </c>
      <c r="D81" s="75">
        <f t="shared" si="20"/>
        <v>46692</v>
      </c>
      <c r="E81" s="74">
        <f t="shared" si="16"/>
        <v>24</v>
      </c>
      <c r="F81" s="74" t="str">
        <f t="shared" si="17"/>
        <v>Q3-27</v>
      </c>
      <c r="G81" s="74">
        <f t="shared" si="21"/>
        <v>6</v>
      </c>
      <c r="H81" s="74">
        <f t="shared" si="18"/>
        <v>2027</v>
      </c>
      <c r="J81" s="82">
        <f>DATA!L81</f>
        <v>1.1236356592324455</v>
      </c>
      <c r="K81" s="82">
        <f>DATA!M81</f>
        <v>1.049499312942082</v>
      </c>
      <c r="L81" s="82">
        <f>DATA!N81</f>
        <v>1</v>
      </c>
      <c r="M81" s="82">
        <f>DATA!O81</f>
        <v>1</v>
      </c>
      <c r="N81" s="82">
        <f>DATA!P81</f>
        <v>1</v>
      </c>
      <c r="P81" s="330">
        <f t="shared" si="14"/>
        <v>0</v>
      </c>
      <c r="Q81" s="330">
        <f t="shared" si="14"/>
        <v>0</v>
      </c>
      <c r="R81" s="330">
        <f t="shared" si="14"/>
        <v>0</v>
      </c>
      <c r="S81" s="330">
        <f t="shared" si="14"/>
        <v>0</v>
      </c>
      <c r="T81" s="334">
        <f t="shared" si="22"/>
        <v>0</v>
      </c>
      <c r="V81" s="330">
        <f t="shared" si="15"/>
        <v>0</v>
      </c>
      <c r="W81" s="330">
        <f t="shared" si="15"/>
        <v>0</v>
      </c>
      <c r="X81" s="330">
        <f t="shared" si="15"/>
        <v>0</v>
      </c>
      <c r="Y81" s="330">
        <f t="shared" si="15"/>
        <v>0</v>
      </c>
      <c r="Z81" s="334">
        <f t="shared" si="23"/>
        <v>0</v>
      </c>
    </row>
    <row r="82" spans="3:26" ht="16" thickTop="1" thickBot="1">
      <c r="C82" s="74">
        <f t="shared" si="19"/>
        <v>72</v>
      </c>
      <c r="D82" s="75">
        <f t="shared" si="20"/>
        <v>46722</v>
      </c>
      <c r="E82" s="74">
        <f t="shared" si="16"/>
        <v>24</v>
      </c>
      <c r="F82" s="74" t="str">
        <f t="shared" si="17"/>
        <v>Q4-27</v>
      </c>
      <c r="G82" s="74">
        <f t="shared" si="21"/>
        <v>6</v>
      </c>
      <c r="H82" s="74">
        <f t="shared" si="18"/>
        <v>2027</v>
      </c>
      <c r="J82" s="82">
        <f>DATA!L82</f>
        <v>1.1255083853311663</v>
      </c>
      <c r="K82" s="82">
        <f>DATA!M82</f>
        <v>1.050373895702867</v>
      </c>
      <c r="L82" s="82">
        <f>DATA!N82</f>
        <v>1</v>
      </c>
      <c r="M82" s="82">
        <f>DATA!O82</f>
        <v>1</v>
      </c>
      <c r="N82" s="82">
        <f>DATA!P82</f>
        <v>1</v>
      </c>
      <c r="P82" s="330">
        <f t="shared" si="14"/>
        <v>0</v>
      </c>
      <c r="Q82" s="330">
        <f t="shared" si="14"/>
        <v>0</v>
      </c>
      <c r="R82" s="330">
        <f t="shared" si="14"/>
        <v>0</v>
      </c>
      <c r="S82" s="330">
        <f t="shared" si="14"/>
        <v>0</v>
      </c>
      <c r="T82" s="334">
        <f t="shared" si="22"/>
        <v>0</v>
      </c>
      <c r="V82" s="330">
        <f t="shared" si="15"/>
        <v>0</v>
      </c>
      <c r="W82" s="330">
        <f t="shared" si="15"/>
        <v>0</v>
      </c>
      <c r="X82" s="330">
        <f t="shared" si="15"/>
        <v>0</v>
      </c>
      <c r="Y82" s="330">
        <f t="shared" si="15"/>
        <v>0</v>
      </c>
      <c r="Z82" s="334">
        <f t="shared" si="23"/>
        <v>0</v>
      </c>
    </row>
    <row r="83" spans="3:26" ht="16" thickTop="1" thickBot="1">
      <c r="C83" s="74">
        <f t="shared" si="19"/>
        <v>73</v>
      </c>
      <c r="D83" s="75">
        <f t="shared" si="20"/>
        <v>46753</v>
      </c>
      <c r="E83" s="74">
        <f t="shared" si="16"/>
        <v>25</v>
      </c>
      <c r="F83" s="74" t="str">
        <f t="shared" si="17"/>
        <v>Q1-28</v>
      </c>
      <c r="G83" s="74">
        <f t="shared" si="21"/>
        <v>7</v>
      </c>
      <c r="H83" s="74">
        <f t="shared" si="18"/>
        <v>2028</v>
      </c>
      <c r="J83" s="82">
        <f>DATA!L83</f>
        <v>1.1273842326400516</v>
      </c>
      <c r="K83" s="82">
        <f>DATA!M83</f>
        <v>1.0512492072826194</v>
      </c>
      <c r="L83" s="82">
        <f>DATA!N83</f>
        <v>1</v>
      </c>
      <c r="M83" s="82">
        <f>DATA!O83</f>
        <v>1</v>
      </c>
      <c r="N83" s="82">
        <f>DATA!P83</f>
        <v>1</v>
      </c>
      <c r="P83" s="330">
        <f t="shared" si="14"/>
        <v>0</v>
      </c>
      <c r="Q83" s="330">
        <f t="shared" si="14"/>
        <v>0</v>
      </c>
      <c r="R83" s="330">
        <f t="shared" si="14"/>
        <v>0</v>
      </c>
      <c r="S83" s="330">
        <f t="shared" si="14"/>
        <v>0</v>
      </c>
      <c r="T83" s="334">
        <f t="shared" si="22"/>
        <v>0</v>
      </c>
      <c r="V83" s="330">
        <f t="shared" si="15"/>
        <v>0</v>
      </c>
      <c r="W83" s="330">
        <f t="shared" si="15"/>
        <v>0</v>
      </c>
      <c r="X83" s="330">
        <f t="shared" si="15"/>
        <v>0</v>
      </c>
      <c r="Y83" s="330">
        <f t="shared" si="15"/>
        <v>0</v>
      </c>
      <c r="Z83" s="334">
        <f t="shared" si="23"/>
        <v>0</v>
      </c>
    </row>
    <row r="84" spans="3:26" ht="16" thickTop="1" thickBot="1">
      <c r="C84" s="74">
        <f t="shared" si="19"/>
        <v>74</v>
      </c>
      <c r="D84" s="75">
        <f t="shared" si="20"/>
        <v>46784</v>
      </c>
      <c r="E84" s="74">
        <f t="shared" si="16"/>
        <v>25</v>
      </c>
      <c r="F84" s="74" t="str">
        <f t="shared" si="17"/>
        <v>Q1-28</v>
      </c>
      <c r="G84" s="74">
        <f t="shared" si="21"/>
        <v>7</v>
      </c>
      <c r="H84" s="74">
        <f t="shared" si="18"/>
        <v>2028</v>
      </c>
      <c r="J84" s="82">
        <f>DATA!L84</f>
        <v>1.1292632063611183</v>
      </c>
      <c r="K84" s="82">
        <f>DATA!M84</f>
        <v>1.0521252482886883</v>
      </c>
      <c r="L84" s="82">
        <f>DATA!N84</f>
        <v>1</v>
      </c>
      <c r="M84" s="82">
        <f>DATA!O84</f>
        <v>1</v>
      </c>
      <c r="N84" s="82">
        <f>DATA!P84</f>
        <v>1</v>
      </c>
      <c r="P84" s="330">
        <f t="shared" si="14"/>
        <v>0</v>
      </c>
      <c r="Q84" s="330">
        <f t="shared" si="14"/>
        <v>0</v>
      </c>
      <c r="R84" s="330">
        <f t="shared" si="14"/>
        <v>0</v>
      </c>
      <c r="S84" s="330">
        <f t="shared" si="14"/>
        <v>0</v>
      </c>
      <c r="T84" s="334">
        <f t="shared" si="22"/>
        <v>0</v>
      </c>
      <c r="V84" s="330">
        <f t="shared" si="15"/>
        <v>0</v>
      </c>
      <c r="W84" s="330">
        <f t="shared" si="15"/>
        <v>0</v>
      </c>
      <c r="X84" s="330">
        <f t="shared" si="15"/>
        <v>0</v>
      </c>
      <c r="Y84" s="330">
        <f t="shared" si="15"/>
        <v>0</v>
      </c>
      <c r="Z84" s="334">
        <f t="shared" si="23"/>
        <v>0</v>
      </c>
    </row>
    <row r="85" spans="3:26" ht="16" thickTop="1" thickBot="1">
      <c r="C85" s="74">
        <f t="shared" si="19"/>
        <v>75</v>
      </c>
      <c r="D85" s="75">
        <f t="shared" si="20"/>
        <v>46813</v>
      </c>
      <c r="E85" s="74">
        <f t="shared" si="16"/>
        <v>25</v>
      </c>
      <c r="F85" s="74" t="str">
        <f t="shared" si="17"/>
        <v>Q1-28</v>
      </c>
      <c r="G85" s="74">
        <f t="shared" si="21"/>
        <v>7</v>
      </c>
      <c r="H85" s="74">
        <f t="shared" si="18"/>
        <v>2028</v>
      </c>
      <c r="J85" s="82">
        <f>DATA!L85</f>
        <v>1.1311453117050536</v>
      </c>
      <c r="K85" s="82">
        <f>DATA!M85</f>
        <v>1.0530020193289287</v>
      </c>
      <c r="L85" s="82">
        <f>DATA!N85</f>
        <v>1</v>
      </c>
      <c r="M85" s="82">
        <f>DATA!O85</f>
        <v>1</v>
      </c>
      <c r="N85" s="82">
        <f>DATA!P85</f>
        <v>1</v>
      </c>
      <c r="P85" s="330">
        <f t="shared" si="14"/>
        <v>0</v>
      </c>
      <c r="Q85" s="330">
        <f t="shared" si="14"/>
        <v>0</v>
      </c>
      <c r="R85" s="330">
        <f t="shared" si="14"/>
        <v>0</v>
      </c>
      <c r="S85" s="330">
        <f t="shared" si="14"/>
        <v>0</v>
      </c>
      <c r="T85" s="334">
        <f t="shared" si="22"/>
        <v>0</v>
      </c>
      <c r="V85" s="330">
        <f t="shared" si="15"/>
        <v>0</v>
      </c>
      <c r="W85" s="330">
        <f t="shared" si="15"/>
        <v>0</v>
      </c>
      <c r="X85" s="330">
        <f t="shared" si="15"/>
        <v>0</v>
      </c>
      <c r="Y85" s="330">
        <f t="shared" si="15"/>
        <v>0</v>
      </c>
      <c r="Z85" s="334">
        <f t="shared" si="23"/>
        <v>0</v>
      </c>
    </row>
    <row r="86" spans="3:26" ht="16" thickTop="1" thickBot="1">
      <c r="C86" s="74">
        <f t="shared" si="19"/>
        <v>76</v>
      </c>
      <c r="D86" s="75">
        <f t="shared" si="20"/>
        <v>46844</v>
      </c>
      <c r="E86" s="74">
        <f t="shared" si="16"/>
        <v>26</v>
      </c>
      <c r="F86" s="74" t="str">
        <f t="shared" si="17"/>
        <v>Q2-28</v>
      </c>
      <c r="G86" s="74">
        <f t="shared" si="21"/>
        <v>7</v>
      </c>
      <c r="H86" s="74">
        <f t="shared" si="18"/>
        <v>2028</v>
      </c>
      <c r="J86" s="82">
        <f>DATA!L86</f>
        <v>1.1330305538912286</v>
      </c>
      <c r="K86" s="82">
        <f>DATA!M86</f>
        <v>1.0538795210117027</v>
      </c>
      <c r="L86" s="82">
        <f>DATA!N86</f>
        <v>1</v>
      </c>
      <c r="M86" s="82">
        <f>DATA!O86</f>
        <v>1</v>
      </c>
      <c r="N86" s="82">
        <f>DATA!P86</f>
        <v>1</v>
      </c>
      <c r="P86" s="330">
        <f t="shared" si="14"/>
        <v>0</v>
      </c>
      <c r="Q86" s="330">
        <f t="shared" si="14"/>
        <v>0</v>
      </c>
      <c r="R86" s="330">
        <f t="shared" si="14"/>
        <v>0</v>
      </c>
      <c r="S86" s="330">
        <f t="shared" si="14"/>
        <v>0</v>
      </c>
      <c r="T86" s="334">
        <f t="shared" si="22"/>
        <v>0</v>
      </c>
      <c r="V86" s="330">
        <f t="shared" si="15"/>
        <v>0</v>
      </c>
      <c r="W86" s="330">
        <f t="shared" si="15"/>
        <v>0</v>
      </c>
      <c r="X86" s="330">
        <f t="shared" si="15"/>
        <v>0</v>
      </c>
      <c r="Y86" s="330">
        <f t="shared" si="15"/>
        <v>0</v>
      </c>
      <c r="Z86" s="334">
        <f t="shared" si="23"/>
        <v>0</v>
      </c>
    </row>
    <row r="87" spans="3:26" ht="16" thickTop="1" thickBot="1">
      <c r="C87" s="74">
        <f t="shared" si="19"/>
        <v>77</v>
      </c>
      <c r="D87" s="75">
        <f t="shared" si="20"/>
        <v>46874</v>
      </c>
      <c r="E87" s="74">
        <f t="shared" si="16"/>
        <v>26</v>
      </c>
      <c r="F87" s="74" t="str">
        <f t="shared" si="17"/>
        <v>Q2-28</v>
      </c>
      <c r="G87" s="74">
        <f t="shared" si="21"/>
        <v>7</v>
      </c>
      <c r="H87" s="74">
        <f t="shared" si="18"/>
        <v>2028</v>
      </c>
      <c r="J87" s="82">
        <f>DATA!L87</f>
        <v>1.1349189381477141</v>
      </c>
      <c r="K87" s="82">
        <f>DATA!M87</f>
        <v>1.054757753945879</v>
      </c>
      <c r="L87" s="82">
        <f>DATA!N87</f>
        <v>1</v>
      </c>
      <c r="M87" s="82">
        <f>DATA!O87</f>
        <v>1</v>
      </c>
      <c r="N87" s="82">
        <f>DATA!P87</f>
        <v>1</v>
      </c>
      <c r="P87" s="330">
        <f t="shared" si="14"/>
        <v>0</v>
      </c>
      <c r="Q87" s="330">
        <f t="shared" si="14"/>
        <v>0</v>
      </c>
      <c r="R87" s="330">
        <f t="shared" si="14"/>
        <v>0</v>
      </c>
      <c r="S87" s="330">
        <f t="shared" si="14"/>
        <v>0</v>
      </c>
      <c r="T87" s="334">
        <f t="shared" si="22"/>
        <v>0</v>
      </c>
      <c r="V87" s="330">
        <f t="shared" si="15"/>
        <v>0</v>
      </c>
      <c r="W87" s="330">
        <f t="shared" si="15"/>
        <v>0</v>
      </c>
      <c r="X87" s="330">
        <f t="shared" si="15"/>
        <v>0</v>
      </c>
      <c r="Y87" s="330">
        <f t="shared" si="15"/>
        <v>0</v>
      </c>
      <c r="Z87" s="334">
        <f t="shared" si="23"/>
        <v>0</v>
      </c>
    </row>
    <row r="88" spans="3:26" ht="16" thickTop="1" thickBot="1">
      <c r="C88" s="74">
        <f t="shared" si="19"/>
        <v>78</v>
      </c>
      <c r="D88" s="75">
        <f t="shared" si="20"/>
        <v>46905</v>
      </c>
      <c r="E88" s="74">
        <f t="shared" si="16"/>
        <v>26</v>
      </c>
      <c r="F88" s="74" t="str">
        <f t="shared" si="17"/>
        <v>Q2-28</v>
      </c>
      <c r="G88" s="74">
        <f t="shared" si="21"/>
        <v>7</v>
      </c>
      <c r="H88" s="74">
        <f t="shared" si="18"/>
        <v>2028</v>
      </c>
      <c r="J88" s="82">
        <f>DATA!L88</f>
        <v>1.1368104697112935</v>
      </c>
      <c r="K88" s="82">
        <f>DATA!M88</f>
        <v>1.0556367187408338</v>
      </c>
      <c r="L88" s="82">
        <f>DATA!N88</f>
        <v>1</v>
      </c>
      <c r="M88" s="82">
        <f>DATA!O88</f>
        <v>1</v>
      </c>
      <c r="N88" s="82">
        <f>DATA!P88</f>
        <v>1</v>
      </c>
      <c r="P88" s="330">
        <f t="shared" si="14"/>
        <v>0</v>
      </c>
      <c r="Q88" s="330">
        <f t="shared" si="14"/>
        <v>0</v>
      </c>
      <c r="R88" s="330">
        <f t="shared" si="14"/>
        <v>0</v>
      </c>
      <c r="S88" s="330">
        <f t="shared" si="14"/>
        <v>0</v>
      </c>
      <c r="T88" s="334">
        <f t="shared" si="22"/>
        <v>0</v>
      </c>
      <c r="V88" s="330">
        <f t="shared" si="15"/>
        <v>0</v>
      </c>
      <c r="W88" s="330">
        <f t="shared" si="15"/>
        <v>0</v>
      </c>
      <c r="X88" s="330">
        <f t="shared" si="15"/>
        <v>0</v>
      </c>
      <c r="Y88" s="330">
        <f t="shared" si="15"/>
        <v>0</v>
      </c>
      <c r="Z88" s="334">
        <f t="shared" si="23"/>
        <v>0</v>
      </c>
    </row>
    <row r="89" spans="3:26" ht="16" thickTop="1" thickBot="1">
      <c r="C89" s="74">
        <f t="shared" si="19"/>
        <v>79</v>
      </c>
      <c r="D89" s="75">
        <f t="shared" si="20"/>
        <v>46935</v>
      </c>
      <c r="E89" s="74">
        <f t="shared" si="16"/>
        <v>27</v>
      </c>
      <c r="F89" s="74" t="str">
        <f t="shared" si="17"/>
        <v>Q2-28</v>
      </c>
      <c r="G89" s="74">
        <f t="shared" si="21"/>
        <v>7</v>
      </c>
      <c r="H89" s="74">
        <f t="shared" si="18"/>
        <v>2028</v>
      </c>
      <c r="J89" s="82">
        <f>DATA!L89</f>
        <v>1.1387051538274791</v>
      </c>
      <c r="K89" s="82">
        <f>DATA!M89</f>
        <v>1.0565164160064511</v>
      </c>
      <c r="L89" s="82">
        <f>DATA!N89</f>
        <v>1</v>
      </c>
      <c r="M89" s="82">
        <f>DATA!O89</f>
        <v>1</v>
      </c>
      <c r="N89" s="82">
        <f>DATA!P89</f>
        <v>1</v>
      </c>
      <c r="P89" s="330">
        <f t="shared" si="14"/>
        <v>0</v>
      </c>
      <c r="Q89" s="330">
        <f t="shared" si="14"/>
        <v>0</v>
      </c>
      <c r="R89" s="330">
        <f t="shared" si="14"/>
        <v>0</v>
      </c>
      <c r="S89" s="330">
        <f t="shared" si="14"/>
        <v>0</v>
      </c>
      <c r="T89" s="334">
        <f t="shared" si="22"/>
        <v>0</v>
      </c>
      <c r="V89" s="330">
        <f t="shared" si="15"/>
        <v>0</v>
      </c>
      <c r="W89" s="330">
        <f t="shared" si="15"/>
        <v>0</v>
      </c>
      <c r="X89" s="330">
        <f t="shared" si="15"/>
        <v>0</v>
      </c>
      <c r="Y89" s="330">
        <f t="shared" si="15"/>
        <v>0</v>
      </c>
      <c r="Z89" s="334">
        <f t="shared" si="23"/>
        <v>0</v>
      </c>
    </row>
    <row r="90" spans="3:26" ht="16" thickTop="1" thickBot="1">
      <c r="C90" s="74">
        <f t="shared" si="19"/>
        <v>80</v>
      </c>
      <c r="D90" s="75">
        <f t="shared" si="20"/>
        <v>46966</v>
      </c>
      <c r="E90" s="74">
        <f t="shared" si="16"/>
        <v>27</v>
      </c>
      <c r="F90" s="74" t="str">
        <f t="shared" si="17"/>
        <v>Q3-28</v>
      </c>
      <c r="G90" s="74">
        <f t="shared" si="21"/>
        <v>7</v>
      </c>
      <c r="H90" s="74">
        <f t="shared" si="18"/>
        <v>2028</v>
      </c>
      <c r="J90" s="82">
        <f>DATA!L90</f>
        <v>1.1406029957505248</v>
      </c>
      <c r="K90" s="82">
        <f>DATA!M90</f>
        <v>1.0573968463531229</v>
      </c>
      <c r="L90" s="82">
        <f>DATA!N90</f>
        <v>1</v>
      </c>
      <c r="M90" s="82">
        <f>DATA!O90</f>
        <v>1</v>
      </c>
      <c r="N90" s="82">
        <f>DATA!P90</f>
        <v>1</v>
      </c>
      <c r="P90" s="330">
        <f t="shared" si="14"/>
        <v>0</v>
      </c>
      <c r="Q90" s="330">
        <f t="shared" si="14"/>
        <v>0</v>
      </c>
      <c r="R90" s="330">
        <f t="shared" si="14"/>
        <v>0</v>
      </c>
      <c r="S90" s="330">
        <f t="shared" si="14"/>
        <v>0</v>
      </c>
      <c r="T90" s="334">
        <f t="shared" si="22"/>
        <v>0</v>
      </c>
      <c r="V90" s="330">
        <f t="shared" si="15"/>
        <v>0</v>
      </c>
      <c r="W90" s="330">
        <f t="shared" si="15"/>
        <v>0</v>
      </c>
      <c r="X90" s="330">
        <f t="shared" si="15"/>
        <v>0</v>
      </c>
      <c r="Y90" s="330">
        <f t="shared" si="15"/>
        <v>0</v>
      </c>
      <c r="Z90" s="334">
        <f t="shared" si="23"/>
        <v>0</v>
      </c>
    </row>
    <row r="91" spans="3:26" ht="16" thickTop="1" thickBot="1">
      <c r="C91" s="74">
        <f t="shared" si="19"/>
        <v>81</v>
      </c>
      <c r="D91" s="75">
        <f t="shared" si="20"/>
        <v>46997</v>
      </c>
      <c r="E91" s="74">
        <f t="shared" si="16"/>
        <v>27</v>
      </c>
      <c r="F91" s="74" t="str">
        <f t="shared" si="17"/>
        <v>Q3-28</v>
      </c>
      <c r="G91" s="74">
        <f t="shared" si="21"/>
        <v>7</v>
      </c>
      <c r="H91" s="74">
        <f t="shared" si="18"/>
        <v>2028</v>
      </c>
      <c r="J91" s="82">
        <f>DATA!L91</f>
        <v>1.1425040007434424</v>
      </c>
      <c r="K91" s="82">
        <f>DATA!M91</f>
        <v>1.0582780103917504</v>
      </c>
      <c r="L91" s="82">
        <f>DATA!N91</f>
        <v>1</v>
      </c>
      <c r="M91" s="82">
        <f>DATA!O91</f>
        <v>1</v>
      </c>
      <c r="N91" s="82">
        <f>DATA!P91</f>
        <v>1</v>
      </c>
      <c r="P91" s="330">
        <f t="shared" ref="P91:S110" si="24">IF(AND($C91&gt;=P$6,$C91&lt;=P$6+P$7-1),P$9/P$7*$K91,0)</f>
        <v>0</v>
      </c>
      <c r="Q91" s="330">
        <f t="shared" si="24"/>
        <v>0</v>
      </c>
      <c r="R91" s="330">
        <f t="shared" si="24"/>
        <v>0</v>
      </c>
      <c r="S91" s="330">
        <f t="shared" si="24"/>
        <v>0</v>
      </c>
      <c r="T91" s="334">
        <f t="shared" si="22"/>
        <v>0</v>
      </c>
      <c r="V91" s="330">
        <f t="shared" ref="V91:Y110" si="25">IF(AND($C91&gt;=V$6,$C91&lt;=V$6+V$7-1),V$9/V$7*$K91,0)</f>
        <v>0</v>
      </c>
      <c r="W91" s="330">
        <f t="shared" si="25"/>
        <v>0</v>
      </c>
      <c r="X91" s="330">
        <f t="shared" si="25"/>
        <v>0</v>
      </c>
      <c r="Y91" s="330">
        <f t="shared" si="25"/>
        <v>0</v>
      </c>
      <c r="Z91" s="334">
        <f t="shared" si="23"/>
        <v>0</v>
      </c>
    </row>
    <row r="92" spans="3:26" ht="16" thickTop="1" thickBot="1">
      <c r="C92" s="74">
        <f t="shared" si="19"/>
        <v>82</v>
      </c>
      <c r="D92" s="75">
        <f t="shared" si="20"/>
        <v>47027</v>
      </c>
      <c r="E92" s="74">
        <f t="shared" si="16"/>
        <v>28</v>
      </c>
      <c r="F92" s="74" t="str">
        <f t="shared" si="17"/>
        <v>Q3-28</v>
      </c>
      <c r="G92" s="74">
        <f t="shared" si="21"/>
        <v>7</v>
      </c>
      <c r="H92" s="74">
        <f t="shared" si="18"/>
        <v>2028</v>
      </c>
      <c r="J92" s="82">
        <f>DATA!L92</f>
        <v>1.1444081740780148</v>
      </c>
      <c r="K92" s="82">
        <f>DATA!M92</f>
        <v>1.0591599087337433</v>
      </c>
      <c r="L92" s="82">
        <f>DATA!N92</f>
        <v>1</v>
      </c>
      <c r="M92" s="82">
        <f>DATA!O92</f>
        <v>1</v>
      </c>
      <c r="N92" s="82">
        <f>DATA!P92</f>
        <v>1</v>
      </c>
      <c r="P92" s="330">
        <f t="shared" si="24"/>
        <v>0</v>
      </c>
      <c r="Q92" s="330">
        <f t="shared" si="24"/>
        <v>0</v>
      </c>
      <c r="R92" s="330">
        <f t="shared" si="24"/>
        <v>0</v>
      </c>
      <c r="S92" s="330">
        <f t="shared" si="24"/>
        <v>0</v>
      </c>
      <c r="T92" s="334">
        <f t="shared" si="22"/>
        <v>0</v>
      </c>
      <c r="V92" s="330">
        <f t="shared" si="25"/>
        <v>0</v>
      </c>
      <c r="W92" s="330">
        <f t="shared" si="25"/>
        <v>0</v>
      </c>
      <c r="X92" s="330">
        <f t="shared" si="25"/>
        <v>0</v>
      </c>
      <c r="Y92" s="330">
        <f t="shared" si="25"/>
        <v>0</v>
      </c>
      <c r="Z92" s="334">
        <f t="shared" si="23"/>
        <v>0</v>
      </c>
    </row>
    <row r="93" spans="3:26" ht="16" thickTop="1" thickBot="1">
      <c r="C93" s="74">
        <f t="shared" si="19"/>
        <v>83</v>
      </c>
      <c r="D93" s="75">
        <f t="shared" si="20"/>
        <v>47058</v>
      </c>
      <c r="E93" s="74">
        <f t="shared" si="16"/>
        <v>28</v>
      </c>
      <c r="F93" s="74" t="str">
        <f t="shared" si="17"/>
        <v>Q3-28</v>
      </c>
      <c r="G93" s="74">
        <f t="shared" si="21"/>
        <v>7</v>
      </c>
      <c r="H93" s="74">
        <f t="shared" si="18"/>
        <v>2028</v>
      </c>
      <c r="J93" s="82">
        <f>DATA!L93</f>
        <v>1.1463155210348115</v>
      </c>
      <c r="K93" s="82">
        <f>DATA!M93</f>
        <v>1.0600425419910213</v>
      </c>
      <c r="L93" s="82">
        <f>DATA!N93</f>
        <v>1</v>
      </c>
      <c r="M93" s="82">
        <f>DATA!O93</f>
        <v>1</v>
      </c>
      <c r="N93" s="82">
        <f>DATA!P93</f>
        <v>1</v>
      </c>
      <c r="P93" s="330">
        <f t="shared" si="24"/>
        <v>0</v>
      </c>
      <c r="Q93" s="330">
        <f t="shared" si="24"/>
        <v>0</v>
      </c>
      <c r="R93" s="330">
        <f t="shared" si="24"/>
        <v>0</v>
      </c>
      <c r="S93" s="330">
        <f t="shared" si="24"/>
        <v>0</v>
      </c>
      <c r="T93" s="334">
        <f t="shared" si="22"/>
        <v>0</v>
      </c>
      <c r="V93" s="330">
        <f t="shared" si="25"/>
        <v>0</v>
      </c>
      <c r="W93" s="330">
        <f t="shared" si="25"/>
        <v>0</v>
      </c>
      <c r="X93" s="330">
        <f t="shared" si="25"/>
        <v>0</v>
      </c>
      <c r="Y93" s="330">
        <f t="shared" si="25"/>
        <v>0</v>
      </c>
      <c r="Z93" s="334">
        <f t="shared" si="23"/>
        <v>0</v>
      </c>
    </row>
    <row r="94" spans="3:26" ht="16" thickTop="1" thickBot="1">
      <c r="C94" s="74">
        <f t="shared" si="19"/>
        <v>84</v>
      </c>
      <c r="D94" s="75">
        <f t="shared" si="20"/>
        <v>47088</v>
      </c>
      <c r="E94" s="74">
        <f t="shared" si="16"/>
        <v>28</v>
      </c>
      <c r="F94" s="74" t="str">
        <f t="shared" si="17"/>
        <v>Q4-28</v>
      </c>
      <c r="G94" s="74">
        <f t="shared" si="21"/>
        <v>7</v>
      </c>
      <c r="H94" s="74">
        <f t="shared" si="18"/>
        <v>2028</v>
      </c>
      <c r="J94" s="82">
        <f>DATA!L94</f>
        <v>1.1482260469032028</v>
      </c>
      <c r="K94" s="82">
        <f>DATA!M94</f>
        <v>1.0609259107760138</v>
      </c>
      <c r="L94" s="82">
        <f>DATA!N94</f>
        <v>1</v>
      </c>
      <c r="M94" s="82">
        <f>DATA!O94</f>
        <v>1</v>
      </c>
      <c r="N94" s="82">
        <f>DATA!P94</f>
        <v>1</v>
      </c>
      <c r="P94" s="330">
        <f t="shared" si="24"/>
        <v>0</v>
      </c>
      <c r="Q94" s="330">
        <f t="shared" si="24"/>
        <v>0</v>
      </c>
      <c r="R94" s="330">
        <f t="shared" si="24"/>
        <v>0</v>
      </c>
      <c r="S94" s="330">
        <f t="shared" si="24"/>
        <v>0</v>
      </c>
      <c r="T94" s="334">
        <f t="shared" si="22"/>
        <v>0</v>
      </c>
      <c r="V94" s="330">
        <f t="shared" si="25"/>
        <v>0</v>
      </c>
      <c r="W94" s="330">
        <f t="shared" si="25"/>
        <v>0</v>
      </c>
      <c r="X94" s="330">
        <f t="shared" si="25"/>
        <v>0</v>
      </c>
      <c r="Y94" s="330">
        <f t="shared" si="25"/>
        <v>0</v>
      </c>
      <c r="Z94" s="334">
        <f t="shared" si="23"/>
        <v>0</v>
      </c>
    </row>
    <row r="95" spans="3:26" ht="16" thickTop="1" thickBot="1">
      <c r="C95" s="74">
        <f t="shared" si="19"/>
        <v>85</v>
      </c>
      <c r="D95" s="75">
        <f t="shared" si="20"/>
        <v>47119</v>
      </c>
      <c r="E95" s="74">
        <f t="shared" si="16"/>
        <v>29</v>
      </c>
      <c r="F95" s="74" t="str">
        <f t="shared" si="17"/>
        <v>Q1-29</v>
      </c>
      <c r="G95" s="74">
        <f t="shared" si="21"/>
        <v>8</v>
      </c>
      <c r="H95" s="74">
        <f t="shared" si="18"/>
        <v>2029</v>
      </c>
      <c r="J95" s="82">
        <f>DATA!L95</f>
        <v>1.1501397569813749</v>
      </c>
      <c r="K95" s="82">
        <f>DATA!M95</f>
        <v>1.0618100157016603</v>
      </c>
      <c r="L95" s="82">
        <f>DATA!N95</f>
        <v>1</v>
      </c>
      <c r="M95" s="82">
        <f>DATA!O95</f>
        <v>1</v>
      </c>
      <c r="N95" s="82">
        <f>DATA!P95</f>
        <v>1</v>
      </c>
      <c r="P95" s="330">
        <f t="shared" si="24"/>
        <v>0</v>
      </c>
      <c r="Q95" s="330">
        <f t="shared" si="24"/>
        <v>0</v>
      </c>
      <c r="R95" s="330">
        <f t="shared" si="24"/>
        <v>0</v>
      </c>
      <c r="S95" s="330">
        <f t="shared" si="24"/>
        <v>0</v>
      </c>
      <c r="T95" s="334">
        <f t="shared" si="22"/>
        <v>0</v>
      </c>
      <c r="V95" s="330">
        <f t="shared" si="25"/>
        <v>0</v>
      </c>
      <c r="W95" s="330">
        <f t="shared" si="25"/>
        <v>0</v>
      </c>
      <c r="X95" s="330">
        <f t="shared" si="25"/>
        <v>0</v>
      </c>
      <c r="Y95" s="330">
        <f t="shared" si="25"/>
        <v>0</v>
      </c>
      <c r="Z95" s="334">
        <f t="shared" si="23"/>
        <v>0</v>
      </c>
    </row>
    <row r="96" spans="3:26" ht="16" thickTop="1" thickBot="1">
      <c r="C96" s="74">
        <f t="shared" si="19"/>
        <v>86</v>
      </c>
      <c r="D96" s="75">
        <f t="shared" si="20"/>
        <v>47150</v>
      </c>
      <c r="E96" s="74">
        <f t="shared" si="16"/>
        <v>29</v>
      </c>
      <c r="F96" s="74" t="str">
        <f t="shared" si="17"/>
        <v>Q1-29</v>
      </c>
      <c r="G96" s="74">
        <f t="shared" si="21"/>
        <v>8</v>
      </c>
      <c r="H96" s="74">
        <f t="shared" si="18"/>
        <v>2029</v>
      </c>
      <c r="J96" s="82">
        <f>DATA!L96</f>
        <v>1.1520566565763439</v>
      </c>
      <c r="K96" s="82">
        <f>DATA!M96</f>
        <v>1.0626948573814117</v>
      </c>
      <c r="L96" s="82">
        <f>DATA!N96</f>
        <v>1</v>
      </c>
      <c r="M96" s="82">
        <f>DATA!O96</f>
        <v>1</v>
      </c>
      <c r="N96" s="82">
        <f>DATA!P96</f>
        <v>1</v>
      </c>
      <c r="P96" s="330">
        <f t="shared" si="24"/>
        <v>0</v>
      </c>
      <c r="Q96" s="330">
        <f t="shared" si="24"/>
        <v>0</v>
      </c>
      <c r="R96" s="330">
        <f t="shared" si="24"/>
        <v>0</v>
      </c>
      <c r="S96" s="330">
        <f t="shared" si="24"/>
        <v>0</v>
      </c>
      <c r="T96" s="334">
        <f t="shared" si="22"/>
        <v>0</v>
      </c>
      <c r="V96" s="330">
        <f t="shared" si="25"/>
        <v>0</v>
      </c>
      <c r="W96" s="330">
        <f t="shared" si="25"/>
        <v>0</v>
      </c>
      <c r="X96" s="330">
        <f t="shared" si="25"/>
        <v>0</v>
      </c>
      <c r="Y96" s="330">
        <f t="shared" si="25"/>
        <v>0</v>
      </c>
      <c r="Z96" s="334">
        <f t="shared" si="23"/>
        <v>0</v>
      </c>
    </row>
    <row r="97" spans="3:26" ht="16" thickTop="1" thickBot="1">
      <c r="C97" s="74">
        <f t="shared" si="19"/>
        <v>87</v>
      </c>
      <c r="D97" s="75">
        <f t="shared" si="20"/>
        <v>47178</v>
      </c>
      <c r="E97" s="74">
        <f t="shared" si="16"/>
        <v>29</v>
      </c>
      <c r="F97" s="74" t="str">
        <f t="shared" si="17"/>
        <v>Q1-29</v>
      </c>
      <c r="G97" s="74">
        <f t="shared" si="21"/>
        <v>8</v>
      </c>
      <c r="H97" s="74">
        <f t="shared" si="18"/>
        <v>2029</v>
      </c>
      <c r="J97" s="82">
        <f>DATA!L97</f>
        <v>1.1539767510039711</v>
      </c>
      <c r="K97" s="82">
        <f>DATA!M97</f>
        <v>1.0635804364292294</v>
      </c>
      <c r="L97" s="82">
        <f>DATA!N97</f>
        <v>1</v>
      </c>
      <c r="M97" s="82">
        <f>DATA!O97</f>
        <v>1</v>
      </c>
      <c r="N97" s="82">
        <f>DATA!P97</f>
        <v>1</v>
      </c>
      <c r="P97" s="330">
        <f t="shared" si="24"/>
        <v>0</v>
      </c>
      <c r="Q97" s="330">
        <f t="shared" si="24"/>
        <v>0</v>
      </c>
      <c r="R97" s="330">
        <f t="shared" si="24"/>
        <v>0</v>
      </c>
      <c r="S97" s="330">
        <f t="shared" si="24"/>
        <v>0</v>
      </c>
      <c r="T97" s="334">
        <f t="shared" si="22"/>
        <v>0</v>
      </c>
      <c r="V97" s="330">
        <f t="shared" si="25"/>
        <v>0</v>
      </c>
      <c r="W97" s="330">
        <f t="shared" si="25"/>
        <v>0</v>
      </c>
      <c r="X97" s="330">
        <f t="shared" si="25"/>
        <v>0</v>
      </c>
      <c r="Y97" s="330">
        <f t="shared" si="25"/>
        <v>0</v>
      </c>
      <c r="Z97" s="334">
        <f t="shared" si="23"/>
        <v>0</v>
      </c>
    </row>
    <row r="98" spans="3:26" ht="16" thickTop="1" thickBot="1">
      <c r="C98" s="74">
        <f t="shared" si="19"/>
        <v>88</v>
      </c>
      <c r="D98" s="75">
        <f t="shared" si="20"/>
        <v>47209</v>
      </c>
      <c r="E98" s="74">
        <f t="shared" si="16"/>
        <v>30</v>
      </c>
      <c r="F98" s="74" t="str">
        <f t="shared" si="17"/>
        <v>Q2-29</v>
      </c>
      <c r="G98" s="74">
        <f t="shared" si="21"/>
        <v>8</v>
      </c>
      <c r="H98" s="74">
        <f t="shared" si="18"/>
        <v>2029</v>
      </c>
      <c r="J98" s="82">
        <f>DATA!L98</f>
        <v>1.1559000455889779</v>
      </c>
      <c r="K98" s="82">
        <f>DATA!M98</f>
        <v>1.0644667534595871</v>
      </c>
      <c r="L98" s="82">
        <f>DATA!N98</f>
        <v>1</v>
      </c>
      <c r="M98" s="82">
        <f>DATA!O98</f>
        <v>1</v>
      </c>
      <c r="N98" s="82">
        <f>DATA!P98</f>
        <v>1</v>
      </c>
      <c r="P98" s="330">
        <f t="shared" si="24"/>
        <v>0</v>
      </c>
      <c r="Q98" s="330">
        <f t="shared" si="24"/>
        <v>0</v>
      </c>
      <c r="R98" s="330">
        <f t="shared" si="24"/>
        <v>0</v>
      </c>
      <c r="S98" s="330">
        <f t="shared" si="24"/>
        <v>0</v>
      </c>
      <c r="T98" s="334">
        <f t="shared" si="22"/>
        <v>0</v>
      </c>
      <c r="V98" s="330">
        <f t="shared" si="25"/>
        <v>0</v>
      </c>
      <c r="W98" s="330">
        <f t="shared" si="25"/>
        <v>0</v>
      </c>
      <c r="X98" s="330">
        <f t="shared" si="25"/>
        <v>0</v>
      </c>
      <c r="Y98" s="330">
        <f t="shared" si="25"/>
        <v>0</v>
      </c>
      <c r="Z98" s="334">
        <f t="shared" si="23"/>
        <v>0</v>
      </c>
    </row>
    <row r="99" spans="3:26" ht="16" thickTop="1" thickBot="1">
      <c r="C99" s="74">
        <f t="shared" si="19"/>
        <v>89</v>
      </c>
      <c r="D99" s="75">
        <f t="shared" si="20"/>
        <v>47239</v>
      </c>
      <c r="E99" s="74">
        <f t="shared" si="16"/>
        <v>30</v>
      </c>
      <c r="F99" s="74" t="str">
        <f t="shared" si="17"/>
        <v>Q2-29</v>
      </c>
      <c r="G99" s="74">
        <f t="shared" si="21"/>
        <v>8</v>
      </c>
      <c r="H99" s="74">
        <f t="shared" si="18"/>
        <v>2029</v>
      </c>
      <c r="J99" s="82">
        <f>DATA!L99</f>
        <v>1.1578265456649595</v>
      </c>
      <c r="K99" s="82">
        <f>DATA!M99</f>
        <v>1.0653538090874699</v>
      </c>
      <c r="L99" s="82">
        <f>DATA!N99</f>
        <v>1</v>
      </c>
      <c r="M99" s="82">
        <f>DATA!O99</f>
        <v>1</v>
      </c>
      <c r="N99" s="82">
        <f>DATA!P99</f>
        <v>1</v>
      </c>
      <c r="P99" s="330">
        <f t="shared" si="24"/>
        <v>0</v>
      </c>
      <c r="Q99" s="330">
        <f t="shared" si="24"/>
        <v>0</v>
      </c>
      <c r="R99" s="330">
        <f t="shared" si="24"/>
        <v>0</v>
      </c>
      <c r="S99" s="330">
        <f t="shared" si="24"/>
        <v>0</v>
      </c>
      <c r="T99" s="334">
        <f t="shared" si="22"/>
        <v>0</v>
      </c>
      <c r="V99" s="330">
        <f t="shared" si="25"/>
        <v>0</v>
      </c>
      <c r="W99" s="330">
        <f t="shared" si="25"/>
        <v>0</v>
      </c>
      <c r="X99" s="330">
        <f t="shared" si="25"/>
        <v>0</v>
      </c>
      <c r="Y99" s="330">
        <f t="shared" si="25"/>
        <v>0</v>
      </c>
      <c r="Z99" s="334">
        <f t="shared" si="23"/>
        <v>0</v>
      </c>
    </row>
    <row r="100" spans="3:26" ht="16" thickTop="1" thickBot="1">
      <c r="C100" s="74">
        <f t="shared" si="19"/>
        <v>90</v>
      </c>
      <c r="D100" s="75">
        <f t="shared" si="20"/>
        <v>47270</v>
      </c>
      <c r="E100" s="74">
        <f t="shared" si="16"/>
        <v>30</v>
      </c>
      <c r="F100" s="74" t="str">
        <f t="shared" si="17"/>
        <v>Q2-29</v>
      </c>
      <c r="G100" s="74">
        <f t="shared" si="21"/>
        <v>8</v>
      </c>
      <c r="H100" s="74">
        <f t="shared" si="18"/>
        <v>2029</v>
      </c>
      <c r="J100" s="82">
        <f>DATA!L100</f>
        <v>1.1597562565744011</v>
      </c>
      <c r="K100" s="82">
        <f>DATA!M100</f>
        <v>1.066241603928376</v>
      </c>
      <c r="L100" s="82">
        <f>DATA!N100</f>
        <v>1</v>
      </c>
      <c r="M100" s="82">
        <f>DATA!O100</f>
        <v>1</v>
      </c>
      <c r="N100" s="82">
        <f>DATA!P100</f>
        <v>1</v>
      </c>
      <c r="P100" s="330">
        <f t="shared" si="24"/>
        <v>0</v>
      </c>
      <c r="Q100" s="330">
        <f t="shared" si="24"/>
        <v>0</v>
      </c>
      <c r="R100" s="330">
        <f t="shared" si="24"/>
        <v>0</v>
      </c>
      <c r="S100" s="330">
        <f t="shared" si="24"/>
        <v>0</v>
      </c>
      <c r="T100" s="334">
        <f t="shared" si="22"/>
        <v>0</v>
      </c>
      <c r="V100" s="330">
        <f t="shared" si="25"/>
        <v>0</v>
      </c>
      <c r="W100" s="330">
        <f t="shared" si="25"/>
        <v>0</v>
      </c>
      <c r="X100" s="330">
        <f t="shared" si="25"/>
        <v>0</v>
      </c>
      <c r="Y100" s="330">
        <f t="shared" si="25"/>
        <v>0</v>
      </c>
      <c r="Z100" s="334">
        <f t="shared" si="23"/>
        <v>0</v>
      </c>
    </row>
    <row r="101" spans="3:26" ht="16" thickTop="1" thickBot="1">
      <c r="C101" s="74">
        <f t="shared" si="19"/>
        <v>91</v>
      </c>
      <c r="D101" s="75">
        <f t="shared" si="20"/>
        <v>47300</v>
      </c>
      <c r="E101" s="74">
        <f t="shared" si="16"/>
        <v>31</v>
      </c>
      <c r="F101" s="74" t="str">
        <f t="shared" si="17"/>
        <v>Q2-29</v>
      </c>
      <c r="G101" s="74">
        <f t="shared" si="21"/>
        <v>8</v>
      </c>
      <c r="H101" s="74">
        <f t="shared" si="18"/>
        <v>2029</v>
      </c>
      <c r="J101" s="82">
        <f>DATA!L101</f>
        <v>1.1616891836686918</v>
      </c>
      <c r="K101" s="82">
        <f>DATA!M101</f>
        <v>1.0671301385983163</v>
      </c>
      <c r="L101" s="82">
        <f>DATA!N101</f>
        <v>1</v>
      </c>
      <c r="M101" s="82">
        <f>DATA!O101</f>
        <v>1</v>
      </c>
      <c r="N101" s="82">
        <f>DATA!P101</f>
        <v>1</v>
      </c>
      <c r="P101" s="330">
        <f t="shared" si="24"/>
        <v>0</v>
      </c>
      <c r="Q101" s="330">
        <f t="shared" si="24"/>
        <v>0</v>
      </c>
      <c r="R101" s="330">
        <f t="shared" si="24"/>
        <v>0</v>
      </c>
      <c r="S101" s="330">
        <f t="shared" si="24"/>
        <v>0</v>
      </c>
      <c r="T101" s="334">
        <f t="shared" si="22"/>
        <v>0</v>
      </c>
      <c r="V101" s="330">
        <f t="shared" si="25"/>
        <v>0</v>
      </c>
      <c r="W101" s="330">
        <f t="shared" si="25"/>
        <v>0</v>
      </c>
      <c r="X101" s="330">
        <f t="shared" si="25"/>
        <v>0</v>
      </c>
      <c r="Y101" s="330">
        <f t="shared" si="25"/>
        <v>0</v>
      </c>
      <c r="Z101" s="334">
        <f t="shared" si="23"/>
        <v>0</v>
      </c>
    </row>
    <row r="102" spans="3:26" ht="16" thickTop="1" thickBot="1">
      <c r="C102" s="74">
        <f t="shared" si="19"/>
        <v>92</v>
      </c>
      <c r="D102" s="75">
        <f t="shared" si="20"/>
        <v>47331</v>
      </c>
      <c r="E102" s="74">
        <f t="shared" si="16"/>
        <v>31</v>
      </c>
      <c r="F102" s="74" t="str">
        <f t="shared" si="17"/>
        <v>Q3-29</v>
      </c>
      <c r="G102" s="74">
        <f t="shared" si="21"/>
        <v>8</v>
      </c>
      <c r="H102" s="74">
        <f t="shared" si="18"/>
        <v>2029</v>
      </c>
      <c r="J102" s="82">
        <f>DATA!L102</f>
        <v>1.1636253323081396</v>
      </c>
      <c r="K102" s="82">
        <f>DATA!M102</f>
        <v>1.0680194137138148</v>
      </c>
      <c r="L102" s="82">
        <f>DATA!N102</f>
        <v>1</v>
      </c>
      <c r="M102" s="82">
        <f>DATA!O102</f>
        <v>1</v>
      </c>
      <c r="N102" s="82">
        <f>DATA!P102</f>
        <v>1</v>
      </c>
      <c r="P102" s="330">
        <f t="shared" si="24"/>
        <v>0</v>
      </c>
      <c r="Q102" s="330">
        <f t="shared" si="24"/>
        <v>0</v>
      </c>
      <c r="R102" s="330">
        <f t="shared" si="24"/>
        <v>0</v>
      </c>
      <c r="S102" s="330">
        <f t="shared" si="24"/>
        <v>0</v>
      </c>
      <c r="T102" s="334">
        <f t="shared" si="22"/>
        <v>0</v>
      </c>
      <c r="V102" s="330">
        <f t="shared" si="25"/>
        <v>0</v>
      </c>
      <c r="W102" s="330">
        <f t="shared" si="25"/>
        <v>0</v>
      </c>
      <c r="X102" s="330">
        <f t="shared" si="25"/>
        <v>0</v>
      </c>
      <c r="Y102" s="330">
        <f t="shared" si="25"/>
        <v>0</v>
      </c>
      <c r="Z102" s="334">
        <f t="shared" si="23"/>
        <v>0</v>
      </c>
    </row>
    <row r="103" spans="3:26" ht="16" thickTop="1" thickBot="1">
      <c r="C103" s="74">
        <f t="shared" si="19"/>
        <v>93</v>
      </c>
      <c r="D103" s="75">
        <f t="shared" si="20"/>
        <v>47362</v>
      </c>
      <c r="E103" s="74">
        <f t="shared" si="16"/>
        <v>31</v>
      </c>
      <c r="F103" s="74" t="str">
        <f t="shared" si="17"/>
        <v>Q3-29</v>
      </c>
      <c r="G103" s="74">
        <f t="shared" si="21"/>
        <v>8</v>
      </c>
      <c r="H103" s="74">
        <f t="shared" si="18"/>
        <v>2029</v>
      </c>
      <c r="J103" s="82">
        <f>DATA!L103</f>
        <v>1.1655647078619866</v>
      </c>
      <c r="K103" s="82">
        <f>DATA!M103</f>
        <v>1.0689094298919095</v>
      </c>
      <c r="L103" s="82">
        <f>DATA!N103</f>
        <v>1</v>
      </c>
      <c r="M103" s="82">
        <f>DATA!O103</f>
        <v>1</v>
      </c>
      <c r="N103" s="82">
        <f>DATA!P103</f>
        <v>1</v>
      </c>
      <c r="P103" s="330">
        <f t="shared" si="24"/>
        <v>0</v>
      </c>
      <c r="Q103" s="330">
        <f t="shared" si="24"/>
        <v>0</v>
      </c>
      <c r="R103" s="330">
        <f t="shared" si="24"/>
        <v>0</v>
      </c>
      <c r="S103" s="330">
        <f t="shared" si="24"/>
        <v>0</v>
      </c>
      <c r="T103" s="334">
        <f t="shared" si="22"/>
        <v>0</v>
      </c>
      <c r="V103" s="330">
        <f t="shared" si="25"/>
        <v>0</v>
      </c>
      <c r="W103" s="330">
        <f t="shared" si="25"/>
        <v>0</v>
      </c>
      <c r="X103" s="330">
        <f t="shared" si="25"/>
        <v>0</v>
      </c>
      <c r="Y103" s="330">
        <f t="shared" si="25"/>
        <v>0</v>
      </c>
      <c r="Z103" s="334">
        <f t="shared" si="23"/>
        <v>0</v>
      </c>
    </row>
    <row r="104" spans="3:26" ht="16" thickTop="1" thickBot="1">
      <c r="C104" s="74">
        <f t="shared" si="19"/>
        <v>94</v>
      </c>
      <c r="D104" s="75">
        <f t="shared" si="20"/>
        <v>47392</v>
      </c>
      <c r="E104" s="74">
        <f t="shared" si="16"/>
        <v>32</v>
      </c>
      <c r="F104" s="74" t="str">
        <f t="shared" si="17"/>
        <v>Q3-29</v>
      </c>
      <c r="G104" s="74">
        <f t="shared" si="21"/>
        <v>8</v>
      </c>
      <c r="H104" s="74">
        <f t="shared" si="18"/>
        <v>2029</v>
      </c>
      <c r="J104" s="82">
        <f>DATA!L104</f>
        <v>1.1675073157084233</v>
      </c>
      <c r="K104" s="82">
        <f>DATA!M104</f>
        <v>1.0698001877501526</v>
      </c>
      <c r="L104" s="82">
        <f>DATA!N104</f>
        <v>1</v>
      </c>
      <c r="M104" s="82">
        <f>DATA!O104</f>
        <v>1</v>
      </c>
      <c r="N104" s="82">
        <f>DATA!P104</f>
        <v>1</v>
      </c>
      <c r="P104" s="330">
        <f t="shared" si="24"/>
        <v>0</v>
      </c>
      <c r="Q104" s="330">
        <f t="shared" si="24"/>
        <v>0</v>
      </c>
      <c r="R104" s="330">
        <f t="shared" si="24"/>
        <v>0</v>
      </c>
      <c r="S104" s="330">
        <f t="shared" si="24"/>
        <v>0</v>
      </c>
      <c r="T104" s="334">
        <f t="shared" si="22"/>
        <v>0</v>
      </c>
      <c r="V104" s="330">
        <f t="shared" si="25"/>
        <v>0</v>
      </c>
      <c r="W104" s="330">
        <f t="shared" si="25"/>
        <v>0</v>
      </c>
      <c r="X104" s="330">
        <f t="shared" si="25"/>
        <v>0</v>
      </c>
      <c r="Y104" s="330">
        <f t="shared" si="25"/>
        <v>0</v>
      </c>
      <c r="Z104" s="334">
        <f t="shared" si="23"/>
        <v>0</v>
      </c>
    </row>
    <row r="105" spans="3:26" ht="16" thickTop="1" thickBot="1">
      <c r="C105" s="74">
        <f t="shared" si="19"/>
        <v>95</v>
      </c>
      <c r="D105" s="75">
        <f t="shared" si="20"/>
        <v>47423</v>
      </c>
      <c r="E105" s="74">
        <f t="shared" si="16"/>
        <v>32</v>
      </c>
      <c r="F105" s="74" t="str">
        <f t="shared" si="17"/>
        <v>Q3-29</v>
      </c>
      <c r="G105" s="74">
        <f t="shared" si="21"/>
        <v>8</v>
      </c>
      <c r="H105" s="74">
        <f t="shared" si="18"/>
        <v>2029</v>
      </c>
      <c r="J105" s="82">
        <f>DATA!L105</f>
        <v>1.169453161234604</v>
      </c>
      <c r="K105" s="82">
        <f>DATA!M105</f>
        <v>1.0706916879066111</v>
      </c>
      <c r="L105" s="82">
        <f>DATA!N105</f>
        <v>1</v>
      </c>
      <c r="M105" s="82">
        <f>DATA!O105</f>
        <v>1</v>
      </c>
      <c r="N105" s="82">
        <f>DATA!P105</f>
        <v>1</v>
      </c>
      <c r="P105" s="330">
        <f t="shared" si="24"/>
        <v>0</v>
      </c>
      <c r="Q105" s="330">
        <f t="shared" si="24"/>
        <v>0</v>
      </c>
      <c r="R105" s="330">
        <f t="shared" si="24"/>
        <v>0</v>
      </c>
      <c r="S105" s="330">
        <f t="shared" si="24"/>
        <v>0</v>
      </c>
      <c r="T105" s="334">
        <f t="shared" si="22"/>
        <v>0</v>
      </c>
      <c r="V105" s="330">
        <f t="shared" si="25"/>
        <v>0</v>
      </c>
      <c r="W105" s="330">
        <f t="shared" si="25"/>
        <v>0</v>
      </c>
      <c r="X105" s="330">
        <f t="shared" si="25"/>
        <v>0</v>
      </c>
      <c r="Y105" s="330">
        <f t="shared" si="25"/>
        <v>0</v>
      </c>
      <c r="Z105" s="334">
        <f t="shared" si="23"/>
        <v>0</v>
      </c>
    </row>
    <row r="106" spans="3:26" ht="16" thickTop="1" thickBot="1">
      <c r="C106" s="74">
        <f t="shared" si="19"/>
        <v>96</v>
      </c>
      <c r="D106" s="75">
        <f t="shared" si="20"/>
        <v>47453</v>
      </c>
      <c r="E106" s="74">
        <f t="shared" si="16"/>
        <v>32</v>
      </c>
      <c r="F106" s="74" t="str">
        <f t="shared" si="17"/>
        <v>Q4-29</v>
      </c>
      <c r="G106" s="74">
        <f t="shared" si="21"/>
        <v>8</v>
      </c>
      <c r="H106" s="74">
        <f t="shared" si="18"/>
        <v>2029</v>
      </c>
      <c r="J106" s="82">
        <f>DATA!L106</f>
        <v>1.1714022498366616</v>
      </c>
      <c r="K106" s="82">
        <f>DATA!M106</f>
        <v>1.0715839309798665</v>
      </c>
      <c r="L106" s="82">
        <f>DATA!N106</f>
        <v>1</v>
      </c>
      <c r="M106" s="82">
        <f>DATA!O106</f>
        <v>1</v>
      </c>
      <c r="N106" s="82">
        <f>DATA!P106</f>
        <v>1</v>
      </c>
      <c r="P106" s="330">
        <f t="shared" si="24"/>
        <v>0</v>
      </c>
      <c r="Q106" s="330">
        <f t="shared" si="24"/>
        <v>0</v>
      </c>
      <c r="R106" s="330">
        <f t="shared" si="24"/>
        <v>0</v>
      </c>
      <c r="S106" s="330">
        <f t="shared" si="24"/>
        <v>0</v>
      </c>
      <c r="T106" s="334">
        <f t="shared" si="22"/>
        <v>0</v>
      </c>
      <c r="V106" s="330">
        <f t="shared" si="25"/>
        <v>0</v>
      </c>
      <c r="W106" s="330">
        <f t="shared" si="25"/>
        <v>0</v>
      </c>
      <c r="X106" s="330">
        <f t="shared" si="25"/>
        <v>0</v>
      </c>
      <c r="Y106" s="330">
        <f t="shared" si="25"/>
        <v>0</v>
      </c>
      <c r="Z106" s="334">
        <f t="shared" si="23"/>
        <v>0</v>
      </c>
    </row>
    <row r="107" spans="3:26" ht="16" thickTop="1" thickBot="1">
      <c r="C107" s="74">
        <f t="shared" si="19"/>
        <v>97</v>
      </c>
      <c r="D107" s="75">
        <f t="shared" si="20"/>
        <v>47484</v>
      </c>
      <c r="E107" s="74">
        <f t="shared" si="16"/>
        <v>33</v>
      </c>
      <c r="F107" s="74" t="str">
        <f t="shared" si="17"/>
        <v>Q1-30</v>
      </c>
      <c r="G107" s="74">
        <f t="shared" si="21"/>
        <v>9</v>
      </c>
      <c r="H107" s="74">
        <f t="shared" si="18"/>
        <v>2030</v>
      </c>
      <c r="J107" s="82">
        <f>DATA!L107</f>
        <v>1.1733545869197228</v>
      </c>
      <c r="K107" s="82">
        <f>DATA!M107</f>
        <v>1.0724769175890163</v>
      </c>
      <c r="L107" s="82">
        <f>DATA!N107</f>
        <v>1</v>
      </c>
      <c r="M107" s="82">
        <f>DATA!O107</f>
        <v>1</v>
      </c>
      <c r="N107" s="82">
        <f>DATA!P107</f>
        <v>1</v>
      </c>
      <c r="P107" s="330">
        <f t="shared" si="24"/>
        <v>0</v>
      </c>
      <c r="Q107" s="330">
        <f t="shared" si="24"/>
        <v>0</v>
      </c>
      <c r="R107" s="330">
        <f t="shared" si="24"/>
        <v>0</v>
      </c>
      <c r="S107" s="330">
        <f t="shared" si="24"/>
        <v>0</v>
      </c>
      <c r="T107" s="334">
        <f t="shared" si="22"/>
        <v>0</v>
      </c>
      <c r="V107" s="330">
        <f t="shared" si="25"/>
        <v>0</v>
      </c>
      <c r="W107" s="330">
        <f t="shared" si="25"/>
        <v>0</v>
      </c>
      <c r="X107" s="330">
        <f t="shared" si="25"/>
        <v>0</v>
      </c>
      <c r="Y107" s="330">
        <f t="shared" si="25"/>
        <v>0</v>
      </c>
      <c r="Z107" s="334">
        <f t="shared" si="23"/>
        <v>0</v>
      </c>
    </row>
    <row r="108" spans="3:26" ht="16" thickTop="1" thickBot="1">
      <c r="C108" s="74">
        <f t="shared" si="19"/>
        <v>98</v>
      </c>
      <c r="D108" s="75">
        <f t="shared" si="20"/>
        <v>47515</v>
      </c>
      <c r="E108" s="74">
        <f t="shared" si="16"/>
        <v>33</v>
      </c>
      <c r="F108" s="74" t="str">
        <f t="shared" si="17"/>
        <v>Q1-30</v>
      </c>
      <c r="G108" s="74">
        <f t="shared" si="21"/>
        <v>9</v>
      </c>
      <c r="H108" s="74">
        <f t="shared" si="18"/>
        <v>2030</v>
      </c>
      <c r="J108" s="82">
        <f>DATA!L108</f>
        <v>1.1753101778979225</v>
      </c>
      <c r="K108" s="82">
        <f>DATA!M108</f>
        <v>1.0733706483536738</v>
      </c>
      <c r="L108" s="82">
        <f>DATA!N108</f>
        <v>1</v>
      </c>
      <c r="M108" s="82">
        <f>DATA!O108</f>
        <v>1</v>
      </c>
      <c r="N108" s="82">
        <f>DATA!P108</f>
        <v>1</v>
      </c>
      <c r="P108" s="330">
        <f t="shared" si="24"/>
        <v>0</v>
      </c>
      <c r="Q108" s="330">
        <f t="shared" si="24"/>
        <v>0</v>
      </c>
      <c r="R108" s="330">
        <f t="shared" si="24"/>
        <v>0</v>
      </c>
      <c r="S108" s="330">
        <f t="shared" si="24"/>
        <v>0</v>
      </c>
      <c r="T108" s="334">
        <f t="shared" si="22"/>
        <v>0</v>
      </c>
      <c r="V108" s="330">
        <f t="shared" si="25"/>
        <v>0</v>
      </c>
      <c r="W108" s="330">
        <f t="shared" si="25"/>
        <v>0</v>
      </c>
      <c r="X108" s="330">
        <f t="shared" si="25"/>
        <v>0</v>
      </c>
      <c r="Y108" s="330">
        <f t="shared" si="25"/>
        <v>0</v>
      </c>
      <c r="Z108" s="334">
        <f t="shared" si="23"/>
        <v>0</v>
      </c>
    </row>
    <row r="109" spans="3:26" ht="16" thickTop="1" thickBot="1">
      <c r="C109" s="74">
        <f t="shared" si="19"/>
        <v>99</v>
      </c>
      <c r="D109" s="75">
        <f t="shared" si="20"/>
        <v>47543</v>
      </c>
      <c r="E109" s="74">
        <f t="shared" si="16"/>
        <v>33</v>
      </c>
      <c r="F109" s="74" t="str">
        <f t="shared" si="17"/>
        <v>Q1-30</v>
      </c>
      <c r="G109" s="74">
        <f t="shared" si="21"/>
        <v>9</v>
      </c>
      <c r="H109" s="74">
        <f t="shared" si="18"/>
        <v>2030</v>
      </c>
      <c r="J109" s="82">
        <f>DATA!L109</f>
        <v>1.1772690281944191</v>
      </c>
      <c r="K109" s="82">
        <f>DATA!M109</f>
        <v>1.0742651238939684</v>
      </c>
      <c r="L109" s="82">
        <f>DATA!N109</f>
        <v>1</v>
      </c>
      <c r="M109" s="82">
        <f>DATA!O109</f>
        <v>1</v>
      </c>
      <c r="N109" s="82">
        <f>DATA!P109</f>
        <v>1</v>
      </c>
      <c r="P109" s="330">
        <f t="shared" si="24"/>
        <v>0</v>
      </c>
      <c r="Q109" s="330">
        <f t="shared" si="24"/>
        <v>0</v>
      </c>
      <c r="R109" s="330">
        <f t="shared" si="24"/>
        <v>0</v>
      </c>
      <c r="S109" s="330">
        <f t="shared" si="24"/>
        <v>0</v>
      </c>
      <c r="T109" s="334">
        <f t="shared" si="22"/>
        <v>0</v>
      </c>
      <c r="V109" s="330">
        <f t="shared" si="25"/>
        <v>0</v>
      </c>
      <c r="W109" s="330">
        <f t="shared" si="25"/>
        <v>0</v>
      </c>
      <c r="X109" s="330">
        <f t="shared" si="25"/>
        <v>0</v>
      </c>
      <c r="Y109" s="330">
        <f t="shared" si="25"/>
        <v>0</v>
      </c>
      <c r="Z109" s="334">
        <f t="shared" si="23"/>
        <v>0</v>
      </c>
    </row>
    <row r="110" spans="3:26" ht="16" thickTop="1" thickBot="1">
      <c r="C110" s="74">
        <f t="shared" si="19"/>
        <v>100</v>
      </c>
      <c r="D110" s="75">
        <f t="shared" si="20"/>
        <v>47574</v>
      </c>
      <c r="E110" s="74">
        <f t="shared" si="16"/>
        <v>34</v>
      </c>
      <c r="F110" s="74" t="str">
        <f t="shared" si="17"/>
        <v>Q2-30</v>
      </c>
      <c r="G110" s="74">
        <f t="shared" si="21"/>
        <v>9</v>
      </c>
      <c r="H110" s="74">
        <f t="shared" si="18"/>
        <v>2030</v>
      </c>
      <c r="J110" s="82">
        <f>DATA!L110</f>
        <v>1.17923114324141</v>
      </c>
      <c r="K110" s="82">
        <f>DATA!M110</f>
        <v>1.0751603448305467</v>
      </c>
      <c r="L110" s="82">
        <f>DATA!N110</f>
        <v>1</v>
      </c>
      <c r="M110" s="82">
        <f>DATA!O110</f>
        <v>1</v>
      </c>
      <c r="N110" s="82">
        <f>DATA!P110</f>
        <v>1</v>
      </c>
      <c r="P110" s="330">
        <f t="shared" si="24"/>
        <v>0</v>
      </c>
      <c r="Q110" s="330">
        <f t="shared" si="24"/>
        <v>0</v>
      </c>
      <c r="R110" s="330">
        <f t="shared" si="24"/>
        <v>0</v>
      </c>
      <c r="S110" s="330">
        <f t="shared" si="24"/>
        <v>0</v>
      </c>
      <c r="T110" s="334">
        <f t="shared" si="22"/>
        <v>0</v>
      </c>
      <c r="V110" s="330">
        <f t="shared" si="25"/>
        <v>0</v>
      </c>
      <c r="W110" s="330">
        <f t="shared" si="25"/>
        <v>0</v>
      </c>
      <c r="X110" s="330">
        <f t="shared" si="25"/>
        <v>0</v>
      </c>
      <c r="Y110" s="330">
        <f t="shared" si="25"/>
        <v>0</v>
      </c>
      <c r="Z110" s="334">
        <f t="shared" si="23"/>
        <v>0</v>
      </c>
    </row>
    <row r="111" spans="3:26" ht="16" thickTop="1" thickBot="1">
      <c r="C111" s="74">
        <f t="shared" si="19"/>
        <v>101</v>
      </c>
      <c r="D111" s="75">
        <f t="shared" si="20"/>
        <v>47604</v>
      </c>
      <c r="E111" s="74">
        <f t="shared" si="16"/>
        <v>34</v>
      </c>
      <c r="F111" s="74" t="str">
        <f t="shared" si="17"/>
        <v>Q2-30</v>
      </c>
      <c r="G111" s="74">
        <f t="shared" si="21"/>
        <v>9</v>
      </c>
      <c r="H111" s="74">
        <f t="shared" si="18"/>
        <v>2030</v>
      </c>
      <c r="J111" s="82">
        <f>DATA!L111</f>
        <v>1.1811965284801458</v>
      </c>
      <c r="K111" s="82">
        <f>DATA!M111</f>
        <v>1.0760563117845721</v>
      </c>
      <c r="L111" s="82">
        <f>DATA!N111</f>
        <v>1</v>
      </c>
      <c r="M111" s="82">
        <f>DATA!O111</f>
        <v>1</v>
      </c>
      <c r="N111" s="82">
        <f>DATA!P111</f>
        <v>1</v>
      </c>
      <c r="P111" s="330">
        <f t="shared" ref="P111:S130" si="26">IF(AND($C111&gt;=P$6,$C111&lt;=P$6+P$7-1),P$9/P$7*$K111,0)</f>
        <v>0</v>
      </c>
      <c r="Q111" s="330">
        <f t="shared" si="26"/>
        <v>0</v>
      </c>
      <c r="R111" s="330">
        <f t="shared" si="26"/>
        <v>0</v>
      </c>
      <c r="S111" s="330">
        <f t="shared" si="26"/>
        <v>0</v>
      </c>
      <c r="T111" s="334">
        <f t="shared" si="22"/>
        <v>0</v>
      </c>
      <c r="V111" s="330">
        <f t="shared" ref="V111:Y130" si="27">IF(AND($C111&gt;=V$6,$C111&lt;=V$6+V$7-1),V$9/V$7*$K111,0)</f>
        <v>0</v>
      </c>
      <c r="W111" s="330">
        <f t="shared" si="27"/>
        <v>0</v>
      </c>
      <c r="X111" s="330">
        <f t="shared" si="27"/>
        <v>0</v>
      </c>
      <c r="Y111" s="330">
        <f t="shared" si="27"/>
        <v>0</v>
      </c>
      <c r="Z111" s="334">
        <f t="shared" si="23"/>
        <v>0</v>
      </c>
    </row>
    <row r="112" spans="3:26" ht="16" thickTop="1" thickBot="1">
      <c r="C112" s="74">
        <f t="shared" si="19"/>
        <v>102</v>
      </c>
      <c r="D112" s="75">
        <f t="shared" si="20"/>
        <v>47635</v>
      </c>
      <c r="E112" s="74">
        <f t="shared" si="16"/>
        <v>34</v>
      </c>
      <c r="F112" s="74" t="str">
        <f t="shared" si="17"/>
        <v>Q2-30</v>
      </c>
      <c r="G112" s="74">
        <f t="shared" si="21"/>
        <v>9</v>
      </c>
      <c r="H112" s="74">
        <f t="shared" si="18"/>
        <v>2030</v>
      </c>
      <c r="J112" s="82">
        <f>DATA!L112</f>
        <v>1.1831651893609461</v>
      </c>
      <c r="K112" s="82">
        <f>DATA!M112</f>
        <v>1.0769530253777257</v>
      </c>
      <c r="L112" s="82">
        <f>DATA!N112</f>
        <v>1</v>
      </c>
      <c r="M112" s="82">
        <f>DATA!O112</f>
        <v>1</v>
      </c>
      <c r="N112" s="82">
        <f>DATA!P112</f>
        <v>1</v>
      </c>
      <c r="P112" s="330">
        <f t="shared" si="26"/>
        <v>0</v>
      </c>
      <c r="Q112" s="330">
        <f t="shared" si="26"/>
        <v>0</v>
      </c>
      <c r="R112" s="330">
        <f t="shared" si="26"/>
        <v>0</v>
      </c>
      <c r="S112" s="330">
        <f t="shared" si="26"/>
        <v>0</v>
      </c>
      <c r="T112" s="334">
        <f t="shared" si="22"/>
        <v>0</v>
      </c>
      <c r="V112" s="330">
        <f t="shared" si="27"/>
        <v>0</v>
      </c>
      <c r="W112" s="330">
        <f t="shared" si="27"/>
        <v>0</v>
      </c>
      <c r="X112" s="330">
        <f t="shared" si="27"/>
        <v>0</v>
      </c>
      <c r="Y112" s="330">
        <f t="shared" si="27"/>
        <v>0</v>
      </c>
      <c r="Z112" s="334">
        <f t="shared" si="23"/>
        <v>0</v>
      </c>
    </row>
    <row r="113" spans="3:26" ht="16" thickTop="1" thickBot="1">
      <c r="C113" s="74">
        <f t="shared" si="19"/>
        <v>103</v>
      </c>
      <c r="D113" s="75">
        <f t="shared" si="20"/>
        <v>47665</v>
      </c>
      <c r="E113" s="74">
        <f t="shared" si="16"/>
        <v>35</v>
      </c>
      <c r="F113" s="74" t="str">
        <f t="shared" si="17"/>
        <v>Q2-30</v>
      </c>
      <c r="G113" s="74">
        <f t="shared" si="21"/>
        <v>9</v>
      </c>
      <c r="H113" s="74">
        <f t="shared" si="18"/>
        <v>2030</v>
      </c>
      <c r="J113" s="82">
        <f>DATA!L113</f>
        <v>1.1851371313432144</v>
      </c>
      <c r="K113" s="82">
        <f>DATA!M113</f>
        <v>1.0778504862322071</v>
      </c>
      <c r="L113" s="82">
        <f>DATA!N113</f>
        <v>1</v>
      </c>
      <c r="M113" s="82">
        <f>DATA!O113</f>
        <v>1</v>
      </c>
      <c r="N113" s="82">
        <f>DATA!P113</f>
        <v>1</v>
      </c>
      <c r="P113" s="330">
        <f t="shared" si="26"/>
        <v>0</v>
      </c>
      <c r="Q113" s="330">
        <f t="shared" si="26"/>
        <v>0</v>
      </c>
      <c r="R113" s="330">
        <f t="shared" si="26"/>
        <v>0</v>
      </c>
      <c r="S113" s="330">
        <f t="shared" si="26"/>
        <v>0</v>
      </c>
      <c r="T113" s="334">
        <f t="shared" si="22"/>
        <v>0</v>
      </c>
      <c r="V113" s="330">
        <f t="shared" si="27"/>
        <v>0</v>
      </c>
      <c r="W113" s="330">
        <f t="shared" si="27"/>
        <v>0</v>
      </c>
      <c r="X113" s="330">
        <f t="shared" si="27"/>
        <v>0</v>
      </c>
      <c r="Y113" s="330">
        <f t="shared" si="27"/>
        <v>0</v>
      </c>
      <c r="Z113" s="334">
        <f t="shared" si="23"/>
        <v>0</v>
      </c>
    </row>
    <row r="114" spans="3:26" ht="16" thickTop="1" thickBot="1">
      <c r="C114" s="74">
        <f t="shared" si="19"/>
        <v>104</v>
      </c>
      <c r="D114" s="75">
        <f t="shared" si="20"/>
        <v>47696</v>
      </c>
      <c r="E114" s="74">
        <f t="shared" si="16"/>
        <v>35</v>
      </c>
      <c r="F114" s="74" t="str">
        <f t="shared" si="17"/>
        <v>Q3-30</v>
      </c>
      <c r="G114" s="74">
        <f t="shared" si="21"/>
        <v>9</v>
      </c>
      <c r="H114" s="74">
        <f t="shared" si="18"/>
        <v>2030</v>
      </c>
      <c r="J114" s="82">
        <f>DATA!L114</f>
        <v>1.1871123598954532</v>
      </c>
      <c r="K114" s="82">
        <f>DATA!M114</f>
        <v>1.0787486949707339</v>
      </c>
      <c r="L114" s="82">
        <f>DATA!N114</f>
        <v>1</v>
      </c>
      <c r="M114" s="82">
        <f>DATA!O114</f>
        <v>1</v>
      </c>
      <c r="N114" s="82">
        <f>DATA!P114</f>
        <v>1</v>
      </c>
      <c r="P114" s="330">
        <f t="shared" si="26"/>
        <v>0</v>
      </c>
      <c r="Q114" s="330">
        <f t="shared" si="26"/>
        <v>0</v>
      </c>
      <c r="R114" s="330">
        <f t="shared" si="26"/>
        <v>0</v>
      </c>
      <c r="S114" s="330">
        <f t="shared" si="26"/>
        <v>0</v>
      </c>
      <c r="T114" s="334">
        <f t="shared" si="22"/>
        <v>0</v>
      </c>
      <c r="V114" s="330">
        <f t="shared" si="27"/>
        <v>0</v>
      </c>
      <c r="W114" s="330">
        <f t="shared" si="27"/>
        <v>0</v>
      </c>
      <c r="X114" s="330">
        <f t="shared" si="27"/>
        <v>0</v>
      </c>
      <c r="Y114" s="330">
        <f t="shared" si="27"/>
        <v>0</v>
      </c>
      <c r="Z114" s="334">
        <f t="shared" si="23"/>
        <v>0</v>
      </c>
    </row>
    <row r="115" spans="3:26" ht="16" thickTop="1" thickBot="1">
      <c r="C115" s="74">
        <f t="shared" si="19"/>
        <v>105</v>
      </c>
      <c r="D115" s="75">
        <f t="shared" si="20"/>
        <v>47727</v>
      </c>
      <c r="E115" s="74">
        <f t="shared" si="16"/>
        <v>35</v>
      </c>
      <c r="F115" s="74" t="str">
        <f t="shared" si="17"/>
        <v>Q3-30</v>
      </c>
      <c r="G115" s="74">
        <f t="shared" si="21"/>
        <v>9</v>
      </c>
      <c r="H115" s="74">
        <f t="shared" si="18"/>
        <v>2030</v>
      </c>
      <c r="J115" s="82">
        <f>DATA!L115</f>
        <v>1.1890908804952789</v>
      </c>
      <c r="K115" s="82">
        <f>DATA!M115</f>
        <v>1.0796476522165428</v>
      </c>
      <c r="L115" s="82">
        <f>DATA!N115</f>
        <v>1</v>
      </c>
      <c r="M115" s="82">
        <f>DATA!O115</f>
        <v>1</v>
      </c>
      <c r="N115" s="82">
        <f>DATA!P115</f>
        <v>1</v>
      </c>
      <c r="P115" s="330">
        <f t="shared" si="26"/>
        <v>0</v>
      </c>
      <c r="Q115" s="330">
        <f t="shared" si="26"/>
        <v>0</v>
      </c>
      <c r="R115" s="330">
        <f t="shared" si="26"/>
        <v>0</v>
      </c>
      <c r="S115" s="330">
        <f t="shared" si="26"/>
        <v>0</v>
      </c>
      <c r="T115" s="334">
        <f t="shared" si="22"/>
        <v>0</v>
      </c>
      <c r="V115" s="330">
        <f t="shared" si="27"/>
        <v>0</v>
      </c>
      <c r="W115" s="330">
        <f t="shared" si="27"/>
        <v>0</v>
      </c>
      <c r="X115" s="330">
        <f t="shared" si="27"/>
        <v>0</v>
      </c>
      <c r="Y115" s="330">
        <f t="shared" si="27"/>
        <v>0</v>
      </c>
      <c r="Z115" s="334">
        <f t="shared" si="23"/>
        <v>0</v>
      </c>
    </row>
    <row r="116" spans="3:26" ht="16" thickTop="1" thickBot="1">
      <c r="C116" s="74">
        <f t="shared" si="19"/>
        <v>106</v>
      </c>
      <c r="D116" s="75">
        <f t="shared" si="20"/>
        <v>47757</v>
      </c>
      <c r="E116" s="74">
        <f t="shared" si="16"/>
        <v>36</v>
      </c>
      <c r="F116" s="74" t="str">
        <f t="shared" si="17"/>
        <v>Q3-30</v>
      </c>
      <c r="G116" s="74">
        <f t="shared" si="21"/>
        <v>9</v>
      </c>
      <c r="H116" s="74">
        <f t="shared" si="18"/>
        <v>2030</v>
      </c>
      <c r="J116" s="82">
        <f>DATA!L116</f>
        <v>1.1910726986294378</v>
      </c>
      <c r="K116" s="82">
        <f>DATA!M116</f>
        <v>1.0805473585933898</v>
      </c>
      <c r="L116" s="82">
        <f>DATA!N116</f>
        <v>1</v>
      </c>
      <c r="M116" s="82">
        <f>DATA!O116</f>
        <v>1</v>
      </c>
      <c r="N116" s="82">
        <f>DATA!P116</f>
        <v>1</v>
      </c>
      <c r="P116" s="330">
        <f t="shared" si="26"/>
        <v>0</v>
      </c>
      <c r="Q116" s="330">
        <f t="shared" si="26"/>
        <v>0</v>
      </c>
      <c r="R116" s="330">
        <f t="shared" si="26"/>
        <v>0</v>
      </c>
      <c r="S116" s="330">
        <f t="shared" si="26"/>
        <v>0</v>
      </c>
      <c r="T116" s="334">
        <f t="shared" si="22"/>
        <v>0</v>
      </c>
      <c r="V116" s="330">
        <f t="shared" si="27"/>
        <v>0</v>
      </c>
      <c r="W116" s="330">
        <f t="shared" si="27"/>
        <v>0</v>
      </c>
      <c r="X116" s="330">
        <f t="shared" si="27"/>
        <v>0</v>
      </c>
      <c r="Y116" s="330">
        <f t="shared" si="27"/>
        <v>0</v>
      </c>
      <c r="Z116" s="334">
        <f t="shared" si="23"/>
        <v>0</v>
      </c>
    </row>
    <row r="117" spans="3:26" ht="16" thickTop="1" thickBot="1">
      <c r="C117" s="74">
        <f t="shared" si="19"/>
        <v>107</v>
      </c>
      <c r="D117" s="75">
        <f t="shared" si="20"/>
        <v>47788</v>
      </c>
      <c r="E117" s="74">
        <f t="shared" si="16"/>
        <v>36</v>
      </c>
      <c r="F117" s="74" t="str">
        <f t="shared" si="17"/>
        <v>Q3-30</v>
      </c>
      <c r="G117" s="74">
        <f t="shared" si="21"/>
        <v>9</v>
      </c>
      <c r="H117" s="74">
        <f t="shared" si="18"/>
        <v>2030</v>
      </c>
      <c r="J117" s="82">
        <f>DATA!L117</f>
        <v>1.1930578197938202</v>
      </c>
      <c r="K117" s="82">
        <f>DATA!M117</f>
        <v>1.0814478147255508</v>
      </c>
      <c r="L117" s="82">
        <f>DATA!N117</f>
        <v>1</v>
      </c>
      <c r="M117" s="82">
        <f>DATA!O117</f>
        <v>1</v>
      </c>
      <c r="N117" s="82">
        <f>DATA!P117</f>
        <v>1</v>
      </c>
      <c r="P117" s="330">
        <f t="shared" si="26"/>
        <v>0</v>
      </c>
      <c r="Q117" s="330">
        <f t="shared" si="26"/>
        <v>0</v>
      </c>
      <c r="R117" s="330">
        <f t="shared" si="26"/>
        <v>0</v>
      </c>
      <c r="S117" s="330">
        <f t="shared" si="26"/>
        <v>0</v>
      </c>
      <c r="T117" s="334">
        <f t="shared" si="22"/>
        <v>0</v>
      </c>
      <c r="V117" s="330">
        <f t="shared" si="27"/>
        <v>0</v>
      </c>
      <c r="W117" s="330">
        <f t="shared" si="27"/>
        <v>0</v>
      </c>
      <c r="X117" s="330">
        <f t="shared" si="27"/>
        <v>0</v>
      </c>
      <c r="Y117" s="330">
        <f t="shared" si="27"/>
        <v>0</v>
      </c>
      <c r="Z117" s="334">
        <f t="shared" si="23"/>
        <v>0</v>
      </c>
    </row>
    <row r="118" spans="3:26" ht="16" thickTop="1" thickBot="1">
      <c r="C118" s="74">
        <f t="shared" si="19"/>
        <v>108</v>
      </c>
      <c r="D118" s="75">
        <f t="shared" si="20"/>
        <v>47818</v>
      </c>
      <c r="E118" s="74">
        <f t="shared" si="16"/>
        <v>36</v>
      </c>
      <c r="F118" s="74" t="str">
        <f t="shared" si="17"/>
        <v>Q4-30</v>
      </c>
      <c r="G118" s="74">
        <f t="shared" si="21"/>
        <v>9</v>
      </c>
      <c r="H118" s="74">
        <f t="shared" si="18"/>
        <v>2030</v>
      </c>
      <c r="J118" s="82">
        <f>DATA!L118</f>
        <v>1.1950462494934766</v>
      </c>
      <c r="K118" s="82">
        <f>DATA!M118</f>
        <v>1.082349021237822</v>
      </c>
      <c r="L118" s="82">
        <f>DATA!N118</f>
        <v>1</v>
      </c>
      <c r="M118" s="82">
        <f>DATA!O118</f>
        <v>1</v>
      </c>
      <c r="N118" s="82">
        <f>DATA!P118</f>
        <v>1</v>
      </c>
      <c r="P118" s="330">
        <f t="shared" si="26"/>
        <v>0</v>
      </c>
      <c r="Q118" s="330">
        <f t="shared" si="26"/>
        <v>0</v>
      </c>
      <c r="R118" s="330">
        <f t="shared" si="26"/>
        <v>0</v>
      </c>
      <c r="S118" s="330">
        <f t="shared" si="26"/>
        <v>0</v>
      </c>
      <c r="T118" s="334">
        <f t="shared" si="22"/>
        <v>0</v>
      </c>
      <c r="V118" s="330">
        <f t="shared" si="27"/>
        <v>0</v>
      </c>
      <c r="W118" s="330">
        <f t="shared" si="27"/>
        <v>0</v>
      </c>
      <c r="X118" s="330">
        <f t="shared" si="27"/>
        <v>0</v>
      </c>
      <c r="Y118" s="330">
        <f t="shared" si="27"/>
        <v>0</v>
      </c>
      <c r="Z118" s="334">
        <f t="shared" si="23"/>
        <v>0</v>
      </c>
    </row>
    <row r="119" spans="3:26" ht="16" thickTop="1" thickBot="1">
      <c r="C119" s="74">
        <f t="shared" si="19"/>
        <v>109</v>
      </c>
      <c r="D119" s="75">
        <f t="shared" si="20"/>
        <v>47849</v>
      </c>
      <c r="E119" s="74">
        <f t="shared" si="16"/>
        <v>37</v>
      </c>
      <c r="F119" s="74" t="str">
        <f t="shared" si="17"/>
        <v>Q1-31</v>
      </c>
      <c r="G119" s="74">
        <f t="shared" si="21"/>
        <v>10</v>
      </c>
      <c r="H119" s="74">
        <f t="shared" si="18"/>
        <v>2031</v>
      </c>
      <c r="J119" s="82">
        <f>DATA!L119</f>
        <v>1.1970379932426325</v>
      </c>
      <c r="K119" s="82">
        <f>DATA!M119</f>
        <v>1.08325097875552</v>
      </c>
      <c r="L119" s="82">
        <f>DATA!N119</f>
        <v>1</v>
      </c>
      <c r="M119" s="82">
        <f>DATA!O119</f>
        <v>1</v>
      </c>
      <c r="N119" s="82">
        <f>DATA!P119</f>
        <v>1</v>
      </c>
      <c r="P119" s="330">
        <f t="shared" si="26"/>
        <v>0</v>
      </c>
      <c r="Q119" s="330">
        <f t="shared" si="26"/>
        <v>0</v>
      </c>
      <c r="R119" s="330">
        <f t="shared" si="26"/>
        <v>0</v>
      </c>
      <c r="S119" s="330">
        <f t="shared" si="26"/>
        <v>0</v>
      </c>
      <c r="T119" s="334">
        <f t="shared" si="22"/>
        <v>0</v>
      </c>
      <c r="V119" s="330">
        <f t="shared" si="27"/>
        <v>0</v>
      </c>
      <c r="W119" s="330">
        <f t="shared" si="27"/>
        <v>0</v>
      </c>
      <c r="X119" s="330">
        <f t="shared" si="27"/>
        <v>0</v>
      </c>
      <c r="Y119" s="330">
        <f t="shared" si="27"/>
        <v>0</v>
      </c>
      <c r="Z119" s="334">
        <f t="shared" si="23"/>
        <v>0</v>
      </c>
    </row>
    <row r="120" spans="3:26" ht="16" thickTop="1" thickBot="1">
      <c r="C120" s="74">
        <f t="shared" si="19"/>
        <v>110</v>
      </c>
      <c r="D120" s="75">
        <f t="shared" si="20"/>
        <v>47880</v>
      </c>
      <c r="E120" s="74">
        <f t="shared" si="16"/>
        <v>37</v>
      </c>
      <c r="F120" s="74" t="str">
        <f t="shared" si="17"/>
        <v>Q1-31</v>
      </c>
      <c r="G120" s="74">
        <f t="shared" si="21"/>
        <v>10</v>
      </c>
      <c r="H120" s="74">
        <f t="shared" si="18"/>
        <v>2031</v>
      </c>
      <c r="J120" s="82">
        <f>DATA!L120</f>
        <v>1.1990330565647036</v>
      </c>
      <c r="K120" s="82">
        <f>DATA!M120</f>
        <v>1.0841536879044829</v>
      </c>
      <c r="L120" s="82">
        <f>DATA!N120</f>
        <v>1</v>
      </c>
      <c r="M120" s="82">
        <f>DATA!O120</f>
        <v>1</v>
      </c>
      <c r="N120" s="82">
        <f>DATA!P120</f>
        <v>1</v>
      </c>
      <c r="P120" s="330">
        <f t="shared" si="26"/>
        <v>0</v>
      </c>
      <c r="Q120" s="330">
        <f t="shared" si="26"/>
        <v>0</v>
      </c>
      <c r="R120" s="330">
        <f t="shared" si="26"/>
        <v>0</v>
      </c>
      <c r="S120" s="330">
        <f t="shared" si="26"/>
        <v>0</v>
      </c>
      <c r="T120" s="334">
        <f t="shared" si="22"/>
        <v>0</v>
      </c>
      <c r="V120" s="330">
        <f t="shared" si="27"/>
        <v>0</v>
      </c>
      <c r="W120" s="330">
        <f t="shared" si="27"/>
        <v>0</v>
      </c>
      <c r="X120" s="330">
        <f t="shared" si="27"/>
        <v>0</v>
      </c>
      <c r="Y120" s="330">
        <f t="shared" si="27"/>
        <v>0</v>
      </c>
      <c r="Z120" s="334">
        <f t="shared" si="23"/>
        <v>0</v>
      </c>
    </row>
    <row r="121" spans="3:26" ht="16" thickTop="1" thickBot="1">
      <c r="C121" s="74">
        <f t="shared" si="19"/>
        <v>111</v>
      </c>
      <c r="D121" s="75">
        <f t="shared" si="20"/>
        <v>47908</v>
      </c>
      <c r="E121" s="74">
        <f t="shared" si="16"/>
        <v>37</v>
      </c>
      <c r="F121" s="74" t="str">
        <f t="shared" si="17"/>
        <v>Q1-31</v>
      </c>
      <c r="G121" s="74">
        <f t="shared" si="21"/>
        <v>10</v>
      </c>
      <c r="H121" s="74">
        <f t="shared" si="18"/>
        <v>2031</v>
      </c>
      <c r="J121" s="82">
        <f>DATA!L121</f>
        <v>1.2010314449923114</v>
      </c>
      <c r="K121" s="82">
        <f>DATA!M121</f>
        <v>1.0850571493110699</v>
      </c>
      <c r="L121" s="82">
        <f>DATA!N121</f>
        <v>1</v>
      </c>
      <c r="M121" s="82">
        <f>DATA!O121</f>
        <v>1</v>
      </c>
      <c r="N121" s="82">
        <f>DATA!P121</f>
        <v>1</v>
      </c>
      <c r="P121" s="330">
        <f t="shared" si="26"/>
        <v>0</v>
      </c>
      <c r="Q121" s="330">
        <f t="shared" si="26"/>
        <v>0</v>
      </c>
      <c r="R121" s="330">
        <f t="shared" si="26"/>
        <v>0</v>
      </c>
      <c r="S121" s="330">
        <f t="shared" si="26"/>
        <v>0</v>
      </c>
      <c r="T121" s="334">
        <f t="shared" si="22"/>
        <v>0</v>
      </c>
      <c r="V121" s="330">
        <f t="shared" si="27"/>
        <v>0</v>
      </c>
      <c r="W121" s="330">
        <f t="shared" si="27"/>
        <v>0</v>
      </c>
      <c r="X121" s="330">
        <f t="shared" si="27"/>
        <v>0</v>
      </c>
      <c r="Y121" s="330">
        <f t="shared" si="27"/>
        <v>0</v>
      </c>
      <c r="Z121" s="334">
        <f t="shared" si="23"/>
        <v>0</v>
      </c>
    </row>
    <row r="122" spans="3:26" ht="16" thickTop="1" thickBot="1">
      <c r="C122" s="74">
        <f t="shared" si="19"/>
        <v>112</v>
      </c>
      <c r="D122" s="75">
        <f t="shared" si="20"/>
        <v>47939</v>
      </c>
      <c r="E122" s="74">
        <f t="shared" si="16"/>
        <v>38</v>
      </c>
      <c r="F122" s="74" t="str">
        <f t="shared" si="17"/>
        <v>Q2-31</v>
      </c>
      <c r="G122" s="74">
        <f t="shared" si="21"/>
        <v>10</v>
      </c>
      <c r="H122" s="74">
        <f t="shared" si="18"/>
        <v>2031</v>
      </c>
      <c r="J122" s="82">
        <f>DATA!L122</f>
        <v>1.2030331640672987</v>
      </c>
      <c r="K122" s="82">
        <f>DATA!M122</f>
        <v>1.0859613636021623</v>
      </c>
      <c r="L122" s="82">
        <f>DATA!N122</f>
        <v>1</v>
      </c>
      <c r="M122" s="82">
        <f>DATA!O122</f>
        <v>1</v>
      </c>
      <c r="N122" s="82">
        <f>DATA!P122</f>
        <v>1</v>
      </c>
      <c r="P122" s="330">
        <f t="shared" si="26"/>
        <v>0</v>
      </c>
      <c r="Q122" s="330">
        <f t="shared" si="26"/>
        <v>0</v>
      </c>
      <c r="R122" s="330">
        <f t="shared" si="26"/>
        <v>0</v>
      </c>
      <c r="S122" s="330">
        <f t="shared" si="26"/>
        <v>0</v>
      </c>
      <c r="T122" s="334">
        <f t="shared" si="22"/>
        <v>0</v>
      </c>
      <c r="V122" s="330">
        <f t="shared" si="27"/>
        <v>0</v>
      </c>
      <c r="W122" s="330">
        <f t="shared" si="27"/>
        <v>0</v>
      </c>
      <c r="X122" s="330">
        <f t="shared" si="27"/>
        <v>0</v>
      </c>
      <c r="Y122" s="330">
        <f t="shared" si="27"/>
        <v>0</v>
      </c>
      <c r="Z122" s="334">
        <f t="shared" si="23"/>
        <v>0</v>
      </c>
    </row>
    <row r="123" spans="3:26" ht="16" thickTop="1" thickBot="1">
      <c r="C123" s="74">
        <f t="shared" si="19"/>
        <v>113</v>
      </c>
      <c r="D123" s="75">
        <f t="shared" si="20"/>
        <v>47969</v>
      </c>
      <c r="E123" s="74">
        <f t="shared" si="16"/>
        <v>38</v>
      </c>
      <c r="F123" s="74" t="str">
        <f t="shared" si="17"/>
        <v>Q2-31</v>
      </c>
      <c r="G123" s="74">
        <f t="shared" si="21"/>
        <v>10</v>
      </c>
      <c r="H123" s="74">
        <f t="shared" si="18"/>
        <v>2031</v>
      </c>
      <c r="J123" s="82">
        <f>DATA!L123</f>
        <v>1.2050382193407443</v>
      </c>
      <c r="K123" s="82">
        <f>DATA!M123</f>
        <v>1.0868663314051641</v>
      </c>
      <c r="L123" s="82">
        <f>DATA!N123</f>
        <v>1</v>
      </c>
      <c r="M123" s="82">
        <f>DATA!O123</f>
        <v>1</v>
      </c>
      <c r="N123" s="82">
        <f>DATA!P123</f>
        <v>1</v>
      </c>
      <c r="P123" s="330">
        <f t="shared" si="26"/>
        <v>0</v>
      </c>
      <c r="Q123" s="330">
        <f t="shared" si="26"/>
        <v>0</v>
      </c>
      <c r="R123" s="330">
        <f t="shared" si="26"/>
        <v>0</v>
      </c>
      <c r="S123" s="330">
        <f t="shared" si="26"/>
        <v>0</v>
      </c>
      <c r="T123" s="334">
        <f t="shared" si="22"/>
        <v>0</v>
      </c>
      <c r="V123" s="330">
        <f t="shared" si="27"/>
        <v>0</v>
      </c>
      <c r="W123" s="330">
        <f t="shared" si="27"/>
        <v>0</v>
      </c>
      <c r="X123" s="330">
        <f t="shared" si="27"/>
        <v>0</v>
      </c>
      <c r="Y123" s="330">
        <f t="shared" si="27"/>
        <v>0</v>
      </c>
      <c r="Z123" s="334">
        <f t="shared" si="23"/>
        <v>0</v>
      </c>
    </row>
    <row r="124" spans="3:26" ht="16" thickTop="1" thickBot="1">
      <c r="C124" s="74">
        <f t="shared" si="19"/>
        <v>114</v>
      </c>
      <c r="D124" s="75">
        <f t="shared" si="20"/>
        <v>48000</v>
      </c>
      <c r="E124" s="74">
        <f t="shared" si="16"/>
        <v>38</v>
      </c>
      <c r="F124" s="74" t="str">
        <f t="shared" si="17"/>
        <v>Q2-31</v>
      </c>
      <c r="G124" s="74">
        <f t="shared" si="21"/>
        <v>10</v>
      </c>
      <c r="H124" s="74">
        <f t="shared" si="18"/>
        <v>2031</v>
      </c>
      <c r="J124" s="82">
        <f>DATA!L124</f>
        <v>1.2070466163729789</v>
      </c>
      <c r="K124" s="82">
        <f>DATA!M124</f>
        <v>1.0877720533480015</v>
      </c>
      <c r="L124" s="82">
        <f>DATA!N124</f>
        <v>1</v>
      </c>
      <c r="M124" s="82">
        <f>DATA!O124</f>
        <v>1</v>
      </c>
      <c r="N124" s="82">
        <f>DATA!P124</f>
        <v>1</v>
      </c>
      <c r="P124" s="330">
        <f t="shared" si="26"/>
        <v>0</v>
      </c>
      <c r="Q124" s="330">
        <f t="shared" si="26"/>
        <v>0</v>
      </c>
      <c r="R124" s="330">
        <f t="shared" si="26"/>
        <v>0</v>
      </c>
      <c r="S124" s="330">
        <f t="shared" si="26"/>
        <v>0</v>
      </c>
      <c r="T124" s="334">
        <f t="shared" si="22"/>
        <v>0</v>
      </c>
      <c r="V124" s="330">
        <f t="shared" si="27"/>
        <v>0</v>
      </c>
      <c r="W124" s="330">
        <f t="shared" si="27"/>
        <v>0</v>
      </c>
      <c r="X124" s="330">
        <f t="shared" si="27"/>
        <v>0</v>
      </c>
      <c r="Y124" s="330">
        <f t="shared" si="27"/>
        <v>0</v>
      </c>
      <c r="Z124" s="334">
        <f t="shared" si="23"/>
        <v>0</v>
      </c>
    </row>
    <row r="125" spans="3:26" ht="16" thickTop="1" thickBot="1">
      <c r="C125" s="74">
        <f t="shared" si="19"/>
        <v>115</v>
      </c>
      <c r="D125" s="75">
        <f t="shared" si="20"/>
        <v>48030</v>
      </c>
      <c r="E125" s="74">
        <f t="shared" si="16"/>
        <v>39</v>
      </c>
      <c r="F125" s="74" t="str">
        <f t="shared" si="17"/>
        <v>Q2-31</v>
      </c>
      <c r="G125" s="74">
        <f t="shared" si="21"/>
        <v>10</v>
      </c>
      <c r="H125" s="74">
        <f t="shared" si="18"/>
        <v>2031</v>
      </c>
      <c r="J125" s="82">
        <f>DATA!L125</f>
        <v>1.2090583607336005</v>
      </c>
      <c r="K125" s="82">
        <f>DATA!M125</f>
        <v>1.0886785300591248</v>
      </c>
      <c r="L125" s="82">
        <f>DATA!N125</f>
        <v>1</v>
      </c>
      <c r="M125" s="82">
        <f>DATA!O125</f>
        <v>1</v>
      </c>
      <c r="N125" s="82">
        <f>DATA!P125</f>
        <v>1</v>
      </c>
      <c r="P125" s="330">
        <f t="shared" si="26"/>
        <v>0</v>
      </c>
      <c r="Q125" s="330">
        <f t="shared" si="26"/>
        <v>0</v>
      </c>
      <c r="R125" s="330">
        <f t="shared" si="26"/>
        <v>0</v>
      </c>
      <c r="S125" s="330">
        <f t="shared" si="26"/>
        <v>0</v>
      </c>
      <c r="T125" s="334">
        <f t="shared" si="22"/>
        <v>0</v>
      </c>
      <c r="V125" s="330">
        <f t="shared" si="27"/>
        <v>0</v>
      </c>
      <c r="W125" s="330">
        <f t="shared" si="27"/>
        <v>0</v>
      </c>
      <c r="X125" s="330">
        <f t="shared" si="27"/>
        <v>0</v>
      </c>
      <c r="Y125" s="330">
        <f t="shared" si="27"/>
        <v>0</v>
      </c>
      <c r="Z125" s="334">
        <f t="shared" si="23"/>
        <v>0</v>
      </c>
    </row>
    <row r="126" spans="3:26" ht="16" thickTop="1" thickBot="1">
      <c r="C126" s="74">
        <f t="shared" si="19"/>
        <v>116</v>
      </c>
      <c r="D126" s="75">
        <f t="shared" si="20"/>
        <v>48061</v>
      </c>
      <c r="E126" s="74">
        <f t="shared" si="16"/>
        <v>39</v>
      </c>
      <c r="F126" s="74" t="str">
        <f t="shared" si="17"/>
        <v>Q3-31</v>
      </c>
      <c r="G126" s="74">
        <f t="shared" si="21"/>
        <v>10</v>
      </c>
      <c r="H126" s="74">
        <f t="shared" si="18"/>
        <v>2031</v>
      </c>
      <c r="J126" s="82">
        <f>DATA!L126</f>
        <v>1.2110734580014899</v>
      </c>
      <c r="K126" s="82">
        <f>DATA!M126</f>
        <v>1.0895857621675074</v>
      </c>
      <c r="L126" s="82">
        <f>DATA!N126</f>
        <v>1</v>
      </c>
      <c r="M126" s="82">
        <f>DATA!O126</f>
        <v>1</v>
      </c>
      <c r="N126" s="82">
        <f>DATA!P126</f>
        <v>1</v>
      </c>
      <c r="P126" s="330">
        <f t="shared" si="26"/>
        <v>0</v>
      </c>
      <c r="Q126" s="330">
        <f t="shared" si="26"/>
        <v>0</v>
      </c>
      <c r="R126" s="330">
        <f t="shared" si="26"/>
        <v>0</v>
      </c>
      <c r="S126" s="330">
        <f t="shared" si="26"/>
        <v>0</v>
      </c>
      <c r="T126" s="334">
        <f t="shared" si="22"/>
        <v>0</v>
      </c>
      <c r="V126" s="330">
        <f t="shared" si="27"/>
        <v>0</v>
      </c>
      <c r="W126" s="330">
        <f t="shared" si="27"/>
        <v>0</v>
      </c>
      <c r="X126" s="330">
        <f t="shared" si="27"/>
        <v>0</v>
      </c>
      <c r="Y126" s="330">
        <f t="shared" si="27"/>
        <v>0</v>
      </c>
      <c r="Z126" s="334">
        <f t="shared" si="23"/>
        <v>0</v>
      </c>
    </row>
    <row r="127" spans="3:26" ht="16" thickTop="1" thickBot="1">
      <c r="C127" s="74">
        <f t="shared" si="19"/>
        <v>117</v>
      </c>
      <c r="D127" s="75">
        <f t="shared" si="20"/>
        <v>48092</v>
      </c>
      <c r="E127" s="74">
        <f t="shared" si="16"/>
        <v>39</v>
      </c>
      <c r="F127" s="74" t="str">
        <f t="shared" si="17"/>
        <v>Q3-31</v>
      </c>
      <c r="G127" s="74">
        <f t="shared" si="21"/>
        <v>10</v>
      </c>
      <c r="H127" s="74">
        <f t="shared" si="18"/>
        <v>2031</v>
      </c>
      <c r="J127" s="82">
        <f>DATA!L127</f>
        <v>1.2130919137648257</v>
      </c>
      <c r="K127" s="82">
        <f>DATA!M127</f>
        <v>1.0904937503026468</v>
      </c>
      <c r="L127" s="82">
        <f>DATA!N127</f>
        <v>1</v>
      </c>
      <c r="M127" s="82">
        <f>DATA!O127</f>
        <v>1</v>
      </c>
      <c r="N127" s="82">
        <f>DATA!P127</f>
        <v>1</v>
      </c>
      <c r="P127" s="330">
        <f t="shared" si="26"/>
        <v>0</v>
      </c>
      <c r="Q127" s="330">
        <f t="shared" si="26"/>
        <v>0</v>
      </c>
      <c r="R127" s="330">
        <f t="shared" si="26"/>
        <v>0</v>
      </c>
      <c r="S127" s="330">
        <f t="shared" si="26"/>
        <v>0</v>
      </c>
      <c r="T127" s="334">
        <f t="shared" si="22"/>
        <v>0</v>
      </c>
      <c r="V127" s="330">
        <f t="shared" si="27"/>
        <v>0</v>
      </c>
      <c r="W127" s="330">
        <f t="shared" si="27"/>
        <v>0</v>
      </c>
      <c r="X127" s="330">
        <f t="shared" si="27"/>
        <v>0</v>
      </c>
      <c r="Y127" s="330">
        <f t="shared" si="27"/>
        <v>0</v>
      </c>
      <c r="Z127" s="334">
        <f t="shared" si="23"/>
        <v>0</v>
      </c>
    </row>
    <row r="128" spans="3:26" ht="16" thickTop="1" thickBot="1">
      <c r="C128" s="74">
        <f t="shared" si="19"/>
        <v>118</v>
      </c>
      <c r="D128" s="75">
        <f t="shared" si="20"/>
        <v>48122</v>
      </c>
      <c r="E128" s="74">
        <f t="shared" si="16"/>
        <v>40</v>
      </c>
      <c r="F128" s="74" t="str">
        <f t="shared" si="17"/>
        <v>Q3-31</v>
      </c>
      <c r="G128" s="74">
        <f t="shared" si="21"/>
        <v>10</v>
      </c>
      <c r="H128" s="74">
        <f t="shared" si="18"/>
        <v>2031</v>
      </c>
      <c r="J128" s="82">
        <f>DATA!L128</f>
        <v>1.2151137336211004</v>
      </c>
      <c r="K128" s="82">
        <f>DATA!M128</f>
        <v>1.0914024950945656</v>
      </c>
      <c r="L128" s="82">
        <f>DATA!N128</f>
        <v>1</v>
      </c>
      <c r="M128" s="82">
        <f>DATA!O128</f>
        <v>1</v>
      </c>
      <c r="N128" s="82">
        <f>DATA!P128</f>
        <v>1</v>
      </c>
      <c r="P128" s="330">
        <f t="shared" si="26"/>
        <v>0</v>
      </c>
      <c r="Q128" s="330">
        <f t="shared" si="26"/>
        <v>0</v>
      </c>
      <c r="R128" s="330">
        <f t="shared" si="26"/>
        <v>0</v>
      </c>
      <c r="S128" s="330">
        <f t="shared" si="26"/>
        <v>0</v>
      </c>
      <c r="T128" s="334">
        <f t="shared" si="22"/>
        <v>0</v>
      </c>
      <c r="V128" s="330">
        <f t="shared" si="27"/>
        <v>0</v>
      </c>
      <c r="W128" s="330">
        <f t="shared" si="27"/>
        <v>0</v>
      </c>
      <c r="X128" s="330">
        <f t="shared" si="27"/>
        <v>0</v>
      </c>
      <c r="Y128" s="330">
        <f t="shared" si="27"/>
        <v>0</v>
      </c>
      <c r="Z128" s="334">
        <f t="shared" si="23"/>
        <v>0</v>
      </c>
    </row>
    <row r="129" spans="3:26" ht="16" thickTop="1" thickBot="1">
      <c r="C129" s="74">
        <f t="shared" si="19"/>
        <v>119</v>
      </c>
      <c r="D129" s="75">
        <f t="shared" si="20"/>
        <v>48153</v>
      </c>
      <c r="E129" s="74">
        <f t="shared" si="16"/>
        <v>40</v>
      </c>
      <c r="F129" s="74" t="str">
        <f t="shared" si="17"/>
        <v>Q3-31</v>
      </c>
      <c r="G129" s="74">
        <f t="shared" si="21"/>
        <v>10</v>
      </c>
      <c r="H129" s="74">
        <f t="shared" si="18"/>
        <v>2031</v>
      </c>
      <c r="J129" s="82">
        <f>DATA!L129</f>
        <v>1.2171389231771357</v>
      </c>
      <c r="K129" s="82">
        <f>DATA!M129</f>
        <v>1.0923119971738109</v>
      </c>
      <c r="L129" s="82">
        <f>DATA!N129</f>
        <v>1</v>
      </c>
      <c r="M129" s="82">
        <f>DATA!O129</f>
        <v>1</v>
      </c>
      <c r="N129" s="82">
        <f>DATA!P129</f>
        <v>1</v>
      </c>
      <c r="P129" s="330">
        <f t="shared" si="26"/>
        <v>0</v>
      </c>
      <c r="Q129" s="330">
        <f t="shared" si="26"/>
        <v>0</v>
      </c>
      <c r="R129" s="330">
        <f t="shared" si="26"/>
        <v>0</v>
      </c>
      <c r="S129" s="330">
        <f t="shared" si="26"/>
        <v>0</v>
      </c>
      <c r="T129" s="334">
        <f t="shared" si="22"/>
        <v>0</v>
      </c>
      <c r="V129" s="330">
        <f t="shared" si="27"/>
        <v>0</v>
      </c>
      <c r="W129" s="330">
        <f t="shared" si="27"/>
        <v>0</v>
      </c>
      <c r="X129" s="330">
        <f t="shared" si="27"/>
        <v>0</v>
      </c>
      <c r="Y129" s="330">
        <f t="shared" si="27"/>
        <v>0</v>
      </c>
      <c r="Z129" s="334">
        <f t="shared" si="23"/>
        <v>0</v>
      </c>
    </row>
    <row r="130" spans="3:26" ht="16" thickTop="1" thickBot="1">
      <c r="C130" s="74">
        <f t="shared" si="19"/>
        <v>120</v>
      </c>
      <c r="D130" s="75">
        <f t="shared" si="20"/>
        <v>48183</v>
      </c>
      <c r="E130" s="74">
        <f t="shared" si="16"/>
        <v>40</v>
      </c>
      <c r="F130" s="74" t="str">
        <f t="shared" si="17"/>
        <v>Q4-31</v>
      </c>
      <c r="G130" s="74">
        <f t="shared" si="21"/>
        <v>10</v>
      </c>
      <c r="H130" s="74">
        <f t="shared" si="18"/>
        <v>2031</v>
      </c>
      <c r="J130" s="82">
        <f>DATA!L130</f>
        <v>1.2191674880490977</v>
      </c>
      <c r="K130" s="82">
        <f>DATA!M130</f>
        <v>1.0932222571714556</v>
      </c>
      <c r="L130" s="82">
        <f>DATA!N130</f>
        <v>1</v>
      </c>
      <c r="M130" s="82">
        <f>DATA!O130</f>
        <v>1</v>
      </c>
      <c r="N130" s="82">
        <f>DATA!P130</f>
        <v>1</v>
      </c>
      <c r="P130" s="330">
        <f t="shared" si="26"/>
        <v>0</v>
      </c>
      <c r="Q130" s="330">
        <f t="shared" si="26"/>
        <v>0</v>
      </c>
      <c r="R130" s="330">
        <f t="shared" si="26"/>
        <v>0</v>
      </c>
      <c r="S130" s="330">
        <f t="shared" si="26"/>
        <v>0</v>
      </c>
      <c r="T130" s="334">
        <f t="shared" si="22"/>
        <v>0</v>
      </c>
      <c r="V130" s="330">
        <f t="shared" si="27"/>
        <v>0</v>
      </c>
      <c r="W130" s="330">
        <f t="shared" si="27"/>
        <v>0</v>
      </c>
      <c r="X130" s="330">
        <f t="shared" si="27"/>
        <v>0</v>
      </c>
      <c r="Y130" s="330">
        <f t="shared" si="27"/>
        <v>0</v>
      </c>
      <c r="Z130" s="334">
        <f t="shared" si="23"/>
        <v>0</v>
      </c>
    </row>
    <row r="131" spans="3:26" ht="16" hidden="1" outlineLevel="1" thickTop="1" thickBot="1">
      <c r="C131" s="74">
        <f t="shared" si="19"/>
        <v>121</v>
      </c>
      <c r="D131" s="75">
        <f t="shared" si="20"/>
        <v>48214</v>
      </c>
      <c r="E131" s="74">
        <f t="shared" si="16"/>
        <v>41</v>
      </c>
      <c r="F131" s="74" t="str">
        <f t="shared" si="17"/>
        <v>Q1-32</v>
      </c>
      <c r="G131" s="74">
        <f t="shared" si="21"/>
        <v>11</v>
      </c>
      <c r="H131" s="74">
        <f t="shared" si="18"/>
        <v>2032</v>
      </c>
      <c r="J131" s="82">
        <f>DATA!L131</f>
        <v>1.221199433862513</v>
      </c>
      <c r="K131" s="82">
        <f>DATA!M131</f>
        <v>1.0941332757190985</v>
      </c>
      <c r="L131" s="82">
        <f>DATA!N131</f>
        <v>1</v>
      </c>
      <c r="M131" s="82">
        <f>DATA!O131</f>
        <v>1</v>
      </c>
      <c r="N131" s="82">
        <f>DATA!P131</f>
        <v>1</v>
      </c>
      <c r="P131" s="330">
        <f t="shared" ref="P131:S150" si="28">IF(AND($C131&gt;=P$6,$C131&lt;=P$6+P$7-1),P$9/P$7*$K131,0)</f>
        <v>0</v>
      </c>
      <c r="Q131" s="330">
        <f t="shared" si="28"/>
        <v>0</v>
      </c>
      <c r="R131" s="330">
        <f t="shared" si="28"/>
        <v>0</v>
      </c>
      <c r="S131" s="330">
        <f t="shared" si="28"/>
        <v>0</v>
      </c>
      <c r="T131" s="334">
        <f t="shared" si="22"/>
        <v>0</v>
      </c>
      <c r="V131" s="330">
        <f t="shared" ref="V131:Y150" si="29">IF(AND($C131&gt;=V$6,$C131&lt;=V$6+V$7-1),V$9/V$7*$K131,0)</f>
        <v>0</v>
      </c>
      <c r="W131" s="330">
        <f t="shared" si="29"/>
        <v>0</v>
      </c>
      <c r="X131" s="330">
        <f t="shared" si="29"/>
        <v>0</v>
      </c>
      <c r="Y131" s="330">
        <f t="shared" si="29"/>
        <v>0</v>
      </c>
      <c r="Z131" s="334">
        <f t="shared" si="23"/>
        <v>0</v>
      </c>
    </row>
    <row r="132" spans="3:26" ht="16" hidden="1" outlineLevel="1" thickTop="1" thickBot="1">
      <c r="C132" s="74">
        <f t="shared" si="19"/>
        <v>122</v>
      </c>
      <c r="D132" s="75">
        <f t="shared" si="20"/>
        <v>48245</v>
      </c>
      <c r="E132" s="74">
        <f t="shared" si="16"/>
        <v>41</v>
      </c>
      <c r="F132" s="74" t="str">
        <f t="shared" si="17"/>
        <v>Q1-32</v>
      </c>
      <c r="G132" s="74">
        <f t="shared" si="21"/>
        <v>11</v>
      </c>
      <c r="H132" s="74">
        <f t="shared" si="18"/>
        <v>2032</v>
      </c>
      <c r="J132" s="82">
        <f>DATA!L132</f>
        <v>1.2232347662522838</v>
      </c>
      <c r="K132" s="82">
        <f>DATA!M132</f>
        <v>1.0950450534488643</v>
      </c>
      <c r="L132" s="82">
        <f>DATA!N132</f>
        <v>1</v>
      </c>
      <c r="M132" s="82">
        <f>DATA!O132</f>
        <v>1</v>
      </c>
      <c r="N132" s="82">
        <f>DATA!P132</f>
        <v>1</v>
      </c>
      <c r="P132" s="330">
        <f t="shared" si="28"/>
        <v>0</v>
      </c>
      <c r="Q132" s="330">
        <f t="shared" si="28"/>
        <v>0</v>
      </c>
      <c r="R132" s="330">
        <f t="shared" si="28"/>
        <v>0</v>
      </c>
      <c r="S132" s="330">
        <f t="shared" si="28"/>
        <v>0</v>
      </c>
      <c r="T132" s="334">
        <f t="shared" si="22"/>
        <v>0</v>
      </c>
      <c r="V132" s="330">
        <f t="shared" si="29"/>
        <v>0</v>
      </c>
      <c r="W132" s="330">
        <f t="shared" si="29"/>
        <v>0</v>
      </c>
      <c r="X132" s="330">
        <f t="shared" si="29"/>
        <v>0</v>
      </c>
      <c r="Y132" s="330">
        <f t="shared" si="29"/>
        <v>0</v>
      </c>
      <c r="Z132" s="334">
        <f t="shared" si="23"/>
        <v>0</v>
      </c>
    </row>
    <row r="133" spans="3:26" ht="16" hidden="1" outlineLevel="1" thickTop="1" thickBot="1">
      <c r="C133" s="74">
        <f t="shared" si="19"/>
        <v>123</v>
      </c>
      <c r="D133" s="75">
        <f t="shared" si="20"/>
        <v>48274</v>
      </c>
      <c r="E133" s="74">
        <f t="shared" si="16"/>
        <v>41</v>
      </c>
      <c r="F133" s="74" t="str">
        <f t="shared" si="17"/>
        <v>Q1-32</v>
      </c>
      <c r="G133" s="74">
        <f t="shared" si="21"/>
        <v>11</v>
      </c>
      <c r="H133" s="74">
        <f t="shared" si="18"/>
        <v>2032</v>
      </c>
      <c r="J133" s="82">
        <f>DATA!L133</f>
        <v>1.2252734908627043</v>
      </c>
      <c r="K133" s="82">
        <f>DATA!M133</f>
        <v>1.095957590993405</v>
      </c>
      <c r="L133" s="82">
        <f>DATA!N133</f>
        <v>1</v>
      </c>
      <c r="M133" s="82">
        <f>DATA!O133</f>
        <v>1</v>
      </c>
      <c r="N133" s="82">
        <f>DATA!P133</f>
        <v>1</v>
      </c>
      <c r="P133" s="330">
        <f t="shared" si="28"/>
        <v>0</v>
      </c>
      <c r="Q133" s="330">
        <f t="shared" si="28"/>
        <v>0</v>
      </c>
      <c r="R133" s="330">
        <f t="shared" si="28"/>
        <v>0</v>
      </c>
      <c r="S133" s="330">
        <f t="shared" si="28"/>
        <v>0</v>
      </c>
      <c r="T133" s="334">
        <f t="shared" si="22"/>
        <v>0</v>
      </c>
      <c r="V133" s="330">
        <f t="shared" si="29"/>
        <v>0</v>
      </c>
      <c r="W133" s="330">
        <f t="shared" si="29"/>
        <v>0</v>
      </c>
      <c r="X133" s="330">
        <f t="shared" si="29"/>
        <v>0</v>
      </c>
      <c r="Y133" s="330">
        <f t="shared" si="29"/>
        <v>0</v>
      </c>
      <c r="Z133" s="334">
        <f t="shared" si="23"/>
        <v>0</v>
      </c>
    </row>
    <row r="134" spans="3:26" ht="16" hidden="1" outlineLevel="1" thickTop="1" thickBot="1">
      <c r="C134" s="74">
        <f t="shared" si="19"/>
        <v>124</v>
      </c>
      <c r="D134" s="75">
        <f t="shared" si="20"/>
        <v>48305</v>
      </c>
      <c r="E134" s="74">
        <f t="shared" si="16"/>
        <v>42</v>
      </c>
      <c r="F134" s="74" t="str">
        <f t="shared" si="17"/>
        <v>Q2-32</v>
      </c>
      <c r="G134" s="74">
        <f t="shared" si="21"/>
        <v>11</v>
      </c>
      <c r="H134" s="74">
        <f t="shared" si="18"/>
        <v>2032</v>
      </c>
      <c r="J134" s="82">
        <f>DATA!L134</f>
        <v>1.2273156133474756</v>
      </c>
      <c r="K134" s="82">
        <f>DATA!M134</f>
        <v>1.0968708889858994</v>
      </c>
      <c r="L134" s="82">
        <f>DATA!N134</f>
        <v>1</v>
      </c>
      <c r="M134" s="82">
        <f>DATA!O134</f>
        <v>1</v>
      </c>
      <c r="N134" s="82">
        <f>DATA!P134</f>
        <v>1</v>
      </c>
      <c r="P134" s="330">
        <f t="shared" si="28"/>
        <v>0</v>
      </c>
      <c r="Q134" s="330">
        <f t="shared" si="28"/>
        <v>0</v>
      </c>
      <c r="R134" s="330">
        <f t="shared" si="28"/>
        <v>0</v>
      </c>
      <c r="S134" s="330">
        <f t="shared" si="28"/>
        <v>0</v>
      </c>
      <c r="T134" s="334">
        <f t="shared" si="22"/>
        <v>0</v>
      </c>
      <c r="V134" s="330">
        <f t="shared" si="29"/>
        <v>0</v>
      </c>
      <c r="W134" s="330">
        <f t="shared" si="29"/>
        <v>0</v>
      </c>
      <c r="X134" s="330">
        <f t="shared" si="29"/>
        <v>0</v>
      </c>
      <c r="Y134" s="330">
        <f t="shared" si="29"/>
        <v>0</v>
      </c>
      <c r="Z134" s="334">
        <f t="shared" si="23"/>
        <v>0</v>
      </c>
    </row>
    <row r="135" spans="3:26" ht="16" hidden="1" outlineLevel="1" thickTop="1" thickBot="1">
      <c r="C135" s="74">
        <f t="shared" si="19"/>
        <v>125</v>
      </c>
      <c r="D135" s="75">
        <f t="shared" si="20"/>
        <v>48335</v>
      </c>
      <c r="E135" s="74">
        <f t="shared" si="16"/>
        <v>42</v>
      </c>
      <c r="F135" s="74" t="str">
        <f t="shared" si="17"/>
        <v>Q2-32</v>
      </c>
      <c r="G135" s="74">
        <f t="shared" si="21"/>
        <v>11</v>
      </c>
      <c r="H135" s="74">
        <f t="shared" si="18"/>
        <v>2032</v>
      </c>
      <c r="J135" s="82">
        <f>DATA!L135</f>
        <v>1.2293611393697215</v>
      </c>
      <c r="K135" s="82">
        <f>DATA!M135</f>
        <v>1.0977849480600541</v>
      </c>
      <c r="L135" s="82">
        <f>DATA!N135</f>
        <v>1</v>
      </c>
      <c r="M135" s="82">
        <f>DATA!O135</f>
        <v>1</v>
      </c>
      <c r="N135" s="82">
        <f>DATA!P135</f>
        <v>1</v>
      </c>
      <c r="P135" s="330">
        <f t="shared" si="28"/>
        <v>0</v>
      </c>
      <c r="Q135" s="330">
        <f t="shared" si="28"/>
        <v>0</v>
      </c>
      <c r="R135" s="330">
        <f t="shared" si="28"/>
        <v>0</v>
      </c>
      <c r="S135" s="330">
        <f t="shared" si="28"/>
        <v>0</v>
      </c>
      <c r="T135" s="334">
        <f t="shared" si="22"/>
        <v>0</v>
      </c>
      <c r="V135" s="330">
        <f t="shared" si="29"/>
        <v>0</v>
      </c>
      <c r="W135" s="330">
        <f t="shared" si="29"/>
        <v>0</v>
      </c>
      <c r="X135" s="330">
        <f t="shared" si="29"/>
        <v>0</v>
      </c>
      <c r="Y135" s="330">
        <f t="shared" si="29"/>
        <v>0</v>
      </c>
      <c r="Z135" s="334">
        <f t="shared" si="23"/>
        <v>0</v>
      </c>
    </row>
    <row r="136" spans="3:26" ht="16" hidden="1" outlineLevel="1" thickTop="1" thickBot="1">
      <c r="C136" s="74">
        <f t="shared" si="19"/>
        <v>126</v>
      </c>
      <c r="D136" s="75">
        <f t="shared" si="20"/>
        <v>48366</v>
      </c>
      <c r="E136" s="74">
        <f t="shared" si="16"/>
        <v>42</v>
      </c>
      <c r="F136" s="74" t="str">
        <f t="shared" si="17"/>
        <v>Q2-32</v>
      </c>
      <c r="G136" s="74">
        <f t="shared" si="21"/>
        <v>11</v>
      </c>
      <c r="H136" s="74">
        <f t="shared" si="18"/>
        <v>2032</v>
      </c>
      <c r="J136" s="82">
        <f>DATA!L136</f>
        <v>1.2314100746020045</v>
      </c>
      <c r="K136" s="82">
        <f>DATA!M136</f>
        <v>1.0986997688501041</v>
      </c>
      <c r="L136" s="82">
        <f>DATA!N136</f>
        <v>1</v>
      </c>
      <c r="M136" s="82">
        <f>DATA!O136</f>
        <v>1</v>
      </c>
      <c r="N136" s="82">
        <f>DATA!P136</f>
        <v>1</v>
      </c>
      <c r="P136" s="330">
        <f t="shared" si="28"/>
        <v>0</v>
      </c>
      <c r="Q136" s="330">
        <f t="shared" si="28"/>
        <v>0</v>
      </c>
      <c r="R136" s="330">
        <f t="shared" si="28"/>
        <v>0</v>
      </c>
      <c r="S136" s="330">
        <f t="shared" si="28"/>
        <v>0</v>
      </c>
      <c r="T136" s="334">
        <f t="shared" si="22"/>
        <v>0</v>
      </c>
      <c r="V136" s="330">
        <f t="shared" si="29"/>
        <v>0</v>
      </c>
      <c r="W136" s="330">
        <f t="shared" si="29"/>
        <v>0</v>
      </c>
      <c r="X136" s="330">
        <f t="shared" si="29"/>
        <v>0</v>
      </c>
      <c r="Y136" s="330">
        <f t="shared" si="29"/>
        <v>0</v>
      </c>
      <c r="Z136" s="334">
        <f t="shared" si="23"/>
        <v>0</v>
      </c>
    </row>
    <row r="137" spans="3:26" ht="16" hidden="1" outlineLevel="1" thickTop="1" thickBot="1">
      <c r="C137" s="74">
        <f t="shared" si="19"/>
        <v>127</v>
      </c>
      <c r="D137" s="75">
        <f t="shared" si="20"/>
        <v>48396</v>
      </c>
      <c r="E137" s="74">
        <f t="shared" si="16"/>
        <v>43</v>
      </c>
      <c r="F137" s="74" t="str">
        <f t="shared" si="17"/>
        <v>Q2-32</v>
      </c>
      <c r="G137" s="74">
        <f t="shared" si="21"/>
        <v>11</v>
      </c>
      <c r="H137" s="74">
        <f t="shared" si="18"/>
        <v>2032</v>
      </c>
      <c r="J137" s="82">
        <f>DATA!L137</f>
        <v>1.2334624247263413</v>
      </c>
      <c r="K137" s="82">
        <f>DATA!M137</f>
        <v>1.0996153519908125</v>
      </c>
      <c r="L137" s="82">
        <f>DATA!N137</f>
        <v>1</v>
      </c>
      <c r="M137" s="82">
        <f>DATA!O137</f>
        <v>1</v>
      </c>
      <c r="N137" s="82">
        <f>DATA!P137</f>
        <v>1</v>
      </c>
      <c r="P137" s="330">
        <f t="shared" si="28"/>
        <v>0</v>
      </c>
      <c r="Q137" s="330">
        <f t="shared" si="28"/>
        <v>0</v>
      </c>
      <c r="R137" s="330">
        <f t="shared" si="28"/>
        <v>0</v>
      </c>
      <c r="S137" s="330">
        <f t="shared" si="28"/>
        <v>0</v>
      </c>
      <c r="T137" s="334">
        <f t="shared" si="22"/>
        <v>0</v>
      </c>
      <c r="V137" s="330">
        <f t="shared" si="29"/>
        <v>0</v>
      </c>
      <c r="W137" s="330">
        <f t="shared" si="29"/>
        <v>0</v>
      </c>
      <c r="X137" s="330">
        <f t="shared" si="29"/>
        <v>0</v>
      </c>
      <c r="Y137" s="330">
        <f t="shared" si="29"/>
        <v>0</v>
      </c>
      <c r="Z137" s="334">
        <f t="shared" si="23"/>
        <v>0</v>
      </c>
    </row>
    <row r="138" spans="3:26" ht="16" hidden="1" outlineLevel="1" thickTop="1" thickBot="1">
      <c r="C138" s="74">
        <f t="shared" si="19"/>
        <v>128</v>
      </c>
      <c r="D138" s="75">
        <f t="shared" si="20"/>
        <v>48427</v>
      </c>
      <c r="E138" s="74">
        <f t="shared" si="16"/>
        <v>43</v>
      </c>
      <c r="F138" s="74" t="str">
        <f t="shared" si="17"/>
        <v>Q3-32</v>
      </c>
      <c r="G138" s="74">
        <f t="shared" si="21"/>
        <v>11</v>
      </c>
      <c r="H138" s="74">
        <f t="shared" si="18"/>
        <v>2032</v>
      </c>
      <c r="J138" s="82">
        <f>DATA!L138</f>
        <v>1.2355181954342185</v>
      </c>
      <c r="K138" s="82">
        <f>DATA!M138</f>
        <v>1.1005316981174713</v>
      </c>
      <c r="L138" s="82">
        <f>DATA!N138</f>
        <v>1</v>
      </c>
      <c r="M138" s="82">
        <f>DATA!O138</f>
        <v>1</v>
      </c>
      <c r="N138" s="82">
        <f>DATA!P138</f>
        <v>1</v>
      </c>
      <c r="P138" s="330">
        <f t="shared" si="28"/>
        <v>0</v>
      </c>
      <c r="Q138" s="330">
        <f t="shared" si="28"/>
        <v>0</v>
      </c>
      <c r="R138" s="330">
        <f t="shared" si="28"/>
        <v>0</v>
      </c>
      <c r="S138" s="330">
        <f t="shared" si="28"/>
        <v>0</v>
      </c>
      <c r="T138" s="334">
        <f t="shared" si="22"/>
        <v>0</v>
      </c>
      <c r="V138" s="330">
        <f t="shared" si="29"/>
        <v>0</v>
      </c>
      <c r="W138" s="330">
        <f t="shared" si="29"/>
        <v>0</v>
      </c>
      <c r="X138" s="330">
        <f t="shared" si="29"/>
        <v>0</v>
      </c>
      <c r="Y138" s="330">
        <f t="shared" si="29"/>
        <v>0</v>
      </c>
      <c r="Z138" s="334">
        <f t="shared" si="23"/>
        <v>0</v>
      </c>
    </row>
    <row r="139" spans="3:26" ht="16" hidden="1" outlineLevel="1" thickTop="1" thickBot="1">
      <c r="C139" s="74">
        <f t="shared" si="19"/>
        <v>129</v>
      </c>
      <c r="D139" s="75">
        <f t="shared" si="20"/>
        <v>48458</v>
      </c>
      <c r="E139" s="74">
        <f t="shared" ref="E139:E202" si="30">INT(INT(C139+2)/3)</f>
        <v>43</v>
      </c>
      <c r="F139" s="74" t="str">
        <f t="shared" ref="F139:F202" si="31">"Q"&amp;INT((MONTH(D139)/4)+1)&amp;"-"&amp;RIGHT(YEAR(D139),2)</f>
        <v>Q3-32</v>
      </c>
      <c r="G139" s="74">
        <f t="shared" si="21"/>
        <v>11</v>
      </c>
      <c r="H139" s="74">
        <f t="shared" ref="H139:H202" si="32">YEAR(D139)</f>
        <v>2032</v>
      </c>
      <c r="J139" s="82">
        <f>DATA!L139</f>
        <v>1.2375773924266089</v>
      </c>
      <c r="K139" s="82">
        <f>DATA!M139</f>
        <v>1.1014488078659024</v>
      </c>
      <c r="L139" s="82">
        <f>DATA!N139</f>
        <v>1</v>
      </c>
      <c r="M139" s="82">
        <f>DATA!O139</f>
        <v>1</v>
      </c>
      <c r="N139" s="82">
        <f>DATA!P139</f>
        <v>1</v>
      </c>
      <c r="P139" s="330">
        <f t="shared" si="28"/>
        <v>0</v>
      </c>
      <c r="Q139" s="330">
        <f t="shared" si="28"/>
        <v>0</v>
      </c>
      <c r="R139" s="330">
        <f t="shared" si="28"/>
        <v>0</v>
      </c>
      <c r="S139" s="330">
        <f t="shared" si="28"/>
        <v>0</v>
      </c>
      <c r="T139" s="334">
        <f t="shared" si="22"/>
        <v>0</v>
      </c>
      <c r="V139" s="330">
        <f t="shared" si="29"/>
        <v>0</v>
      </c>
      <c r="W139" s="330">
        <f t="shared" si="29"/>
        <v>0</v>
      </c>
      <c r="X139" s="330">
        <f t="shared" si="29"/>
        <v>0</v>
      </c>
      <c r="Y139" s="330">
        <f t="shared" si="29"/>
        <v>0</v>
      </c>
      <c r="Z139" s="334">
        <f t="shared" si="23"/>
        <v>0</v>
      </c>
    </row>
    <row r="140" spans="3:26" ht="16" hidden="1" outlineLevel="1" thickTop="1" thickBot="1">
      <c r="C140" s="74">
        <f t="shared" ref="C140:C203" si="33">C139+1</f>
        <v>130</v>
      </c>
      <c r="D140" s="75">
        <f t="shared" ref="D140:D203" si="34">EOMONTH(D139,0)+1</f>
        <v>48488</v>
      </c>
      <c r="E140" s="74">
        <f t="shared" si="30"/>
        <v>44</v>
      </c>
      <c r="F140" s="74" t="str">
        <f t="shared" si="31"/>
        <v>Q3-32</v>
      </c>
      <c r="G140" s="74">
        <f t="shared" ref="G140:G203" si="35">MIN(INT(YEARFRAC(D$11,D152)),30)</f>
        <v>11</v>
      </c>
      <c r="H140" s="74">
        <f t="shared" si="32"/>
        <v>2032</v>
      </c>
      <c r="J140" s="82">
        <f>DATA!L140</f>
        <v>1.2396400214139867</v>
      </c>
      <c r="K140" s="82">
        <f>DATA!M140</f>
        <v>1.1023666818724571</v>
      </c>
      <c r="L140" s="82">
        <f>DATA!N140</f>
        <v>1</v>
      </c>
      <c r="M140" s="82">
        <f>DATA!O140</f>
        <v>1</v>
      </c>
      <c r="N140" s="82">
        <f>DATA!P140</f>
        <v>1</v>
      </c>
      <c r="P140" s="330">
        <f t="shared" si="28"/>
        <v>0</v>
      </c>
      <c r="Q140" s="330">
        <f t="shared" si="28"/>
        <v>0</v>
      </c>
      <c r="R140" s="330">
        <f t="shared" si="28"/>
        <v>0</v>
      </c>
      <c r="S140" s="330">
        <f t="shared" si="28"/>
        <v>0</v>
      </c>
      <c r="T140" s="334">
        <f t="shared" ref="T140:T203" si="36">SUM(P140:S140)</f>
        <v>0</v>
      </c>
      <c r="V140" s="330">
        <f t="shared" si="29"/>
        <v>0</v>
      </c>
      <c r="W140" s="330">
        <f t="shared" si="29"/>
        <v>0</v>
      </c>
      <c r="X140" s="330">
        <f t="shared" si="29"/>
        <v>0</v>
      </c>
      <c r="Y140" s="330">
        <f t="shared" si="29"/>
        <v>0</v>
      </c>
      <c r="Z140" s="334">
        <f t="shared" ref="Z140:Z203" si="37">SUM(V140:Y140)</f>
        <v>0</v>
      </c>
    </row>
    <row r="141" spans="3:26" ht="16" hidden="1" outlineLevel="1" thickTop="1" thickBot="1">
      <c r="C141" s="74">
        <f t="shared" si="33"/>
        <v>131</v>
      </c>
      <c r="D141" s="75">
        <f t="shared" si="34"/>
        <v>48519</v>
      </c>
      <c r="E141" s="74">
        <f t="shared" si="30"/>
        <v>44</v>
      </c>
      <c r="F141" s="74" t="str">
        <f t="shared" si="31"/>
        <v>Q3-32</v>
      </c>
      <c r="G141" s="74">
        <f t="shared" si="35"/>
        <v>11</v>
      </c>
      <c r="H141" s="74">
        <f t="shared" si="32"/>
        <v>2032</v>
      </c>
      <c r="J141" s="82">
        <f>DATA!L141</f>
        <v>1.2417060881163433</v>
      </c>
      <c r="K141" s="82">
        <f>DATA!M141</f>
        <v>1.1032853207740174</v>
      </c>
      <c r="L141" s="82">
        <f>DATA!N141</f>
        <v>1</v>
      </c>
      <c r="M141" s="82">
        <f>DATA!O141</f>
        <v>1</v>
      </c>
      <c r="N141" s="82">
        <f>DATA!P141</f>
        <v>1</v>
      </c>
      <c r="P141" s="330">
        <f t="shared" si="28"/>
        <v>0</v>
      </c>
      <c r="Q141" s="330">
        <f t="shared" si="28"/>
        <v>0</v>
      </c>
      <c r="R141" s="330">
        <f t="shared" si="28"/>
        <v>0</v>
      </c>
      <c r="S141" s="330">
        <f t="shared" si="28"/>
        <v>0</v>
      </c>
      <c r="T141" s="334">
        <f t="shared" si="36"/>
        <v>0</v>
      </c>
      <c r="V141" s="330">
        <f t="shared" si="29"/>
        <v>0</v>
      </c>
      <c r="W141" s="330">
        <f t="shared" si="29"/>
        <v>0</v>
      </c>
      <c r="X141" s="330">
        <f t="shared" si="29"/>
        <v>0</v>
      </c>
      <c r="Y141" s="330">
        <f t="shared" si="29"/>
        <v>0</v>
      </c>
      <c r="Z141" s="334">
        <f t="shared" si="37"/>
        <v>0</v>
      </c>
    </row>
    <row r="142" spans="3:26" ht="16" hidden="1" outlineLevel="1" thickTop="1" thickBot="1">
      <c r="C142" s="74">
        <f t="shared" si="33"/>
        <v>132</v>
      </c>
      <c r="D142" s="75">
        <f t="shared" si="34"/>
        <v>48549</v>
      </c>
      <c r="E142" s="74">
        <f t="shared" si="30"/>
        <v>44</v>
      </c>
      <c r="F142" s="74" t="str">
        <f t="shared" si="31"/>
        <v>Q4-32</v>
      </c>
      <c r="G142" s="74">
        <f t="shared" si="35"/>
        <v>11</v>
      </c>
      <c r="H142" s="74">
        <f t="shared" si="32"/>
        <v>2032</v>
      </c>
      <c r="J142" s="82">
        <f>DATA!L142</f>
        <v>1.2437755982632039</v>
      </c>
      <c r="K142" s="82">
        <f>DATA!M142</f>
        <v>1.1042047252079956</v>
      </c>
      <c r="L142" s="82">
        <f>DATA!N142</f>
        <v>1</v>
      </c>
      <c r="M142" s="82">
        <f>DATA!O142</f>
        <v>1</v>
      </c>
      <c r="N142" s="82">
        <f>DATA!P142</f>
        <v>1</v>
      </c>
      <c r="P142" s="330">
        <f t="shared" si="28"/>
        <v>0</v>
      </c>
      <c r="Q142" s="330">
        <f t="shared" si="28"/>
        <v>0</v>
      </c>
      <c r="R142" s="330">
        <f t="shared" si="28"/>
        <v>0</v>
      </c>
      <c r="S142" s="330">
        <f t="shared" si="28"/>
        <v>0</v>
      </c>
      <c r="T142" s="334">
        <f t="shared" si="36"/>
        <v>0</v>
      </c>
      <c r="V142" s="330">
        <f t="shared" si="29"/>
        <v>0</v>
      </c>
      <c r="W142" s="330">
        <f t="shared" si="29"/>
        <v>0</v>
      </c>
      <c r="X142" s="330">
        <f t="shared" si="29"/>
        <v>0</v>
      </c>
      <c r="Y142" s="330">
        <f t="shared" si="29"/>
        <v>0</v>
      </c>
      <c r="Z142" s="334">
        <f t="shared" si="37"/>
        <v>0</v>
      </c>
    </row>
    <row r="143" spans="3:26" ht="16" hidden="1" outlineLevel="1" thickTop="1" thickBot="1">
      <c r="C143" s="74">
        <f t="shared" si="33"/>
        <v>133</v>
      </c>
      <c r="D143" s="75">
        <f t="shared" si="34"/>
        <v>48580</v>
      </c>
      <c r="E143" s="74">
        <f t="shared" si="30"/>
        <v>45</v>
      </c>
      <c r="F143" s="74" t="str">
        <f t="shared" si="31"/>
        <v>Q1-33</v>
      </c>
      <c r="G143" s="74">
        <f t="shared" si="35"/>
        <v>12</v>
      </c>
      <c r="H143" s="74">
        <f t="shared" si="32"/>
        <v>2033</v>
      </c>
      <c r="J143" s="82">
        <f>DATA!L143</f>
        <v>1.2458485575936427</v>
      </c>
      <c r="K143" s="82">
        <f>DATA!M143</f>
        <v>1.1051248958123354</v>
      </c>
      <c r="L143" s="82">
        <f>DATA!N143</f>
        <v>1</v>
      </c>
      <c r="M143" s="82">
        <f>DATA!O143</f>
        <v>1</v>
      </c>
      <c r="N143" s="82">
        <f>DATA!P143</f>
        <v>1</v>
      </c>
      <c r="P143" s="330">
        <f t="shared" si="28"/>
        <v>0</v>
      </c>
      <c r="Q143" s="330">
        <f t="shared" si="28"/>
        <v>0</v>
      </c>
      <c r="R143" s="330">
        <f t="shared" si="28"/>
        <v>0</v>
      </c>
      <c r="S143" s="330">
        <f t="shared" si="28"/>
        <v>0</v>
      </c>
      <c r="T143" s="334">
        <f t="shared" si="36"/>
        <v>0</v>
      </c>
      <c r="V143" s="330">
        <f t="shared" si="29"/>
        <v>0</v>
      </c>
      <c r="W143" s="330">
        <f t="shared" si="29"/>
        <v>0</v>
      </c>
      <c r="X143" s="330">
        <f t="shared" si="29"/>
        <v>0</v>
      </c>
      <c r="Y143" s="330">
        <f t="shared" si="29"/>
        <v>0</v>
      </c>
      <c r="Z143" s="334">
        <f t="shared" si="37"/>
        <v>0</v>
      </c>
    </row>
    <row r="144" spans="3:26" ht="16" hidden="1" outlineLevel="1" thickTop="1" thickBot="1">
      <c r="C144" s="74">
        <f t="shared" si="33"/>
        <v>134</v>
      </c>
      <c r="D144" s="75">
        <f t="shared" si="34"/>
        <v>48611</v>
      </c>
      <c r="E144" s="74">
        <f t="shared" si="30"/>
        <v>45</v>
      </c>
      <c r="F144" s="74" t="str">
        <f t="shared" si="31"/>
        <v>Q1-33</v>
      </c>
      <c r="G144" s="74">
        <f t="shared" si="35"/>
        <v>12</v>
      </c>
      <c r="H144" s="74">
        <f t="shared" si="32"/>
        <v>2033</v>
      </c>
      <c r="J144" s="82">
        <f>DATA!L144</f>
        <v>1.2479249718562988</v>
      </c>
      <c r="K144" s="82">
        <f>DATA!M144</f>
        <v>1.1060458332255123</v>
      </c>
      <c r="L144" s="82">
        <f>DATA!N144</f>
        <v>1</v>
      </c>
      <c r="M144" s="82">
        <f>DATA!O144</f>
        <v>1</v>
      </c>
      <c r="N144" s="82">
        <f>DATA!P144</f>
        <v>1</v>
      </c>
      <c r="P144" s="330">
        <f t="shared" si="28"/>
        <v>0</v>
      </c>
      <c r="Q144" s="330">
        <f t="shared" si="28"/>
        <v>0</v>
      </c>
      <c r="R144" s="330">
        <f t="shared" si="28"/>
        <v>0</v>
      </c>
      <c r="S144" s="330">
        <f t="shared" si="28"/>
        <v>0</v>
      </c>
      <c r="T144" s="334">
        <f t="shared" si="36"/>
        <v>0</v>
      </c>
      <c r="V144" s="330">
        <f t="shared" si="29"/>
        <v>0</v>
      </c>
      <c r="W144" s="330">
        <f t="shared" si="29"/>
        <v>0</v>
      </c>
      <c r="X144" s="330">
        <f t="shared" si="29"/>
        <v>0</v>
      </c>
      <c r="Y144" s="330">
        <f t="shared" si="29"/>
        <v>0</v>
      </c>
      <c r="Z144" s="334">
        <f t="shared" si="37"/>
        <v>0</v>
      </c>
    </row>
    <row r="145" spans="3:26" ht="16" hidden="1" outlineLevel="1" thickTop="1" thickBot="1">
      <c r="C145" s="74">
        <f t="shared" si="33"/>
        <v>135</v>
      </c>
      <c r="D145" s="75">
        <f t="shared" si="34"/>
        <v>48639</v>
      </c>
      <c r="E145" s="74">
        <f t="shared" si="30"/>
        <v>45</v>
      </c>
      <c r="F145" s="74" t="str">
        <f t="shared" si="31"/>
        <v>Q1-33</v>
      </c>
      <c r="G145" s="74">
        <f t="shared" si="35"/>
        <v>12</v>
      </c>
      <c r="H145" s="74">
        <f t="shared" si="32"/>
        <v>2033</v>
      </c>
      <c r="J145" s="82">
        <f>DATA!L145</f>
        <v>1.2500048468093927</v>
      </c>
      <c r="K145" s="82">
        <f>DATA!M145</f>
        <v>1.1069675380865334</v>
      </c>
      <c r="L145" s="82">
        <f>DATA!N145</f>
        <v>1</v>
      </c>
      <c r="M145" s="82">
        <f>DATA!O145</f>
        <v>1</v>
      </c>
      <c r="N145" s="82">
        <f>DATA!P145</f>
        <v>1</v>
      </c>
      <c r="P145" s="330">
        <f t="shared" si="28"/>
        <v>0</v>
      </c>
      <c r="Q145" s="330">
        <f t="shared" si="28"/>
        <v>0</v>
      </c>
      <c r="R145" s="330">
        <f t="shared" si="28"/>
        <v>0</v>
      </c>
      <c r="S145" s="330">
        <f t="shared" si="28"/>
        <v>0</v>
      </c>
      <c r="T145" s="334">
        <f t="shared" si="36"/>
        <v>0</v>
      </c>
      <c r="V145" s="330">
        <f t="shared" si="29"/>
        <v>0</v>
      </c>
      <c r="W145" s="330">
        <f t="shared" si="29"/>
        <v>0</v>
      </c>
      <c r="X145" s="330">
        <f t="shared" si="29"/>
        <v>0</v>
      </c>
      <c r="Y145" s="330">
        <f t="shared" si="29"/>
        <v>0</v>
      </c>
      <c r="Z145" s="334">
        <f t="shared" si="37"/>
        <v>0</v>
      </c>
    </row>
    <row r="146" spans="3:26" ht="16" hidden="1" outlineLevel="1" thickTop="1" thickBot="1">
      <c r="C146" s="74">
        <f t="shared" si="33"/>
        <v>136</v>
      </c>
      <c r="D146" s="75">
        <f t="shared" si="34"/>
        <v>48670</v>
      </c>
      <c r="E146" s="74">
        <f t="shared" si="30"/>
        <v>46</v>
      </c>
      <c r="F146" s="74" t="str">
        <f t="shared" si="31"/>
        <v>Q2-33</v>
      </c>
      <c r="G146" s="74">
        <f t="shared" si="35"/>
        <v>12</v>
      </c>
      <c r="H146" s="74">
        <f t="shared" si="32"/>
        <v>2033</v>
      </c>
      <c r="J146" s="82">
        <f>DATA!L146</f>
        <v>1.2520881882207417</v>
      </c>
      <c r="K146" s="82">
        <f>DATA!M146</f>
        <v>1.1078900110349388</v>
      </c>
      <c r="L146" s="82">
        <f>DATA!N146</f>
        <v>1</v>
      </c>
      <c r="M146" s="82">
        <f>DATA!O146</f>
        <v>1</v>
      </c>
      <c r="N146" s="82">
        <f>DATA!P146</f>
        <v>1</v>
      </c>
      <c r="P146" s="330">
        <f t="shared" si="28"/>
        <v>0</v>
      </c>
      <c r="Q146" s="330">
        <f t="shared" si="28"/>
        <v>0</v>
      </c>
      <c r="R146" s="330">
        <f t="shared" si="28"/>
        <v>0</v>
      </c>
      <c r="S146" s="330">
        <f t="shared" si="28"/>
        <v>0</v>
      </c>
      <c r="T146" s="334">
        <f t="shared" si="36"/>
        <v>0</v>
      </c>
      <c r="V146" s="330">
        <f t="shared" si="29"/>
        <v>0</v>
      </c>
      <c r="W146" s="330">
        <f t="shared" si="29"/>
        <v>0</v>
      </c>
      <c r="X146" s="330">
        <f t="shared" si="29"/>
        <v>0</v>
      </c>
      <c r="Y146" s="330">
        <f t="shared" si="29"/>
        <v>0</v>
      </c>
      <c r="Z146" s="334">
        <f t="shared" si="37"/>
        <v>0</v>
      </c>
    </row>
    <row r="147" spans="3:26" ht="16" hidden="1" outlineLevel="1" thickTop="1" thickBot="1">
      <c r="C147" s="74">
        <f t="shared" si="33"/>
        <v>137</v>
      </c>
      <c r="D147" s="75">
        <f t="shared" si="34"/>
        <v>48700</v>
      </c>
      <c r="E147" s="74">
        <f t="shared" si="30"/>
        <v>46</v>
      </c>
      <c r="F147" s="74" t="str">
        <f t="shared" si="31"/>
        <v>Q2-33</v>
      </c>
      <c r="G147" s="74">
        <f t="shared" si="35"/>
        <v>12</v>
      </c>
      <c r="H147" s="74">
        <f t="shared" si="32"/>
        <v>2033</v>
      </c>
      <c r="J147" s="82">
        <f>DATA!L147</f>
        <v>1.2541750018677764</v>
      </c>
      <c r="K147" s="82">
        <f>DATA!M147</f>
        <v>1.1088132527108012</v>
      </c>
      <c r="L147" s="82">
        <f>DATA!N147</f>
        <v>1</v>
      </c>
      <c r="M147" s="82">
        <f>DATA!O147</f>
        <v>1</v>
      </c>
      <c r="N147" s="82">
        <f>DATA!P147</f>
        <v>1</v>
      </c>
      <c r="P147" s="330">
        <f t="shared" si="28"/>
        <v>0</v>
      </c>
      <c r="Q147" s="330">
        <f t="shared" si="28"/>
        <v>0</v>
      </c>
      <c r="R147" s="330">
        <f t="shared" si="28"/>
        <v>0</v>
      </c>
      <c r="S147" s="330">
        <f t="shared" si="28"/>
        <v>0</v>
      </c>
      <c r="T147" s="334">
        <f t="shared" si="36"/>
        <v>0</v>
      </c>
      <c r="V147" s="330">
        <f t="shared" si="29"/>
        <v>0</v>
      </c>
      <c r="W147" s="330">
        <f t="shared" si="29"/>
        <v>0</v>
      </c>
      <c r="X147" s="330">
        <f t="shared" si="29"/>
        <v>0</v>
      </c>
      <c r="Y147" s="330">
        <f t="shared" si="29"/>
        <v>0</v>
      </c>
      <c r="Z147" s="334">
        <f t="shared" si="37"/>
        <v>0</v>
      </c>
    </row>
    <row r="148" spans="3:26" ht="16" hidden="1" outlineLevel="1" thickTop="1" thickBot="1">
      <c r="C148" s="74">
        <f t="shared" si="33"/>
        <v>138</v>
      </c>
      <c r="D148" s="75">
        <f t="shared" si="34"/>
        <v>48731</v>
      </c>
      <c r="E148" s="74">
        <f t="shared" si="30"/>
        <v>46</v>
      </c>
      <c r="F148" s="74" t="str">
        <f t="shared" si="31"/>
        <v>Q2-33</v>
      </c>
      <c r="G148" s="74">
        <f t="shared" si="35"/>
        <v>12</v>
      </c>
      <c r="H148" s="74">
        <f t="shared" si="32"/>
        <v>2033</v>
      </c>
      <c r="J148" s="82">
        <f>DATA!L148</f>
        <v>1.256265293537556</v>
      </c>
      <c r="K148" s="82">
        <f>DATA!M148</f>
        <v>1.1097372637547267</v>
      </c>
      <c r="L148" s="82">
        <f>DATA!N148</f>
        <v>1</v>
      </c>
      <c r="M148" s="82">
        <f>DATA!O148</f>
        <v>1</v>
      </c>
      <c r="N148" s="82">
        <f>DATA!P148</f>
        <v>1</v>
      </c>
      <c r="P148" s="330">
        <f t="shared" si="28"/>
        <v>0</v>
      </c>
      <c r="Q148" s="330">
        <f t="shared" si="28"/>
        <v>0</v>
      </c>
      <c r="R148" s="330">
        <f t="shared" si="28"/>
        <v>0</v>
      </c>
      <c r="S148" s="330">
        <f t="shared" si="28"/>
        <v>0</v>
      </c>
      <c r="T148" s="334">
        <f t="shared" si="36"/>
        <v>0</v>
      </c>
      <c r="V148" s="330">
        <f t="shared" si="29"/>
        <v>0</v>
      </c>
      <c r="W148" s="330">
        <f t="shared" si="29"/>
        <v>0</v>
      </c>
      <c r="X148" s="330">
        <f t="shared" si="29"/>
        <v>0</v>
      </c>
      <c r="Y148" s="330">
        <f t="shared" si="29"/>
        <v>0</v>
      </c>
      <c r="Z148" s="334">
        <f t="shared" si="37"/>
        <v>0</v>
      </c>
    </row>
    <row r="149" spans="3:26" ht="16" hidden="1" outlineLevel="1" thickTop="1" thickBot="1">
      <c r="C149" s="74">
        <f t="shared" si="33"/>
        <v>139</v>
      </c>
      <c r="D149" s="75">
        <f t="shared" si="34"/>
        <v>48761</v>
      </c>
      <c r="E149" s="74">
        <f t="shared" si="30"/>
        <v>47</v>
      </c>
      <c r="F149" s="74" t="str">
        <f t="shared" si="31"/>
        <v>Q2-33</v>
      </c>
      <c r="G149" s="74">
        <f t="shared" si="35"/>
        <v>12</v>
      </c>
      <c r="H149" s="74">
        <f t="shared" si="32"/>
        <v>2033</v>
      </c>
      <c r="J149" s="82">
        <f>DATA!L149</f>
        <v>1.2583590690267854</v>
      </c>
      <c r="K149" s="82">
        <f>DATA!M149</f>
        <v>1.1106620448078555</v>
      </c>
      <c r="L149" s="82">
        <f>DATA!N149</f>
        <v>1</v>
      </c>
      <c r="M149" s="82">
        <f>DATA!O149</f>
        <v>1</v>
      </c>
      <c r="N149" s="82">
        <f>DATA!P149</f>
        <v>1</v>
      </c>
      <c r="P149" s="330">
        <f t="shared" si="28"/>
        <v>0</v>
      </c>
      <c r="Q149" s="330">
        <f t="shared" si="28"/>
        <v>0</v>
      </c>
      <c r="R149" s="330">
        <f t="shared" si="28"/>
        <v>0</v>
      </c>
      <c r="S149" s="330">
        <f t="shared" si="28"/>
        <v>0</v>
      </c>
      <c r="T149" s="334">
        <f t="shared" si="36"/>
        <v>0</v>
      </c>
      <c r="V149" s="330">
        <f t="shared" si="29"/>
        <v>0</v>
      </c>
      <c r="W149" s="330">
        <f t="shared" si="29"/>
        <v>0</v>
      </c>
      <c r="X149" s="330">
        <f t="shared" si="29"/>
        <v>0</v>
      </c>
      <c r="Y149" s="330">
        <f t="shared" si="29"/>
        <v>0</v>
      </c>
      <c r="Z149" s="334">
        <f t="shared" si="37"/>
        <v>0</v>
      </c>
    </row>
    <row r="150" spans="3:26" ht="16" hidden="1" outlineLevel="1" thickTop="1" thickBot="1">
      <c r="C150" s="74">
        <f t="shared" si="33"/>
        <v>140</v>
      </c>
      <c r="D150" s="75">
        <f t="shared" si="34"/>
        <v>48792</v>
      </c>
      <c r="E150" s="74">
        <f t="shared" si="30"/>
        <v>47</v>
      </c>
      <c r="F150" s="74" t="str">
        <f t="shared" si="31"/>
        <v>Q3-33</v>
      </c>
      <c r="G150" s="74">
        <f t="shared" si="35"/>
        <v>12</v>
      </c>
      <c r="H150" s="74">
        <f t="shared" si="32"/>
        <v>2033</v>
      </c>
      <c r="J150" s="82">
        <f>DATA!L150</f>
        <v>1.26045633414183</v>
      </c>
      <c r="K150" s="82">
        <f>DATA!M150</f>
        <v>1.111587596511862</v>
      </c>
      <c r="L150" s="82">
        <f>DATA!N150</f>
        <v>1</v>
      </c>
      <c r="M150" s="82">
        <f>DATA!O150</f>
        <v>1</v>
      </c>
      <c r="N150" s="82">
        <f>DATA!P150</f>
        <v>1</v>
      </c>
      <c r="P150" s="330">
        <f t="shared" si="28"/>
        <v>0</v>
      </c>
      <c r="Q150" s="330">
        <f t="shared" si="28"/>
        <v>0</v>
      </c>
      <c r="R150" s="330">
        <f t="shared" si="28"/>
        <v>0</v>
      </c>
      <c r="S150" s="330">
        <f t="shared" si="28"/>
        <v>0</v>
      </c>
      <c r="T150" s="334">
        <f t="shared" si="36"/>
        <v>0</v>
      </c>
      <c r="V150" s="330">
        <f t="shared" si="29"/>
        <v>0</v>
      </c>
      <c r="W150" s="330">
        <f t="shared" si="29"/>
        <v>0</v>
      </c>
      <c r="X150" s="330">
        <f t="shared" si="29"/>
        <v>0</v>
      </c>
      <c r="Y150" s="330">
        <f t="shared" si="29"/>
        <v>0</v>
      </c>
      <c r="Z150" s="334">
        <f t="shared" si="37"/>
        <v>0</v>
      </c>
    </row>
    <row r="151" spans="3:26" ht="16" hidden="1" outlineLevel="1" thickTop="1" thickBot="1">
      <c r="C151" s="74">
        <f t="shared" si="33"/>
        <v>141</v>
      </c>
      <c r="D151" s="75">
        <f t="shared" si="34"/>
        <v>48823</v>
      </c>
      <c r="E151" s="74">
        <f t="shared" si="30"/>
        <v>47</v>
      </c>
      <c r="F151" s="74" t="str">
        <f t="shared" si="31"/>
        <v>Q3-33</v>
      </c>
      <c r="G151" s="74">
        <f t="shared" si="35"/>
        <v>12</v>
      </c>
      <c r="H151" s="74">
        <f t="shared" si="32"/>
        <v>2033</v>
      </c>
      <c r="J151" s="82">
        <f>DATA!L151</f>
        <v>1.262557094698733</v>
      </c>
      <c r="K151" s="82">
        <f>DATA!M151</f>
        <v>1.1125139195089551</v>
      </c>
      <c r="L151" s="82">
        <f>DATA!N151</f>
        <v>1</v>
      </c>
      <c r="M151" s="82">
        <f>DATA!O151</f>
        <v>1</v>
      </c>
      <c r="N151" s="82">
        <f>DATA!P151</f>
        <v>1</v>
      </c>
      <c r="P151" s="330">
        <f t="shared" ref="P151:S170" si="38">IF(AND($C151&gt;=P$6,$C151&lt;=P$6+P$7-1),P$9/P$7*$K151,0)</f>
        <v>0</v>
      </c>
      <c r="Q151" s="330">
        <f t="shared" si="38"/>
        <v>0</v>
      </c>
      <c r="R151" s="330">
        <f t="shared" si="38"/>
        <v>0</v>
      </c>
      <c r="S151" s="330">
        <f t="shared" si="38"/>
        <v>0</v>
      </c>
      <c r="T151" s="334">
        <f t="shared" si="36"/>
        <v>0</v>
      </c>
      <c r="V151" s="330">
        <f t="shared" ref="V151:Y170" si="39">IF(AND($C151&gt;=V$6,$C151&lt;=V$6+V$7-1),V$9/V$7*$K151,0)</f>
        <v>0</v>
      </c>
      <c r="W151" s="330">
        <f t="shared" si="39"/>
        <v>0</v>
      </c>
      <c r="X151" s="330">
        <f t="shared" si="39"/>
        <v>0</v>
      </c>
      <c r="Y151" s="330">
        <f t="shared" si="39"/>
        <v>0</v>
      </c>
      <c r="Z151" s="334">
        <f t="shared" si="37"/>
        <v>0</v>
      </c>
    </row>
    <row r="152" spans="3:26" ht="16" hidden="1" outlineLevel="1" thickTop="1" thickBot="1">
      <c r="C152" s="74">
        <f t="shared" si="33"/>
        <v>142</v>
      </c>
      <c r="D152" s="75">
        <f t="shared" si="34"/>
        <v>48853</v>
      </c>
      <c r="E152" s="74">
        <f t="shared" si="30"/>
        <v>48</v>
      </c>
      <c r="F152" s="74" t="str">
        <f t="shared" si="31"/>
        <v>Q3-33</v>
      </c>
      <c r="G152" s="74">
        <f t="shared" si="35"/>
        <v>12</v>
      </c>
      <c r="H152" s="74">
        <f t="shared" si="32"/>
        <v>2033</v>
      </c>
      <c r="J152" s="82">
        <f>DATA!L152</f>
        <v>1.264661356523231</v>
      </c>
      <c r="K152" s="82">
        <f>DATA!M152</f>
        <v>1.1134410144418792</v>
      </c>
      <c r="L152" s="82">
        <f>DATA!N152</f>
        <v>1</v>
      </c>
      <c r="M152" s="82">
        <f>DATA!O152</f>
        <v>1</v>
      </c>
      <c r="N152" s="82">
        <f>DATA!P152</f>
        <v>1</v>
      </c>
      <c r="P152" s="330">
        <f t="shared" si="38"/>
        <v>0</v>
      </c>
      <c r="Q152" s="330">
        <f t="shared" si="38"/>
        <v>0</v>
      </c>
      <c r="R152" s="330">
        <f t="shared" si="38"/>
        <v>0</v>
      </c>
      <c r="S152" s="330">
        <f t="shared" si="38"/>
        <v>0</v>
      </c>
      <c r="T152" s="334">
        <f t="shared" si="36"/>
        <v>0</v>
      </c>
      <c r="V152" s="330">
        <f t="shared" si="39"/>
        <v>0</v>
      </c>
      <c r="W152" s="330">
        <f t="shared" si="39"/>
        <v>0</v>
      </c>
      <c r="X152" s="330">
        <f t="shared" si="39"/>
        <v>0</v>
      </c>
      <c r="Y152" s="330">
        <f t="shared" si="39"/>
        <v>0</v>
      </c>
      <c r="Z152" s="334">
        <f t="shared" si="37"/>
        <v>0</v>
      </c>
    </row>
    <row r="153" spans="3:26" ht="16" hidden="1" outlineLevel="1" thickTop="1" thickBot="1">
      <c r="C153" s="74">
        <f t="shared" si="33"/>
        <v>143</v>
      </c>
      <c r="D153" s="75">
        <f t="shared" si="34"/>
        <v>48884</v>
      </c>
      <c r="E153" s="74">
        <f t="shared" si="30"/>
        <v>48</v>
      </c>
      <c r="F153" s="74" t="str">
        <f t="shared" si="31"/>
        <v>Q3-33</v>
      </c>
      <c r="G153" s="74">
        <f t="shared" si="35"/>
        <v>12</v>
      </c>
      <c r="H153" s="74">
        <f t="shared" si="32"/>
        <v>2033</v>
      </c>
      <c r="J153" s="82">
        <f>DATA!L153</f>
        <v>1.2667691254507698</v>
      </c>
      <c r="K153" s="82">
        <f>DATA!M153</f>
        <v>1.1143688819539139</v>
      </c>
      <c r="L153" s="82">
        <f>DATA!N153</f>
        <v>1</v>
      </c>
      <c r="M153" s="82">
        <f>DATA!O153</f>
        <v>1</v>
      </c>
      <c r="N153" s="82">
        <f>DATA!P153</f>
        <v>1</v>
      </c>
      <c r="P153" s="330">
        <f t="shared" si="38"/>
        <v>0</v>
      </c>
      <c r="Q153" s="330">
        <f t="shared" si="38"/>
        <v>0</v>
      </c>
      <c r="R153" s="330">
        <f t="shared" si="38"/>
        <v>0</v>
      </c>
      <c r="S153" s="330">
        <f t="shared" si="38"/>
        <v>0</v>
      </c>
      <c r="T153" s="334">
        <f t="shared" si="36"/>
        <v>0</v>
      </c>
      <c r="V153" s="330">
        <f t="shared" si="39"/>
        <v>0</v>
      </c>
      <c r="W153" s="330">
        <f t="shared" si="39"/>
        <v>0</v>
      </c>
      <c r="X153" s="330">
        <f t="shared" si="39"/>
        <v>0</v>
      </c>
      <c r="Y153" s="330">
        <f t="shared" si="39"/>
        <v>0</v>
      </c>
      <c r="Z153" s="334">
        <f t="shared" si="37"/>
        <v>0</v>
      </c>
    </row>
    <row r="154" spans="3:26" ht="16" hidden="1" outlineLevel="1" thickTop="1" thickBot="1">
      <c r="C154" s="74">
        <f t="shared" si="33"/>
        <v>144</v>
      </c>
      <c r="D154" s="75">
        <f t="shared" si="34"/>
        <v>48914</v>
      </c>
      <c r="E154" s="74">
        <f t="shared" si="30"/>
        <v>48</v>
      </c>
      <c r="F154" s="74" t="str">
        <f t="shared" si="31"/>
        <v>Q4-33</v>
      </c>
      <c r="G154" s="74">
        <f t="shared" si="35"/>
        <v>12</v>
      </c>
      <c r="H154" s="74">
        <f t="shared" si="32"/>
        <v>2033</v>
      </c>
      <c r="J154" s="82">
        <f>DATA!L154</f>
        <v>1.2688804073265212</v>
      </c>
      <c r="K154" s="82">
        <f>DATA!M154</f>
        <v>1.1152975226888755</v>
      </c>
      <c r="L154" s="82">
        <f>DATA!N154</f>
        <v>1</v>
      </c>
      <c r="M154" s="82">
        <f>DATA!O154</f>
        <v>1</v>
      </c>
      <c r="N154" s="82">
        <f>DATA!P154</f>
        <v>1</v>
      </c>
      <c r="P154" s="330">
        <f t="shared" si="38"/>
        <v>0</v>
      </c>
      <c r="Q154" s="330">
        <f t="shared" si="38"/>
        <v>0</v>
      </c>
      <c r="R154" s="330">
        <f t="shared" si="38"/>
        <v>0</v>
      </c>
      <c r="S154" s="330">
        <f t="shared" si="38"/>
        <v>0</v>
      </c>
      <c r="T154" s="334">
        <f t="shared" si="36"/>
        <v>0</v>
      </c>
      <c r="V154" s="330">
        <f t="shared" si="39"/>
        <v>0</v>
      </c>
      <c r="W154" s="330">
        <f t="shared" si="39"/>
        <v>0</v>
      </c>
      <c r="X154" s="330">
        <f t="shared" si="39"/>
        <v>0</v>
      </c>
      <c r="Y154" s="330">
        <f t="shared" si="39"/>
        <v>0</v>
      </c>
      <c r="Z154" s="334">
        <f t="shared" si="37"/>
        <v>0</v>
      </c>
    </row>
    <row r="155" spans="3:26" ht="16" hidden="1" outlineLevel="1" thickTop="1" thickBot="1">
      <c r="C155" s="74">
        <f t="shared" si="33"/>
        <v>145</v>
      </c>
      <c r="D155" s="75">
        <f t="shared" si="34"/>
        <v>48945</v>
      </c>
      <c r="E155" s="74">
        <f t="shared" si="30"/>
        <v>49</v>
      </c>
      <c r="F155" s="74" t="str">
        <f t="shared" si="31"/>
        <v>Q1-34</v>
      </c>
      <c r="G155" s="74">
        <f t="shared" si="35"/>
        <v>13</v>
      </c>
      <c r="H155" s="74">
        <f t="shared" si="32"/>
        <v>2034</v>
      </c>
      <c r="J155" s="82">
        <f>DATA!L155</f>
        <v>1.2709952080053988</v>
      </c>
      <c r="K155" s="82">
        <f>DATA!M155</f>
        <v>1.1162269372911162</v>
      </c>
      <c r="L155" s="82">
        <f>DATA!N155</f>
        <v>1</v>
      </c>
      <c r="M155" s="82">
        <f>DATA!O155</f>
        <v>1</v>
      </c>
      <c r="N155" s="82">
        <f>DATA!P155</f>
        <v>1</v>
      </c>
      <c r="P155" s="330">
        <f t="shared" si="38"/>
        <v>0</v>
      </c>
      <c r="Q155" s="330">
        <f t="shared" si="38"/>
        <v>0</v>
      </c>
      <c r="R155" s="330">
        <f t="shared" si="38"/>
        <v>0</v>
      </c>
      <c r="S155" s="330">
        <f t="shared" si="38"/>
        <v>0</v>
      </c>
      <c r="T155" s="334">
        <f t="shared" si="36"/>
        <v>0</v>
      </c>
      <c r="V155" s="330">
        <f t="shared" si="39"/>
        <v>0</v>
      </c>
      <c r="W155" s="330">
        <f t="shared" si="39"/>
        <v>0</v>
      </c>
      <c r="X155" s="330">
        <f t="shared" si="39"/>
        <v>0</v>
      </c>
      <c r="Y155" s="330">
        <f t="shared" si="39"/>
        <v>0</v>
      </c>
      <c r="Z155" s="334">
        <f t="shared" si="37"/>
        <v>0</v>
      </c>
    </row>
    <row r="156" spans="3:26" ht="16" hidden="1" outlineLevel="1" thickTop="1" thickBot="1">
      <c r="C156" s="74">
        <f t="shared" si="33"/>
        <v>146</v>
      </c>
      <c r="D156" s="75">
        <f t="shared" si="34"/>
        <v>48976</v>
      </c>
      <c r="E156" s="74">
        <f t="shared" si="30"/>
        <v>49</v>
      </c>
      <c r="F156" s="74" t="str">
        <f t="shared" si="31"/>
        <v>Q1-34</v>
      </c>
      <c r="G156" s="74">
        <f t="shared" si="35"/>
        <v>13</v>
      </c>
      <c r="H156" s="74">
        <f t="shared" si="32"/>
        <v>2034</v>
      </c>
      <c r="J156" s="82">
        <f>DATA!L156</f>
        <v>1.2731135333520744</v>
      </c>
      <c r="K156" s="82">
        <f>DATA!M156</f>
        <v>1.1171571264055253</v>
      </c>
      <c r="L156" s="82">
        <f>DATA!N156</f>
        <v>1</v>
      </c>
      <c r="M156" s="82">
        <f>DATA!O156</f>
        <v>1</v>
      </c>
      <c r="N156" s="82">
        <f>DATA!P156</f>
        <v>1</v>
      </c>
      <c r="P156" s="330">
        <f t="shared" si="38"/>
        <v>0</v>
      </c>
      <c r="Q156" s="330">
        <f t="shared" si="38"/>
        <v>0</v>
      </c>
      <c r="R156" s="330">
        <f t="shared" si="38"/>
        <v>0</v>
      </c>
      <c r="S156" s="330">
        <f t="shared" si="38"/>
        <v>0</v>
      </c>
      <c r="T156" s="334">
        <f t="shared" si="36"/>
        <v>0</v>
      </c>
      <c r="V156" s="330">
        <f t="shared" si="39"/>
        <v>0</v>
      </c>
      <c r="W156" s="330">
        <f t="shared" si="39"/>
        <v>0</v>
      </c>
      <c r="X156" s="330">
        <f t="shared" si="39"/>
        <v>0</v>
      </c>
      <c r="Y156" s="330">
        <f t="shared" si="39"/>
        <v>0</v>
      </c>
      <c r="Z156" s="334">
        <f t="shared" si="37"/>
        <v>0</v>
      </c>
    </row>
    <row r="157" spans="3:26" ht="16" hidden="1" outlineLevel="1" thickTop="1" thickBot="1">
      <c r="C157" s="74">
        <f t="shared" si="33"/>
        <v>147</v>
      </c>
      <c r="D157" s="75">
        <f t="shared" si="34"/>
        <v>49004</v>
      </c>
      <c r="E157" s="74">
        <f t="shared" si="30"/>
        <v>49</v>
      </c>
      <c r="F157" s="74" t="str">
        <f t="shared" si="31"/>
        <v>Q1-34</v>
      </c>
      <c r="G157" s="74">
        <f t="shared" si="35"/>
        <v>13</v>
      </c>
      <c r="H157" s="74">
        <f t="shared" si="32"/>
        <v>2034</v>
      </c>
      <c r="J157" s="82">
        <f>DATA!L157</f>
        <v>1.2752353892409947</v>
      </c>
      <c r="K157" s="82">
        <f>DATA!M157</f>
        <v>1.1180880906775299</v>
      </c>
      <c r="L157" s="82">
        <f>DATA!N157</f>
        <v>1</v>
      </c>
      <c r="M157" s="82">
        <f>DATA!O157</f>
        <v>1</v>
      </c>
      <c r="N157" s="82">
        <f>DATA!P157</f>
        <v>1</v>
      </c>
      <c r="P157" s="330">
        <f t="shared" si="38"/>
        <v>0</v>
      </c>
      <c r="Q157" s="330">
        <f t="shared" si="38"/>
        <v>0</v>
      </c>
      <c r="R157" s="330">
        <f t="shared" si="38"/>
        <v>0</v>
      </c>
      <c r="S157" s="330">
        <f t="shared" si="38"/>
        <v>0</v>
      </c>
      <c r="T157" s="334">
        <f t="shared" si="36"/>
        <v>0</v>
      </c>
      <c r="V157" s="330">
        <f t="shared" si="39"/>
        <v>0</v>
      </c>
      <c r="W157" s="330">
        <f t="shared" si="39"/>
        <v>0</v>
      </c>
      <c r="X157" s="330">
        <f t="shared" si="39"/>
        <v>0</v>
      </c>
      <c r="Y157" s="330">
        <f t="shared" si="39"/>
        <v>0</v>
      </c>
      <c r="Z157" s="334">
        <f t="shared" si="37"/>
        <v>0</v>
      </c>
    </row>
    <row r="158" spans="3:26" ht="16" hidden="1" outlineLevel="1" thickTop="1" thickBot="1">
      <c r="C158" s="74">
        <f t="shared" si="33"/>
        <v>148</v>
      </c>
      <c r="D158" s="75">
        <f t="shared" si="34"/>
        <v>49035</v>
      </c>
      <c r="E158" s="74">
        <f t="shared" si="30"/>
        <v>50</v>
      </c>
      <c r="F158" s="74" t="str">
        <f t="shared" si="31"/>
        <v>Q2-34</v>
      </c>
      <c r="G158" s="74">
        <f t="shared" si="35"/>
        <v>13</v>
      </c>
      <c r="H158" s="74">
        <f t="shared" si="32"/>
        <v>2034</v>
      </c>
      <c r="J158" s="82">
        <f>DATA!L158</f>
        <v>1.2773607815563963</v>
      </c>
      <c r="K158" s="82">
        <f>DATA!M158</f>
        <v>1.1190198307530943</v>
      </c>
      <c r="L158" s="82">
        <f>DATA!N158</f>
        <v>1</v>
      </c>
      <c r="M158" s="82">
        <f>DATA!O158</f>
        <v>1</v>
      </c>
      <c r="N158" s="82">
        <f>DATA!P158</f>
        <v>1</v>
      </c>
      <c r="P158" s="330">
        <f t="shared" si="38"/>
        <v>0</v>
      </c>
      <c r="Q158" s="330">
        <f t="shared" si="38"/>
        <v>0</v>
      </c>
      <c r="R158" s="330">
        <f t="shared" si="38"/>
        <v>0</v>
      </c>
      <c r="S158" s="330">
        <f t="shared" si="38"/>
        <v>0</v>
      </c>
      <c r="T158" s="334">
        <f t="shared" si="36"/>
        <v>0</v>
      </c>
      <c r="V158" s="330">
        <f t="shared" si="39"/>
        <v>0</v>
      </c>
      <c r="W158" s="330">
        <f t="shared" si="39"/>
        <v>0</v>
      </c>
      <c r="X158" s="330">
        <f t="shared" si="39"/>
        <v>0</v>
      </c>
      <c r="Y158" s="330">
        <f t="shared" si="39"/>
        <v>0</v>
      </c>
      <c r="Z158" s="334">
        <f t="shared" si="37"/>
        <v>0</v>
      </c>
    </row>
    <row r="159" spans="3:26" ht="16" hidden="1" outlineLevel="1" thickTop="1" thickBot="1">
      <c r="C159" s="74">
        <f t="shared" si="33"/>
        <v>149</v>
      </c>
      <c r="D159" s="75">
        <f t="shared" si="34"/>
        <v>49065</v>
      </c>
      <c r="E159" s="74">
        <f t="shared" si="30"/>
        <v>50</v>
      </c>
      <c r="F159" s="74" t="str">
        <f t="shared" si="31"/>
        <v>Q2-34</v>
      </c>
      <c r="G159" s="74">
        <f t="shared" si="35"/>
        <v>13</v>
      </c>
      <c r="H159" s="74">
        <f t="shared" si="32"/>
        <v>2034</v>
      </c>
      <c r="J159" s="82">
        <f>DATA!L159</f>
        <v>1.2794897161923238</v>
      </c>
      <c r="K159" s="82">
        <f>DATA!M159</f>
        <v>1.1199523472787218</v>
      </c>
      <c r="L159" s="82">
        <f>DATA!N159</f>
        <v>1</v>
      </c>
      <c r="M159" s="82">
        <f>DATA!O159</f>
        <v>1</v>
      </c>
      <c r="N159" s="82">
        <f>DATA!P159</f>
        <v>1</v>
      </c>
      <c r="P159" s="330">
        <f t="shared" si="38"/>
        <v>0</v>
      </c>
      <c r="Q159" s="330">
        <f t="shared" si="38"/>
        <v>0</v>
      </c>
      <c r="R159" s="330">
        <f t="shared" si="38"/>
        <v>0</v>
      </c>
      <c r="S159" s="330">
        <f t="shared" si="38"/>
        <v>0</v>
      </c>
      <c r="T159" s="334">
        <f t="shared" si="36"/>
        <v>0</v>
      </c>
      <c r="V159" s="330">
        <f t="shared" si="39"/>
        <v>0</v>
      </c>
      <c r="W159" s="330">
        <f t="shared" si="39"/>
        <v>0</v>
      </c>
      <c r="X159" s="330">
        <f t="shared" si="39"/>
        <v>0</v>
      </c>
      <c r="Y159" s="330">
        <f t="shared" si="39"/>
        <v>0</v>
      </c>
      <c r="Z159" s="334">
        <f t="shared" si="37"/>
        <v>0</v>
      </c>
    </row>
    <row r="160" spans="3:26" ht="16" hidden="1" outlineLevel="1" thickTop="1" thickBot="1">
      <c r="C160" s="74">
        <f t="shared" si="33"/>
        <v>150</v>
      </c>
      <c r="D160" s="75">
        <f t="shared" si="34"/>
        <v>49096</v>
      </c>
      <c r="E160" s="74">
        <f t="shared" si="30"/>
        <v>50</v>
      </c>
      <c r="F160" s="74" t="str">
        <f t="shared" si="31"/>
        <v>Q2-34</v>
      </c>
      <c r="G160" s="74">
        <f t="shared" si="35"/>
        <v>13</v>
      </c>
      <c r="H160" s="74">
        <f t="shared" si="32"/>
        <v>2034</v>
      </c>
      <c r="J160" s="82">
        <f>DATA!L160</f>
        <v>1.2816221990526444</v>
      </c>
      <c r="K160" s="82">
        <f>DATA!M160</f>
        <v>1.120885640901454</v>
      </c>
      <c r="L160" s="82">
        <f>DATA!N160</f>
        <v>1</v>
      </c>
      <c r="M160" s="82">
        <f>DATA!O160</f>
        <v>1</v>
      </c>
      <c r="N160" s="82">
        <f>DATA!P160</f>
        <v>1</v>
      </c>
      <c r="P160" s="330">
        <f t="shared" si="38"/>
        <v>0</v>
      </c>
      <c r="Q160" s="330">
        <f t="shared" si="38"/>
        <v>0</v>
      </c>
      <c r="R160" s="330">
        <f t="shared" si="38"/>
        <v>0</v>
      </c>
      <c r="S160" s="330">
        <f t="shared" si="38"/>
        <v>0</v>
      </c>
      <c r="T160" s="334">
        <f t="shared" si="36"/>
        <v>0</v>
      </c>
      <c r="V160" s="330">
        <f t="shared" si="39"/>
        <v>0</v>
      </c>
      <c r="W160" s="330">
        <f t="shared" si="39"/>
        <v>0</v>
      </c>
      <c r="X160" s="330">
        <f t="shared" si="39"/>
        <v>0</v>
      </c>
      <c r="Y160" s="330">
        <f t="shared" si="39"/>
        <v>0</v>
      </c>
      <c r="Z160" s="334">
        <f t="shared" si="37"/>
        <v>0</v>
      </c>
    </row>
    <row r="161" spans="3:26" ht="16" hidden="1" outlineLevel="1" thickTop="1" thickBot="1">
      <c r="C161" s="74">
        <f t="shared" si="33"/>
        <v>151</v>
      </c>
      <c r="D161" s="75">
        <f t="shared" si="34"/>
        <v>49126</v>
      </c>
      <c r="E161" s="74">
        <f t="shared" si="30"/>
        <v>51</v>
      </c>
      <c r="F161" s="74" t="str">
        <f t="shared" si="31"/>
        <v>Q2-34</v>
      </c>
      <c r="G161" s="74">
        <f t="shared" si="35"/>
        <v>13</v>
      </c>
      <c r="H161" s="74">
        <f t="shared" si="32"/>
        <v>2034</v>
      </c>
      <c r="J161" s="82">
        <f>DATA!L161</f>
        <v>1.2837582360510655</v>
      </c>
      <c r="K161" s="82">
        <f>DATA!M161</f>
        <v>1.1218197122688718</v>
      </c>
      <c r="L161" s="82">
        <f>DATA!N161</f>
        <v>1</v>
      </c>
      <c r="M161" s="82">
        <f>DATA!O161</f>
        <v>1</v>
      </c>
      <c r="N161" s="82">
        <f>DATA!P161</f>
        <v>1</v>
      </c>
      <c r="P161" s="330">
        <f t="shared" si="38"/>
        <v>0</v>
      </c>
      <c r="Q161" s="330">
        <f t="shared" si="38"/>
        <v>0</v>
      </c>
      <c r="R161" s="330">
        <f t="shared" si="38"/>
        <v>0</v>
      </c>
      <c r="S161" s="330">
        <f t="shared" si="38"/>
        <v>0</v>
      </c>
      <c r="T161" s="334">
        <f t="shared" si="36"/>
        <v>0</v>
      </c>
      <c r="V161" s="330">
        <f t="shared" si="39"/>
        <v>0</v>
      </c>
      <c r="W161" s="330">
        <f t="shared" si="39"/>
        <v>0</v>
      </c>
      <c r="X161" s="330">
        <f t="shared" si="39"/>
        <v>0</v>
      </c>
      <c r="Y161" s="330">
        <f t="shared" si="39"/>
        <v>0</v>
      </c>
      <c r="Z161" s="334">
        <f t="shared" si="37"/>
        <v>0</v>
      </c>
    </row>
    <row r="162" spans="3:26" ht="16" hidden="1" outlineLevel="1" thickTop="1" thickBot="1">
      <c r="C162" s="74">
        <f t="shared" si="33"/>
        <v>152</v>
      </c>
      <c r="D162" s="75">
        <f t="shared" si="34"/>
        <v>49157</v>
      </c>
      <c r="E162" s="74">
        <f t="shared" si="30"/>
        <v>51</v>
      </c>
      <c r="F162" s="74" t="str">
        <f t="shared" si="31"/>
        <v>Q3-34</v>
      </c>
      <c r="G162" s="74">
        <f t="shared" si="35"/>
        <v>13</v>
      </c>
      <c r="H162" s="74">
        <f t="shared" si="32"/>
        <v>2034</v>
      </c>
      <c r="J162" s="82">
        <f>DATA!L162</f>
        <v>1.2858978331111508</v>
      </c>
      <c r="K162" s="82">
        <f>DATA!M162</f>
        <v>1.1227545620290957</v>
      </c>
      <c r="L162" s="82">
        <f>DATA!N162</f>
        <v>1</v>
      </c>
      <c r="M162" s="82">
        <f>DATA!O162</f>
        <v>1</v>
      </c>
      <c r="N162" s="82">
        <f>DATA!P162</f>
        <v>1</v>
      </c>
      <c r="P162" s="330">
        <f t="shared" si="38"/>
        <v>0</v>
      </c>
      <c r="Q162" s="330">
        <f t="shared" si="38"/>
        <v>0</v>
      </c>
      <c r="R162" s="330">
        <f t="shared" si="38"/>
        <v>0</v>
      </c>
      <c r="S162" s="330">
        <f t="shared" si="38"/>
        <v>0</v>
      </c>
      <c r="T162" s="334">
        <f t="shared" si="36"/>
        <v>0</v>
      </c>
      <c r="V162" s="330">
        <f t="shared" si="39"/>
        <v>0</v>
      </c>
      <c r="W162" s="330">
        <f t="shared" si="39"/>
        <v>0</v>
      </c>
      <c r="X162" s="330">
        <f t="shared" si="39"/>
        <v>0</v>
      </c>
      <c r="Y162" s="330">
        <f t="shared" si="39"/>
        <v>0</v>
      </c>
      <c r="Z162" s="334">
        <f t="shared" si="37"/>
        <v>0</v>
      </c>
    </row>
    <row r="163" spans="3:26" ht="16" hidden="1" outlineLevel="1" thickTop="1" thickBot="1">
      <c r="C163" s="74">
        <f t="shared" si="33"/>
        <v>153</v>
      </c>
      <c r="D163" s="75">
        <f t="shared" si="34"/>
        <v>49188</v>
      </c>
      <c r="E163" s="74">
        <f t="shared" si="30"/>
        <v>51</v>
      </c>
      <c r="F163" s="74" t="str">
        <f t="shared" si="31"/>
        <v>Q3-34</v>
      </c>
      <c r="G163" s="74">
        <f t="shared" si="35"/>
        <v>13</v>
      </c>
      <c r="H163" s="74">
        <f t="shared" si="32"/>
        <v>2034</v>
      </c>
      <c r="J163" s="82">
        <f>DATA!L163</f>
        <v>1.2880409961663362</v>
      </c>
      <c r="K163" s="82">
        <f>DATA!M163</f>
        <v>1.1236901908307866</v>
      </c>
      <c r="L163" s="82">
        <f>DATA!N163</f>
        <v>1</v>
      </c>
      <c r="M163" s="82">
        <f>DATA!O163</f>
        <v>1</v>
      </c>
      <c r="N163" s="82">
        <f>DATA!P163</f>
        <v>1</v>
      </c>
      <c r="P163" s="330">
        <f t="shared" si="38"/>
        <v>0</v>
      </c>
      <c r="Q163" s="330">
        <f t="shared" si="38"/>
        <v>0</v>
      </c>
      <c r="R163" s="330">
        <f t="shared" si="38"/>
        <v>0</v>
      </c>
      <c r="S163" s="330">
        <f t="shared" si="38"/>
        <v>0</v>
      </c>
      <c r="T163" s="334">
        <f t="shared" si="36"/>
        <v>0</v>
      </c>
      <c r="V163" s="330">
        <f t="shared" si="39"/>
        <v>0</v>
      </c>
      <c r="W163" s="330">
        <f t="shared" si="39"/>
        <v>0</v>
      </c>
      <c r="X163" s="330">
        <f t="shared" si="39"/>
        <v>0</v>
      </c>
      <c r="Y163" s="330">
        <f t="shared" si="39"/>
        <v>0</v>
      </c>
      <c r="Z163" s="334">
        <f t="shared" si="37"/>
        <v>0</v>
      </c>
    </row>
    <row r="164" spans="3:26" ht="16" hidden="1" outlineLevel="1" thickTop="1" thickBot="1">
      <c r="C164" s="74">
        <f t="shared" si="33"/>
        <v>154</v>
      </c>
      <c r="D164" s="75">
        <f t="shared" si="34"/>
        <v>49218</v>
      </c>
      <c r="E164" s="74">
        <f t="shared" si="30"/>
        <v>52</v>
      </c>
      <c r="F164" s="74" t="str">
        <f t="shared" si="31"/>
        <v>Q3-34</v>
      </c>
      <c r="G164" s="74">
        <f t="shared" si="35"/>
        <v>13</v>
      </c>
      <c r="H164" s="74">
        <f t="shared" si="32"/>
        <v>2034</v>
      </c>
      <c r="J164" s="82">
        <f>DATA!L164</f>
        <v>1.2901877311599468</v>
      </c>
      <c r="K164" s="82">
        <f>DATA!M164</f>
        <v>1.1246265993231455</v>
      </c>
      <c r="L164" s="82">
        <f>DATA!N164</f>
        <v>1</v>
      </c>
      <c r="M164" s="82">
        <f>DATA!O164</f>
        <v>1</v>
      </c>
      <c r="N164" s="82">
        <f>DATA!P164</f>
        <v>1</v>
      </c>
      <c r="P164" s="330">
        <f t="shared" si="38"/>
        <v>0</v>
      </c>
      <c r="Q164" s="330">
        <f t="shared" si="38"/>
        <v>0</v>
      </c>
      <c r="R164" s="330">
        <f t="shared" si="38"/>
        <v>0</v>
      </c>
      <c r="S164" s="330">
        <f t="shared" si="38"/>
        <v>0</v>
      </c>
      <c r="T164" s="334">
        <f t="shared" si="36"/>
        <v>0</v>
      </c>
      <c r="V164" s="330">
        <f t="shared" si="39"/>
        <v>0</v>
      </c>
      <c r="W164" s="330">
        <f t="shared" si="39"/>
        <v>0</v>
      </c>
      <c r="X164" s="330">
        <f t="shared" si="39"/>
        <v>0</v>
      </c>
      <c r="Y164" s="330">
        <f t="shared" si="39"/>
        <v>0</v>
      </c>
      <c r="Z164" s="334">
        <f t="shared" si="37"/>
        <v>0</v>
      </c>
    </row>
    <row r="165" spans="3:26" ht="16" hidden="1" outlineLevel="1" thickTop="1" thickBot="1">
      <c r="C165" s="74">
        <f t="shared" si="33"/>
        <v>155</v>
      </c>
      <c r="D165" s="75">
        <f t="shared" si="34"/>
        <v>49249</v>
      </c>
      <c r="E165" s="74">
        <f t="shared" si="30"/>
        <v>52</v>
      </c>
      <c r="F165" s="74" t="str">
        <f t="shared" si="31"/>
        <v>Q3-34</v>
      </c>
      <c r="G165" s="74">
        <f t="shared" si="35"/>
        <v>13</v>
      </c>
      <c r="H165" s="74">
        <f t="shared" si="32"/>
        <v>2034</v>
      </c>
      <c r="J165" s="82">
        <f>DATA!L165</f>
        <v>1.2923380440452135</v>
      </c>
      <c r="K165" s="82">
        <f>DATA!M165</f>
        <v>1.1255637881559146</v>
      </c>
      <c r="L165" s="82">
        <f>DATA!N165</f>
        <v>1</v>
      </c>
      <c r="M165" s="82">
        <f>DATA!O165</f>
        <v>1</v>
      </c>
      <c r="N165" s="82">
        <f>DATA!P165</f>
        <v>1</v>
      </c>
      <c r="P165" s="330">
        <f t="shared" si="38"/>
        <v>0</v>
      </c>
      <c r="Q165" s="330">
        <f t="shared" si="38"/>
        <v>0</v>
      </c>
      <c r="R165" s="330">
        <f t="shared" si="38"/>
        <v>0</v>
      </c>
      <c r="S165" s="330">
        <f t="shared" si="38"/>
        <v>0</v>
      </c>
      <c r="T165" s="334">
        <f t="shared" si="36"/>
        <v>0</v>
      </c>
      <c r="V165" s="330">
        <f t="shared" si="39"/>
        <v>0</v>
      </c>
      <c r="W165" s="330">
        <f t="shared" si="39"/>
        <v>0</v>
      </c>
      <c r="X165" s="330">
        <f t="shared" si="39"/>
        <v>0</v>
      </c>
      <c r="Y165" s="330">
        <f t="shared" si="39"/>
        <v>0</v>
      </c>
      <c r="Z165" s="334">
        <f t="shared" si="37"/>
        <v>0</v>
      </c>
    </row>
    <row r="166" spans="3:26" ht="16" hidden="1" outlineLevel="1" thickTop="1" thickBot="1">
      <c r="C166" s="74">
        <f t="shared" si="33"/>
        <v>156</v>
      </c>
      <c r="D166" s="75">
        <f t="shared" si="34"/>
        <v>49279</v>
      </c>
      <c r="E166" s="74">
        <f t="shared" si="30"/>
        <v>52</v>
      </c>
      <c r="F166" s="74" t="str">
        <f t="shared" si="31"/>
        <v>Q4-34</v>
      </c>
      <c r="G166" s="74">
        <f t="shared" si="35"/>
        <v>13</v>
      </c>
      <c r="H166" s="74">
        <f t="shared" si="32"/>
        <v>2034</v>
      </c>
      <c r="J166" s="82">
        <f>DATA!L166</f>
        <v>1.2944919407852888</v>
      </c>
      <c r="K166" s="82">
        <f>DATA!M166</f>
        <v>1.1265017579793777</v>
      </c>
      <c r="L166" s="82">
        <f>DATA!N166</f>
        <v>1</v>
      </c>
      <c r="M166" s="82">
        <f>DATA!O166</f>
        <v>1</v>
      </c>
      <c r="N166" s="82">
        <f>DATA!P166</f>
        <v>1</v>
      </c>
      <c r="P166" s="330">
        <f t="shared" si="38"/>
        <v>0</v>
      </c>
      <c r="Q166" s="330">
        <f t="shared" si="38"/>
        <v>0</v>
      </c>
      <c r="R166" s="330">
        <f t="shared" si="38"/>
        <v>0</v>
      </c>
      <c r="S166" s="330">
        <f t="shared" si="38"/>
        <v>0</v>
      </c>
      <c r="T166" s="334">
        <f t="shared" si="36"/>
        <v>0</v>
      </c>
      <c r="V166" s="330">
        <f t="shared" si="39"/>
        <v>0</v>
      </c>
      <c r="W166" s="330">
        <f t="shared" si="39"/>
        <v>0</v>
      </c>
      <c r="X166" s="330">
        <f t="shared" si="39"/>
        <v>0</v>
      </c>
      <c r="Y166" s="330">
        <f t="shared" si="39"/>
        <v>0</v>
      </c>
      <c r="Z166" s="334">
        <f t="shared" si="37"/>
        <v>0</v>
      </c>
    </row>
    <row r="167" spans="3:26" ht="16" hidden="1" outlineLevel="1" thickTop="1" thickBot="1">
      <c r="C167" s="74">
        <f t="shared" si="33"/>
        <v>157</v>
      </c>
      <c r="D167" s="75">
        <f t="shared" si="34"/>
        <v>49310</v>
      </c>
      <c r="E167" s="74">
        <f t="shared" si="30"/>
        <v>53</v>
      </c>
      <c r="F167" s="74" t="str">
        <f t="shared" si="31"/>
        <v>Q1-35</v>
      </c>
      <c r="G167" s="74">
        <f t="shared" si="35"/>
        <v>14</v>
      </c>
      <c r="H167" s="74">
        <f t="shared" si="32"/>
        <v>2035</v>
      </c>
      <c r="J167" s="82">
        <f>DATA!L167</f>
        <v>1.2966494273532643</v>
      </c>
      <c r="K167" s="82">
        <f>DATA!M167</f>
        <v>1.1274405094443605</v>
      </c>
      <c r="L167" s="82">
        <f>DATA!N167</f>
        <v>1</v>
      </c>
      <c r="M167" s="82">
        <f>DATA!O167</f>
        <v>1</v>
      </c>
      <c r="N167" s="82">
        <f>DATA!P167</f>
        <v>1</v>
      </c>
      <c r="P167" s="330">
        <f t="shared" si="38"/>
        <v>0</v>
      </c>
      <c r="Q167" s="330">
        <f t="shared" si="38"/>
        <v>0</v>
      </c>
      <c r="R167" s="330">
        <f t="shared" si="38"/>
        <v>0</v>
      </c>
      <c r="S167" s="330">
        <f t="shared" si="38"/>
        <v>0</v>
      </c>
      <c r="T167" s="334">
        <f t="shared" si="36"/>
        <v>0</v>
      </c>
      <c r="V167" s="330">
        <f t="shared" si="39"/>
        <v>0</v>
      </c>
      <c r="W167" s="330">
        <f t="shared" si="39"/>
        <v>0</v>
      </c>
      <c r="X167" s="330">
        <f t="shared" si="39"/>
        <v>0</v>
      </c>
      <c r="Y167" s="330">
        <f t="shared" si="39"/>
        <v>0</v>
      </c>
      <c r="Z167" s="334">
        <f t="shared" si="37"/>
        <v>0</v>
      </c>
    </row>
    <row r="168" spans="3:26" ht="16" hidden="1" outlineLevel="1" thickTop="1" thickBot="1">
      <c r="C168" s="74">
        <f t="shared" si="33"/>
        <v>158</v>
      </c>
      <c r="D168" s="75">
        <f t="shared" si="34"/>
        <v>49341</v>
      </c>
      <c r="E168" s="74">
        <f t="shared" si="30"/>
        <v>53</v>
      </c>
      <c r="F168" s="74" t="str">
        <f t="shared" si="31"/>
        <v>Q1-35</v>
      </c>
      <c r="G168" s="74">
        <f t="shared" si="35"/>
        <v>14</v>
      </c>
      <c r="H168" s="74">
        <f t="shared" si="32"/>
        <v>2035</v>
      </c>
      <c r="J168" s="82">
        <f>DATA!L168</f>
        <v>1.2988105097321865</v>
      </c>
      <c r="K168" s="82">
        <f>DATA!M168</f>
        <v>1.1283800432022306</v>
      </c>
      <c r="L168" s="82">
        <f>DATA!N168</f>
        <v>1</v>
      </c>
      <c r="M168" s="82">
        <f>DATA!O168</f>
        <v>1</v>
      </c>
      <c r="N168" s="82">
        <f>DATA!P168</f>
        <v>1</v>
      </c>
      <c r="P168" s="330">
        <f t="shared" si="38"/>
        <v>0</v>
      </c>
      <c r="Q168" s="330">
        <f t="shared" si="38"/>
        <v>0</v>
      </c>
      <c r="R168" s="330">
        <f t="shared" si="38"/>
        <v>0</v>
      </c>
      <c r="S168" s="330">
        <f t="shared" si="38"/>
        <v>0</v>
      </c>
      <c r="T168" s="334">
        <f t="shared" si="36"/>
        <v>0</v>
      </c>
      <c r="V168" s="330">
        <f t="shared" si="39"/>
        <v>0</v>
      </c>
      <c r="W168" s="330">
        <f t="shared" si="39"/>
        <v>0</v>
      </c>
      <c r="X168" s="330">
        <f t="shared" si="39"/>
        <v>0</v>
      </c>
      <c r="Y168" s="330">
        <f t="shared" si="39"/>
        <v>0</v>
      </c>
      <c r="Z168" s="334">
        <f t="shared" si="37"/>
        <v>0</v>
      </c>
    </row>
    <row r="169" spans="3:26" ht="16" hidden="1" outlineLevel="1" thickTop="1" thickBot="1">
      <c r="C169" s="74">
        <f t="shared" si="33"/>
        <v>159</v>
      </c>
      <c r="D169" s="75">
        <f t="shared" si="34"/>
        <v>49369</v>
      </c>
      <c r="E169" s="74">
        <f t="shared" si="30"/>
        <v>53</v>
      </c>
      <c r="F169" s="74" t="str">
        <f t="shared" si="31"/>
        <v>Q1-35</v>
      </c>
      <c r="G169" s="74">
        <f t="shared" si="35"/>
        <v>14</v>
      </c>
      <c r="H169" s="74">
        <f t="shared" si="32"/>
        <v>2035</v>
      </c>
      <c r="J169" s="82">
        <f>DATA!L169</f>
        <v>1.3009751939150735</v>
      </c>
      <c r="K169" s="82">
        <f>DATA!M169</f>
        <v>1.1293203599048991</v>
      </c>
      <c r="L169" s="82">
        <f>DATA!N169</f>
        <v>1</v>
      </c>
      <c r="M169" s="82">
        <f>DATA!O169</f>
        <v>1</v>
      </c>
      <c r="N169" s="82">
        <f>DATA!P169</f>
        <v>1</v>
      </c>
      <c r="P169" s="330">
        <f t="shared" si="38"/>
        <v>0</v>
      </c>
      <c r="Q169" s="330">
        <f t="shared" si="38"/>
        <v>0</v>
      </c>
      <c r="R169" s="330">
        <f t="shared" si="38"/>
        <v>0</v>
      </c>
      <c r="S169" s="330">
        <f t="shared" si="38"/>
        <v>0</v>
      </c>
      <c r="T169" s="334">
        <f t="shared" si="36"/>
        <v>0</v>
      </c>
      <c r="V169" s="330">
        <f t="shared" si="39"/>
        <v>0</v>
      </c>
      <c r="W169" s="330">
        <f t="shared" si="39"/>
        <v>0</v>
      </c>
      <c r="X169" s="330">
        <f t="shared" si="39"/>
        <v>0</v>
      </c>
      <c r="Y169" s="330">
        <f t="shared" si="39"/>
        <v>0</v>
      </c>
      <c r="Z169" s="334">
        <f t="shared" si="37"/>
        <v>0</v>
      </c>
    </row>
    <row r="170" spans="3:26" ht="16" hidden="1" outlineLevel="1" thickTop="1" thickBot="1">
      <c r="C170" s="74">
        <f t="shared" si="33"/>
        <v>160</v>
      </c>
      <c r="D170" s="75">
        <f t="shared" si="34"/>
        <v>49400</v>
      </c>
      <c r="E170" s="74">
        <f t="shared" si="30"/>
        <v>54</v>
      </c>
      <c r="F170" s="74" t="str">
        <f t="shared" si="31"/>
        <v>Q2-35</v>
      </c>
      <c r="G170" s="74">
        <f t="shared" si="35"/>
        <v>14</v>
      </c>
      <c r="H170" s="74">
        <f t="shared" si="32"/>
        <v>2035</v>
      </c>
      <c r="J170" s="82">
        <f>DATA!L170</f>
        <v>1.303143485904932</v>
      </c>
      <c r="K170" s="82">
        <f>DATA!M170</f>
        <v>1.1302614602048198</v>
      </c>
      <c r="L170" s="82">
        <f>DATA!N170</f>
        <v>1</v>
      </c>
      <c r="M170" s="82">
        <f>DATA!O170</f>
        <v>1</v>
      </c>
      <c r="N170" s="82">
        <f>DATA!P170</f>
        <v>1</v>
      </c>
      <c r="P170" s="330">
        <f t="shared" si="38"/>
        <v>0</v>
      </c>
      <c r="Q170" s="330">
        <f t="shared" si="38"/>
        <v>0</v>
      </c>
      <c r="R170" s="330">
        <f t="shared" si="38"/>
        <v>0</v>
      </c>
      <c r="S170" s="330">
        <f t="shared" si="38"/>
        <v>0</v>
      </c>
      <c r="T170" s="334">
        <f t="shared" si="36"/>
        <v>0</v>
      </c>
      <c r="V170" s="330">
        <f t="shared" si="39"/>
        <v>0</v>
      </c>
      <c r="W170" s="330">
        <f t="shared" si="39"/>
        <v>0</v>
      </c>
      <c r="X170" s="330">
        <f t="shared" si="39"/>
        <v>0</v>
      </c>
      <c r="Y170" s="330">
        <f t="shared" si="39"/>
        <v>0</v>
      </c>
      <c r="Z170" s="334">
        <f t="shared" si="37"/>
        <v>0</v>
      </c>
    </row>
    <row r="171" spans="3:26" ht="16" hidden="1" outlineLevel="1" thickTop="1" thickBot="1">
      <c r="C171" s="74">
        <f t="shared" si="33"/>
        <v>161</v>
      </c>
      <c r="D171" s="75">
        <f t="shared" si="34"/>
        <v>49430</v>
      </c>
      <c r="E171" s="74">
        <f t="shared" si="30"/>
        <v>54</v>
      </c>
      <c r="F171" s="74" t="str">
        <f t="shared" si="31"/>
        <v>Q2-35</v>
      </c>
      <c r="G171" s="74">
        <f t="shared" si="35"/>
        <v>14</v>
      </c>
      <c r="H171" s="74">
        <f t="shared" si="32"/>
        <v>2035</v>
      </c>
      <c r="J171" s="82">
        <f>DATA!L171</f>
        <v>1.3053153917147735</v>
      </c>
      <c r="K171" s="82">
        <f>DATA!M171</f>
        <v>1.1312033447549903</v>
      </c>
      <c r="L171" s="82">
        <f>DATA!N171</f>
        <v>1</v>
      </c>
      <c r="M171" s="82">
        <f>DATA!O171</f>
        <v>1</v>
      </c>
      <c r="N171" s="82">
        <f>DATA!P171</f>
        <v>1</v>
      </c>
      <c r="P171" s="330">
        <f t="shared" ref="P171:S190" si="40">IF(AND($C171&gt;=P$6,$C171&lt;=P$6+P$7-1),P$9/P$7*$K171,0)</f>
        <v>0</v>
      </c>
      <c r="Q171" s="330">
        <f t="shared" si="40"/>
        <v>0</v>
      </c>
      <c r="R171" s="330">
        <f t="shared" si="40"/>
        <v>0</v>
      </c>
      <c r="S171" s="330">
        <f t="shared" si="40"/>
        <v>0</v>
      </c>
      <c r="T171" s="334">
        <f t="shared" si="36"/>
        <v>0</v>
      </c>
      <c r="V171" s="330">
        <f t="shared" ref="V171:Y190" si="41">IF(AND($C171&gt;=V$6,$C171&lt;=V$6+V$7-1),V$9/V$7*$K171,0)</f>
        <v>0</v>
      </c>
      <c r="W171" s="330">
        <f t="shared" si="41"/>
        <v>0</v>
      </c>
      <c r="X171" s="330">
        <f t="shared" si="41"/>
        <v>0</v>
      </c>
      <c r="Y171" s="330">
        <f t="shared" si="41"/>
        <v>0</v>
      </c>
      <c r="Z171" s="334">
        <f t="shared" si="37"/>
        <v>0</v>
      </c>
    </row>
    <row r="172" spans="3:26" ht="16" hidden="1" outlineLevel="1" thickTop="1" thickBot="1">
      <c r="C172" s="74">
        <f t="shared" si="33"/>
        <v>162</v>
      </c>
      <c r="D172" s="75">
        <f t="shared" si="34"/>
        <v>49461</v>
      </c>
      <c r="E172" s="74">
        <f t="shared" si="30"/>
        <v>54</v>
      </c>
      <c r="F172" s="74" t="str">
        <f t="shared" si="31"/>
        <v>Q2-35</v>
      </c>
      <c r="G172" s="74">
        <f t="shared" si="35"/>
        <v>14</v>
      </c>
      <c r="H172" s="74">
        <f t="shared" si="32"/>
        <v>2035</v>
      </c>
      <c r="J172" s="82">
        <f>DATA!L172</f>
        <v>1.3074909173676315</v>
      </c>
      <c r="K172" s="82">
        <f>DATA!M172</f>
        <v>1.1321460142089528</v>
      </c>
      <c r="L172" s="82">
        <f>DATA!N172</f>
        <v>1</v>
      </c>
      <c r="M172" s="82">
        <f>DATA!O172</f>
        <v>1</v>
      </c>
      <c r="N172" s="82">
        <f>DATA!P172</f>
        <v>1</v>
      </c>
      <c r="P172" s="330">
        <f t="shared" si="40"/>
        <v>0</v>
      </c>
      <c r="Q172" s="330">
        <f t="shared" si="40"/>
        <v>0</v>
      </c>
      <c r="R172" s="330">
        <f t="shared" si="40"/>
        <v>0</v>
      </c>
      <c r="S172" s="330">
        <f t="shared" si="40"/>
        <v>0</v>
      </c>
      <c r="T172" s="334">
        <f t="shared" si="36"/>
        <v>0</v>
      </c>
      <c r="V172" s="330">
        <f t="shared" si="41"/>
        <v>0</v>
      </c>
      <c r="W172" s="330">
        <f t="shared" si="41"/>
        <v>0</v>
      </c>
      <c r="X172" s="330">
        <f t="shared" si="41"/>
        <v>0</v>
      </c>
      <c r="Y172" s="330">
        <f t="shared" si="41"/>
        <v>0</v>
      </c>
      <c r="Z172" s="334">
        <f t="shared" si="37"/>
        <v>0</v>
      </c>
    </row>
    <row r="173" spans="3:26" ht="16" hidden="1" outlineLevel="1" thickTop="1" thickBot="1">
      <c r="C173" s="74">
        <f t="shared" si="33"/>
        <v>163</v>
      </c>
      <c r="D173" s="75">
        <f t="shared" si="34"/>
        <v>49491</v>
      </c>
      <c r="E173" s="74">
        <f t="shared" si="30"/>
        <v>55</v>
      </c>
      <c r="F173" s="74" t="str">
        <f t="shared" si="31"/>
        <v>Q2-35</v>
      </c>
      <c r="G173" s="74">
        <f t="shared" si="35"/>
        <v>14</v>
      </c>
      <c r="H173" s="74">
        <f t="shared" si="32"/>
        <v>2035</v>
      </c>
      <c r="J173" s="82">
        <f>DATA!L173</f>
        <v>1.3096700688965777</v>
      </c>
      <c r="K173" s="82">
        <f>DATA!M173</f>
        <v>1.1330894692207936</v>
      </c>
      <c r="L173" s="82">
        <f>DATA!N173</f>
        <v>1</v>
      </c>
      <c r="M173" s="82">
        <f>DATA!O173</f>
        <v>1</v>
      </c>
      <c r="N173" s="82">
        <f>DATA!P173</f>
        <v>1</v>
      </c>
      <c r="P173" s="330">
        <f t="shared" si="40"/>
        <v>0</v>
      </c>
      <c r="Q173" s="330">
        <f t="shared" si="40"/>
        <v>0</v>
      </c>
      <c r="R173" s="330">
        <f t="shared" si="40"/>
        <v>0</v>
      </c>
      <c r="S173" s="330">
        <f t="shared" si="40"/>
        <v>0</v>
      </c>
      <c r="T173" s="334">
        <f t="shared" si="36"/>
        <v>0</v>
      </c>
      <c r="V173" s="330">
        <f t="shared" si="41"/>
        <v>0</v>
      </c>
      <c r="W173" s="330">
        <f t="shared" si="41"/>
        <v>0</v>
      </c>
      <c r="X173" s="330">
        <f t="shared" si="41"/>
        <v>0</v>
      </c>
      <c r="Y173" s="330">
        <f t="shared" si="41"/>
        <v>0</v>
      </c>
      <c r="Z173" s="334">
        <f t="shared" si="37"/>
        <v>0</v>
      </c>
    </row>
    <row r="174" spans="3:26" ht="16" hidden="1" outlineLevel="1" thickTop="1" thickBot="1">
      <c r="C174" s="74">
        <f t="shared" si="33"/>
        <v>164</v>
      </c>
      <c r="D174" s="75">
        <f t="shared" si="34"/>
        <v>49522</v>
      </c>
      <c r="E174" s="74">
        <f t="shared" si="30"/>
        <v>55</v>
      </c>
      <c r="F174" s="74" t="str">
        <f t="shared" si="31"/>
        <v>Q3-35</v>
      </c>
      <c r="G174" s="74">
        <f t="shared" si="35"/>
        <v>14</v>
      </c>
      <c r="H174" s="74">
        <f t="shared" si="32"/>
        <v>2035</v>
      </c>
      <c r="J174" s="82">
        <f>DATA!L174</f>
        <v>1.3118528523447386</v>
      </c>
      <c r="K174" s="82">
        <f>DATA!M174</f>
        <v>1.1340337104451441</v>
      </c>
      <c r="L174" s="82">
        <f>DATA!N174</f>
        <v>1</v>
      </c>
      <c r="M174" s="82">
        <f>DATA!O174</f>
        <v>1</v>
      </c>
      <c r="N174" s="82">
        <f>DATA!P174</f>
        <v>1</v>
      </c>
      <c r="P174" s="330">
        <f t="shared" si="40"/>
        <v>0</v>
      </c>
      <c r="Q174" s="330">
        <f t="shared" si="40"/>
        <v>0</v>
      </c>
      <c r="R174" s="330">
        <f t="shared" si="40"/>
        <v>0</v>
      </c>
      <c r="S174" s="330">
        <f t="shared" si="40"/>
        <v>0</v>
      </c>
      <c r="T174" s="334">
        <f t="shared" si="36"/>
        <v>0</v>
      </c>
      <c r="V174" s="330">
        <f t="shared" si="41"/>
        <v>0</v>
      </c>
      <c r="W174" s="330">
        <f t="shared" si="41"/>
        <v>0</v>
      </c>
      <c r="X174" s="330">
        <f t="shared" si="41"/>
        <v>0</v>
      </c>
      <c r="Y174" s="330">
        <f t="shared" si="41"/>
        <v>0</v>
      </c>
      <c r="Z174" s="334">
        <f t="shared" si="37"/>
        <v>0</v>
      </c>
    </row>
    <row r="175" spans="3:26" ht="16" hidden="1" outlineLevel="1" thickTop="1" thickBot="1">
      <c r="C175" s="74">
        <f t="shared" si="33"/>
        <v>165</v>
      </c>
      <c r="D175" s="75">
        <f t="shared" si="34"/>
        <v>49553</v>
      </c>
      <c r="E175" s="74">
        <f t="shared" si="30"/>
        <v>55</v>
      </c>
      <c r="F175" s="74" t="str">
        <f t="shared" si="31"/>
        <v>Q3-35</v>
      </c>
      <c r="G175" s="74">
        <f t="shared" si="35"/>
        <v>14</v>
      </c>
      <c r="H175" s="74">
        <f t="shared" si="32"/>
        <v>2035</v>
      </c>
      <c r="J175" s="82">
        <f>DATA!L175</f>
        <v>1.3140392737653133</v>
      </c>
      <c r="K175" s="82">
        <f>DATA!M175</f>
        <v>1.1349787385371817</v>
      </c>
      <c r="L175" s="82">
        <f>DATA!N175</f>
        <v>1</v>
      </c>
      <c r="M175" s="82">
        <f>DATA!O175</f>
        <v>1</v>
      </c>
      <c r="N175" s="82">
        <f>DATA!P175</f>
        <v>1</v>
      </c>
      <c r="P175" s="330">
        <f t="shared" si="40"/>
        <v>0</v>
      </c>
      <c r="Q175" s="330">
        <f t="shared" si="40"/>
        <v>0</v>
      </c>
      <c r="R175" s="330">
        <f t="shared" si="40"/>
        <v>0</v>
      </c>
      <c r="S175" s="330">
        <f t="shared" si="40"/>
        <v>0</v>
      </c>
      <c r="T175" s="334">
        <f t="shared" si="36"/>
        <v>0</v>
      </c>
      <c r="V175" s="330">
        <f t="shared" si="41"/>
        <v>0</v>
      </c>
      <c r="W175" s="330">
        <f t="shared" si="41"/>
        <v>0</v>
      </c>
      <c r="X175" s="330">
        <f t="shared" si="41"/>
        <v>0</v>
      </c>
      <c r="Y175" s="330">
        <f t="shared" si="41"/>
        <v>0</v>
      </c>
      <c r="Z175" s="334">
        <f t="shared" si="37"/>
        <v>0</v>
      </c>
    </row>
    <row r="176" spans="3:26" ht="16" hidden="1" outlineLevel="1" thickTop="1" thickBot="1">
      <c r="C176" s="74">
        <f t="shared" si="33"/>
        <v>166</v>
      </c>
      <c r="D176" s="75">
        <f t="shared" si="34"/>
        <v>49583</v>
      </c>
      <c r="E176" s="74">
        <f t="shared" si="30"/>
        <v>56</v>
      </c>
      <c r="F176" s="74" t="str">
        <f t="shared" si="31"/>
        <v>Q3-35</v>
      </c>
      <c r="G176" s="74">
        <f t="shared" si="35"/>
        <v>14</v>
      </c>
      <c r="H176" s="74">
        <f t="shared" si="32"/>
        <v>2035</v>
      </c>
      <c r="J176" s="82">
        <f>DATA!L176</f>
        <v>1.3162293392215889</v>
      </c>
      <c r="K176" s="82">
        <f>DATA!M176</f>
        <v>1.1359245541526293</v>
      </c>
      <c r="L176" s="82">
        <f>DATA!N176</f>
        <v>1</v>
      </c>
      <c r="M176" s="82">
        <f>DATA!O176</f>
        <v>1</v>
      </c>
      <c r="N176" s="82">
        <f>DATA!P176</f>
        <v>1</v>
      </c>
      <c r="P176" s="330">
        <f t="shared" si="40"/>
        <v>0</v>
      </c>
      <c r="Q176" s="330">
        <f t="shared" si="40"/>
        <v>0</v>
      </c>
      <c r="R176" s="330">
        <f t="shared" si="40"/>
        <v>0</v>
      </c>
      <c r="S176" s="330">
        <f t="shared" si="40"/>
        <v>0</v>
      </c>
      <c r="T176" s="334">
        <f t="shared" si="36"/>
        <v>0</v>
      </c>
      <c r="V176" s="330">
        <f t="shared" si="41"/>
        <v>0</v>
      </c>
      <c r="W176" s="330">
        <f t="shared" si="41"/>
        <v>0</v>
      </c>
      <c r="X176" s="330">
        <f t="shared" si="41"/>
        <v>0</v>
      </c>
      <c r="Y176" s="330">
        <f t="shared" si="41"/>
        <v>0</v>
      </c>
      <c r="Z176" s="334">
        <f t="shared" si="37"/>
        <v>0</v>
      </c>
    </row>
    <row r="177" spans="3:26" ht="16" hidden="1" outlineLevel="1" thickTop="1" thickBot="1">
      <c r="C177" s="74">
        <f t="shared" si="33"/>
        <v>167</v>
      </c>
      <c r="D177" s="75">
        <f t="shared" si="34"/>
        <v>49614</v>
      </c>
      <c r="E177" s="74">
        <f t="shared" si="30"/>
        <v>56</v>
      </c>
      <c r="F177" s="74" t="str">
        <f t="shared" si="31"/>
        <v>Q3-35</v>
      </c>
      <c r="G177" s="74">
        <f t="shared" si="35"/>
        <v>14</v>
      </c>
      <c r="H177" s="74">
        <f t="shared" si="32"/>
        <v>2035</v>
      </c>
      <c r="J177" s="82">
        <f>DATA!L177</f>
        <v>1.3184230547869582</v>
      </c>
      <c r="K177" s="82">
        <f>DATA!M177</f>
        <v>1.1368711579477564</v>
      </c>
      <c r="L177" s="82">
        <f>DATA!N177</f>
        <v>1</v>
      </c>
      <c r="M177" s="82">
        <f>DATA!O177</f>
        <v>1</v>
      </c>
      <c r="N177" s="82">
        <f>DATA!P177</f>
        <v>1</v>
      </c>
      <c r="P177" s="330">
        <f t="shared" si="40"/>
        <v>0</v>
      </c>
      <c r="Q177" s="330">
        <f t="shared" si="40"/>
        <v>0</v>
      </c>
      <c r="R177" s="330">
        <f t="shared" si="40"/>
        <v>0</v>
      </c>
      <c r="S177" s="330">
        <f t="shared" si="40"/>
        <v>0</v>
      </c>
      <c r="T177" s="334">
        <f t="shared" si="36"/>
        <v>0</v>
      </c>
      <c r="V177" s="330">
        <f t="shared" si="41"/>
        <v>0</v>
      </c>
      <c r="W177" s="330">
        <f t="shared" si="41"/>
        <v>0</v>
      </c>
      <c r="X177" s="330">
        <f t="shared" si="41"/>
        <v>0</v>
      </c>
      <c r="Y177" s="330">
        <f t="shared" si="41"/>
        <v>0</v>
      </c>
      <c r="Z177" s="334">
        <f t="shared" si="37"/>
        <v>0</v>
      </c>
    </row>
    <row r="178" spans="3:26" ht="16" hidden="1" outlineLevel="1" thickTop="1" thickBot="1">
      <c r="C178" s="74">
        <f t="shared" si="33"/>
        <v>168</v>
      </c>
      <c r="D178" s="75">
        <f t="shared" si="34"/>
        <v>49644</v>
      </c>
      <c r="E178" s="74">
        <f t="shared" si="30"/>
        <v>56</v>
      </c>
      <c r="F178" s="74" t="str">
        <f t="shared" si="31"/>
        <v>Q4-35</v>
      </c>
      <c r="G178" s="74">
        <f t="shared" si="35"/>
        <v>14</v>
      </c>
      <c r="H178" s="74">
        <f t="shared" si="32"/>
        <v>2035</v>
      </c>
      <c r="J178" s="82">
        <f>DATA!L178</f>
        <v>1.3206204265449366</v>
      </c>
      <c r="K178" s="82">
        <f>DATA!M178</f>
        <v>1.1378185505793794</v>
      </c>
      <c r="L178" s="82">
        <f>DATA!N178</f>
        <v>1</v>
      </c>
      <c r="M178" s="82">
        <f>DATA!O178</f>
        <v>1</v>
      </c>
      <c r="N178" s="82">
        <f>DATA!P178</f>
        <v>1</v>
      </c>
      <c r="P178" s="330">
        <f t="shared" si="40"/>
        <v>0</v>
      </c>
      <c r="Q178" s="330">
        <f t="shared" si="40"/>
        <v>0</v>
      </c>
      <c r="R178" s="330">
        <f t="shared" si="40"/>
        <v>0</v>
      </c>
      <c r="S178" s="330">
        <f t="shared" si="40"/>
        <v>0</v>
      </c>
      <c r="T178" s="334">
        <f t="shared" si="36"/>
        <v>0</v>
      </c>
      <c r="V178" s="330">
        <f t="shared" si="41"/>
        <v>0</v>
      </c>
      <c r="W178" s="330">
        <f t="shared" si="41"/>
        <v>0</v>
      </c>
      <c r="X178" s="330">
        <f t="shared" si="41"/>
        <v>0</v>
      </c>
      <c r="Y178" s="330">
        <f t="shared" si="41"/>
        <v>0</v>
      </c>
      <c r="Z178" s="334">
        <f t="shared" si="37"/>
        <v>0</v>
      </c>
    </row>
    <row r="179" spans="3:26" ht="16" hidden="1" outlineLevel="1" thickTop="1" thickBot="1">
      <c r="C179" s="74">
        <f t="shared" si="33"/>
        <v>169</v>
      </c>
      <c r="D179" s="75">
        <f t="shared" si="34"/>
        <v>49675</v>
      </c>
      <c r="E179" s="74">
        <f t="shared" si="30"/>
        <v>57</v>
      </c>
      <c r="F179" s="74" t="str">
        <f t="shared" si="31"/>
        <v>Q1-36</v>
      </c>
      <c r="G179" s="74">
        <f t="shared" si="35"/>
        <v>15</v>
      </c>
      <c r="H179" s="74">
        <f t="shared" si="32"/>
        <v>2036</v>
      </c>
      <c r="J179" s="82">
        <f>DATA!L179</f>
        <v>1.3228214605891782</v>
      </c>
      <c r="K179" s="82">
        <f>DATA!M179</f>
        <v>1.1387667327048621</v>
      </c>
      <c r="L179" s="82">
        <f>DATA!N179</f>
        <v>1</v>
      </c>
      <c r="M179" s="82">
        <f>DATA!O179</f>
        <v>1</v>
      </c>
      <c r="N179" s="82">
        <f>DATA!P179</f>
        <v>1</v>
      </c>
      <c r="P179" s="330">
        <f t="shared" si="40"/>
        <v>0</v>
      </c>
      <c r="Q179" s="330">
        <f t="shared" si="40"/>
        <v>0</v>
      </c>
      <c r="R179" s="330">
        <f t="shared" si="40"/>
        <v>0</v>
      </c>
      <c r="S179" s="330">
        <f t="shared" si="40"/>
        <v>0</v>
      </c>
      <c r="T179" s="334">
        <f t="shared" si="36"/>
        <v>0</v>
      </c>
      <c r="V179" s="330">
        <f t="shared" si="41"/>
        <v>0</v>
      </c>
      <c r="W179" s="330">
        <f t="shared" si="41"/>
        <v>0</v>
      </c>
      <c r="X179" s="330">
        <f t="shared" si="41"/>
        <v>0</v>
      </c>
      <c r="Y179" s="330">
        <f t="shared" si="41"/>
        <v>0</v>
      </c>
      <c r="Z179" s="334">
        <f t="shared" si="37"/>
        <v>0</v>
      </c>
    </row>
    <row r="180" spans="3:26" ht="16" hidden="1" outlineLevel="1" thickTop="1" thickBot="1">
      <c r="C180" s="74">
        <f t="shared" si="33"/>
        <v>170</v>
      </c>
      <c r="D180" s="75">
        <f t="shared" si="34"/>
        <v>49706</v>
      </c>
      <c r="E180" s="74">
        <f t="shared" si="30"/>
        <v>57</v>
      </c>
      <c r="F180" s="74" t="str">
        <f t="shared" si="31"/>
        <v>Q1-36</v>
      </c>
      <c r="G180" s="74">
        <f t="shared" si="35"/>
        <v>15</v>
      </c>
      <c r="H180" s="74">
        <f t="shared" si="32"/>
        <v>2036</v>
      </c>
      <c r="J180" s="82">
        <f>DATA!L180</f>
        <v>1.3250261630234934</v>
      </c>
      <c r="K180" s="82">
        <f>DATA!M180</f>
        <v>1.1397157049821161</v>
      </c>
      <c r="L180" s="82">
        <f>DATA!N180</f>
        <v>1</v>
      </c>
      <c r="M180" s="82">
        <f>DATA!O180</f>
        <v>1</v>
      </c>
      <c r="N180" s="82">
        <f>DATA!P180</f>
        <v>1</v>
      </c>
      <c r="P180" s="330">
        <f t="shared" si="40"/>
        <v>0</v>
      </c>
      <c r="Q180" s="330">
        <f t="shared" si="40"/>
        <v>0</v>
      </c>
      <c r="R180" s="330">
        <f t="shared" si="40"/>
        <v>0</v>
      </c>
      <c r="S180" s="330">
        <f t="shared" si="40"/>
        <v>0</v>
      </c>
      <c r="T180" s="334">
        <f t="shared" si="36"/>
        <v>0</v>
      </c>
      <c r="V180" s="330">
        <f t="shared" si="41"/>
        <v>0</v>
      </c>
      <c r="W180" s="330">
        <f t="shared" si="41"/>
        <v>0</v>
      </c>
      <c r="X180" s="330">
        <f t="shared" si="41"/>
        <v>0</v>
      </c>
      <c r="Y180" s="330">
        <f t="shared" si="41"/>
        <v>0</v>
      </c>
      <c r="Z180" s="334">
        <f t="shared" si="37"/>
        <v>0</v>
      </c>
    </row>
    <row r="181" spans="3:26" ht="16" hidden="1" outlineLevel="1" thickTop="1" thickBot="1">
      <c r="C181" s="74">
        <f t="shared" si="33"/>
        <v>171</v>
      </c>
      <c r="D181" s="75">
        <f t="shared" si="34"/>
        <v>49735</v>
      </c>
      <c r="E181" s="74">
        <f t="shared" si="30"/>
        <v>57</v>
      </c>
      <c r="F181" s="74" t="str">
        <f t="shared" si="31"/>
        <v>Q1-36</v>
      </c>
      <c r="G181" s="74">
        <f t="shared" si="35"/>
        <v>15</v>
      </c>
      <c r="H181" s="74">
        <f t="shared" si="32"/>
        <v>2036</v>
      </c>
      <c r="J181" s="82">
        <f>DATA!L181</f>
        <v>1.3272345399618659</v>
      </c>
      <c r="K181" s="82">
        <f>DATA!M181</f>
        <v>1.1406654680696011</v>
      </c>
      <c r="L181" s="82">
        <f>DATA!N181</f>
        <v>1</v>
      </c>
      <c r="M181" s="82">
        <f>DATA!O181</f>
        <v>1</v>
      </c>
      <c r="N181" s="82">
        <f>DATA!P181</f>
        <v>1</v>
      </c>
      <c r="P181" s="330">
        <f t="shared" si="40"/>
        <v>0</v>
      </c>
      <c r="Q181" s="330">
        <f t="shared" si="40"/>
        <v>0</v>
      </c>
      <c r="R181" s="330">
        <f t="shared" si="40"/>
        <v>0</v>
      </c>
      <c r="S181" s="330">
        <f t="shared" si="40"/>
        <v>0</v>
      </c>
      <c r="T181" s="334">
        <f t="shared" si="36"/>
        <v>0</v>
      </c>
      <c r="V181" s="330">
        <f t="shared" si="41"/>
        <v>0</v>
      </c>
      <c r="W181" s="330">
        <f t="shared" si="41"/>
        <v>0</v>
      </c>
      <c r="X181" s="330">
        <f t="shared" si="41"/>
        <v>0</v>
      </c>
      <c r="Y181" s="330">
        <f t="shared" si="41"/>
        <v>0</v>
      </c>
      <c r="Z181" s="334">
        <f t="shared" si="37"/>
        <v>0</v>
      </c>
    </row>
    <row r="182" spans="3:26" ht="16" hidden="1" outlineLevel="1" thickTop="1" thickBot="1">
      <c r="C182" s="74">
        <f t="shared" si="33"/>
        <v>172</v>
      </c>
      <c r="D182" s="75">
        <f t="shared" si="34"/>
        <v>49766</v>
      </c>
      <c r="E182" s="74">
        <f t="shared" si="30"/>
        <v>58</v>
      </c>
      <c r="F182" s="74" t="str">
        <f t="shared" si="31"/>
        <v>Q2-36</v>
      </c>
      <c r="G182" s="74">
        <f t="shared" si="35"/>
        <v>15</v>
      </c>
      <c r="H182" s="74">
        <f t="shared" si="32"/>
        <v>2036</v>
      </c>
      <c r="J182" s="82">
        <f>DATA!L182</f>
        <v>1.3294465975284691</v>
      </c>
      <c r="K182" s="82">
        <f>DATA!M182</f>
        <v>1.1416160226263257</v>
      </c>
      <c r="L182" s="82">
        <f>DATA!N182</f>
        <v>1</v>
      </c>
      <c r="M182" s="82">
        <f>DATA!O182</f>
        <v>1</v>
      </c>
      <c r="N182" s="82">
        <f>DATA!P182</f>
        <v>1</v>
      </c>
      <c r="P182" s="330">
        <f t="shared" si="40"/>
        <v>0</v>
      </c>
      <c r="Q182" s="330">
        <f t="shared" si="40"/>
        <v>0</v>
      </c>
      <c r="R182" s="330">
        <f t="shared" si="40"/>
        <v>0</v>
      </c>
      <c r="S182" s="330">
        <f t="shared" si="40"/>
        <v>0</v>
      </c>
      <c r="T182" s="334">
        <f t="shared" si="36"/>
        <v>0</v>
      </c>
      <c r="V182" s="330">
        <f t="shared" si="41"/>
        <v>0</v>
      </c>
      <c r="W182" s="330">
        <f t="shared" si="41"/>
        <v>0</v>
      </c>
      <c r="X182" s="330">
        <f t="shared" si="41"/>
        <v>0</v>
      </c>
      <c r="Y182" s="330">
        <f t="shared" si="41"/>
        <v>0</v>
      </c>
      <c r="Z182" s="334">
        <f t="shared" si="37"/>
        <v>0</v>
      </c>
    </row>
    <row r="183" spans="3:26" ht="16" hidden="1" outlineLevel="1" thickTop="1" thickBot="1">
      <c r="C183" s="74">
        <f t="shared" si="33"/>
        <v>173</v>
      </c>
      <c r="D183" s="75">
        <f t="shared" si="34"/>
        <v>49796</v>
      </c>
      <c r="E183" s="74">
        <f t="shared" si="30"/>
        <v>58</v>
      </c>
      <c r="F183" s="74" t="str">
        <f t="shared" si="31"/>
        <v>Q2-36</v>
      </c>
      <c r="G183" s="74">
        <f t="shared" si="35"/>
        <v>15</v>
      </c>
      <c r="H183" s="74">
        <f t="shared" si="32"/>
        <v>2036</v>
      </c>
      <c r="J183" s="82">
        <f>DATA!L183</f>
        <v>1.3316623418576832</v>
      </c>
      <c r="K183" s="82">
        <f>DATA!M183</f>
        <v>1.1425673693118474</v>
      </c>
      <c r="L183" s="82">
        <f>DATA!N183</f>
        <v>1</v>
      </c>
      <c r="M183" s="82">
        <f>DATA!O183</f>
        <v>1</v>
      </c>
      <c r="N183" s="82">
        <f>DATA!P183</f>
        <v>1</v>
      </c>
      <c r="P183" s="330">
        <f t="shared" si="40"/>
        <v>0</v>
      </c>
      <c r="Q183" s="330">
        <f t="shared" si="40"/>
        <v>0</v>
      </c>
      <c r="R183" s="330">
        <f t="shared" si="40"/>
        <v>0</v>
      </c>
      <c r="S183" s="330">
        <f t="shared" si="40"/>
        <v>0</v>
      </c>
      <c r="T183" s="334">
        <f t="shared" si="36"/>
        <v>0</v>
      </c>
      <c r="V183" s="330">
        <f t="shared" si="41"/>
        <v>0</v>
      </c>
      <c r="W183" s="330">
        <f t="shared" si="41"/>
        <v>0</v>
      </c>
      <c r="X183" s="330">
        <f t="shared" si="41"/>
        <v>0</v>
      </c>
      <c r="Y183" s="330">
        <f t="shared" si="41"/>
        <v>0</v>
      </c>
      <c r="Z183" s="334">
        <f t="shared" si="37"/>
        <v>0</v>
      </c>
    </row>
    <row r="184" spans="3:26" ht="16" hidden="1" outlineLevel="1" thickTop="1" thickBot="1">
      <c r="C184" s="74">
        <f t="shared" si="33"/>
        <v>174</v>
      </c>
      <c r="D184" s="75">
        <f t="shared" si="34"/>
        <v>49827</v>
      </c>
      <c r="E184" s="74">
        <f t="shared" si="30"/>
        <v>58</v>
      </c>
      <c r="F184" s="74" t="str">
        <f t="shared" si="31"/>
        <v>Q2-36</v>
      </c>
      <c r="G184" s="74">
        <f t="shared" si="35"/>
        <v>15</v>
      </c>
      <c r="H184" s="74">
        <f t="shared" si="32"/>
        <v>2036</v>
      </c>
      <c r="J184" s="82">
        <f>DATA!L184</f>
        <v>1.3338817790941127</v>
      </c>
      <c r="K184" s="82">
        <f>DATA!M184</f>
        <v>1.143519508786274</v>
      </c>
      <c r="L184" s="82">
        <f>DATA!N184</f>
        <v>1</v>
      </c>
      <c r="M184" s="82">
        <f>DATA!O184</f>
        <v>1</v>
      </c>
      <c r="N184" s="82">
        <f>DATA!P184</f>
        <v>1</v>
      </c>
      <c r="P184" s="330">
        <f t="shared" si="40"/>
        <v>0</v>
      </c>
      <c r="Q184" s="330">
        <f t="shared" si="40"/>
        <v>0</v>
      </c>
      <c r="R184" s="330">
        <f t="shared" si="40"/>
        <v>0</v>
      </c>
      <c r="S184" s="330">
        <f t="shared" si="40"/>
        <v>0</v>
      </c>
      <c r="T184" s="334">
        <f t="shared" si="36"/>
        <v>0</v>
      </c>
      <c r="V184" s="330">
        <f t="shared" si="41"/>
        <v>0</v>
      </c>
      <c r="W184" s="330">
        <f t="shared" si="41"/>
        <v>0</v>
      </c>
      <c r="X184" s="330">
        <f t="shared" si="41"/>
        <v>0</v>
      </c>
      <c r="Y184" s="330">
        <f t="shared" si="41"/>
        <v>0</v>
      </c>
      <c r="Z184" s="334">
        <f t="shared" si="37"/>
        <v>0</v>
      </c>
    </row>
    <row r="185" spans="3:26" ht="16" hidden="1" outlineLevel="1" thickTop="1" thickBot="1">
      <c r="C185" s="74">
        <f t="shared" si="33"/>
        <v>175</v>
      </c>
      <c r="D185" s="75">
        <f t="shared" si="34"/>
        <v>49857</v>
      </c>
      <c r="E185" s="74">
        <f t="shared" si="30"/>
        <v>59</v>
      </c>
      <c r="F185" s="74" t="str">
        <f t="shared" si="31"/>
        <v>Q2-36</v>
      </c>
      <c r="G185" s="74">
        <f t="shared" si="35"/>
        <v>15</v>
      </c>
      <c r="H185" s="74">
        <f t="shared" si="32"/>
        <v>2036</v>
      </c>
      <c r="J185" s="82">
        <f>DATA!L185</f>
        <v>1.3361049153926028</v>
      </c>
      <c r="K185" s="82">
        <f>DATA!M185</f>
        <v>1.1444724417102623</v>
      </c>
      <c r="L185" s="82">
        <f>DATA!N185</f>
        <v>1</v>
      </c>
      <c r="M185" s="82">
        <f>DATA!O185</f>
        <v>1</v>
      </c>
      <c r="N185" s="82">
        <f>DATA!P185</f>
        <v>1</v>
      </c>
      <c r="P185" s="330">
        <f t="shared" si="40"/>
        <v>0</v>
      </c>
      <c r="Q185" s="330">
        <f t="shared" si="40"/>
        <v>0</v>
      </c>
      <c r="R185" s="330">
        <f t="shared" si="40"/>
        <v>0</v>
      </c>
      <c r="S185" s="330">
        <f t="shared" si="40"/>
        <v>0</v>
      </c>
      <c r="T185" s="334">
        <f t="shared" si="36"/>
        <v>0</v>
      </c>
      <c r="V185" s="330">
        <f t="shared" si="41"/>
        <v>0</v>
      </c>
      <c r="W185" s="330">
        <f t="shared" si="41"/>
        <v>0</v>
      </c>
      <c r="X185" s="330">
        <f t="shared" si="41"/>
        <v>0</v>
      </c>
      <c r="Y185" s="330">
        <f t="shared" si="41"/>
        <v>0</v>
      </c>
      <c r="Z185" s="334">
        <f t="shared" si="37"/>
        <v>0</v>
      </c>
    </row>
    <row r="186" spans="3:26" ht="16" hidden="1" outlineLevel="1" thickTop="1" thickBot="1">
      <c r="C186" s="74">
        <f t="shared" si="33"/>
        <v>176</v>
      </c>
      <c r="D186" s="75">
        <f t="shared" si="34"/>
        <v>49888</v>
      </c>
      <c r="E186" s="74">
        <f t="shared" si="30"/>
        <v>59</v>
      </c>
      <c r="F186" s="74" t="str">
        <f t="shared" si="31"/>
        <v>Q3-36</v>
      </c>
      <c r="G186" s="74">
        <f t="shared" si="35"/>
        <v>15</v>
      </c>
      <c r="H186" s="74">
        <f t="shared" si="32"/>
        <v>2036</v>
      </c>
      <c r="J186" s="82">
        <f>DATA!L186</f>
        <v>1.3383317569182571</v>
      </c>
      <c r="K186" s="82">
        <f>DATA!M186</f>
        <v>1.1454261687450207</v>
      </c>
      <c r="L186" s="82">
        <f>DATA!N186</f>
        <v>1</v>
      </c>
      <c r="M186" s="82">
        <f>DATA!O186</f>
        <v>1</v>
      </c>
      <c r="N186" s="82">
        <f>DATA!P186</f>
        <v>1</v>
      </c>
      <c r="P186" s="330">
        <f t="shared" si="40"/>
        <v>0</v>
      </c>
      <c r="Q186" s="330">
        <f t="shared" si="40"/>
        <v>0</v>
      </c>
      <c r="R186" s="330">
        <f t="shared" si="40"/>
        <v>0</v>
      </c>
      <c r="S186" s="330">
        <f t="shared" si="40"/>
        <v>0</v>
      </c>
      <c r="T186" s="334">
        <f t="shared" si="36"/>
        <v>0</v>
      </c>
      <c r="V186" s="330">
        <f t="shared" si="41"/>
        <v>0</v>
      </c>
      <c r="W186" s="330">
        <f t="shared" si="41"/>
        <v>0</v>
      </c>
      <c r="X186" s="330">
        <f t="shared" si="41"/>
        <v>0</v>
      </c>
      <c r="Y186" s="330">
        <f t="shared" si="41"/>
        <v>0</v>
      </c>
      <c r="Z186" s="334">
        <f t="shared" si="37"/>
        <v>0</v>
      </c>
    </row>
    <row r="187" spans="3:26" ht="16" hidden="1" outlineLevel="1" thickTop="1" thickBot="1">
      <c r="C187" s="74">
        <f t="shared" si="33"/>
        <v>177</v>
      </c>
      <c r="D187" s="75">
        <f t="shared" si="34"/>
        <v>49919</v>
      </c>
      <c r="E187" s="74">
        <f t="shared" si="30"/>
        <v>59</v>
      </c>
      <c r="F187" s="74" t="str">
        <f t="shared" si="31"/>
        <v>Q3-36</v>
      </c>
      <c r="G187" s="74">
        <f t="shared" si="35"/>
        <v>15</v>
      </c>
      <c r="H187" s="74">
        <f t="shared" si="32"/>
        <v>2036</v>
      </c>
      <c r="J187" s="82">
        <f>DATA!L187</f>
        <v>1.3405623098464543</v>
      </c>
      <c r="K187" s="82">
        <f>DATA!M187</f>
        <v>1.1463806905523082</v>
      </c>
      <c r="L187" s="82">
        <f>DATA!N187</f>
        <v>1</v>
      </c>
      <c r="M187" s="82">
        <f>DATA!O187</f>
        <v>1</v>
      </c>
      <c r="N187" s="82">
        <f>DATA!P187</f>
        <v>1</v>
      </c>
      <c r="P187" s="330">
        <f t="shared" si="40"/>
        <v>0</v>
      </c>
      <c r="Q187" s="330">
        <f t="shared" si="40"/>
        <v>0</v>
      </c>
      <c r="R187" s="330">
        <f t="shared" si="40"/>
        <v>0</v>
      </c>
      <c r="S187" s="330">
        <f t="shared" si="40"/>
        <v>0</v>
      </c>
      <c r="T187" s="334">
        <f t="shared" si="36"/>
        <v>0</v>
      </c>
      <c r="V187" s="330">
        <f t="shared" si="41"/>
        <v>0</v>
      </c>
      <c r="W187" s="330">
        <f t="shared" si="41"/>
        <v>0</v>
      </c>
      <c r="X187" s="330">
        <f t="shared" si="41"/>
        <v>0</v>
      </c>
      <c r="Y187" s="330">
        <f t="shared" si="41"/>
        <v>0</v>
      </c>
      <c r="Z187" s="334">
        <f t="shared" si="37"/>
        <v>0</v>
      </c>
    </row>
    <row r="188" spans="3:26" ht="16" hidden="1" outlineLevel="1" thickTop="1" thickBot="1">
      <c r="C188" s="74">
        <f t="shared" si="33"/>
        <v>178</v>
      </c>
      <c r="D188" s="75">
        <f t="shared" si="34"/>
        <v>49949</v>
      </c>
      <c r="E188" s="74">
        <f t="shared" si="30"/>
        <v>60</v>
      </c>
      <c r="F188" s="74" t="str">
        <f t="shared" si="31"/>
        <v>Q3-36</v>
      </c>
      <c r="G188" s="74">
        <f t="shared" si="35"/>
        <v>15</v>
      </c>
      <c r="H188" s="74">
        <f t="shared" si="32"/>
        <v>2036</v>
      </c>
      <c r="J188" s="82">
        <f>DATA!L188</f>
        <v>1.3427965803628652</v>
      </c>
      <c r="K188" s="82">
        <f>DATA!M188</f>
        <v>1.147336007794435</v>
      </c>
      <c r="L188" s="82">
        <f>DATA!N188</f>
        <v>1</v>
      </c>
      <c r="M188" s="82">
        <f>DATA!O188</f>
        <v>1</v>
      </c>
      <c r="N188" s="82">
        <f>DATA!P188</f>
        <v>1</v>
      </c>
      <c r="P188" s="330">
        <f t="shared" si="40"/>
        <v>0</v>
      </c>
      <c r="Q188" s="330">
        <f t="shared" si="40"/>
        <v>0</v>
      </c>
      <c r="R188" s="330">
        <f t="shared" si="40"/>
        <v>0</v>
      </c>
      <c r="S188" s="330">
        <f t="shared" si="40"/>
        <v>0</v>
      </c>
      <c r="T188" s="334">
        <f t="shared" si="36"/>
        <v>0</v>
      </c>
      <c r="V188" s="330">
        <f t="shared" si="41"/>
        <v>0</v>
      </c>
      <c r="W188" s="330">
        <f t="shared" si="41"/>
        <v>0</v>
      </c>
      <c r="X188" s="330">
        <f t="shared" si="41"/>
        <v>0</v>
      </c>
      <c r="Y188" s="330">
        <f t="shared" si="41"/>
        <v>0</v>
      </c>
      <c r="Z188" s="334">
        <f t="shared" si="37"/>
        <v>0</v>
      </c>
    </row>
    <row r="189" spans="3:26" ht="16" hidden="1" outlineLevel="1" thickTop="1" thickBot="1">
      <c r="C189" s="74">
        <f t="shared" si="33"/>
        <v>179</v>
      </c>
      <c r="D189" s="75">
        <f t="shared" si="34"/>
        <v>49980</v>
      </c>
      <c r="E189" s="74">
        <f t="shared" si="30"/>
        <v>60</v>
      </c>
      <c r="F189" s="74" t="str">
        <f t="shared" si="31"/>
        <v>Q3-36</v>
      </c>
      <c r="G189" s="74">
        <f t="shared" si="35"/>
        <v>15</v>
      </c>
      <c r="H189" s="74">
        <f t="shared" si="32"/>
        <v>2036</v>
      </c>
      <c r="J189" s="82">
        <f>DATA!L189</f>
        <v>1.34503457466347</v>
      </c>
      <c r="K189" s="82">
        <f>DATA!M189</f>
        <v>1.1482921211342636</v>
      </c>
      <c r="L189" s="82">
        <f>DATA!N189</f>
        <v>1</v>
      </c>
      <c r="M189" s="82">
        <f>DATA!O189</f>
        <v>1</v>
      </c>
      <c r="N189" s="82">
        <f>DATA!P189</f>
        <v>1</v>
      </c>
      <c r="P189" s="330">
        <f t="shared" si="40"/>
        <v>0</v>
      </c>
      <c r="Q189" s="330">
        <f t="shared" si="40"/>
        <v>0</v>
      </c>
      <c r="R189" s="330">
        <f t="shared" si="40"/>
        <v>0</v>
      </c>
      <c r="S189" s="330">
        <f t="shared" si="40"/>
        <v>0</v>
      </c>
      <c r="T189" s="334">
        <f t="shared" si="36"/>
        <v>0</v>
      </c>
      <c r="V189" s="330">
        <f t="shared" si="41"/>
        <v>0</v>
      </c>
      <c r="W189" s="330">
        <f t="shared" si="41"/>
        <v>0</v>
      </c>
      <c r="X189" s="330">
        <f t="shared" si="41"/>
        <v>0</v>
      </c>
      <c r="Y189" s="330">
        <f t="shared" si="41"/>
        <v>0</v>
      </c>
      <c r="Z189" s="334">
        <f t="shared" si="37"/>
        <v>0</v>
      </c>
    </row>
    <row r="190" spans="3:26" ht="16" hidden="1" outlineLevel="1" thickTop="1" thickBot="1">
      <c r="C190" s="74">
        <f t="shared" si="33"/>
        <v>180</v>
      </c>
      <c r="D190" s="75">
        <f t="shared" si="34"/>
        <v>50010</v>
      </c>
      <c r="E190" s="74">
        <f t="shared" si="30"/>
        <v>60</v>
      </c>
      <c r="F190" s="74" t="str">
        <f t="shared" si="31"/>
        <v>Q4-36</v>
      </c>
      <c r="G190" s="74">
        <f t="shared" si="35"/>
        <v>15</v>
      </c>
      <c r="H190" s="74">
        <f t="shared" si="32"/>
        <v>2036</v>
      </c>
      <c r="J190" s="82">
        <f>DATA!L190</f>
        <v>1.3472762989545759</v>
      </c>
      <c r="K190" s="82">
        <f>DATA!M190</f>
        <v>1.1492490312352086</v>
      </c>
      <c r="L190" s="82">
        <f>DATA!N190</f>
        <v>1</v>
      </c>
      <c r="M190" s="82">
        <f>DATA!O190</f>
        <v>1</v>
      </c>
      <c r="N190" s="82">
        <f>DATA!P190</f>
        <v>1</v>
      </c>
      <c r="P190" s="330">
        <f t="shared" si="40"/>
        <v>0</v>
      </c>
      <c r="Q190" s="330">
        <f t="shared" si="40"/>
        <v>0</v>
      </c>
      <c r="R190" s="330">
        <f t="shared" si="40"/>
        <v>0</v>
      </c>
      <c r="S190" s="330">
        <f t="shared" si="40"/>
        <v>0</v>
      </c>
      <c r="T190" s="334">
        <f t="shared" si="36"/>
        <v>0</v>
      </c>
      <c r="V190" s="330">
        <f t="shared" si="41"/>
        <v>0</v>
      </c>
      <c r="W190" s="330">
        <f t="shared" si="41"/>
        <v>0</v>
      </c>
      <c r="X190" s="330">
        <f t="shared" si="41"/>
        <v>0</v>
      </c>
      <c r="Y190" s="330">
        <f t="shared" si="41"/>
        <v>0</v>
      </c>
      <c r="Z190" s="334">
        <f t="shared" si="37"/>
        <v>0</v>
      </c>
    </row>
    <row r="191" spans="3:26" ht="16" hidden="1" outlineLevel="1" thickTop="1" thickBot="1">
      <c r="C191" s="74">
        <f t="shared" si="33"/>
        <v>181</v>
      </c>
      <c r="D191" s="75">
        <f t="shared" si="34"/>
        <v>50041</v>
      </c>
      <c r="E191" s="74">
        <f t="shared" si="30"/>
        <v>61</v>
      </c>
      <c r="F191" s="74" t="str">
        <f t="shared" si="31"/>
        <v>Q1-37</v>
      </c>
      <c r="G191" s="74">
        <f t="shared" si="35"/>
        <v>16</v>
      </c>
      <c r="H191" s="74">
        <f t="shared" si="32"/>
        <v>2037</v>
      </c>
      <c r="J191" s="82">
        <f>DATA!L191</f>
        <v>1.3495217594528335</v>
      </c>
      <c r="K191" s="82">
        <f>DATA!M191</f>
        <v>1.1502067387612378</v>
      </c>
      <c r="L191" s="82">
        <f>DATA!N191</f>
        <v>1</v>
      </c>
      <c r="M191" s="82">
        <f>DATA!O191</f>
        <v>1</v>
      </c>
      <c r="N191" s="82">
        <f>DATA!P191</f>
        <v>1</v>
      </c>
      <c r="P191" s="330">
        <f t="shared" ref="P191:S210" si="42">IF(AND($C191&gt;=P$6,$C191&lt;=P$6+P$7-1),P$9/P$7*$K191,0)</f>
        <v>0</v>
      </c>
      <c r="Q191" s="330">
        <f t="shared" si="42"/>
        <v>0</v>
      </c>
      <c r="R191" s="330">
        <f t="shared" si="42"/>
        <v>0</v>
      </c>
      <c r="S191" s="330">
        <f t="shared" si="42"/>
        <v>0</v>
      </c>
      <c r="T191" s="334">
        <f t="shared" si="36"/>
        <v>0</v>
      </c>
      <c r="V191" s="330">
        <f t="shared" ref="V191:Y210" si="43">IF(AND($C191&gt;=V$6,$C191&lt;=V$6+V$7-1),V$9/V$7*$K191,0)</f>
        <v>0</v>
      </c>
      <c r="W191" s="330">
        <f t="shared" si="43"/>
        <v>0</v>
      </c>
      <c r="X191" s="330">
        <f t="shared" si="43"/>
        <v>0</v>
      </c>
      <c r="Y191" s="330">
        <f t="shared" si="43"/>
        <v>0</v>
      </c>
      <c r="Z191" s="334">
        <f t="shared" si="37"/>
        <v>0</v>
      </c>
    </row>
    <row r="192" spans="3:26" ht="16" hidden="1" outlineLevel="1" thickTop="1" thickBot="1">
      <c r="C192" s="74">
        <f t="shared" si="33"/>
        <v>182</v>
      </c>
      <c r="D192" s="75">
        <f t="shared" si="34"/>
        <v>50072</v>
      </c>
      <c r="E192" s="74">
        <f t="shared" si="30"/>
        <v>61</v>
      </c>
      <c r="F192" s="74" t="str">
        <f t="shared" si="31"/>
        <v>Q1-37</v>
      </c>
      <c r="G192" s="74">
        <f t="shared" si="35"/>
        <v>16</v>
      </c>
      <c r="H192" s="74">
        <f t="shared" si="32"/>
        <v>2037</v>
      </c>
      <c r="J192" s="82">
        <f>DATA!L192</f>
        <v>1.351770962385255</v>
      </c>
      <c r="K192" s="82">
        <f>DATA!M192</f>
        <v>1.1511652443768721</v>
      </c>
      <c r="L192" s="82">
        <f>DATA!N192</f>
        <v>1</v>
      </c>
      <c r="M192" s="82">
        <f>DATA!O192</f>
        <v>1</v>
      </c>
      <c r="N192" s="82">
        <f>DATA!P192</f>
        <v>1</v>
      </c>
      <c r="P192" s="330">
        <f t="shared" si="42"/>
        <v>0</v>
      </c>
      <c r="Q192" s="330">
        <f t="shared" si="42"/>
        <v>0</v>
      </c>
      <c r="R192" s="330">
        <f t="shared" si="42"/>
        <v>0</v>
      </c>
      <c r="S192" s="330">
        <f t="shared" si="42"/>
        <v>0</v>
      </c>
      <c r="T192" s="334">
        <f t="shared" si="36"/>
        <v>0</v>
      </c>
      <c r="V192" s="330">
        <f t="shared" si="43"/>
        <v>0</v>
      </c>
      <c r="W192" s="330">
        <f t="shared" si="43"/>
        <v>0</v>
      </c>
      <c r="X192" s="330">
        <f t="shared" si="43"/>
        <v>0</v>
      </c>
      <c r="Y192" s="330">
        <f t="shared" si="43"/>
        <v>0</v>
      </c>
      <c r="Z192" s="334">
        <f t="shared" si="37"/>
        <v>0</v>
      </c>
    </row>
    <row r="193" spans="3:26" ht="16" hidden="1" outlineLevel="1" thickTop="1" thickBot="1">
      <c r="C193" s="74">
        <f t="shared" si="33"/>
        <v>183</v>
      </c>
      <c r="D193" s="75">
        <f t="shared" si="34"/>
        <v>50100</v>
      </c>
      <c r="E193" s="74">
        <f t="shared" si="30"/>
        <v>61</v>
      </c>
      <c r="F193" s="74" t="str">
        <f t="shared" si="31"/>
        <v>Q1-37</v>
      </c>
      <c r="G193" s="74">
        <f t="shared" si="35"/>
        <v>16</v>
      </c>
      <c r="H193" s="74">
        <f t="shared" si="32"/>
        <v>2037</v>
      </c>
      <c r="J193" s="82">
        <f>DATA!L193</f>
        <v>1.3540239139892305</v>
      </c>
      <c r="K193" s="82">
        <f>DATA!M193</f>
        <v>1.1521245487471861</v>
      </c>
      <c r="L193" s="82">
        <f>DATA!N193</f>
        <v>1</v>
      </c>
      <c r="M193" s="82">
        <f>DATA!O193</f>
        <v>1</v>
      </c>
      <c r="N193" s="82">
        <f>DATA!P193</f>
        <v>1</v>
      </c>
      <c r="P193" s="330">
        <f t="shared" si="42"/>
        <v>0</v>
      </c>
      <c r="Q193" s="330">
        <f t="shared" si="42"/>
        <v>0</v>
      </c>
      <c r="R193" s="330">
        <f t="shared" si="42"/>
        <v>0</v>
      </c>
      <c r="S193" s="330">
        <f t="shared" si="42"/>
        <v>0</v>
      </c>
      <c r="T193" s="334">
        <f t="shared" si="36"/>
        <v>0</v>
      </c>
      <c r="V193" s="330">
        <f t="shared" si="43"/>
        <v>0</v>
      </c>
      <c r="W193" s="330">
        <f t="shared" si="43"/>
        <v>0</v>
      </c>
      <c r="X193" s="330">
        <f t="shared" si="43"/>
        <v>0</v>
      </c>
      <c r="Y193" s="330">
        <f t="shared" si="43"/>
        <v>0</v>
      </c>
      <c r="Z193" s="334">
        <f t="shared" si="37"/>
        <v>0</v>
      </c>
    </row>
    <row r="194" spans="3:26" ht="16" hidden="1" outlineLevel="1" thickTop="1" thickBot="1">
      <c r="C194" s="74">
        <f t="shared" si="33"/>
        <v>184</v>
      </c>
      <c r="D194" s="75">
        <f t="shared" si="34"/>
        <v>50131</v>
      </c>
      <c r="E194" s="74">
        <f t="shared" si="30"/>
        <v>62</v>
      </c>
      <c r="F194" s="74" t="str">
        <f t="shared" si="31"/>
        <v>Q2-37</v>
      </c>
      <c r="G194" s="74">
        <f t="shared" si="35"/>
        <v>16</v>
      </c>
      <c r="H194" s="74">
        <f t="shared" si="32"/>
        <v>2037</v>
      </c>
      <c r="J194" s="82">
        <f>DATA!L194</f>
        <v>1.3562806205125459</v>
      </c>
      <c r="K194" s="82">
        <f>DATA!M194</f>
        <v>1.1530846525378087</v>
      </c>
      <c r="L194" s="82">
        <f>DATA!N194</f>
        <v>1</v>
      </c>
      <c r="M194" s="82">
        <f>DATA!O194</f>
        <v>1</v>
      </c>
      <c r="N194" s="82">
        <f>DATA!P194</f>
        <v>1</v>
      </c>
      <c r="P194" s="330">
        <f t="shared" si="42"/>
        <v>0</v>
      </c>
      <c r="Q194" s="330">
        <f t="shared" si="42"/>
        <v>0</v>
      </c>
      <c r="R194" s="330">
        <f t="shared" si="42"/>
        <v>0</v>
      </c>
      <c r="S194" s="330">
        <f t="shared" si="42"/>
        <v>0</v>
      </c>
      <c r="T194" s="334">
        <f t="shared" si="36"/>
        <v>0</v>
      </c>
      <c r="V194" s="330">
        <f t="shared" si="43"/>
        <v>0</v>
      </c>
      <c r="W194" s="330">
        <f t="shared" si="43"/>
        <v>0</v>
      </c>
      <c r="X194" s="330">
        <f t="shared" si="43"/>
        <v>0</v>
      </c>
      <c r="Y194" s="330">
        <f t="shared" si="43"/>
        <v>0</v>
      </c>
      <c r="Z194" s="334">
        <f t="shared" si="37"/>
        <v>0</v>
      </c>
    </row>
    <row r="195" spans="3:26" ht="16" hidden="1" outlineLevel="1" thickTop="1" thickBot="1">
      <c r="C195" s="74">
        <f t="shared" si="33"/>
        <v>185</v>
      </c>
      <c r="D195" s="75">
        <f t="shared" si="34"/>
        <v>50161</v>
      </c>
      <c r="E195" s="74">
        <f t="shared" si="30"/>
        <v>62</v>
      </c>
      <c r="F195" s="74" t="str">
        <f t="shared" si="31"/>
        <v>Q2-37</v>
      </c>
      <c r="G195" s="74">
        <f t="shared" si="35"/>
        <v>16</v>
      </c>
      <c r="H195" s="74">
        <f t="shared" si="32"/>
        <v>2037</v>
      </c>
      <c r="J195" s="82">
        <f>DATA!L195</f>
        <v>1.3585410882134001</v>
      </c>
      <c r="K195" s="82">
        <f>DATA!M195</f>
        <v>1.1540455564149235</v>
      </c>
      <c r="L195" s="82">
        <f>DATA!N195</f>
        <v>1</v>
      </c>
      <c r="M195" s="82">
        <f>DATA!O195</f>
        <v>1</v>
      </c>
      <c r="N195" s="82">
        <f>DATA!P195</f>
        <v>1</v>
      </c>
      <c r="P195" s="330">
        <f t="shared" si="42"/>
        <v>0</v>
      </c>
      <c r="Q195" s="330">
        <f t="shared" si="42"/>
        <v>0</v>
      </c>
      <c r="R195" s="330">
        <f t="shared" si="42"/>
        <v>0</v>
      </c>
      <c r="S195" s="330">
        <f t="shared" si="42"/>
        <v>0</v>
      </c>
      <c r="T195" s="334">
        <f t="shared" si="36"/>
        <v>0</v>
      </c>
      <c r="V195" s="330">
        <f t="shared" si="43"/>
        <v>0</v>
      </c>
      <c r="W195" s="330">
        <f t="shared" si="43"/>
        <v>0</v>
      </c>
      <c r="X195" s="330">
        <f t="shared" si="43"/>
        <v>0</v>
      </c>
      <c r="Y195" s="330">
        <f t="shared" si="43"/>
        <v>0</v>
      </c>
      <c r="Z195" s="334">
        <f t="shared" si="37"/>
        <v>0</v>
      </c>
    </row>
    <row r="196" spans="3:26" ht="16" hidden="1" outlineLevel="1" thickTop="1" thickBot="1">
      <c r="C196" s="74">
        <f t="shared" si="33"/>
        <v>186</v>
      </c>
      <c r="D196" s="75">
        <f t="shared" si="34"/>
        <v>50192</v>
      </c>
      <c r="E196" s="74">
        <f t="shared" si="30"/>
        <v>62</v>
      </c>
      <c r="F196" s="74" t="str">
        <f t="shared" si="31"/>
        <v>Q2-37</v>
      </c>
      <c r="G196" s="74">
        <f t="shared" si="35"/>
        <v>16</v>
      </c>
      <c r="H196" s="74">
        <f t="shared" si="32"/>
        <v>2037</v>
      </c>
      <c r="J196" s="82">
        <f>DATA!L196</f>
        <v>1.3608053233604225</v>
      </c>
      <c r="K196" s="82">
        <f>DATA!M196</f>
        <v>1.1550072610452691</v>
      </c>
      <c r="L196" s="82">
        <f>DATA!N196</f>
        <v>1</v>
      </c>
      <c r="M196" s="82">
        <f>DATA!O196</f>
        <v>1</v>
      </c>
      <c r="N196" s="82">
        <f>DATA!P196</f>
        <v>1</v>
      </c>
      <c r="P196" s="330">
        <f t="shared" si="42"/>
        <v>0</v>
      </c>
      <c r="Q196" s="330">
        <f t="shared" si="42"/>
        <v>0</v>
      </c>
      <c r="R196" s="330">
        <f t="shared" si="42"/>
        <v>0</v>
      </c>
      <c r="S196" s="330">
        <f t="shared" si="42"/>
        <v>0</v>
      </c>
      <c r="T196" s="334">
        <f t="shared" si="36"/>
        <v>0</v>
      </c>
      <c r="V196" s="330">
        <f t="shared" si="43"/>
        <v>0</v>
      </c>
      <c r="W196" s="330">
        <f t="shared" si="43"/>
        <v>0</v>
      </c>
      <c r="X196" s="330">
        <f t="shared" si="43"/>
        <v>0</v>
      </c>
      <c r="Y196" s="330">
        <f t="shared" si="43"/>
        <v>0</v>
      </c>
      <c r="Z196" s="334">
        <f t="shared" si="37"/>
        <v>0</v>
      </c>
    </row>
    <row r="197" spans="3:26" ht="16" hidden="1" outlineLevel="1" thickTop="1" thickBot="1">
      <c r="C197" s="74">
        <f t="shared" si="33"/>
        <v>187</v>
      </c>
      <c r="D197" s="75">
        <f t="shared" si="34"/>
        <v>50222</v>
      </c>
      <c r="E197" s="74">
        <f t="shared" si="30"/>
        <v>63</v>
      </c>
      <c r="F197" s="74" t="str">
        <f t="shared" si="31"/>
        <v>Q2-37</v>
      </c>
      <c r="G197" s="74">
        <f t="shared" si="35"/>
        <v>16</v>
      </c>
      <c r="H197" s="74">
        <f t="shared" si="32"/>
        <v>2037</v>
      </c>
      <c r="J197" s="82">
        <f>DATA!L197</f>
        <v>1.36307333223269</v>
      </c>
      <c r="K197" s="82">
        <f>DATA!M197</f>
        <v>1.15596976709614</v>
      </c>
      <c r="L197" s="82">
        <f>DATA!N197</f>
        <v>1</v>
      </c>
      <c r="M197" s="82">
        <f>DATA!O197</f>
        <v>1</v>
      </c>
      <c r="N197" s="82">
        <f>DATA!P197</f>
        <v>1</v>
      </c>
      <c r="P197" s="330">
        <f t="shared" si="42"/>
        <v>0</v>
      </c>
      <c r="Q197" s="330">
        <f t="shared" si="42"/>
        <v>0</v>
      </c>
      <c r="R197" s="330">
        <f t="shared" si="42"/>
        <v>0</v>
      </c>
      <c r="S197" s="330">
        <f t="shared" si="42"/>
        <v>0</v>
      </c>
      <c r="T197" s="334">
        <f t="shared" si="36"/>
        <v>0</v>
      </c>
      <c r="V197" s="330">
        <f t="shared" si="43"/>
        <v>0</v>
      </c>
      <c r="W197" s="330">
        <f t="shared" si="43"/>
        <v>0</v>
      </c>
      <c r="X197" s="330">
        <f t="shared" si="43"/>
        <v>0</v>
      </c>
      <c r="Y197" s="330">
        <f t="shared" si="43"/>
        <v>0</v>
      </c>
      <c r="Z197" s="334">
        <f t="shared" si="37"/>
        <v>0</v>
      </c>
    </row>
    <row r="198" spans="3:26" ht="16" hidden="1" outlineLevel="1" thickTop="1" thickBot="1">
      <c r="C198" s="74">
        <f t="shared" si="33"/>
        <v>188</v>
      </c>
      <c r="D198" s="75">
        <f t="shared" si="34"/>
        <v>50253</v>
      </c>
      <c r="E198" s="74">
        <f t="shared" si="30"/>
        <v>63</v>
      </c>
      <c r="F198" s="74" t="str">
        <f t="shared" si="31"/>
        <v>Q3-37</v>
      </c>
      <c r="G198" s="74">
        <f t="shared" si="35"/>
        <v>16</v>
      </c>
      <c r="H198" s="74">
        <f t="shared" si="32"/>
        <v>2037</v>
      </c>
      <c r="J198" s="82">
        <f>DATA!L198</f>
        <v>1.3653451211197445</v>
      </c>
      <c r="K198" s="82">
        <f>DATA!M198</f>
        <v>1.1569330752353866</v>
      </c>
      <c r="L198" s="82">
        <f>DATA!N198</f>
        <v>1</v>
      </c>
      <c r="M198" s="82">
        <f>DATA!O198</f>
        <v>1</v>
      </c>
      <c r="N198" s="82">
        <f>DATA!P198</f>
        <v>1</v>
      </c>
      <c r="P198" s="330">
        <f t="shared" si="42"/>
        <v>0</v>
      </c>
      <c r="Q198" s="330">
        <f t="shared" si="42"/>
        <v>0</v>
      </c>
      <c r="R198" s="330">
        <f t="shared" si="42"/>
        <v>0</v>
      </c>
      <c r="S198" s="330">
        <f t="shared" si="42"/>
        <v>0</v>
      </c>
      <c r="T198" s="334">
        <f t="shared" si="36"/>
        <v>0</v>
      </c>
      <c r="V198" s="330">
        <f t="shared" si="43"/>
        <v>0</v>
      </c>
      <c r="W198" s="330">
        <f t="shared" si="43"/>
        <v>0</v>
      </c>
      <c r="X198" s="330">
        <f t="shared" si="43"/>
        <v>0</v>
      </c>
      <c r="Y198" s="330">
        <f t="shared" si="43"/>
        <v>0</v>
      </c>
      <c r="Z198" s="334">
        <f t="shared" si="37"/>
        <v>0</v>
      </c>
    </row>
    <row r="199" spans="3:26" ht="16" hidden="1" outlineLevel="1" thickTop="1" thickBot="1">
      <c r="C199" s="74">
        <f t="shared" si="33"/>
        <v>189</v>
      </c>
      <c r="D199" s="75">
        <f t="shared" si="34"/>
        <v>50284</v>
      </c>
      <c r="E199" s="74">
        <f t="shared" si="30"/>
        <v>63</v>
      </c>
      <c r="F199" s="74" t="str">
        <f t="shared" si="31"/>
        <v>Q3-37</v>
      </c>
      <c r="G199" s="74">
        <f t="shared" si="35"/>
        <v>16</v>
      </c>
      <c r="H199" s="74">
        <f t="shared" si="32"/>
        <v>2037</v>
      </c>
      <c r="J199" s="82">
        <f>DATA!L199</f>
        <v>1.3676206963216109</v>
      </c>
      <c r="K199" s="82">
        <f>DATA!M199</f>
        <v>1.157897186131416</v>
      </c>
      <c r="L199" s="82">
        <f>DATA!N199</f>
        <v>1</v>
      </c>
      <c r="M199" s="82">
        <f>DATA!O199</f>
        <v>1</v>
      </c>
      <c r="N199" s="82">
        <f>DATA!P199</f>
        <v>1</v>
      </c>
      <c r="P199" s="330">
        <f t="shared" si="42"/>
        <v>0</v>
      </c>
      <c r="Q199" s="330">
        <f t="shared" si="42"/>
        <v>0</v>
      </c>
      <c r="R199" s="330">
        <f t="shared" si="42"/>
        <v>0</v>
      </c>
      <c r="S199" s="330">
        <f t="shared" si="42"/>
        <v>0</v>
      </c>
      <c r="T199" s="334">
        <f t="shared" si="36"/>
        <v>0</v>
      </c>
      <c r="V199" s="330">
        <f t="shared" si="43"/>
        <v>0</v>
      </c>
      <c r="W199" s="330">
        <f t="shared" si="43"/>
        <v>0</v>
      </c>
      <c r="X199" s="330">
        <f t="shared" si="43"/>
        <v>0</v>
      </c>
      <c r="Y199" s="330">
        <f t="shared" si="43"/>
        <v>0</v>
      </c>
      <c r="Z199" s="334">
        <f t="shared" si="37"/>
        <v>0</v>
      </c>
    </row>
    <row r="200" spans="3:26" ht="16" hidden="1" outlineLevel="1" thickTop="1" thickBot="1">
      <c r="C200" s="74">
        <f t="shared" si="33"/>
        <v>190</v>
      </c>
      <c r="D200" s="75">
        <f t="shared" si="34"/>
        <v>50314</v>
      </c>
      <c r="E200" s="74">
        <f t="shared" si="30"/>
        <v>64</v>
      </c>
      <c r="F200" s="74" t="str">
        <f t="shared" si="31"/>
        <v>Q3-37</v>
      </c>
      <c r="G200" s="74">
        <f t="shared" si="35"/>
        <v>16</v>
      </c>
      <c r="H200" s="74">
        <f t="shared" si="32"/>
        <v>2037</v>
      </c>
      <c r="J200" s="82">
        <f>DATA!L200</f>
        <v>1.3699000641488137</v>
      </c>
      <c r="K200" s="82">
        <f>DATA!M200</f>
        <v>1.158862100453192</v>
      </c>
      <c r="L200" s="82">
        <f>DATA!N200</f>
        <v>1</v>
      </c>
      <c r="M200" s="82">
        <f>DATA!O200</f>
        <v>1</v>
      </c>
      <c r="N200" s="82">
        <f>DATA!P200</f>
        <v>1</v>
      </c>
      <c r="P200" s="330">
        <f t="shared" si="42"/>
        <v>0</v>
      </c>
      <c r="Q200" s="330">
        <f t="shared" si="42"/>
        <v>0</v>
      </c>
      <c r="R200" s="330">
        <f t="shared" si="42"/>
        <v>0</v>
      </c>
      <c r="S200" s="330">
        <f t="shared" si="42"/>
        <v>0</v>
      </c>
      <c r="T200" s="334">
        <f t="shared" si="36"/>
        <v>0</v>
      </c>
      <c r="V200" s="330">
        <f t="shared" si="43"/>
        <v>0</v>
      </c>
      <c r="W200" s="330">
        <f t="shared" si="43"/>
        <v>0</v>
      </c>
      <c r="X200" s="330">
        <f t="shared" si="43"/>
        <v>0</v>
      </c>
      <c r="Y200" s="330">
        <f t="shared" si="43"/>
        <v>0</v>
      </c>
      <c r="Z200" s="334">
        <f t="shared" si="37"/>
        <v>0</v>
      </c>
    </row>
    <row r="201" spans="3:26" ht="16" hidden="1" outlineLevel="1" thickTop="1" thickBot="1">
      <c r="C201" s="74">
        <f t="shared" si="33"/>
        <v>191</v>
      </c>
      <c r="D201" s="75">
        <f t="shared" si="34"/>
        <v>50345</v>
      </c>
      <c r="E201" s="74">
        <f t="shared" si="30"/>
        <v>64</v>
      </c>
      <c r="F201" s="74" t="str">
        <f t="shared" si="31"/>
        <v>Q3-37</v>
      </c>
      <c r="G201" s="74">
        <f t="shared" si="35"/>
        <v>16</v>
      </c>
      <c r="H201" s="74">
        <f t="shared" si="32"/>
        <v>2037</v>
      </c>
      <c r="J201" s="82">
        <f>DATA!L201</f>
        <v>1.3721832309223951</v>
      </c>
      <c r="K201" s="82">
        <f>DATA!M201</f>
        <v>1.1598278188702362</v>
      </c>
      <c r="L201" s="82">
        <f>DATA!N201</f>
        <v>1</v>
      </c>
      <c r="M201" s="82">
        <f>DATA!O201</f>
        <v>1</v>
      </c>
      <c r="N201" s="82">
        <f>DATA!P201</f>
        <v>1</v>
      </c>
      <c r="P201" s="330">
        <f t="shared" si="42"/>
        <v>0</v>
      </c>
      <c r="Q201" s="330">
        <f t="shared" si="42"/>
        <v>0</v>
      </c>
      <c r="R201" s="330">
        <f t="shared" si="42"/>
        <v>0</v>
      </c>
      <c r="S201" s="330">
        <f t="shared" si="42"/>
        <v>0</v>
      </c>
      <c r="T201" s="334">
        <f t="shared" si="36"/>
        <v>0</v>
      </c>
      <c r="V201" s="330">
        <f t="shared" si="43"/>
        <v>0</v>
      </c>
      <c r="W201" s="330">
        <f t="shared" si="43"/>
        <v>0</v>
      </c>
      <c r="X201" s="330">
        <f t="shared" si="43"/>
        <v>0</v>
      </c>
      <c r="Y201" s="330">
        <f t="shared" si="43"/>
        <v>0</v>
      </c>
      <c r="Z201" s="334">
        <f t="shared" si="37"/>
        <v>0</v>
      </c>
    </row>
    <row r="202" spans="3:26" ht="16" hidden="1" outlineLevel="1" thickTop="1" thickBot="1">
      <c r="C202" s="74">
        <f t="shared" si="33"/>
        <v>192</v>
      </c>
      <c r="D202" s="75">
        <f t="shared" si="34"/>
        <v>50375</v>
      </c>
      <c r="E202" s="74">
        <f t="shared" si="30"/>
        <v>64</v>
      </c>
      <c r="F202" s="74" t="str">
        <f t="shared" si="31"/>
        <v>Q4-37</v>
      </c>
      <c r="G202" s="74">
        <f t="shared" si="35"/>
        <v>16</v>
      </c>
      <c r="H202" s="74">
        <f t="shared" si="32"/>
        <v>2037</v>
      </c>
      <c r="J202" s="82">
        <f>DATA!L202</f>
        <v>1.3744702029739324</v>
      </c>
      <c r="K202" s="82">
        <f>DATA!M202</f>
        <v>1.1607943420526279</v>
      </c>
      <c r="L202" s="82">
        <f>DATA!N202</f>
        <v>1</v>
      </c>
      <c r="M202" s="82">
        <f>DATA!O202</f>
        <v>1</v>
      </c>
      <c r="N202" s="82">
        <f>DATA!P202</f>
        <v>1</v>
      </c>
      <c r="P202" s="330">
        <f t="shared" si="42"/>
        <v>0</v>
      </c>
      <c r="Q202" s="330">
        <f t="shared" si="42"/>
        <v>0</v>
      </c>
      <c r="R202" s="330">
        <f t="shared" si="42"/>
        <v>0</v>
      </c>
      <c r="S202" s="330">
        <f t="shared" si="42"/>
        <v>0</v>
      </c>
      <c r="T202" s="334">
        <f t="shared" si="36"/>
        <v>0</v>
      </c>
      <c r="V202" s="330">
        <f t="shared" si="43"/>
        <v>0</v>
      </c>
      <c r="W202" s="330">
        <f t="shared" si="43"/>
        <v>0</v>
      </c>
      <c r="X202" s="330">
        <f t="shared" si="43"/>
        <v>0</v>
      </c>
      <c r="Y202" s="330">
        <f t="shared" si="43"/>
        <v>0</v>
      </c>
      <c r="Z202" s="334">
        <f t="shared" si="37"/>
        <v>0</v>
      </c>
    </row>
    <row r="203" spans="3:26" ht="16" hidden="1" outlineLevel="1" thickTop="1" thickBot="1">
      <c r="C203" s="74">
        <f t="shared" si="33"/>
        <v>193</v>
      </c>
      <c r="D203" s="75">
        <f t="shared" si="34"/>
        <v>50406</v>
      </c>
      <c r="E203" s="74">
        <f t="shared" ref="E203:E266" si="44">INT(INT(C203+2)/3)</f>
        <v>65</v>
      </c>
      <c r="F203" s="74" t="str">
        <f t="shared" ref="F203:F266" si="45">"Q"&amp;INT((MONTH(D203)/4)+1)&amp;"-"&amp;RIGHT(YEAR(D203),2)</f>
        <v>Q1-38</v>
      </c>
      <c r="G203" s="74">
        <f t="shared" si="35"/>
        <v>17</v>
      </c>
      <c r="H203" s="74">
        <f t="shared" ref="H203:H266" si="46">YEAR(D203)</f>
        <v>2038</v>
      </c>
      <c r="J203" s="82">
        <f>DATA!L203</f>
        <v>1.3767609866455557</v>
      </c>
      <c r="K203" s="82">
        <f>DATA!M203</f>
        <v>1.161761670671005</v>
      </c>
      <c r="L203" s="82">
        <f>DATA!N203</f>
        <v>1</v>
      </c>
      <c r="M203" s="82">
        <f>DATA!O203</f>
        <v>1</v>
      </c>
      <c r="N203" s="82">
        <f>DATA!P203</f>
        <v>1</v>
      </c>
      <c r="P203" s="330">
        <f t="shared" si="42"/>
        <v>0</v>
      </c>
      <c r="Q203" s="330">
        <f t="shared" si="42"/>
        <v>0</v>
      </c>
      <c r="R203" s="330">
        <f t="shared" si="42"/>
        <v>0</v>
      </c>
      <c r="S203" s="330">
        <f t="shared" si="42"/>
        <v>0</v>
      </c>
      <c r="T203" s="334">
        <f t="shared" si="36"/>
        <v>0</v>
      </c>
      <c r="V203" s="330">
        <f t="shared" si="43"/>
        <v>0</v>
      </c>
      <c r="W203" s="330">
        <f t="shared" si="43"/>
        <v>0</v>
      </c>
      <c r="X203" s="330">
        <f t="shared" si="43"/>
        <v>0</v>
      </c>
      <c r="Y203" s="330">
        <f t="shared" si="43"/>
        <v>0</v>
      </c>
      <c r="Z203" s="334">
        <f t="shared" si="37"/>
        <v>0</v>
      </c>
    </row>
    <row r="204" spans="3:26" ht="16" hidden="1" outlineLevel="1" thickTop="1" thickBot="1">
      <c r="C204" s="74">
        <f t="shared" ref="C204:C267" si="47">C203+1</f>
        <v>194</v>
      </c>
      <c r="D204" s="75">
        <f t="shared" ref="D204:D267" si="48">EOMONTH(D203,0)+1</f>
        <v>50437</v>
      </c>
      <c r="E204" s="74">
        <f t="shared" si="44"/>
        <v>65</v>
      </c>
      <c r="F204" s="74" t="str">
        <f t="shared" si="45"/>
        <v>Q1-38</v>
      </c>
      <c r="G204" s="74">
        <f t="shared" ref="G204:G267" si="49">MIN(INT(YEARFRAC(D$11,D216)),30)</f>
        <v>17</v>
      </c>
      <c r="H204" s="74">
        <f t="shared" si="46"/>
        <v>2038</v>
      </c>
      <c r="J204" s="82">
        <f>DATA!L204</f>
        <v>1.3790555882899651</v>
      </c>
      <c r="K204" s="82">
        <f>DATA!M204</f>
        <v>1.162729805396564</v>
      </c>
      <c r="L204" s="82">
        <f>DATA!N204</f>
        <v>1</v>
      </c>
      <c r="M204" s="82">
        <f>DATA!O204</f>
        <v>1</v>
      </c>
      <c r="N204" s="82">
        <f>DATA!P204</f>
        <v>1</v>
      </c>
      <c r="P204" s="330">
        <f t="shared" si="42"/>
        <v>0</v>
      </c>
      <c r="Q204" s="330">
        <f t="shared" si="42"/>
        <v>0</v>
      </c>
      <c r="R204" s="330">
        <f t="shared" si="42"/>
        <v>0</v>
      </c>
      <c r="S204" s="330">
        <f t="shared" si="42"/>
        <v>0</v>
      </c>
      <c r="T204" s="334">
        <f t="shared" ref="T204:T267" si="50">SUM(P204:S204)</f>
        <v>0</v>
      </c>
      <c r="V204" s="330">
        <f t="shared" si="43"/>
        <v>0</v>
      </c>
      <c r="W204" s="330">
        <f t="shared" si="43"/>
        <v>0</v>
      </c>
      <c r="X204" s="330">
        <f t="shared" si="43"/>
        <v>0</v>
      </c>
      <c r="Y204" s="330">
        <f t="shared" si="43"/>
        <v>0</v>
      </c>
      <c r="Z204" s="334">
        <f t="shared" ref="Z204:Z267" si="51">SUM(V204:Y204)</f>
        <v>0</v>
      </c>
    </row>
    <row r="205" spans="3:26" ht="16" hidden="1" outlineLevel="1" thickTop="1" thickBot="1">
      <c r="C205" s="74">
        <f t="shared" si="47"/>
        <v>195</v>
      </c>
      <c r="D205" s="75">
        <f t="shared" si="48"/>
        <v>50465</v>
      </c>
      <c r="E205" s="74">
        <f t="shared" si="44"/>
        <v>65</v>
      </c>
      <c r="F205" s="74" t="str">
        <f t="shared" si="45"/>
        <v>Q1-38</v>
      </c>
      <c r="G205" s="74">
        <f t="shared" si="49"/>
        <v>17</v>
      </c>
      <c r="H205" s="74">
        <f t="shared" si="46"/>
        <v>2038</v>
      </c>
      <c r="J205" s="82">
        <f>DATA!L205</f>
        <v>1.3813540142704483</v>
      </c>
      <c r="K205" s="82">
        <f>DATA!M205</f>
        <v>1.1636987469010611</v>
      </c>
      <c r="L205" s="82">
        <f>DATA!N205</f>
        <v>1</v>
      </c>
      <c r="M205" s="82">
        <f>DATA!O205</f>
        <v>1</v>
      </c>
      <c r="N205" s="82">
        <f>DATA!P205</f>
        <v>1</v>
      </c>
      <c r="P205" s="330">
        <f t="shared" si="42"/>
        <v>0</v>
      </c>
      <c r="Q205" s="330">
        <f t="shared" si="42"/>
        <v>0</v>
      </c>
      <c r="R205" s="330">
        <f t="shared" si="42"/>
        <v>0</v>
      </c>
      <c r="S205" s="330">
        <f t="shared" si="42"/>
        <v>0</v>
      </c>
      <c r="T205" s="334">
        <f t="shared" si="50"/>
        <v>0</v>
      </c>
      <c r="V205" s="330">
        <f t="shared" si="43"/>
        <v>0</v>
      </c>
      <c r="W205" s="330">
        <f t="shared" si="43"/>
        <v>0</v>
      </c>
      <c r="X205" s="330">
        <f t="shared" si="43"/>
        <v>0</v>
      </c>
      <c r="Y205" s="330">
        <f t="shared" si="43"/>
        <v>0</v>
      </c>
      <c r="Z205" s="334">
        <f t="shared" si="51"/>
        <v>0</v>
      </c>
    </row>
    <row r="206" spans="3:26" ht="16" hidden="1" outlineLevel="1" thickTop="1" thickBot="1">
      <c r="C206" s="74">
        <f t="shared" si="47"/>
        <v>196</v>
      </c>
      <c r="D206" s="75">
        <f t="shared" si="48"/>
        <v>50496</v>
      </c>
      <c r="E206" s="74">
        <f t="shared" si="44"/>
        <v>66</v>
      </c>
      <c r="F206" s="74" t="str">
        <f t="shared" si="45"/>
        <v>Q2-38</v>
      </c>
      <c r="G206" s="74">
        <f t="shared" si="49"/>
        <v>17</v>
      </c>
      <c r="H206" s="74">
        <f t="shared" si="46"/>
        <v>2038</v>
      </c>
      <c r="J206" s="82">
        <f>DATA!L206</f>
        <v>1.383656270960899</v>
      </c>
      <c r="K206" s="82">
        <f>DATA!M206</f>
        <v>1.1646684958568119</v>
      </c>
      <c r="L206" s="82">
        <f>DATA!N206</f>
        <v>1</v>
      </c>
      <c r="M206" s="82">
        <f>DATA!O206</f>
        <v>1</v>
      </c>
      <c r="N206" s="82">
        <f>DATA!P206</f>
        <v>1</v>
      </c>
      <c r="P206" s="330">
        <f t="shared" si="42"/>
        <v>0</v>
      </c>
      <c r="Q206" s="330">
        <f t="shared" si="42"/>
        <v>0</v>
      </c>
      <c r="R206" s="330">
        <f t="shared" si="42"/>
        <v>0</v>
      </c>
      <c r="S206" s="330">
        <f t="shared" si="42"/>
        <v>0</v>
      </c>
      <c r="T206" s="334">
        <f t="shared" si="50"/>
        <v>0</v>
      </c>
      <c r="V206" s="330">
        <f t="shared" si="43"/>
        <v>0</v>
      </c>
      <c r="W206" s="330">
        <f t="shared" si="43"/>
        <v>0</v>
      </c>
      <c r="X206" s="330">
        <f t="shared" si="43"/>
        <v>0</v>
      </c>
      <c r="Y206" s="330">
        <f t="shared" si="43"/>
        <v>0</v>
      </c>
      <c r="Z206" s="334">
        <f t="shared" si="51"/>
        <v>0</v>
      </c>
    </row>
    <row r="207" spans="3:26" ht="16" hidden="1" outlineLevel="1" thickTop="1" thickBot="1">
      <c r="C207" s="74">
        <f t="shared" si="47"/>
        <v>197</v>
      </c>
      <c r="D207" s="75">
        <f t="shared" si="48"/>
        <v>50526</v>
      </c>
      <c r="E207" s="74">
        <f t="shared" si="44"/>
        <v>66</v>
      </c>
      <c r="F207" s="74" t="str">
        <f t="shared" si="45"/>
        <v>Q2-38</v>
      </c>
      <c r="G207" s="74">
        <f t="shared" si="49"/>
        <v>17</v>
      </c>
      <c r="H207" s="74">
        <f t="shared" si="46"/>
        <v>2038</v>
      </c>
      <c r="J207" s="82">
        <f>DATA!L207</f>
        <v>1.3859623647458339</v>
      </c>
      <c r="K207" s="82">
        <f>DATA!M207</f>
        <v>1.1656390529366925</v>
      </c>
      <c r="L207" s="82">
        <f>DATA!N207</f>
        <v>1</v>
      </c>
      <c r="M207" s="82">
        <f>DATA!O207</f>
        <v>1</v>
      </c>
      <c r="N207" s="82">
        <f>DATA!P207</f>
        <v>1</v>
      </c>
      <c r="P207" s="330">
        <f t="shared" si="42"/>
        <v>0</v>
      </c>
      <c r="Q207" s="330">
        <f t="shared" si="42"/>
        <v>0</v>
      </c>
      <c r="R207" s="330">
        <f t="shared" si="42"/>
        <v>0</v>
      </c>
      <c r="S207" s="330">
        <f t="shared" si="42"/>
        <v>0</v>
      </c>
      <c r="T207" s="334">
        <f t="shared" si="50"/>
        <v>0</v>
      </c>
      <c r="V207" s="330">
        <f t="shared" si="43"/>
        <v>0</v>
      </c>
      <c r="W207" s="330">
        <f t="shared" si="43"/>
        <v>0</v>
      </c>
      <c r="X207" s="330">
        <f t="shared" si="43"/>
        <v>0</v>
      </c>
      <c r="Y207" s="330">
        <f t="shared" si="43"/>
        <v>0</v>
      </c>
      <c r="Z207" s="334">
        <f t="shared" si="51"/>
        <v>0</v>
      </c>
    </row>
    <row r="208" spans="3:26" ht="16" hidden="1" outlineLevel="1" thickTop="1" thickBot="1">
      <c r="C208" s="74">
        <f t="shared" si="47"/>
        <v>198</v>
      </c>
      <c r="D208" s="75">
        <f t="shared" si="48"/>
        <v>50557</v>
      </c>
      <c r="E208" s="74">
        <f t="shared" si="44"/>
        <v>66</v>
      </c>
      <c r="F208" s="74" t="str">
        <f t="shared" si="45"/>
        <v>Q2-38</v>
      </c>
      <c r="G208" s="74">
        <f t="shared" si="49"/>
        <v>17</v>
      </c>
      <c r="H208" s="74">
        <f t="shared" si="46"/>
        <v>2038</v>
      </c>
      <c r="J208" s="82">
        <f>DATA!L208</f>
        <v>1.3882723020204104</v>
      </c>
      <c r="K208" s="82">
        <f>DATA!M208</f>
        <v>1.1666104188141395</v>
      </c>
      <c r="L208" s="82">
        <f>DATA!N208</f>
        <v>1</v>
      </c>
      <c r="M208" s="82">
        <f>DATA!O208</f>
        <v>1</v>
      </c>
      <c r="N208" s="82">
        <f>DATA!P208</f>
        <v>1</v>
      </c>
      <c r="P208" s="330">
        <f t="shared" si="42"/>
        <v>0</v>
      </c>
      <c r="Q208" s="330">
        <f t="shared" si="42"/>
        <v>0</v>
      </c>
      <c r="R208" s="330">
        <f t="shared" si="42"/>
        <v>0</v>
      </c>
      <c r="S208" s="330">
        <f t="shared" si="42"/>
        <v>0</v>
      </c>
      <c r="T208" s="334">
        <f t="shared" si="50"/>
        <v>0</v>
      </c>
      <c r="V208" s="330">
        <f t="shared" si="43"/>
        <v>0</v>
      </c>
      <c r="W208" s="330">
        <f t="shared" si="43"/>
        <v>0</v>
      </c>
      <c r="X208" s="330">
        <f t="shared" si="43"/>
        <v>0</v>
      </c>
      <c r="Y208" s="330">
        <f t="shared" si="43"/>
        <v>0</v>
      </c>
      <c r="Z208" s="334">
        <f t="shared" si="51"/>
        <v>0</v>
      </c>
    </row>
    <row r="209" spans="3:26" ht="16" hidden="1" outlineLevel="1" thickTop="1" thickBot="1">
      <c r="C209" s="74">
        <f t="shared" si="47"/>
        <v>199</v>
      </c>
      <c r="D209" s="75">
        <f t="shared" si="48"/>
        <v>50587</v>
      </c>
      <c r="E209" s="74">
        <f t="shared" si="44"/>
        <v>67</v>
      </c>
      <c r="F209" s="74" t="str">
        <f t="shared" si="45"/>
        <v>Q2-38</v>
      </c>
      <c r="G209" s="74">
        <f t="shared" si="49"/>
        <v>17</v>
      </c>
      <c r="H209" s="74">
        <f t="shared" si="46"/>
        <v>2038</v>
      </c>
      <c r="J209" s="82">
        <f>DATA!L209</f>
        <v>1.3905860891904445</v>
      </c>
      <c r="K209" s="82">
        <f>DATA!M209</f>
        <v>1.1675825941631512</v>
      </c>
      <c r="L209" s="82">
        <f>DATA!N209</f>
        <v>1</v>
      </c>
      <c r="M209" s="82">
        <f>DATA!O209</f>
        <v>1</v>
      </c>
      <c r="N209" s="82">
        <f>DATA!P209</f>
        <v>1</v>
      </c>
      <c r="P209" s="330">
        <f t="shared" si="42"/>
        <v>0</v>
      </c>
      <c r="Q209" s="330">
        <f t="shared" si="42"/>
        <v>0</v>
      </c>
      <c r="R209" s="330">
        <f t="shared" si="42"/>
        <v>0</v>
      </c>
      <c r="S209" s="330">
        <f t="shared" si="42"/>
        <v>0</v>
      </c>
      <c r="T209" s="334">
        <f t="shared" si="50"/>
        <v>0</v>
      </c>
      <c r="V209" s="330">
        <f t="shared" si="43"/>
        <v>0</v>
      </c>
      <c r="W209" s="330">
        <f t="shared" si="43"/>
        <v>0</v>
      </c>
      <c r="X209" s="330">
        <f t="shared" si="43"/>
        <v>0</v>
      </c>
      <c r="Y209" s="330">
        <f t="shared" si="43"/>
        <v>0</v>
      </c>
      <c r="Z209" s="334">
        <f t="shared" si="51"/>
        <v>0</v>
      </c>
    </row>
    <row r="210" spans="3:26" ht="16" hidden="1" outlineLevel="1" thickTop="1" thickBot="1">
      <c r="C210" s="74">
        <f t="shared" si="47"/>
        <v>200</v>
      </c>
      <c r="D210" s="75">
        <f t="shared" si="48"/>
        <v>50618</v>
      </c>
      <c r="E210" s="74">
        <f t="shared" si="44"/>
        <v>67</v>
      </c>
      <c r="F210" s="74" t="str">
        <f t="shared" si="45"/>
        <v>Q3-38</v>
      </c>
      <c r="G210" s="74">
        <f t="shared" si="49"/>
        <v>17</v>
      </c>
      <c r="H210" s="74">
        <f t="shared" si="46"/>
        <v>2038</v>
      </c>
      <c r="J210" s="82">
        <f>DATA!L210</f>
        <v>1.3929037326724285</v>
      </c>
      <c r="K210" s="82">
        <f>DATA!M210</f>
        <v>1.1685555796582872</v>
      </c>
      <c r="L210" s="82">
        <f>DATA!N210</f>
        <v>1</v>
      </c>
      <c r="M210" s="82">
        <f>DATA!O210</f>
        <v>1</v>
      </c>
      <c r="N210" s="82">
        <f>DATA!P210</f>
        <v>1</v>
      </c>
      <c r="P210" s="330">
        <f t="shared" si="42"/>
        <v>0</v>
      </c>
      <c r="Q210" s="330">
        <f t="shared" si="42"/>
        <v>0</v>
      </c>
      <c r="R210" s="330">
        <f t="shared" si="42"/>
        <v>0</v>
      </c>
      <c r="S210" s="330">
        <f t="shared" si="42"/>
        <v>0</v>
      </c>
      <c r="T210" s="334">
        <f t="shared" si="50"/>
        <v>0</v>
      </c>
      <c r="V210" s="330">
        <f t="shared" si="43"/>
        <v>0</v>
      </c>
      <c r="W210" s="330">
        <f t="shared" si="43"/>
        <v>0</v>
      </c>
      <c r="X210" s="330">
        <f t="shared" si="43"/>
        <v>0</v>
      </c>
      <c r="Y210" s="330">
        <f t="shared" si="43"/>
        <v>0</v>
      </c>
      <c r="Z210" s="334">
        <f t="shared" si="51"/>
        <v>0</v>
      </c>
    </row>
    <row r="211" spans="3:26" ht="16" hidden="1" outlineLevel="1" thickTop="1" thickBot="1">
      <c r="C211" s="74">
        <f t="shared" si="47"/>
        <v>201</v>
      </c>
      <c r="D211" s="75">
        <f t="shared" si="48"/>
        <v>50649</v>
      </c>
      <c r="E211" s="74">
        <f t="shared" si="44"/>
        <v>67</v>
      </c>
      <c r="F211" s="74" t="str">
        <f t="shared" si="45"/>
        <v>Q3-38</v>
      </c>
      <c r="G211" s="74">
        <f t="shared" si="49"/>
        <v>17</v>
      </c>
      <c r="H211" s="74">
        <f t="shared" si="46"/>
        <v>2038</v>
      </c>
      <c r="J211" s="82">
        <f>DATA!L211</f>
        <v>1.3952252388935493</v>
      </c>
      <c r="K211" s="82">
        <f>DATA!M211</f>
        <v>1.169529375974669</v>
      </c>
      <c r="L211" s="82">
        <f>DATA!N211</f>
        <v>1</v>
      </c>
      <c r="M211" s="82">
        <f>DATA!O211</f>
        <v>1</v>
      </c>
      <c r="N211" s="82">
        <f>DATA!P211</f>
        <v>1</v>
      </c>
      <c r="P211" s="330">
        <f t="shared" ref="P211:S230" si="52">IF(AND($C211&gt;=P$6,$C211&lt;=P$6+P$7-1),P$9/P$7*$K211,0)</f>
        <v>0</v>
      </c>
      <c r="Q211" s="330">
        <f t="shared" si="52"/>
        <v>0</v>
      </c>
      <c r="R211" s="330">
        <f t="shared" si="52"/>
        <v>0</v>
      </c>
      <c r="S211" s="330">
        <f t="shared" si="52"/>
        <v>0</v>
      </c>
      <c r="T211" s="334">
        <f t="shared" si="50"/>
        <v>0</v>
      </c>
      <c r="V211" s="330">
        <f t="shared" ref="V211:Y230" si="53">IF(AND($C211&gt;=V$6,$C211&lt;=V$6+V$7-1),V$9/V$7*$K211,0)</f>
        <v>0</v>
      </c>
      <c r="W211" s="330">
        <f t="shared" si="53"/>
        <v>0</v>
      </c>
      <c r="X211" s="330">
        <f t="shared" si="53"/>
        <v>0</v>
      </c>
      <c r="Y211" s="330">
        <f t="shared" si="53"/>
        <v>0</v>
      </c>
      <c r="Z211" s="334">
        <f t="shared" si="51"/>
        <v>0</v>
      </c>
    </row>
    <row r="212" spans="3:26" ht="16" hidden="1" outlineLevel="1" thickTop="1" thickBot="1">
      <c r="C212" s="74">
        <f t="shared" si="47"/>
        <v>202</v>
      </c>
      <c r="D212" s="75">
        <f t="shared" si="48"/>
        <v>50679</v>
      </c>
      <c r="E212" s="74">
        <f t="shared" si="44"/>
        <v>68</v>
      </c>
      <c r="F212" s="74" t="str">
        <f t="shared" si="45"/>
        <v>Q3-38</v>
      </c>
      <c r="G212" s="74">
        <f t="shared" si="49"/>
        <v>17</v>
      </c>
      <c r="H212" s="74">
        <f t="shared" si="46"/>
        <v>2038</v>
      </c>
      <c r="J212" s="82">
        <f>DATA!L212</f>
        <v>1.3975506142917054</v>
      </c>
      <c r="K212" s="82">
        <f>DATA!M212</f>
        <v>1.1705039837879812</v>
      </c>
      <c r="L212" s="82">
        <f>DATA!N212</f>
        <v>1</v>
      </c>
      <c r="M212" s="82">
        <f>DATA!O212</f>
        <v>1</v>
      </c>
      <c r="N212" s="82">
        <f>DATA!P212</f>
        <v>1</v>
      </c>
      <c r="P212" s="330">
        <f t="shared" si="52"/>
        <v>0</v>
      </c>
      <c r="Q212" s="330">
        <f t="shared" si="52"/>
        <v>0</v>
      </c>
      <c r="R212" s="330">
        <f t="shared" si="52"/>
        <v>0</v>
      </c>
      <c r="S212" s="330">
        <f t="shared" si="52"/>
        <v>0</v>
      </c>
      <c r="T212" s="334">
        <f t="shared" si="50"/>
        <v>0</v>
      </c>
      <c r="V212" s="330">
        <f t="shared" si="53"/>
        <v>0</v>
      </c>
      <c r="W212" s="330">
        <f t="shared" si="53"/>
        <v>0</v>
      </c>
      <c r="X212" s="330">
        <f t="shared" si="53"/>
        <v>0</v>
      </c>
      <c r="Y212" s="330">
        <f t="shared" si="53"/>
        <v>0</v>
      </c>
      <c r="Z212" s="334">
        <f t="shared" si="51"/>
        <v>0</v>
      </c>
    </row>
    <row r="213" spans="3:26" ht="16" hidden="1" outlineLevel="1" thickTop="1" thickBot="1">
      <c r="C213" s="74">
        <f t="shared" si="47"/>
        <v>203</v>
      </c>
      <c r="D213" s="75">
        <f t="shared" si="48"/>
        <v>50710</v>
      </c>
      <c r="E213" s="74">
        <f t="shared" si="44"/>
        <v>68</v>
      </c>
      <c r="F213" s="74" t="str">
        <f t="shared" si="45"/>
        <v>Q3-38</v>
      </c>
      <c r="G213" s="74">
        <f t="shared" si="49"/>
        <v>17</v>
      </c>
      <c r="H213" s="74">
        <f t="shared" si="46"/>
        <v>2038</v>
      </c>
      <c r="J213" s="82">
        <f>DATA!L213</f>
        <v>1.3998798653155249</v>
      </c>
      <c r="K213" s="82">
        <f>DATA!M213</f>
        <v>1.1714794037744711</v>
      </c>
      <c r="L213" s="82">
        <f>DATA!N213</f>
        <v>1</v>
      </c>
      <c r="M213" s="82">
        <f>DATA!O213</f>
        <v>1</v>
      </c>
      <c r="N213" s="82">
        <f>DATA!P213</f>
        <v>1</v>
      </c>
      <c r="P213" s="330">
        <f t="shared" si="52"/>
        <v>0</v>
      </c>
      <c r="Q213" s="330">
        <f t="shared" si="52"/>
        <v>0</v>
      </c>
      <c r="R213" s="330">
        <f t="shared" si="52"/>
        <v>0</v>
      </c>
      <c r="S213" s="330">
        <f t="shared" si="52"/>
        <v>0</v>
      </c>
      <c r="T213" s="334">
        <f t="shared" si="50"/>
        <v>0</v>
      </c>
      <c r="V213" s="330">
        <f t="shared" si="53"/>
        <v>0</v>
      </c>
      <c r="W213" s="330">
        <f t="shared" si="53"/>
        <v>0</v>
      </c>
      <c r="X213" s="330">
        <f t="shared" si="53"/>
        <v>0</v>
      </c>
      <c r="Y213" s="330">
        <f t="shared" si="53"/>
        <v>0</v>
      </c>
      <c r="Z213" s="334">
        <f t="shared" si="51"/>
        <v>0</v>
      </c>
    </row>
    <row r="214" spans="3:26" ht="16" hidden="1" outlineLevel="1" thickTop="1" thickBot="1">
      <c r="C214" s="74">
        <f t="shared" si="47"/>
        <v>204</v>
      </c>
      <c r="D214" s="75">
        <f t="shared" si="48"/>
        <v>50740</v>
      </c>
      <c r="E214" s="74">
        <f t="shared" si="44"/>
        <v>68</v>
      </c>
      <c r="F214" s="74" t="str">
        <f t="shared" si="45"/>
        <v>Q4-38</v>
      </c>
      <c r="G214" s="74">
        <f t="shared" si="49"/>
        <v>17</v>
      </c>
      <c r="H214" s="74">
        <f t="shared" si="46"/>
        <v>2038</v>
      </c>
      <c r="J214" s="82">
        <f>DATA!L214</f>
        <v>1.4022129984243841</v>
      </c>
      <c r="K214" s="82">
        <f>DATA!M214</f>
        <v>1.1724556366109498</v>
      </c>
      <c r="L214" s="82">
        <f>DATA!N214</f>
        <v>1</v>
      </c>
      <c r="M214" s="82">
        <f>DATA!O214</f>
        <v>1</v>
      </c>
      <c r="N214" s="82">
        <f>DATA!P214</f>
        <v>1</v>
      </c>
      <c r="P214" s="330">
        <f t="shared" si="52"/>
        <v>0</v>
      </c>
      <c r="Q214" s="330">
        <f t="shared" si="52"/>
        <v>0</v>
      </c>
      <c r="R214" s="330">
        <f t="shared" si="52"/>
        <v>0</v>
      </c>
      <c r="S214" s="330">
        <f t="shared" si="52"/>
        <v>0</v>
      </c>
      <c r="T214" s="334">
        <f t="shared" si="50"/>
        <v>0</v>
      </c>
      <c r="V214" s="330">
        <f t="shared" si="53"/>
        <v>0</v>
      </c>
      <c r="W214" s="330">
        <f t="shared" si="53"/>
        <v>0</v>
      </c>
      <c r="X214" s="330">
        <f t="shared" si="53"/>
        <v>0</v>
      </c>
      <c r="Y214" s="330">
        <f t="shared" si="53"/>
        <v>0</v>
      </c>
      <c r="Z214" s="334">
        <f t="shared" si="51"/>
        <v>0</v>
      </c>
    </row>
    <row r="215" spans="3:26" ht="16" hidden="1" outlineLevel="1" thickTop="1" thickBot="1">
      <c r="C215" s="74">
        <f t="shared" si="47"/>
        <v>205</v>
      </c>
      <c r="D215" s="75">
        <f t="shared" si="48"/>
        <v>50771</v>
      </c>
      <c r="E215" s="74">
        <f t="shared" si="44"/>
        <v>69</v>
      </c>
      <c r="F215" s="74" t="str">
        <f t="shared" si="45"/>
        <v>Q1-39</v>
      </c>
      <c r="G215" s="74">
        <f t="shared" si="49"/>
        <v>18</v>
      </c>
      <c r="H215" s="74">
        <f t="shared" si="46"/>
        <v>2039</v>
      </c>
      <c r="J215" s="82">
        <f>DATA!L215</f>
        <v>1.4045500200884247</v>
      </c>
      <c r="K215" s="82">
        <f>DATA!M215</f>
        <v>1.1734326829747921</v>
      </c>
      <c r="L215" s="82">
        <f>DATA!N215</f>
        <v>1</v>
      </c>
      <c r="M215" s="82">
        <f>DATA!O215</f>
        <v>1</v>
      </c>
      <c r="N215" s="82">
        <f>DATA!P215</f>
        <v>1</v>
      </c>
      <c r="P215" s="330">
        <f t="shared" si="52"/>
        <v>0</v>
      </c>
      <c r="Q215" s="330">
        <f t="shared" si="52"/>
        <v>0</v>
      </c>
      <c r="R215" s="330">
        <f t="shared" si="52"/>
        <v>0</v>
      </c>
      <c r="S215" s="330">
        <f t="shared" si="52"/>
        <v>0</v>
      </c>
      <c r="T215" s="334">
        <f t="shared" si="50"/>
        <v>0</v>
      </c>
      <c r="V215" s="330">
        <f t="shared" si="53"/>
        <v>0</v>
      </c>
      <c r="W215" s="330">
        <f t="shared" si="53"/>
        <v>0</v>
      </c>
      <c r="X215" s="330">
        <f t="shared" si="53"/>
        <v>0</v>
      </c>
      <c r="Y215" s="330">
        <f t="shared" si="53"/>
        <v>0</v>
      </c>
      <c r="Z215" s="334">
        <f t="shared" si="51"/>
        <v>0</v>
      </c>
    </row>
    <row r="216" spans="3:26" ht="16" hidden="1" outlineLevel="1" thickTop="1" thickBot="1">
      <c r="C216" s="74">
        <f t="shared" si="47"/>
        <v>206</v>
      </c>
      <c r="D216" s="75">
        <f t="shared" si="48"/>
        <v>50802</v>
      </c>
      <c r="E216" s="74">
        <f t="shared" si="44"/>
        <v>69</v>
      </c>
      <c r="F216" s="74" t="str">
        <f t="shared" si="45"/>
        <v>Q1-39</v>
      </c>
      <c r="G216" s="74">
        <f t="shared" si="49"/>
        <v>18</v>
      </c>
      <c r="H216" s="74">
        <f t="shared" si="46"/>
        <v>2039</v>
      </c>
      <c r="J216" s="82">
        <f>DATA!L216</f>
        <v>1.406890936788572</v>
      </c>
      <c r="K216" s="82">
        <f>DATA!M216</f>
        <v>1.1744105435439376</v>
      </c>
      <c r="L216" s="82">
        <f>DATA!N216</f>
        <v>1</v>
      </c>
      <c r="M216" s="82">
        <f>DATA!O216</f>
        <v>1</v>
      </c>
      <c r="N216" s="82">
        <f>DATA!P216</f>
        <v>1</v>
      </c>
      <c r="P216" s="330">
        <f t="shared" si="52"/>
        <v>0</v>
      </c>
      <c r="Q216" s="330">
        <f t="shared" si="52"/>
        <v>0</v>
      </c>
      <c r="R216" s="330">
        <f t="shared" si="52"/>
        <v>0</v>
      </c>
      <c r="S216" s="330">
        <f t="shared" si="52"/>
        <v>0</v>
      </c>
      <c r="T216" s="334">
        <f t="shared" si="50"/>
        <v>0</v>
      </c>
      <c r="V216" s="330">
        <f t="shared" si="53"/>
        <v>0</v>
      </c>
      <c r="W216" s="330">
        <f t="shared" si="53"/>
        <v>0</v>
      </c>
      <c r="X216" s="330">
        <f t="shared" si="53"/>
        <v>0</v>
      </c>
      <c r="Y216" s="330">
        <f t="shared" si="53"/>
        <v>0</v>
      </c>
      <c r="Z216" s="334">
        <f t="shared" si="51"/>
        <v>0</v>
      </c>
    </row>
    <row r="217" spans="3:26" ht="16" hidden="1" outlineLevel="1" thickTop="1" thickBot="1">
      <c r="C217" s="74">
        <f t="shared" si="47"/>
        <v>207</v>
      </c>
      <c r="D217" s="75">
        <f t="shared" si="48"/>
        <v>50830</v>
      </c>
      <c r="E217" s="74">
        <f t="shared" si="44"/>
        <v>69</v>
      </c>
      <c r="F217" s="74" t="str">
        <f t="shared" si="45"/>
        <v>Q1-39</v>
      </c>
      <c r="G217" s="74">
        <f t="shared" si="49"/>
        <v>18</v>
      </c>
      <c r="H217" s="74">
        <f t="shared" si="46"/>
        <v>2039</v>
      </c>
      <c r="J217" s="82">
        <f>DATA!L217</f>
        <v>1.4092357550165531</v>
      </c>
      <c r="K217" s="82">
        <f>DATA!M217</f>
        <v>1.1753892189968909</v>
      </c>
      <c r="L217" s="82">
        <f>DATA!N217</f>
        <v>1</v>
      </c>
      <c r="M217" s="82">
        <f>DATA!O217</f>
        <v>1</v>
      </c>
      <c r="N217" s="82">
        <f>DATA!P217</f>
        <v>1</v>
      </c>
      <c r="P217" s="330">
        <f t="shared" si="52"/>
        <v>0</v>
      </c>
      <c r="Q217" s="330">
        <f t="shared" si="52"/>
        <v>0</v>
      </c>
      <c r="R217" s="330">
        <f t="shared" si="52"/>
        <v>0</v>
      </c>
      <c r="S217" s="330">
        <f t="shared" si="52"/>
        <v>0</v>
      </c>
      <c r="T217" s="334">
        <f t="shared" si="50"/>
        <v>0</v>
      </c>
      <c r="V217" s="330">
        <f t="shared" si="53"/>
        <v>0</v>
      </c>
      <c r="W217" s="330">
        <f t="shared" si="53"/>
        <v>0</v>
      </c>
      <c r="X217" s="330">
        <f t="shared" si="53"/>
        <v>0</v>
      </c>
      <c r="Y217" s="330">
        <f t="shared" si="53"/>
        <v>0</v>
      </c>
      <c r="Z217" s="334">
        <f t="shared" si="51"/>
        <v>0</v>
      </c>
    </row>
    <row r="218" spans="3:26" ht="16" hidden="1" outlineLevel="1" thickTop="1" thickBot="1">
      <c r="C218" s="74">
        <f t="shared" si="47"/>
        <v>208</v>
      </c>
      <c r="D218" s="75">
        <f t="shared" si="48"/>
        <v>50861</v>
      </c>
      <c r="E218" s="74">
        <f t="shared" si="44"/>
        <v>70</v>
      </c>
      <c r="F218" s="74" t="str">
        <f t="shared" si="45"/>
        <v>Q2-39</v>
      </c>
      <c r="G218" s="74">
        <f t="shared" si="49"/>
        <v>18</v>
      </c>
      <c r="H218" s="74">
        <f t="shared" si="46"/>
        <v>2039</v>
      </c>
      <c r="J218" s="82">
        <f>DATA!L218</f>
        <v>1.4115844812749141</v>
      </c>
      <c r="K218" s="82">
        <f>DATA!M218</f>
        <v>1.1763687100127216</v>
      </c>
      <c r="L218" s="82">
        <f>DATA!N218</f>
        <v>1</v>
      </c>
      <c r="M218" s="82">
        <f>DATA!O218</f>
        <v>1</v>
      </c>
      <c r="N218" s="82">
        <f>DATA!P218</f>
        <v>1</v>
      </c>
      <c r="P218" s="330">
        <f t="shared" si="52"/>
        <v>0</v>
      </c>
      <c r="Q218" s="330">
        <f t="shared" si="52"/>
        <v>0</v>
      </c>
      <c r="R218" s="330">
        <f t="shared" si="52"/>
        <v>0</v>
      </c>
      <c r="S218" s="330">
        <f t="shared" si="52"/>
        <v>0</v>
      </c>
      <c r="T218" s="334">
        <f t="shared" si="50"/>
        <v>0</v>
      </c>
      <c r="V218" s="330">
        <f t="shared" si="53"/>
        <v>0</v>
      </c>
      <c r="W218" s="330">
        <f t="shared" si="53"/>
        <v>0</v>
      </c>
      <c r="X218" s="330">
        <f t="shared" si="53"/>
        <v>0</v>
      </c>
      <c r="Y218" s="330">
        <f t="shared" si="53"/>
        <v>0</v>
      </c>
      <c r="Z218" s="334">
        <f t="shared" si="51"/>
        <v>0</v>
      </c>
    </row>
    <row r="219" spans="3:26" ht="16" hidden="1" outlineLevel="1" thickTop="1" thickBot="1">
      <c r="C219" s="74">
        <f t="shared" si="47"/>
        <v>209</v>
      </c>
      <c r="D219" s="75">
        <f t="shared" si="48"/>
        <v>50891</v>
      </c>
      <c r="E219" s="74">
        <f t="shared" si="44"/>
        <v>70</v>
      </c>
      <c r="F219" s="74" t="str">
        <f t="shared" si="45"/>
        <v>Q2-39</v>
      </c>
      <c r="G219" s="74">
        <f t="shared" si="49"/>
        <v>18</v>
      </c>
      <c r="H219" s="74">
        <f t="shared" si="46"/>
        <v>2039</v>
      </c>
      <c r="J219" s="82">
        <f>DATA!L219</f>
        <v>1.4139371220770389</v>
      </c>
      <c r="K219" s="82">
        <f>DATA!M219</f>
        <v>1.1773490172710654</v>
      </c>
      <c r="L219" s="82">
        <f>DATA!N219</f>
        <v>1</v>
      </c>
      <c r="M219" s="82">
        <f>DATA!O219</f>
        <v>1</v>
      </c>
      <c r="N219" s="82">
        <f>DATA!P219</f>
        <v>1</v>
      </c>
      <c r="P219" s="330">
        <f t="shared" si="52"/>
        <v>0</v>
      </c>
      <c r="Q219" s="330">
        <f t="shared" si="52"/>
        <v>0</v>
      </c>
      <c r="R219" s="330">
        <f t="shared" si="52"/>
        <v>0</v>
      </c>
      <c r="S219" s="330">
        <f t="shared" si="52"/>
        <v>0</v>
      </c>
      <c r="T219" s="334">
        <f t="shared" si="50"/>
        <v>0</v>
      </c>
      <c r="V219" s="330">
        <f t="shared" si="53"/>
        <v>0</v>
      </c>
      <c r="W219" s="330">
        <f t="shared" si="53"/>
        <v>0</v>
      </c>
      <c r="X219" s="330">
        <f t="shared" si="53"/>
        <v>0</v>
      </c>
      <c r="Y219" s="330">
        <f t="shared" si="53"/>
        <v>0</v>
      </c>
      <c r="Z219" s="334">
        <f t="shared" si="51"/>
        <v>0</v>
      </c>
    </row>
    <row r="220" spans="3:26" ht="16" hidden="1" outlineLevel="1" thickTop="1" thickBot="1">
      <c r="C220" s="74">
        <f t="shared" si="47"/>
        <v>210</v>
      </c>
      <c r="D220" s="75">
        <f t="shared" si="48"/>
        <v>50922</v>
      </c>
      <c r="E220" s="74">
        <f t="shared" si="44"/>
        <v>70</v>
      </c>
      <c r="F220" s="74" t="str">
        <f t="shared" si="45"/>
        <v>Q2-39</v>
      </c>
      <c r="G220" s="74">
        <f t="shared" si="49"/>
        <v>18</v>
      </c>
      <c r="H220" s="74">
        <f t="shared" si="46"/>
        <v>2039</v>
      </c>
      <c r="J220" s="82">
        <f>DATA!L220</f>
        <v>1.4162936839471674</v>
      </c>
      <c r="K220" s="82">
        <f>DATA!M220</f>
        <v>1.1783301414521246</v>
      </c>
      <c r="L220" s="82">
        <f>DATA!N220</f>
        <v>1</v>
      </c>
      <c r="M220" s="82">
        <f>DATA!O220</f>
        <v>1</v>
      </c>
      <c r="N220" s="82">
        <f>DATA!P220</f>
        <v>1</v>
      </c>
      <c r="P220" s="330">
        <f t="shared" si="52"/>
        <v>0</v>
      </c>
      <c r="Q220" s="330">
        <f t="shared" si="52"/>
        <v>0</v>
      </c>
      <c r="R220" s="330">
        <f t="shared" si="52"/>
        <v>0</v>
      </c>
      <c r="S220" s="330">
        <f t="shared" si="52"/>
        <v>0</v>
      </c>
      <c r="T220" s="334">
        <f t="shared" si="50"/>
        <v>0</v>
      </c>
      <c r="V220" s="330">
        <f t="shared" si="53"/>
        <v>0</v>
      </c>
      <c r="W220" s="330">
        <f t="shared" si="53"/>
        <v>0</v>
      </c>
      <c r="X220" s="330">
        <f t="shared" si="53"/>
        <v>0</v>
      </c>
      <c r="Y220" s="330">
        <f t="shared" si="53"/>
        <v>0</v>
      </c>
      <c r="Z220" s="334">
        <f t="shared" si="51"/>
        <v>0</v>
      </c>
    </row>
    <row r="221" spans="3:26" ht="16" hidden="1" outlineLevel="1" thickTop="1" thickBot="1">
      <c r="C221" s="74">
        <f t="shared" si="47"/>
        <v>211</v>
      </c>
      <c r="D221" s="75">
        <f t="shared" si="48"/>
        <v>50952</v>
      </c>
      <c r="E221" s="74">
        <f t="shared" si="44"/>
        <v>71</v>
      </c>
      <c r="F221" s="74" t="str">
        <f t="shared" si="45"/>
        <v>Q2-39</v>
      </c>
      <c r="G221" s="74">
        <f t="shared" si="49"/>
        <v>18</v>
      </c>
      <c r="H221" s="74">
        <f t="shared" si="46"/>
        <v>2039</v>
      </c>
      <c r="J221" s="82">
        <f>DATA!L221</f>
        <v>1.4186541734204128</v>
      </c>
      <c r="K221" s="82">
        <f>DATA!M221</f>
        <v>1.1793120832366679</v>
      </c>
      <c r="L221" s="82">
        <f>DATA!N221</f>
        <v>1</v>
      </c>
      <c r="M221" s="82">
        <f>DATA!O221</f>
        <v>1</v>
      </c>
      <c r="N221" s="82">
        <f>DATA!P221</f>
        <v>1</v>
      </c>
      <c r="P221" s="330">
        <f t="shared" si="52"/>
        <v>0</v>
      </c>
      <c r="Q221" s="330">
        <f t="shared" si="52"/>
        <v>0</v>
      </c>
      <c r="R221" s="330">
        <f t="shared" si="52"/>
        <v>0</v>
      </c>
      <c r="S221" s="330">
        <f t="shared" si="52"/>
        <v>0</v>
      </c>
      <c r="T221" s="334">
        <f t="shared" si="50"/>
        <v>0</v>
      </c>
      <c r="V221" s="330">
        <f t="shared" si="53"/>
        <v>0</v>
      </c>
      <c r="W221" s="330">
        <f t="shared" si="53"/>
        <v>0</v>
      </c>
      <c r="X221" s="330">
        <f t="shared" si="53"/>
        <v>0</v>
      </c>
      <c r="Y221" s="330">
        <f t="shared" si="53"/>
        <v>0</v>
      </c>
      <c r="Z221" s="334">
        <f t="shared" si="51"/>
        <v>0</v>
      </c>
    </row>
    <row r="222" spans="3:26" ht="16" hidden="1" outlineLevel="1" thickTop="1" thickBot="1">
      <c r="C222" s="74">
        <f t="shared" si="47"/>
        <v>212</v>
      </c>
      <c r="D222" s="75">
        <f t="shared" si="48"/>
        <v>50983</v>
      </c>
      <c r="E222" s="74">
        <f t="shared" si="44"/>
        <v>71</v>
      </c>
      <c r="F222" s="74" t="str">
        <f t="shared" si="45"/>
        <v>Q3-39</v>
      </c>
      <c r="G222" s="74">
        <f t="shared" si="49"/>
        <v>18</v>
      </c>
      <c r="H222" s="74">
        <f t="shared" si="46"/>
        <v>2039</v>
      </c>
      <c r="J222" s="82">
        <f>DATA!L222</f>
        <v>1.4210185970427802</v>
      </c>
      <c r="K222" s="82">
        <f>DATA!M222</f>
        <v>1.1802948433060316</v>
      </c>
      <c r="L222" s="82">
        <f>DATA!N222</f>
        <v>1</v>
      </c>
      <c r="M222" s="82">
        <f>DATA!O222</f>
        <v>1</v>
      </c>
      <c r="N222" s="82">
        <f>DATA!P222</f>
        <v>1</v>
      </c>
      <c r="P222" s="330">
        <f t="shared" si="52"/>
        <v>0</v>
      </c>
      <c r="Q222" s="330">
        <f t="shared" si="52"/>
        <v>0</v>
      </c>
      <c r="R222" s="330">
        <f t="shared" si="52"/>
        <v>0</v>
      </c>
      <c r="S222" s="330">
        <f t="shared" si="52"/>
        <v>0</v>
      </c>
      <c r="T222" s="334">
        <f t="shared" si="50"/>
        <v>0</v>
      </c>
      <c r="V222" s="330">
        <f t="shared" si="53"/>
        <v>0</v>
      </c>
      <c r="W222" s="330">
        <f t="shared" si="53"/>
        <v>0</v>
      </c>
      <c r="X222" s="330">
        <f t="shared" si="53"/>
        <v>0</v>
      </c>
      <c r="Y222" s="330">
        <f t="shared" si="53"/>
        <v>0</v>
      </c>
      <c r="Z222" s="334">
        <f t="shared" si="51"/>
        <v>0</v>
      </c>
    </row>
    <row r="223" spans="3:26" ht="16" hidden="1" outlineLevel="1" thickTop="1" thickBot="1">
      <c r="C223" s="74">
        <f t="shared" si="47"/>
        <v>213</v>
      </c>
      <c r="D223" s="75">
        <f t="shared" si="48"/>
        <v>51014</v>
      </c>
      <c r="E223" s="74">
        <f t="shared" si="44"/>
        <v>71</v>
      </c>
      <c r="F223" s="74" t="str">
        <f t="shared" si="45"/>
        <v>Q3-39</v>
      </c>
      <c r="G223" s="74">
        <f t="shared" si="49"/>
        <v>18</v>
      </c>
      <c r="H223" s="74">
        <f t="shared" si="46"/>
        <v>2039</v>
      </c>
      <c r="J223" s="82">
        <f>DATA!L223</f>
        <v>1.4233869613711849</v>
      </c>
      <c r="K223" s="82">
        <f>DATA!M223</f>
        <v>1.1812784223421198</v>
      </c>
      <c r="L223" s="82">
        <f>DATA!N223</f>
        <v>1</v>
      </c>
      <c r="M223" s="82">
        <f>DATA!O223</f>
        <v>1</v>
      </c>
      <c r="N223" s="82">
        <f>DATA!P223</f>
        <v>1</v>
      </c>
      <c r="P223" s="330">
        <f t="shared" si="52"/>
        <v>0</v>
      </c>
      <c r="Q223" s="330">
        <f t="shared" si="52"/>
        <v>0</v>
      </c>
      <c r="R223" s="330">
        <f t="shared" si="52"/>
        <v>0</v>
      </c>
      <c r="S223" s="330">
        <f t="shared" si="52"/>
        <v>0</v>
      </c>
      <c r="T223" s="334">
        <f t="shared" si="50"/>
        <v>0</v>
      </c>
      <c r="V223" s="330">
        <f t="shared" si="53"/>
        <v>0</v>
      </c>
      <c r="W223" s="330">
        <f t="shared" si="53"/>
        <v>0</v>
      </c>
      <c r="X223" s="330">
        <f t="shared" si="53"/>
        <v>0</v>
      </c>
      <c r="Y223" s="330">
        <f t="shared" si="53"/>
        <v>0</v>
      </c>
      <c r="Z223" s="334">
        <f t="shared" si="51"/>
        <v>0</v>
      </c>
    </row>
    <row r="224" spans="3:26" ht="16" hidden="1" outlineLevel="1" thickTop="1" thickBot="1">
      <c r="C224" s="74">
        <f t="shared" si="47"/>
        <v>214</v>
      </c>
      <c r="D224" s="75">
        <f t="shared" si="48"/>
        <v>51044</v>
      </c>
      <c r="E224" s="74">
        <f t="shared" si="44"/>
        <v>72</v>
      </c>
      <c r="F224" s="74" t="str">
        <f t="shared" si="45"/>
        <v>Q3-39</v>
      </c>
      <c r="G224" s="74">
        <f t="shared" si="49"/>
        <v>18</v>
      </c>
      <c r="H224" s="74">
        <f t="shared" si="46"/>
        <v>2039</v>
      </c>
      <c r="J224" s="82">
        <f>DATA!L224</f>
        <v>1.4257592729734703</v>
      </c>
      <c r="K224" s="82">
        <f>DATA!M224</f>
        <v>1.1822628210274047</v>
      </c>
      <c r="L224" s="82">
        <f>DATA!N224</f>
        <v>1</v>
      </c>
      <c r="M224" s="82">
        <f>DATA!O224</f>
        <v>1</v>
      </c>
      <c r="N224" s="82">
        <f>DATA!P224</f>
        <v>1</v>
      </c>
      <c r="P224" s="330">
        <f t="shared" si="52"/>
        <v>0</v>
      </c>
      <c r="Q224" s="330">
        <f t="shared" si="52"/>
        <v>0</v>
      </c>
      <c r="R224" s="330">
        <f t="shared" si="52"/>
        <v>0</v>
      </c>
      <c r="S224" s="330">
        <f t="shared" si="52"/>
        <v>0</v>
      </c>
      <c r="T224" s="334">
        <f t="shared" si="50"/>
        <v>0</v>
      </c>
      <c r="V224" s="330">
        <f t="shared" si="53"/>
        <v>0</v>
      </c>
      <c r="W224" s="330">
        <f t="shared" si="53"/>
        <v>0</v>
      </c>
      <c r="X224" s="330">
        <f t="shared" si="53"/>
        <v>0</v>
      </c>
      <c r="Y224" s="330">
        <f t="shared" si="53"/>
        <v>0</v>
      </c>
      <c r="Z224" s="334">
        <f t="shared" si="51"/>
        <v>0</v>
      </c>
    </row>
    <row r="225" spans="3:26" ht="16" hidden="1" outlineLevel="1" thickTop="1" thickBot="1">
      <c r="C225" s="74">
        <f t="shared" si="47"/>
        <v>215</v>
      </c>
      <c r="D225" s="75">
        <f t="shared" si="48"/>
        <v>51075</v>
      </c>
      <c r="E225" s="74">
        <f t="shared" si="44"/>
        <v>72</v>
      </c>
      <c r="F225" s="74" t="str">
        <f t="shared" si="45"/>
        <v>Q3-39</v>
      </c>
      <c r="G225" s="74">
        <f t="shared" si="49"/>
        <v>18</v>
      </c>
      <c r="H225" s="74">
        <f t="shared" si="46"/>
        <v>2039</v>
      </c>
      <c r="J225" s="82">
        <f>DATA!L225</f>
        <v>1.428135538428426</v>
      </c>
      <c r="K225" s="82">
        <f>DATA!M225</f>
        <v>1.1832480400449275</v>
      </c>
      <c r="L225" s="82">
        <f>DATA!N225</f>
        <v>1</v>
      </c>
      <c r="M225" s="82">
        <f>DATA!O225</f>
        <v>1</v>
      </c>
      <c r="N225" s="82">
        <f>DATA!P225</f>
        <v>1</v>
      </c>
      <c r="P225" s="330">
        <f t="shared" si="52"/>
        <v>0</v>
      </c>
      <c r="Q225" s="330">
        <f t="shared" si="52"/>
        <v>0</v>
      </c>
      <c r="R225" s="330">
        <f t="shared" si="52"/>
        <v>0</v>
      </c>
      <c r="S225" s="330">
        <f t="shared" si="52"/>
        <v>0</v>
      </c>
      <c r="T225" s="334">
        <f t="shared" si="50"/>
        <v>0</v>
      </c>
      <c r="V225" s="330">
        <f t="shared" si="53"/>
        <v>0</v>
      </c>
      <c r="W225" s="330">
        <f t="shared" si="53"/>
        <v>0</v>
      </c>
      <c r="X225" s="330">
        <f t="shared" si="53"/>
        <v>0</v>
      </c>
      <c r="Y225" s="330">
        <f t="shared" si="53"/>
        <v>0</v>
      </c>
      <c r="Z225" s="334">
        <f t="shared" si="51"/>
        <v>0</v>
      </c>
    </row>
    <row r="226" spans="3:26" ht="16" hidden="1" outlineLevel="1" thickTop="1" thickBot="1">
      <c r="C226" s="74">
        <f t="shared" si="47"/>
        <v>216</v>
      </c>
      <c r="D226" s="75">
        <f t="shared" si="48"/>
        <v>51105</v>
      </c>
      <c r="E226" s="74">
        <f t="shared" si="44"/>
        <v>72</v>
      </c>
      <c r="F226" s="74" t="str">
        <f t="shared" si="45"/>
        <v>Q4-39</v>
      </c>
      <c r="G226" s="74">
        <f t="shared" si="49"/>
        <v>18</v>
      </c>
      <c r="H226" s="74">
        <f t="shared" si="46"/>
        <v>2039</v>
      </c>
      <c r="J226" s="82">
        <f>DATA!L226</f>
        <v>1.4305157643258068</v>
      </c>
      <c r="K226" s="82">
        <f>DATA!M226</f>
        <v>1.1842340800782982</v>
      </c>
      <c r="L226" s="82">
        <f>DATA!N226</f>
        <v>1</v>
      </c>
      <c r="M226" s="82">
        <f>DATA!O226</f>
        <v>1</v>
      </c>
      <c r="N226" s="82">
        <f>DATA!P226</f>
        <v>1</v>
      </c>
      <c r="P226" s="330">
        <f t="shared" si="52"/>
        <v>0</v>
      </c>
      <c r="Q226" s="330">
        <f t="shared" si="52"/>
        <v>0</v>
      </c>
      <c r="R226" s="330">
        <f t="shared" si="52"/>
        <v>0</v>
      </c>
      <c r="S226" s="330">
        <f t="shared" si="52"/>
        <v>0</v>
      </c>
      <c r="T226" s="334">
        <f t="shared" si="50"/>
        <v>0</v>
      </c>
      <c r="V226" s="330">
        <f t="shared" si="53"/>
        <v>0</v>
      </c>
      <c r="W226" s="330">
        <f t="shared" si="53"/>
        <v>0</v>
      </c>
      <c r="X226" s="330">
        <f t="shared" si="53"/>
        <v>0</v>
      </c>
      <c r="Y226" s="330">
        <f t="shared" si="53"/>
        <v>0</v>
      </c>
      <c r="Z226" s="334">
        <f t="shared" si="51"/>
        <v>0</v>
      </c>
    </row>
    <row r="227" spans="3:26" ht="16" hidden="1" outlineLevel="1" thickTop="1" thickBot="1">
      <c r="C227" s="74">
        <f t="shared" si="47"/>
        <v>217</v>
      </c>
      <c r="D227" s="75">
        <f t="shared" si="48"/>
        <v>51136</v>
      </c>
      <c r="E227" s="74">
        <f t="shared" si="44"/>
        <v>73</v>
      </c>
      <c r="F227" s="74" t="str">
        <f t="shared" si="45"/>
        <v>Q1-40</v>
      </c>
      <c r="G227" s="74">
        <f t="shared" si="49"/>
        <v>19</v>
      </c>
      <c r="H227" s="74">
        <f t="shared" si="46"/>
        <v>2040</v>
      </c>
      <c r="J227" s="82">
        <f>DATA!L227</f>
        <v>1.4328999572663499</v>
      </c>
      <c r="K227" s="82">
        <f>DATA!M227</f>
        <v>1.1852209418116968</v>
      </c>
      <c r="L227" s="82">
        <f>DATA!N227</f>
        <v>1</v>
      </c>
      <c r="M227" s="82">
        <f>DATA!O227</f>
        <v>1</v>
      </c>
      <c r="N227" s="82">
        <f>DATA!P227</f>
        <v>1</v>
      </c>
      <c r="P227" s="330">
        <f t="shared" si="52"/>
        <v>0</v>
      </c>
      <c r="Q227" s="330">
        <f t="shared" si="52"/>
        <v>0</v>
      </c>
      <c r="R227" s="330">
        <f t="shared" si="52"/>
        <v>0</v>
      </c>
      <c r="S227" s="330">
        <f t="shared" si="52"/>
        <v>0</v>
      </c>
      <c r="T227" s="334">
        <f t="shared" si="50"/>
        <v>0</v>
      </c>
      <c r="V227" s="330">
        <f t="shared" si="53"/>
        <v>0</v>
      </c>
      <c r="W227" s="330">
        <f t="shared" si="53"/>
        <v>0</v>
      </c>
      <c r="X227" s="330">
        <f t="shared" si="53"/>
        <v>0</v>
      </c>
      <c r="Y227" s="330">
        <f t="shared" si="53"/>
        <v>0</v>
      </c>
      <c r="Z227" s="334">
        <f t="shared" si="51"/>
        <v>0</v>
      </c>
    </row>
    <row r="228" spans="3:26" ht="16" hidden="1" outlineLevel="1" thickTop="1" thickBot="1">
      <c r="C228" s="74">
        <f t="shared" si="47"/>
        <v>218</v>
      </c>
      <c r="D228" s="75">
        <f t="shared" si="48"/>
        <v>51167</v>
      </c>
      <c r="E228" s="74">
        <f t="shared" si="44"/>
        <v>73</v>
      </c>
      <c r="F228" s="74" t="str">
        <f t="shared" si="45"/>
        <v>Q1-40</v>
      </c>
      <c r="G228" s="74">
        <f t="shared" si="49"/>
        <v>19</v>
      </c>
      <c r="H228" s="74">
        <f t="shared" si="46"/>
        <v>2040</v>
      </c>
      <c r="J228" s="82">
        <f>DATA!L228</f>
        <v>1.4352881238617938</v>
      </c>
      <c r="K228" s="82">
        <f>DATA!M228</f>
        <v>1.1862086259298732</v>
      </c>
      <c r="L228" s="82">
        <f>DATA!N228</f>
        <v>1</v>
      </c>
      <c r="M228" s="82">
        <f>DATA!O228</f>
        <v>1</v>
      </c>
      <c r="N228" s="82">
        <f>DATA!P228</f>
        <v>1</v>
      </c>
      <c r="P228" s="330">
        <f t="shared" si="52"/>
        <v>0</v>
      </c>
      <c r="Q228" s="330">
        <f t="shared" si="52"/>
        <v>0</v>
      </c>
      <c r="R228" s="330">
        <f t="shared" si="52"/>
        <v>0</v>
      </c>
      <c r="S228" s="330">
        <f t="shared" si="52"/>
        <v>0</v>
      </c>
      <c r="T228" s="334">
        <f t="shared" si="50"/>
        <v>0</v>
      </c>
      <c r="V228" s="330">
        <f t="shared" si="53"/>
        <v>0</v>
      </c>
      <c r="W228" s="330">
        <f t="shared" si="53"/>
        <v>0</v>
      </c>
      <c r="X228" s="330">
        <f t="shared" si="53"/>
        <v>0</v>
      </c>
      <c r="Y228" s="330">
        <f t="shared" si="53"/>
        <v>0</v>
      </c>
      <c r="Z228" s="334">
        <f t="shared" si="51"/>
        <v>0</v>
      </c>
    </row>
    <row r="229" spans="3:26" ht="16" hidden="1" outlineLevel="1" thickTop="1" thickBot="1">
      <c r="C229" s="74">
        <f t="shared" si="47"/>
        <v>219</v>
      </c>
      <c r="D229" s="75">
        <f t="shared" si="48"/>
        <v>51196</v>
      </c>
      <c r="E229" s="74">
        <f t="shared" si="44"/>
        <v>73</v>
      </c>
      <c r="F229" s="74" t="str">
        <f t="shared" si="45"/>
        <v>Q1-40</v>
      </c>
      <c r="G229" s="74">
        <f t="shared" si="49"/>
        <v>19</v>
      </c>
      <c r="H229" s="74">
        <f t="shared" si="46"/>
        <v>2040</v>
      </c>
      <c r="J229" s="82">
        <f>DATA!L229</f>
        <v>1.4376802707348968</v>
      </c>
      <c r="K229" s="82">
        <f>DATA!M229</f>
        <v>1.1871971331181479</v>
      </c>
      <c r="L229" s="82">
        <f>DATA!N229</f>
        <v>1</v>
      </c>
      <c r="M229" s="82">
        <f>DATA!O229</f>
        <v>1</v>
      </c>
      <c r="N229" s="82">
        <f>DATA!P229</f>
        <v>1</v>
      </c>
      <c r="P229" s="330">
        <f t="shared" si="52"/>
        <v>0</v>
      </c>
      <c r="Q229" s="330">
        <f t="shared" si="52"/>
        <v>0</v>
      </c>
      <c r="R229" s="330">
        <f t="shared" si="52"/>
        <v>0</v>
      </c>
      <c r="S229" s="330">
        <f t="shared" si="52"/>
        <v>0</v>
      </c>
      <c r="T229" s="334">
        <f t="shared" si="50"/>
        <v>0</v>
      </c>
      <c r="V229" s="330">
        <f t="shared" si="53"/>
        <v>0</v>
      </c>
      <c r="W229" s="330">
        <f t="shared" si="53"/>
        <v>0</v>
      </c>
      <c r="X229" s="330">
        <f t="shared" si="53"/>
        <v>0</v>
      </c>
      <c r="Y229" s="330">
        <f t="shared" si="53"/>
        <v>0</v>
      </c>
      <c r="Z229" s="334">
        <f t="shared" si="51"/>
        <v>0</v>
      </c>
    </row>
    <row r="230" spans="3:26" ht="16" hidden="1" outlineLevel="1" thickTop="1" thickBot="1">
      <c r="C230" s="74">
        <f t="shared" si="47"/>
        <v>220</v>
      </c>
      <c r="D230" s="75">
        <f t="shared" si="48"/>
        <v>51227</v>
      </c>
      <c r="E230" s="74">
        <f t="shared" si="44"/>
        <v>74</v>
      </c>
      <c r="F230" s="74" t="str">
        <f t="shared" si="45"/>
        <v>Q2-40</v>
      </c>
      <c r="G230" s="74">
        <f t="shared" si="49"/>
        <v>19</v>
      </c>
      <c r="H230" s="74">
        <f t="shared" si="46"/>
        <v>2040</v>
      </c>
      <c r="J230" s="82">
        <f>DATA!L230</f>
        <v>1.440076404519455</v>
      </c>
      <c r="K230" s="82">
        <f>DATA!M230</f>
        <v>1.1881864640624129</v>
      </c>
      <c r="L230" s="82">
        <f>DATA!N230</f>
        <v>1</v>
      </c>
      <c r="M230" s="82">
        <f>DATA!O230</f>
        <v>1</v>
      </c>
      <c r="N230" s="82">
        <f>DATA!P230</f>
        <v>1</v>
      </c>
      <c r="P230" s="330">
        <f t="shared" si="52"/>
        <v>0</v>
      </c>
      <c r="Q230" s="330">
        <f t="shared" si="52"/>
        <v>0</v>
      </c>
      <c r="R230" s="330">
        <f t="shared" si="52"/>
        <v>0</v>
      </c>
      <c r="S230" s="330">
        <f t="shared" si="52"/>
        <v>0</v>
      </c>
      <c r="T230" s="334">
        <f t="shared" si="50"/>
        <v>0</v>
      </c>
      <c r="V230" s="330">
        <f t="shared" si="53"/>
        <v>0</v>
      </c>
      <c r="W230" s="330">
        <f t="shared" si="53"/>
        <v>0</v>
      </c>
      <c r="X230" s="330">
        <f t="shared" si="53"/>
        <v>0</v>
      </c>
      <c r="Y230" s="330">
        <f t="shared" si="53"/>
        <v>0</v>
      </c>
      <c r="Z230" s="334">
        <f t="shared" si="51"/>
        <v>0</v>
      </c>
    </row>
    <row r="231" spans="3:26" ht="16" hidden="1" outlineLevel="1" thickTop="1" thickBot="1">
      <c r="C231" s="74">
        <f t="shared" si="47"/>
        <v>221</v>
      </c>
      <c r="D231" s="75">
        <f t="shared" si="48"/>
        <v>51257</v>
      </c>
      <c r="E231" s="74">
        <f t="shared" si="44"/>
        <v>74</v>
      </c>
      <c r="F231" s="74" t="str">
        <f t="shared" si="45"/>
        <v>Q2-40</v>
      </c>
      <c r="G231" s="74">
        <f t="shared" si="49"/>
        <v>19</v>
      </c>
      <c r="H231" s="74">
        <f t="shared" si="46"/>
        <v>2040</v>
      </c>
      <c r="J231" s="82">
        <f>DATA!L231</f>
        <v>1.4424765318603208</v>
      </c>
      <c r="K231" s="82">
        <f>DATA!M231</f>
        <v>1.1891766194491316</v>
      </c>
      <c r="L231" s="82">
        <f>DATA!N231</f>
        <v>1</v>
      </c>
      <c r="M231" s="82">
        <f>DATA!O231</f>
        <v>1</v>
      </c>
      <c r="N231" s="82">
        <f>DATA!P231</f>
        <v>1</v>
      </c>
      <c r="P231" s="330">
        <f t="shared" ref="P231:S250" si="54">IF(AND($C231&gt;=P$6,$C231&lt;=P$6+P$7-1),P$9/P$7*$K231,0)</f>
        <v>0</v>
      </c>
      <c r="Q231" s="330">
        <f t="shared" si="54"/>
        <v>0</v>
      </c>
      <c r="R231" s="330">
        <f t="shared" si="54"/>
        <v>0</v>
      </c>
      <c r="S231" s="330">
        <f t="shared" si="54"/>
        <v>0</v>
      </c>
      <c r="T231" s="334">
        <f t="shared" si="50"/>
        <v>0</v>
      </c>
      <c r="V231" s="330">
        <f t="shared" ref="V231:Y250" si="55">IF(AND($C231&gt;=V$6,$C231&lt;=V$6+V$7-1),V$9/V$7*$K231,0)</f>
        <v>0</v>
      </c>
      <c r="W231" s="330">
        <f t="shared" si="55"/>
        <v>0</v>
      </c>
      <c r="X231" s="330">
        <f t="shared" si="55"/>
        <v>0</v>
      </c>
      <c r="Y231" s="330">
        <f t="shared" si="55"/>
        <v>0</v>
      </c>
      <c r="Z231" s="334">
        <f t="shared" si="51"/>
        <v>0</v>
      </c>
    </row>
    <row r="232" spans="3:26" ht="16" hidden="1" outlineLevel="1" thickTop="1" thickBot="1">
      <c r="C232" s="74">
        <f t="shared" si="47"/>
        <v>222</v>
      </c>
      <c r="D232" s="75">
        <f t="shared" si="48"/>
        <v>51288</v>
      </c>
      <c r="E232" s="74">
        <f t="shared" si="44"/>
        <v>74</v>
      </c>
      <c r="F232" s="74" t="str">
        <f t="shared" si="45"/>
        <v>Q2-40</v>
      </c>
      <c r="G232" s="74">
        <f t="shared" si="49"/>
        <v>19</v>
      </c>
      <c r="H232" s="74">
        <f t="shared" si="46"/>
        <v>2040</v>
      </c>
      <c r="J232" s="82">
        <f>DATA!L232</f>
        <v>1.4448806594134214</v>
      </c>
      <c r="K232" s="82">
        <f>DATA!M232</f>
        <v>1.1901675999653392</v>
      </c>
      <c r="L232" s="82">
        <f>DATA!N232</f>
        <v>1</v>
      </c>
      <c r="M232" s="82">
        <f>DATA!O232</f>
        <v>1</v>
      </c>
      <c r="N232" s="82">
        <f>DATA!P232</f>
        <v>1</v>
      </c>
      <c r="P232" s="330">
        <f t="shared" si="54"/>
        <v>0</v>
      </c>
      <c r="Q232" s="330">
        <f t="shared" si="54"/>
        <v>0</v>
      </c>
      <c r="R232" s="330">
        <f t="shared" si="54"/>
        <v>0</v>
      </c>
      <c r="S232" s="330">
        <f t="shared" si="54"/>
        <v>0</v>
      </c>
      <c r="T232" s="334">
        <f t="shared" si="50"/>
        <v>0</v>
      </c>
      <c r="V232" s="330">
        <f t="shared" si="55"/>
        <v>0</v>
      </c>
      <c r="W232" s="330">
        <f t="shared" si="55"/>
        <v>0</v>
      </c>
      <c r="X232" s="330">
        <f t="shared" si="55"/>
        <v>0</v>
      </c>
      <c r="Y232" s="330">
        <f t="shared" si="55"/>
        <v>0</v>
      </c>
      <c r="Z232" s="334">
        <f t="shared" si="51"/>
        <v>0</v>
      </c>
    </row>
    <row r="233" spans="3:26" ht="16" hidden="1" outlineLevel="1" thickTop="1" thickBot="1">
      <c r="C233" s="74">
        <f t="shared" si="47"/>
        <v>223</v>
      </c>
      <c r="D233" s="75">
        <f t="shared" si="48"/>
        <v>51318</v>
      </c>
      <c r="E233" s="74">
        <f t="shared" si="44"/>
        <v>75</v>
      </c>
      <c r="F233" s="74" t="str">
        <f t="shared" si="45"/>
        <v>Q2-40</v>
      </c>
      <c r="G233" s="74">
        <f t="shared" si="49"/>
        <v>19</v>
      </c>
      <c r="H233" s="74">
        <f t="shared" si="46"/>
        <v>2040</v>
      </c>
      <c r="J233" s="82">
        <f>DATA!L233</f>
        <v>1.447288793845777</v>
      </c>
      <c r="K233" s="82">
        <f>DATA!M233</f>
        <v>1.1911594062986435</v>
      </c>
      <c r="L233" s="82">
        <f>DATA!N233</f>
        <v>1</v>
      </c>
      <c r="M233" s="82">
        <f>DATA!O233</f>
        <v>1</v>
      </c>
      <c r="N233" s="82">
        <f>DATA!P233</f>
        <v>1</v>
      </c>
      <c r="P233" s="330">
        <f t="shared" si="54"/>
        <v>0</v>
      </c>
      <c r="Q233" s="330">
        <f t="shared" si="54"/>
        <v>0</v>
      </c>
      <c r="R233" s="330">
        <f t="shared" si="54"/>
        <v>0</v>
      </c>
      <c r="S233" s="330">
        <f t="shared" si="54"/>
        <v>0</v>
      </c>
      <c r="T233" s="334">
        <f t="shared" si="50"/>
        <v>0</v>
      </c>
      <c r="V233" s="330">
        <f t="shared" si="55"/>
        <v>0</v>
      </c>
      <c r="W233" s="330">
        <f t="shared" si="55"/>
        <v>0</v>
      </c>
      <c r="X233" s="330">
        <f t="shared" si="55"/>
        <v>0</v>
      </c>
      <c r="Y233" s="330">
        <f t="shared" si="55"/>
        <v>0</v>
      </c>
      <c r="Z233" s="334">
        <f t="shared" si="51"/>
        <v>0</v>
      </c>
    </row>
    <row r="234" spans="3:26" ht="16" hidden="1" outlineLevel="1" thickTop="1" thickBot="1">
      <c r="C234" s="74">
        <f t="shared" si="47"/>
        <v>224</v>
      </c>
      <c r="D234" s="75">
        <f t="shared" si="48"/>
        <v>51349</v>
      </c>
      <c r="E234" s="74">
        <f t="shared" si="44"/>
        <v>75</v>
      </c>
      <c r="F234" s="74" t="str">
        <f t="shared" si="45"/>
        <v>Q3-40</v>
      </c>
      <c r="G234" s="74">
        <f t="shared" si="49"/>
        <v>19</v>
      </c>
      <c r="H234" s="74">
        <f t="shared" si="46"/>
        <v>2040</v>
      </c>
      <c r="J234" s="82">
        <f>DATA!L234</f>
        <v>1.44970094183552</v>
      </c>
      <c r="K234" s="82">
        <f>DATA!M234</f>
        <v>1.1921520391372256</v>
      </c>
      <c r="L234" s="82">
        <f>DATA!N234</f>
        <v>1</v>
      </c>
      <c r="M234" s="82">
        <f>DATA!O234</f>
        <v>1</v>
      </c>
      <c r="N234" s="82">
        <f>DATA!P234</f>
        <v>1</v>
      </c>
      <c r="P234" s="330">
        <f t="shared" si="54"/>
        <v>0</v>
      </c>
      <c r="Q234" s="330">
        <f t="shared" si="54"/>
        <v>0</v>
      </c>
      <c r="R234" s="330">
        <f t="shared" si="54"/>
        <v>0</v>
      </c>
      <c r="S234" s="330">
        <f t="shared" si="54"/>
        <v>0</v>
      </c>
      <c r="T234" s="334">
        <f t="shared" si="50"/>
        <v>0</v>
      </c>
      <c r="V234" s="330">
        <f t="shared" si="55"/>
        <v>0</v>
      </c>
      <c r="W234" s="330">
        <f t="shared" si="55"/>
        <v>0</v>
      </c>
      <c r="X234" s="330">
        <f t="shared" si="55"/>
        <v>0</v>
      </c>
      <c r="Y234" s="330">
        <f t="shared" si="55"/>
        <v>0</v>
      </c>
      <c r="Z234" s="334">
        <f t="shared" si="51"/>
        <v>0</v>
      </c>
    </row>
    <row r="235" spans="3:26" ht="16" hidden="1" outlineLevel="1" thickTop="1" thickBot="1">
      <c r="C235" s="74">
        <f t="shared" si="47"/>
        <v>225</v>
      </c>
      <c r="D235" s="75">
        <f t="shared" si="48"/>
        <v>51380</v>
      </c>
      <c r="E235" s="74">
        <f t="shared" si="44"/>
        <v>75</v>
      </c>
      <c r="F235" s="74" t="str">
        <f t="shared" si="45"/>
        <v>Q3-40</v>
      </c>
      <c r="G235" s="74">
        <f t="shared" si="49"/>
        <v>19</v>
      </c>
      <c r="H235" s="74">
        <f t="shared" si="46"/>
        <v>2040</v>
      </c>
      <c r="J235" s="82">
        <f>DATA!L235</f>
        <v>1.4521171100719126</v>
      </c>
      <c r="K235" s="82">
        <f>DATA!M235</f>
        <v>1.1931454991698398</v>
      </c>
      <c r="L235" s="82">
        <f>DATA!N235</f>
        <v>1</v>
      </c>
      <c r="M235" s="82">
        <f>DATA!O235</f>
        <v>1</v>
      </c>
      <c r="N235" s="82">
        <f>DATA!P235</f>
        <v>1</v>
      </c>
      <c r="P235" s="330">
        <f t="shared" si="54"/>
        <v>0</v>
      </c>
      <c r="Q235" s="330">
        <f t="shared" si="54"/>
        <v>0</v>
      </c>
      <c r="R235" s="330">
        <f t="shared" si="54"/>
        <v>0</v>
      </c>
      <c r="S235" s="330">
        <f t="shared" si="54"/>
        <v>0</v>
      </c>
      <c r="T235" s="334">
        <f t="shared" si="50"/>
        <v>0</v>
      </c>
      <c r="V235" s="330">
        <f t="shared" si="55"/>
        <v>0</v>
      </c>
      <c r="W235" s="330">
        <f t="shared" si="55"/>
        <v>0</v>
      </c>
      <c r="X235" s="330">
        <f t="shared" si="55"/>
        <v>0</v>
      </c>
      <c r="Y235" s="330">
        <f t="shared" si="55"/>
        <v>0</v>
      </c>
      <c r="Z235" s="334">
        <f t="shared" si="51"/>
        <v>0</v>
      </c>
    </row>
    <row r="236" spans="3:26" ht="16" hidden="1" outlineLevel="1" thickTop="1" thickBot="1">
      <c r="C236" s="74">
        <f t="shared" si="47"/>
        <v>226</v>
      </c>
      <c r="D236" s="75">
        <f t="shared" si="48"/>
        <v>51410</v>
      </c>
      <c r="E236" s="74">
        <f t="shared" si="44"/>
        <v>76</v>
      </c>
      <c r="F236" s="74" t="str">
        <f t="shared" si="45"/>
        <v>Q3-40</v>
      </c>
      <c r="G236" s="74">
        <f t="shared" si="49"/>
        <v>19</v>
      </c>
      <c r="H236" s="74">
        <f t="shared" si="46"/>
        <v>2040</v>
      </c>
      <c r="J236" s="82">
        <f>DATA!L236</f>
        <v>1.4545373052553658</v>
      </c>
      <c r="K236" s="82">
        <f>DATA!M236</f>
        <v>1.1941397870858146</v>
      </c>
      <c r="L236" s="82">
        <f>DATA!N236</f>
        <v>1</v>
      </c>
      <c r="M236" s="82">
        <f>DATA!O236</f>
        <v>1</v>
      </c>
      <c r="N236" s="82">
        <f>DATA!P236</f>
        <v>1</v>
      </c>
      <c r="P236" s="330">
        <f t="shared" si="54"/>
        <v>0</v>
      </c>
      <c r="Q236" s="330">
        <f t="shared" si="54"/>
        <v>0</v>
      </c>
      <c r="R236" s="330">
        <f t="shared" si="54"/>
        <v>0</v>
      </c>
      <c r="S236" s="330">
        <f t="shared" si="54"/>
        <v>0</v>
      </c>
      <c r="T236" s="334">
        <f t="shared" si="50"/>
        <v>0</v>
      </c>
      <c r="V236" s="330">
        <f t="shared" si="55"/>
        <v>0</v>
      </c>
      <c r="W236" s="330">
        <f t="shared" si="55"/>
        <v>0</v>
      </c>
      <c r="X236" s="330">
        <f t="shared" si="55"/>
        <v>0</v>
      </c>
      <c r="Y236" s="330">
        <f t="shared" si="55"/>
        <v>0</v>
      </c>
      <c r="Z236" s="334">
        <f t="shared" si="51"/>
        <v>0</v>
      </c>
    </row>
    <row r="237" spans="3:26" ht="16" hidden="1" outlineLevel="1" thickTop="1" thickBot="1">
      <c r="C237" s="74">
        <f t="shared" si="47"/>
        <v>227</v>
      </c>
      <c r="D237" s="75">
        <f t="shared" si="48"/>
        <v>51441</v>
      </c>
      <c r="E237" s="74">
        <f t="shared" si="44"/>
        <v>76</v>
      </c>
      <c r="F237" s="74" t="str">
        <f t="shared" si="45"/>
        <v>Q3-40</v>
      </c>
      <c r="G237" s="74">
        <f t="shared" si="49"/>
        <v>19</v>
      </c>
      <c r="H237" s="74">
        <f t="shared" si="46"/>
        <v>2040</v>
      </c>
      <c r="J237" s="82">
        <f>DATA!L237</f>
        <v>1.4569615340974582</v>
      </c>
      <c r="K237" s="82">
        <f>DATA!M237</f>
        <v>1.1951349035750527</v>
      </c>
      <c r="L237" s="82">
        <f>DATA!N237</f>
        <v>1</v>
      </c>
      <c r="M237" s="82">
        <f>DATA!O237</f>
        <v>1</v>
      </c>
      <c r="N237" s="82">
        <f>DATA!P237</f>
        <v>1</v>
      </c>
      <c r="P237" s="330">
        <f t="shared" si="54"/>
        <v>0</v>
      </c>
      <c r="Q237" s="330">
        <f t="shared" si="54"/>
        <v>0</v>
      </c>
      <c r="R237" s="330">
        <f t="shared" si="54"/>
        <v>0</v>
      </c>
      <c r="S237" s="330">
        <f t="shared" si="54"/>
        <v>0</v>
      </c>
      <c r="T237" s="334">
        <f t="shared" si="50"/>
        <v>0</v>
      </c>
      <c r="V237" s="330">
        <f t="shared" si="55"/>
        <v>0</v>
      </c>
      <c r="W237" s="330">
        <f t="shared" si="55"/>
        <v>0</v>
      </c>
      <c r="X237" s="330">
        <f t="shared" si="55"/>
        <v>0</v>
      </c>
      <c r="Y237" s="330">
        <f t="shared" si="55"/>
        <v>0</v>
      </c>
      <c r="Z237" s="334">
        <f t="shared" si="51"/>
        <v>0</v>
      </c>
    </row>
    <row r="238" spans="3:26" ht="16" hidden="1" outlineLevel="1" thickTop="1" thickBot="1">
      <c r="C238" s="74">
        <f t="shared" si="47"/>
        <v>228</v>
      </c>
      <c r="D238" s="75">
        <f t="shared" si="48"/>
        <v>51471</v>
      </c>
      <c r="E238" s="74">
        <f t="shared" si="44"/>
        <v>76</v>
      </c>
      <c r="F238" s="74" t="str">
        <f t="shared" si="45"/>
        <v>Q4-40</v>
      </c>
      <c r="G238" s="74">
        <f t="shared" si="49"/>
        <v>19</v>
      </c>
      <c r="H238" s="74">
        <f t="shared" si="46"/>
        <v>2040</v>
      </c>
      <c r="J238" s="82">
        <f>DATA!L238</f>
        <v>1.459389803320954</v>
      </c>
      <c r="K238" s="82">
        <f>DATA!M238</f>
        <v>1.1961308493280318</v>
      </c>
      <c r="L238" s="82">
        <f>DATA!N238</f>
        <v>1</v>
      </c>
      <c r="M238" s="82">
        <f>DATA!O238</f>
        <v>1</v>
      </c>
      <c r="N238" s="82">
        <f>DATA!P238</f>
        <v>1</v>
      </c>
      <c r="P238" s="330">
        <f t="shared" si="54"/>
        <v>0</v>
      </c>
      <c r="Q238" s="330">
        <f t="shared" si="54"/>
        <v>0</v>
      </c>
      <c r="R238" s="330">
        <f t="shared" si="54"/>
        <v>0</v>
      </c>
      <c r="S238" s="330">
        <f t="shared" si="54"/>
        <v>0</v>
      </c>
      <c r="T238" s="334">
        <f t="shared" si="50"/>
        <v>0</v>
      </c>
      <c r="V238" s="330">
        <f t="shared" si="55"/>
        <v>0</v>
      </c>
      <c r="W238" s="330">
        <f t="shared" si="55"/>
        <v>0</v>
      </c>
      <c r="X238" s="330">
        <f t="shared" si="55"/>
        <v>0</v>
      </c>
      <c r="Y238" s="330">
        <f t="shared" si="55"/>
        <v>0</v>
      </c>
      <c r="Z238" s="334">
        <f t="shared" si="51"/>
        <v>0</v>
      </c>
    </row>
    <row r="239" spans="3:26" ht="16" hidden="1" outlineLevel="1" thickTop="1" thickBot="1">
      <c r="C239" s="74">
        <f t="shared" si="47"/>
        <v>229</v>
      </c>
      <c r="D239" s="75">
        <f t="shared" si="48"/>
        <v>51502</v>
      </c>
      <c r="E239" s="74">
        <f t="shared" si="44"/>
        <v>77</v>
      </c>
      <c r="F239" s="74" t="str">
        <f t="shared" si="45"/>
        <v>Q1-41</v>
      </c>
      <c r="G239" s="74">
        <f t="shared" si="49"/>
        <v>20</v>
      </c>
      <c r="H239" s="74">
        <f t="shared" si="46"/>
        <v>2041</v>
      </c>
      <c r="J239" s="82">
        <f>DATA!L239</f>
        <v>1.4618221196598224</v>
      </c>
      <c r="K239" s="82">
        <f>DATA!M239</f>
        <v>1.1971276250358052</v>
      </c>
      <c r="L239" s="82">
        <f>DATA!N239</f>
        <v>1</v>
      </c>
      <c r="M239" s="82">
        <f>DATA!O239</f>
        <v>1</v>
      </c>
      <c r="N239" s="82">
        <f>DATA!P239</f>
        <v>1</v>
      </c>
      <c r="P239" s="330">
        <f t="shared" si="54"/>
        <v>0</v>
      </c>
      <c r="Q239" s="330">
        <f t="shared" si="54"/>
        <v>0</v>
      </c>
      <c r="R239" s="330">
        <f t="shared" si="54"/>
        <v>0</v>
      </c>
      <c r="S239" s="330">
        <f t="shared" si="54"/>
        <v>0</v>
      </c>
      <c r="T239" s="334">
        <f t="shared" si="50"/>
        <v>0</v>
      </c>
      <c r="V239" s="330">
        <f t="shared" si="55"/>
        <v>0</v>
      </c>
      <c r="W239" s="330">
        <f t="shared" si="55"/>
        <v>0</v>
      </c>
      <c r="X239" s="330">
        <f t="shared" si="55"/>
        <v>0</v>
      </c>
      <c r="Y239" s="330">
        <f t="shared" si="55"/>
        <v>0</v>
      </c>
      <c r="Z239" s="334">
        <f t="shared" si="51"/>
        <v>0</v>
      </c>
    </row>
    <row r="240" spans="3:26" ht="16" hidden="1" outlineLevel="1" thickTop="1" thickBot="1">
      <c r="C240" s="74">
        <f t="shared" si="47"/>
        <v>230</v>
      </c>
      <c r="D240" s="75">
        <f t="shared" si="48"/>
        <v>51533</v>
      </c>
      <c r="E240" s="74">
        <f t="shared" si="44"/>
        <v>77</v>
      </c>
      <c r="F240" s="74" t="str">
        <f t="shared" si="45"/>
        <v>Q1-41</v>
      </c>
      <c r="G240" s="74">
        <f t="shared" si="49"/>
        <v>20</v>
      </c>
      <c r="H240" s="74">
        <f t="shared" si="46"/>
        <v>2041</v>
      </c>
      <c r="J240" s="82">
        <f>DATA!L240</f>
        <v>1.4642584898592554</v>
      </c>
      <c r="K240" s="82">
        <f>DATA!M240</f>
        <v>1.1981252313900015</v>
      </c>
      <c r="L240" s="82">
        <f>DATA!N240</f>
        <v>1</v>
      </c>
      <c r="M240" s="82">
        <f>DATA!O240</f>
        <v>1</v>
      </c>
      <c r="N240" s="82">
        <f>DATA!P240</f>
        <v>1</v>
      </c>
      <c r="P240" s="330">
        <f t="shared" si="54"/>
        <v>0</v>
      </c>
      <c r="Q240" s="330">
        <f t="shared" si="54"/>
        <v>0</v>
      </c>
      <c r="R240" s="330">
        <f t="shared" si="54"/>
        <v>0</v>
      </c>
      <c r="S240" s="330">
        <f t="shared" si="54"/>
        <v>0</v>
      </c>
      <c r="T240" s="334">
        <f t="shared" si="50"/>
        <v>0</v>
      </c>
      <c r="V240" s="330">
        <f t="shared" si="55"/>
        <v>0</v>
      </c>
      <c r="W240" s="330">
        <f t="shared" si="55"/>
        <v>0</v>
      </c>
      <c r="X240" s="330">
        <f t="shared" si="55"/>
        <v>0</v>
      </c>
      <c r="Y240" s="330">
        <f t="shared" si="55"/>
        <v>0</v>
      </c>
      <c r="Z240" s="334">
        <f t="shared" si="51"/>
        <v>0</v>
      </c>
    </row>
    <row r="241" spans="3:26" ht="16" hidden="1" outlineLevel="1" thickTop="1" thickBot="1">
      <c r="C241" s="74">
        <f t="shared" si="47"/>
        <v>231</v>
      </c>
      <c r="D241" s="75">
        <f t="shared" si="48"/>
        <v>51561</v>
      </c>
      <c r="E241" s="74">
        <f t="shared" si="44"/>
        <v>77</v>
      </c>
      <c r="F241" s="74" t="str">
        <f t="shared" si="45"/>
        <v>Q1-41</v>
      </c>
      <c r="G241" s="74">
        <f t="shared" si="49"/>
        <v>20</v>
      </c>
      <c r="H241" s="74">
        <f t="shared" si="46"/>
        <v>2041</v>
      </c>
      <c r="J241" s="82">
        <f>DATA!L241</f>
        <v>1.4666989206756875</v>
      </c>
      <c r="K241" s="82">
        <f>DATA!M241</f>
        <v>1.1991236690828264</v>
      </c>
      <c r="L241" s="82">
        <f>DATA!N241</f>
        <v>1</v>
      </c>
      <c r="M241" s="82">
        <f>DATA!O241</f>
        <v>1</v>
      </c>
      <c r="N241" s="82">
        <f>DATA!P241</f>
        <v>1</v>
      </c>
      <c r="P241" s="330">
        <f t="shared" si="54"/>
        <v>0</v>
      </c>
      <c r="Q241" s="330">
        <f t="shared" si="54"/>
        <v>0</v>
      </c>
      <c r="R241" s="330">
        <f t="shared" si="54"/>
        <v>0</v>
      </c>
      <c r="S241" s="330">
        <f t="shared" si="54"/>
        <v>0</v>
      </c>
      <c r="T241" s="334">
        <f t="shared" si="50"/>
        <v>0</v>
      </c>
      <c r="V241" s="330">
        <f t="shared" si="55"/>
        <v>0</v>
      </c>
      <c r="W241" s="330">
        <f t="shared" si="55"/>
        <v>0</v>
      </c>
      <c r="X241" s="330">
        <f t="shared" si="55"/>
        <v>0</v>
      </c>
      <c r="Y241" s="330">
        <f t="shared" si="55"/>
        <v>0</v>
      </c>
      <c r="Z241" s="334">
        <f t="shared" si="51"/>
        <v>0</v>
      </c>
    </row>
    <row r="242" spans="3:26" ht="16" hidden="1" outlineLevel="1" thickTop="1" thickBot="1">
      <c r="C242" s="74">
        <f t="shared" si="47"/>
        <v>232</v>
      </c>
      <c r="D242" s="75">
        <f t="shared" si="48"/>
        <v>51592</v>
      </c>
      <c r="E242" s="74">
        <f t="shared" si="44"/>
        <v>78</v>
      </c>
      <c r="F242" s="74" t="str">
        <f t="shared" si="45"/>
        <v>Q2-41</v>
      </c>
      <c r="G242" s="74">
        <f t="shared" si="49"/>
        <v>20</v>
      </c>
      <c r="H242" s="74">
        <f t="shared" si="46"/>
        <v>2041</v>
      </c>
      <c r="J242" s="82">
        <f>DATA!L242</f>
        <v>1.4691434188768138</v>
      </c>
      <c r="K242" s="82">
        <f>DATA!M242</f>
        <v>1.200122938807062</v>
      </c>
      <c r="L242" s="82">
        <f>DATA!N242</f>
        <v>1</v>
      </c>
      <c r="M242" s="82">
        <f>DATA!O242</f>
        <v>1</v>
      </c>
      <c r="N242" s="82">
        <f>DATA!P242</f>
        <v>1</v>
      </c>
      <c r="P242" s="330">
        <f t="shared" si="54"/>
        <v>0</v>
      </c>
      <c r="Q242" s="330">
        <f t="shared" si="54"/>
        <v>0</v>
      </c>
      <c r="R242" s="330">
        <f t="shared" si="54"/>
        <v>0</v>
      </c>
      <c r="S242" s="330">
        <f t="shared" si="54"/>
        <v>0</v>
      </c>
      <c r="T242" s="334">
        <f t="shared" si="50"/>
        <v>0</v>
      </c>
      <c r="V242" s="330">
        <f t="shared" si="55"/>
        <v>0</v>
      </c>
      <c r="W242" s="330">
        <f t="shared" si="55"/>
        <v>0</v>
      </c>
      <c r="X242" s="330">
        <f t="shared" si="55"/>
        <v>0</v>
      </c>
      <c r="Y242" s="330">
        <f t="shared" si="55"/>
        <v>0</v>
      </c>
      <c r="Z242" s="334">
        <f t="shared" si="51"/>
        <v>0</v>
      </c>
    </row>
    <row r="243" spans="3:26" ht="16" hidden="1" outlineLevel="1" thickTop="1" thickBot="1">
      <c r="C243" s="74">
        <f t="shared" si="47"/>
        <v>233</v>
      </c>
      <c r="D243" s="75">
        <f t="shared" si="48"/>
        <v>51622</v>
      </c>
      <c r="E243" s="74">
        <f t="shared" si="44"/>
        <v>78</v>
      </c>
      <c r="F243" s="74" t="str">
        <f t="shared" si="45"/>
        <v>Q2-41</v>
      </c>
      <c r="G243" s="74">
        <f t="shared" si="49"/>
        <v>20</v>
      </c>
      <c r="H243" s="74">
        <f t="shared" si="46"/>
        <v>2041</v>
      </c>
      <c r="J243" s="82">
        <f>DATA!L243</f>
        <v>1.4715919912416084</v>
      </c>
      <c r="K243" s="82">
        <f>DATA!M243</f>
        <v>1.2011230412560678</v>
      </c>
      <c r="L243" s="82">
        <f>DATA!N243</f>
        <v>1</v>
      </c>
      <c r="M243" s="82">
        <f>DATA!O243</f>
        <v>1</v>
      </c>
      <c r="N243" s="82">
        <f>DATA!P243</f>
        <v>1</v>
      </c>
      <c r="P243" s="330">
        <f t="shared" si="54"/>
        <v>0</v>
      </c>
      <c r="Q243" s="330">
        <f t="shared" si="54"/>
        <v>0</v>
      </c>
      <c r="R243" s="330">
        <f t="shared" si="54"/>
        <v>0</v>
      </c>
      <c r="S243" s="330">
        <f t="shared" si="54"/>
        <v>0</v>
      </c>
      <c r="T243" s="334">
        <f t="shared" si="50"/>
        <v>0</v>
      </c>
      <c r="V243" s="330">
        <f t="shared" si="55"/>
        <v>0</v>
      </c>
      <c r="W243" s="330">
        <f t="shared" si="55"/>
        <v>0</v>
      </c>
      <c r="X243" s="330">
        <f t="shared" si="55"/>
        <v>0</v>
      </c>
      <c r="Y243" s="330">
        <f t="shared" si="55"/>
        <v>0</v>
      </c>
      <c r="Z243" s="334">
        <f t="shared" si="51"/>
        <v>0</v>
      </c>
    </row>
    <row r="244" spans="3:26" ht="16" hidden="1" outlineLevel="1" thickTop="1" thickBot="1">
      <c r="C244" s="74">
        <f t="shared" si="47"/>
        <v>234</v>
      </c>
      <c r="D244" s="75">
        <f t="shared" si="48"/>
        <v>51653</v>
      </c>
      <c r="E244" s="74">
        <f t="shared" si="44"/>
        <v>78</v>
      </c>
      <c r="F244" s="74" t="str">
        <f t="shared" si="45"/>
        <v>Q2-41</v>
      </c>
      <c r="G244" s="74">
        <f t="shared" si="49"/>
        <v>20</v>
      </c>
      <c r="H244" s="74">
        <f t="shared" si="46"/>
        <v>2041</v>
      </c>
      <c r="J244" s="82">
        <f>DATA!L244</f>
        <v>1.4740446445603446</v>
      </c>
      <c r="K244" s="82">
        <f>DATA!M244</f>
        <v>1.2021239771237811</v>
      </c>
      <c r="L244" s="82">
        <f>DATA!N244</f>
        <v>1</v>
      </c>
      <c r="M244" s="82">
        <f>DATA!O244</f>
        <v>1</v>
      </c>
      <c r="N244" s="82">
        <f>DATA!P244</f>
        <v>1</v>
      </c>
      <c r="P244" s="330">
        <f t="shared" si="54"/>
        <v>0</v>
      </c>
      <c r="Q244" s="330">
        <f t="shared" si="54"/>
        <v>0</v>
      </c>
      <c r="R244" s="330">
        <f t="shared" si="54"/>
        <v>0</v>
      </c>
      <c r="S244" s="330">
        <f t="shared" si="54"/>
        <v>0</v>
      </c>
      <c r="T244" s="334">
        <f t="shared" si="50"/>
        <v>0</v>
      </c>
      <c r="V244" s="330">
        <f t="shared" si="55"/>
        <v>0</v>
      </c>
      <c r="W244" s="330">
        <f t="shared" si="55"/>
        <v>0</v>
      </c>
      <c r="X244" s="330">
        <f t="shared" si="55"/>
        <v>0</v>
      </c>
      <c r="Y244" s="330">
        <f t="shared" si="55"/>
        <v>0</v>
      </c>
      <c r="Z244" s="334">
        <f t="shared" si="51"/>
        <v>0</v>
      </c>
    </row>
    <row r="245" spans="3:26" ht="16" hidden="1" outlineLevel="1" thickTop="1" thickBot="1">
      <c r="C245" s="74">
        <f t="shared" si="47"/>
        <v>235</v>
      </c>
      <c r="D245" s="75">
        <f t="shared" si="48"/>
        <v>51683</v>
      </c>
      <c r="E245" s="74">
        <f t="shared" si="44"/>
        <v>79</v>
      </c>
      <c r="F245" s="74" t="str">
        <f t="shared" si="45"/>
        <v>Q2-41</v>
      </c>
      <c r="G245" s="74">
        <f t="shared" si="49"/>
        <v>20</v>
      </c>
      <c r="H245" s="74">
        <f t="shared" si="46"/>
        <v>2041</v>
      </c>
      <c r="J245" s="82">
        <f>DATA!L245</f>
        <v>1.4765013856346119</v>
      </c>
      <c r="K245" s="82">
        <f>DATA!M245</f>
        <v>1.2031257471047174</v>
      </c>
      <c r="L245" s="82">
        <f>DATA!N245</f>
        <v>1</v>
      </c>
      <c r="M245" s="82">
        <f>DATA!O245</f>
        <v>1</v>
      </c>
      <c r="N245" s="82">
        <f>DATA!P245</f>
        <v>1</v>
      </c>
      <c r="P245" s="330">
        <f t="shared" si="54"/>
        <v>0</v>
      </c>
      <c r="Q245" s="330">
        <f t="shared" si="54"/>
        <v>0</v>
      </c>
      <c r="R245" s="330">
        <f t="shared" si="54"/>
        <v>0</v>
      </c>
      <c r="S245" s="330">
        <f t="shared" si="54"/>
        <v>0</v>
      </c>
      <c r="T245" s="334">
        <f t="shared" si="50"/>
        <v>0</v>
      </c>
      <c r="V245" s="330">
        <f t="shared" si="55"/>
        <v>0</v>
      </c>
      <c r="W245" s="330">
        <f t="shared" si="55"/>
        <v>0</v>
      </c>
      <c r="X245" s="330">
        <f t="shared" si="55"/>
        <v>0</v>
      </c>
      <c r="Y245" s="330">
        <f t="shared" si="55"/>
        <v>0</v>
      </c>
      <c r="Z245" s="334">
        <f t="shared" si="51"/>
        <v>0</v>
      </c>
    </row>
    <row r="246" spans="3:26" ht="16" hidden="1" outlineLevel="1" thickTop="1" thickBot="1">
      <c r="C246" s="74">
        <f t="shared" si="47"/>
        <v>236</v>
      </c>
      <c r="D246" s="75">
        <f t="shared" si="48"/>
        <v>51714</v>
      </c>
      <c r="E246" s="74">
        <f t="shared" si="44"/>
        <v>79</v>
      </c>
      <c r="F246" s="74" t="str">
        <f t="shared" si="45"/>
        <v>Q3-41</v>
      </c>
      <c r="G246" s="74">
        <f t="shared" si="49"/>
        <v>20</v>
      </c>
      <c r="H246" s="74">
        <f t="shared" si="46"/>
        <v>2041</v>
      </c>
      <c r="J246" s="82">
        <f>DATA!L246</f>
        <v>1.4789622212773363</v>
      </c>
      <c r="K246" s="82">
        <f>DATA!M246</f>
        <v>1.2041283518939712</v>
      </c>
      <c r="L246" s="82">
        <f>DATA!N246</f>
        <v>1</v>
      </c>
      <c r="M246" s="82">
        <f>DATA!O246</f>
        <v>1</v>
      </c>
      <c r="N246" s="82">
        <f>DATA!P246</f>
        <v>1</v>
      </c>
      <c r="P246" s="330">
        <f t="shared" si="54"/>
        <v>0</v>
      </c>
      <c r="Q246" s="330">
        <f t="shared" si="54"/>
        <v>0</v>
      </c>
      <c r="R246" s="330">
        <f t="shared" si="54"/>
        <v>0</v>
      </c>
      <c r="S246" s="330">
        <f t="shared" si="54"/>
        <v>0</v>
      </c>
      <c r="T246" s="334">
        <f t="shared" si="50"/>
        <v>0</v>
      </c>
      <c r="V246" s="330">
        <f t="shared" si="55"/>
        <v>0</v>
      </c>
      <c r="W246" s="330">
        <f t="shared" si="55"/>
        <v>0</v>
      </c>
      <c r="X246" s="330">
        <f t="shared" si="55"/>
        <v>0</v>
      </c>
      <c r="Y246" s="330">
        <f t="shared" si="55"/>
        <v>0</v>
      </c>
      <c r="Z246" s="334">
        <f t="shared" si="51"/>
        <v>0</v>
      </c>
    </row>
    <row r="247" spans="3:26" ht="16" hidden="1" outlineLevel="1" thickTop="1" thickBot="1">
      <c r="C247" s="74">
        <f t="shared" si="47"/>
        <v>237</v>
      </c>
      <c r="D247" s="75">
        <f t="shared" si="48"/>
        <v>51745</v>
      </c>
      <c r="E247" s="74">
        <f t="shared" si="44"/>
        <v>79</v>
      </c>
      <c r="F247" s="74" t="str">
        <f t="shared" si="45"/>
        <v>Q3-41</v>
      </c>
      <c r="G247" s="74">
        <f t="shared" si="49"/>
        <v>20</v>
      </c>
      <c r="H247" s="74">
        <f t="shared" si="46"/>
        <v>2041</v>
      </c>
      <c r="J247" s="82">
        <f>DATA!L247</f>
        <v>1.4814271583127987</v>
      </c>
      <c r="K247" s="82">
        <f>DATA!M247</f>
        <v>1.205131792187216</v>
      </c>
      <c r="L247" s="82">
        <f>DATA!N247</f>
        <v>1</v>
      </c>
      <c r="M247" s="82">
        <f>DATA!O247</f>
        <v>1</v>
      </c>
      <c r="N247" s="82">
        <f>DATA!P247</f>
        <v>1</v>
      </c>
      <c r="P247" s="330">
        <f t="shared" si="54"/>
        <v>0</v>
      </c>
      <c r="Q247" s="330">
        <f t="shared" si="54"/>
        <v>0</v>
      </c>
      <c r="R247" s="330">
        <f t="shared" si="54"/>
        <v>0</v>
      </c>
      <c r="S247" s="330">
        <f t="shared" si="54"/>
        <v>0</v>
      </c>
      <c r="T247" s="334">
        <f t="shared" si="50"/>
        <v>0</v>
      </c>
      <c r="V247" s="330">
        <f t="shared" si="55"/>
        <v>0</v>
      </c>
      <c r="W247" s="330">
        <f t="shared" si="55"/>
        <v>0</v>
      </c>
      <c r="X247" s="330">
        <f t="shared" si="55"/>
        <v>0</v>
      </c>
      <c r="Y247" s="330">
        <f t="shared" si="55"/>
        <v>0</v>
      </c>
      <c r="Z247" s="334">
        <f t="shared" si="51"/>
        <v>0</v>
      </c>
    </row>
    <row r="248" spans="3:26" ht="16" hidden="1" outlineLevel="1" thickTop="1" thickBot="1">
      <c r="C248" s="74">
        <f t="shared" si="47"/>
        <v>238</v>
      </c>
      <c r="D248" s="75">
        <f t="shared" si="48"/>
        <v>51775</v>
      </c>
      <c r="E248" s="74">
        <f t="shared" si="44"/>
        <v>80</v>
      </c>
      <c r="F248" s="74" t="str">
        <f t="shared" si="45"/>
        <v>Q3-41</v>
      </c>
      <c r="G248" s="74">
        <f t="shared" si="49"/>
        <v>20</v>
      </c>
      <c r="H248" s="74">
        <f t="shared" si="46"/>
        <v>2041</v>
      </c>
      <c r="J248" s="82">
        <f>DATA!L248</f>
        <v>1.4838962035766534</v>
      </c>
      <c r="K248" s="82">
        <f>DATA!M248</f>
        <v>1.2061360686807052</v>
      </c>
      <c r="L248" s="82">
        <f>DATA!N248</f>
        <v>1</v>
      </c>
      <c r="M248" s="82">
        <f>DATA!O248</f>
        <v>1</v>
      </c>
      <c r="N248" s="82">
        <f>DATA!P248</f>
        <v>1</v>
      </c>
      <c r="P248" s="330">
        <f t="shared" si="54"/>
        <v>0</v>
      </c>
      <c r="Q248" s="330">
        <f t="shared" si="54"/>
        <v>0</v>
      </c>
      <c r="R248" s="330">
        <f t="shared" si="54"/>
        <v>0</v>
      </c>
      <c r="S248" s="330">
        <f t="shared" si="54"/>
        <v>0</v>
      </c>
      <c r="T248" s="334">
        <f t="shared" si="50"/>
        <v>0</v>
      </c>
      <c r="V248" s="330">
        <f t="shared" si="55"/>
        <v>0</v>
      </c>
      <c r="W248" s="330">
        <f t="shared" si="55"/>
        <v>0</v>
      </c>
      <c r="X248" s="330">
        <f t="shared" si="55"/>
        <v>0</v>
      </c>
      <c r="Y248" s="330">
        <f t="shared" si="55"/>
        <v>0</v>
      </c>
      <c r="Z248" s="334">
        <f t="shared" si="51"/>
        <v>0</v>
      </c>
    </row>
    <row r="249" spans="3:26" ht="16" hidden="1" outlineLevel="1" thickTop="1" thickBot="1">
      <c r="C249" s="74">
        <f t="shared" si="47"/>
        <v>239</v>
      </c>
      <c r="D249" s="75">
        <f t="shared" si="48"/>
        <v>51806</v>
      </c>
      <c r="E249" s="74">
        <f t="shared" si="44"/>
        <v>80</v>
      </c>
      <c r="F249" s="74" t="str">
        <f t="shared" si="45"/>
        <v>Q3-41</v>
      </c>
      <c r="G249" s="74">
        <f t="shared" si="49"/>
        <v>20</v>
      </c>
      <c r="H249" s="74">
        <f t="shared" si="46"/>
        <v>2041</v>
      </c>
      <c r="J249" s="82">
        <f>DATA!L249</f>
        <v>1.4863693639159479</v>
      </c>
      <c r="K249" s="82">
        <f>DATA!M249</f>
        <v>1.2071411820712723</v>
      </c>
      <c r="L249" s="82">
        <f>DATA!N249</f>
        <v>1</v>
      </c>
      <c r="M249" s="82">
        <f>DATA!O249</f>
        <v>1</v>
      </c>
      <c r="N249" s="82">
        <f>DATA!P249</f>
        <v>1</v>
      </c>
      <c r="P249" s="330">
        <f t="shared" si="54"/>
        <v>0</v>
      </c>
      <c r="Q249" s="330">
        <f t="shared" si="54"/>
        <v>0</v>
      </c>
      <c r="R249" s="330">
        <f t="shared" si="54"/>
        <v>0</v>
      </c>
      <c r="S249" s="330">
        <f t="shared" si="54"/>
        <v>0</v>
      </c>
      <c r="T249" s="334">
        <f t="shared" si="50"/>
        <v>0</v>
      </c>
      <c r="V249" s="330">
        <f t="shared" si="55"/>
        <v>0</v>
      </c>
      <c r="W249" s="330">
        <f t="shared" si="55"/>
        <v>0</v>
      </c>
      <c r="X249" s="330">
        <f t="shared" si="55"/>
        <v>0</v>
      </c>
      <c r="Y249" s="330">
        <f t="shared" si="55"/>
        <v>0</v>
      </c>
      <c r="Z249" s="334">
        <f t="shared" si="51"/>
        <v>0</v>
      </c>
    </row>
    <row r="250" spans="3:26" ht="16" hidden="1" outlineLevel="1" thickTop="1" thickBot="1">
      <c r="C250" s="74">
        <f t="shared" si="47"/>
        <v>240</v>
      </c>
      <c r="D250" s="75">
        <f t="shared" si="48"/>
        <v>51836</v>
      </c>
      <c r="E250" s="74">
        <f t="shared" si="44"/>
        <v>80</v>
      </c>
      <c r="F250" s="74" t="str">
        <f t="shared" si="45"/>
        <v>Q4-41</v>
      </c>
      <c r="G250" s="74">
        <f t="shared" si="49"/>
        <v>20</v>
      </c>
      <c r="H250" s="74">
        <f t="shared" si="46"/>
        <v>2041</v>
      </c>
      <c r="J250" s="82">
        <f>DATA!L250</f>
        <v>1.4888466461891412</v>
      </c>
      <c r="K250" s="82">
        <f>DATA!M250</f>
        <v>1.2081471330563316</v>
      </c>
      <c r="L250" s="82">
        <f>DATA!N250</f>
        <v>1</v>
      </c>
      <c r="M250" s="82">
        <f>DATA!O250</f>
        <v>1</v>
      </c>
      <c r="N250" s="82">
        <f>DATA!P250</f>
        <v>1</v>
      </c>
      <c r="P250" s="330">
        <f t="shared" si="54"/>
        <v>0</v>
      </c>
      <c r="Q250" s="330">
        <f t="shared" si="54"/>
        <v>0</v>
      </c>
      <c r="R250" s="330">
        <f t="shared" si="54"/>
        <v>0</v>
      </c>
      <c r="S250" s="330">
        <f t="shared" si="54"/>
        <v>0</v>
      </c>
      <c r="T250" s="334">
        <f t="shared" si="50"/>
        <v>0</v>
      </c>
      <c r="V250" s="330">
        <f t="shared" si="55"/>
        <v>0</v>
      </c>
      <c r="W250" s="330">
        <f t="shared" si="55"/>
        <v>0</v>
      </c>
      <c r="X250" s="330">
        <f t="shared" si="55"/>
        <v>0</v>
      </c>
      <c r="Y250" s="330">
        <f t="shared" si="55"/>
        <v>0</v>
      </c>
      <c r="Z250" s="334">
        <f t="shared" si="51"/>
        <v>0</v>
      </c>
    </row>
    <row r="251" spans="3:26" ht="16" hidden="1" outlineLevel="1" thickTop="1" thickBot="1">
      <c r="C251" s="74">
        <f t="shared" si="47"/>
        <v>241</v>
      </c>
      <c r="D251" s="75">
        <f t="shared" si="48"/>
        <v>51867</v>
      </c>
      <c r="E251" s="74">
        <f t="shared" si="44"/>
        <v>81</v>
      </c>
      <c r="F251" s="74" t="str">
        <f t="shared" si="45"/>
        <v>Q1-42</v>
      </c>
      <c r="G251" s="74">
        <f t="shared" si="49"/>
        <v>21</v>
      </c>
      <c r="H251" s="74">
        <f t="shared" si="46"/>
        <v>2042</v>
      </c>
      <c r="J251" s="82">
        <f>DATA!L251</f>
        <v>1.4913280572661232</v>
      </c>
      <c r="K251" s="82">
        <f>DATA!M251</f>
        <v>1.2091539223338785</v>
      </c>
      <c r="L251" s="82">
        <f>DATA!N251</f>
        <v>1</v>
      </c>
      <c r="M251" s="82">
        <f>DATA!O251</f>
        <v>1</v>
      </c>
      <c r="N251" s="82">
        <f>DATA!P251</f>
        <v>1</v>
      </c>
      <c r="P251" s="330">
        <f t="shared" ref="P251:S270" si="56">IF(AND($C251&gt;=P$6,$C251&lt;=P$6+P$7-1),P$9/P$7*$K251,0)</f>
        <v>0</v>
      </c>
      <c r="Q251" s="330">
        <f t="shared" si="56"/>
        <v>0</v>
      </c>
      <c r="R251" s="330">
        <f t="shared" si="56"/>
        <v>0</v>
      </c>
      <c r="S251" s="330">
        <f t="shared" si="56"/>
        <v>0</v>
      </c>
      <c r="T251" s="334">
        <f t="shared" si="50"/>
        <v>0</v>
      </c>
      <c r="V251" s="330">
        <f t="shared" ref="V251:Y270" si="57">IF(AND($C251&gt;=V$6,$C251&lt;=V$6+V$7-1),V$9/V$7*$K251,0)</f>
        <v>0</v>
      </c>
      <c r="W251" s="330">
        <f t="shared" si="57"/>
        <v>0</v>
      </c>
      <c r="X251" s="330">
        <f t="shared" si="57"/>
        <v>0</v>
      </c>
      <c r="Y251" s="330">
        <f t="shared" si="57"/>
        <v>0</v>
      </c>
      <c r="Z251" s="334">
        <f t="shared" si="51"/>
        <v>0</v>
      </c>
    </row>
    <row r="252" spans="3:26" ht="16" hidden="1" outlineLevel="1" thickTop="1" thickBot="1">
      <c r="C252" s="74">
        <f t="shared" si="47"/>
        <v>242</v>
      </c>
      <c r="D252" s="75">
        <f t="shared" si="48"/>
        <v>51898</v>
      </c>
      <c r="E252" s="74">
        <f t="shared" si="44"/>
        <v>81</v>
      </c>
      <c r="F252" s="74" t="str">
        <f t="shared" si="45"/>
        <v>Q1-42</v>
      </c>
      <c r="G252" s="74">
        <f t="shared" si="49"/>
        <v>21</v>
      </c>
      <c r="H252" s="74">
        <f t="shared" si="46"/>
        <v>2042</v>
      </c>
      <c r="J252" s="82">
        <f>DATA!L252</f>
        <v>1.4938136040282335</v>
      </c>
      <c r="K252" s="82">
        <f>DATA!M252</f>
        <v>1.2101615506024901</v>
      </c>
      <c r="L252" s="82">
        <f>DATA!N252</f>
        <v>1</v>
      </c>
      <c r="M252" s="82">
        <f>DATA!O252</f>
        <v>1</v>
      </c>
      <c r="N252" s="82">
        <f>DATA!P252</f>
        <v>1</v>
      </c>
      <c r="P252" s="330">
        <f t="shared" si="56"/>
        <v>0</v>
      </c>
      <c r="Q252" s="330">
        <f t="shared" si="56"/>
        <v>0</v>
      </c>
      <c r="R252" s="330">
        <f t="shared" si="56"/>
        <v>0</v>
      </c>
      <c r="S252" s="330">
        <f t="shared" si="56"/>
        <v>0</v>
      </c>
      <c r="T252" s="334">
        <f t="shared" si="50"/>
        <v>0</v>
      </c>
      <c r="V252" s="330">
        <f t="shared" si="57"/>
        <v>0</v>
      </c>
      <c r="W252" s="330">
        <f t="shared" si="57"/>
        <v>0</v>
      </c>
      <c r="X252" s="330">
        <f t="shared" si="57"/>
        <v>0</v>
      </c>
      <c r="Y252" s="330">
        <f t="shared" si="57"/>
        <v>0</v>
      </c>
      <c r="Z252" s="334">
        <f t="shared" si="51"/>
        <v>0</v>
      </c>
    </row>
    <row r="253" spans="3:26" ht="16" hidden="1" outlineLevel="1" thickTop="1" thickBot="1">
      <c r="C253" s="74">
        <f t="shared" si="47"/>
        <v>243</v>
      </c>
      <c r="D253" s="75">
        <f t="shared" si="48"/>
        <v>51926</v>
      </c>
      <c r="E253" s="74">
        <f t="shared" si="44"/>
        <v>81</v>
      </c>
      <c r="F253" s="74" t="str">
        <f t="shared" si="45"/>
        <v>Q1-42</v>
      </c>
      <c r="G253" s="74">
        <f t="shared" si="49"/>
        <v>21</v>
      </c>
      <c r="H253" s="74">
        <f t="shared" si="46"/>
        <v>2042</v>
      </c>
      <c r="J253" s="82">
        <f>DATA!L253</f>
        <v>1.4963032933682805</v>
      </c>
      <c r="K253" s="82">
        <f>DATA!M253</f>
        <v>1.2111700185613254</v>
      </c>
      <c r="L253" s="82">
        <f>DATA!N253</f>
        <v>1</v>
      </c>
      <c r="M253" s="82">
        <f>DATA!O253</f>
        <v>1</v>
      </c>
      <c r="N253" s="82">
        <f>DATA!P253</f>
        <v>1</v>
      </c>
      <c r="P253" s="330">
        <f t="shared" si="56"/>
        <v>0</v>
      </c>
      <c r="Q253" s="330">
        <f t="shared" si="56"/>
        <v>0</v>
      </c>
      <c r="R253" s="330">
        <f t="shared" si="56"/>
        <v>0</v>
      </c>
      <c r="S253" s="330">
        <f t="shared" si="56"/>
        <v>0</v>
      </c>
      <c r="T253" s="334">
        <f t="shared" si="50"/>
        <v>0</v>
      </c>
      <c r="V253" s="330">
        <f t="shared" si="57"/>
        <v>0</v>
      </c>
      <c r="W253" s="330">
        <f t="shared" si="57"/>
        <v>0</v>
      </c>
      <c r="X253" s="330">
        <f t="shared" si="57"/>
        <v>0</v>
      </c>
      <c r="Y253" s="330">
        <f t="shared" si="57"/>
        <v>0</v>
      </c>
      <c r="Z253" s="334">
        <f t="shared" si="51"/>
        <v>0</v>
      </c>
    </row>
    <row r="254" spans="3:26" ht="16" hidden="1" outlineLevel="1" thickTop="1" thickBot="1">
      <c r="C254" s="74">
        <f t="shared" si="47"/>
        <v>244</v>
      </c>
      <c r="D254" s="75">
        <f t="shared" si="48"/>
        <v>51957</v>
      </c>
      <c r="E254" s="74">
        <f t="shared" si="44"/>
        <v>82</v>
      </c>
      <c r="F254" s="74" t="str">
        <f t="shared" si="45"/>
        <v>Q2-42</v>
      </c>
      <c r="G254" s="74">
        <f t="shared" si="49"/>
        <v>21</v>
      </c>
      <c r="H254" s="74">
        <f t="shared" si="46"/>
        <v>2042</v>
      </c>
      <c r="J254" s="82">
        <f>DATA!L254</f>
        <v>1.4987971321905611</v>
      </c>
      <c r="K254" s="82">
        <f>DATA!M254</f>
        <v>1.2121793269101264</v>
      </c>
      <c r="L254" s="82">
        <f>DATA!N254</f>
        <v>1</v>
      </c>
      <c r="M254" s="82">
        <f>DATA!O254</f>
        <v>1</v>
      </c>
      <c r="N254" s="82">
        <f>DATA!P254</f>
        <v>1</v>
      </c>
      <c r="P254" s="330">
        <f t="shared" si="56"/>
        <v>0</v>
      </c>
      <c r="Q254" s="330">
        <f t="shared" si="56"/>
        <v>0</v>
      </c>
      <c r="R254" s="330">
        <f t="shared" si="56"/>
        <v>0</v>
      </c>
      <c r="S254" s="330">
        <f t="shared" si="56"/>
        <v>0</v>
      </c>
      <c r="T254" s="334">
        <f t="shared" si="50"/>
        <v>0</v>
      </c>
      <c r="V254" s="330">
        <f t="shared" si="57"/>
        <v>0</v>
      </c>
      <c r="W254" s="330">
        <f t="shared" si="57"/>
        <v>0</v>
      </c>
      <c r="X254" s="330">
        <f t="shared" si="57"/>
        <v>0</v>
      </c>
      <c r="Y254" s="330">
        <f t="shared" si="57"/>
        <v>0</v>
      </c>
      <c r="Z254" s="334">
        <f t="shared" si="51"/>
        <v>0</v>
      </c>
    </row>
    <row r="255" spans="3:26" ht="16" hidden="1" outlineLevel="1" thickTop="1" thickBot="1">
      <c r="C255" s="74">
        <f t="shared" si="47"/>
        <v>245</v>
      </c>
      <c r="D255" s="75">
        <f t="shared" si="48"/>
        <v>51987</v>
      </c>
      <c r="E255" s="74">
        <f t="shared" si="44"/>
        <v>82</v>
      </c>
      <c r="F255" s="74" t="str">
        <f t="shared" si="45"/>
        <v>Q2-42</v>
      </c>
      <c r="G255" s="74">
        <f t="shared" si="49"/>
        <v>21</v>
      </c>
      <c r="H255" s="74">
        <f t="shared" si="46"/>
        <v>2042</v>
      </c>
      <c r="J255" s="82">
        <f>DATA!L255</f>
        <v>1.5012951274108788</v>
      </c>
      <c r="K255" s="82">
        <f>DATA!M255</f>
        <v>1.2131894763492181</v>
      </c>
      <c r="L255" s="82">
        <f>DATA!N255</f>
        <v>1</v>
      </c>
      <c r="M255" s="82">
        <f>DATA!O255</f>
        <v>1</v>
      </c>
      <c r="N255" s="82">
        <f>DATA!P255</f>
        <v>1</v>
      </c>
      <c r="P255" s="330">
        <f t="shared" si="56"/>
        <v>0</v>
      </c>
      <c r="Q255" s="330">
        <f t="shared" si="56"/>
        <v>0</v>
      </c>
      <c r="R255" s="330">
        <f t="shared" si="56"/>
        <v>0</v>
      </c>
      <c r="S255" s="330">
        <f t="shared" si="56"/>
        <v>0</v>
      </c>
      <c r="T255" s="334">
        <f t="shared" si="50"/>
        <v>0</v>
      </c>
      <c r="V255" s="330">
        <f t="shared" si="57"/>
        <v>0</v>
      </c>
      <c r="W255" s="330">
        <f t="shared" si="57"/>
        <v>0</v>
      </c>
      <c r="X255" s="330">
        <f t="shared" si="57"/>
        <v>0</v>
      </c>
      <c r="Y255" s="330">
        <f t="shared" si="57"/>
        <v>0</v>
      </c>
      <c r="Z255" s="334">
        <f t="shared" si="51"/>
        <v>0</v>
      </c>
    </row>
    <row r="256" spans="3:26" ht="16" hidden="1" outlineLevel="1" thickTop="1" thickBot="1">
      <c r="C256" s="74">
        <f t="shared" si="47"/>
        <v>246</v>
      </c>
      <c r="D256" s="75">
        <f t="shared" si="48"/>
        <v>52018</v>
      </c>
      <c r="E256" s="74">
        <f t="shared" si="44"/>
        <v>82</v>
      </c>
      <c r="F256" s="74" t="str">
        <f t="shared" si="45"/>
        <v>Q2-42</v>
      </c>
      <c r="G256" s="74">
        <f t="shared" si="49"/>
        <v>21</v>
      </c>
      <c r="H256" s="74">
        <f t="shared" si="46"/>
        <v>2042</v>
      </c>
      <c r="J256" s="82">
        <f>DATA!L256</f>
        <v>1.5037972859565636</v>
      </c>
      <c r="K256" s="82">
        <f>DATA!M256</f>
        <v>1.2142004675795091</v>
      </c>
      <c r="L256" s="82">
        <f>DATA!N256</f>
        <v>1</v>
      </c>
      <c r="M256" s="82">
        <f>DATA!O256</f>
        <v>1</v>
      </c>
      <c r="N256" s="82">
        <f>DATA!P256</f>
        <v>1</v>
      </c>
      <c r="P256" s="330">
        <f t="shared" si="56"/>
        <v>0</v>
      </c>
      <c r="Q256" s="330">
        <f t="shared" si="56"/>
        <v>0</v>
      </c>
      <c r="R256" s="330">
        <f t="shared" si="56"/>
        <v>0</v>
      </c>
      <c r="S256" s="330">
        <f t="shared" si="56"/>
        <v>0</v>
      </c>
      <c r="T256" s="334">
        <f t="shared" si="50"/>
        <v>0</v>
      </c>
      <c r="V256" s="330">
        <f t="shared" si="57"/>
        <v>0</v>
      </c>
      <c r="W256" s="330">
        <f t="shared" si="57"/>
        <v>0</v>
      </c>
      <c r="X256" s="330">
        <f t="shared" si="57"/>
        <v>0</v>
      </c>
      <c r="Y256" s="330">
        <f t="shared" si="57"/>
        <v>0</v>
      </c>
      <c r="Z256" s="334">
        <f t="shared" si="51"/>
        <v>0</v>
      </c>
    </row>
    <row r="257" spans="3:26" ht="16" hidden="1" outlineLevel="1" thickTop="1" thickBot="1">
      <c r="C257" s="74">
        <f t="shared" si="47"/>
        <v>247</v>
      </c>
      <c r="D257" s="75">
        <f t="shared" si="48"/>
        <v>52048</v>
      </c>
      <c r="E257" s="74">
        <f t="shared" si="44"/>
        <v>83</v>
      </c>
      <c r="F257" s="74" t="str">
        <f t="shared" si="45"/>
        <v>Q2-42</v>
      </c>
      <c r="G257" s="74">
        <f t="shared" si="49"/>
        <v>21</v>
      </c>
      <c r="H257" s="74">
        <f t="shared" si="46"/>
        <v>2042</v>
      </c>
      <c r="J257" s="82">
        <f>DATA!L257</f>
        <v>1.5063036147664912</v>
      </c>
      <c r="K257" s="82">
        <f>DATA!M257</f>
        <v>1.2152123013024918</v>
      </c>
      <c r="L257" s="82">
        <f>DATA!N257</f>
        <v>1</v>
      </c>
      <c r="M257" s="82">
        <f>DATA!O257</f>
        <v>1</v>
      </c>
      <c r="N257" s="82">
        <f>DATA!P257</f>
        <v>1</v>
      </c>
      <c r="P257" s="330">
        <f t="shared" si="56"/>
        <v>0</v>
      </c>
      <c r="Q257" s="330">
        <f t="shared" si="56"/>
        <v>0</v>
      </c>
      <c r="R257" s="330">
        <f t="shared" si="56"/>
        <v>0</v>
      </c>
      <c r="S257" s="330">
        <f t="shared" si="56"/>
        <v>0</v>
      </c>
      <c r="T257" s="334">
        <f t="shared" si="50"/>
        <v>0</v>
      </c>
      <c r="V257" s="330">
        <f t="shared" si="57"/>
        <v>0</v>
      </c>
      <c r="W257" s="330">
        <f t="shared" si="57"/>
        <v>0</v>
      </c>
      <c r="X257" s="330">
        <f t="shared" si="57"/>
        <v>0</v>
      </c>
      <c r="Y257" s="330">
        <f t="shared" si="57"/>
        <v>0</v>
      </c>
      <c r="Z257" s="334">
        <f t="shared" si="51"/>
        <v>0</v>
      </c>
    </row>
    <row r="258" spans="3:26" ht="16" hidden="1" outlineLevel="1" thickTop="1" thickBot="1">
      <c r="C258" s="74">
        <f t="shared" si="47"/>
        <v>248</v>
      </c>
      <c r="D258" s="75">
        <f t="shared" si="48"/>
        <v>52079</v>
      </c>
      <c r="E258" s="74">
        <f t="shared" si="44"/>
        <v>83</v>
      </c>
      <c r="F258" s="74" t="str">
        <f t="shared" si="45"/>
        <v>Q3-42</v>
      </c>
      <c r="G258" s="74">
        <f t="shared" si="49"/>
        <v>21</v>
      </c>
      <c r="H258" s="74">
        <f t="shared" si="46"/>
        <v>2042</v>
      </c>
      <c r="J258" s="82">
        <f>DATA!L258</f>
        <v>1.5088141207911021</v>
      </c>
      <c r="K258" s="82">
        <f>DATA!M258</f>
        <v>1.2162249782202437</v>
      </c>
      <c r="L258" s="82">
        <f>DATA!N258</f>
        <v>1</v>
      </c>
      <c r="M258" s="82">
        <f>DATA!O258</f>
        <v>1</v>
      </c>
      <c r="N258" s="82">
        <f>DATA!P258</f>
        <v>1</v>
      </c>
      <c r="P258" s="330">
        <f t="shared" si="56"/>
        <v>0</v>
      </c>
      <c r="Q258" s="330">
        <f t="shared" si="56"/>
        <v>0</v>
      </c>
      <c r="R258" s="330">
        <f t="shared" si="56"/>
        <v>0</v>
      </c>
      <c r="S258" s="330">
        <f t="shared" si="56"/>
        <v>0</v>
      </c>
      <c r="T258" s="334">
        <f t="shared" si="50"/>
        <v>0</v>
      </c>
      <c r="V258" s="330">
        <f t="shared" si="57"/>
        <v>0</v>
      </c>
      <c r="W258" s="330">
        <f t="shared" si="57"/>
        <v>0</v>
      </c>
      <c r="X258" s="330">
        <f t="shared" si="57"/>
        <v>0</v>
      </c>
      <c r="Y258" s="330">
        <f t="shared" si="57"/>
        <v>0</v>
      </c>
      <c r="Z258" s="334">
        <f t="shared" si="51"/>
        <v>0</v>
      </c>
    </row>
    <row r="259" spans="3:26" ht="16" hidden="1" outlineLevel="1" thickTop="1" thickBot="1">
      <c r="C259" s="74">
        <f t="shared" si="47"/>
        <v>249</v>
      </c>
      <c r="D259" s="75">
        <f t="shared" si="48"/>
        <v>52110</v>
      </c>
      <c r="E259" s="74">
        <f t="shared" si="44"/>
        <v>83</v>
      </c>
      <c r="F259" s="74" t="str">
        <f t="shared" si="45"/>
        <v>Q3-42</v>
      </c>
      <c r="G259" s="74">
        <f t="shared" si="49"/>
        <v>21</v>
      </c>
      <c r="H259" s="74">
        <f t="shared" si="46"/>
        <v>2042</v>
      </c>
      <c r="J259" s="82">
        <f>DATA!L259</f>
        <v>1.5113288109924208</v>
      </c>
      <c r="K259" s="82">
        <f>DATA!M259</f>
        <v>1.217238499035427</v>
      </c>
      <c r="L259" s="82">
        <f>DATA!N259</f>
        <v>1</v>
      </c>
      <c r="M259" s="82">
        <f>DATA!O259</f>
        <v>1</v>
      </c>
      <c r="N259" s="82">
        <f>DATA!P259</f>
        <v>1</v>
      </c>
      <c r="P259" s="330">
        <f t="shared" si="56"/>
        <v>0</v>
      </c>
      <c r="Q259" s="330">
        <f t="shared" si="56"/>
        <v>0</v>
      </c>
      <c r="R259" s="330">
        <f t="shared" si="56"/>
        <v>0</v>
      </c>
      <c r="S259" s="330">
        <f t="shared" si="56"/>
        <v>0</v>
      </c>
      <c r="T259" s="334">
        <f t="shared" si="50"/>
        <v>0</v>
      </c>
      <c r="V259" s="330">
        <f t="shared" si="57"/>
        <v>0</v>
      </c>
      <c r="W259" s="330">
        <f t="shared" si="57"/>
        <v>0</v>
      </c>
      <c r="X259" s="330">
        <f t="shared" si="57"/>
        <v>0</v>
      </c>
      <c r="Y259" s="330">
        <f t="shared" si="57"/>
        <v>0</v>
      </c>
      <c r="Z259" s="334">
        <f t="shared" si="51"/>
        <v>0</v>
      </c>
    </row>
    <row r="260" spans="3:26" ht="16" hidden="1" outlineLevel="1" thickTop="1" thickBot="1">
      <c r="C260" s="74">
        <f t="shared" si="47"/>
        <v>250</v>
      </c>
      <c r="D260" s="75">
        <f t="shared" si="48"/>
        <v>52140</v>
      </c>
      <c r="E260" s="74">
        <f t="shared" si="44"/>
        <v>84</v>
      </c>
      <c r="F260" s="74" t="str">
        <f t="shared" si="45"/>
        <v>Q3-42</v>
      </c>
      <c r="G260" s="74">
        <f t="shared" si="49"/>
        <v>21</v>
      </c>
      <c r="H260" s="74">
        <f t="shared" si="46"/>
        <v>2042</v>
      </c>
      <c r="J260" s="82">
        <f>DATA!L260</f>
        <v>1.5138476923440749</v>
      </c>
      <c r="K260" s="82">
        <f>DATA!M260</f>
        <v>1.2182528644512898</v>
      </c>
      <c r="L260" s="82">
        <f>DATA!N260</f>
        <v>1</v>
      </c>
      <c r="M260" s="82">
        <f>DATA!O260</f>
        <v>1</v>
      </c>
      <c r="N260" s="82">
        <f>DATA!P260</f>
        <v>1</v>
      </c>
      <c r="P260" s="330">
        <f t="shared" si="56"/>
        <v>0</v>
      </c>
      <c r="Q260" s="330">
        <f t="shared" si="56"/>
        <v>0</v>
      </c>
      <c r="R260" s="330">
        <f t="shared" si="56"/>
        <v>0</v>
      </c>
      <c r="S260" s="330">
        <f t="shared" si="56"/>
        <v>0</v>
      </c>
      <c r="T260" s="334">
        <f t="shared" si="50"/>
        <v>0</v>
      </c>
      <c r="V260" s="330">
        <f t="shared" si="57"/>
        <v>0</v>
      </c>
      <c r="W260" s="330">
        <f t="shared" si="57"/>
        <v>0</v>
      </c>
      <c r="X260" s="330">
        <f t="shared" si="57"/>
        <v>0</v>
      </c>
      <c r="Y260" s="330">
        <f t="shared" si="57"/>
        <v>0</v>
      </c>
      <c r="Z260" s="334">
        <f t="shared" si="51"/>
        <v>0</v>
      </c>
    </row>
    <row r="261" spans="3:26" ht="16" hidden="1" outlineLevel="1" thickTop="1" thickBot="1">
      <c r="C261" s="74">
        <f t="shared" si="47"/>
        <v>251</v>
      </c>
      <c r="D261" s="75">
        <f t="shared" si="48"/>
        <v>52171</v>
      </c>
      <c r="E261" s="74">
        <f t="shared" si="44"/>
        <v>84</v>
      </c>
      <c r="F261" s="74" t="str">
        <f t="shared" si="45"/>
        <v>Q3-42</v>
      </c>
      <c r="G261" s="74">
        <f t="shared" si="49"/>
        <v>21</v>
      </c>
      <c r="H261" s="74">
        <f t="shared" si="46"/>
        <v>2042</v>
      </c>
      <c r="J261" s="82">
        <f>DATA!L261</f>
        <v>1.5163707718313151</v>
      </c>
      <c r="K261" s="82">
        <f>DATA!M261</f>
        <v>1.2192680751716658</v>
      </c>
      <c r="L261" s="82">
        <f>DATA!N261</f>
        <v>1</v>
      </c>
      <c r="M261" s="82">
        <f>DATA!O261</f>
        <v>1</v>
      </c>
      <c r="N261" s="82">
        <f>DATA!P261</f>
        <v>1</v>
      </c>
      <c r="P261" s="330">
        <f t="shared" si="56"/>
        <v>0</v>
      </c>
      <c r="Q261" s="330">
        <f t="shared" si="56"/>
        <v>0</v>
      </c>
      <c r="R261" s="330">
        <f t="shared" si="56"/>
        <v>0</v>
      </c>
      <c r="S261" s="330">
        <f t="shared" si="56"/>
        <v>0</v>
      </c>
      <c r="T261" s="334">
        <f t="shared" si="50"/>
        <v>0</v>
      </c>
      <c r="V261" s="330">
        <f t="shared" si="57"/>
        <v>0</v>
      </c>
      <c r="W261" s="330">
        <f t="shared" si="57"/>
        <v>0</v>
      </c>
      <c r="X261" s="330">
        <f t="shared" si="57"/>
        <v>0</v>
      </c>
      <c r="Y261" s="330">
        <f t="shared" si="57"/>
        <v>0</v>
      </c>
      <c r="Z261" s="334">
        <f t="shared" si="51"/>
        <v>0</v>
      </c>
    </row>
    <row r="262" spans="3:26" ht="16" hidden="1" outlineLevel="1" thickTop="1" thickBot="1">
      <c r="C262" s="74">
        <f t="shared" si="47"/>
        <v>252</v>
      </c>
      <c r="D262" s="75">
        <f t="shared" si="48"/>
        <v>52201</v>
      </c>
      <c r="E262" s="74">
        <f t="shared" si="44"/>
        <v>84</v>
      </c>
      <c r="F262" s="74" t="str">
        <f t="shared" si="45"/>
        <v>Q4-42</v>
      </c>
      <c r="G262" s="74">
        <f t="shared" si="49"/>
        <v>21</v>
      </c>
      <c r="H262" s="74">
        <f t="shared" si="46"/>
        <v>2042</v>
      </c>
      <c r="J262" s="82">
        <f>DATA!L262</f>
        <v>1.5188980564510339</v>
      </c>
      <c r="K262" s="82">
        <f>DATA!M262</f>
        <v>1.2202841319009754</v>
      </c>
      <c r="L262" s="82">
        <f>DATA!N262</f>
        <v>1</v>
      </c>
      <c r="M262" s="82">
        <f>DATA!O262</f>
        <v>1</v>
      </c>
      <c r="N262" s="82">
        <f>DATA!P262</f>
        <v>1</v>
      </c>
      <c r="P262" s="330">
        <f t="shared" si="56"/>
        <v>0</v>
      </c>
      <c r="Q262" s="330">
        <f t="shared" si="56"/>
        <v>0</v>
      </c>
      <c r="R262" s="330">
        <f t="shared" si="56"/>
        <v>0</v>
      </c>
      <c r="S262" s="330">
        <f t="shared" si="56"/>
        <v>0</v>
      </c>
      <c r="T262" s="334">
        <f t="shared" si="50"/>
        <v>0</v>
      </c>
      <c r="V262" s="330">
        <f t="shared" si="57"/>
        <v>0</v>
      </c>
      <c r="W262" s="330">
        <f t="shared" si="57"/>
        <v>0</v>
      </c>
      <c r="X262" s="330">
        <f t="shared" si="57"/>
        <v>0</v>
      </c>
      <c r="Y262" s="330">
        <f t="shared" si="57"/>
        <v>0</v>
      </c>
      <c r="Z262" s="334">
        <f t="shared" si="51"/>
        <v>0</v>
      </c>
    </row>
    <row r="263" spans="3:26" ht="16" hidden="1" outlineLevel="1" thickTop="1" thickBot="1">
      <c r="C263" s="74">
        <f t="shared" si="47"/>
        <v>253</v>
      </c>
      <c r="D263" s="75">
        <f t="shared" si="48"/>
        <v>52232</v>
      </c>
      <c r="E263" s="74">
        <f t="shared" si="44"/>
        <v>85</v>
      </c>
      <c r="F263" s="74" t="str">
        <f t="shared" si="45"/>
        <v>Q1-43</v>
      </c>
      <c r="G263" s="74">
        <f t="shared" si="49"/>
        <v>22</v>
      </c>
      <c r="H263" s="74">
        <f t="shared" si="46"/>
        <v>2043</v>
      </c>
      <c r="J263" s="82">
        <f>DATA!L263</f>
        <v>1.5214295532117856</v>
      </c>
      <c r="K263" s="82">
        <f>DATA!M263</f>
        <v>1.2213010353442262</v>
      </c>
      <c r="L263" s="82">
        <f>DATA!N263</f>
        <v>1</v>
      </c>
      <c r="M263" s="82">
        <f>DATA!O263</f>
        <v>1</v>
      </c>
      <c r="N263" s="82">
        <f>DATA!P263</f>
        <v>1</v>
      </c>
      <c r="P263" s="330">
        <f t="shared" si="56"/>
        <v>0</v>
      </c>
      <c r="Q263" s="330">
        <f t="shared" si="56"/>
        <v>0</v>
      </c>
      <c r="R263" s="330">
        <f t="shared" si="56"/>
        <v>0</v>
      </c>
      <c r="S263" s="330">
        <f t="shared" si="56"/>
        <v>0</v>
      </c>
      <c r="T263" s="334">
        <f t="shared" si="50"/>
        <v>0</v>
      </c>
      <c r="V263" s="330">
        <f t="shared" si="57"/>
        <v>0</v>
      </c>
      <c r="W263" s="330">
        <f t="shared" si="57"/>
        <v>0</v>
      </c>
      <c r="X263" s="330">
        <f t="shared" si="57"/>
        <v>0</v>
      </c>
      <c r="Y263" s="330">
        <f t="shared" si="57"/>
        <v>0</v>
      </c>
      <c r="Z263" s="334">
        <f t="shared" si="51"/>
        <v>0</v>
      </c>
    </row>
    <row r="264" spans="3:26" ht="16" hidden="1" outlineLevel="1" thickTop="1" thickBot="1">
      <c r="C264" s="74">
        <f t="shared" si="47"/>
        <v>254</v>
      </c>
      <c r="D264" s="75">
        <f t="shared" si="48"/>
        <v>52263</v>
      </c>
      <c r="E264" s="74">
        <f t="shared" si="44"/>
        <v>85</v>
      </c>
      <c r="F264" s="74" t="str">
        <f t="shared" si="45"/>
        <v>Q1-43</v>
      </c>
      <c r="G264" s="74">
        <f t="shared" si="49"/>
        <v>22</v>
      </c>
      <c r="H264" s="74">
        <f t="shared" si="46"/>
        <v>2043</v>
      </c>
      <c r="J264" s="82">
        <f>DATA!L264</f>
        <v>1.5239652691338053</v>
      </c>
      <c r="K264" s="82">
        <f>DATA!M264</f>
        <v>1.2223187862070128</v>
      </c>
      <c r="L264" s="82">
        <f>DATA!N264</f>
        <v>1</v>
      </c>
      <c r="M264" s="82">
        <f>DATA!O264</f>
        <v>1</v>
      </c>
      <c r="N264" s="82">
        <f>DATA!P264</f>
        <v>1</v>
      </c>
      <c r="P264" s="330">
        <f t="shared" si="56"/>
        <v>0</v>
      </c>
      <c r="Q264" s="330">
        <f t="shared" si="56"/>
        <v>0</v>
      </c>
      <c r="R264" s="330">
        <f t="shared" si="56"/>
        <v>0</v>
      </c>
      <c r="S264" s="330">
        <f t="shared" si="56"/>
        <v>0</v>
      </c>
      <c r="T264" s="334">
        <f t="shared" si="50"/>
        <v>0</v>
      </c>
      <c r="V264" s="330">
        <f t="shared" si="57"/>
        <v>0</v>
      </c>
      <c r="W264" s="330">
        <f t="shared" si="57"/>
        <v>0</v>
      </c>
      <c r="X264" s="330">
        <f t="shared" si="57"/>
        <v>0</v>
      </c>
      <c r="Y264" s="330">
        <f t="shared" si="57"/>
        <v>0</v>
      </c>
      <c r="Z264" s="334">
        <f t="shared" si="51"/>
        <v>0</v>
      </c>
    </row>
    <row r="265" spans="3:26" ht="16" hidden="1" outlineLevel="1" thickTop="1" thickBot="1">
      <c r="C265" s="74">
        <f t="shared" si="47"/>
        <v>255</v>
      </c>
      <c r="D265" s="75">
        <f t="shared" si="48"/>
        <v>52291</v>
      </c>
      <c r="E265" s="74">
        <f t="shared" si="44"/>
        <v>85</v>
      </c>
      <c r="F265" s="74" t="str">
        <f t="shared" si="45"/>
        <v>Q1-43</v>
      </c>
      <c r="G265" s="74">
        <f t="shared" si="49"/>
        <v>22</v>
      </c>
      <c r="H265" s="74">
        <f t="shared" si="46"/>
        <v>2043</v>
      </c>
      <c r="J265" s="82">
        <f>DATA!L265</f>
        <v>1.5265052112490283</v>
      </c>
      <c r="K265" s="82">
        <f>DATA!M265</f>
        <v>1.2233373851955185</v>
      </c>
      <c r="L265" s="82">
        <f>DATA!N265</f>
        <v>1</v>
      </c>
      <c r="M265" s="82">
        <f>DATA!O265</f>
        <v>1</v>
      </c>
      <c r="N265" s="82">
        <f>DATA!P265</f>
        <v>1</v>
      </c>
      <c r="P265" s="330">
        <f t="shared" si="56"/>
        <v>0</v>
      </c>
      <c r="Q265" s="330">
        <f t="shared" si="56"/>
        <v>0</v>
      </c>
      <c r="R265" s="330">
        <f t="shared" si="56"/>
        <v>0</v>
      </c>
      <c r="S265" s="330">
        <f t="shared" si="56"/>
        <v>0</v>
      </c>
      <c r="T265" s="334">
        <f t="shared" si="50"/>
        <v>0</v>
      </c>
      <c r="V265" s="330">
        <f t="shared" si="57"/>
        <v>0</v>
      </c>
      <c r="W265" s="330">
        <f t="shared" si="57"/>
        <v>0</v>
      </c>
      <c r="X265" s="330">
        <f t="shared" si="57"/>
        <v>0</v>
      </c>
      <c r="Y265" s="330">
        <f t="shared" si="57"/>
        <v>0</v>
      </c>
      <c r="Z265" s="334">
        <f t="shared" si="51"/>
        <v>0</v>
      </c>
    </row>
    <row r="266" spans="3:26" ht="16" hidden="1" outlineLevel="1" thickTop="1" thickBot="1">
      <c r="C266" s="74">
        <f t="shared" si="47"/>
        <v>256</v>
      </c>
      <c r="D266" s="75">
        <f t="shared" si="48"/>
        <v>52322</v>
      </c>
      <c r="E266" s="74">
        <f t="shared" si="44"/>
        <v>86</v>
      </c>
      <c r="F266" s="74" t="str">
        <f t="shared" si="45"/>
        <v>Q2-43</v>
      </c>
      <c r="G266" s="74">
        <f t="shared" si="49"/>
        <v>22</v>
      </c>
      <c r="H266" s="74">
        <f t="shared" si="46"/>
        <v>2043</v>
      </c>
      <c r="J266" s="82">
        <f>DATA!L266</f>
        <v>1.5290493866011101</v>
      </c>
      <c r="K266" s="82">
        <f>DATA!M266</f>
        <v>1.2243568330165147</v>
      </c>
      <c r="L266" s="82">
        <f>DATA!N266</f>
        <v>1</v>
      </c>
      <c r="M266" s="82">
        <f>DATA!O266</f>
        <v>1</v>
      </c>
      <c r="N266" s="82">
        <f>DATA!P266</f>
        <v>1</v>
      </c>
      <c r="P266" s="330">
        <f t="shared" si="56"/>
        <v>0</v>
      </c>
      <c r="Q266" s="330">
        <f t="shared" si="56"/>
        <v>0</v>
      </c>
      <c r="R266" s="330">
        <f t="shared" si="56"/>
        <v>0</v>
      </c>
      <c r="S266" s="330">
        <f t="shared" si="56"/>
        <v>0</v>
      </c>
      <c r="T266" s="334">
        <f t="shared" si="50"/>
        <v>0</v>
      </c>
      <c r="V266" s="330">
        <f t="shared" si="57"/>
        <v>0</v>
      </c>
      <c r="W266" s="330">
        <f t="shared" si="57"/>
        <v>0</v>
      </c>
      <c r="X266" s="330">
        <f t="shared" si="57"/>
        <v>0</v>
      </c>
      <c r="Y266" s="330">
        <f t="shared" si="57"/>
        <v>0</v>
      </c>
      <c r="Z266" s="334">
        <f t="shared" si="51"/>
        <v>0</v>
      </c>
    </row>
    <row r="267" spans="3:26" ht="16" hidden="1" outlineLevel="1" thickTop="1" thickBot="1">
      <c r="C267" s="74">
        <f t="shared" si="47"/>
        <v>257</v>
      </c>
      <c r="D267" s="75">
        <f t="shared" si="48"/>
        <v>52352</v>
      </c>
      <c r="E267" s="74">
        <f t="shared" ref="E267:E330" si="58">INT(INT(C267+2)/3)</f>
        <v>86</v>
      </c>
      <c r="F267" s="74" t="str">
        <f t="shared" ref="F267:F330" si="59">"Q"&amp;INT((MONTH(D267)/4)+1)&amp;"-"&amp;RIGHT(YEAR(D267),2)</f>
        <v>Q2-43</v>
      </c>
      <c r="G267" s="74">
        <f t="shared" si="49"/>
        <v>22</v>
      </c>
      <c r="H267" s="74">
        <f t="shared" ref="H267:H330" si="60">YEAR(D267)</f>
        <v>2043</v>
      </c>
      <c r="J267" s="82">
        <f>DATA!L267</f>
        <v>1.5315978022454453</v>
      </c>
      <c r="K267" s="82">
        <f>DATA!M267</f>
        <v>1.2253771303773617</v>
      </c>
      <c r="L267" s="82">
        <f>DATA!N267</f>
        <v>1</v>
      </c>
      <c r="M267" s="82">
        <f>DATA!O267</f>
        <v>1</v>
      </c>
      <c r="N267" s="82">
        <f>DATA!P267</f>
        <v>1</v>
      </c>
      <c r="P267" s="330">
        <f t="shared" si="56"/>
        <v>0</v>
      </c>
      <c r="Q267" s="330">
        <f t="shared" si="56"/>
        <v>0</v>
      </c>
      <c r="R267" s="330">
        <f t="shared" si="56"/>
        <v>0</v>
      </c>
      <c r="S267" s="330">
        <f t="shared" si="56"/>
        <v>0</v>
      </c>
      <c r="T267" s="334">
        <f t="shared" si="50"/>
        <v>0</v>
      </c>
      <c r="V267" s="330">
        <f t="shared" si="57"/>
        <v>0</v>
      </c>
      <c r="W267" s="330">
        <f t="shared" si="57"/>
        <v>0</v>
      </c>
      <c r="X267" s="330">
        <f t="shared" si="57"/>
        <v>0</v>
      </c>
      <c r="Y267" s="330">
        <f t="shared" si="57"/>
        <v>0</v>
      </c>
      <c r="Z267" s="334">
        <f t="shared" si="51"/>
        <v>0</v>
      </c>
    </row>
    <row r="268" spans="3:26" ht="16" hidden="1" outlineLevel="1" thickTop="1" thickBot="1">
      <c r="C268" s="74">
        <f t="shared" ref="C268:C331" si="61">C267+1</f>
        <v>258</v>
      </c>
      <c r="D268" s="75">
        <f t="shared" ref="D268:D331" si="62">EOMONTH(D267,0)+1</f>
        <v>52383</v>
      </c>
      <c r="E268" s="74">
        <f t="shared" si="58"/>
        <v>86</v>
      </c>
      <c r="F268" s="74" t="str">
        <f t="shared" si="59"/>
        <v>Q2-43</v>
      </c>
      <c r="G268" s="74">
        <f t="shared" ref="G268:G331" si="63">MIN(INT(YEARFRAC(D$11,D280)),30)</f>
        <v>22</v>
      </c>
      <c r="H268" s="74">
        <f t="shared" si="60"/>
        <v>2043</v>
      </c>
      <c r="J268" s="82">
        <f>DATA!L268</f>
        <v>1.5341504652491877</v>
      </c>
      <c r="K268" s="82">
        <f>DATA!M268</f>
        <v>1.2263982779860094</v>
      </c>
      <c r="L268" s="82">
        <f>DATA!N268</f>
        <v>1</v>
      </c>
      <c r="M268" s="82">
        <f>DATA!O268</f>
        <v>1</v>
      </c>
      <c r="N268" s="82">
        <f>DATA!P268</f>
        <v>1</v>
      </c>
      <c r="P268" s="330">
        <f t="shared" si="56"/>
        <v>0</v>
      </c>
      <c r="Q268" s="330">
        <f t="shared" si="56"/>
        <v>0</v>
      </c>
      <c r="R268" s="330">
        <f t="shared" si="56"/>
        <v>0</v>
      </c>
      <c r="S268" s="330">
        <f t="shared" si="56"/>
        <v>0</v>
      </c>
      <c r="T268" s="334">
        <f t="shared" ref="T268:T331" si="64">SUM(P268:S268)</f>
        <v>0</v>
      </c>
      <c r="V268" s="330">
        <f t="shared" si="57"/>
        <v>0</v>
      </c>
      <c r="W268" s="330">
        <f t="shared" si="57"/>
        <v>0</v>
      </c>
      <c r="X268" s="330">
        <f t="shared" si="57"/>
        <v>0</v>
      </c>
      <c r="Y268" s="330">
        <f t="shared" si="57"/>
        <v>0</v>
      </c>
      <c r="Z268" s="334">
        <f t="shared" ref="Z268:Z331" si="65">SUM(V268:Y268)</f>
        <v>0</v>
      </c>
    </row>
    <row r="269" spans="3:26" ht="16" hidden="1" outlineLevel="1" thickTop="1" thickBot="1">
      <c r="C269" s="74">
        <f t="shared" si="61"/>
        <v>259</v>
      </c>
      <c r="D269" s="75">
        <f t="shared" si="62"/>
        <v>52413</v>
      </c>
      <c r="E269" s="74">
        <f t="shared" si="58"/>
        <v>87</v>
      </c>
      <c r="F269" s="74" t="str">
        <f t="shared" si="59"/>
        <v>Q2-43</v>
      </c>
      <c r="G269" s="74">
        <f t="shared" si="63"/>
        <v>22</v>
      </c>
      <c r="H269" s="74">
        <f t="shared" si="60"/>
        <v>2043</v>
      </c>
      <c r="J269" s="82">
        <f>DATA!L269</f>
        <v>1.5367073826912698</v>
      </c>
      <c r="K269" s="82">
        <f>DATA!M269</f>
        <v>1.2274202765509976</v>
      </c>
      <c r="L269" s="82">
        <f>DATA!N269</f>
        <v>1</v>
      </c>
      <c r="M269" s="82">
        <f>DATA!O269</f>
        <v>1</v>
      </c>
      <c r="N269" s="82">
        <f>DATA!P269</f>
        <v>1</v>
      </c>
      <c r="P269" s="330">
        <f t="shared" si="56"/>
        <v>0</v>
      </c>
      <c r="Q269" s="330">
        <f t="shared" si="56"/>
        <v>0</v>
      </c>
      <c r="R269" s="330">
        <f t="shared" si="56"/>
        <v>0</v>
      </c>
      <c r="S269" s="330">
        <f t="shared" si="56"/>
        <v>0</v>
      </c>
      <c r="T269" s="334">
        <f t="shared" si="64"/>
        <v>0</v>
      </c>
      <c r="V269" s="330">
        <f t="shared" si="57"/>
        <v>0</v>
      </c>
      <c r="W269" s="330">
        <f t="shared" si="57"/>
        <v>0</v>
      </c>
      <c r="X269" s="330">
        <f t="shared" si="57"/>
        <v>0</v>
      </c>
      <c r="Y269" s="330">
        <f t="shared" si="57"/>
        <v>0</v>
      </c>
      <c r="Z269" s="334">
        <f t="shared" si="65"/>
        <v>0</v>
      </c>
    </row>
    <row r="270" spans="3:26" ht="16" hidden="1" outlineLevel="1" thickTop="1" thickBot="1">
      <c r="C270" s="74">
        <f t="shared" si="61"/>
        <v>260</v>
      </c>
      <c r="D270" s="75">
        <f t="shared" si="62"/>
        <v>52444</v>
      </c>
      <c r="E270" s="74">
        <f t="shared" si="58"/>
        <v>87</v>
      </c>
      <c r="F270" s="74" t="str">
        <f t="shared" si="59"/>
        <v>Q3-43</v>
      </c>
      <c r="G270" s="74">
        <f t="shared" si="63"/>
        <v>22</v>
      </c>
      <c r="H270" s="74">
        <f t="shared" si="60"/>
        <v>2043</v>
      </c>
      <c r="J270" s="82">
        <f>DATA!L270</f>
        <v>1.539268561662422</v>
      </c>
      <c r="K270" s="82">
        <f>DATA!M270</f>
        <v>1.2284431267814566</v>
      </c>
      <c r="L270" s="82">
        <f>DATA!N270</f>
        <v>1</v>
      </c>
      <c r="M270" s="82">
        <f>DATA!O270</f>
        <v>1</v>
      </c>
      <c r="N270" s="82">
        <f>DATA!P270</f>
        <v>1</v>
      </c>
      <c r="P270" s="330">
        <f t="shared" si="56"/>
        <v>0</v>
      </c>
      <c r="Q270" s="330">
        <f t="shared" si="56"/>
        <v>0</v>
      </c>
      <c r="R270" s="330">
        <f t="shared" si="56"/>
        <v>0</v>
      </c>
      <c r="S270" s="330">
        <f t="shared" si="56"/>
        <v>0</v>
      </c>
      <c r="T270" s="334">
        <f t="shared" si="64"/>
        <v>0</v>
      </c>
      <c r="V270" s="330">
        <f t="shared" si="57"/>
        <v>0</v>
      </c>
      <c r="W270" s="330">
        <f t="shared" si="57"/>
        <v>0</v>
      </c>
      <c r="X270" s="330">
        <f t="shared" si="57"/>
        <v>0</v>
      </c>
      <c r="Y270" s="330">
        <f t="shared" si="57"/>
        <v>0</v>
      </c>
      <c r="Z270" s="334">
        <f t="shared" si="65"/>
        <v>0</v>
      </c>
    </row>
    <row r="271" spans="3:26" ht="16" hidden="1" outlineLevel="1" thickTop="1" thickBot="1">
      <c r="C271" s="74">
        <f t="shared" si="61"/>
        <v>261</v>
      </c>
      <c r="D271" s="75">
        <f t="shared" si="62"/>
        <v>52475</v>
      </c>
      <c r="E271" s="74">
        <f t="shared" si="58"/>
        <v>87</v>
      </c>
      <c r="F271" s="74" t="str">
        <f t="shared" si="59"/>
        <v>Q3-43</v>
      </c>
      <c r="G271" s="74">
        <f t="shared" si="63"/>
        <v>22</v>
      </c>
      <c r="H271" s="74">
        <f t="shared" si="60"/>
        <v>2043</v>
      </c>
      <c r="J271" s="82">
        <f>DATA!L271</f>
        <v>1.5418340092651928</v>
      </c>
      <c r="K271" s="82">
        <f>DATA!M271</f>
        <v>1.2294668293871078</v>
      </c>
      <c r="L271" s="82">
        <f>DATA!N271</f>
        <v>1</v>
      </c>
      <c r="M271" s="82">
        <f>DATA!O271</f>
        <v>1</v>
      </c>
      <c r="N271" s="82">
        <f>DATA!P271</f>
        <v>1</v>
      </c>
      <c r="P271" s="330">
        <f t="shared" ref="P271:S290" si="66">IF(AND($C271&gt;=P$6,$C271&lt;=P$6+P$7-1),P$9/P$7*$K271,0)</f>
        <v>0</v>
      </c>
      <c r="Q271" s="330">
        <f t="shared" si="66"/>
        <v>0</v>
      </c>
      <c r="R271" s="330">
        <f t="shared" si="66"/>
        <v>0</v>
      </c>
      <c r="S271" s="330">
        <f t="shared" si="66"/>
        <v>0</v>
      </c>
      <c r="T271" s="334">
        <f t="shared" si="64"/>
        <v>0</v>
      </c>
      <c r="V271" s="330">
        <f t="shared" ref="V271:Y290" si="67">IF(AND($C271&gt;=V$6,$C271&lt;=V$6+V$7-1),V$9/V$7*$K271,0)</f>
        <v>0</v>
      </c>
      <c r="W271" s="330">
        <f t="shared" si="67"/>
        <v>0</v>
      </c>
      <c r="X271" s="330">
        <f t="shared" si="67"/>
        <v>0</v>
      </c>
      <c r="Y271" s="330">
        <f t="shared" si="67"/>
        <v>0</v>
      </c>
      <c r="Z271" s="334">
        <f t="shared" si="65"/>
        <v>0</v>
      </c>
    </row>
    <row r="272" spans="3:26" ht="16" hidden="1" outlineLevel="1" thickTop="1" thickBot="1">
      <c r="C272" s="74">
        <f t="shared" si="61"/>
        <v>262</v>
      </c>
      <c r="D272" s="75">
        <f t="shared" si="62"/>
        <v>52505</v>
      </c>
      <c r="E272" s="74">
        <f t="shared" si="58"/>
        <v>88</v>
      </c>
      <c r="F272" s="74" t="str">
        <f t="shared" si="59"/>
        <v>Q3-43</v>
      </c>
      <c r="G272" s="74">
        <f t="shared" si="63"/>
        <v>22</v>
      </c>
      <c r="H272" s="74">
        <f t="shared" si="60"/>
        <v>2043</v>
      </c>
      <c r="J272" s="82">
        <f>DATA!L272</f>
        <v>1.5444037326139681</v>
      </c>
      <c r="K272" s="82">
        <f>DATA!M272</f>
        <v>1.2304913850782637</v>
      </c>
      <c r="L272" s="82">
        <f>DATA!N272</f>
        <v>1</v>
      </c>
      <c r="M272" s="82">
        <f>DATA!O272</f>
        <v>1</v>
      </c>
      <c r="N272" s="82">
        <f>DATA!P272</f>
        <v>1</v>
      </c>
      <c r="P272" s="330">
        <f t="shared" si="66"/>
        <v>0</v>
      </c>
      <c r="Q272" s="330">
        <f t="shared" si="66"/>
        <v>0</v>
      </c>
      <c r="R272" s="330">
        <f t="shared" si="66"/>
        <v>0</v>
      </c>
      <c r="S272" s="330">
        <f t="shared" si="66"/>
        <v>0</v>
      </c>
      <c r="T272" s="334">
        <f t="shared" si="64"/>
        <v>0</v>
      </c>
      <c r="V272" s="330">
        <f t="shared" si="67"/>
        <v>0</v>
      </c>
      <c r="W272" s="330">
        <f t="shared" si="67"/>
        <v>0</v>
      </c>
      <c r="X272" s="330">
        <f t="shared" si="67"/>
        <v>0</v>
      </c>
      <c r="Y272" s="330">
        <f t="shared" si="67"/>
        <v>0</v>
      </c>
      <c r="Z272" s="334">
        <f t="shared" si="65"/>
        <v>0</v>
      </c>
    </row>
    <row r="273" spans="3:26" ht="16" hidden="1" outlineLevel="1" thickTop="1" thickBot="1">
      <c r="C273" s="74">
        <f t="shared" si="61"/>
        <v>263</v>
      </c>
      <c r="D273" s="75">
        <f t="shared" si="62"/>
        <v>52536</v>
      </c>
      <c r="E273" s="74">
        <f t="shared" si="58"/>
        <v>88</v>
      </c>
      <c r="F273" s="74" t="str">
        <f t="shared" si="59"/>
        <v>Q3-43</v>
      </c>
      <c r="G273" s="74">
        <f t="shared" si="63"/>
        <v>22</v>
      </c>
      <c r="H273" s="74">
        <f t="shared" si="60"/>
        <v>2043</v>
      </c>
      <c r="J273" s="82">
        <f>DATA!L273</f>
        <v>1.5469777388349915</v>
      </c>
      <c r="K273" s="82">
        <f>DATA!M273</f>
        <v>1.2315167945658287</v>
      </c>
      <c r="L273" s="82">
        <f>DATA!N273</f>
        <v>1</v>
      </c>
      <c r="M273" s="82">
        <f>DATA!O273</f>
        <v>1</v>
      </c>
      <c r="N273" s="82">
        <f>DATA!P273</f>
        <v>1</v>
      </c>
      <c r="P273" s="330">
        <f t="shared" si="66"/>
        <v>0</v>
      </c>
      <c r="Q273" s="330">
        <f t="shared" si="66"/>
        <v>0</v>
      </c>
      <c r="R273" s="330">
        <f t="shared" si="66"/>
        <v>0</v>
      </c>
      <c r="S273" s="330">
        <f t="shared" si="66"/>
        <v>0</v>
      </c>
      <c r="T273" s="334">
        <f t="shared" si="64"/>
        <v>0</v>
      </c>
      <c r="V273" s="330">
        <f t="shared" si="67"/>
        <v>0</v>
      </c>
      <c r="W273" s="330">
        <f t="shared" si="67"/>
        <v>0</v>
      </c>
      <c r="X273" s="330">
        <f t="shared" si="67"/>
        <v>0</v>
      </c>
      <c r="Y273" s="330">
        <f t="shared" si="67"/>
        <v>0</v>
      </c>
      <c r="Z273" s="334">
        <f t="shared" si="65"/>
        <v>0</v>
      </c>
    </row>
    <row r="274" spans="3:26" ht="16" hidden="1" outlineLevel="1" thickTop="1" thickBot="1">
      <c r="C274" s="74">
        <f t="shared" si="61"/>
        <v>264</v>
      </c>
      <c r="D274" s="75">
        <f t="shared" si="62"/>
        <v>52566</v>
      </c>
      <c r="E274" s="74">
        <f t="shared" si="58"/>
        <v>88</v>
      </c>
      <c r="F274" s="74" t="str">
        <f t="shared" si="59"/>
        <v>Q4-43</v>
      </c>
      <c r="G274" s="74">
        <f t="shared" si="63"/>
        <v>22</v>
      </c>
      <c r="H274" s="74">
        <f t="shared" si="60"/>
        <v>2043</v>
      </c>
      <c r="J274" s="82">
        <f>DATA!L274</f>
        <v>1.5495560350663831</v>
      </c>
      <c r="K274" s="82">
        <f>DATA!M274</f>
        <v>1.2325430585613002</v>
      </c>
      <c r="L274" s="82">
        <f>DATA!N274</f>
        <v>1</v>
      </c>
      <c r="M274" s="82">
        <f>DATA!O274</f>
        <v>1</v>
      </c>
      <c r="N274" s="82">
        <f>DATA!P274</f>
        <v>1</v>
      </c>
      <c r="P274" s="330">
        <f t="shared" si="66"/>
        <v>0</v>
      </c>
      <c r="Q274" s="330">
        <f t="shared" si="66"/>
        <v>0</v>
      </c>
      <c r="R274" s="330">
        <f t="shared" si="66"/>
        <v>0</v>
      </c>
      <c r="S274" s="330">
        <f t="shared" si="66"/>
        <v>0</v>
      </c>
      <c r="T274" s="334">
        <f t="shared" si="64"/>
        <v>0</v>
      </c>
      <c r="V274" s="330">
        <f t="shared" si="67"/>
        <v>0</v>
      </c>
      <c r="W274" s="330">
        <f t="shared" si="67"/>
        <v>0</v>
      </c>
      <c r="X274" s="330">
        <f t="shared" si="67"/>
        <v>0</v>
      </c>
      <c r="Y274" s="330">
        <f t="shared" si="67"/>
        <v>0</v>
      </c>
      <c r="Z274" s="334">
        <f t="shared" si="65"/>
        <v>0</v>
      </c>
    </row>
    <row r="275" spans="3:26" ht="16" hidden="1" outlineLevel="1" thickTop="1" thickBot="1">
      <c r="C275" s="74">
        <f t="shared" si="61"/>
        <v>265</v>
      </c>
      <c r="D275" s="75">
        <f t="shared" si="62"/>
        <v>52597</v>
      </c>
      <c r="E275" s="74">
        <f t="shared" si="58"/>
        <v>89</v>
      </c>
      <c r="F275" s="74" t="str">
        <f t="shared" si="59"/>
        <v>Q1-44</v>
      </c>
      <c r="G275" s="74">
        <f t="shared" si="63"/>
        <v>23</v>
      </c>
      <c r="H275" s="74">
        <f t="shared" si="60"/>
        <v>2044</v>
      </c>
      <c r="J275" s="82">
        <f>DATA!L275</f>
        <v>1.5521386284581604</v>
      </c>
      <c r="K275" s="82">
        <f>DATA!M275</f>
        <v>1.2335701777767678</v>
      </c>
      <c r="L275" s="82">
        <f>DATA!N275</f>
        <v>1</v>
      </c>
      <c r="M275" s="82">
        <f>DATA!O275</f>
        <v>1</v>
      </c>
      <c r="N275" s="82">
        <f>DATA!P275</f>
        <v>1</v>
      </c>
      <c r="P275" s="330">
        <f t="shared" si="66"/>
        <v>0</v>
      </c>
      <c r="Q275" s="330">
        <f t="shared" si="66"/>
        <v>0</v>
      </c>
      <c r="R275" s="330">
        <f t="shared" si="66"/>
        <v>0</v>
      </c>
      <c r="S275" s="330">
        <f t="shared" si="66"/>
        <v>0</v>
      </c>
      <c r="T275" s="334">
        <f t="shared" si="64"/>
        <v>0</v>
      </c>
      <c r="V275" s="330">
        <f t="shared" si="67"/>
        <v>0</v>
      </c>
      <c r="W275" s="330">
        <f t="shared" si="67"/>
        <v>0</v>
      </c>
      <c r="X275" s="330">
        <f t="shared" si="67"/>
        <v>0</v>
      </c>
      <c r="Y275" s="330">
        <f t="shared" si="67"/>
        <v>0</v>
      </c>
      <c r="Z275" s="334">
        <f t="shared" si="65"/>
        <v>0</v>
      </c>
    </row>
    <row r="276" spans="3:26" ht="16" hidden="1" outlineLevel="1" thickTop="1" thickBot="1">
      <c r="C276" s="74">
        <f t="shared" si="61"/>
        <v>266</v>
      </c>
      <c r="D276" s="75">
        <f t="shared" si="62"/>
        <v>52628</v>
      </c>
      <c r="E276" s="74">
        <f t="shared" si="58"/>
        <v>89</v>
      </c>
      <c r="F276" s="74" t="str">
        <f t="shared" si="59"/>
        <v>Q1-44</v>
      </c>
      <c r="G276" s="74">
        <f t="shared" si="63"/>
        <v>23</v>
      </c>
      <c r="H276" s="74">
        <f t="shared" si="60"/>
        <v>2044</v>
      </c>
      <c r="J276" s="82">
        <f>DATA!L276</f>
        <v>1.5547255261722575</v>
      </c>
      <c r="K276" s="82">
        <f>DATA!M276</f>
        <v>1.234598152924915</v>
      </c>
      <c r="L276" s="82">
        <f>DATA!N276</f>
        <v>1</v>
      </c>
      <c r="M276" s="82">
        <f>DATA!O276</f>
        <v>1</v>
      </c>
      <c r="N276" s="82">
        <f>DATA!P276</f>
        <v>1</v>
      </c>
      <c r="P276" s="330">
        <f t="shared" si="66"/>
        <v>0</v>
      </c>
      <c r="Q276" s="330">
        <f t="shared" si="66"/>
        <v>0</v>
      </c>
      <c r="R276" s="330">
        <f t="shared" si="66"/>
        <v>0</v>
      </c>
      <c r="S276" s="330">
        <f t="shared" si="66"/>
        <v>0</v>
      </c>
      <c r="T276" s="334">
        <f t="shared" si="64"/>
        <v>0</v>
      </c>
      <c r="V276" s="330">
        <f t="shared" si="67"/>
        <v>0</v>
      </c>
      <c r="W276" s="330">
        <f t="shared" si="67"/>
        <v>0</v>
      </c>
      <c r="X276" s="330">
        <f t="shared" si="67"/>
        <v>0</v>
      </c>
      <c r="Y276" s="330">
        <f t="shared" si="67"/>
        <v>0</v>
      </c>
      <c r="Z276" s="334">
        <f t="shared" si="65"/>
        <v>0</v>
      </c>
    </row>
    <row r="277" spans="3:26" ht="16" hidden="1" outlineLevel="1" thickTop="1" thickBot="1">
      <c r="C277" s="74">
        <f t="shared" si="61"/>
        <v>267</v>
      </c>
      <c r="D277" s="75">
        <f t="shared" si="62"/>
        <v>52657</v>
      </c>
      <c r="E277" s="74">
        <f t="shared" si="58"/>
        <v>89</v>
      </c>
      <c r="F277" s="74" t="str">
        <f t="shared" si="59"/>
        <v>Q1-44</v>
      </c>
      <c r="G277" s="74">
        <f t="shared" si="63"/>
        <v>23</v>
      </c>
      <c r="H277" s="74">
        <f t="shared" si="60"/>
        <v>2044</v>
      </c>
      <c r="J277" s="82">
        <f>DATA!L277</f>
        <v>1.5573167353825446</v>
      </c>
      <c r="K277" s="82">
        <f>DATA!M277</f>
        <v>1.2356269847190191</v>
      </c>
      <c r="L277" s="82">
        <f>DATA!N277</f>
        <v>1</v>
      </c>
      <c r="M277" s="82">
        <f>DATA!O277</f>
        <v>1</v>
      </c>
      <c r="N277" s="82">
        <f>DATA!P277</f>
        <v>1</v>
      </c>
      <c r="P277" s="330">
        <f t="shared" si="66"/>
        <v>0</v>
      </c>
      <c r="Q277" s="330">
        <f t="shared" si="66"/>
        <v>0</v>
      </c>
      <c r="R277" s="330">
        <f t="shared" si="66"/>
        <v>0</v>
      </c>
      <c r="S277" s="330">
        <f t="shared" si="66"/>
        <v>0</v>
      </c>
      <c r="T277" s="334">
        <f t="shared" si="64"/>
        <v>0</v>
      </c>
      <c r="V277" s="330">
        <f t="shared" si="67"/>
        <v>0</v>
      </c>
      <c r="W277" s="330">
        <f t="shared" si="67"/>
        <v>0</v>
      </c>
      <c r="X277" s="330">
        <f t="shared" si="67"/>
        <v>0</v>
      </c>
      <c r="Y277" s="330">
        <f t="shared" si="67"/>
        <v>0</v>
      </c>
      <c r="Z277" s="334">
        <f t="shared" si="65"/>
        <v>0</v>
      </c>
    </row>
    <row r="278" spans="3:26" ht="16" hidden="1" outlineLevel="1" thickTop="1" thickBot="1">
      <c r="C278" s="74">
        <f t="shared" si="61"/>
        <v>268</v>
      </c>
      <c r="D278" s="75">
        <f t="shared" si="62"/>
        <v>52688</v>
      </c>
      <c r="E278" s="74">
        <f t="shared" si="58"/>
        <v>90</v>
      </c>
      <c r="F278" s="74" t="str">
        <f t="shared" si="59"/>
        <v>Q2-44</v>
      </c>
      <c r="G278" s="74">
        <f t="shared" si="63"/>
        <v>23</v>
      </c>
      <c r="H278" s="74">
        <f t="shared" si="60"/>
        <v>2044</v>
      </c>
      <c r="J278" s="82">
        <f>DATA!L278</f>
        <v>1.5599122632748488</v>
      </c>
      <c r="K278" s="82">
        <f>DATA!M278</f>
        <v>1.2366566738729514</v>
      </c>
      <c r="L278" s="82">
        <f>DATA!N278</f>
        <v>1</v>
      </c>
      <c r="M278" s="82">
        <f>DATA!O278</f>
        <v>1</v>
      </c>
      <c r="N278" s="82">
        <f>DATA!P278</f>
        <v>1</v>
      </c>
      <c r="P278" s="330">
        <f t="shared" si="66"/>
        <v>0</v>
      </c>
      <c r="Q278" s="330">
        <f t="shared" si="66"/>
        <v>0</v>
      </c>
      <c r="R278" s="330">
        <f t="shared" si="66"/>
        <v>0</v>
      </c>
      <c r="S278" s="330">
        <f t="shared" si="66"/>
        <v>0</v>
      </c>
      <c r="T278" s="334">
        <f t="shared" si="64"/>
        <v>0</v>
      </c>
      <c r="V278" s="330">
        <f t="shared" si="67"/>
        <v>0</v>
      </c>
      <c r="W278" s="330">
        <f t="shared" si="67"/>
        <v>0</v>
      </c>
      <c r="X278" s="330">
        <f t="shared" si="67"/>
        <v>0</v>
      </c>
      <c r="Y278" s="330">
        <f t="shared" si="67"/>
        <v>0</v>
      </c>
      <c r="Z278" s="334">
        <f t="shared" si="65"/>
        <v>0</v>
      </c>
    </row>
    <row r="279" spans="3:26" ht="16" hidden="1" outlineLevel="1" thickTop="1" thickBot="1">
      <c r="C279" s="74">
        <f t="shared" si="61"/>
        <v>269</v>
      </c>
      <c r="D279" s="75">
        <f t="shared" si="62"/>
        <v>52718</v>
      </c>
      <c r="E279" s="74">
        <f t="shared" si="58"/>
        <v>90</v>
      </c>
      <c r="F279" s="74" t="str">
        <f t="shared" si="59"/>
        <v>Q2-44</v>
      </c>
      <c r="G279" s="74">
        <f t="shared" si="63"/>
        <v>23</v>
      </c>
      <c r="H279" s="74">
        <f t="shared" si="60"/>
        <v>2044</v>
      </c>
      <c r="J279" s="82">
        <f>DATA!L279</f>
        <v>1.5625121170469736</v>
      </c>
      <c r="K279" s="82">
        <f>DATA!M279</f>
        <v>1.2376872211011787</v>
      </c>
      <c r="L279" s="82">
        <f>DATA!N279</f>
        <v>1</v>
      </c>
      <c r="M279" s="82">
        <f>DATA!O279</f>
        <v>1</v>
      </c>
      <c r="N279" s="82">
        <f>DATA!P279</f>
        <v>1</v>
      </c>
      <c r="P279" s="330">
        <f t="shared" si="66"/>
        <v>0</v>
      </c>
      <c r="Q279" s="330">
        <f t="shared" si="66"/>
        <v>0</v>
      </c>
      <c r="R279" s="330">
        <f t="shared" si="66"/>
        <v>0</v>
      </c>
      <c r="S279" s="330">
        <f t="shared" si="66"/>
        <v>0</v>
      </c>
      <c r="T279" s="334">
        <f t="shared" si="64"/>
        <v>0</v>
      </c>
      <c r="V279" s="330">
        <f t="shared" si="67"/>
        <v>0</v>
      </c>
      <c r="W279" s="330">
        <f t="shared" si="67"/>
        <v>0</v>
      </c>
      <c r="X279" s="330">
        <f t="shared" si="67"/>
        <v>0</v>
      </c>
      <c r="Y279" s="330">
        <f t="shared" si="67"/>
        <v>0</v>
      </c>
      <c r="Z279" s="334">
        <f t="shared" si="65"/>
        <v>0</v>
      </c>
    </row>
    <row r="280" spans="3:26" ht="16" hidden="1" outlineLevel="1" thickTop="1" thickBot="1">
      <c r="C280" s="74">
        <f t="shared" si="61"/>
        <v>270</v>
      </c>
      <c r="D280" s="75">
        <f t="shared" si="62"/>
        <v>52749</v>
      </c>
      <c r="E280" s="74">
        <f t="shared" si="58"/>
        <v>90</v>
      </c>
      <c r="F280" s="74" t="str">
        <f t="shared" si="59"/>
        <v>Q2-44</v>
      </c>
      <c r="G280" s="74">
        <f t="shared" si="63"/>
        <v>23</v>
      </c>
      <c r="H280" s="74">
        <f t="shared" si="60"/>
        <v>2044</v>
      </c>
      <c r="J280" s="82">
        <f>DATA!L280</f>
        <v>1.5651163039087186</v>
      </c>
      <c r="K280" s="82">
        <f>DATA!M280</f>
        <v>1.2387186271187629</v>
      </c>
      <c r="L280" s="82">
        <f>DATA!N280</f>
        <v>1</v>
      </c>
      <c r="M280" s="82">
        <f>DATA!O280</f>
        <v>1</v>
      </c>
      <c r="N280" s="82">
        <f>DATA!P280</f>
        <v>1</v>
      </c>
      <c r="P280" s="330">
        <f t="shared" si="66"/>
        <v>0</v>
      </c>
      <c r="Q280" s="330">
        <f t="shared" si="66"/>
        <v>0</v>
      </c>
      <c r="R280" s="330">
        <f t="shared" si="66"/>
        <v>0</v>
      </c>
      <c r="S280" s="330">
        <f t="shared" si="66"/>
        <v>0</v>
      </c>
      <c r="T280" s="334">
        <f t="shared" si="64"/>
        <v>0</v>
      </c>
      <c r="V280" s="330">
        <f t="shared" si="67"/>
        <v>0</v>
      </c>
      <c r="W280" s="330">
        <f t="shared" si="67"/>
        <v>0</v>
      </c>
      <c r="X280" s="330">
        <f t="shared" si="67"/>
        <v>0</v>
      </c>
      <c r="Y280" s="330">
        <f t="shared" si="67"/>
        <v>0</v>
      </c>
      <c r="Z280" s="334">
        <f t="shared" si="65"/>
        <v>0</v>
      </c>
    </row>
    <row r="281" spans="3:26" ht="16" hidden="1" outlineLevel="1" thickTop="1" thickBot="1">
      <c r="C281" s="74">
        <f t="shared" si="61"/>
        <v>271</v>
      </c>
      <c r="D281" s="75">
        <f t="shared" si="62"/>
        <v>52779</v>
      </c>
      <c r="E281" s="74">
        <f t="shared" si="58"/>
        <v>91</v>
      </c>
      <c r="F281" s="74" t="str">
        <f t="shared" si="59"/>
        <v>Q2-44</v>
      </c>
      <c r="G281" s="74">
        <f t="shared" si="63"/>
        <v>23</v>
      </c>
      <c r="H281" s="74">
        <f t="shared" si="60"/>
        <v>2044</v>
      </c>
      <c r="J281" s="82">
        <f>DATA!L281</f>
        <v>1.5677248310818999</v>
      </c>
      <c r="K281" s="82">
        <f>DATA!M281</f>
        <v>1.2397508926413618</v>
      </c>
      <c r="L281" s="82">
        <f>DATA!N281</f>
        <v>1</v>
      </c>
      <c r="M281" s="82">
        <f>DATA!O281</f>
        <v>1</v>
      </c>
      <c r="N281" s="82">
        <f>DATA!P281</f>
        <v>1</v>
      </c>
      <c r="P281" s="330">
        <f t="shared" si="66"/>
        <v>0</v>
      </c>
      <c r="Q281" s="330">
        <f t="shared" si="66"/>
        <v>0</v>
      </c>
      <c r="R281" s="330">
        <f t="shared" si="66"/>
        <v>0</v>
      </c>
      <c r="S281" s="330">
        <f t="shared" si="66"/>
        <v>0</v>
      </c>
      <c r="T281" s="334">
        <f t="shared" si="64"/>
        <v>0</v>
      </c>
      <c r="V281" s="330">
        <f t="shared" si="67"/>
        <v>0</v>
      </c>
      <c r="W281" s="330">
        <f t="shared" si="67"/>
        <v>0</v>
      </c>
      <c r="X281" s="330">
        <f t="shared" si="67"/>
        <v>0</v>
      </c>
      <c r="Y281" s="330">
        <f t="shared" si="67"/>
        <v>0</v>
      </c>
      <c r="Z281" s="334">
        <f t="shared" si="65"/>
        <v>0</v>
      </c>
    </row>
    <row r="282" spans="3:26" ht="16" hidden="1" outlineLevel="1" thickTop="1" thickBot="1">
      <c r="C282" s="74">
        <f t="shared" si="61"/>
        <v>272</v>
      </c>
      <c r="D282" s="75">
        <f t="shared" si="62"/>
        <v>52810</v>
      </c>
      <c r="E282" s="74">
        <f t="shared" si="58"/>
        <v>91</v>
      </c>
      <c r="F282" s="74" t="str">
        <f t="shared" si="59"/>
        <v>Q3-44</v>
      </c>
      <c r="G282" s="74">
        <f t="shared" si="63"/>
        <v>23</v>
      </c>
      <c r="H282" s="74">
        <f t="shared" si="60"/>
        <v>2044</v>
      </c>
      <c r="J282" s="82">
        <f>DATA!L282</f>
        <v>1.5703377058003698</v>
      </c>
      <c r="K282" s="82">
        <f>DATA!M282</f>
        <v>1.2407840183852294</v>
      </c>
      <c r="L282" s="82">
        <f>DATA!N282</f>
        <v>1</v>
      </c>
      <c r="M282" s="82">
        <f>DATA!O282</f>
        <v>1</v>
      </c>
      <c r="N282" s="82">
        <f>DATA!P282</f>
        <v>1</v>
      </c>
      <c r="P282" s="330">
        <f t="shared" si="66"/>
        <v>0</v>
      </c>
      <c r="Q282" s="330">
        <f t="shared" si="66"/>
        <v>0</v>
      </c>
      <c r="R282" s="330">
        <f t="shared" si="66"/>
        <v>0</v>
      </c>
      <c r="S282" s="330">
        <f t="shared" si="66"/>
        <v>0</v>
      </c>
      <c r="T282" s="334">
        <f t="shared" si="64"/>
        <v>0</v>
      </c>
      <c r="V282" s="330">
        <f t="shared" si="67"/>
        <v>0</v>
      </c>
      <c r="W282" s="330">
        <f t="shared" si="67"/>
        <v>0</v>
      </c>
      <c r="X282" s="330">
        <f t="shared" si="67"/>
        <v>0</v>
      </c>
      <c r="Y282" s="330">
        <f t="shared" si="67"/>
        <v>0</v>
      </c>
      <c r="Z282" s="334">
        <f t="shared" si="65"/>
        <v>0</v>
      </c>
    </row>
    <row r="283" spans="3:26" ht="16" hidden="1" outlineLevel="1" thickTop="1" thickBot="1">
      <c r="C283" s="74">
        <f t="shared" si="61"/>
        <v>273</v>
      </c>
      <c r="D283" s="75">
        <f t="shared" si="62"/>
        <v>52841</v>
      </c>
      <c r="E283" s="74">
        <f t="shared" si="58"/>
        <v>91</v>
      </c>
      <c r="F283" s="74" t="str">
        <f t="shared" si="59"/>
        <v>Q3-44</v>
      </c>
      <c r="G283" s="74">
        <f t="shared" si="63"/>
        <v>23</v>
      </c>
      <c r="H283" s="74">
        <f t="shared" si="60"/>
        <v>2044</v>
      </c>
      <c r="J283" s="82">
        <f>DATA!L283</f>
        <v>1.5729549353100372</v>
      </c>
      <c r="K283" s="82">
        <f>DATA!M283</f>
        <v>1.241818005067217</v>
      </c>
      <c r="L283" s="82">
        <f>DATA!N283</f>
        <v>1</v>
      </c>
      <c r="M283" s="82">
        <f>DATA!O283</f>
        <v>1</v>
      </c>
      <c r="N283" s="82">
        <f>DATA!P283</f>
        <v>1</v>
      </c>
      <c r="P283" s="330">
        <f t="shared" si="66"/>
        <v>0</v>
      </c>
      <c r="Q283" s="330">
        <f t="shared" si="66"/>
        <v>0</v>
      </c>
      <c r="R283" s="330">
        <f t="shared" si="66"/>
        <v>0</v>
      </c>
      <c r="S283" s="330">
        <f t="shared" si="66"/>
        <v>0</v>
      </c>
      <c r="T283" s="334">
        <f t="shared" si="64"/>
        <v>0</v>
      </c>
      <c r="V283" s="330">
        <f t="shared" si="67"/>
        <v>0</v>
      </c>
      <c r="W283" s="330">
        <f t="shared" si="67"/>
        <v>0</v>
      </c>
      <c r="X283" s="330">
        <f t="shared" si="67"/>
        <v>0</v>
      </c>
      <c r="Y283" s="330">
        <f t="shared" si="67"/>
        <v>0</v>
      </c>
      <c r="Z283" s="334">
        <f t="shared" si="65"/>
        <v>0</v>
      </c>
    </row>
    <row r="284" spans="3:26" ht="16" hidden="1" outlineLevel="1" thickTop="1" thickBot="1">
      <c r="C284" s="74">
        <f t="shared" si="61"/>
        <v>274</v>
      </c>
      <c r="D284" s="75">
        <f t="shared" si="62"/>
        <v>52871</v>
      </c>
      <c r="E284" s="74">
        <f t="shared" si="58"/>
        <v>92</v>
      </c>
      <c r="F284" s="74" t="str">
        <f t="shared" si="59"/>
        <v>Q3-44</v>
      </c>
      <c r="G284" s="74">
        <f t="shared" si="63"/>
        <v>23</v>
      </c>
      <c r="H284" s="74">
        <f t="shared" si="60"/>
        <v>2044</v>
      </c>
      <c r="J284" s="82">
        <f>DATA!L284</f>
        <v>1.5755765268688873</v>
      </c>
      <c r="K284" s="82">
        <f>DATA!M284</f>
        <v>1.2428528534047729</v>
      </c>
      <c r="L284" s="82">
        <f>DATA!N284</f>
        <v>1</v>
      </c>
      <c r="M284" s="82">
        <f>DATA!O284</f>
        <v>1</v>
      </c>
      <c r="N284" s="82">
        <f>DATA!P284</f>
        <v>1</v>
      </c>
      <c r="P284" s="330">
        <f t="shared" si="66"/>
        <v>0</v>
      </c>
      <c r="Q284" s="330">
        <f t="shared" si="66"/>
        <v>0</v>
      </c>
      <c r="R284" s="330">
        <f t="shared" si="66"/>
        <v>0</v>
      </c>
      <c r="S284" s="330">
        <f t="shared" si="66"/>
        <v>0</v>
      </c>
      <c r="T284" s="334">
        <f t="shared" si="64"/>
        <v>0</v>
      </c>
      <c r="V284" s="330">
        <f t="shared" si="67"/>
        <v>0</v>
      </c>
      <c r="W284" s="330">
        <f t="shared" si="67"/>
        <v>0</v>
      </c>
      <c r="X284" s="330">
        <f t="shared" si="67"/>
        <v>0</v>
      </c>
      <c r="Y284" s="330">
        <f t="shared" si="67"/>
        <v>0</v>
      </c>
      <c r="Z284" s="334">
        <f t="shared" si="65"/>
        <v>0</v>
      </c>
    </row>
    <row r="285" spans="3:26" ht="16" hidden="1" outlineLevel="1" thickTop="1" thickBot="1">
      <c r="C285" s="74">
        <f t="shared" si="61"/>
        <v>275</v>
      </c>
      <c r="D285" s="75">
        <f t="shared" si="62"/>
        <v>52902</v>
      </c>
      <c r="E285" s="74">
        <f t="shared" si="58"/>
        <v>92</v>
      </c>
      <c r="F285" s="74" t="str">
        <f t="shared" si="59"/>
        <v>Q3-44</v>
      </c>
      <c r="G285" s="74">
        <f t="shared" si="63"/>
        <v>23</v>
      </c>
      <c r="H285" s="74">
        <f t="shared" si="60"/>
        <v>2044</v>
      </c>
      <c r="J285" s="82">
        <f>DATA!L285</f>
        <v>1.5782024877470022</v>
      </c>
      <c r="K285" s="82">
        <f>DATA!M285</f>
        <v>1.2438885641159434</v>
      </c>
      <c r="L285" s="82">
        <f>DATA!N285</f>
        <v>1</v>
      </c>
      <c r="M285" s="82">
        <f>DATA!O285</f>
        <v>1</v>
      </c>
      <c r="N285" s="82">
        <f>DATA!P285</f>
        <v>1</v>
      </c>
      <c r="P285" s="330">
        <f t="shared" si="66"/>
        <v>0</v>
      </c>
      <c r="Q285" s="330">
        <f t="shared" si="66"/>
        <v>0</v>
      </c>
      <c r="R285" s="330">
        <f t="shared" si="66"/>
        <v>0</v>
      </c>
      <c r="S285" s="330">
        <f t="shared" si="66"/>
        <v>0</v>
      </c>
      <c r="T285" s="334">
        <f t="shared" si="64"/>
        <v>0</v>
      </c>
      <c r="V285" s="330">
        <f t="shared" si="67"/>
        <v>0</v>
      </c>
      <c r="W285" s="330">
        <f t="shared" si="67"/>
        <v>0</v>
      </c>
      <c r="X285" s="330">
        <f t="shared" si="67"/>
        <v>0</v>
      </c>
      <c r="Y285" s="330">
        <f t="shared" si="67"/>
        <v>0</v>
      </c>
      <c r="Z285" s="334">
        <f t="shared" si="65"/>
        <v>0</v>
      </c>
    </row>
    <row r="286" spans="3:26" ht="16" hidden="1" outlineLevel="1" thickTop="1" thickBot="1">
      <c r="C286" s="74">
        <f t="shared" si="61"/>
        <v>276</v>
      </c>
      <c r="D286" s="75">
        <f t="shared" si="62"/>
        <v>52932</v>
      </c>
      <c r="E286" s="74">
        <f t="shared" si="58"/>
        <v>92</v>
      </c>
      <c r="F286" s="74" t="str">
        <f t="shared" si="59"/>
        <v>Q4-44</v>
      </c>
      <c r="G286" s="74">
        <f t="shared" si="63"/>
        <v>23</v>
      </c>
      <c r="H286" s="74">
        <f t="shared" si="60"/>
        <v>2044</v>
      </c>
      <c r="J286" s="82">
        <f>DATA!L286</f>
        <v>1.5808328252265806</v>
      </c>
      <c r="K286" s="82">
        <f>DATA!M286</f>
        <v>1.2449251379193733</v>
      </c>
      <c r="L286" s="82">
        <f>DATA!N286</f>
        <v>1</v>
      </c>
      <c r="M286" s="82">
        <f>DATA!O286</f>
        <v>1</v>
      </c>
      <c r="N286" s="82">
        <f>DATA!P286</f>
        <v>1</v>
      </c>
      <c r="P286" s="330">
        <f t="shared" si="66"/>
        <v>0</v>
      </c>
      <c r="Q286" s="330">
        <f t="shared" si="66"/>
        <v>0</v>
      </c>
      <c r="R286" s="330">
        <f t="shared" si="66"/>
        <v>0</v>
      </c>
      <c r="S286" s="330">
        <f t="shared" si="66"/>
        <v>0</v>
      </c>
      <c r="T286" s="334">
        <f t="shared" si="64"/>
        <v>0</v>
      </c>
      <c r="V286" s="330">
        <f t="shared" si="67"/>
        <v>0</v>
      </c>
      <c r="W286" s="330">
        <f t="shared" si="67"/>
        <v>0</v>
      </c>
      <c r="X286" s="330">
        <f t="shared" si="67"/>
        <v>0</v>
      </c>
      <c r="Y286" s="330">
        <f t="shared" si="67"/>
        <v>0</v>
      </c>
      <c r="Z286" s="334">
        <f t="shared" si="65"/>
        <v>0</v>
      </c>
    </row>
    <row r="287" spans="3:26" ht="16" hidden="1" outlineLevel="1" thickTop="1" thickBot="1">
      <c r="C287" s="74">
        <f t="shared" si="61"/>
        <v>277</v>
      </c>
      <c r="D287" s="75">
        <f t="shared" si="62"/>
        <v>52963</v>
      </c>
      <c r="E287" s="74">
        <f t="shared" si="58"/>
        <v>93</v>
      </c>
      <c r="F287" s="74" t="str">
        <f t="shared" si="59"/>
        <v>Q1-45</v>
      </c>
      <c r="G287" s="74">
        <f t="shared" si="63"/>
        <v>24</v>
      </c>
      <c r="H287" s="74">
        <f t="shared" si="60"/>
        <v>2045</v>
      </c>
      <c r="J287" s="82">
        <f>DATA!L287</f>
        <v>1.5834675466019583</v>
      </c>
      <c r="K287" s="82">
        <f>DATA!M287</f>
        <v>1.245962575534306</v>
      </c>
      <c r="L287" s="82">
        <f>DATA!N287</f>
        <v>1</v>
      </c>
      <c r="M287" s="82">
        <f>DATA!O287</f>
        <v>1</v>
      </c>
      <c r="N287" s="82">
        <f>DATA!P287</f>
        <v>1</v>
      </c>
      <c r="P287" s="330">
        <f t="shared" si="66"/>
        <v>0</v>
      </c>
      <c r="Q287" s="330">
        <f t="shared" si="66"/>
        <v>0</v>
      </c>
      <c r="R287" s="330">
        <f t="shared" si="66"/>
        <v>0</v>
      </c>
      <c r="S287" s="330">
        <f t="shared" si="66"/>
        <v>0</v>
      </c>
      <c r="T287" s="334">
        <f t="shared" si="64"/>
        <v>0</v>
      </c>
      <c r="V287" s="330">
        <f t="shared" si="67"/>
        <v>0</v>
      </c>
      <c r="W287" s="330">
        <f t="shared" si="67"/>
        <v>0</v>
      </c>
      <c r="X287" s="330">
        <f t="shared" si="67"/>
        <v>0</v>
      </c>
      <c r="Y287" s="330">
        <f t="shared" si="67"/>
        <v>0</v>
      </c>
      <c r="Z287" s="334">
        <f t="shared" si="65"/>
        <v>0</v>
      </c>
    </row>
    <row r="288" spans="3:26" ht="16" hidden="1" outlineLevel="1" thickTop="1" thickBot="1">
      <c r="C288" s="74">
        <f t="shared" si="61"/>
        <v>278</v>
      </c>
      <c r="D288" s="75">
        <f t="shared" si="62"/>
        <v>52994</v>
      </c>
      <c r="E288" s="74">
        <f t="shared" si="58"/>
        <v>93</v>
      </c>
      <c r="F288" s="74" t="str">
        <f t="shared" si="59"/>
        <v>Q1-45</v>
      </c>
      <c r="G288" s="74">
        <f t="shared" si="63"/>
        <v>24</v>
      </c>
      <c r="H288" s="74">
        <f t="shared" si="60"/>
        <v>2045</v>
      </c>
      <c r="J288" s="82">
        <f>DATA!L288</f>
        <v>1.5861066591796282</v>
      </c>
      <c r="K288" s="82">
        <f>DATA!M288</f>
        <v>1.2470008776805845</v>
      </c>
      <c r="L288" s="82">
        <f>DATA!N288</f>
        <v>1</v>
      </c>
      <c r="M288" s="82">
        <f>DATA!O288</f>
        <v>1</v>
      </c>
      <c r="N288" s="82">
        <f>DATA!P288</f>
        <v>1</v>
      </c>
      <c r="P288" s="330">
        <f t="shared" si="66"/>
        <v>0</v>
      </c>
      <c r="Q288" s="330">
        <f t="shared" si="66"/>
        <v>0</v>
      </c>
      <c r="R288" s="330">
        <f t="shared" si="66"/>
        <v>0</v>
      </c>
      <c r="S288" s="330">
        <f t="shared" si="66"/>
        <v>0</v>
      </c>
      <c r="T288" s="334">
        <f t="shared" si="64"/>
        <v>0</v>
      </c>
      <c r="V288" s="330">
        <f t="shared" si="67"/>
        <v>0</v>
      </c>
      <c r="W288" s="330">
        <f t="shared" si="67"/>
        <v>0</v>
      </c>
      <c r="X288" s="330">
        <f t="shared" si="67"/>
        <v>0</v>
      </c>
      <c r="Y288" s="330">
        <f t="shared" si="67"/>
        <v>0</v>
      </c>
      <c r="Z288" s="334">
        <f t="shared" si="65"/>
        <v>0</v>
      </c>
    </row>
    <row r="289" spans="3:26" ht="16" hidden="1" outlineLevel="1" thickTop="1" thickBot="1">
      <c r="C289" s="74">
        <f t="shared" si="61"/>
        <v>279</v>
      </c>
      <c r="D289" s="75">
        <f t="shared" si="62"/>
        <v>53022</v>
      </c>
      <c r="E289" s="74">
        <f t="shared" si="58"/>
        <v>93</v>
      </c>
      <c r="F289" s="74" t="str">
        <f t="shared" si="59"/>
        <v>Q1-45</v>
      </c>
      <c r="G289" s="74">
        <f t="shared" si="63"/>
        <v>24</v>
      </c>
      <c r="H289" s="74">
        <f t="shared" si="60"/>
        <v>2045</v>
      </c>
      <c r="J289" s="82">
        <f>DATA!L289</f>
        <v>1.5887501702782609</v>
      </c>
      <c r="K289" s="82">
        <f>DATA!M289</f>
        <v>1.2480400450786515</v>
      </c>
      <c r="L289" s="82">
        <f>DATA!N289</f>
        <v>1</v>
      </c>
      <c r="M289" s="82">
        <f>DATA!O289</f>
        <v>1</v>
      </c>
      <c r="N289" s="82">
        <f>DATA!P289</f>
        <v>1</v>
      </c>
      <c r="P289" s="330">
        <f t="shared" si="66"/>
        <v>0</v>
      </c>
      <c r="Q289" s="330">
        <f t="shared" si="66"/>
        <v>0</v>
      </c>
      <c r="R289" s="330">
        <f t="shared" si="66"/>
        <v>0</v>
      </c>
      <c r="S289" s="330">
        <f t="shared" si="66"/>
        <v>0</v>
      </c>
      <c r="T289" s="334">
        <f t="shared" si="64"/>
        <v>0</v>
      </c>
      <c r="V289" s="330">
        <f t="shared" si="67"/>
        <v>0</v>
      </c>
      <c r="W289" s="330">
        <f t="shared" si="67"/>
        <v>0</v>
      </c>
      <c r="X289" s="330">
        <f t="shared" si="67"/>
        <v>0</v>
      </c>
      <c r="Y289" s="330">
        <f t="shared" si="67"/>
        <v>0</v>
      </c>
      <c r="Z289" s="334">
        <f t="shared" si="65"/>
        <v>0</v>
      </c>
    </row>
    <row r="290" spans="3:26" ht="16" hidden="1" outlineLevel="1" thickTop="1" thickBot="1">
      <c r="C290" s="74">
        <f t="shared" si="61"/>
        <v>280</v>
      </c>
      <c r="D290" s="75">
        <f t="shared" si="62"/>
        <v>53053</v>
      </c>
      <c r="E290" s="74">
        <f t="shared" si="58"/>
        <v>94</v>
      </c>
      <c r="F290" s="74" t="str">
        <f t="shared" si="59"/>
        <v>Q2-45</v>
      </c>
      <c r="G290" s="74">
        <f t="shared" si="63"/>
        <v>24</v>
      </c>
      <c r="H290" s="74">
        <f t="shared" si="60"/>
        <v>2045</v>
      </c>
      <c r="J290" s="82">
        <f>DATA!L290</f>
        <v>1.5913980872287248</v>
      </c>
      <c r="K290" s="82">
        <f>DATA!M290</f>
        <v>1.2490800784495504</v>
      </c>
      <c r="L290" s="82">
        <f>DATA!N290</f>
        <v>1</v>
      </c>
      <c r="M290" s="82">
        <f>DATA!O290</f>
        <v>1</v>
      </c>
      <c r="N290" s="82">
        <f>DATA!P290</f>
        <v>1</v>
      </c>
      <c r="P290" s="330">
        <f t="shared" si="66"/>
        <v>0</v>
      </c>
      <c r="Q290" s="330">
        <f t="shared" si="66"/>
        <v>0</v>
      </c>
      <c r="R290" s="330">
        <f t="shared" si="66"/>
        <v>0</v>
      </c>
      <c r="S290" s="330">
        <f t="shared" si="66"/>
        <v>0</v>
      </c>
      <c r="T290" s="334">
        <f t="shared" si="64"/>
        <v>0</v>
      </c>
      <c r="V290" s="330">
        <f t="shared" si="67"/>
        <v>0</v>
      </c>
      <c r="W290" s="330">
        <f t="shared" si="67"/>
        <v>0</v>
      </c>
      <c r="X290" s="330">
        <f t="shared" si="67"/>
        <v>0</v>
      </c>
      <c r="Y290" s="330">
        <f t="shared" si="67"/>
        <v>0</v>
      </c>
      <c r="Z290" s="334">
        <f t="shared" si="65"/>
        <v>0</v>
      </c>
    </row>
    <row r="291" spans="3:26" ht="16" hidden="1" outlineLevel="1" thickTop="1" thickBot="1">
      <c r="C291" s="74">
        <f t="shared" si="61"/>
        <v>281</v>
      </c>
      <c r="D291" s="75">
        <f t="shared" si="62"/>
        <v>53083</v>
      </c>
      <c r="E291" s="74">
        <f t="shared" si="58"/>
        <v>94</v>
      </c>
      <c r="F291" s="74" t="str">
        <f t="shared" si="59"/>
        <v>Q2-45</v>
      </c>
      <c r="G291" s="74">
        <f t="shared" si="63"/>
        <v>24</v>
      </c>
      <c r="H291" s="74">
        <f t="shared" si="60"/>
        <v>2045</v>
      </c>
      <c r="J291" s="82">
        <f>DATA!L291</f>
        <v>1.5940504173741061</v>
      </c>
      <c r="K291" s="82">
        <f>DATA!M291</f>
        <v>1.250120978514925</v>
      </c>
      <c r="L291" s="82">
        <f>DATA!N291</f>
        <v>1</v>
      </c>
      <c r="M291" s="82">
        <f>DATA!O291</f>
        <v>1</v>
      </c>
      <c r="N291" s="82">
        <f>DATA!P291</f>
        <v>1</v>
      </c>
      <c r="P291" s="330">
        <f t="shared" ref="P291:S310" si="68">IF(AND($C291&gt;=P$6,$C291&lt;=P$6+P$7-1),P$9/P$7*$K291,0)</f>
        <v>0</v>
      </c>
      <c r="Q291" s="330">
        <f t="shared" si="68"/>
        <v>0</v>
      </c>
      <c r="R291" s="330">
        <f t="shared" si="68"/>
        <v>0</v>
      </c>
      <c r="S291" s="330">
        <f t="shared" si="68"/>
        <v>0</v>
      </c>
      <c r="T291" s="334">
        <f t="shared" si="64"/>
        <v>0</v>
      </c>
      <c r="V291" s="330">
        <f t="shared" ref="V291:Y310" si="69">IF(AND($C291&gt;=V$6,$C291&lt;=V$6+V$7-1),V$9/V$7*$K291,0)</f>
        <v>0</v>
      </c>
      <c r="W291" s="330">
        <f t="shared" si="69"/>
        <v>0</v>
      </c>
      <c r="X291" s="330">
        <f t="shared" si="69"/>
        <v>0</v>
      </c>
      <c r="Y291" s="330">
        <f t="shared" si="69"/>
        <v>0</v>
      </c>
      <c r="Z291" s="334">
        <f t="shared" si="65"/>
        <v>0</v>
      </c>
    </row>
    <row r="292" spans="3:26" ht="16" hidden="1" outlineLevel="1" thickTop="1" thickBot="1">
      <c r="C292" s="74">
        <f t="shared" si="61"/>
        <v>282</v>
      </c>
      <c r="D292" s="75">
        <f t="shared" si="62"/>
        <v>53114</v>
      </c>
      <c r="E292" s="74">
        <f t="shared" si="58"/>
        <v>94</v>
      </c>
      <c r="F292" s="74" t="str">
        <f t="shared" si="59"/>
        <v>Q2-45</v>
      </c>
      <c r="G292" s="74">
        <f t="shared" si="63"/>
        <v>24</v>
      </c>
      <c r="H292" s="74">
        <f t="shared" si="60"/>
        <v>2045</v>
      </c>
      <c r="J292" s="82">
        <f>DATA!L292</f>
        <v>1.5967071680697298</v>
      </c>
      <c r="K292" s="82">
        <f>DATA!M292</f>
        <v>1.2511627459970207</v>
      </c>
      <c r="L292" s="82">
        <f>DATA!N292</f>
        <v>1</v>
      </c>
      <c r="M292" s="82">
        <f>DATA!O292</f>
        <v>1</v>
      </c>
      <c r="N292" s="82">
        <f>DATA!P292</f>
        <v>1</v>
      </c>
      <c r="P292" s="330">
        <f t="shared" si="68"/>
        <v>0</v>
      </c>
      <c r="Q292" s="330">
        <f t="shared" si="68"/>
        <v>0</v>
      </c>
      <c r="R292" s="330">
        <f t="shared" si="68"/>
        <v>0</v>
      </c>
      <c r="S292" s="330">
        <f t="shared" si="68"/>
        <v>0</v>
      </c>
      <c r="T292" s="334">
        <f t="shared" si="64"/>
        <v>0</v>
      </c>
      <c r="V292" s="330">
        <f t="shared" si="69"/>
        <v>0</v>
      </c>
      <c r="W292" s="330">
        <f t="shared" si="69"/>
        <v>0</v>
      </c>
      <c r="X292" s="330">
        <f t="shared" si="69"/>
        <v>0</v>
      </c>
      <c r="Y292" s="330">
        <f t="shared" si="69"/>
        <v>0</v>
      </c>
      <c r="Z292" s="334">
        <f t="shared" si="65"/>
        <v>0</v>
      </c>
    </row>
    <row r="293" spans="3:26" ht="16" hidden="1" outlineLevel="1" thickTop="1" thickBot="1">
      <c r="C293" s="74">
        <f t="shared" si="61"/>
        <v>283</v>
      </c>
      <c r="D293" s="75">
        <f t="shared" si="62"/>
        <v>53144</v>
      </c>
      <c r="E293" s="74">
        <f t="shared" si="58"/>
        <v>95</v>
      </c>
      <c r="F293" s="74" t="str">
        <f t="shared" si="59"/>
        <v>Q2-45</v>
      </c>
      <c r="G293" s="74">
        <f t="shared" si="63"/>
        <v>24</v>
      </c>
      <c r="H293" s="74">
        <f t="shared" si="60"/>
        <v>2045</v>
      </c>
      <c r="J293" s="82">
        <f>DATA!L293</f>
        <v>1.5993683466831794</v>
      </c>
      <c r="K293" s="82">
        <f>DATA!M293</f>
        <v>1.2522053816186849</v>
      </c>
      <c r="L293" s="82">
        <f>DATA!N293</f>
        <v>1</v>
      </c>
      <c r="M293" s="82">
        <f>DATA!O293</f>
        <v>1</v>
      </c>
      <c r="N293" s="82">
        <f>DATA!P293</f>
        <v>1</v>
      </c>
      <c r="P293" s="330">
        <f t="shared" si="68"/>
        <v>0</v>
      </c>
      <c r="Q293" s="330">
        <f t="shared" si="68"/>
        <v>0</v>
      </c>
      <c r="R293" s="330">
        <f t="shared" si="68"/>
        <v>0</v>
      </c>
      <c r="S293" s="330">
        <f t="shared" si="68"/>
        <v>0</v>
      </c>
      <c r="T293" s="334">
        <f t="shared" si="64"/>
        <v>0</v>
      </c>
      <c r="V293" s="330">
        <f t="shared" si="69"/>
        <v>0</v>
      </c>
      <c r="W293" s="330">
        <f t="shared" si="69"/>
        <v>0</v>
      </c>
      <c r="X293" s="330">
        <f t="shared" si="69"/>
        <v>0</v>
      </c>
      <c r="Y293" s="330">
        <f t="shared" si="69"/>
        <v>0</v>
      </c>
      <c r="Z293" s="334">
        <f t="shared" si="65"/>
        <v>0</v>
      </c>
    </row>
    <row r="294" spans="3:26" ht="16" hidden="1" outlineLevel="1" thickTop="1" thickBot="1">
      <c r="C294" s="74">
        <f t="shared" si="61"/>
        <v>284</v>
      </c>
      <c r="D294" s="75">
        <f t="shared" si="62"/>
        <v>53175</v>
      </c>
      <c r="E294" s="74">
        <f t="shared" si="58"/>
        <v>95</v>
      </c>
      <c r="F294" s="74" t="str">
        <f t="shared" si="59"/>
        <v>Q3-45</v>
      </c>
      <c r="G294" s="74">
        <f t="shared" si="63"/>
        <v>24</v>
      </c>
      <c r="H294" s="74">
        <f t="shared" si="60"/>
        <v>2045</v>
      </c>
      <c r="J294" s="82">
        <f>DATA!L294</f>
        <v>1.6020339605943181</v>
      </c>
      <c r="K294" s="82">
        <f>DATA!M294</f>
        <v>1.253248886103367</v>
      </c>
      <c r="L294" s="82">
        <f>DATA!N294</f>
        <v>1</v>
      </c>
      <c r="M294" s="82">
        <f>DATA!O294</f>
        <v>1</v>
      </c>
      <c r="N294" s="82">
        <f>DATA!P294</f>
        <v>1</v>
      </c>
      <c r="P294" s="330">
        <f t="shared" si="68"/>
        <v>0</v>
      </c>
      <c r="Q294" s="330">
        <f t="shared" si="68"/>
        <v>0</v>
      </c>
      <c r="R294" s="330">
        <f t="shared" si="68"/>
        <v>0</v>
      </c>
      <c r="S294" s="330">
        <f t="shared" si="68"/>
        <v>0</v>
      </c>
      <c r="T294" s="334">
        <f t="shared" si="64"/>
        <v>0</v>
      </c>
      <c r="V294" s="330">
        <f t="shared" si="69"/>
        <v>0</v>
      </c>
      <c r="W294" s="330">
        <f t="shared" si="69"/>
        <v>0</v>
      </c>
      <c r="X294" s="330">
        <f t="shared" si="69"/>
        <v>0</v>
      </c>
      <c r="Y294" s="330">
        <f t="shared" si="69"/>
        <v>0</v>
      </c>
      <c r="Z294" s="334">
        <f t="shared" si="65"/>
        <v>0</v>
      </c>
    </row>
    <row r="295" spans="3:26" ht="16" hidden="1" outlineLevel="1" thickTop="1" thickBot="1">
      <c r="C295" s="74">
        <f t="shared" si="61"/>
        <v>285</v>
      </c>
      <c r="D295" s="75">
        <f t="shared" si="62"/>
        <v>53206</v>
      </c>
      <c r="E295" s="74">
        <f t="shared" si="58"/>
        <v>95</v>
      </c>
      <c r="F295" s="74" t="str">
        <f t="shared" si="59"/>
        <v>Q3-45</v>
      </c>
      <c r="G295" s="74">
        <f t="shared" si="63"/>
        <v>24</v>
      </c>
      <c r="H295" s="74">
        <f t="shared" si="60"/>
        <v>2045</v>
      </c>
      <c r="J295" s="82">
        <f>DATA!L295</f>
        <v>1.6047040171953086</v>
      </c>
      <c r="K295" s="82">
        <f>DATA!M295</f>
        <v>1.2542932601751198</v>
      </c>
      <c r="L295" s="82">
        <f>DATA!N295</f>
        <v>1</v>
      </c>
      <c r="M295" s="82">
        <f>DATA!O295</f>
        <v>1</v>
      </c>
      <c r="N295" s="82">
        <f>DATA!P295</f>
        <v>1</v>
      </c>
      <c r="P295" s="330">
        <f t="shared" si="68"/>
        <v>0</v>
      </c>
      <c r="Q295" s="330">
        <f t="shared" si="68"/>
        <v>0</v>
      </c>
      <c r="R295" s="330">
        <f t="shared" si="68"/>
        <v>0</v>
      </c>
      <c r="S295" s="330">
        <f t="shared" si="68"/>
        <v>0</v>
      </c>
      <c r="T295" s="334">
        <f t="shared" si="64"/>
        <v>0</v>
      </c>
      <c r="V295" s="330">
        <f t="shared" si="69"/>
        <v>0</v>
      </c>
      <c r="W295" s="330">
        <f t="shared" si="69"/>
        <v>0</v>
      </c>
      <c r="X295" s="330">
        <f t="shared" si="69"/>
        <v>0</v>
      </c>
      <c r="Y295" s="330">
        <f t="shared" si="69"/>
        <v>0</v>
      </c>
      <c r="Z295" s="334">
        <f t="shared" si="65"/>
        <v>0</v>
      </c>
    </row>
    <row r="296" spans="3:26" ht="16" hidden="1" outlineLevel="1" thickTop="1" thickBot="1">
      <c r="C296" s="74">
        <f t="shared" si="61"/>
        <v>286</v>
      </c>
      <c r="D296" s="75">
        <f t="shared" si="62"/>
        <v>53236</v>
      </c>
      <c r="E296" s="74">
        <f t="shared" si="58"/>
        <v>96</v>
      </c>
      <c r="F296" s="74" t="str">
        <f t="shared" si="59"/>
        <v>Q3-45</v>
      </c>
      <c r="G296" s="74">
        <f t="shared" si="63"/>
        <v>24</v>
      </c>
      <c r="H296" s="74">
        <f t="shared" si="60"/>
        <v>2045</v>
      </c>
      <c r="J296" s="82">
        <f>DATA!L296</f>
        <v>1.6073785238906342</v>
      </c>
      <c r="K296" s="82">
        <f>DATA!M296</f>
        <v>1.255338504558599</v>
      </c>
      <c r="L296" s="82">
        <f>DATA!N296</f>
        <v>1</v>
      </c>
      <c r="M296" s="82">
        <f>DATA!O296</f>
        <v>1</v>
      </c>
      <c r="N296" s="82">
        <f>DATA!P296</f>
        <v>1</v>
      </c>
      <c r="P296" s="330">
        <f t="shared" si="68"/>
        <v>0</v>
      </c>
      <c r="Q296" s="330">
        <f t="shared" si="68"/>
        <v>0</v>
      </c>
      <c r="R296" s="330">
        <f t="shared" si="68"/>
        <v>0</v>
      </c>
      <c r="S296" s="330">
        <f t="shared" si="68"/>
        <v>0</v>
      </c>
      <c r="T296" s="334">
        <f t="shared" si="64"/>
        <v>0</v>
      </c>
      <c r="V296" s="330">
        <f t="shared" si="69"/>
        <v>0</v>
      </c>
      <c r="W296" s="330">
        <f t="shared" si="69"/>
        <v>0</v>
      </c>
      <c r="X296" s="330">
        <f t="shared" si="69"/>
        <v>0</v>
      </c>
      <c r="Y296" s="330">
        <f t="shared" si="69"/>
        <v>0</v>
      </c>
      <c r="Z296" s="334">
        <f t="shared" si="65"/>
        <v>0</v>
      </c>
    </row>
    <row r="297" spans="3:26" ht="16" hidden="1" outlineLevel="1" thickTop="1" thickBot="1">
      <c r="C297" s="74">
        <f t="shared" si="61"/>
        <v>287</v>
      </c>
      <c r="D297" s="75">
        <f t="shared" si="62"/>
        <v>53267</v>
      </c>
      <c r="E297" s="74">
        <f t="shared" si="58"/>
        <v>96</v>
      </c>
      <c r="F297" s="74" t="str">
        <f t="shared" si="59"/>
        <v>Q3-45</v>
      </c>
      <c r="G297" s="74">
        <f t="shared" si="63"/>
        <v>24</v>
      </c>
      <c r="H297" s="74">
        <f t="shared" si="60"/>
        <v>2045</v>
      </c>
      <c r="J297" s="82">
        <f>DATA!L297</f>
        <v>1.6100574880971186</v>
      </c>
      <c r="K297" s="82">
        <f>DATA!M297</f>
        <v>1.2563846199790643</v>
      </c>
      <c r="L297" s="82">
        <f>DATA!N297</f>
        <v>1</v>
      </c>
      <c r="M297" s="82">
        <f>DATA!O297</f>
        <v>1</v>
      </c>
      <c r="N297" s="82">
        <f>DATA!P297</f>
        <v>1</v>
      </c>
      <c r="P297" s="330">
        <f t="shared" si="68"/>
        <v>0</v>
      </c>
      <c r="Q297" s="330">
        <f t="shared" si="68"/>
        <v>0</v>
      </c>
      <c r="R297" s="330">
        <f t="shared" si="68"/>
        <v>0</v>
      </c>
      <c r="S297" s="330">
        <f t="shared" si="68"/>
        <v>0</v>
      </c>
      <c r="T297" s="334">
        <f t="shared" si="64"/>
        <v>0</v>
      </c>
      <c r="V297" s="330">
        <f t="shared" si="69"/>
        <v>0</v>
      </c>
      <c r="W297" s="330">
        <f t="shared" si="69"/>
        <v>0</v>
      </c>
      <c r="X297" s="330">
        <f t="shared" si="69"/>
        <v>0</v>
      </c>
      <c r="Y297" s="330">
        <f t="shared" si="69"/>
        <v>0</v>
      </c>
      <c r="Z297" s="334">
        <f t="shared" si="65"/>
        <v>0</v>
      </c>
    </row>
    <row r="298" spans="3:26" ht="16" hidden="1" outlineLevel="1" thickTop="1" thickBot="1">
      <c r="C298" s="74">
        <f t="shared" si="61"/>
        <v>288</v>
      </c>
      <c r="D298" s="75">
        <f t="shared" si="62"/>
        <v>53297</v>
      </c>
      <c r="E298" s="74">
        <f t="shared" si="58"/>
        <v>96</v>
      </c>
      <c r="F298" s="74" t="str">
        <f t="shared" si="59"/>
        <v>Q4-45</v>
      </c>
      <c r="G298" s="74">
        <f t="shared" si="63"/>
        <v>24</v>
      </c>
      <c r="H298" s="74">
        <f t="shared" si="60"/>
        <v>2045</v>
      </c>
      <c r="J298" s="82">
        <f>DATA!L298</f>
        <v>1.6127409172439471</v>
      </c>
      <c r="K298" s="82">
        <f>DATA!M298</f>
        <v>1.2574316071623801</v>
      </c>
      <c r="L298" s="82">
        <f>DATA!N298</f>
        <v>1</v>
      </c>
      <c r="M298" s="82">
        <f>DATA!O298</f>
        <v>1</v>
      </c>
      <c r="N298" s="82">
        <f>DATA!P298</f>
        <v>1</v>
      </c>
      <c r="P298" s="330">
        <f t="shared" si="68"/>
        <v>0</v>
      </c>
      <c r="Q298" s="330">
        <f t="shared" si="68"/>
        <v>0</v>
      </c>
      <c r="R298" s="330">
        <f t="shared" si="68"/>
        <v>0</v>
      </c>
      <c r="S298" s="330">
        <f t="shared" si="68"/>
        <v>0</v>
      </c>
      <c r="T298" s="334">
        <f t="shared" si="64"/>
        <v>0</v>
      </c>
      <c r="V298" s="330">
        <f t="shared" si="69"/>
        <v>0</v>
      </c>
      <c r="W298" s="330">
        <f t="shared" si="69"/>
        <v>0</v>
      </c>
      <c r="X298" s="330">
        <f t="shared" si="69"/>
        <v>0</v>
      </c>
      <c r="Y298" s="330">
        <f t="shared" si="69"/>
        <v>0</v>
      </c>
      <c r="Z298" s="334">
        <f t="shared" si="65"/>
        <v>0</v>
      </c>
    </row>
    <row r="299" spans="3:26" ht="16" hidden="1" outlineLevel="1" thickTop="1" thickBot="1">
      <c r="C299" s="74">
        <f t="shared" si="61"/>
        <v>289</v>
      </c>
      <c r="D299" s="75">
        <f t="shared" si="62"/>
        <v>53328</v>
      </c>
      <c r="E299" s="74">
        <f t="shared" si="58"/>
        <v>97</v>
      </c>
      <c r="F299" s="74" t="str">
        <f t="shared" si="59"/>
        <v>Q1-46</v>
      </c>
      <c r="G299" s="74">
        <f t="shared" si="63"/>
        <v>25</v>
      </c>
      <c r="H299" s="74">
        <f t="shared" si="60"/>
        <v>2046</v>
      </c>
      <c r="J299" s="82">
        <f>DATA!L299</f>
        <v>1.6154288187726871</v>
      </c>
      <c r="K299" s="82">
        <f>DATA!M299</f>
        <v>1.2584794668350152</v>
      </c>
      <c r="L299" s="82">
        <f>DATA!N299</f>
        <v>1</v>
      </c>
      <c r="M299" s="82">
        <f>DATA!O299</f>
        <v>1</v>
      </c>
      <c r="N299" s="82">
        <f>DATA!P299</f>
        <v>1</v>
      </c>
      <c r="P299" s="330">
        <f t="shared" si="68"/>
        <v>0</v>
      </c>
      <c r="Q299" s="330">
        <f t="shared" si="68"/>
        <v>0</v>
      </c>
      <c r="R299" s="330">
        <f t="shared" si="68"/>
        <v>0</v>
      </c>
      <c r="S299" s="330">
        <f t="shared" si="68"/>
        <v>0</v>
      </c>
      <c r="T299" s="334">
        <f t="shared" si="64"/>
        <v>0</v>
      </c>
      <c r="V299" s="330">
        <f t="shared" si="69"/>
        <v>0</v>
      </c>
      <c r="W299" s="330">
        <f t="shared" si="69"/>
        <v>0</v>
      </c>
      <c r="X299" s="330">
        <f t="shared" si="69"/>
        <v>0</v>
      </c>
      <c r="Y299" s="330">
        <f t="shared" si="69"/>
        <v>0</v>
      </c>
      <c r="Z299" s="334">
        <f t="shared" si="65"/>
        <v>0</v>
      </c>
    </row>
    <row r="300" spans="3:26" ht="16" hidden="1" outlineLevel="1" thickTop="1" thickBot="1">
      <c r="C300" s="74">
        <f t="shared" si="61"/>
        <v>290</v>
      </c>
      <c r="D300" s="75">
        <f t="shared" si="62"/>
        <v>53359</v>
      </c>
      <c r="E300" s="74">
        <f t="shared" si="58"/>
        <v>97</v>
      </c>
      <c r="F300" s="74" t="str">
        <f t="shared" si="59"/>
        <v>Q1-46</v>
      </c>
      <c r="G300" s="74">
        <f t="shared" si="63"/>
        <v>25</v>
      </c>
      <c r="H300" s="74">
        <f t="shared" si="60"/>
        <v>2046</v>
      </c>
      <c r="J300" s="82">
        <f>DATA!L300</f>
        <v>1.6181212001373082</v>
      </c>
      <c r="K300" s="82">
        <f>DATA!M300</f>
        <v>1.2595281997240442</v>
      </c>
      <c r="L300" s="82">
        <f>DATA!N300</f>
        <v>1</v>
      </c>
      <c r="M300" s="82">
        <f>DATA!O300</f>
        <v>1</v>
      </c>
      <c r="N300" s="82">
        <f>DATA!P300</f>
        <v>1</v>
      </c>
      <c r="P300" s="330">
        <f t="shared" si="68"/>
        <v>0</v>
      </c>
      <c r="Q300" s="330">
        <f t="shared" si="68"/>
        <v>0</v>
      </c>
      <c r="R300" s="330">
        <f t="shared" si="68"/>
        <v>0</v>
      </c>
      <c r="S300" s="330">
        <f t="shared" si="68"/>
        <v>0</v>
      </c>
      <c r="T300" s="334">
        <f t="shared" si="64"/>
        <v>0</v>
      </c>
      <c r="V300" s="330">
        <f t="shared" si="69"/>
        <v>0</v>
      </c>
      <c r="W300" s="330">
        <f t="shared" si="69"/>
        <v>0</v>
      </c>
      <c r="X300" s="330">
        <f t="shared" si="69"/>
        <v>0</v>
      </c>
      <c r="Y300" s="330">
        <f t="shared" si="69"/>
        <v>0</v>
      </c>
      <c r="Z300" s="334">
        <f t="shared" si="65"/>
        <v>0</v>
      </c>
    </row>
    <row r="301" spans="3:26" ht="16" hidden="1" outlineLevel="1" thickTop="1" thickBot="1">
      <c r="C301" s="74">
        <f t="shared" si="61"/>
        <v>291</v>
      </c>
      <c r="D301" s="75">
        <f t="shared" si="62"/>
        <v>53387</v>
      </c>
      <c r="E301" s="74">
        <f t="shared" si="58"/>
        <v>97</v>
      </c>
      <c r="F301" s="74" t="str">
        <f t="shared" si="59"/>
        <v>Q1-46</v>
      </c>
      <c r="G301" s="74">
        <f t="shared" si="63"/>
        <v>25</v>
      </c>
      <c r="H301" s="74">
        <f t="shared" si="60"/>
        <v>2046</v>
      </c>
      <c r="J301" s="82">
        <f>DATA!L301</f>
        <v>1.6208180688042038</v>
      </c>
      <c r="K301" s="82">
        <f>DATA!M301</f>
        <v>1.2605778065571474</v>
      </c>
      <c r="L301" s="82">
        <f>DATA!N301</f>
        <v>1</v>
      </c>
      <c r="M301" s="82">
        <f>DATA!O301</f>
        <v>1</v>
      </c>
      <c r="N301" s="82">
        <f>DATA!P301</f>
        <v>1</v>
      </c>
      <c r="P301" s="330">
        <f t="shared" si="68"/>
        <v>0</v>
      </c>
      <c r="Q301" s="330">
        <f t="shared" si="68"/>
        <v>0</v>
      </c>
      <c r="R301" s="330">
        <f t="shared" si="68"/>
        <v>0</v>
      </c>
      <c r="S301" s="330">
        <f t="shared" si="68"/>
        <v>0</v>
      </c>
      <c r="T301" s="334">
        <f t="shared" si="64"/>
        <v>0</v>
      </c>
      <c r="V301" s="330">
        <f t="shared" si="69"/>
        <v>0</v>
      </c>
      <c r="W301" s="330">
        <f t="shared" si="69"/>
        <v>0</v>
      </c>
      <c r="X301" s="330">
        <f t="shared" si="69"/>
        <v>0</v>
      </c>
      <c r="Y301" s="330">
        <f t="shared" si="69"/>
        <v>0</v>
      </c>
      <c r="Z301" s="334">
        <f t="shared" si="65"/>
        <v>0</v>
      </c>
    </row>
    <row r="302" spans="3:26" ht="16" hidden="1" outlineLevel="1" thickTop="1" thickBot="1">
      <c r="C302" s="74">
        <f t="shared" si="61"/>
        <v>292</v>
      </c>
      <c r="D302" s="75">
        <f t="shared" si="62"/>
        <v>53418</v>
      </c>
      <c r="E302" s="74">
        <f t="shared" si="58"/>
        <v>98</v>
      </c>
      <c r="F302" s="74" t="str">
        <f t="shared" si="59"/>
        <v>Q2-46</v>
      </c>
      <c r="G302" s="74">
        <f t="shared" si="63"/>
        <v>25</v>
      </c>
      <c r="H302" s="74">
        <f t="shared" si="60"/>
        <v>2046</v>
      </c>
      <c r="J302" s="82">
        <f>DATA!L302</f>
        <v>1.6235194322522108</v>
      </c>
      <c r="K302" s="82">
        <f>DATA!M302</f>
        <v>1.2616282880626115</v>
      </c>
      <c r="L302" s="82">
        <f>DATA!N302</f>
        <v>1</v>
      </c>
      <c r="M302" s="82">
        <f>DATA!O302</f>
        <v>1</v>
      </c>
      <c r="N302" s="82">
        <f>DATA!P302</f>
        <v>1</v>
      </c>
      <c r="P302" s="330">
        <f t="shared" si="68"/>
        <v>0</v>
      </c>
      <c r="Q302" s="330">
        <f t="shared" si="68"/>
        <v>0</v>
      </c>
      <c r="R302" s="330">
        <f t="shared" si="68"/>
        <v>0</v>
      </c>
      <c r="S302" s="330">
        <f t="shared" si="68"/>
        <v>0</v>
      </c>
      <c r="T302" s="334">
        <f t="shared" si="64"/>
        <v>0</v>
      </c>
      <c r="V302" s="330">
        <f t="shared" si="69"/>
        <v>0</v>
      </c>
      <c r="W302" s="330">
        <f t="shared" si="69"/>
        <v>0</v>
      </c>
      <c r="X302" s="330">
        <f t="shared" si="69"/>
        <v>0</v>
      </c>
      <c r="Y302" s="330">
        <f t="shared" si="69"/>
        <v>0</v>
      </c>
      <c r="Z302" s="334">
        <f t="shared" si="65"/>
        <v>0</v>
      </c>
    </row>
    <row r="303" spans="3:26" ht="16" hidden="1" outlineLevel="1" thickTop="1" thickBot="1">
      <c r="C303" s="74">
        <f t="shared" si="61"/>
        <v>293</v>
      </c>
      <c r="D303" s="75">
        <f t="shared" si="62"/>
        <v>53448</v>
      </c>
      <c r="E303" s="74">
        <f t="shared" si="58"/>
        <v>98</v>
      </c>
      <c r="F303" s="74" t="str">
        <f t="shared" si="59"/>
        <v>Q2-46</v>
      </c>
      <c r="G303" s="74">
        <f t="shared" si="63"/>
        <v>25</v>
      </c>
      <c r="H303" s="74">
        <f t="shared" si="60"/>
        <v>2046</v>
      </c>
      <c r="J303" s="82">
        <f>DATA!L303</f>
        <v>1.6262252979726313</v>
      </c>
      <c r="K303" s="82">
        <f>DATA!M303</f>
        <v>1.2626796449693303</v>
      </c>
      <c r="L303" s="82">
        <f>DATA!N303</f>
        <v>1</v>
      </c>
      <c r="M303" s="82">
        <f>DATA!O303</f>
        <v>1</v>
      </c>
      <c r="N303" s="82">
        <f>DATA!P303</f>
        <v>1</v>
      </c>
      <c r="P303" s="330">
        <f t="shared" si="68"/>
        <v>0</v>
      </c>
      <c r="Q303" s="330">
        <f t="shared" si="68"/>
        <v>0</v>
      </c>
      <c r="R303" s="330">
        <f t="shared" si="68"/>
        <v>0</v>
      </c>
      <c r="S303" s="330">
        <f t="shared" si="68"/>
        <v>0</v>
      </c>
      <c r="T303" s="334">
        <f t="shared" si="64"/>
        <v>0</v>
      </c>
      <c r="V303" s="330">
        <f t="shared" si="69"/>
        <v>0</v>
      </c>
      <c r="W303" s="330">
        <f t="shared" si="69"/>
        <v>0</v>
      </c>
      <c r="X303" s="330">
        <f t="shared" si="69"/>
        <v>0</v>
      </c>
      <c r="Y303" s="330">
        <f t="shared" si="69"/>
        <v>0</v>
      </c>
      <c r="Z303" s="334">
        <f t="shared" si="65"/>
        <v>0</v>
      </c>
    </row>
    <row r="304" spans="3:26" ht="16" hidden="1" outlineLevel="1" thickTop="1" thickBot="1">
      <c r="C304" s="74">
        <f t="shared" si="61"/>
        <v>294</v>
      </c>
      <c r="D304" s="75">
        <f t="shared" si="62"/>
        <v>53479</v>
      </c>
      <c r="E304" s="74">
        <f t="shared" si="58"/>
        <v>98</v>
      </c>
      <c r="F304" s="74" t="str">
        <f t="shared" si="59"/>
        <v>Q2-46</v>
      </c>
      <c r="G304" s="74">
        <f t="shared" si="63"/>
        <v>25</v>
      </c>
      <c r="H304" s="74">
        <f t="shared" si="60"/>
        <v>2046</v>
      </c>
      <c r="J304" s="82">
        <f>DATA!L304</f>
        <v>1.6289356734692524</v>
      </c>
      <c r="K304" s="82">
        <f>DATA!M304</f>
        <v>1.2637318780068045</v>
      </c>
      <c r="L304" s="82">
        <f>DATA!N304</f>
        <v>1</v>
      </c>
      <c r="M304" s="82">
        <f>DATA!O304</f>
        <v>1</v>
      </c>
      <c r="N304" s="82">
        <f>DATA!P304</f>
        <v>1</v>
      </c>
      <c r="P304" s="330">
        <f t="shared" si="68"/>
        <v>0</v>
      </c>
      <c r="Q304" s="330">
        <f t="shared" si="68"/>
        <v>0</v>
      </c>
      <c r="R304" s="330">
        <f t="shared" si="68"/>
        <v>0</v>
      </c>
      <c r="S304" s="330">
        <f t="shared" si="68"/>
        <v>0</v>
      </c>
      <c r="T304" s="334">
        <f t="shared" si="64"/>
        <v>0</v>
      </c>
      <c r="V304" s="330">
        <f t="shared" si="69"/>
        <v>0</v>
      </c>
      <c r="W304" s="330">
        <f t="shared" si="69"/>
        <v>0</v>
      </c>
      <c r="X304" s="330">
        <f t="shared" si="69"/>
        <v>0</v>
      </c>
      <c r="Y304" s="330">
        <f t="shared" si="69"/>
        <v>0</v>
      </c>
      <c r="Z304" s="334">
        <f t="shared" si="65"/>
        <v>0</v>
      </c>
    </row>
    <row r="305" spans="3:26" ht="16" hidden="1" outlineLevel="1" thickTop="1" thickBot="1">
      <c r="C305" s="74">
        <f t="shared" si="61"/>
        <v>295</v>
      </c>
      <c r="D305" s="75">
        <f t="shared" si="62"/>
        <v>53509</v>
      </c>
      <c r="E305" s="74">
        <f t="shared" si="58"/>
        <v>99</v>
      </c>
      <c r="F305" s="74" t="str">
        <f t="shared" si="59"/>
        <v>Q2-46</v>
      </c>
      <c r="G305" s="74">
        <f t="shared" si="63"/>
        <v>25</v>
      </c>
      <c r="H305" s="74">
        <f t="shared" si="60"/>
        <v>2046</v>
      </c>
      <c r="J305" s="82">
        <f>DATA!L305</f>
        <v>1.6316505662583678</v>
      </c>
      <c r="K305" s="82">
        <f>DATA!M305</f>
        <v>1.2647849879051434</v>
      </c>
      <c r="L305" s="82">
        <f>DATA!N305</f>
        <v>1</v>
      </c>
      <c r="M305" s="82">
        <f>DATA!O305</f>
        <v>1</v>
      </c>
      <c r="N305" s="82">
        <f>DATA!P305</f>
        <v>1</v>
      </c>
      <c r="P305" s="330">
        <f t="shared" si="68"/>
        <v>0</v>
      </c>
      <c r="Q305" s="330">
        <f t="shared" si="68"/>
        <v>0</v>
      </c>
      <c r="R305" s="330">
        <f t="shared" si="68"/>
        <v>0</v>
      </c>
      <c r="S305" s="330">
        <f t="shared" si="68"/>
        <v>0</v>
      </c>
      <c r="T305" s="334">
        <f t="shared" si="64"/>
        <v>0</v>
      </c>
      <c r="V305" s="330">
        <f t="shared" si="69"/>
        <v>0</v>
      </c>
      <c r="W305" s="330">
        <f t="shared" si="69"/>
        <v>0</v>
      </c>
      <c r="X305" s="330">
        <f t="shared" si="69"/>
        <v>0</v>
      </c>
      <c r="Y305" s="330">
        <f t="shared" si="69"/>
        <v>0</v>
      </c>
      <c r="Z305" s="334">
        <f t="shared" si="65"/>
        <v>0</v>
      </c>
    </row>
    <row r="306" spans="3:26" ht="16" hidden="1" outlineLevel="1" thickTop="1" thickBot="1">
      <c r="C306" s="74">
        <f t="shared" si="61"/>
        <v>296</v>
      </c>
      <c r="D306" s="75">
        <f t="shared" si="62"/>
        <v>53540</v>
      </c>
      <c r="E306" s="74">
        <f t="shared" si="58"/>
        <v>99</v>
      </c>
      <c r="F306" s="74" t="str">
        <f t="shared" si="59"/>
        <v>Q3-46</v>
      </c>
      <c r="G306" s="74">
        <f t="shared" si="63"/>
        <v>25</v>
      </c>
      <c r="H306" s="74">
        <f t="shared" si="60"/>
        <v>2046</v>
      </c>
      <c r="J306" s="82">
        <f>DATA!L306</f>
        <v>1.6343699838687984</v>
      </c>
      <c r="K306" s="82">
        <f>DATA!M306</f>
        <v>1.2658389753950643</v>
      </c>
      <c r="L306" s="82">
        <f>DATA!N306</f>
        <v>1</v>
      </c>
      <c r="M306" s="82">
        <f>DATA!O306</f>
        <v>1</v>
      </c>
      <c r="N306" s="82">
        <f>DATA!P306</f>
        <v>1</v>
      </c>
      <c r="P306" s="330">
        <f t="shared" si="68"/>
        <v>0</v>
      </c>
      <c r="Q306" s="330">
        <f t="shared" si="68"/>
        <v>0</v>
      </c>
      <c r="R306" s="330">
        <f t="shared" si="68"/>
        <v>0</v>
      </c>
      <c r="S306" s="330">
        <f t="shared" si="68"/>
        <v>0</v>
      </c>
      <c r="T306" s="334">
        <f t="shared" si="64"/>
        <v>0</v>
      </c>
      <c r="V306" s="330">
        <f t="shared" si="69"/>
        <v>0</v>
      </c>
      <c r="W306" s="330">
        <f t="shared" si="69"/>
        <v>0</v>
      </c>
      <c r="X306" s="330">
        <f t="shared" si="69"/>
        <v>0</v>
      </c>
      <c r="Y306" s="330">
        <f t="shared" si="69"/>
        <v>0</v>
      </c>
      <c r="Z306" s="334">
        <f t="shared" si="65"/>
        <v>0</v>
      </c>
    </row>
    <row r="307" spans="3:26" ht="16" hidden="1" outlineLevel="1" thickTop="1" thickBot="1">
      <c r="C307" s="74">
        <f t="shared" si="61"/>
        <v>297</v>
      </c>
      <c r="D307" s="75">
        <f t="shared" si="62"/>
        <v>53571</v>
      </c>
      <c r="E307" s="74">
        <f t="shared" si="58"/>
        <v>99</v>
      </c>
      <c r="F307" s="74" t="str">
        <f t="shared" si="59"/>
        <v>Q3-46</v>
      </c>
      <c r="G307" s="74">
        <f t="shared" si="63"/>
        <v>25</v>
      </c>
      <c r="H307" s="74">
        <f t="shared" si="60"/>
        <v>2046</v>
      </c>
      <c r="J307" s="82">
        <f>DATA!L307</f>
        <v>1.637093933841913</v>
      </c>
      <c r="K307" s="82">
        <f>DATA!M307</f>
        <v>1.2668938412078934</v>
      </c>
      <c r="L307" s="82">
        <f>DATA!N307</f>
        <v>1</v>
      </c>
      <c r="M307" s="82">
        <f>DATA!O307</f>
        <v>1</v>
      </c>
      <c r="N307" s="82">
        <f>DATA!P307</f>
        <v>1</v>
      </c>
      <c r="P307" s="330">
        <f t="shared" si="68"/>
        <v>0</v>
      </c>
      <c r="Q307" s="330">
        <f t="shared" si="68"/>
        <v>0</v>
      </c>
      <c r="R307" s="330">
        <f t="shared" si="68"/>
        <v>0</v>
      </c>
      <c r="S307" s="330">
        <f t="shared" si="68"/>
        <v>0</v>
      </c>
      <c r="T307" s="334">
        <f t="shared" si="64"/>
        <v>0</v>
      </c>
      <c r="V307" s="330">
        <f t="shared" si="69"/>
        <v>0</v>
      </c>
      <c r="W307" s="330">
        <f t="shared" si="69"/>
        <v>0</v>
      </c>
      <c r="X307" s="330">
        <f t="shared" si="69"/>
        <v>0</v>
      </c>
      <c r="Y307" s="330">
        <f t="shared" si="69"/>
        <v>0</v>
      </c>
      <c r="Z307" s="334">
        <f t="shared" si="65"/>
        <v>0</v>
      </c>
    </row>
    <row r="308" spans="3:26" ht="16" hidden="1" outlineLevel="1" thickTop="1" thickBot="1">
      <c r="C308" s="74">
        <f t="shared" si="61"/>
        <v>298</v>
      </c>
      <c r="D308" s="75">
        <f t="shared" si="62"/>
        <v>53601</v>
      </c>
      <c r="E308" s="74">
        <f t="shared" si="58"/>
        <v>100</v>
      </c>
      <c r="F308" s="74" t="str">
        <f t="shared" si="59"/>
        <v>Q3-46</v>
      </c>
      <c r="G308" s="74">
        <f t="shared" si="63"/>
        <v>25</v>
      </c>
      <c r="H308" s="74">
        <f t="shared" si="60"/>
        <v>2046</v>
      </c>
      <c r="J308" s="82">
        <f>DATA!L308</f>
        <v>1.6398224237316497</v>
      </c>
      <c r="K308" s="82">
        <f>DATA!M308</f>
        <v>1.2679495860755665</v>
      </c>
      <c r="L308" s="82">
        <f>DATA!N308</f>
        <v>1</v>
      </c>
      <c r="M308" s="82">
        <f>DATA!O308</f>
        <v>1</v>
      </c>
      <c r="N308" s="82">
        <f>DATA!P308</f>
        <v>1</v>
      </c>
      <c r="P308" s="330">
        <f t="shared" si="68"/>
        <v>0</v>
      </c>
      <c r="Q308" s="330">
        <f t="shared" si="68"/>
        <v>0</v>
      </c>
      <c r="R308" s="330">
        <f t="shared" si="68"/>
        <v>0</v>
      </c>
      <c r="S308" s="330">
        <f t="shared" si="68"/>
        <v>0</v>
      </c>
      <c r="T308" s="334">
        <f t="shared" si="64"/>
        <v>0</v>
      </c>
      <c r="V308" s="330">
        <f t="shared" si="69"/>
        <v>0</v>
      </c>
      <c r="W308" s="330">
        <f t="shared" si="69"/>
        <v>0</v>
      </c>
      <c r="X308" s="330">
        <f t="shared" si="69"/>
        <v>0</v>
      </c>
      <c r="Y308" s="330">
        <f t="shared" si="69"/>
        <v>0</v>
      </c>
      <c r="Z308" s="334">
        <f t="shared" si="65"/>
        <v>0</v>
      </c>
    </row>
    <row r="309" spans="3:26" ht="16" hidden="1" outlineLevel="1" thickTop="1" thickBot="1">
      <c r="C309" s="74">
        <f t="shared" si="61"/>
        <v>299</v>
      </c>
      <c r="D309" s="75">
        <f t="shared" si="62"/>
        <v>53632</v>
      </c>
      <c r="E309" s="74">
        <f t="shared" si="58"/>
        <v>100</v>
      </c>
      <c r="F309" s="74" t="str">
        <f t="shared" si="59"/>
        <v>Q3-46</v>
      </c>
      <c r="G309" s="74">
        <f t="shared" si="63"/>
        <v>25</v>
      </c>
      <c r="H309" s="74">
        <f t="shared" si="60"/>
        <v>2046</v>
      </c>
      <c r="J309" s="82">
        <f>DATA!L309</f>
        <v>1.6425554611045359</v>
      </c>
      <c r="K309" s="82">
        <f>DATA!M309</f>
        <v>1.2690062107306295</v>
      </c>
      <c r="L309" s="82">
        <f>DATA!N309</f>
        <v>1</v>
      </c>
      <c r="M309" s="82">
        <f>DATA!O309</f>
        <v>1</v>
      </c>
      <c r="N309" s="82">
        <f>DATA!P309</f>
        <v>1</v>
      </c>
      <c r="P309" s="330">
        <f t="shared" si="68"/>
        <v>0</v>
      </c>
      <c r="Q309" s="330">
        <f t="shared" si="68"/>
        <v>0</v>
      </c>
      <c r="R309" s="330">
        <f t="shared" si="68"/>
        <v>0</v>
      </c>
      <c r="S309" s="330">
        <f t="shared" si="68"/>
        <v>0</v>
      </c>
      <c r="T309" s="334">
        <f t="shared" si="64"/>
        <v>0</v>
      </c>
      <c r="V309" s="330">
        <f t="shared" si="69"/>
        <v>0</v>
      </c>
      <c r="W309" s="330">
        <f t="shared" si="69"/>
        <v>0</v>
      </c>
      <c r="X309" s="330">
        <f t="shared" si="69"/>
        <v>0</v>
      </c>
      <c r="Y309" s="330">
        <f t="shared" si="69"/>
        <v>0</v>
      </c>
      <c r="Z309" s="334">
        <f t="shared" si="65"/>
        <v>0</v>
      </c>
    </row>
    <row r="310" spans="3:26" ht="16" hidden="1" outlineLevel="1" thickTop="1" thickBot="1">
      <c r="C310" s="74">
        <f t="shared" si="61"/>
        <v>300</v>
      </c>
      <c r="D310" s="75">
        <f t="shared" si="62"/>
        <v>53662</v>
      </c>
      <c r="E310" s="74">
        <f t="shared" si="58"/>
        <v>100</v>
      </c>
      <c r="F310" s="74" t="str">
        <f t="shared" si="59"/>
        <v>Q4-46</v>
      </c>
      <c r="G310" s="74">
        <f t="shared" si="63"/>
        <v>25</v>
      </c>
      <c r="H310" s="74">
        <f t="shared" si="60"/>
        <v>2046</v>
      </c>
      <c r="J310" s="82">
        <f>DATA!L310</f>
        <v>1.6452930535397101</v>
      </c>
      <c r="K310" s="82">
        <f>DATA!M310</f>
        <v>1.2700637159062382</v>
      </c>
      <c r="L310" s="82">
        <f>DATA!N310</f>
        <v>1</v>
      </c>
      <c r="M310" s="82">
        <f>DATA!O310</f>
        <v>1</v>
      </c>
      <c r="N310" s="82">
        <f>DATA!P310</f>
        <v>1</v>
      </c>
      <c r="P310" s="330">
        <f t="shared" si="68"/>
        <v>0</v>
      </c>
      <c r="Q310" s="330">
        <f t="shared" si="68"/>
        <v>0</v>
      </c>
      <c r="R310" s="330">
        <f t="shared" si="68"/>
        <v>0</v>
      </c>
      <c r="S310" s="330">
        <f t="shared" si="68"/>
        <v>0</v>
      </c>
      <c r="T310" s="334">
        <f t="shared" si="64"/>
        <v>0</v>
      </c>
      <c r="V310" s="330">
        <f t="shared" si="69"/>
        <v>0</v>
      </c>
      <c r="W310" s="330">
        <f t="shared" si="69"/>
        <v>0</v>
      </c>
      <c r="X310" s="330">
        <f t="shared" si="69"/>
        <v>0</v>
      </c>
      <c r="Y310" s="330">
        <f t="shared" si="69"/>
        <v>0</v>
      </c>
      <c r="Z310" s="334">
        <f t="shared" si="65"/>
        <v>0</v>
      </c>
    </row>
    <row r="311" spans="3:26" ht="16" hidden="1" outlineLevel="1" thickTop="1" thickBot="1">
      <c r="C311" s="74">
        <f t="shared" si="61"/>
        <v>301</v>
      </c>
      <c r="D311" s="75">
        <f t="shared" si="62"/>
        <v>53693</v>
      </c>
      <c r="E311" s="74">
        <f t="shared" si="58"/>
        <v>101</v>
      </c>
      <c r="F311" s="74" t="str">
        <f t="shared" si="59"/>
        <v>Q1-47</v>
      </c>
      <c r="G311" s="74">
        <f t="shared" si="63"/>
        <v>26</v>
      </c>
      <c r="H311" s="74">
        <f t="shared" si="60"/>
        <v>2047</v>
      </c>
      <c r="J311" s="82">
        <f>DATA!L311</f>
        <v>1.6480352086289429</v>
      </c>
      <c r="K311" s="82">
        <f>DATA!M311</f>
        <v>1.2711221023361601</v>
      </c>
      <c r="L311" s="82">
        <f>DATA!N311</f>
        <v>1</v>
      </c>
      <c r="M311" s="82">
        <f>DATA!O311</f>
        <v>1</v>
      </c>
      <c r="N311" s="82">
        <f>DATA!P311</f>
        <v>1</v>
      </c>
      <c r="P311" s="330">
        <f t="shared" ref="P311:S330" si="70">IF(AND($C311&gt;=P$6,$C311&lt;=P$6+P$7-1),P$9/P$7*$K311,0)</f>
        <v>0</v>
      </c>
      <c r="Q311" s="330">
        <f t="shared" si="70"/>
        <v>0</v>
      </c>
      <c r="R311" s="330">
        <f t="shared" si="70"/>
        <v>0</v>
      </c>
      <c r="S311" s="330">
        <f t="shared" si="70"/>
        <v>0</v>
      </c>
      <c r="T311" s="334">
        <f t="shared" si="64"/>
        <v>0</v>
      </c>
      <c r="V311" s="330">
        <f t="shared" ref="V311:Y330" si="71">IF(AND($C311&gt;=V$6,$C311&lt;=V$6+V$7-1),V$9/V$7*$K311,0)</f>
        <v>0</v>
      </c>
      <c r="W311" s="330">
        <f t="shared" si="71"/>
        <v>0</v>
      </c>
      <c r="X311" s="330">
        <f t="shared" si="71"/>
        <v>0</v>
      </c>
      <c r="Y311" s="330">
        <f t="shared" si="71"/>
        <v>0</v>
      </c>
      <c r="Z311" s="334">
        <f t="shared" si="65"/>
        <v>0</v>
      </c>
    </row>
    <row r="312" spans="3:26" ht="16" hidden="1" outlineLevel="1" thickTop="1" thickBot="1">
      <c r="C312" s="74">
        <f t="shared" si="61"/>
        <v>302</v>
      </c>
      <c r="D312" s="75">
        <f t="shared" si="62"/>
        <v>53724</v>
      </c>
      <c r="E312" s="74">
        <f t="shared" si="58"/>
        <v>101</v>
      </c>
      <c r="F312" s="74" t="str">
        <f t="shared" si="59"/>
        <v>Q1-47</v>
      </c>
      <c r="G312" s="74">
        <f t="shared" si="63"/>
        <v>26</v>
      </c>
      <c r="H312" s="74">
        <f t="shared" si="60"/>
        <v>2047</v>
      </c>
      <c r="J312" s="82">
        <f>DATA!L312</f>
        <v>1.6507819339766578</v>
      </c>
      <c r="K312" s="82">
        <f>DATA!M312</f>
        <v>1.2721813707547733</v>
      </c>
      <c r="L312" s="82">
        <f>DATA!N312</f>
        <v>1</v>
      </c>
      <c r="M312" s="82">
        <f>DATA!O312</f>
        <v>1</v>
      </c>
      <c r="N312" s="82">
        <f>DATA!P312</f>
        <v>1</v>
      </c>
      <c r="P312" s="330">
        <f t="shared" si="70"/>
        <v>0</v>
      </c>
      <c r="Q312" s="330">
        <f t="shared" si="70"/>
        <v>0</v>
      </c>
      <c r="R312" s="330">
        <f t="shared" si="70"/>
        <v>0</v>
      </c>
      <c r="S312" s="330">
        <f t="shared" si="70"/>
        <v>0</v>
      </c>
      <c r="T312" s="334">
        <f t="shared" si="64"/>
        <v>0</v>
      </c>
      <c r="V312" s="330">
        <f t="shared" si="71"/>
        <v>0</v>
      </c>
      <c r="W312" s="330">
        <f t="shared" si="71"/>
        <v>0</v>
      </c>
      <c r="X312" s="330">
        <f t="shared" si="71"/>
        <v>0</v>
      </c>
      <c r="Y312" s="330">
        <f t="shared" si="71"/>
        <v>0</v>
      </c>
      <c r="Z312" s="334">
        <f t="shared" si="65"/>
        <v>0</v>
      </c>
    </row>
    <row r="313" spans="3:26" ht="16" hidden="1" outlineLevel="1" thickTop="1" thickBot="1">
      <c r="C313" s="74">
        <f t="shared" si="61"/>
        <v>303</v>
      </c>
      <c r="D313" s="75">
        <f t="shared" si="62"/>
        <v>53752</v>
      </c>
      <c r="E313" s="74">
        <f t="shared" si="58"/>
        <v>101</v>
      </c>
      <c r="F313" s="74" t="str">
        <f t="shared" si="59"/>
        <v>Q1-47</v>
      </c>
      <c r="G313" s="74">
        <f t="shared" si="63"/>
        <v>26</v>
      </c>
      <c r="H313" s="74">
        <f t="shared" si="60"/>
        <v>2047</v>
      </c>
      <c r="J313" s="82">
        <f>DATA!L313</f>
        <v>1.6535332371999523</v>
      </c>
      <c r="K313" s="82">
        <f>DATA!M313</f>
        <v>1.273241521897069</v>
      </c>
      <c r="L313" s="82">
        <f>DATA!N313</f>
        <v>1</v>
      </c>
      <c r="M313" s="82">
        <f>DATA!O313</f>
        <v>1</v>
      </c>
      <c r="N313" s="82">
        <f>DATA!P313</f>
        <v>1</v>
      </c>
      <c r="P313" s="330">
        <f t="shared" si="70"/>
        <v>0</v>
      </c>
      <c r="Q313" s="330">
        <f t="shared" si="70"/>
        <v>0</v>
      </c>
      <c r="R313" s="330">
        <f t="shared" si="70"/>
        <v>0</v>
      </c>
      <c r="S313" s="330">
        <f t="shared" si="70"/>
        <v>0</v>
      </c>
      <c r="T313" s="334">
        <f t="shared" si="64"/>
        <v>0</v>
      </c>
      <c r="V313" s="330">
        <f t="shared" si="71"/>
        <v>0</v>
      </c>
      <c r="W313" s="330">
        <f t="shared" si="71"/>
        <v>0</v>
      </c>
      <c r="X313" s="330">
        <f t="shared" si="71"/>
        <v>0</v>
      </c>
      <c r="Y313" s="330">
        <f t="shared" si="71"/>
        <v>0</v>
      </c>
      <c r="Z313" s="334">
        <f t="shared" si="65"/>
        <v>0</v>
      </c>
    </row>
    <row r="314" spans="3:26" ht="16" hidden="1" outlineLevel="1" thickTop="1" thickBot="1">
      <c r="C314" s="74">
        <f t="shared" si="61"/>
        <v>304</v>
      </c>
      <c r="D314" s="75">
        <f t="shared" si="62"/>
        <v>53783</v>
      </c>
      <c r="E314" s="74">
        <f t="shared" si="58"/>
        <v>102</v>
      </c>
      <c r="F314" s="74" t="str">
        <f t="shared" si="59"/>
        <v>Q2-47</v>
      </c>
      <c r="G314" s="74">
        <f t="shared" si="63"/>
        <v>26</v>
      </c>
      <c r="H314" s="74">
        <f t="shared" si="60"/>
        <v>2047</v>
      </c>
      <c r="J314" s="82">
        <f>DATA!L314</f>
        <v>1.656289125928619</v>
      </c>
      <c r="K314" s="82">
        <f>DATA!M314</f>
        <v>1.2743025564986497</v>
      </c>
      <c r="L314" s="82">
        <f>DATA!N314</f>
        <v>1</v>
      </c>
      <c r="M314" s="82">
        <f>DATA!O314</f>
        <v>1</v>
      </c>
      <c r="N314" s="82">
        <f>DATA!P314</f>
        <v>1</v>
      </c>
      <c r="P314" s="330">
        <f t="shared" si="70"/>
        <v>0</v>
      </c>
      <c r="Q314" s="330">
        <f t="shared" si="70"/>
        <v>0</v>
      </c>
      <c r="R314" s="330">
        <f t="shared" si="70"/>
        <v>0</v>
      </c>
      <c r="S314" s="330">
        <f t="shared" si="70"/>
        <v>0</v>
      </c>
      <c r="T314" s="334">
        <f t="shared" si="64"/>
        <v>0</v>
      </c>
      <c r="V314" s="330">
        <f t="shared" si="71"/>
        <v>0</v>
      </c>
      <c r="W314" s="330">
        <f t="shared" si="71"/>
        <v>0</v>
      </c>
      <c r="X314" s="330">
        <f t="shared" si="71"/>
        <v>0</v>
      </c>
      <c r="Y314" s="330">
        <f t="shared" si="71"/>
        <v>0</v>
      </c>
      <c r="Z314" s="334">
        <f t="shared" si="65"/>
        <v>0</v>
      </c>
    </row>
    <row r="315" spans="3:26" ht="16" hidden="1" outlineLevel="1" thickTop="1" thickBot="1">
      <c r="C315" s="74">
        <f t="shared" si="61"/>
        <v>305</v>
      </c>
      <c r="D315" s="75">
        <f t="shared" si="62"/>
        <v>53813</v>
      </c>
      <c r="E315" s="74">
        <f t="shared" si="58"/>
        <v>102</v>
      </c>
      <c r="F315" s="74" t="str">
        <f t="shared" si="59"/>
        <v>Q2-47</v>
      </c>
      <c r="G315" s="74">
        <f t="shared" si="63"/>
        <v>26</v>
      </c>
      <c r="H315" s="74">
        <f t="shared" si="60"/>
        <v>2047</v>
      </c>
      <c r="J315" s="82">
        <f>DATA!L315</f>
        <v>1.6590496078051669</v>
      </c>
      <c r="K315" s="82">
        <f>DATA!M315</f>
        <v>1.2753644752957318</v>
      </c>
      <c r="L315" s="82">
        <f>DATA!N315</f>
        <v>1</v>
      </c>
      <c r="M315" s="82">
        <f>DATA!O315</f>
        <v>1</v>
      </c>
      <c r="N315" s="82">
        <f>DATA!P315</f>
        <v>1</v>
      </c>
      <c r="P315" s="330">
        <f t="shared" si="70"/>
        <v>0</v>
      </c>
      <c r="Q315" s="330">
        <f t="shared" si="70"/>
        <v>0</v>
      </c>
      <c r="R315" s="330">
        <f t="shared" si="70"/>
        <v>0</v>
      </c>
      <c r="S315" s="330">
        <f t="shared" si="70"/>
        <v>0</v>
      </c>
      <c r="T315" s="334">
        <f t="shared" si="64"/>
        <v>0</v>
      </c>
      <c r="V315" s="330">
        <f t="shared" si="71"/>
        <v>0</v>
      </c>
      <c r="W315" s="330">
        <f t="shared" si="71"/>
        <v>0</v>
      </c>
      <c r="X315" s="330">
        <f t="shared" si="71"/>
        <v>0</v>
      </c>
      <c r="Y315" s="330">
        <f t="shared" si="71"/>
        <v>0</v>
      </c>
      <c r="Z315" s="334">
        <f t="shared" si="65"/>
        <v>0</v>
      </c>
    </row>
    <row r="316" spans="3:26" ht="16" hidden="1" outlineLevel="1" thickTop="1" thickBot="1">
      <c r="C316" s="74">
        <f t="shared" si="61"/>
        <v>306</v>
      </c>
      <c r="D316" s="75">
        <f t="shared" si="62"/>
        <v>53844</v>
      </c>
      <c r="E316" s="74">
        <f t="shared" si="58"/>
        <v>102</v>
      </c>
      <c r="F316" s="74" t="str">
        <f t="shared" si="59"/>
        <v>Q2-47</v>
      </c>
      <c r="G316" s="74">
        <f t="shared" si="63"/>
        <v>26</v>
      </c>
      <c r="H316" s="74">
        <f t="shared" si="60"/>
        <v>2047</v>
      </c>
      <c r="J316" s="82">
        <f>DATA!L316</f>
        <v>1.6618146904848421</v>
      </c>
      <c r="K316" s="82">
        <f>DATA!M316</f>
        <v>1.2764272790251447</v>
      </c>
      <c r="L316" s="82">
        <f>DATA!N316</f>
        <v>1</v>
      </c>
      <c r="M316" s="82">
        <f>DATA!O316</f>
        <v>1</v>
      </c>
      <c r="N316" s="82">
        <f>DATA!P316</f>
        <v>1</v>
      </c>
      <c r="P316" s="330">
        <f t="shared" si="70"/>
        <v>0</v>
      </c>
      <c r="Q316" s="330">
        <f t="shared" si="70"/>
        <v>0</v>
      </c>
      <c r="R316" s="330">
        <f t="shared" si="70"/>
        <v>0</v>
      </c>
      <c r="S316" s="330">
        <f t="shared" si="70"/>
        <v>0</v>
      </c>
      <c r="T316" s="334">
        <f t="shared" si="64"/>
        <v>0</v>
      </c>
      <c r="V316" s="330">
        <f t="shared" si="71"/>
        <v>0</v>
      </c>
      <c r="W316" s="330">
        <f t="shared" si="71"/>
        <v>0</v>
      </c>
      <c r="X316" s="330">
        <f t="shared" si="71"/>
        <v>0</v>
      </c>
      <c r="Y316" s="330">
        <f t="shared" si="71"/>
        <v>0</v>
      </c>
      <c r="Z316" s="334">
        <f t="shared" si="65"/>
        <v>0</v>
      </c>
    </row>
    <row r="317" spans="3:26" ht="16" hidden="1" outlineLevel="1" thickTop="1" thickBot="1">
      <c r="C317" s="74">
        <f t="shared" si="61"/>
        <v>307</v>
      </c>
      <c r="D317" s="75">
        <f t="shared" si="62"/>
        <v>53874</v>
      </c>
      <c r="E317" s="74">
        <f t="shared" si="58"/>
        <v>103</v>
      </c>
      <c r="F317" s="74" t="str">
        <f t="shared" si="59"/>
        <v>Q2-47</v>
      </c>
      <c r="G317" s="74">
        <f t="shared" si="63"/>
        <v>26</v>
      </c>
      <c r="H317" s="74">
        <f t="shared" si="60"/>
        <v>2047</v>
      </c>
      <c r="J317" s="82">
        <f>DATA!L317</f>
        <v>1.6645843816356503</v>
      </c>
      <c r="K317" s="82">
        <f>DATA!M317</f>
        <v>1.2774909684243323</v>
      </c>
      <c r="L317" s="82">
        <f>DATA!N317</f>
        <v>1</v>
      </c>
      <c r="M317" s="82">
        <f>DATA!O317</f>
        <v>1</v>
      </c>
      <c r="N317" s="82">
        <f>DATA!P317</f>
        <v>1</v>
      </c>
      <c r="P317" s="330">
        <f t="shared" si="70"/>
        <v>0</v>
      </c>
      <c r="Q317" s="330">
        <f t="shared" si="70"/>
        <v>0</v>
      </c>
      <c r="R317" s="330">
        <f t="shared" si="70"/>
        <v>0</v>
      </c>
      <c r="S317" s="330">
        <f t="shared" si="70"/>
        <v>0</v>
      </c>
      <c r="T317" s="334">
        <f t="shared" si="64"/>
        <v>0</v>
      </c>
      <c r="V317" s="330">
        <f t="shared" si="71"/>
        <v>0</v>
      </c>
      <c r="W317" s="330">
        <f t="shared" si="71"/>
        <v>0</v>
      </c>
      <c r="X317" s="330">
        <f t="shared" si="71"/>
        <v>0</v>
      </c>
      <c r="Y317" s="330">
        <f t="shared" si="71"/>
        <v>0</v>
      </c>
      <c r="Z317" s="334">
        <f t="shared" si="65"/>
        <v>0</v>
      </c>
    </row>
    <row r="318" spans="3:26" ht="16" hidden="1" outlineLevel="1" thickTop="1" thickBot="1">
      <c r="C318" s="74">
        <f t="shared" si="61"/>
        <v>308</v>
      </c>
      <c r="D318" s="75">
        <f t="shared" si="62"/>
        <v>53905</v>
      </c>
      <c r="E318" s="74">
        <f t="shared" si="58"/>
        <v>103</v>
      </c>
      <c r="F318" s="74" t="str">
        <f t="shared" si="59"/>
        <v>Q3-47</v>
      </c>
      <c r="G318" s="74">
        <f t="shared" si="63"/>
        <v>26</v>
      </c>
      <c r="H318" s="74">
        <f t="shared" si="60"/>
        <v>2047</v>
      </c>
      <c r="J318" s="82">
        <f>DATA!L318</f>
        <v>1.6673586889383765</v>
      </c>
      <c r="K318" s="82">
        <f>DATA!M318</f>
        <v>1.2785555442313525</v>
      </c>
      <c r="L318" s="82">
        <f>DATA!N318</f>
        <v>1</v>
      </c>
      <c r="M318" s="82">
        <f>DATA!O318</f>
        <v>1</v>
      </c>
      <c r="N318" s="82">
        <f>DATA!P318</f>
        <v>1</v>
      </c>
      <c r="P318" s="330">
        <f t="shared" si="70"/>
        <v>0</v>
      </c>
      <c r="Q318" s="330">
        <f t="shared" si="70"/>
        <v>0</v>
      </c>
      <c r="R318" s="330">
        <f t="shared" si="70"/>
        <v>0</v>
      </c>
      <c r="S318" s="330">
        <f t="shared" si="70"/>
        <v>0</v>
      </c>
      <c r="T318" s="334">
        <f t="shared" si="64"/>
        <v>0</v>
      </c>
      <c r="V318" s="330">
        <f t="shared" si="71"/>
        <v>0</v>
      </c>
      <c r="W318" s="330">
        <f t="shared" si="71"/>
        <v>0</v>
      </c>
      <c r="X318" s="330">
        <f t="shared" si="71"/>
        <v>0</v>
      </c>
      <c r="Y318" s="330">
        <f t="shared" si="71"/>
        <v>0</v>
      </c>
      <c r="Z318" s="334">
        <f t="shared" si="65"/>
        <v>0</v>
      </c>
    </row>
    <row r="319" spans="3:26" ht="16" hidden="1" outlineLevel="1" thickTop="1" thickBot="1">
      <c r="C319" s="74">
        <f t="shared" si="61"/>
        <v>309</v>
      </c>
      <c r="D319" s="75">
        <f t="shared" si="62"/>
        <v>53936</v>
      </c>
      <c r="E319" s="74">
        <f t="shared" si="58"/>
        <v>103</v>
      </c>
      <c r="F319" s="74" t="str">
        <f t="shared" si="59"/>
        <v>Q3-47</v>
      </c>
      <c r="G319" s="74">
        <f t="shared" si="63"/>
        <v>26</v>
      </c>
      <c r="H319" s="74">
        <f t="shared" si="60"/>
        <v>2047</v>
      </c>
      <c r="J319" s="82">
        <f>DATA!L319</f>
        <v>1.6701376200866072</v>
      </c>
      <c r="K319" s="82">
        <f>DATA!M319</f>
        <v>1.2796210071848786</v>
      </c>
      <c r="L319" s="82">
        <f>DATA!N319</f>
        <v>1</v>
      </c>
      <c r="M319" s="82">
        <f>DATA!O319</f>
        <v>1</v>
      </c>
      <c r="N319" s="82">
        <f>DATA!P319</f>
        <v>1</v>
      </c>
      <c r="P319" s="330">
        <f t="shared" si="70"/>
        <v>0</v>
      </c>
      <c r="Q319" s="330">
        <f t="shared" si="70"/>
        <v>0</v>
      </c>
      <c r="R319" s="330">
        <f t="shared" si="70"/>
        <v>0</v>
      </c>
      <c r="S319" s="330">
        <f t="shared" si="70"/>
        <v>0</v>
      </c>
      <c r="T319" s="334">
        <f t="shared" si="64"/>
        <v>0</v>
      </c>
      <c r="V319" s="330">
        <f t="shared" si="71"/>
        <v>0</v>
      </c>
      <c r="W319" s="330">
        <f t="shared" si="71"/>
        <v>0</v>
      </c>
      <c r="X319" s="330">
        <f t="shared" si="71"/>
        <v>0</v>
      </c>
      <c r="Y319" s="330">
        <f t="shared" si="71"/>
        <v>0</v>
      </c>
      <c r="Z319" s="334">
        <f t="shared" si="65"/>
        <v>0</v>
      </c>
    </row>
    <row r="320" spans="3:26" ht="16" hidden="1" outlineLevel="1" thickTop="1" thickBot="1">
      <c r="C320" s="74">
        <f t="shared" si="61"/>
        <v>310</v>
      </c>
      <c r="D320" s="75">
        <f t="shared" si="62"/>
        <v>53966</v>
      </c>
      <c r="E320" s="74">
        <f t="shared" si="58"/>
        <v>104</v>
      </c>
      <c r="F320" s="74" t="str">
        <f t="shared" si="59"/>
        <v>Q3-47</v>
      </c>
      <c r="G320" s="74">
        <f t="shared" si="63"/>
        <v>26</v>
      </c>
      <c r="H320" s="74">
        <f t="shared" si="60"/>
        <v>2047</v>
      </c>
      <c r="J320" s="82">
        <f>DATA!L320</f>
        <v>1.6729211827867516</v>
      </c>
      <c r="K320" s="82">
        <f>DATA!M320</f>
        <v>1.2806873580241993</v>
      </c>
      <c r="L320" s="82">
        <f>DATA!N320</f>
        <v>1</v>
      </c>
      <c r="M320" s="82">
        <f>DATA!O320</f>
        <v>1</v>
      </c>
      <c r="N320" s="82">
        <f>DATA!P320</f>
        <v>1</v>
      </c>
      <c r="P320" s="330">
        <f t="shared" si="70"/>
        <v>0</v>
      </c>
      <c r="Q320" s="330">
        <f t="shared" si="70"/>
        <v>0</v>
      </c>
      <c r="R320" s="330">
        <f t="shared" si="70"/>
        <v>0</v>
      </c>
      <c r="S320" s="330">
        <f t="shared" si="70"/>
        <v>0</v>
      </c>
      <c r="T320" s="334">
        <f t="shared" si="64"/>
        <v>0</v>
      </c>
      <c r="V320" s="330">
        <f t="shared" si="71"/>
        <v>0</v>
      </c>
      <c r="W320" s="330">
        <f t="shared" si="71"/>
        <v>0</v>
      </c>
      <c r="X320" s="330">
        <f t="shared" si="71"/>
        <v>0</v>
      </c>
      <c r="Y320" s="330">
        <f t="shared" si="71"/>
        <v>0</v>
      </c>
      <c r="Z320" s="334">
        <f t="shared" si="65"/>
        <v>0</v>
      </c>
    </row>
    <row r="321" spans="3:26" ht="16" hidden="1" outlineLevel="1" thickTop="1" thickBot="1">
      <c r="C321" s="74">
        <f t="shared" si="61"/>
        <v>311</v>
      </c>
      <c r="D321" s="75">
        <f t="shared" si="62"/>
        <v>53997</v>
      </c>
      <c r="E321" s="74">
        <f t="shared" si="58"/>
        <v>104</v>
      </c>
      <c r="F321" s="74" t="str">
        <f t="shared" si="59"/>
        <v>Q3-47</v>
      </c>
      <c r="G321" s="74">
        <f t="shared" si="63"/>
        <v>26</v>
      </c>
      <c r="H321" s="74">
        <f t="shared" si="60"/>
        <v>2047</v>
      </c>
      <c r="J321" s="82">
        <f>DATA!L321</f>
        <v>1.6757093847580629</v>
      </c>
      <c r="K321" s="82">
        <f>DATA!M321</f>
        <v>1.2817545974892193</v>
      </c>
      <c r="L321" s="82">
        <f>DATA!N321</f>
        <v>1</v>
      </c>
      <c r="M321" s="82">
        <f>DATA!O321</f>
        <v>1</v>
      </c>
      <c r="N321" s="82">
        <f>DATA!P321</f>
        <v>1</v>
      </c>
      <c r="P321" s="330">
        <f t="shared" si="70"/>
        <v>0</v>
      </c>
      <c r="Q321" s="330">
        <f t="shared" si="70"/>
        <v>0</v>
      </c>
      <c r="R321" s="330">
        <f t="shared" si="70"/>
        <v>0</v>
      </c>
      <c r="S321" s="330">
        <f t="shared" si="70"/>
        <v>0</v>
      </c>
      <c r="T321" s="334">
        <f t="shared" si="64"/>
        <v>0</v>
      </c>
      <c r="V321" s="330">
        <f t="shared" si="71"/>
        <v>0</v>
      </c>
      <c r="W321" s="330">
        <f t="shared" si="71"/>
        <v>0</v>
      </c>
      <c r="X321" s="330">
        <f t="shared" si="71"/>
        <v>0</v>
      </c>
      <c r="Y321" s="330">
        <f t="shared" si="71"/>
        <v>0</v>
      </c>
      <c r="Z321" s="334">
        <f t="shared" si="65"/>
        <v>0</v>
      </c>
    </row>
    <row r="322" spans="3:26" ht="16" hidden="1" outlineLevel="1" thickTop="1" thickBot="1">
      <c r="C322" s="74">
        <f t="shared" si="61"/>
        <v>312</v>
      </c>
      <c r="D322" s="75">
        <f t="shared" si="62"/>
        <v>54027</v>
      </c>
      <c r="E322" s="74">
        <f t="shared" si="58"/>
        <v>104</v>
      </c>
      <c r="F322" s="74" t="str">
        <f t="shared" si="59"/>
        <v>Q4-47</v>
      </c>
      <c r="G322" s="74">
        <f t="shared" si="63"/>
        <v>26</v>
      </c>
      <c r="H322" s="74">
        <f t="shared" si="60"/>
        <v>2047</v>
      </c>
      <c r="J322" s="82">
        <f>DATA!L322</f>
        <v>1.6785022337326596</v>
      </c>
      <c r="K322" s="82">
        <f>DATA!M322</f>
        <v>1.2828227263204601</v>
      </c>
      <c r="L322" s="82">
        <f>DATA!N322</f>
        <v>1</v>
      </c>
      <c r="M322" s="82">
        <f>DATA!O322</f>
        <v>1</v>
      </c>
      <c r="N322" s="82">
        <f>DATA!P322</f>
        <v>1</v>
      </c>
      <c r="P322" s="330">
        <f t="shared" si="70"/>
        <v>0</v>
      </c>
      <c r="Q322" s="330">
        <f t="shared" si="70"/>
        <v>0</v>
      </c>
      <c r="R322" s="330">
        <f t="shared" si="70"/>
        <v>0</v>
      </c>
      <c r="S322" s="330">
        <f t="shared" si="70"/>
        <v>0</v>
      </c>
      <c r="T322" s="334">
        <f t="shared" si="64"/>
        <v>0</v>
      </c>
      <c r="V322" s="330">
        <f t="shared" si="71"/>
        <v>0</v>
      </c>
      <c r="W322" s="330">
        <f t="shared" si="71"/>
        <v>0</v>
      </c>
      <c r="X322" s="330">
        <f t="shared" si="71"/>
        <v>0</v>
      </c>
      <c r="Y322" s="330">
        <f t="shared" si="71"/>
        <v>0</v>
      </c>
      <c r="Z322" s="334">
        <f t="shared" si="65"/>
        <v>0</v>
      </c>
    </row>
    <row r="323" spans="3:26" ht="16" hidden="1" outlineLevel="1" thickTop="1" thickBot="1">
      <c r="C323" s="74">
        <f t="shared" si="61"/>
        <v>313</v>
      </c>
      <c r="D323" s="75">
        <f t="shared" si="62"/>
        <v>54058</v>
      </c>
      <c r="E323" s="74">
        <f t="shared" si="58"/>
        <v>105</v>
      </c>
      <c r="F323" s="74" t="str">
        <f t="shared" si="59"/>
        <v>Q1-48</v>
      </c>
      <c r="G323" s="74">
        <f t="shared" si="63"/>
        <v>27</v>
      </c>
      <c r="H323" s="74">
        <f t="shared" si="60"/>
        <v>2048</v>
      </c>
      <c r="J323" s="82">
        <f>DATA!L323</f>
        <v>1.6812997374555474</v>
      </c>
      <c r="K323" s="82">
        <f>DATA!M323</f>
        <v>1.2838917452590604</v>
      </c>
      <c r="L323" s="82">
        <f>DATA!N323</f>
        <v>1</v>
      </c>
      <c r="M323" s="82">
        <f>DATA!O323</f>
        <v>1</v>
      </c>
      <c r="N323" s="82">
        <f>DATA!P323</f>
        <v>1</v>
      </c>
      <c r="P323" s="330">
        <f t="shared" si="70"/>
        <v>0</v>
      </c>
      <c r="Q323" s="330">
        <f t="shared" si="70"/>
        <v>0</v>
      </c>
      <c r="R323" s="330">
        <f t="shared" si="70"/>
        <v>0</v>
      </c>
      <c r="S323" s="330">
        <f t="shared" si="70"/>
        <v>0</v>
      </c>
      <c r="T323" s="334">
        <f t="shared" si="64"/>
        <v>0</v>
      </c>
      <c r="V323" s="330">
        <f t="shared" si="71"/>
        <v>0</v>
      </c>
      <c r="W323" s="330">
        <f t="shared" si="71"/>
        <v>0</v>
      </c>
      <c r="X323" s="330">
        <f t="shared" si="71"/>
        <v>0</v>
      </c>
      <c r="Y323" s="330">
        <f t="shared" si="71"/>
        <v>0</v>
      </c>
      <c r="Z323" s="334">
        <f t="shared" si="65"/>
        <v>0</v>
      </c>
    </row>
    <row r="324" spans="3:26" ht="16" hidden="1" outlineLevel="1" thickTop="1" thickBot="1">
      <c r="C324" s="74">
        <f t="shared" si="61"/>
        <v>314</v>
      </c>
      <c r="D324" s="75">
        <f t="shared" si="62"/>
        <v>54089</v>
      </c>
      <c r="E324" s="74">
        <f t="shared" si="58"/>
        <v>105</v>
      </c>
      <c r="F324" s="74" t="str">
        <f t="shared" si="59"/>
        <v>Q1-48</v>
      </c>
      <c r="G324" s="74">
        <f t="shared" si="63"/>
        <v>27</v>
      </c>
      <c r="H324" s="74">
        <f t="shared" si="60"/>
        <v>2048</v>
      </c>
      <c r="J324" s="82">
        <f>DATA!L324</f>
        <v>1.6841019036846401</v>
      </c>
      <c r="K324" s="82">
        <f>DATA!M324</f>
        <v>1.2849616550467762</v>
      </c>
      <c r="L324" s="82">
        <f>DATA!N324</f>
        <v>1</v>
      </c>
      <c r="M324" s="82">
        <f>DATA!O324</f>
        <v>1</v>
      </c>
      <c r="N324" s="82">
        <f>DATA!P324</f>
        <v>1</v>
      </c>
      <c r="P324" s="330">
        <f t="shared" si="70"/>
        <v>0</v>
      </c>
      <c r="Q324" s="330">
        <f t="shared" si="70"/>
        <v>0</v>
      </c>
      <c r="R324" s="330">
        <f t="shared" si="70"/>
        <v>0</v>
      </c>
      <c r="S324" s="330">
        <f t="shared" si="70"/>
        <v>0</v>
      </c>
      <c r="T324" s="334">
        <f t="shared" si="64"/>
        <v>0</v>
      </c>
      <c r="V324" s="330">
        <f t="shared" si="71"/>
        <v>0</v>
      </c>
      <c r="W324" s="330">
        <f t="shared" si="71"/>
        <v>0</v>
      </c>
      <c r="X324" s="330">
        <f t="shared" si="71"/>
        <v>0</v>
      </c>
      <c r="Y324" s="330">
        <f t="shared" si="71"/>
        <v>0</v>
      </c>
      <c r="Z324" s="334">
        <f t="shared" si="65"/>
        <v>0</v>
      </c>
    </row>
    <row r="325" spans="3:26" ht="16" hidden="1" outlineLevel="1" thickTop="1" thickBot="1">
      <c r="C325" s="74">
        <f t="shared" si="61"/>
        <v>315</v>
      </c>
      <c r="D325" s="75">
        <f t="shared" si="62"/>
        <v>54118</v>
      </c>
      <c r="E325" s="74">
        <f t="shared" si="58"/>
        <v>105</v>
      </c>
      <c r="F325" s="74" t="str">
        <f t="shared" si="59"/>
        <v>Q1-48</v>
      </c>
      <c r="G325" s="74">
        <f t="shared" si="63"/>
        <v>27</v>
      </c>
      <c r="H325" s="74">
        <f t="shared" si="60"/>
        <v>2048</v>
      </c>
      <c r="J325" s="82">
        <f>DATA!L325</f>
        <v>1.6869087401907812</v>
      </c>
      <c r="K325" s="82">
        <f>DATA!M325</f>
        <v>1.2860324564259817</v>
      </c>
      <c r="L325" s="82">
        <f>DATA!N325</f>
        <v>1</v>
      </c>
      <c r="M325" s="82">
        <f>DATA!O325</f>
        <v>1</v>
      </c>
      <c r="N325" s="82">
        <f>DATA!P325</f>
        <v>1</v>
      </c>
      <c r="P325" s="330">
        <f t="shared" si="70"/>
        <v>0</v>
      </c>
      <c r="Q325" s="330">
        <f t="shared" si="70"/>
        <v>0</v>
      </c>
      <c r="R325" s="330">
        <f t="shared" si="70"/>
        <v>0</v>
      </c>
      <c r="S325" s="330">
        <f t="shared" si="70"/>
        <v>0</v>
      </c>
      <c r="T325" s="334">
        <f t="shared" si="64"/>
        <v>0</v>
      </c>
      <c r="V325" s="330">
        <f t="shared" si="71"/>
        <v>0</v>
      </c>
      <c r="W325" s="330">
        <f t="shared" si="71"/>
        <v>0</v>
      </c>
      <c r="X325" s="330">
        <f t="shared" si="71"/>
        <v>0</v>
      </c>
      <c r="Y325" s="330">
        <f t="shared" si="71"/>
        <v>0</v>
      </c>
      <c r="Z325" s="334">
        <f t="shared" si="65"/>
        <v>0</v>
      </c>
    </row>
    <row r="326" spans="3:26" ht="16" hidden="1" outlineLevel="1" thickTop="1" thickBot="1">
      <c r="C326" s="74">
        <f t="shared" si="61"/>
        <v>316</v>
      </c>
      <c r="D326" s="75">
        <f t="shared" si="62"/>
        <v>54149</v>
      </c>
      <c r="E326" s="74">
        <f t="shared" si="58"/>
        <v>106</v>
      </c>
      <c r="F326" s="74" t="str">
        <f t="shared" si="59"/>
        <v>Q2-48</v>
      </c>
      <c r="G326" s="74">
        <f t="shared" si="63"/>
        <v>27</v>
      </c>
      <c r="H326" s="74">
        <f t="shared" si="60"/>
        <v>2048</v>
      </c>
      <c r="J326" s="82">
        <f>DATA!L326</f>
        <v>1.6897202547577659</v>
      </c>
      <c r="K326" s="82">
        <f>DATA!M326</f>
        <v>1.2871041501396698</v>
      </c>
      <c r="L326" s="82">
        <f>DATA!N326</f>
        <v>1</v>
      </c>
      <c r="M326" s="82">
        <f>DATA!O326</f>
        <v>1</v>
      </c>
      <c r="N326" s="82">
        <f>DATA!P326</f>
        <v>1</v>
      </c>
      <c r="P326" s="330">
        <f t="shared" si="70"/>
        <v>0</v>
      </c>
      <c r="Q326" s="330">
        <f t="shared" si="70"/>
        <v>0</v>
      </c>
      <c r="R326" s="330">
        <f t="shared" si="70"/>
        <v>0</v>
      </c>
      <c r="S326" s="330">
        <f t="shared" si="70"/>
        <v>0</v>
      </c>
      <c r="T326" s="334">
        <f t="shared" si="64"/>
        <v>0</v>
      </c>
      <c r="V326" s="330">
        <f t="shared" si="71"/>
        <v>0</v>
      </c>
      <c r="W326" s="330">
        <f t="shared" si="71"/>
        <v>0</v>
      </c>
      <c r="X326" s="330">
        <f t="shared" si="71"/>
        <v>0</v>
      </c>
      <c r="Y326" s="330">
        <f t="shared" si="71"/>
        <v>0</v>
      </c>
      <c r="Z326" s="334">
        <f t="shared" si="65"/>
        <v>0</v>
      </c>
    </row>
    <row r="327" spans="3:26" ht="16" hidden="1" outlineLevel="1" thickTop="1" thickBot="1">
      <c r="C327" s="74">
        <f t="shared" si="61"/>
        <v>317</v>
      </c>
      <c r="D327" s="75">
        <f t="shared" si="62"/>
        <v>54179</v>
      </c>
      <c r="E327" s="74">
        <f t="shared" si="58"/>
        <v>106</v>
      </c>
      <c r="F327" s="74" t="str">
        <f t="shared" si="59"/>
        <v>Q2-48</v>
      </c>
      <c r="G327" s="74">
        <f t="shared" si="63"/>
        <v>27</v>
      </c>
      <c r="H327" s="74">
        <f t="shared" si="60"/>
        <v>2048</v>
      </c>
      <c r="J327" s="82">
        <f>DATA!L327</f>
        <v>1.6925364551823623</v>
      </c>
      <c r="K327" s="82">
        <f>DATA!M327</f>
        <v>1.2881767369314527</v>
      </c>
      <c r="L327" s="82">
        <f>DATA!N327</f>
        <v>1</v>
      </c>
      <c r="M327" s="82">
        <f>DATA!O327</f>
        <v>1</v>
      </c>
      <c r="N327" s="82">
        <f>DATA!P327</f>
        <v>1</v>
      </c>
      <c r="P327" s="330">
        <f t="shared" si="70"/>
        <v>0</v>
      </c>
      <c r="Q327" s="330">
        <f t="shared" si="70"/>
        <v>0</v>
      </c>
      <c r="R327" s="330">
        <f t="shared" si="70"/>
        <v>0</v>
      </c>
      <c r="S327" s="330">
        <f t="shared" si="70"/>
        <v>0</v>
      </c>
      <c r="T327" s="334">
        <f t="shared" si="64"/>
        <v>0</v>
      </c>
      <c r="V327" s="330">
        <f t="shared" si="71"/>
        <v>0</v>
      </c>
      <c r="W327" s="330">
        <f t="shared" si="71"/>
        <v>0</v>
      </c>
      <c r="X327" s="330">
        <f t="shared" si="71"/>
        <v>0</v>
      </c>
      <c r="Y327" s="330">
        <f t="shared" si="71"/>
        <v>0</v>
      </c>
      <c r="Z327" s="334">
        <f t="shared" si="65"/>
        <v>0</v>
      </c>
    </row>
    <row r="328" spans="3:26" ht="16" hidden="1" outlineLevel="1" thickTop="1" thickBot="1">
      <c r="C328" s="74">
        <f t="shared" si="61"/>
        <v>318</v>
      </c>
      <c r="D328" s="75">
        <f t="shared" si="62"/>
        <v>54210</v>
      </c>
      <c r="E328" s="74">
        <f t="shared" si="58"/>
        <v>106</v>
      </c>
      <c r="F328" s="74" t="str">
        <f t="shared" si="59"/>
        <v>Q2-48</v>
      </c>
      <c r="G328" s="74">
        <f t="shared" si="63"/>
        <v>27</v>
      </c>
      <c r="H328" s="74">
        <f t="shared" si="60"/>
        <v>2048</v>
      </c>
      <c r="J328" s="82">
        <f>DATA!L328</f>
        <v>1.695357349274333</v>
      </c>
      <c r="K328" s="82">
        <f>DATA!M328</f>
        <v>1.2892502175455622</v>
      </c>
      <c r="L328" s="82">
        <f>DATA!N328</f>
        <v>1</v>
      </c>
      <c r="M328" s="82">
        <f>DATA!O328</f>
        <v>1</v>
      </c>
      <c r="N328" s="82">
        <f>DATA!P328</f>
        <v>1</v>
      </c>
      <c r="P328" s="330">
        <f t="shared" si="70"/>
        <v>0</v>
      </c>
      <c r="Q328" s="330">
        <f t="shared" si="70"/>
        <v>0</v>
      </c>
      <c r="R328" s="330">
        <f t="shared" si="70"/>
        <v>0</v>
      </c>
      <c r="S328" s="330">
        <f t="shared" si="70"/>
        <v>0</v>
      </c>
      <c r="T328" s="334">
        <f t="shared" si="64"/>
        <v>0</v>
      </c>
      <c r="V328" s="330">
        <f t="shared" si="71"/>
        <v>0</v>
      </c>
      <c r="W328" s="330">
        <f t="shared" si="71"/>
        <v>0</v>
      </c>
      <c r="X328" s="330">
        <f t="shared" si="71"/>
        <v>0</v>
      </c>
      <c r="Y328" s="330">
        <f t="shared" si="71"/>
        <v>0</v>
      </c>
      <c r="Z328" s="334">
        <f t="shared" si="65"/>
        <v>0</v>
      </c>
    </row>
    <row r="329" spans="3:26" ht="16" hidden="1" outlineLevel="1" thickTop="1" thickBot="1">
      <c r="C329" s="74">
        <f t="shared" si="61"/>
        <v>319</v>
      </c>
      <c r="D329" s="75">
        <f t="shared" si="62"/>
        <v>54240</v>
      </c>
      <c r="E329" s="74">
        <f t="shared" si="58"/>
        <v>107</v>
      </c>
      <c r="F329" s="74" t="str">
        <f t="shared" si="59"/>
        <v>Q2-48</v>
      </c>
      <c r="G329" s="74">
        <f t="shared" si="63"/>
        <v>27</v>
      </c>
      <c r="H329" s="74">
        <f t="shared" si="60"/>
        <v>2048</v>
      </c>
      <c r="J329" s="82">
        <f>DATA!L329</f>
        <v>1.6981829448564569</v>
      </c>
      <c r="K329" s="82">
        <f>DATA!M329</f>
        <v>1.2903245927268501</v>
      </c>
      <c r="L329" s="82">
        <f>DATA!N329</f>
        <v>1</v>
      </c>
      <c r="M329" s="82">
        <f>DATA!O329</f>
        <v>1</v>
      </c>
      <c r="N329" s="82">
        <f>DATA!P329</f>
        <v>1</v>
      </c>
      <c r="P329" s="330">
        <f t="shared" si="70"/>
        <v>0</v>
      </c>
      <c r="Q329" s="330">
        <f t="shared" si="70"/>
        <v>0</v>
      </c>
      <c r="R329" s="330">
        <f t="shared" si="70"/>
        <v>0</v>
      </c>
      <c r="S329" s="330">
        <f t="shared" si="70"/>
        <v>0</v>
      </c>
      <c r="T329" s="334">
        <f t="shared" si="64"/>
        <v>0</v>
      </c>
      <c r="V329" s="330">
        <f t="shared" si="71"/>
        <v>0</v>
      </c>
      <c r="W329" s="330">
        <f t="shared" si="71"/>
        <v>0</v>
      </c>
      <c r="X329" s="330">
        <f t="shared" si="71"/>
        <v>0</v>
      </c>
      <c r="Y329" s="330">
        <f t="shared" si="71"/>
        <v>0</v>
      </c>
      <c r="Z329" s="334">
        <f t="shared" si="65"/>
        <v>0</v>
      </c>
    </row>
    <row r="330" spans="3:26" ht="16" hidden="1" outlineLevel="1" thickTop="1" thickBot="1">
      <c r="C330" s="74">
        <f t="shared" si="61"/>
        <v>320</v>
      </c>
      <c r="D330" s="75">
        <f t="shared" si="62"/>
        <v>54271</v>
      </c>
      <c r="E330" s="74">
        <f t="shared" si="58"/>
        <v>107</v>
      </c>
      <c r="F330" s="74" t="str">
        <f t="shared" si="59"/>
        <v>Q3-48</v>
      </c>
      <c r="G330" s="74">
        <f t="shared" si="63"/>
        <v>27</v>
      </c>
      <c r="H330" s="74">
        <f t="shared" si="60"/>
        <v>2048</v>
      </c>
      <c r="J330" s="82">
        <f>DATA!L330</f>
        <v>1.7010132497645511</v>
      </c>
      <c r="K330" s="82">
        <f>DATA!M330</f>
        <v>1.291399863220789</v>
      </c>
      <c r="L330" s="82">
        <f>DATA!N330</f>
        <v>1</v>
      </c>
      <c r="M330" s="82">
        <f>DATA!O330</f>
        <v>1</v>
      </c>
      <c r="N330" s="82">
        <f>DATA!P330</f>
        <v>1</v>
      </c>
      <c r="P330" s="330">
        <f t="shared" si="70"/>
        <v>0</v>
      </c>
      <c r="Q330" s="330">
        <f t="shared" si="70"/>
        <v>0</v>
      </c>
      <c r="R330" s="330">
        <f t="shared" si="70"/>
        <v>0</v>
      </c>
      <c r="S330" s="330">
        <f t="shared" si="70"/>
        <v>0</v>
      </c>
      <c r="T330" s="334">
        <f t="shared" si="64"/>
        <v>0</v>
      </c>
      <c r="V330" s="330">
        <f t="shared" si="71"/>
        <v>0</v>
      </c>
      <c r="W330" s="330">
        <f t="shared" si="71"/>
        <v>0</v>
      </c>
      <c r="X330" s="330">
        <f t="shared" si="71"/>
        <v>0</v>
      </c>
      <c r="Y330" s="330">
        <f t="shared" si="71"/>
        <v>0</v>
      </c>
      <c r="Z330" s="334">
        <f t="shared" si="65"/>
        <v>0</v>
      </c>
    </row>
    <row r="331" spans="3:26" ht="16" hidden="1" outlineLevel="1" thickTop="1" thickBot="1">
      <c r="C331" s="74">
        <f t="shared" si="61"/>
        <v>321</v>
      </c>
      <c r="D331" s="75">
        <f t="shared" si="62"/>
        <v>54302</v>
      </c>
      <c r="E331" s="74">
        <f t="shared" ref="E331:E370" si="72">INT(INT(C331+2)/3)</f>
        <v>107</v>
      </c>
      <c r="F331" s="74" t="str">
        <f t="shared" ref="F331:F370" si="73">"Q"&amp;INT((MONTH(D331)/4)+1)&amp;"-"&amp;RIGHT(YEAR(D331),2)</f>
        <v>Q3-48</v>
      </c>
      <c r="G331" s="74">
        <f t="shared" si="63"/>
        <v>27</v>
      </c>
      <c r="H331" s="74">
        <f t="shared" ref="H331:H370" si="74">YEAR(D331)</f>
        <v>2048</v>
      </c>
      <c r="J331" s="82">
        <f>DATA!L331</f>
        <v>1.7038482718474921</v>
      </c>
      <c r="K331" s="82">
        <f>DATA!M331</f>
        <v>1.292476029773473</v>
      </c>
      <c r="L331" s="82">
        <f>DATA!N331</f>
        <v>1</v>
      </c>
      <c r="M331" s="82">
        <f>DATA!O331</f>
        <v>1</v>
      </c>
      <c r="N331" s="82">
        <f>DATA!P331</f>
        <v>1</v>
      </c>
      <c r="P331" s="330">
        <f t="shared" ref="P331:S350" si="75">IF(AND($C331&gt;=P$6,$C331&lt;=P$6+P$7-1),P$9/P$7*$K331,0)</f>
        <v>0</v>
      </c>
      <c r="Q331" s="330">
        <f t="shared" si="75"/>
        <v>0</v>
      </c>
      <c r="R331" s="330">
        <f t="shared" si="75"/>
        <v>0</v>
      </c>
      <c r="S331" s="330">
        <f t="shared" si="75"/>
        <v>0</v>
      </c>
      <c r="T331" s="334">
        <f t="shared" si="64"/>
        <v>0</v>
      </c>
      <c r="V331" s="330">
        <f t="shared" ref="V331:Y350" si="76">IF(AND($C331&gt;=V$6,$C331&lt;=V$6+V$7-1),V$9/V$7*$K331,0)</f>
        <v>0</v>
      </c>
      <c r="W331" s="330">
        <f t="shared" si="76"/>
        <v>0</v>
      </c>
      <c r="X331" s="330">
        <f t="shared" si="76"/>
        <v>0</v>
      </c>
      <c r="Y331" s="330">
        <f t="shared" si="76"/>
        <v>0</v>
      </c>
      <c r="Z331" s="334">
        <f t="shared" si="65"/>
        <v>0</v>
      </c>
    </row>
    <row r="332" spans="3:26" ht="16" hidden="1" outlineLevel="1" thickTop="1" thickBot="1">
      <c r="C332" s="74">
        <f t="shared" ref="C332:C370" si="77">C331+1</f>
        <v>322</v>
      </c>
      <c r="D332" s="75">
        <f t="shared" ref="D332:D370" si="78">EOMONTH(D331,0)+1</f>
        <v>54332</v>
      </c>
      <c r="E332" s="74">
        <f t="shared" si="72"/>
        <v>108</v>
      </c>
      <c r="F332" s="74" t="str">
        <f t="shared" si="73"/>
        <v>Q3-48</v>
      </c>
      <c r="G332" s="74">
        <f t="shared" ref="G332:G370" si="79">MIN(INT(YEARFRAC(D$11,D344)),30)</f>
        <v>27</v>
      </c>
      <c r="H332" s="74">
        <f t="shared" si="74"/>
        <v>2048</v>
      </c>
      <c r="J332" s="82">
        <f>DATA!L332</f>
        <v>1.706688018967238</v>
      </c>
      <c r="K332" s="82">
        <f>DATA!M332</f>
        <v>1.2935530931316175</v>
      </c>
      <c r="L332" s="82">
        <f>DATA!N332</f>
        <v>1</v>
      </c>
      <c r="M332" s="82">
        <f>DATA!O332</f>
        <v>1</v>
      </c>
      <c r="N332" s="82">
        <f>DATA!P332</f>
        <v>1</v>
      </c>
      <c r="P332" s="330">
        <f t="shared" si="75"/>
        <v>0</v>
      </c>
      <c r="Q332" s="330">
        <f t="shared" si="75"/>
        <v>0</v>
      </c>
      <c r="R332" s="330">
        <f t="shared" si="75"/>
        <v>0</v>
      </c>
      <c r="S332" s="330">
        <f t="shared" si="75"/>
        <v>0</v>
      </c>
      <c r="T332" s="334">
        <f t="shared" ref="T332:T370" si="80">SUM(P332:S332)</f>
        <v>0</v>
      </c>
      <c r="V332" s="330">
        <f t="shared" si="76"/>
        <v>0</v>
      </c>
      <c r="W332" s="330">
        <f t="shared" si="76"/>
        <v>0</v>
      </c>
      <c r="X332" s="330">
        <f t="shared" si="76"/>
        <v>0</v>
      </c>
      <c r="Y332" s="330">
        <f t="shared" si="76"/>
        <v>0</v>
      </c>
      <c r="Z332" s="334">
        <f t="shared" ref="Z332:Z370" si="81">SUM(V332:Y332)</f>
        <v>0</v>
      </c>
    </row>
    <row r="333" spans="3:26" ht="16" hidden="1" outlineLevel="1" thickTop="1" thickBot="1">
      <c r="C333" s="74">
        <f t="shared" si="77"/>
        <v>323</v>
      </c>
      <c r="D333" s="75">
        <f t="shared" si="78"/>
        <v>54363</v>
      </c>
      <c r="E333" s="74">
        <f t="shared" si="72"/>
        <v>108</v>
      </c>
      <c r="F333" s="74" t="str">
        <f t="shared" si="73"/>
        <v>Q3-48</v>
      </c>
      <c r="G333" s="74">
        <f t="shared" si="79"/>
        <v>27</v>
      </c>
      <c r="H333" s="74">
        <f t="shared" si="74"/>
        <v>2048</v>
      </c>
      <c r="J333" s="82">
        <f>DATA!L333</f>
        <v>1.7095324989988501</v>
      </c>
      <c r="K333" s="82">
        <f>DATA!M333</f>
        <v>1.2946310540425603</v>
      </c>
      <c r="L333" s="82">
        <f>DATA!N333</f>
        <v>1</v>
      </c>
      <c r="M333" s="82">
        <f>DATA!O333</f>
        <v>1</v>
      </c>
      <c r="N333" s="82">
        <f>DATA!P333</f>
        <v>1</v>
      </c>
      <c r="P333" s="330">
        <f t="shared" si="75"/>
        <v>0</v>
      </c>
      <c r="Q333" s="330">
        <f t="shared" si="75"/>
        <v>0</v>
      </c>
      <c r="R333" s="330">
        <f t="shared" si="75"/>
        <v>0</v>
      </c>
      <c r="S333" s="330">
        <f t="shared" si="75"/>
        <v>0</v>
      </c>
      <c r="T333" s="334">
        <f t="shared" si="80"/>
        <v>0</v>
      </c>
      <c r="V333" s="330">
        <f t="shared" si="76"/>
        <v>0</v>
      </c>
      <c r="W333" s="330">
        <f t="shared" si="76"/>
        <v>0</v>
      </c>
      <c r="X333" s="330">
        <f t="shared" si="76"/>
        <v>0</v>
      </c>
      <c r="Y333" s="330">
        <f t="shared" si="76"/>
        <v>0</v>
      </c>
      <c r="Z333" s="334">
        <f t="shared" si="81"/>
        <v>0</v>
      </c>
    </row>
    <row r="334" spans="3:26" ht="16" hidden="1" outlineLevel="1" thickTop="1" thickBot="1">
      <c r="C334" s="74">
        <f t="shared" si="77"/>
        <v>324</v>
      </c>
      <c r="D334" s="75">
        <f t="shared" si="78"/>
        <v>54393</v>
      </c>
      <c r="E334" s="74">
        <f t="shared" si="72"/>
        <v>108</v>
      </c>
      <c r="F334" s="74" t="str">
        <f t="shared" si="73"/>
        <v>Q4-48</v>
      </c>
      <c r="G334" s="74">
        <f t="shared" si="79"/>
        <v>27</v>
      </c>
      <c r="H334" s="74">
        <f t="shared" si="74"/>
        <v>2048</v>
      </c>
      <c r="J334" s="82">
        <f>DATA!L334</f>
        <v>1.7123817198305149</v>
      </c>
      <c r="K334" s="82">
        <f>DATA!M334</f>
        <v>1.2957099132542622</v>
      </c>
      <c r="L334" s="82">
        <f>DATA!N334</f>
        <v>1</v>
      </c>
      <c r="M334" s="82">
        <f>DATA!O334</f>
        <v>1</v>
      </c>
      <c r="N334" s="82">
        <f>DATA!P334</f>
        <v>1</v>
      </c>
      <c r="P334" s="330">
        <f t="shared" si="75"/>
        <v>0</v>
      </c>
      <c r="Q334" s="330">
        <f t="shared" si="75"/>
        <v>0</v>
      </c>
      <c r="R334" s="330">
        <f t="shared" si="75"/>
        <v>0</v>
      </c>
      <c r="S334" s="330">
        <f t="shared" si="75"/>
        <v>0</v>
      </c>
      <c r="T334" s="334">
        <f t="shared" si="80"/>
        <v>0</v>
      </c>
      <c r="V334" s="330">
        <f t="shared" si="76"/>
        <v>0</v>
      </c>
      <c r="W334" s="330">
        <f t="shared" si="76"/>
        <v>0</v>
      </c>
      <c r="X334" s="330">
        <f t="shared" si="76"/>
        <v>0</v>
      </c>
      <c r="Y334" s="330">
        <f t="shared" si="76"/>
        <v>0</v>
      </c>
      <c r="Z334" s="334">
        <f t="shared" si="81"/>
        <v>0</v>
      </c>
    </row>
    <row r="335" spans="3:26" ht="16" hidden="1" outlineLevel="1" thickTop="1" thickBot="1">
      <c r="C335" s="74">
        <f t="shared" si="77"/>
        <v>325</v>
      </c>
      <c r="D335" s="75">
        <f t="shared" si="78"/>
        <v>54424</v>
      </c>
      <c r="E335" s="74">
        <f t="shared" si="72"/>
        <v>109</v>
      </c>
      <c r="F335" s="74" t="str">
        <f t="shared" si="73"/>
        <v>Q1-49</v>
      </c>
      <c r="G335" s="74">
        <f t="shared" si="79"/>
        <v>28</v>
      </c>
      <c r="H335" s="74">
        <f t="shared" si="74"/>
        <v>2049</v>
      </c>
      <c r="J335" s="82">
        <f>DATA!L335</f>
        <v>1.7152356893635659</v>
      </c>
      <c r="K335" s="82">
        <f>DATA!M335</f>
        <v>1.2967896715153073</v>
      </c>
      <c r="L335" s="82">
        <f>DATA!N335</f>
        <v>1</v>
      </c>
      <c r="M335" s="82">
        <f>DATA!O335</f>
        <v>1</v>
      </c>
      <c r="N335" s="82">
        <f>DATA!P335</f>
        <v>1</v>
      </c>
      <c r="P335" s="330">
        <f t="shared" si="75"/>
        <v>0</v>
      </c>
      <c r="Q335" s="330">
        <f t="shared" si="75"/>
        <v>0</v>
      </c>
      <c r="R335" s="330">
        <f t="shared" si="75"/>
        <v>0</v>
      </c>
      <c r="S335" s="330">
        <f t="shared" si="75"/>
        <v>0</v>
      </c>
      <c r="T335" s="334">
        <f t="shared" si="80"/>
        <v>0</v>
      </c>
      <c r="V335" s="330">
        <f t="shared" si="76"/>
        <v>0</v>
      </c>
      <c r="W335" s="330">
        <f t="shared" si="76"/>
        <v>0</v>
      </c>
      <c r="X335" s="330">
        <f t="shared" si="76"/>
        <v>0</v>
      </c>
      <c r="Y335" s="330">
        <f t="shared" si="76"/>
        <v>0</v>
      </c>
      <c r="Z335" s="334">
        <f t="shared" si="81"/>
        <v>0</v>
      </c>
    </row>
    <row r="336" spans="3:26" ht="16" hidden="1" outlineLevel="1" thickTop="1" thickBot="1">
      <c r="C336" s="74">
        <f t="shared" si="77"/>
        <v>326</v>
      </c>
      <c r="D336" s="75">
        <f t="shared" si="78"/>
        <v>54455</v>
      </c>
      <c r="E336" s="74">
        <f t="shared" si="72"/>
        <v>109</v>
      </c>
      <c r="F336" s="74" t="str">
        <f t="shared" si="73"/>
        <v>Q1-49</v>
      </c>
      <c r="G336" s="74">
        <f t="shared" si="79"/>
        <v>28</v>
      </c>
      <c r="H336" s="74">
        <f t="shared" si="74"/>
        <v>2049</v>
      </c>
      <c r="J336" s="82">
        <f>DATA!L336</f>
        <v>1.7180944155125053</v>
      </c>
      <c r="K336" s="82">
        <f>DATA!M336</f>
        <v>1.2978703295749032</v>
      </c>
      <c r="L336" s="82">
        <f>DATA!N336</f>
        <v>1</v>
      </c>
      <c r="M336" s="82">
        <f>DATA!O336</f>
        <v>1</v>
      </c>
      <c r="N336" s="82">
        <f>DATA!P336</f>
        <v>1</v>
      </c>
      <c r="P336" s="330">
        <f t="shared" si="75"/>
        <v>0</v>
      </c>
      <c r="Q336" s="330">
        <f t="shared" si="75"/>
        <v>0</v>
      </c>
      <c r="R336" s="330">
        <f t="shared" si="75"/>
        <v>0</v>
      </c>
      <c r="S336" s="330">
        <f t="shared" si="75"/>
        <v>0</v>
      </c>
      <c r="T336" s="334">
        <f t="shared" si="80"/>
        <v>0</v>
      </c>
      <c r="V336" s="330">
        <f t="shared" si="76"/>
        <v>0</v>
      </c>
      <c r="W336" s="330">
        <f t="shared" si="76"/>
        <v>0</v>
      </c>
      <c r="X336" s="330">
        <f t="shared" si="76"/>
        <v>0</v>
      </c>
      <c r="Y336" s="330">
        <f t="shared" si="76"/>
        <v>0</v>
      </c>
      <c r="Z336" s="334">
        <f t="shared" si="81"/>
        <v>0</v>
      </c>
    </row>
    <row r="337" spans="3:26" ht="16" hidden="1" outlineLevel="1" thickTop="1" thickBot="1">
      <c r="C337" s="74">
        <f t="shared" si="77"/>
        <v>327</v>
      </c>
      <c r="D337" s="75">
        <f t="shared" si="78"/>
        <v>54483</v>
      </c>
      <c r="E337" s="74">
        <f t="shared" si="72"/>
        <v>109</v>
      </c>
      <c r="F337" s="74" t="str">
        <f t="shared" si="73"/>
        <v>Q1-49</v>
      </c>
      <c r="G337" s="74">
        <f t="shared" si="79"/>
        <v>28</v>
      </c>
      <c r="H337" s="74">
        <f t="shared" si="74"/>
        <v>2049</v>
      </c>
      <c r="J337" s="82">
        <f>DATA!L337</f>
        <v>1.7209579062050262</v>
      </c>
      <c r="K337" s="82">
        <f>DATA!M337</f>
        <v>1.2989518881828821</v>
      </c>
      <c r="L337" s="82">
        <f>DATA!N337</f>
        <v>1</v>
      </c>
      <c r="M337" s="82">
        <f>DATA!O337</f>
        <v>1</v>
      </c>
      <c r="N337" s="82">
        <f>DATA!P337</f>
        <v>1</v>
      </c>
      <c r="P337" s="330">
        <f t="shared" si="75"/>
        <v>0</v>
      </c>
      <c r="Q337" s="330">
        <f t="shared" si="75"/>
        <v>0</v>
      </c>
      <c r="R337" s="330">
        <f t="shared" si="75"/>
        <v>0</v>
      </c>
      <c r="S337" s="330">
        <f t="shared" si="75"/>
        <v>0</v>
      </c>
      <c r="T337" s="334">
        <f t="shared" si="80"/>
        <v>0</v>
      </c>
      <c r="V337" s="330">
        <f t="shared" si="76"/>
        <v>0</v>
      </c>
      <c r="W337" s="330">
        <f t="shared" si="76"/>
        <v>0</v>
      </c>
      <c r="X337" s="330">
        <f t="shared" si="76"/>
        <v>0</v>
      </c>
      <c r="Y337" s="330">
        <f t="shared" si="76"/>
        <v>0</v>
      </c>
      <c r="Z337" s="334">
        <f t="shared" si="81"/>
        <v>0</v>
      </c>
    </row>
    <row r="338" spans="3:26" ht="16" hidden="1" outlineLevel="1" thickTop="1" thickBot="1">
      <c r="C338" s="74">
        <f t="shared" si="77"/>
        <v>328</v>
      </c>
      <c r="D338" s="75">
        <f t="shared" si="78"/>
        <v>54514</v>
      </c>
      <c r="E338" s="74">
        <f t="shared" si="72"/>
        <v>110</v>
      </c>
      <c r="F338" s="74" t="str">
        <f t="shared" si="73"/>
        <v>Q2-49</v>
      </c>
      <c r="G338" s="74">
        <f t="shared" si="79"/>
        <v>28</v>
      </c>
      <c r="H338" s="74">
        <f t="shared" si="74"/>
        <v>2049</v>
      </c>
      <c r="J338" s="82">
        <f>DATA!L338</f>
        <v>1.7238261693820347</v>
      </c>
      <c r="K338" s="82">
        <f>DATA!M338</f>
        <v>1.300034348089701</v>
      </c>
      <c r="L338" s="82">
        <f>DATA!N338</f>
        <v>1</v>
      </c>
      <c r="M338" s="82">
        <f>DATA!O338</f>
        <v>1</v>
      </c>
      <c r="N338" s="82">
        <f>DATA!P338</f>
        <v>1</v>
      </c>
      <c r="P338" s="330">
        <f t="shared" si="75"/>
        <v>0</v>
      </c>
      <c r="Q338" s="330">
        <f t="shared" si="75"/>
        <v>0</v>
      </c>
      <c r="R338" s="330">
        <f t="shared" si="75"/>
        <v>0</v>
      </c>
      <c r="S338" s="330">
        <f t="shared" si="75"/>
        <v>0</v>
      </c>
      <c r="T338" s="334">
        <f t="shared" si="80"/>
        <v>0</v>
      </c>
      <c r="V338" s="330">
        <f t="shared" si="76"/>
        <v>0</v>
      </c>
      <c r="W338" s="330">
        <f t="shared" si="76"/>
        <v>0</v>
      </c>
      <c r="X338" s="330">
        <f t="shared" si="76"/>
        <v>0</v>
      </c>
      <c r="Y338" s="330">
        <f t="shared" si="76"/>
        <v>0</v>
      </c>
      <c r="Z338" s="334">
        <f t="shared" si="81"/>
        <v>0</v>
      </c>
    </row>
    <row r="339" spans="3:26" ht="16" hidden="1" outlineLevel="1" thickTop="1" thickBot="1">
      <c r="C339" s="74">
        <f t="shared" si="77"/>
        <v>329</v>
      </c>
      <c r="D339" s="75">
        <f t="shared" si="78"/>
        <v>54544</v>
      </c>
      <c r="E339" s="74">
        <f t="shared" si="72"/>
        <v>110</v>
      </c>
      <c r="F339" s="74" t="str">
        <f t="shared" si="73"/>
        <v>Q2-49</v>
      </c>
      <c r="G339" s="74">
        <f t="shared" si="79"/>
        <v>28</v>
      </c>
      <c r="H339" s="74">
        <f t="shared" si="74"/>
        <v>2049</v>
      </c>
      <c r="J339" s="82">
        <f>DATA!L339</f>
        <v>1.7266992129976715</v>
      </c>
      <c r="K339" s="82">
        <f>DATA!M339</f>
        <v>1.3011177100464422</v>
      </c>
      <c r="L339" s="82">
        <f>DATA!N339</f>
        <v>1</v>
      </c>
      <c r="M339" s="82">
        <f>DATA!O339</f>
        <v>1</v>
      </c>
      <c r="N339" s="82">
        <f>DATA!P339</f>
        <v>1</v>
      </c>
      <c r="P339" s="330">
        <f t="shared" si="75"/>
        <v>0</v>
      </c>
      <c r="Q339" s="330">
        <f t="shared" si="75"/>
        <v>0</v>
      </c>
      <c r="R339" s="330">
        <f t="shared" si="75"/>
        <v>0</v>
      </c>
      <c r="S339" s="330">
        <f t="shared" si="75"/>
        <v>0</v>
      </c>
      <c r="T339" s="334">
        <f t="shared" si="80"/>
        <v>0</v>
      </c>
      <c r="V339" s="330">
        <f t="shared" si="76"/>
        <v>0</v>
      </c>
      <c r="W339" s="330">
        <f t="shared" si="76"/>
        <v>0</v>
      </c>
      <c r="X339" s="330">
        <f t="shared" si="76"/>
        <v>0</v>
      </c>
      <c r="Y339" s="330">
        <f t="shared" si="76"/>
        <v>0</v>
      </c>
      <c r="Z339" s="334">
        <f t="shared" si="81"/>
        <v>0</v>
      </c>
    </row>
    <row r="340" spans="3:26" ht="16" hidden="1" outlineLevel="1" thickTop="1" thickBot="1">
      <c r="C340" s="74">
        <f t="shared" si="77"/>
        <v>330</v>
      </c>
      <c r="D340" s="75">
        <f t="shared" si="78"/>
        <v>54575</v>
      </c>
      <c r="E340" s="74">
        <f t="shared" si="72"/>
        <v>110</v>
      </c>
      <c r="F340" s="74" t="str">
        <f t="shared" si="73"/>
        <v>Q2-49</v>
      </c>
      <c r="G340" s="74">
        <f t="shared" si="79"/>
        <v>28</v>
      </c>
      <c r="H340" s="74">
        <f t="shared" si="74"/>
        <v>2049</v>
      </c>
      <c r="J340" s="82">
        <f>DATA!L340</f>
        <v>1.7295770450193344</v>
      </c>
      <c r="K340" s="82">
        <f>DATA!M340</f>
        <v>1.3022019748048141</v>
      </c>
      <c r="L340" s="82">
        <f>DATA!N340</f>
        <v>1</v>
      </c>
      <c r="M340" s="82">
        <f>DATA!O340</f>
        <v>1</v>
      </c>
      <c r="N340" s="82">
        <f>DATA!P340</f>
        <v>1</v>
      </c>
      <c r="P340" s="330">
        <f t="shared" si="75"/>
        <v>0</v>
      </c>
      <c r="Q340" s="330">
        <f t="shared" si="75"/>
        <v>0</v>
      </c>
      <c r="R340" s="330">
        <f t="shared" si="75"/>
        <v>0</v>
      </c>
      <c r="S340" s="330">
        <f t="shared" si="75"/>
        <v>0</v>
      </c>
      <c r="T340" s="334">
        <f t="shared" si="80"/>
        <v>0</v>
      </c>
      <c r="V340" s="330">
        <f t="shared" si="76"/>
        <v>0</v>
      </c>
      <c r="W340" s="330">
        <f t="shared" si="76"/>
        <v>0</v>
      </c>
      <c r="X340" s="330">
        <f t="shared" si="76"/>
        <v>0</v>
      </c>
      <c r="Y340" s="330">
        <f t="shared" si="76"/>
        <v>0</v>
      </c>
      <c r="Z340" s="334">
        <f t="shared" si="81"/>
        <v>0</v>
      </c>
    </row>
    <row r="341" spans="3:26" ht="16" hidden="1" outlineLevel="1" thickTop="1" thickBot="1">
      <c r="C341" s="74">
        <f t="shared" si="77"/>
        <v>331</v>
      </c>
      <c r="D341" s="75">
        <f t="shared" si="78"/>
        <v>54605</v>
      </c>
      <c r="E341" s="74">
        <f t="shared" si="72"/>
        <v>111</v>
      </c>
      <c r="F341" s="74" t="str">
        <f t="shared" si="73"/>
        <v>Q2-49</v>
      </c>
      <c r="G341" s="74">
        <f t="shared" si="79"/>
        <v>28</v>
      </c>
      <c r="H341" s="74">
        <f t="shared" si="74"/>
        <v>2049</v>
      </c>
      <c r="J341" s="82">
        <f>DATA!L341</f>
        <v>1.7324596734277</v>
      </c>
      <c r="K341" s="82">
        <f>DATA!M341</f>
        <v>1.3032871431171513</v>
      </c>
      <c r="L341" s="82">
        <f>DATA!N341</f>
        <v>1</v>
      </c>
      <c r="M341" s="82">
        <f>DATA!O341</f>
        <v>1</v>
      </c>
      <c r="N341" s="82">
        <f>DATA!P341</f>
        <v>1</v>
      </c>
      <c r="P341" s="330">
        <f t="shared" si="75"/>
        <v>0</v>
      </c>
      <c r="Q341" s="330">
        <f t="shared" si="75"/>
        <v>0</v>
      </c>
      <c r="R341" s="330">
        <f t="shared" si="75"/>
        <v>0</v>
      </c>
      <c r="S341" s="330">
        <f t="shared" si="75"/>
        <v>0</v>
      </c>
      <c r="T341" s="334">
        <f t="shared" si="80"/>
        <v>0</v>
      </c>
      <c r="V341" s="330">
        <f t="shared" si="76"/>
        <v>0</v>
      </c>
      <c r="W341" s="330">
        <f t="shared" si="76"/>
        <v>0</v>
      </c>
      <c r="X341" s="330">
        <f t="shared" si="76"/>
        <v>0</v>
      </c>
      <c r="Y341" s="330">
        <f t="shared" si="76"/>
        <v>0</v>
      </c>
      <c r="Z341" s="334">
        <f t="shared" si="81"/>
        <v>0</v>
      </c>
    </row>
    <row r="342" spans="3:26" ht="16" hidden="1" outlineLevel="1" thickTop="1" thickBot="1">
      <c r="C342" s="74">
        <f t="shared" si="77"/>
        <v>332</v>
      </c>
      <c r="D342" s="75">
        <f t="shared" si="78"/>
        <v>54636</v>
      </c>
      <c r="E342" s="74">
        <f t="shared" si="72"/>
        <v>111</v>
      </c>
      <c r="F342" s="74" t="str">
        <f t="shared" si="73"/>
        <v>Q3-49</v>
      </c>
      <c r="G342" s="74">
        <f t="shared" si="79"/>
        <v>28</v>
      </c>
      <c r="H342" s="74">
        <f t="shared" si="74"/>
        <v>2049</v>
      </c>
      <c r="J342" s="82">
        <f>DATA!L342</f>
        <v>1.7353471062167463</v>
      </c>
      <c r="K342" s="82">
        <f>DATA!M342</f>
        <v>1.3043732157364154</v>
      </c>
      <c r="L342" s="82">
        <f>DATA!N342</f>
        <v>1</v>
      </c>
      <c r="M342" s="82">
        <f>DATA!O342</f>
        <v>1</v>
      </c>
      <c r="N342" s="82">
        <f>DATA!P342</f>
        <v>1</v>
      </c>
      <c r="P342" s="330">
        <f t="shared" si="75"/>
        <v>0</v>
      </c>
      <c r="Q342" s="330">
        <f t="shared" si="75"/>
        <v>0</v>
      </c>
      <c r="R342" s="330">
        <f t="shared" si="75"/>
        <v>0</v>
      </c>
      <c r="S342" s="330">
        <f t="shared" si="75"/>
        <v>0</v>
      </c>
      <c r="T342" s="334">
        <f t="shared" si="80"/>
        <v>0</v>
      </c>
      <c r="V342" s="330">
        <f t="shared" si="76"/>
        <v>0</v>
      </c>
      <c r="W342" s="330">
        <f t="shared" si="76"/>
        <v>0</v>
      </c>
      <c r="X342" s="330">
        <f t="shared" si="76"/>
        <v>0</v>
      </c>
      <c r="Y342" s="330">
        <f t="shared" si="76"/>
        <v>0</v>
      </c>
      <c r="Z342" s="334">
        <f t="shared" si="81"/>
        <v>0</v>
      </c>
    </row>
    <row r="343" spans="3:26" ht="16" hidden="1" outlineLevel="1" thickTop="1" thickBot="1">
      <c r="C343" s="74">
        <f t="shared" si="77"/>
        <v>333</v>
      </c>
      <c r="D343" s="75">
        <f t="shared" si="78"/>
        <v>54667</v>
      </c>
      <c r="E343" s="74">
        <f t="shared" si="72"/>
        <v>111</v>
      </c>
      <c r="F343" s="74" t="str">
        <f t="shared" si="73"/>
        <v>Q3-49</v>
      </c>
      <c r="G343" s="74">
        <f t="shared" si="79"/>
        <v>28</v>
      </c>
      <c r="H343" s="74">
        <f t="shared" si="74"/>
        <v>2049</v>
      </c>
      <c r="J343" s="82">
        <f>DATA!L343</f>
        <v>1.7382393513937742</v>
      </c>
      <c r="K343" s="82">
        <f>DATA!M343</f>
        <v>1.3054601934161956</v>
      </c>
      <c r="L343" s="82">
        <f>DATA!N343</f>
        <v>1</v>
      </c>
      <c r="M343" s="82">
        <f>DATA!O343</f>
        <v>1</v>
      </c>
      <c r="N343" s="82">
        <f>DATA!P343</f>
        <v>1</v>
      </c>
      <c r="P343" s="330">
        <f t="shared" si="75"/>
        <v>0</v>
      </c>
      <c r="Q343" s="330">
        <f t="shared" si="75"/>
        <v>0</v>
      </c>
      <c r="R343" s="330">
        <f t="shared" si="75"/>
        <v>0</v>
      </c>
      <c r="S343" s="330">
        <f t="shared" si="75"/>
        <v>0</v>
      </c>
      <c r="T343" s="334">
        <f t="shared" si="80"/>
        <v>0</v>
      </c>
      <c r="V343" s="330">
        <f t="shared" si="76"/>
        <v>0</v>
      </c>
      <c r="W343" s="330">
        <f t="shared" si="76"/>
        <v>0</v>
      </c>
      <c r="X343" s="330">
        <f t="shared" si="76"/>
        <v>0</v>
      </c>
      <c r="Y343" s="330">
        <f t="shared" si="76"/>
        <v>0</v>
      </c>
      <c r="Z343" s="334">
        <f t="shared" si="81"/>
        <v>0</v>
      </c>
    </row>
    <row r="344" spans="3:26" ht="16" hidden="1" outlineLevel="1" thickTop="1" thickBot="1">
      <c r="C344" s="74">
        <f t="shared" si="77"/>
        <v>334</v>
      </c>
      <c r="D344" s="75">
        <f t="shared" si="78"/>
        <v>54697</v>
      </c>
      <c r="E344" s="74">
        <f t="shared" si="72"/>
        <v>112</v>
      </c>
      <c r="F344" s="74" t="str">
        <f t="shared" si="73"/>
        <v>Q3-49</v>
      </c>
      <c r="G344" s="74">
        <f t="shared" si="79"/>
        <v>28</v>
      </c>
      <c r="H344" s="74">
        <f t="shared" si="74"/>
        <v>2049</v>
      </c>
      <c r="J344" s="82">
        <f>DATA!L344</f>
        <v>1.7411364169794306</v>
      </c>
      <c r="K344" s="82">
        <f>DATA!M344</f>
        <v>1.306548076910709</v>
      </c>
      <c r="L344" s="82">
        <f>DATA!N344</f>
        <v>1</v>
      </c>
      <c r="M344" s="82">
        <f>DATA!O344</f>
        <v>1</v>
      </c>
      <c r="N344" s="82">
        <f>DATA!P344</f>
        <v>1</v>
      </c>
      <c r="P344" s="330">
        <f t="shared" si="75"/>
        <v>0</v>
      </c>
      <c r="Q344" s="330">
        <f t="shared" si="75"/>
        <v>0</v>
      </c>
      <c r="R344" s="330">
        <f t="shared" si="75"/>
        <v>0</v>
      </c>
      <c r="S344" s="330">
        <f t="shared" si="75"/>
        <v>0</v>
      </c>
      <c r="T344" s="334">
        <f t="shared" si="80"/>
        <v>0</v>
      </c>
      <c r="V344" s="330">
        <f t="shared" si="76"/>
        <v>0</v>
      </c>
      <c r="W344" s="330">
        <f t="shared" si="76"/>
        <v>0</v>
      </c>
      <c r="X344" s="330">
        <f t="shared" si="76"/>
        <v>0</v>
      </c>
      <c r="Y344" s="330">
        <f t="shared" si="76"/>
        <v>0</v>
      </c>
      <c r="Z344" s="334">
        <f t="shared" si="81"/>
        <v>0</v>
      </c>
    </row>
    <row r="345" spans="3:26" ht="16" hidden="1" outlineLevel="1" thickTop="1" thickBot="1">
      <c r="C345" s="74">
        <f t="shared" si="77"/>
        <v>335</v>
      </c>
      <c r="D345" s="75">
        <f t="shared" si="78"/>
        <v>54728</v>
      </c>
      <c r="E345" s="74">
        <f t="shared" si="72"/>
        <v>112</v>
      </c>
      <c r="F345" s="74" t="str">
        <f t="shared" si="73"/>
        <v>Q3-49</v>
      </c>
      <c r="G345" s="74">
        <f t="shared" si="79"/>
        <v>28</v>
      </c>
      <c r="H345" s="74">
        <f t="shared" si="74"/>
        <v>2049</v>
      </c>
      <c r="J345" s="82">
        <f>DATA!L345</f>
        <v>1.7440383110077298</v>
      </c>
      <c r="K345" s="82">
        <f>DATA!M345</f>
        <v>1.3076368669748011</v>
      </c>
      <c r="L345" s="82">
        <f>DATA!N345</f>
        <v>1</v>
      </c>
      <c r="M345" s="82">
        <f>DATA!O345</f>
        <v>1</v>
      </c>
      <c r="N345" s="82">
        <f>DATA!P345</f>
        <v>1</v>
      </c>
      <c r="P345" s="330">
        <f t="shared" si="75"/>
        <v>0</v>
      </c>
      <c r="Q345" s="330">
        <f t="shared" si="75"/>
        <v>0</v>
      </c>
      <c r="R345" s="330">
        <f t="shared" si="75"/>
        <v>0</v>
      </c>
      <c r="S345" s="330">
        <f t="shared" si="75"/>
        <v>0</v>
      </c>
      <c r="T345" s="334">
        <f t="shared" si="80"/>
        <v>0</v>
      </c>
      <c r="V345" s="330">
        <f t="shared" si="76"/>
        <v>0</v>
      </c>
      <c r="W345" s="330">
        <f t="shared" si="76"/>
        <v>0</v>
      </c>
      <c r="X345" s="330">
        <f t="shared" si="76"/>
        <v>0</v>
      </c>
      <c r="Y345" s="330">
        <f t="shared" si="76"/>
        <v>0</v>
      </c>
      <c r="Z345" s="334">
        <f t="shared" si="81"/>
        <v>0</v>
      </c>
    </row>
    <row r="346" spans="3:26" ht="16" hidden="1" outlineLevel="1" thickTop="1" thickBot="1">
      <c r="C346" s="74">
        <f t="shared" si="77"/>
        <v>336</v>
      </c>
      <c r="D346" s="75">
        <f t="shared" si="78"/>
        <v>54758</v>
      </c>
      <c r="E346" s="74">
        <f t="shared" si="72"/>
        <v>112</v>
      </c>
      <c r="F346" s="74" t="str">
        <f t="shared" si="73"/>
        <v>Q4-49</v>
      </c>
      <c r="G346" s="74">
        <f t="shared" si="79"/>
        <v>28</v>
      </c>
      <c r="H346" s="74">
        <f t="shared" si="74"/>
        <v>2049</v>
      </c>
      <c r="J346" s="82">
        <f>DATA!L346</f>
        <v>1.7469450415260761</v>
      </c>
      <c r="K346" s="82">
        <f>DATA!M346</f>
        <v>1.3087265643639465</v>
      </c>
      <c r="L346" s="82">
        <f>DATA!N346</f>
        <v>1</v>
      </c>
      <c r="M346" s="82">
        <f>DATA!O346</f>
        <v>1</v>
      </c>
      <c r="N346" s="82">
        <f>DATA!P346</f>
        <v>1</v>
      </c>
      <c r="P346" s="330">
        <f t="shared" si="75"/>
        <v>0</v>
      </c>
      <c r="Q346" s="330">
        <f t="shared" si="75"/>
        <v>0</v>
      </c>
      <c r="R346" s="330">
        <f t="shared" si="75"/>
        <v>0</v>
      </c>
      <c r="S346" s="330">
        <f t="shared" si="75"/>
        <v>0</v>
      </c>
      <c r="T346" s="334">
        <f t="shared" si="80"/>
        <v>0</v>
      </c>
      <c r="V346" s="330">
        <f t="shared" si="76"/>
        <v>0</v>
      </c>
      <c r="W346" s="330">
        <f t="shared" si="76"/>
        <v>0</v>
      </c>
      <c r="X346" s="330">
        <f t="shared" si="76"/>
        <v>0</v>
      </c>
      <c r="Y346" s="330">
        <f t="shared" si="76"/>
        <v>0</v>
      </c>
      <c r="Z346" s="334">
        <f t="shared" si="81"/>
        <v>0</v>
      </c>
    </row>
    <row r="347" spans="3:26" ht="16" hidden="1" outlineLevel="1" thickTop="1" thickBot="1">
      <c r="C347" s="74">
        <f t="shared" si="77"/>
        <v>337</v>
      </c>
      <c r="D347" s="75">
        <f t="shared" si="78"/>
        <v>54789</v>
      </c>
      <c r="E347" s="74">
        <f t="shared" si="72"/>
        <v>113</v>
      </c>
      <c r="F347" s="74" t="str">
        <f t="shared" si="73"/>
        <v>Q1-50</v>
      </c>
      <c r="G347" s="74">
        <f t="shared" si="79"/>
        <v>29</v>
      </c>
      <c r="H347" s="74">
        <f t="shared" si="74"/>
        <v>2050</v>
      </c>
      <c r="J347" s="82">
        <f>DATA!L347</f>
        <v>1.7498566165952862</v>
      </c>
      <c r="K347" s="82">
        <f>DATA!M347</f>
        <v>1.3098171698342498</v>
      </c>
      <c r="L347" s="82">
        <f>DATA!N347</f>
        <v>1</v>
      </c>
      <c r="M347" s="82">
        <f>DATA!O347</f>
        <v>1</v>
      </c>
      <c r="N347" s="82">
        <f>DATA!P347</f>
        <v>1</v>
      </c>
      <c r="P347" s="330">
        <f t="shared" si="75"/>
        <v>0</v>
      </c>
      <c r="Q347" s="330">
        <f t="shared" si="75"/>
        <v>0</v>
      </c>
      <c r="R347" s="330">
        <f t="shared" si="75"/>
        <v>0</v>
      </c>
      <c r="S347" s="330">
        <f t="shared" si="75"/>
        <v>0</v>
      </c>
      <c r="T347" s="334">
        <f t="shared" si="80"/>
        <v>0</v>
      </c>
      <c r="V347" s="330">
        <f t="shared" si="76"/>
        <v>0</v>
      </c>
      <c r="W347" s="330">
        <f t="shared" si="76"/>
        <v>0</v>
      </c>
      <c r="X347" s="330">
        <f t="shared" si="76"/>
        <v>0</v>
      </c>
      <c r="Y347" s="330">
        <f t="shared" si="76"/>
        <v>0</v>
      </c>
      <c r="Z347" s="334">
        <f t="shared" si="81"/>
        <v>0</v>
      </c>
    </row>
    <row r="348" spans="3:26" ht="16" hidden="1" outlineLevel="1" thickTop="1" thickBot="1">
      <c r="C348" s="74">
        <f t="shared" si="77"/>
        <v>338</v>
      </c>
      <c r="D348" s="75">
        <f t="shared" si="78"/>
        <v>54820</v>
      </c>
      <c r="E348" s="74">
        <f t="shared" si="72"/>
        <v>113</v>
      </c>
      <c r="F348" s="74" t="str">
        <f t="shared" si="73"/>
        <v>Q1-50</v>
      </c>
      <c r="G348" s="74">
        <f t="shared" si="79"/>
        <v>29</v>
      </c>
      <c r="H348" s="74">
        <f t="shared" si="74"/>
        <v>2050</v>
      </c>
      <c r="J348" s="82">
        <f>DATA!L348</f>
        <v>1.7527730442896119</v>
      </c>
      <c r="K348" s="82">
        <f>DATA!M348</f>
        <v>1.3109086841424449</v>
      </c>
      <c r="L348" s="82">
        <f>DATA!N348</f>
        <v>1</v>
      </c>
      <c r="M348" s="82">
        <f>DATA!O348</f>
        <v>1</v>
      </c>
      <c r="N348" s="82">
        <f>DATA!P348</f>
        <v>1</v>
      </c>
      <c r="P348" s="330">
        <f t="shared" si="75"/>
        <v>0</v>
      </c>
      <c r="Q348" s="330">
        <f t="shared" si="75"/>
        <v>0</v>
      </c>
      <c r="R348" s="330">
        <f t="shared" si="75"/>
        <v>0</v>
      </c>
      <c r="S348" s="330">
        <f t="shared" si="75"/>
        <v>0</v>
      </c>
      <c r="T348" s="334">
        <f t="shared" si="80"/>
        <v>0</v>
      </c>
      <c r="V348" s="330">
        <f t="shared" si="76"/>
        <v>0</v>
      </c>
      <c r="W348" s="330">
        <f t="shared" si="76"/>
        <v>0</v>
      </c>
      <c r="X348" s="330">
        <f t="shared" si="76"/>
        <v>0</v>
      </c>
      <c r="Y348" s="330">
        <f t="shared" si="76"/>
        <v>0</v>
      </c>
      <c r="Z348" s="334">
        <f t="shared" si="81"/>
        <v>0</v>
      </c>
    </row>
    <row r="349" spans="3:26" ht="16" hidden="1" outlineLevel="1" thickTop="1" thickBot="1">
      <c r="C349" s="74">
        <f t="shared" si="77"/>
        <v>339</v>
      </c>
      <c r="D349" s="75">
        <f t="shared" si="78"/>
        <v>54848</v>
      </c>
      <c r="E349" s="74">
        <f t="shared" si="72"/>
        <v>113</v>
      </c>
      <c r="F349" s="74" t="str">
        <f t="shared" si="73"/>
        <v>Q1-50</v>
      </c>
      <c r="G349" s="74">
        <f t="shared" si="79"/>
        <v>29</v>
      </c>
      <c r="H349" s="74">
        <f t="shared" si="74"/>
        <v>2050</v>
      </c>
      <c r="J349" s="82">
        <f>DATA!L349</f>
        <v>1.7556943326967613</v>
      </c>
      <c r="K349" s="82">
        <f>DATA!M349</f>
        <v>1.3120011080458969</v>
      </c>
      <c r="L349" s="82">
        <f>DATA!N349</f>
        <v>1</v>
      </c>
      <c r="M349" s="82">
        <f>DATA!O349</f>
        <v>1</v>
      </c>
      <c r="N349" s="82">
        <f>DATA!P349</f>
        <v>1</v>
      </c>
      <c r="P349" s="330">
        <f t="shared" si="75"/>
        <v>0</v>
      </c>
      <c r="Q349" s="330">
        <f t="shared" si="75"/>
        <v>0</v>
      </c>
      <c r="R349" s="330">
        <f t="shared" si="75"/>
        <v>0</v>
      </c>
      <c r="S349" s="330">
        <f t="shared" si="75"/>
        <v>0</v>
      </c>
      <c r="T349" s="334">
        <f t="shared" si="80"/>
        <v>0</v>
      </c>
      <c r="V349" s="330">
        <f t="shared" si="76"/>
        <v>0</v>
      </c>
      <c r="W349" s="330">
        <f t="shared" si="76"/>
        <v>0</v>
      </c>
      <c r="X349" s="330">
        <f t="shared" si="76"/>
        <v>0</v>
      </c>
      <c r="Y349" s="330">
        <f t="shared" si="76"/>
        <v>0</v>
      </c>
      <c r="Z349" s="334">
        <f t="shared" si="81"/>
        <v>0</v>
      </c>
    </row>
    <row r="350" spans="3:26" ht="16" hidden="1" outlineLevel="1" thickTop="1" thickBot="1">
      <c r="C350" s="74">
        <f t="shared" si="77"/>
        <v>340</v>
      </c>
      <c r="D350" s="75">
        <f t="shared" si="78"/>
        <v>54879</v>
      </c>
      <c r="E350" s="74">
        <f t="shared" si="72"/>
        <v>114</v>
      </c>
      <c r="F350" s="74" t="str">
        <f t="shared" si="73"/>
        <v>Q2-50</v>
      </c>
      <c r="G350" s="74">
        <f t="shared" si="79"/>
        <v>29</v>
      </c>
      <c r="H350" s="74">
        <f t="shared" si="74"/>
        <v>2050</v>
      </c>
      <c r="J350" s="82">
        <f>DATA!L350</f>
        <v>1.7586204899179227</v>
      </c>
      <c r="K350" s="82">
        <f>DATA!M350</f>
        <v>1.3130944423026016</v>
      </c>
      <c r="L350" s="82">
        <f>DATA!N350</f>
        <v>1</v>
      </c>
      <c r="M350" s="82">
        <f>DATA!O350</f>
        <v>1</v>
      </c>
      <c r="N350" s="82">
        <f>DATA!P350</f>
        <v>1</v>
      </c>
      <c r="P350" s="330">
        <f t="shared" si="75"/>
        <v>0</v>
      </c>
      <c r="Q350" s="330">
        <f t="shared" si="75"/>
        <v>0</v>
      </c>
      <c r="R350" s="330">
        <f t="shared" si="75"/>
        <v>0</v>
      </c>
      <c r="S350" s="330">
        <f t="shared" si="75"/>
        <v>0</v>
      </c>
      <c r="T350" s="334">
        <f t="shared" si="80"/>
        <v>0</v>
      </c>
      <c r="V350" s="330">
        <f t="shared" si="76"/>
        <v>0</v>
      </c>
      <c r="W350" s="330">
        <f t="shared" si="76"/>
        <v>0</v>
      </c>
      <c r="X350" s="330">
        <f t="shared" si="76"/>
        <v>0</v>
      </c>
      <c r="Y350" s="330">
        <f t="shared" si="76"/>
        <v>0</v>
      </c>
      <c r="Z350" s="334">
        <f t="shared" si="81"/>
        <v>0</v>
      </c>
    </row>
    <row r="351" spans="3:26" ht="16" hidden="1" outlineLevel="1" thickTop="1" thickBot="1">
      <c r="C351" s="74">
        <f t="shared" si="77"/>
        <v>341</v>
      </c>
      <c r="D351" s="75">
        <f t="shared" si="78"/>
        <v>54909</v>
      </c>
      <c r="E351" s="74">
        <f t="shared" si="72"/>
        <v>114</v>
      </c>
      <c r="F351" s="74" t="str">
        <f t="shared" si="73"/>
        <v>Q2-50</v>
      </c>
      <c r="G351" s="74">
        <f t="shared" si="79"/>
        <v>29</v>
      </c>
      <c r="H351" s="74">
        <f t="shared" si="74"/>
        <v>2050</v>
      </c>
      <c r="J351" s="82">
        <f>DATA!L351</f>
        <v>1.7615515240677859</v>
      </c>
      <c r="K351" s="82">
        <f>DATA!M351</f>
        <v>1.314188687671187</v>
      </c>
      <c r="L351" s="82">
        <f>DATA!N351</f>
        <v>1</v>
      </c>
      <c r="M351" s="82">
        <f>DATA!O351</f>
        <v>1</v>
      </c>
      <c r="N351" s="82">
        <f>DATA!P351</f>
        <v>1</v>
      </c>
      <c r="P351" s="330">
        <f t="shared" ref="P351:S370" si="82">IF(AND($C351&gt;=P$6,$C351&lt;=P$6+P$7-1),P$9/P$7*$K351,0)</f>
        <v>0</v>
      </c>
      <c r="Q351" s="330">
        <f t="shared" si="82"/>
        <v>0</v>
      </c>
      <c r="R351" s="330">
        <f t="shared" si="82"/>
        <v>0</v>
      </c>
      <c r="S351" s="330">
        <f t="shared" si="82"/>
        <v>0</v>
      </c>
      <c r="T351" s="334">
        <f t="shared" si="80"/>
        <v>0</v>
      </c>
      <c r="V351" s="330">
        <f t="shared" ref="V351:Y370" si="83">IF(AND($C351&gt;=V$6,$C351&lt;=V$6+V$7-1),V$9/V$7*$K351,0)</f>
        <v>0</v>
      </c>
      <c r="W351" s="330">
        <f t="shared" si="83"/>
        <v>0</v>
      </c>
      <c r="X351" s="330">
        <f t="shared" si="83"/>
        <v>0</v>
      </c>
      <c r="Y351" s="330">
        <f t="shared" si="83"/>
        <v>0</v>
      </c>
      <c r="Z351" s="334">
        <f t="shared" si="81"/>
        <v>0</v>
      </c>
    </row>
    <row r="352" spans="3:26" ht="16" hidden="1" outlineLevel="1" thickTop="1" thickBot="1">
      <c r="C352" s="74">
        <f t="shared" si="77"/>
        <v>342</v>
      </c>
      <c r="D352" s="75">
        <f t="shared" si="78"/>
        <v>54940</v>
      </c>
      <c r="E352" s="74">
        <f t="shared" si="72"/>
        <v>114</v>
      </c>
      <c r="F352" s="74" t="str">
        <f t="shared" si="73"/>
        <v>Q2-50</v>
      </c>
      <c r="G352" s="74">
        <f t="shared" si="79"/>
        <v>29</v>
      </c>
      <c r="H352" s="74">
        <f t="shared" si="74"/>
        <v>2050</v>
      </c>
      <c r="J352" s="82">
        <f>DATA!L352</f>
        <v>1.7644874432745656</v>
      </c>
      <c r="K352" s="82">
        <f>DATA!M352</f>
        <v>1.315283844910913</v>
      </c>
      <c r="L352" s="82">
        <f>DATA!N352</f>
        <v>1</v>
      </c>
      <c r="M352" s="82">
        <f>DATA!O352</f>
        <v>1</v>
      </c>
      <c r="N352" s="82">
        <f>DATA!P352</f>
        <v>1</v>
      </c>
      <c r="P352" s="330">
        <f t="shared" si="82"/>
        <v>0</v>
      </c>
      <c r="Q352" s="330">
        <f t="shared" si="82"/>
        <v>0</v>
      </c>
      <c r="R352" s="330">
        <f t="shared" si="82"/>
        <v>0</v>
      </c>
      <c r="S352" s="330">
        <f t="shared" si="82"/>
        <v>0</v>
      </c>
      <c r="T352" s="334">
        <f t="shared" si="80"/>
        <v>0</v>
      </c>
      <c r="V352" s="330">
        <f t="shared" si="83"/>
        <v>0</v>
      </c>
      <c r="W352" s="330">
        <f t="shared" si="83"/>
        <v>0</v>
      </c>
      <c r="X352" s="330">
        <f t="shared" si="83"/>
        <v>0</v>
      </c>
      <c r="Y352" s="330">
        <f t="shared" si="83"/>
        <v>0</v>
      </c>
      <c r="Z352" s="334">
        <f t="shared" si="81"/>
        <v>0</v>
      </c>
    </row>
    <row r="353" spans="3:26" ht="16" hidden="1" outlineLevel="1" thickTop="1" thickBot="1">
      <c r="C353" s="74">
        <f t="shared" si="77"/>
        <v>343</v>
      </c>
      <c r="D353" s="75">
        <f t="shared" si="78"/>
        <v>54970</v>
      </c>
      <c r="E353" s="74">
        <f t="shared" si="72"/>
        <v>115</v>
      </c>
      <c r="F353" s="74" t="str">
        <f t="shared" si="73"/>
        <v>Q2-50</v>
      </c>
      <c r="G353" s="74">
        <f t="shared" si="79"/>
        <v>29</v>
      </c>
      <c r="H353" s="74">
        <f t="shared" si="74"/>
        <v>2050</v>
      </c>
      <c r="J353" s="82">
        <f>DATA!L353</f>
        <v>1.7674282556800234</v>
      </c>
      <c r="K353" s="82">
        <f>DATA!M353</f>
        <v>1.3163799147816719</v>
      </c>
      <c r="L353" s="82">
        <f>DATA!N353</f>
        <v>1</v>
      </c>
      <c r="M353" s="82">
        <f>DATA!O353</f>
        <v>1</v>
      </c>
      <c r="N353" s="82">
        <f>DATA!P353</f>
        <v>1</v>
      </c>
      <c r="P353" s="330">
        <f t="shared" si="82"/>
        <v>0</v>
      </c>
      <c r="Q353" s="330">
        <f t="shared" si="82"/>
        <v>0</v>
      </c>
      <c r="R353" s="330">
        <f t="shared" si="82"/>
        <v>0</v>
      </c>
      <c r="S353" s="330">
        <f t="shared" si="82"/>
        <v>0</v>
      </c>
      <c r="T353" s="334">
        <f t="shared" si="80"/>
        <v>0</v>
      </c>
      <c r="V353" s="330">
        <f t="shared" si="83"/>
        <v>0</v>
      </c>
      <c r="W353" s="330">
        <f t="shared" si="83"/>
        <v>0</v>
      </c>
      <c r="X353" s="330">
        <f t="shared" si="83"/>
        <v>0</v>
      </c>
      <c r="Y353" s="330">
        <f t="shared" si="83"/>
        <v>0</v>
      </c>
      <c r="Z353" s="334">
        <f t="shared" si="81"/>
        <v>0</v>
      </c>
    </row>
    <row r="354" spans="3:26" ht="16" hidden="1" outlineLevel="1" thickTop="1" thickBot="1">
      <c r="C354" s="74">
        <f t="shared" si="77"/>
        <v>344</v>
      </c>
      <c r="D354" s="75">
        <f t="shared" si="78"/>
        <v>55001</v>
      </c>
      <c r="E354" s="74">
        <f t="shared" si="72"/>
        <v>115</v>
      </c>
      <c r="F354" s="74" t="str">
        <f t="shared" si="73"/>
        <v>Q3-50</v>
      </c>
      <c r="G354" s="74">
        <f t="shared" si="79"/>
        <v>29</v>
      </c>
      <c r="H354" s="74">
        <f t="shared" si="74"/>
        <v>2050</v>
      </c>
      <c r="J354" s="82">
        <f>DATA!L354</f>
        <v>1.7703739694394902</v>
      </c>
      <c r="K354" s="82">
        <f>DATA!M354</f>
        <v>1.3174768980439899</v>
      </c>
      <c r="L354" s="82">
        <f>DATA!N354</f>
        <v>1</v>
      </c>
      <c r="M354" s="82">
        <f>DATA!O354</f>
        <v>1</v>
      </c>
      <c r="N354" s="82">
        <f>DATA!P354</f>
        <v>1</v>
      </c>
      <c r="P354" s="330">
        <f t="shared" si="82"/>
        <v>0</v>
      </c>
      <c r="Q354" s="330">
        <f t="shared" si="82"/>
        <v>0</v>
      </c>
      <c r="R354" s="330">
        <f t="shared" si="82"/>
        <v>0</v>
      </c>
      <c r="S354" s="330">
        <f t="shared" si="82"/>
        <v>0</v>
      </c>
      <c r="T354" s="334">
        <f t="shared" si="80"/>
        <v>0</v>
      </c>
      <c r="V354" s="330">
        <f t="shared" si="83"/>
        <v>0</v>
      </c>
      <c r="W354" s="330">
        <f t="shared" si="83"/>
        <v>0</v>
      </c>
      <c r="X354" s="330">
        <f t="shared" si="83"/>
        <v>0</v>
      </c>
      <c r="Y354" s="330">
        <f t="shared" si="83"/>
        <v>0</v>
      </c>
      <c r="Z354" s="334">
        <f t="shared" si="81"/>
        <v>0</v>
      </c>
    </row>
    <row r="355" spans="3:26" ht="16" hidden="1" outlineLevel="1" thickTop="1" thickBot="1">
      <c r="C355" s="74">
        <f t="shared" si="77"/>
        <v>345</v>
      </c>
      <c r="D355" s="75">
        <f t="shared" si="78"/>
        <v>55032</v>
      </c>
      <c r="E355" s="74">
        <f t="shared" si="72"/>
        <v>115</v>
      </c>
      <c r="F355" s="74" t="str">
        <f t="shared" si="73"/>
        <v>Q3-50</v>
      </c>
      <c r="G355" s="74">
        <f t="shared" si="79"/>
        <v>29</v>
      </c>
      <c r="H355" s="74">
        <f t="shared" si="74"/>
        <v>2050</v>
      </c>
      <c r="J355" s="82">
        <f>DATA!L355</f>
        <v>1.7733245927218895</v>
      </c>
      <c r="K355" s="82">
        <f>DATA!M355</f>
        <v>1.3185747954590266</v>
      </c>
      <c r="L355" s="82">
        <f>DATA!N355</f>
        <v>1</v>
      </c>
      <c r="M355" s="82">
        <f>DATA!O355</f>
        <v>1</v>
      </c>
      <c r="N355" s="82">
        <f>DATA!P355</f>
        <v>1</v>
      </c>
      <c r="P355" s="330">
        <f t="shared" si="82"/>
        <v>0</v>
      </c>
      <c r="Q355" s="330">
        <f t="shared" si="82"/>
        <v>0</v>
      </c>
      <c r="R355" s="330">
        <f t="shared" si="82"/>
        <v>0</v>
      </c>
      <c r="S355" s="330">
        <f t="shared" si="82"/>
        <v>0</v>
      </c>
      <c r="T355" s="334">
        <f t="shared" si="80"/>
        <v>0</v>
      </c>
      <c r="V355" s="330">
        <f t="shared" si="83"/>
        <v>0</v>
      </c>
      <c r="W355" s="330">
        <f t="shared" si="83"/>
        <v>0</v>
      </c>
      <c r="X355" s="330">
        <f t="shared" si="83"/>
        <v>0</v>
      </c>
      <c r="Y355" s="330">
        <f t="shared" si="83"/>
        <v>0</v>
      </c>
      <c r="Z355" s="334">
        <f t="shared" si="81"/>
        <v>0</v>
      </c>
    </row>
    <row r="356" spans="3:26" ht="16" hidden="1" outlineLevel="1" thickTop="1" thickBot="1">
      <c r="C356" s="74">
        <f t="shared" si="77"/>
        <v>346</v>
      </c>
      <c r="D356" s="75">
        <f t="shared" si="78"/>
        <v>55062</v>
      </c>
      <c r="E356" s="74">
        <f t="shared" si="72"/>
        <v>116</v>
      </c>
      <c r="F356" s="74" t="str">
        <f t="shared" si="73"/>
        <v>Q3-50</v>
      </c>
      <c r="G356" s="74">
        <f t="shared" si="79"/>
        <v>29</v>
      </c>
      <c r="H356" s="74">
        <f t="shared" si="74"/>
        <v>2050</v>
      </c>
      <c r="J356" s="82">
        <f>DATA!L356</f>
        <v>1.7762801337097593</v>
      </c>
      <c r="K356" s="82">
        <f>DATA!M356</f>
        <v>1.3196736077885756</v>
      </c>
      <c r="L356" s="82">
        <f>DATA!N356</f>
        <v>1</v>
      </c>
      <c r="M356" s="82">
        <f>DATA!O356</f>
        <v>1</v>
      </c>
      <c r="N356" s="82">
        <f>DATA!P356</f>
        <v>1</v>
      </c>
      <c r="P356" s="330">
        <f t="shared" si="82"/>
        <v>0</v>
      </c>
      <c r="Q356" s="330">
        <f t="shared" si="82"/>
        <v>0</v>
      </c>
      <c r="R356" s="330">
        <f t="shared" si="82"/>
        <v>0</v>
      </c>
      <c r="S356" s="330">
        <f t="shared" si="82"/>
        <v>0</v>
      </c>
      <c r="T356" s="334">
        <f t="shared" si="80"/>
        <v>0</v>
      </c>
      <c r="V356" s="330">
        <f t="shared" si="83"/>
        <v>0</v>
      </c>
      <c r="W356" s="330">
        <f t="shared" si="83"/>
        <v>0</v>
      </c>
      <c r="X356" s="330">
        <f t="shared" si="83"/>
        <v>0</v>
      </c>
      <c r="Y356" s="330">
        <f t="shared" si="83"/>
        <v>0</v>
      </c>
      <c r="Z356" s="334">
        <f t="shared" si="81"/>
        <v>0</v>
      </c>
    </row>
    <row r="357" spans="3:26" ht="16" hidden="1" outlineLevel="1" thickTop="1" thickBot="1">
      <c r="C357" s="74">
        <f t="shared" si="77"/>
        <v>347</v>
      </c>
      <c r="D357" s="75">
        <f t="shared" si="78"/>
        <v>55093</v>
      </c>
      <c r="E357" s="74">
        <f t="shared" si="72"/>
        <v>116</v>
      </c>
      <c r="F357" s="74" t="str">
        <f t="shared" si="73"/>
        <v>Q3-50</v>
      </c>
      <c r="G357" s="74">
        <f t="shared" si="79"/>
        <v>29</v>
      </c>
      <c r="H357" s="74">
        <f t="shared" si="74"/>
        <v>2050</v>
      </c>
      <c r="J357" s="82">
        <f>DATA!L357</f>
        <v>1.7792406005992756</v>
      </c>
      <c r="K357" s="82">
        <f>DATA!M357</f>
        <v>1.320773335795066</v>
      </c>
      <c r="L357" s="82">
        <f>DATA!N357</f>
        <v>1</v>
      </c>
      <c r="M357" s="82">
        <f>DATA!O357</f>
        <v>1</v>
      </c>
      <c r="N357" s="82">
        <f>DATA!P357</f>
        <v>1</v>
      </c>
      <c r="P357" s="330">
        <f t="shared" si="82"/>
        <v>0</v>
      </c>
      <c r="Q357" s="330">
        <f t="shared" si="82"/>
        <v>0</v>
      </c>
      <c r="R357" s="330">
        <f t="shared" si="82"/>
        <v>0</v>
      </c>
      <c r="S357" s="330">
        <f t="shared" si="82"/>
        <v>0</v>
      </c>
      <c r="T357" s="334">
        <f t="shared" si="80"/>
        <v>0</v>
      </c>
      <c r="V357" s="330">
        <f t="shared" si="83"/>
        <v>0</v>
      </c>
      <c r="W357" s="330">
        <f t="shared" si="83"/>
        <v>0</v>
      </c>
      <c r="X357" s="330">
        <f t="shared" si="83"/>
        <v>0</v>
      </c>
      <c r="Y357" s="330">
        <f t="shared" si="83"/>
        <v>0</v>
      </c>
      <c r="Z357" s="334">
        <f t="shared" si="81"/>
        <v>0</v>
      </c>
    </row>
    <row r="358" spans="3:26" ht="16" hidden="1" outlineLevel="1" thickTop="1" thickBot="1">
      <c r="C358" s="74">
        <f t="shared" si="77"/>
        <v>348</v>
      </c>
      <c r="D358" s="75">
        <f t="shared" si="78"/>
        <v>55123</v>
      </c>
      <c r="E358" s="74">
        <f t="shared" si="72"/>
        <v>116</v>
      </c>
      <c r="F358" s="74" t="str">
        <f t="shared" si="73"/>
        <v>Q4-50</v>
      </c>
      <c r="G358" s="74">
        <f t="shared" si="79"/>
        <v>29</v>
      </c>
      <c r="H358" s="74">
        <f t="shared" si="74"/>
        <v>2050</v>
      </c>
      <c r="J358" s="82">
        <f>DATA!L358</f>
        <v>1.7822060016002745</v>
      </c>
      <c r="K358" s="82">
        <f>DATA!M358</f>
        <v>1.3218739802415618</v>
      </c>
      <c r="L358" s="82">
        <f>DATA!N358</f>
        <v>1</v>
      </c>
      <c r="M358" s="82">
        <f>DATA!O358</f>
        <v>1</v>
      </c>
      <c r="N358" s="82">
        <f>DATA!P358</f>
        <v>1</v>
      </c>
      <c r="P358" s="330">
        <f t="shared" si="82"/>
        <v>0</v>
      </c>
      <c r="Q358" s="330">
        <f t="shared" si="82"/>
        <v>0</v>
      </c>
      <c r="R358" s="330">
        <f t="shared" si="82"/>
        <v>0</v>
      </c>
      <c r="S358" s="330">
        <f t="shared" si="82"/>
        <v>0</v>
      </c>
      <c r="T358" s="334">
        <f t="shared" si="80"/>
        <v>0</v>
      </c>
      <c r="V358" s="330">
        <f t="shared" si="83"/>
        <v>0</v>
      </c>
      <c r="W358" s="330">
        <f t="shared" si="83"/>
        <v>0</v>
      </c>
      <c r="X358" s="330">
        <f t="shared" si="83"/>
        <v>0</v>
      </c>
      <c r="Y358" s="330">
        <f t="shared" si="83"/>
        <v>0</v>
      </c>
      <c r="Z358" s="334">
        <f t="shared" si="81"/>
        <v>0</v>
      </c>
    </row>
    <row r="359" spans="3:26" ht="16" hidden="1" outlineLevel="1" thickTop="1" thickBot="1">
      <c r="C359" s="74">
        <f t="shared" si="77"/>
        <v>349</v>
      </c>
      <c r="D359" s="75">
        <f t="shared" si="78"/>
        <v>55154</v>
      </c>
      <c r="E359" s="74">
        <f t="shared" si="72"/>
        <v>117</v>
      </c>
      <c r="F359" s="74" t="str">
        <f t="shared" si="73"/>
        <v>Q1-51</v>
      </c>
      <c r="G359" s="74">
        <f t="shared" si="79"/>
        <v>30</v>
      </c>
      <c r="H359" s="74">
        <f t="shared" si="74"/>
        <v>2051</v>
      </c>
      <c r="J359" s="82">
        <f>DATA!L359</f>
        <v>1.785176344936275</v>
      </c>
      <c r="K359" s="82">
        <f>DATA!M359</f>
        <v>1.322975541891763</v>
      </c>
      <c r="L359" s="82">
        <f>DATA!N359</f>
        <v>1</v>
      </c>
      <c r="M359" s="82">
        <f>DATA!O359</f>
        <v>1</v>
      </c>
      <c r="N359" s="82">
        <f>DATA!P359</f>
        <v>1</v>
      </c>
      <c r="P359" s="330">
        <f t="shared" si="82"/>
        <v>0</v>
      </c>
      <c r="Q359" s="330">
        <f t="shared" si="82"/>
        <v>0</v>
      </c>
      <c r="R359" s="330">
        <f t="shared" si="82"/>
        <v>0</v>
      </c>
      <c r="S359" s="330">
        <f t="shared" si="82"/>
        <v>0</v>
      </c>
      <c r="T359" s="334">
        <f t="shared" si="80"/>
        <v>0</v>
      </c>
      <c r="V359" s="330">
        <f t="shared" si="83"/>
        <v>0</v>
      </c>
      <c r="W359" s="330">
        <f t="shared" si="83"/>
        <v>0</v>
      </c>
      <c r="X359" s="330">
        <f t="shared" si="83"/>
        <v>0</v>
      </c>
      <c r="Y359" s="330">
        <f t="shared" si="83"/>
        <v>0</v>
      </c>
      <c r="Z359" s="334">
        <f t="shared" si="81"/>
        <v>0</v>
      </c>
    </row>
    <row r="360" spans="3:26" ht="16" hidden="1" outlineLevel="1" thickTop="1" thickBot="1">
      <c r="C360" s="74">
        <f t="shared" si="77"/>
        <v>350</v>
      </c>
      <c r="D360" s="75">
        <f t="shared" si="78"/>
        <v>55185</v>
      </c>
      <c r="E360" s="74">
        <f t="shared" si="72"/>
        <v>117</v>
      </c>
      <c r="F360" s="74" t="str">
        <f t="shared" si="73"/>
        <v>Q1-51</v>
      </c>
      <c r="G360" s="74">
        <f t="shared" si="79"/>
        <v>30</v>
      </c>
      <c r="H360" s="74">
        <f t="shared" si="74"/>
        <v>2051</v>
      </c>
      <c r="J360" s="82">
        <f>DATA!L360</f>
        <v>1.7881516388445022</v>
      </c>
      <c r="K360" s="82">
        <f>DATA!M360</f>
        <v>1.3240780215100061</v>
      </c>
      <c r="L360" s="82">
        <f>DATA!N360</f>
        <v>1</v>
      </c>
      <c r="M360" s="82">
        <f>DATA!O360</f>
        <v>1</v>
      </c>
      <c r="N360" s="82">
        <f>DATA!P360</f>
        <v>1</v>
      </c>
      <c r="P360" s="330">
        <f t="shared" si="82"/>
        <v>0</v>
      </c>
      <c r="Q360" s="330">
        <f t="shared" si="82"/>
        <v>0</v>
      </c>
      <c r="R360" s="330">
        <f t="shared" si="82"/>
        <v>0</v>
      </c>
      <c r="S360" s="330">
        <f t="shared" si="82"/>
        <v>0</v>
      </c>
      <c r="T360" s="334">
        <f t="shared" si="80"/>
        <v>0</v>
      </c>
      <c r="V360" s="330">
        <f t="shared" si="83"/>
        <v>0</v>
      </c>
      <c r="W360" s="330">
        <f t="shared" si="83"/>
        <v>0</v>
      </c>
      <c r="X360" s="330">
        <f t="shared" si="83"/>
        <v>0</v>
      </c>
      <c r="Y360" s="330">
        <f t="shared" si="83"/>
        <v>0</v>
      </c>
      <c r="Z360" s="334">
        <f t="shared" si="81"/>
        <v>0</v>
      </c>
    </row>
    <row r="361" spans="3:26" ht="16" hidden="1" outlineLevel="1" thickTop="1" thickBot="1">
      <c r="C361" s="74">
        <f t="shared" si="77"/>
        <v>351</v>
      </c>
      <c r="D361" s="75">
        <f t="shared" si="78"/>
        <v>55213</v>
      </c>
      <c r="E361" s="74">
        <f t="shared" si="72"/>
        <v>117</v>
      </c>
      <c r="F361" s="74" t="str">
        <f t="shared" si="73"/>
        <v>Q1-51</v>
      </c>
      <c r="G361" s="74">
        <f t="shared" si="79"/>
        <v>30</v>
      </c>
      <c r="H361" s="74">
        <f t="shared" si="74"/>
        <v>2051</v>
      </c>
      <c r="J361" s="82">
        <f>DATA!L361</f>
        <v>1.7911318915759098</v>
      </c>
      <c r="K361" s="82">
        <f>DATA!M361</f>
        <v>1.3251814198612644</v>
      </c>
      <c r="L361" s="82">
        <f>DATA!N361</f>
        <v>1</v>
      </c>
      <c r="M361" s="82">
        <f>DATA!O361</f>
        <v>1</v>
      </c>
      <c r="N361" s="82">
        <f>DATA!P361</f>
        <v>1</v>
      </c>
      <c r="P361" s="330">
        <f t="shared" si="82"/>
        <v>0</v>
      </c>
      <c r="Q361" s="330">
        <f t="shared" si="82"/>
        <v>0</v>
      </c>
      <c r="R361" s="330">
        <f t="shared" si="82"/>
        <v>0</v>
      </c>
      <c r="S361" s="330">
        <f t="shared" si="82"/>
        <v>0</v>
      </c>
      <c r="T361" s="334">
        <f t="shared" si="80"/>
        <v>0</v>
      </c>
      <c r="V361" s="330">
        <f t="shared" si="83"/>
        <v>0</v>
      </c>
      <c r="W361" s="330">
        <f t="shared" si="83"/>
        <v>0</v>
      </c>
      <c r="X361" s="330">
        <f t="shared" si="83"/>
        <v>0</v>
      </c>
      <c r="Y361" s="330">
        <f t="shared" si="83"/>
        <v>0</v>
      </c>
      <c r="Z361" s="334">
        <f t="shared" si="81"/>
        <v>0</v>
      </c>
    </row>
    <row r="362" spans="3:26" ht="16" hidden="1" outlineLevel="1" thickTop="1" thickBot="1">
      <c r="C362" s="74">
        <f t="shared" si="77"/>
        <v>352</v>
      </c>
      <c r="D362" s="75">
        <f t="shared" si="78"/>
        <v>55244</v>
      </c>
      <c r="E362" s="74">
        <f t="shared" si="72"/>
        <v>118</v>
      </c>
      <c r="F362" s="74" t="str">
        <f t="shared" si="73"/>
        <v>Q2-51</v>
      </c>
      <c r="G362" s="74">
        <f t="shared" si="79"/>
        <v>30</v>
      </c>
      <c r="H362" s="74">
        <f t="shared" si="74"/>
        <v>2051</v>
      </c>
      <c r="J362" s="82">
        <f>DATA!L362</f>
        <v>1.794117111395203</v>
      </c>
      <c r="K362" s="82">
        <f>DATA!M362</f>
        <v>1.3262857377111485</v>
      </c>
      <c r="L362" s="82">
        <f>DATA!N362</f>
        <v>1</v>
      </c>
      <c r="M362" s="82">
        <f>DATA!O362</f>
        <v>1</v>
      </c>
      <c r="N362" s="82">
        <f>DATA!P362</f>
        <v>1</v>
      </c>
      <c r="P362" s="330">
        <f t="shared" si="82"/>
        <v>0</v>
      </c>
      <c r="Q362" s="330">
        <f t="shared" si="82"/>
        <v>0</v>
      </c>
      <c r="R362" s="330">
        <f t="shared" si="82"/>
        <v>0</v>
      </c>
      <c r="S362" s="330">
        <f t="shared" si="82"/>
        <v>0</v>
      </c>
      <c r="T362" s="334">
        <f t="shared" si="80"/>
        <v>0</v>
      </c>
      <c r="V362" s="330">
        <f t="shared" si="83"/>
        <v>0</v>
      </c>
      <c r="W362" s="330">
        <f t="shared" si="83"/>
        <v>0</v>
      </c>
      <c r="X362" s="330">
        <f t="shared" si="83"/>
        <v>0</v>
      </c>
      <c r="Y362" s="330">
        <f t="shared" si="83"/>
        <v>0</v>
      </c>
      <c r="Z362" s="334">
        <f t="shared" si="81"/>
        <v>0</v>
      </c>
    </row>
    <row r="363" spans="3:26" ht="16" hidden="1" outlineLevel="1" thickTop="1" thickBot="1">
      <c r="C363" s="74">
        <f t="shared" si="77"/>
        <v>353</v>
      </c>
      <c r="D363" s="75">
        <f t="shared" si="78"/>
        <v>55274</v>
      </c>
      <c r="E363" s="74">
        <f t="shared" si="72"/>
        <v>118</v>
      </c>
      <c r="F363" s="74" t="str">
        <f t="shared" si="73"/>
        <v>Q2-51</v>
      </c>
      <c r="G363" s="74">
        <f t="shared" si="79"/>
        <v>30</v>
      </c>
      <c r="H363" s="74">
        <f t="shared" si="74"/>
        <v>2051</v>
      </c>
      <c r="J363" s="82">
        <f>DATA!L363</f>
        <v>1.7971073065808618</v>
      </c>
      <c r="K363" s="82">
        <f>DATA!M363</f>
        <v>1.3273909758259077</v>
      </c>
      <c r="L363" s="82">
        <f>DATA!N363</f>
        <v>1</v>
      </c>
      <c r="M363" s="82">
        <f>DATA!O363</f>
        <v>1</v>
      </c>
      <c r="N363" s="82">
        <f>DATA!P363</f>
        <v>1</v>
      </c>
      <c r="P363" s="330">
        <f t="shared" si="82"/>
        <v>0</v>
      </c>
      <c r="Q363" s="330">
        <f t="shared" si="82"/>
        <v>0</v>
      </c>
      <c r="R363" s="330">
        <f t="shared" si="82"/>
        <v>0</v>
      </c>
      <c r="S363" s="330">
        <f t="shared" si="82"/>
        <v>0</v>
      </c>
      <c r="T363" s="334">
        <f t="shared" si="80"/>
        <v>0</v>
      </c>
      <c r="V363" s="330">
        <f t="shared" si="83"/>
        <v>0</v>
      </c>
      <c r="W363" s="330">
        <f t="shared" si="83"/>
        <v>0</v>
      </c>
      <c r="X363" s="330">
        <f t="shared" si="83"/>
        <v>0</v>
      </c>
      <c r="Y363" s="330">
        <f t="shared" si="83"/>
        <v>0</v>
      </c>
      <c r="Z363" s="334">
        <f t="shared" si="81"/>
        <v>0</v>
      </c>
    </row>
    <row r="364" spans="3:26" ht="16" hidden="1" outlineLevel="1" thickTop="1" thickBot="1">
      <c r="C364" s="74">
        <f t="shared" si="77"/>
        <v>354</v>
      </c>
      <c r="D364" s="75">
        <f t="shared" si="78"/>
        <v>55305</v>
      </c>
      <c r="E364" s="74">
        <f t="shared" si="72"/>
        <v>118</v>
      </c>
      <c r="F364" s="74" t="str">
        <f t="shared" si="73"/>
        <v>Q2-51</v>
      </c>
      <c r="G364" s="74">
        <f t="shared" si="79"/>
        <v>30</v>
      </c>
      <c r="H364" s="74">
        <f t="shared" si="74"/>
        <v>2051</v>
      </c>
      <c r="J364" s="82">
        <f>DATA!L364</f>
        <v>1.8001024854251633</v>
      </c>
      <c r="K364" s="82">
        <f>DATA!M364</f>
        <v>1.3284971349724293</v>
      </c>
      <c r="L364" s="82">
        <f>DATA!N364</f>
        <v>1</v>
      </c>
      <c r="M364" s="82">
        <f>DATA!O364</f>
        <v>1</v>
      </c>
      <c r="N364" s="82">
        <f>DATA!P364</f>
        <v>1</v>
      </c>
      <c r="P364" s="330">
        <f t="shared" si="82"/>
        <v>0</v>
      </c>
      <c r="Q364" s="330">
        <f t="shared" si="82"/>
        <v>0</v>
      </c>
      <c r="R364" s="330">
        <f t="shared" si="82"/>
        <v>0</v>
      </c>
      <c r="S364" s="330">
        <f t="shared" si="82"/>
        <v>0</v>
      </c>
      <c r="T364" s="334">
        <f t="shared" si="80"/>
        <v>0</v>
      </c>
      <c r="V364" s="330">
        <f t="shared" si="83"/>
        <v>0</v>
      </c>
      <c r="W364" s="330">
        <f t="shared" si="83"/>
        <v>0</v>
      </c>
      <c r="X364" s="330">
        <f t="shared" si="83"/>
        <v>0</v>
      </c>
      <c r="Y364" s="330">
        <f t="shared" si="83"/>
        <v>0</v>
      </c>
      <c r="Z364" s="334">
        <f t="shared" si="81"/>
        <v>0</v>
      </c>
    </row>
    <row r="365" spans="3:26" ht="16" hidden="1" outlineLevel="1" thickTop="1" thickBot="1">
      <c r="C365" s="74">
        <f t="shared" si="77"/>
        <v>355</v>
      </c>
      <c r="D365" s="75">
        <f t="shared" si="78"/>
        <v>55335</v>
      </c>
      <c r="E365" s="74">
        <f t="shared" si="72"/>
        <v>119</v>
      </c>
      <c r="F365" s="74" t="str">
        <f t="shared" si="73"/>
        <v>Q2-51</v>
      </c>
      <c r="G365" s="74">
        <f t="shared" si="79"/>
        <v>30</v>
      </c>
      <c r="H365" s="74">
        <f t="shared" si="74"/>
        <v>2051</v>
      </c>
      <c r="J365" s="82">
        <f>DATA!L365</f>
        <v>1.8031026562342052</v>
      </c>
      <c r="K365" s="82">
        <f>DATA!M365</f>
        <v>1.3296042159182395</v>
      </c>
      <c r="L365" s="82">
        <f>DATA!N365</f>
        <v>1</v>
      </c>
      <c r="M365" s="82">
        <f>DATA!O365</f>
        <v>1</v>
      </c>
      <c r="N365" s="82">
        <f>DATA!P365</f>
        <v>1</v>
      </c>
      <c r="P365" s="330">
        <f t="shared" si="82"/>
        <v>0</v>
      </c>
      <c r="Q365" s="330">
        <f t="shared" si="82"/>
        <v>0</v>
      </c>
      <c r="R365" s="330">
        <f t="shared" si="82"/>
        <v>0</v>
      </c>
      <c r="S365" s="330">
        <f t="shared" si="82"/>
        <v>0</v>
      </c>
      <c r="T365" s="334">
        <f t="shared" si="80"/>
        <v>0</v>
      </c>
      <c r="V365" s="330">
        <f t="shared" si="83"/>
        <v>0</v>
      </c>
      <c r="W365" s="330">
        <f t="shared" si="83"/>
        <v>0</v>
      </c>
      <c r="X365" s="330">
        <f t="shared" si="83"/>
        <v>0</v>
      </c>
      <c r="Y365" s="330">
        <f t="shared" si="83"/>
        <v>0</v>
      </c>
      <c r="Z365" s="334">
        <f t="shared" si="81"/>
        <v>0</v>
      </c>
    </row>
    <row r="366" spans="3:26" ht="16" hidden="1" outlineLevel="1" thickTop="1" thickBot="1">
      <c r="C366" s="74">
        <f t="shared" si="77"/>
        <v>356</v>
      </c>
      <c r="D366" s="75">
        <f t="shared" si="78"/>
        <v>55366</v>
      </c>
      <c r="E366" s="74">
        <f t="shared" si="72"/>
        <v>119</v>
      </c>
      <c r="F366" s="74" t="str">
        <f t="shared" si="73"/>
        <v>Q3-51</v>
      </c>
      <c r="G366" s="74">
        <f t="shared" si="79"/>
        <v>30</v>
      </c>
      <c r="H366" s="74">
        <f t="shared" si="74"/>
        <v>2051</v>
      </c>
      <c r="J366" s="82">
        <f>DATA!L366</f>
        <v>1.806107827327929</v>
      </c>
      <c r="K366" s="82">
        <f>DATA!M366</f>
        <v>1.3307122194315046</v>
      </c>
      <c r="L366" s="82">
        <f>DATA!N366</f>
        <v>1</v>
      </c>
      <c r="M366" s="82">
        <f>DATA!O366</f>
        <v>1</v>
      </c>
      <c r="N366" s="82">
        <f>DATA!P366</f>
        <v>1</v>
      </c>
      <c r="P366" s="330">
        <f t="shared" si="82"/>
        <v>0</v>
      </c>
      <c r="Q366" s="330">
        <f t="shared" si="82"/>
        <v>0</v>
      </c>
      <c r="R366" s="330">
        <f t="shared" si="82"/>
        <v>0</v>
      </c>
      <c r="S366" s="330">
        <f t="shared" si="82"/>
        <v>0</v>
      </c>
      <c r="T366" s="334">
        <f t="shared" si="80"/>
        <v>0</v>
      </c>
      <c r="V366" s="330">
        <f t="shared" si="83"/>
        <v>0</v>
      </c>
      <c r="W366" s="330">
        <f t="shared" si="83"/>
        <v>0</v>
      </c>
      <c r="X366" s="330">
        <f t="shared" si="83"/>
        <v>0</v>
      </c>
      <c r="Y366" s="330">
        <f t="shared" si="83"/>
        <v>0</v>
      </c>
      <c r="Z366" s="334">
        <f t="shared" si="81"/>
        <v>0</v>
      </c>
    </row>
    <row r="367" spans="3:26" ht="16" hidden="1" outlineLevel="1" thickTop="1" thickBot="1">
      <c r="C367" s="74">
        <f t="shared" si="77"/>
        <v>357</v>
      </c>
      <c r="D367" s="75">
        <f t="shared" si="78"/>
        <v>55397</v>
      </c>
      <c r="E367" s="74">
        <f t="shared" si="72"/>
        <v>119</v>
      </c>
      <c r="F367" s="74" t="str">
        <f t="shared" si="73"/>
        <v>Q3-51</v>
      </c>
      <c r="G367" s="74">
        <f t="shared" si="79"/>
        <v>30</v>
      </c>
      <c r="H367" s="74">
        <f t="shared" si="74"/>
        <v>2051</v>
      </c>
      <c r="J367" s="82">
        <f>DATA!L367</f>
        <v>1.8091180070401423</v>
      </c>
      <c r="K367" s="82">
        <f>DATA!M367</f>
        <v>1.3318211462810308</v>
      </c>
      <c r="L367" s="82">
        <f>DATA!N367</f>
        <v>1</v>
      </c>
      <c r="M367" s="82">
        <f>DATA!O367</f>
        <v>1</v>
      </c>
      <c r="N367" s="82">
        <f>DATA!P367</f>
        <v>1</v>
      </c>
      <c r="P367" s="330">
        <f t="shared" si="82"/>
        <v>0</v>
      </c>
      <c r="Q367" s="330">
        <f t="shared" si="82"/>
        <v>0</v>
      </c>
      <c r="R367" s="330">
        <f t="shared" si="82"/>
        <v>0</v>
      </c>
      <c r="S367" s="330">
        <f t="shared" si="82"/>
        <v>0</v>
      </c>
      <c r="T367" s="334">
        <f t="shared" si="80"/>
        <v>0</v>
      </c>
      <c r="V367" s="330">
        <f t="shared" si="83"/>
        <v>0</v>
      </c>
      <c r="W367" s="330">
        <f t="shared" si="83"/>
        <v>0</v>
      </c>
      <c r="X367" s="330">
        <f t="shared" si="83"/>
        <v>0</v>
      </c>
      <c r="Y367" s="330">
        <f t="shared" si="83"/>
        <v>0</v>
      </c>
      <c r="Z367" s="334">
        <f t="shared" si="81"/>
        <v>0</v>
      </c>
    </row>
    <row r="368" spans="3:26" ht="16" hidden="1" outlineLevel="1" thickTop="1" thickBot="1">
      <c r="C368" s="74">
        <f t="shared" si="77"/>
        <v>358</v>
      </c>
      <c r="D368" s="75">
        <f t="shared" si="78"/>
        <v>55427</v>
      </c>
      <c r="E368" s="74">
        <f t="shared" si="72"/>
        <v>120</v>
      </c>
      <c r="F368" s="74" t="str">
        <f t="shared" si="73"/>
        <v>Q3-51</v>
      </c>
      <c r="G368" s="74">
        <f t="shared" si="79"/>
        <v>30</v>
      </c>
      <c r="H368" s="74">
        <f t="shared" si="74"/>
        <v>2051</v>
      </c>
      <c r="J368" s="82">
        <f>DATA!L368</f>
        <v>1.8121332037185425</v>
      </c>
      <c r="K368" s="82">
        <f>DATA!M368</f>
        <v>1.3329309972362648</v>
      </c>
      <c r="L368" s="82">
        <f>DATA!N368</f>
        <v>1</v>
      </c>
      <c r="M368" s="82">
        <f>DATA!O368</f>
        <v>1</v>
      </c>
      <c r="N368" s="82">
        <f>DATA!P368</f>
        <v>1</v>
      </c>
      <c r="P368" s="330">
        <f t="shared" si="82"/>
        <v>0</v>
      </c>
      <c r="Q368" s="330">
        <f t="shared" si="82"/>
        <v>0</v>
      </c>
      <c r="R368" s="330">
        <f t="shared" si="82"/>
        <v>0</v>
      </c>
      <c r="S368" s="330">
        <f t="shared" si="82"/>
        <v>0</v>
      </c>
      <c r="T368" s="334">
        <f t="shared" si="80"/>
        <v>0</v>
      </c>
      <c r="V368" s="330">
        <f t="shared" si="83"/>
        <v>0</v>
      </c>
      <c r="W368" s="330">
        <f t="shared" si="83"/>
        <v>0</v>
      </c>
      <c r="X368" s="330">
        <f t="shared" si="83"/>
        <v>0</v>
      </c>
      <c r="Y368" s="330">
        <f t="shared" si="83"/>
        <v>0</v>
      </c>
      <c r="Z368" s="334">
        <f t="shared" si="81"/>
        <v>0</v>
      </c>
    </row>
    <row r="369" spans="3:31" ht="16" hidden="1" outlineLevel="1" thickTop="1" thickBot="1">
      <c r="C369" s="74">
        <f t="shared" si="77"/>
        <v>359</v>
      </c>
      <c r="D369" s="75">
        <f t="shared" si="78"/>
        <v>55458</v>
      </c>
      <c r="E369" s="74">
        <f t="shared" si="72"/>
        <v>120</v>
      </c>
      <c r="F369" s="74" t="str">
        <f t="shared" si="73"/>
        <v>Q3-51</v>
      </c>
      <c r="G369" s="74">
        <f t="shared" si="79"/>
        <v>30</v>
      </c>
      <c r="H369" s="74">
        <f t="shared" si="74"/>
        <v>2051</v>
      </c>
      <c r="J369" s="82">
        <f>DATA!L369</f>
        <v>1.8151534257247401</v>
      </c>
      <c r="K369" s="82">
        <f>DATA!M369</f>
        <v>1.3340417730672949</v>
      </c>
      <c r="L369" s="82">
        <f>DATA!N369</f>
        <v>1</v>
      </c>
      <c r="M369" s="82">
        <f>DATA!O369</f>
        <v>1</v>
      </c>
      <c r="N369" s="82">
        <f>DATA!P369</f>
        <v>1</v>
      </c>
      <c r="P369" s="330">
        <f t="shared" si="82"/>
        <v>0</v>
      </c>
      <c r="Q369" s="330">
        <f t="shared" si="82"/>
        <v>0</v>
      </c>
      <c r="R369" s="330">
        <f t="shared" si="82"/>
        <v>0</v>
      </c>
      <c r="S369" s="330">
        <f t="shared" si="82"/>
        <v>0</v>
      </c>
      <c r="T369" s="334">
        <f t="shared" si="80"/>
        <v>0</v>
      </c>
      <c r="V369" s="330">
        <f t="shared" si="83"/>
        <v>0</v>
      </c>
      <c r="W369" s="330">
        <f t="shared" si="83"/>
        <v>0</v>
      </c>
      <c r="X369" s="330">
        <f t="shared" si="83"/>
        <v>0</v>
      </c>
      <c r="Y369" s="330">
        <f t="shared" si="83"/>
        <v>0</v>
      </c>
      <c r="Z369" s="334">
        <f t="shared" si="81"/>
        <v>0</v>
      </c>
    </row>
    <row r="370" spans="3:31" ht="16" collapsed="1" thickTop="1" thickBot="1">
      <c r="C370" s="74">
        <f t="shared" si="77"/>
        <v>360</v>
      </c>
      <c r="D370" s="75">
        <f t="shared" si="78"/>
        <v>55488</v>
      </c>
      <c r="E370" s="74">
        <f t="shared" si="72"/>
        <v>120</v>
      </c>
      <c r="F370" s="74" t="str">
        <f t="shared" si="73"/>
        <v>Q4-51</v>
      </c>
      <c r="G370" s="74">
        <f t="shared" si="79"/>
        <v>30</v>
      </c>
      <c r="H370" s="74">
        <f t="shared" si="74"/>
        <v>2051</v>
      </c>
      <c r="J370" s="82">
        <f>DATA!L370</f>
        <v>1.8181786814342815</v>
      </c>
      <c r="K370" s="82">
        <f>DATA!M370</f>
        <v>1.3351534745448508</v>
      </c>
      <c r="L370" s="82">
        <f>DATA!N370</f>
        <v>1</v>
      </c>
      <c r="M370" s="82">
        <f>DATA!O370</f>
        <v>1</v>
      </c>
      <c r="N370" s="82">
        <f>DATA!P370</f>
        <v>1</v>
      </c>
      <c r="O370" s="82">
        <f>DATA!Q370</f>
        <v>0</v>
      </c>
      <c r="P370" s="330">
        <f t="shared" si="82"/>
        <v>0</v>
      </c>
      <c r="Q370" s="330">
        <f t="shared" si="82"/>
        <v>0</v>
      </c>
      <c r="R370" s="330">
        <f t="shared" si="82"/>
        <v>0</v>
      </c>
      <c r="S370" s="330">
        <f t="shared" si="82"/>
        <v>0</v>
      </c>
      <c r="T370" s="334">
        <f t="shared" si="80"/>
        <v>0</v>
      </c>
      <c r="U370" s="82">
        <f>DATA!W370</f>
        <v>0</v>
      </c>
      <c r="V370" s="330">
        <f t="shared" si="83"/>
        <v>0</v>
      </c>
      <c r="W370" s="330">
        <f t="shared" si="83"/>
        <v>0</v>
      </c>
      <c r="X370" s="330">
        <f t="shared" si="83"/>
        <v>0</v>
      </c>
      <c r="Y370" s="330">
        <f t="shared" si="83"/>
        <v>0</v>
      </c>
      <c r="Z370" s="334">
        <f t="shared" si="81"/>
        <v>0</v>
      </c>
      <c r="AA370" s="82">
        <f>DATA!AC370</f>
        <v>0</v>
      </c>
      <c r="AB370" s="82">
        <f>DATA!AD370</f>
        <v>0</v>
      </c>
      <c r="AC370" s="82">
        <f>DATA!AE370</f>
        <v>0</v>
      </c>
      <c r="AD370" s="82">
        <f>DATA!AF370</f>
        <v>0</v>
      </c>
      <c r="AE370" s="82">
        <f>DATA!AG370</f>
        <v>0</v>
      </c>
    </row>
    <row r="371" spans="3:31" ht="15" thickTop="1"/>
    <row r="373" spans="3:31">
      <c r="G373" s="98">
        <v>31</v>
      </c>
    </row>
  </sheetData>
  <pageMargins left="0.7" right="0.7" top="0.75" bottom="0.75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71C6-DF57-4E23-9ADE-8A08F1F6ACAF}">
  <sheetPr codeName="Sheet4">
    <tabColor rgb="FFC00000"/>
  </sheetPr>
  <dimension ref="A1:BJ379"/>
  <sheetViews>
    <sheetView topLeftCell="B8" workbookViewId="0">
      <selection activeCell="E33" sqref="E33"/>
    </sheetView>
  </sheetViews>
  <sheetFormatPr baseColWidth="10" defaultColWidth="8.83203125" defaultRowHeight="14" zeroHeight="1" outlineLevelRow="1" outlineLevelCol="1"/>
  <cols>
    <col min="1" max="1" width="5.33203125" style="70" hidden="1" customWidth="1"/>
    <col min="2" max="2" width="5.33203125" customWidth="1"/>
    <col min="3" max="3" width="35.33203125" bestFit="1" customWidth="1"/>
    <col min="4" max="4" width="5.33203125" customWidth="1"/>
    <col min="5" max="5" width="6" style="29" customWidth="1"/>
    <col min="6" max="6" width="6" style="4" customWidth="1"/>
    <col min="7" max="9" width="6" customWidth="1"/>
    <col min="10" max="10" width="7" customWidth="1"/>
    <col min="11" max="11" width="3.5" bestFit="1" customWidth="1"/>
    <col min="12" max="13" width="9" customWidth="1" outlineLevel="1"/>
    <col min="14" max="16" width="4" customWidth="1" outlineLevel="1"/>
    <col min="17" max="17" width="5.33203125" customWidth="1"/>
    <col min="18" max="19" width="9" customWidth="1" outlineLevel="1"/>
    <col min="20" max="20" width="6.83203125" style="12" customWidth="1" outlineLevel="1"/>
    <col min="21" max="21" width="9" style="80" customWidth="1" outlineLevel="1"/>
    <col min="22" max="23" width="9" customWidth="1" outlineLevel="1"/>
    <col min="24" max="24" width="4.83203125" style="12" customWidth="1" outlineLevel="1"/>
    <col min="25" max="25" width="7.5" style="12" customWidth="1" outlineLevel="1"/>
    <col min="26" max="41" width="9" customWidth="1" outlineLevel="1"/>
    <col min="43" max="43" width="20" customWidth="1" outlineLevel="1"/>
    <col min="44" max="44" width="16.33203125" customWidth="1" outlineLevel="1"/>
    <col min="45" max="45" width="4.33203125" customWidth="1" outlineLevel="1"/>
    <col min="46" max="46" width="14.83203125" customWidth="1" outlineLevel="1"/>
    <col min="47" max="47" width="8.33203125" customWidth="1" outlineLevel="1"/>
    <col min="48" max="48" width="9" customWidth="1" outlineLevel="1"/>
    <col min="49" max="49" width="9.5" customWidth="1" outlineLevel="1"/>
    <col min="50" max="50" width="6.5" customWidth="1" outlineLevel="1"/>
    <col min="51" max="51" width="15.5" customWidth="1" outlineLevel="1"/>
    <col min="52" max="52" width="6.83203125" customWidth="1" outlineLevel="1"/>
    <col min="53" max="55" width="9" customWidth="1" outlineLevel="1"/>
  </cols>
  <sheetData>
    <row r="1" spans="3:60" s="70" customFormat="1" hidden="1">
      <c r="E1" s="71"/>
      <c r="F1" s="72"/>
      <c r="R1" s="79"/>
      <c r="S1" s="77"/>
      <c r="T1" s="77"/>
      <c r="U1" s="77"/>
    </row>
    <row r="2" spans="3:60">
      <c r="R2" s="80"/>
      <c r="S2" s="12"/>
      <c r="U2" s="12"/>
      <c r="X2"/>
      <c r="Y2"/>
    </row>
    <row r="3" spans="3:60" ht="19.5" customHeight="1">
      <c r="E3" s="73" t="s">
        <v>132</v>
      </c>
      <c r="F3" s="26"/>
      <c r="G3" s="5"/>
      <c r="H3" s="5"/>
      <c r="I3" s="5"/>
      <c r="J3" s="5"/>
      <c r="R3" s="80"/>
      <c r="S3" s="12"/>
      <c r="U3" s="12"/>
      <c r="X3"/>
      <c r="Y3"/>
    </row>
    <row r="4" spans="3:60">
      <c r="R4" s="80"/>
      <c r="S4" s="12"/>
      <c r="U4" s="12"/>
      <c r="X4"/>
      <c r="Y4"/>
    </row>
    <row r="5" spans="3:60">
      <c r="R5" s="80"/>
      <c r="S5" s="12"/>
      <c r="U5" s="12"/>
      <c r="X5"/>
      <c r="Y5"/>
    </row>
    <row r="6" spans="3:60" ht="15">
      <c r="K6" s="68"/>
      <c r="R6" s="80"/>
      <c r="S6" s="78"/>
      <c r="T6" s="78"/>
      <c r="U6" s="78"/>
      <c r="X6"/>
      <c r="Y6"/>
    </row>
    <row r="7" spans="3:60" ht="15" thickBot="1">
      <c r="E7" s="30" t="s">
        <v>133</v>
      </c>
      <c r="F7" s="26"/>
      <c r="G7" s="5"/>
      <c r="H7" s="5"/>
      <c r="I7" s="5"/>
      <c r="J7" s="5"/>
      <c r="L7" s="30" t="s">
        <v>134</v>
      </c>
      <c r="M7" s="26"/>
      <c r="N7" s="5"/>
      <c r="O7" s="5"/>
      <c r="P7" s="5"/>
      <c r="R7" s="69" t="s">
        <v>135</v>
      </c>
      <c r="S7" s="69"/>
      <c r="T7" s="26"/>
      <c r="U7" s="26"/>
      <c r="V7" s="81"/>
      <c r="W7" s="81"/>
      <c r="X7"/>
      <c r="Y7" s="69" t="s">
        <v>89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Q7" s="115" t="s">
        <v>140</v>
      </c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F7" s="30" t="s">
        <v>172</v>
      </c>
      <c r="BG7" s="30"/>
      <c r="BH7" s="30"/>
    </row>
    <row r="8" spans="3:60" ht="16" thickTop="1" thickBot="1">
      <c r="E8" s="24"/>
      <c r="F8" s="24"/>
      <c r="G8" s="24"/>
      <c r="H8" s="24"/>
      <c r="I8" s="24"/>
      <c r="J8" s="24"/>
      <c r="L8" s="99" t="str" cm="1">
        <f t="array" ref="L8:P8">TRANSPOSE(iGeneral!D25:D29)</f>
        <v>Price</v>
      </c>
      <c r="M8" s="99" t="str">
        <v>Cost</v>
      </c>
      <c r="N8" s="99">
        <v>0</v>
      </c>
      <c r="O8" s="99">
        <v>0</v>
      </c>
      <c r="P8" s="99">
        <v>0</v>
      </c>
      <c r="R8" s="80"/>
      <c r="S8" s="12"/>
      <c r="U8" s="12"/>
      <c r="X8"/>
      <c r="Z8" s="12"/>
      <c r="AQ8" s="110"/>
      <c r="AR8" s="111"/>
      <c r="AS8" s="111"/>
      <c r="AT8" s="111"/>
      <c r="AU8" s="111"/>
      <c r="AV8" s="111"/>
      <c r="AW8" s="111"/>
      <c r="AX8" s="111"/>
      <c r="BG8" t="s">
        <v>173</v>
      </c>
    </row>
    <row r="9" spans="3:60" ht="16" thickTop="1" thickBot="1">
      <c r="C9" s="67" t="s">
        <v>137</v>
      </c>
      <c r="L9" s="83">
        <f>IFERROR(_xlfn.XLOOKUP(L$8,iGeneral!$D$25:$D$29,iGeneral!$F$25:$F$29),"")</f>
        <v>1</v>
      </c>
      <c r="M9" s="83">
        <f>IFERROR(_xlfn.XLOOKUP(M$8,iGeneral!$D$25:$D$29,iGeneral!$F$25:$F$29),"")</f>
        <v>2</v>
      </c>
      <c r="N9" s="83" t="str">
        <f>IFERROR(_xlfn.XLOOKUP(N$8,iGeneral!$D$25:$D$29,iGeneral!$F$25:$F$29),"")</f>
        <v/>
      </c>
      <c r="O9" s="83" t="str">
        <f>IFERROR(_xlfn.XLOOKUP(O$8,iGeneral!$D$25:$D$29,iGeneral!$F$25:$F$29),"")</f>
        <v/>
      </c>
      <c r="P9" s="83" t="str">
        <f>IFERROR(_xlfn.XLOOKUP(P$8,iGeneral!$D$25:$D$29,iGeneral!$F$25:$F$29),"")</f>
        <v/>
      </c>
      <c r="R9" s="99"/>
      <c r="S9" s="99" t="s">
        <v>41</v>
      </c>
      <c r="T9" s="99" t="s">
        <v>88</v>
      </c>
      <c r="U9" s="99" t="s">
        <v>88</v>
      </c>
      <c r="V9" s="99" t="s">
        <v>88</v>
      </c>
      <c r="W9" s="142">
        <v>0.56999999999999995</v>
      </c>
      <c r="X9"/>
      <c r="Y9" s="99" t="s">
        <v>41</v>
      </c>
      <c r="Z9" s="99" t="s">
        <v>88</v>
      </c>
      <c r="AV9" t="s">
        <v>139</v>
      </c>
      <c r="BG9" t="s">
        <v>174</v>
      </c>
    </row>
    <row r="10" spans="3:60" ht="16" thickTop="1" thickBot="1">
      <c r="C10" s="116" t="str" cm="1">
        <f t="array" ref="C10:C15">TRANSPOSE(_xlfn.UNIQUE(_xlfn._xlws.FILTER(E7:BX7,E7:BX7&lt;&gt;0)))</f>
        <v>Periocity</v>
      </c>
      <c r="E10" s="86" t="s">
        <v>70</v>
      </c>
      <c r="F10" s="86" t="s">
        <v>73</v>
      </c>
      <c r="G10" s="86" t="s">
        <v>71</v>
      </c>
      <c r="H10" s="86" t="s">
        <v>86</v>
      </c>
      <c r="I10" s="86" t="s">
        <v>72</v>
      </c>
      <c r="J10" s="86" t="s">
        <v>87</v>
      </c>
      <c r="L10" s="85">
        <f>IFERROR(_xlfn.XLOOKUP(L$8,iGeneral!$D$25:$D$29,iGeneral!$E$25:$E$29),0)</f>
        <v>0.02</v>
      </c>
      <c r="M10" s="85">
        <f>IFERROR(_xlfn.XLOOKUP(M$8,iGeneral!$D$25:$D$29,iGeneral!$E$25:$E$29),0)</f>
        <v>0.01</v>
      </c>
      <c r="N10" s="85">
        <f>IFERROR(_xlfn.XLOOKUP(N$8,iGeneral!$D$25:$D$29,iGeneral!$E$25:$E$29),0)</f>
        <v>0</v>
      </c>
      <c r="O10" s="85">
        <f>IFERROR(_xlfn.XLOOKUP(O$8,iGeneral!$D$25:$D$29,iGeneral!$E$25:$E$29),0)</f>
        <v>0</v>
      </c>
      <c r="P10" s="85">
        <f>IFERROR(_xlfn.XLOOKUP(P$8,iGeneral!$D$25:$D$29,iGeneral!$E$25:$E$29),0)</f>
        <v>0</v>
      </c>
      <c r="R10" s="101" t="s">
        <v>39</v>
      </c>
      <c r="S10" s="100" t="s">
        <v>34</v>
      </c>
      <c r="T10" s="100" t="s">
        <v>74</v>
      </c>
      <c r="U10" s="100" t="s">
        <v>75</v>
      </c>
      <c r="V10" s="104" t="s">
        <v>44</v>
      </c>
      <c r="W10" s="100" t="s">
        <v>145</v>
      </c>
      <c r="X10"/>
      <c r="Y10" s="100" t="s">
        <v>34</v>
      </c>
      <c r="Z10" s="100" t="s">
        <v>91</v>
      </c>
      <c r="AQ10" s="113" t="s">
        <v>136</v>
      </c>
      <c r="AR10" s="113" t="s">
        <v>45</v>
      </c>
      <c r="AT10" s="120" t="str">
        <f>AQ10</f>
        <v>Cost Center</v>
      </c>
      <c r="AU10" s="120" t="s">
        <v>45</v>
      </c>
      <c r="AV10" s="119"/>
      <c r="AW10" s="118"/>
      <c r="AX10" s="118"/>
      <c r="AY10" s="118"/>
      <c r="AZ10" s="118"/>
      <c r="BA10" s="118"/>
      <c r="BB10" s="118"/>
      <c r="BG10" s="159" cm="1">
        <f t="array" ref="BG10:BG13">_xlfn.UNIQUE(_xlfn._xlws.FILTER(iGeneral!$F$41:$F$45,iGeneral!$F$41:$F$45&lt;&gt;0))</f>
        <v>0.05</v>
      </c>
    </row>
    <row r="11" spans="3:60" ht="16" thickTop="1" thickBot="1">
      <c r="C11" s="116" t="str">
        <v>Rates (5 max)</v>
      </c>
      <c r="E11" s="87">
        <v>1</v>
      </c>
      <c r="F11" s="88">
        <f>i_Date.Start</f>
        <v>44562</v>
      </c>
      <c r="G11" s="87">
        <f t="shared" ref="G11:G74" si="0">INT(INT(E11+2)/3)</f>
        <v>1</v>
      </c>
      <c r="H11" s="87" t="str">
        <f t="shared" ref="H11:H74" si="1">"Q"&amp;INT((MONTH(F11)/4)+1)&amp;"-"&amp;RIGHT(YEAR(F11),2)</f>
        <v>Q1-22</v>
      </c>
      <c r="I11" s="87">
        <f>MIN(INT(YEARFRAC(F$11,F23)),30)</f>
        <v>1</v>
      </c>
      <c r="J11" s="87">
        <f t="shared" ref="J11:J74" si="2">YEAR(F11)</f>
        <v>2022</v>
      </c>
      <c r="L11" s="84">
        <v>1</v>
      </c>
      <c r="M11" s="84">
        <v>1</v>
      </c>
      <c r="N11" s="84">
        <v>1</v>
      </c>
      <c r="O11" s="84">
        <f>N11</f>
        <v>1</v>
      </c>
      <c r="P11" s="84">
        <f>O11</f>
        <v>1</v>
      </c>
      <c r="R11" s="52" t="str">
        <f t="shared" ref="R11:R45" si="3">CONCATENATE(T11,"x",U11)</f>
        <v>40x90</v>
      </c>
      <c r="S11" s="87" t="s">
        <v>62</v>
      </c>
      <c r="T11" s="87">
        <v>40</v>
      </c>
      <c r="U11" s="87">
        <v>90</v>
      </c>
      <c r="V11" s="105">
        <f t="shared" ref="V11:V45" si="4">T11*U11</f>
        <v>3600</v>
      </c>
      <c r="W11" s="143">
        <f>43560/(Table4[[#This Row],[Area]])*W$9</f>
        <v>6.8969999999999994</v>
      </c>
      <c r="X11"/>
      <c r="Y11" s="109" t="str" cm="1">
        <f t="array" ref="Y11:Y15">_xlfn.UNIQUE(Table4[Code])</f>
        <v>MHDR</v>
      </c>
      <c r="Z11" s="109" t="str" cm="1">
        <f t="array" ref="Z11:AO11">IFERROR(TRANSPOSE(_xlfn._xlws.SORT(_xlfn._xlws.FILTER($R$11:$R$45,$S$11:$S$45=iMPC!P10))),0)</f>
        <v>60x115</v>
      </c>
      <c r="AA11" s="109" t="str">
        <v>60x120</v>
      </c>
      <c r="AB11" s="109" t="str">
        <v>60x125</v>
      </c>
      <c r="AC11" s="109" t="str">
        <v>60x130</v>
      </c>
      <c r="AD11" s="109" t="str">
        <v>65x120</v>
      </c>
      <c r="AE11" s="109" t="str">
        <v>65x125</v>
      </c>
      <c r="AF11" s="109" t="str">
        <v>70x125</v>
      </c>
      <c r="AG11" s="109" t="str">
        <v>70x130</v>
      </c>
      <c r="AH11" s="109" t="str">
        <v>70x135</v>
      </c>
      <c r="AI11" s="109" t="str">
        <v>80x125</v>
      </c>
      <c r="AJ11" s="109" t="str">
        <v>80x130</v>
      </c>
      <c r="AK11" s="109" t="str">
        <v>80x135</v>
      </c>
      <c r="AL11" s="109" t="str">
        <v>80x140</v>
      </c>
      <c r="AM11" s="109" t="str">
        <v>90x130</v>
      </c>
      <c r="AN11" s="109" t="str">
        <v>90x135</v>
      </c>
      <c r="AO11" s="109" t="str">
        <v>90x140</v>
      </c>
      <c r="AQ11" s="114" t="s">
        <v>138</v>
      </c>
      <c r="AR11" s="114" t="s">
        <v>100</v>
      </c>
      <c r="AT11" s="121" t="str" cm="1">
        <f t="array" ref="AT11:AT18">_xlfn.UNIQUE(AQ11:AQ72)</f>
        <v>Acquisition</v>
      </c>
      <c r="AU11" s="117" t="str" cm="1">
        <f t="array" ref="AU11:AZ11">IFERROR(TRANSPOSE(_xlfn._xlws.SORT(_xlfn._xlws.FILTER($AR$11:$AR$72,$AQ$11:$AQ$72=Budget!G4))),0)</f>
        <v>Closing</v>
      </c>
      <c r="AV11" s="117" t="str">
        <v>Deposits</v>
      </c>
      <c r="AW11" s="117" t="str">
        <v>Diligence</v>
      </c>
      <c r="AX11" s="117" t="str">
        <v>Legal</v>
      </c>
      <c r="AY11" s="117" t="str">
        <v>Option Payments</v>
      </c>
      <c r="AZ11" s="117" t="str">
        <v>Other</v>
      </c>
      <c r="BA11" s="117"/>
      <c r="BB11" s="117"/>
      <c r="BG11" s="159">
        <v>0.1</v>
      </c>
    </row>
    <row r="12" spans="3:60" ht="16" thickTop="1" thickBot="1">
      <c r="C12" s="116" t="str">
        <v>Lot Products</v>
      </c>
      <c r="E12" s="74">
        <f t="shared" ref="E12:E75" si="5">E11+1</f>
        <v>2</v>
      </c>
      <c r="F12" s="75">
        <f t="shared" ref="F12:F75" si="6">EOMONTH(F11,0)+1</f>
        <v>44593</v>
      </c>
      <c r="G12" s="74">
        <f t="shared" si="0"/>
        <v>1</v>
      </c>
      <c r="H12" s="74" t="str">
        <f t="shared" si="1"/>
        <v>Q1-22</v>
      </c>
      <c r="I12" s="74">
        <f t="shared" ref="I12:I75" si="7">MIN(INT(YEARFRAC(F$11,F24)),30)</f>
        <v>1</v>
      </c>
      <c r="J12" s="74">
        <f t="shared" si="2"/>
        <v>2022</v>
      </c>
      <c r="L12" s="82">
        <f>IF(I13&lt;iGeneral!F$25,1,L11*(1+L$10/12))</f>
        <v>1.0016666666666667</v>
      </c>
      <c r="M12" s="82">
        <f>IF(I11&lt;iGeneral!F$26,1,M11*(1+M$10/12))</f>
        <v>1</v>
      </c>
      <c r="N12" s="82">
        <f>IF(I11&lt;iGeneral!F$27,1,N11*(1+N$10/12))</f>
        <v>1</v>
      </c>
      <c r="O12" s="82">
        <f>IFERROR(IF(I11&lt;iGeneral!F$28,1,O11*(1+O$10/12)),1)</f>
        <v>1</v>
      </c>
      <c r="P12" s="82">
        <f>IFERROR(IF(DATA!$I12&lt;iGeneral!F$29,1,P11*(1+P$10/12)),1)</f>
        <v>1</v>
      </c>
      <c r="R12" s="102" t="str">
        <f t="shared" si="3"/>
        <v>40x100</v>
      </c>
      <c r="S12" s="87" t="s">
        <v>62</v>
      </c>
      <c r="T12" s="74">
        <v>40</v>
      </c>
      <c r="U12" s="74">
        <v>100</v>
      </c>
      <c r="V12" s="106">
        <f t="shared" si="4"/>
        <v>4000</v>
      </c>
      <c r="W12" s="144">
        <f>43560/(Table4[[#This Row],[Area]])*W$9</f>
        <v>6.2073</v>
      </c>
      <c r="X12"/>
      <c r="Y12" s="109" t="str">
        <v>MDR</v>
      </c>
      <c r="Z12" s="109" t="str" cm="1">
        <f t="array" ref="Z12:AO12">IFERROR(TRANSPOSE(_xlfn._xlws.SORT(_xlfn._xlws.FILTER($R$11:$R$45,$S$11:$S$45=iMPC!P11))),0)</f>
        <v>60x115</v>
      </c>
      <c r="AA12" s="109" t="str">
        <v>60x120</v>
      </c>
      <c r="AB12" s="109" t="str">
        <v>60x125</v>
      </c>
      <c r="AC12" s="109" t="str">
        <v>60x130</v>
      </c>
      <c r="AD12" s="109" t="str">
        <v>65x120</v>
      </c>
      <c r="AE12" s="109" t="str">
        <v>65x125</v>
      </c>
      <c r="AF12" s="109" t="str">
        <v>70x125</v>
      </c>
      <c r="AG12" s="109" t="str">
        <v>70x130</v>
      </c>
      <c r="AH12" s="109" t="str">
        <v>70x135</v>
      </c>
      <c r="AI12" s="109" t="str">
        <v>80x125</v>
      </c>
      <c r="AJ12" s="109" t="str">
        <v>80x130</v>
      </c>
      <c r="AK12" s="109" t="str">
        <v>80x135</v>
      </c>
      <c r="AL12" s="109" t="str">
        <v>80x140</v>
      </c>
      <c r="AM12" s="109" t="str">
        <v>90x130</v>
      </c>
      <c r="AN12" s="109" t="str">
        <v>90x135</v>
      </c>
      <c r="AO12" s="109" t="str">
        <v>90x140</v>
      </c>
      <c r="AQ12" s="114" t="s">
        <v>138</v>
      </c>
      <c r="AR12" s="114" t="s">
        <v>106</v>
      </c>
      <c r="AT12" s="121" t="str">
        <v>Entitlements</v>
      </c>
      <c r="AU12" s="117" t="str" cm="1">
        <f t="array" ref="AU12:AX12">IFERROR(TRANSPOSE(_xlfn._xlws.SORT(_xlfn._xlws.FILTER($AR$11:$AR$72,$AQ$11:$AQ$72=Budget!G5))),0)</f>
        <v>Dev Agmt</v>
      </c>
      <c r="AV12" s="117" t="str">
        <v>PrePlat [Block]</v>
      </c>
      <c r="AW12" s="117" t="str">
        <v>PrePlat [Subd]</v>
      </c>
      <c r="AX12" s="117" t="str">
        <v>Zoning</v>
      </c>
      <c r="AY12" s="117"/>
      <c r="AZ12" s="117"/>
      <c r="BA12" s="117"/>
      <c r="BB12" s="117"/>
      <c r="BG12" s="159">
        <v>0.2</v>
      </c>
    </row>
    <row r="13" spans="3:60" ht="16" thickTop="1" thickBot="1">
      <c r="C13" s="116" t="str">
        <v>Lot Product Validation</v>
      </c>
      <c r="E13" s="74">
        <f t="shared" si="5"/>
        <v>3</v>
      </c>
      <c r="F13" s="75">
        <f t="shared" si="6"/>
        <v>44621</v>
      </c>
      <c r="G13" s="74">
        <f t="shared" si="0"/>
        <v>1</v>
      </c>
      <c r="H13" s="74" t="str">
        <f t="shared" si="1"/>
        <v>Q1-22</v>
      </c>
      <c r="I13" s="74">
        <f t="shared" si="7"/>
        <v>1</v>
      </c>
      <c r="J13" s="74">
        <f t="shared" si="2"/>
        <v>2022</v>
      </c>
      <c r="L13" s="82">
        <f>IF(I14&lt;iGeneral!F$25,1,L12*(1+L$10/12))</f>
        <v>1.0033361111111112</v>
      </c>
      <c r="M13" s="82">
        <f>IF(I12&lt;iGeneral!F$26,1,M12*(1+M$10/12))</f>
        <v>1</v>
      </c>
      <c r="N13" s="82">
        <f>IF(I12&lt;iGeneral!F$27,1,N12*(1+N$10/12))</f>
        <v>1</v>
      </c>
      <c r="O13" s="82">
        <f>IFERROR(IF(I12&lt;iGeneral!F$28,1,O12*(1+O$10/12)),1)</f>
        <v>1</v>
      </c>
      <c r="P13" s="82">
        <f>IFERROR(IF(DATA!$I13&lt;iGeneral!F$29,1,P12*(1+P$10/12)),1)</f>
        <v>1</v>
      </c>
      <c r="R13" s="102" t="str">
        <f t="shared" si="3"/>
        <v>40x105</v>
      </c>
      <c r="S13" s="87" t="s">
        <v>62</v>
      </c>
      <c r="T13" s="74">
        <v>40</v>
      </c>
      <c r="U13" s="74">
        <v>105</v>
      </c>
      <c r="V13" s="106">
        <f t="shared" si="4"/>
        <v>4200</v>
      </c>
      <c r="W13" s="144">
        <f>43560/(Table4[[#This Row],[Area]])*W$9</f>
        <v>5.911714285714285</v>
      </c>
      <c r="X13"/>
      <c r="Y13" s="109" t="str">
        <v>MLDR</v>
      </c>
      <c r="Z13" s="109" t="str" cm="1">
        <f t="array" ref="Z13:AM13">IFERROR(TRANSPOSE(_xlfn._xlws.SORT(_xlfn._xlws.FILTER($R$11:$R$45,$S$11:$S$45=iMPC!P12))),0)</f>
        <v>40x110</v>
      </c>
      <c r="AA13" s="109" t="str">
        <v>40x115</v>
      </c>
      <c r="AB13" s="109" t="str">
        <v>45x105</v>
      </c>
      <c r="AC13" s="109" t="str">
        <v>45x110</v>
      </c>
      <c r="AD13" s="109" t="str">
        <v>45x115</v>
      </c>
      <c r="AE13" s="109" t="str">
        <v>45x120</v>
      </c>
      <c r="AF13" s="109" t="str">
        <v>50x110</v>
      </c>
      <c r="AG13" s="109" t="str">
        <v>50x115</v>
      </c>
      <c r="AH13" s="109" t="str">
        <v>50x120</v>
      </c>
      <c r="AI13" s="109" t="str">
        <v>50x125</v>
      </c>
      <c r="AJ13" s="109" t="str">
        <v>55x115</v>
      </c>
      <c r="AK13" s="109" t="str">
        <v>55x120</v>
      </c>
      <c r="AL13" s="109" t="str">
        <v>55x125</v>
      </c>
      <c r="AM13" s="109" t="str">
        <v>55x130</v>
      </c>
      <c r="AN13" s="109"/>
      <c r="AO13" s="109"/>
      <c r="AQ13" s="114" t="s">
        <v>138</v>
      </c>
      <c r="AR13" s="114" t="s">
        <v>112</v>
      </c>
      <c r="AT13" s="121" t="str">
        <v>Engineering</v>
      </c>
      <c r="AU13" s="117" t="str" cm="1">
        <f t="array" ref="AU13:AX13">IFERROR(TRANSPOSE(_xlfn._xlws.SORT(_xlfn._xlws.FILTER($AR$11:$AR$72,$AQ$11:$AQ$72=Budget!G6))),0)</f>
        <v>Dev Agmt</v>
      </c>
      <c r="AV13" s="117" t="str">
        <v>PrePlat [Block]</v>
      </c>
      <c r="AW13" s="117" t="str">
        <v>PrePlat [Subd]</v>
      </c>
      <c r="AX13" s="117" t="str">
        <v>Zoning</v>
      </c>
      <c r="AY13" s="117"/>
      <c r="AZ13" s="117"/>
      <c r="BA13" s="117"/>
      <c r="BB13" s="117"/>
      <c r="BG13">
        <v>5000</v>
      </c>
    </row>
    <row r="14" spans="3:60" ht="16" thickTop="1" thickBot="1">
      <c r="C14" s="116" t="str">
        <v>Budget Validation</v>
      </c>
      <c r="E14" s="74">
        <f t="shared" si="5"/>
        <v>4</v>
      </c>
      <c r="F14" s="75">
        <f t="shared" si="6"/>
        <v>44652</v>
      </c>
      <c r="G14" s="74">
        <f t="shared" si="0"/>
        <v>2</v>
      </c>
      <c r="H14" s="74" t="str">
        <f t="shared" si="1"/>
        <v>Q2-22</v>
      </c>
      <c r="I14" s="74">
        <f t="shared" si="7"/>
        <v>1</v>
      </c>
      <c r="J14" s="74">
        <f t="shared" si="2"/>
        <v>2022</v>
      </c>
      <c r="L14" s="82">
        <f>IF(I15&lt;iGeneral!F$25,1,L13*(1+L$10/12))</f>
        <v>1.0050083379629631</v>
      </c>
      <c r="M14" s="82">
        <f>IF(I13&lt;iGeneral!F$26,1,M13*(1+M$10/12))</f>
        <v>1</v>
      </c>
      <c r="N14" s="82">
        <f>IF(I13&lt;iGeneral!F$27,1,N13*(1+N$10/12))</f>
        <v>1</v>
      </c>
      <c r="O14" s="82">
        <f>IFERROR(IF(I13&lt;iGeneral!F$28,1,O13*(1+O$10/12)),1)</f>
        <v>1</v>
      </c>
      <c r="P14" s="82">
        <f>IFERROR(IF(DATA!$I14&lt;iGeneral!F$29,1,P13*(1+P$10/12)),1)</f>
        <v>1</v>
      </c>
      <c r="R14" s="102" t="str">
        <f t="shared" si="3"/>
        <v>40x110</v>
      </c>
      <c r="S14" s="74" t="s">
        <v>42</v>
      </c>
      <c r="T14" s="74">
        <v>40</v>
      </c>
      <c r="U14" s="74">
        <v>110</v>
      </c>
      <c r="V14" s="106">
        <f t="shared" si="4"/>
        <v>4400</v>
      </c>
      <c r="W14" s="144">
        <f>43560/(Table4[[#This Row],[Area]])*W$9</f>
        <v>5.6429999999999998</v>
      </c>
      <c r="X14"/>
      <c r="Y14" s="109" t="str">
        <v>MU</v>
      </c>
      <c r="Z14" s="109" t="str" cm="1">
        <f t="array" ref="Z14:AM14">IFERROR(TRANSPOSE(_xlfn._xlws.SORT(_xlfn._xlws.FILTER($R$11:$R$45,$S$11:$S$45=iMPC!P13))),0)</f>
        <v>40x110</v>
      </c>
      <c r="AA14" s="109" t="str">
        <v>40x115</v>
      </c>
      <c r="AB14" s="109" t="str">
        <v>45x105</v>
      </c>
      <c r="AC14" s="109" t="str">
        <v>45x110</v>
      </c>
      <c r="AD14" s="109" t="str">
        <v>45x115</v>
      </c>
      <c r="AE14" s="109" t="str">
        <v>45x120</v>
      </c>
      <c r="AF14" s="109" t="str">
        <v>50x110</v>
      </c>
      <c r="AG14" s="109" t="str">
        <v>50x115</v>
      </c>
      <c r="AH14" s="109" t="str">
        <v>50x120</v>
      </c>
      <c r="AI14" s="109" t="str">
        <v>50x125</v>
      </c>
      <c r="AJ14" s="109" t="str">
        <v>55x115</v>
      </c>
      <c r="AK14" s="109" t="str">
        <v>55x120</v>
      </c>
      <c r="AL14" s="109" t="str">
        <v>55x125</v>
      </c>
      <c r="AM14" s="109" t="str">
        <v>55x130</v>
      </c>
      <c r="AN14" s="109"/>
      <c r="AO14" s="109"/>
      <c r="AQ14" s="114" t="s">
        <v>138</v>
      </c>
      <c r="AR14" s="114" t="s">
        <v>116</v>
      </c>
      <c r="AT14" s="121" t="str">
        <v>Offsites</v>
      </c>
      <c r="AU14" s="117" t="str" cm="1">
        <f t="array" ref="AU14:AW14">IFERROR(TRANSPOSE(_xlfn._xlws.SORT(_xlfn._xlws.FILTER($AR$11:$AR$72,$AQ$11:$AQ$72=Budget!G7))),0)</f>
        <v>Other</v>
      </c>
      <c r="AV14" s="117" t="str">
        <v>Project</v>
      </c>
      <c r="AW14" s="117" t="str">
        <v>Subdivisions</v>
      </c>
      <c r="AX14" s="117"/>
      <c r="AY14" s="117"/>
      <c r="AZ14" s="117"/>
      <c r="BA14" s="117"/>
      <c r="BB14" s="117"/>
    </row>
    <row r="15" spans="3:60" ht="16" thickTop="1" thickBot="1">
      <c r="C15" s="116" t="str">
        <v>Misc Factors</v>
      </c>
      <c r="E15" s="74">
        <f t="shared" si="5"/>
        <v>5</v>
      </c>
      <c r="F15" s="75">
        <f t="shared" si="6"/>
        <v>44682</v>
      </c>
      <c r="G15" s="74">
        <f t="shared" si="0"/>
        <v>2</v>
      </c>
      <c r="H15" s="74" t="str">
        <f t="shared" si="1"/>
        <v>Q2-22</v>
      </c>
      <c r="I15" s="74">
        <f t="shared" si="7"/>
        <v>1</v>
      </c>
      <c r="J15" s="74">
        <f t="shared" si="2"/>
        <v>2022</v>
      </c>
      <c r="L15" s="82">
        <f>IF(I16&lt;iGeneral!F$25,1,L14*(1+L$10/12))</f>
        <v>1.0066833518595681</v>
      </c>
      <c r="M15" s="82">
        <f>IF(I14&lt;iGeneral!F$26,1,M14*(1+M$10/12))</f>
        <v>1</v>
      </c>
      <c r="N15" s="82">
        <f>IF(I14&lt;iGeneral!F$27,1,N14*(1+N$10/12))</f>
        <v>1</v>
      </c>
      <c r="O15" s="82">
        <f>IFERROR(IF(I14&lt;iGeneral!F$28,1,O14*(1+O$10/12)),1)</f>
        <v>1</v>
      </c>
      <c r="P15" s="82">
        <f>IFERROR(IF(DATA!$I15&lt;iGeneral!F$29,1,P14*(1+P$10/12)),1)</f>
        <v>1</v>
      </c>
      <c r="R15" s="102" t="str">
        <f t="shared" si="3"/>
        <v>40x115</v>
      </c>
      <c r="S15" s="74" t="s">
        <v>42</v>
      </c>
      <c r="T15" s="74">
        <v>40</v>
      </c>
      <c r="U15" s="74">
        <v>115</v>
      </c>
      <c r="V15" s="106">
        <f t="shared" si="4"/>
        <v>4600</v>
      </c>
      <c r="W15" s="144">
        <f>43560/(Table4[[#This Row],[Area]])*W$9</f>
        <v>5.397652173913043</v>
      </c>
      <c r="X15"/>
      <c r="Y15" s="109" t="str">
        <v>i</v>
      </c>
      <c r="Z15" s="109" t="str" cm="1">
        <f t="array" ref="Z15:AO15">IFERROR(TRANSPOSE(_xlfn._xlws.SORT(_xlfn._xlws.FILTER($R$11:$R$45,$S$11:$S$45=iMPC!P14))),0)</f>
        <v>60x115</v>
      </c>
      <c r="AA15" s="109" t="str">
        <v>60x120</v>
      </c>
      <c r="AB15" s="109" t="str">
        <v>60x125</v>
      </c>
      <c r="AC15" s="109" t="str">
        <v>60x130</v>
      </c>
      <c r="AD15" s="109" t="str">
        <v>65x120</v>
      </c>
      <c r="AE15" s="109" t="str">
        <v>65x125</v>
      </c>
      <c r="AF15" s="109" t="str">
        <v>70x125</v>
      </c>
      <c r="AG15" s="109" t="str">
        <v>70x130</v>
      </c>
      <c r="AH15" s="109" t="str">
        <v>70x135</v>
      </c>
      <c r="AI15" s="109" t="str">
        <v>80x125</v>
      </c>
      <c r="AJ15" s="109" t="str">
        <v>80x130</v>
      </c>
      <c r="AK15" s="109" t="str">
        <v>80x135</v>
      </c>
      <c r="AL15" s="109" t="str">
        <v>80x140</v>
      </c>
      <c r="AM15" s="109" t="str">
        <v>90x130</v>
      </c>
      <c r="AN15" s="109" t="str">
        <v>90x135</v>
      </c>
      <c r="AO15" s="109" t="str">
        <v>90x140</v>
      </c>
      <c r="AQ15" s="114" t="s">
        <v>138</v>
      </c>
      <c r="AR15" s="114" t="s">
        <v>20</v>
      </c>
      <c r="AT15" s="121" t="str">
        <v>Onsites</v>
      </c>
      <c r="AU15" s="117" t="str" cm="1">
        <f t="array" ref="AU15:AW15">IFERROR(TRANSPOSE(_xlfn._xlws.SORT(_xlfn._xlws.FILTER($AR$11:$AR$72,$AQ$11:$AQ$72=Budget!G8))),0)</f>
        <v>Other</v>
      </c>
      <c r="AV15" s="117" t="str">
        <v>Project</v>
      </c>
      <c r="AW15" s="117" t="str">
        <v>Subdivisions</v>
      </c>
      <c r="AX15" s="117"/>
      <c r="AY15" s="117"/>
      <c r="AZ15" s="117"/>
      <c r="BA15" s="117"/>
      <c r="BB15" s="117"/>
    </row>
    <row r="16" spans="3:60" ht="16" thickTop="1" thickBot="1">
      <c r="C16" s="116"/>
      <c r="E16" s="74">
        <f t="shared" si="5"/>
        <v>6</v>
      </c>
      <c r="F16" s="75">
        <f t="shared" si="6"/>
        <v>44713</v>
      </c>
      <c r="G16" s="74">
        <f t="shared" si="0"/>
        <v>2</v>
      </c>
      <c r="H16" s="74" t="str">
        <f t="shared" si="1"/>
        <v>Q2-22</v>
      </c>
      <c r="I16" s="74">
        <f t="shared" si="7"/>
        <v>1</v>
      </c>
      <c r="J16" s="74">
        <f t="shared" si="2"/>
        <v>2022</v>
      </c>
      <c r="L16" s="82">
        <f>IF(I17&lt;iGeneral!F$25,1,L15*(1+L$10/12))</f>
        <v>1.0083611574460007</v>
      </c>
      <c r="M16" s="82">
        <f>IF(I15&lt;iGeneral!F$26,1,M15*(1+M$10/12))</f>
        <v>1</v>
      </c>
      <c r="N16" s="82">
        <f>IF(I15&lt;iGeneral!F$27,1,N15*(1+N$10/12))</f>
        <v>1</v>
      </c>
      <c r="O16" s="82">
        <f>IFERROR(IF(I15&lt;iGeneral!F$28,1,O15*(1+O$10/12)),1)</f>
        <v>1</v>
      </c>
      <c r="P16" s="82">
        <f>IFERROR(IF(DATA!$I16&lt;iGeneral!F$29,1,P15*(1+P$10/12)),1)</f>
        <v>1</v>
      </c>
      <c r="R16" s="102" t="str">
        <f t="shared" si="3"/>
        <v>45x105</v>
      </c>
      <c r="S16" s="74" t="s">
        <v>42</v>
      </c>
      <c r="T16" s="74">
        <v>45</v>
      </c>
      <c r="U16" s="74">
        <v>105</v>
      </c>
      <c r="V16" s="106">
        <f t="shared" si="4"/>
        <v>4725</v>
      </c>
      <c r="W16" s="144">
        <f>43560/(Table4[[#This Row],[Area]])*W$9</f>
        <v>5.2548571428571416</v>
      </c>
      <c r="X16"/>
      <c r="Y16" s="109"/>
      <c r="Z16" s="109" t="str" cm="1">
        <f t="array" ref="Z16:AM16">IFERROR(TRANSPOSE(_xlfn._xlws.SORT(_xlfn._xlws.FILTER($R$11:$R$45,$S$11:$S$45=iMPC!P15))),0)</f>
        <v>40x110</v>
      </c>
      <c r="AA16" s="109" t="str">
        <v>40x115</v>
      </c>
      <c r="AB16" s="109" t="str">
        <v>45x105</v>
      </c>
      <c r="AC16" s="109" t="str">
        <v>45x110</v>
      </c>
      <c r="AD16" s="109" t="str">
        <v>45x115</v>
      </c>
      <c r="AE16" s="109" t="str">
        <v>45x120</v>
      </c>
      <c r="AF16" s="109" t="str">
        <v>50x110</v>
      </c>
      <c r="AG16" s="109" t="str">
        <v>50x115</v>
      </c>
      <c r="AH16" s="109" t="str">
        <v>50x120</v>
      </c>
      <c r="AI16" s="109" t="str">
        <v>50x125</v>
      </c>
      <c r="AJ16" s="109" t="str">
        <v>55x115</v>
      </c>
      <c r="AK16" s="109" t="str">
        <v>55x120</v>
      </c>
      <c r="AL16" s="109" t="str">
        <v>55x125</v>
      </c>
      <c r="AM16" s="109" t="str">
        <v>55x130</v>
      </c>
      <c r="AN16" s="109"/>
      <c r="AO16" s="109"/>
      <c r="AQ16" s="114" t="s">
        <v>138</v>
      </c>
      <c r="AR16" s="114" t="s">
        <v>29</v>
      </c>
      <c r="AT16" s="121" t="str">
        <v>Exactions</v>
      </c>
      <c r="AU16" s="117" t="str" cm="1">
        <f t="array" ref="AU16:AW16">IFERROR(TRANSPOSE(_xlfn._xlws.SORT(_xlfn._xlws.FILTER($AR$11:$AR$72,$AQ$11:$AQ$72=Budget!G9))),0)</f>
        <v>Other</v>
      </c>
      <c r="AV16" s="117" t="str">
        <v>Project</v>
      </c>
      <c r="AW16" s="117" t="str">
        <v>Subdivisions</v>
      </c>
      <c r="AX16" s="117"/>
      <c r="AY16" s="117"/>
      <c r="AZ16" s="117"/>
      <c r="BA16" s="117"/>
      <c r="BB16" s="117"/>
    </row>
    <row r="17" spans="3:62" ht="16" thickTop="1" thickBot="1">
      <c r="C17" s="116"/>
      <c r="E17" s="74">
        <f t="shared" si="5"/>
        <v>7</v>
      </c>
      <c r="F17" s="75">
        <f t="shared" si="6"/>
        <v>44743</v>
      </c>
      <c r="G17" s="74">
        <f t="shared" si="0"/>
        <v>3</v>
      </c>
      <c r="H17" s="74" t="str">
        <f t="shared" si="1"/>
        <v>Q2-22</v>
      </c>
      <c r="I17" s="74">
        <f t="shared" si="7"/>
        <v>1</v>
      </c>
      <c r="J17" s="74">
        <f t="shared" si="2"/>
        <v>2022</v>
      </c>
      <c r="L17" s="82">
        <f>IF(I18&lt;iGeneral!F$25,1,L16*(1+L$10/12))</f>
        <v>1.0100417593750775</v>
      </c>
      <c r="M17" s="82">
        <f>IF(I16&lt;iGeneral!F$26,1,M16*(1+M$10/12))</f>
        <v>1</v>
      </c>
      <c r="N17" s="82">
        <f>IF(I16&lt;iGeneral!F$27,1,N16*(1+N$10/12))</f>
        <v>1</v>
      </c>
      <c r="O17" s="82">
        <f>IFERROR(IF(I16&lt;iGeneral!F$28,1,O16*(1+O$10/12)),1)</f>
        <v>1</v>
      </c>
      <c r="P17" s="82">
        <f>IFERROR(IF(DATA!$I17&lt;iGeneral!F$29,1,P16*(1+P$10/12)),1)</f>
        <v>1</v>
      </c>
      <c r="R17" s="102" t="str">
        <f t="shared" si="3"/>
        <v>45x110</v>
      </c>
      <c r="S17" s="74" t="s">
        <v>42</v>
      </c>
      <c r="T17" s="74">
        <v>45</v>
      </c>
      <c r="U17" s="74">
        <f>U16+5</f>
        <v>110</v>
      </c>
      <c r="V17" s="106">
        <f t="shared" si="4"/>
        <v>4950</v>
      </c>
      <c r="W17" s="144">
        <f>43560/(Table4[[#This Row],[Area]])*W$9</f>
        <v>5.016</v>
      </c>
      <c r="X17"/>
      <c r="Y17" s="109"/>
      <c r="Z17" s="109" t="str" cm="1">
        <f t="array" ref="Z17:AM17">IFERROR(TRANSPOSE(_xlfn._xlws.SORT(_xlfn._xlws.FILTER($R$11:$R$45,$S$11:$S$45=iMPC!P16))),0)</f>
        <v>40x110</v>
      </c>
      <c r="AA17" s="109" t="str">
        <v>40x115</v>
      </c>
      <c r="AB17" s="109" t="str">
        <v>45x105</v>
      </c>
      <c r="AC17" s="109" t="str">
        <v>45x110</v>
      </c>
      <c r="AD17" s="109" t="str">
        <v>45x115</v>
      </c>
      <c r="AE17" s="109" t="str">
        <v>45x120</v>
      </c>
      <c r="AF17" s="109" t="str">
        <v>50x110</v>
      </c>
      <c r="AG17" s="109" t="str">
        <v>50x115</v>
      </c>
      <c r="AH17" s="109" t="str">
        <v>50x120</v>
      </c>
      <c r="AI17" s="109" t="str">
        <v>50x125</v>
      </c>
      <c r="AJ17" s="109" t="str">
        <v>55x115</v>
      </c>
      <c r="AK17" s="109" t="str">
        <v>55x120</v>
      </c>
      <c r="AL17" s="109" t="str">
        <v>55x125</v>
      </c>
      <c r="AM17" s="109" t="str">
        <v>55x130</v>
      </c>
      <c r="AN17" s="109"/>
      <c r="AO17" s="109"/>
      <c r="AQ17" s="114" t="s">
        <v>53</v>
      </c>
      <c r="AR17" s="114" t="s">
        <v>101</v>
      </c>
      <c r="AT17" s="121" t="str">
        <v>Operation</v>
      </c>
      <c r="AU17" s="117" t="str" cm="1">
        <f t="array" ref="AU17:BJ17">IFERROR(TRANSPOSE(_xlfn._xlws.SORT(_xlfn._xlws.FILTER($AR$11:$AR$72,$AQ$11:$AQ$72=Budget!G10))),0)</f>
        <v>Amenities</v>
      </c>
      <c r="AV17" s="117" t="str">
        <v>Concrete</v>
      </c>
      <c r="AW17" s="117" t="str">
        <v>Drainage</v>
      </c>
      <c r="AX17" s="117" t="str">
        <v>Dry Utilities</v>
      </c>
      <c r="AY17" s="117" t="str">
        <v>Earthwork</v>
      </c>
      <c r="AZ17" s="117" t="str">
        <v>Landscaping</v>
      </c>
      <c r="BA17" s="117" t="str">
        <v>Other</v>
      </c>
      <c r="BB17" s="117" t="str">
        <v>Paving</v>
      </c>
      <c r="BC17" t="str">
        <v>Permits</v>
      </c>
      <c r="BD17" t="str">
        <v>Removals / Aband</v>
      </c>
      <c r="BE17" t="str">
        <v>Storm Drain</v>
      </c>
      <c r="BF17" t="str">
        <v>Survey</v>
      </c>
      <c r="BG17" t="str">
        <v>Testing</v>
      </c>
      <c r="BH17" t="str">
        <v>Walls / Monmt</v>
      </c>
      <c r="BI17" t="str">
        <v>Wastewater</v>
      </c>
      <c r="BJ17" t="str">
        <v>Water</v>
      </c>
    </row>
    <row r="18" spans="3:62" ht="16" thickTop="1" thickBot="1">
      <c r="C18" s="116"/>
      <c r="E18" s="74">
        <f t="shared" si="5"/>
        <v>8</v>
      </c>
      <c r="F18" s="75">
        <f t="shared" si="6"/>
        <v>44774</v>
      </c>
      <c r="G18" s="74">
        <f t="shared" si="0"/>
        <v>3</v>
      </c>
      <c r="H18" s="74" t="str">
        <f t="shared" si="1"/>
        <v>Q3-22</v>
      </c>
      <c r="I18" s="74">
        <f t="shared" si="7"/>
        <v>1</v>
      </c>
      <c r="J18" s="74">
        <f t="shared" si="2"/>
        <v>2022</v>
      </c>
      <c r="L18" s="82">
        <f>IF(I19&lt;iGeneral!F$25,1,L17*(1+L$10/12))</f>
        <v>1.0117251623073693</v>
      </c>
      <c r="M18" s="82">
        <f>IF(I17&lt;iGeneral!F$26,1,M17*(1+M$10/12))</f>
        <v>1</v>
      </c>
      <c r="N18" s="82">
        <f>IF(I17&lt;iGeneral!F$27,1,N17*(1+N$10/12))</f>
        <v>1</v>
      </c>
      <c r="O18" s="82">
        <f>IFERROR(IF(I17&lt;iGeneral!F$28,1,O17*(1+O$10/12)),1)</f>
        <v>1</v>
      </c>
      <c r="P18" s="82">
        <f>IFERROR(IF(DATA!$I18&lt;iGeneral!F$29,1,P17*(1+P$10/12)),1)</f>
        <v>1</v>
      </c>
      <c r="R18" s="102" t="str">
        <f t="shared" si="3"/>
        <v>45x115</v>
      </c>
      <c r="S18" s="74" t="s">
        <v>42</v>
      </c>
      <c r="T18" s="74">
        <v>45</v>
      </c>
      <c r="U18" s="74">
        <f>U17+5</f>
        <v>115</v>
      </c>
      <c r="V18" s="106">
        <f t="shared" si="4"/>
        <v>5175</v>
      </c>
      <c r="W18" s="144">
        <f>43560/(Table4[[#This Row],[Area]])*W$9</f>
        <v>4.7979130434782604</v>
      </c>
      <c r="X18"/>
      <c r="Y18" s="109"/>
      <c r="Z18" s="109" t="str" cm="1">
        <f t="array" ref="Z18:AM18">IFERROR(TRANSPOSE(_xlfn._xlws.SORT(_xlfn._xlws.FILTER($R$11:$R$45,$S$11:$S$45=iMPC!P17))),0)</f>
        <v>40x110</v>
      </c>
      <c r="AA18" s="109" t="str">
        <v>40x115</v>
      </c>
      <c r="AB18" s="109" t="str">
        <v>45x105</v>
      </c>
      <c r="AC18" s="109" t="str">
        <v>45x110</v>
      </c>
      <c r="AD18" s="109" t="str">
        <v>45x115</v>
      </c>
      <c r="AE18" s="109" t="str">
        <v>45x120</v>
      </c>
      <c r="AF18" s="109" t="str">
        <v>50x110</v>
      </c>
      <c r="AG18" s="109" t="str">
        <v>50x115</v>
      </c>
      <c r="AH18" s="109" t="str">
        <v>50x120</v>
      </c>
      <c r="AI18" s="109" t="str">
        <v>50x125</v>
      </c>
      <c r="AJ18" s="109" t="str">
        <v>55x115</v>
      </c>
      <c r="AK18" s="109" t="str">
        <v>55x120</v>
      </c>
      <c r="AL18" s="109" t="str">
        <v>55x125</v>
      </c>
      <c r="AM18" s="109" t="str">
        <v>55x130</v>
      </c>
      <c r="AN18" s="109"/>
      <c r="AO18" s="109"/>
      <c r="AQ18" s="114" t="s">
        <v>53</v>
      </c>
      <c r="AR18" s="114" t="s">
        <v>107</v>
      </c>
      <c r="AT18" s="121" t="str">
        <v>Ownership</v>
      </c>
      <c r="AU18" s="117" t="str" cm="1">
        <f t="array" ref="AU18:BJ18">IFERROR(TRANSPOSE(_xlfn._xlws.SORT(_xlfn._xlws.FILTER($AR$11:$AR$72,$AQ$11:$AQ$72=Budget!G11))),0)</f>
        <v>Amenities</v>
      </c>
      <c r="AV18" s="117" t="str">
        <v>Concrete</v>
      </c>
      <c r="AW18" s="117" t="str">
        <v>Drainage</v>
      </c>
      <c r="AX18" s="117" t="str">
        <v>Dry Utilities</v>
      </c>
      <c r="AY18" s="117" t="str">
        <v>Earthwork</v>
      </c>
      <c r="AZ18" s="117" t="str">
        <v>Landscaping</v>
      </c>
      <c r="BA18" s="117" t="str">
        <v>Other</v>
      </c>
      <c r="BB18" s="117" t="str">
        <v>Paving</v>
      </c>
      <c r="BC18" t="str">
        <v>Permits</v>
      </c>
      <c r="BD18" t="str">
        <v>Removals / Aband</v>
      </c>
      <c r="BE18" t="str">
        <v>Storm Drain</v>
      </c>
      <c r="BF18" t="str">
        <v>Survey</v>
      </c>
      <c r="BG18" t="str">
        <v>Testing</v>
      </c>
      <c r="BH18" t="str">
        <v>Walls / Monmt</v>
      </c>
      <c r="BI18" t="str">
        <v>Wastewater</v>
      </c>
      <c r="BJ18" t="str">
        <v>Water</v>
      </c>
    </row>
    <row r="19" spans="3:62" ht="16" thickTop="1" thickBot="1">
      <c r="C19" s="116"/>
      <c r="E19" s="74">
        <f t="shared" si="5"/>
        <v>9</v>
      </c>
      <c r="F19" s="75">
        <f t="shared" si="6"/>
        <v>44805</v>
      </c>
      <c r="G19" s="74">
        <f t="shared" si="0"/>
        <v>3</v>
      </c>
      <c r="H19" s="74" t="str">
        <f t="shared" si="1"/>
        <v>Q3-22</v>
      </c>
      <c r="I19" s="74">
        <f t="shared" si="7"/>
        <v>1</v>
      </c>
      <c r="J19" s="74">
        <f t="shared" si="2"/>
        <v>2022</v>
      </c>
      <c r="L19" s="82">
        <f>IF(I20&lt;iGeneral!F$25,1,L18*(1+L$10/12))</f>
        <v>1.0134113709112149</v>
      </c>
      <c r="M19" s="82">
        <f>IF(I18&lt;iGeneral!F$26,1,M18*(1+M$10/12))</f>
        <v>1</v>
      </c>
      <c r="N19" s="82">
        <f>IF(I18&lt;iGeneral!F$27,1,N18*(1+N$10/12))</f>
        <v>1</v>
      </c>
      <c r="O19" s="82">
        <f>IFERROR(IF(I18&lt;iGeneral!F$28,1,O18*(1+O$10/12)),1)</f>
        <v>1</v>
      </c>
      <c r="P19" s="82">
        <f>IFERROR(IF(DATA!$I19&lt;iGeneral!F$29,1,P18*(1+P$10/12)),1)</f>
        <v>1</v>
      </c>
      <c r="R19" s="102" t="str">
        <f t="shared" si="3"/>
        <v>45x120</v>
      </c>
      <c r="S19" s="74" t="s">
        <v>42</v>
      </c>
      <c r="T19" s="74">
        <v>45</v>
      </c>
      <c r="U19" s="74">
        <f>U18+5</f>
        <v>120</v>
      </c>
      <c r="V19" s="106">
        <f t="shared" si="4"/>
        <v>5400</v>
      </c>
      <c r="W19" s="144">
        <f>43560/(Table4[[#This Row],[Area]])*W$9</f>
        <v>4.5979999999999999</v>
      </c>
      <c r="X19"/>
      <c r="Y19" s="109"/>
      <c r="Z19" s="109" t="str" cm="1">
        <f t="array" ref="Z19:AM19">IFERROR(TRANSPOSE(_xlfn._xlws.SORT(_xlfn._xlws.FILTER($R$11:$R$45,$S$11:$S$45=iMPC!P18))),0)</f>
        <v>40x110</v>
      </c>
      <c r="AA19" s="109" t="str">
        <v>40x115</v>
      </c>
      <c r="AB19" s="109" t="str">
        <v>45x105</v>
      </c>
      <c r="AC19" s="109" t="str">
        <v>45x110</v>
      </c>
      <c r="AD19" s="109" t="str">
        <v>45x115</v>
      </c>
      <c r="AE19" s="109" t="str">
        <v>45x120</v>
      </c>
      <c r="AF19" s="109" t="str">
        <v>50x110</v>
      </c>
      <c r="AG19" s="109" t="str">
        <v>50x115</v>
      </c>
      <c r="AH19" s="109" t="str">
        <v>50x120</v>
      </c>
      <c r="AI19" s="109" t="str">
        <v>50x125</v>
      </c>
      <c r="AJ19" s="109" t="str">
        <v>55x115</v>
      </c>
      <c r="AK19" s="109" t="str">
        <v>55x120</v>
      </c>
      <c r="AL19" s="109" t="str">
        <v>55x125</v>
      </c>
      <c r="AM19" s="109" t="str">
        <v>55x130</v>
      </c>
      <c r="AN19" s="109"/>
      <c r="AO19" s="109"/>
      <c r="AQ19" s="114" t="s">
        <v>53</v>
      </c>
      <c r="AR19" s="114" t="s">
        <v>113</v>
      </c>
      <c r="AT19" s="121"/>
      <c r="AU19" s="117" t="str" cm="1">
        <f t="array" ref="AU19:AW19">IFERROR(TRANSPOSE(_xlfn._xlws.SORT(_xlfn._xlws.FILTER($AR$11:$AR$72,$AQ$11:$AQ$72=Budget!G12))),0)</f>
        <v>Offsite</v>
      </c>
      <c r="AV19" s="117" t="str">
        <v>Onsite</v>
      </c>
      <c r="AW19" s="117" t="str">
        <v>Other</v>
      </c>
      <c r="AX19" s="117"/>
      <c r="AY19" s="117"/>
      <c r="AZ19" s="117"/>
      <c r="BA19" s="117"/>
      <c r="BB19" s="117"/>
    </row>
    <row r="20" spans="3:62" ht="16" thickTop="1" thickBot="1">
      <c r="C20" s="116"/>
      <c r="E20" s="74">
        <f t="shared" si="5"/>
        <v>10</v>
      </c>
      <c r="F20" s="75">
        <f t="shared" si="6"/>
        <v>44835</v>
      </c>
      <c r="G20" s="74">
        <f t="shared" si="0"/>
        <v>4</v>
      </c>
      <c r="H20" s="74" t="str">
        <f t="shared" si="1"/>
        <v>Q3-22</v>
      </c>
      <c r="I20" s="74">
        <f t="shared" si="7"/>
        <v>1</v>
      </c>
      <c r="J20" s="74">
        <f t="shared" si="2"/>
        <v>2022</v>
      </c>
      <c r="L20" s="82">
        <f>IF(I21&lt;iGeneral!F$25,1,L19*(1+L$10/12))</f>
        <v>1.0151003898627335</v>
      </c>
      <c r="M20" s="82">
        <f>IF(I19&lt;iGeneral!F$26,1,M19*(1+M$10/12))</f>
        <v>1</v>
      </c>
      <c r="N20" s="82">
        <f>IF(I19&lt;iGeneral!F$27,1,N19*(1+N$10/12))</f>
        <v>1</v>
      </c>
      <c r="O20" s="82">
        <f>IFERROR(IF(I19&lt;iGeneral!F$28,1,O19*(1+O$10/12)),1)</f>
        <v>1</v>
      </c>
      <c r="P20" s="82">
        <f>IFERROR(IF(DATA!$I20&lt;iGeneral!F$29,1,P19*(1+P$10/12)),1)</f>
        <v>1</v>
      </c>
      <c r="R20" s="102" t="str">
        <f t="shared" si="3"/>
        <v>50x110</v>
      </c>
      <c r="S20" s="74" t="s">
        <v>42</v>
      </c>
      <c r="T20" s="74">
        <v>50</v>
      </c>
      <c r="U20" s="74">
        <v>110</v>
      </c>
      <c r="V20" s="106">
        <f t="shared" si="4"/>
        <v>5500</v>
      </c>
      <c r="W20" s="144">
        <f>43560/(Table4[[#This Row],[Area]])*W$9</f>
        <v>4.5143999999999993</v>
      </c>
      <c r="X20"/>
      <c r="Y20" s="109"/>
      <c r="Z20" s="109" t="str" cm="1">
        <f t="array" ref="Z20:AM20">IFERROR(TRANSPOSE(_xlfn._xlws.SORT(_xlfn._xlws.FILTER($R$11:$R$45,$S$11:$S$45=iMPC!P19))),0)</f>
        <v>40x110</v>
      </c>
      <c r="AA20" s="109" t="str">
        <v>40x115</v>
      </c>
      <c r="AB20" s="109" t="str">
        <v>45x105</v>
      </c>
      <c r="AC20" s="109" t="str">
        <v>45x110</v>
      </c>
      <c r="AD20" s="109" t="str">
        <v>45x115</v>
      </c>
      <c r="AE20" s="109" t="str">
        <v>45x120</v>
      </c>
      <c r="AF20" s="109" t="str">
        <v>50x110</v>
      </c>
      <c r="AG20" s="109" t="str">
        <v>50x115</v>
      </c>
      <c r="AH20" s="109" t="str">
        <v>50x120</v>
      </c>
      <c r="AI20" s="109" t="str">
        <v>50x125</v>
      </c>
      <c r="AJ20" s="109" t="str">
        <v>55x115</v>
      </c>
      <c r="AK20" s="109" t="str">
        <v>55x120</v>
      </c>
      <c r="AL20" s="109" t="str">
        <v>55x125</v>
      </c>
      <c r="AM20" s="109" t="str">
        <v>55x130</v>
      </c>
      <c r="AN20" s="109"/>
      <c r="AO20" s="109"/>
      <c r="AQ20" s="114" t="s">
        <v>53</v>
      </c>
      <c r="AR20" s="114" t="s">
        <v>117</v>
      </c>
      <c r="AT20" s="121"/>
      <c r="AU20" s="117" cm="1">
        <f t="array" ref="AU20">IFERROR(TRANSPOSE(_xlfn._xlws.SORT(_xlfn._xlws.FILTER($AR$11:$AR$72,$AQ$11:$AQ$72=Budget!G13))),0)</f>
        <v>0</v>
      </c>
      <c r="AV20" s="117"/>
      <c r="AW20" s="117"/>
      <c r="AX20" s="117"/>
      <c r="AY20" s="117"/>
      <c r="AZ20" s="117"/>
      <c r="BA20" s="117"/>
      <c r="BB20" s="117"/>
    </row>
    <row r="21" spans="3:62" ht="16" thickTop="1" thickBot="1">
      <c r="C21" s="116"/>
      <c r="E21" s="74">
        <f t="shared" si="5"/>
        <v>11</v>
      </c>
      <c r="F21" s="75">
        <f t="shared" si="6"/>
        <v>44866</v>
      </c>
      <c r="G21" s="74">
        <f t="shared" si="0"/>
        <v>4</v>
      </c>
      <c r="H21" s="74" t="str">
        <f t="shared" si="1"/>
        <v>Q3-22</v>
      </c>
      <c r="I21" s="74">
        <f t="shared" si="7"/>
        <v>1</v>
      </c>
      <c r="J21" s="74">
        <f t="shared" si="2"/>
        <v>2022</v>
      </c>
      <c r="L21" s="82">
        <f>IF(I22&lt;iGeneral!F$25,1,L20*(1+L$10/12))</f>
        <v>1.0167922238458382</v>
      </c>
      <c r="M21" s="82">
        <f>IF(I20&lt;iGeneral!F$26,1,M20*(1+M$10/12))</f>
        <v>1</v>
      </c>
      <c r="N21" s="82">
        <f>IF(I20&lt;iGeneral!F$27,1,N20*(1+N$10/12))</f>
        <v>1</v>
      </c>
      <c r="O21" s="82">
        <f>IFERROR(IF(I20&lt;iGeneral!F$28,1,O20*(1+O$10/12)),1)</f>
        <v>1</v>
      </c>
      <c r="P21" s="82">
        <f>IFERROR(IF(DATA!$I21&lt;iGeneral!F$29,1,P20*(1+P$10/12)),1)</f>
        <v>1</v>
      </c>
      <c r="R21" s="102" t="str">
        <f t="shared" si="3"/>
        <v>50x115</v>
      </c>
      <c r="S21" s="74" t="s">
        <v>42</v>
      </c>
      <c r="T21" s="74">
        <v>50</v>
      </c>
      <c r="U21" s="74">
        <f>U20+5</f>
        <v>115</v>
      </c>
      <c r="V21" s="106">
        <f t="shared" si="4"/>
        <v>5750</v>
      </c>
      <c r="W21" s="144">
        <f>43560/(Table4[[#This Row],[Area]])*W$9</f>
        <v>4.3181217391304347</v>
      </c>
      <c r="X21"/>
      <c r="Y21" s="109"/>
      <c r="Z21" s="109" t="str" cm="1">
        <f t="array" ref="Z21:AO21">IFERROR(TRANSPOSE(_xlfn._xlws.SORT(_xlfn._xlws.FILTER($R$11:$R$45,$S$11:$S$45=iMPC!P20))),0)</f>
        <v>60x115</v>
      </c>
      <c r="AA21" s="109" t="str">
        <v>60x120</v>
      </c>
      <c r="AB21" s="109" t="str">
        <v>60x125</v>
      </c>
      <c r="AC21" s="109" t="str">
        <v>60x130</v>
      </c>
      <c r="AD21" s="109" t="str">
        <v>65x120</v>
      </c>
      <c r="AE21" s="109" t="str">
        <v>65x125</v>
      </c>
      <c r="AF21" s="109" t="str">
        <v>70x125</v>
      </c>
      <c r="AG21" s="109" t="str">
        <v>70x130</v>
      </c>
      <c r="AH21" s="109" t="str">
        <v>70x135</v>
      </c>
      <c r="AI21" s="109" t="str">
        <v>80x125</v>
      </c>
      <c r="AJ21" s="109" t="str">
        <v>80x130</v>
      </c>
      <c r="AK21" s="109" t="str">
        <v>80x135</v>
      </c>
      <c r="AL21" s="109" t="str">
        <v>80x140</v>
      </c>
      <c r="AM21" s="109" t="str">
        <v>90x130</v>
      </c>
      <c r="AN21" s="109" t="str">
        <v>90x135</v>
      </c>
      <c r="AO21" s="109" t="str">
        <v>90x140</v>
      </c>
      <c r="AQ21" s="114" t="s">
        <v>96</v>
      </c>
      <c r="AR21" s="114" t="s">
        <v>102</v>
      </c>
      <c r="AT21" s="121"/>
      <c r="AU21" s="117" cm="1">
        <f t="array" ref="AU21">IFERROR(TRANSPOSE(_xlfn._xlws.SORT(_xlfn._xlws.FILTER($AR$11:$AR$72,$AQ$11:$AQ$72=Budget!G14))),0)</f>
        <v>0</v>
      </c>
      <c r="AV21" s="117"/>
      <c r="AW21" s="117"/>
      <c r="AX21" s="117"/>
      <c r="AY21" s="117"/>
      <c r="AZ21" s="117"/>
      <c r="BA21" s="117"/>
      <c r="BB21" s="117"/>
    </row>
    <row r="22" spans="3:62" ht="16" thickTop="1" thickBot="1">
      <c r="E22" s="74">
        <f t="shared" si="5"/>
        <v>12</v>
      </c>
      <c r="F22" s="75">
        <f t="shared" si="6"/>
        <v>44896</v>
      </c>
      <c r="G22" s="74">
        <f t="shared" si="0"/>
        <v>4</v>
      </c>
      <c r="H22" s="74" t="str">
        <f t="shared" si="1"/>
        <v>Q4-22</v>
      </c>
      <c r="I22" s="74">
        <f t="shared" si="7"/>
        <v>1</v>
      </c>
      <c r="J22" s="74">
        <f t="shared" si="2"/>
        <v>2022</v>
      </c>
      <c r="L22" s="82">
        <f>IF(I23&lt;iGeneral!F$25,1,L21*(1+L$10/12))</f>
        <v>1.018486877552248</v>
      </c>
      <c r="M22" s="82">
        <f>IF(I21&lt;iGeneral!F$26,1,M21*(1+M$10/12))</f>
        <v>1</v>
      </c>
      <c r="N22" s="82">
        <f>IF(I21&lt;iGeneral!F$27,1,N21*(1+N$10/12))</f>
        <v>1</v>
      </c>
      <c r="O22" s="82">
        <f>IFERROR(IF(I21&lt;iGeneral!F$28,1,O21*(1+O$10/12)),1)</f>
        <v>1</v>
      </c>
      <c r="P22" s="82">
        <f>IFERROR(IF(DATA!$I22&lt;iGeneral!F$29,1,P21*(1+P$10/12)),1)</f>
        <v>1</v>
      </c>
      <c r="R22" s="102" t="str">
        <f t="shared" si="3"/>
        <v>50x120</v>
      </c>
      <c r="S22" s="74" t="s">
        <v>42</v>
      </c>
      <c r="T22" s="74">
        <v>50</v>
      </c>
      <c r="U22" s="74">
        <f>U21+5</f>
        <v>120</v>
      </c>
      <c r="V22" s="106">
        <f t="shared" si="4"/>
        <v>6000</v>
      </c>
      <c r="W22" s="144">
        <f>43560/(Table4[[#This Row],[Area]])*W$9</f>
        <v>4.1381999999999994</v>
      </c>
      <c r="X22"/>
      <c r="Y22" s="109"/>
      <c r="Z22" s="109" t="str" cm="1">
        <f t="array" ref="Z22:AO22">IFERROR(TRANSPOSE(_xlfn._xlws.SORT(_xlfn._xlws.FILTER($R$11:$R$45,$S$11:$S$45=iMPC!P21))),0)</f>
        <v>60x115</v>
      </c>
      <c r="AA22" s="109" t="str">
        <v>60x120</v>
      </c>
      <c r="AB22" s="109" t="str">
        <v>60x125</v>
      </c>
      <c r="AC22" s="109" t="str">
        <v>60x130</v>
      </c>
      <c r="AD22" s="109" t="str">
        <v>65x120</v>
      </c>
      <c r="AE22" s="109" t="str">
        <v>65x125</v>
      </c>
      <c r="AF22" s="109" t="str">
        <v>70x125</v>
      </c>
      <c r="AG22" s="109" t="str">
        <v>70x130</v>
      </c>
      <c r="AH22" s="109" t="str">
        <v>70x135</v>
      </c>
      <c r="AI22" s="109" t="str">
        <v>80x125</v>
      </c>
      <c r="AJ22" s="109" t="str">
        <v>80x130</v>
      </c>
      <c r="AK22" s="109" t="str">
        <v>80x135</v>
      </c>
      <c r="AL22" s="109" t="str">
        <v>80x140</v>
      </c>
      <c r="AM22" s="109" t="str">
        <v>90x130</v>
      </c>
      <c r="AN22" s="109" t="str">
        <v>90x135</v>
      </c>
      <c r="AO22" s="109" t="str">
        <v>90x140</v>
      </c>
      <c r="AQ22" s="114" t="s">
        <v>96</v>
      </c>
      <c r="AR22" s="114" t="s">
        <v>108</v>
      </c>
      <c r="AT22" s="121"/>
      <c r="AU22" s="117" cm="1">
        <f t="array" ref="AU22">IFERROR(TRANSPOSE(_xlfn._xlws.SORT(_xlfn._xlws.FILTER($AR$11:$AR$72,$AQ$11:$AQ$72=Budget!G15))),0)</f>
        <v>0</v>
      </c>
      <c r="AV22" s="117"/>
      <c r="AW22" s="117"/>
      <c r="AX22" s="117"/>
      <c r="AY22" s="117"/>
      <c r="AZ22" s="117"/>
      <c r="BA22" s="117"/>
      <c r="BB22" s="117"/>
    </row>
    <row r="23" spans="3:62" ht="16" outlineLevel="1" thickTop="1" thickBot="1">
      <c r="E23" s="74">
        <f t="shared" si="5"/>
        <v>13</v>
      </c>
      <c r="F23" s="75">
        <f t="shared" si="6"/>
        <v>44927</v>
      </c>
      <c r="G23" s="74">
        <f t="shared" si="0"/>
        <v>5</v>
      </c>
      <c r="H23" s="74" t="str">
        <f t="shared" si="1"/>
        <v>Q1-23</v>
      </c>
      <c r="I23" s="74">
        <f t="shared" si="7"/>
        <v>2</v>
      </c>
      <c r="J23" s="74">
        <f t="shared" si="2"/>
        <v>2023</v>
      </c>
      <c r="L23" s="82">
        <f>IF(I24&lt;iGeneral!F$25,1,L22*(1+L$10/12))</f>
        <v>1.0201843556815018</v>
      </c>
      <c r="M23" s="82">
        <f>IF(I22&lt;iGeneral!F$26,1,M22*(1+M$10/12))</f>
        <v>1</v>
      </c>
      <c r="N23" s="82">
        <f>IF(I22&lt;iGeneral!F$27,1,N22*(1+N$10/12))</f>
        <v>1</v>
      </c>
      <c r="O23" s="82">
        <f>IFERROR(IF(I22&lt;iGeneral!F$28,1,O22*(1+O$10/12)),1)</f>
        <v>1</v>
      </c>
      <c r="P23" s="82">
        <f>IFERROR(IF(DATA!$I23&lt;iGeneral!F$29,1,P22*(1+P$10/12)),1)</f>
        <v>1</v>
      </c>
      <c r="R23" s="102" t="str">
        <f t="shared" si="3"/>
        <v>50x125</v>
      </c>
      <c r="S23" s="74" t="s">
        <v>42</v>
      </c>
      <c r="T23" s="74">
        <v>50</v>
      </c>
      <c r="U23" s="74">
        <f>U22+5</f>
        <v>125</v>
      </c>
      <c r="V23" s="106">
        <f t="shared" si="4"/>
        <v>6250</v>
      </c>
      <c r="W23" s="144">
        <f>43560/(Table4[[#This Row],[Area]])*W$9</f>
        <v>3.9726719999999998</v>
      </c>
      <c r="X23"/>
      <c r="Y23" s="109"/>
      <c r="Z23" s="109" t="str" cm="1">
        <f t="array" ref="Z23:AM23">IFERROR(TRANSPOSE(_xlfn._xlws.SORT(_xlfn._xlws.FILTER($R$11:$R$45,$S$11:$S$45=iMPC!P22))),0)</f>
        <v>40x110</v>
      </c>
      <c r="AA23" s="109" t="str">
        <v>40x115</v>
      </c>
      <c r="AB23" s="109" t="str">
        <v>45x105</v>
      </c>
      <c r="AC23" s="109" t="str">
        <v>45x110</v>
      </c>
      <c r="AD23" s="109" t="str">
        <v>45x115</v>
      </c>
      <c r="AE23" s="109" t="str">
        <v>45x120</v>
      </c>
      <c r="AF23" s="109" t="str">
        <v>50x110</v>
      </c>
      <c r="AG23" s="109" t="str">
        <v>50x115</v>
      </c>
      <c r="AH23" s="109" t="str">
        <v>50x120</v>
      </c>
      <c r="AI23" s="109" t="str">
        <v>50x125</v>
      </c>
      <c r="AJ23" s="109" t="str">
        <v>55x115</v>
      </c>
      <c r="AK23" s="109" t="str">
        <v>55x120</v>
      </c>
      <c r="AL23" s="109" t="str">
        <v>55x125</v>
      </c>
      <c r="AM23" s="109" t="str">
        <v>55x130</v>
      </c>
      <c r="AN23" s="109"/>
      <c r="AO23" s="109"/>
      <c r="AQ23" s="114" t="s">
        <v>96</v>
      </c>
      <c r="AR23" s="114" t="s">
        <v>29</v>
      </c>
      <c r="AT23" s="121"/>
      <c r="AU23" s="117" cm="1">
        <f t="array" ref="AU23">IFERROR(TRANSPOSE(_xlfn._xlws.SORT(_xlfn._xlws.FILTER($AR$11:$AR$72,$AQ$11:$AQ$72=Budget!G16))),0)</f>
        <v>0</v>
      </c>
      <c r="AV23" s="117"/>
      <c r="AW23" s="117"/>
      <c r="AX23" s="117"/>
      <c r="AY23" s="117"/>
      <c r="AZ23" s="117"/>
      <c r="BA23" s="117"/>
      <c r="BB23" s="117"/>
    </row>
    <row r="24" spans="3:62" ht="16" outlineLevel="1" thickTop="1" thickBot="1">
      <c r="E24" s="74">
        <f t="shared" si="5"/>
        <v>14</v>
      </c>
      <c r="F24" s="75">
        <f t="shared" si="6"/>
        <v>44958</v>
      </c>
      <c r="G24" s="74">
        <f t="shared" si="0"/>
        <v>5</v>
      </c>
      <c r="H24" s="74" t="str">
        <f t="shared" si="1"/>
        <v>Q1-23</v>
      </c>
      <c r="I24" s="74">
        <f t="shared" si="7"/>
        <v>2</v>
      </c>
      <c r="J24" s="74">
        <f t="shared" si="2"/>
        <v>2023</v>
      </c>
      <c r="L24" s="82">
        <f>IF(I25&lt;iGeneral!F$25,1,L23*(1+L$10/12))</f>
        <v>1.021884662940971</v>
      </c>
      <c r="M24" s="82">
        <f>IF(I23&lt;iGeneral!F$26,1,M23*(1+M$10/12))</f>
        <v>1.0008333333333332</v>
      </c>
      <c r="N24" s="82">
        <f>IF(I23&lt;iGeneral!F$27,1,N23*(1+N$10/12))</f>
        <v>1</v>
      </c>
      <c r="O24" s="82">
        <f>IFERROR(IF(I23&lt;iGeneral!F$28,1,O23*(1+O$10/12)),1)</f>
        <v>1</v>
      </c>
      <c r="P24" s="82">
        <f>IFERROR(IF(DATA!$I24&lt;iGeneral!F$29,1,P23*(1+P$10/12)),1)</f>
        <v>1</v>
      </c>
      <c r="R24" s="102" t="str">
        <f t="shared" si="3"/>
        <v>55x115</v>
      </c>
      <c r="S24" s="74" t="s">
        <v>42</v>
      </c>
      <c r="T24" s="74">
        <v>55</v>
      </c>
      <c r="U24" s="74">
        <v>115</v>
      </c>
      <c r="V24" s="106">
        <f t="shared" si="4"/>
        <v>6325</v>
      </c>
      <c r="W24" s="144">
        <f>43560/(Table4[[#This Row],[Area]])*W$9</f>
        <v>3.9255652173913043</v>
      </c>
      <c r="X24"/>
      <c r="Y24" s="109"/>
      <c r="Z24" s="109" t="str" cm="1">
        <f t="array" ref="Z24:AM24">IFERROR(TRANSPOSE(_xlfn._xlws.SORT(_xlfn._xlws.FILTER($R$11:$R$45,$S$11:$S$45=iMPC!P23))),0)</f>
        <v>40x110</v>
      </c>
      <c r="AA24" s="109" t="str">
        <v>40x115</v>
      </c>
      <c r="AB24" s="109" t="str">
        <v>45x105</v>
      </c>
      <c r="AC24" s="109" t="str">
        <v>45x110</v>
      </c>
      <c r="AD24" s="109" t="str">
        <v>45x115</v>
      </c>
      <c r="AE24" s="109" t="str">
        <v>45x120</v>
      </c>
      <c r="AF24" s="109" t="str">
        <v>50x110</v>
      </c>
      <c r="AG24" s="109" t="str">
        <v>50x115</v>
      </c>
      <c r="AH24" s="109" t="str">
        <v>50x120</v>
      </c>
      <c r="AI24" s="109" t="str">
        <v>50x125</v>
      </c>
      <c r="AJ24" s="109" t="str">
        <v>55x115</v>
      </c>
      <c r="AK24" s="109" t="str">
        <v>55x120</v>
      </c>
      <c r="AL24" s="109" t="str">
        <v>55x125</v>
      </c>
      <c r="AM24" s="109" t="str">
        <v>55x130</v>
      </c>
      <c r="AN24" s="109"/>
      <c r="AO24" s="109"/>
      <c r="AQ24" s="114" t="s">
        <v>97</v>
      </c>
      <c r="AR24" s="114" t="s">
        <v>103</v>
      </c>
      <c r="AT24" s="121"/>
      <c r="AU24" s="117" cm="1">
        <f t="array" ref="AU24">IFERROR(TRANSPOSE(_xlfn._xlws.SORT(_xlfn._xlws.FILTER($AR$11:$AR$72,$AQ$11:$AQ$72=Budget!G17))),0)</f>
        <v>0</v>
      </c>
      <c r="AV24" s="117"/>
      <c r="AW24" s="117"/>
      <c r="AX24" s="117"/>
      <c r="AY24" s="117"/>
      <c r="AZ24" s="117"/>
      <c r="BA24" s="117"/>
      <c r="BB24" s="117"/>
    </row>
    <row r="25" spans="3:62" ht="16" outlineLevel="1" thickTop="1" thickBot="1">
      <c r="E25" s="74">
        <f t="shared" si="5"/>
        <v>15</v>
      </c>
      <c r="F25" s="75">
        <f t="shared" si="6"/>
        <v>44986</v>
      </c>
      <c r="G25" s="74">
        <f t="shared" si="0"/>
        <v>5</v>
      </c>
      <c r="H25" s="74" t="str">
        <f t="shared" si="1"/>
        <v>Q1-23</v>
      </c>
      <c r="I25" s="74">
        <f t="shared" si="7"/>
        <v>2</v>
      </c>
      <c r="J25" s="74">
        <f t="shared" si="2"/>
        <v>2023</v>
      </c>
      <c r="L25" s="82">
        <f>IF(I26&lt;iGeneral!F$25,1,L24*(1+L$10/12))</f>
        <v>1.0235878040458726</v>
      </c>
      <c r="M25" s="82">
        <f>IF(I24&lt;iGeneral!F$26,1,M24*(1+M$10/12))</f>
        <v>1.0016673611111109</v>
      </c>
      <c r="N25" s="82">
        <f>IF(I24&lt;iGeneral!F$27,1,N24*(1+N$10/12))</f>
        <v>1</v>
      </c>
      <c r="O25" s="82">
        <f>IFERROR(IF(I24&lt;iGeneral!F$28,1,O24*(1+O$10/12)),1)</f>
        <v>1</v>
      </c>
      <c r="P25" s="82">
        <f>IFERROR(IF(DATA!$I25&lt;iGeneral!F$29,1,P24*(1+P$10/12)),1)</f>
        <v>1</v>
      </c>
      <c r="R25" s="102" t="str">
        <f t="shared" si="3"/>
        <v>55x120</v>
      </c>
      <c r="S25" s="74" t="s">
        <v>42</v>
      </c>
      <c r="T25" s="74">
        <v>55</v>
      </c>
      <c r="U25" s="74">
        <f>U24+5</f>
        <v>120</v>
      </c>
      <c r="V25" s="106">
        <f t="shared" si="4"/>
        <v>6600</v>
      </c>
      <c r="W25" s="144">
        <f>43560/(Table4[[#This Row],[Area]])*W$9</f>
        <v>3.7619999999999996</v>
      </c>
      <c r="X25"/>
      <c r="Y25" s="109"/>
      <c r="Z25" s="109" t="str" cm="1">
        <f t="array" ref="Z25:AM25">IFERROR(TRANSPOSE(_xlfn._xlws.SORT(_xlfn._xlws.FILTER($R$11:$R$45,$S$11:$S$45=iMPC!P24))),0)</f>
        <v>40x110</v>
      </c>
      <c r="AA25" s="109" t="str">
        <v>40x115</v>
      </c>
      <c r="AB25" s="109" t="str">
        <v>45x105</v>
      </c>
      <c r="AC25" s="109" t="str">
        <v>45x110</v>
      </c>
      <c r="AD25" s="109" t="str">
        <v>45x115</v>
      </c>
      <c r="AE25" s="109" t="str">
        <v>45x120</v>
      </c>
      <c r="AF25" s="109" t="str">
        <v>50x110</v>
      </c>
      <c r="AG25" s="109" t="str">
        <v>50x115</v>
      </c>
      <c r="AH25" s="109" t="str">
        <v>50x120</v>
      </c>
      <c r="AI25" s="109" t="str">
        <v>50x125</v>
      </c>
      <c r="AJ25" s="109" t="str">
        <v>55x115</v>
      </c>
      <c r="AK25" s="109" t="str">
        <v>55x120</v>
      </c>
      <c r="AL25" s="109" t="str">
        <v>55x125</v>
      </c>
      <c r="AM25" s="109" t="str">
        <v>55x130</v>
      </c>
      <c r="AN25" s="109"/>
      <c r="AO25" s="109"/>
      <c r="AQ25" s="114" t="s">
        <v>97</v>
      </c>
      <c r="AR25" s="114" t="s">
        <v>109</v>
      </c>
      <c r="AT25" s="121"/>
      <c r="AU25" s="117" cm="1">
        <f t="array" ref="AU25">IFERROR(TRANSPOSE(_xlfn._xlws.SORT(_xlfn._xlws.FILTER($AR$11:$AR$72,$AQ$11:$AQ$72=Budget!G18))),0)</f>
        <v>0</v>
      </c>
      <c r="AV25" s="117"/>
      <c r="AW25" s="117"/>
      <c r="AX25" s="117"/>
      <c r="AY25" s="117"/>
      <c r="AZ25" s="117"/>
      <c r="BA25" s="117"/>
      <c r="BB25" s="117"/>
    </row>
    <row r="26" spans="3:62" ht="16" outlineLevel="1" thickTop="1" thickBot="1">
      <c r="E26" s="74">
        <f t="shared" si="5"/>
        <v>16</v>
      </c>
      <c r="F26" s="75">
        <f t="shared" si="6"/>
        <v>45017</v>
      </c>
      <c r="G26" s="74">
        <f t="shared" si="0"/>
        <v>6</v>
      </c>
      <c r="H26" s="74" t="str">
        <f t="shared" si="1"/>
        <v>Q2-23</v>
      </c>
      <c r="I26" s="74">
        <f t="shared" si="7"/>
        <v>2</v>
      </c>
      <c r="J26" s="74">
        <f t="shared" si="2"/>
        <v>2023</v>
      </c>
      <c r="L26" s="82">
        <f>IF(I27&lt;iGeneral!F$25,1,L25*(1+L$10/12))</f>
        <v>1.0252937837192824</v>
      </c>
      <c r="M26" s="82">
        <f>IF(I25&lt;iGeneral!F$26,1,M25*(1+M$10/12))</f>
        <v>1.0025020839120367</v>
      </c>
      <c r="N26" s="82">
        <f>IF(I25&lt;iGeneral!F$27,1,N25*(1+N$10/12))</f>
        <v>1</v>
      </c>
      <c r="O26" s="82">
        <f>IFERROR(IF(I25&lt;iGeneral!F$28,1,O25*(1+O$10/12)),1)</f>
        <v>1</v>
      </c>
      <c r="P26" s="82">
        <f>IFERROR(IF(DATA!$I26&lt;iGeneral!F$29,1,P25*(1+P$10/12)),1)</f>
        <v>1</v>
      </c>
      <c r="R26" s="102" t="str">
        <f t="shared" si="3"/>
        <v>55x125</v>
      </c>
      <c r="S26" s="74" t="s">
        <v>42</v>
      </c>
      <c r="T26" s="74">
        <v>55</v>
      </c>
      <c r="U26" s="74">
        <f>U25+5</f>
        <v>125</v>
      </c>
      <c r="V26" s="106">
        <f t="shared" si="4"/>
        <v>6875</v>
      </c>
      <c r="W26" s="144">
        <f>43560/(Table4[[#This Row],[Area]])*W$9</f>
        <v>3.6115200000000001</v>
      </c>
      <c r="X26"/>
      <c r="Y26" s="109"/>
      <c r="Z26" s="109" t="str" cm="1">
        <f t="array" ref="Z26:AB26">IFERROR(TRANSPOSE(_xlfn._xlws.SORT(_xlfn._xlws.FILTER($R$11:$R$45,$S$11:$S$45=iMPC!P25))),0)</f>
        <v>40x100</v>
      </c>
      <c r="AA26" s="109" t="str">
        <v>40x105</v>
      </c>
      <c r="AB26" s="109" t="str">
        <v>40x90</v>
      </c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Q26" s="114" t="s">
        <v>97</v>
      </c>
      <c r="AR26" s="114" t="s">
        <v>114</v>
      </c>
      <c r="AT26" s="121"/>
      <c r="AU26" s="117" cm="1">
        <f t="array" ref="AU26">IFERROR(TRANSPOSE(_xlfn._xlws.SORT(_xlfn._xlws.FILTER($AR$11:$AR$72,$AQ$11:$AQ$72=Budget!G19))),0)</f>
        <v>0</v>
      </c>
      <c r="AV26" s="117"/>
      <c r="AW26" s="117"/>
      <c r="AX26" s="117"/>
      <c r="AY26" s="117"/>
      <c r="AZ26" s="117"/>
      <c r="BA26" s="117"/>
      <c r="BB26" s="117"/>
    </row>
    <row r="27" spans="3:62" ht="16" outlineLevel="1" thickTop="1" thickBot="1">
      <c r="E27" s="74">
        <f t="shared" si="5"/>
        <v>17</v>
      </c>
      <c r="F27" s="75">
        <f t="shared" si="6"/>
        <v>45047</v>
      </c>
      <c r="G27" s="74">
        <f t="shared" si="0"/>
        <v>6</v>
      </c>
      <c r="H27" s="74" t="str">
        <f t="shared" si="1"/>
        <v>Q2-23</v>
      </c>
      <c r="I27" s="74">
        <f t="shared" si="7"/>
        <v>2</v>
      </c>
      <c r="J27" s="74">
        <f t="shared" si="2"/>
        <v>2023</v>
      </c>
      <c r="L27" s="82">
        <f>IF(I28&lt;iGeneral!F$25,1,L26*(1+L$10/12))</f>
        <v>1.0270026066921478</v>
      </c>
      <c r="M27" s="82">
        <f>IF(I26&lt;iGeneral!F$26,1,M26*(1+M$10/12))</f>
        <v>1.0033375023152966</v>
      </c>
      <c r="N27" s="82">
        <f>IF(I26&lt;iGeneral!F$27,1,N26*(1+N$10/12))</f>
        <v>1</v>
      </c>
      <c r="O27" s="82">
        <f>IFERROR(IF(I26&lt;iGeneral!F$28,1,O26*(1+O$10/12)),1)</f>
        <v>1</v>
      </c>
      <c r="P27" s="82">
        <f>IFERROR(IF(DATA!$I27&lt;iGeneral!F$29,1,P26*(1+P$10/12)),1)</f>
        <v>1</v>
      </c>
      <c r="R27" s="102" t="str">
        <f t="shared" si="3"/>
        <v>55x130</v>
      </c>
      <c r="S27" s="74" t="s">
        <v>42</v>
      </c>
      <c r="T27" s="74">
        <v>55</v>
      </c>
      <c r="U27" s="74">
        <f>U26+5</f>
        <v>130</v>
      </c>
      <c r="V27" s="106">
        <f t="shared" si="4"/>
        <v>7150</v>
      </c>
      <c r="W27" s="144">
        <f>43560/(Table4[[#This Row],[Area]])*W$9</f>
        <v>3.4726153846153842</v>
      </c>
      <c r="X27"/>
      <c r="Y27" s="109"/>
      <c r="Z27" s="109" t="str" cm="1">
        <f t="array" ref="Z27">IFERROR(TRANSPOSE(_xlfn._xlws.SORT(_xlfn._xlws.FILTER($R$11:$R$45,$S$11:$S$45=iMPC!P26))),0)</f>
        <v>x</v>
      </c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Q27" s="114" t="s">
        <v>97</v>
      </c>
      <c r="AR27" s="114" t="s">
        <v>118</v>
      </c>
      <c r="AT27" s="121"/>
      <c r="AU27" s="117" cm="1">
        <f t="array" ref="AU27">IFERROR(TRANSPOSE(_xlfn._xlws.SORT(_xlfn._xlws.FILTER($AR$11:$AR$72,$AQ$11:$AQ$72=Budget!G20))),0)</f>
        <v>0</v>
      </c>
      <c r="AV27" s="117"/>
      <c r="AW27" s="117"/>
      <c r="AX27" s="117"/>
      <c r="AY27" s="117"/>
      <c r="AZ27" s="117"/>
      <c r="BA27" s="117"/>
      <c r="BB27" s="117"/>
    </row>
    <row r="28" spans="3:62" ht="16" outlineLevel="1" thickTop="1" thickBot="1">
      <c r="E28" s="74">
        <f t="shared" si="5"/>
        <v>18</v>
      </c>
      <c r="F28" s="75">
        <f t="shared" si="6"/>
        <v>45078</v>
      </c>
      <c r="G28" s="74">
        <f t="shared" si="0"/>
        <v>6</v>
      </c>
      <c r="H28" s="74" t="str">
        <f t="shared" si="1"/>
        <v>Q2-23</v>
      </c>
      <c r="I28" s="74">
        <f t="shared" si="7"/>
        <v>2</v>
      </c>
      <c r="J28" s="74">
        <f t="shared" si="2"/>
        <v>2023</v>
      </c>
      <c r="L28" s="82">
        <f>IF(I29&lt;iGeneral!F$25,1,L27*(1+L$10/12))</f>
        <v>1.0287142777033014</v>
      </c>
      <c r="M28" s="82">
        <f>IF(I27&lt;iGeneral!F$26,1,M27*(1+M$10/12))</f>
        <v>1.0041736169005593</v>
      </c>
      <c r="N28" s="82">
        <f>IF(I27&lt;iGeneral!F$27,1,N27*(1+N$10/12))</f>
        <v>1</v>
      </c>
      <c r="O28" s="82">
        <f>IFERROR(IF(I27&lt;iGeneral!F$28,1,O27*(1+O$10/12)),1)</f>
        <v>1</v>
      </c>
      <c r="P28" s="82">
        <f>IFERROR(IF(DATA!$I28&lt;iGeneral!F$29,1,P27*(1+P$10/12)),1)</f>
        <v>1</v>
      </c>
      <c r="R28" s="102" t="str">
        <f t="shared" si="3"/>
        <v>60x115</v>
      </c>
      <c r="S28" s="76" t="s">
        <v>61</v>
      </c>
      <c r="T28" s="74">
        <v>60</v>
      </c>
      <c r="U28" s="74">
        <v>115</v>
      </c>
      <c r="V28" s="106">
        <f t="shared" si="4"/>
        <v>6900</v>
      </c>
      <c r="W28" s="144">
        <f>43560/(Table4[[#This Row],[Area]])*W$9</f>
        <v>3.5984347826086953</v>
      </c>
      <c r="X28"/>
      <c r="Y28" s="109"/>
      <c r="Z28" s="109" t="str" cm="1">
        <f t="array" ref="Z28:AB28">IFERROR(TRANSPOSE(_xlfn._xlws.SORT(_xlfn._xlws.FILTER($R$11:$R$45,$S$11:$S$45=iMPC!P27))),0)</f>
        <v>40x100</v>
      </c>
      <c r="AA28" s="109" t="str">
        <v>40x105</v>
      </c>
      <c r="AB28" s="109" t="str">
        <v>40x90</v>
      </c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Q28" s="114" t="s">
        <v>97</v>
      </c>
      <c r="AR28" s="114" t="s">
        <v>119</v>
      </c>
      <c r="AS28" s="112"/>
      <c r="AT28" s="121"/>
      <c r="AU28" s="117" cm="1">
        <f t="array" ref="AU28">IFERROR(TRANSPOSE(_xlfn._xlws.SORT(_xlfn._xlws.FILTER($AR$11:$AR$72,$AQ$11:$AQ$72=Budget!G21))),0)</f>
        <v>0</v>
      </c>
      <c r="AV28" s="117"/>
      <c r="AW28" s="117"/>
      <c r="AX28" s="117"/>
      <c r="AY28" s="117"/>
      <c r="AZ28" s="117"/>
      <c r="BA28" s="117"/>
      <c r="BB28" s="117"/>
    </row>
    <row r="29" spans="3:62" ht="16" outlineLevel="1" thickTop="1" thickBot="1">
      <c r="E29" s="74">
        <f t="shared" si="5"/>
        <v>19</v>
      </c>
      <c r="F29" s="75">
        <f t="shared" si="6"/>
        <v>45108</v>
      </c>
      <c r="G29" s="74">
        <f t="shared" si="0"/>
        <v>7</v>
      </c>
      <c r="H29" s="74" t="str">
        <f t="shared" si="1"/>
        <v>Q2-23</v>
      </c>
      <c r="I29" s="74">
        <f t="shared" si="7"/>
        <v>2</v>
      </c>
      <c r="J29" s="74">
        <f t="shared" si="2"/>
        <v>2023</v>
      </c>
      <c r="L29" s="82">
        <f>IF(I30&lt;iGeneral!F$25,1,L28*(1+L$10/12))</f>
        <v>1.0304288014994736</v>
      </c>
      <c r="M29" s="82">
        <f>IF(I28&lt;iGeneral!F$26,1,M28*(1+M$10/12))</f>
        <v>1.0050104282479764</v>
      </c>
      <c r="N29" s="82">
        <f>IF(I28&lt;iGeneral!F$27,1,N28*(1+N$10/12))</f>
        <v>1</v>
      </c>
      <c r="O29" s="82">
        <f>IFERROR(IF(I28&lt;iGeneral!F$28,1,O28*(1+O$10/12)),1)</f>
        <v>1</v>
      </c>
      <c r="P29" s="82">
        <f>IFERROR(IF(DATA!$I29&lt;iGeneral!F$29,1,P28*(1+P$10/12)),1)</f>
        <v>1</v>
      </c>
      <c r="R29" s="102" t="str">
        <f t="shared" si="3"/>
        <v>60x120</v>
      </c>
      <c r="S29" s="76" t="s">
        <v>61</v>
      </c>
      <c r="T29" s="74">
        <v>60</v>
      </c>
      <c r="U29" s="74">
        <v>120</v>
      </c>
      <c r="V29" s="106">
        <f t="shared" si="4"/>
        <v>7200</v>
      </c>
      <c r="W29" s="144">
        <f>43560/(Table4[[#This Row],[Area]])*W$9</f>
        <v>3.4484999999999997</v>
      </c>
      <c r="X29"/>
      <c r="Y29" s="109"/>
      <c r="Z29" s="109" t="str" cm="1">
        <f t="array" ref="Z29">IFERROR(TRANSPOSE(_xlfn._xlws.SORT(_xlfn._xlws.FILTER($R$11:$R$45,$S$11:$S$45=iMPC!P28))),0)</f>
        <v>x</v>
      </c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Q29" s="114" t="s">
        <v>97</v>
      </c>
      <c r="AR29" s="114" t="s">
        <v>121</v>
      </c>
      <c r="AS29" s="112"/>
      <c r="AT29" s="121"/>
      <c r="AU29" s="117" cm="1">
        <f t="array" ref="AU29">IFERROR(TRANSPOSE(_xlfn._xlws.SORT(_xlfn._xlws.FILTER($AR$11:$AR$72,$AQ$11:$AQ$72=Budget!G22))),0)</f>
        <v>0</v>
      </c>
      <c r="AV29" s="117"/>
      <c r="AW29" s="117"/>
      <c r="AX29" s="117"/>
      <c r="AY29" s="117"/>
      <c r="AZ29" s="117"/>
      <c r="BA29" s="117"/>
      <c r="BB29" s="117"/>
    </row>
    <row r="30" spans="3:62" ht="16" outlineLevel="1" thickTop="1" thickBot="1">
      <c r="E30" s="74">
        <f t="shared" si="5"/>
        <v>20</v>
      </c>
      <c r="F30" s="75">
        <f t="shared" si="6"/>
        <v>45139</v>
      </c>
      <c r="G30" s="74">
        <f t="shared" si="0"/>
        <v>7</v>
      </c>
      <c r="H30" s="74" t="str">
        <f t="shared" si="1"/>
        <v>Q3-23</v>
      </c>
      <c r="I30" s="74">
        <f t="shared" si="7"/>
        <v>2</v>
      </c>
      <c r="J30" s="74">
        <f t="shared" si="2"/>
        <v>2023</v>
      </c>
      <c r="L30" s="82">
        <f>IF(I31&lt;iGeneral!F$25,1,L29*(1+L$10/12))</f>
        <v>1.032146182835306</v>
      </c>
      <c r="M30" s="82">
        <f>IF(I29&lt;iGeneral!F$26,1,M29*(1+M$10/12))</f>
        <v>1.005847936938183</v>
      </c>
      <c r="N30" s="82">
        <f>IF(I29&lt;iGeneral!F$27,1,N29*(1+N$10/12))</f>
        <v>1</v>
      </c>
      <c r="O30" s="82">
        <f>IFERROR(IF(I29&lt;iGeneral!F$28,1,O29*(1+O$10/12)),1)</f>
        <v>1</v>
      </c>
      <c r="P30" s="82">
        <f>IFERROR(IF(DATA!$I30&lt;iGeneral!F$29,1,P29*(1+P$10/12)),1)</f>
        <v>1</v>
      </c>
      <c r="R30" s="102" t="str">
        <f t="shared" si="3"/>
        <v>60x125</v>
      </c>
      <c r="S30" s="76" t="s">
        <v>61</v>
      </c>
      <c r="T30" s="74">
        <v>60</v>
      </c>
      <c r="U30" s="74">
        <v>125</v>
      </c>
      <c r="V30" s="106">
        <f t="shared" si="4"/>
        <v>7500</v>
      </c>
      <c r="W30" s="144">
        <f>43560/(Table4[[#This Row],[Area]])*W$9</f>
        <v>3.3105599999999997</v>
      </c>
      <c r="X30"/>
      <c r="Y30" s="109"/>
      <c r="Z30" s="109" t="str" cm="1">
        <f t="array" ref="Z30">IFERROR(TRANSPOSE(_xlfn._xlws.SORT(_xlfn._xlws.FILTER($R$11:$R$45,$S$11:$S$45=iMPC!P29))),0)</f>
        <v>x</v>
      </c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Q30" s="114" t="s">
        <v>97</v>
      </c>
      <c r="AR30" s="114" t="s">
        <v>123</v>
      </c>
      <c r="AS30" s="112"/>
      <c r="AT30" s="121"/>
      <c r="AU30" s="117" cm="1">
        <f t="array" ref="AU30">IFERROR(TRANSPOSE(_xlfn._xlws.SORT(_xlfn._xlws.FILTER($AR$11:$AR$72,$AQ$11:$AQ$72=Budget!G23))),0)</f>
        <v>0</v>
      </c>
      <c r="AV30" s="117"/>
      <c r="AW30" s="117"/>
      <c r="AX30" s="117"/>
      <c r="AY30" s="117"/>
      <c r="AZ30" s="117"/>
      <c r="BA30" s="117"/>
      <c r="BB30" s="117"/>
    </row>
    <row r="31" spans="3:62" ht="16" outlineLevel="1" thickTop="1" thickBot="1">
      <c r="E31" s="74">
        <f t="shared" si="5"/>
        <v>21</v>
      </c>
      <c r="F31" s="75">
        <f t="shared" si="6"/>
        <v>45170</v>
      </c>
      <c r="G31" s="74">
        <f t="shared" si="0"/>
        <v>7</v>
      </c>
      <c r="H31" s="74" t="str">
        <f t="shared" si="1"/>
        <v>Q3-23</v>
      </c>
      <c r="I31" s="74">
        <f t="shared" si="7"/>
        <v>2</v>
      </c>
      <c r="J31" s="74">
        <f t="shared" si="2"/>
        <v>2023</v>
      </c>
      <c r="L31" s="82">
        <f>IF(I32&lt;iGeneral!F$25,1,L30*(1+L$10/12))</f>
        <v>1.0338664264733648</v>
      </c>
      <c r="M31" s="82">
        <f>IF(I30&lt;iGeneral!F$26,1,M30*(1+M$10/12))</f>
        <v>1.006686143552298</v>
      </c>
      <c r="N31" s="82">
        <f>IF(I30&lt;iGeneral!F$27,1,N30*(1+N$10/12))</f>
        <v>1</v>
      </c>
      <c r="O31" s="82">
        <f>IFERROR(IF(I30&lt;iGeneral!F$28,1,O30*(1+O$10/12)),1)</f>
        <v>1</v>
      </c>
      <c r="P31" s="82">
        <f>IFERROR(IF(DATA!$I31&lt;iGeneral!F$29,1,P30*(1+P$10/12)),1)</f>
        <v>1</v>
      </c>
      <c r="R31" s="102" t="str">
        <f t="shared" si="3"/>
        <v>60x130</v>
      </c>
      <c r="S31" s="76" t="s">
        <v>61</v>
      </c>
      <c r="T31" s="74">
        <v>60</v>
      </c>
      <c r="U31" s="74">
        <v>130</v>
      </c>
      <c r="V31" s="106">
        <f t="shared" si="4"/>
        <v>7800</v>
      </c>
      <c r="W31" s="144">
        <f>43560/(Table4[[#This Row],[Area]])*W$9</f>
        <v>3.1832307692307689</v>
      </c>
      <c r="X31"/>
      <c r="Y31" s="109"/>
      <c r="Z31" s="109" t="str" cm="1">
        <f t="array" ref="Z31">IFERROR(TRANSPOSE(_xlfn._xlws.SORT(_xlfn._xlws.FILTER($R$11:$R$45,$S$11:$S$45=iMPC!P30))),0)</f>
        <v>x</v>
      </c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Q31" s="114" t="s">
        <v>97</v>
      </c>
      <c r="AR31" s="114" t="s">
        <v>124</v>
      </c>
      <c r="AS31" s="112"/>
      <c r="AT31" s="121"/>
      <c r="AU31" s="117" cm="1">
        <f t="array" ref="AU31">IFERROR(TRANSPOSE(_xlfn._xlws.SORT(_xlfn._xlws.FILTER($AR$11:$AR$72,$AQ$11:$AQ$72=Budget!G24))),0)</f>
        <v>0</v>
      </c>
      <c r="AV31" s="117"/>
      <c r="AW31" s="117"/>
      <c r="AX31" s="117"/>
      <c r="AY31" s="117"/>
      <c r="AZ31" s="117"/>
      <c r="BA31" s="117"/>
      <c r="BB31" s="117"/>
    </row>
    <row r="32" spans="3:62" ht="16" outlineLevel="1" thickTop="1" thickBot="1">
      <c r="E32" s="74">
        <f t="shared" si="5"/>
        <v>22</v>
      </c>
      <c r="F32" s="75">
        <f t="shared" si="6"/>
        <v>45200</v>
      </c>
      <c r="G32" s="74">
        <f t="shared" si="0"/>
        <v>8</v>
      </c>
      <c r="H32" s="74" t="str">
        <f t="shared" si="1"/>
        <v>Q3-23</v>
      </c>
      <c r="I32" s="74">
        <f t="shared" si="7"/>
        <v>2</v>
      </c>
      <c r="J32" s="74">
        <f t="shared" si="2"/>
        <v>2023</v>
      </c>
      <c r="L32" s="82">
        <f>IF(I33&lt;iGeneral!F$25,1,L31*(1+L$10/12))</f>
        <v>1.0355895371841537</v>
      </c>
      <c r="M32" s="82">
        <f>IF(I31&lt;iGeneral!F$26,1,M31*(1+M$10/12))</f>
        <v>1.0075250486719249</v>
      </c>
      <c r="N32" s="82">
        <f>IF(I31&lt;iGeneral!F$27,1,N31*(1+N$10/12))</f>
        <v>1</v>
      </c>
      <c r="O32" s="82">
        <f>IFERROR(IF(I31&lt;iGeneral!F$28,1,O31*(1+O$10/12)),1)</f>
        <v>1</v>
      </c>
      <c r="P32" s="82">
        <f>IFERROR(IF(DATA!$I32&lt;iGeneral!F$29,1,P31*(1+P$10/12)),1)</f>
        <v>1</v>
      </c>
      <c r="R32" s="102" t="str">
        <f t="shared" si="3"/>
        <v>65x120</v>
      </c>
      <c r="S32" s="76" t="s">
        <v>61</v>
      </c>
      <c r="T32" s="74">
        <v>65</v>
      </c>
      <c r="U32" s="74">
        <v>120</v>
      </c>
      <c r="V32" s="106">
        <f t="shared" si="4"/>
        <v>7800</v>
      </c>
      <c r="W32" s="144">
        <f>43560/(Table4[[#This Row],[Area]])*W$9</f>
        <v>3.1832307692307689</v>
      </c>
      <c r="X32"/>
      <c r="Y32" s="109"/>
      <c r="Z32" s="109" t="str" cm="1">
        <f t="array" ref="Z32">IFERROR(TRANSPOSE(_xlfn._xlws.SORT(_xlfn._xlws.FILTER($R$11:$R$45,$S$11:$S$45=iMPC!P31))),0)</f>
        <v>x</v>
      </c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Q32" s="114" t="s">
        <v>97</v>
      </c>
      <c r="AR32" s="114" t="s">
        <v>125</v>
      </c>
      <c r="AS32" s="112"/>
      <c r="AT32" s="121"/>
      <c r="AU32" s="117" cm="1">
        <f t="array" ref="AU32">IFERROR(TRANSPOSE(_xlfn._xlws.SORT(_xlfn._xlws.FILTER($AR$11:$AR$72,$AQ$11:$AQ$72=Budget!G25))),0)</f>
        <v>0</v>
      </c>
      <c r="AV32" s="117"/>
      <c r="AW32" s="117"/>
      <c r="AX32" s="117"/>
      <c r="AY32" s="117"/>
      <c r="AZ32" s="117"/>
      <c r="BA32" s="117"/>
      <c r="BB32" s="117"/>
    </row>
    <row r="33" spans="5:54" ht="16" outlineLevel="1" thickTop="1" thickBot="1">
      <c r="E33" s="74">
        <f t="shared" si="5"/>
        <v>23</v>
      </c>
      <c r="F33" s="75">
        <f t="shared" si="6"/>
        <v>45231</v>
      </c>
      <c r="G33" s="74">
        <f t="shared" si="0"/>
        <v>8</v>
      </c>
      <c r="H33" s="74" t="str">
        <f t="shared" si="1"/>
        <v>Q3-23</v>
      </c>
      <c r="I33" s="74">
        <f t="shared" si="7"/>
        <v>2</v>
      </c>
      <c r="J33" s="74">
        <f t="shared" si="2"/>
        <v>2023</v>
      </c>
      <c r="L33" s="82">
        <f>IF(I34&lt;iGeneral!F$25,1,L32*(1+L$10/12))</f>
        <v>1.0373155197461272</v>
      </c>
      <c r="M33" s="82">
        <f>IF(I32&lt;iGeneral!F$26,1,M32*(1+M$10/12))</f>
        <v>1.0083646528791514</v>
      </c>
      <c r="N33" s="82">
        <f>IF(I32&lt;iGeneral!F$27,1,N32*(1+N$10/12))</f>
        <v>1</v>
      </c>
      <c r="O33" s="82">
        <f>IFERROR(IF(I32&lt;iGeneral!F$28,1,O32*(1+O$10/12)),1)</f>
        <v>1</v>
      </c>
      <c r="P33" s="82">
        <f>IFERROR(IF(DATA!$I33&lt;iGeneral!F$29,1,P32*(1+P$10/12)),1)</f>
        <v>1</v>
      </c>
      <c r="R33" s="102" t="str">
        <f t="shared" si="3"/>
        <v>65x125</v>
      </c>
      <c r="S33" s="76" t="s">
        <v>61</v>
      </c>
      <c r="T33" s="74">
        <v>65</v>
      </c>
      <c r="U33" s="74">
        <v>125</v>
      </c>
      <c r="V33" s="106">
        <f t="shared" si="4"/>
        <v>8125</v>
      </c>
      <c r="W33" s="144">
        <f>43560/(Table4[[#This Row],[Area]])*W$9</f>
        <v>3.055901538461538</v>
      </c>
      <c r="X33"/>
      <c r="Y33" s="109"/>
      <c r="Z33" s="109" t="str" cm="1">
        <f t="array" ref="Z33:AO33">IFERROR(TRANSPOSE(_xlfn._xlws.SORT(_xlfn._xlws.FILTER($R$11:$R$45,$S$11:$S$45=iMPC!P32))),0)</f>
        <v>60x115</v>
      </c>
      <c r="AA33" s="109" t="str">
        <v>60x120</v>
      </c>
      <c r="AB33" s="109" t="str">
        <v>60x125</v>
      </c>
      <c r="AC33" s="109" t="str">
        <v>60x130</v>
      </c>
      <c r="AD33" s="109" t="str">
        <v>65x120</v>
      </c>
      <c r="AE33" s="109" t="str">
        <v>65x125</v>
      </c>
      <c r="AF33" s="109" t="str">
        <v>70x125</v>
      </c>
      <c r="AG33" s="109" t="str">
        <v>70x130</v>
      </c>
      <c r="AH33" s="109" t="str">
        <v>70x135</v>
      </c>
      <c r="AI33" s="109" t="str">
        <v>80x125</v>
      </c>
      <c r="AJ33" s="109" t="str">
        <v>80x130</v>
      </c>
      <c r="AK33" s="109" t="str">
        <v>80x135</v>
      </c>
      <c r="AL33" s="109" t="str">
        <v>80x140</v>
      </c>
      <c r="AM33" s="109" t="str">
        <v>90x130</v>
      </c>
      <c r="AN33" s="109" t="str">
        <v>90x135</v>
      </c>
      <c r="AO33" s="109" t="str">
        <v>90x140</v>
      </c>
      <c r="AQ33" s="114" t="s">
        <v>97</v>
      </c>
      <c r="AR33" s="114" t="s">
        <v>126</v>
      </c>
      <c r="AS33" s="112"/>
      <c r="AT33" s="121"/>
      <c r="AU33" s="117" cm="1">
        <f t="array" ref="AU33">IFERROR(TRANSPOSE(_xlfn._xlws.SORT(_xlfn._xlws.FILTER($AR$11:$AR$72,$AQ$11:$AQ$72=Budget!G26))),0)</f>
        <v>0</v>
      </c>
      <c r="AV33" s="117"/>
      <c r="AW33" s="117"/>
      <c r="AX33" s="117"/>
      <c r="AY33" s="117"/>
      <c r="AZ33" s="117"/>
      <c r="BA33" s="117"/>
      <c r="BB33" s="117"/>
    </row>
    <row r="34" spans="5:54" ht="16" outlineLevel="1" thickTop="1" thickBot="1">
      <c r="E34" s="74">
        <f t="shared" si="5"/>
        <v>24</v>
      </c>
      <c r="F34" s="75">
        <f t="shared" si="6"/>
        <v>45261</v>
      </c>
      <c r="G34" s="74">
        <f t="shared" si="0"/>
        <v>8</v>
      </c>
      <c r="H34" s="74" t="str">
        <f t="shared" si="1"/>
        <v>Q4-23</v>
      </c>
      <c r="I34" s="74">
        <f t="shared" si="7"/>
        <v>2</v>
      </c>
      <c r="J34" s="74">
        <f t="shared" si="2"/>
        <v>2023</v>
      </c>
      <c r="L34" s="82">
        <f>IF(I35&lt;iGeneral!F$25,1,L33*(1+L$10/12))</f>
        <v>1.0390443789457042</v>
      </c>
      <c r="M34" s="82">
        <f>IF(I33&lt;iGeneral!F$26,1,M33*(1+M$10/12))</f>
        <v>1.0092049567565506</v>
      </c>
      <c r="N34" s="82">
        <f>IF(I33&lt;iGeneral!F$27,1,N33*(1+N$10/12))</f>
        <v>1</v>
      </c>
      <c r="O34" s="82">
        <f>IFERROR(IF(I33&lt;iGeneral!F$28,1,O33*(1+O$10/12)),1)</f>
        <v>1</v>
      </c>
      <c r="P34" s="82">
        <f>IFERROR(IF(DATA!$I34&lt;iGeneral!F$29,1,P33*(1+P$10/12)),1)</f>
        <v>1</v>
      </c>
      <c r="R34" s="102" t="str">
        <f t="shared" si="3"/>
        <v>70x125</v>
      </c>
      <c r="S34" s="76" t="s">
        <v>61</v>
      </c>
      <c r="T34" s="74">
        <v>70</v>
      </c>
      <c r="U34" s="74">
        <v>125</v>
      </c>
      <c r="V34" s="106">
        <f t="shared" si="4"/>
        <v>8750</v>
      </c>
      <c r="W34" s="144">
        <f>43560/(Table4[[#This Row],[Area]])*W$9</f>
        <v>2.8376228571428572</v>
      </c>
      <c r="X34"/>
      <c r="Y34" s="109"/>
      <c r="Z34" s="109" t="str" cm="1">
        <f t="array" ref="Z34:AO34">IFERROR(TRANSPOSE(_xlfn._xlws.SORT(_xlfn._xlws.FILTER($R$11:$R$45,$S$11:$S$45=iMPC!P33))),0)</f>
        <v>60x115</v>
      </c>
      <c r="AA34" s="109" t="str">
        <v>60x120</v>
      </c>
      <c r="AB34" s="109" t="str">
        <v>60x125</v>
      </c>
      <c r="AC34" s="109" t="str">
        <v>60x130</v>
      </c>
      <c r="AD34" s="109" t="str">
        <v>65x120</v>
      </c>
      <c r="AE34" s="109" t="str">
        <v>65x125</v>
      </c>
      <c r="AF34" s="109" t="str">
        <v>70x125</v>
      </c>
      <c r="AG34" s="109" t="str">
        <v>70x130</v>
      </c>
      <c r="AH34" s="109" t="str">
        <v>70x135</v>
      </c>
      <c r="AI34" s="109" t="str">
        <v>80x125</v>
      </c>
      <c r="AJ34" s="109" t="str">
        <v>80x130</v>
      </c>
      <c r="AK34" s="109" t="str">
        <v>80x135</v>
      </c>
      <c r="AL34" s="109" t="str">
        <v>80x140</v>
      </c>
      <c r="AM34" s="109" t="str">
        <v>90x130</v>
      </c>
      <c r="AN34" s="109" t="str">
        <v>90x135</v>
      </c>
      <c r="AO34" s="109" t="str">
        <v>90x140</v>
      </c>
      <c r="AQ34" s="114" t="s">
        <v>97</v>
      </c>
      <c r="AR34" s="114" t="s">
        <v>127</v>
      </c>
      <c r="AS34" s="112"/>
      <c r="AT34" s="121"/>
      <c r="AU34" s="117" cm="1">
        <f t="array" ref="AU34">IFERROR(TRANSPOSE(_xlfn._xlws.SORT(_xlfn._xlws.FILTER($AR$11:$AR$72,$AQ$11:$AQ$72=Budget!G27))),0)</f>
        <v>0</v>
      </c>
      <c r="AV34" s="117"/>
      <c r="AW34" s="117"/>
      <c r="AX34" s="117"/>
      <c r="AY34" s="117"/>
      <c r="AZ34" s="117"/>
      <c r="BA34" s="117"/>
      <c r="BB34" s="117"/>
    </row>
    <row r="35" spans="5:54" ht="16" outlineLevel="1" thickTop="1" thickBot="1">
      <c r="E35" s="74">
        <f t="shared" si="5"/>
        <v>25</v>
      </c>
      <c r="F35" s="75">
        <f t="shared" si="6"/>
        <v>45292</v>
      </c>
      <c r="G35" s="74">
        <f t="shared" si="0"/>
        <v>9</v>
      </c>
      <c r="H35" s="74" t="str">
        <f t="shared" si="1"/>
        <v>Q1-24</v>
      </c>
      <c r="I35" s="74">
        <f t="shared" si="7"/>
        <v>3</v>
      </c>
      <c r="J35" s="74">
        <f t="shared" si="2"/>
        <v>2024</v>
      </c>
      <c r="L35" s="82">
        <f>IF(I36&lt;iGeneral!F$25,1,L34*(1+L$10/12))</f>
        <v>1.0407761195772804</v>
      </c>
      <c r="M35" s="82">
        <f>IF(I34&lt;iGeneral!F$26,1,M34*(1+M$10/12))</f>
        <v>1.010045960887181</v>
      </c>
      <c r="N35" s="82">
        <f>IF(I34&lt;iGeneral!F$27,1,N34*(1+N$10/12))</f>
        <v>1</v>
      </c>
      <c r="O35" s="82">
        <f>IFERROR(IF(I34&lt;iGeneral!F$28,1,O34*(1+O$10/12)),1)</f>
        <v>1</v>
      </c>
      <c r="P35" s="82">
        <f>IFERROR(IF(DATA!$I35&lt;iGeneral!F$29,1,P34*(1+P$10/12)),1)</f>
        <v>1</v>
      </c>
      <c r="R35" s="102" t="str">
        <f t="shared" si="3"/>
        <v>70x130</v>
      </c>
      <c r="S35" s="76" t="s">
        <v>61</v>
      </c>
      <c r="T35" s="74">
        <v>70</v>
      </c>
      <c r="U35" s="74">
        <v>130</v>
      </c>
      <c r="V35" s="106">
        <f t="shared" si="4"/>
        <v>9100</v>
      </c>
      <c r="W35" s="144">
        <f>43560/(Table4[[#This Row],[Area]])*W$9</f>
        <v>2.7284835164835162</v>
      </c>
      <c r="X35"/>
      <c r="Y35" s="109"/>
      <c r="Z35" s="109" t="str" cm="1">
        <f t="array" ref="Z35:AO35">IFERROR(TRANSPOSE(_xlfn._xlws.SORT(_xlfn._xlws.FILTER($R$11:$R$45,$S$11:$S$45=iMPC!P34))),0)</f>
        <v>60x115</v>
      </c>
      <c r="AA35" s="109" t="str">
        <v>60x120</v>
      </c>
      <c r="AB35" s="109" t="str">
        <v>60x125</v>
      </c>
      <c r="AC35" s="109" t="str">
        <v>60x130</v>
      </c>
      <c r="AD35" s="109" t="str">
        <v>65x120</v>
      </c>
      <c r="AE35" s="109" t="str">
        <v>65x125</v>
      </c>
      <c r="AF35" s="109" t="str">
        <v>70x125</v>
      </c>
      <c r="AG35" s="109" t="str">
        <v>70x130</v>
      </c>
      <c r="AH35" s="109" t="str">
        <v>70x135</v>
      </c>
      <c r="AI35" s="109" t="str">
        <v>80x125</v>
      </c>
      <c r="AJ35" s="109" t="str">
        <v>80x130</v>
      </c>
      <c r="AK35" s="109" t="str">
        <v>80x135</v>
      </c>
      <c r="AL35" s="109" t="str">
        <v>80x140</v>
      </c>
      <c r="AM35" s="109" t="str">
        <v>90x130</v>
      </c>
      <c r="AN35" s="109" t="str">
        <v>90x135</v>
      </c>
      <c r="AO35" s="109" t="str">
        <v>90x140</v>
      </c>
      <c r="AQ35" s="114" t="s">
        <v>97</v>
      </c>
      <c r="AR35" s="114" t="s">
        <v>128</v>
      </c>
      <c r="AS35" s="112"/>
      <c r="AT35" s="121"/>
      <c r="AU35" s="117" cm="1">
        <f t="array" ref="AU35">IFERROR(TRANSPOSE(_xlfn._xlws.SORT(_xlfn._xlws.FILTER($AR$11:$AR$72,$AQ$11:$AQ$72=Budget!G28))),0)</f>
        <v>0</v>
      </c>
      <c r="AV35" s="117"/>
      <c r="AW35" s="117"/>
      <c r="AX35" s="117"/>
      <c r="AY35" s="117"/>
      <c r="AZ35" s="117"/>
      <c r="BA35" s="117"/>
      <c r="BB35" s="117"/>
    </row>
    <row r="36" spans="5:54" ht="16" outlineLevel="1" thickTop="1" thickBot="1">
      <c r="E36" s="74">
        <f t="shared" si="5"/>
        <v>26</v>
      </c>
      <c r="F36" s="75">
        <f t="shared" si="6"/>
        <v>45323</v>
      </c>
      <c r="G36" s="74">
        <f t="shared" si="0"/>
        <v>9</v>
      </c>
      <c r="H36" s="74" t="str">
        <f t="shared" si="1"/>
        <v>Q1-24</v>
      </c>
      <c r="I36" s="74">
        <f t="shared" si="7"/>
        <v>3</v>
      </c>
      <c r="J36" s="74">
        <f t="shared" si="2"/>
        <v>2024</v>
      </c>
      <c r="L36" s="82">
        <f>IF(I37&lt;iGeneral!F$25,1,L35*(1+L$10/12))</f>
        <v>1.0425107464432426</v>
      </c>
      <c r="M36" s="82">
        <f>IF(I35&lt;iGeneral!F$26,1,M35*(1+M$10/12))</f>
        <v>1.0108876658545869</v>
      </c>
      <c r="N36" s="82">
        <f>IF(I35&lt;iGeneral!F$27,1,N35*(1+N$10/12))</f>
        <v>1</v>
      </c>
      <c r="O36" s="82">
        <f>IFERROR(IF(I35&lt;iGeneral!F$28,1,O35*(1+O$10/12)),1)</f>
        <v>1</v>
      </c>
      <c r="P36" s="82">
        <f>IFERROR(IF(DATA!$I36&lt;iGeneral!F$29,1,P35*(1+P$10/12)),1)</f>
        <v>1</v>
      </c>
      <c r="R36" s="102" t="str">
        <f t="shared" si="3"/>
        <v>70x135</v>
      </c>
      <c r="S36" s="76" t="s">
        <v>61</v>
      </c>
      <c r="T36" s="74">
        <v>70</v>
      </c>
      <c r="U36" s="74">
        <v>135</v>
      </c>
      <c r="V36" s="106">
        <f t="shared" si="4"/>
        <v>9450</v>
      </c>
      <c r="W36" s="144">
        <f>43560/(Table4[[#This Row],[Area]])*W$9</f>
        <v>2.6274285714285708</v>
      </c>
      <c r="X36"/>
      <c r="Y36" s="109"/>
      <c r="Z36" s="109" t="str" cm="1">
        <f t="array" ref="Z36:AM36">IFERROR(TRANSPOSE(_xlfn._xlws.SORT(_xlfn._xlws.FILTER($R$11:$R$45,$S$11:$S$45=iMPC!P35))),0)</f>
        <v>40x110</v>
      </c>
      <c r="AA36" s="109" t="str">
        <v>40x115</v>
      </c>
      <c r="AB36" s="109" t="str">
        <v>45x105</v>
      </c>
      <c r="AC36" s="109" t="str">
        <v>45x110</v>
      </c>
      <c r="AD36" s="109" t="str">
        <v>45x115</v>
      </c>
      <c r="AE36" s="109" t="str">
        <v>45x120</v>
      </c>
      <c r="AF36" s="109" t="str">
        <v>50x110</v>
      </c>
      <c r="AG36" s="109" t="str">
        <v>50x115</v>
      </c>
      <c r="AH36" s="109" t="str">
        <v>50x120</v>
      </c>
      <c r="AI36" s="109" t="str">
        <v>50x125</v>
      </c>
      <c r="AJ36" s="109" t="str">
        <v>55x115</v>
      </c>
      <c r="AK36" s="109" t="str">
        <v>55x120</v>
      </c>
      <c r="AL36" s="109" t="str">
        <v>55x125</v>
      </c>
      <c r="AM36" s="109" t="str">
        <v>55x130</v>
      </c>
      <c r="AN36" s="109"/>
      <c r="AO36" s="109"/>
      <c r="AQ36" s="114" t="s">
        <v>97</v>
      </c>
      <c r="AR36" s="114" t="s">
        <v>129</v>
      </c>
      <c r="AS36" s="112"/>
      <c r="AT36" s="121"/>
      <c r="AU36" s="117" cm="1">
        <f t="array" ref="AU36">IFERROR(TRANSPOSE(_xlfn._xlws.SORT(_xlfn._xlws.FILTER($AR$11:$AR$72,$AQ$11:$AQ$72=Budget!G29))),0)</f>
        <v>0</v>
      </c>
      <c r="AV36" s="117"/>
      <c r="AW36" s="117"/>
      <c r="AX36" s="117"/>
      <c r="AY36" s="117"/>
      <c r="AZ36" s="117"/>
      <c r="BA36" s="117"/>
      <c r="BB36" s="117"/>
    </row>
    <row r="37" spans="5:54" ht="16" outlineLevel="1" thickTop="1" thickBot="1">
      <c r="E37" s="74">
        <f t="shared" si="5"/>
        <v>27</v>
      </c>
      <c r="F37" s="75">
        <f t="shared" si="6"/>
        <v>45352</v>
      </c>
      <c r="G37" s="74">
        <f t="shared" si="0"/>
        <v>9</v>
      </c>
      <c r="H37" s="74" t="str">
        <f t="shared" si="1"/>
        <v>Q1-24</v>
      </c>
      <c r="I37" s="74">
        <f t="shared" si="7"/>
        <v>3</v>
      </c>
      <c r="J37" s="74">
        <f t="shared" si="2"/>
        <v>2024</v>
      </c>
      <c r="L37" s="82">
        <f>IF(I38&lt;iGeneral!F$25,1,L36*(1+L$10/12))</f>
        <v>1.0442482643539814</v>
      </c>
      <c r="M37" s="82">
        <f>IF(I36&lt;iGeneral!F$26,1,M36*(1+M$10/12))</f>
        <v>1.0117300722427989</v>
      </c>
      <c r="N37" s="82">
        <f>IF(I36&lt;iGeneral!F$27,1,N36*(1+N$10/12))</f>
        <v>1</v>
      </c>
      <c r="O37" s="82">
        <f>IFERROR(IF(I36&lt;iGeneral!F$28,1,O36*(1+O$10/12)),1)</f>
        <v>1</v>
      </c>
      <c r="P37" s="82">
        <f>IFERROR(IF(DATA!$I37&lt;iGeneral!F$29,1,P36*(1+P$10/12)),1)</f>
        <v>1</v>
      </c>
      <c r="R37" s="102" t="str">
        <f t="shared" si="3"/>
        <v>80x125</v>
      </c>
      <c r="S37" s="76" t="s">
        <v>61</v>
      </c>
      <c r="T37" s="74">
        <v>80</v>
      </c>
      <c r="U37" s="74">
        <v>125</v>
      </c>
      <c r="V37" s="106">
        <f t="shared" si="4"/>
        <v>10000</v>
      </c>
      <c r="W37" s="144">
        <f>43560/(Table4[[#This Row],[Area]])*W$9</f>
        <v>2.4829199999999996</v>
      </c>
      <c r="X37"/>
      <c r="Y37" s="109"/>
      <c r="Z37" s="109" t="str" cm="1">
        <f t="array" ref="Z37:AM37">IFERROR(TRANSPOSE(_xlfn._xlws.SORT(_xlfn._xlws.FILTER($R$11:$R$45,$S$11:$S$45=iMPC!P36))),0)</f>
        <v>40x110</v>
      </c>
      <c r="AA37" s="109" t="str">
        <v>40x115</v>
      </c>
      <c r="AB37" s="109" t="str">
        <v>45x105</v>
      </c>
      <c r="AC37" s="109" t="str">
        <v>45x110</v>
      </c>
      <c r="AD37" s="109" t="str">
        <v>45x115</v>
      </c>
      <c r="AE37" s="109" t="str">
        <v>45x120</v>
      </c>
      <c r="AF37" s="109" t="str">
        <v>50x110</v>
      </c>
      <c r="AG37" s="109" t="str">
        <v>50x115</v>
      </c>
      <c r="AH37" s="109" t="str">
        <v>50x120</v>
      </c>
      <c r="AI37" s="109" t="str">
        <v>50x125</v>
      </c>
      <c r="AJ37" s="109" t="str">
        <v>55x115</v>
      </c>
      <c r="AK37" s="109" t="str">
        <v>55x120</v>
      </c>
      <c r="AL37" s="109" t="str">
        <v>55x125</v>
      </c>
      <c r="AM37" s="109" t="str">
        <v>55x130</v>
      </c>
      <c r="AN37" s="109"/>
      <c r="AO37" s="109"/>
      <c r="AQ37" s="114" t="s">
        <v>97</v>
      </c>
      <c r="AR37" s="114" t="s">
        <v>130</v>
      </c>
      <c r="AS37" s="112"/>
      <c r="AT37" s="121"/>
      <c r="AU37" s="117" cm="1">
        <f t="array" ref="AU37">IFERROR(TRANSPOSE(_xlfn._xlws.SORT(_xlfn._xlws.FILTER($AR$11:$AR$72,$AQ$11:$AQ$72=Budget!G30))),0)</f>
        <v>0</v>
      </c>
      <c r="AV37" s="117"/>
      <c r="AW37" s="117"/>
      <c r="AX37" s="117"/>
      <c r="AY37" s="117"/>
      <c r="AZ37" s="117"/>
      <c r="BA37" s="117"/>
      <c r="BB37" s="117"/>
    </row>
    <row r="38" spans="5:54" ht="16" outlineLevel="1" thickTop="1" thickBot="1">
      <c r="E38" s="74">
        <f t="shared" si="5"/>
        <v>28</v>
      </c>
      <c r="F38" s="75">
        <f t="shared" si="6"/>
        <v>45383</v>
      </c>
      <c r="G38" s="74">
        <f t="shared" si="0"/>
        <v>10</v>
      </c>
      <c r="H38" s="74" t="str">
        <f t="shared" si="1"/>
        <v>Q2-24</v>
      </c>
      <c r="I38" s="74">
        <f t="shared" si="7"/>
        <v>3</v>
      </c>
      <c r="J38" s="74">
        <f t="shared" si="2"/>
        <v>2024</v>
      </c>
      <c r="L38" s="82">
        <f>IF(I39&lt;iGeneral!F$25,1,L37*(1+L$10/12))</f>
        <v>1.0459886781279049</v>
      </c>
      <c r="M38" s="82">
        <f>IF(I37&lt;iGeneral!F$26,1,M37*(1+M$10/12))</f>
        <v>1.0125731806363345</v>
      </c>
      <c r="N38" s="82">
        <f>IF(I37&lt;iGeneral!F$27,1,N37*(1+N$10/12))</f>
        <v>1</v>
      </c>
      <c r="O38" s="82">
        <f>IFERROR(IF(I37&lt;iGeneral!F$28,1,O37*(1+O$10/12)),1)</f>
        <v>1</v>
      </c>
      <c r="P38" s="82">
        <f>IFERROR(IF(DATA!$I38&lt;iGeneral!F$29,1,P37*(1+P$10/12)),1)</f>
        <v>1</v>
      </c>
      <c r="R38" s="102" t="str">
        <f t="shared" si="3"/>
        <v>80x130</v>
      </c>
      <c r="S38" s="76" t="s">
        <v>61</v>
      </c>
      <c r="T38" s="74">
        <v>80</v>
      </c>
      <c r="U38" s="74">
        <v>130</v>
      </c>
      <c r="V38" s="106">
        <f t="shared" si="4"/>
        <v>10400</v>
      </c>
      <c r="W38" s="144">
        <f>43560/(Table4[[#This Row],[Area]])*W$9</f>
        <v>2.3874230769230769</v>
      </c>
      <c r="X38"/>
      <c r="Y38" s="109"/>
      <c r="Z38" s="109" t="str" cm="1">
        <f t="array" ref="Z38:AM38">IFERROR(TRANSPOSE(_xlfn._xlws.SORT(_xlfn._xlws.FILTER($R$11:$R$45,$S$11:$S$45=iMPC!P37))),0)</f>
        <v>40x110</v>
      </c>
      <c r="AA38" s="109" t="str">
        <v>40x115</v>
      </c>
      <c r="AB38" s="109" t="str">
        <v>45x105</v>
      </c>
      <c r="AC38" s="109" t="str">
        <v>45x110</v>
      </c>
      <c r="AD38" s="109" t="str">
        <v>45x115</v>
      </c>
      <c r="AE38" s="109" t="str">
        <v>45x120</v>
      </c>
      <c r="AF38" s="109" t="str">
        <v>50x110</v>
      </c>
      <c r="AG38" s="109" t="str">
        <v>50x115</v>
      </c>
      <c r="AH38" s="109" t="str">
        <v>50x120</v>
      </c>
      <c r="AI38" s="109" t="str">
        <v>50x125</v>
      </c>
      <c r="AJ38" s="109" t="str">
        <v>55x115</v>
      </c>
      <c r="AK38" s="109" t="str">
        <v>55x120</v>
      </c>
      <c r="AL38" s="109" t="str">
        <v>55x125</v>
      </c>
      <c r="AM38" s="109" t="str">
        <v>55x130</v>
      </c>
      <c r="AN38" s="109"/>
      <c r="AO38" s="109"/>
      <c r="AQ38" s="114" t="s">
        <v>97</v>
      </c>
      <c r="AR38" s="114" t="s">
        <v>131</v>
      </c>
      <c r="AT38" s="121"/>
      <c r="AU38" s="117" cm="1">
        <f t="array" ref="AU38">IFERROR(TRANSPOSE(_xlfn._xlws.SORT(_xlfn._xlws.FILTER($AR$11:$AR$72,$AQ$11:$AQ$72=Budget!G31))),0)</f>
        <v>0</v>
      </c>
      <c r="AV38" s="117"/>
      <c r="AW38" s="117"/>
      <c r="AX38" s="117"/>
      <c r="AY38" s="117"/>
      <c r="AZ38" s="117"/>
      <c r="BA38" s="117"/>
      <c r="BB38" s="117"/>
    </row>
    <row r="39" spans="5:54" ht="16" outlineLevel="1" thickTop="1" thickBot="1">
      <c r="E39" s="74">
        <f t="shared" si="5"/>
        <v>29</v>
      </c>
      <c r="F39" s="75">
        <f t="shared" si="6"/>
        <v>45413</v>
      </c>
      <c r="G39" s="74">
        <f t="shared" si="0"/>
        <v>10</v>
      </c>
      <c r="H39" s="74" t="str">
        <f t="shared" si="1"/>
        <v>Q2-24</v>
      </c>
      <c r="I39" s="74">
        <f t="shared" si="7"/>
        <v>3</v>
      </c>
      <c r="J39" s="74">
        <f t="shared" si="2"/>
        <v>2024</v>
      </c>
      <c r="L39" s="82">
        <f>IF(I40&lt;iGeneral!F$25,1,L38*(1+L$10/12))</f>
        <v>1.0477319925914514</v>
      </c>
      <c r="M39" s="82">
        <f>IF(I38&lt;iGeneral!F$26,1,M38*(1+M$10/12))</f>
        <v>1.013416991620198</v>
      </c>
      <c r="N39" s="82">
        <f>IF(I38&lt;iGeneral!F$27,1,N38*(1+N$10/12))</f>
        <v>1</v>
      </c>
      <c r="O39" s="82">
        <f>IFERROR(IF(I38&lt;iGeneral!F$28,1,O38*(1+O$10/12)),1)</f>
        <v>1</v>
      </c>
      <c r="P39" s="82">
        <f>IFERROR(IF(DATA!$I39&lt;iGeneral!F$29,1,P38*(1+P$10/12)),1)</f>
        <v>1</v>
      </c>
      <c r="R39" s="102" t="str">
        <f t="shared" si="3"/>
        <v>80x135</v>
      </c>
      <c r="S39" s="76" t="s">
        <v>61</v>
      </c>
      <c r="T39" s="74">
        <v>80</v>
      </c>
      <c r="U39" s="74">
        <v>135</v>
      </c>
      <c r="V39" s="106">
        <f t="shared" si="4"/>
        <v>10800</v>
      </c>
      <c r="W39" s="144">
        <f>43560/(Table4[[#This Row],[Area]])*W$9</f>
        <v>2.2989999999999999</v>
      </c>
      <c r="X39"/>
      <c r="Y39" s="109"/>
      <c r="Z39" s="109" t="str" cm="1">
        <f t="array" ref="Z39:AM39">IFERROR(TRANSPOSE(_xlfn._xlws.SORT(_xlfn._xlws.FILTER($R$11:$R$45,$S$11:$S$45=iMPC!P38))),0)</f>
        <v>40x110</v>
      </c>
      <c r="AA39" s="109" t="str">
        <v>40x115</v>
      </c>
      <c r="AB39" s="109" t="str">
        <v>45x105</v>
      </c>
      <c r="AC39" s="109" t="str">
        <v>45x110</v>
      </c>
      <c r="AD39" s="109" t="str">
        <v>45x115</v>
      </c>
      <c r="AE39" s="109" t="str">
        <v>45x120</v>
      </c>
      <c r="AF39" s="109" t="str">
        <v>50x110</v>
      </c>
      <c r="AG39" s="109" t="str">
        <v>50x115</v>
      </c>
      <c r="AH39" s="109" t="str">
        <v>50x120</v>
      </c>
      <c r="AI39" s="109" t="str">
        <v>50x125</v>
      </c>
      <c r="AJ39" s="109" t="str">
        <v>55x115</v>
      </c>
      <c r="AK39" s="109" t="str">
        <v>55x120</v>
      </c>
      <c r="AL39" s="109" t="str">
        <v>55x125</v>
      </c>
      <c r="AM39" s="109" t="str">
        <v>55x130</v>
      </c>
      <c r="AN39" s="109"/>
      <c r="AO39" s="109"/>
      <c r="AQ39" s="114" t="s">
        <v>97</v>
      </c>
      <c r="AR39" s="114" t="s">
        <v>29</v>
      </c>
      <c r="AT39" s="121"/>
      <c r="AU39" s="117" cm="1">
        <f t="array" ref="AU39">IFERROR(TRANSPOSE(_xlfn._xlws.SORT(_xlfn._xlws.FILTER($AR$11:$AR$72,$AQ$11:$AQ$72=Budget!G32))),0)</f>
        <v>0</v>
      </c>
      <c r="AV39" s="117"/>
      <c r="AW39" s="117"/>
      <c r="AX39" s="117"/>
      <c r="AY39" s="117"/>
      <c r="AZ39" s="117"/>
      <c r="BA39" s="117"/>
      <c r="BB39" s="117"/>
    </row>
    <row r="40" spans="5:54" ht="16" outlineLevel="1" thickTop="1" thickBot="1">
      <c r="E40" s="74">
        <f t="shared" si="5"/>
        <v>30</v>
      </c>
      <c r="F40" s="75">
        <f t="shared" si="6"/>
        <v>45444</v>
      </c>
      <c r="G40" s="74">
        <f t="shared" si="0"/>
        <v>10</v>
      </c>
      <c r="H40" s="74" t="str">
        <f t="shared" si="1"/>
        <v>Q2-24</v>
      </c>
      <c r="I40" s="74">
        <f t="shared" si="7"/>
        <v>3</v>
      </c>
      <c r="J40" s="74">
        <f t="shared" si="2"/>
        <v>2024</v>
      </c>
      <c r="L40" s="82">
        <f>IF(I41&lt;iGeneral!F$25,1,L39*(1+L$10/12))</f>
        <v>1.049478212579104</v>
      </c>
      <c r="M40" s="82">
        <f>IF(I39&lt;iGeneral!F$26,1,M39*(1+M$10/12))</f>
        <v>1.0142615057798814</v>
      </c>
      <c r="N40" s="82">
        <f>IF(I39&lt;iGeneral!F$27,1,N39*(1+N$10/12))</f>
        <v>1</v>
      </c>
      <c r="O40" s="82">
        <f>IFERROR(IF(I39&lt;iGeneral!F$28,1,O39*(1+O$10/12)),1)</f>
        <v>1</v>
      </c>
      <c r="P40" s="82">
        <f>IFERROR(IF(DATA!$I40&lt;iGeneral!F$29,1,P39*(1+P$10/12)),1)</f>
        <v>1</v>
      </c>
      <c r="R40" s="102" t="str">
        <f t="shared" si="3"/>
        <v>80x140</v>
      </c>
      <c r="S40" s="76" t="s">
        <v>61</v>
      </c>
      <c r="T40" s="74">
        <v>80</v>
      </c>
      <c r="U40" s="74">
        <v>140</v>
      </c>
      <c r="V40" s="106">
        <f t="shared" si="4"/>
        <v>11200</v>
      </c>
      <c r="W40" s="144">
        <f>43560/(Table4[[#This Row],[Area]])*W$9</f>
        <v>2.2168928571428568</v>
      </c>
      <c r="X40"/>
      <c r="Y40" s="109"/>
      <c r="Z40" s="109" t="str" cm="1">
        <f t="array" ref="Z40:AM40">IFERROR(TRANSPOSE(_xlfn._xlws.SORT(_xlfn._xlws.FILTER($R$11:$R$45,$S$11:$S$45=iMPC!P39))),0)</f>
        <v>40x110</v>
      </c>
      <c r="AA40" s="109" t="str">
        <v>40x115</v>
      </c>
      <c r="AB40" s="109" t="str">
        <v>45x105</v>
      </c>
      <c r="AC40" s="109" t="str">
        <v>45x110</v>
      </c>
      <c r="AD40" s="109" t="str">
        <v>45x115</v>
      </c>
      <c r="AE40" s="109" t="str">
        <v>45x120</v>
      </c>
      <c r="AF40" s="109" t="str">
        <v>50x110</v>
      </c>
      <c r="AG40" s="109" t="str">
        <v>50x115</v>
      </c>
      <c r="AH40" s="109" t="str">
        <v>50x120</v>
      </c>
      <c r="AI40" s="109" t="str">
        <v>50x125</v>
      </c>
      <c r="AJ40" s="109" t="str">
        <v>55x115</v>
      </c>
      <c r="AK40" s="109" t="str">
        <v>55x120</v>
      </c>
      <c r="AL40" s="109" t="str">
        <v>55x125</v>
      </c>
      <c r="AM40" s="109" t="str">
        <v>55x130</v>
      </c>
      <c r="AN40" s="109"/>
      <c r="AO40" s="109"/>
      <c r="AQ40" s="114" t="s">
        <v>98</v>
      </c>
      <c r="AR40" s="114" t="s">
        <v>103</v>
      </c>
      <c r="AT40" s="121"/>
      <c r="AU40" s="117" cm="1">
        <f t="array" ref="AU40">IFERROR(TRANSPOSE(_xlfn._xlws.SORT(_xlfn._xlws.FILTER($AR$11:$AR$72,$AQ$11:$AQ$72=Budget!G33))),0)</f>
        <v>0</v>
      </c>
      <c r="AV40" s="117"/>
      <c r="AW40" s="117"/>
      <c r="AX40" s="117"/>
      <c r="AY40" s="117"/>
      <c r="AZ40" s="117"/>
      <c r="BA40" s="117"/>
      <c r="BB40" s="117"/>
    </row>
    <row r="41" spans="5:54" ht="16" outlineLevel="1" thickTop="1" thickBot="1">
      <c r="E41" s="74">
        <f t="shared" si="5"/>
        <v>31</v>
      </c>
      <c r="F41" s="75">
        <f t="shared" si="6"/>
        <v>45474</v>
      </c>
      <c r="G41" s="74">
        <f t="shared" si="0"/>
        <v>11</v>
      </c>
      <c r="H41" s="74" t="str">
        <f t="shared" si="1"/>
        <v>Q2-24</v>
      </c>
      <c r="I41" s="74">
        <f t="shared" si="7"/>
        <v>3</v>
      </c>
      <c r="J41" s="74">
        <f t="shared" si="2"/>
        <v>2024</v>
      </c>
      <c r="L41" s="82">
        <f>IF(I42&lt;iGeneral!F$25,1,L40*(1+L$10/12))</f>
        <v>1.0512273429334025</v>
      </c>
      <c r="M41" s="82">
        <f>IF(I40&lt;iGeneral!F$26,1,M40*(1+M$10/12))</f>
        <v>1.0151067237013645</v>
      </c>
      <c r="N41" s="82">
        <f>IF(I40&lt;iGeneral!F$27,1,N40*(1+N$10/12))</f>
        <v>1</v>
      </c>
      <c r="O41" s="82">
        <f>IFERROR(IF(I40&lt;iGeneral!F$28,1,O40*(1+O$10/12)),1)</f>
        <v>1</v>
      </c>
      <c r="P41" s="82">
        <f>IFERROR(IF(DATA!$I41&lt;iGeneral!F$29,1,P40*(1+P$10/12)),1)</f>
        <v>1</v>
      </c>
      <c r="R41" s="102" t="str">
        <f t="shared" si="3"/>
        <v>90x130</v>
      </c>
      <c r="S41" s="76" t="s">
        <v>61</v>
      </c>
      <c r="T41" s="74">
        <v>90</v>
      </c>
      <c r="U41" s="74">
        <v>130</v>
      </c>
      <c r="V41" s="106">
        <f t="shared" si="4"/>
        <v>11700</v>
      </c>
      <c r="W41" s="144">
        <f>43560/(Table4[[#This Row],[Area]])*W$9</f>
        <v>2.1221538461538461</v>
      </c>
      <c r="X41"/>
      <c r="Y41" s="109"/>
      <c r="Z41" s="109" t="str" cm="1">
        <f t="array" ref="Z41:AO41">IFERROR(TRANSPOSE(_xlfn._xlws.SORT(_xlfn._xlws.FILTER($R$11:$R$45,$S$11:$S$45=iMPC!P40))),0)</f>
        <v>60x115</v>
      </c>
      <c r="AA41" s="109" t="str">
        <v>60x120</v>
      </c>
      <c r="AB41" s="109" t="str">
        <v>60x125</v>
      </c>
      <c r="AC41" s="109" t="str">
        <v>60x130</v>
      </c>
      <c r="AD41" s="109" t="str">
        <v>65x120</v>
      </c>
      <c r="AE41" s="109" t="str">
        <v>65x125</v>
      </c>
      <c r="AF41" s="109" t="str">
        <v>70x125</v>
      </c>
      <c r="AG41" s="109" t="str">
        <v>70x130</v>
      </c>
      <c r="AH41" s="109" t="str">
        <v>70x135</v>
      </c>
      <c r="AI41" s="109" t="str">
        <v>80x125</v>
      </c>
      <c r="AJ41" s="109" t="str">
        <v>80x130</v>
      </c>
      <c r="AK41" s="109" t="str">
        <v>80x135</v>
      </c>
      <c r="AL41" s="109" t="str">
        <v>80x140</v>
      </c>
      <c r="AM41" s="109" t="str">
        <v>90x130</v>
      </c>
      <c r="AN41" s="109" t="str">
        <v>90x135</v>
      </c>
      <c r="AO41" s="109" t="str">
        <v>90x140</v>
      </c>
      <c r="AQ41" s="114" t="s">
        <v>98</v>
      </c>
      <c r="AR41" s="114" t="s">
        <v>109</v>
      </c>
      <c r="AT41" s="121"/>
      <c r="AU41" s="117" cm="1">
        <f t="array" ref="AU41">IFERROR(TRANSPOSE(_xlfn._xlws.SORT(_xlfn._xlws.FILTER($AR$11:$AR$72,$AQ$11:$AQ$72=Budget!G34))),0)</f>
        <v>0</v>
      </c>
      <c r="AV41" s="117"/>
      <c r="AW41" s="117"/>
      <c r="AX41" s="117"/>
      <c r="AY41" s="117"/>
      <c r="AZ41" s="117"/>
      <c r="BA41" s="117"/>
      <c r="BB41" s="117"/>
    </row>
    <row r="42" spans="5:54" ht="16" outlineLevel="1" thickTop="1" thickBot="1">
      <c r="E42" s="74">
        <f t="shared" si="5"/>
        <v>32</v>
      </c>
      <c r="F42" s="75">
        <f t="shared" si="6"/>
        <v>45505</v>
      </c>
      <c r="G42" s="74">
        <f t="shared" si="0"/>
        <v>11</v>
      </c>
      <c r="H42" s="74" t="str">
        <f t="shared" si="1"/>
        <v>Q3-24</v>
      </c>
      <c r="I42" s="74">
        <f t="shared" si="7"/>
        <v>3</v>
      </c>
      <c r="J42" s="74">
        <f t="shared" si="2"/>
        <v>2024</v>
      </c>
      <c r="L42" s="82">
        <f>IF(I43&lt;iGeneral!F$25,1,L41*(1+L$10/12))</f>
        <v>1.0529793885049581</v>
      </c>
      <c r="M42" s="82">
        <f>IF(I41&lt;iGeneral!F$26,1,M41*(1+M$10/12))</f>
        <v>1.0159526459711155</v>
      </c>
      <c r="N42" s="82">
        <f>IF(I41&lt;iGeneral!F$27,1,N41*(1+N$10/12))</f>
        <v>1</v>
      </c>
      <c r="O42" s="82">
        <f>IFERROR(IF(I41&lt;iGeneral!F$28,1,O41*(1+O$10/12)),1)</f>
        <v>1</v>
      </c>
      <c r="P42" s="82">
        <f>IFERROR(IF(DATA!$I42&lt;iGeneral!F$29,1,P41*(1+P$10/12)),1)</f>
        <v>1</v>
      </c>
      <c r="R42" s="102" t="str">
        <f t="shared" si="3"/>
        <v>90x135</v>
      </c>
      <c r="S42" s="76" t="s">
        <v>61</v>
      </c>
      <c r="T42" s="74">
        <v>90</v>
      </c>
      <c r="U42" s="74">
        <v>135</v>
      </c>
      <c r="V42" s="106">
        <f t="shared" si="4"/>
        <v>12150</v>
      </c>
      <c r="W42" s="144">
        <f>43560/(Table4[[#This Row],[Area]])*W$9</f>
        <v>2.0435555555555553</v>
      </c>
      <c r="X42"/>
      <c r="Y42" s="109"/>
      <c r="Z42" s="109" t="str" cm="1">
        <f t="array" ref="Z42:AO42">IFERROR(TRANSPOSE(_xlfn._xlws.SORT(_xlfn._xlws.FILTER($R$11:$R$45,$S$11:$S$45=iMPC!P41))),0)</f>
        <v>60x115</v>
      </c>
      <c r="AA42" s="109" t="str">
        <v>60x120</v>
      </c>
      <c r="AB42" s="109" t="str">
        <v>60x125</v>
      </c>
      <c r="AC42" s="109" t="str">
        <v>60x130</v>
      </c>
      <c r="AD42" s="109" t="str">
        <v>65x120</v>
      </c>
      <c r="AE42" s="109" t="str">
        <v>65x125</v>
      </c>
      <c r="AF42" s="109" t="str">
        <v>70x125</v>
      </c>
      <c r="AG42" s="109" t="str">
        <v>70x130</v>
      </c>
      <c r="AH42" s="109" t="str">
        <v>70x135</v>
      </c>
      <c r="AI42" s="109" t="str">
        <v>80x125</v>
      </c>
      <c r="AJ42" s="109" t="str">
        <v>80x130</v>
      </c>
      <c r="AK42" s="109" t="str">
        <v>80x135</v>
      </c>
      <c r="AL42" s="109" t="str">
        <v>80x140</v>
      </c>
      <c r="AM42" s="109" t="str">
        <v>90x130</v>
      </c>
      <c r="AN42" s="109" t="str">
        <v>90x135</v>
      </c>
      <c r="AO42" s="109" t="str">
        <v>90x140</v>
      </c>
      <c r="AQ42" s="114" t="s">
        <v>98</v>
      </c>
      <c r="AR42" s="114" t="s">
        <v>114</v>
      </c>
      <c r="AT42" s="121"/>
      <c r="AU42" s="117" cm="1">
        <f t="array" ref="AU42">IFERROR(TRANSPOSE(_xlfn._xlws.SORT(_xlfn._xlws.FILTER($AR$11:$AR$72,$AQ$11:$AQ$72=Budget!G35))),0)</f>
        <v>0</v>
      </c>
      <c r="AV42" s="117"/>
      <c r="AW42" s="117"/>
      <c r="AX42" s="117"/>
      <c r="AY42" s="117"/>
      <c r="AZ42" s="117"/>
      <c r="BA42" s="117"/>
      <c r="BB42" s="117"/>
    </row>
    <row r="43" spans="5:54" ht="16" outlineLevel="1" thickTop="1" thickBot="1">
      <c r="E43" s="74">
        <f t="shared" si="5"/>
        <v>33</v>
      </c>
      <c r="F43" s="75">
        <f t="shared" si="6"/>
        <v>45536</v>
      </c>
      <c r="G43" s="74">
        <f t="shared" si="0"/>
        <v>11</v>
      </c>
      <c r="H43" s="74" t="str">
        <f t="shared" si="1"/>
        <v>Q3-24</v>
      </c>
      <c r="I43" s="74">
        <f t="shared" si="7"/>
        <v>3</v>
      </c>
      <c r="J43" s="74">
        <f t="shared" si="2"/>
        <v>2024</v>
      </c>
      <c r="L43" s="82">
        <f>IF(I44&lt;iGeneral!F$25,1,L42*(1+L$10/12))</f>
        <v>1.0547343541524663</v>
      </c>
      <c r="M43" s="82">
        <f>IF(I42&lt;iGeneral!F$26,1,M42*(1+M$10/12))</f>
        <v>1.0167992731760913</v>
      </c>
      <c r="N43" s="82">
        <f>IF(I42&lt;iGeneral!F$27,1,N42*(1+N$10/12))</f>
        <v>1</v>
      </c>
      <c r="O43" s="82">
        <f>IFERROR(IF(I42&lt;iGeneral!F$28,1,O42*(1+O$10/12)),1)</f>
        <v>1</v>
      </c>
      <c r="P43" s="82">
        <f>IFERROR(IF(DATA!$I43&lt;iGeneral!F$29,1,P42*(1+P$10/12)),1)</f>
        <v>1</v>
      </c>
      <c r="R43" s="102" t="str">
        <f t="shared" si="3"/>
        <v>90x140</v>
      </c>
      <c r="S43" s="74" t="s">
        <v>61</v>
      </c>
      <c r="T43" s="74">
        <v>90</v>
      </c>
      <c r="U43" s="74">
        <v>140</v>
      </c>
      <c r="V43" s="106">
        <f t="shared" si="4"/>
        <v>12600</v>
      </c>
      <c r="W43" s="144">
        <f>43560/(Table4[[#This Row],[Area]])*W$9</f>
        <v>1.9705714285714284</v>
      </c>
      <c r="X43"/>
      <c r="Y43" s="109"/>
      <c r="Z43" s="109" t="str" cm="1">
        <f t="array" ref="Z43:AM43">IFERROR(TRANSPOSE(_xlfn._xlws.SORT(_xlfn._xlws.FILTER($R$11:$R$45,$S$11:$S$45=iMPC!P42))),0)</f>
        <v>40x110</v>
      </c>
      <c r="AA43" s="109" t="str">
        <v>40x115</v>
      </c>
      <c r="AB43" s="109" t="str">
        <v>45x105</v>
      </c>
      <c r="AC43" s="109" t="str">
        <v>45x110</v>
      </c>
      <c r="AD43" s="109" t="str">
        <v>45x115</v>
      </c>
      <c r="AE43" s="109" t="str">
        <v>45x120</v>
      </c>
      <c r="AF43" s="109" t="str">
        <v>50x110</v>
      </c>
      <c r="AG43" s="109" t="str">
        <v>50x115</v>
      </c>
      <c r="AH43" s="109" t="str">
        <v>50x120</v>
      </c>
      <c r="AI43" s="109" t="str">
        <v>50x125</v>
      </c>
      <c r="AJ43" s="109" t="str">
        <v>55x115</v>
      </c>
      <c r="AK43" s="109" t="str">
        <v>55x120</v>
      </c>
      <c r="AL43" s="109" t="str">
        <v>55x125</v>
      </c>
      <c r="AM43" s="109" t="str">
        <v>55x130</v>
      </c>
      <c r="AN43" s="109"/>
      <c r="AO43" s="109"/>
      <c r="AQ43" s="114" t="s">
        <v>98</v>
      </c>
      <c r="AR43" s="114" t="s">
        <v>118</v>
      </c>
      <c r="AT43" s="121"/>
      <c r="AU43" s="117" cm="1">
        <f t="array" ref="AU43">IFERROR(TRANSPOSE(_xlfn._xlws.SORT(_xlfn._xlws.FILTER($AR$11:$AR$72,$AQ$11:$AQ$72=Budget!G36))),0)</f>
        <v>0</v>
      </c>
      <c r="AV43" s="117"/>
      <c r="AW43" s="117"/>
      <c r="AX43" s="117"/>
      <c r="AY43" s="117"/>
      <c r="AZ43" s="117"/>
      <c r="BA43" s="117"/>
      <c r="BB43" s="117"/>
    </row>
    <row r="44" spans="5:54" ht="16" outlineLevel="1" thickTop="1" thickBot="1">
      <c r="E44" s="74">
        <f t="shared" si="5"/>
        <v>34</v>
      </c>
      <c r="F44" s="75">
        <f t="shared" si="6"/>
        <v>45566</v>
      </c>
      <c r="G44" s="74">
        <f t="shared" si="0"/>
        <v>12</v>
      </c>
      <c r="H44" s="74" t="str">
        <f t="shared" si="1"/>
        <v>Q3-24</v>
      </c>
      <c r="I44" s="74">
        <f t="shared" si="7"/>
        <v>3</v>
      </c>
      <c r="J44" s="74">
        <f t="shared" si="2"/>
        <v>2024</v>
      </c>
      <c r="L44" s="82">
        <f>IF(I45&lt;iGeneral!F$25,1,L43*(1+L$10/12))</f>
        <v>1.0564922447427205</v>
      </c>
      <c r="M44" s="82">
        <f>IF(I43&lt;iGeneral!F$26,1,M43*(1+M$10/12))</f>
        <v>1.0176466059037379</v>
      </c>
      <c r="N44" s="82">
        <f>IF(I43&lt;iGeneral!F$27,1,N43*(1+N$10/12))</f>
        <v>1</v>
      </c>
      <c r="O44" s="82">
        <f>IFERROR(IF(I43&lt;iGeneral!F$28,1,O43*(1+O$10/12)),1)</f>
        <v>1</v>
      </c>
      <c r="P44" s="82">
        <f>IFERROR(IF(DATA!$I44&lt;iGeneral!F$29,1,P43*(1+P$10/12)),1)</f>
        <v>1</v>
      </c>
      <c r="R44" s="103" t="str">
        <f t="shared" si="3"/>
        <v>x</v>
      </c>
      <c r="S44" s="76" t="s">
        <v>63</v>
      </c>
      <c r="T44" s="76"/>
      <c r="U44" s="76"/>
      <c r="V44" s="107">
        <f t="shared" si="4"/>
        <v>0</v>
      </c>
      <c r="W44" s="144" t="e">
        <f>43560/(Table4[[#This Row],[Area]])*W$9</f>
        <v>#DIV/0!</v>
      </c>
      <c r="X44"/>
      <c r="Y44" s="109"/>
      <c r="Z44" s="109" t="str" cm="1">
        <f t="array" ref="Z44:AM44">IFERROR(TRANSPOSE(_xlfn._xlws.SORT(_xlfn._xlws.FILTER($R$11:$R$45,$S$11:$S$45=iMPC!P43))),0)</f>
        <v>40x110</v>
      </c>
      <c r="AA44" s="109" t="str">
        <v>40x115</v>
      </c>
      <c r="AB44" s="109" t="str">
        <v>45x105</v>
      </c>
      <c r="AC44" s="109" t="str">
        <v>45x110</v>
      </c>
      <c r="AD44" s="109" t="str">
        <v>45x115</v>
      </c>
      <c r="AE44" s="109" t="str">
        <v>45x120</v>
      </c>
      <c r="AF44" s="109" t="str">
        <v>50x110</v>
      </c>
      <c r="AG44" s="109" t="str">
        <v>50x115</v>
      </c>
      <c r="AH44" s="109" t="str">
        <v>50x120</v>
      </c>
      <c r="AI44" s="109" t="str">
        <v>50x125</v>
      </c>
      <c r="AJ44" s="109" t="str">
        <v>55x115</v>
      </c>
      <c r="AK44" s="109" t="str">
        <v>55x120</v>
      </c>
      <c r="AL44" s="109" t="str">
        <v>55x125</v>
      </c>
      <c r="AM44" s="109" t="str">
        <v>55x130</v>
      </c>
      <c r="AN44" s="109"/>
      <c r="AO44" s="109"/>
      <c r="AQ44" s="114" t="s">
        <v>98</v>
      </c>
      <c r="AR44" s="114" t="s">
        <v>119</v>
      </c>
      <c r="AT44" s="121"/>
      <c r="AU44" s="117"/>
      <c r="AV44" s="117"/>
      <c r="AW44" s="117"/>
      <c r="AX44" s="117"/>
      <c r="AY44" s="117"/>
      <c r="AZ44" s="117"/>
      <c r="BA44" s="117"/>
      <c r="BB44" s="117"/>
    </row>
    <row r="45" spans="5:54" ht="16" outlineLevel="1" thickTop="1" thickBot="1">
      <c r="E45" s="74">
        <f t="shared" si="5"/>
        <v>35</v>
      </c>
      <c r="F45" s="75">
        <f t="shared" si="6"/>
        <v>45597</v>
      </c>
      <c r="G45" s="74">
        <f t="shared" si="0"/>
        <v>12</v>
      </c>
      <c r="H45" s="74" t="str">
        <f t="shared" si="1"/>
        <v>Q3-24</v>
      </c>
      <c r="I45" s="74">
        <f t="shared" si="7"/>
        <v>3</v>
      </c>
      <c r="J45" s="74">
        <f t="shared" si="2"/>
        <v>2024</v>
      </c>
      <c r="L45" s="82">
        <f>IF(I46&lt;iGeneral!F$25,1,L44*(1+L$10/12))</f>
        <v>1.058253065150625</v>
      </c>
      <c r="M45" s="82">
        <f>IF(I44&lt;iGeneral!F$26,1,M44*(1+M$10/12))</f>
        <v>1.0184946447419909</v>
      </c>
      <c r="N45" s="82">
        <f>IF(I44&lt;iGeneral!F$27,1,N44*(1+N$10/12))</f>
        <v>1</v>
      </c>
      <c r="O45" s="82">
        <f>IFERROR(IF(I44&lt;iGeneral!F$28,1,O44*(1+O$10/12)),1)</f>
        <v>1</v>
      </c>
      <c r="P45" s="82">
        <f>IFERROR(IF(DATA!$I45&lt;iGeneral!F$29,1,P44*(1+P$10/12)),1)</f>
        <v>1</v>
      </c>
      <c r="R45" s="103" t="str">
        <f t="shared" si="3"/>
        <v>x</v>
      </c>
      <c r="S45" s="76" t="s">
        <v>90</v>
      </c>
      <c r="T45" s="76"/>
      <c r="U45" s="76"/>
      <c r="V45" s="107">
        <f t="shared" si="4"/>
        <v>0</v>
      </c>
      <c r="W45" s="144" t="e">
        <f>43560/(Table4[[#This Row],[Area]])*W$9</f>
        <v>#DIV/0!</v>
      </c>
      <c r="X45"/>
      <c r="Y45" s="109"/>
      <c r="Z45" s="109" t="str" cm="1">
        <f t="array" ref="Z45">IFERROR(TRANSPOSE(_xlfn._xlws.SORT(_xlfn._xlws.FILTER($R$11:$R$45,$S$11:$S$45=iMPC!P44))),0)</f>
        <v>x</v>
      </c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Q45" s="114" t="s">
        <v>98</v>
      </c>
      <c r="AR45" s="114" t="s">
        <v>121</v>
      </c>
      <c r="AT45" s="121"/>
      <c r="AU45" s="117"/>
      <c r="AV45" s="117"/>
      <c r="AW45" s="117"/>
      <c r="AX45" s="117"/>
      <c r="AY45" s="117"/>
      <c r="AZ45" s="117"/>
      <c r="BA45" s="117"/>
      <c r="BB45" s="117"/>
    </row>
    <row r="46" spans="5:54" ht="16" outlineLevel="1" thickTop="1" thickBot="1">
      <c r="E46" s="74">
        <f t="shared" si="5"/>
        <v>36</v>
      </c>
      <c r="F46" s="75">
        <f t="shared" si="6"/>
        <v>45627</v>
      </c>
      <c r="G46" s="74">
        <f t="shared" si="0"/>
        <v>12</v>
      </c>
      <c r="H46" s="74" t="str">
        <f t="shared" si="1"/>
        <v>Q4-24</v>
      </c>
      <c r="I46" s="74">
        <f t="shared" si="7"/>
        <v>3</v>
      </c>
      <c r="J46" s="74">
        <f t="shared" si="2"/>
        <v>2024</v>
      </c>
      <c r="L46" s="82">
        <f>IF(I47&lt;iGeneral!F$25,1,L45*(1+L$10/12))</f>
        <v>1.0600168202592095</v>
      </c>
      <c r="M46" s="82">
        <f>IF(I45&lt;iGeneral!F$26,1,M45*(1+M$10/12))</f>
        <v>1.0193433902792759</v>
      </c>
      <c r="N46" s="82">
        <f>IF(I45&lt;iGeneral!F$27,1,N45*(1+N$10/12))</f>
        <v>1</v>
      </c>
      <c r="O46" s="82">
        <f>IFERROR(IF(I45&lt;iGeneral!F$28,1,O45*(1+O$10/12)),1)</f>
        <v>1</v>
      </c>
      <c r="P46" s="82">
        <f>IFERROR(IF(DATA!$I46&lt;iGeneral!F$29,1,P45*(1+P$10/12)),1)</f>
        <v>1</v>
      </c>
      <c r="T46" s="80"/>
      <c r="U46"/>
      <c r="W46" s="107"/>
      <c r="Y46" s="109"/>
      <c r="Z46" s="109" t="str" cm="1">
        <f t="array" ref="Z46:AM46">IFERROR(TRANSPOSE(_xlfn._xlws.SORT(_xlfn._xlws.FILTER($R$11:$R$45,$S$11:$S$45=iMPC!P45))),0)</f>
        <v>40x110</v>
      </c>
      <c r="AA46" s="109" t="str">
        <v>40x115</v>
      </c>
      <c r="AB46" s="109" t="str">
        <v>45x105</v>
      </c>
      <c r="AC46" s="109" t="str">
        <v>45x110</v>
      </c>
      <c r="AD46" s="109" t="str">
        <v>45x115</v>
      </c>
      <c r="AE46" s="109" t="str">
        <v>45x120</v>
      </c>
      <c r="AF46" s="109" t="str">
        <v>50x110</v>
      </c>
      <c r="AG46" s="109" t="str">
        <v>50x115</v>
      </c>
      <c r="AH46" s="109" t="str">
        <v>50x120</v>
      </c>
      <c r="AI46" s="109" t="str">
        <v>50x125</v>
      </c>
      <c r="AJ46" s="109" t="str">
        <v>55x115</v>
      </c>
      <c r="AK46" s="109" t="str">
        <v>55x120</v>
      </c>
      <c r="AL46" s="109" t="str">
        <v>55x125</v>
      </c>
      <c r="AM46" s="109" t="str">
        <v>55x130</v>
      </c>
      <c r="AN46" s="109"/>
      <c r="AO46" s="109"/>
      <c r="AQ46" s="114" t="s">
        <v>98</v>
      </c>
      <c r="AR46" s="114" t="s">
        <v>123</v>
      </c>
      <c r="AT46" s="121"/>
      <c r="AU46" s="117"/>
      <c r="AV46" s="117"/>
      <c r="AW46" s="117"/>
      <c r="AX46" s="117"/>
      <c r="AY46" s="117"/>
      <c r="AZ46" s="117"/>
      <c r="BA46" s="117"/>
      <c r="BB46" s="117"/>
    </row>
    <row r="47" spans="5:54" ht="16" outlineLevel="1" thickTop="1" thickBot="1">
      <c r="E47" s="74">
        <f t="shared" si="5"/>
        <v>37</v>
      </c>
      <c r="F47" s="75">
        <f t="shared" si="6"/>
        <v>45658</v>
      </c>
      <c r="G47" s="74">
        <f t="shared" si="0"/>
        <v>13</v>
      </c>
      <c r="H47" s="74" t="str">
        <f t="shared" si="1"/>
        <v>Q1-25</v>
      </c>
      <c r="I47" s="74">
        <f t="shared" si="7"/>
        <v>4</v>
      </c>
      <c r="J47" s="74">
        <f t="shared" si="2"/>
        <v>2025</v>
      </c>
      <c r="L47" s="82">
        <f>IF(I48&lt;iGeneral!F$25,1,L46*(1+L$10/12))</f>
        <v>1.0617835149596415</v>
      </c>
      <c r="M47" s="82">
        <f>IF(I46&lt;iGeneral!F$26,1,M46*(1+M$10/12))</f>
        <v>1.0201928431045086</v>
      </c>
      <c r="N47" s="82">
        <f>IF(I46&lt;iGeneral!F$27,1,N46*(1+N$10/12))</f>
        <v>1</v>
      </c>
      <c r="O47" s="82">
        <f>IFERROR(IF(I46&lt;iGeneral!F$28,1,O46*(1+O$10/12)),1)</f>
        <v>1</v>
      </c>
      <c r="P47" s="82">
        <f>IFERROR(IF(DATA!$I47&lt;iGeneral!F$29,1,P46*(1+P$10/12)),1)</f>
        <v>1</v>
      </c>
      <c r="T47" s="80"/>
      <c r="U47"/>
      <c r="W47" s="107"/>
      <c r="Y47" s="109"/>
      <c r="Z47" s="109" t="str" cm="1">
        <f t="array" ref="Z47:AO47">IFERROR(TRANSPOSE(_xlfn._xlws.SORT(_xlfn._xlws.FILTER($R$11:$R$45,$S$11:$S$45=iMPC!P46))),0)</f>
        <v>60x115</v>
      </c>
      <c r="AA47" s="109" t="str">
        <v>60x120</v>
      </c>
      <c r="AB47" s="109" t="str">
        <v>60x125</v>
      </c>
      <c r="AC47" s="109" t="str">
        <v>60x130</v>
      </c>
      <c r="AD47" s="109" t="str">
        <v>65x120</v>
      </c>
      <c r="AE47" s="109" t="str">
        <v>65x125</v>
      </c>
      <c r="AF47" s="109" t="str">
        <v>70x125</v>
      </c>
      <c r="AG47" s="109" t="str">
        <v>70x130</v>
      </c>
      <c r="AH47" s="109" t="str">
        <v>70x135</v>
      </c>
      <c r="AI47" s="109" t="str">
        <v>80x125</v>
      </c>
      <c r="AJ47" s="109" t="str">
        <v>80x130</v>
      </c>
      <c r="AK47" s="109" t="str">
        <v>80x135</v>
      </c>
      <c r="AL47" s="109" t="str">
        <v>80x140</v>
      </c>
      <c r="AM47" s="109" t="str">
        <v>90x130</v>
      </c>
      <c r="AN47" s="109" t="str">
        <v>90x135</v>
      </c>
      <c r="AO47" s="109" t="str">
        <v>90x140</v>
      </c>
      <c r="AQ47" s="114" t="s">
        <v>98</v>
      </c>
      <c r="AR47" s="114" t="s">
        <v>124</v>
      </c>
      <c r="AT47" s="121"/>
      <c r="AU47" s="117"/>
      <c r="AV47" s="117"/>
      <c r="AW47" s="117"/>
      <c r="AX47" s="117"/>
      <c r="AY47" s="117"/>
      <c r="AZ47" s="117"/>
      <c r="BA47" s="117"/>
      <c r="BB47" s="117"/>
    </row>
    <row r="48" spans="5:54" ht="16" outlineLevel="1" thickTop="1" thickBot="1">
      <c r="E48" s="74">
        <f t="shared" si="5"/>
        <v>38</v>
      </c>
      <c r="F48" s="75">
        <f t="shared" si="6"/>
        <v>45689</v>
      </c>
      <c r="G48" s="74">
        <f t="shared" si="0"/>
        <v>13</v>
      </c>
      <c r="H48" s="74" t="str">
        <f t="shared" si="1"/>
        <v>Q1-25</v>
      </c>
      <c r="I48" s="74">
        <f t="shared" si="7"/>
        <v>4</v>
      </c>
      <c r="J48" s="74">
        <f t="shared" si="2"/>
        <v>2025</v>
      </c>
      <c r="L48" s="82">
        <f>IF(I49&lt;iGeneral!F$25,1,L47*(1+L$10/12))</f>
        <v>1.0635531541512409</v>
      </c>
      <c r="M48" s="82">
        <f>IF(I47&lt;iGeneral!F$26,1,M47*(1+M$10/12))</f>
        <v>1.0210430038070957</v>
      </c>
      <c r="N48" s="82">
        <f>IF(I47&lt;iGeneral!F$27,1,N47*(1+N$10/12))</f>
        <v>1</v>
      </c>
      <c r="O48" s="82">
        <f>IFERROR(IF(I47&lt;iGeneral!F$28,1,O47*(1+O$10/12)),1)</f>
        <v>1</v>
      </c>
      <c r="P48" s="82">
        <f>IFERROR(IF(DATA!$I48&lt;iGeneral!F$29,1,P47*(1+P$10/12)),1)</f>
        <v>1</v>
      </c>
      <c r="T48" s="80"/>
      <c r="U48"/>
      <c r="Y48" s="109"/>
      <c r="Z48" s="109" t="str" cm="1">
        <f t="array" ref="Z48">IFERROR(TRANSPOSE(_xlfn._xlws.SORT(_xlfn._xlws.FILTER($R$11:$R$45,$S$11:$S$45=iMPC!P47))),0)</f>
        <v>x</v>
      </c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Q48" s="114" t="s">
        <v>98</v>
      </c>
      <c r="AR48" s="114" t="s">
        <v>125</v>
      </c>
      <c r="AT48" s="121"/>
      <c r="AU48" s="117"/>
      <c r="AV48" s="117"/>
      <c r="AW48" s="117"/>
      <c r="AX48" s="117"/>
      <c r="AY48" s="117"/>
      <c r="AZ48" s="117"/>
      <c r="BA48" s="117"/>
      <c r="BB48" s="117"/>
    </row>
    <row r="49" spans="5:44" ht="16" outlineLevel="1" thickTop="1" thickBot="1">
      <c r="E49" s="74">
        <f t="shared" si="5"/>
        <v>39</v>
      </c>
      <c r="F49" s="75">
        <f t="shared" si="6"/>
        <v>45717</v>
      </c>
      <c r="G49" s="74">
        <f t="shared" si="0"/>
        <v>13</v>
      </c>
      <c r="H49" s="74" t="str">
        <f t="shared" si="1"/>
        <v>Q1-25</v>
      </c>
      <c r="I49" s="74">
        <f t="shared" si="7"/>
        <v>4</v>
      </c>
      <c r="J49" s="74">
        <f t="shared" si="2"/>
        <v>2025</v>
      </c>
      <c r="L49" s="82">
        <f>IF(I50&lt;iGeneral!F$25,1,L48*(1+L$10/12))</f>
        <v>1.0653257427414931</v>
      </c>
      <c r="M49" s="82">
        <f>IF(I48&lt;iGeneral!F$26,1,M48*(1+M$10/12))</f>
        <v>1.0218938729769349</v>
      </c>
      <c r="N49" s="82">
        <f>IF(I48&lt;iGeneral!F$27,1,N48*(1+N$10/12))</f>
        <v>1</v>
      </c>
      <c r="O49" s="82">
        <f>IFERROR(IF(I48&lt;iGeneral!F$28,1,O48*(1+O$10/12)),1)</f>
        <v>1</v>
      </c>
      <c r="P49" s="82">
        <f>IFERROR(IF(DATA!$I49&lt;iGeneral!F$29,1,P48*(1+P$10/12)),1)</f>
        <v>1</v>
      </c>
      <c r="T49" s="80"/>
      <c r="U49"/>
      <c r="Y49" s="109"/>
      <c r="Z49" s="109" t="str" cm="1">
        <f t="array" ref="Z49:AM49">IFERROR(TRANSPOSE(_xlfn._xlws.SORT(_xlfn._xlws.FILTER($R$11:$R$45,$S$11:$S$45=iMPC!P48))),0)</f>
        <v>40x110</v>
      </c>
      <c r="AA49" s="109" t="str">
        <v>40x115</v>
      </c>
      <c r="AB49" s="109" t="str">
        <v>45x105</v>
      </c>
      <c r="AC49" s="109" t="str">
        <v>45x110</v>
      </c>
      <c r="AD49" s="109" t="str">
        <v>45x115</v>
      </c>
      <c r="AE49" s="109" t="str">
        <v>45x120</v>
      </c>
      <c r="AF49" s="109" t="str">
        <v>50x110</v>
      </c>
      <c r="AG49" s="109" t="str">
        <v>50x115</v>
      </c>
      <c r="AH49" s="109" t="str">
        <v>50x120</v>
      </c>
      <c r="AI49" s="109" t="str">
        <v>50x125</v>
      </c>
      <c r="AJ49" s="109" t="str">
        <v>55x115</v>
      </c>
      <c r="AK49" s="109" t="str">
        <v>55x120</v>
      </c>
      <c r="AL49" s="109" t="str">
        <v>55x125</v>
      </c>
      <c r="AM49" s="109" t="str">
        <v>55x130</v>
      </c>
      <c r="AN49" s="109"/>
      <c r="AO49" s="109"/>
      <c r="AQ49" s="114" t="s">
        <v>98</v>
      </c>
      <c r="AR49" s="114" t="s">
        <v>126</v>
      </c>
    </row>
    <row r="50" spans="5:44" ht="16" outlineLevel="1" thickTop="1" thickBot="1">
      <c r="E50" s="74">
        <f t="shared" si="5"/>
        <v>40</v>
      </c>
      <c r="F50" s="75">
        <f t="shared" si="6"/>
        <v>45748</v>
      </c>
      <c r="G50" s="74">
        <f t="shared" si="0"/>
        <v>14</v>
      </c>
      <c r="H50" s="74" t="str">
        <f t="shared" si="1"/>
        <v>Q2-25</v>
      </c>
      <c r="I50" s="74">
        <f t="shared" si="7"/>
        <v>4</v>
      </c>
      <c r="J50" s="74">
        <f t="shared" si="2"/>
        <v>2025</v>
      </c>
      <c r="L50" s="82">
        <f>IF(I51&lt;iGeneral!F$25,1,L49*(1+L$10/12))</f>
        <v>1.0671012856460622</v>
      </c>
      <c r="M50" s="82">
        <f>IF(I49&lt;iGeneral!F$26,1,M49*(1+M$10/12))</f>
        <v>1.0227454512044156</v>
      </c>
      <c r="N50" s="82">
        <f>IF(I49&lt;iGeneral!F$27,1,N49*(1+N$10/12))</f>
        <v>1</v>
      </c>
      <c r="O50" s="82">
        <f>IFERROR(IF(I49&lt;iGeneral!F$28,1,O49*(1+O$10/12)),1)</f>
        <v>1</v>
      </c>
      <c r="P50" s="82">
        <f>IFERROR(IF(DATA!$I50&lt;iGeneral!F$29,1,P49*(1+P$10/12)),1)</f>
        <v>1</v>
      </c>
      <c r="T50" s="80"/>
      <c r="U50"/>
      <c r="Y50" s="109"/>
      <c r="Z50" s="109" t="str" cm="1">
        <f t="array" ref="Z50:AM50">IFERROR(TRANSPOSE(_xlfn._xlws.SORT(_xlfn._xlws.FILTER($R$11:$R$45,$S$11:$S$45=iMPC!P49))),0)</f>
        <v>40x110</v>
      </c>
      <c r="AA50" s="109" t="str">
        <v>40x115</v>
      </c>
      <c r="AB50" s="109" t="str">
        <v>45x105</v>
      </c>
      <c r="AC50" s="109" t="str">
        <v>45x110</v>
      </c>
      <c r="AD50" s="109" t="str">
        <v>45x115</v>
      </c>
      <c r="AE50" s="109" t="str">
        <v>45x120</v>
      </c>
      <c r="AF50" s="109" t="str">
        <v>50x110</v>
      </c>
      <c r="AG50" s="109" t="str">
        <v>50x115</v>
      </c>
      <c r="AH50" s="109" t="str">
        <v>50x120</v>
      </c>
      <c r="AI50" s="109" t="str">
        <v>50x125</v>
      </c>
      <c r="AJ50" s="109" t="str">
        <v>55x115</v>
      </c>
      <c r="AK50" s="109" t="str">
        <v>55x120</v>
      </c>
      <c r="AL50" s="109" t="str">
        <v>55x125</v>
      </c>
      <c r="AM50" s="109" t="str">
        <v>55x130</v>
      </c>
      <c r="AN50" s="109"/>
      <c r="AO50" s="109"/>
      <c r="AQ50" s="114" t="s">
        <v>98</v>
      </c>
      <c r="AR50" s="114" t="s">
        <v>127</v>
      </c>
    </row>
    <row r="51" spans="5:44" ht="16" outlineLevel="1" thickTop="1" thickBot="1">
      <c r="E51" s="74">
        <f t="shared" si="5"/>
        <v>41</v>
      </c>
      <c r="F51" s="75">
        <f t="shared" si="6"/>
        <v>45778</v>
      </c>
      <c r="G51" s="74">
        <f t="shared" si="0"/>
        <v>14</v>
      </c>
      <c r="H51" s="74" t="str">
        <f t="shared" si="1"/>
        <v>Q2-25</v>
      </c>
      <c r="I51" s="74">
        <f t="shared" si="7"/>
        <v>4</v>
      </c>
      <c r="J51" s="74">
        <f t="shared" si="2"/>
        <v>2025</v>
      </c>
      <c r="L51" s="82">
        <f>IF(I52&lt;iGeneral!F$25,1,L50*(1+L$10/12))</f>
        <v>1.0688797877888057</v>
      </c>
      <c r="M51" s="82">
        <f>IF(I50&lt;iGeneral!F$26,1,M50*(1+M$10/12))</f>
        <v>1.0235977390804192</v>
      </c>
      <c r="N51" s="82">
        <f>IF(I50&lt;iGeneral!F$27,1,N50*(1+N$10/12))</f>
        <v>1</v>
      </c>
      <c r="O51" s="82">
        <f>IFERROR(IF(I50&lt;iGeneral!F$28,1,O50*(1+O$10/12)),1)</f>
        <v>1</v>
      </c>
      <c r="P51" s="82">
        <f>IFERROR(IF(DATA!$I51&lt;iGeneral!F$29,1,P50*(1+P$10/12)),1)</f>
        <v>1</v>
      </c>
      <c r="T51" s="80"/>
      <c r="U51"/>
      <c r="Y51" s="109"/>
      <c r="Z51" s="109" t="str" cm="1">
        <f t="array" ref="Z51:AM51">IFERROR(TRANSPOSE(_xlfn._xlws.SORT(_xlfn._xlws.FILTER($R$11:$R$45,$S$11:$S$45=iMPC!P50))),0)</f>
        <v>40x110</v>
      </c>
      <c r="AA51" s="109" t="str">
        <v>40x115</v>
      </c>
      <c r="AB51" s="109" t="str">
        <v>45x105</v>
      </c>
      <c r="AC51" s="109" t="str">
        <v>45x110</v>
      </c>
      <c r="AD51" s="109" t="str">
        <v>45x115</v>
      </c>
      <c r="AE51" s="109" t="str">
        <v>45x120</v>
      </c>
      <c r="AF51" s="109" t="str">
        <v>50x110</v>
      </c>
      <c r="AG51" s="109" t="str">
        <v>50x115</v>
      </c>
      <c r="AH51" s="109" t="str">
        <v>50x120</v>
      </c>
      <c r="AI51" s="109" t="str">
        <v>50x125</v>
      </c>
      <c r="AJ51" s="109" t="str">
        <v>55x115</v>
      </c>
      <c r="AK51" s="109" t="str">
        <v>55x120</v>
      </c>
      <c r="AL51" s="109" t="str">
        <v>55x125</v>
      </c>
      <c r="AM51" s="109" t="str">
        <v>55x130</v>
      </c>
      <c r="AN51" s="109"/>
      <c r="AO51" s="109"/>
      <c r="AQ51" s="114" t="s">
        <v>98</v>
      </c>
      <c r="AR51" s="114" t="s">
        <v>128</v>
      </c>
    </row>
    <row r="52" spans="5:44" ht="16" outlineLevel="1" thickTop="1" thickBot="1">
      <c r="E52" s="74">
        <f t="shared" si="5"/>
        <v>42</v>
      </c>
      <c r="F52" s="75">
        <f t="shared" si="6"/>
        <v>45809</v>
      </c>
      <c r="G52" s="74">
        <f t="shared" si="0"/>
        <v>14</v>
      </c>
      <c r="H52" s="74" t="str">
        <f t="shared" si="1"/>
        <v>Q2-25</v>
      </c>
      <c r="I52" s="74">
        <f t="shared" si="7"/>
        <v>4</v>
      </c>
      <c r="J52" s="74">
        <f t="shared" si="2"/>
        <v>2025</v>
      </c>
      <c r="L52" s="82">
        <f>IF(I53&lt;iGeneral!F$25,1,L51*(1+L$10/12))</f>
        <v>1.070661254101787</v>
      </c>
      <c r="M52" s="82">
        <f>IF(I51&lt;iGeneral!F$26,1,M51*(1+M$10/12))</f>
        <v>1.0244507371963194</v>
      </c>
      <c r="N52" s="82">
        <f>IF(I51&lt;iGeneral!F$27,1,N51*(1+N$10/12))</f>
        <v>1</v>
      </c>
      <c r="O52" s="82">
        <f>IFERROR(IF(I51&lt;iGeneral!F$28,1,O51*(1+O$10/12)),1)</f>
        <v>1</v>
      </c>
      <c r="P52" s="82">
        <f>IFERROR(IF(DATA!$I52&lt;iGeneral!F$29,1,P51*(1+P$10/12)),1)</f>
        <v>1</v>
      </c>
      <c r="T52" s="80"/>
      <c r="U52"/>
      <c r="Y52" s="109"/>
      <c r="Z52" s="109" t="str" cm="1">
        <f t="array" ref="Z52">IFERROR(TRANSPOSE(_xlfn._xlws.SORT(_xlfn._xlws.FILTER($R$11:$R$45,$S$11:$S$45=iMPC!P51))),0)</f>
        <v>x</v>
      </c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Q52" s="114" t="s">
        <v>98</v>
      </c>
      <c r="AR52" s="114" t="s">
        <v>129</v>
      </c>
    </row>
    <row r="53" spans="5:44" ht="16" outlineLevel="1" thickTop="1" thickBot="1">
      <c r="E53" s="74">
        <f t="shared" si="5"/>
        <v>43</v>
      </c>
      <c r="F53" s="75">
        <f t="shared" si="6"/>
        <v>45839</v>
      </c>
      <c r="G53" s="74">
        <f t="shared" si="0"/>
        <v>15</v>
      </c>
      <c r="H53" s="74" t="str">
        <f t="shared" si="1"/>
        <v>Q2-25</v>
      </c>
      <c r="I53" s="74">
        <f t="shared" si="7"/>
        <v>4</v>
      </c>
      <c r="J53" s="74">
        <f t="shared" si="2"/>
        <v>2025</v>
      </c>
      <c r="L53" s="82">
        <f>IF(I54&lt;iGeneral!F$25,1,L52*(1+L$10/12))</f>
        <v>1.0724456895252901</v>
      </c>
      <c r="M53" s="82">
        <f>IF(I52&lt;iGeneral!F$26,1,M52*(1+M$10/12))</f>
        <v>1.0253044461439829</v>
      </c>
      <c r="N53" s="82">
        <f>IF(I52&lt;iGeneral!F$27,1,N52*(1+N$10/12))</f>
        <v>1</v>
      </c>
      <c r="O53" s="82">
        <f>IFERROR(IF(I52&lt;iGeneral!F$28,1,O52*(1+O$10/12)),1)</f>
        <v>1</v>
      </c>
      <c r="P53" s="82">
        <f>IFERROR(IF(DATA!$I53&lt;iGeneral!F$29,1,P52*(1+P$10/12)),1)</f>
        <v>1</v>
      </c>
      <c r="T53" s="80"/>
      <c r="U53"/>
      <c r="Y53" s="109"/>
      <c r="Z53" s="109" t="str" cm="1">
        <f t="array" ref="Z53:AM53">IFERROR(TRANSPOSE(_xlfn._xlws.SORT(_xlfn._xlws.FILTER($R$11:$R$45,$S$11:$S$45=iMPC!P52))),0)</f>
        <v>40x110</v>
      </c>
      <c r="AA53" s="109" t="str">
        <v>40x115</v>
      </c>
      <c r="AB53" s="109" t="str">
        <v>45x105</v>
      </c>
      <c r="AC53" s="109" t="str">
        <v>45x110</v>
      </c>
      <c r="AD53" s="109" t="str">
        <v>45x115</v>
      </c>
      <c r="AE53" s="109" t="str">
        <v>45x120</v>
      </c>
      <c r="AF53" s="109" t="str">
        <v>50x110</v>
      </c>
      <c r="AG53" s="109" t="str">
        <v>50x115</v>
      </c>
      <c r="AH53" s="109" t="str">
        <v>50x120</v>
      </c>
      <c r="AI53" s="109" t="str">
        <v>50x125</v>
      </c>
      <c r="AJ53" s="109" t="str">
        <v>55x115</v>
      </c>
      <c r="AK53" s="109" t="str">
        <v>55x120</v>
      </c>
      <c r="AL53" s="109" t="str">
        <v>55x125</v>
      </c>
      <c r="AM53" s="109" t="str">
        <v>55x130</v>
      </c>
      <c r="AN53" s="109"/>
      <c r="AO53" s="109"/>
      <c r="AQ53" s="114" t="s">
        <v>98</v>
      </c>
      <c r="AR53" s="114" t="s">
        <v>130</v>
      </c>
    </row>
    <row r="54" spans="5:44" ht="16" outlineLevel="1" thickTop="1" thickBot="1">
      <c r="E54" s="74">
        <f t="shared" si="5"/>
        <v>44</v>
      </c>
      <c r="F54" s="75">
        <f t="shared" si="6"/>
        <v>45870</v>
      </c>
      <c r="G54" s="74">
        <f t="shared" si="0"/>
        <v>15</v>
      </c>
      <c r="H54" s="74" t="str">
        <f t="shared" si="1"/>
        <v>Q3-25</v>
      </c>
      <c r="I54" s="74">
        <f t="shared" si="7"/>
        <v>4</v>
      </c>
      <c r="J54" s="74">
        <f t="shared" si="2"/>
        <v>2025</v>
      </c>
      <c r="L54" s="82">
        <f>IF(I55&lt;iGeneral!F$25,1,L53*(1+L$10/12))</f>
        <v>1.0742330990078324</v>
      </c>
      <c r="M54" s="82">
        <f>IF(I53&lt;iGeneral!F$26,1,M53*(1+M$10/12))</f>
        <v>1.0261588665157695</v>
      </c>
      <c r="N54" s="82">
        <f>IF(I53&lt;iGeneral!F$27,1,N53*(1+N$10/12))</f>
        <v>1</v>
      </c>
      <c r="O54" s="82">
        <f>IFERROR(IF(I53&lt;iGeneral!F$28,1,O53*(1+O$10/12)),1)</f>
        <v>1</v>
      </c>
      <c r="P54" s="82">
        <f>IFERROR(IF(DATA!$I54&lt;iGeneral!F$29,1,P53*(1+P$10/12)),1)</f>
        <v>1</v>
      </c>
      <c r="T54" s="80"/>
      <c r="U54"/>
      <c r="Y54" s="109"/>
      <c r="Z54" s="109" t="str" cm="1">
        <f t="array" ref="Z54:AM54">IFERROR(TRANSPOSE(_xlfn._xlws.SORT(_xlfn._xlws.FILTER($R$11:$R$45,$S$11:$S$45=iMPC!P53))),0)</f>
        <v>40x110</v>
      </c>
      <c r="AA54" s="109" t="str">
        <v>40x115</v>
      </c>
      <c r="AB54" s="109" t="str">
        <v>45x105</v>
      </c>
      <c r="AC54" s="109" t="str">
        <v>45x110</v>
      </c>
      <c r="AD54" s="109" t="str">
        <v>45x115</v>
      </c>
      <c r="AE54" s="109" t="str">
        <v>45x120</v>
      </c>
      <c r="AF54" s="109" t="str">
        <v>50x110</v>
      </c>
      <c r="AG54" s="109" t="str">
        <v>50x115</v>
      </c>
      <c r="AH54" s="109" t="str">
        <v>50x120</v>
      </c>
      <c r="AI54" s="109" t="str">
        <v>50x125</v>
      </c>
      <c r="AJ54" s="109" t="str">
        <v>55x115</v>
      </c>
      <c r="AK54" s="109" t="str">
        <v>55x120</v>
      </c>
      <c r="AL54" s="109" t="str">
        <v>55x125</v>
      </c>
      <c r="AM54" s="109" t="str">
        <v>55x130</v>
      </c>
      <c r="AN54" s="109"/>
      <c r="AO54" s="109"/>
      <c r="AQ54" s="114" t="s">
        <v>98</v>
      </c>
      <c r="AR54" s="114" t="s">
        <v>131</v>
      </c>
    </row>
    <row r="55" spans="5:44" ht="16" outlineLevel="1" thickTop="1" thickBot="1">
      <c r="E55" s="74">
        <f t="shared" si="5"/>
        <v>45</v>
      </c>
      <c r="F55" s="75">
        <f t="shared" si="6"/>
        <v>45901</v>
      </c>
      <c r="G55" s="74">
        <f t="shared" si="0"/>
        <v>15</v>
      </c>
      <c r="H55" s="74" t="str">
        <f t="shared" si="1"/>
        <v>Q3-25</v>
      </c>
      <c r="I55" s="74">
        <f t="shared" si="7"/>
        <v>4</v>
      </c>
      <c r="J55" s="74">
        <f t="shared" si="2"/>
        <v>2025</v>
      </c>
      <c r="L55" s="82">
        <f>IF(I56&lt;iGeneral!F$25,1,L54*(1+L$10/12))</f>
        <v>1.0760234875061787</v>
      </c>
      <c r="M55" s="82">
        <f>IF(I54&lt;iGeneral!F$26,1,M54*(1+M$10/12))</f>
        <v>1.0270139989045326</v>
      </c>
      <c r="N55" s="82">
        <f>IF(I54&lt;iGeneral!F$27,1,N54*(1+N$10/12))</f>
        <v>1</v>
      </c>
      <c r="O55" s="82">
        <f>IFERROR(IF(I54&lt;iGeneral!F$28,1,O54*(1+O$10/12)),1)</f>
        <v>1</v>
      </c>
      <c r="P55" s="82">
        <f>IFERROR(IF(DATA!$I55&lt;iGeneral!F$29,1,P54*(1+P$10/12)),1)</f>
        <v>1</v>
      </c>
      <c r="T55" s="80"/>
      <c r="U55"/>
      <c r="Y55" s="109"/>
      <c r="Z55" s="109" t="str" cm="1">
        <f t="array" ref="Z55:AO55">IFERROR(TRANSPOSE(_xlfn._xlws.SORT(_xlfn._xlws.FILTER($R$11:$R$45,$S$11:$S$45=iMPC!P54))),0)</f>
        <v>60x115</v>
      </c>
      <c r="AA55" s="109" t="str">
        <v>60x120</v>
      </c>
      <c r="AB55" s="109" t="str">
        <v>60x125</v>
      </c>
      <c r="AC55" s="109" t="str">
        <v>60x130</v>
      </c>
      <c r="AD55" s="109" t="str">
        <v>65x120</v>
      </c>
      <c r="AE55" s="109" t="str">
        <v>65x125</v>
      </c>
      <c r="AF55" s="109" t="str">
        <v>70x125</v>
      </c>
      <c r="AG55" s="109" t="str">
        <v>70x130</v>
      </c>
      <c r="AH55" s="109" t="str">
        <v>70x135</v>
      </c>
      <c r="AI55" s="109" t="str">
        <v>80x125</v>
      </c>
      <c r="AJ55" s="109" t="str">
        <v>80x130</v>
      </c>
      <c r="AK55" s="109" t="str">
        <v>80x135</v>
      </c>
      <c r="AL55" s="109" t="str">
        <v>80x140</v>
      </c>
      <c r="AM55" s="109" t="str">
        <v>90x130</v>
      </c>
      <c r="AN55" s="109" t="str">
        <v>90x135</v>
      </c>
      <c r="AO55" s="109" t="str">
        <v>90x140</v>
      </c>
      <c r="AQ55" s="114" t="s">
        <v>98</v>
      </c>
      <c r="AR55" s="114" t="s">
        <v>29</v>
      </c>
    </row>
    <row r="56" spans="5:44" ht="16" outlineLevel="1" thickTop="1" thickBot="1">
      <c r="E56" s="74">
        <f t="shared" si="5"/>
        <v>46</v>
      </c>
      <c r="F56" s="75">
        <f t="shared" si="6"/>
        <v>45931</v>
      </c>
      <c r="G56" s="74">
        <f t="shared" si="0"/>
        <v>16</v>
      </c>
      <c r="H56" s="74" t="str">
        <f t="shared" si="1"/>
        <v>Q3-25</v>
      </c>
      <c r="I56" s="74">
        <f t="shared" si="7"/>
        <v>4</v>
      </c>
      <c r="J56" s="74">
        <f t="shared" si="2"/>
        <v>2025</v>
      </c>
      <c r="L56" s="82">
        <f>IF(I57&lt;iGeneral!F$25,1,L55*(1+L$10/12))</f>
        <v>1.0778168599853557</v>
      </c>
      <c r="M56" s="82">
        <f>IF(I55&lt;iGeneral!F$26,1,M55*(1+M$10/12))</f>
        <v>1.0278698439036196</v>
      </c>
      <c r="N56" s="82">
        <f>IF(I55&lt;iGeneral!F$27,1,N55*(1+N$10/12))</f>
        <v>1</v>
      </c>
      <c r="O56" s="82">
        <f>IFERROR(IF(I55&lt;iGeneral!F$28,1,O55*(1+O$10/12)),1)</f>
        <v>1</v>
      </c>
      <c r="P56" s="82">
        <f>IFERROR(IF(DATA!$I56&lt;iGeneral!F$29,1,P55*(1+P$10/12)),1)</f>
        <v>1</v>
      </c>
      <c r="T56" s="80"/>
      <c r="U56"/>
      <c r="Y56" s="109"/>
      <c r="Z56" s="109" t="str" cm="1">
        <f t="array" ref="Z56:AO56">IFERROR(TRANSPOSE(_xlfn._xlws.SORT(_xlfn._xlws.FILTER($R$11:$R$45,$S$11:$S$45=iMPC!P55))),0)</f>
        <v>60x115</v>
      </c>
      <c r="AA56" s="109" t="str">
        <v>60x120</v>
      </c>
      <c r="AB56" s="109" t="str">
        <v>60x125</v>
      </c>
      <c r="AC56" s="109" t="str">
        <v>60x130</v>
      </c>
      <c r="AD56" s="109" t="str">
        <v>65x120</v>
      </c>
      <c r="AE56" s="109" t="str">
        <v>65x125</v>
      </c>
      <c r="AF56" s="109" t="str">
        <v>70x125</v>
      </c>
      <c r="AG56" s="109" t="str">
        <v>70x130</v>
      </c>
      <c r="AH56" s="109" t="str">
        <v>70x135</v>
      </c>
      <c r="AI56" s="109" t="str">
        <v>80x125</v>
      </c>
      <c r="AJ56" s="109" t="str">
        <v>80x130</v>
      </c>
      <c r="AK56" s="109" t="str">
        <v>80x135</v>
      </c>
      <c r="AL56" s="109" t="str">
        <v>80x140</v>
      </c>
      <c r="AM56" s="109" t="str">
        <v>90x130</v>
      </c>
      <c r="AN56" s="109" t="str">
        <v>90x135</v>
      </c>
      <c r="AO56" s="109" t="str">
        <v>90x140</v>
      </c>
      <c r="AQ56" s="114" t="s">
        <v>99</v>
      </c>
      <c r="AR56" s="114" t="s">
        <v>104</v>
      </c>
    </row>
    <row r="57" spans="5:44" ht="16" outlineLevel="1" thickTop="1" thickBot="1">
      <c r="E57" s="74">
        <f t="shared" si="5"/>
        <v>47</v>
      </c>
      <c r="F57" s="75">
        <f t="shared" si="6"/>
        <v>45962</v>
      </c>
      <c r="G57" s="74">
        <f t="shared" si="0"/>
        <v>16</v>
      </c>
      <c r="H57" s="74" t="str">
        <f t="shared" si="1"/>
        <v>Q3-25</v>
      </c>
      <c r="I57" s="74">
        <f t="shared" si="7"/>
        <v>4</v>
      </c>
      <c r="J57" s="74">
        <f t="shared" si="2"/>
        <v>2025</v>
      </c>
      <c r="L57" s="82">
        <f>IF(I58&lt;iGeneral!F$25,1,L56*(1+L$10/12))</f>
        <v>1.0796132214186647</v>
      </c>
      <c r="M57" s="82">
        <f>IF(I56&lt;iGeneral!F$26,1,M56*(1+M$10/12))</f>
        <v>1.0287264021068725</v>
      </c>
      <c r="N57" s="82">
        <f>IF(I56&lt;iGeneral!F$27,1,N56*(1+N$10/12))</f>
        <v>1</v>
      </c>
      <c r="O57" s="82">
        <f>IFERROR(IF(I56&lt;iGeneral!F$28,1,O56*(1+O$10/12)),1)</f>
        <v>1</v>
      </c>
      <c r="P57" s="82">
        <f>IFERROR(IF(DATA!$I57&lt;iGeneral!F$29,1,P56*(1+P$10/12)),1)</f>
        <v>1</v>
      </c>
      <c r="T57" s="80"/>
      <c r="U57"/>
      <c r="Y57" s="109"/>
      <c r="Z57" s="109" t="str" cm="1">
        <f t="array" ref="Z57:AM57">IFERROR(TRANSPOSE(_xlfn._xlws.SORT(_xlfn._xlws.FILTER($R$11:$R$45,$S$11:$S$45=iMPC!P56))),0)</f>
        <v>40x110</v>
      </c>
      <c r="AA57" s="109" t="str">
        <v>40x115</v>
      </c>
      <c r="AB57" s="109" t="str">
        <v>45x105</v>
      </c>
      <c r="AC57" s="109" t="str">
        <v>45x110</v>
      </c>
      <c r="AD57" s="109" t="str">
        <v>45x115</v>
      </c>
      <c r="AE57" s="109" t="str">
        <v>45x120</v>
      </c>
      <c r="AF57" s="109" t="str">
        <v>50x110</v>
      </c>
      <c r="AG57" s="109" t="str">
        <v>50x115</v>
      </c>
      <c r="AH57" s="109" t="str">
        <v>50x120</v>
      </c>
      <c r="AI57" s="109" t="str">
        <v>50x125</v>
      </c>
      <c r="AJ57" s="109" t="str">
        <v>55x115</v>
      </c>
      <c r="AK57" s="109" t="str">
        <v>55x120</v>
      </c>
      <c r="AL57" s="109" t="str">
        <v>55x125</v>
      </c>
      <c r="AM57" s="109" t="str">
        <v>55x130</v>
      </c>
      <c r="AN57" s="109"/>
      <c r="AO57" s="109"/>
      <c r="AQ57" s="114" t="s">
        <v>99</v>
      </c>
      <c r="AR57" s="114" t="s">
        <v>110</v>
      </c>
    </row>
    <row r="58" spans="5:44" ht="16" outlineLevel="1" thickTop="1" thickBot="1">
      <c r="E58" s="74">
        <f t="shared" si="5"/>
        <v>48</v>
      </c>
      <c r="F58" s="75">
        <f t="shared" si="6"/>
        <v>45992</v>
      </c>
      <c r="G58" s="74">
        <f t="shared" si="0"/>
        <v>16</v>
      </c>
      <c r="H58" s="74" t="str">
        <f t="shared" si="1"/>
        <v>Q4-25</v>
      </c>
      <c r="I58" s="74">
        <f t="shared" si="7"/>
        <v>4</v>
      </c>
      <c r="J58" s="74">
        <f t="shared" si="2"/>
        <v>2025</v>
      </c>
      <c r="L58" s="82">
        <f>IF(I59&lt;iGeneral!F$25,1,L57*(1+L$10/12))</f>
        <v>1.0814125767876959</v>
      </c>
      <c r="M58" s="82">
        <f>IF(I57&lt;iGeneral!F$26,1,M57*(1+M$10/12))</f>
        <v>1.0295836741086282</v>
      </c>
      <c r="N58" s="82">
        <f>IF(I57&lt;iGeneral!F$27,1,N57*(1+N$10/12))</f>
        <v>1</v>
      </c>
      <c r="O58" s="82">
        <f>IFERROR(IF(I57&lt;iGeneral!F$28,1,O57*(1+O$10/12)),1)</f>
        <v>1</v>
      </c>
      <c r="P58" s="82">
        <f>IFERROR(IF(DATA!$I58&lt;iGeneral!F$29,1,P57*(1+P$10/12)),1)</f>
        <v>1</v>
      </c>
      <c r="T58" s="80"/>
      <c r="U58"/>
      <c r="Y58" s="109"/>
      <c r="Z58" s="109" t="str" cm="1">
        <f t="array" ref="Z58">IFERROR(TRANSPOSE(_xlfn._xlws.SORT(_xlfn._xlws.FILTER($R$11:$R$45,$S$11:$S$45=iMPC!P57))),0)</f>
        <v>x</v>
      </c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Q58" s="114" t="s">
        <v>99</v>
      </c>
      <c r="AR58" s="114" t="s">
        <v>29</v>
      </c>
    </row>
    <row r="59" spans="5:44" ht="16" outlineLevel="1" thickTop="1" thickBot="1">
      <c r="E59" s="74">
        <f t="shared" si="5"/>
        <v>49</v>
      </c>
      <c r="F59" s="75">
        <f t="shared" si="6"/>
        <v>46023</v>
      </c>
      <c r="G59" s="74">
        <f t="shared" si="0"/>
        <v>17</v>
      </c>
      <c r="H59" s="74" t="str">
        <f t="shared" si="1"/>
        <v>Q1-26</v>
      </c>
      <c r="I59" s="74">
        <f t="shared" si="7"/>
        <v>5</v>
      </c>
      <c r="J59" s="74">
        <f t="shared" si="2"/>
        <v>2026</v>
      </c>
      <c r="L59" s="82">
        <f>IF(I60&lt;iGeneral!F$25,1,L58*(1+L$10/12))</f>
        <v>1.083214931082342</v>
      </c>
      <c r="M59" s="82">
        <f>IF(I58&lt;iGeneral!F$26,1,M58*(1+M$10/12))</f>
        <v>1.0304416605037185</v>
      </c>
      <c r="N59" s="82">
        <f>IF(I58&lt;iGeneral!F$27,1,N58*(1+N$10/12))</f>
        <v>1</v>
      </c>
      <c r="O59" s="82">
        <f>IFERROR(IF(I58&lt;iGeneral!F$28,1,O58*(1+O$10/12)),1)</f>
        <v>1</v>
      </c>
      <c r="P59" s="82">
        <f>IFERROR(IF(DATA!$I59&lt;iGeneral!F$29,1,P58*(1+P$10/12)),1)</f>
        <v>1</v>
      </c>
      <c r="T59" s="80"/>
      <c r="U59"/>
      <c r="Y59" s="109"/>
      <c r="Z59" s="109" cm="1">
        <f t="array" ref="Z59">IFERROR(TRANSPOSE(_xlfn._xlws.SORT(_xlfn._xlws.FILTER($R$11:$R$45,$S$11:$S$45=iMPC!#REF!))),0)</f>
        <v>0</v>
      </c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Q59" s="114" t="s">
        <v>56</v>
      </c>
      <c r="AR59" s="114" t="s">
        <v>105</v>
      </c>
    </row>
    <row r="60" spans="5:44" ht="16" outlineLevel="1" thickTop="1" thickBot="1">
      <c r="E60" s="74">
        <f t="shared" si="5"/>
        <v>50</v>
      </c>
      <c r="F60" s="75">
        <f t="shared" si="6"/>
        <v>46054</v>
      </c>
      <c r="G60" s="74">
        <f t="shared" si="0"/>
        <v>17</v>
      </c>
      <c r="H60" s="74" t="str">
        <f t="shared" si="1"/>
        <v>Q1-26</v>
      </c>
      <c r="I60" s="74">
        <f t="shared" si="7"/>
        <v>5</v>
      </c>
      <c r="J60" s="74">
        <f t="shared" si="2"/>
        <v>2026</v>
      </c>
      <c r="L60" s="82">
        <f>IF(I61&lt;iGeneral!F$25,1,L59*(1+L$10/12))</f>
        <v>1.0850202893008127</v>
      </c>
      <c r="M60" s="82">
        <f>IF(I59&lt;iGeneral!F$26,1,M59*(1+M$10/12))</f>
        <v>1.0313003618874717</v>
      </c>
      <c r="N60" s="82">
        <f>IF(I59&lt;iGeneral!F$27,1,N59*(1+N$10/12))</f>
        <v>1</v>
      </c>
      <c r="O60" s="82">
        <f>IFERROR(IF(I59&lt;iGeneral!F$28,1,O59*(1+O$10/12)),1)</f>
        <v>1</v>
      </c>
      <c r="P60" s="82">
        <f>IFERROR(IF(DATA!$I60&lt;iGeneral!F$29,1,P59*(1+P$10/12)),1)</f>
        <v>1</v>
      </c>
      <c r="T60" s="80"/>
      <c r="U60"/>
      <c r="Y60" s="109"/>
      <c r="Z60" s="109" cm="1">
        <f t="array" ref="Z60">IFERROR(TRANSPOSE(_xlfn._xlws.SORT(_xlfn._xlws.FILTER($R$11:$R$45,$S$11:$S$45=iMPC!#REF!))),0)</f>
        <v>0</v>
      </c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Q60" s="114" t="s">
        <v>56</v>
      </c>
      <c r="AR60" s="114" t="s">
        <v>111</v>
      </c>
    </row>
    <row r="61" spans="5:44" ht="16" outlineLevel="1" thickTop="1" thickBot="1">
      <c r="E61" s="74">
        <f t="shared" si="5"/>
        <v>51</v>
      </c>
      <c r="F61" s="75">
        <f t="shared" si="6"/>
        <v>46082</v>
      </c>
      <c r="G61" s="74">
        <f t="shared" si="0"/>
        <v>17</v>
      </c>
      <c r="H61" s="74" t="str">
        <f t="shared" si="1"/>
        <v>Q1-26</v>
      </c>
      <c r="I61" s="74">
        <f t="shared" si="7"/>
        <v>5</v>
      </c>
      <c r="J61" s="74">
        <f t="shared" si="2"/>
        <v>2026</v>
      </c>
      <c r="L61" s="82">
        <f>IF(I62&lt;iGeneral!F$25,1,L60*(1+L$10/12))</f>
        <v>1.0868286564496474</v>
      </c>
      <c r="M61" s="82">
        <f>IF(I60&lt;iGeneral!F$26,1,M60*(1+M$10/12))</f>
        <v>1.0321597788557111</v>
      </c>
      <c r="N61" s="82">
        <f>IF(I60&lt;iGeneral!F$27,1,N60*(1+N$10/12))</f>
        <v>1</v>
      </c>
      <c r="O61" s="82">
        <f>IFERROR(IF(I60&lt;iGeneral!F$28,1,O60*(1+O$10/12)),1)</f>
        <v>1</v>
      </c>
      <c r="P61" s="82">
        <f>IFERROR(IF(DATA!$I61&lt;iGeneral!F$29,1,P60*(1+P$10/12)),1)</f>
        <v>1</v>
      </c>
      <c r="T61" s="80"/>
      <c r="U61"/>
      <c r="Y61" s="109"/>
      <c r="Z61" s="109" cm="1">
        <f t="array" ref="Z61">IFERROR(TRANSPOSE(_xlfn._xlws.SORT(_xlfn._xlws.FILTER($R$11:$R$45,$S$11:$S$45=iMPC!#REF!))),0)</f>
        <v>0</v>
      </c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Q61" s="114" t="s">
        <v>56</v>
      </c>
      <c r="AR61" s="114" t="s">
        <v>115</v>
      </c>
    </row>
    <row r="62" spans="5:44" ht="16" outlineLevel="1" thickTop="1" thickBot="1">
      <c r="E62" s="74">
        <f t="shared" si="5"/>
        <v>52</v>
      </c>
      <c r="F62" s="75">
        <f t="shared" si="6"/>
        <v>46113</v>
      </c>
      <c r="G62" s="74">
        <f t="shared" si="0"/>
        <v>18</v>
      </c>
      <c r="H62" s="74" t="str">
        <f t="shared" si="1"/>
        <v>Q2-26</v>
      </c>
      <c r="I62" s="74">
        <f t="shared" si="7"/>
        <v>5</v>
      </c>
      <c r="J62" s="74">
        <f t="shared" si="2"/>
        <v>2026</v>
      </c>
      <c r="L62" s="82">
        <f>IF(I63&lt;iGeneral!F$25,1,L61*(1+L$10/12))</f>
        <v>1.0886400375437302</v>
      </c>
      <c r="M62" s="82">
        <f>IF(I61&lt;iGeneral!F$26,1,M61*(1+M$10/12))</f>
        <v>1.0330199120047574</v>
      </c>
      <c r="N62" s="82">
        <f>IF(I61&lt;iGeneral!F$27,1,N61*(1+N$10/12))</f>
        <v>1</v>
      </c>
      <c r="O62" s="82">
        <f>IFERROR(IF(I61&lt;iGeneral!F$28,1,O61*(1+O$10/12)),1)</f>
        <v>1</v>
      </c>
      <c r="P62" s="82">
        <f>IFERROR(IF(DATA!$I62&lt;iGeneral!F$29,1,P61*(1+P$10/12)),1)</f>
        <v>1</v>
      </c>
      <c r="T62" s="80"/>
      <c r="U62"/>
      <c r="Y62" s="109"/>
      <c r="Z62" s="109" cm="1">
        <f t="array" ref="Z62">IFERROR(TRANSPOSE(_xlfn._xlws.SORT(_xlfn._xlws.FILTER($R$11:$R$45,$S$11:$S$45=iMPC!#REF!))),0)</f>
        <v>0</v>
      </c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Q62" s="114" t="s">
        <v>56</v>
      </c>
      <c r="AR62" s="114" t="s">
        <v>116</v>
      </c>
    </row>
    <row r="63" spans="5:44" ht="16" outlineLevel="1" thickTop="1" thickBot="1">
      <c r="E63" s="74">
        <f t="shared" si="5"/>
        <v>53</v>
      </c>
      <c r="F63" s="75">
        <f t="shared" si="6"/>
        <v>46143</v>
      </c>
      <c r="G63" s="74">
        <f t="shared" si="0"/>
        <v>18</v>
      </c>
      <c r="H63" s="74" t="str">
        <f t="shared" si="1"/>
        <v>Q2-26</v>
      </c>
      <c r="I63" s="74">
        <f t="shared" si="7"/>
        <v>5</v>
      </c>
      <c r="J63" s="74">
        <f t="shared" si="2"/>
        <v>2026</v>
      </c>
      <c r="L63" s="82">
        <f>IF(I64&lt;iGeneral!F$25,1,L62*(1+L$10/12))</f>
        <v>1.090454437606303</v>
      </c>
      <c r="M63" s="82">
        <f>IF(I62&lt;iGeneral!F$26,1,M62*(1+M$10/12))</f>
        <v>1.0338807619314279</v>
      </c>
      <c r="N63" s="82">
        <f>IF(I62&lt;iGeneral!F$27,1,N62*(1+N$10/12))</f>
        <v>1</v>
      </c>
      <c r="O63" s="82">
        <f>IFERROR(IF(I62&lt;iGeneral!F$28,1,O62*(1+O$10/12)),1)</f>
        <v>1</v>
      </c>
      <c r="P63" s="82">
        <f>IFERROR(IF(DATA!$I63&lt;iGeneral!F$29,1,P62*(1+P$10/12)),1)</f>
        <v>1</v>
      </c>
      <c r="T63" s="80"/>
      <c r="U63"/>
      <c r="Y63" s="109"/>
      <c r="Z63" s="109" cm="1">
        <f t="array" ref="Z63">IFERROR(TRANSPOSE(_xlfn._xlws.SORT(_xlfn._xlws.FILTER($R$11:$R$45,$S$11:$S$45=iMPC!#REF!))),0)</f>
        <v>0</v>
      </c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Q63" s="114" t="s">
        <v>56</v>
      </c>
      <c r="AR63" s="114" t="s">
        <v>120</v>
      </c>
    </row>
    <row r="64" spans="5:44" ht="16" outlineLevel="1" thickTop="1" thickBot="1">
      <c r="E64" s="74">
        <f t="shared" si="5"/>
        <v>54</v>
      </c>
      <c r="F64" s="75">
        <f t="shared" si="6"/>
        <v>46174</v>
      </c>
      <c r="G64" s="74">
        <f t="shared" si="0"/>
        <v>18</v>
      </c>
      <c r="H64" s="74" t="str">
        <f t="shared" si="1"/>
        <v>Q2-26</v>
      </c>
      <c r="I64" s="74">
        <f t="shared" si="7"/>
        <v>5</v>
      </c>
      <c r="J64" s="74">
        <f t="shared" si="2"/>
        <v>2026</v>
      </c>
      <c r="L64" s="82">
        <f>IF(I65&lt;iGeneral!F$25,1,L63*(1+L$10/12))</f>
        <v>1.0922718616689802</v>
      </c>
      <c r="M64" s="82">
        <f>IF(I63&lt;iGeneral!F$26,1,M63*(1+M$10/12))</f>
        <v>1.0347423292330373</v>
      </c>
      <c r="N64" s="82">
        <f>IF(I63&lt;iGeneral!F$27,1,N63*(1+N$10/12))</f>
        <v>1</v>
      </c>
      <c r="O64" s="82">
        <f>IFERROR(IF(I63&lt;iGeneral!F$28,1,O63*(1+O$10/12)),1)</f>
        <v>1</v>
      </c>
      <c r="P64" s="82">
        <f>IFERROR(IF(DATA!$I64&lt;iGeneral!F$29,1,P63*(1+P$10/12)),1)</f>
        <v>1</v>
      </c>
      <c r="T64" s="80"/>
      <c r="U64"/>
      <c r="Y64" s="109"/>
      <c r="Z64" s="109" cm="1">
        <f t="array" ref="Z64">IFERROR(TRANSPOSE(_xlfn._xlws.SORT(_xlfn._xlws.FILTER($R$11:$R$45,$S$11:$S$45=iMPC!#REF!))),0)</f>
        <v>0</v>
      </c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Q64" s="114" t="s">
        <v>56</v>
      </c>
      <c r="AR64" s="114" t="s">
        <v>122</v>
      </c>
    </row>
    <row r="65" spans="5:44" ht="16" outlineLevel="1" thickTop="1" thickBot="1">
      <c r="E65" s="74">
        <f t="shared" si="5"/>
        <v>55</v>
      </c>
      <c r="F65" s="75">
        <f t="shared" si="6"/>
        <v>46204</v>
      </c>
      <c r="G65" s="74">
        <f t="shared" si="0"/>
        <v>19</v>
      </c>
      <c r="H65" s="74" t="str">
        <f t="shared" si="1"/>
        <v>Q2-26</v>
      </c>
      <c r="I65" s="74">
        <f t="shared" si="7"/>
        <v>5</v>
      </c>
      <c r="J65" s="74">
        <f t="shared" si="2"/>
        <v>2026</v>
      </c>
      <c r="L65" s="82">
        <f>IF(I66&lt;iGeneral!F$25,1,L64*(1+L$10/12))</f>
        <v>1.0940923147717618</v>
      </c>
      <c r="M65" s="82">
        <f>IF(I64&lt;iGeneral!F$26,1,M64*(1+M$10/12))</f>
        <v>1.035604614507398</v>
      </c>
      <c r="N65" s="82">
        <f>IF(I64&lt;iGeneral!F$27,1,N64*(1+N$10/12))</f>
        <v>1</v>
      </c>
      <c r="O65" s="82">
        <f>IFERROR(IF(I64&lt;iGeneral!F$28,1,O64*(1+O$10/12)),1)</f>
        <v>1</v>
      </c>
      <c r="P65" s="82">
        <f>IFERROR(IF(DATA!$I65&lt;iGeneral!F$29,1,P64*(1+P$10/12)),1)</f>
        <v>1</v>
      </c>
      <c r="T65" s="80"/>
      <c r="U65"/>
      <c r="Y65" s="109"/>
      <c r="Z65" s="109" cm="1">
        <f t="array" ref="Z65">IFERROR(TRANSPOSE(_xlfn._xlws.SORT(_xlfn._xlws.FILTER($R$11:$R$45,$S$11:$S$45=iMPC!#REF!))),0)</f>
        <v>0</v>
      </c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Q65" s="114" t="s">
        <v>56</v>
      </c>
      <c r="AR65" s="114" t="s">
        <v>29</v>
      </c>
    </row>
    <row r="66" spans="5:44" ht="16" outlineLevel="1" thickTop="1" thickBot="1">
      <c r="E66" s="74">
        <f t="shared" si="5"/>
        <v>56</v>
      </c>
      <c r="F66" s="75">
        <f t="shared" si="6"/>
        <v>46235</v>
      </c>
      <c r="G66" s="74">
        <f t="shared" si="0"/>
        <v>19</v>
      </c>
      <c r="H66" s="74" t="str">
        <f t="shared" si="1"/>
        <v>Q3-26</v>
      </c>
      <c r="I66" s="74">
        <f t="shared" si="7"/>
        <v>5</v>
      </c>
      <c r="J66" s="74">
        <f t="shared" si="2"/>
        <v>2026</v>
      </c>
      <c r="L66" s="82">
        <f>IF(I67&lt;iGeneral!F$25,1,L65*(1+L$10/12))</f>
        <v>1.0959158019630482</v>
      </c>
      <c r="M66" s="82">
        <f>IF(I65&lt;iGeneral!F$26,1,M65*(1+M$10/12))</f>
        <v>1.0364676183528208</v>
      </c>
      <c r="N66" s="82">
        <f>IF(I65&lt;iGeneral!F$27,1,N65*(1+N$10/12))</f>
        <v>1</v>
      </c>
      <c r="O66" s="82">
        <f>IFERROR(IF(I65&lt;iGeneral!F$28,1,O65*(1+O$10/12)),1)</f>
        <v>1</v>
      </c>
      <c r="P66" s="82">
        <f>IFERROR(IF(DATA!$I66&lt;iGeneral!F$29,1,P65*(1+P$10/12)),1)</f>
        <v>1</v>
      </c>
      <c r="T66" s="80"/>
      <c r="U66"/>
      <c r="Y66" s="109"/>
      <c r="Z66" s="109" cm="1">
        <f t="array" ref="Z66">IFERROR(TRANSPOSE(_xlfn._xlws.SORT(_xlfn._xlws.FILTER($R$11:$R$45,$S$11:$S$45=iMPC!#REF!))),0)</f>
        <v>0</v>
      </c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Q66" s="114" t="s">
        <v>57</v>
      </c>
      <c r="AR66" s="114" t="s">
        <v>105</v>
      </c>
    </row>
    <row r="67" spans="5:44" ht="16" outlineLevel="1" thickTop="1" thickBot="1">
      <c r="E67" s="74">
        <f t="shared" si="5"/>
        <v>57</v>
      </c>
      <c r="F67" s="75">
        <f t="shared" si="6"/>
        <v>46266</v>
      </c>
      <c r="G67" s="74">
        <f t="shared" si="0"/>
        <v>19</v>
      </c>
      <c r="H67" s="74" t="str">
        <f t="shared" si="1"/>
        <v>Q3-26</v>
      </c>
      <c r="I67" s="74">
        <f t="shared" si="7"/>
        <v>5</v>
      </c>
      <c r="J67" s="74">
        <f t="shared" si="2"/>
        <v>2026</v>
      </c>
      <c r="L67" s="82">
        <f>IF(I68&lt;iGeneral!F$25,1,L66*(1+L$10/12))</f>
        <v>1.0977423282996532</v>
      </c>
      <c r="M67" s="82">
        <f>IF(I66&lt;iGeneral!F$26,1,M66*(1+M$10/12))</f>
        <v>1.0373313413681147</v>
      </c>
      <c r="N67" s="82">
        <f>IF(I66&lt;iGeneral!F$27,1,N66*(1+N$10/12))</f>
        <v>1</v>
      </c>
      <c r="O67" s="82">
        <f>IFERROR(IF(I66&lt;iGeneral!F$28,1,O66*(1+O$10/12)),1)</f>
        <v>1</v>
      </c>
      <c r="P67" s="82">
        <f>IFERROR(IF(DATA!$I67&lt;iGeneral!F$29,1,P66*(1+P$10/12)),1)</f>
        <v>1</v>
      </c>
      <c r="T67" s="80"/>
      <c r="U67"/>
      <c r="Y67" s="109"/>
      <c r="Z67" s="109" cm="1">
        <f t="array" ref="Z67">IFERROR(TRANSPOSE(_xlfn._xlws.SORT(_xlfn._xlws.FILTER($R$11:$R$45,$S$11:$S$45=iMPC!#REF!))),0)</f>
        <v>0</v>
      </c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Q67" s="114" t="s">
        <v>57</v>
      </c>
      <c r="AR67" s="114" t="s">
        <v>111</v>
      </c>
    </row>
    <row r="68" spans="5:44" ht="16" outlineLevel="1" thickTop="1" thickBot="1">
      <c r="E68" s="74">
        <f t="shared" si="5"/>
        <v>58</v>
      </c>
      <c r="F68" s="75">
        <f t="shared" si="6"/>
        <v>46296</v>
      </c>
      <c r="G68" s="74">
        <f t="shared" si="0"/>
        <v>20</v>
      </c>
      <c r="H68" s="74" t="str">
        <f t="shared" si="1"/>
        <v>Q3-26</v>
      </c>
      <c r="I68" s="74">
        <f t="shared" si="7"/>
        <v>5</v>
      </c>
      <c r="J68" s="74">
        <f t="shared" si="2"/>
        <v>2026</v>
      </c>
      <c r="L68" s="82">
        <f>IF(I69&lt;iGeneral!F$25,1,L67*(1+L$10/12))</f>
        <v>1.0995718988468193</v>
      </c>
      <c r="M68" s="82">
        <f>IF(I67&lt;iGeneral!F$26,1,M67*(1+M$10/12))</f>
        <v>1.038195784152588</v>
      </c>
      <c r="N68" s="82">
        <f>IF(I67&lt;iGeneral!F$27,1,N67*(1+N$10/12))</f>
        <v>1</v>
      </c>
      <c r="O68" s="82">
        <f>IFERROR(IF(I67&lt;iGeneral!F$28,1,O67*(1+O$10/12)),1)</f>
        <v>1</v>
      </c>
      <c r="P68" s="82">
        <f>IFERROR(IF(DATA!$I68&lt;iGeneral!F$29,1,P67*(1+P$10/12)),1)</f>
        <v>1</v>
      </c>
      <c r="T68" s="80"/>
      <c r="U68"/>
      <c r="Y68" s="109"/>
      <c r="Z68" s="109" cm="1">
        <f t="array" ref="Z68">IFERROR(TRANSPOSE(_xlfn._xlws.SORT(_xlfn._xlws.FILTER($R$11:$R$45,$S$11:$S$45=iMPC!#REF!))),0)</f>
        <v>0</v>
      </c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Q68" s="114" t="s">
        <v>57</v>
      </c>
      <c r="AR68" s="114" t="s">
        <v>115</v>
      </c>
    </row>
    <row r="69" spans="5:44" ht="16" outlineLevel="1" thickTop="1" thickBot="1">
      <c r="E69" s="74">
        <f t="shared" si="5"/>
        <v>59</v>
      </c>
      <c r="F69" s="75">
        <f t="shared" si="6"/>
        <v>46327</v>
      </c>
      <c r="G69" s="74">
        <f t="shared" si="0"/>
        <v>20</v>
      </c>
      <c r="H69" s="74" t="str">
        <f t="shared" si="1"/>
        <v>Q3-26</v>
      </c>
      <c r="I69" s="74">
        <f t="shared" si="7"/>
        <v>5</v>
      </c>
      <c r="J69" s="74">
        <f t="shared" si="2"/>
        <v>2026</v>
      </c>
      <c r="L69" s="82">
        <f>IF(I70&lt;iGeneral!F$25,1,L68*(1+L$10/12))</f>
        <v>1.1014045186782306</v>
      </c>
      <c r="M69" s="82">
        <f>IF(I68&lt;iGeneral!F$26,1,M68*(1+M$10/12))</f>
        <v>1.0390609473060484</v>
      </c>
      <c r="N69" s="82">
        <f>IF(I68&lt;iGeneral!F$27,1,N68*(1+N$10/12))</f>
        <v>1</v>
      </c>
      <c r="O69" s="82">
        <f>IFERROR(IF(I68&lt;iGeneral!F$28,1,O68*(1+O$10/12)),1)</f>
        <v>1</v>
      </c>
      <c r="P69" s="82">
        <f>IFERROR(IF(DATA!$I69&lt;iGeneral!F$29,1,P68*(1+P$10/12)),1)</f>
        <v>1</v>
      </c>
      <c r="T69" s="80"/>
      <c r="U69"/>
      <c r="Y69" s="109"/>
      <c r="Z69" s="109" cm="1">
        <f t="array" ref="Z69">IFERROR(TRANSPOSE(_xlfn._xlws.SORT(_xlfn._xlws.FILTER($R$11:$R$45,$S$11:$S$45=iMPC!#REF!))),0)</f>
        <v>0</v>
      </c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Q69" s="114" t="s">
        <v>57</v>
      </c>
      <c r="AR69" s="114" t="s">
        <v>116</v>
      </c>
    </row>
    <row r="70" spans="5:44" ht="16" outlineLevel="1" thickTop="1" thickBot="1">
      <c r="E70" s="74">
        <f t="shared" si="5"/>
        <v>60</v>
      </c>
      <c r="F70" s="75">
        <f t="shared" si="6"/>
        <v>46357</v>
      </c>
      <c r="G70" s="74">
        <f t="shared" si="0"/>
        <v>20</v>
      </c>
      <c r="H70" s="74" t="str">
        <f t="shared" si="1"/>
        <v>Q4-26</v>
      </c>
      <c r="I70" s="74">
        <f t="shared" si="7"/>
        <v>5</v>
      </c>
      <c r="J70" s="74">
        <f t="shared" si="2"/>
        <v>2026</v>
      </c>
      <c r="L70" s="82">
        <f>IF(I71&lt;iGeneral!F$25,1,L69*(1+L$10/12))</f>
        <v>1.1032401928760278</v>
      </c>
      <c r="M70" s="82">
        <f>IF(I69&lt;iGeneral!F$26,1,M69*(1+M$10/12))</f>
        <v>1.0399268314288033</v>
      </c>
      <c r="N70" s="82">
        <f>IF(I69&lt;iGeneral!F$27,1,N69*(1+N$10/12))</f>
        <v>1</v>
      </c>
      <c r="O70" s="82">
        <f>IFERROR(IF(I69&lt;iGeneral!F$28,1,O69*(1+O$10/12)),1)</f>
        <v>1</v>
      </c>
      <c r="P70" s="82">
        <f>IFERROR(IF(DATA!$I70&lt;iGeneral!F$29,1,P69*(1+P$10/12)),1)</f>
        <v>1</v>
      </c>
      <c r="T70" s="80"/>
      <c r="U70"/>
      <c r="Y70" s="109"/>
      <c r="Z70" s="109" cm="1">
        <f t="array" ref="Z70">IFERROR(TRANSPOSE(_xlfn._xlws.SORT(_xlfn._xlws.FILTER($R$11:$R$45,$S$11:$S$45=iMPC!#REF!))),0)</f>
        <v>0</v>
      </c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Q70" s="114" t="s">
        <v>57</v>
      </c>
      <c r="AR70" s="114" t="s">
        <v>120</v>
      </c>
    </row>
    <row r="71" spans="5:44" ht="16" outlineLevel="1" thickTop="1" thickBot="1">
      <c r="E71" s="74">
        <f t="shared" si="5"/>
        <v>61</v>
      </c>
      <c r="F71" s="75">
        <f t="shared" si="6"/>
        <v>46388</v>
      </c>
      <c r="G71" s="74">
        <f t="shared" si="0"/>
        <v>21</v>
      </c>
      <c r="H71" s="74" t="str">
        <f t="shared" si="1"/>
        <v>Q1-27</v>
      </c>
      <c r="I71" s="74">
        <f t="shared" si="7"/>
        <v>6</v>
      </c>
      <c r="J71" s="74">
        <f t="shared" si="2"/>
        <v>2027</v>
      </c>
      <c r="L71" s="82">
        <f>IF(I72&lt;iGeneral!F$25,1,L70*(1+L$10/12))</f>
        <v>1.1050789265308212</v>
      </c>
      <c r="M71" s="82">
        <f>IF(I70&lt;iGeneral!F$26,1,M70*(1+M$10/12))</f>
        <v>1.0407934371216605</v>
      </c>
      <c r="N71" s="82">
        <f>IF(I70&lt;iGeneral!F$27,1,N70*(1+N$10/12))</f>
        <v>1</v>
      </c>
      <c r="O71" s="82">
        <f>IFERROR(IF(I70&lt;iGeneral!F$28,1,O70*(1+O$10/12)),1)</f>
        <v>1</v>
      </c>
      <c r="P71" s="82">
        <f>IFERROR(IF(DATA!$I71&lt;iGeneral!F$29,1,P70*(1+P$10/12)),1)</f>
        <v>1</v>
      </c>
      <c r="T71" s="80"/>
      <c r="U71"/>
      <c r="Y71" s="109"/>
      <c r="Z71" s="109" cm="1">
        <f t="array" ref="Z71">IFERROR(TRANSPOSE(_xlfn._xlws.SORT(_xlfn._xlws.FILTER($R$11:$R$45,$S$11:$S$45=iMPC!#REF!))),0)</f>
        <v>0</v>
      </c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Q71" s="114" t="s">
        <v>57</v>
      </c>
      <c r="AR71" s="114" t="s">
        <v>122</v>
      </c>
    </row>
    <row r="72" spans="5:44" ht="16" outlineLevel="1" thickTop="1" thickBot="1">
      <c r="E72" s="74">
        <f t="shared" si="5"/>
        <v>62</v>
      </c>
      <c r="F72" s="75">
        <f t="shared" si="6"/>
        <v>46419</v>
      </c>
      <c r="G72" s="74">
        <f t="shared" si="0"/>
        <v>21</v>
      </c>
      <c r="H72" s="74" t="str">
        <f t="shared" si="1"/>
        <v>Q1-27</v>
      </c>
      <c r="I72" s="74">
        <f t="shared" si="7"/>
        <v>6</v>
      </c>
      <c r="J72" s="74">
        <f t="shared" si="2"/>
        <v>2027</v>
      </c>
      <c r="L72" s="82">
        <f>IF(I73&lt;iGeneral!F$25,1,L71*(1+L$10/12))</f>
        <v>1.1069207247417059</v>
      </c>
      <c r="M72" s="82">
        <f>IF(I71&lt;iGeneral!F$26,1,M71*(1+M$10/12))</f>
        <v>1.0416607649859284</v>
      </c>
      <c r="N72" s="82">
        <f>IF(I71&lt;iGeneral!F$27,1,N71*(1+N$10/12))</f>
        <v>1</v>
      </c>
      <c r="O72" s="82">
        <f>IFERROR(IF(I71&lt;iGeneral!F$28,1,O71*(1+O$10/12)),1)</f>
        <v>1</v>
      </c>
      <c r="P72" s="82">
        <f>IFERROR(IF(DATA!$I72&lt;iGeneral!F$29,1,P71*(1+P$10/12)),1)</f>
        <v>1</v>
      </c>
      <c r="T72" s="80"/>
      <c r="U72"/>
      <c r="Y72" s="109"/>
      <c r="Z72" s="109" cm="1">
        <f t="array" ref="Z72">IFERROR(TRANSPOSE(_xlfn._xlws.SORT(_xlfn._xlws.FILTER($R$11:$R$45,$S$11:$S$45=iMPC!#REF!))),0)</f>
        <v>0</v>
      </c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Q72" s="114" t="s">
        <v>57</v>
      </c>
      <c r="AR72" s="114" t="s">
        <v>29</v>
      </c>
    </row>
    <row r="73" spans="5:44" ht="16" outlineLevel="1" thickTop="1" thickBot="1">
      <c r="E73" s="74">
        <f t="shared" si="5"/>
        <v>63</v>
      </c>
      <c r="F73" s="75">
        <f t="shared" si="6"/>
        <v>46447</v>
      </c>
      <c r="G73" s="74">
        <f t="shared" si="0"/>
        <v>21</v>
      </c>
      <c r="H73" s="74" t="str">
        <f t="shared" si="1"/>
        <v>Q1-27</v>
      </c>
      <c r="I73" s="74">
        <f t="shared" si="7"/>
        <v>6</v>
      </c>
      <c r="J73" s="74">
        <f t="shared" si="2"/>
        <v>2027</v>
      </c>
      <c r="L73" s="82">
        <f>IF(I74&lt;iGeneral!F$25,1,L72*(1+L$10/12))</f>
        <v>1.1087655926162754</v>
      </c>
      <c r="M73" s="82">
        <f>IF(I72&lt;iGeneral!F$26,1,M72*(1+M$10/12))</f>
        <v>1.0425288156234165</v>
      </c>
      <c r="N73" s="82">
        <f>IF(I72&lt;iGeneral!F$27,1,N72*(1+N$10/12))</f>
        <v>1</v>
      </c>
      <c r="O73" s="82">
        <f>IFERROR(IF(I72&lt;iGeneral!F$28,1,O72*(1+O$10/12)),1)</f>
        <v>1</v>
      </c>
      <c r="P73" s="82">
        <f>IFERROR(IF(DATA!$I73&lt;iGeneral!F$29,1,P72*(1+P$10/12)),1)</f>
        <v>1</v>
      </c>
      <c r="T73" s="80"/>
      <c r="U73"/>
      <c r="Y73" s="109"/>
      <c r="Z73" s="109" cm="1">
        <f t="array" ref="Z73">IFERROR(TRANSPOSE(_xlfn._xlws.SORT(_xlfn._xlws.FILTER($R$11:$R$45,$S$11:$S$45=iMPC!#REF!))),0)</f>
        <v>0</v>
      </c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</row>
    <row r="74" spans="5:44" ht="16" outlineLevel="1" thickTop="1" thickBot="1">
      <c r="E74" s="74">
        <f t="shared" si="5"/>
        <v>64</v>
      </c>
      <c r="F74" s="75">
        <f t="shared" si="6"/>
        <v>46478</v>
      </c>
      <c r="G74" s="74">
        <f t="shared" si="0"/>
        <v>22</v>
      </c>
      <c r="H74" s="74" t="str">
        <f t="shared" si="1"/>
        <v>Q2-27</v>
      </c>
      <c r="I74" s="74">
        <f t="shared" si="7"/>
        <v>6</v>
      </c>
      <c r="J74" s="74">
        <f t="shared" si="2"/>
        <v>2027</v>
      </c>
      <c r="L74" s="82">
        <f>IF(I75&lt;iGeneral!F$25,1,L73*(1+L$10/12))</f>
        <v>1.1106135352706359</v>
      </c>
      <c r="M74" s="82">
        <f>IF(I73&lt;iGeneral!F$26,1,M73*(1+M$10/12))</f>
        <v>1.0433975896364358</v>
      </c>
      <c r="N74" s="82">
        <f>IF(I73&lt;iGeneral!F$27,1,N73*(1+N$10/12))</f>
        <v>1</v>
      </c>
      <c r="O74" s="82">
        <f>IFERROR(IF(I73&lt;iGeneral!F$28,1,O73*(1+O$10/12)),1)</f>
        <v>1</v>
      </c>
      <c r="P74" s="82">
        <f>IFERROR(IF(DATA!$I74&lt;iGeneral!F$29,1,P73*(1+P$10/12)),1)</f>
        <v>1</v>
      </c>
      <c r="T74" s="80"/>
      <c r="U74"/>
      <c r="Y74" s="109"/>
      <c r="Z74" s="109" cm="1">
        <f t="array" ref="Z74">IFERROR(TRANSPOSE(_xlfn._xlws.SORT(_xlfn._xlws.FILTER($R$11:$R$45,$S$11:$S$45=iMPC!#REF!))),0)</f>
        <v>0</v>
      </c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</row>
    <row r="75" spans="5:44" ht="16" outlineLevel="1" thickTop="1" thickBot="1">
      <c r="E75" s="74">
        <f t="shared" si="5"/>
        <v>65</v>
      </c>
      <c r="F75" s="75">
        <f t="shared" si="6"/>
        <v>46508</v>
      </c>
      <c r="G75" s="74">
        <f t="shared" ref="G75:G138" si="8">INT(INT(E75+2)/3)</f>
        <v>22</v>
      </c>
      <c r="H75" s="74" t="str">
        <f t="shared" ref="H75:H138" si="9">"Q"&amp;INT((MONTH(F75)/4)+1)&amp;"-"&amp;RIGHT(YEAR(F75),2)</f>
        <v>Q2-27</v>
      </c>
      <c r="I75" s="74">
        <f t="shared" si="7"/>
        <v>6</v>
      </c>
      <c r="J75" s="74">
        <f t="shared" ref="J75:J138" si="10">YEAR(F75)</f>
        <v>2027</v>
      </c>
      <c r="L75" s="82">
        <f>IF(I76&lt;iGeneral!F$25,1,L74*(1+L$10/12))</f>
        <v>1.1124645578294203</v>
      </c>
      <c r="M75" s="82">
        <f>IF(I74&lt;iGeneral!F$26,1,M74*(1+M$10/12))</f>
        <v>1.0442670876277995</v>
      </c>
      <c r="N75" s="82">
        <f>IF(I74&lt;iGeneral!F$27,1,N74*(1+N$10/12))</f>
        <v>1</v>
      </c>
      <c r="O75" s="82">
        <f>IFERROR(IF(I74&lt;iGeneral!F$28,1,O74*(1+O$10/12)),1)</f>
        <v>1</v>
      </c>
      <c r="P75" s="82">
        <f>IFERROR(IF(DATA!$I75&lt;iGeneral!F$29,1,P74*(1+P$10/12)),1)</f>
        <v>1</v>
      </c>
      <c r="T75" s="80"/>
      <c r="U75"/>
      <c r="Y75" s="109"/>
      <c r="Z75" s="109" cm="1">
        <f t="array" ref="Z75">IFERROR(TRANSPOSE(_xlfn._xlws.SORT(_xlfn._xlws.FILTER($R$11:$R$45,$S$11:$S$45=iMPC!#REF!))),0)</f>
        <v>0</v>
      </c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</row>
    <row r="76" spans="5:44" ht="16" outlineLevel="1" thickTop="1" thickBot="1">
      <c r="E76" s="74">
        <f t="shared" ref="E76:E139" si="11">E75+1</f>
        <v>66</v>
      </c>
      <c r="F76" s="75">
        <f t="shared" ref="F76:F139" si="12">EOMONTH(F75,0)+1</f>
        <v>46539</v>
      </c>
      <c r="G76" s="74">
        <f t="shared" si="8"/>
        <v>22</v>
      </c>
      <c r="H76" s="74" t="str">
        <f t="shared" si="9"/>
        <v>Q2-27</v>
      </c>
      <c r="I76" s="74">
        <f t="shared" ref="I76:I139" si="13">MIN(INT(YEARFRAC(F$11,F88)),30)</f>
        <v>6</v>
      </c>
      <c r="J76" s="74">
        <f t="shared" si="10"/>
        <v>2027</v>
      </c>
      <c r="L76" s="82">
        <f>IF(I77&lt;iGeneral!F$25,1,L75*(1+L$10/12))</f>
        <v>1.1143186654258028</v>
      </c>
      <c r="M76" s="82">
        <f>IF(I75&lt;iGeneral!F$26,1,M75*(1+M$10/12))</f>
        <v>1.0451373102008226</v>
      </c>
      <c r="N76" s="82">
        <f>IF(I75&lt;iGeneral!F$27,1,N75*(1+N$10/12))</f>
        <v>1</v>
      </c>
      <c r="O76" s="82">
        <f>IFERROR(IF(I75&lt;iGeneral!F$28,1,O75*(1+O$10/12)),1)</f>
        <v>1</v>
      </c>
      <c r="P76" s="82">
        <f>IFERROR(IF(DATA!$I76&lt;iGeneral!F$29,1,P75*(1+P$10/12)),1)</f>
        <v>1</v>
      </c>
      <c r="T76" s="80"/>
      <c r="U76"/>
      <c r="Y76" s="109"/>
      <c r="Z76" s="109" cm="1">
        <f t="array" ref="Z76">IFERROR(TRANSPOSE(_xlfn._xlws.SORT(_xlfn._xlws.FILTER($R$11:$R$45,$S$11:$S$45=iMPC!#REF!))),0)</f>
        <v>0</v>
      </c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</row>
    <row r="77" spans="5:44" ht="16" outlineLevel="1" thickTop="1" thickBot="1">
      <c r="E77" s="74">
        <f t="shared" si="11"/>
        <v>67</v>
      </c>
      <c r="F77" s="75">
        <f t="shared" si="12"/>
        <v>46569</v>
      </c>
      <c r="G77" s="74">
        <f t="shared" si="8"/>
        <v>23</v>
      </c>
      <c r="H77" s="74" t="str">
        <f t="shared" si="9"/>
        <v>Q2-27</v>
      </c>
      <c r="I77" s="74">
        <f t="shared" si="13"/>
        <v>6</v>
      </c>
      <c r="J77" s="74">
        <f t="shared" si="10"/>
        <v>2027</v>
      </c>
      <c r="L77" s="82">
        <f>IF(I78&lt;iGeneral!F$25,1,L76*(1+L$10/12))</f>
        <v>1.1161758632015126</v>
      </c>
      <c r="M77" s="82">
        <f>IF(I76&lt;iGeneral!F$26,1,M76*(1+M$10/12))</f>
        <v>1.0460082579593231</v>
      </c>
      <c r="N77" s="82">
        <f>IF(I76&lt;iGeneral!F$27,1,N76*(1+N$10/12))</f>
        <v>1</v>
      </c>
      <c r="O77" s="82">
        <f>IFERROR(IF(I76&lt;iGeneral!F$28,1,O76*(1+O$10/12)),1)</f>
        <v>1</v>
      </c>
      <c r="P77" s="82">
        <f>IFERROR(IF(DATA!$I77&lt;iGeneral!F$29,1,P76*(1+P$10/12)),1)</f>
        <v>1</v>
      </c>
      <c r="T77" s="80"/>
      <c r="U77"/>
      <c r="Y77" s="109"/>
      <c r="Z77" s="109" cm="1">
        <f t="array" ref="Z77">IFERROR(TRANSPOSE(_xlfn._xlws.SORT(_xlfn._xlws.FILTER($R$11:$R$45,$S$11:$S$45=iMPC!#REF!))),0)</f>
        <v>0</v>
      </c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</row>
    <row r="78" spans="5:44" ht="16" outlineLevel="1" thickTop="1" thickBot="1">
      <c r="E78" s="74">
        <f t="shared" si="11"/>
        <v>68</v>
      </c>
      <c r="F78" s="75">
        <f t="shared" si="12"/>
        <v>46600</v>
      </c>
      <c r="G78" s="74">
        <f t="shared" si="8"/>
        <v>23</v>
      </c>
      <c r="H78" s="74" t="str">
        <f t="shared" si="9"/>
        <v>Q3-27</v>
      </c>
      <c r="I78" s="74">
        <f t="shared" si="13"/>
        <v>6</v>
      </c>
      <c r="J78" s="74">
        <f t="shared" si="10"/>
        <v>2027</v>
      </c>
      <c r="L78" s="82">
        <f>IF(I79&lt;iGeneral!F$25,1,L77*(1+L$10/12))</f>
        <v>1.1180361563068486</v>
      </c>
      <c r="M78" s="82">
        <f>IF(I77&lt;iGeneral!F$26,1,M77*(1+M$10/12))</f>
        <v>1.0468799315076225</v>
      </c>
      <c r="N78" s="82">
        <f>IF(I77&lt;iGeneral!F$27,1,N77*(1+N$10/12))</f>
        <v>1</v>
      </c>
      <c r="O78" s="82">
        <f>IFERROR(IF(I77&lt;iGeneral!F$28,1,O77*(1+O$10/12)),1)</f>
        <v>1</v>
      </c>
      <c r="P78" s="82">
        <f>IFERROR(IF(DATA!$I78&lt;iGeneral!F$29,1,P77*(1+P$10/12)),1)</f>
        <v>1</v>
      </c>
      <c r="T78" s="80"/>
      <c r="U78"/>
      <c r="Y78" s="109"/>
      <c r="Z78" s="109" cm="1">
        <f t="array" ref="Z78">IFERROR(TRANSPOSE(_xlfn._xlws.SORT(_xlfn._xlws.FILTER($R$11:$R$45,$S$11:$S$45=iMPC!#REF!))),0)</f>
        <v>0</v>
      </c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</row>
    <row r="79" spans="5:44" ht="16" outlineLevel="1" thickTop="1" thickBot="1">
      <c r="E79" s="74">
        <f t="shared" si="11"/>
        <v>69</v>
      </c>
      <c r="F79" s="75">
        <f t="shared" si="12"/>
        <v>46631</v>
      </c>
      <c r="G79" s="74">
        <f t="shared" si="8"/>
        <v>23</v>
      </c>
      <c r="H79" s="74" t="str">
        <f t="shared" si="9"/>
        <v>Q3-27</v>
      </c>
      <c r="I79" s="74">
        <f t="shared" si="13"/>
        <v>6</v>
      </c>
      <c r="J79" s="74">
        <f t="shared" si="10"/>
        <v>2027</v>
      </c>
      <c r="L79" s="82">
        <f>IF(I80&lt;iGeneral!F$25,1,L78*(1+L$10/12))</f>
        <v>1.1198995499006934</v>
      </c>
      <c r="M79" s="82">
        <f>IF(I78&lt;iGeneral!F$26,1,M78*(1+M$10/12))</f>
        <v>1.0477523314505455</v>
      </c>
      <c r="N79" s="82">
        <f>IF(I78&lt;iGeneral!F$27,1,N78*(1+N$10/12))</f>
        <v>1</v>
      </c>
      <c r="O79" s="82">
        <f>IFERROR(IF(I78&lt;iGeneral!F$28,1,O78*(1+O$10/12)),1)</f>
        <v>1</v>
      </c>
      <c r="P79" s="82">
        <f>IFERROR(IF(DATA!$I79&lt;iGeneral!F$29,1,P78*(1+P$10/12)),1)</f>
        <v>1</v>
      </c>
      <c r="T79" s="80"/>
      <c r="U79"/>
      <c r="Y79" s="109"/>
      <c r="Z79" s="109" cm="1">
        <f t="array" ref="Z79">IFERROR(TRANSPOSE(_xlfn._xlws.SORT(_xlfn._xlws.FILTER($R$11:$R$45,$S$11:$S$45=iMPC!#REF!))),0)</f>
        <v>0</v>
      </c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</row>
    <row r="80" spans="5:44" ht="16" outlineLevel="1" thickTop="1" thickBot="1">
      <c r="E80" s="74">
        <f t="shared" si="11"/>
        <v>70</v>
      </c>
      <c r="F80" s="75">
        <f t="shared" si="12"/>
        <v>46661</v>
      </c>
      <c r="G80" s="74">
        <f t="shared" si="8"/>
        <v>24</v>
      </c>
      <c r="H80" s="74" t="str">
        <f t="shared" si="9"/>
        <v>Q3-27</v>
      </c>
      <c r="I80" s="74">
        <f t="shared" si="13"/>
        <v>6</v>
      </c>
      <c r="J80" s="74">
        <f t="shared" si="10"/>
        <v>2027</v>
      </c>
      <c r="L80" s="82">
        <f>IF(I81&lt;iGeneral!F$25,1,L79*(1+L$10/12))</f>
        <v>1.1217660491505279</v>
      </c>
      <c r="M80" s="82">
        <f>IF(I79&lt;iGeneral!F$26,1,M79*(1+M$10/12))</f>
        <v>1.0486254583934209</v>
      </c>
      <c r="N80" s="82">
        <f>IF(I79&lt;iGeneral!F$27,1,N79*(1+N$10/12))</f>
        <v>1</v>
      </c>
      <c r="O80" s="82">
        <f>IFERROR(IF(I79&lt;iGeneral!F$28,1,O79*(1+O$10/12)),1)</f>
        <v>1</v>
      </c>
      <c r="P80" s="82">
        <f>IFERROR(IF(DATA!$I80&lt;iGeneral!F$29,1,P79*(1+P$10/12)),1)</f>
        <v>1</v>
      </c>
      <c r="T80" s="80"/>
      <c r="U80"/>
      <c r="Y80" s="109"/>
      <c r="Z80" s="109" cm="1">
        <f t="array" ref="Z80">IFERROR(TRANSPOSE(_xlfn._xlws.SORT(_xlfn._xlws.FILTER($R$11:$R$45,$S$11:$S$45=iMPC!#REF!))),0)</f>
        <v>0</v>
      </c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</row>
    <row r="81" spans="5:41" ht="16" outlineLevel="1" thickTop="1" thickBot="1">
      <c r="E81" s="74">
        <f t="shared" si="11"/>
        <v>71</v>
      </c>
      <c r="F81" s="75">
        <f t="shared" si="12"/>
        <v>46692</v>
      </c>
      <c r="G81" s="74">
        <f t="shared" si="8"/>
        <v>24</v>
      </c>
      <c r="H81" s="74" t="str">
        <f t="shared" si="9"/>
        <v>Q3-27</v>
      </c>
      <c r="I81" s="74">
        <f t="shared" si="13"/>
        <v>6</v>
      </c>
      <c r="J81" s="74">
        <f t="shared" si="10"/>
        <v>2027</v>
      </c>
      <c r="L81" s="82">
        <f>IF(I82&lt;iGeneral!F$25,1,L80*(1+L$10/12))</f>
        <v>1.1236356592324455</v>
      </c>
      <c r="M81" s="82">
        <f>IF(I80&lt;iGeneral!F$26,1,M80*(1+M$10/12))</f>
        <v>1.049499312942082</v>
      </c>
      <c r="N81" s="82">
        <f>IF(I80&lt;iGeneral!F$27,1,N80*(1+N$10/12))</f>
        <v>1</v>
      </c>
      <c r="O81" s="82">
        <f>IFERROR(IF(I80&lt;iGeneral!F$28,1,O80*(1+O$10/12)),1)</f>
        <v>1</v>
      </c>
      <c r="P81" s="82">
        <f>IFERROR(IF(DATA!$I81&lt;iGeneral!F$29,1,P80*(1+P$10/12)),1)</f>
        <v>1</v>
      </c>
      <c r="T81" s="80"/>
      <c r="U81"/>
      <c r="Y81" s="109"/>
      <c r="Z81" s="109" cm="1">
        <f t="array" ref="Z81">IFERROR(TRANSPOSE(_xlfn._xlws.SORT(_xlfn._xlws.FILTER($R$11:$R$45,$S$11:$S$45=iMPC!#REF!))),0)</f>
        <v>0</v>
      </c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</row>
    <row r="82" spans="5:41" ht="16" outlineLevel="1" thickTop="1" thickBot="1">
      <c r="E82" s="74">
        <f t="shared" si="11"/>
        <v>72</v>
      </c>
      <c r="F82" s="75">
        <f t="shared" si="12"/>
        <v>46722</v>
      </c>
      <c r="G82" s="74">
        <f t="shared" si="8"/>
        <v>24</v>
      </c>
      <c r="H82" s="74" t="str">
        <f t="shared" si="9"/>
        <v>Q4-27</v>
      </c>
      <c r="I82" s="74">
        <f t="shared" si="13"/>
        <v>6</v>
      </c>
      <c r="J82" s="74">
        <f t="shared" si="10"/>
        <v>2027</v>
      </c>
      <c r="L82" s="82">
        <f>IF(I83&lt;iGeneral!F$25,1,L81*(1+L$10/12))</f>
        <v>1.1255083853311663</v>
      </c>
      <c r="M82" s="82">
        <f>IF(I81&lt;iGeneral!F$26,1,M81*(1+M$10/12))</f>
        <v>1.050373895702867</v>
      </c>
      <c r="N82" s="82">
        <f>IF(I81&lt;iGeneral!F$27,1,N81*(1+N$10/12))</f>
        <v>1</v>
      </c>
      <c r="O82" s="82">
        <f>IFERROR(IF(I81&lt;iGeneral!F$28,1,O81*(1+O$10/12)),1)</f>
        <v>1</v>
      </c>
      <c r="P82" s="82">
        <f>IFERROR(IF(DATA!$I82&lt;iGeneral!F$29,1,P81*(1+P$10/12)),1)</f>
        <v>1</v>
      </c>
      <c r="T82" s="80"/>
      <c r="U82"/>
      <c r="Y82" s="109"/>
      <c r="Z82" s="109" cm="1">
        <f t="array" ref="Z82">IFERROR(TRANSPOSE(_xlfn._xlws.SORT(_xlfn._xlws.FILTER($R$11:$R$45,$S$11:$S$45=iMPC!#REF!))),0)</f>
        <v>0</v>
      </c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</row>
    <row r="83" spans="5:41" ht="16" outlineLevel="1" thickTop="1" thickBot="1">
      <c r="E83" s="74">
        <f t="shared" si="11"/>
        <v>73</v>
      </c>
      <c r="F83" s="75">
        <f t="shared" si="12"/>
        <v>46753</v>
      </c>
      <c r="G83" s="74">
        <f t="shared" si="8"/>
        <v>25</v>
      </c>
      <c r="H83" s="74" t="str">
        <f t="shared" si="9"/>
        <v>Q1-28</v>
      </c>
      <c r="I83" s="74">
        <f t="shared" si="13"/>
        <v>7</v>
      </c>
      <c r="J83" s="74">
        <f t="shared" si="10"/>
        <v>2028</v>
      </c>
      <c r="L83" s="82">
        <f>IF(I84&lt;iGeneral!F$25,1,L82*(1+L$10/12))</f>
        <v>1.1273842326400516</v>
      </c>
      <c r="M83" s="82">
        <f>IF(I82&lt;iGeneral!F$26,1,M82*(1+M$10/12))</f>
        <v>1.0512492072826194</v>
      </c>
      <c r="N83" s="82">
        <f>IF(I82&lt;iGeneral!F$27,1,N82*(1+N$10/12))</f>
        <v>1</v>
      </c>
      <c r="O83" s="82">
        <f>IFERROR(IF(I82&lt;iGeneral!F$28,1,O82*(1+O$10/12)),1)</f>
        <v>1</v>
      </c>
      <c r="P83" s="82">
        <f>IFERROR(IF(DATA!$I83&lt;iGeneral!F$29,1,P82*(1+P$10/12)),1)</f>
        <v>1</v>
      </c>
      <c r="T83" s="80"/>
      <c r="U83"/>
      <c r="Y83" s="109"/>
      <c r="Z83" s="109" cm="1">
        <f t="array" ref="Z83">IFERROR(TRANSPOSE(_xlfn._xlws.SORT(_xlfn._xlws.FILTER($R$11:$R$45,$S$11:$S$45=iMPC!#REF!))),0)</f>
        <v>0</v>
      </c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</row>
    <row r="84" spans="5:41" ht="16" outlineLevel="1" thickTop="1" thickBot="1">
      <c r="E84" s="74">
        <f t="shared" si="11"/>
        <v>74</v>
      </c>
      <c r="F84" s="75">
        <f t="shared" si="12"/>
        <v>46784</v>
      </c>
      <c r="G84" s="74">
        <f t="shared" si="8"/>
        <v>25</v>
      </c>
      <c r="H84" s="74" t="str">
        <f t="shared" si="9"/>
        <v>Q1-28</v>
      </c>
      <c r="I84" s="74">
        <f t="shared" si="13"/>
        <v>7</v>
      </c>
      <c r="J84" s="74">
        <f t="shared" si="10"/>
        <v>2028</v>
      </c>
      <c r="L84" s="82">
        <f>IF(I85&lt;iGeneral!F$25,1,L83*(1+L$10/12))</f>
        <v>1.1292632063611183</v>
      </c>
      <c r="M84" s="82">
        <f>IF(I83&lt;iGeneral!F$26,1,M83*(1+M$10/12))</f>
        <v>1.0521252482886883</v>
      </c>
      <c r="N84" s="82">
        <f>IF(I83&lt;iGeneral!F$27,1,N83*(1+N$10/12))</f>
        <v>1</v>
      </c>
      <c r="O84" s="82">
        <f>IFERROR(IF(I83&lt;iGeneral!F$28,1,O83*(1+O$10/12)),1)</f>
        <v>1</v>
      </c>
      <c r="P84" s="82">
        <f>IFERROR(IF(DATA!$I84&lt;iGeneral!F$29,1,P83*(1+P$10/12)),1)</f>
        <v>1</v>
      </c>
      <c r="T84" s="80"/>
      <c r="U84"/>
      <c r="Y84" s="109"/>
      <c r="Z84" s="109" cm="1">
        <f t="array" ref="Z84">IFERROR(TRANSPOSE(_xlfn._xlws.SORT(_xlfn._xlws.FILTER($R$11:$R$45,$S$11:$S$45=iMPC!#REF!))),0)</f>
        <v>0</v>
      </c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</row>
    <row r="85" spans="5:41" ht="16" outlineLevel="1" thickTop="1" thickBot="1">
      <c r="E85" s="74">
        <f t="shared" si="11"/>
        <v>75</v>
      </c>
      <c r="F85" s="75">
        <f t="shared" si="12"/>
        <v>46813</v>
      </c>
      <c r="G85" s="74">
        <f t="shared" si="8"/>
        <v>25</v>
      </c>
      <c r="H85" s="74" t="str">
        <f t="shared" si="9"/>
        <v>Q1-28</v>
      </c>
      <c r="I85" s="74">
        <f t="shared" si="13"/>
        <v>7</v>
      </c>
      <c r="J85" s="74">
        <f t="shared" si="10"/>
        <v>2028</v>
      </c>
      <c r="L85" s="82">
        <f>IF(I86&lt;iGeneral!F$25,1,L84*(1+L$10/12))</f>
        <v>1.1311453117050536</v>
      </c>
      <c r="M85" s="82">
        <f>IF(I84&lt;iGeneral!F$26,1,M84*(1+M$10/12))</f>
        <v>1.0530020193289287</v>
      </c>
      <c r="N85" s="82">
        <f>IF(I84&lt;iGeneral!F$27,1,N84*(1+N$10/12))</f>
        <v>1</v>
      </c>
      <c r="O85" s="82">
        <f>IFERROR(IF(I84&lt;iGeneral!F$28,1,O84*(1+O$10/12)),1)</f>
        <v>1</v>
      </c>
      <c r="P85" s="82">
        <f>IFERROR(IF(DATA!$I85&lt;iGeneral!F$29,1,P84*(1+P$10/12)),1)</f>
        <v>1</v>
      </c>
      <c r="T85" s="80"/>
      <c r="U85"/>
      <c r="Y85" s="109"/>
      <c r="Z85" s="109" cm="1">
        <f t="array" ref="Z85">IFERROR(TRANSPOSE(_xlfn._xlws.SORT(_xlfn._xlws.FILTER($R$11:$R$45,$S$11:$S$45=iMPC!#REF!))),0)</f>
        <v>0</v>
      </c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</row>
    <row r="86" spans="5:41" ht="16" outlineLevel="1" thickTop="1" thickBot="1">
      <c r="E86" s="74">
        <f t="shared" si="11"/>
        <v>76</v>
      </c>
      <c r="F86" s="75">
        <f t="shared" si="12"/>
        <v>46844</v>
      </c>
      <c r="G86" s="74">
        <f t="shared" si="8"/>
        <v>26</v>
      </c>
      <c r="H86" s="74" t="str">
        <f t="shared" si="9"/>
        <v>Q2-28</v>
      </c>
      <c r="I86" s="74">
        <f t="shared" si="13"/>
        <v>7</v>
      </c>
      <c r="J86" s="74">
        <f t="shared" si="10"/>
        <v>2028</v>
      </c>
      <c r="L86" s="82">
        <f>IF(I87&lt;iGeneral!F$25,1,L85*(1+L$10/12))</f>
        <v>1.1330305538912286</v>
      </c>
      <c r="M86" s="82">
        <f>IF(I85&lt;iGeneral!F$26,1,M85*(1+M$10/12))</f>
        <v>1.0538795210117027</v>
      </c>
      <c r="N86" s="82">
        <f>IF(I85&lt;iGeneral!F$27,1,N85*(1+N$10/12))</f>
        <v>1</v>
      </c>
      <c r="O86" s="82">
        <f>IFERROR(IF(I85&lt;iGeneral!F$28,1,O85*(1+O$10/12)),1)</f>
        <v>1</v>
      </c>
      <c r="P86" s="82">
        <f>IFERROR(IF(DATA!$I86&lt;iGeneral!F$29,1,P85*(1+P$10/12)),1)</f>
        <v>1</v>
      </c>
      <c r="T86" s="80"/>
      <c r="U86"/>
      <c r="Y86" s="109"/>
      <c r="Z86" s="109" cm="1">
        <f t="array" ref="Z86">IFERROR(TRANSPOSE(_xlfn._xlws.SORT(_xlfn._xlws.FILTER($R$11:$R$45,$S$11:$S$45=iMPC!#REF!))),0)</f>
        <v>0</v>
      </c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</row>
    <row r="87" spans="5:41" ht="16" outlineLevel="1" thickTop="1" thickBot="1">
      <c r="E87" s="74">
        <f t="shared" si="11"/>
        <v>77</v>
      </c>
      <c r="F87" s="75">
        <f t="shared" si="12"/>
        <v>46874</v>
      </c>
      <c r="G87" s="74">
        <f t="shared" si="8"/>
        <v>26</v>
      </c>
      <c r="H87" s="74" t="str">
        <f t="shared" si="9"/>
        <v>Q2-28</v>
      </c>
      <c r="I87" s="74">
        <f t="shared" si="13"/>
        <v>7</v>
      </c>
      <c r="J87" s="74">
        <f t="shared" si="10"/>
        <v>2028</v>
      </c>
      <c r="L87" s="82">
        <f>IF(I88&lt;iGeneral!F$25,1,L86*(1+L$10/12))</f>
        <v>1.1349189381477141</v>
      </c>
      <c r="M87" s="82">
        <f>IF(I86&lt;iGeneral!F$26,1,M86*(1+M$10/12))</f>
        <v>1.054757753945879</v>
      </c>
      <c r="N87" s="82">
        <f>IF(I86&lt;iGeneral!F$27,1,N86*(1+N$10/12))</f>
        <v>1</v>
      </c>
      <c r="O87" s="82">
        <f>IFERROR(IF(I86&lt;iGeneral!F$28,1,O86*(1+O$10/12)),1)</f>
        <v>1</v>
      </c>
      <c r="P87" s="82">
        <f>IFERROR(IF(DATA!$I87&lt;iGeneral!F$29,1,P86*(1+P$10/12)),1)</f>
        <v>1</v>
      </c>
      <c r="T87" s="80"/>
      <c r="U87"/>
      <c r="Y87" s="109"/>
      <c r="Z87" s="109" cm="1">
        <f t="array" ref="Z87">IFERROR(TRANSPOSE(_xlfn._xlws.SORT(_xlfn._xlws.FILTER($R$11:$R$45,$S$11:$S$45=iMPC!#REF!))),0)</f>
        <v>0</v>
      </c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</row>
    <row r="88" spans="5:41" ht="16" outlineLevel="1" thickTop="1" thickBot="1">
      <c r="E88" s="74">
        <f t="shared" si="11"/>
        <v>78</v>
      </c>
      <c r="F88" s="75">
        <f t="shared" si="12"/>
        <v>46905</v>
      </c>
      <c r="G88" s="74">
        <f t="shared" si="8"/>
        <v>26</v>
      </c>
      <c r="H88" s="74" t="str">
        <f t="shared" si="9"/>
        <v>Q2-28</v>
      </c>
      <c r="I88" s="74">
        <f t="shared" si="13"/>
        <v>7</v>
      </c>
      <c r="J88" s="74">
        <f t="shared" si="10"/>
        <v>2028</v>
      </c>
      <c r="L88" s="82">
        <f>IF(I89&lt;iGeneral!F$25,1,L87*(1+L$10/12))</f>
        <v>1.1368104697112935</v>
      </c>
      <c r="M88" s="82">
        <f>IF(I87&lt;iGeneral!F$26,1,M87*(1+M$10/12))</f>
        <v>1.0556367187408338</v>
      </c>
      <c r="N88" s="82">
        <f>IF(I87&lt;iGeneral!F$27,1,N87*(1+N$10/12))</f>
        <v>1</v>
      </c>
      <c r="O88" s="82">
        <f>IFERROR(IF(I87&lt;iGeneral!F$28,1,O87*(1+O$10/12)),1)</f>
        <v>1</v>
      </c>
      <c r="P88" s="82">
        <f>IFERROR(IF(DATA!$I88&lt;iGeneral!F$29,1,P87*(1+P$10/12)),1)</f>
        <v>1</v>
      </c>
      <c r="T88" s="80"/>
      <c r="U88"/>
      <c r="Y88" s="109"/>
      <c r="Z88" s="109" cm="1">
        <f t="array" ref="Z88">IFERROR(TRANSPOSE(_xlfn._xlws.SORT(_xlfn._xlws.FILTER($R$11:$R$45,$S$11:$S$45=iMPC!#REF!))),0)</f>
        <v>0</v>
      </c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</row>
    <row r="89" spans="5:41" ht="16" outlineLevel="1" thickTop="1" thickBot="1">
      <c r="E89" s="74">
        <f t="shared" si="11"/>
        <v>79</v>
      </c>
      <c r="F89" s="75">
        <f t="shared" si="12"/>
        <v>46935</v>
      </c>
      <c r="G89" s="74">
        <f t="shared" si="8"/>
        <v>27</v>
      </c>
      <c r="H89" s="74" t="str">
        <f t="shared" si="9"/>
        <v>Q2-28</v>
      </c>
      <c r="I89" s="74">
        <f t="shared" si="13"/>
        <v>7</v>
      </c>
      <c r="J89" s="74">
        <f t="shared" si="10"/>
        <v>2028</v>
      </c>
      <c r="L89" s="82">
        <f>IF(I90&lt;iGeneral!F$25,1,L88*(1+L$10/12))</f>
        <v>1.1387051538274791</v>
      </c>
      <c r="M89" s="82">
        <f>IF(I88&lt;iGeneral!F$26,1,M88*(1+M$10/12))</f>
        <v>1.0565164160064511</v>
      </c>
      <c r="N89" s="82">
        <f>IF(I88&lt;iGeneral!F$27,1,N88*(1+N$10/12))</f>
        <v>1</v>
      </c>
      <c r="O89" s="82">
        <f>IFERROR(IF(I88&lt;iGeneral!F$28,1,O88*(1+O$10/12)),1)</f>
        <v>1</v>
      </c>
      <c r="P89" s="82">
        <f>IFERROR(IF(DATA!$I89&lt;iGeneral!F$29,1,P88*(1+P$10/12)),1)</f>
        <v>1</v>
      </c>
      <c r="T89" s="80"/>
      <c r="U89"/>
      <c r="Y89" s="109"/>
      <c r="Z89" s="109" cm="1">
        <f t="array" ref="Z89">IFERROR(TRANSPOSE(_xlfn._xlws.SORT(_xlfn._xlws.FILTER($R$11:$R$45,$S$11:$S$45=iMPC!#REF!))),0)</f>
        <v>0</v>
      </c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</row>
    <row r="90" spans="5:41" ht="16" outlineLevel="1" thickTop="1" thickBot="1">
      <c r="E90" s="74">
        <f t="shared" si="11"/>
        <v>80</v>
      </c>
      <c r="F90" s="75">
        <f t="shared" si="12"/>
        <v>46966</v>
      </c>
      <c r="G90" s="74">
        <f t="shared" si="8"/>
        <v>27</v>
      </c>
      <c r="H90" s="74" t="str">
        <f t="shared" si="9"/>
        <v>Q3-28</v>
      </c>
      <c r="I90" s="74">
        <f t="shared" si="13"/>
        <v>7</v>
      </c>
      <c r="J90" s="74">
        <f t="shared" si="10"/>
        <v>2028</v>
      </c>
      <c r="L90" s="82">
        <f>IF(I91&lt;iGeneral!F$25,1,L89*(1+L$10/12))</f>
        <v>1.1406029957505248</v>
      </c>
      <c r="M90" s="82">
        <f>IF(I89&lt;iGeneral!F$26,1,M89*(1+M$10/12))</f>
        <v>1.0573968463531229</v>
      </c>
      <c r="N90" s="82">
        <f>IF(I89&lt;iGeneral!F$27,1,N89*(1+N$10/12))</f>
        <v>1</v>
      </c>
      <c r="O90" s="82">
        <f>IFERROR(IF(I89&lt;iGeneral!F$28,1,O89*(1+O$10/12)),1)</f>
        <v>1</v>
      </c>
      <c r="P90" s="82">
        <f>IFERROR(IF(DATA!$I90&lt;iGeneral!F$29,1,P89*(1+P$10/12)),1)</f>
        <v>1</v>
      </c>
      <c r="T90" s="80"/>
      <c r="U90"/>
      <c r="Y90" s="109"/>
      <c r="Z90" s="109" cm="1">
        <f t="array" ref="Z90">IFERROR(TRANSPOSE(_xlfn._xlws.SORT(_xlfn._xlws.FILTER($R$11:$R$45,$S$11:$S$45=iMPC!#REF!))),0)</f>
        <v>0</v>
      </c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</row>
    <row r="91" spans="5:41" ht="16" outlineLevel="1" thickTop="1" thickBot="1">
      <c r="E91" s="74">
        <f t="shared" si="11"/>
        <v>81</v>
      </c>
      <c r="F91" s="75">
        <f t="shared" si="12"/>
        <v>46997</v>
      </c>
      <c r="G91" s="74">
        <f t="shared" si="8"/>
        <v>27</v>
      </c>
      <c r="H91" s="74" t="str">
        <f t="shared" si="9"/>
        <v>Q3-28</v>
      </c>
      <c r="I91" s="74">
        <f t="shared" si="13"/>
        <v>7</v>
      </c>
      <c r="J91" s="74">
        <f t="shared" si="10"/>
        <v>2028</v>
      </c>
      <c r="L91" s="82">
        <f>IF(I92&lt;iGeneral!F$25,1,L90*(1+L$10/12))</f>
        <v>1.1425040007434424</v>
      </c>
      <c r="M91" s="82">
        <f>IF(I90&lt;iGeneral!F$26,1,M90*(1+M$10/12))</f>
        <v>1.0582780103917504</v>
      </c>
      <c r="N91" s="82">
        <f>IF(I90&lt;iGeneral!F$27,1,N90*(1+N$10/12))</f>
        <v>1</v>
      </c>
      <c r="O91" s="82">
        <f>IFERROR(IF(I90&lt;iGeneral!F$28,1,O90*(1+O$10/12)),1)</f>
        <v>1</v>
      </c>
      <c r="P91" s="82">
        <f>IFERROR(IF(DATA!$I91&lt;iGeneral!F$29,1,P90*(1+P$10/12)),1)</f>
        <v>1</v>
      </c>
      <c r="T91" s="80"/>
      <c r="U91"/>
      <c r="Y91" s="109"/>
      <c r="Z91" s="109" cm="1">
        <f t="array" ref="Z91">IFERROR(TRANSPOSE(_xlfn._xlws.SORT(_xlfn._xlws.FILTER($R$11:$R$45,$S$11:$S$45=iMPC!#REF!))),0)</f>
        <v>0</v>
      </c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</row>
    <row r="92" spans="5:41" ht="16" outlineLevel="1" thickTop="1" thickBot="1">
      <c r="E92" s="74">
        <f t="shared" si="11"/>
        <v>82</v>
      </c>
      <c r="F92" s="75">
        <f t="shared" si="12"/>
        <v>47027</v>
      </c>
      <c r="G92" s="74">
        <f t="shared" si="8"/>
        <v>28</v>
      </c>
      <c r="H92" s="74" t="str">
        <f t="shared" si="9"/>
        <v>Q3-28</v>
      </c>
      <c r="I92" s="74">
        <f t="shared" si="13"/>
        <v>7</v>
      </c>
      <c r="J92" s="74">
        <f t="shared" si="10"/>
        <v>2028</v>
      </c>
      <c r="L92" s="82">
        <f>IF(I93&lt;iGeneral!F$25,1,L91*(1+L$10/12))</f>
        <v>1.1444081740780148</v>
      </c>
      <c r="M92" s="82">
        <f>IF(I91&lt;iGeneral!F$26,1,M91*(1+M$10/12))</f>
        <v>1.0591599087337433</v>
      </c>
      <c r="N92" s="82">
        <f>IF(I91&lt;iGeneral!F$27,1,N91*(1+N$10/12))</f>
        <v>1</v>
      </c>
      <c r="O92" s="82">
        <f>IFERROR(IF(I91&lt;iGeneral!F$28,1,O91*(1+O$10/12)),1)</f>
        <v>1</v>
      </c>
      <c r="P92" s="82">
        <f>IFERROR(IF(DATA!$I92&lt;iGeneral!F$29,1,P91*(1+P$10/12)),1)</f>
        <v>1</v>
      </c>
      <c r="T92" s="80"/>
      <c r="U92"/>
      <c r="Y92" s="109"/>
      <c r="Z92" s="109" cm="1">
        <f t="array" ref="Z92">IFERROR(TRANSPOSE(_xlfn._xlws.SORT(_xlfn._xlws.FILTER($R$11:$R$45,$S$11:$S$45=iMPC!#REF!))),0)</f>
        <v>0</v>
      </c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</row>
    <row r="93" spans="5:41" ht="16" outlineLevel="1" thickTop="1" thickBot="1">
      <c r="E93" s="74">
        <f t="shared" si="11"/>
        <v>83</v>
      </c>
      <c r="F93" s="75">
        <f t="shared" si="12"/>
        <v>47058</v>
      </c>
      <c r="G93" s="74">
        <f t="shared" si="8"/>
        <v>28</v>
      </c>
      <c r="H93" s="74" t="str">
        <f t="shared" si="9"/>
        <v>Q3-28</v>
      </c>
      <c r="I93" s="74">
        <f t="shared" si="13"/>
        <v>7</v>
      </c>
      <c r="J93" s="74">
        <f t="shared" si="10"/>
        <v>2028</v>
      </c>
      <c r="L93" s="82">
        <f>IF(I94&lt;iGeneral!F$25,1,L92*(1+L$10/12))</f>
        <v>1.1463155210348115</v>
      </c>
      <c r="M93" s="82">
        <f>IF(I92&lt;iGeneral!F$26,1,M92*(1+M$10/12))</f>
        <v>1.0600425419910213</v>
      </c>
      <c r="N93" s="82">
        <f>IF(I92&lt;iGeneral!F$27,1,N92*(1+N$10/12))</f>
        <v>1</v>
      </c>
      <c r="O93" s="82">
        <f>IFERROR(IF(I92&lt;iGeneral!F$28,1,O92*(1+O$10/12)),1)</f>
        <v>1</v>
      </c>
      <c r="P93" s="82">
        <f>IFERROR(IF(DATA!$I93&lt;iGeneral!F$29,1,P92*(1+P$10/12)),1)</f>
        <v>1</v>
      </c>
      <c r="T93" s="80"/>
      <c r="U93"/>
      <c r="Y93" s="109"/>
      <c r="Z93" s="109" cm="1">
        <f t="array" ref="Z93">IFERROR(TRANSPOSE(_xlfn._xlws.SORT(_xlfn._xlws.FILTER($R$11:$R$45,$S$11:$S$45=iMPC!#REF!))),0)</f>
        <v>0</v>
      </c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</row>
    <row r="94" spans="5:41" ht="16" outlineLevel="1" thickTop="1" thickBot="1">
      <c r="E94" s="74">
        <f t="shared" si="11"/>
        <v>84</v>
      </c>
      <c r="F94" s="75">
        <f t="shared" si="12"/>
        <v>47088</v>
      </c>
      <c r="G94" s="74">
        <f t="shared" si="8"/>
        <v>28</v>
      </c>
      <c r="H94" s="74" t="str">
        <f t="shared" si="9"/>
        <v>Q4-28</v>
      </c>
      <c r="I94" s="74">
        <f t="shared" si="13"/>
        <v>7</v>
      </c>
      <c r="J94" s="74">
        <f t="shared" si="10"/>
        <v>2028</v>
      </c>
      <c r="L94" s="82">
        <f>IF(I95&lt;iGeneral!F$25,1,L93*(1+L$10/12))</f>
        <v>1.1482260469032028</v>
      </c>
      <c r="M94" s="82">
        <f>IF(I93&lt;iGeneral!F$26,1,M93*(1+M$10/12))</f>
        <v>1.0609259107760138</v>
      </c>
      <c r="N94" s="82">
        <f>IF(I93&lt;iGeneral!F$27,1,N93*(1+N$10/12))</f>
        <v>1</v>
      </c>
      <c r="O94" s="82">
        <f>IFERROR(IF(I93&lt;iGeneral!F$28,1,O93*(1+O$10/12)),1)</f>
        <v>1</v>
      </c>
      <c r="P94" s="82">
        <f>IFERROR(IF(DATA!$I94&lt;iGeneral!F$29,1,P93*(1+P$10/12)),1)</f>
        <v>1</v>
      </c>
      <c r="T94" s="80"/>
      <c r="U94"/>
      <c r="Y94" s="109"/>
      <c r="Z94" s="109" cm="1">
        <f t="array" ref="Z94">IFERROR(TRANSPOSE(_xlfn._xlws.SORT(_xlfn._xlws.FILTER($R$11:$R$45,$S$11:$S$45=iMPC!#REF!))),0)</f>
        <v>0</v>
      </c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</row>
    <row r="95" spans="5:41" ht="16" outlineLevel="1" thickTop="1" thickBot="1">
      <c r="E95" s="74">
        <f t="shared" si="11"/>
        <v>85</v>
      </c>
      <c r="F95" s="75">
        <f t="shared" si="12"/>
        <v>47119</v>
      </c>
      <c r="G95" s="74">
        <f t="shared" si="8"/>
        <v>29</v>
      </c>
      <c r="H95" s="74" t="str">
        <f t="shared" si="9"/>
        <v>Q1-29</v>
      </c>
      <c r="I95" s="74">
        <f t="shared" si="13"/>
        <v>8</v>
      </c>
      <c r="J95" s="74">
        <f t="shared" si="10"/>
        <v>2029</v>
      </c>
      <c r="L95" s="82">
        <f>IF(I96&lt;iGeneral!F$25,1,L94*(1+L$10/12))</f>
        <v>1.1501397569813749</v>
      </c>
      <c r="M95" s="82">
        <f>IF(I94&lt;iGeneral!F$26,1,M94*(1+M$10/12))</f>
        <v>1.0618100157016603</v>
      </c>
      <c r="N95" s="82">
        <f>IF(I94&lt;iGeneral!F$27,1,N94*(1+N$10/12))</f>
        <v>1</v>
      </c>
      <c r="O95" s="82">
        <f>IFERROR(IF(I94&lt;iGeneral!F$28,1,O94*(1+O$10/12)),1)</f>
        <v>1</v>
      </c>
      <c r="P95" s="82">
        <f>IFERROR(IF(DATA!$I95&lt;iGeneral!F$29,1,P94*(1+P$10/12)),1)</f>
        <v>1</v>
      </c>
      <c r="T95" s="80"/>
      <c r="U95"/>
      <c r="Y95" s="109"/>
      <c r="Z95" s="109" cm="1">
        <f t="array" ref="Z95">IFERROR(TRANSPOSE(_xlfn._xlws.SORT(_xlfn._xlws.FILTER($R$11:$R$45,$S$11:$S$45=iMPC!#REF!))),0)</f>
        <v>0</v>
      </c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</row>
    <row r="96" spans="5:41" ht="16" outlineLevel="1" thickTop="1" thickBot="1">
      <c r="E96" s="74">
        <f t="shared" si="11"/>
        <v>86</v>
      </c>
      <c r="F96" s="75">
        <f t="shared" si="12"/>
        <v>47150</v>
      </c>
      <c r="G96" s="74">
        <f t="shared" si="8"/>
        <v>29</v>
      </c>
      <c r="H96" s="74" t="str">
        <f t="shared" si="9"/>
        <v>Q1-29</v>
      </c>
      <c r="I96" s="74">
        <f t="shared" si="13"/>
        <v>8</v>
      </c>
      <c r="J96" s="74">
        <f t="shared" si="10"/>
        <v>2029</v>
      </c>
      <c r="L96" s="82">
        <f>IF(I97&lt;iGeneral!F$25,1,L95*(1+L$10/12))</f>
        <v>1.1520566565763439</v>
      </c>
      <c r="M96" s="82">
        <f>IF(I95&lt;iGeneral!F$26,1,M95*(1+M$10/12))</f>
        <v>1.0626948573814117</v>
      </c>
      <c r="N96" s="82">
        <f>IF(I95&lt;iGeneral!F$27,1,N95*(1+N$10/12))</f>
        <v>1</v>
      </c>
      <c r="O96" s="82">
        <f>IFERROR(IF(I95&lt;iGeneral!F$28,1,O95*(1+O$10/12)),1)</f>
        <v>1</v>
      </c>
      <c r="P96" s="82">
        <f>IFERROR(IF(DATA!$I96&lt;iGeneral!F$29,1,P95*(1+P$10/12)),1)</f>
        <v>1</v>
      </c>
      <c r="T96" s="80"/>
      <c r="U96"/>
      <c r="Y96" s="109"/>
      <c r="Z96" s="109" cm="1">
        <f t="array" ref="Z96">IFERROR(TRANSPOSE(_xlfn._xlws.SORT(_xlfn._xlws.FILTER($R$11:$R$45,$S$11:$S$45=iMPC!#REF!))),0)</f>
        <v>0</v>
      </c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</row>
    <row r="97" spans="5:21" ht="16" outlineLevel="1" thickTop="1" thickBot="1">
      <c r="E97" s="74">
        <f t="shared" si="11"/>
        <v>87</v>
      </c>
      <c r="F97" s="75">
        <f t="shared" si="12"/>
        <v>47178</v>
      </c>
      <c r="G97" s="74">
        <f t="shared" si="8"/>
        <v>29</v>
      </c>
      <c r="H97" s="74" t="str">
        <f t="shared" si="9"/>
        <v>Q1-29</v>
      </c>
      <c r="I97" s="74">
        <f t="shared" si="13"/>
        <v>8</v>
      </c>
      <c r="J97" s="74">
        <f t="shared" si="10"/>
        <v>2029</v>
      </c>
      <c r="L97" s="82">
        <f>IF(I98&lt;iGeneral!F$25,1,L96*(1+L$10/12))</f>
        <v>1.1539767510039711</v>
      </c>
      <c r="M97" s="82">
        <f>IF(I96&lt;iGeneral!F$26,1,M96*(1+M$10/12))</f>
        <v>1.0635804364292294</v>
      </c>
      <c r="N97" s="82">
        <f>IF(I96&lt;iGeneral!F$27,1,N96*(1+N$10/12))</f>
        <v>1</v>
      </c>
      <c r="O97" s="82">
        <f>IFERROR(IF(I96&lt;iGeneral!F$28,1,O96*(1+O$10/12)),1)</f>
        <v>1</v>
      </c>
      <c r="P97" s="82">
        <f>IFERROR(IF(DATA!$I97&lt;iGeneral!F$29,1,P96*(1+P$10/12)),1)</f>
        <v>1</v>
      </c>
      <c r="T97" s="80"/>
      <c r="U97"/>
    </row>
    <row r="98" spans="5:21" ht="16" outlineLevel="1" thickTop="1" thickBot="1">
      <c r="E98" s="74">
        <f t="shared" si="11"/>
        <v>88</v>
      </c>
      <c r="F98" s="75">
        <f t="shared" si="12"/>
        <v>47209</v>
      </c>
      <c r="G98" s="74">
        <f t="shared" si="8"/>
        <v>30</v>
      </c>
      <c r="H98" s="74" t="str">
        <f t="shared" si="9"/>
        <v>Q2-29</v>
      </c>
      <c r="I98" s="74">
        <f t="shared" si="13"/>
        <v>8</v>
      </c>
      <c r="J98" s="74">
        <f t="shared" si="10"/>
        <v>2029</v>
      </c>
      <c r="L98" s="82">
        <f>IF(I99&lt;iGeneral!F$25,1,L97*(1+L$10/12))</f>
        <v>1.1559000455889779</v>
      </c>
      <c r="M98" s="82">
        <f>IF(I97&lt;iGeneral!F$26,1,M97*(1+M$10/12))</f>
        <v>1.0644667534595871</v>
      </c>
      <c r="N98" s="82">
        <f>IF(I97&lt;iGeneral!F$27,1,N97*(1+N$10/12))</f>
        <v>1</v>
      </c>
      <c r="O98" s="82">
        <f>IFERROR(IF(I97&lt;iGeneral!F$28,1,O97*(1+O$10/12)),1)</f>
        <v>1</v>
      </c>
      <c r="P98" s="82">
        <f>IFERROR(IF(DATA!$I98&lt;iGeneral!F$29,1,P97*(1+P$10/12)),1)</f>
        <v>1</v>
      </c>
      <c r="T98" s="80"/>
      <c r="U98"/>
    </row>
    <row r="99" spans="5:21" ht="16" outlineLevel="1" thickTop="1" thickBot="1">
      <c r="E99" s="74">
        <f t="shared" si="11"/>
        <v>89</v>
      </c>
      <c r="F99" s="75">
        <f t="shared" si="12"/>
        <v>47239</v>
      </c>
      <c r="G99" s="74">
        <f t="shared" si="8"/>
        <v>30</v>
      </c>
      <c r="H99" s="74" t="str">
        <f t="shared" si="9"/>
        <v>Q2-29</v>
      </c>
      <c r="I99" s="74">
        <f t="shared" si="13"/>
        <v>8</v>
      </c>
      <c r="J99" s="74">
        <f t="shared" si="10"/>
        <v>2029</v>
      </c>
      <c r="L99" s="82">
        <f>IF(I100&lt;iGeneral!F$25,1,L98*(1+L$10/12))</f>
        <v>1.1578265456649595</v>
      </c>
      <c r="M99" s="82">
        <f>IF(I98&lt;iGeneral!F$26,1,M98*(1+M$10/12))</f>
        <v>1.0653538090874699</v>
      </c>
      <c r="N99" s="82">
        <f>IF(I98&lt;iGeneral!F$27,1,N98*(1+N$10/12))</f>
        <v>1</v>
      </c>
      <c r="O99" s="82">
        <f>IFERROR(IF(I98&lt;iGeneral!F$28,1,O98*(1+O$10/12)),1)</f>
        <v>1</v>
      </c>
      <c r="P99" s="82">
        <f>IFERROR(IF(DATA!$I99&lt;iGeneral!F$29,1,P98*(1+P$10/12)),1)</f>
        <v>1</v>
      </c>
      <c r="T99" s="80"/>
      <c r="U99"/>
    </row>
    <row r="100" spans="5:21" ht="16" outlineLevel="1" thickTop="1" thickBot="1">
      <c r="E100" s="74">
        <f t="shared" si="11"/>
        <v>90</v>
      </c>
      <c r="F100" s="75">
        <f t="shared" si="12"/>
        <v>47270</v>
      </c>
      <c r="G100" s="74">
        <f t="shared" si="8"/>
        <v>30</v>
      </c>
      <c r="H100" s="74" t="str">
        <f t="shared" si="9"/>
        <v>Q2-29</v>
      </c>
      <c r="I100" s="74">
        <f t="shared" si="13"/>
        <v>8</v>
      </c>
      <c r="J100" s="74">
        <f t="shared" si="10"/>
        <v>2029</v>
      </c>
      <c r="L100" s="82">
        <f>IF(I101&lt;iGeneral!F$25,1,L99*(1+L$10/12))</f>
        <v>1.1597562565744011</v>
      </c>
      <c r="M100" s="82">
        <f>IF(I99&lt;iGeneral!F$26,1,M99*(1+M$10/12))</f>
        <v>1.066241603928376</v>
      </c>
      <c r="N100" s="82">
        <f>IF(I99&lt;iGeneral!F$27,1,N99*(1+N$10/12))</f>
        <v>1</v>
      </c>
      <c r="O100" s="82">
        <f>IFERROR(IF(I99&lt;iGeneral!F$28,1,O99*(1+O$10/12)),1)</f>
        <v>1</v>
      </c>
      <c r="P100" s="82">
        <f>IFERROR(IF(DATA!$I100&lt;iGeneral!F$29,1,P99*(1+P$10/12)),1)</f>
        <v>1</v>
      </c>
      <c r="T100" s="80"/>
      <c r="U100"/>
    </row>
    <row r="101" spans="5:21" ht="16" outlineLevel="1" thickTop="1" thickBot="1">
      <c r="E101" s="74">
        <f t="shared" si="11"/>
        <v>91</v>
      </c>
      <c r="F101" s="75">
        <f t="shared" si="12"/>
        <v>47300</v>
      </c>
      <c r="G101" s="74">
        <f t="shared" si="8"/>
        <v>31</v>
      </c>
      <c r="H101" s="74" t="str">
        <f t="shared" si="9"/>
        <v>Q2-29</v>
      </c>
      <c r="I101" s="74">
        <f t="shared" si="13"/>
        <v>8</v>
      </c>
      <c r="J101" s="74">
        <f t="shared" si="10"/>
        <v>2029</v>
      </c>
      <c r="L101" s="82">
        <f>IF(I102&lt;iGeneral!F$25,1,L100*(1+L$10/12))</f>
        <v>1.1616891836686918</v>
      </c>
      <c r="M101" s="82">
        <f>IF(I100&lt;iGeneral!F$26,1,M100*(1+M$10/12))</f>
        <v>1.0671301385983163</v>
      </c>
      <c r="N101" s="82">
        <f>IF(I100&lt;iGeneral!F$27,1,N100*(1+N$10/12))</f>
        <v>1</v>
      </c>
      <c r="O101" s="82">
        <f>IFERROR(IF(I100&lt;iGeneral!F$28,1,O100*(1+O$10/12)),1)</f>
        <v>1</v>
      </c>
      <c r="P101" s="82">
        <f>IFERROR(IF(DATA!$I101&lt;iGeneral!F$29,1,P100*(1+P$10/12)),1)</f>
        <v>1</v>
      </c>
      <c r="T101" s="80"/>
      <c r="U101"/>
    </row>
    <row r="102" spans="5:21" ht="16" outlineLevel="1" thickTop="1" thickBot="1">
      <c r="E102" s="74">
        <f t="shared" si="11"/>
        <v>92</v>
      </c>
      <c r="F102" s="75">
        <f t="shared" si="12"/>
        <v>47331</v>
      </c>
      <c r="G102" s="74">
        <f t="shared" si="8"/>
        <v>31</v>
      </c>
      <c r="H102" s="74" t="str">
        <f t="shared" si="9"/>
        <v>Q3-29</v>
      </c>
      <c r="I102" s="74">
        <f t="shared" si="13"/>
        <v>8</v>
      </c>
      <c r="J102" s="74">
        <f t="shared" si="10"/>
        <v>2029</v>
      </c>
      <c r="L102" s="82">
        <f>IF(I103&lt;iGeneral!F$25,1,L101*(1+L$10/12))</f>
        <v>1.1636253323081396</v>
      </c>
      <c r="M102" s="82">
        <f>IF(I101&lt;iGeneral!F$26,1,M101*(1+M$10/12))</f>
        <v>1.0680194137138148</v>
      </c>
      <c r="N102" s="82">
        <f>IF(I101&lt;iGeneral!F$27,1,N101*(1+N$10/12))</f>
        <v>1</v>
      </c>
      <c r="O102" s="82">
        <f>IFERROR(IF(I101&lt;iGeneral!F$28,1,O101*(1+O$10/12)),1)</f>
        <v>1</v>
      </c>
      <c r="P102" s="82">
        <f>IFERROR(IF(DATA!$I102&lt;iGeneral!F$29,1,P101*(1+P$10/12)),1)</f>
        <v>1</v>
      </c>
      <c r="T102" s="80"/>
      <c r="U102"/>
    </row>
    <row r="103" spans="5:21" ht="16" outlineLevel="1" thickTop="1" thickBot="1">
      <c r="E103" s="74">
        <f t="shared" si="11"/>
        <v>93</v>
      </c>
      <c r="F103" s="75">
        <f t="shared" si="12"/>
        <v>47362</v>
      </c>
      <c r="G103" s="74">
        <f t="shared" si="8"/>
        <v>31</v>
      </c>
      <c r="H103" s="74" t="str">
        <f t="shared" si="9"/>
        <v>Q3-29</v>
      </c>
      <c r="I103" s="74">
        <f t="shared" si="13"/>
        <v>8</v>
      </c>
      <c r="J103" s="74">
        <f t="shared" si="10"/>
        <v>2029</v>
      </c>
      <c r="L103" s="82">
        <f>IF(I104&lt;iGeneral!F$25,1,L102*(1+L$10/12))</f>
        <v>1.1655647078619866</v>
      </c>
      <c r="M103" s="82">
        <f>IF(I102&lt;iGeneral!F$26,1,M102*(1+M$10/12))</f>
        <v>1.0689094298919095</v>
      </c>
      <c r="N103" s="82">
        <f>IF(I102&lt;iGeneral!F$27,1,N102*(1+N$10/12))</f>
        <v>1</v>
      </c>
      <c r="O103" s="82">
        <f>IFERROR(IF(I102&lt;iGeneral!F$28,1,O102*(1+O$10/12)),1)</f>
        <v>1</v>
      </c>
      <c r="P103" s="82">
        <f>IFERROR(IF(DATA!$I103&lt;iGeneral!F$29,1,P102*(1+P$10/12)),1)</f>
        <v>1</v>
      </c>
      <c r="T103" s="80"/>
      <c r="U103"/>
    </row>
    <row r="104" spans="5:21" ht="16" outlineLevel="1" thickTop="1" thickBot="1">
      <c r="E104" s="74">
        <f t="shared" si="11"/>
        <v>94</v>
      </c>
      <c r="F104" s="75">
        <f t="shared" si="12"/>
        <v>47392</v>
      </c>
      <c r="G104" s="74">
        <f t="shared" si="8"/>
        <v>32</v>
      </c>
      <c r="H104" s="74" t="str">
        <f t="shared" si="9"/>
        <v>Q3-29</v>
      </c>
      <c r="I104" s="74">
        <f t="shared" si="13"/>
        <v>8</v>
      </c>
      <c r="J104" s="74">
        <f t="shared" si="10"/>
        <v>2029</v>
      </c>
      <c r="L104" s="82">
        <f>IF(I105&lt;iGeneral!F$25,1,L103*(1+L$10/12))</f>
        <v>1.1675073157084233</v>
      </c>
      <c r="M104" s="82">
        <f>IF(I103&lt;iGeneral!F$26,1,M103*(1+M$10/12))</f>
        <v>1.0698001877501526</v>
      </c>
      <c r="N104" s="82">
        <f>IF(I103&lt;iGeneral!F$27,1,N103*(1+N$10/12))</f>
        <v>1</v>
      </c>
      <c r="O104" s="82">
        <f>IFERROR(IF(I103&lt;iGeneral!F$28,1,O103*(1+O$10/12)),1)</f>
        <v>1</v>
      </c>
      <c r="P104" s="82">
        <f>IFERROR(IF(DATA!$I104&lt;iGeneral!F$29,1,P103*(1+P$10/12)),1)</f>
        <v>1</v>
      </c>
      <c r="T104" s="80"/>
      <c r="U104"/>
    </row>
    <row r="105" spans="5:21" ht="16" outlineLevel="1" thickTop="1" thickBot="1">
      <c r="E105" s="74">
        <f t="shared" si="11"/>
        <v>95</v>
      </c>
      <c r="F105" s="75">
        <f t="shared" si="12"/>
        <v>47423</v>
      </c>
      <c r="G105" s="74">
        <f t="shared" si="8"/>
        <v>32</v>
      </c>
      <c r="H105" s="74" t="str">
        <f t="shared" si="9"/>
        <v>Q3-29</v>
      </c>
      <c r="I105" s="74">
        <f t="shared" si="13"/>
        <v>8</v>
      </c>
      <c r="J105" s="74">
        <f t="shared" si="10"/>
        <v>2029</v>
      </c>
      <c r="L105" s="82">
        <f>IF(I106&lt;iGeneral!F$25,1,L104*(1+L$10/12))</f>
        <v>1.169453161234604</v>
      </c>
      <c r="M105" s="82">
        <f>IF(I104&lt;iGeneral!F$26,1,M104*(1+M$10/12))</f>
        <v>1.0706916879066111</v>
      </c>
      <c r="N105" s="82">
        <f>IF(I104&lt;iGeneral!F$27,1,N104*(1+N$10/12))</f>
        <v>1</v>
      </c>
      <c r="O105" s="82">
        <f>IFERROR(IF(I104&lt;iGeneral!F$28,1,O104*(1+O$10/12)),1)</f>
        <v>1</v>
      </c>
      <c r="P105" s="82">
        <f>IFERROR(IF(DATA!$I105&lt;iGeneral!F$29,1,P104*(1+P$10/12)),1)</f>
        <v>1</v>
      </c>
      <c r="T105" s="80"/>
      <c r="U105"/>
    </row>
    <row r="106" spans="5:21" ht="16" outlineLevel="1" thickTop="1" thickBot="1">
      <c r="E106" s="74">
        <f t="shared" si="11"/>
        <v>96</v>
      </c>
      <c r="F106" s="75">
        <f t="shared" si="12"/>
        <v>47453</v>
      </c>
      <c r="G106" s="74">
        <f t="shared" si="8"/>
        <v>32</v>
      </c>
      <c r="H106" s="74" t="str">
        <f t="shared" si="9"/>
        <v>Q4-29</v>
      </c>
      <c r="I106" s="74">
        <f t="shared" si="13"/>
        <v>8</v>
      </c>
      <c r="J106" s="74">
        <f t="shared" si="10"/>
        <v>2029</v>
      </c>
      <c r="L106" s="82">
        <f>IF(I107&lt;iGeneral!F$25,1,L105*(1+L$10/12))</f>
        <v>1.1714022498366616</v>
      </c>
      <c r="M106" s="82">
        <f>IF(I105&lt;iGeneral!F$26,1,M105*(1+M$10/12))</f>
        <v>1.0715839309798665</v>
      </c>
      <c r="N106" s="82">
        <f>IF(I105&lt;iGeneral!F$27,1,N105*(1+N$10/12))</f>
        <v>1</v>
      </c>
      <c r="O106" s="82">
        <f>IFERROR(IF(I105&lt;iGeneral!F$28,1,O105*(1+O$10/12)),1)</f>
        <v>1</v>
      </c>
      <c r="P106" s="82">
        <f>IFERROR(IF(DATA!$I106&lt;iGeneral!F$29,1,P105*(1+P$10/12)),1)</f>
        <v>1</v>
      </c>
      <c r="T106" s="80"/>
      <c r="U106"/>
    </row>
    <row r="107" spans="5:21" ht="16" outlineLevel="1" thickTop="1" thickBot="1">
      <c r="E107" s="74">
        <f t="shared" si="11"/>
        <v>97</v>
      </c>
      <c r="F107" s="75">
        <f t="shared" si="12"/>
        <v>47484</v>
      </c>
      <c r="G107" s="74">
        <f t="shared" si="8"/>
        <v>33</v>
      </c>
      <c r="H107" s="74" t="str">
        <f t="shared" si="9"/>
        <v>Q1-30</v>
      </c>
      <c r="I107" s="74">
        <f t="shared" si="13"/>
        <v>9</v>
      </c>
      <c r="J107" s="74">
        <f t="shared" si="10"/>
        <v>2030</v>
      </c>
      <c r="L107" s="82">
        <f>IF(I108&lt;iGeneral!F$25,1,L106*(1+L$10/12))</f>
        <v>1.1733545869197228</v>
      </c>
      <c r="M107" s="82">
        <f>IF(I106&lt;iGeneral!F$26,1,M106*(1+M$10/12))</f>
        <v>1.0724769175890163</v>
      </c>
      <c r="N107" s="82">
        <f>IF(I106&lt;iGeneral!F$27,1,N106*(1+N$10/12))</f>
        <v>1</v>
      </c>
      <c r="O107" s="82">
        <f>IFERROR(IF(I106&lt;iGeneral!F$28,1,O106*(1+O$10/12)),1)</f>
        <v>1</v>
      </c>
      <c r="P107" s="82">
        <f>IFERROR(IF(DATA!$I107&lt;iGeneral!F$29,1,P106*(1+P$10/12)),1)</f>
        <v>1</v>
      </c>
      <c r="T107" s="80"/>
      <c r="U107"/>
    </row>
    <row r="108" spans="5:21" ht="16" outlineLevel="1" thickTop="1" thickBot="1">
      <c r="E108" s="74">
        <f t="shared" si="11"/>
        <v>98</v>
      </c>
      <c r="F108" s="75">
        <f t="shared" si="12"/>
        <v>47515</v>
      </c>
      <c r="G108" s="74">
        <f t="shared" si="8"/>
        <v>33</v>
      </c>
      <c r="H108" s="74" t="str">
        <f t="shared" si="9"/>
        <v>Q1-30</v>
      </c>
      <c r="I108" s="74">
        <f t="shared" si="13"/>
        <v>9</v>
      </c>
      <c r="J108" s="74">
        <f t="shared" si="10"/>
        <v>2030</v>
      </c>
      <c r="L108" s="82">
        <f>IF(I109&lt;iGeneral!F$25,1,L107*(1+L$10/12))</f>
        <v>1.1753101778979225</v>
      </c>
      <c r="M108" s="82">
        <f>IF(I107&lt;iGeneral!F$26,1,M107*(1+M$10/12))</f>
        <v>1.0733706483536738</v>
      </c>
      <c r="N108" s="82">
        <f>IF(I107&lt;iGeneral!F$27,1,N107*(1+N$10/12))</f>
        <v>1</v>
      </c>
      <c r="O108" s="82">
        <f>IFERROR(IF(I107&lt;iGeneral!F$28,1,O107*(1+O$10/12)),1)</f>
        <v>1</v>
      </c>
      <c r="P108" s="82">
        <f>IFERROR(IF(DATA!$I108&lt;iGeneral!F$29,1,P107*(1+P$10/12)),1)</f>
        <v>1</v>
      </c>
      <c r="T108" s="80"/>
      <c r="U108"/>
    </row>
    <row r="109" spans="5:21" ht="16" outlineLevel="1" thickTop="1" thickBot="1">
      <c r="E109" s="74">
        <f t="shared" si="11"/>
        <v>99</v>
      </c>
      <c r="F109" s="75">
        <f t="shared" si="12"/>
        <v>47543</v>
      </c>
      <c r="G109" s="74">
        <f t="shared" si="8"/>
        <v>33</v>
      </c>
      <c r="H109" s="74" t="str">
        <f t="shared" si="9"/>
        <v>Q1-30</v>
      </c>
      <c r="I109" s="74">
        <f t="shared" si="13"/>
        <v>9</v>
      </c>
      <c r="J109" s="74">
        <f t="shared" si="10"/>
        <v>2030</v>
      </c>
      <c r="L109" s="82">
        <f>IF(I110&lt;iGeneral!F$25,1,L108*(1+L$10/12))</f>
        <v>1.1772690281944191</v>
      </c>
      <c r="M109" s="82">
        <f>IF(I108&lt;iGeneral!F$26,1,M108*(1+M$10/12))</f>
        <v>1.0742651238939684</v>
      </c>
      <c r="N109" s="82">
        <f>IF(I108&lt;iGeneral!F$27,1,N108*(1+N$10/12))</f>
        <v>1</v>
      </c>
      <c r="O109" s="82">
        <f>IFERROR(IF(I108&lt;iGeneral!F$28,1,O108*(1+O$10/12)),1)</f>
        <v>1</v>
      </c>
      <c r="P109" s="82">
        <f>IFERROR(IF(DATA!$I109&lt;iGeneral!F$29,1,P108*(1+P$10/12)),1)</f>
        <v>1</v>
      </c>
      <c r="T109" s="80"/>
      <c r="U109"/>
    </row>
    <row r="110" spans="5:21" ht="16" outlineLevel="1" thickTop="1" thickBot="1">
      <c r="E110" s="74">
        <f t="shared" si="11"/>
        <v>100</v>
      </c>
      <c r="F110" s="75">
        <f t="shared" si="12"/>
        <v>47574</v>
      </c>
      <c r="G110" s="74">
        <f t="shared" si="8"/>
        <v>34</v>
      </c>
      <c r="H110" s="74" t="str">
        <f t="shared" si="9"/>
        <v>Q2-30</v>
      </c>
      <c r="I110" s="74">
        <f t="shared" si="13"/>
        <v>9</v>
      </c>
      <c r="J110" s="74">
        <f t="shared" si="10"/>
        <v>2030</v>
      </c>
      <c r="L110" s="82">
        <f>IF(I111&lt;iGeneral!F$25,1,L109*(1+L$10/12))</f>
        <v>1.17923114324141</v>
      </c>
      <c r="M110" s="82">
        <f>IF(I109&lt;iGeneral!F$26,1,M109*(1+M$10/12))</f>
        <v>1.0751603448305467</v>
      </c>
      <c r="N110" s="82">
        <f>IF(I109&lt;iGeneral!F$27,1,N109*(1+N$10/12))</f>
        <v>1</v>
      </c>
      <c r="O110" s="82">
        <f>IFERROR(IF(I109&lt;iGeneral!F$28,1,O109*(1+O$10/12)),1)</f>
        <v>1</v>
      </c>
      <c r="P110" s="82">
        <f>IFERROR(IF(DATA!$I110&lt;iGeneral!F$29,1,P109*(1+P$10/12)),1)</f>
        <v>1</v>
      </c>
      <c r="T110" s="80"/>
      <c r="U110"/>
    </row>
    <row r="111" spans="5:21" ht="16" outlineLevel="1" thickTop="1" thickBot="1">
      <c r="E111" s="74">
        <f t="shared" si="11"/>
        <v>101</v>
      </c>
      <c r="F111" s="75">
        <f t="shared" si="12"/>
        <v>47604</v>
      </c>
      <c r="G111" s="74">
        <f t="shared" si="8"/>
        <v>34</v>
      </c>
      <c r="H111" s="74" t="str">
        <f t="shared" si="9"/>
        <v>Q2-30</v>
      </c>
      <c r="I111" s="74">
        <f t="shared" si="13"/>
        <v>9</v>
      </c>
      <c r="J111" s="74">
        <f t="shared" si="10"/>
        <v>2030</v>
      </c>
      <c r="L111" s="82">
        <f>IF(I112&lt;iGeneral!F$25,1,L110*(1+L$10/12))</f>
        <v>1.1811965284801458</v>
      </c>
      <c r="M111" s="82">
        <f>IF(I110&lt;iGeneral!F$26,1,M110*(1+M$10/12))</f>
        <v>1.0760563117845721</v>
      </c>
      <c r="N111" s="82">
        <f>IF(I110&lt;iGeneral!F$27,1,N110*(1+N$10/12))</f>
        <v>1</v>
      </c>
      <c r="O111" s="82">
        <f>IFERROR(IF(I110&lt;iGeneral!F$28,1,O110*(1+O$10/12)),1)</f>
        <v>1</v>
      </c>
      <c r="P111" s="82">
        <f>IFERROR(IF(DATA!$I111&lt;iGeneral!F$29,1,P110*(1+P$10/12)),1)</f>
        <v>1</v>
      </c>
      <c r="T111" s="80"/>
      <c r="U111"/>
    </row>
    <row r="112" spans="5:21" ht="16" outlineLevel="1" thickTop="1" thickBot="1">
      <c r="E112" s="74">
        <f t="shared" si="11"/>
        <v>102</v>
      </c>
      <c r="F112" s="75">
        <f t="shared" si="12"/>
        <v>47635</v>
      </c>
      <c r="G112" s="74">
        <f t="shared" si="8"/>
        <v>34</v>
      </c>
      <c r="H112" s="74" t="str">
        <f t="shared" si="9"/>
        <v>Q2-30</v>
      </c>
      <c r="I112" s="74">
        <f t="shared" si="13"/>
        <v>9</v>
      </c>
      <c r="J112" s="74">
        <f t="shared" si="10"/>
        <v>2030</v>
      </c>
      <c r="L112" s="82">
        <f>IF(I113&lt;iGeneral!F$25,1,L111*(1+L$10/12))</f>
        <v>1.1831651893609461</v>
      </c>
      <c r="M112" s="82">
        <f>IF(I111&lt;iGeneral!F$26,1,M111*(1+M$10/12))</f>
        <v>1.0769530253777257</v>
      </c>
      <c r="N112" s="82">
        <f>IF(I111&lt;iGeneral!F$27,1,N111*(1+N$10/12))</f>
        <v>1</v>
      </c>
      <c r="O112" s="82">
        <f>IFERROR(IF(I111&lt;iGeneral!F$28,1,O111*(1+O$10/12)),1)</f>
        <v>1</v>
      </c>
      <c r="P112" s="82">
        <f>IFERROR(IF(DATA!$I112&lt;iGeneral!F$29,1,P111*(1+P$10/12)),1)</f>
        <v>1</v>
      </c>
      <c r="T112" s="80"/>
      <c r="U112"/>
    </row>
    <row r="113" spans="5:21" ht="16" outlineLevel="1" thickTop="1" thickBot="1">
      <c r="E113" s="74">
        <f t="shared" si="11"/>
        <v>103</v>
      </c>
      <c r="F113" s="75">
        <f t="shared" si="12"/>
        <v>47665</v>
      </c>
      <c r="G113" s="74">
        <f t="shared" si="8"/>
        <v>35</v>
      </c>
      <c r="H113" s="74" t="str">
        <f t="shared" si="9"/>
        <v>Q2-30</v>
      </c>
      <c r="I113" s="74">
        <f t="shared" si="13"/>
        <v>9</v>
      </c>
      <c r="J113" s="74">
        <f t="shared" si="10"/>
        <v>2030</v>
      </c>
      <c r="L113" s="82">
        <f>IF(I114&lt;iGeneral!F$25,1,L112*(1+L$10/12))</f>
        <v>1.1851371313432144</v>
      </c>
      <c r="M113" s="82">
        <f>IF(I112&lt;iGeneral!F$26,1,M112*(1+M$10/12))</f>
        <v>1.0778504862322071</v>
      </c>
      <c r="N113" s="82">
        <f>IF(I112&lt;iGeneral!F$27,1,N112*(1+N$10/12))</f>
        <v>1</v>
      </c>
      <c r="O113" s="82">
        <f>IFERROR(IF(I112&lt;iGeneral!F$28,1,O112*(1+O$10/12)),1)</f>
        <v>1</v>
      </c>
      <c r="P113" s="82">
        <f>IFERROR(IF(DATA!$I113&lt;iGeneral!F$29,1,P112*(1+P$10/12)),1)</f>
        <v>1</v>
      </c>
      <c r="T113" s="80"/>
      <c r="U113"/>
    </row>
    <row r="114" spans="5:21" ht="16" outlineLevel="1" thickTop="1" thickBot="1">
      <c r="E114" s="74">
        <f t="shared" si="11"/>
        <v>104</v>
      </c>
      <c r="F114" s="75">
        <f t="shared" si="12"/>
        <v>47696</v>
      </c>
      <c r="G114" s="74">
        <f t="shared" si="8"/>
        <v>35</v>
      </c>
      <c r="H114" s="74" t="str">
        <f t="shared" si="9"/>
        <v>Q3-30</v>
      </c>
      <c r="I114" s="74">
        <f t="shared" si="13"/>
        <v>9</v>
      </c>
      <c r="J114" s="74">
        <f t="shared" si="10"/>
        <v>2030</v>
      </c>
      <c r="L114" s="82">
        <f>IF(I115&lt;iGeneral!F$25,1,L113*(1+L$10/12))</f>
        <v>1.1871123598954532</v>
      </c>
      <c r="M114" s="82">
        <f>IF(I113&lt;iGeneral!F$26,1,M113*(1+M$10/12))</f>
        <v>1.0787486949707339</v>
      </c>
      <c r="N114" s="82">
        <f>IF(I113&lt;iGeneral!F$27,1,N113*(1+N$10/12))</f>
        <v>1</v>
      </c>
      <c r="O114" s="82">
        <f>IFERROR(IF(I113&lt;iGeneral!F$28,1,O113*(1+O$10/12)),1)</f>
        <v>1</v>
      </c>
      <c r="P114" s="82">
        <f>IFERROR(IF(DATA!$I114&lt;iGeneral!F$29,1,P113*(1+P$10/12)),1)</f>
        <v>1</v>
      </c>
      <c r="T114" s="80"/>
      <c r="U114"/>
    </row>
    <row r="115" spans="5:21" ht="16" outlineLevel="1" thickTop="1" thickBot="1">
      <c r="E115" s="74">
        <f t="shared" si="11"/>
        <v>105</v>
      </c>
      <c r="F115" s="75">
        <f t="shared" si="12"/>
        <v>47727</v>
      </c>
      <c r="G115" s="74">
        <f t="shared" si="8"/>
        <v>35</v>
      </c>
      <c r="H115" s="74" t="str">
        <f t="shared" si="9"/>
        <v>Q3-30</v>
      </c>
      <c r="I115" s="74">
        <f t="shared" si="13"/>
        <v>9</v>
      </c>
      <c r="J115" s="74">
        <f t="shared" si="10"/>
        <v>2030</v>
      </c>
      <c r="L115" s="82">
        <f>IF(I116&lt;iGeneral!F$25,1,L114*(1+L$10/12))</f>
        <v>1.1890908804952789</v>
      </c>
      <c r="M115" s="82">
        <f>IF(I114&lt;iGeneral!F$26,1,M114*(1+M$10/12))</f>
        <v>1.0796476522165428</v>
      </c>
      <c r="N115" s="82">
        <f>IF(I114&lt;iGeneral!F$27,1,N114*(1+N$10/12))</f>
        <v>1</v>
      </c>
      <c r="O115" s="82">
        <f>IFERROR(IF(I114&lt;iGeneral!F$28,1,O114*(1+O$10/12)),1)</f>
        <v>1</v>
      </c>
      <c r="P115" s="82">
        <f>IFERROR(IF(DATA!$I115&lt;iGeneral!F$29,1,P114*(1+P$10/12)),1)</f>
        <v>1</v>
      </c>
      <c r="T115" s="80"/>
      <c r="U115"/>
    </row>
    <row r="116" spans="5:21" ht="16" outlineLevel="1" thickTop="1" thickBot="1">
      <c r="E116" s="74">
        <f t="shared" si="11"/>
        <v>106</v>
      </c>
      <c r="F116" s="75">
        <f t="shared" si="12"/>
        <v>47757</v>
      </c>
      <c r="G116" s="74">
        <f t="shared" si="8"/>
        <v>36</v>
      </c>
      <c r="H116" s="74" t="str">
        <f t="shared" si="9"/>
        <v>Q3-30</v>
      </c>
      <c r="I116" s="74">
        <f t="shared" si="13"/>
        <v>9</v>
      </c>
      <c r="J116" s="74">
        <f t="shared" si="10"/>
        <v>2030</v>
      </c>
      <c r="L116" s="82">
        <f>IF(I117&lt;iGeneral!F$25,1,L115*(1+L$10/12))</f>
        <v>1.1910726986294378</v>
      </c>
      <c r="M116" s="82">
        <f>IF(I115&lt;iGeneral!F$26,1,M115*(1+M$10/12))</f>
        <v>1.0805473585933898</v>
      </c>
      <c r="N116" s="82">
        <f>IF(I115&lt;iGeneral!F$27,1,N115*(1+N$10/12))</f>
        <v>1</v>
      </c>
      <c r="O116" s="82">
        <f>IFERROR(IF(I115&lt;iGeneral!F$28,1,O115*(1+O$10/12)),1)</f>
        <v>1</v>
      </c>
      <c r="P116" s="82">
        <f>IFERROR(IF(DATA!$I116&lt;iGeneral!F$29,1,P115*(1+P$10/12)),1)</f>
        <v>1</v>
      </c>
      <c r="T116" s="80"/>
      <c r="U116"/>
    </row>
    <row r="117" spans="5:21" ht="16" outlineLevel="1" thickTop="1" thickBot="1">
      <c r="E117" s="74">
        <f t="shared" si="11"/>
        <v>107</v>
      </c>
      <c r="F117" s="75">
        <f t="shared" si="12"/>
        <v>47788</v>
      </c>
      <c r="G117" s="74">
        <f t="shared" si="8"/>
        <v>36</v>
      </c>
      <c r="H117" s="74" t="str">
        <f t="shared" si="9"/>
        <v>Q3-30</v>
      </c>
      <c r="I117" s="74">
        <f t="shared" si="13"/>
        <v>9</v>
      </c>
      <c r="J117" s="74">
        <f t="shared" si="10"/>
        <v>2030</v>
      </c>
      <c r="L117" s="82">
        <f>IF(I118&lt;iGeneral!F$25,1,L116*(1+L$10/12))</f>
        <v>1.1930578197938202</v>
      </c>
      <c r="M117" s="82">
        <f>IF(I116&lt;iGeneral!F$26,1,M116*(1+M$10/12))</f>
        <v>1.0814478147255508</v>
      </c>
      <c r="N117" s="82">
        <f>IF(I116&lt;iGeneral!F$27,1,N116*(1+N$10/12))</f>
        <v>1</v>
      </c>
      <c r="O117" s="82">
        <f>IFERROR(IF(I116&lt;iGeneral!F$28,1,O116*(1+O$10/12)),1)</f>
        <v>1</v>
      </c>
      <c r="P117" s="82">
        <f>IFERROR(IF(DATA!$I117&lt;iGeneral!F$29,1,P116*(1+P$10/12)),1)</f>
        <v>1</v>
      </c>
      <c r="T117" s="80"/>
      <c r="U117"/>
    </row>
    <row r="118" spans="5:21" ht="16" outlineLevel="1" thickTop="1" thickBot="1">
      <c r="E118" s="74">
        <f t="shared" si="11"/>
        <v>108</v>
      </c>
      <c r="F118" s="75">
        <f t="shared" si="12"/>
        <v>47818</v>
      </c>
      <c r="G118" s="74">
        <f t="shared" si="8"/>
        <v>36</v>
      </c>
      <c r="H118" s="74" t="str">
        <f t="shared" si="9"/>
        <v>Q4-30</v>
      </c>
      <c r="I118" s="74">
        <f t="shared" si="13"/>
        <v>9</v>
      </c>
      <c r="J118" s="74">
        <f t="shared" si="10"/>
        <v>2030</v>
      </c>
      <c r="L118" s="82">
        <f>IF(I119&lt;iGeneral!F$25,1,L117*(1+L$10/12))</f>
        <v>1.1950462494934766</v>
      </c>
      <c r="M118" s="82">
        <f>IF(I117&lt;iGeneral!F$26,1,M117*(1+M$10/12))</f>
        <v>1.082349021237822</v>
      </c>
      <c r="N118" s="82">
        <f>IF(I117&lt;iGeneral!F$27,1,N117*(1+N$10/12))</f>
        <v>1</v>
      </c>
      <c r="O118" s="82">
        <f>IFERROR(IF(I117&lt;iGeneral!F$28,1,O117*(1+O$10/12)),1)</f>
        <v>1</v>
      </c>
      <c r="P118" s="82">
        <f>IFERROR(IF(DATA!$I118&lt;iGeneral!F$29,1,P117*(1+P$10/12)),1)</f>
        <v>1</v>
      </c>
      <c r="T118" s="80"/>
      <c r="U118"/>
    </row>
    <row r="119" spans="5:21" ht="16" outlineLevel="1" thickTop="1" thickBot="1">
      <c r="E119" s="74">
        <f t="shared" si="11"/>
        <v>109</v>
      </c>
      <c r="F119" s="75">
        <f t="shared" si="12"/>
        <v>47849</v>
      </c>
      <c r="G119" s="74">
        <f t="shared" si="8"/>
        <v>37</v>
      </c>
      <c r="H119" s="74" t="str">
        <f t="shared" si="9"/>
        <v>Q1-31</v>
      </c>
      <c r="I119" s="74">
        <f t="shared" si="13"/>
        <v>10</v>
      </c>
      <c r="J119" s="74">
        <f t="shared" si="10"/>
        <v>2031</v>
      </c>
      <c r="L119" s="82">
        <f>IF(I120&lt;iGeneral!F$25,1,L118*(1+L$10/12))</f>
        <v>1.1970379932426325</v>
      </c>
      <c r="M119" s="82">
        <f>IF(I118&lt;iGeneral!F$26,1,M118*(1+M$10/12))</f>
        <v>1.08325097875552</v>
      </c>
      <c r="N119" s="82">
        <f>IF(I118&lt;iGeneral!F$27,1,N118*(1+N$10/12))</f>
        <v>1</v>
      </c>
      <c r="O119" s="82">
        <f>IFERROR(IF(I118&lt;iGeneral!F$28,1,O118*(1+O$10/12)),1)</f>
        <v>1</v>
      </c>
      <c r="P119" s="82">
        <f>IFERROR(IF(DATA!$I119&lt;iGeneral!F$29,1,P118*(1+P$10/12)),1)</f>
        <v>1</v>
      </c>
      <c r="T119" s="80"/>
      <c r="U119"/>
    </row>
    <row r="120" spans="5:21" ht="16" outlineLevel="1" thickTop="1" thickBot="1">
      <c r="E120" s="74">
        <f t="shared" si="11"/>
        <v>110</v>
      </c>
      <c r="F120" s="75">
        <f t="shared" si="12"/>
        <v>47880</v>
      </c>
      <c r="G120" s="74">
        <f t="shared" si="8"/>
        <v>37</v>
      </c>
      <c r="H120" s="74" t="str">
        <f t="shared" si="9"/>
        <v>Q1-31</v>
      </c>
      <c r="I120" s="74">
        <f t="shared" si="13"/>
        <v>10</v>
      </c>
      <c r="J120" s="74">
        <f t="shared" si="10"/>
        <v>2031</v>
      </c>
      <c r="L120" s="82">
        <f>IF(I121&lt;iGeneral!F$25,1,L119*(1+L$10/12))</f>
        <v>1.1990330565647036</v>
      </c>
      <c r="M120" s="82">
        <f>IF(I119&lt;iGeneral!F$26,1,M119*(1+M$10/12))</f>
        <v>1.0841536879044829</v>
      </c>
      <c r="N120" s="82">
        <f>IF(I119&lt;iGeneral!F$27,1,N119*(1+N$10/12))</f>
        <v>1</v>
      </c>
      <c r="O120" s="82">
        <f>IFERROR(IF(I119&lt;iGeneral!F$28,1,O119*(1+O$10/12)),1)</f>
        <v>1</v>
      </c>
      <c r="P120" s="82">
        <f>IFERROR(IF(DATA!$I120&lt;iGeneral!F$29,1,P119*(1+P$10/12)),1)</f>
        <v>1</v>
      </c>
      <c r="T120" s="80"/>
      <c r="U120"/>
    </row>
    <row r="121" spans="5:21" ht="16" outlineLevel="1" thickTop="1" thickBot="1">
      <c r="E121" s="74">
        <f t="shared" si="11"/>
        <v>111</v>
      </c>
      <c r="F121" s="75">
        <f t="shared" si="12"/>
        <v>47908</v>
      </c>
      <c r="G121" s="74">
        <f t="shared" si="8"/>
        <v>37</v>
      </c>
      <c r="H121" s="74" t="str">
        <f t="shared" si="9"/>
        <v>Q1-31</v>
      </c>
      <c r="I121" s="74">
        <f t="shared" si="13"/>
        <v>10</v>
      </c>
      <c r="J121" s="74">
        <f t="shared" si="10"/>
        <v>2031</v>
      </c>
      <c r="L121" s="82">
        <f>IF(I122&lt;iGeneral!F$25,1,L120*(1+L$10/12))</f>
        <v>1.2010314449923114</v>
      </c>
      <c r="M121" s="82">
        <f>IF(I120&lt;iGeneral!F$26,1,M120*(1+M$10/12))</f>
        <v>1.0850571493110699</v>
      </c>
      <c r="N121" s="82">
        <f>IF(I120&lt;iGeneral!F$27,1,N120*(1+N$10/12))</f>
        <v>1</v>
      </c>
      <c r="O121" s="82">
        <f>IFERROR(IF(I120&lt;iGeneral!F$28,1,O120*(1+O$10/12)),1)</f>
        <v>1</v>
      </c>
      <c r="P121" s="82">
        <f>IFERROR(IF(DATA!$I121&lt;iGeneral!F$29,1,P120*(1+P$10/12)),1)</f>
        <v>1</v>
      </c>
      <c r="T121" s="80"/>
      <c r="U121"/>
    </row>
    <row r="122" spans="5:21" ht="16" outlineLevel="1" thickTop="1" thickBot="1">
      <c r="E122" s="74">
        <f t="shared" si="11"/>
        <v>112</v>
      </c>
      <c r="F122" s="75">
        <f t="shared" si="12"/>
        <v>47939</v>
      </c>
      <c r="G122" s="74">
        <f t="shared" si="8"/>
        <v>38</v>
      </c>
      <c r="H122" s="74" t="str">
        <f t="shared" si="9"/>
        <v>Q2-31</v>
      </c>
      <c r="I122" s="74">
        <f t="shared" si="13"/>
        <v>10</v>
      </c>
      <c r="J122" s="74">
        <f t="shared" si="10"/>
        <v>2031</v>
      </c>
      <c r="L122" s="82">
        <f>IF(I123&lt;iGeneral!F$25,1,L121*(1+L$10/12))</f>
        <v>1.2030331640672987</v>
      </c>
      <c r="M122" s="82">
        <f>IF(I121&lt;iGeneral!F$26,1,M121*(1+M$10/12))</f>
        <v>1.0859613636021623</v>
      </c>
      <c r="N122" s="82">
        <f>IF(I121&lt;iGeneral!F$27,1,N121*(1+N$10/12))</f>
        <v>1</v>
      </c>
      <c r="O122" s="82">
        <f>IFERROR(IF(I121&lt;iGeneral!F$28,1,O121*(1+O$10/12)),1)</f>
        <v>1</v>
      </c>
      <c r="P122" s="82">
        <f>IFERROR(IF(DATA!$I122&lt;iGeneral!F$29,1,P121*(1+P$10/12)),1)</f>
        <v>1</v>
      </c>
      <c r="T122" s="80"/>
      <c r="U122"/>
    </row>
    <row r="123" spans="5:21" ht="16" outlineLevel="1" thickTop="1" thickBot="1">
      <c r="E123" s="74">
        <f t="shared" si="11"/>
        <v>113</v>
      </c>
      <c r="F123" s="75">
        <f t="shared" si="12"/>
        <v>47969</v>
      </c>
      <c r="G123" s="74">
        <f t="shared" si="8"/>
        <v>38</v>
      </c>
      <c r="H123" s="74" t="str">
        <f t="shared" si="9"/>
        <v>Q2-31</v>
      </c>
      <c r="I123" s="74">
        <f t="shared" si="13"/>
        <v>10</v>
      </c>
      <c r="J123" s="74">
        <f t="shared" si="10"/>
        <v>2031</v>
      </c>
      <c r="L123" s="82">
        <f>IF(I124&lt;iGeneral!F$25,1,L122*(1+L$10/12))</f>
        <v>1.2050382193407443</v>
      </c>
      <c r="M123" s="82">
        <f>IF(I122&lt;iGeneral!F$26,1,M122*(1+M$10/12))</f>
        <v>1.0868663314051641</v>
      </c>
      <c r="N123" s="82">
        <f>IF(I122&lt;iGeneral!F$27,1,N122*(1+N$10/12))</f>
        <v>1</v>
      </c>
      <c r="O123" s="82">
        <f>IFERROR(IF(I122&lt;iGeneral!F$28,1,O122*(1+O$10/12)),1)</f>
        <v>1</v>
      </c>
      <c r="P123" s="82">
        <f>IFERROR(IF(DATA!$I123&lt;iGeneral!F$29,1,P122*(1+P$10/12)),1)</f>
        <v>1</v>
      </c>
      <c r="T123" s="80"/>
      <c r="U123"/>
    </row>
    <row r="124" spans="5:21" ht="16" outlineLevel="1" thickTop="1" thickBot="1">
      <c r="E124" s="74">
        <f t="shared" si="11"/>
        <v>114</v>
      </c>
      <c r="F124" s="75">
        <f t="shared" si="12"/>
        <v>48000</v>
      </c>
      <c r="G124" s="74">
        <f t="shared" si="8"/>
        <v>38</v>
      </c>
      <c r="H124" s="74" t="str">
        <f t="shared" si="9"/>
        <v>Q2-31</v>
      </c>
      <c r="I124" s="74">
        <f t="shared" si="13"/>
        <v>10</v>
      </c>
      <c r="J124" s="74">
        <f t="shared" si="10"/>
        <v>2031</v>
      </c>
      <c r="L124" s="82">
        <f>IF(I125&lt;iGeneral!F$25,1,L123*(1+L$10/12))</f>
        <v>1.2070466163729789</v>
      </c>
      <c r="M124" s="82">
        <f>IF(I123&lt;iGeneral!F$26,1,M123*(1+M$10/12))</f>
        <v>1.0877720533480015</v>
      </c>
      <c r="N124" s="82">
        <f>IF(I123&lt;iGeneral!F$27,1,N123*(1+N$10/12))</f>
        <v>1</v>
      </c>
      <c r="O124" s="82">
        <f>IFERROR(IF(I123&lt;iGeneral!F$28,1,O123*(1+O$10/12)),1)</f>
        <v>1</v>
      </c>
      <c r="P124" s="82">
        <f>IFERROR(IF(DATA!$I124&lt;iGeneral!F$29,1,P123*(1+P$10/12)),1)</f>
        <v>1</v>
      </c>
      <c r="T124" s="80"/>
      <c r="U124"/>
    </row>
    <row r="125" spans="5:21" ht="16" outlineLevel="1" thickTop="1" thickBot="1">
      <c r="E125" s="74">
        <f t="shared" si="11"/>
        <v>115</v>
      </c>
      <c r="F125" s="75">
        <f t="shared" si="12"/>
        <v>48030</v>
      </c>
      <c r="G125" s="74">
        <f t="shared" si="8"/>
        <v>39</v>
      </c>
      <c r="H125" s="74" t="str">
        <f t="shared" si="9"/>
        <v>Q2-31</v>
      </c>
      <c r="I125" s="74">
        <f t="shared" si="13"/>
        <v>10</v>
      </c>
      <c r="J125" s="74">
        <f t="shared" si="10"/>
        <v>2031</v>
      </c>
      <c r="L125" s="82">
        <f>IF(I126&lt;iGeneral!F$25,1,L124*(1+L$10/12))</f>
        <v>1.2090583607336005</v>
      </c>
      <c r="M125" s="82">
        <f>IF(I124&lt;iGeneral!F$26,1,M124*(1+M$10/12))</f>
        <v>1.0886785300591248</v>
      </c>
      <c r="N125" s="82">
        <f>IF(I124&lt;iGeneral!F$27,1,N124*(1+N$10/12))</f>
        <v>1</v>
      </c>
      <c r="O125" s="82">
        <f>IFERROR(IF(I124&lt;iGeneral!F$28,1,O124*(1+O$10/12)),1)</f>
        <v>1</v>
      </c>
      <c r="P125" s="82">
        <f>IFERROR(IF(DATA!$I125&lt;iGeneral!F$29,1,P124*(1+P$10/12)),1)</f>
        <v>1</v>
      </c>
      <c r="T125" s="80"/>
      <c r="U125"/>
    </row>
    <row r="126" spans="5:21" ht="16" outlineLevel="1" thickTop="1" thickBot="1">
      <c r="E126" s="74">
        <f t="shared" si="11"/>
        <v>116</v>
      </c>
      <c r="F126" s="75">
        <f t="shared" si="12"/>
        <v>48061</v>
      </c>
      <c r="G126" s="74">
        <f t="shared" si="8"/>
        <v>39</v>
      </c>
      <c r="H126" s="74" t="str">
        <f t="shared" si="9"/>
        <v>Q3-31</v>
      </c>
      <c r="I126" s="74">
        <f t="shared" si="13"/>
        <v>10</v>
      </c>
      <c r="J126" s="74">
        <f t="shared" si="10"/>
        <v>2031</v>
      </c>
      <c r="L126" s="82">
        <f>IF(I127&lt;iGeneral!F$25,1,L125*(1+L$10/12))</f>
        <v>1.2110734580014899</v>
      </c>
      <c r="M126" s="82">
        <f>IF(I125&lt;iGeneral!F$26,1,M125*(1+M$10/12))</f>
        <v>1.0895857621675074</v>
      </c>
      <c r="N126" s="82">
        <f>IF(I125&lt;iGeneral!F$27,1,N125*(1+N$10/12))</f>
        <v>1</v>
      </c>
      <c r="O126" s="82">
        <f>IFERROR(IF(I125&lt;iGeneral!F$28,1,O125*(1+O$10/12)),1)</f>
        <v>1</v>
      </c>
      <c r="P126" s="82">
        <f>IFERROR(IF(DATA!$I126&lt;iGeneral!F$29,1,P125*(1+P$10/12)),1)</f>
        <v>1</v>
      </c>
      <c r="T126" s="80"/>
      <c r="U126"/>
    </row>
    <row r="127" spans="5:21" ht="16" outlineLevel="1" thickTop="1" thickBot="1">
      <c r="E127" s="74">
        <f t="shared" si="11"/>
        <v>117</v>
      </c>
      <c r="F127" s="75">
        <f t="shared" si="12"/>
        <v>48092</v>
      </c>
      <c r="G127" s="74">
        <f t="shared" si="8"/>
        <v>39</v>
      </c>
      <c r="H127" s="74" t="str">
        <f t="shared" si="9"/>
        <v>Q3-31</v>
      </c>
      <c r="I127" s="74">
        <f t="shared" si="13"/>
        <v>10</v>
      </c>
      <c r="J127" s="74">
        <f t="shared" si="10"/>
        <v>2031</v>
      </c>
      <c r="L127" s="82">
        <f>IF(I128&lt;iGeneral!F$25,1,L126*(1+L$10/12))</f>
        <v>1.2130919137648257</v>
      </c>
      <c r="M127" s="82">
        <f>IF(I126&lt;iGeneral!F$26,1,M126*(1+M$10/12))</f>
        <v>1.0904937503026468</v>
      </c>
      <c r="N127" s="82">
        <f>IF(I126&lt;iGeneral!F$27,1,N126*(1+N$10/12))</f>
        <v>1</v>
      </c>
      <c r="O127" s="82">
        <f>IFERROR(IF(I126&lt;iGeneral!F$28,1,O126*(1+O$10/12)),1)</f>
        <v>1</v>
      </c>
      <c r="P127" s="82">
        <f>IFERROR(IF(DATA!$I127&lt;iGeneral!F$29,1,P126*(1+P$10/12)),1)</f>
        <v>1</v>
      </c>
      <c r="T127" s="80"/>
      <c r="U127"/>
    </row>
    <row r="128" spans="5:21" ht="16" outlineLevel="1" thickTop="1" thickBot="1">
      <c r="E128" s="74">
        <f t="shared" si="11"/>
        <v>118</v>
      </c>
      <c r="F128" s="75">
        <f t="shared" si="12"/>
        <v>48122</v>
      </c>
      <c r="G128" s="74">
        <f t="shared" si="8"/>
        <v>40</v>
      </c>
      <c r="H128" s="74" t="str">
        <f t="shared" si="9"/>
        <v>Q3-31</v>
      </c>
      <c r="I128" s="74">
        <f t="shared" si="13"/>
        <v>10</v>
      </c>
      <c r="J128" s="74">
        <f t="shared" si="10"/>
        <v>2031</v>
      </c>
      <c r="L128" s="82">
        <f>IF(I129&lt;iGeneral!F$25,1,L127*(1+L$10/12))</f>
        <v>1.2151137336211004</v>
      </c>
      <c r="M128" s="82">
        <f>IF(I127&lt;iGeneral!F$26,1,M127*(1+M$10/12))</f>
        <v>1.0914024950945656</v>
      </c>
      <c r="N128" s="82">
        <f>IF(I127&lt;iGeneral!F$27,1,N127*(1+N$10/12))</f>
        <v>1</v>
      </c>
      <c r="O128" s="82">
        <f>IFERROR(IF(I127&lt;iGeneral!F$28,1,O127*(1+O$10/12)),1)</f>
        <v>1</v>
      </c>
      <c r="P128" s="82">
        <f>IFERROR(IF(DATA!$I128&lt;iGeneral!F$29,1,P127*(1+P$10/12)),1)</f>
        <v>1</v>
      </c>
      <c r="T128" s="80"/>
      <c r="U128"/>
    </row>
    <row r="129" spans="5:21" ht="16" outlineLevel="1" thickTop="1" thickBot="1">
      <c r="E129" s="74">
        <f t="shared" si="11"/>
        <v>119</v>
      </c>
      <c r="F129" s="75">
        <f t="shared" si="12"/>
        <v>48153</v>
      </c>
      <c r="G129" s="74">
        <f t="shared" si="8"/>
        <v>40</v>
      </c>
      <c r="H129" s="74" t="str">
        <f t="shared" si="9"/>
        <v>Q3-31</v>
      </c>
      <c r="I129" s="74">
        <f t="shared" si="13"/>
        <v>10</v>
      </c>
      <c r="J129" s="74">
        <f t="shared" si="10"/>
        <v>2031</v>
      </c>
      <c r="L129" s="82">
        <f>IF(I130&lt;iGeneral!F$25,1,L128*(1+L$10/12))</f>
        <v>1.2171389231771357</v>
      </c>
      <c r="M129" s="82">
        <f>IF(I128&lt;iGeneral!F$26,1,M128*(1+M$10/12))</f>
        <v>1.0923119971738109</v>
      </c>
      <c r="N129" s="82">
        <f>IF(I128&lt;iGeneral!F$27,1,N128*(1+N$10/12))</f>
        <v>1</v>
      </c>
      <c r="O129" s="82">
        <f>IFERROR(IF(I128&lt;iGeneral!F$28,1,O128*(1+O$10/12)),1)</f>
        <v>1</v>
      </c>
      <c r="P129" s="82">
        <f>IFERROR(IF(DATA!$I129&lt;iGeneral!F$29,1,P128*(1+P$10/12)),1)</f>
        <v>1</v>
      </c>
      <c r="T129" s="80"/>
      <c r="U129"/>
    </row>
    <row r="130" spans="5:21" ht="16" outlineLevel="1" thickTop="1" thickBot="1">
      <c r="E130" s="74">
        <f t="shared" si="11"/>
        <v>120</v>
      </c>
      <c r="F130" s="75">
        <f t="shared" si="12"/>
        <v>48183</v>
      </c>
      <c r="G130" s="74">
        <f t="shared" si="8"/>
        <v>40</v>
      </c>
      <c r="H130" s="74" t="str">
        <f t="shared" si="9"/>
        <v>Q4-31</v>
      </c>
      <c r="I130" s="74">
        <f t="shared" si="13"/>
        <v>10</v>
      </c>
      <c r="J130" s="74">
        <f t="shared" si="10"/>
        <v>2031</v>
      </c>
      <c r="L130" s="82">
        <f>IF(I131&lt;iGeneral!F$25,1,L129*(1+L$10/12))</f>
        <v>1.2191674880490977</v>
      </c>
      <c r="M130" s="82">
        <f>IF(I129&lt;iGeneral!F$26,1,M129*(1+M$10/12))</f>
        <v>1.0932222571714556</v>
      </c>
      <c r="N130" s="82">
        <f>IF(I129&lt;iGeneral!F$27,1,N129*(1+N$10/12))</f>
        <v>1</v>
      </c>
      <c r="O130" s="82">
        <f>IFERROR(IF(I129&lt;iGeneral!F$28,1,O129*(1+O$10/12)),1)</f>
        <v>1</v>
      </c>
      <c r="P130" s="82">
        <f>IFERROR(IF(DATA!$I130&lt;iGeneral!F$29,1,P129*(1+P$10/12)),1)</f>
        <v>1</v>
      </c>
      <c r="T130" s="80"/>
      <c r="U130"/>
    </row>
    <row r="131" spans="5:21" ht="16" outlineLevel="1" thickTop="1" thickBot="1">
      <c r="E131" s="74">
        <f t="shared" si="11"/>
        <v>121</v>
      </c>
      <c r="F131" s="75">
        <f t="shared" si="12"/>
        <v>48214</v>
      </c>
      <c r="G131" s="74">
        <f t="shared" si="8"/>
        <v>41</v>
      </c>
      <c r="H131" s="74" t="str">
        <f t="shared" si="9"/>
        <v>Q1-32</v>
      </c>
      <c r="I131" s="74">
        <f t="shared" si="13"/>
        <v>11</v>
      </c>
      <c r="J131" s="74">
        <f t="shared" si="10"/>
        <v>2032</v>
      </c>
      <c r="L131" s="82">
        <f>IF(I132&lt;iGeneral!F$25,1,L130*(1+L$10/12))</f>
        <v>1.221199433862513</v>
      </c>
      <c r="M131" s="82">
        <f>IF(I130&lt;iGeneral!F$26,1,M130*(1+M$10/12))</f>
        <v>1.0941332757190985</v>
      </c>
      <c r="N131" s="82">
        <f>IF(I130&lt;iGeneral!F$27,1,N130*(1+N$10/12))</f>
        <v>1</v>
      </c>
      <c r="O131" s="82">
        <f>IFERROR(IF(I130&lt;iGeneral!F$28,1,O130*(1+O$10/12)),1)</f>
        <v>1</v>
      </c>
      <c r="P131" s="82">
        <f>IFERROR(IF(DATA!$I131&lt;iGeneral!F$29,1,P130*(1+P$10/12)),1)</f>
        <v>1</v>
      </c>
      <c r="T131" s="80"/>
      <c r="U131"/>
    </row>
    <row r="132" spans="5:21" ht="16" outlineLevel="1" thickTop="1" thickBot="1">
      <c r="E132" s="74">
        <f t="shared" si="11"/>
        <v>122</v>
      </c>
      <c r="F132" s="75">
        <f t="shared" si="12"/>
        <v>48245</v>
      </c>
      <c r="G132" s="74">
        <f t="shared" si="8"/>
        <v>41</v>
      </c>
      <c r="H132" s="74" t="str">
        <f t="shared" si="9"/>
        <v>Q1-32</v>
      </c>
      <c r="I132" s="74">
        <f t="shared" si="13"/>
        <v>11</v>
      </c>
      <c r="J132" s="74">
        <f t="shared" si="10"/>
        <v>2032</v>
      </c>
      <c r="L132" s="82">
        <f>IF(I133&lt;iGeneral!F$25,1,L131*(1+L$10/12))</f>
        <v>1.2232347662522838</v>
      </c>
      <c r="M132" s="82">
        <f>IF(I131&lt;iGeneral!F$26,1,M131*(1+M$10/12))</f>
        <v>1.0950450534488643</v>
      </c>
      <c r="N132" s="82">
        <f>IF(I131&lt;iGeneral!F$27,1,N131*(1+N$10/12))</f>
        <v>1</v>
      </c>
      <c r="O132" s="82">
        <f>IFERROR(IF(I131&lt;iGeneral!F$28,1,O131*(1+O$10/12)),1)</f>
        <v>1</v>
      </c>
      <c r="P132" s="82">
        <f>IFERROR(IF(DATA!$I132&lt;iGeneral!F$29,1,P131*(1+P$10/12)),1)</f>
        <v>1</v>
      </c>
      <c r="T132" s="80"/>
      <c r="U132"/>
    </row>
    <row r="133" spans="5:21" ht="16" outlineLevel="1" thickTop="1" thickBot="1">
      <c r="E133" s="74">
        <f t="shared" si="11"/>
        <v>123</v>
      </c>
      <c r="F133" s="75">
        <f t="shared" si="12"/>
        <v>48274</v>
      </c>
      <c r="G133" s="74">
        <f t="shared" si="8"/>
        <v>41</v>
      </c>
      <c r="H133" s="74" t="str">
        <f t="shared" si="9"/>
        <v>Q1-32</v>
      </c>
      <c r="I133" s="74">
        <f t="shared" si="13"/>
        <v>11</v>
      </c>
      <c r="J133" s="74">
        <f t="shared" si="10"/>
        <v>2032</v>
      </c>
      <c r="L133" s="82">
        <f>IF(I134&lt;iGeneral!F$25,1,L132*(1+L$10/12))</f>
        <v>1.2252734908627043</v>
      </c>
      <c r="M133" s="82">
        <f>IF(I132&lt;iGeneral!F$26,1,M132*(1+M$10/12))</f>
        <v>1.095957590993405</v>
      </c>
      <c r="N133" s="82">
        <f>IF(I132&lt;iGeneral!F$27,1,N132*(1+N$10/12))</f>
        <v>1</v>
      </c>
      <c r="O133" s="82">
        <f>IFERROR(IF(I132&lt;iGeneral!F$28,1,O132*(1+O$10/12)),1)</f>
        <v>1</v>
      </c>
      <c r="P133" s="82">
        <f>IFERROR(IF(DATA!$I133&lt;iGeneral!F$29,1,P132*(1+P$10/12)),1)</f>
        <v>1</v>
      </c>
      <c r="T133" s="80"/>
      <c r="U133"/>
    </row>
    <row r="134" spans="5:21" ht="16" outlineLevel="1" thickTop="1" thickBot="1">
      <c r="E134" s="74">
        <f t="shared" si="11"/>
        <v>124</v>
      </c>
      <c r="F134" s="75">
        <f t="shared" si="12"/>
        <v>48305</v>
      </c>
      <c r="G134" s="74">
        <f t="shared" si="8"/>
        <v>42</v>
      </c>
      <c r="H134" s="74" t="str">
        <f t="shared" si="9"/>
        <v>Q2-32</v>
      </c>
      <c r="I134" s="74">
        <f t="shared" si="13"/>
        <v>11</v>
      </c>
      <c r="J134" s="74">
        <f t="shared" si="10"/>
        <v>2032</v>
      </c>
      <c r="L134" s="82">
        <f>IF(I135&lt;iGeneral!F$25,1,L133*(1+L$10/12))</f>
        <v>1.2273156133474756</v>
      </c>
      <c r="M134" s="82">
        <f>IF(I133&lt;iGeneral!F$26,1,M133*(1+M$10/12))</f>
        <v>1.0968708889858994</v>
      </c>
      <c r="N134" s="82">
        <f>IF(I133&lt;iGeneral!F$27,1,N133*(1+N$10/12))</f>
        <v>1</v>
      </c>
      <c r="O134" s="82">
        <f>IFERROR(IF(I133&lt;iGeneral!F$28,1,O133*(1+O$10/12)),1)</f>
        <v>1</v>
      </c>
      <c r="P134" s="82">
        <f>IFERROR(IF(DATA!$I134&lt;iGeneral!F$29,1,P133*(1+P$10/12)),1)</f>
        <v>1</v>
      </c>
      <c r="T134" s="80"/>
      <c r="U134"/>
    </row>
    <row r="135" spans="5:21" ht="16" outlineLevel="1" thickTop="1" thickBot="1">
      <c r="E135" s="74">
        <f t="shared" si="11"/>
        <v>125</v>
      </c>
      <c r="F135" s="75">
        <f t="shared" si="12"/>
        <v>48335</v>
      </c>
      <c r="G135" s="74">
        <f t="shared" si="8"/>
        <v>42</v>
      </c>
      <c r="H135" s="74" t="str">
        <f t="shared" si="9"/>
        <v>Q2-32</v>
      </c>
      <c r="I135" s="74">
        <f t="shared" si="13"/>
        <v>11</v>
      </c>
      <c r="J135" s="74">
        <f t="shared" si="10"/>
        <v>2032</v>
      </c>
      <c r="L135" s="82">
        <f>IF(I136&lt;iGeneral!F$25,1,L134*(1+L$10/12))</f>
        <v>1.2293611393697215</v>
      </c>
      <c r="M135" s="82">
        <f>IF(I134&lt;iGeneral!F$26,1,M134*(1+M$10/12))</f>
        <v>1.0977849480600541</v>
      </c>
      <c r="N135" s="82">
        <f>IF(I134&lt;iGeneral!F$27,1,N134*(1+N$10/12))</f>
        <v>1</v>
      </c>
      <c r="O135" s="82">
        <f>IFERROR(IF(I134&lt;iGeneral!F$28,1,O134*(1+O$10/12)),1)</f>
        <v>1</v>
      </c>
      <c r="P135" s="82">
        <f>IFERROR(IF(DATA!$I135&lt;iGeneral!F$29,1,P134*(1+P$10/12)),1)</f>
        <v>1</v>
      </c>
      <c r="T135" s="80"/>
      <c r="U135"/>
    </row>
    <row r="136" spans="5:21" ht="16" outlineLevel="1" thickTop="1" thickBot="1">
      <c r="E136" s="74">
        <f t="shared" si="11"/>
        <v>126</v>
      </c>
      <c r="F136" s="75">
        <f t="shared" si="12"/>
        <v>48366</v>
      </c>
      <c r="G136" s="74">
        <f t="shared" si="8"/>
        <v>42</v>
      </c>
      <c r="H136" s="74" t="str">
        <f t="shared" si="9"/>
        <v>Q2-32</v>
      </c>
      <c r="I136" s="74">
        <f t="shared" si="13"/>
        <v>11</v>
      </c>
      <c r="J136" s="74">
        <f t="shared" si="10"/>
        <v>2032</v>
      </c>
      <c r="L136" s="82">
        <f>IF(I137&lt;iGeneral!F$25,1,L135*(1+L$10/12))</f>
        <v>1.2314100746020045</v>
      </c>
      <c r="M136" s="82">
        <f>IF(I135&lt;iGeneral!F$26,1,M135*(1+M$10/12))</f>
        <v>1.0986997688501041</v>
      </c>
      <c r="N136" s="82">
        <f>IF(I135&lt;iGeneral!F$27,1,N135*(1+N$10/12))</f>
        <v>1</v>
      </c>
      <c r="O136" s="82">
        <f>IFERROR(IF(I135&lt;iGeneral!F$28,1,O135*(1+O$10/12)),1)</f>
        <v>1</v>
      </c>
      <c r="P136" s="82">
        <f>IFERROR(IF(DATA!$I136&lt;iGeneral!F$29,1,P135*(1+P$10/12)),1)</f>
        <v>1</v>
      </c>
      <c r="T136" s="80"/>
      <c r="U136"/>
    </row>
    <row r="137" spans="5:21" ht="16" outlineLevel="1" thickTop="1" thickBot="1">
      <c r="E137" s="74">
        <f t="shared" si="11"/>
        <v>127</v>
      </c>
      <c r="F137" s="75">
        <f t="shared" si="12"/>
        <v>48396</v>
      </c>
      <c r="G137" s="74">
        <f t="shared" si="8"/>
        <v>43</v>
      </c>
      <c r="H137" s="74" t="str">
        <f t="shared" si="9"/>
        <v>Q2-32</v>
      </c>
      <c r="I137" s="74">
        <f t="shared" si="13"/>
        <v>11</v>
      </c>
      <c r="J137" s="74">
        <f t="shared" si="10"/>
        <v>2032</v>
      </c>
      <c r="L137" s="82">
        <f>IF(I138&lt;iGeneral!F$25,1,L136*(1+L$10/12))</f>
        <v>1.2334624247263413</v>
      </c>
      <c r="M137" s="82">
        <f>IF(I136&lt;iGeneral!F$26,1,M136*(1+M$10/12))</f>
        <v>1.0996153519908125</v>
      </c>
      <c r="N137" s="82">
        <f>IF(I136&lt;iGeneral!F$27,1,N136*(1+N$10/12))</f>
        <v>1</v>
      </c>
      <c r="O137" s="82">
        <f>IFERROR(IF(I136&lt;iGeneral!F$28,1,O136*(1+O$10/12)),1)</f>
        <v>1</v>
      </c>
      <c r="P137" s="82">
        <f>IFERROR(IF(DATA!$I137&lt;iGeneral!F$29,1,P136*(1+P$10/12)),1)</f>
        <v>1</v>
      </c>
      <c r="T137" s="80"/>
      <c r="U137"/>
    </row>
    <row r="138" spans="5:21" ht="16" outlineLevel="1" thickTop="1" thickBot="1">
      <c r="E138" s="74">
        <f t="shared" si="11"/>
        <v>128</v>
      </c>
      <c r="F138" s="75">
        <f t="shared" si="12"/>
        <v>48427</v>
      </c>
      <c r="G138" s="74">
        <f t="shared" si="8"/>
        <v>43</v>
      </c>
      <c r="H138" s="74" t="str">
        <f t="shared" si="9"/>
        <v>Q3-32</v>
      </c>
      <c r="I138" s="74">
        <f t="shared" si="13"/>
        <v>11</v>
      </c>
      <c r="J138" s="74">
        <f t="shared" si="10"/>
        <v>2032</v>
      </c>
      <c r="L138" s="82">
        <f>IF(I139&lt;iGeneral!F$25,1,L137*(1+L$10/12))</f>
        <v>1.2355181954342185</v>
      </c>
      <c r="M138" s="82">
        <f>IF(I137&lt;iGeneral!F$26,1,M137*(1+M$10/12))</f>
        <v>1.1005316981174713</v>
      </c>
      <c r="N138" s="82">
        <f>IF(I137&lt;iGeneral!F$27,1,N137*(1+N$10/12))</f>
        <v>1</v>
      </c>
      <c r="O138" s="82">
        <f>IFERROR(IF(I137&lt;iGeneral!F$28,1,O137*(1+O$10/12)),1)</f>
        <v>1</v>
      </c>
      <c r="P138" s="82">
        <f>IFERROR(IF(DATA!$I138&lt;iGeneral!F$29,1,P137*(1+P$10/12)),1)</f>
        <v>1</v>
      </c>
      <c r="T138" s="80"/>
      <c r="U138"/>
    </row>
    <row r="139" spans="5:21" ht="16" outlineLevel="1" thickTop="1" thickBot="1">
      <c r="E139" s="74">
        <f t="shared" si="11"/>
        <v>129</v>
      </c>
      <c r="F139" s="75">
        <f t="shared" si="12"/>
        <v>48458</v>
      </c>
      <c r="G139" s="74">
        <f t="shared" ref="G139:G202" si="14">INT(INT(E139+2)/3)</f>
        <v>43</v>
      </c>
      <c r="H139" s="74" t="str">
        <f t="shared" ref="H139:H202" si="15">"Q"&amp;INT((MONTH(F139)/4)+1)&amp;"-"&amp;RIGHT(YEAR(F139),2)</f>
        <v>Q3-32</v>
      </c>
      <c r="I139" s="74">
        <f t="shared" si="13"/>
        <v>11</v>
      </c>
      <c r="J139" s="74">
        <f t="shared" ref="J139:J202" si="16">YEAR(F139)</f>
        <v>2032</v>
      </c>
      <c r="L139" s="82">
        <f>IF(I140&lt;iGeneral!F$25,1,L138*(1+L$10/12))</f>
        <v>1.2375773924266089</v>
      </c>
      <c r="M139" s="82">
        <f>IF(I138&lt;iGeneral!F$26,1,M138*(1+M$10/12))</f>
        <v>1.1014488078659024</v>
      </c>
      <c r="N139" s="82">
        <f>IF(I138&lt;iGeneral!F$27,1,N138*(1+N$10/12))</f>
        <v>1</v>
      </c>
      <c r="O139" s="82">
        <f>IFERROR(IF(I138&lt;iGeneral!F$28,1,O138*(1+O$10/12)),1)</f>
        <v>1</v>
      </c>
      <c r="P139" s="82">
        <f>IFERROR(IF(DATA!$I139&lt;iGeneral!F$29,1,P138*(1+P$10/12)),1)</f>
        <v>1</v>
      </c>
      <c r="T139" s="80"/>
      <c r="U139"/>
    </row>
    <row r="140" spans="5:21" ht="16" outlineLevel="1" thickTop="1" thickBot="1">
      <c r="E140" s="74">
        <f t="shared" ref="E140:E203" si="17">E139+1</f>
        <v>130</v>
      </c>
      <c r="F140" s="75">
        <f t="shared" ref="F140:F203" si="18">EOMONTH(F139,0)+1</f>
        <v>48488</v>
      </c>
      <c r="G140" s="74">
        <f t="shared" si="14"/>
        <v>44</v>
      </c>
      <c r="H140" s="74" t="str">
        <f t="shared" si="15"/>
        <v>Q3-32</v>
      </c>
      <c r="I140" s="74">
        <f t="shared" ref="I140:I203" si="19">MIN(INT(YEARFRAC(F$11,F152)),30)</f>
        <v>11</v>
      </c>
      <c r="J140" s="74">
        <f t="shared" si="16"/>
        <v>2032</v>
      </c>
      <c r="L140" s="82">
        <f>IF(I141&lt;iGeneral!F$25,1,L139*(1+L$10/12))</f>
        <v>1.2396400214139867</v>
      </c>
      <c r="M140" s="82">
        <f>IF(I139&lt;iGeneral!F$26,1,M139*(1+M$10/12))</f>
        <v>1.1023666818724571</v>
      </c>
      <c r="N140" s="82">
        <f>IF(I139&lt;iGeneral!F$27,1,N139*(1+N$10/12))</f>
        <v>1</v>
      </c>
      <c r="O140" s="82">
        <f>IFERROR(IF(I139&lt;iGeneral!F$28,1,O139*(1+O$10/12)),1)</f>
        <v>1</v>
      </c>
      <c r="P140" s="82">
        <f>IFERROR(IF(DATA!$I140&lt;iGeneral!F$29,1,P139*(1+P$10/12)),1)</f>
        <v>1</v>
      </c>
      <c r="T140" s="80"/>
      <c r="U140"/>
    </row>
    <row r="141" spans="5:21" ht="16" outlineLevel="1" thickTop="1" thickBot="1">
      <c r="E141" s="74">
        <f t="shared" si="17"/>
        <v>131</v>
      </c>
      <c r="F141" s="75">
        <f t="shared" si="18"/>
        <v>48519</v>
      </c>
      <c r="G141" s="74">
        <f t="shared" si="14"/>
        <v>44</v>
      </c>
      <c r="H141" s="74" t="str">
        <f t="shared" si="15"/>
        <v>Q3-32</v>
      </c>
      <c r="I141" s="74">
        <f t="shared" si="19"/>
        <v>11</v>
      </c>
      <c r="J141" s="74">
        <f t="shared" si="16"/>
        <v>2032</v>
      </c>
      <c r="L141" s="82">
        <f>IF(I142&lt;iGeneral!F$25,1,L140*(1+L$10/12))</f>
        <v>1.2417060881163433</v>
      </c>
      <c r="M141" s="82">
        <f>IF(I140&lt;iGeneral!F$26,1,M140*(1+M$10/12))</f>
        <v>1.1032853207740174</v>
      </c>
      <c r="N141" s="82">
        <f>IF(I140&lt;iGeneral!F$27,1,N140*(1+N$10/12))</f>
        <v>1</v>
      </c>
      <c r="O141" s="82">
        <f>IFERROR(IF(I140&lt;iGeneral!F$28,1,O140*(1+O$10/12)),1)</f>
        <v>1</v>
      </c>
      <c r="P141" s="82">
        <f>IFERROR(IF(DATA!$I141&lt;iGeneral!F$29,1,P140*(1+P$10/12)),1)</f>
        <v>1</v>
      </c>
      <c r="T141" s="80"/>
      <c r="U141"/>
    </row>
    <row r="142" spans="5:21" ht="16" outlineLevel="1" thickTop="1" thickBot="1">
      <c r="E142" s="74">
        <f t="shared" si="17"/>
        <v>132</v>
      </c>
      <c r="F142" s="75">
        <f t="shared" si="18"/>
        <v>48549</v>
      </c>
      <c r="G142" s="74">
        <f t="shared" si="14"/>
        <v>44</v>
      </c>
      <c r="H142" s="74" t="str">
        <f t="shared" si="15"/>
        <v>Q4-32</v>
      </c>
      <c r="I142" s="74">
        <f t="shared" si="19"/>
        <v>11</v>
      </c>
      <c r="J142" s="74">
        <f t="shared" si="16"/>
        <v>2032</v>
      </c>
      <c r="L142" s="82">
        <f>IF(I143&lt;iGeneral!F$25,1,L141*(1+L$10/12))</f>
        <v>1.2437755982632039</v>
      </c>
      <c r="M142" s="82">
        <f>IF(I141&lt;iGeneral!F$26,1,M141*(1+M$10/12))</f>
        <v>1.1042047252079956</v>
      </c>
      <c r="N142" s="82">
        <f>IF(I141&lt;iGeneral!F$27,1,N141*(1+N$10/12))</f>
        <v>1</v>
      </c>
      <c r="O142" s="82">
        <f>IFERROR(IF(I141&lt;iGeneral!F$28,1,O141*(1+O$10/12)),1)</f>
        <v>1</v>
      </c>
      <c r="P142" s="82">
        <f>IFERROR(IF(DATA!$I142&lt;iGeneral!F$29,1,P141*(1+P$10/12)),1)</f>
        <v>1</v>
      </c>
      <c r="T142" s="80"/>
      <c r="U142"/>
    </row>
    <row r="143" spans="5:21" ht="16" outlineLevel="1" thickTop="1" thickBot="1">
      <c r="E143" s="74">
        <f t="shared" si="17"/>
        <v>133</v>
      </c>
      <c r="F143" s="75">
        <f t="shared" si="18"/>
        <v>48580</v>
      </c>
      <c r="G143" s="74">
        <f t="shared" si="14"/>
        <v>45</v>
      </c>
      <c r="H143" s="74" t="str">
        <f t="shared" si="15"/>
        <v>Q1-33</v>
      </c>
      <c r="I143" s="74">
        <f t="shared" si="19"/>
        <v>12</v>
      </c>
      <c r="J143" s="74">
        <f t="shared" si="16"/>
        <v>2033</v>
      </c>
      <c r="L143" s="82">
        <f>IF(I144&lt;iGeneral!F$25,1,L142*(1+L$10/12))</f>
        <v>1.2458485575936427</v>
      </c>
      <c r="M143" s="82">
        <f>IF(I142&lt;iGeneral!F$26,1,M142*(1+M$10/12))</f>
        <v>1.1051248958123354</v>
      </c>
      <c r="N143" s="82">
        <f>IF(I142&lt;iGeneral!F$27,1,N142*(1+N$10/12))</f>
        <v>1</v>
      </c>
      <c r="O143" s="82">
        <f>IFERROR(IF(I142&lt;iGeneral!F$28,1,O142*(1+O$10/12)),1)</f>
        <v>1</v>
      </c>
      <c r="P143" s="82">
        <f>IFERROR(IF(DATA!$I143&lt;iGeneral!F$29,1,P142*(1+P$10/12)),1)</f>
        <v>1</v>
      </c>
      <c r="T143" s="80"/>
      <c r="U143"/>
    </row>
    <row r="144" spans="5:21" ht="16" outlineLevel="1" thickTop="1" thickBot="1">
      <c r="E144" s="74">
        <f t="shared" si="17"/>
        <v>134</v>
      </c>
      <c r="F144" s="75">
        <f t="shared" si="18"/>
        <v>48611</v>
      </c>
      <c r="G144" s="74">
        <f t="shared" si="14"/>
        <v>45</v>
      </c>
      <c r="H144" s="74" t="str">
        <f t="shared" si="15"/>
        <v>Q1-33</v>
      </c>
      <c r="I144" s="74">
        <f t="shared" si="19"/>
        <v>12</v>
      </c>
      <c r="J144" s="74">
        <f t="shared" si="16"/>
        <v>2033</v>
      </c>
      <c r="L144" s="82">
        <f>IF(I145&lt;iGeneral!F$25,1,L143*(1+L$10/12))</f>
        <v>1.2479249718562988</v>
      </c>
      <c r="M144" s="82">
        <f>IF(I143&lt;iGeneral!F$26,1,M143*(1+M$10/12))</f>
        <v>1.1060458332255123</v>
      </c>
      <c r="N144" s="82">
        <f>IF(I143&lt;iGeneral!F$27,1,N143*(1+N$10/12))</f>
        <v>1</v>
      </c>
      <c r="O144" s="82">
        <f>IFERROR(IF(I143&lt;iGeneral!F$28,1,O143*(1+O$10/12)),1)</f>
        <v>1</v>
      </c>
      <c r="P144" s="82">
        <f>IFERROR(IF(DATA!$I144&lt;iGeneral!F$29,1,P143*(1+P$10/12)),1)</f>
        <v>1</v>
      </c>
      <c r="T144" s="80"/>
      <c r="U144"/>
    </row>
    <row r="145" spans="5:21" ht="16" outlineLevel="1" thickTop="1" thickBot="1">
      <c r="E145" s="74">
        <f t="shared" si="17"/>
        <v>135</v>
      </c>
      <c r="F145" s="75">
        <f t="shared" si="18"/>
        <v>48639</v>
      </c>
      <c r="G145" s="74">
        <f t="shared" si="14"/>
        <v>45</v>
      </c>
      <c r="H145" s="74" t="str">
        <f t="shared" si="15"/>
        <v>Q1-33</v>
      </c>
      <c r="I145" s="74">
        <f t="shared" si="19"/>
        <v>12</v>
      </c>
      <c r="J145" s="74">
        <f t="shared" si="16"/>
        <v>2033</v>
      </c>
      <c r="L145" s="82">
        <f>IF(I146&lt;iGeneral!F$25,1,L144*(1+L$10/12))</f>
        <v>1.2500048468093927</v>
      </c>
      <c r="M145" s="82">
        <f>IF(I144&lt;iGeneral!F$26,1,M144*(1+M$10/12))</f>
        <v>1.1069675380865334</v>
      </c>
      <c r="N145" s="82">
        <f>IF(I144&lt;iGeneral!F$27,1,N144*(1+N$10/12))</f>
        <v>1</v>
      </c>
      <c r="O145" s="82">
        <f>IFERROR(IF(I144&lt;iGeneral!F$28,1,O144*(1+O$10/12)),1)</f>
        <v>1</v>
      </c>
      <c r="P145" s="82">
        <f>IFERROR(IF(DATA!$I145&lt;iGeneral!F$29,1,P144*(1+P$10/12)),1)</f>
        <v>1</v>
      </c>
      <c r="T145" s="80"/>
      <c r="U145"/>
    </row>
    <row r="146" spans="5:21" ht="16" outlineLevel="1" thickTop="1" thickBot="1">
      <c r="E146" s="74">
        <f t="shared" si="17"/>
        <v>136</v>
      </c>
      <c r="F146" s="75">
        <f t="shared" si="18"/>
        <v>48670</v>
      </c>
      <c r="G146" s="74">
        <f t="shared" si="14"/>
        <v>46</v>
      </c>
      <c r="H146" s="74" t="str">
        <f t="shared" si="15"/>
        <v>Q2-33</v>
      </c>
      <c r="I146" s="74">
        <f t="shared" si="19"/>
        <v>12</v>
      </c>
      <c r="J146" s="74">
        <f t="shared" si="16"/>
        <v>2033</v>
      </c>
      <c r="L146" s="82">
        <f>IF(I147&lt;iGeneral!F$25,1,L145*(1+L$10/12))</f>
        <v>1.2520881882207417</v>
      </c>
      <c r="M146" s="82">
        <f>IF(I145&lt;iGeneral!F$26,1,M145*(1+M$10/12))</f>
        <v>1.1078900110349388</v>
      </c>
      <c r="N146" s="82">
        <f>IF(I145&lt;iGeneral!F$27,1,N145*(1+N$10/12))</f>
        <v>1</v>
      </c>
      <c r="O146" s="82">
        <f>IFERROR(IF(I145&lt;iGeneral!F$28,1,O145*(1+O$10/12)),1)</f>
        <v>1</v>
      </c>
      <c r="P146" s="82">
        <f>IFERROR(IF(DATA!$I146&lt;iGeneral!F$29,1,P145*(1+P$10/12)),1)</f>
        <v>1</v>
      </c>
      <c r="T146" s="80"/>
      <c r="U146"/>
    </row>
    <row r="147" spans="5:21" ht="16" outlineLevel="1" thickTop="1" thickBot="1">
      <c r="E147" s="74">
        <f t="shared" si="17"/>
        <v>137</v>
      </c>
      <c r="F147" s="75">
        <f t="shared" si="18"/>
        <v>48700</v>
      </c>
      <c r="G147" s="74">
        <f t="shared" si="14"/>
        <v>46</v>
      </c>
      <c r="H147" s="74" t="str">
        <f t="shared" si="15"/>
        <v>Q2-33</v>
      </c>
      <c r="I147" s="74">
        <f t="shared" si="19"/>
        <v>12</v>
      </c>
      <c r="J147" s="74">
        <f t="shared" si="16"/>
        <v>2033</v>
      </c>
      <c r="L147" s="82">
        <f>IF(I148&lt;iGeneral!F$25,1,L146*(1+L$10/12))</f>
        <v>1.2541750018677764</v>
      </c>
      <c r="M147" s="82">
        <f>IF(I146&lt;iGeneral!F$26,1,M146*(1+M$10/12))</f>
        <v>1.1088132527108012</v>
      </c>
      <c r="N147" s="82">
        <f>IF(I146&lt;iGeneral!F$27,1,N146*(1+N$10/12))</f>
        <v>1</v>
      </c>
      <c r="O147" s="82">
        <f>IFERROR(IF(I146&lt;iGeneral!F$28,1,O146*(1+O$10/12)),1)</f>
        <v>1</v>
      </c>
      <c r="P147" s="82">
        <f>IFERROR(IF(DATA!$I147&lt;iGeneral!F$29,1,P146*(1+P$10/12)),1)</f>
        <v>1</v>
      </c>
      <c r="T147" s="80"/>
      <c r="U147"/>
    </row>
    <row r="148" spans="5:21" ht="16" outlineLevel="1" thickTop="1" thickBot="1">
      <c r="E148" s="74">
        <f t="shared" si="17"/>
        <v>138</v>
      </c>
      <c r="F148" s="75">
        <f t="shared" si="18"/>
        <v>48731</v>
      </c>
      <c r="G148" s="74">
        <f t="shared" si="14"/>
        <v>46</v>
      </c>
      <c r="H148" s="74" t="str">
        <f t="shared" si="15"/>
        <v>Q2-33</v>
      </c>
      <c r="I148" s="74">
        <f t="shared" si="19"/>
        <v>12</v>
      </c>
      <c r="J148" s="74">
        <f t="shared" si="16"/>
        <v>2033</v>
      </c>
      <c r="L148" s="82">
        <f>IF(I149&lt;iGeneral!F$25,1,L147*(1+L$10/12))</f>
        <v>1.256265293537556</v>
      </c>
      <c r="M148" s="82">
        <f>IF(I147&lt;iGeneral!F$26,1,M147*(1+M$10/12))</f>
        <v>1.1097372637547267</v>
      </c>
      <c r="N148" s="82">
        <f>IF(I147&lt;iGeneral!F$27,1,N147*(1+N$10/12))</f>
        <v>1</v>
      </c>
      <c r="O148" s="82">
        <f>IFERROR(IF(I147&lt;iGeneral!F$28,1,O147*(1+O$10/12)),1)</f>
        <v>1</v>
      </c>
      <c r="P148" s="82">
        <f>IFERROR(IF(DATA!$I148&lt;iGeneral!F$29,1,P147*(1+P$10/12)),1)</f>
        <v>1</v>
      </c>
      <c r="T148" s="80"/>
      <c r="U148"/>
    </row>
    <row r="149" spans="5:21" ht="16" outlineLevel="1" thickTop="1" thickBot="1">
      <c r="E149" s="74">
        <f t="shared" si="17"/>
        <v>139</v>
      </c>
      <c r="F149" s="75">
        <f t="shared" si="18"/>
        <v>48761</v>
      </c>
      <c r="G149" s="74">
        <f t="shared" si="14"/>
        <v>47</v>
      </c>
      <c r="H149" s="74" t="str">
        <f t="shared" si="15"/>
        <v>Q2-33</v>
      </c>
      <c r="I149" s="74">
        <f t="shared" si="19"/>
        <v>12</v>
      </c>
      <c r="J149" s="74">
        <f t="shared" si="16"/>
        <v>2033</v>
      </c>
      <c r="L149" s="82">
        <f>IF(I150&lt;iGeneral!F$25,1,L148*(1+L$10/12))</f>
        <v>1.2583590690267854</v>
      </c>
      <c r="M149" s="82">
        <f>IF(I148&lt;iGeneral!F$26,1,M148*(1+M$10/12))</f>
        <v>1.1106620448078555</v>
      </c>
      <c r="N149" s="82">
        <f>IF(I148&lt;iGeneral!F$27,1,N148*(1+N$10/12))</f>
        <v>1</v>
      </c>
      <c r="O149" s="82">
        <f>IFERROR(IF(I148&lt;iGeneral!F$28,1,O148*(1+O$10/12)),1)</f>
        <v>1</v>
      </c>
      <c r="P149" s="82">
        <f>IFERROR(IF(DATA!$I149&lt;iGeneral!F$29,1,P148*(1+P$10/12)),1)</f>
        <v>1</v>
      </c>
      <c r="T149" s="80"/>
      <c r="U149"/>
    </row>
    <row r="150" spans="5:21" ht="16" outlineLevel="1" thickTop="1" thickBot="1">
      <c r="E150" s="74">
        <f t="shared" si="17"/>
        <v>140</v>
      </c>
      <c r="F150" s="75">
        <f t="shared" si="18"/>
        <v>48792</v>
      </c>
      <c r="G150" s="74">
        <f t="shared" si="14"/>
        <v>47</v>
      </c>
      <c r="H150" s="74" t="str">
        <f t="shared" si="15"/>
        <v>Q3-33</v>
      </c>
      <c r="I150" s="74">
        <f t="shared" si="19"/>
        <v>12</v>
      </c>
      <c r="J150" s="74">
        <f t="shared" si="16"/>
        <v>2033</v>
      </c>
      <c r="L150" s="82">
        <f>IF(I151&lt;iGeneral!F$25,1,L149*(1+L$10/12))</f>
        <v>1.26045633414183</v>
      </c>
      <c r="M150" s="82">
        <f>IF(I149&lt;iGeneral!F$26,1,M149*(1+M$10/12))</f>
        <v>1.111587596511862</v>
      </c>
      <c r="N150" s="82">
        <f>IF(I149&lt;iGeneral!F$27,1,N149*(1+N$10/12))</f>
        <v>1</v>
      </c>
      <c r="O150" s="82">
        <f>IFERROR(IF(I149&lt;iGeneral!F$28,1,O149*(1+O$10/12)),1)</f>
        <v>1</v>
      </c>
      <c r="P150" s="82">
        <f>IFERROR(IF(DATA!$I150&lt;iGeneral!F$29,1,P149*(1+P$10/12)),1)</f>
        <v>1</v>
      </c>
      <c r="T150" s="80"/>
      <c r="U150"/>
    </row>
    <row r="151" spans="5:21" ht="16" outlineLevel="1" thickTop="1" thickBot="1">
      <c r="E151" s="74">
        <f t="shared" si="17"/>
        <v>141</v>
      </c>
      <c r="F151" s="75">
        <f t="shared" si="18"/>
        <v>48823</v>
      </c>
      <c r="G151" s="74">
        <f t="shared" si="14"/>
        <v>47</v>
      </c>
      <c r="H151" s="74" t="str">
        <f t="shared" si="15"/>
        <v>Q3-33</v>
      </c>
      <c r="I151" s="74">
        <f t="shared" si="19"/>
        <v>12</v>
      </c>
      <c r="J151" s="74">
        <f t="shared" si="16"/>
        <v>2033</v>
      </c>
      <c r="L151" s="82">
        <f>IF(I152&lt;iGeneral!F$25,1,L150*(1+L$10/12))</f>
        <v>1.262557094698733</v>
      </c>
      <c r="M151" s="82">
        <f>IF(I150&lt;iGeneral!F$26,1,M150*(1+M$10/12))</f>
        <v>1.1125139195089551</v>
      </c>
      <c r="N151" s="82">
        <f>IF(I150&lt;iGeneral!F$27,1,N150*(1+N$10/12))</f>
        <v>1</v>
      </c>
      <c r="O151" s="82">
        <f>IFERROR(IF(I150&lt;iGeneral!F$28,1,O150*(1+O$10/12)),1)</f>
        <v>1</v>
      </c>
      <c r="P151" s="82">
        <f>IFERROR(IF(DATA!$I151&lt;iGeneral!F$29,1,P150*(1+P$10/12)),1)</f>
        <v>1</v>
      </c>
      <c r="T151" s="80"/>
      <c r="U151"/>
    </row>
    <row r="152" spans="5:21" ht="16" outlineLevel="1" thickTop="1" thickBot="1">
      <c r="E152" s="74">
        <f t="shared" si="17"/>
        <v>142</v>
      </c>
      <c r="F152" s="75">
        <f t="shared" si="18"/>
        <v>48853</v>
      </c>
      <c r="G152" s="74">
        <f t="shared" si="14"/>
        <v>48</v>
      </c>
      <c r="H152" s="74" t="str">
        <f t="shared" si="15"/>
        <v>Q3-33</v>
      </c>
      <c r="I152" s="74">
        <f t="shared" si="19"/>
        <v>12</v>
      </c>
      <c r="J152" s="74">
        <f t="shared" si="16"/>
        <v>2033</v>
      </c>
      <c r="L152" s="82">
        <f>IF(I153&lt;iGeneral!F$25,1,L151*(1+L$10/12))</f>
        <v>1.264661356523231</v>
      </c>
      <c r="M152" s="82">
        <f>IF(I151&lt;iGeneral!F$26,1,M151*(1+M$10/12))</f>
        <v>1.1134410144418792</v>
      </c>
      <c r="N152" s="82">
        <f>IF(I151&lt;iGeneral!F$27,1,N151*(1+N$10/12))</f>
        <v>1</v>
      </c>
      <c r="O152" s="82">
        <f>IFERROR(IF(I151&lt;iGeneral!F$28,1,O151*(1+O$10/12)),1)</f>
        <v>1</v>
      </c>
      <c r="P152" s="82">
        <f>IFERROR(IF(DATA!$I152&lt;iGeneral!F$29,1,P151*(1+P$10/12)),1)</f>
        <v>1</v>
      </c>
      <c r="T152" s="80"/>
      <c r="U152"/>
    </row>
    <row r="153" spans="5:21" ht="16" outlineLevel="1" thickTop="1" thickBot="1">
      <c r="E153" s="74">
        <f t="shared" si="17"/>
        <v>143</v>
      </c>
      <c r="F153" s="75">
        <f t="shared" si="18"/>
        <v>48884</v>
      </c>
      <c r="G153" s="74">
        <f t="shared" si="14"/>
        <v>48</v>
      </c>
      <c r="H153" s="74" t="str">
        <f t="shared" si="15"/>
        <v>Q3-33</v>
      </c>
      <c r="I153" s="74">
        <f t="shared" si="19"/>
        <v>12</v>
      </c>
      <c r="J153" s="74">
        <f t="shared" si="16"/>
        <v>2033</v>
      </c>
      <c r="L153" s="82">
        <f>IF(I154&lt;iGeneral!F$25,1,L152*(1+L$10/12))</f>
        <v>1.2667691254507698</v>
      </c>
      <c r="M153" s="82">
        <f>IF(I152&lt;iGeneral!F$26,1,M152*(1+M$10/12))</f>
        <v>1.1143688819539139</v>
      </c>
      <c r="N153" s="82">
        <f>IF(I152&lt;iGeneral!F$27,1,N152*(1+N$10/12))</f>
        <v>1</v>
      </c>
      <c r="O153" s="82">
        <f>IFERROR(IF(I152&lt;iGeneral!F$28,1,O152*(1+O$10/12)),1)</f>
        <v>1</v>
      </c>
      <c r="P153" s="82">
        <f>IFERROR(IF(DATA!$I153&lt;iGeneral!F$29,1,P152*(1+P$10/12)),1)</f>
        <v>1</v>
      </c>
      <c r="T153" s="80"/>
      <c r="U153"/>
    </row>
    <row r="154" spans="5:21" ht="16" outlineLevel="1" thickTop="1" thickBot="1">
      <c r="E154" s="74">
        <f t="shared" si="17"/>
        <v>144</v>
      </c>
      <c r="F154" s="75">
        <f t="shared" si="18"/>
        <v>48914</v>
      </c>
      <c r="G154" s="74">
        <f t="shared" si="14"/>
        <v>48</v>
      </c>
      <c r="H154" s="74" t="str">
        <f t="shared" si="15"/>
        <v>Q4-33</v>
      </c>
      <c r="I154" s="74">
        <f t="shared" si="19"/>
        <v>12</v>
      </c>
      <c r="J154" s="74">
        <f t="shared" si="16"/>
        <v>2033</v>
      </c>
      <c r="L154" s="82">
        <f>IF(I155&lt;iGeneral!F$25,1,L153*(1+L$10/12))</f>
        <v>1.2688804073265212</v>
      </c>
      <c r="M154" s="82">
        <f>IF(I153&lt;iGeneral!F$26,1,M153*(1+M$10/12))</f>
        <v>1.1152975226888755</v>
      </c>
      <c r="N154" s="82">
        <f>IF(I153&lt;iGeneral!F$27,1,N153*(1+N$10/12))</f>
        <v>1</v>
      </c>
      <c r="O154" s="82">
        <f>IFERROR(IF(I153&lt;iGeneral!F$28,1,O153*(1+O$10/12)),1)</f>
        <v>1</v>
      </c>
      <c r="P154" s="82">
        <f>IFERROR(IF(DATA!$I154&lt;iGeneral!F$29,1,P153*(1+P$10/12)),1)</f>
        <v>1</v>
      </c>
      <c r="T154" s="80"/>
      <c r="U154"/>
    </row>
    <row r="155" spans="5:21" ht="16" outlineLevel="1" thickTop="1" thickBot="1">
      <c r="E155" s="74">
        <f t="shared" si="17"/>
        <v>145</v>
      </c>
      <c r="F155" s="75">
        <f t="shared" si="18"/>
        <v>48945</v>
      </c>
      <c r="G155" s="74">
        <f t="shared" si="14"/>
        <v>49</v>
      </c>
      <c r="H155" s="74" t="str">
        <f t="shared" si="15"/>
        <v>Q1-34</v>
      </c>
      <c r="I155" s="74">
        <f t="shared" si="19"/>
        <v>13</v>
      </c>
      <c r="J155" s="74">
        <f t="shared" si="16"/>
        <v>2034</v>
      </c>
      <c r="L155" s="82">
        <f>IF(I156&lt;iGeneral!F$25,1,L154*(1+L$10/12))</f>
        <v>1.2709952080053988</v>
      </c>
      <c r="M155" s="82">
        <f>IF(I154&lt;iGeneral!F$26,1,M154*(1+M$10/12))</f>
        <v>1.1162269372911162</v>
      </c>
      <c r="N155" s="82">
        <f>IF(I154&lt;iGeneral!F$27,1,N154*(1+N$10/12))</f>
        <v>1</v>
      </c>
      <c r="O155" s="82">
        <f>IFERROR(IF(I154&lt;iGeneral!F$28,1,O154*(1+O$10/12)),1)</f>
        <v>1</v>
      </c>
      <c r="P155" s="82">
        <f>IFERROR(IF(DATA!$I155&lt;iGeneral!F$29,1,P154*(1+P$10/12)),1)</f>
        <v>1</v>
      </c>
      <c r="T155" s="80"/>
      <c r="U155"/>
    </row>
    <row r="156" spans="5:21" ht="16" outlineLevel="1" thickTop="1" thickBot="1">
      <c r="E156" s="74">
        <f t="shared" si="17"/>
        <v>146</v>
      </c>
      <c r="F156" s="75">
        <f t="shared" si="18"/>
        <v>48976</v>
      </c>
      <c r="G156" s="74">
        <f t="shared" si="14"/>
        <v>49</v>
      </c>
      <c r="H156" s="74" t="str">
        <f t="shared" si="15"/>
        <v>Q1-34</v>
      </c>
      <c r="I156" s="74">
        <f t="shared" si="19"/>
        <v>13</v>
      </c>
      <c r="J156" s="74">
        <f t="shared" si="16"/>
        <v>2034</v>
      </c>
      <c r="L156" s="82">
        <f>IF(I157&lt;iGeneral!F$25,1,L155*(1+L$10/12))</f>
        <v>1.2731135333520744</v>
      </c>
      <c r="M156" s="82">
        <f>IF(I155&lt;iGeneral!F$26,1,M155*(1+M$10/12))</f>
        <v>1.1171571264055253</v>
      </c>
      <c r="N156" s="82">
        <f>IF(I155&lt;iGeneral!F$27,1,N155*(1+N$10/12))</f>
        <v>1</v>
      </c>
      <c r="O156" s="82">
        <f>IFERROR(IF(I155&lt;iGeneral!F$28,1,O155*(1+O$10/12)),1)</f>
        <v>1</v>
      </c>
      <c r="P156" s="82">
        <f>IFERROR(IF(DATA!$I156&lt;iGeneral!F$29,1,P155*(1+P$10/12)),1)</f>
        <v>1</v>
      </c>
      <c r="T156" s="80"/>
      <c r="U156"/>
    </row>
    <row r="157" spans="5:21" ht="16" outlineLevel="1" thickTop="1" thickBot="1">
      <c r="E157" s="74">
        <f t="shared" si="17"/>
        <v>147</v>
      </c>
      <c r="F157" s="75">
        <f t="shared" si="18"/>
        <v>49004</v>
      </c>
      <c r="G157" s="74">
        <f t="shared" si="14"/>
        <v>49</v>
      </c>
      <c r="H157" s="74" t="str">
        <f t="shared" si="15"/>
        <v>Q1-34</v>
      </c>
      <c r="I157" s="74">
        <f t="shared" si="19"/>
        <v>13</v>
      </c>
      <c r="J157" s="74">
        <f t="shared" si="16"/>
        <v>2034</v>
      </c>
      <c r="L157" s="82">
        <f>IF(I158&lt;iGeneral!F$25,1,L156*(1+L$10/12))</f>
        <v>1.2752353892409947</v>
      </c>
      <c r="M157" s="82">
        <f>IF(I156&lt;iGeneral!F$26,1,M156*(1+M$10/12))</f>
        <v>1.1180880906775299</v>
      </c>
      <c r="N157" s="82">
        <f>IF(I156&lt;iGeneral!F$27,1,N156*(1+N$10/12))</f>
        <v>1</v>
      </c>
      <c r="O157" s="82">
        <f>IFERROR(IF(I156&lt;iGeneral!F$28,1,O156*(1+O$10/12)),1)</f>
        <v>1</v>
      </c>
      <c r="P157" s="82">
        <f>IFERROR(IF(DATA!$I157&lt;iGeneral!F$29,1,P156*(1+P$10/12)),1)</f>
        <v>1</v>
      </c>
      <c r="T157" s="80"/>
      <c r="U157"/>
    </row>
    <row r="158" spans="5:21" ht="16" outlineLevel="1" thickTop="1" thickBot="1">
      <c r="E158" s="74">
        <f t="shared" si="17"/>
        <v>148</v>
      </c>
      <c r="F158" s="75">
        <f t="shared" si="18"/>
        <v>49035</v>
      </c>
      <c r="G158" s="74">
        <f t="shared" si="14"/>
        <v>50</v>
      </c>
      <c r="H158" s="74" t="str">
        <f t="shared" si="15"/>
        <v>Q2-34</v>
      </c>
      <c r="I158" s="74">
        <f t="shared" si="19"/>
        <v>13</v>
      </c>
      <c r="J158" s="74">
        <f t="shared" si="16"/>
        <v>2034</v>
      </c>
      <c r="L158" s="82">
        <f>IF(I159&lt;iGeneral!F$25,1,L157*(1+L$10/12))</f>
        <v>1.2773607815563963</v>
      </c>
      <c r="M158" s="82">
        <f>IF(I157&lt;iGeneral!F$26,1,M157*(1+M$10/12))</f>
        <v>1.1190198307530943</v>
      </c>
      <c r="N158" s="82">
        <f>IF(I157&lt;iGeneral!F$27,1,N157*(1+N$10/12))</f>
        <v>1</v>
      </c>
      <c r="O158" s="82">
        <f>IFERROR(IF(I157&lt;iGeneral!F$28,1,O157*(1+O$10/12)),1)</f>
        <v>1</v>
      </c>
      <c r="P158" s="82">
        <f>IFERROR(IF(DATA!$I158&lt;iGeneral!F$29,1,P157*(1+P$10/12)),1)</f>
        <v>1</v>
      </c>
      <c r="T158" s="80"/>
      <c r="U158"/>
    </row>
    <row r="159" spans="5:21" ht="16" outlineLevel="1" thickTop="1" thickBot="1">
      <c r="E159" s="74">
        <f t="shared" si="17"/>
        <v>149</v>
      </c>
      <c r="F159" s="75">
        <f t="shared" si="18"/>
        <v>49065</v>
      </c>
      <c r="G159" s="74">
        <f t="shared" si="14"/>
        <v>50</v>
      </c>
      <c r="H159" s="74" t="str">
        <f t="shared" si="15"/>
        <v>Q2-34</v>
      </c>
      <c r="I159" s="74">
        <f t="shared" si="19"/>
        <v>13</v>
      </c>
      <c r="J159" s="74">
        <f t="shared" si="16"/>
        <v>2034</v>
      </c>
      <c r="L159" s="82">
        <f>IF(I160&lt;iGeneral!F$25,1,L158*(1+L$10/12))</f>
        <v>1.2794897161923238</v>
      </c>
      <c r="M159" s="82">
        <f>IF(I158&lt;iGeneral!F$26,1,M158*(1+M$10/12))</f>
        <v>1.1199523472787218</v>
      </c>
      <c r="N159" s="82">
        <f>IF(I158&lt;iGeneral!F$27,1,N158*(1+N$10/12))</f>
        <v>1</v>
      </c>
      <c r="O159" s="82">
        <f>IFERROR(IF(I158&lt;iGeneral!F$28,1,O158*(1+O$10/12)),1)</f>
        <v>1</v>
      </c>
      <c r="P159" s="82">
        <f>IFERROR(IF(DATA!$I159&lt;iGeneral!F$29,1,P158*(1+P$10/12)),1)</f>
        <v>1</v>
      </c>
      <c r="T159" s="80"/>
      <c r="U159"/>
    </row>
    <row r="160" spans="5:21" ht="16" outlineLevel="1" thickTop="1" thickBot="1">
      <c r="E160" s="74">
        <f t="shared" si="17"/>
        <v>150</v>
      </c>
      <c r="F160" s="75">
        <f t="shared" si="18"/>
        <v>49096</v>
      </c>
      <c r="G160" s="74">
        <f t="shared" si="14"/>
        <v>50</v>
      </c>
      <c r="H160" s="74" t="str">
        <f t="shared" si="15"/>
        <v>Q2-34</v>
      </c>
      <c r="I160" s="74">
        <f t="shared" si="19"/>
        <v>13</v>
      </c>
      <c r="J160" s="74">
        <f t="shared" si="16"/>
        <v>2034</v>
      </c>
      <c r="L160" s="82">
        <f>IF(I161&lt;iGeneral!F$25,1,L159*(1+L$10/12))</f>
        <v>1.2816221990526444</v>
      </c>
      <c r="M160" s="82">
        <f>IF(I159&lt;iGeneral!F$26,1,M159*(1+M$10/12))</f>
        <v>1.120885640901454</v>
      </c>
      <c r="N160" s="82">
        <f>IF(I159&lt;iGeneral!F$27,1,N159*(1+N$10/12))</f>
        <v>1</v>
      </c>
      <c r="O160" s="82">
        <f>IFERROR(IF(I159&lt;iGeneral!F$28,1,O159*(1+O$10/12)),1)</f>
        <v>1</v>
      </c>
      <c r="P160" s="82">
        <f>IFERROR(IF(DATA!$I160&lt;iGeneral!F$29,1,P159*(1+P$10/12)),1)</f>
        <v>1</v>
      </c>
      <c r="T160" s="80"/>
      <c r="U160"/>
    </row>
    <row r="161" spans="5:21" ht="16" outlineLevel="1" thickTop="1" thickBot="1">
      <c r="E161" s="74">
        <f t="shared" si="17"/>
        <v>151</v>
      </c>
      <c r="F161" s="75">
        <f t="shared" si="18"/>
        <v>49126</v>
      </c>
      <c r="G161" s="74">
        <f t="shared" si="14"/>
        <v>51</v>
      </c>
      <c r="H161" s="74" t="str">
        <f t="shared" si="15"/>
        <v>Q2-34</v>
      </c>
      <c r="I161" s="74">
        <f t="shared" si="19"/>
        <v>13</v>
      </c>
      <c r="J161" s="74">
        <f t="shared" si="16"/>
        <v>2034</v>
      </c>
      <c r="L161" s="82">
        <f>IF(I162&lt;iGeneral!F$25,1,L160*(1+L$10/12))</f>
        <v>1.2837582360510655</v>
      </c>
      <c r="M161" s="82">
        <f>IF(I160&lt;iGeneral!F$26,1,M160*(1+M$10/12))</f>
        <v>1.1218197122688718</v>
      </c>
      <c r="N161" s="82">
        <f>IF(I160&lt;iGeneral!F$27,1,N160*(1+N$10/12))</f>
        <v>1</v>
      </c>
      <c r="O161" s="82">
        <f>IFERROR(IF(I160&lt;iGeneral!F$28,1,O160*(1+O$10/12)),1)</f>
        <v>1</v>
      </c>
      <c r="P161" s="82">
        <f>IFERROR(IF(DATA!$I161&lt;iGeneral!F$29,1,P160*(1+P$10/12)),1)</f>
        <v>1</v>
      </c>
      <c r="T161" s="80"/>
      <c r="U161"/>
    </row>
    <row r="162" spans="5:21" ht="16" outlineLevel="1" thickTop="1" thickBot="1">
      <c r="E162" s="74">
        <f t="shared" si="17"/>
        <v>152</v>
      </c>
      <c r="F162" s="75">
        <f t="shared" si="18"/>
        <v>49157</v>
      </c>
      <c r="G162" s="74">
        <f t="shared" si="14"/>
        <v>51</v>
      </c>
      <c r="H162" s="74" t="str">
        <f t="shared" si="15"/>
        <v>Q3-34</v>
      </c>
      <c r="I162" s="74">
        <f t="shared" si="19"/>
        <v>13</v>
      </c>
      <c r="J162" s="74">
        <f t="shared" si="16"/>
        <v>2034</v>
      </c>
      <c r="L162" s="82">
        <f>IF(I163&lt;iGeneral!F$25,1,L161*(1+L$10/12))</f>
        <v>1.2858978331111508</v>
      </c>
      <c r="M162" s="82">
        <f>IF(I161&lt;iGeneral!F$26,1,M161*(1+M$10/12))</f>
        <v>1.1227545620290957</v>
      </c>
      <c r="N162" s="82">
        <f>IF(I161&lt;iGeneral!F$27,1,N161*(1+N$10/12))</f>
        <v>1</v>
      </c>
      <c r="O162" s="82">
        <f>IFERROR(IF(I161&lt;iGeneral!F$28,1,O161*(1+O$10/12)),1)</f>
        <v>1</v>
      </c>
      <c r="P162" s="82">
        <f>IFERROR(IF(DATA!$I162&lt;iGeneral!F$29,1,P161*(1+P$10/12)),1)</f>
        <v>1</v>
      </c>
      <c r="T162" s="80"/>
      <c r="U162"/>
    </row>
    <row r="163" spans="5:21" ht="16" outlineLevel="1" thickTop="1" thickBot="1">
      <c r="E163" s="74">
        <f t="shared" si="17"/>
        <v>153</v>
      </c>
      <c r="F163" s="75">
        <f t="shared" si="18"/>
        <v>49188</v>
      </c>
      <c r="G163" s="74">
        <f t="shared" si="14"/>
        <v>51</v>
      </c>
      <c r="H163" s="74" t="str">
        <f t="shared" si="15"/>
        <v>Q3-34</v>
      </c>
      <c r="I163" s="74">
        <f t="shared" si="19"/>
        <v>13</v>
      </c>
      <c r="J163" s="74">
        <f t="shared" si="16"/>
        <v>2034</v>
      </c>
      <c r="L163" s="82">
        <f>IF(I164&lt;iGeneral!F$25,1,L162*(1+L$10/12))</f>
        <v>1.2880409961663362</v>
      </c>
      <c r="M163" s="82">
        <f>IF(I162&lt;iGeneral!F$26,1,M162*(1+M$10/12))</f>
        <v>1.1236901908307866</v>
      </c>
      <c r="N163" s="82">
        <f>IF(I162&lt;iGeneral!F$27,1,N162*(1+N$10/12))</f>
        <v>1</v>
      </c>
      <c r="O163" s="82">
        <f>IFERROR(IF(I162&lt;iGeneral!F$28,1,O162*(1+O$10/12)),1)</f>
        <v>1</v>
      </c>
      <c r="P163" s="82">
        <f>IFERROR(IF(DATA!$I163&lt;iGeneral!F$29,1,P162*(1+P$10/12)),1)</f>
        <v>1</v>
      </c>
      <c r="T163" s="80"/>
      <c r="U163"/>
    </row>
    <row r="164" spans="5:21" ht="16" outlineLevel="1" thickTop="1" thickBot="1">
      <c r="E164" s="74">
        <f t="shared" si="17"/>
        <v>154</v>
      </c>
      <c r="F164" s="75">
        <f t="shared" si="18"/>
        <v>49218</v>
      </c>
      <c r="G164" s="74">
        <f t="shared" si="14"/>
        <v>52</v>
      </c>
      <c r="H164" s="74" t="str">
        <f t="shared" si="15"/>
        <v>Q3-34</v>
      </c>
      <c r="I164" s="74">
        <f t="shared" si="19"/>
        <v>13</v>
      </c>
      <c r="J164" s="74">
        <f t="shared" si="16"/>
        <v>2034</v>
      </c>
      <c r="L164" s="82">
        <f>IF(I165&lt;iGeneral!F$25,1,L163*(1+L$10/12))</f>
        <v>1.2901877311599468</v>
      </c>
      <c r="M164" s="82">
        <f>IF(I163&lt;iGeneral!F$26,1,M163*(1+M$10/12))</f>
        <v>1.1246265993231455</v>
      </c>
      <c r="N164" s="82">
        <f>IF(I163&lt;iGeneral!F$27,1,N163*(1+N$10/12))</f>
        <v>1</v>
      </c>
      <c r="O164" s="82">
        <f>IFERROR(IF(I163&lt;iGeneral!F$28,1,O163*(1+O$10/12)),1)</f>
        <v>1</v>
      </c>
      <c r="P164" s="82">
        <f>IFERROR(IF(DATA!$I164&lt;iGeneral!F$29,1,P163*(1+P$10/12)),1)</f>
        <v>1</v>
      </c>
      <c r="T164" s="80"/>
      <c r="U164"/>
    </row>
    <row r="165" spans="5:21" ht="16" outlineLevel="1" thickTop="1" thickBot="1">
      <c r="E165" s="74">
        <f t="shared" si="17"/>
        <v>155</v>
      </c>
      <c r="F165" s="75">
        <f t="shared" si="18"/>
        <v>49249</v>
      </c>
      <c r="G165" s="74">
        <f t="shared" si="14"/>
        <v>52</v>
      </c>
      <c r="H165" s="74" t="str">
        <f t="shared" si="15"/>
        <v>Q3-34</v>
      </c>
      <c r="I165" s="74">
        <f t="shared" si="19"/>
        <v>13</v>
      </c>
      <c r="J165" s="74">
        <f t="shared" si="16"/>
        <v>2034</v>
      </c>
      <c r="L165" s="82">
        <f>IF(I166&lt;iGeneral!F$25,1,L164*(1+L$10/12))</f>
        <v>1.2923380440452135</v>
      </c>
      <c r="M165" s="82">
        <f>IF(I164&lt;iGeneral!F$26,1,M164*(1+M$10/12))</f>
        <v>1.1255637881559146</v>
      </c>
      <c r="N165" s="82">
        <f>IF(I164&lt;iGeneral!F$27,1,N164*(1+N$10/12))</f>
        <v>1</v>
      </c>
      <c r="O165" s="82">
        <f>IFERROR(IF(I164&lt;iGeneral!F$28,1,O164*(1+O$10/12)),1)</f>
        <v>1</v>
      </c>
      <c r="P165" s="82">
        <f>IFERROR(IF(DATA!$I165&lt;iGeneral!F$29,1,P164*(1+P$10/12)),1)</f>
        <v>1</v>
      </c>
      <c r="T165" s="80"/>
      <c r="U165"/>
    </row>
    <row r="166" spans="5:21" ht="16" outlineLevel="1" thickTop="1" thickBot="1">
      <c r="E166" s="74">
        <f t="shared" si="17"/>
        <v>156</v>
      </c>
      <c r="F166" s="75">
        <f t="shared" si="18"/>
        <v>49279</v>
      </c>
      <c r="G166" s="74">
        <f t="shared" si="14"/>
        <v>52</v>
      </c>
      <c r="H166" s="74" t="str">
        <f t="shared" si="15"/>
        <v>Q4-34</v>
      </c>
      <c r="I166" s="74">
        <f t="shared" si="19"/>
        <v>13</v>
      </c>
      <c r="J166" s="74">
        <f t="shared" si="16"/>
        <v>2034</v>
      </c>
      <c r="L166" s="82">
        <f>IF(I167&lt;iGeneral!F$25,1,L165*(1+L$10/12))</f>
        <v>1.2944919407852888</v>
      </c>
      <c r="M166" s="82">
        <f>IF(I165&lt;iGeneral!F$26,1,M165*(1+M$10/12))</f>
        <v>1.1265017579793777</v>
      </c>
      <c r="N166" s="82">
        <f>IF(I165&lt;iGeneral!F$27,1,N165*(1+N$10/12))</f>
        <v>1</v>
      </c>
      <c r="O166" s="82">
        <f>IFERROR(IF(I165&lt;iGeneral!F$28,1,O165*(1+O$10/12)),1)</f>
        <v>1</v>
      </c>
      <c r="P166" s="82">
        <f>IFERROR(IF(DATA!$I166&lt;iGeneral!F$29,1,P165*(1+P$10/12)),1)</f>
        <v>1</v>
      </c>
      <c r="T166" s="80"/>
      <c r="U166"/>
    </row>
    <row r="167" spans="5:21" ht="16" outlineLevel="1" thickTop="1" thickBot="1">
      <c r="E167" s="74">
        <f t="shared" si="17"/>
        <v>157</v>
      </c>
      <c r="F167" s="75">
        <f t="shared" si="18"/>
        <v>49310</v>
      </c>
      <c r="G167" s="74">
        <f t="shared" si="14"/>
        <v>53</v>
      </c>
      <c r="H167" s="74" t="str">
        <f t="shared" si="15"/>
        <v>Q1-35</v>
      </c>
      <c r="I167" s="74">
        <f t="shared" si="19"/>
        <v>14</v>
      </c>
      <c r="J167" s="74">
        <f t="shared" si="16"/>
        <v>2035</v>
      </c>
      <c r="L167" s="82">
        <f>IF(I168&lt;iGeneral!F$25,1,L166*(1+L$10/12))</f>
        <v>1.2966494273532643</v>
      </c>
      <c r="M167" s="82">
        <f>IF(I166&lt;iGeneral!F$26,1,M166*(1+M$10/12))</f>
        <v>1.1274405094443605</v>
      </c>
      <c r="N167" s="82">
        <f>IF(I166&lt;iGeneral!F$27,1,N166*(1+N$10/12))</f>
        <v>1</v>
      </c>
      <c r="O167" s="82">
        <f>IFERROR(IF(I166&lt;iGeneral!F$28,1,O166*(1+O$10/12)),1)</f>
        <v>1</v>
      </c>
      <c r="P167" s="82">
        <f>IFERROR(IF(DATA!$I167&lt;iGeneral!F$29,1,P166*(1+P$10/12)),1)</f>
        <v>1</v>
      </c>
      <c r="T167" s="80"/>
      <c r="U167"/>
    </row>
    <row r="168" spans="5:21" ht="16" outlineLevel="1" thickTop="1" thickBot="1">
      <c r="E168" s="74">
        <f t="shared" si="17"/>
        <v>158</v>
      </c>
      <c r="F168" s="75">
        <f t="shared" si="18"/>
        <v>49341</v>
      </c>
      <c r="G168" s="74">
        <f t="shared" si="14"/>
        <v>53</v>
      </c>
      <c r="H168" s="74" t="str">
        <f t="shared" si="15"/>
        <v>Q1-35</v>
      </c>
      <c r="I168" s="74">
        <f t="shared" si="19"/>
        <v>14</v>
      </c>
      <c r="J168" s="74">
        <f t="shared" si="16"/>
        <v>2035</v>
      </c>
      <c r="L168" s="82">
        <f>IF(I169&lt;iGeneral!F$25,1,L167*(1+L$10/12))</f>
        <v>1.2988105097321865</v>
      </c>
      <c r="M168" s="82">
        <f>IF(I167&lt;iGeneral!F$26,1,M167*(1+M$10/12))</f>
        <v>1.1283800432022306</v>
      </c>
      <c r="N168" s="82">
        <f>IF(I167&lt;iGeneral!F$27,1,N167*(1+N$10/12))</f>
        <v>1</v>
      </c>
      <c r="O168" s="82">
        <f>IFERROR(IF(I167&lt;iGeneral!F$28,1,O167*(1+O$10/12)),1)</f>
        <v>1</v>
      </c>
      <c r="P168" s="82">
        <f>IFERROR(IF(DATA!$I168&lt;iGeneral!F$29,1,P167*(1+P$10/12)),1)</f>
        <v>1</v>
      </c>
      <c r="T168" s="80"/>
      <c r="U168"/>
    </row>
    <row r="169" spans="5:21" ht="16" outlineLevel="1" thickTop="1" thickBot="1">
      <c r="E169" s="74">
        <f t="shared" si="17"/>
        <v>159</v>
      </c>
      <c r="F169" s="75">
        <f t="shared" si="18"/>
        <v>49369</v>
      </c>
      <c r="G169" s="74">
        <f t="shared" si="14"/>
        <v>53</v>
      </c>
      <c r="H169" s="74" t="str">
        <f t="shared" si="15"/>
        <v>Q1-35</v>
      </c>
      <c r="I169" s="74">
        <f t="shared" si="19"/>
        <v>14</v>
      </c>
      <c r="J169" s="74">
        <f t="shared" si="16"/>
        <v>2035</v>
      </c>
      <c r="L169" s="82">
        <f>IF(I170&lt;iGeneral!F$25,1,L168*(1+L$10/12))</f>
        <v>1.3009751939150735</v>
      </c>
      <c r="M169" s="82">
        <f>IF(I168&lt;iGeneral!F$26,1,M168*(1+M$10/12))</f>
        <v>1.1293203599048991</v>
      </c>
      <c r="N169" s="82">
        <f>IF(I168&lt;iGeneral!F$27,1,N168*(1+N$10/12))</f>
        <v>1</v>
      </c>
      <c r="O169" s="82">
        <f>IFERROR(IF(I168&lt;iGeneral!F$28,1,O168*(1+O$10/12)),1)</f>
        <v>1</v>
      </c>
      <c r="P169" s="82">
        <f>IFERROR(IF(DATA!$I169&lt;iGeneral!F$29,1,P168*(1+P$10/12)),1)</f>
        <v>1</v>
      </c>
      <c r="T169" s="80"/>
      <c r="U169"/>
    </row>
    <row r="170" spans="5:21" ht="16" outlineLevel="1" thickTop="1" thickBot="1">
      <c r="E170" s="74">
        <f t="shared" si="17"/>
        <v>160</v>
      </c>
      <c r="F170" s="75">
        <f t="shared" si="18"/>
        <v>49400</v>
      </c>
      <c r="G170" s="74">
        <f t="shared" si="14"/>
        <v>54</v>
      </c>
      <c r="H170" s="74" t="str">
        <f t="shared" si="15"/>
        <v>Q2-35</v>
      </c>
      <c r="I170" s="74">
        <f t="shared" si="19"/>
        <v>14</v>
      </c>
      <c r="J170" s="74">
        <f t="shared" si="16"/>
        <v>2035</v>
      </c>
      <c r="L170" s="82">
        <f>IF(I171&lt;iGeneral!F$25,1,L169*(1+L$10/12))</f>
        <v>1.303143485904932</v>
      </c>
      <c r="M170" s="82">
        <f>IF(I169&lt;iGeneral!F$26,1,M169*(1+M$10/12))</f>
        <v>1.1302614602048198</v>
      </c>
      <c r="N170" s="82">
        <f>IF(I169&lt;iGeneral!F$27,1,N169*(1+N$10/12))</f>
        <v>1</v>
      </c>
      <c r="O170" s="82">
        <f>IFERROR(IF(I169&lt;iGeneral!F$28,1,O169*(1+O$10/12)),1)</f>
        <v>1</v>
      </c>
      <c r="P170" s="82">
        <f>IFERROR(IF(DATA!$I170&lt;iGeneral!F$29,1,P169*(1+P$10/12)),1)</f>
        <v>1</v>
      </c>
      <c r="T170" s="80"/>
      <c r="U170"/>
    </row>
    <row r="171" spans="5:21" ht="16" outlineLevel="1" thickTop="1" thickBot="1">
      <c r="E171" s="74">
        <f t="shared" si="17"/>
        <v>161</v>
      </c>
      <c r="F171" s="75">
        <f t="shared" si="18"/>
        <v>49430</v>
      </c>
      <c r="G171" s="74">
        <f t="shared" si="14"/>
        <v>54</v>
      </c>
      <c r="H171" s="74" t="str">
        <f t="shared" si="15"/>
        <v>Q2-35</v>
      </c>
      <c r="I171" s="74">
        <f t="shared" si="19"/>
        <v>14</v>
      </c>
      <c r="J171" s="74">
        <f t="shared" si="16"/>
        <v>2035</v>
      </c>
      <c r="L171" s="82">
        <f>IF(I172&lt;iGeneral!F$25,1,L170*(1+L$10/12))</f>
        <v>1.3053153917147735</v>
      </c>
      <c r="M171" s="82">
        <f>IF(I170&lt;iGeneral!F$26,1,M170*(1+M$10/12))</f>
        <v>1.1312033447549903</v>
      </c>
      <c r="N171" s="82">
        <f>IF(I170&lt;iGeneral!F$27,1,N170*(1+N$10/12))</f>
        <v>1</v>
      </c>
      <c r="O171" s="82">
        <f>IFERROR(IF(I170&lt;iGeneral!F$28,1,O170*(1+O$10/12)),1)</f>
        <v>1</v>
      </c>
      <c r="P171" s="82">
        <f>IFERROR(IF(DATA!$I171&lt;iGeneral!F$29,1,P170*(1+P$10/12)),1)</f>
        <v>1</v>
      </c>
      <c r="T171" s="80"/>
      <c r="U171"/>
    </row>
    <row r="172" spans="5:21" ht="16" outlineLevel="1" thickTop="1" thickBot="1">
      <c r="E172" s="74">
        <f t="shared" si="17"/>
        <v>162</v>
      </c>
      <c r="F172" s="75">
        <f t="shared" si="18"/>
        <v>49461</v>
      </c>
      <c r="G172" s="74">
        <f t="shared" si="14"/>
        <v>54</v>
      </c>
      <c r="H172" s="74" t="str">
        <f t="shared" si="15"/>
        <v>Q2-35</v>
      </c>
      <c r="I172" s="74">
        <f t="shared" si="19"/>
        <v>14</v>
      </c>
      <c r="J172" s="74">
        <f t="shared" si="16"/>
        <v>2035</v>
      </c>
      <c r="L172" s="82">
        <f>IF(I173&lt;iGeneral!F$25,1,L171*(1+L$10/12))</f>
        <v>1.3074909173676315</v>
      </c>
      <c r="M172" s="82">
        <f>IF(I171&lt;iGeneral!F$26,1,M171*(1+M$10/12))</f>
        <v>1.1321460142089528</v>
      </c>
      <c r="N172" s="82">
        <f>IF(I171&lt;iGeneral!F$27,1,N171*(1+N$10/12))</f>
        <v>1</v>
      </c>
      <c r="O172" s="82">
        <f>IFERROR(IF(I171&lt;iGeneral!F$28,1,O171*(1+O$10/12)),1)</f>
        <v>1</v>
      </c>
      <c r="P172" s="82">
        <f>IFERROR(IF(DATA!$I172&lt;iGeneral!F$29,1,P171*(1+P$10/12)),1)</f>
        <v>1</v>
      </c>
      <c r="T172" s="80"/>
      <c r="U172"/>
    </row>
    <row r="173" spans="5:21" ht="16" outlineLevel="1" thickTop="1" thickBot="1">
      <c r="E173" s="74">
        <f t="shared" si="17"/>
        <v>163</v>
      </c>
      <c r="F173" s="75">
        <f t="shared" si="18"/>
        <v>49491</v>
      </c>
      <c r="G173" s="74">
        <f t="shared" si="14"/>
        <v>55</v>
      </c>
      <c r="H173" s="74" t="str">
        <f t="shared" si="15"/>
        <v>Q2-35</v>
      </c>
      <c r="I173" s="74">
        <f t="shared" si="19"/>
        <v>14</v>
      </c>
      <c r="J173" s="74">
        <f t="shared" si="16"/>
        <v>2035</v>
      </c>
      <c r="L173" s="82">
        <f>IF(I174&lt;iGeneral!F$25,1,L172*(1+L$10/12))</f>
        <v>1.3096700688965777</v>
      </c>
      <c r="M173" s="82">
        <f>IF(I172&lt;iGeneral!F$26,1,M172*(1+M$10/12))</f>
        <v>1.1330894692207936</v>
      </c>
      <c r="N173" s="82">
        <f>IF(I172&lt;iGeneral!F$27,1,N172*(1+N$10/12))</f>
        <v>1</v>
      </c>
      <c r="O173" s="82">
        <f>IFERROR(IF(I172&lt;iGeneral!F$28,1,O172*(1+O$10/12)),1)</f>
        <v>1</v>
      </c>
      <c r="P173" s="82">
        <f>IFERROR(IF(DATA!$I173&lt;iGeneral!F$29,1,P172*(1+P$10/12)),1)</f>
        <v>1</v>
      </c>
      <c r="T173" s="80"/>
      <c r="U173"/>
    </row>
    <row r="174" spans="5:21" ht="16" outlineLevel="1" thickTop="1" thickBot="1">
      <c r="E174" s="74">
        <f t="shared" si="17"/>
        <v>164</v>
      </c>
      <c r="F174" s="75">
        <f t="shared" si="18"/>
        <v>49522</v>
      </c>
      <c r="G174" s="74">
        <f t="shared" si="14"/>
        <v>55</v>
      </c>
      <c r="H174" s="74" t="str">
        <f t="shared" si="15"/>
        <v>Q3-35</v>
      </c>
      <c r="I174" s="74">
        <f t="shared" si="19"/>
        <v>14</v>
      </c>
      <c r="J174" s="74">
        <f t="shared" si="16"/>
        <v>2035</v>
      </c>
      <c r="L174" s="82">
        <f>IF(I175&lt;iGeneral!F$25,1,L173*(1+L$10/12))</f>
        <v>1.3118528523447386</v>
      </c>
      <c r="M174" s="82">
        <f>IF(I173&lt;iGeneral!F$26,1,M173*(1+M$10/12))</f>
        <v>1.1340337104451441</v>
      </c>
      <c r="N174" s="82">
        <f>IF(I173&lt;iGeneral!F$27,1,N173*(1+N$10/12))</f>
        <v>1</v>
      </c>
      <c r="O174" s="82">
        <f>IFERROR(IF(I173&lt;iGeneral!F$28,1,O173*(1+O$10/12)),1)</f>
        <v>1</v>
      </c>
      <c r="P174" s="82">
        <f>IFERROR(IF(DATA!$I174&lt;iGeneral!F$29,1,P173*(1+P$10/12)),1)</f>
        <v>1</v>
      </c>
      <c r="T174" s="80"/>
      <c r="U174"/>
    </row>
    <row r="175" spans="5:21" ht="16" outlineLevel="1" thickTop="1" thickBot="1">
      <c r="E175" s="74">
        <f t="shared" si="17"/>
        <v>165</v>
      </c>
      <c r="F175" s="75">
        <f t="shared" si="18"/>
        <v>49553</v>
      </c>
      <c r="G175" s="74">
        <f t="shared" si="14"/>
        <v>55</v>
      </c>
      <c r="H175" s="74" t="str">
        <f t="shared" si="15"/>
        <v>Q3-35</v>
      </c>
      <c r="I175" s="74">
        <f t="shared" si="19"/>
        <v>14</v>
      </c>
      <c r="J175" s="74">
        <f t="shared" si="16"/>
        <v>2035</v>
      </c>
      <c r="L175" s="82">
        <f>IF(I176&lt;iGeneral!F$25,1,L174*(1+L$10/12))</f>
        <v>1.3140392737653133</v>
      </c>
      <c r="M175" s="82">
        <f>IF(I174&lt;iGeneral!F$26,1,M174*(1+M$10/12))</f>
        <v>1.1349787385371817</v>
      </c>
      <c r="N175" s="82">
        <f>IF(I174&lt;iGeneral!F$27,1,N174*(1+N$10/12))</f>
        <v>1</v>
      </c>
      <c r="O175" s="82">
        <f>IFERROR(IF(I174&lt;iGeneral!F$28,1,O174*(1+O$10/12)),1)</f>
        <v>1</v>
      </c>
      <c r="P175" s="82">
        <f>IFERROR(IF(DATA!$I175&lt;iGeneral!F$29,1,P174*(1+P$10/12)),1)</f>
        <v>1</v>
      </c>
      <c r="T175" s="80"/>
      <c r="U175"/>
    </row>
    <row r="176" spans="5:21" ht="16" outlineLevel="1" thickTop="1" thickBot="1">
      <c r="E176" s="74">
        <f t="shared" si="17"/>
        <v>166</v>
      </c>
      <c r="F176" s="75">
        <f t="shared" si="18"/>
        <v>49583</v>
      </c>
      <c r="G176" s="74">
        <f t="shared" si="14"/>
        <v>56</v>
      </c>
      <c r="H176" s="74" t="str">
        <f t="shared" si="15"/>
        <v>Q3-35</v>
      </c>
      <c r="I176" s="74">
        <f t="shared" si="19"/>
        <v>14</v>
      </c>
      <c r="J176" s="74">
        <f t="shared" si="16"/>
        <v>2035</v>
      </c>
      <c r="L176" s="82">
        <f>IF(I177&lt;iGeneral!F$25,1,L175*(1+L$10/12))</f>
        <v>1.3162293392215889</v>
      </c>
      <c r="M176" s="82">
        <f>IF(I175&lt;iGeneral!F$26,1,M175*(1+M$10/12))</f>
        <v>1.1359245541526293</v>
      </c>
      <c r="N176" s="82">
        <f>IF(I175&lt;iGeneral!F$27,1,N175*(1+N$10/12))</f>
        <v>1</v>
      </c>
      <c r="O176" s="82">
        <f>IFERROR(IF(I175&lt;iGeneral!F$28,1,O175*(1+O$10/12)),1)</f>
        <v>1</v>
      </c>
      <c r="P176" s="82">
        <f>IFERROR(IF(DATA!$I176&lt;iGeneral!F$29,1,P175*(1+P$10/12)),1)</f>
        <v>1</v>
      </c>
      <c r="T176" s="80"/>
      <c r="U176"/>
    </row>
    <row r="177" spans="5:21" ht="16" outlineLevel="1" thickTop="1" thickBot="1">
      <c r="E177" s="74">
        <f t="shared" si="17"/>
        <v>167</v>
      </c>
      <c r="F177" s="75">
        <f t="shared" si="18"/>
        <v>49614</v>
      </c>
      <c r="G177" s="74">
        <f t="shared" si="14"/>
        <v>56</v>
      </c>
      <c r="H177" s="74" t="str">
        <f t="shared" si="15"/>
        <v>Q3-35</v>
      </c>
      <c r="I177" s="74">
        <f t="shared" si="19"/>
        <v>14</v>
      </c>
      <c r="J177" s="74">
        <f t="shared" si="16"/>
        <v>2035</v>
      </c>
      <c r="L177" s="82">
        <f>IF(I178&lt;iGeneral!F$25,1,L176*(1+L$10/12))</f>
        <v>1.3184230547869582</v>
      </c>
      <c r="M177" s="82">
        <f>IF(I176&lt;iGeneral!F$26,1,M176*(1+M$10/12))</f>
        <v>1.1368711579477564</v>
      </c>
      <c r="N177" s="82">
        <f>IF(I176&lt;iGeneral!F$27,1,N176*(1+N$10/12))</f>
        <v>1</v>
      </c>
      <c r="O177" s="82">
        <f>IFERROR(IF(I176&lt;iGeneral!F$28,1,O176*(1+O$10/12)),1)</f>
        <v>1</v>
      </c>
      <c r="P177" s="82">
        <f>IFERROR(IF(DATA!$I177&lt;iGeneral!F$29,1,P176*(1+P$10/12)),1)</f>
        <v>1</v>
      </c>
      <c r="T177" s="80"/>
      <c r="U177"/>
    </row>
    <row r="178" spans="5:21" ht="16" outlineLevel="1" thickTop="1" thickBot="1">
      <c r="E178" s="74">
        <f t="shared" si="17"/>
        <v>168</v>
      </c>
      <c r="F178" s="75">
        <f t="shared" si="18"/>
        <v>49644</v>
      </c>
      <c r="G178" s="74">
        <f t="shared" si="14"/>
        <v>56</v>
      </c>
      <c r="H178" s="74" t="str">
        <f t="shared" si="15"/>
        <v>Q4-35</v>
      </c>
      <c r="I178" s="74">
        <f t="shared" si="19"/>
        <v>14</v>
      </c>
      <c r="J178" s="74">
        <f t="shared" si="16"/>
        <v>2035</v>
      </c>
      <c r="L178" s="82">
        <f>IF(I179&lt;iGeneral!F$25,1,L177*(1+L$10/12))</f>
        <v>1.3206204265449366</v>
      </c>
      <c r="M178" s="82">
        <f>IF(I177&lt;iGeneral!F$26,1,M177*(1+M$10/12))</f>
        <v>1.1378185505793794</v>
      </c>
      <c r="N178" s="82">
        <f>IF(I177&lt;iGeneral!F$27,1,N177*(1+N$10/12))</f>
        <v>1</v>
      </c>
      <c r="O178" s="82">
        <f>IFERROR(IF(I177&lt;iGeneral!F$28,1,O177*(1+O$10/12)),1)</f>
        <v>1</v>
      </c>
      <c r="P178" s="82">
        <f>IFERROR(IF(DATA!$I178&lt;iGeneral!F$29,1,P177*(1+P$10/12)),1)</f>
        <v>1</v>
      </c>
      <c r="T178" s="80"/>
      <c r="U178"/>
    </row>
    <row r="179" spans="5:21" ht="16" outlineLevel="1" thickTop="1" thickBot="1">
      <c r="E179" s="74">
        <f t="shared" si="17"/>
        <v>169</v>
      </c>
      <c r="F179" s="75">
        <f t="shared" si="18"/>
        <v>49675</v>
      </c>
      <c r="G179" s="74">
        <f t="shared" si="14"/>
        <v>57</v>
      </c>
      <c r="H179" s="74" t="str">
        <f t="shared" si="15"/>
        <v>Q1-36</v>
      </c>
      <c r="I179" s="74">
        <f t="shared" si="19"/>
        <v>15</v>
      </c>
      <c r="J179" s="74">
        <f t="shared" si="16"/>
        <v>2036</v>
      </c>
      <c r="L179" s="82">
        <f>IF(I180&lt;iGeneral!F$25,1,L178*(1+L$10/12))</f>
        <v>1.3228214605891782</v>
      </c>
      <c r="M179" s="82">
        <f>IF(I178&lt;iGeneral!F$26,1,M178*(1+M$10/12))</f>
        <v>1.1387667327048621</v>
      </c>
      <c r="N179" s="82">
        <f>IF(I178&lt;iGeneral!F$27,1,N178*(1+N$10/12))</f>
        <v>1</v>
      </c>
      <c r="O179" s="82">
        <f>IFERROR(IF(I178&lt;iGeneral!F$28,1,O178*(1+O$10/12)),1)</f>
        <v>1</v>
      </c>
      <c r="P179" s="82">
        <f>IFERROR(IF(DATA!$I179&lt;iGeneral!F$29,1,P178*(1+P$10/12)),1)</f>
        <v>1</v>
      </c>
      <c r="T179" s="80"/>
      <c r="U179"/>
    </row>
    <row r="180" spans="5:21" ht="16" outlineLevel="1" thickTop="1" thickBot="1">
      <c r="E180" s="74">
        <f t="shared" si="17"/>
        <v>170</v>
      </c>
      <c r="F180" s="75">
        <f t="shared" si="18"/>
        <v>49706</v>
      </c>
      <c r="G180" s="74">
        <f t="shared" si="14"/>
        <v>57</v>
      </c>
      <c r="H180" s="74" t="str">
        <f t="shared" si="15"/>
        <v>Q1-36</v>
      </c>
      <c r="I180" s="74">
        <f t="shared" si="19"/>
        <v>15</v>
      </c>
      <c r="J180" s="74">
        <f t="shared" si="16"/>
        <v>2036</v>
      </c>
      <c r="L180" s="82">
        <f>IF(I181&lt;iGeneral!F$25,1,L179*(1+L$10/12))</f>
        <v>1.3250261630234934</v>
      </c>
      <c r="M180" s="82">
        <f>IF(I179&lt;iGeneral!F$26,1,M179*(1+M$10/12))</f>
        <v>1.1397157049821161</v>
      </c>
      <c r="N180" s="82">
        <f>IF(I179&lt;iGeneral!F$27,1,N179*(1+N$10/12))</f>
        <v>1</v>
      </c>
      <c r="O180" s="82">
        <f>IFERROR(IF(I179&lt;iGeneral!F$28,1,O179*(1+O$10/12)),1)</f>
        <v>1</v>
      </c>
      <c r="P180" s="82">
        <f>IFERROR(IF(DATA!$I180&lt;iGeneral!F$29,1,P179*(1+P$10/12)),1)</f>
        <v>1</v>
      </c>
      <c r="T180" s="80"/>
      <c r="U180"/>
    </row>
    <row r="181" spans="5:21" ht="16" outlineLevel="1" thickTop="1" thickBot="1">
      <c r="E181" s="74">
        <f t="shared" si="17"/>
        <v>171</v>
      </c>
      <c r="F181" s="75">
        <f t="shared" si="18"/>
        <v>49735</v>
      </c>
      <c r="G181" s="74">
        <f t="shared" si="14"/>
        <v>57</v>
      </c>
      <c r="H181" s="74" t="str">
        <f t="shared" si="15"/>
        <v>Q1-36</v>
      </c>
      <c r="I181" s="74">
        <f t="shared" si="19"/>
        <v>15</v>
      </c>
      <c r="J181" s="74">
        <f t="shared" si="16"/>
        <v>2036</v>
      </c>
      <c r="L181" s="82">
        <f>IF(I182&lt;iGeneral!F$25,1,L180*(1+L$10/12))</f>
        <v>1.3272345399618659</v>
      </c>
      <c r="M181" s="82">
        <f>IF(I180&lt;iGeneral!F$26,1,M180*(1+M$10/12))</f>
        <v>1.1406654680696011</v>
      </c>
      <c r="N181" s="82">
        <f>IF(I180&lt;iGeneral!F$27,1,N180*(1+N$10/12))</f>
        <v>1</v>
      </c>
      <c r="O181" s="82">
        <f>IFERROR(IF(I180&lt;iGeneral!F$28,1,O180*(1+O$10/12)),1)</f>
        <v>1</v>
      </c>
      <c r="P181" s="82">
        <f>IFERROR(IF(DATA!$I181&lt;iGeneral!F$29,1,P180*(1+P$10/12)),1)</f>
        <v>1</v>
      </c>
      <c r="T181" s="80"/>
      <c r="U181"/>
    </row>
    <row r="182" spans="5:21" ht="16" outlineLevel="1" thickTop="1" thickBot="1">
      <c r="E182" s="74">
        <f t="shared" si="17"/>
        <v>172</v>
      </c>
      <c r="F182" s="75">
        <f t="shared" si="18"/>
        <v>49766</v>
      </c>
      <c r="G182" s="74">
        <f t="shared" si="14"/>
        <v>58</v>
      </c>
      <c r="H182" s="74" t="str">
        <f t="shared" si="15"/>
        <v>Q2-36</v>
      </c>
      <c r="I182" s="74">
        <f t="shared" si="19"/>
        <v>15</v>
      </c>
      <c r="J182" s="74">
        <f t="shared" si="16"/>
        <v>2036</v>
      </c>
      <c r="L182" s="82">
        <f>IF(I183&lt;iGeneral!F$25,1,L181*(1+L$10/12))</f>
        <v>1.3294465975284691</v>
      </c>
      <c r="M182" s="82">
        <f>IF(I181&lt;iGeneral!F$26,1,M181*(1+M$10/12))</f>
        <v>1.1416160226263257</v>
      </c>
      <c r="N182" s="82">
        <f>IF(I181&lt;iGeneral!F$27,1,N181*(1+N$10/12))</f>
        <v>1</v>
      </c>
      <c r="O182" s="82">
        <f>IFERROR(IF(I181&lt;iGeneral!F$28,1,O181*(1+O$10/12)),1)</f>
        <v>1</v>
      </c>
      <c r="P182" s="82">
        <f>IFERROR(IF(DATA!$I182&lt;iGeneral!F$29,1,P181*(1+P$10/12)),1)</f>
        <v>1</v>
      </c>
      <c r="T182" s="80"/>
      <c r="U182"/>
    </row>
    <row r="183" spans="5:21" ht="16" outlineLevel="1" thickTop="1" thickBot="1">
      <c r="E183" s="74">
        <f t="shared" si="17"/>
        <v>173</v>
      </c>
      <c r="F183" s="75">
        <f t="shared" si="18"/>
        <v>49796</v>
      </c>
      <c r="G183" s="74">
        <f t="shared" si="14"/>
        <v>58</v>
      </c>
      <c r="H183" s="74" t="str">
        <f t="shared" si="15"/>
        <v>Q2-36</v>
      </c>
      <c r="I183" s="74">
        <f t="shared" si="19"/>
        <v>15</v>
      </c>
      <c r="J183" s="74">
        <f t="shared" si="16"/>
        <v>2036</v>
      </c>
      <c r="L183" s="82">
        <f>IF(I184&lt;iGeneral!F$25,1,L182*(1+L$10/12))</f>
        <v>1.3316623418576832</v>
      </c>
      <c r="M183" s="82">
        <f>IF(I182&lt;iGeneral!F$26,1,M182*(1+M$10/12))</f>
        <v>1.1425673693118474</v>
      </c>
      <c r="N183" s="82">
        <f>IF(I182&lt;iGeneral!F$27,1,N182*(1+N$10/12))</f>
        <v>1</v>
      </c>
      <c r="O183" s="82">
        <f>IFERROR(IF(I182&lt;iGeneral!F$28,1,O182*(1+O$10/12)),1)</f>
        <v>1</v>
      </c>
      <c r="P183" s="82">
        <f>IFERROR(IF(DATA!$I183&lt;iGeneral!F$29,1,P182*(1+P$10/12)),1)</f>
        <v>1</v>
      </c>
      <c r="T183" s="80"/>
      <c r="U183"/>
    </row>
    <row r="184" spans="5:21" ht="16" outlineLevel="1" thickTop="1" thickBot="1">
      <c r="E184" s="74">
        <f t="shared" si="17"/>
        <v>174</v>
      </c>
      <c r="F184" s="75">
        <f t="shared" si="18"/>
        <v>49827</v>
      </c>
      <c r="G184" s="74">
        <f t="shared" si="14"/>
        <v>58</v>
      </c>
      <c r="H184" s="74" t="str">
        <f t="shared" si="15"/>
        <v>Q2-36</v>
      </c>
      <c r="I184" s="74">
        <f t="shared" si="19"/>
        <v>15</v>
      </c>
      <c r="J184" s="74">
        <f t="shared" si="16"/>
        <v>2036</v>
      </c>
      <c r="L184" s="82">
        <f>IF(I185&lt;iGeneral!F$25,1,L183*(1+L$10/12))</f>
        <v>1.3338817790941127</v>
      </c>
      <c r="M184" s="82">
        <f>IF(I183&lt;iGeneral!F$26,1,M183*(1+M$10/12))</f>
        <v>1.143519508786274</v>
      </c>
      <c r="N184" s="82">
        <f>IF(I183&lt;iGeneral!F$27,1,N183*(1+N$10/12))</f>
        <v>1</v>
      </c>
      <c r="O184" s="82">
        <f>IFERROR(IF(I183&lt;iGeneral!F$28,1,O183*(1+O$10/12)),1)</f>
        <v>1</v>
      </c>
      <c r="P184" s="82">
        <f>IFERROR(IF(DATA!$I184&lt;iGeneral!F$29,1,P183*(1+P$10/12)),1)</f>
        <v>1</v>
      </c>
      <c r="T184" s="80"/>
      <c r="U184"/>
    </row>
    <row r="185" spans="5:21" ht="16" outlineLevel="1" thickTop="1" thickBot="1">
      <c r="E185" s="74">
        <f t="shared" si="17"/>
        <v>175</v>
      </c>
      <c r="F185" s="75">
        <f t="shared" si="18"/>
        <v>49857</v>
      </c>
      <c r="G185" s="74">
        <f t="shared" si="14"/>
        <v>59</v>
      </c>
      <c r="H185" s="74" t="str">
        <f t="shared" si="15"/>
        <v>Q2-36</v>
      </c>
      <c r="I185" s="74">
        <f t="shared" si="19"/>
        <v>15</v>
      </c>
      <c r="J185" s="74">
        <f t="shared" si="16"/>
        <v>2036</v>
      </c>
      <c r="L185" s="82">
        <f>IF(I186&lt;iGeneral!F$25,1,L184*(1+L$10/12))</f>
        <v>1.3361049153926028</v>
      </c>
      <c r="M185" s="82">
        <f>IF(I184&lt;iGeneral!F$26,1,M184*(1+M$10/12))</f>
        <v>1.1444724417102623</v>
      </c>
      <c r="N185" s="82">
        <f>IF(I184&lt;iGeneral!F$27,1,N184*(1+N$10/12))</f>
        <v>1</v>
      </c>
      <c r="O185" s="82">
        <f>IFERROR(IF(I184&lt;iGeneral!F$28,1,O184*(1+O$10/12)),1)</f>
        <v>1</v>
      </c>
      <c r="P185" s="82">
        <f>IFERROR(IF(DATA!$I185&lt;iGeneral!F$29,1,P184*(1+P$10/12)),1)</f>
        <v>1</v>
      </c>
      <c r="T185" s="80"/>
      <c r="U185"/>
    </row>
    <row r="186" spans="5:21" ht="16" outlineLevel="1" thickTop="1" thickBot="1">
      <c r="E186" s="74">
        <f t="shared" si="17"/>
        <v>176</v>
      </c>
      <c r="F186" s="75">
        <f t="shared" si="18"/>
        <v>49888</v>
      </c>
      <c r="G186" s="74">
        <f t="shared" si="14"/>
        <v>59</v>
      </c>
      <c r="H186" s="74" t="str">
        <f t="shared" si="15"/>
        <v>Q3-36</v>
      </c>
      <c r="I186" s="74">
        <f t="shared" si="19"/>
        <v>15</v>
      </c>
      <c r="J186" s="74">
        <f t="shared" si="16"/>
        <v>2036</v>
      </c>
      <c r="L186" s="82">
        <f>IF(I187&lt;iGeneral!F$25,1,L185*(1+L$10/12))</f>
        <v>1.3383317569182571</v>
      </c>
      <c r="M186" s="82">
        <f>IF(I185&lt;iGeneral!F$26,1,M185*(1+M$10/12))</f>
        <v>1.1454261687450207</v>
      </c>
      <c r="N186" s="82">
        <f>IF(I185&lt;iGeneral!F$27,1,N185*(1+N$10/12))</f>
        <v>1</v>
      </c>
      <c r="O186" s="82">
        <f>IFERROR(IF(I185&lt;iGeneral!F$28,1,O185*(1+O$10/12)),1)</f>
        <v>1</v>
      </c>
      <c r="P186" s="82">
        <f>IFERROR(IF(DATA!$I186&lt;iGeneral!F$29,1,P185*(1+P$10/12)),1)</f>
        <v>1</v>
      </c>
      <c r="T186" s="80"/>
      <c r="U186"/>
    </row>
    <row r="187" spans="5:21" ht="16" outlineLevel="1" thickTop="1" thickBot="1">
      <c r="E187" s="74">
        <f t="shared" si="17"/>
        <v>177</v>
      </c>
      <c r="F187" s="75">
        <f t="shared" si="18"/>
        <v>49919</v>
      </c>
      <c r="G187" s="74">
        <f t="shared" si="14"/>
        <v>59</v>
      </c>
      <c r="H187" s="74" t="str">
        <f t="shared" si="15"/>
        <v>Q3-36</v>
      </c>
      <c r="I187" s="74">
        <f t="shared" si="19"/>
        <v>15</v>
      </c>
      <c r="J187" s="74">
        <f t="shared" si="16"/>
        <v>2036</v>
      </c>
      <c r="L187" s="82">
        <f>IF(I188&lt;iGeneral!F$25,1,L186*(1+L$10/12))</f>
        <v>1.3405623098464543</v>
      </c>
      <c r="M187" s="82">
        <f>IF(I186&lt;iGeneral!F$26,1,M186*(1+M$10/12))</f>
        <v>1.1463806905523082</v>
      </c>
      <c r="N187" s="82">
        <f>IF(I186&lt;iGeneral!F$27,1,N186*(1+N$10/12))</f>
        <v>1</v>
      </c>
      <c r="O187" s="82">
        <f>IFERROR(IF(I186&lt;iGeneral!F$28,1,O186*(1+O$10/12)),1)</f>
        <v>1</v>
      </c>
      <c r="P187" s="82">
        <f>IFERROR(IF(DATA!$I187&lt;iGeneral!F$29,1,P186*(1+P$10/12)),1)</f>
        <v>1</v>
      </c>
      <c r="T187" s="80"/>
      <c r="U187"/>
    </row>
    <row r="188" spans="5:21" ht="16" outlineLevel="1" thickTop="1" thickBot="1">
      <c r="E188" s="74">
        <f t="shared" si="17"/>
        <v>178</v>
      </c>
      <c r="F188" s="75">
        <f t="shared" si="18"/>
        <v>49949</v>
      </c>
      <c r="G188" s="74">
        <f t="shared" si="14"/>
        <v>60</v>
      </c>
      <c r="H188" s="74" t="str">
        <f t="shared" si="15"/>
        <v>Q3-36</v>
      </c>
      <c r="I188" s="74">
        <f t="shared" si="19"/>
        <v>15</v>
      </c>
      <c r="J188" s="74">
        <f t="shared" si="16"/>
        <v>2036</v>
      </c>
      <c r="L188" s="82">
        <f>IF(I189&lt;iGeneral!F$25,1,L187*(1+L$10/12))</f>
        <v>1.3427965803628652</v>
      </c>
      <c r="M188" s="82">
        <f>IF(I187&lt;iGeneral!F$26,1,M187*(1+M$10/12))</f>
        <v>1.147336007794435</v>
      </c>
      <c r="N188" s="82">
        <f>IF(I187&lt;iGeneral!F$27,1,N187*(1+N$10/12))</f>
        <v>1</v>
      </c>
      <c r="O188" s="82">
        <f>IFERROR(IF(I187&lt;iGeneral!F$28,1,O187*(1+O$10/12)),1)</f>
        <v>1</v>
      </c>
      <c r="P188" s="82">
        <f>IFERROR(IF(DATA!$I188&lt;iGeneral!F$29,1,P187*(1+P$10/12)),1)</f>
        <v>1</v>
      </c>
      <c r="T188" s="80"/>
      <c r="U188"/>
    </row>
    <row r="189" spans="5:21" ht="16" outlineLevel="1" thickTop="1" thickBot="1">
      <c r="E189" s="74">
        <f t="shared" si="17"/>
        <v>179</v>
      </c>
      <c r="F189" s="75">
        <f t="shared" si="18"/>
        <v>49980</v>
      </c>
      <c r="G189" s="74">
        <f t="shared" si="14"/>
        <v>60</v>
      </c>
      <c r="H189" s="74" t="str">
        <f t="shared" si="15"/>
        <v>Q3-36</v>
      </c>
      <c r="I189" s="74">
        <f t="shared" si="19"/>
        <v>15</v>
      </c>
      <c r="J189" s="74">
        <f t="shared" si="16"/>
        <v>2036</v>
      </c>
      <c r="L189" s="82">
        <f>IF(I190&lt;iGeneral!F$25,1,L188*(1+L$10/12))</f>
        <v>1.34503457466347</v>
      </c>
      <c r="M189" s="82">
        <f>IF(I188&lt;iGeneral!F$26,1,M188*(1+M$10/12))</f>
        <v>1.1482921211342636</v>
      </c>
      <c r="N189" s="82">
        <f>IF(I188&lt;iGeneral!F$27,1,N188*(1+N$10/12))</f>
        <v>1</v>
      </c>
      <c r="O189" s="82">
        <f>IFERROR(IF(I188&lt;iGeneral!F$28,1,O188*(1+O$10/12)),1)</f>
        <v>1</v>
      </c>
      <c r="P189" s="82">
        <f>IFERROR(IF(DATA!$I189&lt;iGeneral!F$29,1,P188*(1+P$10/12)),1)</f>
        <v>1</v>
      </c>
      <c r="T189" s="80"/>
      <c r="U189"/>
    </row>
    <row r="190" spans="5:21" ht="16" outlineLevel="1" thickTop="1" thickBot="1">
      <c r="E190" s="74">
        <f t="shared" si="17"/>
        <v>180</v>
      </c>
      <c r="F190" s="75">
        <f t="shared" si="18"/>
        <v>50010</v>
      </c>
      <c r="G190" s="74">
        <f t="shared" si="14"/>
        <v>60</v>
      </c>
      <c r="H190" s="74" t="str">
        <f t="shared" si="15"/>
        <v>Q4-36</v>
      </c>
      <c r="I190" s="74">
        <f t="shared" si="19"/>
        <v>15</v>
      </c>
      <c r="J190" s="74">
        <f t="shared" si="16"/>
        <v>2036</v>
      </c>
      <c r="L190" s="82">
        <f>IF(I191&lt;iGeneral!F$25,1,L189*(1+L$10/12))</f>
        <v>1.3472762989545759</v>
      </c>
      <c r="M190" s="82">
        <f>IF(I189&lt;iGeneral!F$26,1,M189*(1+M$10/12))</f>
        <v>1.1492490312352086</v>
      </c>
      <c r="N190" s="82">
        <f>IF(I189&lt;iGeneral!F$27,1,N189*(1+N$10/12))</f>
        <v>1</v>
      </c>
      <c r="O190" s="82">
        <f>IFERROR(IF(I189&lt;iGeneral!F$28,1,O189*(1+O$10/12)),1)</f>
        <v>1</v>
      </c>
      <c r="P190" s="82">
        <f>IFERROR(IF(DATA!$I190&lt;iGeneral!F$29,1,P189*(1+P$10/12)),1)</f>
        <v>1</v>
      </c>
      <c r="T190" s="80"/>
      <c r="U190"/>
    </row>
    <row r="191" spans="5:21" ht="16" outlineLevel="1" thickTop="1" thickBot="1">
      <c r="E191" s="74">
        <f t="shared" si="17"/>
        <v>181</v>
      </c>
      <c r="F191" s="75">
        <f t="shared" si="18"/>
        <v>50041</v>
      </c>
      <c r="G191" s="74">
        <f t="shared" si="14"/>
        <v>61</v>
      </c>
      <c r="H191" s="74" t="str">
        <f t="shared" si="15"/>
        <v>Q1-37</v>
      </c>
      <c r="I191" s="74">
        <f t="shared" si="19"/>
        <v>16</v>
      </c>
      <c r="J191" s="74">
        <f t="shared" si="16"/>
        <v>2037</v>
      </c>
      <c r="L191" s="82">
        <f>IF(I192&lt;iGeneral!F$25,1,L190*(1+L$10/12))</f>
        <v>1.3495217594528335</v>
      </c>
      <c r="M191" s="82">
        <f>IF(I190&lt;iGeneral!F$26,1,M190*(1+M$10/12))</f>
        <v>1.1502067387612378</v>
      </c>
      <c r="N191" s="82">
        <f>IF(I190&lt;iGeneral!F$27,1,N190*(1+N$10/12))</f>
        <v>1</v>
      </c>
      <c r="O191" s="82">
        <f>IFERROR(IF(I190&lt;iGeneral!F$28,1,O190*(1+O$10/12)),1)</f>
        <v>1</v>
      </c>
      <c r="P191" s="82">
        <f>IFERROR(IF(DATA!$I191&lt;iGeneral!F$29,1,P190*(1+P$10/12)),1)</f>
        <v>1</v>
      </c>
      <c r="T191" s="80"/>
      <c r="U191"/>
    </row>
    <row r="192" spans="5:21" ht="16" outlineLevel="1" thickTop="1" thickBot="1">
      <c r="E192" s="74">
        <f t="shared" si="17"/>
        <v>182</v>
      </c>
      <c r="F192" s="75">
        <f t="shared" si="18"/>
        <v>50072</v>
      </c>
      <c r="G192" s="74">
        <f t="shared" si="14"/>
        <v>61</v>
      </c>
      <c r="H192" s="74" t="str">
        <f t="shared" si="15"/>
        <v>Q1-37</v>
      </c>
      <c r="I192" s="74">
        <f t="shared" si="19"/>
        <v>16</v>
      </c>
      <c r="J192" s="74">
        <f t="shared" si="16"/>
        <v>2037</v>
      </c>
      <c r="L192" s="82">
        <f>IF(I193&lt;iGeneral!F$25,1,L191*(1+L$10/12))</f>
        <v>1.351770962385255</v>
      </c>
      <c r="M192" s="82">
        <f>IF(I191&lt;iGeneral!F$26,1,M191*(1+M$10/12))</f>
        <v>1.1511652443768721</v>
      </c>
      <c r="N192" s="82">
        <f>IF(I191&lt;iGeneral!F$27,1,N191*(1+N$10/12))</f>
        <v>1</v>
      </c>
      <c r="O192" s="82">
        <f>IFERROR(IF(I191&lt;iGeneral!F$28,1,O191*(1+O$10/12)),1)</f>
        <v>1</v>
      </c>
      <c r="P192" s="82">
        <f>IFERROR(IF(DATA!$I192&lt;iGeneral!F$29,1,P191*(1+P$10/12)),1)</f>
        <v>1</v>
      </c>
      <c r="T192" s="80"/>
      <c r="U192"/>
    </row>
    <row r="193" spans="5:21" ht="16" outlineLevel="1" thickTop="1" thickBot="1">
      <c r="E193" s="74">
        <f t="shared" si="17"/>
        <v>183</v>
      </c>
      <c r="F193" s="75">
        <f t="shared" si="18"/>
        <v>50100</v>
      </c>
      <c r="G193" s="74">
        <f t="shared" si="14"/>
        <v>61</v>
      </c>
      <c r="H193" s="74" t="str">
        <f t="shared" si="15"/>
        <v>Q1-37</v>
      </c>
      <c r="I193" s="74">
        <f t="shared" si="19"/>
        <v>16</v>
      </c>
      <c r="J193" s="74">
        <f t="shared" si="16"/>
        <v>2037</v>
      </c>
      <c r="L193" s="82">
        <f>IF(I194&lt;iGeneral!F$25,1,L192*(1+L$10/12))</f>
        <v>1.3540239139892305</v>
      </c>
      <c r="M193" s="82">
        <f>IF(I192&lt;iGeneral!F$26,1,M192*(1+M$10/12))</f>
        <v>1.1521245487471861</v>
      </c>
      <c r="N193" s="82">
        <f>IF(I192&lt;iGeneral!F$27,1,N192*(1+N$10/12))</f>
        <v>1</v>
      </c>
      <c r="O193" s="82">
        <f>IFERROR(IF(I192&lt;iGeneral!F$28,1,O192*(1+O$10/12)),1)</f>
        <v>1</v>
      </c>
      <c r="P193" s="82">
        <f>IFERROR(IF(DATA!$I193&lt;iGeneral!F$29,1,P192*(1+P$10/12)),1)</f>
        <v>1</v>
      </c>
      <c r="T193" s="80"/>
      <c r="U193"/>
    </row>
    <row r="194" spans="5:21" ht="16" outlineLevel="1" thickTop="1" thickBot="1">
      <c r="E194" s="74">
        <f t="shared" si="17"/>
        <v>184</v>
      </c>
      <c r="F194" s="75">
        <f t="shared" si="18"/>
        <v>50131</v>
      </c>
      <c r="G194" s="74">
        <f t="shared" si="14"/>
        <v>62</v>
      </c>
      <c r="H194" s="74" t="str">
        <f t="shared" si="15"/>
        <v>Q2-37</v>
      </c>
      <c r="I194" s="74">
        <f t="shared" si="19"/>
        <v>16</v>
      </c>
      <c r="J194" s="74">
        <f t="shared" si="16"/>
        <v>2037</v>
      </c>
      <c r="L194" s="82">
        <f>IF(I195&lt;iGeneral!F$25,1,L193*(1+L$10/12))</f>
        <v>1.3562806205125459</v>
      </c>
      <c r="M194" s="82">
        <f>IF(I193&lt;iGeneral!F$26,1,M193*(1+M$10/12))</f>
        <v>1.1530846525378087</v>
      </c>
      <c r="N194" s="82">
        <f>IF(I193&lt;iGeneral!F$27,1,N193*(1+N$10/12))</f>
        <v>1</v>
      </c>
      <c r="O194" s="82">
        <f>IFERROR(IF(I193&lt;iGeneral!F$28,1,O193*(1+O$10/12)),1)</f>
        <v>1</v>
      </c>
      <c r="P194" s="82">
        <f>IFERROR(IF(DATA!$I194&lt;iGeneral!F$29,1,P193*(1+P$10/12)),1)</f>
        <v>1</v>
      </c>
      <c r="T194" s="80"/>
      <c r="U194"/>
    </row>
    <row r="195" spans="5:21" ht="16" outlineLevel="1" thickTop="1" thickBot="1">
      <c r="E195" s="74">
        <f t="shared" si="17"/>
        <v>185</v>
      </c>
      <c r="F195" s="75">
        <f t="shared" si="18"/>
        <v>50161</v>
      </c>
      <c r="G195" s="74">
        <f t="shared" si="14"/>
        <v>62</v>
      </c>
      <c r="H195" s="74" t="str">
        <f t="shared" si="15"/>
        <v>Q2-37</v>
      </c>
      <c r="I195" s="74">
        <f t="shared" si="19"/>
        <v>16</v>
      </c>
      <c r="J195" s="74">
        <f t="shared" si="16"/>
        <v>2037</v>
      </c>
      <c r="L195" s="82">
        <f>IF(I196&lt;iGeneral!F$25,1,L194*(1+L$10/12))</f>
        <v>1.3585410882134001</v>
      </c>
      <c r="M195" s="82">
        <f>IF(I194&lt;iGeneral!F$26,1,M194*(1+M$10/12))</f>
        <v>1.1540455564149235</v>
      </c>
      <c r="N195" s="82">
        <f>IF(I194&lt;iGeneral!F$27,1,N194*(1+N$10/12))</f>
        <v>1</v>
      </c>
      <c r="O195" s="82">
        <f>IFERROR(IF(I194&lt;iGeneral!F$28,1,O194*(1+O$10/12)),1)</f>
        <v>1</v>
      </c>
      <c r="P195" s="82">
        <f>IFERROR(IF(DATA!$I195&lt;iGeneral!F$29,1,P194*(1+P$10/12)),1)</f>
        <v>1</v>
      </c>
      <c r="T195" s="80"/>
      <c r="U195"/>
    </row>
    <row r="196" spans="5:21" ht="16" outlineLevel="1" thickTop="1" thickBot="1">
      <c r="E196" s="74">
        <f t="shared" si="17"/>
        <v>186</v>
      </c>
      <c r="F196" s="75">
        <f t="shared" si="18"/>
        <v>50192</v>
      </c>
      <c r="G196" s="74">
        <f t="shared" si="14"/>
        <v>62</v>
      </c>
      <c r="H196" s="74" t="str">
        <f t="shared" si="15"/>
        <v>Q2-37</v>
      </c>
      <c r="I196" s="74">
        <f t="shared" si="19"/>
        <v>16</v>
      </c>
      <c r="J196" s="74">
        <f t="shared" si="16"/>
        <v>2037</v>
      </c>
      <c r="L196" s="82">
        <f>IF(I197&lt;iGeneral!F$25,1,L195*(1+L$10/12))</f>
        <v>1.3608053233604225</v>
      </c>
      <c r="M196" s="82">
        <f>IF(I195&lt;iGeneral!F$26,1,M195*(1+M$10/12))</f>
        <v>1.1550072610452691</v>
      </c>
      <c r="N196" s="82">
        <f>IF(I195&lt;iGeneral!F$27,1,N195*(1+N$10/12))</f>
        <v>1</v>
      </c>
      <c r="O196" s="82">
        <f>IFERROR(IF(I195&lt;iGeneral!F$28,1,O195*(1+O$10/12)),1)</f>
        <v>1</v>
      </c>
      <c r="P196" s="82">
        <f>IFERROR(IF(DATA!$I196&lt;iGeneral!F$29,1,P195*(1+P$10/12)),1)</f>
        <v>1</v>
      </c>
      <c r="T196" s="80"/>
      <c r="U196"/>
    </row>
    <row r="197" spans="5:21" ht="16" outlineLevel="1" thickTop="1" thickBot="1">
      <c r="E197" s="74">
        <f t="shared" si="17"/>
        <v>187</v>
      </c>
      <c r="F197" s="75">
        <f t="shared" si="18"/>
        <v>50222</v>
      </c>
      <c r="G197" s="74">
        <f t="shared" si="14"/>
        <v>63</v>
      </c>
      <c r="H197" s="74" t="str">
        <f t="shared" si="15"/>
        <v>Q2-37</v>
      </c>
      <c r="I197" s="74">
        <f t="shared" si="19"/>
        <v>16</v>
      </c>
      <c r="J197" s="74">
        <f t="shared" si="16"/>
        <v>2037</v>
      </c>
      <c r="L197" s="82">
        <f>IF(I198&lt;iGeneral!F$25,1,L196*(1+L$10/12))</f>
        <v>1.36307333223269</v>
      </c>
      <c r="M197" s="82">
        <f>IF(I196&lt;iGeneral!F$26,1,M196*(1+M$10/12))</f>
        <v>1.15596976709614</v>
      </c>
      <c r="N197" s="82">
        <f>IF(I196&lt;iGeneral!F$27,1,N196*(1+N$10/12))</f>
        <v>1</v>
      </c>
      <c r="O197" s="82">
        <f>IFERROR(IF(I196&lt;iGeneral!F$28,1,O196*(1+O$10/12)),1)</f>
        <v>1</v>
      </c>
      <c r="P197" s="82">
        <f>IFERROR(IF(DATA!$I197&lt;iGeneral!F$29,1,P196*(1+P$10/12)),1)</f>
        <v>1</v>
      </c>
      <c r="T197" s="80"/>
      <c r="U197"/>
    </row>
    <row r="198" spans="5:21" ht="16" outlineLevel="1" thickTop="1" thickBot="1">
      <c r="E198" s="74">
        <f t="shared" si="17"/>
        <v>188</v>
      </c>
      <c r="F198" s="75">
        <f t="shared" si="18"/>
        <v>50253</v>
      </c>
      <c r="G198" s="74">
        <f t="shared" si="14"/>
        <v>63</v>
      </c>
      <c r="H198" s="74" t="str">
        <f t="shared" si="15"/>
        <v>Q3-37</v>
      </c>
      <c r="I198" s="74">
        <f t="shared" si="19"/>
        <v>16</v>
      </c>
      <c r="J198" s="74">
        <f t="shared" si="16"/>
        <v>2037</v>
      </c>
      <c r="L198" s="82">
        <f>IF(I199&lt;iGeneral!F$25,1,L197*(1+L$10/12))</f>
        <v>1.3653451211197445</v>
      </c>
      <c r="M198" s="82">
        <f>IF(I197&lt;iGeneral!F$26,1,M197*(1+M$10/12))</f>
        <v>1.1569330752353866</v>
      </c>
      <c r="N198" s="82">
        <f>IF(I197&lt;iGeneral!F$27,1,N197*(1+N$10/12))</f>
        <v>1</v>
      </c>
      <c r="O198" s="82">
        <f>IFERROR(IF(I197&lt;iGeneral!F$28,1,O197*(1+O$10/12)),1)</f>
        <v>1</v>
      </c>
      <c r="P198" s="82">
        <f>IFERROR(IF(DATA!$I198&lt;iGeneral!F$29,1,P197*(1+P$10/12)),1)</f>
        <v>1</v>
      </c>
      <c r="T198" s="80"/>
      <c r="U198"/>
    </row>
    <row r="199" spans="5:21" ht="16" outlineLevel="1" thickTop="1" thickBot="1">
      <c r="E199" s="74">
        <f t="shared" si="17"/>
        <v>189</v>
      </c>
      <c r="F199" s="75">
        <f t="shared" si="18"/>
        <v>50284</v>
      </c>
      <c r="G199" s="74">
        <f t="shared" si="14"/>
        <v>63</v>
      </c>
      <c r="H199" s="74" t="str">
        <f t="shared" si="15"/>
        <v>Q3-37</v>
      </c>
      <c r="I199" s="74">
        <f t="shared" si="19"/>
        <v>16</v>
      </c>
      <c r="J199" s="74">
        <f t="shared" si="16"/>
        <v>2037</v>
      </c>
      <c r="L199" s="82">
        <f>IF(I200&lt;iGeneral!F$25,1,L198*(1+L$10/12))</f>
        <v>1.3676206963216109</v>
      </c>
      <c r="M199" s="82">
        <f>IF(I198&lt;iGeneral!F$26,1,M198*(1+M$10/12))</f>
        <v>1.157897186131416</v>
      </c>
      <c r="N199" s="82">
        <f>IF(I198&lt;iGeneral!F$27,1,N198*(1+N$10/12))</f>
        <v>1</v>
      </c>
      <c r="O199" s="82">
        <f>IFERROR(IF(I198&lt;iGeneral!F$28,1,O198*(1+O$10/12)),1)</f>
        <v>1</v>
      </c>
      <c r="P199" s="82">
        <f>IFERROR(IF(DATA!$I199&lt;iGeneral!F$29,1,P198*(1+P$10/12)),1)</f>
        <v>1</v>
      </c>
      <c r="T199" s="80"/>
      <c r="U199"/>
    </row>
    <row r="200" spans="5:21" ht="16" outlineLevel="1" thickTop="1" thickBot="1">
      <c r="E200" s="74">
        <f t="shared" si="17"/>
        <v>190</v>
      </c>
      <c r="F200" s="75">
        <f t="shared" si="18"/>
        <v>50314</v>
      </c>
      <c r="G200" s="74">
        <f t="shared" si="14"/>
        <v>64</v>
      </c>
      <c r="H200" s="74" t="str">
        <f t="shared" si="15"/>
        <v>Q3-37</v>
      </c>
      <c r="I200" s="74">
        <f t="shared" si="19"/>
        <v>16</v>
      </c>
      <c r="J200" s="74">
        <f t="shared" si="16"/>
        <v>2037</v>
      </c>
      <c r="L200" s="82">
        <f>IF(I201&lt;iGeneral!F$25,1,L199*(1+L$10/12))</f>
        <v>1.3699000641488137</v>
      </c>
      <c r="M200" s="82">
        <f>IF(I199&lt;iGeneral!F$26,1,M199*(1+M$10/12))</f>
        <v>1.158862100453192</v>
      </c>
      <c r="N200" s="82">
        <f>IF(I199&lt;iGeneral!F$27,1,N199*(1+N$10/12))</f>
        <v>1</v>
      </c>
      <c r="O200" s="82">
        <f>IFERROR(IF(I199&lt;iGeneral!F$28,1,O199*(1+O$10/12)),1)</f>
        <v>1</v>
      </c>
      <c r="P200" s="82">
        <f>IFERROR(IF(DATA!$I200&lt;iGeneral!F$29,1,P199*(1+P$10/12)),1)</f>
        <v>1</v>
      </c>
      <c r="T200" s="80"/>
      <c r="U200"/>
    </row>
    <row r="201" spans="5:21" ht="16" outlineLevel="1" thickTop="1" thickBot="1">
      <c r="E201" s="74">
        <f t="shared" si="17"/>
        <v>191</v>
      </c>
      <c r="F201" s="75">
        <f t="shared" si="18"/>
        <v>50345</v>
      </c>
      <c r="G201" s="74">
        <f t="shared" si="14"/>
        <v>64</v>
      </c>
      <c r="H201" s="74" t="str">
        <f t="shared" si="15"/>
        <v>Q3-37</v>
      </c>
      <c r="I201" s="74">
        <f t="shared" si="19"/>
        <v>16</v>
      </c>
      <c r="J201" s="74">
        <f t="shared" si="16"/>
        <v>2037</v>
      </c>
      <c r="L201" s="82">
        <f>IF(I202&lt;iGeneral!F$25,1,L200*(1+L$10/12))</f>
        <v>1.3721832309223951</v>
      </c>
      <c r="M201" s="82">
        <f>IF(I200&lt;iGeneral!F$26,1,M200*(1+M$10/12))</f>
        <v>1.1598278188702362</v>
      </c>
      <c r="N201" s="82">
        <f>IF(I200&lt;iGeneral!F$27,1,N200*(1+N$10/12))</f>
        <v>1</v>
      </c>
      <c r="O201" s="82">
        <f>IFERROR(IF(I200&lt;iGeneral!F$28,1,O200*(1+O$10/12)),1)</f>
        <v>1</v>
      </c>
      <c r="P201" s="82">
        <f>IFERROR(IF(DATA!$I201&lt;iGeneral!F$29,1,P200*(1+P$10/12)),1)</f>
        <v>1</v>
      </c>
      <c r="T201" s="80"/>
      <c r="U201"/>
    </row>
    <row r="202" spans="5:21" ht="16" outlineLevel="1" thickTop="1" thickBot="1">
      <c r="E202" s="74">
        <f t="shared" si="17"/>
        <v>192</v>
      </c>
      <c r="F202" s="75">
        <f t="shared" si="18"/>
        <v>50375</v>
      </c>
      <c r="G202" s="74">
        <f t="shared" si="14"/>
        <v>64</v>
      </c>
      <c r="H202" s="74" t="str">
        <f t="shared" si="15"/>
        <v>Q4-37</v>
      </c>
      <c r="I202" s="74">
        <f t="shared" si="19"/>
        <v>16</v>
      </c>
      <c r="J202" s="74">
        <f t="shared" si="16"/>
        <v>2037</v>
      </c>
      <c r="L202" s="82">
        <f>IF(I203&lt;iGeneral!F$25,1,L201*(1+L$10/12))</f>
        <v>1.3744702029739324</v>
      </c>
      <c r="M202" s="82">
        <f>IF(I201&lt;iGeneral!F$26,1,M201*(1+M$10/12))</f>
        <v>1.1607943420526279</v>
      </c>
      <c r="N202" s="82">
        <f>IF(I201&lt;iGeneral!F$27,1,N201*(1+N$10/12))</f>
        <v>1</v>
      </c>
      <c r="O202" s="82">
        <f>IFERROR(IF(I201&lt;iGeneral!F$28,1,O201*(1+O$10/12)),1)</f>
        <v>1</v>
      </c>
      <c r="P202" s="82">
        <f>IFERROR(IF(DATA!$I202&lt;iGeneral!F$29,1,P201*(1+P$10/12)),1)</f>
        <v>1</v>
      </c>
      <c r="T202" s="80"/>
      <c r="U202"/>
    </row>
    <row r="203" spans="5:21" ht="16" outlineLevel="1" thickTop="1" thickBot="1">
      <c r="E203" s="74">
        <f t="shared" si="17"/>
        <v>193</v>
      </c>
      <c r="F203" s="75">
        <f t="shared" si="18"/>
        <v>50406</v>
      </c>
      <c r="G203" s="74">
        <f t="shared" ref="G203:G266" si="20">INT(INT(E203+2)/3)</f>
        <v>65</v>
      </c>
      <c r="H203" s="74" t="str">
        <f t="shared" ref="H203:H266" si="21">"Q"&amp;INT((MONTH(F203)/4)+1)&amp;"-"&amp;RIGHT(YEAR(F203),2)</f>
        <v>Q1-38</v>
      </c>
      <c r="I203" s="74">
        <f t="shared" si="19"/>
        <v>17</v>
      </c>
      <c r="J203" s="74">
        <f t="shared" ref="J203:J266" si="22">YEAR(F203)</f>
        <v>2038</v>
      </c>
      <c r="L203" s="82">
        <f>IF(I204&lt;iGeneral!F$25,1,L202*(1+L$10/12))</f>
        <v>1.3767609866455557</v>
      </c>
      <c r="M203" s="82">
        <f>IF(I202&lt;iGeneral!F$26,1,M202*(1+M$10/12))</f>
        <v>1.161761670671005</v>
      </c>
      <c r="N203" s="82">
        <f>IF(I202&lt;iGeneral!F$27,1,N202*(1+N$10/12))</f>
        <v>1</v>
      </c>
      <c r="O203" s="82">
        <f>IFERROR(IF(I202&lt;iGeneral!F$28,1,O202*(1+O$10/12)),1)</f>
        <v>1</v>
      </c>
      <c r="P203" s="82">
        <f>IFERROR(IF(DATA!$I203&lt;iGeneral!F$29,1,P202*(1+P$10/12)),1)</f>
        <v>1</v>
      </c>
      <c r="T203" s="80"/>
      <c r="U203"/>
    </row>
    <row r="204" spans="5:21" ht="16" outlineLevel="1" thickTop="1" thickBot="1">
      <c r="E204" s="74">
        <f t="shared" ref="E204:E267" si="23">E203+1</f>
        <v>194</v>
      </c>
      <c r="F204" s="75">
        <f t="shared" ref="F204:F267" si="24">EOMONTH(F203,0)+1</f>
        <v>50437</v>
      </c>
      <c r="G204" s="74">
        <f t="shared" si="20"/>
        <v>65</v>
      </c>
      <c r="H204" s="74" t="str">
        <f t="shared" si="21"/>
        <v>Q1-38</v>
      </c>
      <c r="I204" s="74">
        <f t="shared" ref="I204:I267" si="25">MIN(INT(YEARFRAC(F$11,F216)),30)</f>
        <v>17</v>
      </c>
      <c r="J204" s="74">
        <f t="shared" si="22"/>
        <v>2038</v>
      </c>
      <c r="L204" s="82">
        <f>IF(I205&lt;iGeneral!F$25,1,L203*(1+L$10/12))</f>
        <v>1.3790555882899651</v>
      </c>
      <c r="M204" s="82">
        <f>IF(I203&lt;iGeneral!F$26,1,M203*(1+M$10/12))</f>
        <v>1.162729805396564</v>
      </c>
      <c r="N204" s="82">
        <f>IF(I203&lt;iGeneral!F$27,1,N203*(1+N$10/12))</f>
        <v>1</v>
      </c>
      <c r="O204" s="82">
        <f>IFERROR(IF(I203&lt;iGeneral!F$28,1,O203*(1+O$10/12)),1)</f>
        <v>1</v>
      </c>
      <c r="P204" s="82">
        <f>IFERROR(IF(DATA!$I204&lt;iGeneral!F$29,1,P203*(1+P$10/12)),1)</f>
        <v>1</v>
      </c>
      <c r="T204" s="80"/>
      <c r="U204"/>
    </row>
    <row r="205" spans="5:21" ht="16" outlineLevel="1" thickTop="1" thickBot="1">
      <c r="E205" s="74">
        <f t="shared" si="23"/>
        <v>195</v>
      </c>
      <c r="F205" s="75">
        <f t="shared" si="24"/>
        <v>50465</v>
      </c>
      <c r="G205" s="74">
        <f t="shared" si="20"/>
        <v>65</v>
      </c>
      <c r="H205" s="74" t="str">
        <f t="shared" si="21"/>
        <v>Q1-38</v>
      </c>
      <c r="I205" s="74">
        <f t="shared" si="25"/>
        <v>17</v>
      </c>
      <c r="J205" s="74">
        <f t="shared" si="22"/>
        <v>2038</v>
      </c>
      <c r="L205" s="82">
        <f>IF(I206&lt;iGeneral!F$25,1,L204*(1+L$10/12))</f>
        <v>1.3813540142704483</v>
      </c>
      <c r="M205" s="82">
        <f>IF(I204&lt;iGeneral!F$26,1,M204*(1+M$10/12))</f>
        <v>1.1636987469010611</v>
      </c>
      <c r="N205" s="82">
        <f>IF(I204&lt;iGeneral!F$27,1,N204*(1+N$10/12))</f>
        <v>1</v>
      </c>
      <c r="O205" s="82">
        <f>IFERROR(IF(I204&lt;iGeneral!F$28,1,O204*(1+O$10/12)),1)</f>
        <v>1</v>
      </c>
      <c r="P205" s="82">
        <f>IFERROR(IF(DATA!$I205&lt;iGeneral!F$29,1,P204*(1+P$10/12)),1)</f>
        <v>1</v>
      </c>
      <c r="T205" s="80"/>
      <c r="U205"/>
    </row>
    <row r="206" spans="5:21" ht="16" outlineLevel="1" thickTop="1" thickBot="1">
      <c r="E206" s="74">
        <f t="shared" si="23"/>
        <v>196</v>
      </c>
      <c r="F206" s="75">
        <f t="shared" si="24"/>
        <v>50496</v>
      </c>
      <c r="G206" s="74">
        <f t="shared" si="20"/>
        <v>66</v>
      </c>
      <c r="H206" s="74" t="str">
        <f t="shared" si="21"/>
        <v>Q2-38</v>
      </c>
      <c r="I206" s="74">
        <f t="shared" si="25"/>
        <v>17</v>
      </c>
      <c r="J206" s="74">
        <f t="shared" si="22"/>
        <v>2038</v>
      </c>
      <c r="L206" s="82">
        <f>IF(I207&lt;iGeneral!F$25,1,L205*(1+L$10/12))</f>
        <v>1.383656270960899</v>
      </c>
      <c r="M206" s="82">
        <f>IF(I205&lt;iGeneral!F$26,1,M205*(1+M$10/12))</f>
        <v>1.1646684958568119</v>
      </c>
      <c r="N206" s="82">
        <f>IF(I205&lt;iGeneral!F$27,1,N205*(1+N$10/12))</f>
        <v>1</v>
      </c>
      <c r="O206" s="82">
        <f>IFERROR(IF(I205&lt;iGeneral!F$28,1,O205*(1+O$10/12)),1)</f>
        <v>1</v>
      </c>
      <c r="P206" s="82">
        <f>IFERROR(IF(DATA!$I206&lt;iGeneral!F$29,1,P205*(1+P$10/12)),1)</f>
        <v>1</v>
      </c>
      <c r="T206" s="80"/>
      <c r="U206"/>
    </row>
    <row r="207" spans="5:21" ht="16" outlineLevel="1" thickTop="1" thickBot="1">
      <c r="E207" s="74">
        <f t="shared" si="23"/>
        <v>197</v>
      </c>
      <c r="F207" s="75">
        <f t="shared" si="24"/>
        <v>50526</v>
      </c>
      <c r="G207" s="74">
        <f t="shared" si="20"/>
        <v>66</v>
      </c>
      <c r="H207" s="74" t="str">
        <f t="shared" si="21"/>
        <v>Q2-38</v>
      </c>
      <c r="I207" s="74">
        <f t="shared" si="25"/>
        <v>17</v>
      </c>
      <c r="J207" s="74">
        <f t="shared" si="22"/>
        <v>2038</v>
      </c>
      <c r="L207" s="82">
        <f>IF(I208&lt;iGeneral!F$25,1,L206*(1+L$10/12))</f>
        <v>1.3859623647458339</v>
      </c>
      <c r="M207" s="82">
        <f>IF(I206&lt;iGeneral!F$26,1,M206*(1+M$10/12))</f>
        <v>1.1656390529366925</v>
      </c>
      <c r="N207" s="82">
        <f>IF(I206&lt;iGeneral!F$27,1,N206*(1+N$10/12))</f>
        <v>1</v>
      </c>
      <c r="O207" s="82">
        <f>IFERROR(IF(I206&lt;iGeneral!F$28,1,O206*(1+O$10/12)),1)</f>
        <v>1</v>
      </c>
      <c r="P207" s="82">
        <f>IFERROR(IF(DATA!$I207&lt;iGeneral!F$29,1,P206*(1+P$10/12)),1)</f>
        <v>1</v>
      </c>
      <c r="T207" s="80"/>
      <c r="U207"/>
    </row>
    <row r="208" spans="5:21" ht="16" outlineLevel="1" thickTop="1" thickBot="1">
      <c r="E208" s="74">
        <f t="shared" si="23"/>
        <v>198</v>
      </c>
      <c r="F208" s="75">
        <f t="shared" si="24"/>
        <v>50557</v>
      </c>
      <c r="G208" s="74">
        <f t="shared" si="20"/>
        <v>66</v>
      </c>
      <c r="H208" s="74" t="str">
        <f t="shared" si="21"/>
        <v>Q2-38</v>
      </c>
      <c r="I208" s="74">
        <f t="shared" si="25"/>
        <v>17</v>
      </c>
      <c r="J208" s="74">
        <f t="shared" si="22"/>
        <v>2038</v>
      </c>
      <c r="L208" s="82">
        <f>IF(I209&lt;iGeneral!F$25,1,L207*(1+L$10/12))</f>
        <v>1.3882723020204104</v>
      </c>
      <c r="M208" s="82">
        <f>IF(I207&lt;iGeneral!F$26,1,M207*(1+M$10/12))</f>
        <v>1.1666104188141395</v>
      </c>
      <c r="N208" s="82">
        <f>IF(I207&lt;iGeneral!F$27,1,N207*(1+N$10/12))</f>
        <v>1</v>
      </c>
      <c r="O208" s="82">
        <f>IFERROR(IF(I207&lt;iGeneral!F$28,1,O207*(1+O$10/12)),1)</f>
        <v>1</v>
      </c>
      <c r="P208" s="82">
        <f>IFERROR(IF(DATA!$I208&lt;iGeneral!F$29,1,P207*(1+P$10/12)),1)</f>
        <v>1</v>
      </c>
      <c r="T208" s="80"/>
      <c r="U208"/>
    </row>
    <row r="209" spans="5:21" ht="16" outlineLevel="1" thickTop="1" thickBot="1">
      <c r="E209" s="74">
        <f t="shared" si="23"/>
        <v>199</v>
      </c>
      <c r="F209" s="75">
        <f t="shared" si="24"/>
        <v>50587</v>
      </c>
      <c r="G209" s="74">
        <f t="shared" si="20"/>
        <v>67</v>
      </c>
      <c r="H209" s="74" t="str">
        <f t="shared" si="21"/>
        <v>Q2-38</v>
      </c>
      <c r="I209" s="74">
        <f t="shared" si="25"/>
        <v>17</v>
      </c>
      <c r="J209" s="74">
        <f t="shared" si="22"/>
        <v>2038</v>
      </c>
      <c r="L209" s="82">
        <f>IF(I210&lt;iGeneral!F$25,1,L208*(1+L$10/12))</f>
        <v>1.3905860891904445</v>
      </c>
      <c r="M209" s="82">
        <f>IF(I208&lt;iGeneral!F$26,1,M208*(1+M$10/12))</f>
        <v>1.1675825941631512</v>
      </c>
      <c r="N209" s="82">
        <f>IF(I208&lt;iGeneral!F$27,1,N208*(1+N$10/12))</f>
        <v>1</v>
      </c>
      <c r="O209" s="82">
        <f>IFERROR(IF(I208&lt;iGeneral!F$28,1,O208*(1+O$10/12)),1)</f>
        <v>1</v>
      </c>
      <c r="P209" s="82">
        <f>IFERROR(IF(DATA!$I209&lt;iGeneral!F$29,1,P208*(1+P$10/12)),1)</f>
        <v>1</v>
      </c>
      <c r="T209" s="80"/>
      <c r="U209"/>
    </row>
    <row r="210" spans="5:21" ht="16" outlineLevel="1" thickTop="1" thickBot="1">
      <c r="E210" s="74">
        <f t="shared" si="23"/>
        <v>200</v>
      </c>
      <c r="F210" s="75">
        <f t="shared" si="24"/>
        <v>50618</v>
      </c>
      <c r="G210" s="74">
        <f t="shared" si="20"/>
        <v>67</v>
      </c>
      <c r="H210" s="74" t="str">
        <f t="shared" si="21"/>
        <v>Q3-38</v>
      </c>
      <c r="I210" s="74">
        <f t="shared" si="25"/>
        <v>17</v>
      </c>
      <c r="J210" s="74">
        <f t="shared" si="22"/>
        <v>2038</v>
      </c>
      <c r="L210" s="82">
        <f>IF(I211&lt;iGeneral!F$25,1,L209*(1+L$10/12))</f>
        <v>1.3929037326724285</v>
      </c>
      <c r="M210" s="82">
        <f>IF(I209&lt;iGeneral!F$26,1,M209*(1+M$10/12))</f>
        <v>1.1685555796582872</v>
      </c>
      <c r="N210" s="82">
        <f>IF(I209&lt;iGeneral!F$27,1,N209*(1+N$10/12))</f>
        <v>1</v>
      </c>
      <c r="O210" s="82">
        <f>IFERROR(IF(I209&lt;iGeneral!F$28,1,O209*(1+O$10/12)),1)</f>
        <v>1</v>
      </c>
      <c r="P210" s="82">
        <f>IFERROR(IF(DATA!$I210&lt;iGeneral!F$29,1,P209*(1+P$10/12)),1)</f>
        <v>1</v>
      </c>
      <c r="T210" s="80"/>
      <c r="U210"/>
    </row>
    <row r="211" spans="5:21" ht="16" outlineLevel="1" thickTop="1" thickBot="1">
      <c r="E211" s="74">
        <f t="shared" si="23"/>
        <v>201</v>
      </c>
      <c r="F211" s="75">
        <f t="shared" si="24"/>
        <v>50649</v>
      </c>
      <c r="G211" s="74">
        <f t="shared" si="20"/>
        <v>67</v>
      </c>
      <c r="H211" s="74" t="str">
        <f t="shared" si="21"/>
        <v>Q3-38</v>
      </c>
      <c r="I211" s="74">
        <f t="shared" si="25"/>
        <v>17</v>
      </c>
      <c r="J211" s="74">
        <f t="shared" si="22"/>
        <v>2038</v>
      </c>
      <c r="L211" s="82">
        <f>IF(I212&lt;iGeneral!F$25,1,L210*(1+L$10/12))</f>
        <v>1.3952252388935493</v>
      </c>
      <c r="M211" s="82">
        <f>IF(I210&lt;iGeneral!F$26,1,M210*(1+M$10/12))</f>
        <v>1.169529375974669</v>
      </c>
      <c r="N211" s="82">
        <f>IF(I210&lt;iGeneral!F$27,1,N210*(1+N$10/12))</f>
        <v>1</v>
      </c>
      <c r="O211" s="82">
        <f>IFERROR(IF(I210&lt;iGeneral!F$28,1,O210*(1+O$10/12)),1)</f>
        <v>1</v>
      </c>
      <c r="P211" s="82">
        <f>IFERROR(IF(DATA!$I211&lt;iGeneral!F$29,1,P210*(1+P$10/12)),1)</f>
        <v>1</v>
      </c>
      <c r="T211" s="80"/>
      <c r="U211"/>
    </row>
    <row r="212" spans="5:21" ht="16" outlineLevel="1" thickTop="1" thickBot="1">
      <c r="E212" s="74">
        <f t="shared" si="23"/>
        <v>202</v>
      </c>
      <c r="F212" s="75">
        <f t="shared" si="24"/>
        <v>50679</v>
      </c>
      <c r="G212" s="74">
        <f t="shared" si="20"/>
        <v>68</v>
      </c>
      <c r="H212" s="74" t="str">
        <f t="shared" si="21"/>
        <v>Q3-38</v>
      </c>
      <c r="I212" s="74">
        <f t="shared" si="25"/>
        <v>17</v>
      </c>
      <c r="J212" s="74">
        <f t="shared" si="22"/>
        <v>2038</v>
      </c>
      <c r="L212" s="82">
        <f>IF(I213&lt;iGeneral!F$25,1,L211*(1+L$10/12))</f>
        <v>1.3975506142917054</v>
      </c>
      <c r="M212" s="82">
        <f>IF(I211&lt;iGeneral!F$26,1,M211*(1+M$10/12))</f>
        <v>1.1705039837879812</v>
      </c>
      <c r="N212" s="82">
        <f>IF(I211&lt;iGeneral!F$27,1,N211*(1+N$10/12))</f>
        <v>1</v>
      </c>
      <c r="O212" s="82">
        <f>IFERROR(IF(I211&lt;iGeneral!F$28,1,O211*(1+O$10/12)),1)</f>
        <v>1</v>
      </c>
      <c r="P212" s="82">
        <f>IFERROR(IF(DATA!$I212&lt;iGeneral!F$29,1,P211*(1+P$10/12)),1)</f>
        <v>1</v>
      </c>
      <c r="T212" s="80"/>
      <c r="U212"/>
    </row>
    <row r="213" spans="5:21" ht="16" outlineLevel="1" thickTop="1" thickBot="1">
      <c r="E213" s="74">
        <f t="shared" si="23"/>
        <v>203</v>
      </c>
      <c r="F213" s="75">
        <f t="shared" si="24"/>
        <v>50710</v>
      </c>
      <c r="G213" s="74">
        <f t="shared" si="20"/>
        <v>68</v>
      </c>
      <c r="H213" s="74" t="str">
        <f t="shared" si="21"/>
        <v>Q3-38</v>
      </c>
      <c r="I213" s="74">
        <f t="shared" si="25"/>
        <v>17</v>
      </c>
      <c r="J213" s="74">
        <f t="shared" si="22"/>
        <v>2038</v>
      </c>
      <c r="L213" s="82">
        <f>IF(I214&lt;iGeneral!F$25,1,L212*(1+L$10/12))</f>
        <v>1.3998798653155249</v>
      </c>
      <c r="M213" s="82">
        <f>IF(I212&lt;iGeneral!F$26,1,M212*(1+M$10/12))</f>
        <v>1.1714794037744711</v>
      </c>
      <c r="N213" s="82">
        <f>IF(I212&lt;iGeneral!F$27,1,N212*(1+N$10/12))</f>
        <v>1</v>
      </c>
      <c r="O213" s="82">
        <f>IFERROR(IF(I212&lt;iGeneral!F$28,1,O212*(1+O$10/12)),1)</f>
        <v>1</v>
      </c>
      <c r="P213" s="82">
        <f>IFERROR(IF(DATA!$I213&lt;iGeneral!F$29,1,P212*(1+P$10/12)),1)</f>
        <v>1</v>
      </c>
      <c r="T213" s="80"/>
      <c r="U213"/>
    </row>
    <row r="214" spans="5:21" ht="16" outlineLevel="1" thickTop="1" thickBot="1">
      <c r="E214" s="74">
        <f t="shared" si="23"/>
        <v>204</v>
      </c>
      <c r="F214" s="75">
        <f t="shared" si="24"/>
        <v>50740</v>
      </c>
      <c r="G214" s="74">
        <f t="shared" si="20"/>
        <v>68</v>
      </c>
      <c r="H214" s="74" t="str">
        <f t="shared" si="21"/>
        <v>Q4-38</v>
      </c>
      <c r="I214" s="74">
        <f t="shared" si="25"/>
        <v>17</v>
      </c>
      <c r="J214" s="74">
        <f t="shared" si="22"/>
        <v>2038</v>
      </c>
      <c r="L214" s="82">
        <f>IF(I215&lt;iGeneral!F$25,1,L213*(1+L$10/12))</f>
        <v>1.4022129984243841</v>
      </c>
      <c r="M214" s="82">
        <f>IF(I213&lt;iGeneral!F$26,1,M213*(1+M$10/12))</f>
        <v>1.1724556366109498</v>
      </c>
      <c r="N214" s="82">
        <f>IF(I213&lt;iGeneral!F$27,1,N213*(1+N$10/12))</f>
        <v>1</v>
      </c>
      <c r="O214" s="82">
        <f>IFERROR(IF(I213&lt;iGeneral!F$28,1,O213*(1+O$10/12)),1)</f>
        <v>1</v>
      </c>
      <c r="P214" s="82">
        <f>IFERROR(IF(DATA!$I214&lt;iGeneral!F$29,1,P213*(1+P$10/12)),1)</f>
        <v>1</v>
      </c>
      <c r="T214" s="80"/>
      <c r="U214"/>
    </row>
    <row r="215" spans="5:21" ht="16" outlineLevel="1" thickTop="1" thickBot="1">
      <c r="E215" s="74">
        <f t="shared" si="23"/>
        <v>205</v>
      </c>
      <c r="F215" s="75">
        <f t="shared" si="24"/>
        <v>50771</v>
      </c>
      <c r="G215" s="74">
        <f t="shared" si="20"/>
        <v>69</v>
      </c>
      <c r="H215" s="74" t="str">
        <f t="shared" si="21"/>
        <v>Q1-39</v>
      </c>
      <c r="I215" s="74">
        <f t="shared" si="25"/>
        <v>18</v>
      </c>
      <c r="J215" s="74">
        <f t="shared" si="22"/>
        <v>2039</v>
      </c>
      <c r="L215" s="82">
        <f>IF(I216&lt;iGeneral!F$25,1,L214*(1+L$10/12))</f>
        <v>1.4045500200884247</v>
      </c>
      <c r="M215" s="82">
        <f>IF(I214&lt;iGeneral!F$26,1,M214*(1+M$10/12))</f>
        <v>1.1734326829747921</v>
      </c>
      <c r="N215" s="82">
        <f>IF(I214&lt;iGeneral!F$27,1,N214*(1+N$10/12))</f>
        <v>1</v>
      </c>
      <c r="O215" s="82">
        <f>IFERROR(IF(I214&lt;iGeneral!F$28,1,O214*(1+O$10/12)),1)</f>
        <v>1</v>
      </c>
      <c r="P215" s="82">
        <f>IFERROR(IF(DATA!$I215&lt;iGeneral!F$29,1,P214*(1+P$10/12)),1)</f>
        <v>1</v>
      </c>
      <c r="T215" s="80"/>
      <c r="U215"/>
    </row>
    <row r="216" spans="5:21" ht="16" outlineLevel="1" thickTop="1" thickBot="1">
      <c r="E216" s="74">
        <f t="shared" si="23"/>
        <v>206</v>
      </c>
      <c r="F216" s="75">
        <f t="shared" si="24"/>
        <v>50802</v>
      </c>
      <c r="G216" s="74">
        <f t="shared" si="20"/>
        <v>69</v>
      </c>
      <c r="H216" s="74" t="str">
        <f t="shared" si="21"/>
        <v>Q1-39</v>
      </c>
      <c r="I216" s="74">
        <f t="shared" si="25"/>
        <v>18</v>
      </c>
      <c r="J216" s="74">
        <f t="shared" si="22"/>
        <v>2039</v>
      </c>
      <c r="L216" s="82">
        <f>IF(I217&lt;iGeneral!F$25,1,L215*(1+L$10/12))</f>
        <v>1.406890936788572</v>
      </c>
      <c r="M216" s="82">
        <f>IF(I215&lt;iGeneral!F$26,1,M215*(1+M$10/12))</f>
        <v>1.1744105435439376</v>
      </c>
      <c r="N216" s="82">
        <f>IF(I215&lt;iGeneral!F$27,1,N215*(1+N$10/12))</f>
        <v>1</v>
      </c>
      <c r="O216" s="82">
        <f>IFERROR(IF(I215&lt;iGeneral!F$28,1,O215*(1+O$10/12)),1)</f>
        <v>1</v>
      </c>
      <c r="P216" s="82">
        <f>IFERROR(IF(DATA!$I216&lt;iGeneral!F$29,1,P215*(1+P$10/12)),1)</f>
        <v>1</v>
      </c>
      <c r="T216" s="80"/>
      <c r="U216"/>
    </row>
    <row r="217" spans="5:21" ht="16" outlineLevel="1" thickTop="1" thickBot="1">
      <c r="E217" s="74">
        <f t="shared" si="23"/>
        <v>207</v>
      </c>
      <c r="F217" s="75">
        <f t="shared" si="24"/>
        <v>50830</v>
      </c>
      <c r="G217" s="74">
        <f t="shared" si="20"/>
        <v>69</v>
      </c>
      <c r="H217" s="74" t="str">
        <f t="shared" si="21"/>
        <v>Q1-39</v>
      </c>
      <c r="I217" s="74">
        <f t="shared" si="25"/>
        <v>18</v>
      </c>
      <c r="J217" s="74">
        <f t="shared" si="22"/>
        <v>2039</v>
      </c>
      <c r="L217" s="82">
        <f>IF(I218&lt;iGeneral!F$25,1,L216*(1+L$10/12))</f>
        <v>1.4092357550165531</v>
      </c>
      <c r="M217" s="82">
        <f>IF(I216&lt;iGeneral!F$26,1,M216*(1+M$10/12))</f>
        <v>1.1753892189968909</v>
      </c>
      <c r="N217" s="82">
        <f>IF(I216&lt;iGeneral!F$27,1,N216*(1+N$10/12))</f>
        <v>1</v>
      </c>
      <c r="O217" s="82">
        <f>IFERROR(IF(I216&lt;iGeneral!F$28,1,O216*(1+O$10/12)),1)</f>
        <v>1</v>
      </c>
      <c r="P217" s="82">
        <f>IFERROR(IF(DATA!$I217&lt;iGeneral!F$29,1,P216*(1+P$10/12)),1)</f>
        <v>1</v>
      </c>
      <c r="T217" s="80"/>
      <c r="U217"/>
    </row>
    <row r="218" spans="5:21" ht="16" outlineLevel="1" thickTop="1" thickBot="1">
      <c r="E218" s="74">
        <f t="shared" si="23"/>
        <v>208</v>
      </c>
      <c r="F218" s="75">
        <f t="shared" si="24"/>
        <v>50861</v>
      </c>
      <c r="G218" s="74">
        <f t="shared" si="20"/>
        <v>70</v>
      </c>
      <c r="H218" s="74" t="str">
        <f t="shared" si="21"/>
        <v>Q2-39</v>
      </c>
      <c r="I218" s="74">
        <f t="shared" si="25"/>
        <v>18</v>
      </c>
      <c r="J218" s="74">
        <f t="shared" si="22"/>
        <v>2039</v>
      </c>
      <c r="L218" s="82">
        <f>IF(I219&lt;iGeneral!F$25,1,L217*(1+L$10/12))</f>
        <v>1.4115844812749141</v>
      </c>
      <c r="M218" s="82">
        <f>IF(I217&lt;iGeneral!F$26,1,M217*(1+M$10/12))</f>
        <v>1.1763687100127216</v>
      </c>
      <c r="N218" s="82">
        <f>IF(I217&lt;iGeneral!F$27,1,N217*(1+N$10/12))</f>
        <v>1</v>
      </c>
      <c r="O218" s="82">
        <f>IFERROR(IF(I217&lt;iGeneral!F$28,1,O217*(1+O$10/12)),1)</f>
        <v>1</v>
      </c>
      <c r="P218" s="82">
        <f>IFERROR(IF(DATA!$I218&lt;iGeneral!F$29,1,P217*(1+P$10/12)),1)</f>
        <v>1</v>
      </c>
      <c r="T218" s="80"/>
      <c r="U218"/>
    </row>
    <row r="219" spans="5:21" ht="16" outlineLevel="1" thickTop="1" thickBot="1">
      <c r="E219" s="74">
        <f t="shared" si="23"/>
        <v>209</v>
      </c>
      <c r="F219" s="75">
        <f t="shared" si="24"/>
        <v>50891</v>
      </c>
      <c r="G219" s="74">
        <f t="shared" si="20"/>
        <v>70</v>
      </c>
      <c r="H219" s="74" t="str">
        <f t="shared" si="21"/>
        <v>Q2-39</v>
      </c>
      <c r="I219" s="74">
        <f t="shared" si="25"/>
        <v>18</v>
      </c>
      <c r="J219" s="74">
        <f t="shared" si="22"/>
        <v>2039</v>
      </c>
      <c r="L219" s="82">
        <f>IF(I220&lt;iGeneral!F$25,1,L218*(1+L$10/12))</f>
        <v>1.4139371220770389</v>
      </c>
      <c r="M219" s="82">
        <f>IF(I218&lt;iGeneral!F$26,1,M218*(1+M$10/12))</f>
        <v>1.1773490172710654</v>
      </c>
      <c r="N219" s="82">
        <f>IF(I218&lt;iGeneral!F$27,1,N218*(1+N$10/12))</f>
        <v>1</v>
      </c>
      <c r="O219" s="82">
        <f>IFERROR(IF(I218&lt;iGeneral!F$28,1,O218*(1+O$10/12)),1)</f>
        <v>1</v>
      </c>
      <c r="P219" s="82">
        <f>IFERROR(IF(DATA!$I219&lt;iGeneral!F$29,1,P218*(1+P$10/12)),1)</f>
        <v>1</v>
      </c>
      <c r="T219" s="80"/>
      <c r="U219"/>
    </row>
    <row r="220" spans="5:21" ht="16" outlineLevel="1" thickTop="1" thickBot="1">
      <c r="E220" s="74">
        <f t="shared" si="23"/>
        <v>210</v>
      </c>
      <c r="F220" s="75">
        <f t="shared" si="24"/>
        <v>50922</v>
      </c>
      <c r="G220" s="74">
        <f t="shared" si="20"/>
        <v>70</v>
      </c>
      <c r="H220" s="74" t="str">
        <f t="shared" si="21"/>
        <v>Q2-39</v>
      </c>
      <c r="I220" s="74">
        <f t="shared" si="25"/>
        <v>18</v>
      </c>
      <c r="J220" s="74">
        <f t="shared" si="22"/>
        <v>2039</v>
      </c>
      <c r="L220" s="82">
        <f>IF(I221&lt;iGeneral!F$25,1,L219*(1+L$10/12))</f>
        <v>1.4162936839471674</v>
      </c>
      <c r="M220" s="82">
        <f>IF(I219&lt;iGeneral!F$26,1,M219*(1+M$10/12))</f>
        <v>1.1783301414521246</v>
      </c>
      <c r="N220" s="82">
        <f>IF(I219&lt;iGeneral!F$27,1,N219*(1+N$10/12))</f>
        <v>1</v>
      </c>
      <c r="O220" s="82">
        <f>IFERROR(IF(I219&lt;iGeneral!F$28,1,O219*(1+O$10/12)),1)</f>
        <v>1</v>
      </c>
      <c r="P220" s="82">
        <f>IFERROR(IF(DATA!$I220&lt;iGeneral!F$29,1,P219*(1+P$10/12)),1)</f>
        <v>1</v>
      </c>
      <c r="T220" s="80"/>
      <c r="U220"/>
    </row>
    <row r="221" spans="5:21" ht="16" outlineLevel="1" thickTop="1" thickBot="1">
      <c r="E221" s="74">
        <f t="shared" si="23"/>
        <v>211</v>
      </c>
      <c r="F221" s="75">
        <f t="shared" si="24"/>
        <v>50952</v>
      </c>
      <c r="G221" s="74">
        <f t="shared" si="20"/>
        <v>71</v>
      </c>
      <c r="H221" s="74" t="str">
        <f t="shared" si="21"/>
        <v>Q2-39</v>
      </c>
      <c r="I221" s="74">
        <f t="shared" si="25"/>
        <v>18</v>
      </c>
      <c r="J221" s="74">
        <f t="shared" si="22"/>
        <v>2039</v>
      </c>
      <c r="L221" s="82">
        <f>IF(I222&lt;iGeneral!F$25,1,L220*(1+L$10/12))</f>
        <v>1.4186541734204128</v>
      </c>
      <c r="M221" s="82">
        <f>IF(I220&lt;iGeneral!F$26,1,M220*(1+M$10/12))</f>
        <v>1.1793120832366679</v>
      </c>
      <c r="N221" s="82">
        <f>IF(I220&lt;iGeneral!F$27,1,N220*(1+N$10/12))</f>
        <v>1</v>
      </c>
      <c r="O221" s="82">
        <f>IFERROR(IF(I220&lt;iGeneral!F$28,1,O220*(1+O$10/12)),1)</f>
        <v>1</v>
      </c>
      <c r="P221" s="82">
        <f>IFERROR(IF(DATA!$I221&lt;iGeneral!F$29,1,P220*(1+P$10/12)),1)</f>
        <v>1</v>
      </c>
      <c r="T221" s="80"/>
      <c r="U221"/>
    </row>
    <row r="222" spans="5:21" ht="16" outlineLevel="1" thickTop="1" thickBot="1">
      <c r="E222" s="74">
        <f t="shared" si="23"/>
        <v>212</v>
      </c>
      <c r="F222" s="75">
        <f t="shared" si="24"/>
        <v>50983</v>
      </c>
      <c r="G222" s="74">
        <f t="shared" si="20"/>
        <v>71</v>
      </c>
      <c r="H222" s="74" t="str">
        <f t="shared" si="21"/>
        <v>Q3-39</v>
      </c>
      <c r="I222" s="74">
        <f t="shared" si="25"/>
        <v>18</v>
      </c>
      <c r="J222" s="74">
        <f t="shared" si="22"/>
        <v>2039</v>
      </c>
      <c r="L222" s="82">
        <f>IF(I223&lt;iGeneral!F$25,1,L221*(1+L$10/12))</f>
        <v>1.4210185970427802</v>
      </c>
      <c r="M222" s="82">
        <f>IF(I221&lt;iGeneral!F$26,1,M221*(1+M$10/12))</f>
        <v>1.1802948433060316</v>
      </c>
      <c r="N222" s="82">
        <f>IF(I221&lt;iGeneral!F$27,1,N221*(1+N$10/12))</f>
        <v>1</v>
      </c>
      <c r="O222" s="82">
        <f>IFERROR(IF(I221&lt;iGeneral!F$28,1,O221*(1+O$10/12)),1)</f>
        <v>1</v>
      </c>
      <c r="P222" s="82">
        <f>IFERROR(IF(DATA!$I222&lt;iGeneral!F$29,1,P221*(1+P$10/12)),1)</f>
        <v>1</v>
      </c>
      <c r="T222" s="80"/>
      <c r="U222"/>
    </row>
    <row r="223" spans="5:21" ht="16" outlineLevel="1" thickTop="1" thickBot="1">
      <c r="E223" s="74">
        <f t="shared" si="23"/>
        <v>213</v>
      </c>
      <c r="F223" s="75">
        <f t="shared" si="24"/>
        <v>51014</v>
      </c>
      <c r="G223" s="74">
        <f t="shared" si="20"/>
        <v>71</v>
      </c>
      <c r="H223" s="74" t="str">
        <f t="shared" si="21"/>
        <v>Q3-39</v>
      </c>
      <c r="I223" s="74">
        <f t="shared" si="25"/>
        <v>18</v>
      </c>
      <c r="J223" s="74">
        <f t="shared" si="22"/>
        <v>2039</v>
      </c>
      <c r="L223" s="82">
        <f>IF(I224&lt;iGeneral!F$25,1,L222*(1+L$10/12))</f>
        <v>1.4233869613711849</v>
      </c>
      <c r="M223" s="82">
        <f>IF(I222&lt;iGeneral!F$26,1,M222*(1+M$10/12))</f>
        <v>1.1812784223421198</v>
      </c>
      <c r="N223" s="82">
        <f>IF(I222&lt;iGeneral!F$27,1,N222*(1+N$10/12))</f>
        <v>1</v>
      </c>
      <c r="O223" s="82">
        <f>IFERROR(IF(I222&lt;iGeneral!F$28,1,O222*(1+O$10/12)),1)</f>
        <v>1</v>
      </c>
      <c r="P223" s="82">
        <f>IFERROR(IF(DATA!$I223&lt;iGeneral!F$29,1,P222*(1+P$10/12)),1)</f>
        <v>1</v>
      </c>
      <c r="T223" s="80"/>
      <c r="U223"/>
    </row>
    <row r="224" spans="5:21" ht="16" outlineLevel="1" thickTop="1" thickBot="1">
      <c r="E224" s="74">
        <f t="shared" si="23"/>
        <v>214</v>
      </c>
      <c r="F224" s="75">
        <f t="shared" si="24"/>
        <v>51044</v>
      </c>
      <c r="G224" s="74">
        <f t="shared" si="20"/>
        <v>72</v>
      </c>
      <c r="H224" s="74" t="str">
        <f t="shared" si="21"/>
        <v>Q3-39</v>
      </c>
      <c r="I224" s="74">
        <f t="shared" si="25"/>
        <v>18</v>
      </c>
      <c r="J224" s="74">
        <f t="shared" si="22"/>
        <v>2039</v>
      </c>
      <c r="L224" s="82">
        <f>IF(I225&lt;iGeneral!F$25,1,L223*(1+L$10/12))</f>
        <v>1.4257592729734703</v>
      </c>
      <c r="M224" s="82">
        <f>IF(I223&lt;iGeneral!F$26,1,M223*(1+M$10/12))</f>
        <v>1.1822628210274047</v>
      </c>
      <c r="N224" s="82">
        <f>IF(I223&lt;iGeneral!F$27,1,N223*(1+N$10/12))</f>
        <v>1</v>
      </c>
      <c r="O224" s="82">
        <f>IFERROR(IF(I223&lt;iGeneral!F$28,1,O223*(1+O$10/12)),1)</f>
        <v>1</v>
      </c>
      <c r="P224" s="82">
        <f>IFERROR(IF(DATA!$I224&lt;iGeneral!F$29,1,P223*(1+P$10/12)),1)</f>
        <v>1</v>
      </c>
      <c r="T224" s="80"/>
      <c r="U224"/>
    </row>
    <row r="225" spans="5:21" ht="16" outlineLevel="1" thickTop="1" thickBot="1">
      <c r="E225" s="74">
        <f t="shared" si="23"/>
        <v>215</v>
      </c>
      <c r="F225" s="75">
        <f t="shared" si="24"/>
        <v>51075</v>
      </c>
      <c r="G225" s="74">
        <f t="shared" si="20"/>
        <v>72</v>
      </c>
      <c r="H225" s="74" t="str">
        <f t="shared" si="21"/>
        <v>Q3-39</v>
      </c>
      <c r="I225" s="74">
        <f t="shared" si="25"/>
        <v>18</v>
      </c>
      <c r="J225" s="74">
        <f t="shared" si="22"/>
        <v>2039</v>
      </c>
      <c r="L225" s="82">
        <f>IF(I226&lt;iGeneral!F$25,1,L224*(1+L$10/12))</f>
        <v>1.428135538428426</v>
      </c>
      <c r="M225" s="82">
        <f>IF(I224&lt;iGeneral!F$26,1,M224*(1+M$10/12))</f>
        <v>1.1832480400449275</v>
      </c>
      <c r="N225" s="82">
        <f>IF(I224&lt;iGeneral!F$27,1,N224*(1+N$10/12))</f>
        <v>1</v>
      </c>
      <c r="O225" s="82">
        <f>IFERROR(IF(I224&lt;iGeneral!F$28,1,O224*(1+O$10/12)),1)</f>
        <v>1</v>
      </c>
      <c r="P225" s="82">
        <f>IFERROR(IF(DATA!$I225&lt;iGeneral!F$29,1,P224*(1+P$10/12)),1)</f>
        <v>1</v>
      </c>
      <c r="T225" s="80"/>
      <c r="U225"/>
    </row>
    <row r="226" spans="5:21" ht="16" outlineLevel="1" thickTop="1" thickBot="1">
      <c r="E226" s="74">
        <f t="shared" si="23"/>
        <v>216</v>
      </c>
      <c r="F226" s="75">
        <f t="shared" si="24"/>
        <v>51105</v>
      </c>
      <c r="G226" s="74">
        <f t="shared" si="20"/>
        <v>72</v>
      </c>
      <c r="H226" s="74" t="str">
        <f t="shared" si="21"/>
        <v>Q4-39</v>
      </c>
      <c r="I226" s="74">
        <f t="shared" si="25"/>
        <v>18</v>
      </c>
      <c r="J226" s="74">
        <f t="shared" si="22"/>
        <v>2039</v>
      </c>
      <c r="L226" s="82">
        <f>IF(I227&lt;iGeneral!F$25,1,L225*(1+L$10/12))</f>
        <v>1.4305157643258068</v>
      </c>
      <c r="M226" s="82">
        <f>IF(I225&lt;iGeneral!F$26,1,M225*(1+M$10/12))</f>
        <v>1.1842340800782982</v>
      </c>
      <c r="N226" s="82">
        <f>IF(I225&lt;iGeneral!F$27,1,N225*(1+N$10/12))</f>
        <v>1</v>
      </c>
      <c r="O226" s="82">
        <f>IFERROR(IF(I225&lt;iGeneral!F$28,1,O225*(1+O$10/12)),1)</f>
        <v>1</v>
      </c>
      <c r="P226" s="82">
        <f>IFERROR(IF(DATA!$I226&lt;iGeneral!F$29,1,P225*(1+P$10/12)),1)</f>
        <v>1</v>
      </c>
      <c r="T226" s="80"/>
      <c r="U226"/>
    </row>
    <row r="227" spans="5:21" ht="16" outlineLevel="1" thickTop="1" thickBot="1">
      <c r="E227" s="74">
        <f t="shared" si="23"/>
        <v>217</v>
      </c>
      <c r="F227" s="75">
        <f t="shared" si="24"/>
        <v>51136</v>
      </c>
      <c r="G227" s="74">
        <f t="shared" si="20"/>
        <v>73</v>
      </c>
      <c r="H227" s="74" t="str">
        <f t="shared" si="21"/>
        <v>Q1-40</v>
      </c>
      <c r="I227" s="74">
        <f t="shared" si="25"/>
        <v>19</v>
      </c>
      <c r="J227" s="74">
        <f t="shared" si="22"/>
        <v>2040</v>
      </c>
      <c r="L227" s="82">
        <f>IF(I228&lt;iGeneral!F$25,1,L226*(1+L$10/12))</f>
        <v>1.4328999572663499</v>
      </c>
      <c r="M227" s="82">
        <f>IF(I226&lt;iGeneral!F$26,1,M226*(1+M$10/12))</f>
        <v>1.1852209418116968</v>
      </c>
      <c r="N227" s="82">
        <f>IF(I226&lt;iGeneral!F$27,1,N226*(1+N$10/12))</f>
        <v>1</v>
      </c>
      <c r="O227" s="82">
        <f>IFERROR(IF(I226&lt;iGeneral!F$28,1,O226*(1+O$10/12)),1)</f>
        <v>1</v>
      </c>
      <c r="P227" s="82">
        <f>IFERROR(IF(DATA!$I227&lt;iGeneral!F$29,1,P226*(1+P$10/12)),1)</f>
        <v>1</v>
      </c>
      <c r="T227" s="80"/>
      <c r="U227"/>
    </row>
    <row r="228" spans="5:21" ht="16" outlineLevel="1" thickTop="1" thickBot="1">
      <c r="E228" s="74">
        <f t="shared" si="23"/>
        <v>218</v>
      </c>
      <c r="F228" s="75">
        <f t="shared" si="24"/>
        <v>51167</v>
      </c>
      <c r="G228" s="74">
        <f t="shared" si="20"/>
        <v>73</v>
      </c>
      <c r="H228" s="74" t="str">
        <f t="shared" si="21"/>
        <v>Q1-40</v>
      </c>
      <c r="I228" s="74">
        <f t="shared" si="25"/>
        <v>19</v>
      </c>
      <c r="J228" s="74">
        <f t="shared" si="22"/>
        <v>2040</v>
      </c>
      <c r="L228" s="82">
        <f>IF(I229&lt;iGeneral!F$25,1,L227*(1+L$10/12))</f>
        <v>1.4352881238617938</v>
      </c>
      <c r="M228" s="82">
        <f>IF(I227&lt;iGeneral!F$26,1,M227*(1+M$10/12))</f>
        <v>1.1862086259298732</v>
      </c>
      <c r="N228" s="82">
        <f>IF(I227&lt;iGeneral!F$27,1,N227*(1+N$10/12))</f>
        <v>1</v>
      </c>
      <c r="O228" s="82">
        <f>IFERROR(IF(I227&lt;iGeneral!F$28,1,O227*(1+O$10/12)),1)</f>
        <v>1</v>
      </c>
      <c r="P228" s="82">
        <f>IFERROR(IF(DATA!$I228&lt;iGeneral!F$29,1,P227*(1+P$10/12)),1)</f>
        <v>1</v>
      </c>
      <c r="T228" s="80"/>
      <c r="U228"/>
    </row>
    <row r="229" spans="5:21" ht="16" outlineLevel="1" thickTop="1" thickBot="1">
      <c r="E229" s="74">
        <f t="shared" si="23"/>
        <v>219</v>
      </c>
      <c r="F229" s="75">
        <f t="shared" si="24"/>
        <v>51196</v>
      </c>
      <c r="G229" s="74">
        <f t="shared" si="20"/>
        <v>73</v>
      </c>
      <c r="H229" s="74" t="str">
        <f t="shared" si="21"/>
        <v>Q1-40</v>
      </c>
      <c r="I229" s="74">
        <f t="shared" si="25"/>
        <v>19</v>
      </c>
      <c r="J229" s="74">
        <f t="shared" si="22"/>
        <v>2040</v>
      </c>
      <c r="L229" s="82">
        <f>IF(I230&lt;iGeneral!F$25,1,L228*(1+L$10/12))</f>
        <v>1.4376802707348968</v>
      </c>
      <c r="M229" s="82">
        <f>IF(I228&lt;iGeneral!F$26,1,M228*(1+M$10/12))</f>
        <v>1.1871971331181479</v>
      </c>
      <c r="N229" s="82">
        <f>IF(I228&lt;iGeneral!F$27,1,N228*(1+N$10/12))</f>
        <v>1</v>
      </c>
      <c r="O229" s="82">
        <f>IFERROR(IF(I228&lt;iGeneral!F$28,1,O228*(1+O$10/12)),1)</f>
        <v>1</v>
      </c>
      <c r="P229" s="82">
        <f>IFERROR(IF(DATA!$I229&lt;iGeneral!F$29,1,P228*(1+P$10/12)),1)</f>
        <v>1</v>
      </c>
      <c r="T229" s="80"/>
      <c r="U229"/>
    </row>
    <row r="230" spans="5:21" ht="16" outlineLevel="1" thickTop="1" thickBot="1">
      <c r="E230" s="74">
        <f t="shared" si="23"/>
        <v>220</v>
      </c>
      <c r="F230" s="75">
        <f t="shared" si="24"/>
        <v>51227</v>
      </c>
      <c r="G230" s="74">
        <f t="shared" si="20"/>
        <v>74</v>
      </c>
      <c r="H230" s="74" t="str">
        <f t="shared" si="21"/>
        <v>Q2-40</v>
      </c>
      <c r="I230" s="74">
        <f t="shared" si="25"/>
        <v>19</v>
      </c>
      <c r="J230" s="74">
        <f t="shared" si="22"/>
        <v>2040</v>
      </c>
      <c r="L230" s="82">
        <f>IF(I231&lt;iGeneral!F$25,1,L229*(1+L$10/12))</f>
        <v>1.440076404519455</v>
      </c>
      <c r="M230" s="82">
        <f>IF(I229&lt;iGeneral!F$26,1,M229*(1+M$10/12))</f>
        <v>1.1881864640624129</v>
      </c>
      <c r="N230" s="82">
        <f>IF(I229&lt;iGeneral!F$27,1,N229*(1+N$10/12))</f>
        <v>1</v>
      </c>
      <c r="O230" s="82">
        <f>IFERROR(IF(I229&lt;iGeneral!F$28,1,O229*(1+O$10/12)),1)</f>
        <v>1</v>
      </c>
      <c r="P230" s="82">
        <f>IFERROR(IF(DATA!$I230&lt;iGeneral!F$29,1,P229*(1+P$10/12)),1)</f>
        <v>1</v>
      </c>
      <c r="T230" s="80"/>
      <c r="U230"/>
    </row>
    <row r="231" spans="5:21" ht="16" outlineLevel="1" thickTop="1" thickBot="1">
      <c r="E231" s="74">
        <f t="shared" si="23"/>
        <v>221</v>
      </c>
      <c r="F231" s="75">
        <f t="shared" si="24"/>
        <v>51257</v>
      </c>
      <c r="G231" s="74">
        <f t="shared" si="20"/>
        <v>74</v>
      </c>
      <c r="H231" s="74" t="str">
        <f t="shared" si="21"/>
        <v>Q2-40</v>
      </c>
      <c r="I231" s="74">
        <f t="shared" si="25"/>
        <v>19</v>
      </c>
      <c r="J231" s="74">
        <f t="shared" si="22"/>
        <v>2040</v>
      </c>
      <c r="L231" s="82">
        <f>IF(I232&lt;iGeneral!F$25,1,L230*(1+L$10/12))</f>
        <v>1.4424765318603208</v>
      </c>
      <c r="M231" s="82">
        <f>IF(I230&lt;iGeneral!F$26,1,M230*(1+M$10/12))</f>
        <v>1.1891766194491316</v>
      </c>
      <c r="N231" s="82">
        <f>IF(I230&lt;iGeneral!F$27,1,N230*(1+N$10/12))</f>
        <v>1</v>
      </c>
      <c r="O231" s="82">
        <f>IFERROR(IF(I230&lt;iGeneral!F$28,1,O230*(1+O$10/12)),1)</f>
        <v>1</v>
      </c>
      <c r="P231" s="82">
        <f>IFERROR(IF(DATA!$I231&lt;iGeneral!F$29,1,P230*(1+P$10/12)),1)</f>
        <v>1</v>
      </c>
      <c r="T231" s="80"/>
      <c r="U231"/>
    </row>
    <row r="232" spans="5:21" ht="16" outlineLevel="1" thickTop="1" thickBot="1">
      <c r="E232" s="74">
        <f t="shared" si="23"/>
        <v>222</v>
      </c>
      <c r="F232" s="75">
        <f t="shared" si="24"/>
        <v>51288</v>
      </c>
      <c r="G232" s="74">
        <f t="shared" si="20"/>
        <v>74</v>
      </c>
      <c r="H232" s="74" t="str">
        <f t="shared" si="21"/>
        <v>Q2-40</v>
      </c>
      <c r="I232" s="74">
        <f t="shared" si="25"/>
        <v>19</v>
      </c>
      <c r="J232" s="74">
        <f t="shared" si="22"/>
        <v>2040</v>
      </c>
      <c r="L232" s="82">
        <f>IF(I233&lt;iGeneral!F$25,1,L231*(1+L$10/12))</f>
        <v>1.4448806594134214</v>
      </c>
      <c r="M232" s="82">
        <f>IF(I231&lt;iGeneral!F$26,1,M231*(1+M$10/12))</f>
        <v>1.1901675999653392</v>
      </c>
      <c r="N232" s="82">
        <f>IF(I231&lt;iGeneral!F$27,1,N231*(1+N$10/12))</f>
        <v>1</v>
      </c>
      <c r="O232" s="82">
        <f>IFERROR(IF(I231&lt;iGeneral!F$28,1,O231*(1+O$10/12)),1)</f>
        <v>1</v>
      </c>
      <c r="P232" s="82">
        <f>IFERROR(IF(DATA!$I232&lt;iGeneral!F$29,1,P231*(1+P$10/12)),1)</f>
        <v>1</v>
      </c>
      <c r="T232" s="80"/>
      <c r="U232"/>
    </row>
    <row r="233" spans="5:21" ht="16" outlineLevel="1" thickTop="1" thickBot="1">
      <c r="E233" s="74">
        <f t="shared" si="23"/>
        <v>223</v>
      </c>
      <c r="F233" s="75">
        <f t="shared" si="24"/>
        <v>51318</v>
      </c>
      <c r="G233" s="74">
        <f t="shared" si="20"/>
        <v>75</v>
      </c>
      <c r="H233" s="74" t="str">
        <f t="shared" si="21"/>
        <v>Q2-40</v>
      </c>
      <c r="I233" s="74">
        <f t="shared" si="25"/>
        <v>19</v>
      </c>
      <c r="J233" s="74">
        <f t="shared" si="22"/>
        <v>2040</v>
      </c>
      <c r="L233" s="82">
        <f>IF(I234&lt;iGeneral!F$25,1,L232*(1+L$10/12))</f>
        <v>1.447288793845777</v>
      </c>
      <c r="M233" s="82">
        <f>IF(I232&lt;iGeneral!F$26,1,M232*(1+M$10/12))</f>
        <v>1.1911594062986435</v>
      </c>
      <c r="N233" s="82">
        <f>IF(I232&lt;iGeneral!F$27,1,N232*(1+N$10/12))</f>
        <v>1</v>
      </c>
      <c r="O233" s="82">
        <f>IFERROR(IF(I232&lt;iGeneral!F$28,1,O232*(1+O$10/12)),1)</f>
        <v>1</v>
      </c>
      <c r="P233" s="82">
        <f>IFERROR(IF(DATA!$I233&lt;iGeneral!F$29,1,P232*(1+P$10/12)),1)</f>
        <v>1</v>
      </c>
      <c r="T233" s="80"/>
      <c r="U233"/>
    </row>
    <row r="234" spans="5:21" ht="16" outlineLevel="1" thickTop="1" thickBot="1">
      <c r="E234" s="74">
        <f t="shared" si="23"/>
        <v>224</v>
      </c>
      <c r="F234" s="75">
        <f t="shared" si="24"/>
        <v>51349</v>
      </c>
      <c r="G234" s="74">
        <f t="shared" si="20"/>
        <v>75</v>
      </c>
      <c r="H234" s="74" t="str">
        <f t="shared" si="21"/>
        <v>Q3-40</v>
      </c>
      <c r="I234" s="74">
        <f t="shared" si="25"/>
        <v>19</v>
      </c>
      <c r="J234" s="74">
        <f t="shared" si="22"/>
        <v>2040</v>
      </c>
      <c r="L234" s="82">
        <f>IF(I235&lt;iGeneral!F$25,1,L233*(1+L$10/12))</f>
        <v>1.44970094183552</v>
      </c>
      <c r="M234" s="82">
        <f>IF(I233&lt;iGeneral!F$26,1,M233*(1+M$10/12))</f>
        <v>1.1921520391372256</v>
      </c>
      <c r="N234" s="82">
        <f>IF(I233&lt;iGeneral!F$27,1,N233*(1+N$10/12))</f>
        <v>1</v>
      </c>
      <c r="O234" s="82">
        <f>IFERROR(IF(I233&lt;iGeneral!F$28,1,O233*(1+O$10/12)),1)</f>
        <v>1</v>
      </c>
      <c r="P234" s="82">
        <f>IFERROR(IF(DATA!$I234&lt;iGeneral!F$29,1,P233*(1+P$10/12)),1)</f>
        <v>1</v>
      </c>
      <c r="T234" s="80"/>
      <c r="U234"/>
    </row>
    <row r="235" spans="5:21" ht="16" outlineLevel="1" thickTop="1" thickBot="1">
      <c r="E235" s="74">
        <f t="shared" si="23"/>
        <v>225</v>
      </c>
      <c r="F235" s="75">
        <f t="shared" si="24"/>
        <v>51380</v>
      </c>
      <c r="G235" s="74">
        <f t="shared" si="20"/>
        <v>75</v>
      </c>
      <c r="H235" s="74" t="str">
        <f t="shared" si="21"/>
        <v>Q3-40</v>
      </c>
      <c r="I235" s="74">
        <f t="shared" si="25"/>
        <v>19</v>
      </c>
      <c r="J235" s="74">
        <f t="shared" si="22"/>
        <v>2040</v>
      </c>
      <c r="L235" s="82">
        <f>IF(I236&lt;iGeneral!F$25,1,L234*(1+L$10/12))</f>
        <v>1.4521171100719126</v>
      </c>
      <c r="M235" s="82">
        <f>IF(I234&lt;iGeneral!F$26,1,M234*(1+M$10/12))</f>
        <v>1.1931454991698398</v>
      </c>
      <c r="N235" s="82">
        <f>IF(I234&lt;iGeneral!F$27,1,N234*(1+N$10/12))</f>
        <v>1</v>
      </c>
      <c r="O235" s="82">
        <f>IFERROR(IF(I234&lt;iGeneral!F$28,1,O234*(1+O$10/12)),1)</f>
        <v>1</v>
      </c>
      <c r="P235" s="82">
        <f>IFERROR(IF(DATA!$I235&lt;iGeneral!F$29,1,P234*(1+P$10/12)),1)</f>
        <v>1</v>
      </c>
      <c r="T235" s="80"/>
      <c r="U235"/>
    </row>
    <row r="236" spans="5:21" ht="16" outlineLevel="1" thickTop="1" thickBot="1">
      <c r="E236" s="74">
        <f t="shared" si="23"/>
        <v>226</v>
      </c>
      <c r="F236" s="75">
        <f t="shared" si="24"/>
        <v>51410</v>
      </c>
      <c r="G236" s="74">
        <f t="shared" si="20"/>
        <v>76</v>
      </c>
      <c r="H236" s="74" t="str">
        <f t="shared" si="21"/>
        <v>Q3-40</v>
      </c>
      <c r="I236" s="74">
        <f t="shared" si="25"/>
        <v>19</v>
      </c>
      <c r="J236" s="74">
        <f t="shared" si="22"/>
        <v>2040</v>
      </c>
      <c r="L236" s="82">
        <f>IF(I237&lt;iGeneral!F$25,1,L235*(1+L$10/12))</f>
        <v>1.4545373052553658</v>
      </c>
      <c r="M236" s="82">
        <f>IF(I235&lt;iGeneral!F$26,1,M235*(1+M$10/12))</f>
        <v>1.1941397870858146</v>
      </c>
      <c r="N236" s="82">
        <f>IF(I235&lt;iGeneral!F$27,1,N235*(1+N$10/12))</f>
        <v>1</v>
      </c>
      <c r="O236" s="82">
        <f>IFERROR(IF(I235&lt;iGeneral!F$28,1,O235*(1+O$10/12)),1)</f>
        <v>1</v>
      </c>
      <c r="P236" s="82">
        <f>IFERROR(IF(DATA!$I236&lt;iGeneral!F$29,1,P235*(1+P$10/12)),1)</f>
        <v>1</v>
      </c>
      <c r="T236" s="80"/>
      <c r="U236"/>
    </row>
    <row r="237" spans="5:21" ht="16" outlineLevel="1" thickTop="1" thickBot="1">
      <c r="E237" s="74">
        <f t="shared" si="23"/>
        <v>227</v>
      </c>
      <c r="F237" s="75">
        <f t="shared" si="24"/>
        <v>51441</v>
      </c>
      <c r="G237" s="74">
        <f t="shared" si="20"/>
        <v>76</v>
      </c>
      <c r="H237" s="74" t="str">
        <f t="shared" si="21"/>
        <v>Q3-40</v>
      </c>
      <c r="I237" s="74">
        <f t="shared" si="25"/>
        <v>19</v>
      </c>
      <c r="J237" s="74">
        <f t="shared" si="22"/>
        <v>2040</v>
      </c>
      <c r="L237" s="82">
        <f>IF(I238&lt;iGeneral!F$25,1,L236*(1+L$10/12))</f>
        <v>1.4569615340974582</v>
      </c>
      <c r="M237" s="82">
        <f>IF(I236&lt;iGeneral!F$26,1,M236*(1+M$10/12))</f>
        <v>1.1951349035750527</v>
      </c>
      <c r="N237" s="82">
        <f>IF(I236&lt;iGeneral!F$27,1,N236*(1+N$10/12))</f>
        <v>1</v>
      </c>
      <c r="O237" s="82">
        <f>IFERROR(IF(I236&lt;iGeneral!F$28,1,O236*(1+O$10/12)),1)</f>
        <v>1</v>
      </c>
      <c r="P237" s="82">
        <f>IFERROR(IF(DATA!$I237&lt;iGeneral!F$29,1,P236*(1+P$10/12)),1)</f>
        <v>1</v>
      </c>
      <c r="T237" s="80"/>
      <c r="U237"/>
    </row>
    <row r="238" spans="5:21" ht="16" outlineLevel="1" thickTop="1" thickBot="1">
      <c r="E238" s="74">
        <f t="shared" si="23"/>
        <v>228</v>
      </c>
      <c r="F238" s="75">
        <f t="shared" si="24"/>
        <v>51471</v>
      </c>
      <c r="G238" s="74">
        <f t="shared" si="20"/>
        <v>76</v>
      </c>
      <c r="H238" s="74" t="str">
        <f t="shared" si="21"/>
        <v>Q4-40</v>
      </c>
      <c r="I238" s="74">
        <f t="shared" si="25"/>
        <v>19</v>
      </c>
      <c r="J238" s="74">
        <f t="shared" si="22"/>
        <v>2040</v>
      </c>
      <c r="L238" s="82">
        <f>IF(I239&lt;iGeneral!F$25,1,L237*(1+L$10/12))</f>
        <v>1.459389803320954</v>
      </c>
      <c r="M238" s="82">
        <f>IF(I237&lt;iGeneral!F$26,1,M237*(1+M$10/12))</f>
        <v>1.1961308493280318</v>
      </c>
      <c r="N238" s="82">
        <f>IF(I237&lt;iGeneral!F$27,1,N237*(1+N$10/12))</f>
        <v>1</v>
      </c>
      <c r="O238" s="82">
        <f>IFERROR(IF(I237&lt;iGeneral!F$28,1,O237*(1+O$10/12)),1)</f>
        <v>1</v>
      </c>
      <c r="P238" s="82">
        <f>IFERROR(IF(DATA!$I238&lt;iGeneral!F$29,1,P237*(1+P$10/12)),1)</f>
        <v>1</v>
      </c>
      <c r="T238" s="80"/>
      <c r="U238"/>
    </row>
    <row r="239" spans="5:21" ht="16" outlineLevel="1" thickTop="1" thickBot="1">
      <c r="E239" s="74">
        <f t="shared" si="23"/>
        <v>229</v>
      </c>
      <c r="F239" s="75">
        <f t="shared" si="24"/>
        <v>51502</v>
      </c>
      <c r="G239" s="74">
        <f t="shared" si="20"/>
        <v>77</v>
      </c>
      <c r="H239" s="74" t="str">
        <f t="shared" si="21"/>
        <v>Q1-41</v>
      </c>
      <c r="I239" s="74">
        <f t="shared" si="25"/>
        <v>20</v>
      </c>
      <c r="J239" s="74">
        <f t="shared" si="22"/>
        <v>2041</v>
      </c>
      <c r="L239" s="82">
        <f>IF(I240&lt;iGeneral!F$25,1,L238*(1+L$10/12))</f>
        <v>1.4618221196598224</v>
      </c>
      <c r="M239" s="82">
        <f>IF(I238&lt;iGeneral!F$26,1,M238*(1+M$10/12))</f>
        <v>1.1971276250358052</v>
      </c>
      <c r="N239" s="82">
        <f>IF(I238&lt;iGeneral!F$27,1,N238*(1+N$10/12))</f>
        <v>1</v>
      </c>
      <c r="O239" s="82">
        <f>IFERROR(IF(I238&lt;iGeneral!F$28,1,O238*(1+O$10/12)),1)</f>
        <v>1</v>
      </c>
      <c r="P239" s="82">
        <f>IFERROR(IF(DATA!$I239&lt;iGeneral!F$29,1,P238*(1+P$10/12)),1)</f>
        <v>1</v>
      </c>
      <c r="T239" s="80"/>
      <c r="U239"/>
    </row>
    <row r="240" spans="5:21" ht="16" outlineLevel="1" thickTop="1" thickBot="1">
      <c r="E240" s="74">
        <f t="shared" si="23"/>
        <v>230</v>
      </c>
      <c r="F240" s="75">
        <f t="shared" si="24"/>
        <v>51533</v>
      </c>
      <c r="G240" s="74">
        <f t="shared" si="20"/>
        <v>77</v>
      </c>
      <c r="H240" s="74" t="str">
        <f t="shared" si="21"/>
        <v>Q1-41</v>
      </c>
      <c r="I240" s="74">
        <f t="shared" si="25"/>
        <v>20</v>
      </c>
      <c r="J240" s="74">
        <f t="shared" si="22"/>
        <v>2041</v>
      </c>
      <c r="L240" s="82">
        <f>IF(I241&lt;iGeneral!F$25,1,L239*(1+L$10/12))</f>
        <v>1.4642584898592554</v>
      </c>
      <c r="M240" s="82">
        <f>IF(I239&lt;iGeneral!F$26,1,M239*(1+M$10/12))</f>
        <v>1.1981252313900015</v>
      </c>
      <c r="N240" s="82">
        <f>IF(I239&lt;iGeneral!F$27,1,N239*(1+N$10/12))</f>
        <v>1</v>
      </c>
      <c r="O240" s="82">
        <f>IFERROR(IF(I239&lt;iGeneral!F$28,1,O239*(1+O$10/12)),1)</f>
        <v>1</v>
      </c>
      <c r="P240" s="82">
        <f>IFERROR(IF(DATA!$I240&lt;iGeneral!F$29,1,P239*(1+P$10/12)),1)</f>
        <v>1</v>
      </c>
      <c r="T240" s="80"/>
      <c r="U240"/>
    </row>
    <row r="241" spans="5:21" ht="16" outlineLevel="1" thickTop="1" thickBot="1">
      <c r="E241" s="74">
        <f t="shared" si="23"/>
        <v>231</v>
      </c>
      <c r="F241" s="75">
        <f t="shared" si="24"/>
        <v>51561</v>
      </c>
      <c r="G241" s="74">
        <f t="shared" si="20"/>
        <v>77</v>
      </c>
      <c r="H241" s="74" t="str">
        <f t="shared" si="21"/>
        <v>Q1-41</v>
      </c>
      <c r="I241" s="74">
        <f t="shared" si="25"/>
        <v>20</v>
      </c>
      <c r="J241" s="74">
        <f t="shared" si="22"/>
        <v>2041</v>
      </c>
      <c r="L241" s="82">
        <f>IF(I242&lt;iGeneral!F$25,1,L240*(1+L$10/12))</f>
        <v>1.4666989206756875</v>
      </c>
      <c r="M241" s="82">
        <f>IF(I240&lt;iGeneral!F$26,1,M240*(1+M$10/12))</f>
        <v>1.1991236690828264</v>
      </c>
      <c r="N241" s="82">
        <f>IF(I240&lt;iGeneral!F$27,1,N240*(1+N$10/12))</f>
        <v>1</v>
      </c>
      <c r="O241" s="82">
        <f>IFERROR(IF(I240&lt;iGeneral!F$28,1,O240*(1+O$10/12)),1)</f>
        <v>1</v>
      </c>
      <c r="P241" s="82">
        <f>IFERROR(IF(DATA!$I241&lt;iGeneral!F$29,1,P240*(1+P$10/12)),1)</f>
        <v>1</v>
      </c>
      <c r="T241" s="80"/>
      <c r="U241"/>
    </row>
    <row r="242" spans="5:21" ht="16" outlineLevel="1" thickTop="1" thickBot="1">
      <c r="E242" s="74">
        <f t="shared" si="23"/>
        <v>232</v>
      </c>
      <c r="F242" s="75">
        <f t="shared" si="24"/>
        <v>51592</v>
      </c>
      <c r="G242" s="74">
        <f t="shared" si="20"/>
        <v>78</v>
      </c>
      <c r="H242" s="74" t="str">
        <f t="shared" si="21"/>
        <v>Q2-41</v>
      </c>
      <c r="I242" s="74">
        <f t="shared" si="25"/>
        <v>20</v>
      </c>
      <c r="J242" s="74">
        <f t="shared" si="22"/>
        <v>2041</v>
      </c>
      <c r="L242" s="82">
        <f>IF(I243&lt;iGeneral!F$25,1,L241*(1+L$10/12))</f>
        <v>1.4691434188768138</v>
      </c>
      <c r="M242" s="82">
        <f>IF(I241&lt;iGeneral!F$26,1,M241*(1+M$10/12))</f>
        <v>1.200122938807062</v>
      </c>
      <c r="N242" s="82">
        <f>IF(I241&lt;iGeneral!F$27,1,N241*(1+N$10/12))</f>
        <v>1</v>
      </c>
      <c r="O242" s="82">
        <f>IFERROR(IF(I241&lt;iGeneral!F$28,1,O241*(1+O$10/12)),1)</f>
        <v>1</v>
      </c>
      <c r="P242" s="82">
        <f>IFERROR(IF(DATA!$I242&lt;iGeneral!F$29,1,P241*(1+P$10/12)),1)</f>
        <v>1</v>
      </c>
      <c r="T242" s="80"/>
      <c r="U242"/>
    </row>
    <row r="243" spans="5:21" ht="16" outlineLevel="1" thickTop="1" thickBot="1">
      <c r="E243" s="74">
        <f t="shared" si="23"/>
        <v>233</v>
      </c>
      <c r="F243" s="75">
        <f t="shared" si="24"/>
        <v>51622</v>
      </c>
      <c r="G243" s="74">
        <f t="shared" si="20"/>
        <v>78</v>
      </c>
      <c r="H243" s="74" t="str">
        <f t="shared" si="21"/>
        <v>Q2-41</v>
      </c>
      <c r="I243" s="74">
        <f t="shared" si="25"/>
        <v>20</v>
      </c>
      <c r="J243" s="74">
        <f t="shared" si="22"/>
        <v>2041</v>
      </c>
      <c r="L243" s="82">
        <f>IF(I244&lt;iGeneral!F$25,1,L242*(1+L$10/12))</f>
        <v>1.4715919912416084</v>
      </c>
      <c r="M243" s="82">
        <f>IF(I242&lt;iGeneral!F$26,1,M242*(1+M$10/12))</f>
        <v>1.2011230412560678</v>
      </c>
      <c r="N243" s="82">
        <f>IF(I242&lt;iGeneral!F$27,1,N242*(1+N$10/12))</f>
        <v>1</v>
      </c>
      <c r="O243" s="82">
        <f>IFERROR(IF(I242&lt;iGeneral!F$28,1,O242*(1+O$10/12)),1)</f>
        <v>1</v>
      </c>
      <c r="P243" s="82">
        <f>IFERROR(IF(DATA!$I243&lt;iGeneral!F$29,1,P242*(1+P$10/12)),1)</f>
        <v>1</v>
      </c>
      <c r="T243" s="80"/>
      <c r="U243"/>
    </row>
    <row r="244" spans="5:21" ht="16" outlineLevel="1" thickTop="1" thickBot="1">
      <c r="E244" s="74">
        <f t="shared" si="23"/>
        <v>234</v>
      </c>
      <c r="F244" s="75">
        <f t="shared" si="24"/>
        <v>51653</v>
      </c>
      <c r="G244" s="74">
        <f t="shared" si="20"/>
        <v>78</v>
      </c>
      <c r="H244" s="74" t="str">
        <f t="shared" si="21"/>
        <v>Q2-41</v>
      </c>
      <c r="I244" s="74">
        <f t="shared" si="25"/>
        <v>20</v>
      </c>
      <c r="J244" s="74">
        <f t="shared" si="22"/>
        <v>2041</v>
      </c>
      <c r="L244" s="82">
        <f>IF(I245&lt;iGeneral!F$25,1,L243*(1+L$10/12))</f>
        <v>1.4740446445603446</v>
      </c>
      <c r="M244" s="82">
        <f>IF(I243&lt;iGeneral!F$26,1,M243*(1+M$10/12))</f>
        <v>1.2021239771237811</v>
      </c>
      <c r="N244" s="82">
        <f>IF(I243&lt;iGeneral!F$27,1,N243*(1+N$10/12))</f>
        <v>1</v>
      </c>
      <c r="O244" s="82">
        <f>IFERROR(IF(I243&lt;iGeneral!F$28,1,O243*(1+O$10/12)),1)</f>
        <v>1</v>
      </c>
      <c r="P244" s="82">
        <f>IFERROR(IF(DATA!$I244&lt;iGeneral!F$29,1,P243*(1+P$10/12)),1)</f>
        <v>1</v>
      </c>
      <c r="T244" s="80"/>
      <c r="U244"/>
    </row>
    <row r="245" spans="5:21" ht="16" outlineLevel="1" thickTop="1" thickBot="1">
      <c r="E245" s="74">
        <f t="shared" si="23"/>
        <v>235</v>
      </c>
      <c r="F245" s="75">
        <f t="shared" si="24"/>
        <v>51683</v>
      </c>
      <c r="G245" s="74">
        <f t="shared" si="20"/>
        <v>79</v>
      </c>
      <c r="H245" s="74" t="str">
        <f t="shared" si="21"/>
        <v>Q2-41</v>
      </c>
      <c r="I245" s="74">
        <f t="shared" si="25"/>
        <v>20</v>
      </c>
      <c r="J245" s="74">
        <f t="shared" si="22"/>
        <v>2041</v>
      </c>
      <c r="L245" s="82">
        <f>IF(I246&lt;iGeneral!F$25,1,L244*(1+L$10/12))</f>
        <v>1.4765013856346119</v>
      </c>
      <c r="M245" s="82">
        <f>IF(I244&lt;iGeneral!F$26,1,M244*(1+M$10/12))</f>
        <v>1.2031257471047174</v>
      </c>
      <c r="N245" s="82">
        <f>IF(I244&lt;iGeneral!F$27,1,N244*(1+N$10/12))</f>
        <v>1</v>
      </c>
      <c r="O245" s="82">
        <f>IFERROR(IF(I244&lt;iGeneral!F$28,1,O244*(1+O$10/12)),1)</f>
        <v>1</v>
      </c>
      <c r="P245" s="82">
        <f>IFERROR(IF(DATA!$I245&lt;iGeneral!F$29,1,P244*(1+P$10/12)),1)</f>
        <v>1</v>
      </c>
      <c r="T245" s="80"/>
      <c r="U245"/>
    </row>
    <row r="246" spans="5:21" ht="16" outlineLevel="1" thickTop="1" thickBot="1">
      <c r="E246" s="74">
        <f t="shared" si="23"/>
        <v>236</v>
      </c>
      <c r="F246" s="75">
        <f t="shared" si="24"/>
        <v>51714</v>
      </c>
      <c r="G246" s="74">
        <f t="shared" si="20"/>
        <v>79</v>
      </c>
      <c r="H246" s="74" t="str">
        <f t="shared" si="21"/>
        <v>Q3-41</v>
      </c>
      <c r="I246" s="74">
        <f t="shared" si="25"/>
        <v>20</v>
      </c>
      <c r="J246" s="74">
        <f t="shared" si="22"/>
        <v>2041</v>
      </c>
      <c r="L246" s="82">
        <f>IF(I247&lt;iGeneral!F$25,1,L245*(1+L$10/12))</f>
        <v>1.4789622212773363</v>
      </c>
      <c r="M246" s="82">
        <f>IF(I245&lt;iGeneral!F$26,1,M245*(1+M$10/12))</f>
        <v>1.2041283518939712</v>
      </c>
      <c r="N246" s="82">
        <f>IF(I245&lt;iGeneral!F$27,1,N245*(1+N$10/12))</f>
        <v>1</v>
      </c>
      <c r="O246" s="82">
        <f>IFERROR(IF(I245&lt;iGeneral!F$28,1,O245*(1+O$10/12)),1)</f>
        <v>1</v>
      </c>
      <c r="P246" s="82">
        <f>IFERROR(IF(DATA!$I246&lt;iGeneral!F$29,1,P245*(1+P$10/12)),1)</f>
        <v>1</v>
      </c>
      <c r="T246" s="80"/>
      <c r="U246"/>
    </row>
    <row r="247" spans="5:21" ht="16" outlineLevel="1" thickTop="1" thickBot="1">
      <c r="E247" s="74">
        <f t="shared" si="23"/>
        <v>237</v>
      </c>
      <c r="F247" s="75">
        <f t="shared" si="24"/>
        <v>51745</v>
      </c>
      <c r="G247" s="74">
        <f t="shared" si="20"/>
        <v>79</v>
      </c>
      <c r="H247" s="74" t="str">
        <f t="shared" si="21"/>
        <v>Q3-41</v>
      </c>
      <c r="I247" s="74">
        <f t="shared" si="25"/>
        <v>20</v>
      </c>
      <c r="J247" s="74">
        <f t="shared" si="22"/>
        <v>2041</v>
      </c>
      <c r="L247" s="82">
        <f>IF(I248&lt;iGeneral!F$25,1,L246*(1+L$10/12))</f>
        <v>1.4814271583127987</v>
      </c>
      <c r="M247" s="82">
        <f>IF(I246&lt;iGeneral!F$26,1,M246*(1+M$10/12))</f>
        <v>1.205131792187216</v>
      </c>
      <c r="N247" s="82">
        <f>IF(I246&lt;iGeneral!F$27,1,N246*(1+N$10/12))</f>
        <v>1</v>
      </c>
      <c r="O247" s="82">
        <f>IFERROR(IF(I246&lt;iGeneral!F$28,1,O246*(1+O$10/12)),1)</f>
        <v>1</v>
      </c>
      <c r="P247" s="82">
        <f>IFERROR(IF(DATA!$I247&lt;iGeneral!F$29,1,P246*(1+P$10/12)),1)</f>
        <v>1</v>
      </c>
      <c r="T247" s="80"/>
      <c r="U247"/>
    </row>
    <row r="248" spans="5:21" ht="16" outlineLevel="1" thickTop="1" thickBot="1">
      <c r="E248" s="74">
        <f t="shared" si="23"/>
        <v>238</v>
      </c>
      <c r="F248" s="75">
        <f t="shared" si="24"/>
        <v>51775</v>
      </c>
      <c r="G248" s="74">
        <f t="shared" si="20"/>
        <v>80</v>
      </c>
      <c r="H248" s="74" t="str">
        <f t="shared" si="21"/>
        <v>Q3-41</v>
      </c>
      <c r="I248" s="74">
        <f t="shared" si="25"/>
        <v>20</v>
      </c>
      <c r="J248" s="74">
        <f t="shared" si="22"/>
        <v>2041</v>
      </c>
      <c r="L248" s="82">
        <f>IF(I249&lt;iGeneral!F$25,1,L247*(1+L$10/12))</f>
        <v>1.4838962035766534</v>
      </c>
      <c r="M248" s="82">
        <f>IF(I247&lt;iGeneral!F$26,1,M247*(1+M$10/12))</f>
        <v>1.2061360686807052</v>
      </c>
      <c r="N248" s="82">
        <f>IF(I247&lt;iGeneral!F$27,1,N247*(1+N$10/12))</f>
        <v>1</v>
      </c>
      <c r="O248" s="82">
        <f>IFERROR(IF(I247&lt;iGeneral!F$28,1,O247*(1+O$10/12)),1)</f>
        <v>1</v>
      </c>
      <c r="P248" s="82">
        <f>IFERROR(IF(DATA!$I248&lt;iGeneral!F$29,1,P247*(1+P$10/12)),1)</f>
        <v>1</v>
      </c>
      <c r="T248" s="80"/>
      <c r="U248"/>
    </row>
    <row r="249" spans="5:21" ht="16" outlineLevel="1" thickTop="1" thickBot="1">
      <c r="E249" s="74">
        <f t="shared" si="23"/>
        <v>239</v>
      </c>
      <c r="F249" s="75">
        <f t="shared" si="24"/>
        <v>51806</v>
      </c>
      <c r="G249" s="74">
        <f t="shared" si="20"/>
        <v>80</v>
      </c>
      <c r="H249" s="74" t="str">
        <f t="shared" si="21"/>
        <v>Q3-41</v>
      </c>
      <c r="I249" s="74">
        <f t="shared" si="25"/>
        <v>20</v>
      </c>
      <c r="J249" s="74">
        <f t="shared" si="22"/>
        <v>2041</v>
      </c>
      <c r="L249" s="82">
        <f>IF(I250&lt;iGeneral!F$25,1,L248*(1+L$10/12))</f>
        <v>1.4863693639159479</v>
      </c>
      <c r="M249" s="82">
        <f>IF(I248&lt;iGeneral!F$26,1,M248*(1+M$10/12))</f>
        <v>1.2071411820712723</v>
      </c>
      <c r="N249" s="82">
        <f>IF(I248&lt;iGeneral!F$27,1,N248*(1+N$10/12))</f>
        <v>1</v>
      </c>
      <c r="O249" s="82">
        <f>IFERROR(IF(I248&lt;iGeneral!F$28,1,O248*(1+O$10/12)),1)</f>
        <v>1</v>
      </c>
      <c r="P249" s="82">
        <f>IFERROR(IF(DATA!$I249&lt;iGeneral!F$29,1,P248*(1+P$10/12)),1)</f>
        <v>1</v>
      </c>
      <c r="T249" s="80"/>
      <c r="U249"/>
    </row>
    <row r="250" spans="5:21" ht="16" outlineLevel="1" thickTop="1" thickBot="1">
      <c r="E250" s="74">
        <f t="shared" si="23"/>
        <v>240</v>
      </c>
      <c r="F250" s="75">
        <f t="shared" si="24"/>
        <v>51836</v>
      </c>
      <c r="G250" s="74">
        <f t="shared" si="20"/>
        <v>80</v>
      </c>
      <c r="H250" s="74" t="str">
        <f t="shared" si="21"/>
        <v>Q4-41</v>
      </c>
      <c r="I250" s="74">
        <f t="shared" si="25"/>
        <v>20</v>
      </c>
      <c r="J250" s="74">
        <f t="shared" si="22"/>
        <v>2041</v>
      </c>
      <c r="L250" s="82">
        <f>IF(I251&lt;iGeneral!F$25,1,L249*(1+L$10/12))</f>
        <v>1.4888466461891412</v>
      </c>
      <c r="M250" s="82">
        <f>IF(I249&lt;iGeneral!F$26,1,M249*(1+M$10/12))</f>
        <v>1.2081471330563316</v>
      </c>
      <c r="N250" s="82">
        <f>IF(I249&lt;iGeneral!F$27,1,N249*(1+N$10/12))</f>
        <v>1</v>
      </c>
      <c r="O250" s="82">
        <f>IFERROR(IF(I249&lt;iGeneral!F$28,1,O249*(1+O$10/12)),1)</f>
        <v>1</v>
      </c>
      <c r="P250" s="82">
        <f>IFERROR(IF(DATA!$I250&lt;iGeneral!F$29,1,P249*(1+P$10/12)),1)</f>
        <v>1</v>
      </c>
      <c r="T250" s="80"/>
      <c r="U250"/>
    </row>
    <row r="251" spans="5:21" ht="16" outlineLevel="1" thickTop="1" thickBot="1">
      <c r="E251" s="74">
        <f t="shared" si="23"/>
        <v>241</v>
      </c>
      <c r="F251" s="75">
        <f t="shared" si="24"/>
        <v>51867</v>
      </c>
      <c r="G251" s="74">
        <f t="shared" si="20"/>
        <v>81</v>
      </c>
      <c r="H251" s="74" t="str">
        <f t="shared" si="21"/>
        <v>Q1-42</v>
      </c>
      <c r="I251" s="74">
        <f t="shared" si="25"/>
        <v>21</v>
      </c>
      <c r="J251" s="74">
        <f t="shared" si="22"/>
        <v>2042</v>
      </c>
      <c r="L251" s="82">
        <f>IF(I252&lt;iGeneral!F$25,1,L250*(1+L$10/12))</f>
        <v>1.4913280572661232</v>
      </c>
      <c r="M251" s="82">
        <f>IF(I250&lt;iGeneral!F$26,1,M250*(1+M$10/12))</f>
        <v>1.2091539223338785</v>
      </c>
      <c r="N251" s="82">
        <f>IF(I250&lt;iGeneral!F$27,1,N250*(1+N$10/12))</f>
        <v>1</v>
      </c>
      <c r="O251" s="82">
        <f>IFERROR(IF(I250&lt;iGeneral!F$28,1,O250*(1+O$10/12)),1)</f>
        <v>1</v>
      </c>
      <c r="P251" s="82">
        <f>IFERROR(IF(DATA!$I251&lt;iGeneral!F$29,1,P250*(1+P$10/12)),1)</f>
        <v>1</v>
      </c>
      <c r="T251" s="80"/>
      <c r="U251"/>
    </row>
    <row r="252" spans="5:21" ht="16" outlineLevel="1" thickTop="1" thickBot="1">
      <c r="E252" s="74">
        <f t="shared" si="23"/>
        <v>242</v>
      </c>
      <c r="F252" s="75">
        <f t="shared" si="24"/>
        <v>51898</v>
      </c>
      <c r="G252" s="74">
        <f t="shared" si="20"/>
        <v>81</v>
      </c>
      <c r="H252" s="74" t="str">
        <f t="shared" si="21"/>
        <v>Q1-42</v>
      </c>
      <c r="I252" s="74">
        <f t="shared" si="25"/>
        <v>21</v>
      </c>
      <c r="J252" s="74">
        <f t="shared" si="22"/>
        <v>2042</v>
      </c>
      <c r="L252" s="82">
        <f>IF(I253&lt;iGeneral!F$25,1,L251*(1+L$10/12))</f>
        <v>1.4938136040282335</v>
      </c>
      <c r="M252" s="82">
        <f>IF(I251&lt;iGeneral!F$26,1,M251*(1+M$10/12))</f>
        <v>1.2101615506024901</v>
      </c>
      <c r="N252" s="82">
        <f>IF(I251&lt;iGeneral!F$27,1,N251*(1+N$10/12))</f>
        <v>1</v>
      </c>
      <c r="O252" s="82">
        <f>IFERROR(IF(I251&lt;iGeneral!F$28,1,O251*(1+O$10/12)),1)</f>
        <v>1</v>
      </c>
      <c r="P252" s="82">
        <f>IFERROR(IF(DATA!$I252&lt;iGeneral!F$29,1,P251*(1+P$10/12)),1)</f>
        <v>1</v>
      </c>
      <c r="T252" s="80"/>
      <c r="U252"/>
    </row>
    <row r="253" spans="5:21" ht="16" outlineLevel="1" thickTop="1" thickBot="1">
      <c r="E253" s="74">
        <f t="shared" si="23"/>
        <v>243</v>
      </c>
      <c r="F253" s="75">
        <f t="shared" si="24"/>
        <v>51926</v>
      </c>
      <c r="G253" s="74">
        <f t="shared" si="20"/>
        <v>81</v>
      </c>
      <c r="H253" s="74" t="str">
        <f t="shared" si="21"/>
        <v>Q1-42</v>
      </c>
      <c r="I253" s="74">
        <f t="shared" si="25"/>
        <v>21</v>
      </c>
      <c r="J253" s="74">
        <f t="shared" si="22"/>
        <v>2042</v>
      </c>
      <c r="L253" s="82">
        <f>IF(I254&lt;iGeneral!F$25,1,L252*(1+L$10/12))</f>
        <v>1.4963032933682805</v>
      </c>
      <c r="M253" s="82">
        <f>IF(I252&lt;iGeneral!F$26,1,M252*(1+M$10/12))</f>
        <v>1.2111700185613254</v>
      </c>
      <c r="N253" s="82">
        <f>IF(I252&lt;iGeneral!F$27,1,N252*(1+N$10/12))</f>
        <v>1</v>
      </c>
      <c r="O253" s="82">
        <f>IFERROR(IF(I252&lt;iGeneral!F$28,1,O252*(1+O$10/12)),1)</f>
        <v>1</v>
      </c>
      <c r="P253" s="82">
        <f>IFERROR(IF(DATA!$I253&lt;iGeneral!F$29,1,P252*(1+P$10/12)),1)</f>
        <v>1</v>
      </c>
      <c r="T253" s="80"/>
      <c r="U253"/>
    </row>
    <row r="254" spans="5:21" ht="16" outlineLevel="1" thickTop="1" thickBot="1">
      <c r="E254" s="74">
        <f t="shared" si="23"/>
        <v>244</v>
      </c>
      <c r="F254" s="75">
        <f t="shared" si="24"/>
        <v>51957</v>
      </c>
      <c r="G254" s="74">
        <f t="shared" si="20"/>
        <v>82</v>
      </c>
      <c r="H254" s="74" t="str">
        <f t="shared" si="21"/>
        <v>Q2-42</v>
      </c>
      <c r="I254" s="74">
        <f t="shared" si="25"/>
        <v>21</v>
      </c>
      <c r="J254" s="74">
        <f t="shared" si="22"/>
        <v>2042</v>
      </c>
      <c r="L254" s="82">
        <f>IF(I255&lt;iGeneral!F$25,1,L253*(1+L$10/12))</f>
        <v>1.4987971321905611</v>
      </c>
      <c r="M254" s="82">
        <f>IF(I253&lt;iGeneral!F$26,1,M253*(1+M$10/12))</f>
        <v>1.2121793269101264</v>
      </c>
      <c r="N254" s="82">
        <f>IF(I253&lt;iGeneral!F$27,1,N253*(1+N$10/12))</f>
        <v>1</v>
      </c>
      <c r="O254" s="82">
        <f>IFERROR(IF(I253&lt;iGeneral!F$28,1,O253*(1+O$10/12)),1)</f>
        <v>1</v>
      </c>
      <c r="P254" s="82">
        <f>IFERROR(IF(DATA!$I254&lt;iGeneral!F$29,1,P253*(1+P$10/12)),1)</f>
        <v>1</v>
      </c>
      <c r="T254" s="80"/>
      <c r="U254"/>
    </row>
    <row r="255" spans="5:21" ht="16" outlineLevel="1" thickTop="1" thickBot="1">
      <c r="E255" s="74">
        <f t="shared" si="23"/>
        <v>245</v>
      </c>
      <c r="F255" s="75">
        <f t="shared" si="24"/>
        <v>51987</v>
      </c>
      <c r="G255" s="74">
        <f t="shared" si="20"/>
        <v>82</v>
      </c>
      <c r="H255" s="74" t="str">
        <f t="shared" si="21"/>
        <v>Q2-42</v>
      </c>
      <c r="I255" s="74">
        <f t="shared" si="25"/>
        <v>21</v>
      </c>
      <c r="J255" s="74">
        <f t="shared" si="22"/>
        <v>2042</v>
      </c>
      <c r="L255" s="82">
        <f>IF(I256&lt;iGeneral!F$25,1,L254*(1+L$10/12))</f>
        <v>1.5012951274108788</v>
      </c>
      <c r="M255" s="82">
        <f>IF(I254&lt;iGeneral!F$26,1,M254*(1+M$10/12))</f>
        <v>1.2131894763492181</v>
      </c>
      <c r="N255" s="82">
        <f>IF(I254&lt;iGeneral!F$27,1,N254*(1+N$10/12))</f>
        <v>1</v>
      </c>
      <c r="O255" s="82">
        <f>IFERROR(IF(I254&lt;iGeneral!F$28,1,O254*(1+O$10/12)),1)</f>
        <v>1</v>
      </c>
      <c r="P255" s="82">
        <f>IFERROR(IF(DATA!$I255&lt;iGeneral!F$29,1,P254*(1+P$10/12)),1)</f>
        <v>1</v>
      </c>
      <c r="T255" s="80"/>
      <c r="U255"/>
    </row>
    <row r="256" spans="5:21" ht="16" outlineLevel="1" thickTop="1" thickBot="1">
      <c r="E256" s="74">
        <f t="shared" si="23"/>
        <v>246</v>
      </c>
      <c r="F256" s="75">
        <f t="shared" si="24"/>
        <v>52018</v>
      </c>
      <c r="G256" s="74">
        <f t="shared" si="20"/>
        <v>82</v>
      </c>
      <c r="H256" s="74" t="str">
        <f t="shared" si="21"/>
        <v>Q2-42</v>
      </c>
      <c r="I256" s="74">
        <f t="shared" si="25"/>
        <v>21</v>
      </c>
      <c r="J256" s="74">
        <f t="shared" si="22"/>
        <v>2042</v>
      </c>
      <c r="L256" s="82">
        <f>IF(I257&lt;iGeneral!F$25,1,L255*(1+L$10/12))</f>
        <v>1.5037972859565636</v>
      </c>
      <c r="M256" s="82">
        <f>IF(I255&lt;iGeneral!F$26,1,M255*(1+M$10/12))</f>
        <v>1.2142004675795091</v>
      </c>
      <c r="N256" s="82">
        <f>IF(I255&lt;iGeneral!F$27,1,N255*(1+N$10/12))</f>
        <v>1</v>
      </c>
      <c r="O256" s="82">
        <f>IFERROR(IF(I255&lt;iGeneral!F$28,1,O255*(1+O$10/12)),1)</f>
        <v>1</v>
      </c>
      <c r="P256" s="82">
        <f>IFERROR(IF(DATA!$I256&lt;iGeneral!F$29,1,P255*(1+P$10/12)),1)</f>
        <v>1</v>
      </c>
      <c r="T256" s="80"/>
      <c r="U256"/>
    </row>
    <row r="257" spans="5:21" ht="16" outlineLevel="1" thickTop="1" thickBot="1">
      <c r="E257" s="74">
        <f t="shared" si="23"/>
        <v>247</v>
      </c>
      <c r="F257" s="75">
        <f t="shared" si="24"/>
        <v>52048</v>
      </c>
      <c r="G257" s="74">
        <f t="shared" si="20"/>
        <v>83</v>
      </c>
      <c r="H257" s="74" t="str">
        <f t="shared" si="21"/>
        <v>Q2-42</v>
      </c>
      <c r="I257" s="74">
        <f t="shared" si="25"/>
        <v>21</v>
      </c>
      <c r="J257" s="74">
        <f t="shared" si="22"/>
        <v>2042</v>
      </c>
      <c r="L257" s="82">
        <f>IF(I258&lt;iGeneral!F$25,1,L256*(1+L$10/12))</f>
        <v>1.5063036147664912</v>
      </c>
      <c r="M257" s="82">
        <f>IF(I256&lt;iGeneral!F$26,1,M256*(1+M$10/12))</f>
        <v>1.2152123013024918</v>
      </c>
      <c r="N257" s="82">
        <f>IF(I256&lt;iGeneral!F$27,1,N256*(1+N$10/12))</f>
        <v>1</v>
      </c>
      <c r="O257" s="82">
        <f>IFERROR(IF(I256&lt;iGeneral!F$28,1,O256*(1+O$10/12)),1)</f>
        <v>1</v>
      </c>
      <c r="P257" s="82">
        <f>IFERROR(IF(DATA!$I257&lt;iGeneral!F$29,1,P256*(1+P$10/12)),1)</f>
        <v>1</v>
      </c>
      <c r="T257" s="80"/>
      <c r="U257"/>
    </row>
    <row r="258" spans="5:21" ht="16" outlineLevel="1" thickTop="1" thickBot="1">
      <c r="E258" s="74">
        <f t="shared" si="23"/>
        <v>248</v>
      </c>
      <c r="F258" s="75">
        <f t="shared" si="24"/>
        <v>52079</v>
      </c>
      <c r="G258" s="74">
        <f t="shared" si="20"/>
        <v>83</v>
      </c>
      <c r="H258" s="74" t="str">
        <f t="shared" si="21"/>
        <v>Q3-42</v>
      </c>
      <c r="I258" s="74">
        <f t="shared" si="25"/>
        <v>21</v>
      </c>
      <c r="J258" s="74">
        <f t="shared" si="22"/>
        <v>2042</v>
      </c>
      <c r="L258" s="82">
        <f>IF(I259&lt;iGeneral!F$25,1,L257*(1+L$10/12))</f>
        <v>1.5088141207911021</v>
      </c>
      <c r="M258" s="82">
        <f>IF(I257&lt;iGeneral!F$26,1,M257*(1+M$10/12))</f>
        <v>1.2162249782202437</v>
      </c>
      <c r="N258" s="82">
        <f>IF(I257&lt;iGeneral!F$27,1,N257*(1+N$10/12))</f>
        <v>1</v>
      </c>
      <c r="O258" s="82">
        <f>IFERROR(IF(I257&lt;iGeneral!F$28,1,O257*(1+O$10/12)),1)</f>
        <v>1</v>
      </c>
      <c r="P258" s="82">
        <f>IFERROR(IF(DATA!$I258&lt;iGeneral!F$29,1,P257*(1+P$10/12)),1)</f>
        <v>1</v>
      </c>
      <c r="T258" s="80"/>
      <c r="U258"/>
    </row>
    <row r="259" spans="5:21" ht="16" outlineLevel="1" thickTop="1" thickBot="1">
      <c r="E259" s="74">
        <f t="shared" si="23"/>
        <v>249</v>
      </c>
      <c r="F259" s="75">
        <f t="shared" si="24"/>
        <v>52110</v>
      </c>
      <c r="G259" s="74">
        <f t="shared" si="20"/>
        <v>83</v>
      </c>
      <c r="H259" s="74" t="str">
        <f t="shared" si="21"/>
        <v>Q3-42</v>
      </c>
      <c r="I259" s="74">
        <f t="shared" si="25"/>
        <v>21</v>
      </c>
      <c r="J259" s="74">
        <f t="shared" si="22"/>
        <v>2042</v>
      </c>
      <c r="L259" s="82">
        <f>IF(I260&lt;iGeneral!F$25,1,L258*(1+L$10/12))</f>
        <v>1.5113288109924208</v>
      </c>
      <c r="M259" s="82">
        <f>IF(I258&lt;iGeneral!F$26,1,M258*(1+M$10/12))</f>
        <v>1.217238499035427</v>
      </c>
      <c r="N259" s="82">
        <f>IF(I258&lt;iGeneral!F$27,1,N258*(1+N$10/12))</f>
        <v>1</v>
      </c>
      <c r="O259" s="82">
        <f>IFERROR(IF(I258&lt;iGeneral!F$28,1,O258*(1+O$10/12)),1)</f>
        <v>1</v>
      </c>
      <c r="P259" s="82">
        <f>IFERROR(IF(DATA!$I259&lt;iGeneral!F$29,1,P258*(1+P$10/12)),1)</f>
        <v>1</v>
      </c>
      <c r="T259" s="80"/>
      <c r="U259"/>
    </row>
    <row r="260" spans="5:21" ht="16" outlineLevel="1" thickTop="1" thickBot="1">
      <c r="E260" s="74">
        <f t="shared" si="23"/>
        <v>250</v>
      </c>
      <c r="F260" s="75">
        <f t="shared" si="24"/>
        <v>52140</v>
      </c>
      <c r="G260" s="74">
        <f t="shared" si="20"/>
        <v>84</v>
      </c>
      <c r="H260" s="74" t="str">
        <f t="shared" si="21"/>
        <v>Q3-42</v>
      </c>
      <c r="I260" s="74">
        <f t="shared" si="25"/>
        <v>21</v>
      </c>
      <c r="J260" s="74">
        <f t="shared" si="22"/>
        <v>2042</v>
      </c>
      <c r="L260" s="82">
        <f>IF(I261&lt;iGeneral!F$25,1,L259*(1+L$10/12))</f>
        <v>1.5138476923440749</v>
      </c>
      <c r="M260" s="82">
        <f>IF(I259&lt;iGeneral!F$26,1,M259*(1+M$10/12))</f>
        <v>1.2182528644512898</v>
      </c>
      <c r="N260" s="82">
        <f>IF(I259&lt;iGeneral!F$27,1,N259*(1+N$10/12))</f>
        <v>1</v>
      </c>
      <c r="O260" s="82">
        <f>IFERROR(IF(I259&lt;iGeneral!F$28,1,O259*(1+O$10/12)),1)</f>
        <v>1</v>
      </c>
      <c r="P260" s="82">
        <f>IFERROR(IF(DATA!$I260&lt;iGeneral!F$29,1,P259*(1+P$10/12)),1)</f>
        <v>1</v>
      </c>
      <c r="T260" s="80"/>
      <c r="U260"/>
    </row>
    <row r="261" spans="5:21" ht="16" outlineLevel="1" thickTop="1" thickBot="1">
      <c r="E261" s="74">
        <f t="shared" si="23"/>
        <v>251</v>
      </c>
      <c r="F261" s="75">
        <f t="shared" si="24"/>
        <v>52171</v>
      </c>
      <c r="G261" s="74">
        <f t="shared" si="20"/>
        <v>84</v>
      </c>
      <c r="H261" s="74" t="str">
        <f t="shared" si="21"/>
        <v>Q3-42</v>
      </c>
      <c r="I261" s="74">
        <f t="shared" si="25"/>
        <v>21</v>
      </c>
      <c r="J261" s="74">
        <f t="shared" si="22"/>
        <v>2042</v>
      </c>
      <c r="L261" s="82">
        <f>IF(I262&lt;iGeneral!F$25,1,L260*(1+L$10/12))</f>
        <v>1.5163707718313151</v>
      </c>
      <c r="M261" s="82">
        <f>IF(I260&lt;iGeneral!F$26,1,M260*(1+M$10/12))</f>
        <v>1.2192680751716658</v>
      </c>
      <c r="N261" s="82">
        <f>IF(I260&lt;iGeneral!F$27,1,N260*(1+N$10/12))</f>
        <v>1</v>
      </c>
      <c r="O261" s="82">
        <f>IFERROR(IF(I260&lt;iGeneral!F$28,1,O260*(1+O$10/12)),1)</f>
        <v>1</v>
      </c>
      <c r="P261" s="82">
        <f>IFERROR(IF(DATA!$I261&lt;iGeneral!F$29,1,P260*(1+P$10/12)),1)</f>
        <v>1</v>
      </c>
      <c r="T261" s="80"/>
      <c r="U261"/>
    </row>
    <row r="262" spans="5:21" ht="16" outlineLevel="1" thickTop="1" thickBot="1">
      <c r="E262" s="74">
        <f t="shared" si="23"/>
        <v>252</v>
      </c>
      <c r="F262" s="75">
        <f t="shared" si="24"/>
        <v>52201</v>
      </c>
      <c r="G262" s="74">
        <f t="shared" si="20"/>
        <v>84</v>
      </c>
      <c r="H262" s="74" t="str">
        <f t="shared" si="21"/>
        <v>Q4-42</v>
      </c>
      <c r="I262" s="74">
        <f t="shared" si="25"/>
        <v>21</v>
      </c>
      <c r="J262" s="74">
        <f t="shared" si="22"/>
        <v>2042</v>
      </c>
      <c r="L262" s="82">
        <f>IF(I263&lt;iGeneral!F$25,1,L261*(1+L$10/12))</f>
        <v>1.5188980564510339</v>
      </c>
      <c r="M262" s="82">
        <f>IF(I261&lt;iGeneral!F$26,1,M261*(1+M$10/12))</f>
        <v>1.2202841319009754</v>
      </c>
      <c r="N262" s="82">
        <f>IF(I261&lt;iGeneral!F$27,1,N261*(1+N$10/12))</f>
        <v>1</v>
      </c>
      <c r="O262" s="82">
        <f>IFERROR(IF(I261&lt;iGeneral!F$28,1,O261*(1+O$10/12)),1)</f>
        <v>1</v>
      </c>
      <c r="P262" s="82">
        <f>IFERROR(IF(DATA!$I262&lt;iGeneral!F$29,1,P261*(1+P$10/12)),1)</f>
        <v>1</v>
      </c>
      <c r="T262" s="80"/>
      <c r="U262"/>
    </row>
    <row r="263" spans="5:21" ht="16" outlineLevel="1" thickTop="1" thickBot="1">
      <c r="E263" s="74">
        <f t="shared" si="23"/>
        <v>253</v>
      </c>
      <c r="F263" s="75">
        <f t="shared" si="24"/>
        <v>52232</v>
      </c>
      <c r="G263" s="74">
        <f t="shared" si="20"/>
        <v>85</v>
      </c>
      <c r="H263" s="74" t="str">
        <f t="shared" si="21"/>
        <v>Q1-43</v>
      </c>
      <c r="I263" s="74">
        <f t="shared" si="25"/>
        <v>22</v>
      </c>
      <c r="J263" s="74">
        <f t="shared" si="22"/>
        <v>2043</v>
      </c>
      <c r="L263" s="82">
        <f>IF(I264&lt;iGeneral!F$25,1,L262*(1+L$10/12))</f>
        <v>1.5214295532117856</v>
      </c>
      <c r="M263" s="82">
        <f>IF(I262&lt;iGeneral!F$26,1,M262*(1+M$10/12))</f>
        <v>1.2213010353442262</v>
      </c>
      <c r="N263" s="82">
        <f>IF(I262&lt;iGeneral!F$27,1,N262*(1+N$10/12))</f>
        <v>1</v>
      </c>
      <c r="O263" s="82">
        <f>IFERROR(IF(I262&lt;iGeneral!F$28,1,O262*(1+O$10/12)),1)</f>
        <v>1</v>
      </c>
      <c r="P263" s="82">
        <f>IFERROR(IF(DATA!$I263&lt;iGeneral!F$29,1,P262*(1+P$10/12)),1)</f>
        <v>1</v>
      </c>
      <c r="T263" s="80"/>
      <c r="U263"/>
    </row>
    <row r="264" spans="5:21" ht="16" outlineLevel="1" thickTop="1" thickBot="1">
      <c r="E264" s="74">
        <f t="shared" si="23"/>
        <v>254</v>
      </c>
      <c r="F264" s="75">
        <f t="shared" si="24"/>
        <v>52263</v>
      </c>
      <c r="G264" s="74">
        <f t="shared" si="20"/>
        <v>85</v>
      </c>
      <c r="H264" s="74" t="str">
        <f t="shared" si="21"/>
        <v>Q1-43</v>
      </c>
      <c r="I264" s="74">
        <f t="shared" si="25"/>
        <v>22</v>
      </c>
      <c r="J264" s="74">
        <f t="shared" si="22"/>
        <v>2043</v>
      </c>
      <c r="L264" s="82">
        <f>IF(I265&lt;iGeneral!F$25,1,L263*(1+L$10/12))</f>
        <v>1.5239652691338053</v>
      </c>
      <c r="M264" s="82">
        <f>IF(I263&lt;iGeneral!F$26,1,M263*(1+M$10/12))</f>
        <v>1.2223187862070128</v>
      </c>
      <c r="N264" s="82">
        <f>IF(I263&lt;iGeneral!F$27,1,N263*(1+N$10/12))</f>
        <v>1</v>
      </c>
      <c r="O264" s="82">
        <f>IFERROR(IF(I263&lt;iGeneral!F$28,1,O263*(1+O$10/12)),1)</f>
        <v>1</v>
      </c>
      <c r="P264" s="82">
        <f>IFERROR(IF(DATA!$I264&lt;iGeneral!F$29,1,P263*(1+P$10/12)),1)</f>
        <v>1</v>
      </c>
      <c r="T264" s="80"/>
      <c r="U264"/>
    </row>
    <row r="265" spans="5:21" ht="16" outlineLevel="1" thickTop="1" thickBot="1">
      <c r="E265" s="74">
        <f t="shared" si="23"/>
        <v>255</v>
      </c>
      <c r="F265" s="75">
        <f t="shared" si="24"/>
        <v>52291</v>
      </c>
      <c r="G265" s="74">
        <f t="shared" si="20"/>
        <v>85</v>
      </c>
      <c r="H265" s="74" t="str">
        <f t="shared" si="21"/>
        <v>Q1-43</v>
      </c>
      <c r="I265" s="74">
        <f t="shared" si="25"/>
        <v>22</v>
      </c>
      <c r="J265" s="74">
        <f t="shared" si="22"/>
        <v>2043</v>
      </c>
      <c r="L265" s="82">
        <f>IF(I266&lt;iGeneral!F$25,1,L264*(1+L$10/12))</f>
        <v>1.5265052112490283</v>
      </c>
      <c r="M265" s="82">
        <f>IF(I264&lt;iGeneral!F$26,1,M264*(1+M$10/12))</f>
        <v>1.2233373851955185</v>
      </c>
      <c r="N265" s="82">
        <f>IF(I264&lt;iGeneral!F$27,1,N264*(1+N$10/12))</f>
        <v>1</v>
      </c>
      <c r="O265" s="82">
        <f>IFERROR(IF(I264&lt;iGeneral!F$28,1,O264*(1+O$10/12)),1)</f>
        <v>1</v>
      </c>
      <c r="P265" s="82">
        <f>IFERROR(IF(DATA!$I265&lt;iGeneral!F$29,1,P264*(1+P$10/12)),1)</f>
        <v>1</v>
      </c>
      <c r="T265" s="80"/>
      <c r="U265"/>
    </row>
    <row r="266" spans="5:21" ht="16" outlineLevel="1" thickTop="1" thickBot="1">
      <c r="E266" s="74">
        <f t="shared" si="23"/>
        <v>256</v>
      </c>
      <c r="F266" s="75">
        <f t="shared" si="24"/>
        <v>52322</v>
      </c>
      <c r="G266" s="74">
        <f t="shared" si="20"/>
        <v>86</v>
      </c>
      <c r="H266" s="74" t="str">
        <f t="shared" si="21"/>
        <v>Q2-43</v>
      </c>
      <c r="I266" s="74">
        <f t="shared" si="25"/>
        <v>22</v>
      </c>
      <c r="J266" s="74">
        <f t="shared" si="22"/>
        <v>2043</v>
      </c>
      <c r="L266" s="82">
        <f>IF(I267&lt;iGeneral!F$25,1,L265*(1+L$10/12))</f>
        <v>1.5290493866011101</v>
      </c>
      <c r="M266" s="82">
        <f>IF(I265&lt;iGeneral!F$26,1,M265*(1+M$10/12))</f>
        <v>1.2243568330165147</v>
      </c>
      <c r="N266" s="82">
        <f>IF(I265&lt;iGeneral!F$27,1,N265*(1+N$10/12))</f>
        <v>1</v>
      </c>
      <c r="O266" s="82">
        <f>IFERROR(IF(I265&lt;iGeneral!F$28,1,O265*(1+O$10/12)),1)</f>
        <v>1</v>
      </c>
      <c r="P266" s="82">
        <f>IFERROR(IF(DATA!$I266&lt;iGeneral!F$29,1,P265*(1+P$10/12)),1)</f>
        <v>1</v>
      </c>
      <c r="T266" s="80"/>
      <c r="U266"/>
    </row>
    <row r="267" spans="5:21" ht="16" outlineLevel="1" thickTop="1" thickBot="1">
      <c r="E267" s="74">
        <f t="shared" si="23"/>
        <v>257</v>
      </c>
      <c r="F267" s="75">
        <f t="shared" si="24"/>
        <v>52352</v>
      </c>
      <c r="G267" s="74">
        <f t="shared" ref="G267:G330" si="26">INT(INT(E267+2)/3)</f>
        <v>86</v>
      </c>
      <c r="H267" s="74" t="str">
        <f t="shared" ref="H267:H330" si="27">"Q"&amp;INT((MONTH(F267)/4)+1)&amp;"-"&amp;RIGHT(YEAR(F267),2)</f>
        <v>Q2-43</v>
      </c>
      <c r="I267" s="74">
        <f t="shared" si="25"/>
        <v>22</v>
      </c>
      <c r="J267" s="74">
        <f t="shared" ref="J267:J330" si="28">YEAR(F267)</f>
        <v>2043</v>
      </c>
      <c r="L267" s="82">
        <f>IF(I268&lt;iGeneral!F$25,1,L266*(1+L$10/12))</f>
        <v>1.5315978022454453</v>
      </c>
      <c r="M267" s="82">
        <f>IF(I266&lt;iGeneral!F$26,1,M266*(1+M$10/12))</f>
        <v>1.2253771303773617</v>
      </c>
      <c r="N267" s="82">
        <f>IF(I266&lt;iGeneral!F$27,1,N266*(1+N$10/12))</f>
        <v>1</v>
      </c>
      <c r="O267" s="82">
        <f>IFERROR(IF(I266&lt;iGeneral!F$28,1,O266*(1+O$10/12)),1)</f>
        <v>1</v>
      </c>
      <c r="P267" s="82">
        <f>IFERROR(IF(DATA!$I267&lt;iGeneral!F$29,1,P266*(1+P$10/12)),1)</f>
        <v>1</v>
      </c>
      <c r="T267" s="80"/>
      <c r="U267"/>
    </row>
    <row r="268" spans="5:21" ht="16" outlineLevel="1" thickTop="1" thickBot="1">
      <c r="E268" s="74">
        <f t="shared" ref="E268:E331" si="29">E267+1</f>
        <v>258</v>
      </c>
      <c r="F268" s="75">
        <f t="shared" ref="F268:F331" si="30">EOMONTH(F267,0)+1</f>
        <v>52383</v>
      </c>
      <c r="G268" s="74">
        <f t="shared" si="26"/>
        <v>86</v>
      </c>
      <c r="H268" s="74" t="str">
        <f t="shared" si="27"/>
        <v>Q2-43</v>
      </c>
      <c r="I268" s="74">
        <f t="shared" ref="I268:I331" si="31">MIN(INT(YEARFRAC(F$11,F280)),30)</f>
        <v>22</v>
      </c>
      <c r="J268" s="74">
        <f t="shared" si="28"/>
        <v>2043</v>
      </c>
      <c r="L268" s="82">
        <f>IF(I269&lt;iGeneral!F$25,1,L267*(1+L$10/12))</f>
        <v>1.5341504652491877</v>
      </c>
      <c r="M268" s="82">
        <f>IF(I267&lt;iGeneral!F$26,1,M267*(1+M$10/12))</f>
        <v>1.2263982779860094</v>
      </c>
      <c r="N268" s="82">
        <f>IF(I267&lt;iGeneral!F$27,1,N267*(1+N$10/12))</f>
        <v>1</v>
      </c>
      <c r="O268" s="82">
        <f>IFERROR(IF(I267&lt;iGeneral!F$28,1,O267*(1+O$10/12)),1)</f>
        <v>1</v>
      </c>
      <c r="P268" s="82">
        <f>IFERROR(IF(DATA!$I268&lt;iGeneral!F$29,1,P267*(1+P$10/12)),1)</f>
        <v>1</v>
      </c>
      <c r="T268" s="80"/>
      <c r="U268"/>
    </row>
    <row r="269" spans="5:21" ht="16" outlineLevel="1" thickTop="1" thickBot="1">
      <c r="E269" s="74">
        <f t="shared" si="29"/>
        <v>259</v>
      </c>
      <c r="F269" s="75">
        <f t="shared" si="30"/>
        <v>52413</v>
      </c>
      <c r="G269" s="74">
        <f t="shared" si="26"/>
        <v>87</v>
      </c>
      <c r="H269" s="74" t="str">
        <f t="shared" si="27"/>
        <v>Q2-43</v>
      </c>
      <c r="I269" s="74">
        <f t="shared" si="31"/>
        <v>22</v>
      </c>
      <c r="J269" s="74">
        <f t="shared" si="28"/>
        <v>2043</v>
      </c>
      <c r="L269" s="82">
        <f>IF(I270&lt;iGeneral!F$25,1,L268*(1+L$10/12))</f>
        <v>1.5367073826912698</v>
      </c>
      <c r="M269" s="82">
        <f>IF(I268&lt;iGeneral!F$26,1,M268*(1+M$10/12))</f>
        <v>1.2274202765509976</v>
      </c>
      <c r="N269" s="82">
        <f>IF(I268&lt;iGeneral!F$27,1,N268*(1+N$10/12))</f>
        <v>1</v>
      </c>
      <c r="O269" s="82">
        <f>IFERROR(IF(I268&lt;iGeneral!F$28,1,O268*(1+O$10/12)),1)</f>
        <v>1</v>
      </c>
      <c r="P269" s="82">
        <f>IFERROR(IF(DATA!$I269&lt;iGeneral!F$29,1,P268*(1+P$10/12)),1)</f>
        <v>1</v>
      </c>
      <c r="T269" s="80"/>
      <c r="U269"/>
    </row>
    <row r="270" spans="5:21" ht="16" outlineLevel="1" thickTop="1" thickBot="1">
      <c r="E270" s="74">
        <f t="shared" si="29"/>
        <v>260</v>
      </c>
      <c r="F270" s="75">
        <f t="shared" si="30"/>
        <v>52444</v>
      </c>
      <c r="G270" s="74">
        <f t="shared" si="26"/>
        <v>87</v>
      </c>
      <c r="H270" s="74" t="str">
        <f t="shared" si="27"/>
        <v>Q3-43</v>
      </c>
      <c r="I270" s="74">
        <f t="shared" si="31"/>
        <v>22</v>
      </c>
      <c r="J270" s="74">
        <f t="shared" si="28"/>
        <v>2043</v>
      </c>
      <c r="L270" s="82">
        <f>IF(I271&lt;iGeneral!F$25,1,L269*(1+L$10/12))</f>
        <v>1.539268561662422</v>
      </c>
      <c r="M270" s="82">
        <f>IF(I269&lt;iGeneral!F$26,1,M269*(1+M$10/12))</f>
        <v>1.2284431267814566</v>
      </c>
      <c r="N270" s="82">
        <f>IF(I269&lt;iGeneral!F$27,1,N269*(1+N$10/12))</f>
        <v>1</v>
      </c>
      <c r="O270" s="82">
        <f>IFERROR(IF(I269&lt;iGeneral!F$28,1,O269*(1+O$10/12)),1)</f>
        <v>1</v>
      </c>
      <c r="P270" s="82">
        <f>IFERROR(IF(DATA!$I270&lt;iGeneral!F$29,1,P269*(1+P$10/12)),1)</f>
        <v>1</v>
      </c>
      <c r="T270" s="80"/>
      <c r="U270"/>
    </row>
    <row r="271" spans="5:21" ht="16" outlineLevel="1" thickTop="1" thickBot="1">
      <c r="E271" s="74">
        <f t="shared" si="29"/>
        <v>261</v>
      </c>
      <c r="F271" s="75">
        <f t="shared" si="30"/>
        <v>52475</v>
      </c>
      <c r="G271" s="74">
        <f t="shared" si="26"/>
        <v>87</v>
      </c>
      <c r="H271" s="74" t="str">
        <f t="shared" si="27"/>
        <v>Q3-43</v>
      </c>
      <c r="I271" s="74">
        <f t="shared" si="31"/>
        <v>22</v>
      </c>
      <c r="J271" s="74">
        <f t="shared" si="28"/>
        <v>2043</v>
      </c>
      <c r="L271" s="82">
        <f>IF(I272&lt;iGeneral!F$25,1,L270*(1+L$10/12))</f>
        <v>1.5418340092651928</v>
      </c>
      <c r="M271" s="82">
        <f>IF(I270&lt;iGeneral!F$26,1,M270*(1+M$10/12))</f>
        <v>1.2294668293871078</v>
      </c>
      <c r="N271" s="82">
        <f>IF(I270&lt;iGeneral!F$27,1,N270*(1+N$10/12))</f>
        <v>1</v>
      </c>
      <c r="O271" s="82">
        <f>IFERROR(IF(I270&lt;iGeneral!F$28,1,O270*(1+O$10/12)),1)</f>
        <v>1</v>
      </c>
      <c r="P271" s="82">
        <f>IFERROR(IF(DATA!$I271&lt;iGeneral!F$29,1,P270*(1+P$10/12)),1)</f>
        <v>1</v>
      </c>
      <c r="T271" s="80"/>
      <c r="U271"/>
    </row>
    <row r="272" spans="5:21" ht="16" outlineLevel="1" thickTop="1" thickBot="1">
      <c r="E272" s="74">
        <f t="shared" si="29"/>
        <v>262</v>
      </c>
      <c r="F272" s="75">
        <f t="shared" si="30"/>
        <v>52505</v>
      </c>
      <c r="G272" s="74">
        <f t="shared" si="26"/>
        <v>88</v>
      </c>
      <c r="H272" s="74" t="str">
        <f t="shared" si="27"/>
        <v>Q3-43</v>
      </c>
      <c r="I272" s="74">
        <f t="shared" si="31"/>
        <v>22</v>
      </c>
      <c r="J272" s="74">
        <f t="shared" si="28"/>
        <v>2043</v>
      </c>
      <c r="L272" s="82">
        <f>IF(I273&lt;iGeneral!F$25,1,L271*(1+L$10/12))</f>
        <v>1.5444037326139681</v>
      </c>
      <c r="M272" s="82">
        <f>IF(I271&lt;iGeneral!F$26,1,M271*(1+M$10/12))</f>
        <v>1.2304913850782637</v>
      </c>
      <c r="N272" s="82">
        <f>IF(I271&lt;iGeneral!F$27,1,N271*(1+N$10/12))</f>
        <v>1</v>
      </c>
      <c r="O272" s="82">
        <f>IFERROR(IF(I271&lt;iGeneral!F$28,1,O271*(1+O$10/12)),1)</f>
        <v>1</v>
      </c>
      <c r="P272" s="82">
        <f>IFERROR(IF(DATA!$I272&lt;iGeneral!F$29,1,P271*(1+P$10/12)),1)</f>
        <v>1</v>
      </c>
      <c r="T272" s="80"/>
      <c r="U272"/>
    </row>
    <row r="273" spans="5:21" ht="16" outlineLevel="1" thickTop="1" thickBot="1">
      <c r="E273" s="74">
        <f t="shared" si="29"/>
        <v>263</v>
      </c>
      <c r="F273" s="75">
        <f t="shared" si="30"/>
        <v>52536</v>
      </c>
      <c r="G273" s="74">
        <f t="shared" si="26"/>
        <v>88</v>
      </c>
      <c r="H273" s="74" t="str">
        <f t="shared" si="27"/>
        <v>Q3-43</v>
      </c>
      <c r="I273" s="74">
        <f t="shared" si="31"/>
        <v>22</v>
      </c>
      <c r="J273" s="74">
        <f t="shared" si="28"/>
        <v>2043</v>
      </c>
      <c r="L273" s="82">
        <f>IF(I274&lt;iGeneral!F$25,1,L272*(1+L$10/12))</f>
        <v>1.5469777388349915</v>
      </c>
      <c r="M273" s="82">
        <f>IF(I272&lt;iGeneral!F$26,1,M272*(1+M$10/12))</f>
        <v>1.2315167945658287</v>
      </c>
      <c r="N273" s="82">
        <f>IF(I272&lt;iGeneral!F$27,1,N272*(1+N$10/12))</f>
        <v>1</v>
      </c>
      <c r="O273" s="82">
        <f>IFERROR(IF(I272&lt;iGeneral!F$28,1,O272*(1+O$10/12)),1)</f>
        <v>1</v>
      </c>
      <c r="P273" s="82">
        <f>IFERROR(IF(DATA!$I273&lt;iGeneral!F$29,1,P272*(1+P$10/12)),1)</f>
        <v>1</v>
      </c>
      <c r="T273" s="80"/>
      <c r="U273"/>
    </row>
    <row r="274" spans="5:21" ht="16" outlineLevel="1" thickTop="1" thickBot="1">
      <c r="E274" s="74">
        <f t="shared" si="29"/>
        <v>264</v>
      </c>
      <c r="F274" s="75">
        <f t="shared" si="30"/>
        <v>52566</v>
      </c>
      <c r="G274" s="74">
        <f t="shared" si="26"/>
        <v>88</v>
      </c>
      <c r="H274" s="74" t="str">
        <f t="shared" si="27"/>
        <v>Q4-43</v>
      </c>
      <c r="I274" s="74">
        <f t="shared" si="31"/>
        <v>22</v>
      </c>
      <c r="J274" s="74">
        <f t="shared" si="28"/>
        <v>2043</v>
      </c>
      <c r="L274" s="82">
        <f>IF(I275&lt;iGeneral!F$25,1,L273*(1+L$10/12))</f>
        <v>1.5495560350663831</v>
      </c>
      <c r="M274" s="82">
        <f>IF(I273&lt;iGeneral!F$26,1,M273*(1+M$10/12))</f>
        <v>1.2325430585613002</v>
      </c>
      <c r="N274" s="82">
        <f>IF(I273&lt;iGeneral!F$27,1,N273*(1+N$10/12))</f>
        <v>1</v>
      </c>
      <c r="O274" s="82">
        <f>IFERROR(IF(I273&lt;iGeneral!F$28,1,O273*(1+O$10/12)),1)</f>
        <v>1</v>
      </c>
      <c r="P274" s="82">
        <f>IFERROR(IF(DATA!$I274&lt;iGeneral!F$29,1,P273*(1+P$10/12)),1)</f>
        <v>1</v>
      </c>
      <c r="T274" s="80"/>
      <c r="U274"/>
    </row>
    <row r="275" spans="5:21" ht="16" outlineLevel="1" thickTop="1" thickBot="1">
      <c r="E275" s="74">
        <f t="shared" si="29"/>
        <v>265</v>
      </c>
      <c r="F275" s="75">
        <f t="shared" si="30"/>
        <v>52597</v>
      </c>
      <c r="G275" s="74">
        <f t="shared" si="26"/>
        <v>89</v>
      </c>
      <c r="H275" s="74" t="str">
        <f t="shared" si="27"/>
        <v>Q1-44</v>
      </c>
      <c r="I275" s="74">
        <f t="shared" si="31"/>
        <v>23</v>
      </c>
      <c r="J275" s="74">
        <f t="shared" si="28"/>
        <v>2044</v>
      </c>
      <c r="L275" s="82">
        <f>IF(I276&lt;iGeneral!F$25,1,L274*(1+L$10/12))</f>
        <v>1.5521386284581604</v>
      </c>
      <c r="M275" s="82">
        <f>IF(I274&lt;iGeneral!F$26,1,M274*(1+M$10/12))</f>
        <v>1.2335701777767678</v>
      </c>
      <c r="N275" s="82">
        <f>IF(I274&lt;iGeneral!F$27,1,N274*(1+N$10/12))</f>
        <v>1</v>
      </c>
      <c r="O275" s="82">
        <f>IFERROR(IF(I274&lt;iGeneral!F$28,1,O274*(1+O$10/12)),1)</f>
        <v>1</v>
      </c>
      <c r="P275" s="82">
        <f>IFERROR(IF(DATA!$I275&lt;iGeneral!F$29,1,P274*(1+P$10/12)),1)</f>
        <v>1</v>
      </c>
      <c r="T275" s="80"/>
      <c r="U275"/>
    </row>
    <row r="276" spans="5:21" ht="16" outlineLevel="1" thickTop="1" thickBot="1">
      <c r="E276" s="74">
        <f t="shared" si="29"/>
        <v>266</v>
      </c>
      <c r="F276" s="75">
        <f t="shared" si="30"/>
        <v>52628</v>
      </c>
      <c r="G276" s="74">
        <f t="shared" si="26"/>
        <v>89</v>
      </c>
      <c r="H276" s="74" t="str">
        <f t="shared" si="27"/>
        <v>Q1-44</v>
      </c>
      <c r="I276" s="74">
        <f t="shared" si="31"/>
        <v>23</v>
      </c>
      <c r="J276" s="74">
        <f t="shared" si="28"/>
        <v>2044</v>
      </c>
      <c r="L276" s="82">
        <f>IF(I277&lt;iGeneral!F$25,1,L275*(1+L$10/12))</f>
        <v>1.5547255261722575</v>
      </c>
      <c r="M276" s="82">
        <f>IF(I275&lt;iGeneral!F$26,1,M275*(1+M$10/12))</f>
        <v>1.234598152924915</v>
      </c>
      <c r="N276" s="82">
        <f>IF(I275&lt;iGeneral!F$27,1,N275*(1+N$10/12))</f>
        <v>1</v>
      </c>
      <c r="O276" s="82">
        <f>IFERROR(IF(I275&lt;iGeneral!F$28,1,O275*(1+O$10/12)),1)</f>
        <v>1</v>
      </c>
      <c r="P276" s="82">
        <f>IFERROR(IF(DATA!$I276&lt;iGeneral!F$29,1,P275*(1+P$10/12)),1)</f>
        <v>1</v>
      </c>
      <c r="T276" s="80"/>
      <c r="U276"/>
    </row>
    <row r="277" spans="5:21" ht="16" outlineLevel="1" thickTop="1" thickBot="1">
      <c r="E277" s="74">
        <f t="shared" si="29"/>
        <v>267</v>
      </c>
      <c r="F277" s="75">
        <f t="shared" si="30"/>
        <v>52657</v>
      </c>
      <c r="G277" s="74">
        <f t="shared" si="26"/>
        <v>89</v>
      </c>
      <c r="H277" s="74" t="str">
        <f t="shared" si="27"/>
        <v>Q1-44</v>
      </c>
      <c r="I277" s="74">
        <f t="shared" si="31"/>
        <v>23</v>
      </c>
      <c r="J277" s="74">
        <f t="shared" si="28"/>
        <v>2044</v>
      </c>
      <c r="L277" s="82">
        <f>IF(I278&lt;iGeneral!F$25,1,L276*(1+L$10/12))</f>
        <v>1.5573167353825446</v>
      </c>
      <c r="M277" s="82">
        <f>IF(I276&lt;iGeneral!F$26,1,M276*(1+M$10/12))</f>
        <v>1.2356269847190191</v>
      </c>
      <c r="N277" s="82">
        <f>IF(I276&lt;iGeneral!F$27,1,N276*(1+N$10/12))</f>
        <v>1</v>
      </c>
      <c r="O277" s="82">
        <f>IFERROR(IF(I276&lt;iGeneral!F$28,1,O276*(1+O$10/12)),1)</f>
        <v>1</v>
      </c>
      <c r="P277" s="82">
        <f>IFERROR(IF(DATA!$I277&lt;iGeneral!F$29,1,P276*(1+P$10/12)),1)</f>
        <v>1</v>
      </c>
      <c r="T277" s="80"/>
      <c r="U277"/>
    </row>
    <row r="278" spans="5:21" ht="16" outlineLevel="1" thickTop="1" thickBot="1">
      <c r="E278" s="74">
        <f t="shared" si="29"/>
        <v>268</v>
      </c>
      <c r="F278" s="75">
        <f t="shared" si="30"/>
        <v>52688</v>
      </c>
      <c r="G278" s="74">
        <f t="shared" si="26"/>
        <v>90</v>
      </c>
      <c r="H278" s="74" t="str">
        <f t="shared" si="27"/>
        <v>Q2-44</v>
      </c>
      <c r="I278" s="74">
        <f t="shared" si="31"/>
        <v>23</v>
      </c>
      <c r="J278" s="74">
        <f t="shared" si="28"/>
        <v>2044</v>
      </c>
      <c r="L278" s="82">
        <f>IF(I279&lt;iGeneral!F$25,1,L277*(1+L$10/12))</f>
        <v>1.5599122632748488</v>
      </c>
      <c r="M278" s="82">
        <f>IF(I277&lt;iGeneral!F$26,1,M277*(1+M$10/12))</f>
        <v>1.2366566738729514</v>
      </c>
      <c r="N278" s="82">
        <f>IF(I277&lt;iGeneral!F$27,1,N277*(1+N$10/12))</f>
        <v>1</v>
      </c>
      <c r="O278" s="82">
        <f>IFERROR(IF(I277&lt;iGeneral!F$28,1,O277*(1+O$10/12)),1)</f>
        <v>1</v>
      </c>
      <c r="P278" s="82">
        <f>IFERROR(IF(DATA!$I278&lt;iGeneral!F$29,1,P277*(1+P$10/12)),1)</f>
        <v>1</v>
      </c>
      <c r="T278" s="80"/>
      <c r="U278"/>
    </row>
    <row r="279" spans="5:21" ht="16" outlineLevel="1" thickTop="1" thickBot="1">
      <c r="E279" s="74">
        <f t="shared" si="29"/>
        <v>269</v>
      </c>
      <c r="F279" s="75">
        <f t="shared" si="30"/>
        <v>52718</v>
      </c>
      <c r="G279" s="74">
        <f t="shared" si="26"/>
        <v>90</v>
      </c>
      <c r="H279" s="74" t="str">
        <f t="shared" si="27"/>
        <v>Q2-44</v>
      </c>
      <c r="I279" s="74">
        <f t="shared" si="31"/>
        <v>23</v>
      </c>
      <c r="J279" s="74">
        <f t="shared" si="28"/>
        <v>2044</v>
      </c>
      <c r="L279" s="82">
        <f>IF(I280&lt;iGeneral!F$25,1,L278*(1+L$10/12))</f>
        <v>1.5625121170469736</v>
      </c>
      <c r="M279" s="82">
        <f>IF(I278&lt;iGeneral!F$26,1,M278*(1+M$10/12))</f>
        <v>1.2376872211011787</v>
      </c>
      <c r="N279" s="82">
        <f>IF(I278&lt;iGeneral!F$27,1,N278*(1+N$10/12))</f>
        <v>1</v>
      </c>
      <c r="O279" s="82">
        <f>IFERROR(IF(I278&lt;iGeneral!F$28,1,O278*(1+O$10/12)),1)</f>
        <v>1</v>
      </c>
      <c r="P279" s="82">
        <f>IFERROR(IF(DATA!$I279&lt;iGeneral!F$29,1,P278*(1+P$10/12)),1)</f>
        <v>1</v>
      </c>
      <c r="T279" s="80"/>
      <c r="U279"/>
    </row>
    <row r="280" spans="5:21" ht="16" outlineLevel="1" thickTop="1" thickBot="1">
      <c r="E280" s="74">
        <f t="shared" si="29"/>
        <v>270</v>
      </c>
      <c r="F280" s="75">
        <f t="shared" si="30"/>
        <v>52749</v>
      </c>
      <c r="G280" s="74">
        <f t="shared" si="26"/>
        <v>90</v>
      </c>
      <c r="H280" s="74" t="str">
        <f t="shared" si="27"/>
        <v>Q2-44</v>
      </c>
      <c r="I280" s="74">
        <f t="shared" si="31"/>
        <v>23</v>
      </c>
      <c r="J280" s="74">
        <f t="shared" si="28"/>
        <v>2044</v>
      </c>
      <c r="L280" s="82">
        <f>IF(I281&lt;iGeneral!F$25,1,L279*(1+L$10/12))</f>
        <v>1.5651163039087186</v>
      </c>
      <c r="M280" s="82">
        <f>IF(I279&lt;iGeneral!F$26,1,M279*(1+M$10/12))</f>
        <v>1.2387186271187629</v>
      </c>
      <c r="N280" s="82">
        <f>IF(I279&lt;iGeneral!F$27,1,N279*(1+N$10/12))</f>
        <v>1</v>
      </c>
      <c r="O280" s="82">
        <f>IFERROR(IF(I279&lt;iGeneral!F$28,1,O279*(1+O$10/12)),1)</f>
        <v>1</v>
      </c>
      <c r="P280" s="82">
        <f>IFERROR(IF(DATA!$I280&lt;iGeneral!F$29,1,P279*(1+P$10/12)),1)</f>
        <v>1</v>
      </c>
      <c r="T280" s="80"/>
      <c r="U280"/>
    </row>
    <row r="281" spans="5:21" ht="16" outlineLevel="1" thickTop="1" thickBot="1">
      <c r="E281" s="74">
        <f t="shared" si="29"/>
        <v>271</v>
      </c>
      <c r="F281" s="75">
        <f t="shared" si="30"/>
        <v>52779</v>
      </c>
      <c r="G281" s="74">
        <f t="shared" si="26"/>
        <v>91</v>
      </c>
      <c r="H281" s="74" t="str">
        <f t="shared" si="27"/>
        <v>Q2-44</v>
      </c>
      <c r="I281" s="74">
        <f t="shared" si="31"/>
        <v>23</v>
      </c>
      <c r="J281" s="74">
        <f t="shared" si="28"/>
        <v>2044</v>
      </c>
      <c r="L281" s="82">
        <f>IF(I282&lt;iGeneral!F$25,1,L280*(1+L$10/12))</f>
        <v>1.5677248310818999</v>
      </c>
      <c r="M281" s="82">
        <f>IF(I280&lt;iGeneral!F$26,1,M280*(1+M$10/12))</f>
        <v>1.2397508926413618</v>
      </c>
      <c r="N281" s="82">
        <f>IF(I280&lt;iGeneral!F$27,1,N280*(1+N$10/12))</f>
        <v>1</v>
      </c>
      <c r="O281" s="82">
        <f>IFERROR(IF(I280&lt;iGeneral!F$28,1,O280*(1+O$10/12)),1)</f>
        <v>1</v>
      </c>
      <c r="P281" s="82">
        <f>IFERROR(IF(DATA!$I281&lt;iGeneral!F$29,1,P280*(1+P$10/12)),1)</f>
        <v>1</v>
      </c>
      <c r="T281" s="80"/>
      <c r="U281"/>
    </row>
    <row r="282" spans="5:21" ht="16" outlineLevel="1" thickTop="1" thickBot="1">
      <c r="E282" s="74">
        <f t="shared" si="29"/>
        <v>272</v>
      </c>
      <c r="F282" s="75">
        <f t="shared" si="30"/>
        <v>52810</v>
      </c>
      <c r="G282" s="74">
        <f t="shared" si="26"/>
        <v>91</v>
      </c>
      <c r="H282" s="74" t="str">
        <f t="shared" si="27"/>
        <v>Q3-44</v>
      </c>
      <c r="I282" s="74">
        <f t="shared" si="31"/>
        <v>23</v>
      </c>
      <c r="J282" s="74">
        <f t="shared" si="28"/>
        <v>2044</v>
      </c>
      <c r="L282" s="82">
        <f>IF(I283&lt;iGeneral!F$25,1,L281*(1+L$10/12))</f>
        <v>1.5703377058003698</v>
      </c>
      <c r="M282" s="82">
        <f>IF(I281&lt;iGeneral!F$26,1,M281*(1+M$10/12))</f>
        <v>1.2407840183852294</v>
      </c>
      <c r="N282" s="82">
        <f>IF(I281&lt;iGeneral!F$27,1,N281*(1+N$10/12))</f>
        <v>1</v>
      </c>
      <c r="O282" s="82">
        <f>IFERROR(IF(I281&lt;iGeneral!F$28,1,O281*(1+O$10/12)),1)</f>
        <v>1</v>
      </c>
      <c r="P282" s="82">
        <f>IFERROR(IF(DATA!$I282&lt;iGeneral!F$29,1,P281*(1+P$10/12)),1)</f>
        <v>1</v>
      </c>
      <c r="T282" s="80"/>
      <c r="U282"/>
    </row>
    <row r="283" spans="5:21" ht="16" outlineLevel="1" thickTop="1" thickBot="1">
      <c r="E283" s="74">
        <f t="shared" si="29"/>
        <v>273</v>
      </c>
      <c r="F283" s="75">
        <f t="shared" si="30"/>
        <v>52841</v>
      </c>
      <c r="G283" s="74">
        <f t="shared" si="26"/>
        <v>91</v>
      </c>
      <c r="H283" s="74" t="str">
        <f t="shared" si="27"/>
        <v>Q3-44</v>
      </c>
      <c r="I283" s="74">
        <f t="shared" si="31"/>
        <v>23</v>
      </c>
      <c r="J283" s="74">
        <f t="shared" si="28"/>
        <v>2044</v>
      </c>
      <c r="L283" s="82">
        <f>IF(I284&lt;iGeneral!F$25,1,L282*(1+L$10/12))</f>
        <v>1.5729549353100372</v>
      </c>
      <c r="M283" s="82">
        <f>IF(I282&lt;iGeneral!F$26,1,M282*(1+M$10/12))</f>
        <v>1.241818005067217</v>
      </c>
      <c r="N283" s="82">
        <f>IF(I282&lt;iGeneral!F$27,1,N282*(1+N$10/12))</f>
        <v>1</v>
      </c>
      <c r="O283" s="82">
        <f>IFERROR(IF(I282&lt;iGeneral!F$28,1,O282*(1+O$10/12)),1)</f>
        <v>1</v>
      </c>
      <c r="P283" s="82">
        <f>IFERROR(IF(DATA!$I283&lt;iGeneral!F$29,1,P282*(1+P$10/12)),1)</f>
        <v>1</v>
      </c>
      <c r="T283" s="80"/>
      <c r="U283"/>
    </row>
    <row r="284" spans="5:21" ht="16" outlineLevel="1" thickTop="1" thickBot="1">
      <c r="E284" s="74">
        <f t="shared" si="29"/>
        <v>274</v>
      </c>
      <c r="F284" s="75">
        <f t="shared" si="30"/>
        <v>52871</v>
      </c>
      <c r="G284" s="74">
        <f t="shared" si="26"/>
        <v>92</v>
      </c>
      <c r="H284" s="74" t="str">
        <f t="shared" si="27"/>
        <v>Q3-44</v>
      </c>
      <c r="I284" s="74">
        <f t="shared" si="31"/>
        <v>23</v>
      </c>
      <c r="J284" s="74">
        <f t="shared" si="28"/>
        <v>2044</v>
      </c>
      <c r="L284" s="82">
        <f>IF(I285&lt;iGeneral!F$25,1,L283*(1+L$10/12))</f>
        <v>1.5755765268688873</v>
      </c>
      <c r="M284" s="82">
        <f>IF(I283&lt;iGeneral!F$26,1,M283*(1+M$10/12))</f>
        <v>1.2428528534047729</v>
      </c>
      <c r="N284" s="82">
        <f>IF(I283&lt;iGeneral!F$27,1,N283*(1+N$10/12))</f>
        <v>1</v>
      </c>
      <c r="O284" s="82">
        <f>IFERROR(IF(I283&lt;iGeneral!F$28,1,O283*(1+O$10/12)),1)</f>
        <v>1</v>
      </c>
      <c r="P284" s="82">
        <f>IFERROR(IF(DATA!$I284&lt;iGeneral!F$29,1,P283*(1+P$10/12)),1)</f>
        <v>1</v>
      </c>
      <c r="T284" s="80"/>
      <c r="U284"/>
    </row>
    <row r="285" spans="5:21" ht="16" outlineLevel="1" thickTop="1" thickBot="1">
      <c r="E285" s="74">
        <f t="shared" si="29"/>
        <v>275</v>
      </c>
      <c r="F285" s="75">
        <f t="shared" si="30"/>
        <v>52902</v>
      </c>
      <c r="G285" s="74">
        <f t="shared" si="26"/>
        <v>92</v>
      </c>
      <c r="H285" s="74" t="str">
        <f t="shared" si="27"/>
        <v>Q3-44</v>
      </c>
      <c r="I285" s="74">
        <f t="shared" si="31"/>
        <v>23</v>
      </c>
      <c r="J285" s="74">
        <f t="shared" si="28"/>
        <v>2044</v>
      </c>
      <c r="L285" s="82">
        <f>IF(I286&lt;iGeneral!F$25,1,L284*(1+L$10/12))</f>
        <v>1.5782024877470022</v>
      </c>
      <c r="M285" s="82">
        <f>IF(I284&lt;iGeneral!F$26,1,M284*(1+M$10/12))</f>
        <v>1.2438885641159434</v>
      </c>
      <c r="N285" s="82">
        <f>IF(I284&lt;iGeneral!F$27,1,N284*(1+N$10/12))</f>
        <v>1</v>
      </c>
      <c r="O285" s="82">
        <f>IFERROR(IF(I284&lt;iGeneral!F$28,1,O284*(1+O$10/12)),1)</f>
        <v>1</v>
      </c>
      <c r="P285" s="82">
        <f>IFERROR(IF(DATA!$I285&lt;iGeneral!F$29,1,P284*(1+P$10/12)),1)</f>
        <v>1</v>
      </c>
      <c r="T285" s="80"/>
      <c r="U285"/>
    </row>
    <row r="286" spans="5:21" ht="16" outlineLevel="1" thickTop="1" thickBot="1">
      <c r="E286" s="74">
        <f t="shared" si="29"/>
        <v>276</v>
      </c>
      <c r="F286" s="75">
        <f t="shared" si="30"/>
        <v>52932</v>
      </c>
      <c r="G286" s="74">
        <f t="shared" si="26"/>
        <v>92</v>
      </c>
      <c r="H286" s="74" t="str">
        <f t="shared" si="27"/>
        <v>Q4-44</v>
      </c>
      <c r="I286" s="74">
        <f t="shared" si="31"/>
        <v>23</v>
      </c>
      <c r="J286" s="74">
        <f t="shared" si="28"/>
        <v>2044</v>
      </c>
      <c r="L286" s="82">
        <f>IF(I287&lt;iGeneral!F$25,1,L285*(1+L$10/12))</f>
        <v>1.5808328252265806</v>
      </c>
      <c r="M286" s="82">
        <f>IF(I285&lt;iGeneral!F$26,1,M285*(1+M$10/12))</f>
        <v>1.2449251379193733</v>
      </c>
      <c r="N286" s="82">
        <f>IF(I285&lt;iGeneral!F$27,1,N285*(1+N$10/12))</f>
        <v>1</v>
      </c>
      <c r="O286" s="82">
        <f>IFERROR(IF(I285&lt;iGeneral!F$28,1,O285*(1+O$10/12)),1)</f>
        <v>1</v>
      </c>
      <c r="P286" s="82">
        <f>IFERROR(IF(DATA!$I286&lt;iGeneral!F$29,1,P285*(1+P$10/12)),1)</f>
        <v>1</v>
      </c>
      <c r="T286" s="80"/>
      <c r="U286"/>
    </row>
    <row r="287" spans="5:21" ht="16" outlineLevel="1" thickTop="1" thickBot="1">
      <c r="E287" s="74">
        <f t="shared" si="29"/>
        <v>277</v>
      </c>
      <c r="F287" s="75">
        <f t="shared" si="30"/>
        <v>52963</v>
      </c>
      <c r="G287" s="74">
        <f t="shared" si="26"/>
        <v>93</v>
      </c>
      <c r="H287" s="74" t="str">
        <f t="shared" si="27"/>
        <v>Q1-45</v>
      </c>
      <c r="I287" s="74">
        <f t="shared" si="31"/>
        <v>24</v>
      </c>
      <c r="J287" s="74">
        <f t="shared" si="28"/>
        <v>2045</v>
      </c>
      <c r="L287" s="82">
        <f>IF(I288&lt;iGeneral!F$25,1,L286*(1+L$10/12))</f>
        <v>1.5834675466019583</v>
      </c>
      <c r="M287" s="82">
        <f>IF(I286&lt;iGeneral!F$26,1,M286*(1+M$10/12))</f>
        <v>1.245962575534306</v>
      </c>
      <c r="N287" s="82">
        <f>IF(I286&lt;iGeneral!F$27,1,N286*(1+N$10/12))</f>
        <v>1</v>
      </c>
      <c r="O287" s="82">
        <f>IFERROR(IF(I286&lt;iGeneral!F$28,1,O286*(1+O$10/12)),1)</f>
        <v>1</v>
      </c>
      <c r="P287" s="82">
        <f>IFERROR(IF(DATA!$I287&lt;iGeneral!F$29,1,P286*(1+P$10/12)),1)</f>
        <v>1</v>
      </c>
      <c r="T287" s="80"/>
      <c r="U287"/>
    </row>
    <row r="288" spans="5:21" ht="16" outlineLevel="1" thickTop="1" thickBot="1">
      <c r="E288" s="74">
        <f t="shared" si="29"/>
        <v>278</v>
      </c>
      <c r="F288" s="75">
        <f t="shared" si="30"/>
        <v>52994</v>
      </c>
      <c r="G288" s="74">
        <f t="shared" si="26"/>
        <v>93</v>
      </c>
      <c r="H288" s="74" t="str">
        <f t="shared" si="27"/>
        <v>Q1-45</v>
      </c>
      <c r="I288" s="74">
        <f t="shared" si="31"/>
        <v>24</v>
      </c>
      <c r="J288" s="74">
        <f t="shared" si="28"/>
        <v>2045</v>
      </c>
      <c r="L288" s="82">
        <f>IF(I289&lt;iGeneral!F$25,1,L287*(1+L$10/12))</f>
        <v>1.5861066591796282</v>
      </c>
      <c r="M288" s="82">
        <f>IF(I287&lt;iGeneral!F$26,1,M287*(1+M$10/12))</f>
        <v>1.2470008776805845</v>
      </c>
      <c r="N288" s="82">
        <f>IF(I287&lt;iGeneral!F$27,1,N287*(1+N$10/12))</f>
        <v>1</v>
      </c>
      <c r="O288" s="82">
        <f>IFERROR(IF(I287&lt;iGeneral!F$28,1,O287*(1+O$10/12)),1)</f>
        <v>1</v>
      </c>
      <c r="P288" s="82">
        <f>IFERROR(IF(DATA!$I288&lt;iGeneral!F$29,1,P287*(1+P$10/12)),1)</f>
        <v>1</v>
      </c>
      <c r="T288" s="80"/>
      <c r="U288"/>
    </row>
    <row r="289" spans="5:21" ht="16" outlineLevel="1" thickTop="1" thickBot="1">
      <c r="E289" s="74">
        <f t="shared" si="29"/>
        <v>279</v>
      </c>
      <c r="F289" s="75">
        <f t="shared" si="30"/>
        <v>53022</v>
      </c>
      <c r="G289" s="74">
        <f t="shared" si="26"/>
        <v>93</v>
      </c>
      <c r="H289" s="74" t="str">
        <f t="shared" si="27"/>
        <v>Q1-45</v>
      </c>
      <c r="I289" s="74">
        <f t="shared" si="31"/>
        <v>24</v>
      </c>
      <c r="J289" s="74">
        <f t="shared" si="28"/>
        <v>2045</v>
      </c>
      <c r="L289" s="82">
        <f>IF(I290&lt;iGeneral!F$25,1,L288*(1+L$10/12))</f>
        <v>1.5887501702782609</v>
      </c>
      <c r="M289" s="82">
        <f>IF(I288&lt;iGeneral!F$26,1,M288*(1+M$10/12))</f>
        <v>1.2480400450786515</v>
      </c>
      <c r="N289" s="82">
        <f>IF(I288&lt;iGeneral!F$27,1,N288*(1+N$10/12))</f>
        <v>1</v>
      </c>
      <c r="O289" s="82">
        <f>IFERROR(IF(I288&lt;iGeneral!F$28,1,O288*(1+O$10/12)),1)</f>
        <v>1</v>
      </c>
      <c r="P289" s="82">
        <f>IFERROR(IF(DATA!$I289&lt;iGeneral!F$29,1,P288*(1+P$10/12)),1)</f>
        <v>1</v>
      </c>
      <c r="T289" s="80"/>
      <c r="U289"/>
    </row>
    <row r="290" spans="5:21" ht="16" outlineLevel="1" thickTop="1" thickBot="1">
      <c r="E290" s="74">
        <f t="shared" si="29"/>
        <v>280</v>
      </c>
      <c r="F290" s="75">
        <f t="shared" si="30"/>
        <v>53053</v>
      </c>
      <c r="G290" s="74">
        <f t="shared" si="26"/>
        <v>94</v>
      </c>
      <c r="H290" s="74" t="str">
        <f t="shared" si="27"/>
        <v>Q2-45</v>
      </c>
      <c r="I290" s="74">
        <f t="shared" si="31"/>
        <v>24</v>
      </c>
      <c r="J290" s="74">
        <f t="shared" si="28"/>
        <v>2045</v>
      </c>
      <c r="L290" s="82">
        <f>IF(I291&lt;iGeneral!F$25,1,L289*(1+L$10/12))</f>
        <v>1.5913980872287248</v>
      </c>
      <c r="M290" s="82">
        <f>IF(I289&lt;iGeneral!F$26,1,M289*(1+M$10/12))</f>
        <v>1.2490800784495504</v>
      </c>
      <c r="N290" s="82">
        <f>IF(I289&lt;iGeneral!F$27,1,N289*(1+N$10/12))</f>
        <v>1</v>
      </c>
      <c r="O290" s="82">
        <f>IFERROR(IF(I289&lt;iGeneral!F$28,1,O289*(1+O$10/12)),1)</f>
        <v>1</v>
      </c>
      <c r="P290" s="82">
        <f>IFERROR(IF(DATA!$I290&lt;iGeneral!F$29,1,P289*(1+P$10/12)),1)</f>
        <v>1</v>
      </c>
      <c r="T290" s="80"/>
      <c r="U290"/>
    </row>
    <row r="291" spans="5:21" ht="16" outlineLevel="1" thickTop="1" thickBot="1">
      <c r="E291" s="74">
        <f t="shared" si="29"/>
        <v>281</v>
      </c>
      <c r="F291" s="75">
        <f t="shared" si="30"/>
        <v>53083</v>
      </c>
      <c r="G291" s="74">
        <f t="shared" si="26"/>
        <v>94</v>
      </c>
      <c r="H291" s="74" t="str">
        <f t="shared" si="27"/>
        <v>Q2-45</v>
      </c>
      <c r="I291" s="74">
        <f t="shared" si="31"/>
        <v>24</v>
      </c>
      <c r="J291" s="74">
        <f t="shared" si="28"/>
        <v>2045</v>
      </c>
      <c r="L291" s="82">
        <f>IF(I292&lt;iGeneral!F$25,1,L290*(1+L$10/12))</f>
        <v>1.5940504173741061</v>
      </c>
      <c r="M291" s="82">
        <f>IF(I290&lt;iGeneral!F$26,1,M290*(1+M$10/12))</f>
        <v>1.250120978514925</v>
      </c>
      <c r="N291" s="82">
        <f>IF(I290&lt;iGeneral!F$27,1,N290*(1+N$10/12))</f>
        <v>1</v>
      </c>
      <c r="O291" s="82">
        <f>IFERROR(IF(I290&lt;iGeneral!F$28,1,O290*(1+O$10/12)),1)</f>
        <v>1</v>
      </c>
      <c r="P291" s="82">
        <f>IFERROR(IF(DATA!$I291&lt;iGeneral!F$29,1,P290*(1+P$10/12)),1)</f>
        <v>1</v>
      </c>
      <c r="T291" s="80"/>
      <c r="U291"/>
    </row>
    <row r="292" spans="5:21" ht="16" outlineLevel="1" thickTop="1" thickBot="1">
      <c r="E292" s="74">
        <f t="shared" si="29"/>
        <v>282</v>
      </c>
      <c r="F292" s="75">
        <f t="shared" si="30"/>
        <v>53114</v>
      </c>
      <c r="G292" s="74">
        <f t="shared" si="26"/>
        <v>94</v>
      </c>
      <c r="H292" s="74" t="str">
        <f t="shared" si="27"/>
        <v>Q2-45</v>
      </c>
      <c r="I292" s="74">
        <f t="shared" si="31"/>
        <v>24</v>
      </c>
      <c r="J292" s="74">
        <f t="shared" si="28"/>
        <v>2045</v>
      </c>
      <c r="L292" s="82">
        <f>IF(I293&lt;iGeneral!F$25,1,L291*(1+L$10/12))</f>
        <v>1.5967071680697298</v>
      </c>
      <c r="M292" s="82">
        <f>IF(I291&lt;iGeneral!F$26,1,M291*(1+M$10/12))</f>
        <v>1.2511627459970207</v>
      </c>
      <c r="N292" s="82">
        <f>IF(I291&lt;iGeneral!F$27,1,N291*(1+N$10/12))</f>
        <v>1</v>
      </c>
      <c r="O292" s="82">
        <f>IFERROR(IF(I291&lt;iGeneral!F$28,1,O291*(1+O$10/12)),1)</f>
        <v>1</v>
      </c>
      <c r="P292" s="82">
        <f>IFERROR(IF(DATA!$I292&lt;iGeneral!F$29,1,P291*(1+P$10/12)),1)</f>
        <v>1</v>
      </c>
      <c r="T292" s="80"/>
      <c r="U292"/>
    </row>
    <row r="293" spans="5:21" ht="16" outlineLevel="1" thickTop="1" thickBot="1">
      <c r="E293" s="74">
        <f t="shared" si="29"/>
        <v>283</v>
      </c>
      <c r="F293" s="75">
        <f t="shared" si="30"/>
        <v>53144</v>
      </c>
      <c r="G293" s="74">
        <f t="shared" si="26"/>
        <v>95</v>
      </c>
      <c r="H293" s="74" t="str">
        <f t="shared" si="27"/>
        <v>Q2-45</v>
      </c>
      <c r="I293" s="74">
        <f t="shared" si="31"/>
        <v>24</v>
      </c>
      <c r="J293" s="74">
        <f t="shared" si="28"/>
        <v>2045</v>
      </c>
      <c r="L293" s="82">
        <f>IF(I294&lt;iGeneral!F$25,1,L292*(1+L$10/12))</f>
        <v>1.5993683466831794</v>
      </c>
      <c r="M293" s="82">
        <f>IF(I292&lt;iGeneral!F$26,1,M292*(1+M$10/12))</f>
        <v>1.2522053816186849</v>
      </c>
      <c r="N293" s="82">
        <f>IF(I292&lt;iGeneral!F$27,1,N292*(1+N$10/12))</f>
        <v>1</v>
      </c>
      <c r="O293" s="82">
        <f>IFERROR(IF(I292&lt;iGeneral!F$28,1,O292*(1+O$10/12)),1)</f>
        <v>1</v>
      </c>
      <c r="P293" s="82">
        <f>IFERROR(IF(DATA!$I293&lt;iGeneral!F$29,1,P292*(1+P$10/12)),1)</f>
        <v>1</v>
      </c>
      <c r="T293" s="80"/>
      <c r="U293"/>
    </row>
    <row r="294" spans="5:21" ht="16" outlineLevel="1" thickTop="1" thickBot="1">
      <c r="E294" s="74">
        <f t="shared" si="29"/>
        <v>284</v>
      </c>
      <c r="F294" s="75">
        <f t="shared" si="30"/>
        <v>53175</v>
      </c>
      <c r="G294" s="74">
        <f t="shared" si="26"/>
        <v>95</v>
      </c>
      <c r="H294" s="74" t="str">
        <f t="shared" si="27"/>
        <v>Q3-45</v>
      </c>
      <c r="I294" s="74">
        <f t="shared" si="31"/>
        <v>24</v>
      </c>
      <c r="J294" s="74">
        <f t="shared" si="28"/>
        <v>2045</v>
      </c>
      <c r="L294" s="82">
        <f>IF(I295&lt;iGeneral!F$25,1,L293*(1+L$10/12))</f>
        <v>1.6020339605943181</v>
      </c>
      <c r="M294" s="82">
        <f>IF(I293&lt;iGeneral!F$26,1,M293*(1+M$10/12))</f>
        <v>1.253248886103367</v>
      </c>
      <c r="N294" s="82">
        <f>IF(I293&lt;iGeneral!F$27,1,N293*(1+N$10/12))</f>
        <v>1</v>
      </c>
      <c r="O294" s="82">
        <f>IFERROR(IF(I293&lt;iGeneral!F$28,1,O293*(1+O$10/12)),1)</f>
        <v>1</v>
      </c>
      <c r="P294" s="82">
        <f>IFERROR(IF(DATA!$I294&lt;iGeneral!F$29,1,P293*(1+P$10/12)),1)</f>
        <v>1</v>
      </c>
      <c r="T294" s="80"/>
      <c r="U294"/>
    </row>
    <row r="295" spans="5:21" ht="16" outlineLevel="1" thickTop="1" thickBot="1">
      <c r="E295" s="74">
        <f t="shared" si="29"/>
        <v>285</v>
      </c>
      <c r="F295" s="75">
        <f t="shared" si="30"/>
        <v>53206</v>
      </c>
      <c r="G295" s="74">
        <f t="shared" si="26"/>
        <v>95</v>
      </c>
      <c r="H295" s="74" t="str">
        <f t="shared" si="27"/>
        <v>Q3-45</v>
      </c>
      <c r="I295" s="74">
        <f t="shared" si="31"/>
        <v>24</v>
      </c>
      <c r="J295" s="74">
        <f t="shared" si="28"/>
        <v>2045</v>
      </c>
      <c r="L295" s="82">
        <f>IF(I296&lt;iGeneral!F$25,1,L294*(1+L$10/12))</f>
        <v>1.6047040171953086</v>
      </c>
      <c r="M295" s="82">
        <f>IF(I294&lt;iGeneral!F$26,1,M294*(1+M$10/12))</f>
        <v>1.2542932601751198</v>
      </c>
      <c r="N295" s="82">
        <f>IF(I294&lt;iGeneral!F$27,1,N294*(1+N$10/12))</f>
        <v>1</v>
      </c>
      <c r="O295" s="82">
        <f>IFERROR(IF(I294&lt;iGeneral!F$28,1,O294*(1+O$10/12)),1)</f>
        <v>1</v>
      </c>
      <c r="P295" s="82">
        <f>IFERROR(IF(DATA!$I295&lt;iGeneral!F$29,1,P294*(1+P$10/12)),1)</f>
        <v>1</v>
      </c>
      <c r="T295" s="80"/>
      <c r="U295"/>
    </row>
    <row r="296" spans="5:21" ht="16" outlineLevel="1" thickTop="1" thickBot="1">
      <c r="E296" s="74">
        <f t="shared" si="29"/>
        <v>286</v>
      </c>
      <c r="F296" s="75">
        <f t="shared" si="30"/>
        <v>53236</v>
      </c>
      <c r="G296" s="74">
        <f t="shared" si="26"/>
        <v>96</v>
      </c>
      <c r="H296" s="74" t="str">
        <f t="shared" si="27"/>
        <v>Q3-45</v>
      </c>
      <c r="I296" s="74">
        <f t="shared" si="31"/>
        <v>24</v>
      </c>
      <c r="J296" s="74">
        <f t="shared" si="28"/>
        <v>2045</v>
      </c>
      <c r="L296" s="82">
        <f>IF(I297&lt;iGeneral!F$25,1,L295*(1+L$10/12))</f>
        <v>1.6073785238906342</v>
      </c>
      <c r="M296" s="82">
        <f>IF(I295&lt;iGeneral!F$26,1,M295*(1+M$10/12))</f>
        <v>1.255338504558599</v>
      </c>
      <c r="N296" s="82">
        <f>IF(I295&lt;iGeneral!F$27,1,N295*(1+N$10/12))</f>
        <v>1</v>
      </c>
      <c r="O296" s="82">
        <f>IFERROR(IF(I295&lt;iGeneral!F$28,1,O295*(1+O$10/12)),1)</f>
        <v>1</v>
      </c>
      <c r="P296" s="82">
        <f>IFERROR(IF(DATA!$I296&lt;iGeneral!F$29,1,P295*(1+P$10/12)),1)</f>
        <v>1</v>
      </c>
      <c r="T296" s="80"/>
      <c r="U296"/>
    </row>
    <row r="297" spans="5:21" ht="16" outlineLevel="1" thickTop="1" thickBot="1">
      <c r="E297" s="74">
        <f t="shared" si="29"/>
        <v>287</v>
      </c>
      <c r="F297" s="75">
        <f t="shared" si="30"/>
        <v>53267</v>
      </c>
      <c r="G297" s="74">
        <f t="shared" si="26"/>
        <v>96</v>
      </c>
      <c r="H297" s="74" t="str">
        <f t="shared" si="27"/>
        <v>Q3-45</v>
      </c>
      <c r="I297" s="74">
        <f t="shared" si="31"/>
        <v>24</v>
      </c>
      <c r="J297" s="74">
        <f t="shared" si="28"/>
        <v>2045</v>
      </c>
      <c r="L297" s="82">
        <f>IF(I298&lt;iGeneral!F$25,1,L296*(1+L$10/12))</f>
        <v>1.6100574880971186</v>
      </c>
      <c r="M297" s="82">
        <f>IF(I296&lt;iGeneral!F$26,1,M296*(1+M$10/12))</f>
        <v>1.2563846199790643</v>
      </c>
      <c r="N297" s="82">
        <f>IF(I296&lt;iGeneral!F$27,1,N296*(1+N$10/12))</f>
        <v>1</v>
      </c>
      <c r="O297" s="82">
        <f>IFERROR(IF(I296&lt;iGeneral!F$28,1,O296*(1+O$10/12)),1)</f>
        <v>1</v>
      </c>
      <c r="P297" s="82">
        <f>IFERROR(IF(DATA!$I297&lt;iGeneral!F$29,1,P296*(1+P$10/12)),1)</f>
        <v>1</v>
      </c>
      <c r="T297" s="80"/>
      <c r="U297"/>
    </row>
    <row r="298" spans="5:21" ht="16" outlineLevel="1" thickTop="1" thickBot="1">
      <c r="E298" s="74">
        <f t="shared" si="29"/>
        <v>288</v>
      </c>
      <c r="F298" s="75">
        <f t="shared" si="30"/>
        <v>53297</v>
      </c>
      <c r="G298" s="74">
        <f t="shared" si="26"/>
        <v>96</v>
      </c>
      <c r="H298" s="74" t="str">
        <f t="shared" si="27"/>
        <v>Q4-45</v>
      </c>
      <c r="I298" s="74">
        <f t="shared" si="31"/>
        <v>24</v>
      </c>
      <c r="J298" s="74">
        <f t="shared" si="28"/>
        <v>2045</v>
      </c>
      <c r="L298" s="82">
        <f>IF(I299&lt;iGeneral!F$25,1,L297*(1+L$10/12))</f>
        <v>1.6127409172439471</v>
      </c>
      <c r="M298" s="82">
        <f>IF(I297&lt;iGeneral!F$26,1,M297*(1+M$10/12))</f>
        <v>1.2574316071623801</v>
      </c>
      <c r="N298" s="82">
        <f>IF(I297&lt;iGeneral!F$27,1,N297*(1+N$10/12))</f>
        <v>1</v>
      </c>
      <c r="O298" s="82">
        <f>IFERROR(IF(I297&lt;iGeneral!F$28,1,O297*(1+O$10/12)),1)</f>
        <v>1</v>
      </c>
      <c r="P298" s="82">
        <f>IFERROR(IF(DATA!$I298&lt;iGeneral!F$29,1,P297*(1+P$10/12)),1)</f>
        <v>1</v>
      </c>
      <c r="T298" s="80"/>
      <c r="U298"/>
    </row>
    <row r="299" spans="5:21" ht="16" outlineLevel="1" thickTop="1" thickBot="1">
      <c r="E299" s="74">
        <f t="shared" si="29"/>
        <v>289</v>
      </c>
      <c r="F299" s="75">
        <f t="shared" si="30"/>
        <v>53328</v>
      </c>
      <c r="G299" s="74">
        <f t="shared" si="26"/>
        <v>97</v>
      </c>
      <c r="H299" s="74" t="str">
        <f t="shared" si="27"/>
        <v>Q1-46</v>
      </c>
      <c r="I299" s="74">
        <f t="shared" si="31"/>
        <v>25</v>
      </c>
      <c r="J299" s="74">
        <f t="shared" si="28"/>
        <v>2046</v>
      </c>
      <c r="L299" s="82">
        <f>IF(I300&lt;iGeneral!F$25,1,L298*(1+L$10/12))</f>
        <v>1.6154288187726871</v>
      </c>
      <c r="M299" s="82">
        <f>IF(I298&lt;iGeneral!F$26,1,M298*(1+M$10/12))</f>
        <v>1.2584794668350152</v>
      </c>
      <c r="N299" s="82">
        <f>IF(I298&lt;iGeneral!F$27,1,N298*(1+N$10/12))</f>
        <v>1</v>
      </c>
      <c r="O299" s="82">
        <f>IFERROR(IF(I298&lt;iGeneral!F$28,1,O298*(1+O$10/12)),1)</f>
        <v>1</v>
      </c>
      <c r="P299" s="82">
        <f>IFERROR(IF(DATA!$I299&lt;iGeneral!F$29,1,P298*(1+P$10/12)),1)</f>
        <v>1</v>
      </c>
      <c r="T299" s="80"/>
      <c r="U299"/>
    </row>
    <row r="300" spans="5:21" ht="16" outlineLevel="1" thickTop="1" thickBot="1">
      <c r="E300" s="74">
        <f t="shared" si="29"/>
        <v>290</v>
      </c>
      <c r="F300" s="75">
        <f t="shared" si="30"/>
        <v>53359</v>
      </c>
      <c r="G300" s="74">
        <f t="shared" si="26"/>
        <v>97</v>
      </c>
      <c r="H300" s="74" t="str">
        <f t="shared" si="27"/>
        <v>Q1-46</v>
      </c>
      <c r="I300" s="74">
        <f t="shared" si="31"/>
        <v>25</v>
      </c>
      <c r="J300" s="74">
        <f t="shared" si="28"/>
        <v>2046</v>
      </c>
      <c r="L300" s="82">
        <f>IF(I301&lt;iGeneral!F$25,1,L299*(1+L$10/12))</f>
        <v>1.6181212001373082</v>
      </c>
      <c r="M300" s="82">
        <f>IF(I299&lt;iGeneral!F$26,1,M299*(1+M$10/12))</f>
        <v>1.2595281997240442</v>
      </c>
      <c r="N300" s="82">
        <f>IF(I299&lt;iGeneral!F$27,1,N299*(1+N$10/12))</f>
        <v>1</v>
      </c>
      <c r="O300" s="82">
        <f>IFERROR(IF(I299&lt;iGeneral!F$28,1,O299*(1+O$10/12)),1)</f>
        <v>1</v>
      </c>
      <c r="P300" s="82">
        <f>IFERROR(IF(DATA!$I300&lt;iGeneral!F$29,1,P299*(1+P$10/12)),1)</f>
        <v>1</v>
      </c>
      <c r="T300" s="80"/>
      <c r="U300"/>
    </row>
    <row r="301" spans="5:21" ht="16" outlineLevel="1" thickTop="1" thickBot="1">
      <c r="E301" s="74">
        <f t="shared" si="29"/>
        <v>291</v>
      </c>
      <c r="F301" s="75">
        <f t="shared" si="30"/>
        <v>53387</v>
      </c>
      <c r="G301" s="74">
        <f t="shared" si="26"/>
        <v>97</v>
      </c>
      <c r="H301" s="74" t="str">
        <f t="shared" si="27"/>
        <v>Q1-46</v>
      </c>
      <c r="I301" s="74">
        <f t="shared" si="31"/>
        <v>25</v>
      </c>
      <c r="J301" s="74">
        <f t="shared" si="28"/>
        <v>2046</v>
      </c>
      <c r="L301" s="82">
        <f>IF(I302&lt;iGeneral!F$25,1,L300*(1+L$10/12))</f>
        <v>1.6208180688042038</v>
      </c>
      <c r="M301" s="82">
        <f>IF(I300&lt;iGeneral!F$26,1,M300*(1+M$10/12))</f>
        <v>1.2605778065571474</v>
      </c>
      <c r="N301" s="82">
        <f>IF(I300&lt;iGeneral!F$27,1,N300*(1+N$10/12))</f>
        <v>1</v>
      </c>
      <c r="O301" s="82">
        <f>IFERROR(IF(I300&lt;iGeneral!F$28,1,O300*(1+O$10/12)),1)</f>
        <v>1</v>
      </c>
      <c r="P301" s="82">
        <f>IFERROR(IF(DATA!$I301&lt;iGeneral!F$29,1,P300*(1+P$10/12)),1)</f>
        <v>1</v>
      </c>
      <c r="T301" s="80"/>
      <c r="U301"/>
    </row>
    <row r="302" spans="5:21" ht="16" outlineLevel="1" thickTop="1" thickBot="1">
      <c r="E302" s="74">
        <f t="shared" si="29"/>
        <v>292</v>
      </c>
      <c r="F302" s="75">
        <f t="shared" si="30"/>
        <v>53418</v>
      </c>
      <c r="G302" s="74">
        <f t="shared" si="26"/>
        <v>98</v>
      </c>
      <c r="H302" s="74" t="str">
        <f t="shared" si="27"/>
        <v>Q2-46</v>
      </c>
      <c r="I302" s="74">
        <f t="shared" si="31"/>
        <v>25</v>
      </c>
      <c r="J302" s="74">
        <f t="shared" si="28"/>
        <v>2046</v>
      </c>
      <c r="L302" s="82">
        <f>IF(I303&lt;iGeneral!F$25,1,L301*(1+L$10/12))</f>
        <v>1.6235194322522108</v>
      </c>
      <c r="M302" s="82">
        <f>IF(I301&lt;iGeneral!F$26,1,M301*(1+M$10/12))</f>
        <v>1.2616282880626115</v>
      </c>
      <c r="N302" s="82">
        <f>IF(I301&lt;iGeneral!F$27,1,N301*(1+N$10/12))</f>
        <v>1</v>
      </c>
      <c r="O302" s="82">
        <f>IFERROR(IF(I301&lt;iGeneral!F$28,1,O301*(1+O$10/12)),1)</f>
        <v>1</v>
      </c>
      <c r="P302" s="82">
        <f>IFERROR(IF(DATA!$I302&lt;iGeneral!F$29,1,P301*(1+P$10/12)),1)</f>
        <v>1</v>
      </c>
      <c r="T302" s="80"/>
      <c r="U302"/>
    </row>
    <row r="303" spans="5:21" ht="16" outlineLevel="1" thickTop="1" thickBot="1">
      <c r="E303" s="74">
        <f t="shared" si="29"/>
        <v>293</v>
      </c>
      <c r="F303" s="75">
        <f t="shared" si="30"/>
        <v>53448</v>
      </c>
      <c r="G303" s="74">
        <f t="shared" si="26"/>
        <v>98</v>
      </c>
      <c r="H303" s="74" t="str">
        <f t="shared" si="27"/>
        <v>Q2-46</v>
      </c>
      <c r="I303" s="74">
        <f t="shared" si="31"/>
        <v>25</v>
      </c>
      <c r="J303" s="74">
        <f t="shared" si="28"/>
        <v>2046</v>
      </c>
      <c r="L303" s="82">
        <f>IF(I304&lt;iGeneral!F$25,1,L302*(1+L$10/12))</f>
        <v>1.6262252979726313</v>
      </c>
      <c r="M303" s="82">
        <f>IF(I302&lt;iGeneral!F$26,1,M302*(1+M$10/12))</f>
        <v>1.2626796449693303</v>
      </c>
      <c r="N303" s="82">
        <f>IF(I302&lt;iGeneral!F$27,1,N302*(1+N$10/12))</f>
        <v>1</v>
      </c>
      <c r="O303" s="82">
        <f>IFERROR(IF(I302&lt;iGeneral!F$28,1,O302*(1+O$10/12)),1)</f>
        <v>1</v>
      </c>
      <c r="P303" s="82">
        <f>IFERROR(IF(DATA!$I303&lt;iGeneral!F$29,1,P302*(1+P$10/12)),1)</f>
        <v>1</v>
      </c>
      <c r="T303" s="80"/>
      <c r="U303"/>
    </row>
    <row r="304" spans="5:21" ht="16" outlineLevel="1" thickTop="1" thickBot="1">
      <c r="E304" s="74">
        <f t="shared" si="29"/>
        <v>294</v>
      </c>
      <c r="F304" s="75">
        <f t="shared" si="30"/>
        <v>53479</v>
      </c>
      <c r="G304" s="74">
        <f t="shared" si="26"/>
        <v>98</v>
      </c>
      <c r="H304" s="74" t="str">
        <f t="shared" si="27"/>
        <v>Q2-46</v>
      </c>
      <c r="I304" s="74">
        <f t="shared" si="31"/>
        <v>25</v>
      </c>
      <c r="J304" s="74">
        <f t="shared" si="28"/>
        <v>2046</v>
      </c>
      <c r="L304" s="82">
        <f>IF(I305&lt;iGeneral!F$25,1,L303*(1+L$10/12))</f>
        <v>1.6289356734692524</v>
      </c>
      <c r="M304" s="82">
        <f>IF(I303&lt;iGeneral!F$26,1,M303*(1+M$10/12))</f>
        <v>1.2637318780068045</v>
      </c>
      <c r="N304" s="82">
        <f>IF(I303&lt;iGeneral!F$27,1,N303*(1+N$10/12))</f>
        <v>1</v>
      </c>
      <c r="O304" s="82">
        <f>IFERROR(IF(I303&lt;iGeneral!F$28,1,O303*(1+O$10/12)),1)</f>
        <v>1</v>
      </c>
      <c r="P304" s="82">
        <f>IFERROR(IF(DATA!$I304&lt;iGeneral!F$29,1,P303*(1+P$10/12)),1)</f>
        <v>1</v>
      </c>
      <c r="T304" s="80"/>
      <c r="U304"/>
    </row>
    <row r="305" spans="5:21" ht="16" outlineLevel="1" thickTop="1" thickBot="1">
      <c r="E305" s="74">
        <f t="shared" si="29"/>
        <v>295</v>
      </c>
      <c r="F305" s="75">
        <f t="shared" si="30"/>
        <v>53509</v>
      </c>
      <c r="G305" s="74">
        <f t="shared" si="26"/>
        <v>99</v>
      </c>
      <c r="H305" s="74" t="str">
        <f t="shared" si="27"/>
        <v>Q2-46</v>
      </c>
      <c r="I305" s="74">
        <f t="shared" si="31"/>
        <v>25</v>
      </c>
      <c r="J305" s="74">
        <f t="shared" si="28"/>
        <v>2046</v>
      </c>
      <c r="L305" s="82">
        <f>IF(I306&lt;iGeneral!F$25,1,L304*(1+L$10/12))</f>
        <v>1.6316505662583678</v>
      </c>
      <c r="M305" s="82">
        <f>IF(I304&lt;iGeneral!F$26,1,M304*(1+M$10/12))</f>
        <v>1.2647849879051434</v>
      </c>
      <c r="N305" s="82">
        <f>IF(I304&lt;iGeneral!F$27,1,N304*(1+N$10/12))</f>
        <v>1</v>
      </c>
      <c r="O305" s="82">
        <f>IFERROR(IF(I304&lt;iGeneral!F$28,1,O304*(1+O$10/12)),1)</f>
        <v>1</v>
      </c>
      <c r="P305" s="82">
        <f>IFERROR(IF(DATA!$I305&lt;iGeneral!F$29,1,P304*(1+P$10/12)),1)</f>
        <v>1</v>
      </c>
      <c r="T305" s="80"/>
      <c r="U305"/>
    </row>
    <row r="306" spans="5:21" ht="16" outlineLevel="1" thickTop="1" thickBot="1">
      <c r="E306" s="74">
        <f t="shared" si="29"/>
        <v>296</v>
      </c>
      <c r="F306" s="75">
        <f t="shared" si="30"/>
        <v>53540</v>
      </c>
      <c r="G306" s="74">
        <f t="shared" si="26"/>
        <v>99</v>
      </c>
      <c r="H306" s="74" t="str">
        <f t="shared" si="27"/>
        <v>Q3-46</v>
      </c>
      <c r="I306" s="74">
        <f t="shared" si="31"/>
        <v>25</v>
      </c>
      <c r="J306" s="74">
        <f t="shared" si="28"/>
        <v>2046</v>
      </c>
      <c r="L306" s="82">
        <f>IF(I307&lt;iGeneral!F$25,1,L305*(1+L$10/12))</f>
        <v>1.6343699838687984</v>
      </c>
      <c r="M306" s="82">
        <f>IF(I305&lt;iGeneral!F$26,1,M305*(1+M$10/12))</f>
        <v>1.2658389753950643</v>
      </c>
      <c r="N306" s="82">
        <f>IF(I305&lt;iGeneral!F$27,1,N305*(1+N$10/12))</f>
        <v>1</v>
      </c>
      <c r="O306" s="82">
        <f>IFERROR(IF(I305&lt;iGeneral!F$28,1,O305*(1+O$10/12)),1)</f>
        <v>1</v>
      </c>
      <c r="P306" s="82">
        <f>IFERROR(IF(DATA!$I306&lt;iGeneral!F$29,1,P305*(1+P$10/12)),1)</f>
        <v>1</v>
      </c>
      <c r="T306" s="80"/>
      <c r="U306"/>
    </row>
    <row r="307" spans="5:21" ht="16" outlineLevel="1" thickTop="1" thickBot="1">
      <c r="E307" s="74">
        <f t="shared" si="29"/>
        <v>297</v>
      </c>
      <c r="F307" s="75">
        <f t="shared" si="30"/>
        <v>53571</v>
      </c>
      <c r="G307" s="74">
        <f t="shared" si="26"/>
        <v>99</v>
      </c>
      <c r="H307" s="74" t="str">
        <f t="shared" si="27"/>
        <v>Q3-46</v>
      </c>
      <c r="I307" s="74">
        <f t="shared" si="31"/>
        <v>25</v>
      </c>
      <c r="J307" s="74">
        <f t="shared" si="28"/>
        <v>2046</v>
      </c>
      <c r="L307" s="82">
        <f>IF(I308&lt;iGeneral!F$25,1,L306*(1+L$10/12))</f>
        <v>1.637093933841913</v>
      </c>
      <c r="M307" s="82">
        <f>IF(I306&lt;iGeneral!F$26,1,M306*(1+M$10/12))</f>
        <v>1.2668938412078934</v>
      </c>
      <c r="N307" s="82">
        <f>IF(I306&lt;iGeneral!F$27,1,N306*(1+N$10/12))</f>
        <v>1</v>
      </c>
      <c r="O307" s="82">
        <f>IFERROR(IF(I306&lt;iGeneral!F$28,1,O306*(1+O$10/12)),1)</f>
        <v>1</v>
      </c>
      <c r="P307" s="82">
        <f>IFERROR(IF(DATA!$I307&lt;iGeneral!F$29,1,P306*(1+P$10/12)),1)</f>
        <v>1</v>
      </c>
      <c r="T307" s="80"/>
      <c r="U307"/>
    </row>
    <row r="308" spans="5:21" ht="16" outlineLevel="1" thickTop="1" thickBot="1">
      <c r="E308" s="74">
        <f t="shared" si="29"/>
        <v>298</v>
      </c>
      <c r="F308" s="75">
        <f t="shared" si="30"/>
        <v>53601</v>
      </c>
      <c r="G308" s="74">
        <f t="shared" si="26"/>
        <v>100</v>
      </c>
      <c r="H308" s="74" t="str">
        <f t="shared" si="27"/>
        <v>Q3-46</v>
      </c>
      <c r="I308" s="74">
        <f t="shared" si="31"/>
        <v>25</v>
      </c>
      <c r="J308" s="74">
        <f t="shared" si="28"/>
        <v>2046</v>
      </c>
      <c r="L308" s="82">
        <f>IF(I309&lt;iGeneral!F$25,1,L307*(1+L$10/12))</f>
        <v>1.6398224237316497</v>
      </c>
      <c r="M308" s="82">
        <f>IF(I307&lt;iGeneral!F$26,1,M307*(1+M$10/12))</f>
        <v>1.2679495860755665</v>
      </c>
      <c r="N308" s="82">
        <f>IF(I307&lt;iGeneral!F$27,1,N307*(1+N$10/12))</f>
        <v>1</v>
      </c>
      <c r="O308" s="82">
        <f>IFERROR(IF(I307&lt;iGeneral!F$28,1,O307*(1+O$10/12)),1)</f>
        <v>1</v>
      </c>
      <c r="P308" s="82">
        <f>IFERROR(IF(DATA!$I308&lt;iGeneral!F$29,1,P307*(1+P$10/12)),1)</f>
        <v>1</v>
      </c>
      <c r="T308" s="80"/>
      <c r="U308"/>
    </row>
    <row r="309" spans="5:21" ht="16" outlineLevel="1" thickTop="1" thickBot="1">
      <c r="E309" s="74">
        <f t="shared" si="29"/>
        <v>299</v>
      </c>
      <c r="F309" s="75">
        <f t="shared" si="30"/>
        <v>53632</v>
      </c>
      <c r="G309" s="74">
        <f t="shared" si="26"/>
        <v>100</v>
      </c>
      <c r="H309" s="74" t="str">
        <f t="shared" si="27"/>
        <v>Q3-46</v>
      </c>
      <c r="I309" s="74">
        <f t="shared" si="31"/>
        <v>25</v>
      </c>
      <c r="J309" s="74">
        <f t="shared" si="28"/>
        <v>2046</v>
      </c>
      <c r="L309" s="82">
        <f>IF(I310&lt;iGeneral!F$25,1,L308*(1+L$10/12))</f>
        <v>1.6425554611045359</v>
      </c>
      <c r="M309" s="82">
        <f>IF(I308&lt;iGeneral!F$26,1,M308*(1+M$10/12))</f>
        <v>1.2690062107306295</v>
      </c>
      <c r="N309" s="82">
        <f>IF(I308&lt;iGeneral!F$27,1,N308*(1+N$10/12))</f>
        <v>1</v>
      </c>
      <c r="O309" s="82">
        <f>IFERROR(IF(I308&lt;iGeneral!F$28,1,O308*(1+O$10/12)),1)</f>
        <v>1</v>
      </c>
      <c r="P309" s="82">
        <f>IFERROR(IF(DATA!$I309&lt;iGeneral!F$29,1,P308*(1+P$10/12)),1)</f>
        <v>1</v>
      </c>
      <c r="T309" s="80"/>
      <c r="U309"/>
    </row>
    <row r="310" spans="5:21" ht="16" outlineLevel="1" thickTop="1" thickBot="1">
      <c r="E310" s="74">
        <f t="shared" si="29"/>
        <v>300</v>
      </c>
      <c r="F310" s="75">
        <f t="shared" si="30"/>
        <v>53662</v>
      </c>
      <c r="G310" s="74">
        <f t="shared" si="26"/>
        <v>100</v>
      </c>
      <c r="H310" s="74" t="str">
        <f t="shared" si="27"/>
        <v>Q4-46</v>
      </c>
      <c r="I310" s="74">
        <f t="shared" si="31"/>
        <v>25</v>
      </c>
      <c r="J310" s="74">
        <f t="shared" si="28"/>
        <v>2046</v>
      </c>
      <c r="L310" s="82">
        <f>IF(I311&lt;iGeneral!F$25,1,L309*(1+L$10/12))</f>
        <v>1.6452930535397101</v>
      </c>
      <c r="M310" s="82">
        <f>IF(I309&lt;iGeneral!F$26,1,M309*(1+M$10/12))</f>
        <v>1.2700637159062382</v>
      </c>
      <c r="N310" s="82">
        <f>IF(I309&lt;iGeneral!F$27,1,N309*(1+N$10/12))</f>
        <v>1</v>
      </c>
      <c r="O310" s="82">
        <f>IFERROR(IF(I309&lt;iGeneral!F$28,1,O309*(1+O$10/12)),1)</f>
        <v>1</v>
      </c>
      <c r="P310" s="82">
        <f>IFERROR(IF(DATA!$I310&lt;iGeneral!F$29,1,P309*(1+P$10/12)),1)</f>
        <v>1</v>
      </c>
      <c r="T310" s="80"/>
      <c r="U310"/>
    </row>
    <row r="311" spans="5:21" ht="16" outlineLevel="1" thickTop="1" thickBot="1">
      <c r="E311" s="74">
        <f t="shared" si="29"/>
        <v>301</v>
      </c>
      <c r="F311" s="75">
        <f t="shared" si="30"/>
        <v>53693</v>
      </c>
      <c r="G311" s="74">
        <f t="shared" si="26"/>
        <v>101</v>
      </c>
      <c r="H311" s="74" t="str">
        <f t="shared" si="27"/>
        <v>Q1-47</v>
      </c>
      <c r="I311" s="74">
        <f t="shared" si="31"/>
        <v>26</v>
      </c>
      <c r="J311" s="74">
        <f t="shared" si="28"/>
        <v>2047</v>
      </c>
      <c r="L311" s="82">
        <f>IF(I312&lt;iGeneral!F$25,1,L310*(1+L$10/12))</f>
        <v>1.6480352086289429</v>
      </c>
      <c r="M311" s="82">
        <f>IF(I310&lt;iGeneral!F$26,1,M310*(1+M$10/12))</f>
        <v>1.2711221023361601</v>
      </c>
      <c r="N311" s="82">
        <f>IF(I310&lt;iGeneral!F$27,1,N310*(1+N$10/12))</f>
        <v>1</v>
      </c>
      <c r="O311" s="82">
        <f>IFERROR(IF(I310&lt;iGeneral!F$28,1,O310*(1+O$10/12)),1)</f>
        <v>1</v>
      </c>
      <c r="P311" s="82">
        <f>IFERROR(IF(DATA!$I311&lt;iGeneral!F$29,1,P310*(1+P$10/12)),1)</f>
        <v>1</v>
      </c>
      <c r="T311" s="80"/>
      <c r="U311"/>
    </row>
    <row r="312" spans="5:21" ht="16" outlineLevel="1" thickTop="1" thickBot="1">
      <c r="E312" s="74">
        <f t="shared" si="29"/>
        <v>302</v>
      </c>
      <c r="F312" s="75">
        <f t="shared" si="30"/>
        <v>53724</v>
      </c>
      <c r="G312" s="74">
        <f t="shared" si="26"/>
        <v>101</v>
      </c>
      <c r="H312" s="74" t="str">
        <f t="shared" si="27"/>
        <v>Q1-47</v>
      </c>
      <c r="I312" s="74">
        <f t="shared" si="31"/>
        <v>26</v>
      </c>
      <c r="J312" s="74">
        <f t="shared" si="28"/>
        <v>2047</v>
      </c>
      <c r="L312" s="82">
        <f>IF(I313&lt;iGeneral!F$25,1,L311*(1+L$10/12))</f>
        <v>1.6507819339766578</v>
      </c>
      <c r="M312" s="82">
        <f>IF(I311&lt;iGeneral!F$26,1,M311*(1+M$10/12))</f>
        <v>1.2721813707547733</v>
      </c>
      <c r="N312" s="82">
        <f>IF(I311&lt;iGeneral!F$27,1,N311*(1+N$10/12))</f>
        <v>1</v>
      </c>
      <c r="O312" s="82">
        <f>IFERROR(IF(I311&lt;iGeneral!F$28,1,O311*(1+O$10/12)),1)</f>
        <v>1</v>
      </c>
      <c r="P312" s="82">
        <f>IFERROR(IF(DATA!$I312&lt;iGeneral!F$29,1,P311*(1+P$10/12)),1)</f>
        <v>1</v>
      </c>
      <c r="T312" s="80"/>
      <c r="U312"/>
    </row>
    <row r="313" spans="5:21" ht="16" outlineLevel="1" thickTop="1" thickBot="1">
      <c r="E313" s="74">
        <f t="shared" si="29"/>
        <v>303</v>
      </c>
      <c r="F313" s="75">
        <f t="shared" si="30"/>
        <v>53752</v>
      </c>
      <c r="G313" s="74">
        <f t="shared" si="26"/>
        <v>101</v>
      </c>
      <c r="H313" s="74" t="str">
        <f t="shared" si="27"/>
        <v>Q1-47</v>
      </c>
      <c r="I313" s="74">
        <f t="shared" si="31"/>
        <v>26</v>
      </c>
      <c r="J313" s="74">
        <f t="shared" si="28"/>
        <v>2047</v>
      </c>
      <c r="L313" s="82">
        <f>IF(I314&lt;iGeneral!F$25,1,L312*(1+L$10/12))</f>
        <v>1.6535332371999523</v>
      </c>
      <c r="M313" s="82">
        <f>IF(I312&lt;iGeneral!F$26,1,M312*(1+M$10/12))</f>
        <v>1.273241521897069</v>
      </c>
      <c r="N313" s="82">
        <f>IF(I312&lt;iGeneral!F$27,1,N312*(1+N$10/12))</f>
        <v>1</v>
      </c>
      <c r="O313" s="82">
        <f>IFERROR(IF(I312&lt;iGeneral!F$28,1,O312*(1+O$10/12)),1)</f>
        <v>1</v>
      </c>
      <c r="P313" s="82">
        <f>IFERROR(IF(DATA!$I313&lt;iGeneral!F$29,1,P312*(1+P$10/12)),1)</f>
        <v>1</v>
      </c>
      <c r="T313" s="80"/>
      <c r="U313"/>
    </row>
    <row r="314" spans="5:21" ht="16" outlineLevel="1" thickTop="1" thickBot="1">
      <c r="E314" s="74">
        <f t="shared" si="29"/>
        <v>304</v>
      </c>
      <c r="F314" s="75">
        <f t="shared" si="30"/>
        <v>53783</v>
      </c>
      <c r="G314" s="74">
        <f t="shared" si="26"/>
        <v>102</v>
      </c>
      <c r="H314" s="74" t="str">
        <f t="shared" si="27"/>
        <v>Q2-47</v>
      </c>
      <c r="I314" s="74">
        <f t="shared" si="31"/>
        <v>26</v>
      </c>
      <c r="J314" s="74">
        <f t="shared" si="28"/>
        <v>2047</v>
      </c>
      <c r="L314" s="82">
        <f>IF(I315&lt;iGeneral!F$25,1,L313*(1+L$10/12))</f>
        <v>1.656289125928619</v>
      </c>
      <c r="M314" s="82">
        <f>IF(I313&lt;iGeneral!F$26,1,M313*(1+M$10/12))</f>
        <v>1.2743025564986497</v>
      </c>
      <c r="N314" s="82">
        <f>IF(I313&lt;iGeneral!F$27,1,N313*(1+N$10/12))</f>
        <v>1</v>
      </c>
      <c r="O314" s="82">
        <f>IFERROR(IF(I313&lt;iGeneral!F$28,1,O313*(1+O$10/12)),1)</f>
        <v>1</v>
      </c>
      <c r="P314" s="82">
        <f>IFERROR(IF(DATA!$I314&lt;iGeneral!F$29,1,P313*(1+P$10/12)),1)</f>
        <v>1</v>
      </c>
      <c r="T314" s="80"/>
      <c r="U314"/>
    </row>
    <row r="315" spans="5:21" ht="16" outlineLevel="1" thickTop="1" thickBot="1">
      <c r="E315" s="74">
        <f t="shared" si="29"/>
        <v>305</v>
      </c>
      <c r="F315" s="75">
        <f t="shared" si="30"/>
        <v>53813</v>
      </c>
      <c r="G315" s="74">
        <f t="shared" si="26"/>
        <v>102</v>
      </c>
      <c r="H315" s="74" t="str">
        <f t="shared" si="27"/>
        <v>Q2-47</v>
      </c>
      <c r="I315" s="74">
        <f t="shared" si="31"/>
        <v>26</v>
      </c>
      <c r="J315" s="74">
        <f t="shared" si="28"/>
        <v>2047</v>
      </c>
      <c r="L315" s="82">
        <f>IF(I316&lt;iGeneral!F$25,1,L314*(1+L$10/12))</f>
        <v>1.6590496078051669</v>
      </c>
      <c r="M315" s="82">
        <f>IF(I314&lt;iGeneral!F$26,1,M314*(1+M$10/12))</f>
        <v>1.2753644752957318</v>
      </c>
      <c r="N315" s="82">
        <f>IF(I314&lt;iGeneral!F$27,1,N314*(1+N$10/12))</f>
        <v>1</v>
      </c>
      <c r="O315" s="82">
        <f>IFERROR(IF(I314&lt;iGeneral!F$28,1,O314*(1+O$10/12)),1)</f>
        <v>1</v>
      </c>
      <c r="P315" s="82">
        <f>IFERROR(IF(DATA!$I315&lt;iGeneral!F$29,1,P314*(1+P$10/12)),1)</f>
        <v>1</v>
      </c>
      <c r="T315" s="80"/>
      <c r="U315"/>
    </row>
    <row r="316" spans="5:21" ht="16" outlineLevel="1" thickTop="1" thickBot="1">
      <c r="E316" s="74">
        <f t="shared" si="29"/>
        <v>306</v>
      </c>
      <c r="F316" s="75">
        <f t="shared" si="30"/>
        <v>53844</v>
      </c>
      <c r="G316" s="74">
        <f t="shared" si="26"/>
        <v>102</v>
      </c>
      <c r="H316" s="74" t="str">
        <f t="shared" si="27"/>
        <v>Q2-47</v>
      </c>
      <c r="I316" s="74">
        <f t="shared" si="31"/>
        <v>26</v>
      </c>
      <c r="J316" s="74">
        <f t="shared" si="28"/>
        <v>2047</v>
      </c>
      <c r="L316" s="82">
        <f>IF(I317&lt;iGeneral!F$25,1,L315*(1+L$10/12))</f>
        <v>1.6618146904848421</v>
      </c>
      <c r="M316" s="82">
        <f>IF(I315&lt;iGeneral!F$26,1,M315*(1+M$10/12))</f>
        <v>1.2764272790251447</v>
      </c>
      <c r="N316" s="82">
        <f>IF(I315&lt;iGeneral!F$27,1,N315*(1+N$10/12))</f>
        <v>1</v>
      </c>
      <c r="O316" s="82">
        <f>IFERROR(IF(I315&lt;iGeneral!F$28,1,O315*(1+O$10/12)),1)</f>
        <v>1</v>
      </c>
      <c r="P316" s="82">
        <f>IFERROR(IF(DATA!$I316&lt;iGeneral!F$29,1,P315*(1+P$10/12)),1)</f>
        <v>1</v>
      </c>
      <c r="T316" s="80"/>
      <c r="U316"/>
    </row>
    <row r="317" spans="5:21" ht="16" outlineLevel="1" thickTop="1" thickBot="1">
      <c r="E317" s="74">
        <f t="shared" si="29"/>
        <v>307</v>
      </c>
      <c r="F317" s="75">
        <f t="shared" si="30"/>
        <v>53874</v>
      </c>
      <c r="G317" s="74">
        <f t="shared" si="26"/>
        <v>103</v>
      </c>
      <c r="H317" s="74" t="str">
        <f t="shared" si="27"/>
        <v>Q2-47</v>
      </c>
      <c r="I317" s="74">
        <f t="shared" si="31"/>
        <v>26</v>
      </c>
      <c r="J317" s="74">
        <f t="shared" si="28"/>
        <v>2047</v>
      </c>
      <c r="L317" s="82">
        <f>IF(I318&lt;iGeneral!F$25,1,L316*(1+L$10/12))</f>
        <v>1.6645843816356503</v>
      </c>
      <c r="M317" s="82">
        <f>IF(I316&lt;iGeneral!F$26,1,M316*(1+M$10/12))</f>
        <v>1.2774909684243323</v>
      </c>
      <c r="N317" s="82">
        <f>IF(I316&lt;iGeneral!F$27,1,N316*(1+N$10/12))</f>
        <v>1</v>
      </c>
      <c r="O317" s="82">
        <f>IFERROR(IF(I316&lt;iGeneral!F$28,1,O316*(1+O$10/12)),1)</f>
        <v>1</v>
      </c>
      <c r="P317" s="82">
        <f>IFERROR(IF(DATA!$I317&lt;iGeneral!F$29,1,P316*(1+P$10/12)),1)</f>
        <v>1</v>
      </c>
      <c r="T317" s="80"/>
      <c r="U317"/>
    </row>
    <row r="318" spans="5:21" ht="16" outlineLevel="1" thickTop="1" thickBot="1">
      <c r="E318" s="74">
        <f t="shared" si="29"/>
        <v>308</v>
      </c>
      <c r="F318" s="75">
        <f t="shared" si="30"/>
        <v>53905</v>
      </c>
      <c r="G318" s="74">
        <f t="shared" si="26"/>
        <v>103</v>
      </c>
      <c r="H318" s="74" t="str">
        <f t="shared" si="27"/>
        <v>Q3-47</v>
      </c>
      <c r="I318" s="74">
        <f t="shared" si="31"/>
        <v>26</v>
      </c>
      <c r="J318" s="74">
        <f t="shared" si="28"/>
        <v>2047</v>
      </c>
      <c r="L318" s="82">
        <f>IF(I319&lt;iGeneral!F$25,1,L317*(1+L$10/12))</f>
        <v>1.6673586889383765</v>
      </c>
      <c r="M318" s="82">
        <f>IF(I317&lt;iGeneral!F$26,1,M317*(1+M$10/12))</f>
        <v>1.2785555442313525</v>
      </c>
      <c r="N318" s="82">
        <f>IF(I317&lt;iGeneral!F$27,1,N317*(1+N$10/12))</f>
        <v>1</v>
      </c>
      <c r="O318" s="82">
        <f>IFERROR(IF(I317&lt;iGeneral!F$28,1,O317*(1+O$10/12)),1)</f>
        <v>1</v>
      </c>
      <c r="P318" s="82">
        <f>IFERROR(IF(DATA!$I318&lt;iGeneral!F$29,1,P317*(1+P$10/12)),1)</f>
        <v>1</v>
      </c>
      <c r="T318" s="80"/>
      <c r="U318"/>
    </row>
    <row r="319" spans="5:21" ht="16" outlineLevel="1" thickTop="1" thickBot="1">
      <c r="E319" s="74">
        <f t="shared" si="29"/>
        <v>309</v>
      </c>
      <c r="F319" s="75">
        <f t="shared" si="30"/>
        <v>53936</v>
      </c>
      <c r="G319" s="74">
        <f t="shared" si="26"/>
        <v>103</v>
      </c>
      <c r="H319" s="74" t="str">
        <f t="shared" si="27"/>
        <v>Q3-47</v>
      </c>
      <c r="I319" s="74">
        <f t="shared" si="31"/>
        <v>26</v>
      </c>
      <c r="J319" s="74">
        <f t="shared" si="28"/>
        <v>2047</v>
      </c>
      <c r="L319" s="82">
        <f>IF(I320&lt;iGeneral!F$25,1,L318*(1+L$10/12))</f>
        <v>1.6701376200866072</v>
      </c>
      <c r="M319" s="82">
        <f>IF(I318&lt;iGeneral!F$26,1,M318*(1+M$10/12))</f>
        <v>1.2796210071848786</v>
      </c>
      <c r="N319" s="82">
        <f>IF(I318&lt;iGeneral!F$27,1,N318*(1+N$10/12))</f>
        <v>1</v>
      </c>
      <c r="O319" s="82">
        <f>IFERROR(IF(I318&lt;iGeneral!F$28,1,O318*(1+O$10/12)),1)</f>
        <v>1</v>
      </c>
      <c r="P319" s="82">
        <f>IFERROR(IF(DATA!$I319&lt;iGeneral!F$29,1,P318*(1+P$10/12)),1)</f>
        <v>1</v>
      </c>
      <c r="T319" s="80"/>
      <c r="U319"/>
    </row>
    <row r="320" spans="5:21" ht="16" outlineLevel="1" thickTop="1" thickBot="1">
      <c r="E320" s="74">
        <f t="shared" si="29"/>
        <v>310</v>
      </c>
      <c r="F320" s="75">
        <f t="shared" si="30"/>
        <v>53966</v>
      </c>
      <c r="G320" s="74">
        <f t="shared" si="26"/>
        <v>104</v>
      </c>
      <c r="H320" s="74" t="str">
        <f t="shared" si="27"/>
        <v>Q3-47</v>
      </c>
      <c r="I320" s="74">
        <f t="shared" si="31"/>
        <v>26</v>
      </c>
      <c r="J320" s="74">
        <f t="shared" si="28"/>
        <v>2047</v>
      </c>
      <c r="L320" s="82">
        <f>IF(I321&lt;iGeneral!F$25,1,L319*(1+L$10/12))</f>
        <v>1.6729211827867516</v>
      </c>
      <c r="M320" s="82">
        <f>IF(I319&lt;iGeneral!F$26,1,M319*(1+M$10/12))</f>
        <v>1.2806873580241993</v>
      </c>
      <c r="N320" s="82">
        <f>IF(I319&lt;iGeneral!F$27,1,N319*(1+N$10/12))</f>
        <v>1</v>
      </c>
      <c r="O320" s="82">
        <f>IFERROR(IF(I319&lt;iGeneral!F$28,1,O319*(1+O$10/12)),1)</f>
        <v>1</v>
      </c>
      <c r="P320" s="82">
        <f>IFERROR(IF(DATA!$I320&lt;iGeneral!F$29,1,P319*(1+P$10/12)),1)</f>
        <v>1</v>
      </c>
      <c r="T320" s="80"/>
      <c r="U320"/>
    </row>
    <row r="321" spans="5:21" ht="16" outlineLevel="1" thickTop="1" thickBot="1">
      <c r="E321" s="74">
        <f t="shared" si="29"/>
        <v>311</v>
      </c>
      <c r="F321" s="75">
        <f t="shared" si="30"/>
        <v>53997</v>
      </c>
      <c r="G321" s="74">
        <f t="shared" si="26"/>
        <v>104</v>
      </c>
      <c r="H321" s="74" t="str">
        <f t="shared" si="27"/>
        <v>Q3-47</v>
      </c>
      <c r="I321" s="74">
        <f t="shared" si="31"/>
        <v>26</v>
      </c>
      <c r="J321" s="74">
        <f t="shared" si="28"/>
        <v>2047</v>
      </c>
      <c r="L321" s="82">
        <f>IF(I322&lt;iGeneral!F$25,1,L320*(1+L$10/12))</f>
        <v>1.6757093847580629</v>
      </c>
      <c r="M321" s="82">
        <f>IF(I320&lt;iGeneral!F$26,1,M320*(1+M$10/12))</f>
        <v>1.2817545974892193</v>
      </c>
      <c r="N321" s="82">
        <f>IF(I320&lt;iGeneral!F$27,1,N320*(1+N$10/12))</f>
        <v>1</v>
      </c>
      <c r="O321" s="82">
        <f>IFERROR(IF(I320&lt;iGeneral!F$28,1,O320*(1+O$10/12)),1)</f>
        <v>1</v>
      </c>
      <c r="P321" s="82">
        <f>IFERROR(IF(DATA!$I321&lt;iGeneral!F$29,1,P320*(1+P$10/12)),1)</f>
        <v>1</v>
      </c>
      <c r="T321" s="80"/>
      <c r="U321"/>
    </row>
    <row r="322" spans="5:21" ht="16" outlineLevel="1" thickTop="1" thickBot="1">
      <c r="E322" s="74">
        <f t="shared" si="29"/>
        <v>312</v>
      </c>
      <c r="F322" s="75">
        <f t="shared" si="30"/>
        <v>54027</v>
      </c>
      <c r="G322" s="74">
        <f t="shared" si="26"/>
        <v>104</v>
      </c>
      <c r="H322" s="74" t="str">
        <f t="shared" si="27"/>
        <v>Q4-47</v>
      </c>
      <c r="I322" s="74">
        <f t="shared" si="31"/>
        <v>26</v>
      </c>
      <c r="J322" s="74">
        <f t="shared" si="28"/>
        <v>2047</v>
      </c>
      <c r="L322" s="82">
        <f>IF(I323&lt;iGeneral!F$25,1,L321*(1+L$10/12))</f>
        <v>1.6785022337326596</v>
      </c>
      <c r="M322" s="82">
        <f>IF(I321&lt;iGeneral!F$26,1,M321*(1+M$10/12))</f>
        <v>1.2828227263204601</v>
      </c>
      <c r="N322" s="82">
        <f>IF(I321&lt;iGeneral!F$27,1,N321*(1+N$10/12))</f>
        <v>1</v>
      </c>
      <c r="O322" s="82">
        <f>IFERROR(IF(I321&lt;iGeneral!F$28,1,O321*(1+O$10/12)),1)</f>
        <v>1</v>
      </c>
      <c r="P322" s="82">
        <f>IFERROR(IF(DATA!$I322&lt;iGeneral!F$29,1,P321*(1+P$10/12)),1)</f>
        <v>1</v>
      </c>
      <c r="T322" s="80"/>
      <c r="U322"/>
    </row>
    <row r="323" spans="5:21" ht="16" outlineLevel="1" thickTop="1" thickBot="1">
      <c r="E323" s="74">
        <f t="shared" si="29"/>
        <v>313</v>
      </c>
      <c r="F323" s="75">
        <f t="shared" si="30"/>
        <v>54058</v>
      </c>
      <c r="G323" s="74">
        <f t="shared" si="26"/>
        <v>105</v>
      </c>
      <c r="H323" s="74" t="str">
        <f t="shared" si="27"/>
        <v>Q1-48</v>
      </c>
      <c r="I323" s="74">
        <f t="shared" si="31"/>
        <v>27</v>
      </c>
      <c r="J323" s="74">
        <f t="shared" si="28"/>
        <v>2048</v>
      </c>
      <c r="L323" s="82">
        <f>IF(I324&lt;iGeneral!F$25,1,L322*(1+L$10/12))</f>
        <v>1.6812997374555474</v>
      </c>
      <c r="M323" s="82">
        <f>IF(I322&lt;iGeneral!F$26,1,M322*(1+M$10/12))</f>
        <v>1.2838917452590604</v>
      </c>
      <c r="N323" s="82">
        <f>IF(I322&lt;iGeneral!F$27,1,N322*(1+N$10/12))</f>
        <v>1</v>
      </c>
      <c r="O323" s="82">
        <f>IFERROR(IF(I322&lt;iGeneral!F$28,1,O322*(1+O$10/12)),1)</f>
        <v>1</v>
      </c>
      <c r="P323" s="82">
        <f>IFERROR(IF(DATA!$I323&lt;iGeneral!F$29,1,P322*(1+P$10/12)),1)</f>
        <v>1</v>
      </c>
      <c r="T323" s="80"/>
      <c r="U323"/>
    </row>
    <row r="324" spans="5:21" ht="16" outlineLevel="1" thickTop="1" thickBot="1">
      <c r="E324" s="74">
        <f t="shared" si="29"/>
        <v>314</v>
      </c>
      <c r="F324" s="75">
        <f t="shared" si="30"/>
        <v>54089</v>
      </c>
      <c r="G324" s="74">
        <f t="shared" si="26"/>
        <v>105</v>
      </c>
      <c r="H324" s="74" t="str">
        <f t="shared" si="27"/>
        <v>Q1-48</v>
      </c>
      <c r="I324" s="74">
        <f t="shared" si="31"/>
        <v>27</v>
      </c>
      <c r="J324" s="74">
        <f t="shared" si="28"/>
        <v>2048</v>
      </c>
      <c r="L324" s="82">
        <f>IF(I325&lt;iGeneral!F$25,1,L323*(1+L$10/12))</f>
        <v>1.6841019036846401</v>
      </c>
      <c r="M324" s="82">
        <f>IF(I323&lt;iGeneral!F$26,1,M323*(1+M$10/12))</f>
        <v>1.2849616550467762</v>
      </c>
      <c r="N324" s="82">
        <f>IF(I323&lt;iGeneral!F$27,1,N323*(1+N$10/12))</f>
        <v>1</v>
      </c>
      <c r="O324" s="82">
        <f>IFERROR(IF(I323&lt;iGeneral!F$28,1,O323*(1+O$10/12)),1)</f>
        <v>1</v>
      </c>
      <c r="P324" s="82">
        <f>IFERROR(IF(DATA!$I324&lt;iGeneral!F$29,1,P323*(1+P$10/12)),1)</f>
        <v>1</v>
      </c>
      <c r="T324" s="80"/>
      <c r="U324"/>
    </row>
    <row r="325" spans="5:21" ht="16" outlineLevel="1" thickTop="1" thickBot="1">
      <c r="E325" s="74">
        <f t="shared" si="29"/>
        <v>315</v>
      </c>
      <c r="F325" s="75">
        <f t="shared" si="30"/>
        <v>54118</v>
      </c>
      <c r="G325" s="74">
        <f t="shared" si="26"/>
        <v>105</v>
      </c>
      <c r="H325" s="74" t="str">
        <f t="shared" si="27"/>
        <v>Q1-48</v>
      </c>
      <c r="I325" s="74">
        <f t="shared" si="31"/>
        <v>27</v>
      </c>
      <c r="J325" s="74">
        <f t="shared" si="28"/>
        <v>2048</v>
      </c>
      <c r="L325" s="82">
        <f>IF(I326&lt;iGeneral!F$25,1,L324*(1+L$10/12))</f>
        <v>1.6869087401907812</v>
      </c>
      <c r="M325" s="82">
        <f>IF(I324&lt;iGeneral!F$26,1,M324*(1+M$10/12))</f>
        <v>1.2860324564259817</v>
      </c>
      <c r="N325" s="82">
        <f>IF(I324&lt;iGeneral!F$27,1,N324*(1+N$10/12))</f>
        <v>1</v>
      </c>
      <c r="O325" s="82">
        <f>IFERROR(IF(I324&lt;iGeneral!F$28,1,O324*(1+O$10/12)),1)</f>
        <v>1</v>
      </c>
      <c r="P325" s="82">
        <f>IFERROR(IF(DATA!$I325&lt;iGeneral!F$29,1,P324*(1+P$10/12)),1)</f>
        <v>1</v>
      </c>
      <c r="T325" s="80"/>
      <c r="U325"/>
    </row>
    <row r="326" spans="5:21" ht="16" outlineLevel="1" thickTop="1" thickBot="1">
      <c r="E326" s="74">
        <f t="shared" si="29"/>
        <v>316</v>
      </c>
      <c r="F326" s="75">
        <f t="shared" si="30"/>
        <v>54149</v>
      </c>
      <c r="G326" s="74">
        <f t="shared" si="26"/>
        <v>106</v>
      </c>
      <c r="H326" s="74" t="str">
        <f t="shared" si="27"/>
        <v>Q2-48</v>
      </c>
      <c r="I326" s="74">
        <f t="shared" si="31"/>
        <v>27</v>
      </c>
      <c r="J326" s="74">
        <f t="shared" si="28"/>
        <v>2048</v>
      </c>
      <c r="L326" s="82">
        <f>IF(I327&lt;iGeneral!F$25,1,L325*(1+L$10/12))</f>
        <v>1.6897202547577659</v>
      </c>
      <c r="M326" s="82">
        <f>IF(I325&lt;iGeneral!F$26,1,M325*(1+M$10/12))</f>
        <v>1.2871041501396698</v>
      </c>
      <c r="N326" s="82">
        <f>IF(I325&lt;iGeneral!F$27,1,N325*(1+N$10/12))</f>
        <v>1</v>
      </c>
      <c r="O326" s="82">
        <f>IFERROR(IF(I325&lt;iGeneral!F$28,1,O325*(1+O$10/12)),1)</f>
        <v>1</v>
      </c>
      <c r="P326" s="82">
        <f>IFERROR(IF(DATA!$I326&lt;iGeneral!F$29,1,P325*(1+P$10/12)),1)</f>
        <v>1</v>
      </c>
      <c r="T326" s="80"/>
      <c r="U326"/>
    </row>
    <row r="327" spans="5:21" ht="16" outlineLevel="1" thickTop="1" thickBot="1">
      <c r="E327" s="74">
        <f t="shared" si="29"/>
        <v>317</v>
      </c>
      <c r="F327" s="75">
        <f t="shared" si="30"/>
        <v>54179</v>
      </c>
      <c r="G327" s="74">
        <f t="shared" si="26"/>
        <v>106</v>
      </c>
      <c r="H327" s="74" t="str">
        <f t="shared" si="27"/>
        <v>Q2-48</v>
      </c>
      <c r="I327" s="74">
        <f t="shared" si="31"/>
        <v>27</v>
      </c>
      <c r="J327" s="74">
        <f t="shared" si="28"/>
        <v>2048</v>
      </c>
      <c r="L327" s="82">
        <f>IF(I328&lt;iGeneral!F$25,1,L326*(1+L$10/12))</f>
        <v>1.6925364551823623</v>
      </c>
      <c r="M327" s="82">
        <f>IF(I326&lt;iGeneral!F$26,1,M326*(1+M$10/12))</f>
        <v>1.2881767369314527</v>
      </c>
      <c r="N327" s="82">
        <f>IF(I326&lt;iGeneral!F$27,1,N326*(1+N$10/12))</f>
        <v>1</v>
      </c>
      <c r="O327" s="82">
        <f>IFERROR(IF(I326&lt;iGeneral!F$28,1,O326*(1+O$10/12)),1)</f>
        <v>1</v>
      </c>
      <c r="P327" s="82">
        <f>IFERROR(IF(DATA!$I327&lt;iGeneral!F$29,1,P326*(1+P$10/12)),1)</f>
        <v>1</v>
      </c>
      <c r="T327" s="80"/>
      <c r="U327"/>
    </row>
    <row r="328" spans="5:21" ht="16" outlineLevel="1" thickTop="1" thickBot="1">
      <c r="E328" s="74">
        <f t="shared" si="29"/>
        <v>318</v>
      </c>
      <c r="F328" s="75">
        <f t="shared" si="30"/>
        <v>54210</v>
      </c>
      <c r="G328" s="74">
        <f t="shared" si="26"/>
        <v>106</v>
      </c>
      <c r="H328" s="74" t="str">
        <f t="shared" si="27"/>
        <v>Q2-48</v>
      </c>
      <c r="I328" s="74">
        <f t="shared" si="31"/>
        <v>27</v>
      </c>
      <c r="J328" s="74">
        <f t="shared" si="28"/>
        <v>2048</v>
      </c>
      <c r="L328" s="82">
        <f>IF(I329&lt;iGeneral!F$25,1,L327*(1+L$10/12))</f>
        <v>1.695357349274333</v>
      </c>
      <c r="M328" s="82">
        <f>IF(I327&lt;iGeneral!F$26,1,M327*(1+M$10/12))</f>
        <v>1.2892502175455622</v>
      </c>
      <c r="N328" s="82">
        <f>IF(I327&lt;iGeneral!F$27,1,N327*(1+N$10/12))</f>
        <v>1</v>
      </c>
      <c r="O328" s="82">
        <f>IFERROR(IF(I327&lt;iGeneral!F$28,1,O327*(1+O$10/12)),1)</f>
        <v>1</v>
      </c>
      <c r="P328" s="82">
        <f>IFERROR(IF(DATA!$I328&lt;iGeneral!F$29,1,P327*(1+P$10/12)),1)</f>
        <v>1</v>
      </c>
      <c r="T328" s="80"/>
      <c r="U328"/>
    </row>
    <row r="329" spans="5:21" ht="16" outlineLevel="1" thickTop="1" thickBot="1">
      <c r="E329" s="74">
        <f t="shared" si="29"/>
        <v>319</v>
      </c>
      <c r="F329" s="75">
        <f t="shared" si="30"/>
        <v>54240</v>
      </c>
      <c r="G329" s="74">
        <f t="shared" si="26"/>
        <v>107</v>
      </c>
      <c r="H329" s="74" t="str">
        <f t="shared" si="27"/>
        <v>Q2-48</v>
      </c>
      <c r="I329" s="74">
        <f t="shared" si="31"/>
        <v>27</v>
      </c>
      <c r="J329" s="74">
        <f t="shared" si="28"/>
        <v>2048</v>
      </c>
      <c r="L329" s="82">
        <f>IF(I330&lt;iGeneral!F$25,1,L328*(1+L$10/12))</f>
        <v>1.6981829448564569</v>
      </c>
      <c r="M329" s="82">
        <f>IF(I328&lt;iGeneral!F$26,1,M328*(1+M$10/12))</f>
        <v>1.2903245927268501</v>
      </c>
      <c r="N329" s="82">
        <f>IF(I328&lt;iGeneral!F$27,1,N328*(1+N$10/12))</f>
        <v>1</v>
      </c>
      <c r="O329" s="82">
        <f>IFERROR(IF(I328&lt;iGeneral!F$28,1,O328*(1+O$10/12)),1)</f>
        <v>1</v>
      </c>
      <c r="P329" s="82">
        <f>IFERROR(IF(DATA!$I329&lt;iGeneral!F$29,1,P328*(1+P$10/12)),1)</f>
        <v>1</v>
      </c>
      <c r="T329" s="80"/>
      <c r="U329"/>
    </row>
    <row r="330" spans="5:21" ht="16" outlineLevel="1" thickTop="1" thickBot="1">
      <c r="E330" s="74">
        <f t="shared" si="29"/>
        <v>320</v>
      </c>
      <c r="F330" s="75">
        <f t="shared" si="30"/>
        <v>54271</v>
      </c>
      <c r="G330" s="74">
        <f t="shared" si="26"/>
        <v>107</v>
      </c>
      <c r="H330" s="74" t="str">
        <f t="shared" si="27"/>
        <v>Q3-48</v>
      </c>
      <c r="I330" s="74">
        <f t="shared" si="31"/>
        <v>27</v>
      </c>
      <c r="J330" s="74">
        <f t="shared" si="28"/>
        <v>2048</v>
      </c>
      <c r="L330" s="82">
        <f>IF(I331&lt;iGeneral!F$25,1,L329*(1+L$10/12))</f>
        <v>1.7010132497645511</v>
      </c>
      <c r="M330" s="82">
        <f>IF(I329&lt;iGeneral!F$26,1,M329*(1+M$10/12))</f>
        <v>1.291399863220789</v>
      </c>
      <c r="N330" s="82">
        <f>IF(I329&lt;iGeneral!F$27,1,N329*(1+N$10/12))</f>
        <v>1</v>
      </c>
      <c r="O330" s="82">
        <f>IFERROR(IF(I329&lt;iGeneral!F$28,1,O329*(1+O$10/12)),1)</f>
        <v>1</v>
      </c>
      <c r="P330" s="82">
        <f>IFERROR(IF(DATA!$I330&lt;iGeneral!F$29,1,P329*(1+P$10/12)),1)</f>
        <v>1</v>
      </c>
      <c r="T330" s="80"/>
      <c r="U330"/>
    </row>
    <row r="331" spans="5:21" ht="16" outlineLevel="1" thickTop="1" thickBot="1">
      <c r="E331" s="74">
        <f t="shared" si="29"/>
        <v>321</v>
      </c>
      <c r="F331" s="75">
        <f t="shared" si="30"/>
        <v>54302</v>
      </c>
      <c r="G331" s="74">
        <f t="shared" ref="G331:G370" si="32">INT(INT(E331+2)/3)</f>
        <v>107</v>
      </c>
      <c r="H331" s="74" t="str">
        <f t="shared" ref="H331:H370" si="33">"Q"&amp;INT((MONTH(F331)/4)+1)&amp;"-"&amp;RIGHT(YEAR(F331),2)</f>
        <v>Q3-48</v>
      </c>
      <c r="I331" s="74">
        <f t="shared" si="31"/>
        <v>27</v>
      </c>
      <c r="J331" s="74">
        <f t="shared" ref="J331:J370" si="34">YEAR(F331)</f>
        <v>2048</v>
      </c>
      <c r="L331" s="82">
        <f>IF(I332&lt;iGeneral!F$25,1,L330*(1+L$10/12))</f>
        <v>1.7038482718474921</v>
      </c>
      <c r="M331" s="82">
        <f>IF(I330&lt;iGeneral!F$26,1,M330*(1+M$10/12))</f>
        <v>1.292476029773473</v>
      </c>
      <c r="N331" s="82">
        <f>IF(I330&lt;iGeneral!F$27,1,N330*(1+N$10/12))</f>
        <v>1</v>
      </c>
      <c r="O331" s="82">
        <f>IFERROR(IF(I330&lt;iGeneral!F$28,1,O330*(1+O$10/12)),1)</f>
        <v>1</v>
      </c>
      <c r="P331" s="82">
        <f>IFERROR(IF(DATA!$I331&lt;iGeneral!F$29,1,P330*(1+P$10/12)),1)</f>
        <v>1</v>
      </c>
      <c r="T331" s="80"/>
      <c r="U331"/>
    </row>
    <row r="332" spans="5:21" ht="16" outlineLevel="1" thickTop="1" thickBot="1">
      <c r="E332" s="74">
        <f t="shared" ref="E332:E370" si="35">E331+1</f>
        <v>322</v>
      </c>
      <c r="F332" s="75">
        <f t="shared" ref="F332:F370" si="36">EOMONTH(F331,0)+1</f>
        <v>54332</v>
      </c>
      <c r="G332" s="74">
        <f t="shared" si="32"/>
        <v>108</v>
      </c>
      <c r="H332" s="74" t="str">
        <f t="shared" si="33"/>
        <v>Q3-48</v>
      </c>
      <c r="I332" s="74">
        <f t="shared" ref="I332:I370" si="37">MIN(INT(YEARFRAC(F$11,F344)),30)</f>
        <v>27</v>
      </c>
      <c r="J332" s="74">
        <f t="shared" si="34"/>
        <v>2048</v>
      </c>
      <c r="L332" s="82">
        <f>IF(I333&lt;iGeneral!F$25,1,L331*(1+L$10/12))</f>
        <v>1.706688018967238</v>
      </c>
      <c r="M332" s="82">
        <f>IF(I331&lt;iGeneral!F$26,1,M331*(1+M$10/12))</f>
        <v>1.2935530931316175</v>
      </c>
      <c r="N332" s="82">
        <f>IF(I331&lt;iGeneral!F$27,1,N331*(1+N$10/12))</f>
        <v>1</v>
      </c>
      <c r="O332" s="82">
        <f>IFERROR(IF(I331&lt;iGeneral!F$28,1,O331*(1+O$10/12)),1)</f>
        <v>1</v>
      </c>
      <c r="P332" s="82">
        <f>IFERROR(IF(DATA!$I332&lt;iGeneral!F$29,1,P331*(1+P$10/12)),1)</f>
        <v>1</v>
      </c>
      <c r="T332" s="80"/>
      <c r="U332"/>
    </row>
    <row r="333" spans="5:21" ht="16" outlineLevel="1" thickTop="1" thickBot="1">
      <c r="E333" s="74">
        <f t="shared" si="35"/>
        <v>323</v>
      </c>
      <c r="F333" s="75">
        <f t="shared" si="36"/>
        <v>54363</v>
      </c>
      <c r="G333" s="74">
        <f t="shared" si="32"/>
        <v>108</v>
      </c>
      <c r="H333" s="74" t="str">
        <f t="shared" si="33"/>
        <v>Q3-48</v>
      </c>
      <c r="I333" s="74">
        <f t="shared" si="37"/>
        <v>27</v>
      </c>
      <c r="J333" s="74">
        <f t="shared" si="34"/>
        <v>2048</v>
      </c>
      <c r="L333" s="82">
        <f>IF(I334&lt;iGeneral!F$25,1,L332*(1+L$10/12))</f>
        <v>1.7095324989988501</v>
      </c>
      <c r="M333" s="82">
        <f>IF(I332&lt;iGeneral!F$26,1,M332*(1+M$10/12))</f>
        <v>1.2946310540425603</v>
      </c>
      <c r="N333" s="82">
        <f>IF(I332&lt;iGeneral!F$27,1,N332*(1+N$10/12))</f>
        <v>1</v>
      </c>
      <c r="O333" s="82">
        <f>IFERROR(IF(I332&lt;iGeneral!F$28,1,O332*(1+O$10/12)),1)</f>
        <v>1</v>
      </c>
      <c r="P333" s="82">
        <f>IFERROR(IF(DATA!$I333&lt;iGeneral!F$29,1,P332*(1+P$10/12)),1)</f>
        <v>1</v>
      </c>
      <c r="T333" s="80"/>
      <c r="U333"/>
    </row>
    <row r="334" spans="5:21" ht="16" outlineLevel="1" thickTop="1" thickBot="1">
      <c r="E334" s="74">
        <f t="shared" si="35"/>
        <v>324</v>
      </c>
      <c r="F334" s="75">
        <f t="shared" si="36"/>
        <v>54393</v>
      </c>
      <c r="G334" s="74">
        <f t="shared" si="32"/>
        <v>108</v>
      </c>
      <c r="H334" s="74" t="str">
        <f t="shared" si="33"/>
        <v>Q4-48</v>
      </c>
      <c r="I334" s="74">
        <f t="shared" si="37"/>
        <v>27</v>
      </c>
      <c r="J334" s="74">
        <f t="shared" si="34"/>
        <v>2048</v>
      </c>
      <c r="L334" s="82">
        <f>IF(I335&lt;iGeneral!F$25,1,L333*(1+L$10/12))</f>
        <v>1.7123817198305149</v>
      </c>
      <c r="M334" s="82">
        <f>IF(I333&lt;iGeneral!F$26,1,M333*(1+M$10/12))</f>
        <v>1.2957099132542622</v>
      </c>
      <c r="N334" s="82">
        <f>IF(I333&lt;iGeneral!F$27,1,N333*(1+N$10/12))</f>
        <v>1</v>
      </c>
      <c r="O334" s="82">
        <f>IFERROR(IF(I333&lt;iGeneral!F$28,1,O333*(1+O$10/12)),1)</f>
        <v>1</v>
      </c>
      <c r="P334" s="82">
        <f>IFERROR(IF(DATA!$I334&lt;iGeneral!F$29,1,P333*(1+P$10/12)),1)</f>
        <v>1</v>
      </c>
      <c r="T334" s="80"/>
      <c r="U334"/>
    </row>
    <row r="335" spans="5:21" ht="16" outlineLevel="1" thickTop="1" thickBot="1">
      <c r="E335" s="74">
        <f t="shared" si="35"/>
        <v>325</v>
      </c>
      <c r="F335" s="75">
        <f t="shared" si="36"/>
        <v>54424</v>
      </c>
      <c r="G335" s="74">
        <f t="shared" si="32"/>
        <v>109</v>
      </c>
      <c r="H335" s="74" t="str">
        <f t="shared" si="33"/>
        <v>Q1-49</v>
      </c>
      <c r="I335" s="74">
        <f t="shared" si="37"/>
        <v>28</v>
      </c>
      <c r="J335" s="74">
        <f t="shared" si="34"/>
        <v>2049</v>
      </c>
      <c r="L335" s="82">
        <f>IF(I336&lt;iGeneral!F$25,1,L334*(1+L$10/12))</f>
        <v>1.7152356893635659</v>
      </c>
      <c r="M335" s="82">
        <f>IF(I334&lt;iGeneral!F$26,1,M334*(1+M$10/12))</f>
        <v>1.2967896715153073</v>
      </c>
      <c r="N335" s="82">
        <f>IF(I334&lt;iGeneral!F$27,1,N334*(1+N$10/12))</f>
        <v>1</v>
      </c>
      <c r="O335" s="82">
        <f>IFERROR(IF(I334&lt;iGeneral!F$28,1,O334*(1+O$10/12)),1)</f>
        <v>1</v>
      </c>
      <c r="P335" s="82">
        <f>IFERROR(IF(DATA!$I335&lt;iGeneral!F$29,1,P334*(1+P$10/12)),1)</f>
        <v>1</v>
      </c>
      <c r="T335" s="80"/>
      <c r="U335"/>
    </row>
    <row r="336" spans="5:21" ht="16" outlineLevel="1" thickTop="1" thickBot="1">
      <c r="E336" s="74">
        <f t="shared" si="35"/>
        <v>326</v>
      </c>
      <c r="F336" s="75">
        <f t="shared" si="36"/>
        <v>54455</v>
      </c>
      <c r="G336" s="74">
        <f t="shared" si="32"/>
        <v>109</v>
      </c>
      <c r="H336" s="74" t="str">
        <f t="shared" si="33"/>
        <v>Q1-49</v>
      </c>
      <c r="I336" s="74">
        <f t="shared" si="37"/>
        <v>28</v>
      </c>
      <c r="J336" s="74">
        <f t="shared" si="34"/>
        <v>2049</v>
      </c>
      <c r="L336" s="82">
        <f>IF(I337&lt;iGeneral!F$25,1,L335*(1+L$10/12))</f>
        <v>1.7180944155125053</v>
      </c>
      <c r="M336" s="82">
        <f>IF(I335&lt;iGeneral!F$26,1,M335*(1+M$10/12))</f>
        <v>1.2978703295749032</v>
      </c>
      <c r="N336" s="82">
        <f>IF(I335&lt;iGeneral!F$27,1,N335*(1+N$10/12))</f>
        <v>1</v>
      </c>
      <c r="O336" s="82">
        <f>IFERROR(IF(I335&lt;iGeneral!F$28,1,O335*(1+O$10/12)),1)</f>
        <v>1</v>
      </c>
      <c r="P336" s="82">
        <f>IFERROR(IF(DATA!$I336&lt;iGeneral!F$29,1,P335*(1+P$10/12)),1)</f>
        <v>1</v>
      </c>
      <c r="T336" s="80"/>
      <c r="U336"/>
    </row>
    <row r="337" spans="5:21" ht="16" outlineLevel="1" thickTop="1" thickBot="1">
      <c r="E337" s="74">
        <f t="shared" si="35"/>
        <v>327</v>
      </c>
      <c r="F337" s="75">
        <f t="shared" si="36"/>
        <v>54483</v>
      </c>
      <c r="G337" s="74">
        <f t="shared" si="32"/>
        <v>109</v>
      </c>
      <c r="H337" s="74" t="str">
        <f t="shared" si="33"/>
        <v>Q1-49</v>
      </c>
      <c r="I337" s="74">
        <f t="shared" si="37"/>
        <v>28</v>
      </c>
      <c r="J337" s="74">
        <f t="shared" si="34"/>
        <v>2049</v>
      </c>
      <c r="L337" s="82">
        <f>IF(I338&lt;iGeneral!F$25,1,L336*(1+L$10/12))</f>
        <v>1.7209579062050262</v>
      </c>
      <c r="M337" s="82">
        <f>IF(I336&lt;iGeneral!F$26,1,M336*(1+M$10/12))</f>
        <v>1.2989518881828821</v>
      </c>
      <c r="N337" s="82">
        <f>IF(I336&lt;iGeneral!F$27,1,N336*(1+N$10/12))</f>
        <v>1</v>
      </c>
      <c r="O337" s="82">
        <f>IFERROR(IF(I336&lt;iGeneral!F$28,1,O336*(1+O$10/12)),1)</f>
        <v>1</v>
      </c>
      <c r="P337" s="82">
        <f>IFERROR(IF(DATA!$I337&lt;iGeneral!F$29,1,P336*(1+P$10/12)),1)</f>
        <v>1</v>
      </c>
      <c r="T337" s="80"/>
      <c r="U337"/>
    </row>
    <row r="338" spans="5:21" ht="16" outlineLevel="1" thickTop="1" thickBot="1">
      <c r="E338" s="74">
        <f t="shared" si="35"/>
        <v>328</v>
      </c>
      <c r="F338" s="75">
        <f t="shared" si="36"/>
        <v>54514</v>
      </c>
      <c r="G338" s="74">
        <f t="shared" si="32"/>
        <v>110</v>
      </c>
      <c r="H338" s="74" t="str">
        <f t="shared" si="33"/>
        <v>Q2-49</v>
      </c>
      <c r="I338" s="74">
        <f t="shared" si="37"/>
        <v>28</v>
      </c>
      <c r="J338" s="74">
        <f t="shared" si="34"/>
        <v>2049</v>
      </c>
      <c r="L338" s="82">
        <f>IF(I339&lt;iGeneral!F$25,1,L337*(1+L$10/12))</f>
        <v>1.7238261693820347</v>
      </c>
      <c r="M338" s="82">
        <f>IF(I337&lt;iGeneral!F$26,1,M337*(1+M$10/12))</f>
        <v>1.300034348089701</v>
      </c>
      <c r="N338" s="82">
        <f>IF(I337&lt;iGeneral!F$27,1,N337*(1+N$10/12))</f>
        <v>1</v>
      </c>
      <c r="O338" s="82">
        <f>IFERROR(IF(I337&lt;iGeneral!F$28,1,O337*(1+O$10/12)),1)</f>
        <v>1</v>
      </c>
      <c r="P338" s="82">
        <f>IFERROR(IF(DATA!$I338&lt;iGeneral!F$29,1,P337*(1+P$10/12)),1)</f>
        <v>1</v>
      </c>
      <c r="T338" s="80"/>
      <c r="U338"/>
    </row>
    <row r="339" spans="5:21" ht="16" outlineLevel="1" thickTop="1" thickBot="1">
      <c r="E339" s="74">
        <f t="shared" si="35"/>
        <v>329</v>
      </c>
      <c r="F339" s="75">
        <f t="shared" si="36"/>
        <v>54544</v>
      </c>
      <c r="G339" s="74">
        <f t="shared" si="32"/>
        <v>110</v>
      </c>
      <c r="H339" s="74" t="str">
        <f t="shared" si="33"/>
        <v>Q2-49</v>
      </c>
      <c r="I339" s="74">
        <f t="shared" si="37"/>
        <v>28</v>
      </c>
      <c r="J339" s="74">
        <f t="shared" si="34"/>
        <v>2049</v>
      </c>
      <c r="L339" s="82">
        <f>IF(I340&lt;iGeneral!F$25,1,L338*(1+L$10/12))</f>
        <v>1.7266992129976715</v>
      </c>
      <c r="M339" s="82">
        <f>IF(I338&lt;iGeneral!F$26,1,M338*(1+M$10/12))</f>
        <v>1.3011177100464422</v>
      </c>
      <c r="N339" s="82">
        <f>IF(I338&lt;iGeneral!F$27,1,N338*(1+N$10/12))</f>
        <v>1</v>
      </c>
      <c r="O339" s="82">
        <f>IFERROR(IF(I338&lt;iGeneral!F$28,1,O338*(1+O$10/12)),1)</f>
        <v>1</v>
      </c>
      <c r="P339" s="82">
        <f>IFERROR(IF(DATA!$I339&lt;iGeneral!F$29,1,P338*(1+P$10/12)),1)</f>
        <v>1</v>
      </c>
      <c r="T339" s="80"/>
      <c r="U339"/>
    </row>
    <row r="340" spans="5:21" ht="16" outlineLevel="1" thickTop="1" thickBot="1">
      <c r="E340" s="74">
        <f t="shared" si="35"/>
        <v>330</v>
      </c>
      <c r="F340" s="75">
        <f t="shared" si="36"/>
        <v>54575</v>
      </c>
      <c r="G340" s="74">
        <f t="shared" si="32"/>
        <v>110</v>
      </c>
      <c r="H340" s="74" t="str">
        <f t="shared" si="33"/>
        <v>Q2-49</v>
      </c>
      <c r="I340" s="74">
        <f t="shared" si="37"/>
        <v>28</v>
      </c>
      <c r="J340" s="74">
        <f t="shared" si="34"/>
        <v>2049</v>
      </c>
      <c r="L340" s="82">
        <f>IF(I341&lt;iGeneral!F$25,1,L339*(1+L$10/12))</f>
        <v>1.7295770450193344</v>
      </c>
      <c r="M340" s="82">
        <f>IF(I339&lt;iGeneral!F$26,1,M339*(1+M$10/12))</f>
        <v>1.3022019748048141</v>
      </c>
      <c r="N340" s="82">
        <f>IF(I339&lt;iGeneral!F$27,1,N339*(1+N$10/12))</f>
        <v>1</v>
      </c>
      <c r="O340" s="82">
        <f>IFERROR(IF(I339&lt;iGeneral!F$28,1,O339*(1+O$10/12)),1)</f>
        <v>1</v>
      </c>
      <c r="P340" s="82">
        <f>IFERROR(IF(DATA!$I340&lt;iGeneral!F$29,1,P339*(1+P$10/12)),1)</f>
        <v>1</v>
      </c>
      <c r="T340" s="80"/>
      <c r="U340"/>
    </row>
    <row r="341" spans="5:21" ht="16" outlineLevel="1" thickTop="1" thickBot="1">
      <c r="E341" s="74">
        <f t="shared" si="35"/>
        <v>331</v>
      </c>
      <c r="F341" s="75">
        <f t="shared" si="36"/>
        <v>54605</v>
      </c>
      <c r="G341" s="74">
        <f t="shared" si="32"/>
        <v>111</v>
      </c>
      <c r="H341" s="74" t="str">
        <f t="shared" si="33"/>
        <v>Q2-49</v>
      </c>
      <c r="I341" s="74">
        <f t="shared" si="37"/>
        <v>28</v>
      </c>
      <c r="J341" s="74">
        <f t="shared" si="34"/>
        <v>2049</v>
      </c>
      <c r="L341" s="82">
        <f>IF(I342&lt;iGeneral!F$25,1,L340*(1+L$10/12))</f>
        <v>1.7324596734277</v>
      </c>
      <c r="M341" s="82">
        <f>IF(I340&lt;iGeneral!F$26,1,M340*(1+M$10/12))</f>
        <v>1.3032871431171513</v>
      </c>
      <c r="N341" s="82">
        <f>IF(I340&lt;iGeneral!F$27,1,N340*(1+N$10/12))</f>
        <v>1</v>
      </c>
      <c r="O341" s="82">
        <f>IFERROR(IF(I340&lt;iGeneral!F$28,1,O340*(1+O$10/12)),1)</f>
        <v>1</v>
      </c>
      <c r="P341" s="82">
        <f>IFERROR(IF(DATA!$I341&lt;iGeneral!F$29,1,P340*(1+P$10/12)),1)</f>
        <v>1</v>
      </c>
      <c r="T341" s="80"/>
      <c r="U341"/>
    </row>
    <row r="342" spans="5:21" ht="16" outlineLevel="1" thickTop="1" thickBot="1">
      <c r="E342" s="74">
        <f t="shared" si="35"/>
        <v>332</v>
      </c>
      <c r="F342" s="75">
        <f t="shared" si="36"/>
        <v>54636</v>
      </c>
      <c r="G342" s="74">
        <f t="shared" si="32"/>
        <v>111</v>
      </c>
      <c r="H342" s="74" t="str">
        <f t="shared" si="33"/>
        <v>Q3-49</v>
      </c>
      <c r="I342" s="74">
        <f t="shared" si="37"/>
        <v>28</v>
      </c>
      <c r="J342" s="74">
        <f t="shared" si="34"/>
        <v>2049</v>
      </c>
      <c r="L342" s="82">
        <f>IF(I343&lt;iGeneral!F$25,1,L341*(1+L$10/12))</f>
        <v>1.7353471062167463</v>
      </c>
      <c r="M342" s="82">
        <f>IF(I341&lt;iGeneral!F$26,1,M341*(1+M$10/12))</f>
        <v>1.3043732157364154</v>
      </c>
      <c r="N342" s="82">
        <f>IF(I341&lt;iGeneral!F$27,1,N341*(1+N$10/12))</f>
        <v>1</v>
      </c>
      <c r="O342" s="82">
        <f>IFERROR(IF(I341&lt;iGeneral!F$28,1,O341*(1+O$10/12)),1)</f>
        <v>1</v>
      </c>
      <c r="P342" s="82">
        <f>IFERROR(IF(DATA!$I342&lt;iGeneral!F$29,1,P341*(1+P$10/12)),1)</f>
        <v>1</v>
      </c>
      <c r="T342" s="80"/>
      <c r="U342"/>
    </row>
    <row r="343" spans="5:21" ht="16" outlineLevel="1" thickTop="1" thickBot="1">
      <c r="E343" s="74">
        <f t="shared" si="35"/>
        <v>333</v>
      </c>
      <c r="F343" s="75">
        <f t="shared" si="36"/>
        <v>54667</v>
      </c>
      <c r="G343" s="74">
        <f t="shared" si="32"/>
        <v>111</v>
      </c>
      <c r="H343" s="74" t="str">
        <f t="shared" si="33"/>
        <v>Q3-49</v>
      </c>
      <c r="I343" s="74">
        <f t="shared" si="37"/>
        <v>28</v>
      </c>
      <c r="J343" s="74">
        <f t="shared" si="34"/>
        <v>2049</v>
      </c>
      <c r="L343" s="82">
        <f>IF(I344&lt;iGeneral!F$25,1,L342*(1+L$10/12))</f>
        <v>1.7382393513937742</v>
      </c>
      <c r="M343" s="82">
        <f>IF(I342&lt;iGeneral!F$26,1,M342*(1+M$10/12))</f>
        <v>1.3054601934161956</v>
      </c>
      <c r="N343" s="82">
        <f>IF(I342&lt;iGeneral!F$27,1,N342*(1+N$10/12))</f>
        <v>1</v>
      </c>
      <c r="O343" s="82">
        <f>IFERROR(IF(I342&lt;iGeneral!F$28,1,O342*(1+O$10/12)),1)</f>
        <v>1</v>
      </c>
      <c r="P343" s="82">
        <f>IFERROR(IF(DATA!$I343&lt;iGeneral!F$29,1,P342*(1+P$10/12)),1)</f>
        <v>1</v>
      </c>
      <c r="T343" s="80"/>
      <c r="U343"/>
    </row>
    <row r="344" spans="5:21" ht="16" outlineLevel="1" thickTop="1" thickBot="1">
      <c r="E344" s="74">
        <f t="shared" si="35"/>
        <v>334</v>
      </c>
      <c r="F344" s="75">
        <f t="shared" si="36"/>
        <v>54697</v>
      </c>
      <c r="G344" s="74">
        <f t="shared" si="32"/>
        <v>112</v>
      </c>
      <c r="H344" s="74" t="str">
        <f t="shared" si="33"/>
        <v>Q3-49</v>
      </c>
      <c r="I344" s="74">
        <f t="shared" si="37"/>
        <v>28</v>
      </c>
      <c r="J344" s="74">
        <f t="shared" si="34"/>
        <v>2049</v>
      </c>
      <c r="L344" s="82">
        <f>IF(I345&lt;iGeneral!F$25,1,L343*(1+L$10/12))</f>
        <v>1.7411364169794306</v>
      </c>
      <c r="M344" s="82">
        <f>IF(I343&lt;iGeneral!F$26,1,M343*(1+M$10/12))</f>
        <v>1.306548076910709</v>
      </c>
      <c r="N344" s="82">
        <f>IF(I343&lt;iGeneral!F$27,1,N343*(1+N$10/12))</f>
        <v>1</v>
      </c>
      <c r="O344" s="82">
        <f>IFERROR(IF(I343&lt;iGeneral!F$28,1,O343*(1+O$10/12)),1)</f>
        <v>1</v>
      </c>
      <c r="P344" s="82">
        <f>IFERROR(IF(DATA!$I344&lt;iGeneral!F$29,1,P343*(1+P$10/12)),1)</f>
        <v>1</v>
      </c>
      <c r="T344" s="80"/>
      <c r="U344"/>
    </row>
    <row r="345" spans="5:21" ht="16" outlineLevel="1" thickTop="1" thickBot="1">
      <c r="E345" s="74">
        <f t="shared" si="35"/>
        <v>335</v>
      </c>
      <c r="F345" s="75">
        <f t="shared" si="36"/>
        <v>54728</v>
      </c>
      <c r="G345" s="74">
        <f t="shared" si="32"/>
        <v>112</v>
      </c>
      <c r="H345" s="74" t="str">
        <f t="shared" si="33"/>
        <v>Q3-49</v>
      </c>
      <c r="I345" s="74">
        <f t="shared" si="37"/>
        <v>28</v>
      </c>
      <c r="J345" s="74">
        <f t="shared" si="34"/>
        <v>2049</v>
      </c>
      <c r="L345" s="82">
        <f>IF(I346&lt;iGeneral!F$25,1,L344*(1+L$10/12))</f>
        <v>1.7440383110077298</v>
      </c>
      <c r="M345" s="82">
        <f>IF(I344&lt;iGeneral!F$26,1,M344*(1+M$10/12))</f>
        <v>1.3076368669748011</v>
      </c>
      <c r="N345" s="82">
        <f>IF(I344&lt;iGeneral!F$27,1,N344*(1+N$10/12))</f>
        <v>1</v>
      </c>
      <c r="O345" s="82">
        <f>IFERROR(IF(I344&lt;iGeneral!F$28,1,O344*(1+O$10/12)),1)</f>
        <v>1</v>
      </c>
      <c r="P345" s="82">
        <f>IFERROR(IF(DATA!$I345&lt;iGeneral!F$29,1,P344*(1+P$10/12)),1)</f>
        <v>1</v>
      </c>
      <c r="T345" s="80"/>
      <c r="U345"/>
    </row>
    <row r="346" spans="5:21" ht="16" outlineLevel="1" thickTop="1" thickBot="1">
      <c r="E346" s="74">
        <f t="shared" si="35"/>
        <v>336</v>
      </c>
      <c r="F346" s="75">
        <f t="shared" si="36"/>
        <v>54758</v>
      </c>
      <c r="G346" s="74">
        <f t="shared" si="32"/>
        <v>112</v>
      </c>
      <c r="H346" s="74" t="str">
        <f t="shared" si="33"/>
        <v>Q4-49</v>
      </c>
      <c r="I346" s="74">
        <f t="shared" si="37"/>
        <v>28</v>
      </c>
      <c r="J346" s="74">
        <f t="shared" si="34"/>
        <v>2049</v>
      </c>
      <c r="L346" s="82">
        <f>IF(I347&lt;iGeneral!F$25,1,L345*(1+L$10/12))</f>
        <v>1.7469450415260761</v>
      </c>
      <c r="M346" s="82">
        <f>IF(I345&lt;iGeneral!F$26,1,M345*(1+M$10/12))</f>
        <v>1.3087265643639465</v>
      </c>
      <c r="N346" s="82">
        <f>IF(I345&lt;iGeneral!F$27,1,N345*(1+N$10/12))</f>
        <v>1</v>
      </c>
      <c r="O346" s="82">
        <f>IFERROR(IF(I345&lt;iGeneral!F$28,1,O345*(1+O$10/12)),1)</f>
        <v>1</v>
      </c>
      <c r="P346" s="82">
        <f>IFERROR(IF(DATA!$I346&lt;iGeneral!F$29,1,P345*(1+P$10/12)),1)</f>
        <v>1</v>
      </c>
      <c r="T346" s="80"/>
      <c r="U346"/>
    </row>
    <row r="347" spans="5:21" ht="16" outlineLevel="1" thickTop="1" thickBot="1">
      <c r="E347" s="74">
        <f t="shared" si="35"/>
        <v>337</v>
      </c>
      <c r="F347" s="75">
        <f t="shared" si="36"/>
        <v>54789</v>
      </c>
      <c r="G347" s="74">
        <f t="shared" si="32"/>
        <v>113</v>
      </c>
      <c r="H347" s="74" t="str">
        <f t="shared" si="33"/>
        <v>Q1-50</v>
      </c>
      <c r="I347" s="74">
        <f t="shared" si="37"/>
        <v>29</v>
      </c>
      <c r="J347" s="74">
        <f t="shared" si="34"/>
        <v>2050</v>
      </c>
      <c r="L347" s="82">
        <f>IF(I348&lt;iGeneral!F$25,1,L346*(1+L$10/12))</f>
        <v>1.7498566165952862</v>
      </c>
      <c r="M347" s="82">
        <f>IF(I346&lt;iGeneral!F$26,1,M346*(1+M$10/12))</f>
        <v>1.3098171698342498</v>
      </c>
      <c r="N347" s="82">
        <f>IF(I346&lt;iGeneral!F$27,1,N346*(1+N$10/12))</f>
        <v>1</v>
      </c>
      <c r="O347" s="82">
        <f>IFERROR(IF(I346&lt;iGeneral!F$28,1,O346*(1+O$10/12)),1)</f>
        <v>1</v>
      </c>
      <c r="P347" s="82">
        <f>IFERROR(IF(DATA!$I347&lt;iGeneral!F$29,1,P346*(1+P$10/12)),1)</f>
        <v>1</v>
      </c>
      <c r="T347" s="80"/>
      <c r="U347"/>
    </row>
    <row r="348" spans="5:21" ht="16" outlineLevel="1" thickTop="1" thickBot="1">
      <c r="E348" s="74">
        <f t="shared" si="35"/>
        <v>338</v>
      </c>
      <c r="F348" s="75">
        <f t="shared" si="36"/>
        <v>54820</v>
      </c>
      <c r="G348" s="74">
        <f t="shared" si="32"/>
        <v>113</v>
      </c>
      <c r="H348" s="74" t="str">
        <f t="shared" si="33"/>
        <v>Q1-50</v>
      </c>
      <c r="I348" s="74">
        <f t="shared" si="37"/>
        <v>29</v>
      </c>
      <c r="J348" s="74">
        <f t="shared" si="34"/>
        <v>2050</v>
      </c>
      <c r="L348" s="82">
        <f>IF(I349&lt;iGeneral!F$25,1,L347*(1+L$10/12))</f>
        <v>1.7527730442896119</v>
      </c>
      <c r="M348" s="82">
        <f>IF(I347&lt;iGeneral!F$26,1,M347*(1+M$10/12))</f>
        <v>1.3109086841424449</v>
      </c>
      <c r="N348" s="82">
        <f>IF(I347&lt;iGeneral!F$27,1,N347*(1+N$10/12))</f>
        <v>1</v>
      </c>
      <c r="O348" s="82">
        <f>IFERROR(IF(I347&lt;iGeneral!F$28,1,O347*(1+O$10/12)),1)</f>
        <v>1</v>
      </c>
      <c r="P348" s="82">
        <f>IFERROR(IF(DATA!$I348&lt;iGeneral!F$29,1,P347*(1+P$10/12)),1)</f>
        <v>1</v>
      </c>
      <c r="T348" s="80"/>
      <c r="U348"/>
    </row>
    <row r="349" spans="5:21" ht="16" outlineLevel="1" thickTop="1" thickBot="1">
      <c r="E349" s="74">
        <f t="shared" si="35"/>
        <v>339</v>
      </c>
      <c r="F349" s="75">
        <f t="shared" si="36"/>
        <v>54848</v>
      </c>
      <c r="G349" s="74">
        <f t="shared" si="32"/>
        <v>113</v>
      </c>
      <c r="H349" s="74" t="str">
        <f t="shared" si="33"/>
        <v>Q1-50</v>
      </c>
      <c r="I349" s="74">
        <f t="shared" si="37"/>
        <v>29</v>
      </c>
      <c r="J349" s="74">
        <f t="shared" si="34"/>
        <v>2050</v>
      </c>
      <c r="L349" s="82">
        <f>IF(I350&lt;iGeneral!F$25,1,L348*(1+L$10/12))</f>
        <v>1.7556943326967613</v>
      </c>
      <c r="M349" s="82">
        <f>IF(I348&lt;iGeneral!F$26,1,M348*(1+M$10/12))</f>
        <v>1.3120011080458969</v>
      </c>
      <c r="N349" s="82">
        <f>IF(I348&lt;iGeneral!F$27,1,N348*(1+N$10/12))</f>
        <v>1</v>
      </c>
      <c r="O349" s="82">
        <f>IFERROR(IF(I348&lt;iGeneral!F$28,1,O348*(1+O$10/12)),1)</f>
        <v>1</v>
      </c>
      <c r="P349" s="82">
        <f>IFERROR(IF(DATA!$I349&lt;iGeneral!F$29,1,P348*(1+P$10/12)),1)</f>
        <v>1</v>
      </c>
      <c r="T349" s="80"/>
      <c r="U349"/>
    </row>
    <row r="350" spans="5:21" ht="16" outlineLevel="1" thickTop="1" thickBot="1">
      <c r="E350" s="74">
        <f t="shared" si="35"/>
        <v>340</v>
      </c>
      <c r="F350" s="75">
        <f t="shared" si="36"/>
        <v>54879</v>
      </c>
      <c r="G350" s="74">
        <f t="shared" si="32"/>
        <v>114</v>
      </c>
      <c r="H350" s="74" t="str">
        <f t="shared" si="33"/>
        <v>Q2-50</v>
      </c>
      <c r="I350" s="74">
        <f t="shared" si="37"/>
        <v>29</v>
      </c>
      <c r="J350" s="74">
        <f t="shared" si="34"/>
        <v>2050</v>
      </c>
      <c r="L350" s="82">
        <f>IF(I351&lt;iGeneral!F$25,1,L349*(1+L$10/12))</f>
        <v>1.7586204899179227</v>
      </c>
      <c r="M350" s="82">
        <f>IF(I349&lt;iGeneral!F$26,1,M349*(1+M$10/12))</f>
        <v>1.3130944423026016</v>
      </c>
      <c r="N350" s="82">
        <f>IF(I349&lt;iGeneral!F$27,1,N349*(1+N$10/12))</f>
        <v>1</v>
      </c>
      <c r="O350" s="82">
        <f>IFERROR(IF(I349&lt;iGeneral!F$28,1,O349*(1+O$10/12)),1)</f>
        <v>1</v>
      </c>
      <c r="P350" s="82">
        <f>IFERROR(IF(DATA!$I350&lt;iGeneral!F$29,1,P349*(1+P$10/12)),1)</f>
        <v>1</v>
      </c>
      <c r="T350" s="80"/>
      <c r="U350"/>
    </row>
    <row r="351" spans="5:21" ht="16" outlineLevel="1" thickTop="1" thickBot="1">
      <c r="E351" s="74">
        <f t="shared" si="35"/>
        <v>341</v>
      </c>
      <c r="F351" s="75">
        <f t="shared" si="36"/>
        <v>54909</v>
      </c>
      <c r="G351" s="74">
        <f t="shared" si="32"/>
        <v>114</v>
      </c>
      <c r="H351" s="74" t="str">
        <f t="shared" si="33"/>
        <v>Q2-50</v>
      </c>
      <c r="I351" s="74">
        <f t="shared" si="37"/>
        <v>29</v>
      </c>
      <c r="J351" s="74">
        <f t="shared" si="34"/>
        <v>2050</v>
      </c>
      <c r="L351" s="82">
        <f>IF(I352&lt;iGeneral!F$25,1,L350*(1+L$10/12))</f>
        <v>1.7615515240677859</v>
      </c>
      <c r="M351" s="82">
        <f>IF(I350&lt;iGeneral!F$26,1,M350*(1+M$10/12))</f>
        <v>1.314188687671187</v>
      </c>
      <c r="N351" s="82">
        <f>IF(I350&lt;iGeneral!F$27,1,N350*(1+N$10/12))</f>
        <v>1</v>
      </c>
      <c r="O351" s="82">
        <f>IFERROR(IF(I350&lt;iGeneral!F$28,1,O350*(1+O$10/12)),1)</f>
        <v>1</v>
      </c>
      <c r="P351" s="82">
        <f>IFERROR(IF(DATA!$I351&lt;iGeneral!F$29,1,P350*(1+P$10/12)),1)</f>
        <v>1</v>
      </c>
      <c r="T351" s="80"/>
      <c r="U351"/>
    </row>
    <row r="352" spans="5:21" ht="16" outlineLevel="1" thickTop="1" thickBot="1">
      <c r="E352" s="74">
        <f t="shared" si="35"/>
        <v>342</v>
      </c>
      <c r="F352" s="75">
        <f t="shared" si="36"/>
        <v>54940</v>
      </c>
      <c r="G352" s="74">
        <f t="shared" si="32"/>
        <v>114</v>
      </c>
      <c r="H352" s="74" t="str">
        <f t="shared" si="33"/>
        <v>Q2-50</v>
      </c>
      <c r="I352" s="74">
        <f t="shared" si="37"/>
        <v>29</v>
      </c>
      <c r="J352" s="74">
        <f t="shared" si="34"/>
        <v>2050</v>
      </c>
      <c r="L352" s="82">
        <f>IF(I353&lt;iGeneral!F$25,1,L351*(1+L$10/12))</f>
        <v>1.7644874432745656</v>
      </c>
      <c r="M352" s="82">
        <f>IF(I351&lt;iGeneral!F$26,1,M351*(1+M$10/12))</f>
        <v>1.315283844910913</v>
      </c>
      <c r="N352" s="82">
        <f>IF(I351&lt;iGeneral!F$27,1,N351*(1+N$10/12))</f>
        <v>1</v>
      </c>
      <c r="O352" s="82">
        <f>IFERROR(IF(I351&lt;iGeneral!F$28,1,O351*(1+O$10/12)),1)</f>
        <v>1</v>
      </c>
      <c r="P352" s="82">
        <f>IFERROR(IF(DATA!$I352&lt;iGeneral!F$29,1,P351*(1+P$10/12)),1)</f>
        <v>1</v>
      </c>
      <c r="T352" s="80"/>
      <c r="U352"/>
    </row>
    <row r="353" spans="5:21" ht="16" outlineLevel="1" thickTop="1" thickBot="1">
      <c r="E353" s="74">
        <f t="shared" si="35"/>
        <v>343</v>
      </c>
      <c r="F353" s="75">
        <f t="shared" si="36"/>
        <v>54970</v>
      </c>
      <c r="G353" s="74">
        <f t="shared" si="32"/>
        <v>115</v>
      </c>
      <c r="H353" s="74" t="str">
        <f t="shared" si="33"/>
        <v>Q2-50</v>
      </c>
      <c r="I353" s="74">
        <f t="shared" si="37"/>
        <v>29</v>
      </c>
      <c r="J353" s="74">
        <f t="shared" si="34"/>
        <v>2050</v>
      </c>
      <c r="L353" s="82">
        <f>IF(I354&lt;iGeneral!F$25,1,L352*(1+L$10/12))</f>
        <v>1.7674282556800234</v>
      </c>
      <c r="M353" s="82">
        <f>IF(I352&lt;iGeneral!F$26,1,M352*(1+M$10/12))</f>
        <v>1.3163799147816719</v>
      </c>
      <c r="N353" s="82">
        <f>IF(I352&lt;iGeneral!F$27,1,N352*(1+N$10/12))</f>
        <v>1</v>
      </c>
      <c r="O353" s="82">
        <f>IFERROR(IF(I352&lt;iGeneral!F$28,1,O352*(1+O$10/12)),1)</f>
        <v>1</v>
      </c>
      <c r="P353" s="82">
        <f>IFERROR(IF(DATA!$I353&lt;iGeneral!F$29,1,P352*(1+P$10/12)),1)</f>
        <v>1</v>
      </c>
      <c r="T353" s="80"/>
      <c r="U353"/>
    </row>
    <row r="354" spans="5:21" ht="16" outlineLevel="1" thickTop="1" thickBot="1">
      <c r="E354" s="74">
        <f t="shared" si="35"/>
        <v>344</v>
      </c>
      <c r="F354" s="75">
        <f t="shared" si="36"/>
        <v>55001</v>
      </c>
      <c r="G354" s="74">
        <f t="shared" si="32"/>
        <v>115</v>
      </c>
      <c r="H354" s="74" t="str">
        <f t="shared" si="33"/>
        <v>Q3-50</v>
      </c>
      <c r="I354" s="74">
        <f t="shared" si="37"/>
        <v>29</v>
      </c>
      <c r="J354" s="74">
        <f t="shared" si="34"/>
        <v>2050</v>
      </c>
      <c r="L354" s="82">
        <f>IF(I355&lt;iGeneral!F$25,1,L353*(1+L$10/12))</f>
        <v>1.7703739694394902</v>
      </c>
      <c r="M354" s="82">
        <f>IF(I353&lt;iGeneral!F$26,1,M353*(1+M$10/12))</f>
        <v>1.3174768980439899</v>
      </c>
      <c r="N354" s="82">
        <f>IF(I353&lt;iGeneral!F$27,1,N353*(1+N$10/12))</f>
        <v>1</v>
      </c>
      <c r="O354" s="82">
        <f>IFERROR(IF(I353&lt;iGeneral!F$28,1,O353*(1+O$10/12)),1)</f>
        <v>1</v>
      </c>
      <c r="P354" s="82">
        <f>IFERROR(IF(DATA!$I354&lt;iGeneral!F$29,1,P353*(1+P$10/12)),1)</f>
        <v>1</v>
      </c>
      <c r="T354" s="80"/>
      <c r="U354"/>
    </row>
    <row r="355" spans="5:21" ht="16" outlineLevel="1" thickTop="1" thickBot="1">
      <c r="E355" s="74">
        <f t="shared" si="35"/>
        <v>345</v>
      </c>
      <c r="F355" s="75">
        <f t="shared" si="36"/>
        <v>55032</v>
      </c>
      <c r="G355" s="74">
        <f t="shared" si="32"/>
        <v>115</v>
      </c>
      <c r="H355" s="74" t="str">
        <f t="shared" si="33"/>
        <v>Q3-50</v>
      </c>
      <c r="I355" s="74">
        <f t="shared" si="37"/>
        <v>29</v>
      </c>
      <c r="J355" s="74">
        <f t="shared" si="34"/>
        <v>2050</v>
      </c>
      <c r="L355" s="82">
        <f>IF(I356&lt;iGeneral!F$25,1,L354*(1+L$10/12))</f>
        <v>1.7733245927218895</v>
      </c>
      <c r="M355" s="82">
        <f>IF(I354&lt;iGeneral!F$26,1,M354*(1+M$10/12))</f>
        <v>1.3185747954590266</v>
      </c>
      <c r="N355" s="82">
        <f>IF(I354&lt;iGeneral!F$27,1,N354*(1+N$10/12))</f>
        <v>1</v>
      </c>
      <c r="O355" s="82">
        <f>IFERROR(IF(I354&lt;iGeneral!F$28,1,O354*(1+O$10/12)),1)</f>
        <v>1</v>
      </c>
      <c r="P355" s="82">
        <f>IFERROR(IF(DATA!$I355&lt;iGeneral!F$29,1,P354*(1+P$10/12)),1)</f>
        <v>1</v>
      </c>
      <c r="T355" s="80"/>
      <c r="U355"/>
    </row>
    <row r="356" spans="5:21" ht="16" outlineLevel="1" thickTop="1" thickBot="1">
      <c r="E356" s="74">
        <f t="shared" si="35"/>
        <v>346</v>
      </c>
      <c r="F356" s="75">
        <f t="shared" si="36"/>
        <v>55062</v>
      </c>
      <c r="G356" s="74">
        <f t="shared" si="32"/>
        <v>116</v>
      </c>
      <c r="H356" s="74" t="str">
        <f t="shared" si="33"/>
        <v>Q3-50</v>
      </c>
      <c r="I356" s="74">
        <f t="shared" si="37"/>
        <v>29</v>
      </c>
      <c r="J356" s="74">
        <f t="shared" si="34"/>
        <v>2050</v>
      </c>
      <c r="L356" s="82">
        <f>IF(I357&lt;iGeneral!F$25,1,L355*(1+L$10/12))</f>
        <v>1.7762801337097593</v>
      </c>
      <c r="M356" s="82">
        <f>IF(I355&lt;iGeneral!F$26,1,M355*(1+M$10/12))</f>
        <v>1.3196736077885756</v>
      </c>
      <c r="N356" s="82">
        <f>IF(I355&lt;iGeneral!F$27,1,N355*(1+N$10/12))</f>
        <v>1</v>
      </c>
      <c r="O356" s="82">
        <f>IFERROR(IF(I355&lt;iGeneral!F$28,1,O355*(1+O$10/12)),1)</f>
        <v>1</v>
      </c>
      <c r="P356" s="82">
        <f>IFERROR(IF(DATA!$I356&lt;iGeneral!F$29,1,P355*(1+P$10/12)),1)</f>
        <v>1</v>
      </c>
      <c r="T356" s="80"/>
      <c r="U356"/>
    </row>
    <row r="357" spans="5:21" ht="16" outlineLevel="1" thickTop="1" thickBot="1">
      <c r="E357" s="74">
        <f t="shared" si="35"/>
        <v>347</v>
      </c>
      <c r="F357" s="75">
        <f t="shared" si="36"/>
        <v>55093</v>
      </c>
      <c r="G357" s="74">
        <f t="shared" si="32"/>
        <v>116</v>
      </c>
      <c r="H357" s="74" t="str">
        <f t="shared" si="33"/>
        <v>Q3-50</v>
      </c>
      <c r="I357" s="74">
        <f t="shared" si="37"/>
        <v>29</v>
      </c>
      <c r="J357" s="74">
        <f t="shared" si="34"/>
        <v>2050</v>
      </c>
      <c r="L357" s="82">
        <f>IF(I358&lt;iGeneral!F$25,1,L356*(1+L$10/12))</f>
        <v>1.7792406005992756</v>
      </c>
      <c r="M357" s="82">
        <f>IF(I356&lt;iGeneral!F$26,1,M356*(1+M$10/12))</f>
        <v>1.320773335795066</v>
      </c>
      <c r="N357" s="82">
        <f>IF(I356&lt;iGeneral!F$27,1,N356*(1+N$10/12))</f>
        <v>1</v>
      </c>
      <c r="O357" s="82">
        <f>IFERROR(IF(I356&lt;iGeneral!F$28,1,O356*(1+O$10/12)),1)</f>
        <v>1</v>
      </c>
      <c r="P357" s="82">
        <f>IFERROR(IF(DATA!$I357&lt;iGeneral!F$29,1,P356*(1+P$10/12)),1)</f>
        <v>1</v>
      </c>
      <c r="T357" s="80"/>
      <c r="U357"/>
    </row>
    <row r="358" spans="5:21" ht="16" outlineLevel="1" thickTop="1" thickBot="1">
      <c r="E358" s="74">
        <f t="shared" si="35"/>
        <v>348</v>
      </c>
      <c r="F358" s="75">
        <f t="shared" si="36"/>
        <v>55123</v>
      </c>
      <c r="G358" s="74">
        <f t="shared" si="32"/>
        <v>116</v>
      </c>
      <c r="H358" s="74" t="str">
        <f t="shared" si="33"/>
        <v>Q4-50</v>
      </c>
      <c r="I358" s="74">
        <f t="shared" si="37"/>
        <v>29</v>
      </c>
      <c r="J358" s="74">
        <f t="shared" si="34"/>
        <v>2050</v>
      </c>
      <c r="L358" s="82">
        <f>IF(I359&lt;iGeneral!F$25,1,L357*(1+L$10/12))</f>
        <v>1.7822060016002745</v>
      </c>
      <c r="M358" s="82">
        <f>IF(I357&lt;iGeneral!F$26,1,M357*(1+M$10/12))</f>
        <v>1.3218739802415618</v>
      </c>
      <c r="N358" s="82">
        <f>IF(I357&lt;iGeneral!F$27,1,N357*(1+N$10/12))</f>
        <v>1</v>
      </c>
      <c r="O358" s="82">
        <f>IFERROR(IF(I357&lt;iGeneral!F$28,1,O357*(1+O$10/12)),1)</f>
        <v>1</v>
      </c>
      <c r="P358" s="82">
        <f>IFERROR(IF(DATA!$I358&lt;iGeneral!F$29,1,P357*(1+P$10/12)),1)</f>
        <v>1</v>
      </c>
      <c r="T358" s="80"/>
      <c r="U358"/>
    </row>
    <row r="359" spans="5:21" ht="16" outlineLevel="1" thickTop="1" thickBot="1">
      <c r="E359" s="74">
        <f t="shared" si="35"/>
        <v>349</v>
      </c>
      <c r="F359" s="75">
        <f t="shared" si="36"/>
        <v>55154</v>
      </c>
      <c r="G359" s="74">
        <f t="shared" si="32"/>
        <v>117</v>
      </c>
      <c r="H359" s="74" t="str">
        <f t="shared" si="33"/>
        <v>Q1-51</v>
      </c>
      <c r="I359" s="74">
        <f t="shared" si="37"/>
        <v>30</v>
      </c>
      <c r="J359" s="74">
        <f t="shared" si="34"/>
        <v>2051</v>
      </c>
      <c r="L359" s="82">
        <f>IF(I360&lt;iGeneral!F$25,1,L358*(1+L$10/12))</f>
        <v>1.785176344936275</v>
      </c>
      <c r="M359" s="82">
        <f>IF(I358&lt;iGeneral!F$26,1,M358*(1+M$10/12))</f>
        <v>1.322975541891763</v>
      </c>
      <c r="N359" s="82">
        <f>IF(I358&lt;iGeneral!F$27,1,N358*(1+N$10/12))</f>
        <v>1</v>
      </c>
      <c r="O359" s="82">
        <f>IFERROR(IF(I358&lt;iGeneral!F$28,1,O358*(1+O$10/12)),1)</f>
        <v>1</v>
      </c>
      <c r="P359" s="82">
        <f>IFERROR(IF(DATA!$I359&lt;iGeneral!F$29,1,P358*(1+P$10/12)),1)</f>
        <v>1</v>
      </c>
      <c r="T359" s="80"/>
      <c r="U359"/>
    </row>
    <row r="360" spans="5:21" ht="16" outlineLevel="1" thickTop="1" thickBot="1">
      <c r="E360" s="74">
        <f t="shared" si="35"/>
        <v>350</v>
      </c>
      <c r="F360" s="75">
        <f t="shared" si="36"/>
        <v>55185</v>
      </c>
      <c r="G360" s="74">
        <f t="shared" si="32"/>
        <v>117</v>
      </c>
      <c r="H360" s="74" t="str">
        <f t="shared" si="33"/>
        <v>Q1-51</v>
      </c>
      <c r="I360" s="74">
        <f t="shared" si="37"/>
        <v>30</v>
      </c>
      <c r="J360" s="74">
        <f t="shared" si="34"/>
        <v>2051</v>
      </c>
      <c r="L360" s="82">
        <f>IF(I361&lt;iGeneral!F$25,1,L359*(1+L$10/12))</f>
        <v>1.7881516388445022</v>
      </c>
      <c r="M360" s="82">
        <f>IF(I359&lt;iGeneral!F$26,1,M359*(1+M$10/12))</f>
        <v>1.3240780215100061</v>
      </c>
      <c r="N360" s="82">
        <f>IF(I359&lt;iGeneral!F$27,1,N359*(1+N$10/12))</f>
        <v>1</v>
      </c>
      <c r="O360" s="82">
        <f>IFERROR(IF(I359&lt;iGeneral!F$28,1,O359*(1+O$10/12)),1)</f>
        <v>1</v>
      </c>
      <c r="P360" s="82">
        <f>IFERROR(IF(DATA!$I360&lt;iGeneral!F$29,1,P359*(1+P$10/12)),1)</f>
        <v>1</v>
      </c>
      <c r="T360" s="80"/>
      <c r="U360"/>
    </row>
    <row r="361" spans="5:21" ht="16" outlineLevel="1" thickTop="1" thickBot="1">
      <c r="E361" s="74">
        <f t="shared" si="35"/>
        <v>351</v>
      </c>
      <c r="F361" s="75">
        <f t="shared" si="36"/>
        <v>55213</v>
      </c>
      <c r="G361" s="74">
        <f t="shared" si="32"/>
        <v>117</v>
      </c>
      <c r="H361" s="74" t="str">
        <f t="shared" si="33"/>
        <v>Q1-51</v>
      </c>
      <c r="I361" s="74">
        <f t="shared" si="37"/>
        <v>30</v>
      </c>
      <c r="J361" s="74">
        <f t="shared" si="34"/>
        <v>2051</v>
      </c>
      <c r="L361" s="82">
        <f>IF(I362&lt;iGeneral!F$25,1,L360*(1+L$10/12))</f>
        <v>1.7911318915759098</v>
      </c>
      <c r="M361" s="82">
        <f>IF(I360&lt;iGeneral!F$26,1,M360*(1+M$10/12))</f>
        <v>1.3251814198612644</v>
      </c>
      <c r="N361" s="82">
        <f>IF(I360&lt;iGeneral!F$27,1,N360*(1+N$10/12))</f>
        <v>1</v>
      </c>
      <c r="O361" s="82">
        <f>IFERROR(IF(I360&lt;iGeneral!F$28,1,O360*(1+O$10/12)),1)</f>
        <v>1</v>
      </c>
      <c r="P361" s="82">
        <f>IFERROR(IF(DATA!$I361&lt;iGeneral!F$29,1,P360*(1+P$10/12)),1)</f>
        <v>1</v>
      </c>
      <c r="T361" s="80"/>
      <c r="U361"/>
    </row>
    <row r="362" spans="5:21" ht="16" outlineLevel="1" thickTop="1" thickBot="1">
      <c r="E362" s="74">
        <f t="shared" si="35"/>
        <v>352</v>
      </c>
      <c r="F362" s="75">
        <f t="shared" si="36"/>
        <v>55244</v>
      </c>
      <c r="G362" s="74">
        <f t="shared" si="32"/>
        <v>118</v>
      </c>
      <c r="H362" s="74" t="str">
        <f t="shared" si="33"/>
        <v>Q2-51</v>
      </c>
      <c r="I362" s="74">
        <f t="shared" si="37"/>
        <v>30</v>
      </c>
      <c r="J362" s="74">
        <f t="shared" si="34"/>
        <v>2051</v>
      </c>
      <c r="L362" s="82">
        <f>IF(I363&lt;iGeneral!F$25,1,L361*(1+L$10/12))</f>
        <v>1.794117111395203</v>
      </c>
      <c r="M362" s="82">
        <f>IF(I361&lt;iGeneral!F$26,1,M361*(1+M$10/12))</f>
        <v>1.3262857377111485</v>
      </c>
      <c r="N362" s="82">
        <f>IF(I361&lt;iGeneral!F$27,1,N361*(1+N$10/12))</f>
        <v>1</v>
      </c>
      <c r="O362" s="82">
        <f>IFERROR(IF(I361&lt;iGeneral!F$28,1,O361*(1+O$10/12)),1)</f>
        <v>1</v>
      </c>
      <c r="P362" s="82">
        <f>IFERROR(IF(DATA!$I362&lt;iGeneral!F$29,1,P361*(1+P$10/12)),1)</f>
        <v>1</v>
      </c>
      <c r="T362" s="80"/>
      <c r="U362"/>
    </row>
    <row r="363" spans="5:21" ht="16" outlineLevel="1" thickTop="1" thickBot="1">
      <c r="E363" s="74">
        <f t="shared" si="35"/>
        <v>353</v>
      </c>
      <c r="F363" s="75">
        <f t="shared" si="36"/>
        <v>55274</v>
      </c>
      <c r="G363" s="74">
        <f t="shared" si="32"/>
        <v>118</v>
      </c>
      <c r="H363" s="74" t="str">
        <f t="shared" si="33"/>
        <v>Q2-51</v>
      </c>
      <c r="I363" s="74">
        <f t="shared" si="37"/>
        <v>30</v>
      </c>
      <c r="J363" s="74">
        <f t="shared" si="34"/>
        <v>2051</v>
      </c>
      <c r="L363" s="82">
        <f>IF(I364&lt;iGeneral!F$25,1,L362*(1+L$10/12))</f>
        <v>1.7971073065808618</v>
      </c>
      <c r="M363" s="82">
        <f>IF(I362&lt;iGeneral!F$26,1,M362*(1+M$10/12))</f>
        <v>1.3273909758259077</v>
      </c>
      <c r="N363" s="82">
        <f>IF(I362&lt;iGeneral!F$27,1,N362*(1+N$10/12))</f>
        <v>1</v>
      </c>
      <c r="O363" s="82">
        <f>IFERROR(IF(I362&lt;iGeneral!F$28,1,O362*(1+O$10/12)),1)</f>
        <v>1</v>
      </c>
      <c r="P363" s="82">
        <f>IFERROR(IF(DATA!$I363&lt;iGeneral!F$29,1,P362*(1+P$10/12)),1)</f>
        <v>1</v>
      </c>
      <c r="T363" s="80"/>
      <c r="U363"/>
    </row>
    <row r="364" spans="5:21" ht="16" outlineLevel="1" thickTop="1" thickBot="1">
      <c r="E364" s="74">
        <f t="shared" si="35"/>
        <v>354</v>
      </c>
      <c r="F364" s="75">
        <f t="shared" si="36"/>
        <v>55305</v>
      </c>
      <c r="G364" s="74">
        <f t="shared" si="32"/>
        <v>118</v>
      </c>
      <c r="H364" s="74" t="str">
        <f t="shared" si="33"/>
        <v>Q2-51</v>
      </c>
      <c r="I364" s="74">
        <f t="shared" si="37"/>
        <v>30</v>
      </c>
      <c r="J364" s="74">
        <f t="shared" si="34"/>
        <v>2051</v>
      </c>
      <c r="L364" s="82">
        <f>IF(I365&lt;iGeneral!F$25,1,L363*(1+L$10/12))</f>
        <v>1.8001024854251633</v>
      </c>
      <c r="M364" s="82">
        <f>IF(I363&lt;iGeneral!F$26,1,M363*(1+M$10/12))</f>
        <v>1.3284971349724293</v>
      </c>
      <c r="N364" s="82">
        <f>IF(I363&lt;iGeneral!F$27,1,N363*(1+N$10/12))</f>
        <v>1</v>
      </c>
      <c r="O364" s="82">
        <f>IFERROR(IF(I363&lt;iGeneral!F$28,1,O363*(1+O$10/12)),1)</f>
        <v>1</v>
      </c>
      <c r="P364" s="82">
        <f>IFERROR(IF(DATA!$I364&lt;iGeneral!F$29,1,P363*(1+P$10/12)),1)</f>
        <v>1</v>
      </c>
      <c r="T364" s="80"/>
      <c r="U364"/>
    </row>
    <row r="365" spans="5:21" ht="16" outlineLevel="1" thickTop="1" thickBot="1">
      <c r="E365" s="74">
        <f t="shared" si="35"/>
        <v>355</v>
      </c>
      <c r="F365" s="75">
        <f t="shared" si="36"/>
        <v>55335</v>
      </c>
      <c r="G365" s="74">
        <f t="shared" si="32"/>
        <v>119</v>
      </c>
      <c r="H365" s="74" t="str">
        <f t="shared" si="33"/>
        <v>Q2-51</v>
      </c>
      <c r="I365" s="74">
        <f t="shared" si="37"/>
        <v>30</v>
      </c>
      <c r="J365" s="74">
        <f t="shared" si="34"/>
        <v>2051</v>
      </c>
      <c r="L365" s="82">
        <f>IF(I366&lt;iGeneral!F$25,1,L364*(1+L$10/12))</f>
        <v>1.8031026562342052</v>
      </c>
      <c r="M365" s="82">
        <f>IF(I364&lt;iGeneral!F$26,1,M364*(1+M$10/12))</f>
        <v>1.3296042159182395</v>
      </c>
      <c r="N365" s="82">
        <f>IF(I364&lt;iGeneral!F$27,1,N364*(1+N$10/12))</f>
        <v>1</v>
      </c>
      <c r="O365" s="82">
        <f>IFERROR(IF(I364&lt;iGeneral!F$28,1,O364*(1+O$10/12)),1)</f>
        <v>1</v>
      </c>
      <c r="P365" s="82">
        <f>IFERROR(IF(DATA!$I365&lt;iGeneral!F$29,1,P364*(1+P$10/12)),1)</f>
        <v>1</v>
      </c>
      <c r="T365" s="80"/>
      <c r="U365"/>
    </row>
    <row r="366" spans="5:21" ht="16" outlineLevel="1" thickTop="1" thickBot="1">
      <c r="E366" s="74">
        <f t="shared" si="35"/>
        <v>356</v>
      </c>
      <c r="F366" s="75">
        <f t="shared" si="36"/>
        <v>55366</v>
      </c>
      <c r="G366" s="74">
        <f t="shared" si="32"/>
        <v>119</v>
      </c>
      <c r="H366" s="74" t="str">
        <f t="shared" si="33"/>
        <v>Q3-51</v>
      </c>
      <c r="I366" s="74">
        <f t="shared" si="37"/>
        <v>30</v>
      </c>
      <c r="J366" s="74">
        <f t="shared" si="34"/>
        <v>2051</v>
      </c>
      <c r="L366" s="82">
        <f>IF(I367&lt;iGeneral!F$25,1,L365*(1+L$10/12))</f>
        <v>1.806107827327929</v>
      </c>
      <c r="M366" s="82">
        <f>IF(I365&lt;iGeneral!F$26,1,M365*(1+M$10/12))</f>
        <v>1.3307122194315046</v>
      </c>
      <c r="N366" s="82">
        <f>IF(I365&lt;iGeneral!F$27,1,N365*(1+N$10/12))</f>
        <v>1</v>
      </c>
      <c r="O366" s="82">
        <f>IFERROR(IF(I365&lt;iGeneral!F$28,1,O365*(1+O$10/12)),1)</f>
        <v>1</v>
      </c>
      <c r="P366" s="82">
        <f>IFERROR(IF(DATA!$I366&lt;iGeneral!F$29,1,P365*(1+P$10/12)),1)</f>
        <v>1</v>
      </c>
      <c r="T366" s="80"/>
      <c r="U366"/>
    </row>
    <row r="367" spans="5:21" ht="16" outlineLevel="1" thickTop="1" thickBot="1">
      <c r="E367" s="74">
        <f t="shared" si="35"/>
        <v>357</v>
      </c>
      <c r="F367" s="75">
        <f t="shared" si="36"/>
        <v>55397</v>
      </c>
      <c r="G367" s="74">
        <f t="shared" si="32"/>
        <v>119</v>
      </c>
      <c r="H367" s="74" t="str">
        <f t="shared" si="33"/>
        <v>Q3-51</v>
      </c>
      <c r="I367" s="74">
        <f t="shared" si="37"/>
        <v>30</v>
      </c>
      <c r="J367" s="74">
        <f t="shared" si="34"/>
        <v>2051</v>
      </c>
      <c r="L367" s="82">
        <f>IF(I368&lt;iGeneral!F$25,1,L366*(1+L$10/12))</f>
        <v>1.8091180070401423</v>
      </c>
      <c r="M367" s="82">
        <f>IF(I366&lt;iGeneral!F$26,1,M366*(1+M$10/12))</f>
        <v>1.3318211462810308</v>
      </c>
      <c r="N367" s="82">
        <f>IF(I366&lt;iGeneral!F$27,1,N366*(1+N$10/12))</f>
        <v>1</v>
      </c>
      <c r="O367" s="82">
        <f>IFERROR(IF(I366&lt;iGeneral!F$28,1,O366*(1+O$10/12)),1)</f>
        <v>1</v>
      </c>
      <c r="P367" s="82">
        <f>IFERROR(IF(DATA!$I367&lt;iGeneral!F$29,1,P366*(1+P$10/12)),1)</f>
        <v>1</v>
      </c>
      <c r="T367" s="80"/>
      <c r="U367"/>
    </row>
    <row r="368" spans="5:21" ht="16" outlineLevel="1" thickTop="1" thickBot="1">
      <c r="E368" s="74">
        <f t="shared" si="35"/>
        <v>358</v>
      </c>
      <c r="F368" s="75">
        <f t="shared" si="36"/>
        <v>55427</v>
      </c>
      <c r="G368" s="74">
        <f t="shared" si="32"/>
        <v>120</v>
      </c>
      <c r="H368" s="74" t="str">
        <f t="shared" si="33"/>
        <v>Q3-51</v>
      </c>
      <c r="I368" s="74">
        <f t="shared" si="37"/>
        <v>30</v>
      </c>
      <c r="J368" s="74">
        <f t="shared" si="34"/>
        <v>2051</v>
      </c>
      <c r="L368" s="82">
        <f>IF(I369&lt;iGeneral!F$25,1,L367*(1+L$10/12))</f>
        <v>1.8121332037185425</v>
      </c>
      <c r="M368" s="82">
        <f>IF(I367&lt;iGeneral!F$26,1,M367*(1+M$10/12))</f>
        <v>1.3329309972362648</v>
      </c>
      <c r="N368" s="82">
        <f>IF(I367&lt;iGeneral!F$27,1,N367*(1+N$10/12))</f>
        <v>1</v>
      </c>
      <c r="O368" s="82">
        <f>IFERROR(IF(I367&lt;iGeneral!F$28,1,O367*(1+O$10/12)),1)</f>
        <v>1</v>
      </c>
      <c r="P368" s="82">
        <f>IFERROR(IF(DATA!$I368&lt;iGeneral!F$29,1,P367*(1+P$10/12)),1)</f>
        <v>1</v>
      </c>
      <c r="T368" s="80"/>
      <c r="U368"/>
    </row>
    <row r="369" spans="5:21" ht="16" outlineLevel="1" thickTop="1" thickBot="1">
      <c r="E369" s="74">
        <f t="shared" si="35"/>
        <v>359</v>
      </c>
      <c r="F369" s="75">
        <f t="shared" si="36"/>
        <v>55458</v>
      </c>
      <c r="G369" s="74">
        <f t="shared" si="32"/>
        <v>120</v>
      </c>
      <c r="H369" s="74" t="str">
        <f t="shared" si="33"/>
        <v>Q3-51</v>
      </c>
      <c r="I369" s="74">
        <f t="shared" si="37"/>
        <v>30</v>
      </c>
      <c r="J369" s="74">
        <f t="shared" si="34"/>
        <v>2051</v>
      </c>
      <c r="L369" s="82">
        <f>IF(I370&lt;iGeneral!F$25,1,L368*(1+L$10/12))</f>
        <v>1.8151534257247401</v>
      </c>
      <c r="M369" s="82">
        <f>IF(I368&lt;iGeneral!F$26,1,M368*(1+M$10/12))</f>
        <v>1.3340417730672949</v>
      </c>
      <c r="N369" s="82">
        <f>IF(I368&lt;iGeneral!F$27,1,N368*(1+N$10/12))</f>
        <v>1</v>
      </c>
      <c r="O369" s="82">
        <f>IFERROR(IF(I368&lt;iGeneral!F$28,1,O368*(1+O$10/12)),1)</f>
        <v>1</v>
      </c>
      <c r="P369" s="82">
        <f>IFERROR(IF(DATA!$I369&lt;iGeneral!F$29,1,P368*(1+P$10/12)),1)</f>
        <v>1</v>
      </c>
      <c r="T369" s="80"/>
      <c r="U369"/>
    </row>
    <row r="370" spans="5:21" ht="16" thickTop="1" thickBot="1">
      <c r="E370" s="74">
        <f t="shared" si="35"/>
        <v>360</v>
      </c>
      <c r="F370" s="75">
        <f t="shared" si="36"/>
        <v>55488</v>
      </c>
      <c r="G370" s="74">
        <f t="shared" si="32"/>
        <v>120</v>
      </c>
      <c r="H370" s="74" t="str">
        <f t="shared" si="33"/>
        <v>Q4-51</v>
      </c>
      <c r="I370" s="74">
        <f t="shared" si="37"/>
        <v>30</v>
      </c>
      <c r="J370" s="74">
        <f t="shared" si="34"/>
        <v>2051</v>
      </c>
      <c r="L370" s="82">
        <f>IF(I373&lt;iGeneral!F$25,1,L369*(1+L$10/12))</f>
        <v>1.8181786814342815</v>
      </c>
      <c r="M370" s="82">
        <f>IF(I369&lt;iGeneral!F$26,1,M369*(1+M$10/12))</f>
        <v>1.3351534745448508</v>
      </c>
      <c r="N370" s="82">
        <f>IF(I369&lt;iGeneral!F$27,1,N369*(1+N$10/12))</f>
        <v>1</v>
      </c>
      <c r="O370" s="82">
        <f>IFERROR(IF(I369&lt;iGeneral!F$28,1,O369*(1+O$10/12)),1)</f>
        <v>1</v>
      </c>
      <c r="P370" s="82">
        <f>IFERROR(IF(DATA!$I370&lt;iGeneral!F$29,1,P369*(1+P$10/12)),1)</f>
        <v>1</v>
      </c>
      <c r="T370" s="80"/>
      <c r="U370"/>
    </row>
    <row r="371" spans="5:21" ht="15" thickTop="1">
      <c r="T371" s="80"/>
      <c r="U371"/>
    </row>
    <row r="372" spans="5:21">
      <c r="T372" s="80"/>
      <c r="U372"/>
    </row>
    <row r="373" spans="5:21" hidden="1">
      <c r="I373" s="98">
        <v>31</v>
      </c>
      <c r="T373" s="80"/>
      <c r="U373"/>
    </row>
    <row r="374" spans="5:21" hidden="1">
      <c r="T374" s="80"/>
      <c r="U374"/>
    </row>
    <row r="375" spans="5:21" hidden="1">
      <c r="T375" s="80"/>
      <c r="U375"/>
    </row>
    <row r="376" spans="5:21" hidden="1">
      <c r="T376" s="80"/>
      <c r="U376"/>
    </row>
    <row r="377" spans="5:21" hidden="1">
      <c r="T377" s="80"/>
      <c r="U377"/>
    </row>
    <row r="378" spans="5:21" hidden="1">
      <c r="T378" s="80"/>
      <c r="U378"/>
    </row>
    <row r="379" spans="5:21" hidden="1">
      <c r="T379" s="80"/>
      <c r="U379"/>
    </row>
  </sheetData>
  <pageMargins left="0.7" right="0.7" top="0.75" bottom="0.75" header="0.3" footer="0.3"/>
  <picture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08E8-B9F1-4973-B2C9-C6DB2F4C750C}">
  <sheetPr codeName="Sheet25"/>
  <dimension ref="A1:Y79"/>
  <sheetViews>
    <sheetView workbookViewId="0"/>
  </sheetViews>
  <sheetFormatPr baseColWidth="10" defaultColWidth="10" defaultRowHeight="13" zeroHeight="1"/>
  <cols>
    <col min="1" max="3" width="1.6640625" style="360" customWidth="1"/>
    <col min="4" max="4" width="26.83203125" style="360" customWidth="1"/>
    <col min="5" max="6" width="9.5" style="360" customWidth="1"/>
    <col min="7" max="7" width="34.33203125" style="360" customWidth="1"/>
    <col min="8" max="9" width="1.6640625" style="360" customWidth="1"/>
    <col min="10" max="11" width="23" style="360" customWidth="1"/>
    <col min="12" max="13" width="10" style="360"/>
    <col min="14" max="14" width="36" style="360" bestFit="1" customWidth="1"/>
    <col min="15" max="15" width="10.1640625" style="360" bestFit="1" customWidth="1"/>
    <col min="16" max="16" width="10.5" style="360" bestFit="1" customWidth="1"/>
    <col min="17" max="17" width="17" style="360" bestFit="1" customWidth="1"/>
    <col min="18" max="16384" width="10" style="360"/>
  </cols>
  <sheetData>
    <row r="1" spans="1:25" ht="14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</row>
    <row r="2" spans="1:25" ht="14">
      <c r="A2" s="359"/>
      <c r="B2" s="359"/>
      <c r="C2" s="359"/>
      <c r="D2" s="361" t="s">
        <v>178</v>
      </c>
      <c r="E2" s="362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</row>
    <row r="3" spans="1:25" ht="14">
      <c r="A3" s="359"/>
      <c r="B3" s="359"/>
      <c r="C3" s="359"/>
      <c r="D3" s="363" t="s">
        <v>0</v>
      </c>
      <c r="E3" s="364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</row>
    <row r="4" spans="1:25" ht="14">
      <c r="A4" s="359"/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</row>
    <row r="5" spans="1:25" ht="14">
      <c r="A5" s="365"/>
      <c r="B5" s="365"/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</row>
    <row r="6" spans="1:25" ht="14">
      <c r="A6" s="359"/>
      <c r="B6" s="359"/>
      <c r="C6" s="366"/>
      <c r="D6" s="366"/>
      <c r="E6" s="366"/>
      <c r="F6" s="366"/>
      <c r="G6" s="366"/>
      <c r="H6" s="366"/>
      <c r="I6" s="366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</row>
    <row r="7" spans="1:25" ht="15" customHeight="1">
      <c r="A7" s="359"/>
      <c r="B7" s="366"/>
      <c r="C7" s="366"/>
      <c r="D7" s="645" t="s">
        <v>239</v>
      </c>
      <c r="E7" s="647"/>
      <c r="F7" s="643"/>
      <c r="G7" s="367"/>
      <c r="H7" s="368"/>
      <c r="I7" s="366"/>
      <c r="J7" s="366"/>
      <c r="K7" s="366"/>
      <c r="L7" s="366"/>
      <c r="M7" s="366"/>
      <c r="N7" s="645" t="s">
        <v>240</v>
      </c>
      <c r="O7" s="647" t="s">
        <v>241</v>
      </c>
      <c r="P7" s="643">
        <v>0</v>
      </c>
      <c r="Q7" s="367"/>
      <c r="R7" s="368"/>
      <c r="S7" s="369"/>
      <c r="T7" s="366"/>
      <c r="U7" s="366"/>
      <c r="V7" s="366"/>
      <c r="W7" s="366"/>
      <c r="X7" s="366"/>
      <c r="Y7" s="366"/>
    </row>
    <row r="8" spans="1:25" ht="13.5" customHeight="1">
      <c r="A8" s="370"/>
      <c r="B8" s="366"/>
      <c r="C8" s="366"/>
      <c r="D8" s="646"/>
      <c r="E8" s="648"/>
      <c r="F8" s="644"/>
      <c r="G8" s="371"/>
      <c r="H8" s="372"/>
      <c r="I8" s="366"/>
      <c r="J8" s="366"/>
      <c r="K8" s="366"/>
      <c r="L8" s="366"/>
      <c r="M8" s="366"/>
      <c r="N8" s="646"/>
      <c r="O8" s="648"/>
      <c r="P8" s="644"/>
      <c r="Q8" s="371"/>
      <c r="R8" s="372"/>
      <c r="S8" s="369"/>
      <c r="T8" s="366"/>
      <c r="U8" s="366"/>
      <c r="V8" s="366"/>
      <c r="W8" s="366"/>
      <c r="X8" s="366"/>
      <c r="Y8" s="366"/>
    </row>
    <row r="9" spans="1:25" ht="17">
      <c r="A9" s="373"/>
      <c r="B9" s="369"/>
      <c r="C9" s="369"/>
      <c r="D9" s="374" t="s">
        <v>242</v>
      </c>
      <c r="E9" s="375"/>
      <c r="F9" s="376"/>
      <c r="G9" s="377"/>
      <c r="H9" s="378"/>
      <c r="I9" s="369"/>
      <c r="J9" s="369"/>
      <c r="K9" s="369"/>
      <c r="L9" s="369"/>
      <c r="M9" s="369"/>
      <c r="N9" s="379"/>
      <c r="O9" s="375"/>
      <c r="P9" s="376"/>
      <c r="Q9" s="377"/>
      <c r="R9" s="378"/>
      <c r="S9" s="369"/>
      <c r="T9" s="369"/>
      <c r="U9" s="369"/>
      <c r="V9" s="369"/>
      <c r="W9" s="369"/>
      <c r="X9" s="369"/>
      <c r="Y9" s="369"/>
    </row>
    <row r="10" spans="1:25" ht="18" customHeight="1" thickBot="1">
      <c r="A10" s="370"/>
      <c r="B10" s="369"/>
      <c r="C10" s="369"/>
      <c r="D10" s="380" t="s">
        <v>243</v>
      </c>
      <c r="E10" s="381"/>
      <c r="F10" s="382"/>
      <c r="G10" s="383"/>
      <c r="H10" s="378"/>
      <c r="I10" s="369"/>
      <c r="J10" s="369"/>
      <c r="K10" s="369"/>
      <c r="L10" s="369"/>
      <c r="M10" s="369"/>
      <c r="N10" s="384" t="s">
        <v>244</v>
      </c>
      <c r="O10" s="381"/>
      <c r="P10" s="382"/>
      <c r="Q10" s="383"/>
      <c r="R10" s="378"/>
      <c r="S10" s="369"/>
      <c r="T10" s="369"/>
      <c r="U10" s="369"/>
      <c r="V10" s="369"/>
      <c r="W10" s="369"/>
      <c r="X10" s="369"/>
      <c r="Y10" s="369"/>
    </row>
    <row r="11" spans="1:25" ht="18" customHeight="1" thickTop="1" thickBot="1">
      <c r="A11" s="370"/>
      <c r="B11" s="369"/>
      <c r="C11" s="369"/>
      <c r="D11" s="385" t="s">
        <v>245</v>
      </c>
      <c r="E11" s="386" t="s">
        <v>246</v>
      </c>
      <c r="F11" s="382"/>
      <c r="G11" s="387" t="s">
        <v>247</v>
      </c>
      <c r="H11" s="378"/>
      <c r="I11" s="369"/>
      <c r="J11" s="369"/>
      <c r="K11" s="369"/>
      <c r="L11" s="369"/>
      <c r="M11" s="369"/>
      <c r="N11" s="388" t="s">
        <v>161</v>
      </c>
      <c r="O11" s="386">
        <v>295000</v>
      </c>
      <c r="P11" s="382"/>
      <c r="Q11" s="387"/>
      <c r="R11" s="378"/>
      <c r="S11" s="369"/>
      <c r="T11" s="369"/>
      <c r="U11" s="369"/>
      <c r="V11" s="369"/>
      <c r="W11" s="369"/>
      <c r="X11" s="369"/>
      <c r="Y11" s="369"/>
    </row>
    <row r="12" spans="1:25" ht="18" customHeight="1" thickTop="1" thickBot="1">
      <c r="A12" s="370"/>
      <c r="B12" s="369"/>
      <c r="C12" s="369"/>
      <c r="D12" s="385" t="s">
        <v>248</v>
      </c>
      <c r="E12" s="389">
        <v>8000000</v>
      </c>
      <c r="F12" s="382"/>
      <c r="G12" s="390"/>
      <c r="H12" s="378"/>
      <c r="I12" s="369"/>
      <c r="J12" s="369"/>
      <c r="K12" s="369"/>
      <c r="L12" s="369"/>
      <c r="M12" s="369"/>
      <c r="N12" s="388" t="s">
        <v>249</v>
      </c>
      <c r="O12" s="391">
        <v>12</v>
      </c>
      <c r="P12" s="382"/>
      <c r="Q12" s="390"/>
      <c r="R12" s="378"/>
      <c r="S12" s="369"/>
      <c r="T12" s="369"/>
      <c r="U12" s="369"/>
      <c r="V12" s="369"/>
      <c r="W12" s="369"/>
      <c r="X12" s="369"/>
      <c r="Y12" s="369"/>
    </row>
    <row r="13" spans="1:25" ht="18" customHeight="1" thickTop="1" thickBot="1">
      <c r="A13" s="370"/>
      <c r="B13" s="369"/>
      <c r="C13" s="369"/>
      <c r="D13" s="385" t="s">
        <v>2</v>
      </c>
      <c r="E13" s="392">
        <v>0.1</v>
      </c>
      <c r="F13" s="382"/>
      <c r="G13" s="387"/>
      <c r="H13" s="378"/>
      <c r="I13" s="369"/>
      <c r="J13" s="369"/>
      <c r="K13" s="369"/>
      <c r="L13" s="369"/>
      <c r="M13" s="369"/>
      <c r="N13" s="388" t="s">
        <v>250</v>
      </c>
      <c r="O13" s="393">
        <v>4</v>
      </c>
      <c r="P13" s="382"/>
      <c r="Q13" s="387"/>
      <c r="R13" s="378"/>
      <c r="S13" s="369"/>
      <c r="T13" s="369"/>
      <c r="U13" s="369"/>
      <c r="V13" s="369"/>
      <c r="W13" s="369"/>
      <c r="X13" s="369"/>
      <c r="Y13" s="369"/>
    </row>
    <row r="14" spans="1:25" ht="18" customHeight="1" thickTop="1" thickBot="1">
      <c r="A14" s="370"/>
      <c r="B14" s="369"/>
      <c r="C14" s="369"/>
      <c r="D14" s="394" t="s">
        <v>251</v>
      </c>
      <c r="E14" s="395">
        <f>'[1]r.CashflowM'!G63</f>
        <v>16412941.305955227</v>
      </c>
      <c r="F14" s="382"/>
      <c r="G14" s="390"/>
      <c r="H14" s="378"/>
      <c r="I14" s="369"/>
      <c r="J14" s="369"/>
      <c r="K14" s="369"/>
      <c r="L14" s="369"/>
      <c r="M14" s="369"/>
      <c r="N14" s="388" t="s">
        <v>252</v>
      </c>
      <c r="O14" s="396"/>
      <c r="P14" s="397">
        <v>950</v>
      </c>
      <c r="Q14" s="390"/>
      <c r="R14" s="378"/>
      <c r="S14" s="369"/>
      <c r="T14" s="369"/>
      <c r="U14" s="369"/>
      <c r="V14" s="369"/>
      <c r="W14" s="369"/>
      <c r="X14" s="369"/>
      <c r="Y14" s="369"/>
    </row>
    <row r="15" spans="1:25" ht="18" customHeight="1" thickTop="1" thickBot="1">
      <c r="A15" s="370"/>
      <c r="B15" s="369"/>
      <c r="C15" s="369"/>
      <c r="D15" s="394" t="s">
        <v>253</v>
      </c>
      <c r="E15" s="395">
        <f>'[1]r.CashflowM'!G62</f>
        <v>8072045.2534424877</v>
      </c>
      <c r="F15" s="382"/>
      <c r="G15" s="390"/>
      <c r="H15" s="378"/>
      <c r="I15" s="369"/>
      <c r="J15" s="369"/>
      <c r="K15" s="369"/>
      <c r="L15" s="369"/>
      <c r="M15" s="369"/>
      <c r="N15" s="385"/>
      <c r="O15" s="396"/>
      <c r="P15" s="382"/>
      <c r="Q15" s="398"/>
      <c r="R15" s="378"/>
      <c r="S15" s="369"/>
      <c r="T15" s="369"/>
      <c r="U15" s="369"/>
      <c r="V15" s="369"/>
      <c r="W15" s="369"/>
      <c r="X15" s="369"/>
      <c r="Y15" s="369"/>
    </row>
    <row r="16" spans="1:25" ht="18" customHeight="1" thickTop="1" thickBot="1">
      <c r="A16" s="370"/>
      <c r="B16" s="369"/>
      <c r="C16" s="369"/>
      <c r="D16" s="394" t="s">
        <v>254</v>
      </c>
      <c r="E16" s="395" t="e">
        <f>-AVERAGEIF('[1]r.CashflowM'!I65:ND65,"&lt;0")</f>
        <v>#VALUE!</v>
      </c>
      <c r="F16" s="382"/>
      <c r="G16" s="390"/>
      <c r="H16" s="378"/>
      <c r="I16" s="369"/>
      <c r="J16" s="369"/>
      <c r="K16" s="369"/>
      <c r="L16" s="369"/>
      <c r="M16" s="369"/>
      <c r="N16" s="399" t="s">
        <v>255</v>
      </c>
      <c r="O16" s="400"/>
      <c r="P16" s="382"/>
      <c r="Q16" s="401"/>
      <c r="R16" s="378"/>
      <c r="S16" s="369"/>
      <c r="T16" s="369"/>
      <c r="U16" s="369"/>
      <c r="V16" s="369"/>
      <c r="W16" s="369"/>
      <c r="X16" s="369"/>
      <c r="Y16" s="369"/>
    </row>
    <row r="17" spans="1:25" ht="18" customHeight="1" thickTop="1" thickBot="1">
      <c r="A17" s="370"/>
      <c r="B17" s="369"/>
      <c r="C17" s="369"/>
      <c r="D17" s="394" t="s">
        <v>256</v>
      </c>
      <c r="E17" s="395">
        <f>-MIN('[1]r.CashflowM'!I65:ND65)</f>
        <v>22838872.876232374</v>
      </c>
      <c r="F17" s="382"/>
      <c r="G17" s="390"/>
      <c r="H17" s="378"/>
      <c r="I17" s="369"/>
      <c r="J17" s="369"/>
      <c r="K17" s="369"/>
      <c r="L17" s="369"/>
      <c r="M17" s="369"/>
      <c r="N17" s="388" t="s">
        <v>257</v>
      </c>
      <c r="O17" s="392">
        <v>0.25</v>
      </c>
      <c r="P17" s="382"/>
      <c r="Q17" s="387" t="s">
        <v>258</v>
      </c>
      <c r="R17" s="378"/>
      <c r="S17" s="369"/>
      <c r="T17" s="369"/>
      <c r="U17" s="369"/>
      <c r="V17" s="369"/>
      <c r="W17" s="369"/>
      <c r="X17" s="369"/>
      <c r="Y17" s="369"/>
    </row>
    <row r="18" spans="1:25" ht="18" customHeight="1" thickTop="1" thickBot="1">
      <c r="A18" s="370"/>
      <c r="B18" s="369"/>
      <c r="C18" s="369"/>
      <c r="D18" s="394" t="s">
        <v>259</v>
      </c>
      <c r="E18" s="402">
        <v>46721</v>
      </c>
      <c r="F18" s="382"/>
      <c r="G18" s="390"/>
      <c r="H18" s="378"/>
      <c r="I18" s="369"/>
      <c r="J18" s="369"/>
      <c r="K18" s="369"/>
      <c r="L18" s="369"/>
      <c r="M18" s="369"/>
      <c r="N18" s="388" t="s">
        <v>260</v>
      </c>
      <c r="O18" s="392">
        <v>0.5</v>
      </c>
      <c r="P18" s="382"/>
      <c r="Q18" s="387" t="s">
        <v>261</v>
      </c>
      <c r="R18" s="378"/>
      <c r="S18" s="369"/>
      <c r="T18" s="369"/>
      <c r="U18" s="369"/>
      <c r="V18" s="369"/>
      <c r="W18" s="369"/>
      <c r="X18" s="369"/>
      <c r="Y18" s="369"/>
    </row>
    <row r="19" spans="1:25" ht="18" customHeight="1" thickTop="1" thickBot="1">
      <c r="A19" s="370"/>
      <c r="B19" s="369"/>
      <c r="C19" s="369"/>
      <c r="D19" s="403" t="s">
        <v>262</v>
      </c>
      <c r="E19" s="400"/>
      <c r="F19" s="382"/>
      <c r="G19" s="383"/>
      <c r="H19" s="378"/>
      <c r="I19" s="369"/>
      <c r="J19" s="369"/>
      <c r="K19" s="369"/>
      <c r="L19" s="369"/>
      <c r="M19" s="369"/>
      <c r="N19" s="388" t="s">
        <v>263</v>
      </c>
      <c r="O19" s="392">
        <v>0.25</v>
      </c>
      <c r="P19" s="382"/>
      <c r="Q19" s="387" t="s">
        <v>264</v>
      </c>
      <c r="R19" s="378"/>
      <c r="S19" s="369"/>
      <c r="T19" s="369"/>
      <c r="U19" s="369"/>
      <c r="V19" s="369"/>
      <c r="W19" s="369"/>
      <c r="X19" s="369"/>
      <c r="Y19" s="369"/>
    </row>
    <row r="20" spans="1:25" ht="18" customHeight="1" thickTop="1" thickBot="1">
      <c r="A20" s="370"/>
      <c r="B20" s="369"/>
      <c r="C20" s="369"/>
      <c r="D20" s="385" t="s">
        <v>245</v>
      </c>
      <c r="E20" s="392" t="s">
        <v>265</v>
      </c>
      <c r="F20" s="382"/>
      <c r="G20" s="387" t="s">
        <v>265</v>
      </c>
      <c r="H20" s="378"/>
      <c r="I20" s="369"/>
      <c r="J20" s="369"/>
      <c r="K20" s="369"/>
      <c r="L20" s="369"/>
      <c r="M20" s="369"/>
      <c r="N20" s="388"/>
      <c r="O20" s="396"/>
      <c r="P20" s="404"/>
      <c r="Q20" s="405"/>
      <c r="R20" s="378"/>
      <c r="S20" s="369"/>
      <c r="T20" s="369"/>
      <c r="U20" s="369"/>
      <c r="V20" s="369"/>
      <c r="W20" s="369"/>
      <c r="X20" s="369"/>
      <c r="Y20" s="369"/>
    </row>
    <row r="21" spans="1:25" ht="18" customHeight="1" thickTop="1" thickBot="1">
      <c r="A21" s="406"/>
      <c r="B21" s="369"/>
      <c r="C21" s="369"/>
      <c r="D21" s="385" t="s">
        <v>248</v>
      </c>
      <c r="E21" s="389">
        <v>18000000</v>
      </c>
      <c r="F21" s="382"/>
      <c r="G21" s="390"/>
      <c r="H21" s="378"/>
      <c r="I21" s="369"/>
      <c r="J21" s="369"/>
      <c r="K21" s="369"/>
      <c r="L21" s="369"/>
      <c r="M21" s="369"/>
      <c r="N21" s="399" t="s">
        <v>266</v>
      </c>
      <c r="O21" s="400"/>
      <c r="P21" s="382"/>
      <c r="Q21" s="398"/>
      <c r="R21" s="378"/>
      <c r="S21" s="369"/>
      <c r="T21" s="369"/>
      <c r="U21" s="369"/>
      <c r="V21" s="369"/>
      <c r="W21" s="369"/>
      <c r="X21" s="369"/>
      <c r="Y21" s="369"/>
    </row>
    <row r="22" spans="1:25" ht="18" customHeight="1" thickTop="1" thickBot="1">
      <c r="A22" s="406"/>
      <c r="B22" s="369"/>
      <c r="C22" s="369"/>
      <c r="D22" s="385" t="s">
        <v>2</v>
      </c>
      <c r="E22" s="392">
        <v>0.1</v>
      </c>
      <c r="F22" s="382"/>
      <c r="G22" s="387"/>
      <c r="H22" s="378"/>
      <c r="I22" s="369"/>
      <c r="J22" s="369"/>
      <c r="K22" s="369"/>
      <c r="L22" s="369"/>
      <c r="M22" s="369"/>
      <c r="N22" s="407" t="s">
        <v>267</v>
      </c>
      <c r="O22" s="392">
        <v>0.6</v>
      </c>
      <c r="P22" s="382"/>
      <c r="Q22" s="387"/>
      <c r="R22" s="378"/>
      <c r="S22" s="369"/>
      <c r="T22" s="369"/>
      <c r="U22" s="369"/>
      <c r="V22" s="369"/>
      <c r="W22" s="369"/>
      <c r="X22" s="369"/>
      <c r="Y22" s="369"/>
    </row>
    <row r="23" spans="1:25" ht="18" customHeight="1" thickTop="1" thickBot="1">
      <c r="A23" s="406"/>
      <c r="B23" s="369"/>
      <c r="C23" s="369"/>
      <c r="D23" s="394" t="s">
        <v>251</v>
      </c>
      <c r="E23" s="395">
        <f>'[1]r.CashflowM'!G71</f>
        <v>0</v>
      </c>
      <c r="F23" s="382"/>
      <c r="G23" s="390"/>
      <c r="H23" s="378"/>
      <c r="I23" s="369"/>
      <c r="J23" s="369"/>
      <c r="K23" s="369"/>
      <c r="L23" s="369"/>
      <c r="M23" s="369"/>
      <c r="N23" s="407" t="s">
        <v>268</v>
      </c>
      <c r="O23" s="392">
        <v>0.6</v>
      </c>
      <c r="P23" s="382"/>
      <c r="Q23" s="387"/>
      <c r="R23" s="378"/>
      <c r="S23" s="369"/>
      <c r="T23" s="369"/>
      <c r="U23" s="369"/>
      <c r="V23" s="369"/>
      <c r="W23" s="369"/>
      <c r="X23" s="369"/>
      <c r="Y23" s="369"/>
    </row>
    <row r="24" spans="1:25" ht="18" customHeight="1" thickTop="1" thickBot="1">
      <c r="A24" s="406"/>
      <c r="B24" s="369"/>
      <c r="C24" s="369"/>
      <c r="D24" s="394" t="s">
        <v>253</v>
      </c>
      <c r="E24" s="395">
        <f>'[1]r.CashflowM'!G70</f>
        <v>26063719.254581057</v>
      </c>
      <c r="F24" s="382"/>
      <c r="G24" s="390"/>
      <c r="H24" s="378"/>
      <c r="I24" s="369"/>
      <c r="J24" s="369"/>
      <c r="K24" s="369"/>
      <c r="L24" s="369"/>
      <c r="M24" s="369"/>
      <c r="N24" s="407" t="s">
        <v>269</v>
      </c>
      <c r="O24" s="392">
        <v>0.1</v>
      </c>
      <c r="P24" s="382"/>
      <c r="Q24" s="387"/>
      <c r="R24" s="378"/>
      <c r="S24" s="369"/>
      <c r="T24" s="369"/>
      <c r="U24" s="369"/>
      <c r="V24" s="369"/>
      <c r="W24" s="369"/>
      <c r="X24" s="369"/>
      <c r="Y24" s="369"/>
    </row>
    <row r="25" spans="1:25" ht="18" customHeight="1" thickTop="1" thickBot="1">
      <c r="A25" s="406"/>
      <c r="B25" s="369"/>
      <c r="C25" s="369"/>
      <c r="D25" s="394" t="s">
        <v>254</v>
      </c>
      <c r="E25" s="395" t="e">
        <f>-AVERAGEIF('[1]r.CashflowM'!I$73:ND$73,"&lt;0")</f>
        <v>#VALUE!</v>
      </c>
      <c r="F25" s="382"/>
      <c r="G25" s="390"/>
      <c r="H25" s="378"/>
      <c r="I25" s="369"/>
      <c r="J25" s="369"/>
      <c r="K25" s="369"/>
      <c r="L25" s="369"/>
      <c r="M25" s="369"/>
      <c r="N25" s="407" t="s">
        <v>270</v>
      </c>
      <c r="O25" s="392">
        <v>0.18</v>
      </c>
      <c r="P25" s="382"/>
      <c r="Q25" s="387"/>
      <c r="R25" s="378"/>
      <c r="S25" s="369"/>
      <c r="T25" s="369"/>
      <c r="U25" s="369"/>
      <c r="V25" s="369"/>
      <c r="W25" s="369"/>
      <c r="X25" s="369"/>
      <c r="Y25" s="369"/>
    </row>
    <row r="26" spans="1:25" ht="18" customHeight="1" thickTop="1" thickBot="1">
      <c r="A26" s="406"/>
      <c r="B26" s="369"/>
      <c r="C26" s="369"/>
      <c r="D26" s="394" t="s">
        <v>256</v>
      </c>
      <c r="E26" s="395">
        <f>-MIN('[1]r.CashflowM'!I$73:ND$73)</f>
        <v>353286491.86447436</v>
      </c>
      <c r="F26" s="382"/>
      <c r="G26" s="390"/>
      <c r="H26" s="378"/>
      <c r="I26" s="369"/>
      <c r="J26" s="369"/>
      <c r="K26" s="369"/>
      <c r="L26" s="369"/>
      <c r="M26" s="369"/>
      <c r="N26" s="407" t="s">
        <v>271</v>
      </c>
      <c r="O26" s="392">
        <v>0.02</v>
      </c>
      <c r="P26" s="382"/>
      <c r="Q26" s="387"/>
      <c r="R26" s="378"/>
      <c r="S26" s="369"/>
      <c r="T26" s="369"/>
      <c r="U26" s="369"/>
      <c r="V26" s="369"/>
      <c r="W26" s="369"/>
      <c r="X26" s="369"/>
      <c r="Y26" s="369"/>
    </row>
    <row r="27" spans="1:25" ht="18" customHeight="1" thickTop="1">
      <c r="A27" s="406"/>
      <c r="B27" s="369"/>
      <c r="C27" s="369"/>
      <c r="D27" s="394" t="s">
        <v>259</v>
      </c>
      <c r="E27" s="402" t="s">
        <v>367</v>
      </c>
      <c r="F27" s="382"/>
      <c r="G27" s="390"/>
      <c r="H27" s="378"/>
      <c r="I27" s="369"/>
      <c r="J27" s="369"/>
      <c r="K27" s="369"/>
      <c r="L27" s="369"/>
      <c r="M27" s="369"/>
      <c r="N27" s="407"/>
      <c r="O27" s="382"/>
      <c r="P27" s="382"/>
      <c r="Q27" s="398"/>
      <c r="R27" s="378"/>
      <c r="S27" s="369"/>
      <c r="T27" s="369"/>
      <c r="U27" s="369"/>
      <c r="V27" s="369"/>
      <c r="W27" s="369"/>
      <c r="X27" s="369"/>
      <c r="Y27" s="369"/>
    </row>
    <row r="28" spans="1:25" ht="18" customHeight="1" thickBot="1">
      <c r="A28" s="406"/>
      <c r="B28" s="369"/>
      <c r="C28" s="369"/>
      <c r="D28" s="403" t="s">
        <v>272</v>
      </c>
      <c r="E28" s="400"/>
      <c r="F28" s="382"/>
      <c r="G28" s="383"/>
      <c r="H28" s="378"/>
      <c r="I28" s="369"/>
      <c r="J28" s="369"/>
      <c r="K28" s="369"/>
      <c r="L28" s="369"/>
      <c r="M28" s="369"/>
      <c r="N28" s="399" t="s">
        <v>273</v>
      </c>
      <c r="O28" s="400"/>
      <c r="P28" s="408"/>
      <c r="Q28" s="400"/>
      <c r="R28" s="378"/>
      <c r="S28" s="369"/>
      <c r="T28" s="369"/>
      <c r="U28" s="369"/>
      <c r="V28" s="369"/>
      <c r="W28" s="369"/>
      <c r="X28" s="369"/>
      <c r="Y28" s="369"/>
    </row>
    <row r="29" spans="1:25" ht="18" customHeight="1" thickTop="1" thickBot="1">
      <c r="A29" s="406"/>
      <c r="B29" s="369"/>
      <c r="C29" s="369"/>
      <c r="D29" s="385" t="s">
        <v>245</v>
      </c>
      <c r="E29" s="392" t="s">
        <v>274</v>
      </c>
      <c r="F29" s="382"/>
      <c r="G29" s="387" t="s">
        <v>275</v>
      </c>
      <c r="H29" s="378"/>
      <c r="I29" s="369"/>
      <c r="J29" s="369"/>
      <c r="K29" s="369"/>
      <c r="L29" s="369"/>
      <c r="M29" s="369"/>
      <c r="N29" s="409" t="s">
        <v>267</v>
      </c>
      <c r="O29" s="386">
        <v>0</v>
      </c>
      <c r="P29" s="382"/>
      <c r="Q29" s="387" t="s">
        <v>276</v>
      </c>
      <c r="R29" s="378"/>
      <c r="S29" s="369"/>
      <c r="T29" s="369"/>
      <c r="U29" s="369"/>
      <c r="V29" s="369"/>
      <c r="W29" s="369"/>
      <c r="X29" s="369"/>
      <c r="Y29" s="369"/>
    </row>
    <row r="30" spans="1:25" ht="18" customHeight="1" thickTop="1" thickBot="1">
      <c r="A30" s="406"/>
      <c r="B30" s="369"/>
      <c r="C30" s="369"/>
      <c r="D30" s="385" t="s">
        <v>248</v>
      </c>
      <c r="E30" s="389">
        <v>8000000</v>
      </c>
      <c r="F30" s="382"/>
      <c r="G30" s="387" t="s">
        <v>277</v>
      </c>
      <c r="H30" s="378"/>
      <c r="I30" s="369"/>
      <c r="J30" s="369"/>
      <c r="K30" s="369"/>
      <c r="L30" s="369"/>
      <c r="M30" s="369"/>
      <c r="N30" s="409" t="s">
        <v>278</v>
      </c>
      <c r="O30" s="386">
        <v>0</v>
      </c>
      <c r="P30" s="382"/>
      <c r="Q30" s="410"/>
      <c r="R30" s="378"/>
      <c r="S30" s="369"/>
      <c r="T30" s="369"/>
      <c r="U30" s="369"/>
      <c r="V30" s="369"/>
      <c r="W30" s="369"/>
      <c r="X30" s="369"/>
      <c r="Y30" s="369"/>
    </row>
    <row r="31" spans="1:25" ht="18" customHeight="1" thickTop="1" thickBot="1">
      <c r="A31" s="406"/>
      <c r="B31" s="369"/>
      <c r="C31" s="369"/>
      <c r="D31" s="385" t="s">
        <v>2</v>
      </c>
      <c r="E31" s="392">
        <v>0.1</v>
      </c>
      <c r="F31" s="382"/>
      <c r="G31" s="387" t="s">
        <v>277</v>
      </c>
      <c r="H31" s="378"/>
      <c r="I31" s="369"/>
      <c r="J31" s="369"/>
      <c r="K31" s="369"/>
      <c r="L31" s="369"/>
      <c r="M31" s="369"/>
      <c r="N31" s="400"/>
      <c r="O31" s="400"/>
      <c r="P31" s="408"/>
      <c r="Q31" s="400"/>
      <c r="R31" s="378"/>
      <c r="S31" s="369"/>
      <c r="T31" s="369"/>
      <c r="U31" s="369"/>
      <c r="V31" s="369"/>
      <c r="W31" s="369"/>
      <c r="X31" s="369"/>
      <c r="Y31" s="369"/>
    </row>
    <row r="32" spans="1:25" ht="18" customHeight="1" thickTop="1">
      <c r="A32" s="406"/>
      <c r="B32" s="369"/>
      <c r="C32" s="369"/>
      <c r="D32" s="407"/>
      <c r="E32" s="382"/>
      <c r="F32" s="382"/>
      <c r="G32" s="383"/>
      <c r="H32" s="378"/>
      <c r="I32" s="369"/>
      <c r="J32" s="369"/>
      <c r="K32" s="369"/>
      <c r="L32" s="369"/>
      <c r="M32" s="369"/>
      <c r="N32" s="411" t="s">
        <v>279</v>
      </c>
      <c r="O32" s="412"/>
      <c r="P32" s="413"/>
      <c r="Q32" s="414"/>
      <c r="R32" s="415"/>
      <c r="S32" s="369"/>
      <c r="T32" s="369"/>
      <c r="U32" s="369"/>
      <c r="V32" s="369"/>
      <c r="W32" s="369"/>
      <c r="X32" s="369"/>
      <c r="Y32" s="369"/>
    </row>
    <row r="33" spans="1:25" ht="18" customHeight="1" thickBot="1">
      <c r="A33" s="406"/>
      <c r="B33" s="369"/>
      <c r="C33" s="369"/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80" t="s">
        <v>280</v>
      </c>
      <c r="O33" s="375"/>
      <c r="P33" s="376"/>
      <c r="Q33" s="375"/>
      <c r="R33" s="378"/>
      <c r="S33" s="369"/>
      <c r="T33" s="369"/>
      <c r="U33" s="369"/>
      <c r="V33" s="369"/>
      <c r="W33" s="369"/>
      <c r="X33" s="369"/>
      <c r="Y33" s="369"/>
    </row>
    <row r="34" spans="1:25" ht="18" customHeight="1" thickTop="1" thickBot="1">
      <c r="A34" s="406"/>
      <c r="B34" s="406"/>
      <c r="C34" s="406"/>
      <c r="D34" s="406"/>
      <c r="E34" s="406"/>
      <c r="F34" s="406"/>
      <c r="G34" s="406"/>
      <c r="H34" s="406"/>
      <c r="I34" s="406"/>
      <c r="J34" s="406"/>
      <c r="K34" s="369"/>
      <c r="L34" s="369"/>
      <c r="M34" s="369"/>
      <c r="N34" s="416" t="s">
        <v>281</v>
      </c>
      <c r="O34" s="417">
        <v>0.25</v>
      </c>
      <c r="P34" s="376"/>
      <c r="Q34" s="410"/>
      <c r="R34" s="378"/>
      <c r="S34" s="369"/>
      <c r="T34" s="369"/>
      <c r="U34" s="369"/>
      <c r="V34" s="369"/>
      <c r="W34" s="369"/>
      <c r="X34" s="369"/>
      <c r="Y34" s="369"/>
    </row>
    <row r="35" spans="1:25" ht="18" customHeight="1" thickTop="1" thickBot="1">
      <c r="A35" s="406"/>
      <c r="B35" s="406"/>
      <c r="C35" s="406"/>
      <c r="D35" s="406"/>
      <c r="E35" s="406"/>
      <c r="F35" s="406"/>
      <c r="G35" s="406"/>
      <c r="H35" s="406"/>
      <c r="I35" s="406"/>
      <c r="J35" s="406"/>
      <c r="K35" s="369"/>
      <c r="L35" s="369"/>
      <c r="M35" s="369"/>
      <c r="N35" s="416"/>
      <c r="O35" s="418"/>
      <c r="P35" s="376"/>
      <c r="Q35" s="375"/>
      <c r="R35" s="378"/>
      <c r="S35" s="369"/>
      <c r="T35" s="369"/>
      <c r="U35" s="369"/>
      <c r="V35" s="369"/>
      <c r="W35" s="369"/>
      <c r="X35" s="369"/>
      <c r="Y35" s="369"/>
    </row>
    <row r="36" spans="1:25" ht="18" customHeight="1" thickTop="1" thickBot="1">
      <c r="A36" s="406"/>
      <c r="B36" s="406"/>
      <c r="C36" s="406"/>
      <c r="D36" s="406"/>
      <c r="E36" s="406"/>
      <c r="F36" s="406"/>
      <c r="G36" s="406"/>
      <c r="H36" s="406"/>
      <c r="I36" s="406"/>
      <c r="J36" s="406"/>
      <c r="K36" s="369"/>
      <c r="L36" s="369"/>
      <c r="M36" s="369"/>
      <c r="N36" s="419" t="s">
        <v>282</v>
      </c>
      <c r="O36" s="386">
        <v>250</v>
      </c>
      <c r="P36" s="376"/>
      <c r="Q36" s="410"/>
      <c r="R36" s="378"/>
      <c r="S36" s="369"/>
      <c r="T36" s="369"/>
      <c r="U36" s="369"/>
      <c r="V36" s="369"/>
      <c r="W36" s="369"/>
      <c r="X36" s="369"/>
      <c r="Y36" s="369"/>
    </row>
    <row r="37" spans="1:25" ht="18" customHeight="1" thickTop="1" thickBot="1">
      <c r="A37" s="406"/>
      <c r="B37" s="406"/>
      <c r="C37" s="406"/>
      <c r="D37" s="406"/>
      <c r="E37" s="406"/>
      <c r="F37" s="406"/>
      <c r="G37" s="406"/>
      <c r="H37" s="406"/>
      <c r="I37" s="406"/>
      <c r="J37" s="406"/>
      <c r="K37" s="369"/>
      <c r="L37" s="369"/>
      <c r="M37" s="369"/>
      <c r="N37" s="419" t="s">
        <v>283</v>
      </c>
      <c r="O37" s="420">
        <f>43560*O34*O36/i.Finance!O11</f>
        <v>9.2288135593220346</v>
      </c>
      <c r="P37" s="376"/>
      <c r="Q37" s="387" t="s">
        <v>284</v>
      </c>
      <c r="R37" s="378"/>
      <c r="S37" s="369"/>
      <c r="T37" s="369"/>
      <c r="U37" s="369"/>
      <c r="V37" s="369"/>
      <c r="W37" s="369"/>
      <c r="X37" s="369"/>
      <c r="Y37" s="369"/>
    </row>
    <row r="38" spans="1:25" ht="18" customHeight="1" thickTop="1" thickBot="1">
      <c r="A38" s="406"/>
      <c r="B38" s="406"/>
      <c r="C38" s="406"/>
      <c r="D38" s="406"/>
      <c r="E38" s="406"/>
      <c r="F38" s="406"/>
      <c r="G38" s="406"/>
      <c r="H38" s="406"/>
      <c r="I38" s="406"/>
      <c r="J38" s="406"/>
      <c r="K38" s="369"/>
      <c r="L38" s="369"/>
      <c r="M38" s="369"/>
      <c r="N38" s="419" t="s">
        <v>40</v>
      </c>
      <c r="O38" s="420">
        <f>INT(O37*[1]i.Property!I22)</f>
        <v>0</v>
      </c>
      <c r="P38" s="376"/>
      <c r="Q38" s="387"/>
      <c r="R38" s="378"/>
      <c r="S38" s="369"/>
      <c r="T38" s="369"/>
      <c r="U38" s="369"/>
      <c r="V38" s="369"/>
      <c r="W38" s="369"/>
      <c r="X38" s="369"/>
      <c r="Y38" s="369"/>
    </row>
    <row r="39" spans="1:25" ht="18" customHeight="1" thickTop="1">
      <c r="A39" s="406"/>
      <c r="B39" s="406"/>
      <c r="C39" s="406"/>
      <c r="D39" s="406"/>
      <c r="E39" s="406"/>
      <c r="F39" s="406"/>
      <c r="G39" s="406"/>
      <c r="H39" s="406"/>
      <c r="I39" s="406"/>
      <c r="J39" s="406"/>
      <c r="K39" s="369"/>
      <c r="L39" s="369"/>
      <c r="M39" s="369"/>
      <c r="N39" s="421"/>
      <c r="O39" s="418"/>
      <c r="P39" s="376"/>
      <c r="Q39" s="375"/>
      <c r="R39" s="378"/>
      <c r="S39" s="369"/>
      <c r="T39" s="369"/>
      <c r="U39" s="369"/>
      <c r="V39" s="369"/>
      <c r="W39" s="369"/>
      <c r="X39" s="369"/>
      <c r="Y39" s="369"/>
    </row>
    <row r="40" spans="1:25" ht="18" customHeight="1" thickBot="1">
      <c r="A40" s="406"/>
      <c r="B40" s="406"/>
      <c r="C40" s="406"/>
      <c r="D40" s="406"/>
      <c r="E40" s="406"/>
      <c r="F40" s="406"/>
      <c r="G40" s="406"/>
      <c r="H40" s="406"/>
      <c r="I40" s="406"/>
      <c r="J40" s="406"/>
      <c r="K40" s="369"/>
      <c r="L40" s="369"/>
      <c r="M40" s="369"/>
      <c r="N40" s="380" t="s">
        <v>285</v>
      </c>
      <c r="O40" s="375"/>
      <c r="P40" s="376"/>
      <c r="Q40" s="375"/>
      <c r="R40" s="378"/>
      <c r="S40" s="369"/>
      <c r="T40" s="369"/>
      <c r="U40" s="369"/>
      <c r="V40" s="369"/>
      <c r="W40" s="369"/>
      <c r="X40" s="369"/>
      <c r="Y40" s="369"/>
    </row>
    <row r="41" spans="1:25" ht="18" customHeight="1" thickTop="1" thickBot="1">
      <c r="A41" s="406"/>
      <c r="B41" s="406"/>
      <c r="C41" s="406"/>
      <c r="D41" s="406"/>
      <c r="E41" s="406"/>
      <c r="F41" s="406"/>
      <c r="G41" s="406"/>
      <c r="H41" s="406"/>
      <c r="I41" s="406"/>
      <c r="J41" s="406"/>
      <c r="K41" s="369"/>
      <c r="L41" s="369"/>
      <c r="M41" s="369"/>
      <c r="N41" s="416" t="s">
        <v>281</v>
      </c>
      <c r="O41" s="417">
        <v>0</v>
      </c>
      <c r="P41" s="376"/>
      <c r="Q41" s="422"/>
      <c r="R41" s="378"/>
      <c r="S41" s="369"/>
      <c r="T41" s="369"/>
      <c r="U41" s="369"/>
      <c r="V41" s="369"/>
      <c r="W41" s="369"/>
      <c r="X41" s="369"/>
      <c r="Y41" s="369"/>
    </row>
    <row r="42" spans="1:25" ht="18" customHeight="1" thickTop="1" thickBot="1">
      <c r="A42" s="406"/>
      <c r="B42" s="406"/>
      <c r="C42" s="406"/>
      <c r="D42" s="406"/>
      <c r="E42" s="406"/>
      <c r="F42" s="406"/>
      <c r="G42" s="406"/>
      <c r="H42" s="406"/>
      <c r="I42" s="406"/>
      <c r="J42" s="406"/>
      <c r="K42" s="369"/>
      <c r="L42" s="369"/>
      <c r="M42" s="369"/>
      <c r="N42" s="419" t="s">
        <v>282</v>
      </c>
      <c r="O42" s="423">
        <v>0</v>
      </c>
      <c r="P42" s="376"/>
      <c r="Q42" s="422"/>
      <c r="R42" s="378"/>
      <c r="S42" s="369"/>
      <c r="T42" s="369"/>
      <c r="U42" s="369"/>
      <c r="V42" s="369"/>
      <c r="W42" s="369"/>
      <c r="X42" s="369"/>
      <c r="Y42" s="369"/>
    </row>
    <row r="43" spans="1:25" ht="18" customHeight="1" thickTop="1" thickBot="1">
      <c r="A43" s="406"/>
      <c r="B43" s="406"/>
      <c r="C43" s="406"/>
      <c r="D43" s="406"/>
      <c r="E43" s="406"/>
      <c r="F43" s="406"/>
      <c r="G43" s="406"/>
      <c r="H43" s="406"/>
      <c r="I43" s="406"/>
      <c r="J43" s="406"/>
      <c r="K43" s="369"/>
      <c r="L43" s="369"/>
      <c r="M43" s="369"/>
      <c r="N43" s="419" t="s">
        <v>283</v>
      </c>
      <c r="O43" s="420">
        <v>0</v>
      </c>
      <c r="P43" s="376"/>
      <c r="Q43" s="387" t="s">
        <v>284</v>
      </c>
      <c r="R43" s="378"/>
      <c r="S43" s="369"/>
      <c r="T43" s="369"/>
      <c r="U43" s="369"/>
      <c r="V43" s="369"/>
      <c r="W43" s="369"/>
      <c r="X43" s="369"/>
      <c r="Y43" s="369"/>
    </row>
    <row r="44" spans="1:25" ht="18" customHeight="1" thickTop="1" thickBot="1">
      <c r="A44" s="406"/>
      <c r="B44" s="406"/>
      <c r="C44" s="406"/>
      <c r="D44" s="406"/>
      <c r="E44" s="406"/>
      <c r="F44" s="406"/>
      <c r="G44" s="406"/>
      <c r="H44" s="406"/>
      <c r="I44" s="406"/>
      <c r="J44" s="406"/>
      <c r="K44" s="369"/>
      <c r="L44" s="369"/>
      <c r="M44" s="369"/>
      <c r="N44" s="419" t="s">
        <v>40</v>
      </c>
      <c r="O44" s="420">
        <v>0</v>
      </c>
      <c r="P44" s="376"/>
      <c r="Q44" s="422"/>
      <c r="R44" s="378"/>
      <c r="S44" s="369"/>
      <c r="T44" s="369"/>
      <c r="U44" s="369"/>
      <c r="V44" s="369"/>
      <c r="W44" s="369"/>
      <c r="X44" s="369"/>
      <c r="Y44" s="369"/>
    </row>
    <row r="45" spans="1:25" ht="18" customHeight="1" thickTop="1">
      <c r="A45" s="406"/>
      <c r="B45" s="406"/>
      <c r="C45" s="406"/>
      <c r="D45" s="406"/>
      <c r="E45" s="406"/>
      <c r="F45" s="406"/>
      <c r="G45" s="406"/>
      <c r="H45" s="406"/>
      <c r="I45" s="406"/>
      <c r="J45" s="406"/>
      <c r="K45" s="369"/>
      <c r="L45" s="369"/>
      <c r="M45" s="369"/>
      <c r="N45" s="416"/>
      <c r="O45" s="375"/>
      <c r="P45" s="376"/>
      <c r="Q45" s="375"/>
      <c r="R45" s="378"/>
      <c r="S45" s="369"/>
      <c r="T45" s="369"/>
      <c r="U45" s="369"/>
      <c r="V45" s="369"/>
      <c r="W45" s="369"/>
      <c r="X45" s="369"/>
      <c r="Y45" s="369"/>
    </row>
    <row r="46" spans="1:25" ht="18" customHeight="1">
      <c r="A46" s="406"/>
      <c r="B46" s="406"/>
      <c r="C46" s="406"/>
      <c r="D46" s="406"/>
      <c r="E46" s="406"/>
      <c r="F46" s="406"/>
      <c r="G46" s="406"/>
      <c r="H46" s="406"/>
      <c r="I46" s="406"/>
      <c r="J46" s="406"/>
      <c r="K46" s="369"/>
      <c r="L46" s="369"/>
      <c r="M46" s="369"/>
      <c r="N46" s="411" t="s">
        <v>286</v>
      </c>
      <c r="O46" s="412"/>
      <c r="P46" s="413"/>
      <c r="Q46" s="414"/>
      <c r="R46" s="415"/>
      <c r="S46" s="369"/>
      <c r="T46" s="369"/>
      <c r="U46" s="369"/>
      <c r="V46" s="369"/>
      <c r="W46" s="369"/>
      <c r="X46" s="369"/>
      <c r="Y46" s="369"/>
    </row>
    <row r="47" spans="1:25" ht="18" customHeight="1" thickBot="1">
      <c r="A47" s="406"/>
      <c r="B47" s="406"/>
      <c r="C47" s="406"/>
      <c r="D47" s="406"/>
      <c r="E47" s="406"/>
      <c r="F47" s="406"/>
      <c r="G47" s="406"/>
      <c r="H47" s="406"/>
      <c r="I47" s="406"/>
      <c r="J47" s="406"/>
      <c r="K47" s="369"/>
      <c r="L47" s="369"/>
      <c r="M47" s="369"/>
      <c r="N47" s="424" t="s">
        <v>287</v>
      </c>
      <c r="O47" s="425"/>
      <c r="P47" s="426">
        <f>P58</f>
        <v>4847375</v>
      </c>
      <c r="Q47" s="427" t="s">
        <v>288</v>
      </c>
      <c r="R47" s="378"/>
      <c r="S47" s="369"/>
      <c r="T47" s="369"/>
      <c r="U47" s="369"/>
      <c r="V47" s="369"/>
      <c r="W47" s="369"/>
      <c r="X47" s="369"/>
      <c r="Y47" s="369"/>
    </row>
    <row r="48" spans="1:25" ht="18" customHeight="1" thickTop="1" thickBot="1">
      <c r="A48" s="406"/>
      <c r="B48" s="406"/>
      <c r="C48" s="406"/>
      <c r="D48" s="406"/>
      <c r="E48" s="406"/>
      <c r="F48" s="406"/>
      <c r="G48" s="406"/>
      <c r="H48" s="406"/>
      <c r="I48" s="406"/>
      <c r="J48" s="406"/>
      <c r="K48" s="369"/>
      <c r="L48" s="369"/>
      <c r="M48" s="369"/>
      <c r="N48" s="428" t="s">
        <v>289</v>
      </c>
      <c r="O48" s="429">
        <v>950</v>
      </c>
      <c r="P48" s="430"/>
      <c r="Q48" s="410"/>
      <c r="R48" s="378"/>
      <c r="S48" s="369"/>
      <c r="T48" s="369"/>
      <c r="U48" s="369"/>
      <c r="V48" s="369"/>
      <c r="W48" s="369"/>
      <c r="X48" s="369"/>
      <c r="Y48" s="369"/>
    </row>
    <row r="49" spans="1:25" ht="18" customHeight="1" thickTop="1" thickBot="1">
      <c r="A49" s="406"/>
      <c r="B49" s="406"/>
      <c r="C49" s="406"/>
      <c r="D49" s="406"/>
      <c r="E49" s="406"/>
      <c r="F49" s="406"/>
      <c r="G49" s="406"/>
      <c r="H49" s="406"/>
      <c r="I49" s="406"/>
      <c r="J49" s="406"/>
      <c r="K49" s="369"/>
      <c r="L49" s="369"/>
      <c r="M49" s="369"/>
      <c r="N49" s="428" t="s">
        <v>290</v>
      </c>
      <c r="O49" s="386">
        <v>6500</v>
      </c>
      <c r="P49" s="430"/>
      <c r="Q49" s="410"/>
      <c r="R49" s="378"/>
      <c r="S49" s="369"/>
      <c r="T49" s="369"/>
      <c r="U49" s="369"/>
      <c r="V49" s="369"/>
      <c r="W49" s="369"/>
      <c r="X49" s="369"/>
      <c r="Y49" s="369"/>
    </row>
    <row r="50" spans="1:25" ht="18" customHeight="1" thickTop="1" thickBot="1">
      <c r="A50" s="406"/>
      <c r="B50" s="406"/>
      <c r="C50" s="406"/>
      <c r="D50" s="406"/>
      <c r="E50" s="406"/>
      <c r="F50" s="406"/>
      <c r="G50" s="406"/>
      <c r="H50" s="406"/>
      <c r="I50" s="406"/>
      <c r="J50" s="406"/>
      <c r="K50" s="369"/>
      <c r="L50" s="369"/>
      <c r="M50" s="369"/>
      <c r="N50" s="431" t="s">
        <v>291</v>
      </c>
      <c r="O50" s="432">
        <v>24</v>
      </c>
      <c r="P50" s="430"/>
      <c r="Q50" s="410"/>
      <c r="R50" s="378"/>
      <c r="S50" s="369"/>
      <c r="T50" s="369"/>
      <c r="U50" s="369"/>
      <c r="V50" s="369"/>
      <c r="W50" s="369"/>
      <c r="X50" s="369"/>
      <c r="Y50" s="369"/>
    </row>
    <row r="51" spans="1:25" ht="18" customHeight="1" thickTop="1" thickBot="1">
      <c r="A51" s="406"/>
      <c r="B51" s="406"/>
      <c r="C51" s="406"/>
      <c r="D51" s="406"/>
      <c r="E51" s="406"/>
      <c r="F51" s="406"/>
      <c r="G51" s="406"/>
      <c r="H51" s="406"/>
      <c r="I51" s="406"/>
      <c r="J51" s="406"/>
      <c r="K51" s="369"/>
      <c r="L51" s="369"/>
      <c r="M51" s="369"/>
      <c r="N51" s="431" t="s">
        <v>292</v>
      </c>
      <c r="O51" s="433">
        <v>5.5E-2</v>
      </c>
      <c r="P51" s="430"/>
      <c r="Q51" s="410"/>
      <c r="R51" s="378"/>
      <c r="S51" s="369"/>
      <c r="T51" s="369"/>
      <c r="U51" s="369"/>
      <c r="V51" s="369"/>
      <c r="W51" s="369"/>
      <c r="X51" s="369"/>
      <c r="Y51" s="369"/>
    </row>
    <row r="52" spans="1:25" ht="18" customHeight="1" thickTop="1" thickBot="1">
      <c r="A52" s="406"/>
      <c r="B52" s="406"/>
      <c r="C52" s="406"/>
      <c r="D52" s="406"/>
      <c r="E52" s="406"/>
      <c r="F52" s="406"/>
      <c r="G52" s="406"/>
      <c r="H52" s="406"/>
      <c r="I52" s="406"/>
      <c r="J52" s="406"/>
      <c r="K52" s="369"/>
      <c r="L52" s="369"/>
      <c r="M52" s="369"/>
      <c r="N52" s="431" t="s">
        <v>293</v>
      </c>
      <c r="O52" s="434">
        <v>1</v>
      </c>
      <c r="P52" s="430"/>
      <c r="Q52" s="410"/>
      <c r="R52" s="378"/>
      <c r="S52" s="369"/>
      <c r="T52" s="369"/>
      <c r="U52" s="369"/>
      <c r="V52" s="369"/>
      <c r="W52" s="369"/>
      <c r="X52" s="369"/>
      <c r="Y52" s="369"/>
    </row>
    <row r="53" spans="1:25" ht="18" customHeight="1" thickTop="1" thickBot="1">
      <c r="A53" s="406"/>
      <c r="B53" s="406"/>
      <c r="C53" s="406"/>
      <c r="D53" s="406"/>
      <c r="E53" s="406"/>
      <c r="F53" s="406"/>
      <c r="G53" s="406"/>
      <c r="H53" s="406"/>
      <c r="I53" s="406"/>
      <c r="J53" s="406"/>
      <c r="K53" s="369"/>
      <c r="L53" s="369"/>
      <c r="M53" s="369"/>
      <c r="N53" s="431" t="s">
        <v>294</v>
      </c>
      <c r="O53" s="435">
        <v>0.1</v>
      </c>
      <c r="P53" s="430"/>
      <c r="Q53" s="436"/>
      <c r="R53" s="378"/>
      <c r="S53" s="369"/>
      <c r="T53" s="369"/>
      <c r="U53" s="369"/>
      <c r="V53" s="369"/>
      <c r="W53" s="369"/>
      <c r="X53" s="369"/>
      <c r="Y53" s="369"/>
    </row>
    <row r="54" spans="1:25" ht="18" customHeight="1" thickTop="1" thickBot="1">
      <c r="A54" s="406"/>
      <c r="B54" s="406"/>
      <c r="C54" s="406"/>
      <c r="D54" s="406"/>
      <c r="E54" s="406"/>
      <c r="F54" s="406"/>
      <c r="G54" s="406"/>
      <c r="H54" s="406"/>
      <c r="I54" s="406"/>
      <c r="J54" s="406"/>
      <c r="K54" s="369"/>
      <c r="L54" s="369"/>
      <c r="M54" s="369"/>
      <c r="N54" s="431" t="s">
        <v>295</v>
      </c>
      <c r="O54" s="433">
        <v>0.04</v>
      </c>
      <c r="P54" s="430"/>
      <c r="Q54" s="410"/>
      <c r="R54" s="378"/>
      <c r="S54" s="369"/>
      <c r="T54" s="369"/>
      <c r="U54" s="369"/>
      <c r="V54" s="369"/>
      <c r="W54" s="369"/>
      <c r="X54" s="369"/>
      <c r="Y54" s="369"/>
    </row>
    <row r="55" spans="1:25" ht="18" customHeight="1" thickTop="1" thickBot="1">
      <c r="A55" s="406"/>
      <c r="B55" s="406"/>
      <c r="C55" s="406"/>
      <c r="D55" s="406"/>
      <c r="E55" s="406"/>
      <c r="F55" s="406"/>
      <c r="G55" s="406"/>
      <c r="H55" s="406"/>
      <c r="I55" s="406"/>
      <c r="J55" s="406"/>
      <c r="K55" s="369"/>
      <c r="L55" s="369"/>
      <c r="M55" s="369"/>
      <c r="N55" s="431" t="s">
        <v>296</v>
      </c>
      <c r="O55" s="433">
        <v>0.02</v>
      </c>
      <c r="P55" s="430"/>
      <c r="Q55" s="410"/>
      <c r="R55" s="378"/>
      <c r="S55" s="369"/>
      <c r="T55" s="369"/>
      <c r="U55" s="369"/>
      <c r="V55" s="369"/>
      <c r="W55" s="369"/>
      <c r="X55" s="369"/>
      <c r="Y55" s="369"/>
    </row>
    <row r="56" spans="1:25" ht="18" customHeight="1" thickTop="1" thickBot="1">
      <c r="A56" s="406"/>
      <c r="B56" s="406"/>
      <c r="C56" s="406"/>
      <c r="D56" s="406"/>
      <c r="E56" s="406"/>
      <c r="F56" s="406"/>
      <c r="G56" s="406"/>
      <c r="H56" s="406"/>
      <c r="I56" s="406"/>
      <c r="J56" s="406"/>
      <c r="K56" s="369"/>
      <c r="L56" s="369"/>
      <c r="M56" s="369"/>
      <c r="N56" s="437" t="s">
        <v>297</v>
      </c>
      <c r="O56" s="438"/>
      <c r="P56" s="439">
        <f>[1]mCFD!BR367</f>
        <v>6175000</v>
      </c>
      <c r="Q56" s="410"/>
      <c r="R56" s="378"/>
      <c r="S56" s="369"/>
      <c r="T56" s="369"/>
      <c r="U56" s="369"/>
      <c r="V56" s="369"/>
      <c r="W56" s="369"/>
      <c r="X56" s="369"/>
      <c r="Y56" s="369"/>
    </row>
    <row r="57" spans="1:25" ht="18" customHeight="1" thickTop="1" thickBot="1">
      <c r="A57" s="406"/>
      <c r="B57" s="406"/>
      <c r="C57" s="406"/>
      <c r="D57" s="406"/>
      <c r="E57" s="406"/>
      <c r="F57" s="406"/>
      <c r="G57" s="406"/>
      <c r="H57" s="406"/>
      <c r="I57" s="406"/>
      <c r="J57" s="406"/>
      <c r="K57" s="369"/>
      <c r="L57" s="369"/>
      <c r="M57" s="369"/>
      <c r="N57" s="431" t="s">
        <v>298</v>
      </c>
      <c r="O57" s="440">
        <f>SUM(O66:O67)</f>
        <v>0.06</v>
      </c>
      <c r="P57" s="441">
        <f>[1]mCFD!BS367</f>
        <v>-1327624.9999999998</v>
      </c>
      <c r="Q57" s="442"/>
      <c r="R57" s="378"/>
      <c r="S57" s="369"/>
      <c r="T57" s="369"/>
      <c r="U57" s="369"/>
      <c r="V57" s="369"/>
      <c r="W57" s="369"/>
      <c r="X57" s="369"/>
      <c r="Y57" s="369"/>
    </row>
    <row r="58" spans="1:25" ht="18" customHeight="1" thickTop="1">
      <c r="A58" s="406"/>
      <c r="B58" s="406"/>
      <c r="C58" s="406"/>
      <c r="D58" s="406"/>
      <c r="E58" s="406"/>
      <c r="F58" s="406"/>
      <c r="G58" s="406"/>
      <c r="H58" s="406"/>
      <c r="I58" s="406"/>
      <c r="J58" s="406"/>
      <c r="K58" s="369"/>
      <c r="L58" s="369"/>
      <c r="M58" s="369"/>
      <c r="N58" s="431" t="s">
        <v>299</v>
      </c>
      <c r="O58" s="440">
        <v>0.78500000000000003</v>
      </c>
      <c r="P58" s="443">
        <f>SUM(P56:P57)</f>
        <v>4847375</v>
      </c>
      <c r="Q58" s="410"/>
      <c r="R58" s="378"/>
      <c r="S58" s="369"/>
      <c r="T58" s="369"/>
      <c r="U58" s="369"/>
      <c r="V58" s="369"/>
      <c r="W58" s="369"/>
      <c r="X58" s="369"/>
      <c r="Y58" s="369"/>
    </row>
    <row r="59" spans="1:25" ht="18" customHeight="1">
      <c r="A59" s="406"/>
      <c r="B59" s="406"/>
      <c r="C59" s="406"/>
      <c r="D59" s="406"/>
      <c r="E59" s="406"/>
      <c r="F59" s="406"/>
      <c r="G59" s="406"/>
      <c r="H59" s="406"/>
      <c r="I59" s="406"/>
      <c r="J59" s="406"/>
      <c r="K59" s="369"/>
      <c r="L59" s="369"/>
      <c r="M59" s="369"/>
      <c r="N59" s="444"/>
      <c r="O59" s="438"/>
      <c r="P59" s="443"/>
      <c r="Q59" s="438"/>
      <c r="R59" s="378"/>
      <c r="S59" s="369"/>
      <c r="T59" s="369"/>
      <c r="U59" s="369"/>
      <c r="V59" s="369"/>
      <c r="W59" s="369"/>
      <c r="X59" s="369"/>
      <c r="Y59" s="369"/>
    </row>
    <row r="60" spans="1:25" ht="18" customHeight="1" thickBot="1">
      <c r="A60" s="406"/>
      <c r="B60" s="406"/>
      <c r="C60" s="406"/>
      <c r="D60" s="406"/>
      <c r="E60" s="406"/>
      <c r="F60" s="406"/>
      <c r="G60" s="406"/>
      <c r="H60" s="406"/>
      <c r="I60" s="406"/>
      <c r="J60" s="406"/>
      <c r="K60" s="369"/>
      <c r="L60" s="369"/>
      <c r="M60" s="369"/>
      <c r="N60" s="424" t="s">
        <v>300</v>
      </c>
      <c r="O60" s="438"/>
      <c r="P60" s="426">
        <f>P70</f>
        <v>9511234.0350860879</v>
      </c>
      <c r="Q60" s="445" t="s">
        <v>288</v>
      </c>
      <c r="R60" s="378"/>
      <c r="S60" s="369"/>
      <c r="T60" s="369"/>
      <c r="U60" s="369"/>
      <c r="V60" s="369"/>
      <c r="W60" s="369"/>
      <c r="X60" s="369"/>
      <c r="Y60" s="369"/>
    </row>
    <row r="61" spans="1:25" ht="18" customHeight="1" thickTop="1" thickBot="1">
      <c r="A61" s="406"/>
      <c r="B61" s="406"/>
      <c r="C61" s="406"/>
      <c r="D61" s="406"/>
      <c r="E61" s="406"/>
      <c r="F61" s="406"/>
      <c r="G61" s="406"/>
      <c r="H61" s="406"/>
      <c r="I61" s="406"/>
      <c r="J61" s="406"/>
      <c r="K61" s="369"/>
      <c r="L61" s="369"/>
      <c r="M61" s="369"/>
      <c r="N61" s="428" t="s">
        <v>301</v>
      </c>
      <c r="O61" s="446">
        <v>4.25</v>
      </c>
      <c r="P61" s="430"/>
      <c r="Q61" s="410"/>
      <c r="R61" s="378"/>
      <c r="S61" s="369"/>
      <c r="T61" s="369"/>
      <c r="U61" s="369"/>
      <c r="V61" s="369"/>
      <c r="W61" s="369"/>
      <c r="X61" s="369"/>
      <c r="Y61" s="369"/>
    </row>
    <row r="62" spans="1:25" ht="18" customHeight="1" thickTop="1" thickBot="1">
      <c r="A62" s="406"/>
      <c r="B62" s="406"/>
      <c r="C62" s="406"/>
      <c r="D62" s="406"/>
      <c r="E62" s="406"/>
      <c r="F62" s="406"/>
      <c r="G62" s="406"/>
      <c r="H62" s="406"/>
      <c r="I62" s="406"/>
      <c r="J62" s="406"/>
      <c r="K62" s="369"/>
      <c r="L62" s="369"/>
      <c r="M62" s="369"/>
      <c r="N62" s="428" t="s">
        <v>291</v>
      </c>
      <c r="O62" s="432">
        <v>25</v>
      </c>
      <c r="P62" s="430"/>
      <c r="Q62" s="410"/>
      <c r="R62" s="378"/>
      <c r="S62" s="369"/>
      <c r="T62" s="369"/>
      <c r="U62" s="369"/>
      <c r="V62" s="369"/>
      <c r="W62" s="369"/>
      <c r="X62" s="369"/>
      <c r="Y62" s="369"/>
    </row>
    <row r="63" spans="1:25" ht="18" customHeight="1" thickTop="1" thickBot="1">
      <c r="A63" s="406"/>
      <c r="B63" s="406"/>
      <c r="C63" s="406"/>
      <c r="D63" s="406"/>
      <c r="E63" s="406"/>
      <c r="F63" s="406"/>
      <c r="G63" s="406"/>
      <c r="H63" s="406"/>
      <c r="I63" s="406"/>
      <c r="J63" s="406"/>
      <c r="K63" s="369"/>
      <c r="L63" s="369"/>
      <c r="M63" s="369"/>
      <c r="N63" s="428" t="s">
        <v>292</v>
      </c>
      <c r="O63" s="392">
        <v>0.05</v>
      </c>
      <c r="P63" s="430"/>
      <c r="Q63" s="410"/>
      <c r="R63" s="378"/>
      <c r="S63" s="369"/>
      <c r="T63" s="369"/>
      <c r="U63" s="369"/>
      <c r="V63" s="369"/>
      <c r="W63" s="369"/>
      <c r="X63" s="369"/>
      <c r="Y63" s="369"/>
    </row>
    <row r="64" spans="1:25" ht="18" customHeight="1" thickTop="1" thickBot="1">
      <c r="A64" s="406"/>
      <c r="B64" s="406"/>
      <c r="C64" s="406"/>
      <c r="D64" s="406"/>
      <c r="E64" s="406"/>
      <c r="F64" s="406"/>
      <c r="G64" s="406"/>
      <c r="H64" s="406"/>
      <c r="I64" s="406"/>
      <c r="J64" s="406"/>
      <c r="K64" s="369"/>
      <c r="L64" s="369"/>
      <c r="M64" s="369"/>
      <c r="N64" s="428" t="s">
        <v>302</v>
      </c>
      <c r="O64" s="392">
        <v>0.95</v>
      </c>
      <c r="P64" s="430"/>
      <c r="Q64" s="410"/>
      <c r="R64" s="378"/>
      <c r="S64" s="369"/>
      <c r="T64" s="369"/>
      <c r="U64" s="369"/>
      <c r="V64" s="369"/>
      <c r="W64" s="369"/>
      <c r="X64" s="369"/>
      <c r="Y64" s="369"/>
    </row>
    <row r="65" spans="1:25" ht="18" customHeight="1" thickTop="1" thickBot="1">
      <c r="A65" s="406"/>
      <c r="B65" s="406"/>
      <c r="C65" s="406"/>
      <c r="D65" s="406"/>
      <c r="E65" s="406"/>
      <c r="F65" s="406"/>
      <c r="G65" s="406"/>
      <c r="H65" s="406"/>
      <c r="I65" s="406"/>
      <c r="J65" s="406"/>
      <c r="K65" s="369"/>
      <c r="L65" s="369"/>
      <c r="M65" s="369"/>
      <c r="N65" s="428" t="s">
        <v>303</v>
      </c>
      <c r="O65" s="446">
        <v>0.3</v>
      </c>
      <c r="P65" s="430"/>
      <c r="Q65" s="410"/>
      <c r="R65" s="378"/>
      <c r="S65" s="369"/>
      <c r="T65" s="369"/>
      <c r="U65" s="369"/>
      <c r="V65" s="369"/>
      <c r="W65" s="369"/>
      <c r="X65" s="369"/>
      <c r="Y65" s="369"/>
    </row>
    <row r="66" spans="1:25" ht="18" customHeight="1" thickTop="1" thickBot="1">
      <c r="A66" s="406"/>
      <c r="B66" s="406"/>
      <c r="C66" s="406"/>
      <c r="D66" s="406"/>
      <c r="E66" s="406"/>
      <c r="F66" s="406"/>
      <c r="G66" s="406"/>
      <c r="H66" s="406"/>
      <c r="I66" s="406"/>
      <c r="J66" s="406"/>
      <c r="K66" s="369"/>
      <c r="L66" s="369"/>
      <c r="M66" s="369"/>
      <c r="N66" s="428" t="s">
        <v>295</v>
      </c>
      <c r="O66" s="392">
        <v>0.04</v>
      </c>
      <c r="P66" s="430"/>
      <c r="Q66" s="410"/>
      <c r="R66" s="378"/>
      <c r="S66" s="369"/>
      <c r="T66" s="369"/>
      <c r="U66" s="369"/>
      <c r="V66" s="369"/>
      <c r="W66" s="369"/>
      <c r="X66" s="369"/>
      <c r="Y66" s="369"/>
    </row>
    <row r="67" spans="1:25" ht="18" customHeight="1" thickTop="1" thickBot="1">
      <c r="A67" s="406"/>
      <c r="B67" s="406"/>
      <c r="C67" s="406"/>
      <c r="D67" s="406"/>
      <c r="E67" s="406"/>
      <c r="F67" s="406"/>
      <c r="G67" s="406"/>
      <c r="H67" s="406"/>
      <c r="I67" s="406"/>
      <c r="J67" s="406"/>
      <c r="K67" s="369"/>
      <c r="L67" s="369"/>
      <c r="M67" s="369"/>
      <c r="N67" s="428" t="s">
        <v>296</v>
      </c>
      <c r="O67" s="392">
        <v>0.02</v>
      </c>
      <c r="P67" s="430"/>
      <c r="Q67" s="410"/>
      <c r="R67" s="378"/>
      <c r="S67" s="369"/>
      <c r="T67" s="369"/>
      <c r="U67" s="369"/>
      <c r="V67" s="369"/>
      <c r="W67" s="369"/>
      <c r="X67" s="369"/>
      <c r="Y67" s="369"/>
    </row>
    <row r="68" spans="1:25" ht="18" customHeight="1" thickTop="1">
      <c r="A68" s="406"/>
      <c r="B68" s="406"/>
      <c r="C68" s="406"/>
      <c r="D68" s="406"/>
      <c r="E68" s="406"/>
      <c r="F68" s="406"/>
      <c r="G68" s="406"/>
      <c r="H68" s="406"/>
      <c r="I68" s="406"/>
      <c r="J68" s="406"/>
      <c r="K68" s="369"/>
      <c r="L68" s="369"/>
      <c r="M68" s="369"/>
      <c r="N68" s="437" t="s">
        <v>304</v>
      </c>
      <c r="O68" s="438"/>
      <c r="P68" s="439">
        <f>[1]mCFD!BK403</f>
        <v>10118334.079878818</v>
      </c>
      <c r="Q68" s="378"/>
      <c r="R68" s="378"/>
      <c r="S68" s="369"/>
      <c r="T68" s="369"/>
      <c r="U68" s="369"/>
      <c r="V68" s="369"/>
      <c r="W68" s="369"/>
      <c r="X68" s="369"/>
      <c r="Y68" s="369"/>
    </row>
    <row r="69" spans="1:25" ht="18" customHeight="1">
      <c r="A69" s="406"/>
      <c r="B69" s="406"/>
      <c r="C69" s="406"/>
      <c r="D69" s="406"/>
      <c r="E69" s="406"/>
      <c r="F69" s="406"/>
      <c r="G69" s="406"/>
      <c r="H69" s="406"/>
      <c r="I69" s="406"/>
      <c r="J69" s="406"/>
      <c r="K69" s="369"/>
      <c r="L69" s="369"/>
      <c r="M69" s="369"/>
      <c r="N69" s="431" t="s">
        <v>298</v>
      </c>
      <c r="O69" s="447">
        <f>O66+O67</f>
        <v>0.06</v>
      </c>
      <c r="P69" s="441">
        <f>-([1]mCFD!BK403-[1]mCFD!BL403)</f>
        <v>-607100.04479273036</v>
      </c>
      <c r="Q69" s="378"/>
      <c r="R69" s="378"/>
      <c r="S69" s="369"/>
      <c r="T69" s="369"/>
      <c r="U69" s="369"/>
      <c r="V69" s="369"/>
      <c r="W69" s="369"/>
      <c r="X69" s="369"/>
      <c r="Y69" s="369"/>
    </row>
    <row r="70" spans="1:25" ht="18" customHeight="1" thickBot="1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369"/>
      <c r="L70" s="369"/>
      <c r="M70" s="369"/>
      <c r="N70" s="431" t="s">
        <v>299</v>
      </c>
      <c r="O70" s="440">
        <v>0.94</v>
      </c>
      <c r="P70" s="443">
        <f>P68+P69</f>
        <v>9511234.0350860879</v>
      </c>
      <c r="Q70" s="378"/>
      <c r="R70" s="378"/>
      <c r="S70" s="369"/>
      <c r="T70" s="369"/>
      <c r="U70" s="369"/>
      <c r="V70" s="369"/>
      <c r="W70" s="369"/>
      <c r="X70" s="369"/>
      <c r="Y70" s="369"/>
    </row>
    <row r="71" spans="1:25" ht="18" customHeight="1" thickTop="1" thickBot="1">
      <c r="A71" s="406"/>
      <c r="B71" s="406"/>
      <c r="C71" s="406"/>
      <c r="D71" s="406"/>
      <c r="E71" s="406"/>
      <c r="F71" s="406"/>
      <c r="G71" s="406"/>
      <c r="H71" s="406"/>
      <c r="I71" s="406"/>
      <c r="J71" s="406"/>
      <c r="K71" s="369"/>
      <c r="L71" s="369"/>
      <c r="M71" s="369"/>
      <c r="N71" s="444"/>
      <c r="O71" s="448"/>
      <c r="P71" s="449"/>
      <c r="Q71" s="448"/>
      <c r="R71" s="448"/>
      <c r="S71" s="369"/>
      <c r="T71" s="369"/>
      <c r="U71" s="369"/>
      <c r="V71" s="369"/>
      <c r="W71" s="369"/>
      <c r="X71" s="369"/>
      <c r="Y71" s="369"/>
    </row>
    <row r="72" spans="1:25" ht="18" customHeight="1" thickTop="1">
      <c r="A72" s="406"/>
      <c r="B72" s="406"/>
      <c r="C72" s="406"/>
      <c r="D72" s="406"/>
      <c r="E72" s="406"/>
      <c r="F72" s="406"/>
      <c r="G72" s="406"/>
      <c r="H72" s="406"/>
      <c r="I72" s="406"/>
      <c r="J72" s="406"/>
      <c r="K72" s="369"/>
      <c r="L72" s="369"/>
      <c r="M72" s="369"/>
      <c r="N72" s="450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</row>
    <row r="73" spans="1:25" ht="18" customHeight="1">
      <c r="A73" s="406"/>
      <c r="B73" s="406"/>
      <c r="C73" s="406"/>
      <c r="D73" s="406"/>
      <c r="E73" s="406"/>
      <c r="F73" s="406"/>
      <c r="G73" s="406"/>
      <c r="H73" s="406"/>
      <c r="I73" s="406"/>
      <c r="J73" s="406"/>
      <c r="K73" s="369"/>
      <c r="L73" s="369"/>
      <c r="M73" s="369"/>
      <c r="N73" s="450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</row>
    <row r="74" spans="1:25" ht="14">
      <c r="A74" s="406"/>
      <c r="B74" s="406"/>
      <c r="C74" s="406"/>
      <c r="D74" s="406"/>
      <c r="E74" s="406"/>
      <c r="F74" s="406"/>
      <c r="G74" s="406"/>
      <c r="H74" s="406"/>
      <c r="I74" s="406"/>
      <c r="J74" s="406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</row>
    <row r="75" spans="1:25" ht="14">
      <c r="A75" s="406"/>
      <c r="B75" s="406"/>
      <c r="C75" s="406"/>
      <c r="D75" s="406"/>
      <c r="E75" s="406"/>
      <c r="F75" s="406"/>
      <c r="G75" s="406"/>
      <c r="H75" s="406"/>
      <c r="I75" s="406"/>
      <c r="J75" s="406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</row>
    <row r="76" spans="1:25" ht="14">
      <c r="A76" s="406"/>
      <c r="B76" s="406"/>
      <c r="C76" s="406"/>
      <c r="D76" s="406"/>
      <c r="E76" s="406"/>
      <c r="F76" s="406"/>
      <c r="G76" s="406"/>
      <c r="H76" s="406"/>
      <c r="I76" s="406"/>
      <c r="J76" s="406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</row>
    <row r="77" spans="1:25" ht="14">
      <c r="A77" s="406"/>
      <c r="B77" s="406"/>
      <c r="C77" s="406"/>
      <c r="D77" s="406"/>
      <c r="E77" s="406"/>
      <c r="F77" s="406"/>
      <c r="G77" s="406"/>
      <c r="H77" s="406"/>
      <c r="I77" s="406"/>
      <c r="J77" s="406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</row>
    <row r="78" spans="1:25" ht="14">
      <c r="A78" s="406"/>
      <c r="B78" s="406"/>
      <c r="C78" s="406"/>
      <c r="D78" s="406"/>
      <c r="E78" s="406"/>
      <c r="F78" s="406"/>
      <c r="G78" s="406"/>
      <c r="H78" s="406"/>
      <c r="I78" s="406"/>
      <c r="J78" s="406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</row>
    <row r="79" spans="1:25" ht="14">
      <c r="A79" s="406"/>
      <c r="B79" s="406"/>
      <c r="C79" s="406"/>
      <c r="D79" s="406"/>
      <c r="E79" s="406"/>
      <c r="F79" s="406"/>
      <c r="G79" s="406"/>
      <c r="H79" s="406"/>
      <c r="I79" s="406"/>
      <c r="J79" s="406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</row>
  </sheetData>
  <mergeCells count="6">
    <mergeCell ref="P7:P8"/>
    <mergeCell ref="D7:D8"/>
    <mergeCell ref="E7:E8"/>
    <mergeCell ref="F7:F8"/>
    <mergeCell ref="N7:N8"/>
    <mergeCell ref="O7:O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EC0E-4F82-44BD-9160-5B3E1856C27E}">
  <sheetPr codeName="Sheet21">
    <tabColor rgb="FFFF0000"/>
  </sheetPr>
  <dimension ref="A1:BU403"/>
  <sheetViews>
    <sheetView workbookViewId="0"/>
  </sheetViews>
  <sheetFormatPr baseColWidth="10" defaultColWidth="6.6640625" defaultRowHeight="13.5" customHeight="1" outlineLevelRow="2"/>
  <cols>
    <col min="1" max="1" width="1.33203125" style="360" customWidth="1"/>
    <col min="2" max="2" width="11.83203125" style="360" customWidth="1"/>
    <col min="3" max="3" width="3.1640625" style="360" customWidth="1"/>
    <col min="4" max="4" width="2" style="360" customWidth="1"/>
    <col min="5" max="5" width="6.1640625" style="360" customWidth="1"/>
    <col min="6" max="6" width="4" style="360" bestFit="1" customWidth="1"/>
    <col min="7" max="7" width="3.1640625" style="360" customWidth="1"/>
    <col min="8" max="8" width="7.5" style="360" bestFit="1" customWidth="1"/>
    <col min="9" max="9" width="5.5" style="360" customWidth="1"/>
    <col min="10" max="10" width="2" style="360" customWidth="1"/>
    <col min="11" max="12" width="5" style="360" customWidth="1"/>
    <col min="13" max="13" width="7.5" style="360" bestFit="1" customWidth="1"/>
    <col min="14" max="15" width="10.5" style="360" bestFit="1" customWidth="1"/>
    <col min="16" max="16" width="7.5" style="360" bestFit="1" customWidth="1"/>
    <col min="17" max="18" width="10.5" style="360" bestFit="1" customWidth="1"/>
    <col min="19" max="37" width="6.6640625" style="360"/>
    <col min="38" max="38" width="7" style="360" bestFit="1" customWidth="1"/>
    <col min="39" max="39" width="10" style="360" bestFit="1" customWidth="1"/>
    <col min="40" max="44" width="6.6640625" style="360"/>
    <col min="45" max="45" width="8.5" style="360" bestFit="1" customWidth="1"/>
    <col min="46" max="46" width="7.33203125" style="360" bestFit="1" customWidth="1"/>
    <col min="47" max="47" width="8" style="360" bestFit="1" customWidth="1"/>
    <col min="48" max="48" width="9" style="360" customWidth="1"/>
    <col min="49" max="53" width="6.6640625" style="360"/>
    <col min="54" max="54" width="8.5" style="360" customWidth="1"/>
    <col min="55" max="55" width="6.6640625" style="360"/>
    <col min="56" max="59" width="6.83203125" style="360" bestFit="1" customWidth="1"/>
    <col min="60" max="60" width="6.6640625" style="360"/>
    <col min="61" max="61" width="8.83203125" style="360" bestFit="1" customWidth="1"/>
    <col min="62" max="62" width="8.5" style="360" customWidth="1"/>
    <col min="63" max="63" width="11.83203125" style="360" bestFit="1" customWidth="1"/>
    <col min="64" max="64" width="10" style="360" bestFit="1" customWidth="1"/>
    <col min="65" max="67" width="6.6640625" style="360"/>
    <col min="68" max="69" width="6.83203125" style="360" bestFit="1" customWidth="1"/>
    <col min="70" max="70" width="7.6640625" style="360" customWidth="1"/>
    <col min="71" max="71" width="6.6640625" style="360"/>
    <col min="72" max="72" width="7.5" style="360" customWidth="1"/>
    <col min="73" max="16384" width="6.6640625" style="360"/>
  </cols>
  <sheetData>
    <row r="1" spans="1:73" ht="17" thickBot="1">
      <c r="A1" s="451"/>
      <c r="B1" s="452"/>
      <c r="C1" s="366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  <c r="AK1" s="452"/>
      <c r="AL1" s="452"/>
      <c r="AM1" s="452"/>
      <c r="AN1" s="452"/>
      <c r="AO1" s="452"/>
      <c r="AP1" s="452"/>
      <c r="AQ1" s="452"/>
      <c r="AR1" s="452"/>
      <c r="AS1" s="452"/>
      <c r="AT1" s="452"/>
      <c r="AU1" s="452"/>
      <c r="AV1" s="452"/>
      <c r="AW1" s="452"/>
      <c r="AX1" s="452"/>
      <c r="AY1" s="452"/>
      <c r="AZ1" s="452"/>
      <c r="BA1" s="452"/>
      <c r="BB1" s="452"/>
      <c r="BC1" s="452"/>
      <c r="BD1" s="452"/>
      <c r="BE1" s="452"/>
      <c r="BF1" s="452"/>
      <c r="BG1" s="452"/>
      <c r="BH1" s="452"/>
      <c r="BI1" s="452"/>
      <c r="BJ1" s="452"/>
      <c r="BK1" s="452"/>
      <c r="BL1" s="452"/>
      <c r="BM1" s="452"/>
      <c r="BN1" s="452"/>
      <c r="BO1" s="452"/>
      <c r="BP1" s="452"/>
      <c r="BQ1" s="452"/>
      <c r="BR1" s="452"/>
      <c r="BS1" s="452"/>
      <c r="BT1" s="452"/>
      <c r="BU1" s="452"/>
    </row>
    <row r="2" spans="1:73" ht="18" thickTop="1" thickBot="1">
      <c r="A2" s="451"/>
      <c r="B2" s="453" t="s">
        <v>102</v>
      </c>
      <c r="C2" s="366"/>
      <c r="D2" s="454"/>
      <c r="E2" s="455"/>
      <c r="F2" s="455"/>
      <c r="G2" s="455"/>
      <c r="H2" s="455"/>
      <c r="I2" s="455"/>
      <c r="K2" s="456"/>
      <c r="L2" s="456"/>
      <c r="M2" s="456"/>
      <c r="N2" s="456"/>
      <c r="O2" s="456"/>
      <c r="P2" s="456"/>
      <c r="Q2" s="457"/>
      <c r="R2" s="457"/>
      <c r="T2" s="456"/>
      <c r="U2" s="456"/>
      <c r="V2" s="456"/>
      <c r="W2" s="456"/>
      <c r="X2" s="456"/>
      <c r="Y2" s="456"/>
      <c r="AA2" s="456"/>
      <c r="AB2" s="456"/>
      <c r="AC2" s="456"/>
      <c r="AD2" s="456"/>
      <c r="AE2" s="456"/>
      <c r="AF2" s="456"/>
      <c r="AH2" s="456"/>
      <c r="AI2" s="456"/>
      <c r="AJ2" s="456"/>
      <c r="AK2" s="456"/>
      <c r="AL2" s="456"/>
      <c r="AM2" s="456"/>
      <c r="AN2" s="456"/>
      <c r="AO2" s="458"/>
      <c r="AP2" s="458"/>
      <c r="AQ2" s="458"/>
      <c r="AR2" s="459"/>
      <c r="AS2" s="456"/>
      <c r="AT2" s="456"/>
      <c r="AU2" s="456"/>
      <c r="AV2" s="456"/>
      <c r="AW2" s="456"/>
      <c r="AX2" s="456"/>
      <c r="AY2" s="460"/>
      <c r="AZ2" s="460"/>
      <c r="BA2" s="461" t="s">
        <v>305</v>
      </c>
      <c r="BB2" s="456"/>
      <c r="BC2" s="456"/>
      <c r="BD2" s="456"/>
      <c r="BE2" s="456"/>
      <c r="BF2" s="456"/>
      <c r="BG2" s="456"/>
      <c r="BH2" s="456"/>
      <c r="BI2" s="456"/>
      <c r="BJ2" s="456"/>
      <c r="BK2" s="456"/>
      <c r="BL2" s="456"/>
      <c r="BP2" s="456"/>
      <c r="BQ2" s="456"/>
      <c r="BR2" s="456"/>
      <c r="BS2" s="456"/>
      <c r="BT2" s="456"/>
      <c r="BU2" s="456"/>
    </row>
    <row r="3" spans="1:73" ht="17" thickTop="1">
      <c r="A3" s="462"/>
      <c r="B3" s="462"/>
      <c r="C3" s="463"/>
      <c r="D3" s="464"/>
      <c r="E3" s="465" t="s">
        <v>306</v>
      </c>
      <c r="F3" s="466"/>
      <c r="G3" s="466"/>
      <c r="H3" s="466"/>
      <c r="I3" s="466"/>
      <c r="K3" s="467" t="s">
        <v>307</v>
      </c>
      <c r="L3" s="467"/>
      <c r="M3" s="468"/>
      <c r="N3" s="468"/>
      <c r="O3" s="468"/>
      <c r="P3" s="468"/>
      <c r="Q3" s="468"/>
      <c r="R3" s="468"/>
      <c r="T3" s="467" t="s">
        <v>85</v>
      </c>
      <c r="U3" s="467"/>
      <c r="V3" s="468"/>
      <c r="W3" s="468"/>
      <c r="X3" s="468"/>
      <c r="Y3" s="468"/>
      <c r="AA3" s="467" t="s">
        <v>308</v>
      </c>
      <c r="AB3" s="467"/>
      <c r="AC3" s="468"/>
      <c r="AD3" s="468"/>
      <c r="AE3" s="468"/>
      <c r="AF3" s="468"/>
      <c r="AH3" s="469" t="s">
        <v>309</v>
      </c>
      <c r="AI3" s="469"/>
      <c r="AJ3" s="470"/>
      <c r="AK3" s="470"/>
      <c r="AL3" s="470"/>
      <c r="AM3" s="470"/>
      <c r="AN3" s="456"/>
      <c r="AO3" s="650" t="s">
        <v>310</v>
      </c>
      <c r="AP3" s="650"/>
      <c r="AQ3" s="650"/>
      <c r="AR3" s="471"/>
      <c r="AS3" s="469" t="s">
        <v>311</v>
      </c>
      <c r="AT3" s="469"/>
      <c r="AU3" s="470"/>
      <c r="AV3" s="470"/>
      <c r="AW3" s="470"/>
      <c r="AX3" s="456"/>
      <c r="AY3" s="472"/>
      <c r="AZ3" s="472"/>
      <c r="BA3" s="469"/>
      <c r="BB3" s="469" t="s">
        <v>312</v>
      </c>
      <c r="BC3" s="456"/>
      <c r="BD3" s="473" t="s">
        <v>313</v>
      </c>
      <c r="BE3" s="474"/>
      <c r="BF3" s="474"/>
      <c r="BG3" s="474"/>
      <c r="BH3" s="456"/>
      <c r="BI3" s="475" t="s">
        <v>288</v>
      </c>
      <c r="BJ3" s="475"/>
      <c r="BK3" s="475" t="s">
        <v>288</v>
      </c>
      <c r="BL3" s="456"/>
      <c r="BP3" s="476" t="s">
        <v>314</v>
      </c>
      <c r="BQ3" s="476"/>
      <c r="BR3" s="477"/>
      <c r="BS3" s="477"/>
      <c r="BT3" s="477"/>
      <c r="BU3" s="477"/>
    </row>
    <row r="4" spans="1:73" ht="16">
      <c r="A4" s="451"/>
      <c r="B4" s="462"/>
      <c r="C4" s="478"/>
      <c r="D4" s="454"/>
      <c r="E4" s="479" t="s">
        <v>315</v>
      </c>
      <c r="F4" s="466"/>
      <c r="G4" s="466"/>
      <c r="H4" s="479"/>
      <c r="I4" s="466"/>
      <c r="K4" s="480"/>
      <c r="L4" s="481"/>
      <c r="M4" s="482" t="s">
        <v>316</v>
      </c>
      <c r="N4" s="483"/>
      <c r="O4" s="484"/>
      <c r="P4" s="482" t="s">
        <v>317</v>
      </c>
      <c r="Q4" s="483"/>
      <c r="R4" s="483"/>
      <c r="S4" s="485"/>
      <c r="T4" s="486"/>
      <c r="U4" s="486"/>
      <c r="V4" s="651" t="s">
        <v>318</v>
      </c>
      <c r="W4" s="651"/>
      <c r="X4" s="649" t="s">
        <v>317</v>
      </c>
      <c r="Y4" s="649"/>
      <c r="AA4" s="486"/>
      <c r="AB4" s="486"/>
      <c r="AC4" s="651" t="s">
        <v>319</v>
      </c>
      <c r="AD4" s="651"/>
      <c r="AE4" s="649" t="s">
        <v>317</v>
      </c>
      <c r="AF4" s="649"/>
      <c r="AG4" s="485"/>
      <c r="AH4" s="486"/>
      <c r="AI4" s="486"/>
      <c r="AJ4" s="649" t="s">
        <v>318</v>
      </c>
      <c r="AK4" s="649"/>
      <c r="AL4" s="649" t="s">
        <v>317</v>
      </c>
      <c r="AM4" s="649"/>
      <c r="AN4" s="487"/>
      <c r="AO4" s="650" t="s">
        <v>320</v>
      </c>
      <c r="AP4" s="650"/>
      <c r="AQ4" s="650"/>
      <c r="AR4" s="471"/>
      <c r="AS4" s="649" t="s">
        <v>321</v>
      </c>
      <c r="AT4" s="649"/>
      <c r="AU4" s="649"/>
      <c r="AV4" s="488" t="s">
        <v>322</v>
      </c>
      <c r="AW4" s="475" t="s">
        <v>323</v>
      </c>
      <c r="AX4" s="487"/>
      <c r="AY4" s="475" t="s">
        <v>324</v>
      </c>
      <c r="AZ4" s="475" t="s">
        <v>325</v>
      </c>
      <c r="BA4" s="475" t="s">
        <v>326</v>
      </c>
      <c r="BB4" s="475" t="s">
        <v>322</v>
      </c>
      <c r="BC4" s="487"/>
      <c r="BD4" s="473" t="s">
        <v>327</v>
      </c>
      <c r="BE4" s="489"/>
      <c r="BF4" s="489"/>
      <c r="BG4" s="490" t="s">
        <v>328</v>
      </c>
      <c r="BH4" s="491"/>
      <c r="BI4" s="475" t="s">
        <v>329</v>
      </c>
      <c r="BJ4" s="475" t="s">
        <v>329</v>
      </c>
      <c r="BK4" s="475" t="s">
        <v>330</v>
      </c>
      <c r="BL4" s="487"/>
      <c r="BM4" s="485"/>
      <c r="BN4" s="485"/>
      <c r="BP4" s="492" t="s">
        <v>331</v>
      </c>
      <c r="BQ4" s="492"/>
      <c r="BR4" s="493" t="s">
        <v>332</v>
      </c>
      <c r="BS4" s="494" t="s">
        <v>333</v>
      </c>
      <c r="BT4" s="495" t="s">
        <v>142</v>
      </c>
      <c r="BU4" s="494"/>
    </row>
    <row r="5" spans="1:73" ht="30" thickBot="1">
      <c r="A5" s="462"/>
      <c r="B5" s="462"/>
      <c r="C5" s="463"/>
      <c r="D5" s="454"/>
      <c r="E5" s="466"/>
      <c r="F5" s="466"/>
      <c r="G5" s="466"/>
      <c r="H5" s="466"/>
      <c r="I5" s="466"/>
      <c r="K5" s="496" t="s">
        <v>334</v>
      </c>
      <c r="L5" s="497" t="s">
        <v>322</v>
      </c>
      <c r="M5" s="498" t="s">
        <v>5</v>
      </c>
      <c r="N5" s="499" t="s">
        <v>335</v>
      </c>
      <c r="O5" s="500" t="s">
        <v>322</v>
      </c>
      <c r="P5" s="498" t="s">
        <v>336</v>
      </c>
      <c r="Q5" s="499" t="s">
        <v>337</v>
      </c>
      <c r="R5" s="499" t="s">
        <v>322</v>
      </c>
      <c r="S5" s="485"/>
      <c r="T5" s="486" t="s">
        <v>338</v>
      </c>
      <c r="U5" s="486" t="s">
        <v>322</v>
      </c>
      <c r="V5" s="499" t="s">
        <v>339</v>
      </c>
      <c r="W5" s="501" t="s">
        <v>336</v>
      </c>
      <c r="X5" s="475" t="str">
        <f>V5</f>
        <v>Static</v>
      </c>
      <c r="Y5" s="475" t="str">
        <f>W5</f>
        <v>Inflated</v>
      </c>
      <c r="AA5" s="486" t="s">
        <v>340</v>
      </c>
      <c r="AB5" s="486" t="str">
        <f>L5</f>
        <v>Cume</v>
      </c>
      <c r="AC5" s="499" t="str">
        <f>M5</f>
        <v>Price</v>
      </c>
      <c r="AD5" s="499" t="str">
        <f>P5</f>
        <v>Inflated</v>
      </c>
      <c r="AE5" s="499" t="str">
        <f>Q5</f>
        <v>Period</v>
      </c>
      <c r="AF5" s="499" t="str">
        <f>R5</f>
        <v>Cume</v>
      </c>
      <c r="AG5" s="485"/>
      <c r="AH5" s="486" t="s">
        <v>338</v>
      </c>
      <c r="AI5" s="486" t="s">
        <v>322</v>
      </c>
      <c r="AJ5" s="499" t="s">
        <v>339</v>
      </c>
      <c r="AK5" s="501" t="s">
        <v>336</v>
      </c>
      <c r="AL5" s="475" t="str">
        <f>AJ5</f>
        <v>Static</v>
      </c>
      <c r="AM5" s="475" t="str">
        <f>AK5</f>
        <v>Inflated</v>
      </c>
      <c r="AN5" s="502"/>
      <c r="AO5" s="650" t="s">
        <v>341</v>
      </c>
      <c r="AP5" s="650"/>
      <c r="AQ5" s="650"/>
      <c r="AR5" s="471"/>
      <c r="AS5" s="475" t="s">
        <v>342</v>
      </c>
      <c r="AT5" s="475" t="s">
        <v>343</v>
      </c>
      <c r="AU5" s="475" t="s">
        <v>280</v>
      </c>
      <c r="AV5" s="475" t="s">
        <v>344</v>
      </c>
      <c r="AW5" s="475" t="s">
        <v>345</v>
      </c>
      <c r="AX5" s="491"/>
      <c r="AY5" s="475" t="s">
        <v>11</v>
      </c>
      <c r="AZ5" s="475" t="s">
        <v>346</v>
      </c>
      <c r="BA5" s="475" t="s">
        <v>347</v>
      </c>
      <c r="BB5" s="475" t="s">
        <v>348</v>
      </c>
      <c r="BC5" s="503"/>
      <c r="BD5" s="504" t="s">
        <v>322</v>
      </c>
      <c r="BE5" s="490" t="s">
        <v>349</v>
      </c>
      <c r="BF5" s="490" t="s">
        <v>303</v>
      </c>
      <c r="BG5" s="490" t="s">
        <v>350</v>
      </c>
      <c r="BH5" s="491"/>
      <c r="BI5" s="475" t="s">
        <v>351</v>
      </c>
      <c r="BJ5" s="475" t="s">
        <v>225</v>
      </c>
      <c r="BK5" s="475" t="s">
        <v>352</v>
      </c>
      <c r="BL5" s="475" t="s">
        <v>353</v>
      </c>
      <c r="BM5" s="485"/>
      <c r="BN5" s="485"/>
      <c r="BP5" s="492" t="s">
        <v>337</v>
      </c>
      <c r="BQ5" s="492" t="s">
        <v>322</v>
      </c>
      <c r="BR5" s="505">
        <v>6500</v>
      </c>
      <c r="BS5" s="506">
        <f>1-[1]i.Finance!O58</f>
        <v>0.21499999999999997</v>
      </c>
      <c r="BT5" s="506" t="s">
        <v>225</v>
      </c>
      <c r="BU5" s="495"/>
    </row>
    <row r="6" spans="1:73" ht="18" thickTop="1" thickBot="1">
      <c r="A6" s="463"/>
      <c r="B6" s="507" t="s">
        <v>354</v>
      </c>
      <c r="C6" s="463"/>
      <c r="D6" s="508"/>
      <c r="E6" s="509" t="s">
        <v>70</v>
      </c>
      <c r="F6" s="510" t="s">
        <v>71</v>
      </c>
      <c r="G6" s="510" t="s">
        <v>72</v>
      </c>
      <c r="H6" s="511" t="str">
        <f>E6</f>
        <v>Mo</v>
      </c>
      <c r="I6" s="512" t="s">
        <v>355</v>
      </c>
      <c r="K6" s="513"/>
      <c r="L6" s="513"/>
      <c r="M6" s="514">
        <f>i_HousePrice.Start</f>
        <v>295000</v>
      </c>
      <c r="N6" s="514">
        <f>SUM(N7:N366)</f>
        <v>280250000</v>
      </c>
      <c r="O6" s="514"/>
      <c r="P6" s="514">
        <f>i_HousePrice.Start</f>
        <v>295000</v>
      </c>
      <c r="Q6" s="515">
        <f>MAX(Q7:Q366)</f>
        <v>8889024.6618805062</v>
      </c>
      <c r="R6" s="515">
        <f>MAX(R7:R366)</f>
        <v>296355280.38883054</v>
      </c>
      <c r="T6" s="512"/>
      <c r="U6" s="512"/>
      <c r="V6" s="516"/>
      <c r="W6" s="516"/>
      <c r="X6" s="515"/>
      <c r="Y6" s="515"/>
      <c r="AA6" s="512"/>
      <c r="AB6" s="512"/>
      <c r="AC6" s="516"/>
      <c r="AD6" s="516"/>
      <c r="AE6" s="515"/>
      <c r="AF6" s="515"/>
      <c r="AH6" s="516"/>
      <c r="AI6" s="517">
        <f>MAX(AI7:AI366)</f>
        <v>950</v>
      </c>
      <c r="AJ6" s="516">
        <f>i_HousePrice.Start</f>
        <v>295000</v>
      </c>
      <c r="AK6" s="516">
        <f>MAX(AK7:AK366)</f>
        <v>333132.64587652992</v>
      </c>
      <c r="AL6" s="516"/>
      <c r="AM6" s="516"/>
      <c r="AN6" s="518"/>
      <c r="AO6" s="519" t="e">
        <f>#REF!</f>
        <v>#REF!</v>
      </c>
      <c r="AP6" s="519" t="e">
        <f>#REF!</f>
        <v>#REF!</v>
      </c>
      <c r="AQ6" s="519" t="e">
        <f>#REF!</f>
        <v>#REF!</v>
      </c>
      <c r="AR6" s="520" t="e">
        <f>MAX(AR7:AR366)</f>
        <v>#REF!</v>
      </c>
      <c r="AS6" s="521" t="e">
        <f>MAX(AS7:AS366)</f>
        <v>#REF!</v>
      </c>
      <c r="AT6" s="522" t="s">
        <v>356</v>
      </c>
      <c r="AU6" s="522" t="s">
        <v>356</v>
      </c>
      <c r="AV6" s="521" t="e">
        <f>MAX(AV7:AV366)</f>
        <v>#REF!</v>
      </c>
      <c r="AW6" s="523" t="e">
        <f>MAX(AW7:AW366)</f>
        <v>#REF!</v>
      </c>
      <c r="AX6" s="518"/>
      <c r="AY6" s="524">
        <f>i_CFD.AV.Inflation</f>
        <v>0.02</v>
      </c>
      <c r="AZ6" s="525"/>
      <c r="BA6" s="515">
        <f>[1]i.Finance!O29</f>
        <v>0</v>
      </c>
      <c r="BB6" s="515"/>
      <c r="BC6" s="526"/>
      <c r="BD6" s="515">
        <v>59826.722228495157</v>
      </c>
      <c r="BE6" s="515"/>
      <c r="BF6" s="515"/>
      <c r="BG6" s="527"/>
      <c r="BH6" s="518"/>
      <c r="BI6" s="515" t="s">
        <v>139</v>
      </c>
      <c r="BJ6" s="515"/>
      <c r="BK6" s="515"/>
      <c r="BL6" s="515"/>
      <c r="BP6" s="517"/>
      <c r="BQ6" s="517"/>
      <c r="BR6" s="528"/>
      <c r="BS6" s="517"/>
      <c r="BT6" s="517"/>
      <c r="BU6" s="516"/>
    </row>
    <row r="7" spans="1:73" ht="21" outlineLevel="1" thickTop="1" thickBot="1">
      <c r="A7" s="462"/>
      <c r="B7" s="529" t="s">
        <v>357</v>
      </c>
      <c r="C7" s="463"/>
      <c r="D7" s="508"/>
      <c r="E7" s="530">
        <v>1</v>
      </c>
      <c r="F7" s="530">
        <f>INT(INT(E7+2)/3)</f>
        <v>1</v>
      </c>
      <c r="G7" s="530">
        <f>MIN(INT(YEARFRAC(H$7,EDATE(H7,12),3)))</f>
        <v>1</v>
      </c>
      <c r="H7" s="531">
        <v>43831</v>
      </c>
      <c r="I7" s="532">
        <f t="shared" ref="I7:I70" si="0">YEAR(H7)</f>
        <v>2020</v>
      </c>
      <c r="K7" s="530">
        <f>[1]mProject!KB11</f>
        <v>0</v>
      </c>
      <c r="L7" s="530">
        <f t="shared" ref="L7:L70" si="1">+K7+L6</f>
        <v>0</v>
      </c>
      <c r="M7" s="530">
        <f t="shared" ref="M7:M70" si="2">M6</f>
        <v>295000</v>
      </c>
      <c r="N7" s="530">
        <f t="shared" ref="N7:N70" si="3">M7*K7</f>
        <v>0</v>
      </c>
      <c r="O7" s="530">
        <f>N7</f>
        <v>0</v>
      </c>
      <c r="P7" s="530">
        <f>[1]mProject!W11</f>
        <v>295000</v>
      </c>
      <c r="Q7" s="530">
        <f t="shared" ref="Q7:Q70" si="4">P7*K7</f>
        <v>0</v>
      </c>
      <c r="R7" s="530">
        <f>Q7</f>
        <v>0</v>
      </c>
      <c r="T7" s="530">
        <v>0</v>
      </c>
      <c r="U7" s="530">
        <f t="shared" ref="U7:U70" si="5">+T7+U6</f>
        <v>0</v>
      </c>
      <c r="V7" s="530">
        <v>0</v>
      </c>
      <c r="W7" s="530">
        <v>0</v>
      </c>
      <c r="X7" s="530">
        <f t="shared" ref="X7:X70" si="6">W7*T7</f>
        <v>0</v>
      </c>
      <c r="Y7" s="530">
        <f t="shared" ref="Y7:Y70" si="7">T7*V7</f>
        <v>0</v>
      </c>
      <c r="AA7" s="530">
        <v>0</v>
      </c>
      <c r="AB7" s="530">
        <f t="shared" ref="AB7:AB70" si="8">+AA7+AB6</f>
        <v>0</v>
      </c>
      <c r="AC7" s="530">
        <v>0</v>
      </c>
      <c r="AD7" s="530">
        <v>0</v>
      </c>
      <c r="AE7" s="530">
        <f t="shared" ref="AE7:AE70" si="9">AD7*AA7</f>
        <v>0</v>
      </c>
      <c r="AF7" s="530">
        <f t="shared" ref="AF7:AF70" si="10">AA7*AC7</f>
        <v>0</v>
      </c>
      <c r="AH7" s="530">
        <f t="shared" ref="AH7:AH70" si="11">+K7+T7+AA7</f>
        <v>0</v>
      </c>
      <c r="AI7" s="530">
        <f>+AH7</f>
        <v>0</v>
      </c>
      <c r="AJ7" s="533">
        <f t="shared" ref="AJ7:AJ70" si="12">IF(K7+T7+AA7=0,0,(K7*M7+T7*V7+AA7*AC7)/(K7+T7+AA7))</f>
        <v>0</v>
      </c>
      <c r="AK7" s="530">
        <f>AJ7*[1]mProject!V11</f>
        <v>0</v>
      </c>
      <c r="AL7" s="530">
        <f t="shared" ref="AL7:AL70" si="13">N7+X7+AE7</f>
        <v>0</v>
      </c>
      <c r="AM7" s="530">
        <f t="shared" ref="AM7:AM70" si="14">Q7</f>
        <v>0</v>
      </c>
      <c r="AN7" s="534"/>
      <c r="AO7" s="535">
        <v>0</v>
      </c>
      <c r="AP7" s="535"/>
      <c r="AQ7" s="535"/>
      <c r="AR7" s="536"/>
      <c r="AS7" s="530"/>
      <c r="AT7" s="530"/>
      <c r="AU7" s="530"/>
      <c r="AV7" s="530">
        <f t="shared" ref="AV7:AV70" si="15">SUM(AS7:AU7)</f>
        <v>0</v>
      </c>
      <c r="AW7" s="530" t="e">
        <f>AI7*#REF!+AI6*#REF!</f>
        <v>#REF!</v>
      </c>
      <c r="AX7" s="537"/>
      <c r="AY7" s="538">
        <f>1+(i_CFD.AV.Inflation/12)</f>
        <v>1.0016666666666667</v>
      </c>
      <c r="AZ7" s="530">
        <f t="shared" ref="AZ7" si="16">(Q7*i_CFD.FullCashRatio*i_CFD.ResiAssesRatio)+(AU7*i_CFD.FullCashRatio*i_CFD.CommeAssesRatio)*AY7</f>
        <v>0</v>
      </c>
      <c r="BA7" s="530">
        <f>BA6*[1]mProject!V11</f>
        <v>0</v>
      </c>
      <c r="BB7" s="530">
        <f t="shared" ref="BB7" si="17">((AS7+AT7)*i_CFD.FullCashRatio*i_CFD.ResiAssesRatio)+(AU7*i_CFD.FullCashRatio*i_CFD.CommeAssesRatio)*AY7</f>
        <v>0</v>
      </c>
      <c r="BC7" s="539"/>
      <c r="BD7" s="530" cm="1">
        <f t="array" ref="BD7">((BB7/100)*(i_CFD.ObliRate/12))*[1]i.Finance!$O$64</f>
        <v>0</v>
      </c>
      <c r="BE7" s="530">
        <f>(AZ7/100*[1]i.Finance!$O$61)*[1]i.Finance!$O$64</f>
        <v>0</v>
      </c>
      <c r="BF7" s="533">
        <f>(AZ7/100*[1]i.Finance!$O$65)</f>
        <v>0</v>
      </c>
      <c r="BG7" s="540">
        <f t="shared" ref="BG7:BG70" si="18">BD7+BF7</f>
        <v>0</v>
      </c>
      <c r="BH7" s="534"/>
      <c r="BI7" s="530">
        <f>-PV([1]i.Finance!$O$63/12,[1]i.Finance!$O$62*12,mCFD!BG7)</f>
        <v>0</v>
      </c>
      <c r="BJ7" s="530">
        <f>BI7*[1]i.Finance!$O$58</f>
        <v>0</v>
      </c>
      <c r="BK7" s="530"/>
      <c r="BL7" s="530"/>
      <c r="BP7" s="530"/>
      <c r="BQ7" s="530"/>
      <c r="BR7" s="530" t="e">
        <f t="shared" ref="BR7:BR70" si="19">LOOKUP(H7,cv_Dates,cv_Lots.Sold)*$BR$5</f>
        <v>#NAME?</v>
      </c>
      <c r="BS7" s="530" t="e">
        <f t="shared" ref="BS7:BS70" si="20">BR7*-$BS$5</f>
        <v>#NAME?</v>
      </c>
      <c r="BT7" s="530" t="e">
        <f t="shared" ref="BT7:BT70" si="21">BR7+BS7</f>
        <v>#NAME?</v>
      </c>
      <c r="BU7" s="530"/>
    </row>
    <row r="8" spans="1:73" ht="21" outlineLevel="1" thickTop="1" thickBot="1">
      <c r="A8" s="462"/>
      <c r="B8" s="529" t="s">
        <v>185</v>
      </c>
      <c r="C8" s="463"/>
      <c r="D8" s="454"/>
      <c r="E8" s="533">
        <f>E7+1</f>
        <v>2</v>
      </c>
      <c r="F8" s="533">
        <f t="shared" ref="F8:F71" si="22">INT(INT(E8+2)/3)</f>
        <v>1</v>
      </c>
      <c r="G8" s="533">
        <f t="shared" ref="G8:G71" si="23">MIN(INT(YEARFRAC(H$7,EDATE(H8,12),3)))</f>
        <v>1</v>
      </c>
      <c r="H8" s="541">
        <f t="shared" ref="H8:H71" si="24">EOMONTH(H7,1)</f>
        <v>43890</v>
      </c>
      <c r="I8" s="542">
        <f t="shared" si="0"/>
        <v>2020</v>
      </c>
      <c r="K8" s="533">
        <f>[1]mProject!KB12</f>
        <v>0</v>
      </c>
      <c r="L8" s="533">
        <f t="shared" si="1"/>
        <v>0</v>
      </c>
      <c r="M8" s="533">
        <f t="shared" si="2"/>
        <v>295000</v>
      </c>
      <c r="N8" s="533">
        <f t="shared" si="3"/>
        <v>0</v>
      </c>
      <c r="O8" s="533">
        <f t="shared" ref="O8:O71" si="25">O7+N8</f>
        <v>0</v>
      </c>
      <c r="P8" s="533">
        <f>[1]mProject!W12</f>
        <v>295000</v>
      </c>
      <c r="Q8" s="533">
        <f t="shared" si="4"/>
        <v>0</v>
      </c>
      <c r="R8" s="533">
        <f t="shared" ref="R8:R71" si="26">R7+Q8</f>
        <v>0</v>
      </c>
      <c r="T8" s="533">
        <v>0</v>
      </c>
      <c r="U8" s="533">
        <f t="shared" si="5"/>
        <v>0</v>
      </c>
      <c r="V8" s="533">
        <f>IF(T8=0,0,$V$7*(1+#REF!)^#REF!)</f>
        <v>0</v>
      </c>
      <c r="W8" s="533">
        <f t="shared" ref="W8:W71" si="27">IF(T8=0,0,$V$7)</f>
        <v>0</v>
      </c>
      <c r="X8" s="533">
        <f t="shared" si="6"/>
        <v>0</v>
      </c>
      <c r="Y8" s="533">
        <f t="shared" si="7"/>
        <v>0</v>
      </c>
      <c r="AA8" s="533">
        <v>0</v>
      </c>
      <c r="AB8" s="533">
        <f t="shared" si="8"/>
        <v>0</v>
      </c>
      <c r="AC8" s="533">
        <f>IF(AA8=0,0,$V$7*(1+#REF!)^#REF!)</f>
        <v>0</v>
      </c>
      <c r="AD8" s="533">
        <f t="shared" ref="AD8:AD71" si="28">IF(AA8=0,0,$V$7)</f>
        <v>0</v>
      </c>
      <c r="AE8" s="533">
        <f t="shared" si="9"/>
        <v>0</v>
      </c>
      <c r="AF8" s="533">
        <f t="shared" si="10"/>
        <v>0</v>
      </c>
      <c r="AH8" s="533">
        <f t="shared" si="11"/>
        <v>0</v>
      </c>
      <c r="AI8" s="533">
        <f t="shared" ref="AI8:AI71" si="29">+AH8+AI7</f>
        <v>0</v>
      </c>
      <c r="AJ8" s="533">
        <f t="shared" si="12"/>
        <v>0</v>
      </c>
      <c r="AK8" s="533">
        <f>AJ8*[1]mProject!V12</f>
        <v>0</v>
      </c>
      <c r="AL8" s="533">
        <f t="shared" si="13"/>
        <v>0</v>
      </c>
      <c r="AM8" s="533">
        <f t="shared" si="14"/>
        <v>0</v>
      </c>
      <c r="AN8" s="534"/>
      <c r="AO8" s="543" t="e">
        <f t="shared" ref="AO8:AO18" si="30">Q8*$AO$6</f>
        <v>#REF!</v>
      </c>
      <c r="AP8" s="543"/>
      <c r="AQ8" s="543"/>
      <c r="AR8" s="544"/>
      <c r="AS8" s="533"/>
      <c r="AT8" s="533"/>
      <c r="AU8" s="533"/>
      <c r="AV8" s="533">
        <f t="shared" si="15"/>
        <v>0</v>
      </c>
      <c r="AW8" s="533" t="e">
        <f>AI8*#REF!+AI7*#REF!</f>
        <v>#REF!</v>
      </c>
      <c r="AX8" s="537"/>
      <c r="AY8" s="545">
        <f t="shared" ref="AY8:AY71" si="31">AY7*(1+i_CFD.AV.Inflation/12)</f>
        <v>1.0033361111111112</v>
      </c>
      <c r="AZ8" s="533">
        <f t="shared" ref="AZ8:AZ70" si="32">(Q8*i_CFD.FullCashRatio*i_CFD.ResiAssesRatio)+(AU8*i_CFD.FullCashRatio*i_CFD.CommeAssesRatio)*AY8</f>
        <v>0</v>
      </c>
      <c r="BA8" s="533">
        <f>BA7*[1]mProject!V12</f>
        <v>0</v>
      </c>
      <c r="BB8" s="533">
        <f t="shared" ref="BB8:BB18" si="33">((AS8+AT8)*i_CFD.FullCashRatio*i_CFD.ResiAssesRatio)+(AU8*i_CFD.FullCashRatio*i_CFD.CommeAssesRatio)*AY8</f>
        <v>0</v>
      </c>
      <c r="BC8" s="539"/>
      <c r="BD8" s="533">
        <f>((BB8/100)*(i_CFD.ObliRate/12))*[1]i.Finance!$O$64</f>
        <v>0</v>
      </c>
      <c r="BE8" s="533">
        <f>(AZ8/100*[1]i.Finance!$O$61)*[1]i.Finance!$O$64</f>
        <v>0</v>
      </c>
      <c r="BF8" s="533">
        <f>(AZ8/100*[1]i.Finance!$O$65)</f>
        <v>0</v>
      </c>
      <c r="BG8" s="546">
        <f t="shared" si="18"/>
        <v>0</v>
      </c>
      <c r="BH8" s="534"/>
      <c r="BI8" s="533">
        <f>-PV([1]i.Finance!$O$63/12,[1]i.Finance!$O$62*12,mCFD!BG8)</f>
        <v>0</v>
      </c>
      <c r="BJ8" s="533">
        <f>BI8*[1]i.Finance!$O$58</f>
        <v>0</v>
      </c>
      <c r="BK8" s="533"/>
      <c r="BL8" s="533"/>
      <c r="BP8" s="533"/>
      <c r="BQ8" s="533"/>
      <c r="BR8" s="533" t="e">
        <f t="shared" si="19"/>
        <v>#NAME?</v>
      </c>
      <c r="BS8" s="533" t="e">
        <f t="shared" si="20"/>
        <v>#NAME?</v>
      </c>
      <c r="BT8" s="533" t="e">
        <f t="shared" si="21"/>
        <v>#NAME?</v>
      </c>
      <c r="BU8" s="533"/>
    </row>
    <row r="9" spans="1:73" ht="21" outlineLevel="1" thickTop="1" thickBot="1">
      <c r="A9" s="462"/>
      <c r="B9" s="529" t="s">
        <v>358</v>
      </c>
      <c r="C9" s="478"/>
      <c r="D9" s="454"/>
      <c r="E9" s="547">
        <f t="shared" ref="E9:E72" si="34">E8+1</f>
        <v>3</v>
      </c>
      <c r="F9" s="547">
        <f t="shared" si="22"/>
        <v>1</v>
      </c>
      <c r="G9" s="547">
        <f t="shared" si="23"/>
        <v>1</v>
      </c>
      <c r="H9" s="548">
        <f t="shared" si="24"/>
        <v>43921</v>
      </c>
      <c r="I9" s="549">
        <f t="shared" si="0"/>
        <v>2020</v>
      </c>
      <c r="K9" s="547">
        <f>[1]mProject!KB13</f>
        <v>0</v>
      </c>
      <c r="L9" s="547">
        <f t="shared" si="1"/>
        <v>0</v>
      </c>
      <c r="M9" s="547">
        <f t="shared" si="2"/>
        <v>295000</v>
      </c>
      <c r="N9" s="547">
        <f t="shared" si="3"/>
        <v>0</v>
      </c>
      <c r="O9" s="547">
        <f t="shared" si="25"/>
        <v>0</v>
      </c>
      <c r="P9" s="547">
        <f>[1]mProject!W13</f>
        <v>295000</v>
      </c>
      <c r="Q9" s="547">
        <f t="shared" si="4"/>
        <v>0</v>
      </c>
      <c r="R9" s="547">
        <f t="shared" si="26"/>
        <v>0</v>
      </c>
      <c r="T9" s="547">
        <v>0</v>
      </c>
      <c r="U9" s="547">
        <f t="shared" si="5"/>
        <v>0</v>
      </c>
      <c r="V9" s="547">
        <f>IF(T9=0,0,$V$7*(1+#REF!)^#REF!)</f>
        <v>0</v>
      </c>
      <c r="W9" s="547">
        <f t="shared" si="27"/>
        <v>0</v>
      </c>
      <c r="X9" s="547">
        <f t="shared" si="6"/>
        <v>0</v>
      </c>
      <c r="Y9" s="547">
        <f t="shared" si="7"/>
        <v>0</v>
      </c>
      <c r="AA9" s="547">
        <v>0</v>
      </c>
      <c r="AB9" s="547">
        <f t="shared" si="8"/>
        <v>0</v>
      </c>
      <c r="AC9" s="547">
        <f>IF(AA9=0,0,$V$7*(1+#REF!)^#REF!)</f>
        <v>0</v>
      </c>
      <c r="AD9" s="547">
        <f t="shared" si="28"/>
        <v>0</v>
      </c>
      <c r="AE9" s="547">
        <f t="shared" si="9"/>
        <v>0</v>
      </c>
      <c r="AF9" s="547">
        <f t="shared" si="10"/>
        <v>0</v>
      </c>
      <c r="AH9" s="547">
        <f t="shared" si="11"/>
        <v>0</v>
      </c>
      <c r="AI9" s="547">
        <f t="shared" si="29"/>
        <v>0</v>
      </c>
      <c r="AJ9" s="547">
        <f t="shared" si="12"/>
        <v>0</v>
      </c>
      <c r="AK9" s="547">
        <f>AJ9*[1]mProject!V13</f>
        <v>0</v>
      </c>
      <c r="AL9" s="547">
        <f t="shared" si="13"/>
        <v>0</v>
      </c>
      <c r="AM9" s="547">
        <f t="shared" si="14"/>
        <v>0</v>
      </c>
      <c r="AN9" s="534"/>
      <c r="AO9" s="550" t="e">
        <f t="shared" si="30"/>
        <v>#REF!</v>
      </c>
      <c r="AP9" s="550"/>
      <c r="AQ9" s="550"/>
      <c r="AR9" s="551"/>
      <c r="AS9" s="547"/>
      <c r="AT9" s="547"/>
      <c r="AU9" s="547"/>
      <c r="AV9" s="547">
        <f t="shared" si="15"/>
        <v>0</v>
      </c>
      <c r="AW9" s="547" t="e">
        <f>AI9*#REF!+AI8*#REF!+AI7*#REF!</f>
        <v>#REF!</v>
      </c>
      <c r="AX9" s="537"/>
      <c r="AY9" s="552">
        <f t="shared" si="31"/>
        <v>1.0050083379629631</v>
      </c>
      <c r="AZ9" s="547">
        <f t="shared" si="32"/>
        <v>0</v>
      </c>
      <c r="BA9" s="547">
        <f>BA8*[1]mProject!V13</f>
        <v>0</v>
      </c>
      <c r="BB9" s="547">
        <f t="shared" si="33"/>
        <v>0</v>
      </c>
      <c r="BC9" s="539"/>
      <c r="BD9" s="547">
        <f>((BB9/100)*(i_CFD.ObliRate/12))*[1]i.Finance!$O$64</f>
        <v>0</v>
      </c>
      <c r="BE9" s="547">
        <f>(AZ9/100*[1]i.Finance!$O$61)*[1]i.Finance!$O$64</f>
        <v>0</v>
      </c>
      <c r="BF9" s="547">
        <f>(AZ9/100*[1]i.Finance!$O$65)</f>
        <v>0</v>
      </c>
      <c r="BG9" s="553">
        <f t="shared" si="18"/>
        <v>0</v>
      </c>
      <c r="BH9" s="534"/>
      <c r="BI9" s="547">
        <f>-PV([1]i.Finance!$O$63/12,[1]i.Finance!$O$62*12,mCFD!BG9)</f>
        <v>0</v>
      </c>
      <c r="BJ9" s="547">
        <f>BI9*[1]i.Finance!$O$58</f>
        <v>0</v>
      </c>
      <c r="BK9" s="547"/>
      <c r="BL9" s="547"/>
      <c r="BP9" s="547"/>
      <c r="BQ9" s="547"/>
      <c r="BR9" s="547" t="e">
        <f t="shared" si="19"/>
        <v>#NAME?</v>
      </c>
      <c r="BS9" s="547" t="e">
        <f t="shared" si="20"/>
        <v>#NAME?</v>
      </c>
      <c r="BT9" s="547" t="e">
        <f t="shared" si="21"/>
        <v>#NAME?</v>
      </c>
      <c r="BU9" s="547"/>
    </row>
    <row r="10" spans="1:73" ht="20" outlineLevel="1" thickTop="1">
      <c r="A10" s="451"/>
      <c r="B10" s="478"/>
      <c r="C10" s="478"/>
      <c r="D10" s="454"/>
      <c r="E10" s="530">
        <f t="shared" si="34"/>
        <v>4</v>
      </c>
      <c r="F10" s="530">
        <f t="shared" si="22"/>
        <v>2</v>
      </c>
      <c r="G10" s="530">
        <f t="shared" si="23"/>
        <v>1</v>
      </c>
      <c r="H10" s="554">
        <f t="shared" si="24"/>
        <v>43951</v>
      </c>
      <c r="I10" s="555">
        <f t="shared" si="0"/>
        <v>2020</v>
      </c>
      <c r="K10" s="530">
        <f>[1]mProject!KB14</f>
        <v>0</v>
      </c>
      <c r="L10" s="530">
        <f t="shared" si="1"/>
        <v>0</v>
      </c>
      <c r="M10" s="530">
        <f t="shared" si="2"/>
        <v>295000</v>
      </c>
      <c r="N10" s="530">
        <f t="shared" si="3"/>
        <v>0</v>
      </c>
      <c r="O10" s="530">
        <f t="shared" si="25"/>
        <v>0</v>
      </c>
      <c r="P10" s="530">
        <f>[1]mProject!W14</f>
        <v>295000</v>
      </c>
      <c r="Q10" s="530">
        <f t="shared" si="4"/>
        <v>0</v>
      </c>
      <c r="R10" s="530">
        <f t="shared" si="26"/>
        <v>0</v>
      </c>
      <c r="T10" s="530">
        <v>0</v>
      </c>
      <c r="U10" s="530">
        <f t="shared" si="5"/>
        <v>0</v>
      </c>
      <c r="V10" s="530">
        <f>IF(T10=0,0,$V$7*(1+#REF!)^#REF!)</f>
        <v>0</v>
      </c>
      <c r="W10" s="530">
        <f t="shared" si="27"/>
        <v>0</v>
      </c>
      <c r="X10" s="530">
        <f t="shared" si="6"/>
        <v>0</v>
      </c>
      <c r="Y10" s="530">
        <f t="shared" si="7"/>
        <v>0</v>
      </c>
      <c r="AA10" s="530">
        <v>0</v>
      </c>
      <c r="AB10" s="530">
        <f t="shared" si="8"/>
        <v>0</v>
      </c>
      <c r="AC10" s="530">
        <f>IF(AA10=0,0,$V$7*(1+#REF!)^#REF!)</f>
        <v>0</v>
      </c>
      <c r="AD10" s="530">
        <f t="shared" si="28"/>
        <v>0</v>
      </c>
      <c r="AE10" s="530">
        <f t="shared" si="9"/>
        <v>0</v>
      </c>
      <c r="AF10" s="530">
        <f t="shared" si="10"/>
        <v>0</v>
      </c>
      <c r="AH10" s="530">
        <f t="shared" si="11"/>
        <v>0</v>
      </c>
      <c r="AI10" s="530">
        <f t="shared" si="29"/>
        <v>0</v>
      </c>
      <c r="AJ10" s="530">
        <f t="shared" si="12"/>
        <v>0</v>
      </c>
      <c r="AK10" s="530">
        <f>AJ10*[1]mProject!V14</f>
        <v>0</v>
      </c>
      <c r="AL10" s="530">
        <f t="shared" si="13"/>
        <v>0</v>
      </c>
      <c r="AM10" s="530">
        <f t="shared" si="14"/>
        <v>0</v>
      </c>
      <c r="AN10" s="534"/>
      <c r="AO10" s="556" t="e">
        <f t="shared" si="30"/>
        <v>#REF!</v>
      </c>
      <c r="AP10" s="556"/>
      <c r="AQ10" s="556"/>
      <c r="AR10" s="557"/>
      <c r="AS10" s="530"/>
      <c r="AT10" s="530"/>
      <c r="AU10" s="530"/>
      <c r="AV10" s="530">
        <f t="shared" si="15"/>
        <v>0</v>
      </c>
      <c r="AW10" s="530" t="e">
        <f>AI10*#REF!+AI9*#REF!+AI8*#REF!</f>
        <v>#REF!</v>
      </c>
      <c r="AX10" s="537"/>
      <c r="AY10" s="538">
        <f t="shared" si="31"/>
        <v>1.0066833518595681</v>
      </c>
      <c r="AZ10" s="530">
        <f t="shared" si="32"/>
        <v>0</v>
      </c>
      <c r="BA10" s="530">
        <f>BA9*[1]mProject!V14</f>
        <v>0</v>
      </c>
      <c r="BB10" s="530">
        <f t="shared" si="33"/>
        <v>0</v>
      </c>
      <c r="BC10" s="539"/>
      <c r="BD10" s="530">
        <f>((BB10/100)*(i_CFD.ObliRate/12))*[1]i.Finance!$O$64</f>
        <v>0</v>
      </c>
      <c r="BE10" s="530">
        <f>(AZ10/100*[1]i.Finance!$O$61)*[1]i.Finance!$O$64</f>
        <v>0</v>
      </c>
      <c r="BF10" s="530">
        <f>(AZ10/100*[1]i.Finance!$O$65)</f>
        <v>0</v>
      </c>
      <c r="BG10" s="540">
        <f t="shared" si="18"/>
        <v>0</v>
      </c>
      <c r="BH10" s="534"/>
      <c r="BI10" s="530">
        <f>-PV([1]i.Finance!$O$63/12,[1]i.Finance!$O$62*12,mCFD!BG10)</f>
        <v>0</v>
      </c>
      <c r="BJ10" s="530">
        <f>BI10*[1]i.Finance!$O$58</f>
        <v>0</v>
      </c>
      <c r="BK10" s="530"/>
      <c r="BL10" s="530"/>
      <c r="BP10" s="530"/>
      <c r="BQ10" s="530"/>
      <c r="BR10" s="530" t="e">
        <f t="shared" si="19"/>
        <v>#NAME?</v>
      </c>
      <c r="BS10" s="530" t="e">
        <f t="shared" si="20"/>
        <v>#NAME?</v>
      </c>
      <c r="BT10" s="530" t="e">
        <f t="shared" si="21"/>
        <v>#NAME?</v>
      </c>
      <c r="BU10" s="530"/>
    </row>
    <row r="11" spans="1:73" ht="19" outlineLevel="1">
      <c r="A11" s="451"/>
      <c r="B11" s="463"/>
      <c r="C11" s="463"/>
      <c r="D11" s="454"/>
      <c r="E11" s="533">
        <f t="shared" si="34"/>
        <v>5</v>
      </c>
      <c r="F11" s="533">
        <f t="shared" si="22"/>
        <v>2</v>
      </c>
      <c r="G11" s="533">
        <f t="shared" si="23"/>
        <v>1</v>
      </c>
      <c r="H11" s="541">
        <f t="shared" si="24"/>
        <v>43982</v>
      </c>
      <c r="I11" s="542">
        <f t="shared" si="0"/>
        <v>2020</v>
      </c>
      <c r="K11" s="533">
        <f>[1]mProject!KB15</f>
        <v>0</v>
      </c>
      <c r="L11" s="533">
        <f t="shared" si="1"/>
        <v>0</v>
      </c>
      <c r="M11" s="533">
        <f t="shared" si="2"/>
        <v>295000</v>
      </c>
      <c r="N11" s="533">
        <f t="shared" si="3"/>
        <v>0</v>
      </c>
      <c r="O11" s="533">
        <f t="shared" si="25"/>
        <v>0</v>
      </c>
      <c r="P11" s="533">
        <f>[1]mProject!W15</f>
        <v>295000</v>
      </c>
      <c r="Q11" s="533">
        <f t="shared" si="4"/>
        <v>0</v>
      </c>
      <c r="R11" s="533">
        <f t="shared" si="26"/>
        <v>0</v>
      </c>
      <c r="T11" s="533">
        <v>0</v>
      </c>
      <c r="U11" s="533">
        <f t="shared" si="5"/>
        <v>0</v>
      </c>
      <c r="V11" s="533">
        <f>IF(T11=0,0,$V$7*(1+#REF!)^#REF!)</f>
        <v>0</v>
      </c>
      <c r="W11" s="533">
        <f t="shared" si="27"/>
        <v>0</v>
      </c>
      <c r="X11" s="533">
        <f t="shared" si="6"/>
        <v>0</v>
      </c>
      <c r="Y11" s="533">
        <f t="shared" si="7"/>
        <v>0</v>
      </c>
      <c r="AA11" s="533">
        <v>0</v>
      </c>
      <c r="AB11" s="533">
        <f t="shared" si="8"/>
        <v>0</v>
      </c>
      <c r="AC11" s="533">
        <f>IF(AA11=0,0,$V$7*(1+#REF!)^#REF!)</f>
        <v>0</v>
      </c>
      <c r="AD11" s="533">
        <f t="shared" si="28"/>
        <v>0</v>
      </c>
      <c r="AE11" s="533">
        <f t="shared" si="9"/>
        <v>0</v>
      </c>
      <c r="AF11" s="533">
        <f t="shared" si="10"/>
        <v>0</v>
      </c>
      <c r="AH11" s="533">
        <f t="shared" si="11"/>
        <v>0</v>
      </c>
      <c r="AI11" s="533">
        <f t="shared" si="29"/>
        <v>0</v>
      </c>
      <c r="AJ11" s="533">
        <f t="shared" si="12"/>
        <v>0</v>
      </c>
      <c r="AK11" s="533">
        <f>AJ11*[1]mProject!V15</f>
        <v>0</v>
      </c>
      <c r="AL11" s="533">
        <f t="shared" si="13"/>
        <v>0</v>
      </c>
      <c r="AM11" s="533">
        <f t="shared" si="14"/>
        <v>0</v>
      </c>
      <c r="AN11" s="534"/>
      <c r="AO11" s="543" t="e">
        <f t="shared" si="30"/>
        <v>#REF!</v>
      </c>
      <c r="AP11" s="543"/>
      <c r="AQ11" s="543"/>
      <c r="AR11" s="544"/>
      <c r="AS11" s="533"/>
      <c r="AT11" s="533"/>
      <c r="AU11" s="533"/>
      <c r="AV11" s="533">
        <f t="shared" si="15"/>
        <v>0</v>
      </c>
      <c r="AW11" s="533" t="e">
        <f>AI11*#REF!+AI10*#REF!+AI9*#REF!</f>
        <v>#REF!</v>
      </c>
      <c r="AX11" s="537"/>
      <c r="AY11" s="545">
        <f t="shared" si="31"/>
        <v>1.0083611574460007</v>
      </c>
      <c r="AZ11" s="533">
        <f t="shared" si="32"/>
        <v>0</v>
      </c>
      <c r="BA11" s="533">
        <f>BA10*[1]mProject!V15</f>
        <v>0</v>
      </c>
      <c r="BB11" s="533">
        <f t="shared" si="33"/>
        <v>0</v>
      </c>
      <c r="BC11" s="539"/>
      <c r="BD11" s="533">
        <f>((BB11/100)*(i_CFD.ObliRate/12))*[1]i.Finance!$O$64</f>
        <v>0</v>
      </c>
      <c r="BE11" s="533">
        <f>(AZ11/100*[1]i.Finance!$O$61)*[1]i.Finance!$O$64</f>
        <v>0</v>
      </c>
      <c r="BF11" s="533">
        <f>(AZ11/100*[1]i.Finance!$O$65)</f>
        <v>0</v>
      </c>
      <c r="BG11" s="546">
        <f t="shared" si="18"/>
        <v>0</v>
      </c>
      <c r="BH11" s="534"/>
      <c r="BI11" s="533">
        <f>-PV([1]i.Finance!$O$63/12,[1]i.Finance!$O$62*12,mCFD!BG11)</f>
        <v>0</v>
      </c>
      <c r="BJ11" s="533">
        <f>BI11*[1]i.Finance!$O$58</f>
        <v>0</v>
      </c>
      <c r="BK11" s="533"/>
      <c r="BL11" s="533"/>
      <c r="BP11" s="533"/>
      <c r="BQ11" s="533"/>
      <c r="BR11" s="533" t="e">
        <f t="shared" si="19"/>
        <v>#NAME?</v>
      </c>
      <c r="BS11" s="533" t="e">
        <f t="shared" si="20"/>
        <v>#NAME?</v>
      </c>
      <c r="BT11" s="533" t="e">
        <f t="shared" si="21"/>
        <v>#NAME?</v>
      </c>
      <c r="BU11" s="533"/>
    </row>
    <row r="12" spans="1:73" ht="19" outlineLevel="1">
      <c r="A12" s="366"/>
      <c r="B12" s="366"/>
      <c r="C12" s="366"/>
      <c r="D12" s="454"/>
      <c r="E12" s="547">
        <f t="shared" si="34"/>
        <v>6</v>
      </c>
      <c r="F12" s="547">
        <f t="shared" si="22"/>
        <v>2</v>
      </c>
      <c r="G12" s="547">
        <f t="shared" si="23"/>
        <v>1</v>
      </c>
      <c r="H12" s="548">
        <f t="shared" si="24"/>
        <v>44012</v>
      </c>
      <c r="I12" s="549">
        <f t="shared" si="0"/>
        <v>2020</v>
      </c>
      <c r="K12" s="547">
        <f>[1]mProject!KB16</f>
        <v>0</v>
      </c>
      <c r="L12" s="547">
        <f t="shared" si="1"/>
        <v>0</v>
      </c>
      <c r="M12" s="547">
        <f t="shared" si="2"/>
        <v>295000</v>
      </c>
      <c r="N12" s="547">
        <f t="shared" si="3"/>
        <v>0</v>
      </c>
      <c r="O12" s="547">
        <f t="shared" si="25"/>
        <v>0</v>
      </c>
      <c r="P12" s="547">
        <f>[1]mProject!W16</f>
        <v>295000</v>
      </c>
      <c r="Q12" s="547">
        <f t="shared" si="4"/>
        <v>0</v>
      </c>
      <c r="R12" s="547">
        <f t="shared" si="26"/>
        <v>0</v>
      </c>
      <c r="T12" s="547">
        <v>0</v>
      </c>
      <c r="U12" s="547">
        <f t="shared" si="5"/>
        <v>0</v>
      </c>
      <c r="V12" s="547">
        <f>IF(T12=0,0,$V$7*(1+#REF!)^#REF!)</f>
        <v>0</v>
      </c>
      <c r="W12" s="547">
        <f t="shared" si="27"/>
        <v>0</v>
      </c>
      <c r="X12" s="547">
        <f t="shared" si="6"/>
        <v>0</v>
      </c>
      <c r="Y12" s="547">
        <f t="shared" si="7"/>
        <v>0</v>
      </c>
      <c r="AA12" s="547">
        <v>0</v>
      </c>
      <c r="AB12" s="547">
        <f t="shared" si="8"/>
        <v>0</v>
      </c>
      <c r="AC12" s="547">
        <f>IF(AA12=0,0,$V$7*(1+#REF!)^#REF!)</f>
        <v>0</v>
      </c>
      <c r="AD12" s="547">
        <f t="shared" si="28"/>
        <v>0</v>
      </c>
      <c r="AE12" s="547">
        <f t="shared" si="9"/>
        <v>0</v>
      </c>
      <c r="AF12" s="547">
        <f t="shared" si="10"/>
        <v>0</v>
      </c>
      <c r="AH12" s="547">
        <f t="shared" si="11"/>
        <v>0</v>
      </c>
      <c r="AI12" s="547">
        <f t="shared" si="29"/>
        <v>0</v>
      </c>
      <c r="AJ12" s="547">
        <f t="shared" si="12"/>
        <v>0</v>
      </c>
      <c r="AK12" s="547">
        <f>AJ12*[1]mProject!V16</f>
        <v>0</v>
      </c>
      <c r="AL12" s="547">
        <f t="shared" si="13"/>
        <v>0</v>
      </c>
      <c r="AM12" s="547">
        <f t="shared" si="14"/>
        <v>0</v>
      </c>
      <c r="AN12" s="534"/>
      <c r="AO12" s="550" t="e">
        <f t="shared" si="30"/>
        <v>#REF!</v>
      </c>
      <c r="AP12" s="550"/>
      <c r="AQ12" s="550"/>
      <c r="AR12" s="551"/>
      <c r="AS12" s="547"/>
      <c r="AT12" s="547"/>
      <c r="AU12" s="547"/>
      <c r="AV12" s="547">
        <f t="shared" si="15"/>
        <v>0</v>
      </c>
      <c r="AW12" s="547" t="e">
        <f>AI12*#REF!+AI11*#REF!+AI10*#REF!</f>
        <v>#REF!</v>
      </c>
      <c r="AX12" s="537"/>
      <c r="AY12" s="552">
        <f t="shared" si="31"/>
        <v>1.0100417593750775</v>
      </c>
      <c r="AZ12" s="547">
        <f t="shared" si="32"/>
        <v>0</v>
      </c>
      <c r="BA12" s="547">
        <f>BA11*[1]mProject!V16</f>
        <v>0</v>
      </c>
      <c r="BB12" s="547">
        <f t="shared" si="33"/>
        <v>0</v>
      </c>
      <c r="BC12" s="539"/>
      <c r="BD12" s="547">
        <f>((BB12/100)*(i_CFD.ObliRate/12))*[1]i.Finance!$O$64</f>
        <v>0</v>
      </c>
      <c r="BE12" s="547">
        <f>(AZ12/100*[1]i.Finance!$O$61)*[1]i.Finance!$O$64</f>
        <v>0</v>
      </c>
      <c r="BF12" s="547">
        <f>(AZ12/100*[1]i.Finance!$O$65)</f>
        <v>0</v>
      </c>
      <c r="BG12" s="553">
        <f t="shared" si="18"/>
        <v>0</v>
      </c>
      <c r="BH12" s="534"/>
      <c r="BI12" s="547">
        <f>-PV([1]i.Finance!$O$63/12,[1]i.Finance!$O$62*12,mCFD!BG12)</f>
        <v>0</v>
      </c>
      <c r="BJ12" s="547">
        <f>BI12*[1]i.Finance!$O$58</f>
        <v>0</v>
      </c>
      <c r="BK12" s="547"/>
      <c r="BL12" s="547"/>
      <c r="BP12" s="547"/>
      <c r="BQ12" s="547"/>
      <c r="BR12" s="547" t="e">
        <f t="shared" si="19"/>
        <v>#NAME?</v>
      </c>
      <c r="BS12" s="547" t="e">
        <f t="shared" si="20"/>
        <v>#NAME?</v>
      </c>
      <c r="BT12" s="547" t="e">
        <f t="shared" si="21"/>
        <v>#NAME?</v>
      </c>
      <c r="BU12" s="547"/>
    </row>
    <row r="13" spans="1:73" ht="19" outlineLevel="1">
      <c r="A13" s="366"/>
      <c r="B13" s="366"/>
      <c r="C13" s="366"/>
      <c r="D13" s="454"/>
      <c r="E13" s="530">
        <f t="shared" si="34"/>
        <v>7</v>
      </c>
      <c r="F13" s="530">
        <f t="shared" si="22"/>
        <v>3</v>
      </c>
      <c r="G13" s="530">
        <f t="shared" si="23"/>
        <v>1</v>
      </c>
      <c r="H13" s="554">
        <f t="shared" si="24"/>
        <v>44043</v>
      </c>
      <c r="I13" s="555">
        <f t="shared" si="0"/>
        <v>2020</v>
      </c>
      <c r="K13" s="530">
        <f>[1]mProject!KB17</f>
        <v>0</v>
      </c>
      <c r="L13" s="530">
        <f t="shared" si="1"/>
        <v>0</v>
      </c>
      <c r="M13" s="530">
        <f t="shared" si="2"/>
        <v>295000</v>
      </c>
      <c r="N13" s="530">
        <f t="shared" si="3"/>
        <v>0</v>
      </c>
      <c r="O13" s="530">
        <f t="shared" si="25"/>
        <v>0</v>
      </c>
      <c r="P13" s="530">
        <f>[1]mProject!W17</f>
        <v>295000</v>
      </c>
      <c r="Q13" s="530">
        <f t="shared" si="4"/>
        <v>0</v>
      </c>
      <c r="R13" s="530">
        <f t="shared" si="26"/>
        <v>0</v>
      </c>
      <c r="T13" s="530">
        <v>0</v>
      </c>
      <c r="U13" s="530">
        <f t="shared" si="5"/>
        <v>0</v>
      </c>
      <c r="V13" s="530">
        <f>IF(T13=0,0,$V$7*(1+#REF!)^#REF!)</f>
        <v>0</v>
      </c>
      <c r="W13" s="530">
        <f t="shared" si="27"/>
        <v>0</v>
      </c>
      <c r="X13" s="530">
        <f t="shared" si="6"/>
        <v>0</v>
      </c>
      <c r="Y13" s="530">
        <f t="shared" si="7"/>
        <v>0</v>
      </c>
      <c r="AA13" s="530">
        <v>0</v>
      </c>
      <c r="AB13" s="530">
        <f t="shared" si="8"/>
        <v>0</v>
      </c>
      <c r="AC13" s="530">
        <f>IF(AA13=0,0,$V$7*(1+#REF!)^#REF!)</f>
        <v>0</v>
      </c>
      <c r="AD13" s="530">
        <f t="shared" si="28"/>
        <v>0</v>
      </c>
      <c r="AE13" s="530">
        <f t="shared" si="9"/>
        <v>0</v>
      </c>
      <c r="AF13" s="530">
        <f t="shared" si="10"/>
        <v>0</v>
      </c>
      <c r="AH13" s="530">
        <f t="shared" si="11"/>
        <v>0</v>
      </c>
      <c r="AI13" s="530">
        <f t="shared" si="29"/>
        <v>0</v>
      </c>
      <c r="AJ13" s="530">
        <f t="shared" si="12"/>
        <v>0</v>
      </c>
      <c r="AK13" s="530">
        <f>AJ13*[1]mProject!V17</f>
        <v>0</v>
      </c>
      <c r="AL13" s="530">
        <f t="shared" si="13"/>
        <v>0</v>
      </c>
      <c r="AM13" s="530">
        <f t="shared" si="14"/>
        <v>0</v>
      </c>
      <c r="AN13" s="534"/>
      <c r="AO13" s="556" t="e">
        <f t="shared" si="30"/>
        <v>#REF!</v>
      </c>
      <c r="AP13" s="556"/>
      <c r="AQ13" s="556"/>
      <c r="AR13" s="557"/>
      <c r="AS13" s="530"/>
      <c r="AT13" s="530"/>
      <c r="AU13" s="530"/>
      <c r="AV13" s="530">
        <f t="shared" si="15"/>
        <v>0</v>
      </c>
      <c r="AW13" s="530" t="e">
        <f>AI13*#REF!+AI12*#REF!+AI11*#REF!</f>
        <v>#REF!</v>
      </c>
      <c r="AX13" s="537"/>
      <c r="AY13" s="538">
        <f t="shared" si="31"/>
        <v>1.0117251623073693</v>
      </c>
      <c r="AZ13" s="530">
        <f t="shared" si="32"/>
        <v>0</v>
      </c>
      <c r="BA13" s="530">
        <f>BA12*[1]mProject!V17</f>
        <v>0</v>
      </c>
      <c r="BB13" s="530">
        <f t="shared" si="33"/>
        <v>0</v>
      </c>
      <c r="BC13" s="539"/>
      <c r="BD13" s="530">
        <f>((BB13/100)*(i_CFD.ObliRate/12))*[1]i.Finance!$O$64</f>
        <v>0</v>
      </c>
      <c r="BE13" s="530">
        <f>(AZ13/100*[1]i.Finance!$O$61)*[1]i.Finance!$O$64</f>
        <v>0</v>
      </c>
      <c r="BF13" s="530">
        <f>(AZ13/100*[1]i.Finance!$O$65)</f>
        <v>0</v>
      </c>
      <c r="BG13" s="540">
        <f t="shared" si="18"/>
        <v>0</v>
      </c>
      <c r="BH13" s="534"/>
      <c r="BI13" s="530">
        <f>-PV([1]i.Finance!$O$63/12,[1]i.Finance!$O$62*12,mCFD!BG13)</f>
        <v>0</v>
      </c>
      <c r="BJ13" s="530">
        <f>BI13*[1]i.Finance!$O$58</f>
        <v>0</v>
      </c>
      <c r="BK13" s="530"/>
      <c r="BL13" s="530"/>
      <c r="BP13" s="530"/>
      <c r="BQ13" s="530"/>
      <c r="BR13" s="530" t="e">
        <f t="shared" si="19"/>
        <v>#NAME?</v>
      </c>
      <c r="BS13" s="530" t="e">
        <f t="shared" si="20"/>
        <v>#NAME?</v>
      </c>
      <c r="BT13" s="530" t="e">
        <f t="shared" si="21"/>
        <v>#NAME?</v>
      </c>
      <c r="BU13" s="530"/>
    </row>
    <row r="14" spans="1:73" ht="19" outlineLevel="1">
      <c r="A14" s="366"/>
      <c r="B14" s="366"/>
      <c r="C14" s="366"/>
      <c r="D14" s="454"/>
      <c r="E14" s="533">
        <f t="shared" si="34"/>
        <v>8</v>
      </c>
      <c r="F14" s="533">
        <f t="shared" si="22"/>
        <v>3</v>
      </c>
      <c r="G14" s="533">
        <f t="shared" si="23"/>
        <v>1</v>
      </c>
      <c r="H14" s="541">
        <f t="shared" si="24"/>
        <v>44074</v>
      </c>
      <c r="I14" s="542">
        <f t="shared" si="0"/>
        <v>2020</v>
      </c>
      <c r="K14" s="533">
        <f>[1]mProject!KB18</f>
        <v>0</v>
      </c>
      <c r="L14" s="533">
        <f t="shared" si="1"/>
        <v>0</v>
      </c>
      <c r="M14" s="533">
        <f t="shared" si="2"/>
        <v>295000</v>
      </c>
      <c r="N14" s="533">
        <f t="shared" si="3"/>
        <v>0</v>
      </c>
      <c r="O14" s="533">
        <f t="shared" si="25"/>
        <v>0</v>
      </c>
      <c r="P14" s="533">
        <f>[1]mProject!W18</f>
        <v>295000</v>
      </c>
      <c r="Q14" s="533">
        <f t="shared" si="4"/>
        <v>0</v>
      </c>
      <c r="R14" s="533">
        <f t="shared" si="26"/>
        <v>0</v>
      </c>
      <c r="T14" s="533">
        <v>0</v>
      </c>
      <c r="U14" s="533">
        <f t="shared" si="5"/>
        <v>0</v>
      </c>
      <c r="V14" s="533">
        <f>IF(T14=0,0,$V$7*(1+#REF!)^#REF!)</f>
        <v>0</v>
      </c>
      <c r="W14" s="533">
        <f t="shared" si="27"/>
        <v>0</v>
      </c>
      <c r="X14" s="533">
        <f t="shared" si="6"/>
        <v>0</v>
      </c>
      <c r="Y14" s="533">
        <f t="shared" si="7"/>
        <v>0</v>
      </c>
      <c r="AA14" s="533">
        <v>0</v>
      </c>
      <c r="AB14" s="533">
        <f t="shared" si="8"/>
        <v>0</v>
      </c>
      <c r="AC14" s="533">
        <f>IF(AA14=0,0,$V$7*(1+#REF!)^#REF!)</f>
        <v>0</v>
      </c>
      <c r="AD14" s="533">
        <f t="shared" si="28"/>
        <v>0</v>
      </c>
      <c r="AE14" s="533">
        <f t="shared" si="9"/>
        <v>0</v>
      </c>
      <c r="AF14" s="533">
        <f t="shared" si="10"/>
        <v>0</v>
      </c>
      <c r="AH14" s="533">
        <f t="shared" si="11"/>
        <v>0</v>
      </c>
      <c r="AI14" s="533">
        <f t="shared" si="29"/>
        <v>0</v>
      </c>
      <c r="AJ14" s="533">
        <f t="shared" si="12"/>
        <v>0</v>
      </c>
      <c r="AK14" s="533">
        <f>AJ14*[1]mProject!V18</f>
        <v>0</v>
      </c>
      <c r="AL14" s="533">
        <f t="shared" si="13"/>
        <v>0</v>
      </c>
      <c r="AM14" s="533">
        <f t="shared" si="14"/>
        <v>0</v>
      </c>
      <c r="AN14" s="534"/>
      <c r="AO14" s="558" t="e">
        <f t="shared" si="30"/>
        <v>#REF!</v>
      </c>
      <c r="AP14" s="558"/>
      <c r="AQ14" s="558"/>
      <c r="AR14" s="559"/>
      <c r="AS14" s="533"/>
      <c r="AT14" s="533"/>
      <c r="AU14" s="533"/>
      <c r="AV14" s="533">
        <f t="shared" si="15"/>
        <v>0</v>
      </c>
      <c r="AW14" s="533" t="e">
        <f>AI14*#REF!+AI13*#REF!+AI12*#REF!</f>
        <v>#REF!</v>
      </c>
      <c r="AX14" s="537"/>
      <c r="AY14" s="545">
        <f t="shared" si="31"/>
        <v>1.0134113709112149</v>
      </c>
      <c r="AZ14" s="533">
        <f t="shared" si="32"/>
        <v>0</v>
      </c>
      <c r="BA14" s="533">
        <f>BA13*[1]mProject!V18</f>
        <v>0</v>
      </c>
      <c r="BB14" s="533">
        <f t="shared" si="33"/>
        <v>0</v>
      </c>
      <c r="BC14" s="539"/>
      <c r="BD14" s="533">
        <f>((BB14/100)*(i_CFD.ObliRate/12))*[1]i.Finance!$O$64</f>
        <v>0</v>
      </c>
      <c r="BE14" s="533">
        <f>(AZ14/100*[1]i.Finance!$O$61)*[1]i.Finance!$O$64</f>
        <v>0</v>
      </c>
      <c r="BF14" s="533">
        <f>(AZ14/100*[1]i.Finance!$O$65)</f>
        <v>0</v>
      </c>
      <c r="BG14" s="546">
        <f t="shared" si="18"/>
        <v>0</v>
      </c>
      <c r="BH14" s="534"/>
      <c r="BI14" s="533">
        <f>-PV([1]i.Finance!$O$63/12,[1]i.Finance!$O$62*12,mCFD!BG14)</f>
        <v>0</v>
      </c>
      <c r="BJ14" s="533">
        <f>BI14*[1]i.Finance!$O$58</f>
        <v>0</v>
      </c>
      <c r="BK14" s="533"/>
      <c r="BL14" s="533"/>
      <c r="BP14" s="533"/>
      <c r="BQ14" s="533"/>
      <c r="BR14" s="533" t="e">
        <f t="shared" si="19"/>
        <v>#NAME?</v>
      </c>
      <c r="BS14" s="533" t="e">
        <f t="shared" si="20"/>
        <v>#NAME?</v>
      </c>
      <c r="BT14" s="533" t="e">
        <f t="shared" si="21"/>
        <v>#NAME?</v>
      </c>
      <c r="BU14" s="533"/>
    </row>
    <row r="15" spans="1:73" ht="19" outlineLevel="1">
      <c r="A15" s="366"/>
      <c r="B15" s="366"/>
      <c r="C15" s="366"/>
      <c r="D15" s="454"/>
      <c r="E15" s="547">
        <f t="shared" si="34"/>
        <v>9</v>
      </c>
      <c r="F15" s="547">
        <f t="shared" si="22"/>
        <v>3</v>
      </c>
      <c r="G15" s="547">
        <f t="shared" si="23"/>
        <v>1</v>
      </c>
      <c r="H15" s="548">
        <f t="shared" si="24"/>
        <v>44104</v>
      </c>
      <c r="I15" s="549">
        <f t="shared" si="0"/>
        <v>2020</v>
      </c>
      <c r="K15" s="547">
        <f>[1]mProject!KB19</f>
        <v>0</v>
      </c>
      <c r="L15" s="547">
        <f t="shared" si="1"/>
        <v>0</v>
      </c>
      <c r="M15" s="547">
        <f t="shared" si="2"/>
        <v>295000</v>
      </c>
      <c r="N15" s="547">
        <f t="shared" si="3"/>
        <v>0</v>
      </c>
      <c r="O15" s="547">
        <f t="shared" si="25"/>
        <v>0</v>
      </c>
      <c r="P15" s="547">
        <f>[1]mProject!W19</f>
        <v>295000</v>
      </c>
      <c r="Q15" s="547">
        <f t="shared" si="4"/>
        <v>0</v>
      </c>
      <c r="R15" s="547">
        <f t="shared" si="26"/>
        <v>0</v>
      </c>
      <c r="T15" s="547">
        <v>0</v>
      </c>
      <c r="U15" s="547">
        <f t="shared" si="5"/>
        <v>0</v>
      </c>
      <c r="V15" s="547">
        <f>IF(T15=0,0,$V$7*(1+#REF!)^#REF!)</f>
        <v>0</v>
      </c>
      <c r="W15" s="547">
        <f t="shared" si="27"/>
        <v>0</v>
      </c>
      <c r="X15" s="547">
        <f t="shared" si="6"/>
        <v>0</v>
      </c>
      <c r="Y15" s="547">
        <f t="shared" si="7"/>
        <v>0</v>
      </c>
      <c r="AA15" s="547">
        <v>0</v>
      </c>
      <c r="AB15" s="547">
        <f t="shared" si="8"/>
        <v>0</v>
      </c>
      <c r="AC15" s="547">
        <f>IF(AA15=0,0,$V$7*(1+#REF!)^#REF!)</f>
        <v>0</v>
      </c>
      <c r="AD15" s="547">
        <f t="shared" si="28"/>
        <v>0</v>
      </c>
      <c r="AE15" s="547">
        <f t="shared" si="9"/>
        <v>0</v>
      </c>
      <c r="AF15" s="547">
        <f t="shared" si="10"/>
        <v>0</v>
      </c>
      <c r="AH15" s="547">
        <f t="shared" si="11"/>
        <v>0</v>
      </c>
      <c r="AI15" s="547">
        <f t="shared" si="29"/>
        <v>0</v>
      </c>
      <c r="AJ15" s="547">
        <f t="shared" si="12"/>
        <v>0</v>
      </c>
      <c r="AK15" s="547">
        <f>AJ15*[1]mProject!V19</f>
        <v>0</v>
      </c>
      <c r="AL15" s="547">
        <f t="shared" si="13"/>
        <v>0</v>
      </c>
      <c r="AM15" s="547">
        <f t="shared" si="14"/>
        <v>0</v>
      </c>
      <c r="AN15" s="534"/>
      <c r="AO15" s="560" t="e">
        <f t="shared" si="30"/>
        <v>#REF!</v>
      </c>
      <c r="AP15" s="560"/>
      <c r="AQ15" s="560"/>
      <c r="AR15" s="561"/>
      <c r="AS15" s="547"/>
      <c r="AT15" s="547"/>
      <c r="AU15" s="547"/>
      <c r="AV15" s="547">
        <f t="shared" si="15"/>
        <v>0</v>
      </c>
      <c r="AW15" s="547" t="e">
        <f>AI15*#REF!+AI14*#REF!+AI13*#REF!</f>
        <v>#REF!</v>
      </c>
      <c r="AX15" s="537"/>
      <c r="AY15" s="552">
        <f t="shared" si="31"/>
        <v>1.0151003898627335</v>
      </c>
      <c r="AZ15" s="547">
        <f t="shared" si="32"/>
        <v>0</v>
      </c>
      <c r="BA15" s="547">
        <f>BA14*[1]mProject!V19</f>
        <v>0</v>
      </c>
      <c r="BB15" s="547">
        <f t="shared" si="33"/>
        <v>0</v>
      </c>
      <c r="BC15" s="539"/>
      <c r="BD15" s="547">
        <f>((BB15/100)*(i_CFD.ObliRate/12))*[1]i.Finance!$O$64</f>
        <v>0</v>
      </c>
      <c r="BE15" s="547">
        <f>(AZ15/100*[1]i.Finance!$O$61)*[1]i.Finance!$O$64</f>
        <v>0</v>
      </c>
      <c r="BF15" s="547">
        <f>(AZ15/100*[1]i.Finance!$O$65)</f>
        <v>0</v>
      </c>
      <c r="BG15" s="553">
        <f t="shared" si="18"/>
        <v>0</v>
      </c>
      <c r="BH15" s="534"/>
      <c r="BI15" s="547">
        <f>-PV([1]i.Finance!$O$63/12,[1]i.Finance!$O$62*12,mCFD!BG15)</f>
        <v>0</v>
      </c>
      <c r="BJ15" s="547">
        <f>BI15*[1]i.Finance!$O$58</f>
        <v>0</v>
      </c>
      <c r="BK15" s="547"/>
      <c r="BL15" s="547"/>
      <c r="BP15" s="547"/>
      <c r="BQ15" s="547"/>
      <c r="BR15" s="547" t="e">
        <f t="shared" si="19"/>
        <v>#NAME?</v>
      </c>
      <c r="BS15" s="547" t="e">
        <f t="shared" si="20"/>
        <v>#NAME?</v>
      </c>
      <c r="BT15" s="547" t="e">
        <f t="shared" si="21"/>
        <v>#NAME?</v>
      </c>
      <c r="BU15" s="547"/>
    </row>
    <row r="16" spans="1:73" ht="19" outlineLevel="1">
      <c r="A16" s="366"/>
      <c r="B16" s="478"/>
      <c r="C16" s="366"/>
      <c r="D16" s="454"/>
      <c r="E16" s="530">
        <f t="shared" si="34"/>
        <v>10</v>
      </c>
      <c r="F16" s="530">
        <f t="shared" si="22"/>
        <v>4</v>
      </c>
      <c r="G16" s="530">
        <f t="shared" si="23"/>
        <v>1</v>
      </c>
      <c r="H16" s="554">
        <f t="shared" si="24"/>
        <v>44135</v>
      </c>
      <c r="I16" s="555">
        <f t="shared" si="0"/>
        <v>2020</v>
      </c>
      <c r="K16" s="530">
        <f>[1]mProject!KB20</f>
        <v>0</v>
      </c>
      <c r="L16" s="530">
        <f t="shared" si="1"/>
        <v>0</v>
      </c>
      <c r="M16" s="530">
        <f t="shared" si="2"/>
        <v>295000</v>
      </c>
      <c r="N16" s="530">
        <f t="shared" si="3"/>
        <v>0</v>
      </c>
      <c r="O16" s="530">
        <f t="shared" si="25"/>
        <v>0</v>
      </c>
      <c r="P16" s="530">
        <f>[1]mProject!W20</f>
        <v>295000</v>
      </c>
      <c r="Q16" s="530">
        <f t="shared" si="4"/>
        <v>0</v>
      </c>
      <c r="R16" s="530">
        <f t="shared" si="26"/>
        <v>0</v>
      </c>
      <c r="T16" s="530">
        <v>0</v>
      </c>
      <c r="U16" s="530">
        <f t="shared" si="5"/>
        <v>0</v>
      </c>
      <c r="V16" s="530">
        <f>IF(T16=0,0,$V$7*(1+#REF!)^#REF!)</f>
        <v>0</v>
      </c>
      <c r="W16" s="530">
        <f t="shared" si="27"/>
        <v>0</v>
      </c>
      <c r="X16" s="530">
        <f t="shared" si="6"/>
        <v>0</v>
      </c>
      <c r="Y16" s="530">
        <f t="shared" si="7"/>
        <v>0</v>
      </c>
      <c r="AA16" s="530">
        <v>0</v>
      </c>
      <c r="AB16" s="530">
        <f t="shared" si="8"/>
        <v>0</v>
      </c>
      <c r="AC16" s="530">
        <f>IF(AA16=0,0,$V$7*(1+#REF!)^#REF!)</f>
        <v>0</v>
      </c>
      <c r="AD16" s="530">
        <f t="shared" si="28"/>
        <v>0</v>
      </c>
      <c r="AE16" s="530">
        <f t="shared" si="9"/>
        <v>0</v>
      </c>
      <c r="AF16" s="530">
        <f t="shared" si="10"/>
        <v>0</v>
      </c>
      <c r="AH16" s="530">
        <f t="shared" si="11"/>
        <v>0</v>
      </c>
      <c r="AI16" s="530">
        <f t="shared" si="29"/>
        <v>0</v>
      </c>
      <c r="AJ16" s="530">
        <f t="shared" si="12"/>
        <v>0</v>
      </c>
      <c r="AK16" s="530">
        <f>AJ16*[1]mProject!V20</f>
        <v>0</v>
      </c>
      <c r="AL16" s="530">
        <f t="shared" si="13"/>
        <v>0</v>
      </c>
      <c r="AM16" s="530">
        <f t="shared" si="14"/>
        <v>0</v>
      </c>
      <c r="AN16" s="534"/>
      <c r="AO16" s="556" t="e">
        <f t="shared" si="30"/>
        <v>#REF!</v>
      </c>
      <c r="AP16" s="556"/>
      <c r="AQ16" s="556"/>
      <c r="AR16" s="557"/>
      <c r="AS16" s="530"/>
      <c r="AT16" s="530"/>
      <c r="AU16" s="530"/>
      <c r="AV16" s="530">
        <f t="shared" si="15"/>
        <v>0</v>
      </c>
      <c r="AW16" s="530" t="e">
        <f>AI16*#REF!+AI15*#REF!+AI14*#REF!</f>
        <v>#REF!</v>
      </c>
      <c r="AX16" s="537"/>
      <c r="AY16" s="538">
        <f t="shared" si="31"/>
        <v>1.0167922238458382</v>
      </c>
      <c r="AZ16" s="530">
        <f t="shared" si="32"/>
        <v>0</v>
      </c>
      <c r="BA16" s="530">
        <f>BA15*[1]mProject!V20</f>
        <v>0</v>
      </c>
      <c r="BB16" s="530">
        <f t="shared" si="33"/>
        <v>0</v>
      </c>
      <c r="BC16" s="539"/>
      <c r="BD16" s="530">
        <f>((BB16/100)*(i_CFD.ObliRate/12))*[1]i.Finance!$O$64</f>
        <v>0</v>
      </c>
      <c r="BE16" s="530">
        <f>(AZ16/100*[1]i.Finance!$O$61)*[1]i.Finance!$O$64</f>
        <v>0</v>
      </c>
      <c r="BF16" s="530">
        <f>(AZ16/100*[1]i.Finance!$O$65)</f>
        <v>0</v>
      </c>
      <c r="BG16" s="540">
        <f t="shared" si="18"/>
        <v>0</v>
      </c>
      <c r="BH16" s="534"/>
      <c r="BI16" s="530">
        <f>-PV([1]i.Finance!$O$63/12,[1]i.Finance!$O$62*12,mCFD!BG16)</f>
        <v>0</v>
      </c>
      <c r="BJ16" s="530">
        <f>BI16*[1]i.Finance!$O$58</f>
        <v>0</v>
      </c>
      <c r="BK16" s="530"/>
      <c r="BL16" s="530"/>
      <c r="BP16" s="530"/>
      <c r="BQ16" s="530"/>
      <c r="BR16" s="530" t="e">
        <f t="shared" si="19"/>
        <v>#NAME?</v>
      </c>
      <c r="BS16" s="530" t="e">
        <f t="shared" si="20"/>
        <v>#NAME?</v>
      </c>
      <c r="BT16" s="530" t="e">
        <f t="shared" si="21"/>
        <v>#NAME?</v>
      </c>
      <c r="BU16" s="530"/>
    </row>
    <row r="17" spans="1:73" ht="19" outlineLevel="1">
      <c r="A17" s="366"/>
      <c r="B17" s="562"/>
      <c r="C17" s="366"/>
      <c r="D17" s="454"/>
      <c r="E17" s="533">
        <f t="shared" si="34"/>
        <v>11</v>
      </c>
      <c r="F17" s="533">
        <f t="shared" si="22"/>
        <v>4</v>
      </c>
      <c r="G17" s="533">
        <f t="shared" si="23"/>
        <v>1</v>
      </c>
      <c r="H17" s="541">
        <f t="shared" si="24"/>
        <v>44165</v>
      </c>
      <c r="I17" s="542">
        <f t="shared" si="0"/>
        <v>2020</v>
      </c>
      <c r="K17" s="533">
        <f>[1]mProject!KB21</f>
        <v>0</v>
      </c>
      <c r="L17" s="533">
        <f t="shared" si="1"/>
        <v>0</v>
      </c>
      <c r="M17" s="533">
        <f t="shared" si="2"/>
        <v>295000</v>
      </c>
      <c r="N17" s="533">
        <f t="shared" si="3"/>
        <v>0</v>
      </c>
      <c r="O17" s="533">
        <f t="shared" si="25"/>
        <v>0</v>
      </c>
      <c r="P17" s="533">
        <f>[1]mProject!W21</f>
        <v>295000</v>
      </c>
      <c r="Q17" s="533">
        <f t="shared" si="4"/>
        <v>0</v>
      </c>
      <c r="R17" s="533">
        <f t="shared" si="26"/>
        <v>0</v>
      </c>
      <c r="T17" s="533">
        <v>0</v>
      </c>
      <c r="U17" s="533">
        <f t="shared" si="5"/>
        <v>0</v>
      </c>
      <c r="V17" s="533">
        <f>IF(T17=0,0,$V$7*(1+#REF!)^#REF!)</f>
        <v>0</v>
      </c>
      <c r="W17" s="533">
        <f t="shared" si="27"/>
        <v>0</v>
      </c>
      <c r="X17" s="533">
        <f t="shared" si="6"/>
        <v>0</v>
      </c>
      <c r="Y17" s="533">
        <f t="shared" si="7"/>
        <v>0</v>
      </c>
      <c r="AA17" s="533">
        <v>0</v>
      </c>
      <c r="AB17" s="533">
        <f t="shared" si="8"/>
        <v>0</v>
      </c>
      <c r="AC17" s="533">
        <f>IF(AA17=0,0,$V$7*(1+#REF!)^#REF!)</f>
        <v>0</v>
      </c>
      <c r="AD17" s="533">
        <f t="shared" si="28"/>
        <v>0</v>
      </c>
      <c r="AE17" s="533">
        <f t="shared" si="9"/>
        <v>0</v>
      </c>
      <c r="AF17" s="533">
        <f t="shared" si="10"/>
        <v>0</v>
      </c>
      <c r="AH17" s="533">
        <f t="shared" si="11"/>
        <v>0</v>
      </c>
      <c r="AI17" s="533">
        <f t="shared" si="29"/>
        <v>0</v>
      </c>
      <c r="AJ17" s="533">
        <f t="shared" si="12"/>
        <v>0</v>
      </c>
      <c r="AK17" s="533">
        <f>AJ17*[1]mProject!V21</f>
        <v>0</v>
      </c>
      <c r="AL17" s="533">
        <f t="shared" si="13"/>
        <v>0</v>
      </c>
      <c r="AM17" s="533">
        <f t="shared" si="14"/>
        <v>0</v>
      </c>
      <c r="AN17" s="534"/>
      <c r="AO17" s="558" t="e">
        <f t="shared" si="30"/>
        <v>#REF!</v>
      </c>
      <c r="AP17" s="558"/>
      <c r="AQ17" s="558"/>
      <c r="AR17" s="559"/>
      <c r="AS17" s="533"/>
      <c r="AT17" s="533"/>
      <c r="AU17" s="533"/>
      <c r="AV17" s="533">
        <f t="shared" si="15"/>
        <v>0</v>
      </c>
      <c r="AW17" s="533" t="e">
        <f>AI17*#REF!+AI16*#REF!+AI15*#REF!</f>
        <v>#REF!</v>
      </c>
      <c r="AX17" s="537"/>
      <c r="AY17" s="563">
        <f t="shared" si="31"/>
        <v>1.018486877552248</v>
      </c>
      <c r="AZ17" s="533">
        <f t="shared" si="32"/>
        <v>0</v>
      </c>
      <c r="BA17" s="533">
        <f>BA16*[1]mProject!V21</f>
        <v>0</v>
      </c>
      <c r="BB17" s="533">
        <f t="shared" si="33"/>
        <v>0</v>
      </c>
      <c r="BC17" s="539"/>
      <c r="BD17" s="533">
        <f>((BB17/100)*(i_CFD.ObliRate/12))*[1]i.Finance!$O$64</f>
        <v>0</v>
      </c>
      <c r="BE17" s="533">
        <f>(AZ17/100*[1]i.Finance!$O$61)*[1]i.Finance!$O$64</f>
        <v>0</v>
      </c>
      <c r="BF17" s="533">
        <f>(AZ17/100*[1]i.Finance!$O$65)</f>
        <v>0</v>
      </c>
      <c r="BG17" s="546">
        <f t="shared" si="18"/>
        <v>0</v>
      </c>
      <c r="BH17" s="534"/>
      <c r="BI17" s="533">
        <f>-PV([1]i.Finance!$O$63/12,[1]i.Finance!$O$62*12,mCFD!BG17)</f>
        <v>0</v>
      </c>
      <c r="BJ17" s="533">
        <f>BI17*[1]i.Finance!$O$58</f>
        <v>0</v>
      </c>
      <c r="BK17" s="533"/>
      <c r="BL17" s="533"/>
      <c r="BP17" s="533"/>
      <c r="BQ17" s="533"/>
      <c r="BR17" s="533" t="e">
        <f t="shared" si="19"/>
        <v>#NAME?</v>
      </c>
      <c r="BS17" s="533" t="e">
        <f t="shared" si="20"/>
        <v>#NAME?</v>
      </c>
      <c r="BT17" s="533" t="e">
        <f t="shared" si="21"/>
        <v>#NAME?</v>
      </c>
      <c r="BU17" s="533"/>
    </row>
    <row r="18" spans="1:73" ht="20" outlineLevel="1" thickBot="1">
      <c r="A18" s="366"/>
      <c r="B18" s="562"/>
      <c r="C18" s="366"/>
      <c r="D18" s="454"/>
      <c r="E18" s="564">
        <f t="shared" si="34"/>
        <v>12</v>
      </c>
      <c r="F18" s="564">
        <f t="shared" si="22"/>
        <v>4</v>
      </c>
      <c r="G18" s="564">
        <f t="shared" si="23"/>
        <v>2</v>
      </c>
      <c r="H18" s="565">
        <f t="shared" si="24"/>
        <v>44196</v>
      </c>
      <c r="I18" s="566">
        <f t="shared" si="0"/>
        <v>2020</v>
      </c>
      <c r="K18" s="564">
        <f>[1]mProject!KB22</f>
        <v>0</v>
      </c>
      <c r="L18" s="564">
        <f t="shared" si="1"/>
        <v>0</v>
      </c>
      <c r="M18" s="564">
        <f t="shared" si="2"/>
        <v>295000</v>
      </c>
      <c r="N18" s="564">
        <f t="shared" si="3"/>
        <v>0</v>
      </c>
      <c r="O18" s="564">
        <f t="shared" si="25"/>
        <v>0</v>
      </c>
      <c r="P18" s="564">
        <f>[1]mProject!W22</f>
        <v>295000</v>
      </c>
      <c r="Q18" s="564">
        <f t="shared" si="4"/>
        <v>0</v>
      </c>
      <c r="R18" s="564">
        <f t="shared" si="26"/>
        <v>0</v>
      </c>
      <c r="T18" s="564">
        <v>0</v>
      </c>
      <c r="U18" s="564">
        <f t="shared" si="5"/>
        <v>0</v>
      </c>
      <c r="V18" s="564">
        <f>IF(T18=0,0,$V$7*(1+#REF!)^#REF!)</f>
        <v>0</v>
      </c>
      <c r="W18" s="564">
        <f t="shared" si="27"/>
        <v>0</v>
      </c>
      <c r="X18" s="564">
        <f t="shared" si="6"/>
        <v>0</v>
      </c>
      <c r="Y18" s="564">
        <f t="shared" si="7"/>
        <v>0</v>
      </c>
      <c r="AA18" s="564">
        <v>0</v>
      </c>
      <c r="AB18" s="564">
        <f t="shared" si="8"/>
        <v>0</v>
      </c>
      <c r="AC18" s="564">
        <f>IF(AA18=0,0,$V$7*(1+#REF!)^#REF!)</f>
        <v>0</v>
      </c>
      <c r="AD18" s="564">
        <f t="shared" si="28"/>
        <v>0</v>
      </c>
      <c r="AE18" s="564">
        <f t="shared" si="9"/>
        <v>0</v>
      </c>
      <c r="AF18" s="564">
        <f t="shared" si="10"/>
        <v>0</v>
      </c>
      <c r="AH18" s="564">
        <f t="shared" si="11"/>
        <v>0</v>
      </c>
      <c r="AI18" s="564">
        <f t="shared" si="29"/>
        <v>0</v>
      </c>
      <c r="AJ18" s="564">
        <f t="shared" si="12"/>
        <v>0</v>
      </c>
      <c r="AK18" s="564">
        <f>AJ18*[1]mProject!V22</f>
        <v>0</v>
      </c>
      <c r="AL18" s="564">
        <f t="shared" si="13"/>
        <v>0</v>
      </c>
      <c r="AM18" s="564">
        <f t="shared" si="14"/>
        <v>0</v>
      </c>
      <c r="AN18" s="534"/>
      <c r="AO18" s="567" t="e">
        <f t="shared" si="30"/>
        <v>#REF!</v>
      </c>
      <c r="AP18" s="567"/>
      <c r="AQ18" s="567"/>
      <c r="AR18" s="568"/>
      <c r="AS18" s="564"/>
      <c r="AT18" s="564"/>
      <c r="AU18" s="564"/>
      <c r="AV18" s="564">
        <f t="shared" si="15"/>
        <v>0</v>
      </c>
      <c r="AW18" s="564" t="e">
        <f>AI18*#REF!+AI17*#REF!+AI16*#REF!</f>
        <v>#REF!</v>
      </c>
      <c r="AX18" s="537"/>
      <c r="AY18" s="569">
        <f t="shared" si="31"/>
        <v>1.0201843556815018</v>
      </c>
      <c r="AZ18" s="564">
        <f t="shared" si="32"/>
        <v>0</v>
      </c>
      <c r="BA18" s="564">
        <f>BA17*[1]mProject!V22</f>
        <v>0</v>
      </c>
      <c r="BB18" s="564">
        <f t="shared" si="33"/>
        <v>0</v>
      </c>
      <c r="BC18" s="539"/>
      <c r="BD18" s="564">
        <f>((BB18/100)*(i_CFD.ObliRate/12))*[1]i.Finance!$O$64</f>
        <v>0</v>
      </c>
      <c r="BE18" s="564">
        <f>(AZ18/100*[1]i.Finance!$O$61)*[1]i.Finance!$O$64</f>
        <v>0</v>
      </c>
      <c r="BF18" s="564">
        <f>(AZ18/100*[1]i.Finance!$O$65)</f>
        <v>0</v>
      </c>
      <c r="BG18" s="570">
        <f t="shared" si="18"/>
        <v>0</v>
      </c>
      <c r="BH18" s="534"/>
      <c r="BI18" s="564">
        <f>-PV([1]i.Finance!$O$63/12,[1]i.Finance!$O$62*12,mCFD!BG18)</f>
        <v>0</v>
      </c>
      <c r="BJ18" s="564">
        <f>BI18*[1]i.Finance!$O$58</f>
        <v>0</v>
      </c>
      <c r="BK18" s="564"/>
      <c r="BL18" s="564"/>
      <c r="BP18" s="564"/>
      <c r="BQ18" s="564"/>
      <c r="BR18" s="564" t="e">
        <f t="shared" si="19"/>
        <v>#NAME?</v>
      </c>
      <c r="BS18" s="564" t="e">
        <f t="shared" si="20"/>
        <v>#NAME?</v>
      </c>
      <c r="BT18" s="564" t="e">
        <f t="shared" si="21"/>
        <v>#NAME?</v>
      </c>
      <c r="BU18" s="564"/>
    </row>
    <row r="19" spans="1:73" ht="19" outlineLevel="1">
      <c r="A19" s="366"/>
      <c r="B19" s="562"/>
      <c r="C19" s="366"/>
      <c r="D19" s="454"/>
      <c r="E19" s="530">
        <f t="shared" si="34"/>
        <v>13</v>
      </c>
      <c r="F19" s="530">
        <f t="shared" si="22"/>
        <v>5</v>
      </c>
      <c r="G19" s="530">
        <f t="shared" si="23"/>
        <v>2</v>
      </c>
      <c r="H19" s="571">
        <f t="shared" si="24"/>
        <v>44227</v>
      </c>
      <c r="I19" s="532">
        <f t="shared" si="0"/>
        <v>2021</v>
      </c>
      <c r="K19" s="530">
        <f>[1]mProject!KB23</f>
        <v>0</v>
      </c>
      <c r="L19" s="530">
        <f t="shared" si="1"/>
        <v>0</v>
      </c>
      <c r="M19" s="530">
        <f t="shared" si="2"/>
        <v>295000</v>
      </c>
      <c r="N19" s="530">
        <f t="shared" si="3"/>
        <v>0</v>
      </c>
      <c r="O19" s="530">
        <f t="shared" si="25"/>
        <v>0</v>
      </c>
      <c r="P19" s="530">
        <f>[1]mProject!W23</f>
        <v>295000</v>
      </c>
      <c r="Q19" s="530">
        <f t="shared" si="4"/>
        <v>0</v>
      </c>
      <c r="R19" s="530">
        <f t="shared" si="26"/>
        <v>0</v>
      </c>
      <c r="T19" s="530">
        <v>0</v>
      </c>
      <c r="U19" s="530">
        <f t="shared" si="5"/>
        <v>0</v>
      </c>
      <c r="V19" s="530">
        <f>IF(T19=0,0,$V$7*(1+#REF!)^#REF!)</f>
        <v>0</v>
      </c>
      <c r="W19" s="530">
        <f t="shared" si="27"/>
        <v>0</v>
      </c>
      <c r="X19" s="530">
        <f t="shared" si="6"/>
        <v>0</v>
      </c>
      <c r="Y19" s="530">
        <f t="shared" si="7"/>
        <v>0</v>
      </c>
      <c r="AA19" s="530">
        <v>0</v>
      </c>
      <c r="AB19" s="530">
        <f t="shared" si="8"/>
        <v>0</v>
      </c>
      <c r="AC19" s="530">
        <f>IF(AA19=0,0,$V$7*(1+#REF!)^#REF!)</f>
        <v>0</v>
      </c>
      <c r="AD19" s="530">
        <f t="shared" si="28"/>
        <v>0</v>
      </c>
      <c r="AE19" s="530">
        <f t="shared" si="9"/>
        <v>0</v>
      </c>
      <c r="AF19" s="530">
        <f t="shared" si="10"/>
        <v>0</v>
      </c>
      <c r="AH19" s="530">
        <f t="shared" si="11"/>
        <v>0</v>
      </c>
      <c r="AI19" s="530">
        <f t="shared" si="29"/>
        <v>0</v>
      </c>
      <c r="AJ19" s="530">
        <f t="shared" si="12"/>
        <v>0</v>
      </c>
      <c r="AK19" s="530">
        <f>AJ19*[1]mProject!V23</f>
        <v>0</v>
      </c>
      <c r="AL19" s="530">
        <f t="shared" si="13"/>
        <v>0</v>
      </c>
      <c r="AM19" s="530">
        <f t="shared" si="14"/>
        <v>0</v>
      </c>
      <c r="AN19" s="534"/>
      <c r="AO19" s="572" t="e">
        <f t="shared" ref="AO19:AO82" si="35">$L19*AO$6</f>
        <v>#REF!</v>
      </c>
      <c r="AP19" s="535" t="e">
        <f t="shared" ref="AP19:AP30" si="36">R7*$AP$6</f>
        <v>#REF!</v>
      </c>
      <c r="AQ19" s="535"/>
      <c r="AR19" s="573" t="e">
        <f t="shared" ref="AR19:AR82" si="37">SUM(AO19:AQ19)</f>
        <v>#REF!</v>
      </c>
      <c r="AS19" s="530" t="e">
        <f>AR19*P19</f>
        <v>#REF!</v>
      </c>
      <c r="AT19" s="530"/>
      <c r="AU19" s="530"/>
      <c r="AV19" s="530" t="e">
        <f t="shared" si="15"/>
        <v>#REF!</v>
      </c>
      <c r="AW19" s="530" t="e">
        <f>AI19*#REF!+AI18*#REF!+AI17*#REF!</f>
        <v>#REF!</v>
      </c>
      <c r="AX19" s="537"/>
      <c r="AY19" s="574">
        <f t="shared" si="31"/>
        <v>1.021884662940971</v>
      </c>
      <c r="AZ19" s="530">
        <f t="shared" si="32"/>
        <v>0</v>
      </c>
      <c r="BA19" s="530">
        <f>BA18*[1]mProject!V23</f>
        <v>0</v>
      </c>
      <c r="BB19" s="530">
        <f t="shared" ref="BB19:BB82" si="38">BB18+AZ19+BA19</f>
        <v>0</v>
      </c>
      <c r="BC19" s="539"/>
      <c r="BD19" s="530">
        <f>((BB19/100)*(i_CFD.ObliRate/12))*[1]i.Finance!$O$64</f>
        <v>0</v>
      </c>
      <c r="BE19" s="530">
        <f>(AZ19/100*[1]i.Finance!$O$61)*[1]i.Finance!$O$64</f>
        <v>0</v>
      </c>
      <c r="BF19" s="530">
        <f>(AZ19/100*[1]i.Finance!$O$65)</f>
        <v>0</v>
      </c>
      <c r="BG19" s="540">
        <f t="shared" si="18"/>
        <v>0</v>
      </c>
      <c r="BH19" s="534"/>
      <c r="BI19" s="530">
        <f>-PV([1]i.Finance!$O$63/12,[1]i.Finance!$O$62*12,mCFD!BG19)</f>
        <v>0</v>
      </c>
      <c r="BJ19" s="530">
        <f>BI19*[1]i.Finance!$O$58</f>
        <v>0</v>
      </c>
      <c r="BK19" s="530"/>
      <c r="BL19" s="530"/>
      <c r="BP19" s="530"/>
      <c r="BQ19" s="530"/>
      <c r="BR19" s="530" t="e">
        <f t="shared" si="19"/>
        <v>#NAME?</v>
      </c>
      <c r="BS19" s="530" t="e">
        <f t="shared" si="20"/>
        <v>#NAME?</v>
      </c>
      <c r="BT19" s="530" t="e">
        <f t="shared" si="21"/>
        <v>#NAME?</v>
      </c>
      <c r="BU19" s="530"/>
    </row>
    <row r="20" spans="1:73" ht="19" outlineLevel="1">
      <c r="A20" s="366"/>
      <c r="B20" s="562"/>
      <c r="C20" s="366"/>
      <c r="D20" s="454"/>
      <c r="E20" s="533">
        <f t="shared" si="34"/>
        <v>14</v>
      </c>
      <c r="F20" s="533">
        <f t="shared" si="22"/>
        <v>5</v>
      </c>
      <c r="G20" s="533">
        <f t="shared" si="23"/>
        <v>2</v>
      </c>
      <c r="H20" s="541">
        <f t="shared" si="24"/>
        <v>44255</v>
      </c>
      <c r="I20" s="542">
        <f t="shared" si="0"/>
        <v>2021</v>
      </c>
      <c r="K20" s="533">
        <f>[1]mProject!KB24</f>
        <v>0</v>
      </c>
      <c r="L20" s="533">
        <f t="shared" si="1"/>
        <v>0</v>
      </c>
      <c r="M20" s="533">
        <f t="shared" si="2"/>
        <v>295000</v>
      </c>
      <c r="N20" s="533">
        <f t="shared" si="3"/>
        <v>0</v>
      </c>
      <c r="O20" s="533">
        <f t="shared" si="25"/>
        <v>0</v>
      </c>
      <c r="P20" s="533">
        <f>[1]mProject!W24</f>
        <v>295000</v>
      </c>
      <c r="Q20" s="533">
        <f t="shared" si="4"/>
        <v>0</v>
      </c>
      <c r="R20" s="533">
        <f t="shared" si="26"/>
        <v>0</v>
      </c>
      <c r="T20" s="533">
        <v>0</v>
      </c>
      <c r="U20" s="533">
        <f t="shared" si="5"/>
        <v>0</v>
      </c>
      <c r="V20" s="533">
        <f>IF(T20=0,0,$V$7*(1+#REF!)^#REF!)</f>
        <v>0</v>
      </c>
      <c r="W20" s="533">
        <f t="shared" si="27"/>
        <v>0</v>
      </c>
      <c r="X20" s="533">
        <f t="shared" si="6"/>
        <v>0</v>
      </c>
      <c r="Y20" s="533">
        <f t="shared" si="7"/>
        <v>0</v>
      </c>
      <c r="AA20" s="533">
        <v>0</v>
      </c>
      <c r="AB20" s="533">
        <f t="shared" si="8"/>
        <v>0</v>
      </c>
      <c r="AC20" s="533">
        <f>IF(AA20=0,0,$V$7*(1+#REF!)^#REF!)</f>
        <v>0</v>
      </c>
      <c r="AD20" s="533">
        <f t="shared" si="28"/>
        <v>0</v>
      </c>
      <c r="AE20" s="533">
        <f t="shared" si="9"/>
        <v>0</v>
      </c>
      <c r="AF20" s="533">
        <f t="shared" si="10"/>
        <v>0</v>
      </c>
      <c r="AH20" s="533">
        <f t="shared" si="11"/>
        <v>0</v>
      </c>
      <c r="AI20" s="533">
        <f t="shared" si="29"/>
        <v>0</v>
      </c>
      <c r="AJ20" s="533">
        <f t="shared" si="12"/>
        <v>0</v>
      </c>
      <c r="AK20" s="533">
        <f>AJ20*[1]mProject!V24</f>
        <v>0</v>
      </c>
      <c r="AL20" s="533">
        <f t="shared" si="13"/>
        <v>0</v>
      </c>
      <c r="AM20" s="533">
        <f t="shared" si="14"/>
        <v>0</v>
      </c>
      <c r="AN20" s="534"/>
      <c r="AO20" s="575" t="e">
        <f t="shared" si="35"/>
        <v>#REF!</v>
      </c>
      <c r="AP20" s="543" t="e">
        <f t="shared" si="36"/>
        <v>#REF!</v>
      </c>
      <c r="AQ20" s="543"/>
      <c r="AR20" s="576" t="e">
        <f t="shared" si="37"/>
        <v>#REF!</v>
      </c>
      <c r="AS20" s="533" t="e">
        <f t="shared" ref="AS20:AS27" si="39">AR20*M20</f>
        <v>#REF!</v>
      </c>
      <c r="AT20" s="533"/>
      <c r="AU20" s="533"/>
      <c r="AV20" s="533" t="e">
        <f t="shared" si="15"/>
        <v>#REF!</v>
      </c>
      <c r="AW20" s="533" t="e">
        <f>AI20*#REF!+AI19*#REF!+AI18*#REF!</f>
        <v>#REF!</v>
      </c>
      <c r="AX20" s="537"/>
      <c r="AY20" s="563">
        <f t="shared" si="31"/>
        <v>1.0235878040458726</v>
      </c>
      <c r="AZ20" s="533">
        <f t="shared" si="32"/>
        <v>0</v>
      </c>
      <c r="BA20" s="533">
        <f>BA19*[1]mProject!V24</f>
        <v>0</v>
      </c>
      <c r="BB20" s="533">
        <f t="shared" si="38"/>
        <v>0</v>
      </c>
      <c r="BC20" s="539"/>
      <c r="BD20" s="533">
        <f>((BB20/100)*(i_CFD.ObliRate/12))*[1]i.Finance!$O$64</f>
        <v>0</v>
      </c>
      <c r="BE20" s="533">
        <f>(AZ20/100*[1]i.Finance!$O$61)*[1]i.Finance!$O$64</f>
        <v>0</v>
      </c>
      <c r="BF20" s="533">
        <f>(AZ20/100*[1]i.Finance!$O$65)</f>
        <v>0</v>
      </c>
      <c r="BG20" s="546">
        <f t="shared" si="18"/>
        <v>0</v>
      </c>
      <c r="BH20" s="534"/>
      <c r="BI20" s="533">
        <f>-PV([1]i.Finance!$O$63/12,[1]i.Finance!$O$62*12,mCFD!BG20)</f>
        <v>0</v>
      </c>
      <c r="BJ20" s="533">
        <f>BI20*[1]i.Finance!$O$58</f>
        <v>0</v>
      </c>
      <c r="BK20" s="533"/>
      <c r="BL20" s="533"/>
      <c r="BP20" s="533"/>
      <c r="BQ20" s="533"/>
      <c r="BR20" s="533" t="e">
        <f t="shared" si="19"/>
        <v>#NAME?</v>
      </c>
      <c r="BS20" s="533" t="e">
        <f t="shared" si="20"/>
        <v>#NAME?</v>
      </c>
      <c r="BT20" s="533" t="e">
        <f t="shared" si="21"/>
        <v>#NAME?</v>
      </c>
      <c r="BU20" s="533"/>
    </row>
    <row r="21" spans="1:73" ht="19" outlineLevel="1">
      <c r="A21" s="366"/>
      <c r="B21" s="562"/>
      <c r="C21" s="366"/>
      <c r="D21" s="454"/>
      <c r="E21" s="547">
        <f t="shared" si="34"/>
        <v>15</v>
      </c>
      <c r="F21" s="547">
        <f t="shared" si="22"/>
        <v>5</v>
      </c>
      <c r="G21" s="547">
        <f t="shared" si="23"/>
        <v>2</v>
      </c>
      <c r="H21" s="548">
        <f t="shared" si="24"/>
        <v>44286</v>
      </c>
      <c r="I21" s="549">
        <f t="shared" si="0"/>
        <v>2021</v>
      </c>
      <c r="K21" s="547">
        <f>[1]mProject!KB25</f>
        <v>0</v>
      </c>
      <c r="L21" s="547">
        <f t="shared" si="1"/>
        <v>0</v>
      </c>
      <c r="M21" s="547">
        <f t="shared" si="2"/>
        <v>295000</v>
      </c>
      <c r="N21" s="547">
        <f t="shared" si="3"/>
        <v>0</v>
      </c>
      <c r="O21" s="547">
        <f t="shared" si="25"/>
        <v>0</v>
      </c>
      <c r="P21" s="547">
        <f>[1]mProject!W25</f>
        <v>295000</v>
      </c>
      <c r="Q21" s="547">
        <f t="shared" si="4"/>
        <v>0</v>
      </c>
      <c r="R21" s="547">
        <f t="shared" si="26"/>
        <v>0</v>
      </c>
      <c r="T21" s="547">
        <v>0</v>
      </c>
      <c r="U21" s="547">
        <f t="shared" si="5"/>
        <v>0</v>
      </c>
      <c r="V21" s="547">
        <f>IF(T21=0,0,$V$7*(1+#REF!)^#REF!)</f>
        <v>0</v>
      </c>
      <c r="W21" s="547">
        <f t="shared" si="27"/>
        <v>0</v>
      </c>
      <c r="X21" s="547">
        <f t="shared" si="6"/>
        <v>0</v>
      </c>
      <c r="Y21" s="547">
        <f t="shared" si="7"/>
        <v>0</v>
      </c>
      <c r="AA21" s="547">
        <v>0</v>
      </c>
      <c r="AB21" s="547">
        <f t="shared" si="8"/>
        <v>0</v>
      </c>
      <c r="AC21" s="547">
        <f>IF(AA21=0,0,$V$7*(1+#REF!)^#REF!)</f>
        <v>0</v>
      </c>
      <c r="AD21" s="547">
        <f t="shared" si="28"/>
        <v>0</v>
      </c>
      <c r="AE21" s="547">
        <f t="shared" si="9"/>
        <v>0</v>
      </c>
      <c r="AF21" s="547">
        <f t="shared" si="10"/>
        <v>0</v>
      </c>
      <c r="AH21" s="547">
        <f t="shared" si="11"/>
        <v>0</v>
      </c>
      <c r="AI21" s="547">
        <f t="shared" si="29"/>
        <v>0</v>
      </c>
      <c r="AJ21" s="547">
        <f t="shared" si="12"/>
        <v>0</v>
      </c>
      <c r="AK21" s="547">
        <f>AJ21*[1]mProject!V25</f>
        <v>0</v>
      </c>
      <c r="AL21" s="547">
        <f t="shared" si="13"/>
        <v>0</v>
      </c>
      <c r="AM21" s="547">
        <f t="shared" si="14"/>
        <v>0</v>
      </c>
      <c r="AN21" s="534"/>
      <c r="AO21" s="577" t="e">
        <f t="shared" si="35"/>
        <v>#REF!</v>
      </c>
      <c r="AP21" s="550" t="e">
        <f t="shared" si="36"/>
        <v>#REF!</v>
      </c>
      <c r="AQ21" s="550"/>
      <c r="AR21" s="578" t="e">
        <f t="shared" si="37"/>
        <v>#REF!</v>
      </c>
      <c r="AS21" s="547" t="e">
        <f t="shared" si="39"/>
        <v>#REF!</v>
      </c>
      <c r="AT21" s="547"/>
      <c r="AU21" s="547"/>
      <c r="AV21" s="547" t="e">
        <f t="shared" si="15"/>
        <v>#REF!</v>
      </c>
      <c r="AW21" s="547" t="e">
        <f>AI21*#REF!+AI20*#REF!+AI19*#REF!</f>
        <v>#REF!</v>
      </c>
      <c r="AX21" s="537"/>
      <c r="AY21" s="579">
        <f t="shared" si="31"/>
        <v>1.0252937837192824</v>
      </c>
      <c r="AZ21" s="547">
        <f t="shared" si="32"/>
        <v>0</v>
      </c>
      <c r="BA21" s="547">
        <f>BA20*[1]mProject!V25</f>
        <v>0</v>
      </c>
      <c r="BB21" s="547">
        <f t="shared" si="38"/>
        <v>0</v>
      </c>
      <c r="BC21" s="539"/>
      <c r="BD21" s="547">
        <f>((BB21/100)*(i_CFD.ObliRate/12))*[1]i.Finance!$O$64</f>
        <v>0</v>
      </c>
      <c r="BE21" s="547">
        <f>(AZ21/100*[1]i.Finance!$O$61)*[1]i.Finance!$O$64</f>
        <v>0</v>
      </c>
      <c r="BF21" s="547">
        <f>(AZ21/100*[1]i.Finance!$O$65)</f>
        <v>0</v>
      </c>
      <c r="BG21" s="553">
        <f t="shared" si="18"/>
        <v>0</v>
      </c>
      <c r="BH21" s="534"/>
      <c r="BI21" s="547">
        <f>-PV([1]i.Finance!$O$63/12,[1]i.Finance!$O$62*12,mCFD!BG21)</f>
        <v>0</v>
      </c>
      <c r="BJ21" s="547">
        <f>BI21*[1]i.Finance!$O$58</f>
        <v>0</v>
      </c>
      <c r="BK21" s="547"/>
      <c r="BL21" s="547"/>
      <c r="BP21" s="547"/>
      <c r="BQ21" s="547"/>
      <c r="BR21" s="547" t="e">
        <f t="shared" si="19"/>
        <v>#NAME?</v>
      </c>
      <c r="BS21" s="547" t="e">
        <f t="shared" si="20"/>
        <v>#NAME?</v>
      </c>
      <c r="BT21" s="547" t="e">
        <f t="shared" si="21"/>
        <v>#NAME?</v>
      </c>
      <c r="BU21" s="547"/>
    </row>
    <row r="22" spans="1:73" ht="19" outlineLevel="1">
      <c r="A22" s="366"/>
      <c r="B22" s="562"/>
      <c r="C22" s="366"/>
      <c r="D22" s="454"/>
      <c r="E22" s="530">
        <f t="shared" si="34"/>
        <v>16</v>
      </c>
      <c r="F22" s="530">
        <f t="shared" si="22"/>
        <v>6</v>
      </c>
      <c r="G22" s="530">
        <f t="shared" si="23"/>
        <v>2</v>
      </c>
      <c r="H22" s="554">
        <f t="shared" si="24"/>
        <v>44316</v>
      </c>
      <c r="I22" s="555">
        <f t="shared" si="0"/>
        <v>2021</v>
      </c>
      <c r="K22" s="530">
        <f>[1]mProject!KB26</f>
        <v>0</v>
      </c>
      <c r="L22" s="530">
        <f t="shared" si="1"/>
        <v>0</v>
      </c>
      <c r="M22" s="530">
        <f t="shared" si="2"/>
        <v>295000</v>
      </c>
      <c r="N22" s="530">
        <f t="shared" si="3"/>
        <v>0</v>
      </c>
      <c r="O22" s="530">
        <f t="shared" si="25"/>
        <v>0</v>
      </c>
      <c r="P22" s="530">
        <f>[1]mProject!W26</f>
        <v>295000</v>
      </c>
      <c r="Q22" s="530">
        <f t="shared" si="4"/>
        <v>0</v>
      </c>
      <c r="R22" s="530">
        <f t="shared" si="26"/>
        <v>0</v>
      </c>
      <c r="T22" s="530">
        <v>0</v>
      </c>
      <c r="U22" s="530">
        <f t="shared" si="5"/>
        <v>0</v>
      </c>
      <c r="V22" s="530">
        <f>IF(T22=0,0,$V$7*(1+#REF!)^#REF!)</f>
        <v>0</v>
      </c>
      <c r="W22" s="530">
        <f t="shared" si="27"/>
        <v>0</v>
      </c>
      <c r="X22" s="530">
        <f t="shared" si="6"/>
        <v>0</v>
      </c>
      <c r="Y22" s="530">
        <f t="shared" si="7"/>
        <v>0</v>
      </c>
      <c r="AA22" s="530">
        <v>0</v>
      </c>
      <c r="AB22" s="530">
        <f t="shared" si="8"/>
        <v>0</v>
      </c>
      <c r="AC22" s="530">
        <f>IF(AA22=0,0,$V$7*(1+#REF!)^#REF!)</f>
        <v>0</v>
      </c>
      <c r="AD22" s="530">
        <f t="shared" si="28"/>
        <v>0</v>
      </c>
      <c r="AE22" s="530">
        <f t="shared" si="9"/>
        <v>0</v>
      </c>
      <c r="AF22" s="530">
        <f t="shared" si="10"/>
        <v>0</v>
      </c>
      <c r="AH22" s="530">
        <f t="shared" si="11"/>
        <v>0</v>
      </c>
      <c r="AI22" s="530">
        <f t="shared" si="29"/>
        <v>0</v>
      </c>
      <c r="AJ22" s="530">
        <f t="shared" si="12"/>
        <v>0</v>
      </c>
      <c r="AK22" s="530">
        <f>AJ22*[1]mProject!V26</f>
        <v>0</v>
      </c>
      <c r="AL22" s="530">
        <f t="shared" si="13"/>
        <v>0</v>
      </c>
      <c r="AM22" s="530">
        <f t="shared" si="14"/>
        <v>0</v>
      </c>
      <c r="AN22" s="534"/>
      <c r="AO22" s="572" t="e">
        <f t="shared" si="35"/>
        <v>#REF!</v>
      </c>
      <c r="AP22" s="556" t="e">
        <f t="shared" si="36"/>
        <v>#REF!</v>
      </c>
      <c r="AQ22" s="556"/>
      <c r="AR22" s="573" t="e">
        <f t="shared" si="37"/>
        <v>#REF!</v>
      </c>
      <c r="AS22" s="530" t="e">
        <f t="shared" si="39"/>
        <v>#REF!</v>
      </c>
      <c r="AT22" s="530"/>
      <c r="AU22" s="530"/>
      <c r="AV22" s="530" t="e">
        <f t="shared" si="15"/>
        <v>#REF!</v>
      </c>
      <c r="AW22" s="530" t="e">
        <f>AI22*#REF!+AI21*#REF!+AI20*#REF!</f>
        <v>#REF!</v>
      </c>
      <c r="AX22" s="537"/>
      <c r="AY22" s="574">
        <f t="shared" si="31"/>
        <v>1.0270026066921478</v>
      </c>
      <c r="AZ22" s="530">
        <f t="shared" si="32"/>
        <v>0</v>
      </c>
      <c r="BA22" s="530">
        <f>BA21*[1]mProject!V26</f>
        <v>0</v>
      </c>
      <c r="BB22" s="530">
        <f t="shared" si="38"/>
        <v>0</v>
      </c>
      <c r="BC22" s="539"/>
      <c r="BD22" s="530">
        <f>((BB22/100)*(i_CFD.ObliRate/12))*[1]i.Finance!$O$64</f>
        <v>0</v>
      </c>
      <c r="BE22" s="530">
        <f>(AZ22/100*[1]i.Finance!$O$61)*[1]i.Finance!$O$64</f>
        <v>0</v>
      </c>
      <c r="BF22" s="530">
        <f>(AZ22/100*[1]i.Finance!$O$65)</f>
        <v>0</v>
      </c>
      <c r="BG22" s="540">
        <f t="shared" si="18"/>
        <v>0</v>
      </c>
      <c r="BH22" s="534"/>
      <c r="BI22" s="530">
        <f>-PV([1]i.Finance!$O$63/12,[1]i.Finance!$O$62*12,mCFD!BG22)</f>
        <v>0</v>
      </c>
      <c r="BJ22" s="530">
        <f>BI22*[1]i.Finance!$O$58</f>
        <v>0</v>
      </c>
      <c r="BK22" s="530"/>
      <c r="BL22" s="530"/>
      <c r="BP22" s="530"/>
      <c r="BQ22" s="530"/>
      <c r="BR22" s="530" t="e">
        <f t="shared" si="19"/>
        <v>#NAME?</v>
      </c>
      <c r="BS22" s="530" t="e">
        <f t="shared" si="20"/>
        <v>#NAME?</v>
      </c>
      <c r="BT22" s="530" t="e">
        <f t="shared" si="21"/>
        <v>#NAME?</v>
      </c>
      <c r="BU22" s="530"/>
    </row>
    <row r="23" spans="1:73" ht="19" outlineLevel="1">
      <c r="A23" s="366"/>
      <c r="B23" s="562"/>
      <c r="C23" s="366"/>
      <c r="D23" s="454"/>
      <c r="E23" s="533">
        <f t="shared" si="34"/>
        <v>17</v>
      </c>
      <c r="F23" s="533">
        <f t="shared" si="22"/>
        <v>6</v>
      </c>
      <c r="G23" s="533">
        <f t="shared" si="23"/>
        <v>2</v>
      </c>
      <c r="H23" s="541">
        <f t="shared" si="24"/>
        <v>44347</v>
      </c>
      <c r="I23" s="542">
        <f t="shared" si="0"/>
        <v>2021</v>
      </c>
      <c r="K23" s="533">
        <f>[1]mProject!KB27</f>
        <v>0</v>
      </c>
      <c r="L23" s="533">
        <f t="shared" si="1"/>
        <v>0</v>
      </c>
      <c r="M23" s="533">
        <f t="shared" si="2"/>
        <v>295000</v>
      </c>
      <c r="N23" s="533">
        <f t="shared" si="3"/>
        <v>0</v>
      </c>
      <c r="O23" s="533">
        <f t="shared" si="25"/>
        <v>0</v>
      </c>
      <c r="P23" s="533">
        <f>[1]mProject!W27</f>
        <v>295000</v>
      </c>
      <c r="Q23" s="533">
        <f t="shared" si="4"/>
        <v>0</v>
      </c>
      <c r="R23" s="533">
        <f t="shared" si="26"/>
        <v>0</v>
      </c>
      <c r="T23" s="533">
        <v>0</v>
      </c>
      <c r="U23" s="533">
        <f t="shared" si="5"/>
        <v>0</v>
      </c>
      <c r="V23" s="533">
        <f>IF(T23=0,0,$V$7*(1+#REF!)^#REF!)</f>
        <v>0</v>
      </c>
      <c r="W23" s="533">
        <f t="shared" si="27"/>
        <v>0</v>
      </c>
      <c r="X23" s="533">
        <f t="shared" si="6"/>
        <v>0</v>
      </c>
      <c r="Y23" s="533">
        <f t="shared" si="7"/>
        <v>0</v>
      </c>
      <c r="AA23" s="533">
        <v>0</v>
      </c>
      <c r="AB23" s="533">
        <f t="shared" si="8"/>
        <v>0</v>
      </c>
      <c r="AC23" s="533">
        <f>IF(AA23=0,0,$V$7*(1+#REF!)^#REF!)</f>
        <v>0</v>
      </c>
      <c r="AD23" s="533">
        <f t="shared" si="28"/>
        <v>0</v>
      </c>
      <c r="AE23" s="533">
        <f t="shared" si="9"/>
        <v>0</v>
      </c>
      <c r="AF23" s="533">
        <f t="shared" si="10"/>
        <v>0</v>
      </c>
      <c r="AH23" s="533">
        <f t="shared" si="11"/>
        <v>0</v>
      </c>
      <c r="AI23" s="533">
        <f t="shared" si="29"/>
        <v>0</v>
      </c>
      <c r="AJ23" s="533">
        <f t="shared" si="12"/>
        <v>0</v>
      </c>
      <c r="AK23" s="533">
        <f>AJ23*[1]mProject!V27</f>
        <v>0</v>
      </c>
      <c r="AL23" s="533">
        <f t="shared" si="13"/>
        <v>0</v>
      </c>
      <c r="AM23" s="533">
        <f t="shared" si="14"/>
        <v>0</v>
      </c>
      <c r="AN23" s="534"/>
      <c r="AO23" s="575" t="e">
        <f t="shared" si="35"/>
        <v>#REF!</v>
      </c>
      <c r="AP23" s="543" t="e">
        <f t="shared" si="36"/>
        <v>#REF!</v>
      </c>
      <c r="AQ23" s="543"/>
      <c r="AR23" s="576" t="e">
        <f t="shared" si="37"/>
        <v>#REF!</v>
      </c>
      <c r="AS23" s="533" t="e">
        <f t="shared" si="39"/>
        <v>#REF!</v>
      </c>
      <c r="AT23" s="533"/>
      <c r="AU23" s="533"/>
      <c r="AV23" s="533" t="e">
        <f t="shared" si="15"/>
        <v>#REF!</v>
      </c>
      <c r="AW23" s="533" t="e">
        <f>AI23*#REF!+AI22*#REF!+AI21*#REF!</f>
        <v>#REF!</v>
      </c>
      <c r="AX23" s="537"/>
      <c r="AY23" s="563">
        <f t="shared" si="31"/>
        <v>1.0287142777033014</v>
      </c>
      <c r="AZ23" s="533">
        <f t="shared" si="32"/>
        <v>0</v>
      </c>
      <c r="BA23" s="533">
        <f>BA22*[1]mProject!V27</f>
        <v>0</v>
      </c>
      <c r="BB23" s="533">
        <f t="shared" si="38"/>
        <v>0</v>
      </c>
      <c r="BC23" s="539"/>
      <c r="BD23" s="533">
        <f>((BB23/100)*(i_CFD.ObliRate/12))*[1]i.Finance!$O$64</f>
        <v>0</v>
      </c>
      <c r="BE23" s="533">
        <f>(AZ23/100*[1]i.Finance!$O$61)*[1]i.Finance!$O$64</f>
        <v>0</v>
      </c>
      <c r="BF23" s="533">
        <f>(AZ23/100*[1]i.Finance!$O$65)</f>
        <v>0</v>
      </c>
      <c r="BG23" s="546">
        <f t="shared" si="18"/>
        <v>0</v>
      </c>
      <c r="BH23" s="534"/>
      <c r="BI23" s="533">
        <f>-PV([1]i.Finance!$O$63/12,[1]i.Finance!$O$62*12,mCFD!BG23)</f>
        <v>0</v>
      </c>
      <c r="BJ23" s="533">
        <f>BI23*[1]i.Finance!$O$58</f>
        <v>0</v>
      </c>
      <c r="BK23" s="533"/>
      <c r="BL23" s="533"/>
      <c r="BP23" s="533"/>
      <c r="BQ23" s="533"/>
      <c r="BR23" s="533" t="e">
        <f t="shared" si="19"/>
        <v>#NAME?</v>
      </c>
      <c r="BS23" s="533" t="e">
        <f t="shared" si="20"/>
        <v>#NAME?</v>
      </c>
      <c r="BT23" s="533" t="e">
        <f t="shared" si="21"/>
        <v>#NAME?</v>
      </c>
      <c r="BU23" s="533"/>
    </row>
    <row r="24" spans="1:73" ht="19" outlineLevel="1">
      <c r="A24" s="366"/>
      <c r="B24" s="562"/>
      <c r="C24" s="366"/>
      <c r="D24" s="454"/>
      <c r="E24" s="547">
        <f t="shared" si="34"/>
        <v>18</v>
      </c>
      <c r="F24" s="547">
        <f t="shared" si="22"/>
        <v>6</v>
      </c>
      <c r="G24" s="547">
        <f t="shared" si="23"/>
        <v>2</v>
      </c>
      <c r="H24" s="548">
        <f t="shared" si="24"/>
        <v>44377</v>
      </c>
      <c r="I24" s="549">
        <f t="shared" si="0"/>
        <v>2021</v>
      </c>
      <c r="K24" s="547">
        <f>[1]mProject!KB28</f>
        <v>0</v>
      </c>
      <c r="L24" s="547">
        <f t="shared" si="1"/>
        <v>0</v>
      </c>
      <c r="M24" s="547">
        <f t="shared" si="2"/>
        <v>295000</v>
      </c>
      <c r="N24" s="547">
        <f t="shared" si="3"/>
        <v>0</v>
      </c>
      <c r="O24" s="547">
        <f t="shared" si="25"/>
        <v>0</v>
      </c>
      <c r="P24" s="547">
        <f>[1]mProject!W28</f>
        <v>295000</v>
      </c>
      <c r="Q24" s="547">
        <f t="shared" si="4"/>
        <v>0</v>
      </c>
      <c r="R24" s="547">
        <f t="shared" si="26"/>
        <v>0</v>
      </c>
      <c r="T24" s="547">
        <v>0</v>
      </c>
      <c r="U24" s="547">
        <f t="shared" si="5"/>
        <v>0</v>
      </c>
      <c r="V24" s="547">
        <f>IF(T24=0,0,$V$7*(1+#REF!)^#REF!)</f>
        <v>0</v>
      </c>
      <c r="W24" s="547">
        <f t="shared" si="27"/>
        <v>0</v>
      </c>
      <c r="X24" s="547">
        <f t="shared" si="6"/>
        <v>0</v>
      </c>
      <c r="Y24" s="547">
        <f t="shared" si="7"/>
        <v>0</v>
      </c>
      <c r="AA24" s="547">
        <v>0</v>
      </c>
      <c r="AB24" s="547">
        <f t="shared" si="8"/>
        <v>0</v>
      </c>
      <c r="AC24" s="547">
        <f>IF(AA24=0,0,$V$7*(1+#REF!)^#REF!)</f>
        <v>0</v>
      </c>
      <c r="AD24" s="547">
        <f t="shared" si="28"/>
        <v>0</v>
      </c>
      <c r="AE24" s="547">
        <f t="shared" si="9"/>
        <v>0</v>
      </c>
      <c r="AF24" s="547">
        <f t="shared" si="10"/>
        <v>0</v>
      </c>
      <c r="AH24" s="547">
        <f t="shared" si="11"/>
        <v>0</v>
      </c>
      <c r="AI24" s="547">
        <f t="shared" si="29"/>
        <v>0</v>
      </c>
      <c r="AJ24" s="547">
        <f t="shared" si="12"/>
        <v>0</v>
      </c>
      <c r="AK24" s="547">
        <f>AJ24*[1]mProject!V28</f>
        <v>0</v>
      </c>
      <c r="AL24" s="547">
        <f t="shared" si="13"/>
        <v>0</v>
      </c>
      <c r="AM24" s="547">
        <f t="shared" si="14"/>
        <v>0</v>
      </c>
      <c r="AN24" s="534"/>
      <c r="AO24" s="577" t="e">
        <f t="shared" si="35"/>
        <v>#REF!</v>
      </c>
      <c r="AP24" s="550" t="e">
        <f t="shared" si="36"/>
        <v>#REF!</v>
      </c>
      <c r="AQ24" s="550"/>
      <c r="AR24" s="578" t="e">
        <f t="shared" si="37"/>
        <v>#REF!</v>
      </c>
      <c r="AS24" s="547" t="e">
        <f t="shared" si="39"/>
        <v>#REF!</v>
      </c>
      <c r="AT24" s="547"/>
      <c r="AU24" s="547"/>
      <c r="AV24" s="547" t="e">
        <f t="shared" si="15"/>
        <v>#REF!</v>
      </c>
      <c r="AW24" s="547" t="e">
        <f>AI24*#REF!+AI23*#REF!+AI22*#REF!</f>
        <v>#REF!</v>
      </c>
      <c r="AX24" s="537"/>
      <c r="AY24" s="579">
        <f t="shared" si="31"/>
        <v>1.0304288014994736</v>
      </c>
      <c r="AZ24" s="547">
        <f t="shared" si="32"/>
        <v>0</v>
      </c>
      <c r="BA24" s="547">
        <f>BA23*[1]mProject!V28</f>
        <v>0</v>
      </c>
      <c r="BB24" s="547">
        <f t="shared" si="38"/>
        <v>0</v>
      </c>
      <c r="BC24" s="539"/>
      <c r="BD24" s="547">
        <f>((BB24/100)*(i_CFD.ObliRate/12))*[1]i.Finance!$O$64</f>
        <v>0</v>
      </c>
      <c r="BE24" s="547">
        <f>(AZ24/100*[1]i.Finance!$O$61)*[1]i.Finance!$O$64</f>
        <v>0</v>
      </c>
      <c r="BF24" s="547">
        <f>(AZ24/100*[1]i.Finance!$O$65)</f>
        <v>0</v>
      </c>
      <c r="BG24" s="553">
        <f t="shared" si="18"/>
        <v>0</v>
      </c>
      <c r="BH24" s="534"/>
      <c r="BI24" s="547">
        <f>-PV([1]i.Finance!$O$63/12,[1]i.Finance!$O$62*12,mCFD!BG24)</f>
        <v>0</v>
      </c>
      <c r="BJ24" s="547">
        <f>BI24*[1]i.Finance!$O$58</f>
        <v>0</v>
      </c>
      <c r="BK24" s="547"/>
      <c r="BL24" s="547"/>
      <c r="BP24" s="547"/>
      <c r="BQ24" s="547"/>
      <c r="BR24" s="547" t="e">
        <f t="shared" si="19"/>
        <v>#NAME?</v>
      </c>
      <c r="BS24" s="547" t="e">
        <f t="shared" si="20"/>
        <v>#NAME?</v>
      </c>
      <c r="BT24" s="547" t="e">
        <f t="shared" si="21"/>
        <v>#NAME?</v>
      </c>
      <c r="BU24" s="547"/>
    </row>
    <row r="25" spans="1:73" ht="19" outlineLevel="1">
      <c r="A25" s="366"/>
      <c r="B25" s="562"/>
      <c r="C25" s="366"/>
      <c r="D25" s="454"/>
      <c r="E25" s="530">
        <f t="shared" si="34"/>
        <v>19</v>
      </c>
      <c r="F25" s="530">
        <f t="shared" si="22"/>
        <v>7</v>
      </c>
      <c r="G25" s="530">
        <f t="shared" si="23"/>
        <v>2</v>
      </c>
      <c r="H25" s="554">
        <f t="shared" si="24"/>
        <v>44408</v>
      </c>
      <c r="I25" s="555">
        <f t="shared" si="0"/>
        <v>2021</v>
      </c>
      <c r="K25" s="530">
        <f>[1]mProject!KB29</f>
        <v>0</v>
      </c>
      <c r="L25" s="530">
        <f t="shared" si="1"/>
        <v>0</v>
      </c>
      <c r="M25" s="530">
        <f t="shared" si="2"/>
        <v>295000</v>
      </c>
      <c r="N25" s="530">
        <f t="shared" si="3"/>
        <v>0</v>
      </c>
      <c r="O25" s="530">
        <f t="shared" si="25"/>
        <v>0</v>
      </c>
      <c r="P25" s="530">
        <f>[1]mProject!W29</f>
        <v>295000</v>
      </c>
      <c r="Q25" s="530">
        <f t="shared" si="4"/>
        <v>0</v>
      </c>
      <c r="R25" s="530">
        <f t="shared" si="26"/>
        <v>0</v>
      </c>
      <c r="T25" s="530">
        <v>0</v>
      </c>
      <c r="U25" s="530">
        <f t="shared" si="5"/>
        <v>0</v>
      </c>
      <c r="V25" s="530">
        <f>IF(T25=0,0,$V$7*(1+#REF!)^#REF!)</f>
        <v>0</v>
      </c>
      <c r="W25" s="530">
        <f t="shared" si="27"/>
        <v>0</v>
      </c>
      <c r="X25" s="530">
        <f t="shared" si="6"/>
        <v>0</v>
      </c>
      <c r="Y25" s="530">
        <f t="shared" si="7"/>
        <v>0</v>
      </c>
      <c r="AA25" s="530">
        <v>0</v>
      </c>
      <c r="AB25" s="530">
        <f t="shared" si="8"/>
        <v>0</v>
      </c>
      <c r="AC25" s="530">
        <f>IF(AA25=0,0,$V$7*(1+#REF!)^#REF!)</f>
        <v>0</v>
      </c>
      <c r="AD25" s="530">
        <f t="shared" si="28"/>
        <v>0</v>
      </c>
      <c r="AE25" s="530">
        <f t="shared" si="9"/>
        <v>0</v>
      </c>
      <c r="AF25" s="530">
        <f t="shared" si="10"/>
        <v>0</v>
      </c>
      <c r="AH25" s="530">
        <f t="shared" si="11"/>
        <v>0</v>
      </c>
      <c r="AI25" s="530">
        <f t="shared" si="29"/>
        <v>0</v>
      </c>
      <c r="AJ25" s="530">
        <f t="shared" si="12"/>
        <v>0</v>
      </c>
      <c r="AK25" s="530">
        <f>AJ25*[1]mProject!V29</f>
        <v>0</v>
      </c>
      <c r="AL25" s="530">
        <f t="shared" si="13"/>
        <v>0</v>
      </c>
      <c r="AM25" s="530">
        <f t="shared" si="14"/>
        <v>0</v>
      </c>
      <c r="AN25" s="534"/>
      <c r="AO25" s="572" t="e">
        <f t="shared" si="35"/>
        <v>#REF!</v>
      </c>
      <c r="AP25" s="556" t="e">
        <f t="shared" si="36"/>
        <v>#REF!</v>
      </c>
      <c r="AQ25" s="556"/>
      <c r="AR25" s="573" t="e">
        <f t="shared" si="37"/>
        <v>#REF!</v>
      </c>
      <c r="AS25" s="530" t="e">
        <f t="shared" si="39"/>
        <v>#REF!</v>
      </c>
      <c r="AT25" s="530"/>
      <c r="AU25" s="530"/>
      <c r="AV25" s="530" t="e">
        <f t="shared" si="15"/>
        <v>#REF!</v>
      </c>
      <c r="AW25" s="530" t="e">
        <f>AI25*#REF!+AI24*#REF!+AI23*#REF!</f>
        <v>#REF!</v>
      </c>
      <c r="AX25" s="537"/>
      <c r="AY25" s="574">
        <f t="shared" si="31"/>
        <v>1.032146182835306</v>
      </c>
      <c r="AZ25" s="530">
        <f t="shared" si="32"/>
        <v>0</v>
      </c>
      <c r="BA25" s="530">
        <f>BA24*[1]mProject!V29</f>
        <v>0</v>
      </c>
      <c r="BB25" s="530">
        <f t="shared" si="38"/>
        <v>0</v>
      </c>
      <c r="BC25" s="539"/>
      <c r="BD25" s="530">
        <f>((BB25/100)*(i_CFD.ObliRate/12))*[1]i.Finance!$O$64</f>
        <v>0</v>
      </c>
      <c r="BE25" s="530">
        <f>(AZ25/100*[1]i.Finance!$O$61)*[1]i.Finance!$O$64</f>
        <v>0</v>
      </c>
      <c r="BF25" s="530">
        <f>(AZ25/100*[1]i.Finance!$O$65)</f>
        <v>0</v>
      </c>
      <c r="BG25" s="540">
        <f t="shared" si="18"/>
        <v>0</v>
      </c>
      <c r="BH25" s="534"/>
      <c r="BI25" s="530">
        <f>-PV([1]i.Finance!$O$63/12,[1]i.Finance!$O$62*12,mCFD!BG25)</f>
        <v>0</v>
      </c>
      <c r="BJ25" s="530">
        <f>BI25*[1]i.Finance!$O$58</f>
        <v>0</v>
      </c>
      <c r="BK25" s="530"/>
      <c r="BL25" s="530"/>
      <c r="BP25" s="530"/>
      <c r="BQ25" s="530"/>
      <c r="BR25" s="530" t="e">
        <f t="shared" si="19"/>
        <v>#NAME?</v>
      </c>
      <c r="BS25" s="530" t="e">
        <f t="shared" si="20"/>
        <v>#NAME?</v>
      </c>
      <c r="BT25" s="530" t="e">
        <f t="shared" si="21"/>
        <v>#NAME?</v>
      </c>
      <c r="BU25" s="530"/>
    </row>
    <row r="26" spans="1:73" ht="19" outlineLevel="1">
      <c r="A26" s="366"/>
      <c r="B26" s="562"/>
      <c r="C26" s="366"/>
      <c r="D26" s="454"/>
      <c r="E26" s="533">
        <f t="shared" si="34"/>
        <v>20</v>
      </c>
      <c r="F26" s="533">
        <f t="shared" si="22"/>
        <v>7</v>
      </c>
      <c r="G26" s="533">
        <f t="shared" si="23"/>
        <v>2</v>
      </c>
      <c r="H26" s="541">
        <f t="shared" si="24"/>
        <v>44439</v>
      </c>
      <c r="I26" s="542">
        <f t="shared" si="0"/>
        <v>2021</v>
      </c>
      <c r="K26" s="533">
        <f>[1]mProject!KB30</f>
        <v>0</v>
      </c>
      <c r="L26" s="533">
        <f t="shared" si="1"/>
        <v>0</v>
      </c>
      <c r="M26" s="533">
        <f t="shared" si="2"/>
        <v>295000</v>
      </c>
      <c r="N26" s="533">
        <f t="shared" si="3"/>
        <v>0</v>
      </c>
      <c r="O26" s="533">
        <f t="shared" si="25"/>
        <v>0</v>
      </c>
      <c r="P26" s="533">
        <f>[1]mProject!W30</f>
        <v>295000</v>
      </c>
      <c r="Q26" s="533">
        <f t="shared" si="4"/>
        <v>0</v>
      </c>
      <c r="R26" s="533">
        <f t="shared" si="26"/>
        <v>0</v>
      </c>
      <c r="T26" s="533">
        <v>0</v>
      </c>
      <c r="U26" s="533">
        <f t="shared" si="5"/>
        <v>0</v>
      </c>
      <c r="V26" s="533">
        <f>IF(T26=0,0,$V$7*(1+#REF!)^#REF!)</f>
        <v>0</v>
      </c>
      <c r="W26" s="533">
        <f t="shared" si="27"/>
        <v>0</v>
      </c>
      <c r="X26" s="533">
        <f t="shared" si="6"/>
        <v>0</v>
      </c>
      <c r="Y26" s="533">
        <f t="shared" si="7"/>
        <v>0</v>
      </c>
      <c r="AA26" s="533">
        <v>0</v>
      </c>
      <c r="AB26" s="533">
        <f t="shared" si="8"/>
        <v>0</v>
      </c>
      <c r="AC26" s="533">
        <f>IF(AA26=0,0,$V$7*(1+#REF!)^#REF!)</f>
        <v>0</v>
      </c>
      <c r="AD26" s="533">
        <f t="shared" si="28"/>
        <v>0</v>
      </c>
      <c r="AE26" s="533">
        <f t="shared" si="9"/>
        <v>0</v>
      </c>
      <c r="AF26" s="533">
        <f t="shared" si="10"/>
        <v>0</v>
      </c>
      <c r="AH26" s="533">
        <f t="shared" si="11"/>
        <v>0</v>
      </c>
      <c r="AI26" s="533">
        <f t="shared" si="29"/>
        <v>0</v>
      </c>
      <c r="AJ26" s="533">
        <f t="shared" si="12"/>
        <v>0</v>
      </c>
      <c r="AK26" s="533">
        <f>AJ26*[1]mProject!V30</f>
        <v>0</v>
      </c>
      <c r="AL26" s="533">
        <f t="shared" si="13"/>
        <v>0</v>
      </c>
      <c r="AM26" s="533">
        <f t="shared" si="14"/>
        <v>0</v>
      </c>
      <c r="AN26" s="534"/>
      <c r="AO26" s="575" t="e">
        <f t="shared" si="35"/>
        <v>#REF!</v>
      </c>
      <c r="AP26" s="558" t="e">
        <f t="shared" si="36"/>
        <v>#REF!</v>
      </c>
      <c r="AQ26" s="558"/>
      <c r="AR26" s="576" t="e">
        <f t="shared" si="37"/>
        <v>#REF!</v>
      </c>
      <c r="AS26" s="533" t="e">
        <f t="shared" si="39"/>
        <v>#REF!</v>
      </c>
      <c r="AT26" s="533"/>
      <c r="AU26" s="533"/>
      <c r="AV26" s="533" t="e">
        <f t="shared" si="15"/>
        <v>#REF!</v>
      </c>
      <c r="AW26" s="533" t="e">
        <f>AI26*#REF!+AI25*#REF!+AI24*#REF!</f>
        <v>#REF!</v>
      </c>
      <c r="AX26" s="537"/>
      <c r="AY26" s="563">
        <f t="shared" si="31"/>
        <v>1.0338664264733648</v>
      </c>
      <c r="AZ26" s="533">
        <f t="shared" si="32"/>
        <v>0</v>
      </c>
      <c r="BA26" s="533">
        <f>BA25*[1]mProject!V30</f>
        <v>0</v>
      </c>
      <c r="BB26" s="533">
        <f t="shared" si="38"/>
        <v>0</v>
      </c>
      <c r="BC26" s="539"/>
      <c r="BD26" s="533">
        <f>((BB26/100)*(i_CFD.ObliRate/12))*[1]i.Finance!$O$64</f>
        <v>0</v>
      </c>
      <c r="BE26" s="533">
        <f>(AZ26/100*[1]i.Finance!$O$61)*[1]i.Finance!$O$64</f>
        <v>0</v>
      </c>
      <c r="BF26" s="533">
        <f>(AZ26/100*[1]i.Finance!$O$65)</f>
        <v>0</v>
      </c>
      <c r="BG26" s="546">
        <f t="shared" si="18"/>
        <v>0</v>
      </c>
      <c r="BH26" s="534"/>
      <c r="BI26" s="533">
        <f>-PV([1]i.Finance!$O$63/12,[1]i.Finance!$O$62*12,mCFD!BG26)</f>
        <v>0</v>
      </c>
      <c r="BJ26" s="533">
        <f>BI26*[1]i.Finance!$O$58</f>
        <v>0</v>
      </c>
      <c r="BK26" s="533"/>
      <c r="BL26" s="533"/>
      <c r="BP26" s="533"/>
      <c r="BQ26" s="533"/>
      <c r="BR26" s="533" t="e">
        <f t="shared" si="19"/>
        <v>#NAME?</v>
      </c>
      <c r="BS26" s="533" t="e">
        <f t="shared" si="20"/>
        <v>#NAME?</v>
      </c>
      <c r="BT26" s="533" t="e">
        <f t="shared" si="21"/>
        <v>#NAME?</v>
      </c>
      <c r="BU26" s="533"/>
    </row>
    <row r="27" spans="1:73" ht="19" outlineLevel="1">
      <c r="A27" s="366"/>
      <c r="B27" s="562"/>
      <c r="C27" s="366"/>
      <c r="D27" s="454"/>
      <c r="E27" s="547">
        <f t="shared" si="34"/>
        <v>21</v>
      </c>
      <c r="F27" s="547">
        <f t="shared" si="22"/>
        <v>7</v>
      </c>
      <c r="G27" s="547">
        <f t="shared" si="23"/>
        <v>2</v>
      </c>
      <c r="H27" s="548">
        <f t="shared" si="24"/>
        <v>44469</v>
      </c>
      <c r="I27" s="549">
        <f t="shared" si="0"/>
        <v>2021</v>
      </c>
      <c r="K27" s="547">
        <f>[1]mProject!KB31</f>
        <v>0</v>
      </c>
      <c r="L27" s="547">
        <f t="shared" si="1"/>
        <v>0</v>
      </c>
      <c r="M27" s="547">
        <f t="shared" si="2"/>
        <v>295000</v>
      </c>
      <c r="N27" s="547">
        <f t="shared" si="3"/>
        <v>0</v>
      </c>
      <c r="O27" s="547">
        <f t="shared" si="25"/>
        <v>0</v>
      </c>
      <c r="P27" s="547">
        <f>[1]mProject!W31</f>
        <v>295000</v>
      </c>
      <c r="Q27" s="547">
        <f t="shared" si="4"/>
        <v>0</v>
      </c>
      <c r="R27" s="547">
        <f t="shared" si="26"/>
        <v>0</v>
      </c>
      <c r="T27" s="547">
        <v>0</v>
      </c>
      <c r="U27" s="547">
        <f t="shared" si="5"/>
        <v>0</v>
      </c>
      <c r="V27" s="547">
        <f>IF(T27=0,0,$V$7*(1+#REF!)^#REF!)</f>
        <v>0</v>
      </c>
      <c r="W27" s="547">
        <f t="shared" si="27"/>
        <v>0</v>
      </c>
      <c r="X27" s="547">
        <f t="shared" si="6"/>
        <v>0</v>
      </c>
      <c r="Y27" s="547">
        <f t="shared" si="7"/>
        <v>0</v>
      </c>
      <c r="AA27" s="547">
        <v>0</v>
      </c>
      <c r="AB27" s="547">
        <f t="shared" si="8"/>
        <v>0</v>
      </c>
      <c r="AC27" s="547">
        <f>IF(AA27=0,0,$V$7*(1+#REF!)^#REF!)</f>
        <v>0</v>
      </c>
      <c r="AD27" s="547">
        <f t="shared" si="28"/>
        <v>0</v>
      </c>
      <c r="AE27" s="547">
        <f t="shared" si="9"/>
        <v>0</v>
      </c>
      <c r="AF27" s="547">
        <f t="shared" si="10"/>
        <v>0</v>
      </c>
      <c r="AH27" s="547">
        <f t="shared" si="11"/>
        <v>0</v>
      </c>
      <c r="AI27" s="547">
        <f t="shared" si="29"/>
        <v>0</v>
      </c>
      <c r="AJ27" s="547">
        <f t="shared" si="12"/>
        <v>0</v>
      </c>
      <c r="AK27" s="547">
        <f>AJ27*[1]mProject!V31</f>
        <v>0</v>
      </c>
      <c r="AL27" s="547">
        <f t="shared" si="13"/>
        <v>0</v>
      </c>
      <c r="AM27" s="547">
        <f t="shared" si="14"/>
        <v>0</v>
      </c>
      <c r="AN27" s="534"/>
      <c r="AO27" s="577" t="e">
        <f t="shared" si="35"/>
        <v>#REF!</v>
      </c>
      <c r="AP27" s="560" t="e">
        <f t="shared" si="36"/>
        <v>#REF!</v>
      </c>
      <c r="AQ27" s="560"/>
      <c r="AR27" s="578" t="e">
        <f t="shared" si="37"/>
        <v>#REF!</v>
      </c>
      <c r="AS27" s="547" t="e">
        <f t="shared" si="39"/>
        <v>#REF!</v>
      </c>
      <c r="AT27" s="547"/>
      <c r="AU27" s="547"/>
      <c r="AV27" s="547" t="e">
        <f t="shared" si="15"/>
        <v>#REF!</v>
      </c>
      <c r="AW27" s="547" t="e">
        <f>AI27*#REF!+AI26*#REF!+AI25*#REF!</f>
        <v>#REF!</v>
      </c>
      <c r="AX27" s="537"/>
      <c r="AY27" s="579">
        <f t="shared" si="31"/>
        <v>1.0355895371841537</v>
      </c>
      <c r="AZ27" s="547">
        <f t="shared" si="32"/>
        <v>0</v>
      </c>
      <c r="BA27" s="547">
        <f>BA26*[1]mProject!V31</f>
        <v>0</v>
      </c>
      <c r="BB27" s="547">
        <f t="shared" si="38"/>
        <v>0</v>
      </c>
      <c r="BC27" s="539"/>
      <c r="BD27" s="547">
        <f>((BB27/100)*(i_CFD.ObliRate/12))*[1]i.Finance!$O$64</f>
        <v>0</v>
      </c>
      <c r="BE27" s="547">
        <f>(AZ27/100*[1]i.Finance!$O$61)*[1]i.Finance!$O$64</f>
        <v>0</v>
      </c>
      <c r="BF27" s="547">
        <f>(AZ27/100*[1]i.Finance!$O$65)</f>
        <v>0</v>
      </c>
      <c r="BG27" s="553">
        <f t="shared" si="18"/>
        <v>0</v>
      </c>
      <c r="BH27" s="534"/>
      <c r="BI27" s="547">
        <f>-PV([1]i.Finance!$O$63/12,[1]i.Finance!$O$62*12,mCFD!BG27)</f>
        <v>0</v>
      </c>
      <c r="BJ27" s="547">
        <f>BI27*[1]i.Finance!$O$58</f>
        <v>0</v>
      </c>
      <c r="BK27" s="547"/>
      <c r="BL27" s="547"/>
      <c r="BP27" s="547"/>
      <c r="BQ27" s="547"/>
      <c r="BR27" s="547" t="e">
        <f t="shared" si="19"/>
        <v>#NAME?</v>
      </c>
      <c r="BS27" s="547" t="e">
        <f t="shared" si="20"/>
        <v>#NAME?</v>
      </c>
      <c r="BT27" s="547" t="e">
        <f t="shared" si="21"/>
        <v>#NAME?</v>
      </c>
      <c r="BU27" s="547"/>
    </row>
    <row r="28" spans="1:73" ht="19" outlineLevel="1">
      <c r="A28" s="366"/>
      <c r="B28" s="562"/>
      <c r="C28" s="366"/>
      <c r="D28" s="454"/>
      <c r="E28" s="530">
        <f t="shared" si="34"/>
        <v>22</v>
      </c>
      <c r="F28" s="530">
        <f t="shared" si="22"/>
        <v>8</v>
      </c>
      <c r="G28" s="530">
        <f t="shared" si="23"/>
        <v>2</v>
      </c>
      <c r="H28" s="554">
        <f t="shared" si="24"/>
        <v>44500</v>
      </c>
      <c r="I28" s="555">
        <f t="shared" si="0"/>
        <v>2021</v>
      </c>
      <c r="K28" s="530">
        <f>[1]mProject!KB32</f>
        <v>0</v>
      </c>
      <c r="L28" s="530">
        <f t="shared" si="1"/>
        <v>0</v>
      </c>
      <c r="M28" s="530">
        <f t="shared" si="2"/>
        <v>295000</v>
      </c>
      <c r="N28" s="530">
        <f t="shared" si="3"/>
        <v>0</v>
      </c>
      <c r="O28" s="530">
        <f t="shared" si="25"/>
        <v>0</v>
      </c>
      <c r="P28" s="530">
        <f>[1]mProject!W32</f>
        <v>295000</v>
      </c>
      <c r="Q28" s="530">
        <f t="shared" si="4"/>
        <v>0</v>
      </c>
      <c r="R28" s="530">
        <f t="shared" si="26"/>
        <v>0</v>
      </c>
      <c r="T28" s="530">
        <v>0</v>
      </c>
      <c r="U28" s="530">
        <f t="shared" si="5"/>
        <v>0</v>
      </c>
      <c r="V28" s="530">
        <f>IF(T28=0,0,$V$7*(1+#REF!)^#REF!)</f>
        <v>0</v>
      </c>
      <c r="W28" s="530">
        <f t="shared" si="27"/>
        <v>0</v>
      </c>
      <c r="X28" s="530">
        <f t="shared" si="6"/>
        <v>0</v>
      </c>
      <c r="Y28" s="530">
        <f t="shared" si="7"/>
        <v>0</v>
      </c>
      <c r="AA28" s="530">
        <v>0</v>
      </c>
      <c r="AB28" s="530">
        <f t="shared" si="8"/>
        <v>0</v>
      </c>
      <c r="AC28" s="530">
        <f>IF(AA28=0,0,$V$7*(1+#REF!)^#REF!)</f>
        <v>0</v>
      </c>
      <c r="AD28" s="530">
        <f t="shared" si="28"/>
        <v>0</v>
      </c>
      <c r="AE28" s="530">
        <f t="shared" si="9"/>
        <v>0</v>
      </c>
      <c r="AF28" s="530">
        <f t="shared" si="10"/>
        <v>0</v>
      </c>
      <c r="AH28" s="530">
        <f t="shared" si="11"/>
        <v>0</v>
      </c>
      <c r="AI28" s="530">
        <f t="shared" si="29"/>
        <v>0</v>
      </c>
      <c r="AJ28" s="530">
        <f t="shared" si="12"/>
        <v>0</v>
      </c>
      <c r="AK28" s="530">
        <f>AJ28*[1]mProject!V32</f>
        <v>0</v>
      </c>
      <c r="AL28" s="530">
        <f t="shared" si="13"/>
        <v>0</v>
      </c>
      <c r="AM28" s="530">
        <f t="shared" si="14"/>
        <v>0</v>
      </c>
      <c r="AN28" s="534"/>
      <c r="AO28" s="572" t="e">
        <f t="shared" si="35"/>
        <v>#REF!</v>
      </c>
      <c r="AP28" s="556" t="e">
        <f t="shared" si="36"/>
        <v>#REF!</v>
      </c>
      <c r="AQ28" s="556"/>
      <c r="AR28" s="573" t="e">
        <f t="shared" si="37"/>
        <v>#REF!</v>
      </c>
      <c r="AS28" s="530" t="e">
        <f t="shared" ref="AS28:AS91" si="40">AR28*P28</f>
        <v>#REF!</v>
      </c>
      <c r="AT28" s="530"/>
      <c r="AU28" s="530"/>
      <c r="AV28" s="530" t="e">
        <f t="shared" si="15"/>
        <v>#REF!</v>
      </c>
      <c r="AW28" s="530" t="e">
        <f>AI28*#REF!+AI27*#REF!+AI26*#REF!</f>
        <v>#REF!</v>
      </c>
      <c r="AX28" s="537"/>
      <c r="AY28" s="574">
        <f t="shared" si="31"/>
        <v>1.0373155197461272</v>
      </c>
      <c r="AZ28" s="530">
        <f t="shared" si="32"/>
        <v>0</v>
      </c>
      <c r="BA28" s="530">
        <f>BA27*[1]mProject!V32</f>
        <v>0</v>
      </c>
      <c r="BB28" s="530">
        <f t="shared" si="38"/>
        <v>0</v>
      </c>
      <c r="BC28" s="539"/>
      <c r="BD28" s="530">
        <f>((BB28/100)*(i_CFD.ObliRate/12))*[1]i.Finance!$O$64</f>
        <v>0</v>
      </c>
      <c r="BE28" s="530">
        <f>(AZ28/100*[1]i.Finance!$O$61)*[1]i.Finance!$O$64</f>
        <v>0</v>
      </c>
      <c r="BF28" s="530">
        <f>(AZ28/100*[1]i.Finance!$O$65)</f>
        <v>0</v>
      </c>
      <c r="BG28" s="540">
        <f t="shared" si="18"/>
        <v>0</v>
      </c>
      <c r="BH28" s="534"/>
      <c r="BI28" s="530">
        <f>-PV([1]i.Finance!$O$63/12,[1]i.Finance!$O$62*12,mCFD!BG28)</f>
        <v>0</v>
      </c>
      <c r="BJ28" s="530">
        <f>BI28*[1]i.Finance!$O$58</f>
        <v>0</v>
      </c>
      <c r="BK28" s="530"/>
      <c r="BL28" s="530"/>
      <c r="BP28" s="530"/>
      <c r="BQ28" s="530"/>
      <c r="BR28" s="530" t="e">
        <f t="shared" si="19"/>
        <v>#NAME?</v>
      </c>
      <c r="BS28" s="530" t="e">
        <f t="shared" si="20"/>
        <v>#NAME?</v>
      </c>
      <c r="BT28" s="530" t="e">
        <f t="shared" si="21"/>
        <v>#NAME?</v>
      </c>
      <c r="BU28" s="530"/>
    </row>
    <row r="29" spans="1:73" ht="19" outlineLevel="1">
      <c r="A29" s="366"/>
      <c r="B29" s="562"/>
      <c r="C29" s="366"/>
      <c r="D29" s="454"/>
      <c r="E29" s="533">
        <f t="shared" si="34"/>
        <v>23</v>
      </c>
      <c r="F29" s="533">
        <f t="shared" si="22"/>
        <v>8</v>
      </c>
      <c r="G29" s="533">
        <f t="shared" si="23"/>
        <v>2</v>
      </c>
      <c r="H29" s="541">
        <f t="shared" si="24"/>
        <v>44530</v>
      </c>
      <c r="I29" s="542">
        <f t="shared" si="0"/>
        <v>2021</v>
      </c>
      <c r="K29" s="533">
        <f>[1]mProject!KB33</f>
        <v>0</v>
      </c>
      <c r="L29" s="533">
        <f t="shared" si="1"/>
        <v>0</v>
      </c>
      <c r="M29" s="533">
        <f t="shared" si="2"/>
        <v>295000</v>
      </c>
      <c r="N29" s="533">
        <f t="shared" si="3"/>
        <v>0</v>
      </c>
      <c r="O29" s="533">
        <f t="shared" si="25"/>
        <v>0</v>
      </c>
      <c r="P29" s="533">
        <f>[1]mProject!W33</f>
        <v>295000</v>
      </c>
      <c r="Q29" s="533">
        <f t="shared" si="4"/>
        <v>0</v>
      </c>
      <c r="R29" s="533">
        <f t="shared" si="26"/>
        <v>0</v>
      </c>
      <c r="T29" s="533">
        <v>0</v>
      </c>
      <c r="U29" s="533">
        <f t="shared" si="5"/>
        <v>0</v>
      </c>
      <c r="V29" s="533">
        <f>IF(T29=0,0,$V$7*(1+#REF!)^#REF!)</f>
        <v>0</v>
      </c>
      <c r="W29" s="533">
        <f t="shared" si="27"/>
        <v>0</v>
      </c>
      <c r="X29" s="533">
        <f t="shared" si="6"/>
        <v>0</v>
      </c>
      <c r="Y29" s="533">
        <f t="shared" si="7"/>
        <v>0</v>
      </c>
      <c r="AA29" s="533">
        <v>0</v>
      </c>
      <c r="AB29" s="533">
        <f t="shared" si="8"/>
        <v>0</v>
      </c>
      <c r="AC29" s="533">
        <f>IF(AA29=0,0,$V$7*(1+#REF!)^#REF!)</f>
        <v>0</v>
      </c>
      <c r="AD29" s="533">
        <f t="shared" si="28"/>
        <v>0</v>
      </c>
      <c r="AE29" s="533">
        <f t="shared" si="9"/>
        <v>0</v>
      </c>
      <c r="AF29" s="533">
        <f t="shared" si="10"/>
        <v>0</v>
      </c>
      <c r="AH29" s="533">
        <f t="shared" si="11"/>
        <v>0</v>
      </c>
      <c r="AI29" s="533">
        <f t="shared" si="29"/>
        <v>0</v>
      </c>
      <c r="AJ29" s="533">
        <f t="shared" si="12"/>
        <v>0</v>
      </c>
      <c r="AK29" s="533">
        <f>AJ29*[1]mProject!V33</f>
        <v>0</v>
      </c>
      <c r="AL29" s="533">
        <f t="shared" si="13"/>
        <v>0</v>
      </c>
      <c r="AM29" s="533">
        <f t="shared" si="14"/>
        <v>0</v>
      </c>
      <c r="AN29" s="534"/>
      <c r="AO29" s="575" t="e">
        <f t="shared" si="35"/>
        <v>#REF!</v>
      </c>
      <c r="AP29" s="558" t="e">
        <f t="shared" si="36"/>
        <v>#REF!</v>
      </c>
      <c r="AQ29" s="558"/>
      <c r="AR29" s="576" t="e">
        <f t="shared" si="37"/>
        <v>#REF!</v>
      </c>
      <c r="AS29" s="533" t="e">
        <f t="shared" si="40"/>
        <v>#REF!</v>
      </c>
      <c r="AT29" s="533"/>
      <c r="AU29" s="533"/>
      <c r="AV29" s="533" t="e">
        <f t="shared" si="15"/>
        <v>#REF!</v>
      </c>
      <c r="AW29" s="533" t="e">
        <f>AI29*#REF!+AI28*#REF!+AI27*#REF!</f>
        <v>#REF!</v>
      </c>
      <c r="AX29" s="537"/>
      <c r="AY29" s="563">
        <f t="shared" si="31"/>
        <v>1.0390443789457042</v>
      </c>
      <c r="AZ29" s="533">
        <f t="shared" si="32"/>
        <v>0</v>
      </c>
      <c r="BA29" s="533">
        <f>BA28*[1]mProject!V33</f>
        <v>0</v>
      </c>
      <c r="BB29" s="533">
        <f t="shared" si="38"/>
        <v>0</v>
      </c>
      <c r="BC29" s="539"/>
      <c r="BD29" s="533">
        <f>((BB29/100)*(i_CFD.ObliRate/12))*[1]i.Finance!$O$64</f>
        <v>0</v>
      </c>
      <c r="BE29" s="533">
        <f>(AZ29/100*[1]i.Finance!$O$61)*[1]i.Finance!$O$64</f>
        <v>0</v>
      </c>
      <c r="BF29" s="533">
        <f>(AZ29/100*[1]i.Finance!$O$65)</f>
        <v>0</v>
      </c>
      <c r="BG29" s="546">
        <f t="shared" si="18"/>
        <v>0</v>
      </c>
      <c r="BH29" s="534"/>
      <c r="BI29" s="533">
        <f>-PV([1]i.Finance!$O$63/12,[1]i.Finance!$O$62*12,mCFD!BG29)</f>
        <v>0</v>
      </c>
      <c r="BJ29" s="533">
        <f>BI29*[1]i.Finance!$O$58</f>
        <v>0</v>
      </c>
      <c r="BK29" s="533"/>
      <c r="BL29" s="533"/>
      <c r="BP29" s="533"/>
      <c r="BQ29" s="533"/>
      <c r="BR29" s="533" t="e">
        <f t="shared" si="19"/>
        <v>#NAME?</v>
      </c>
      <c r="BS29" s="533" t="e">
        <f t="shared" si="20"/>
        <v>#NAME?</v>
      </c>
      <c r="BT29" s="533" t="e">
        <f t="shared" si="21"/>
        <v>#NAME?</v>
      </c>
      <c r="BU29" s="533"/>
    </row>
    <row r="30" spans="1:73" ht="20" outlineLevel="1" thickBot="1">
      <c r="A30" s="366"/>
      <c r="B30" s="562"/>
      <c r="C30" s="366"/>
      <c r="D30" s="454"/>
      <c r="E30" s="564">
        <f t="shared" si="34"/>
        <v>24</v>
      </c>
      <c r="F30" s="564">
        <f t="shared" si="22"/>
        <v>8</v>
      </c>
      <c r="G30" s="564">
        <f t="shared" si="23"/>
        <v>3</v>
      </c>
      <c r="H30" s="565">
        <f t="shared" si="24"/>
        <v>44561</v>
      </c>
      <c r="I30" s="566">
        <f t="shared" si="0"/>
        <v>2021</v>
      </c>
      <c r="K30" s="564">
        <f>[1]mProject!KB34</f>
        <v>0</v>
      </c>
      <c r="L30" s="564">
        <f t="shared" si="1"/>
        <v>0</v>
      </c>
      <c r="M30" s="564">
        <f t="shared" si="2"/>
        <v>295000</v>
      </c>
      <c r="N30" s="564">
        <f t="shared" si="3"/>
        <v>0</v>
      </c>
      <c r="O30" s="564">
        <f t="shared" si="25"/>
        <v>0</v>
      </c>
      <c r="P30" s="564">
        <f>[1]mProject!W34</f>
        <v>295000</v>
      </c>
      <c r="Q30" s="564">
        <f t="shared" si="4"/>
        <v>0</v>
      </c>
      <c r="R30" s="564">
        <f t="shared" si="26"/>
        <v>0</v>
      </c>
      <c r="T30" s="564">
        <v>0</v>
      </c>
      <c r="U30" s="564">
        <f t="shared" si="5"/>
        <v>0</v>
      </c>
      <c r="V30" s="564">
        <f>IF(T30=0,0,$V$7*(1+#REF!)^#REF!)</f>
        <v>0</v>
      </c>
      <c r="W30" s="564">
        <f t="shared" si="27"/>
        <v>0</v>
      </c>
      <c r="X30" s="564">
        <f t="shared" si="6"/>
        <v>0</v>
      </c>
      <c r="Y30" s="564">
        <f t="shared" si="7"/>
        <v>0</v>
      </c>
      <c r="Z30" s="580"/>
      <c r="AA30" s="564">
        <v>0</v>
      </c>
      <c r="AB30" s="564">
        <f t="shared" si="8"/>
        <v>0</v>
      </c>
      <c r="AC30" s="564">
        <f>IF(AA30=0,0,$V$7*(1+#REF!)^#REF!)</f>
        <v>0</v>
      </c>
      <c r="AD30" s="564">
        <f t="shared" si="28"/>
        <v>0</v>
      </c>
      <c r="AE30" s="564">
        <f t="shared" si="9"/>
        <v>0</v>
      </c>
      <c r="AF30" s="564">
        <f t="shared" si="10"/>
        <v>0</v>
      </c>
      <c r="AH30" s="564">
        <f t="shared" si="11"/>
        <v>0</v>
      </c>
      <c r="AI30" s="564">
        <f t="shared" si="29"/>
        <v>0</v>
      </c>
      <c r="AJ30" s="564">
        <f t="shared" si="12"/>
        <v>0</v>
      </c>
      <c r="AK30" s="564">
        <f>AJ30*[1]mProject!V34</f>
        <v>0</v>
      </c>
      <c r="AL30" s="564">
        <f t="shared" si="13"/>
        <v>0</v>
      </c>
      <c r="AM30" s="564">
        <f t="shared" si="14"/>
        <v>0</v>
      </c>
      <c r="AN30" s="534"/>
      <c r="AO30" s="581" t="e">
        <f t="shared" si="35"/>
        <v>#REF!</v>
      </c>
      <c r="AP30" s="567" t="e">
        <f t="shared" si="36"/>
        <v>#REF!</v>
      </c>
      <c r="AQ30" s="567"/>
      <c r="AR30" s="582" t="e">
        <f t="shared" si="37"/>
        <v>#REF!</v>
      </c>
      <c r="AS30" s="564" t="e">
        <f t="shared" si="40"/>
        <v>#REF!</v>
      </c>
      <c r="AT30" s="564"/>
      <c r="AU30" s="564"/>
      <c r="AV30" s="564" t="e">
        <f t="shared" si="15"/>
        <v>#REF!</v>
      </c>
      <c r="AW30" s="564" t="e">
        <f>AI30*#REF!+AI29*#REF!+AI28*#REF!</f>
        <v>#REF!</v>
      </c>
      <c r="AX30" s="537"/>
      <c r="AY30" s="569">
        <f t="shared" si="31"/>
        <v>1.0407761195772804</v>
      </c>
      <c r="AZ30" s="564">
        <f t="shared" si="32"/>
        <v>0</v>
      </c>
      <c r="BA30" s="564">
        <f>BA29*[1]mProject!V34</f>
        <v>0</v>
      </c>
      <c r="BB30" s="564">
        <f t="shared" si="38"/>
        <v>0</v>
      </c>
      <c r="BC30" s="539"/>
      <c r="BD30" s="564">
        <f>((BB30/100)*(i_CFD.ObliRate/12))*[1]i.Finance!$O$64</f>
        <v>0</v>
      </c>
      <c r="BE30" s="564">
        <f>(AZ30/100*[1]i.Finance!$O$61)*[1]i.Finance!$O$64</f>
        <v>0</v>
      </c>
      <c r="BF30" s="564">
        <f>(AZ30/100*[1]i.Finance!$O$65)</f>
        <v>0</v>
      </c>
      <c r="BG30" s="570">
        <f t="shared" si="18"/>
        <v>0</v>
      </c>
      <c r="BH30" s="534"/>
      <c r="BI30" s="564">
        <f>-PV([1]i.Finance!$O$63/12,[1]i.Finance!$O$62*12,mCFD!BG30)</f>
        <v>0</v>
      </c>
      <c r="BJ30" s="564">
        <f>BI30*[1]i.Finance!$O$58</f>
        <v>0</v>
      </c>
      <c r="BK30" s="564"/>
      <c r="BL30" s="564"/>
      <c r="BP30" s="564"/>
      <c r="BQ30" s="564"/>
      <c r="BR30" s="564" t="e">
        <f t="shared" si="19"/>
        <v>#NAME?</v>
      </c>
      <c r="BS30" s="564" t="e">
        <f t="shared" si="20"/>
        <v>#NAME?</v>
      </c>
      <c r="BT30" s="564" t="e">
        <f t="shared" si="21"/>
        <v>#NAME?</v>
      </c>
      <c r="BU30" s="564"/>
    </row>
    <row r="31" spans="1:73" ht="19" hidden="1" outlineLevel="2">
      <c r="A31" s="366"/>
      <c r="B31" s="562"/>
      <c r="C31" s="366"/>
      <c r="D31" s="454"/>
      <c r="E31" s="530">
        <f t="shared" si="34"/>
        <v>25</v>
      </c>
      <c r="F31" s="530">
        <f t="shared" si="22"/>
        <v>9</v>
      </c>
      <c r="G31" s="530">
        <f t="shared" si="23"/>
        <v>3</v>
      </c>
      <c r="H31" s="571">
        <f t="shared" si="24"/>
        <v>44592</v>
      </c>
      <c r="I31" s="532">
        <f t="shared" si="0"/>
        <v>2022</v>
      </c>
      <c r="K31" s="530">
        <f>[1]mProject!KB35</f>
        <v>0</v>
      </c>
      <c r="L31" s="530">
        <f t="shared" si="1"/>
        <v>0</v>
      </c>
      <c r="M31" s="530">
        <f t="shared" si="2"/>
        <v>295000</v>
      </c>
      <c r="N31" s="530">
        <f t="shared" si="3"/>
        <v>0</v>
      </c>
      <c r="O31" s="530">
        <f t="shared" si="25"/>
        <v>0</v>
      </c>
      <c r="P31" s="530">
        <f>[1]mProject!W35</f>
        <v>295491.66666666669</v>
      </c>
      <c r="Q31" s="530">
        <f t="shared" si="4"/>
        <v>0</v>
      </c>
      <c r="R31" s="530">
        <f t="shared" si="26"/>
        <v>0</v>
      </c>
      <c r="T31" s="530">
        <v>0</v>
      </c>
      <c r="U31" s="530">
        <f t="shared" si="5"/>
        <v>0</v>
      </c>
      <c r="V31" s="530">
        <f>IF(T31=0,0,$V$7*(1+#REF!)^#REF!)</f>
        <v>0</v>
      </c>
      <c r="W31" s="530">
        <f t="shared" si="27"/>
        <v>0</v>
      </c>
      <c r="X31" s="530">
        <f t="shared" si="6"/>
        <v>0</v>
      </c>
      <c r="Y31" s="530">
        <f t="shared" si="7"/>
        <v>0</v>
      </c>
      <c r="AA31" s="530">
        <v>0</v>
      </c>
      <c r="AB31" s="530">
        <f t="shared" si="8"/>
        <v>0</v>
      </c>
      <c r="AC31" s="530">
        <f>IF(AA31=0,0,$V$7*(1+#REF!)^#REF!)</f>
        <v>0</v>
      </c>
      <c r="AD31" s="530">
        <f t="shared" si="28"/>
        <v>0</v>
      </c>
      <c r="AE31" s="530">
        <f t="shared" si="9"/>
        <v>0</v>
      </c>
      <c r="AF31" s="530">
        <f t="shared" si="10"/>
        <v>0</v>
      </c>
      <c r="AH31" s="530">
        <f t="shared" si="11"/>
        <v>0</v>
      </c>
      <c r="AI31" s="530">
        <f t="shared" si="29"/>
        <v>0</v>
      </c>
      <c r="AJ31" s="530">
        <f t="shared" si="12"/>
        <v>0</v>
      </c>
      <c r="AK31" s="530">
        <f>AJ31*[1]mProject!V35</f>
        <v>0</v>
      </c>
      <c r="AL31" s="530">
        <f t="shared" si="13"/>
        <v>0</v>
      </c>
      <c r="AM31" s="530">
        <f t="shared" si="14"/>
        <v>0</v>
      </c>
      <c r="AN31" s="534"/>
      <c r="AO31" s="572" t="e">
        <f t="shared" si="35"/>
        <v>#REF!</v>
      </c>
      <c r="AP31" s="572" t="e">
        <f t="shared" ref="AP31:AP94" si="41">$L19*AP$6</f>
        <v>#REF!</v>
      </c>
      <c r="AQ31" s="535" t="e">
        <f t="shared" ref="AQ31:AQ42" si="42">R7*$AQ$6</f>
        <v>#REF!</v>
      </c>
      <c r="AR31" s="573" t="e">
        <f t="shared" si="37"/>
        <v>#REF!</v>
      </c>
      <c r="AS31" s="530" t="e">
        <f t="shared" si="40"/>
        <v>#REF!</v>
      </c>
      <c r="AT31" s="530"/>
      <c r="AU31" s="530"/>
      <c r="AV31" s="530" t="e">
        <f t="shared" si="15"/>
        <v>#REF!</v>
      </c>
      <c r="AW31" s="530" t="e">
        <f>AI31*#REF!+AI30*#REF!+AI29*#REF!</f>
        <v>#REF!</v>
      </c>
      <c r="AX31" s="537"/>
      <c r="AY31" s="583">
        <f t="shared" si="31"/>
        <v>1.0425107464432426</v>
      </c>
      <c r="AZ31" s="530">
        <f t="shared" si="32"/>
        <v>0</v>
      </c>
      <c r="BA31" s="530">
        <f>BA30*[1]mProject!V35</f>
        <v>0</v>
      </c>
      <c r="BB31" s="530">
        <f t="shared" si="38"/>
        <v>0</v>
      </c>
      <c r="BC31" s="539"/>
      <c r="BD31" s="530">
        <f>((BB31/100)*(i_CFD.ObliRate/12))*[1]i.Finance!$O$64</f>
        <v>0</v>
      </c>
      <c r="BE31" s="530">
        <f>(AZ31/100*[1]i.Finance!$O$61)*[1]i.Finance!$O$64</f>
        <v>0</v>
      </c>
      <c r="BF31" s="530">
        <f>(AZ31/100*[1]i.Finance!$O$65)</f>
        <v>0</v>
      </c>
      <c r="BG31" s="540">
        <f t="shared" si="18"/>
        <v>0</v>
      </c>
      <c r="BH31" s="534"/>
      <c r="BI31" s="530">
        <f>-PV([1]i.Finance!$O$63/12,[1]i.Finance!$O$62*12,mCFD!BG31)</f>
        <v>0</v>
      </c>
      <c r="BJ31" s="530">
        <f>BI31*[1]i.Finance!$O$58</f>
        <v>0</v>
      </c>
      <c r="BK31" s="530"/>
      <c r="BL31" s="530"/>
      <c r="BP31" s="530"/>
      <c r="BQ31" s="530"/>
      <c r="BR31" s="530" t="e">
        <f t="shared" si="19"/>
        <v>#NAME?</v>
      </c>
      <c r="BS31" s="530" t="e">
        <f t="shared" si="20"/>
        <v>#NAME?</v>
      </c>
      <c r="BT31" s="530" t="e">
        <f t="shared" si="21"/>
        <v>#NAME?</v>
      </c>
      <c r="BU31" s="530"/>
    </row>
    <row r="32" spans="1:73" ht="19" hidden="1" outlineLevel="2">
      <c r="A32" s="366"/>
      <c r="B32" s="562"/>
      <c r="C32" s="366"/>
      <c r="D32" s="454"/>
      <c r="E32" s="533">
        <f t="shared" si="34"/>
        <v>26</v>
      </c>
      <c r="F32" s="533">
        <f t="shared" si="22"/>
        <v>9</v>
      </c>
      <c r="G32" s="533">
        <f t="shared" si="23"/>
        <v>3</v>
      </c>
      <c r="H32" s="541">
        <f t="shared" si="24"/>
        <v>44620</v>
      </c>
      <c r="I32" s="542">
        <f t="shared" si="0"/>
        <v>2022</v>
      </c>
      <c r="K32" s="533">
        <f>[1]mProject!KB36</f>
        <v>0</v>
      </c>
      <c r="L32" s="533">
        <f t="shared" si="1"/>
        <v>0</v>
      </c>
      <c r="M32" s="533">
        <f t="shared" si="2"/>
        <v>295000</v>
      </c>
      <c r="N32" s="533">
        <f t="shared" si="3"/>
        <v>0</v>
      </c>
      <c r="O32" s="533">
        <f t="shared" si="25"/>
        <v>0</v>
      </c>
      <c r="P32" s="533">
        <f>[1]mProject!W36</f>
        <v>295984.15277777781</v>
      </c>
      <c r="Q32" s="533">
        <f t="shared" si="4"/>
        <v>0</v>
      </c>
      <c r="R32" s="533">
        <f t="shared" si="26"/>
        <v>0</v>
      </c>
      <c r="T32" s="533">
        <v>0</v>
      </c>
      <c r="U32" s="533">
        <f t="shared" si="5"/>
        <v>0</v>
      </c>
      <c r="V32" s="533">
        <f>IF(T32=0,0,$V$7*(1+#REF!)^#REF!)</f>
        <v>0</v>
      </c>
      <c r="W32" s="533">
        <f t="shared" si="27"/>
        <v>0</v>
      </c>
      <c r="X32" s="533">
        <f t="shared" si="6"/>
        <v>0</v>
      </c>
      <c r="Y32" s="533">
        <f t="shared" si="7"/>
        <v>0</v>
      </c>
      <c r="AA32" s="533">
        <v>0</v>
      </c>
      <c r="AB32" s="533">
        <f t="shared" si="8"/>
        <v>0</v>
      </c>
      <c r="AC32" s="533">
        <f>IF(AA32=0,0,$V$7*(1+#REF!)^#REF!)</f>
        <v>0</v>
      </c>
      <c r="AD32" s="533">
        <f t="shared" si="28"/>
        <v>0</v>
      </c>
      <c r="AE32" s="533">
        <f t="shared" si="9"/>
        <v>0</v>
      </c>
      <c r="AF32" s="533">
        <f t="shared" si="10"/>
        <v>0</v>
      </c>
      <c r="AH32" s="533">
        <f t="shared" si="11"/>
        <v>0</v>
      </c>
      <c r="AI32" s="533">
        <f t="shared" si="29"/>
        <v>0</v>
      </c>
      <c r="AJ32" s="533">
        <f t="shared" si="12"/>
        <v>0</v>
      </c>
      <c r="AK32" s="533">
        <f>AJ32*[1]mProject!V36</f>
        <v>0</v>
      </c>
      <c r="AL32" s="533">
        <f t="shared" si="13"/>
        <v>0</v>
      </c>
      <c r="AM32" s="533">
        <f t="shared" si="14"/>
        <v>0</v>
      </c>
      <c r="AN32" s="534"/>
      <c r="AO32" s="575" t="e">
        <f t="shared" si="35"/>
        <v>#REF!</v>
      </c>
      <c r="AP32" s="575" t="e">
        <f t="shared" si="41"/>
        <v>#REF!</v>
      </c>
      <c r="AQ32" s="543" t="e">
        <f t="shared" si="42"/>
        <v>#REF!</v>
      </c>
      <c r="AR32" s="576" t="e">
        <f t="shared" si="37"/>
        <v>#REF!</v>
      </c>
      <c r="AS32" s="533" t="e">
        <f t="shared" si="40"/>
        <v>#REF!</v>
      </c>
      <c r="AT32" s="533"/>
      <c r="AU32" s="533"/>
      <c r="AV32" s="533" t="e">
        <f t="shared" si="15"/>
        <v>#REF!</v>
      </c>
      <c r="AW32" s="533" t="e">
        <f>AI32*#REF!+AI31*#REF!+AI30*#REF!</f>
        <v>#REF!</v>
      </c>
      <c r="AX32" s="537"/>
      <c r="AY32" s="584">
        <f t="shared" si="31"/>
        <v>1.0442482643539814</v>
      </c>
      <c r="AZ32" s="533">
        <f t="shared" si="32"/>
        <v>0</v>
      </c>
      <c r="BA32" s="533">
        <f>BA31*[1]mProject!V36</f>
        <v>0</v>
      </c>
      <c r="BB32" s="533">
        <f t="shared" si="38"/>
        <v>0</v>
      </c>
      <c r="BC32" s="539"/>
      <c r="BD32" s="533">
        <f>((BB32/100)*(i_CFD.ObliRate/12))*[1]i.Finance!$O$64</f>
        <v>0</v>
      </c>
      <c r="BE32" s="533">
        <f>(AZ32/100*[1]i.Finance!$O$61)*[1]i.Finance!$O$64</f>
        <v>0</v>
      </c>
      <c r="BF32" s="533">
        <f>(AZ32/100*[1]i.Finance!$O$65)</f>
        <v>0</v>
      </c>
      <c r="BG32" s="546">
        <f t="shared" si="18"/>
        <v>0</v>
      </c>
      <c r="BH32" s="534"/>
      <c r="BI32" s="533">
        <f>-PV([1]i.Finance!$O$63/12,[1]i.Finance!$O$62*12,mCFD!BG32)</f>
        <v>0</v>
      </c>
      <c r="BJ32" s="533">
        <f>BI32*[1]i.Finance!$O$58</f>
        <v>0</v>
      </c>
      <c r="BK32" s="533"/>
      <c r="BL32" s="533"/>
      <c r="BP32" s="533"/>
      <c r="BQ32" s="533"/>
      <c r="BR32" s="533" t="e">
        <f t="shared" si="19"/>
        <v>#NAME?</v>
      </c>
      <c r="BS32" s="533" t="e">
        <f t="shared" si="20"/>
        <v>#NAME?</v>
      </c>
      <c r="BT32" s="533" t="e">
        <f t="shared" si="21"/>
        <v>#NAME?</v>
      </c>
      <c r="BU32" s="533"/>
    </row>
    <row r="33" spans="1:73" ht="19" hidden="1" outlineLevel="2">
      <c r="A33" s="366"/>
      <c r="B33" s="562"/>
      <c r="C33" s="366"/>
      <c r="D33" s="454"/>
      <c r="E33" s="547">
        <f t="shared" si="34"/>
        <v>27</v>
      </c>
      <c r="F33" s="547">
        <f t="shared" si="22"/>
        <v>9</v>
      </c>
      <c r="G33" s="547">
        <f t="shared" si="23"/>
        <v>3</v>
      </c>
      <c r="H33" s="548">
        <f t="shared" si="24"/>
        <v>44651</v>
      </c>
      <c r="I33" s="549">
        <f t="shared" si="0"/>
        <v>2022</v>
      </c>
      <c r="K33" s="547">
        <f>[1]mProject!KB37</f>
        <v>20</v>
      </c>
      <c r="L33" s="547">
        <f t="shared" si="1"/>
        <v>20</v>
      </c>
      <c r="M33" s="547">
        <f t="shared" si="2"/>
        <v>295000</v>
      </c>
      <c r="N33" s="547">
        <f t="shared" si="3"/>
        <v>5900000</v>
      </c>
      <c r="O33" s="547">
        <f t="shared" si="25"/>
        <v>5900000</v>
      </c>
      <c r="P33" s="547">
        <f>[1]mProject!W37</f>
        <v>296477.4596990741</v>
      </c>
      <c r="Q33" s="547">
        <f t="shared" si="4"/>
        <v>5929549.1939814817</v>
      </c>
      <c r="R33" s="547">
        <f t="shared" si="26"/>
        <v>5929549.1939814817</v>
      </c>
      <c r="T33" s="547">
        <v>0</v>
      </c>
      <c r="U33" s="547">
        <f t="shared" si="5"/>
        <v>0</v>
      </c>
      <c r="V33" s="547">
        <f>IF(T33=0,0,$V$7*(1+#REF!)^#REF!)</f>
        <v>0</v>
      </c>
      <c r="W33" s="547">
        <f t="shared" si="27"/>
        <v>0</v>
      </c>
      <c r="X33" s="547">
        <f t="shared" si="6"/>
        <v>0</v>
      </c>
      <c r="Y33" s="547">
        <f t="shared" si="7"/>
        <v>0</v>
      </c>
      <c r="AA33" s="547">
        <v>0</v>
      </c>
      <c r="AB33" s="547">
        <f t="shared" si="8"/>
        <v>0</v>
      </c>
      <c r="AC33" s="547">
        <f>IF(AA33=0,0,$V$7*(1+#REF!)^#REF!)</f>
        <v>0</v>
      </c>
      <c r="AD33" s="547">
        <f t="shared" si="28"/>
        <v>0</v>
      </c>
      <c r="AE33" s="547">
        <f t="shared" si="9"/>
        <v>0</v>
      </c>
      <c r="AF33" s="547">
        <f t="shared" si="10"/>
        <v>0</v>
      </c>
      <c r="AH33" s="547">
        <f t="shared" si="11"/>
        <v>20</v>
      </c>
      <c r="AI33" s="547">
        <f t="shared" si="29"/>
        <v>20</v>
      </c>
      <c r="AJ33" s="547">
        <f t="shared" si="12"/>
        <v>295000</v>
      </c>
      <c r="AK33" s="547">
        <f>AJ33*[1]mProject!V37</f>
        <v>296477.4596990741</v>
      </c>
      <c r="AL33" s="547">
        <f t="shared" si="13"/>
        <v>5900000</v>
      </c>
      <c r="AM33" s="547">
        <f t="shared" si="14"/>
        <v>5929549.1939814817</v>
      </c>
      <c r="AN33" s="534"/>
      <c r="AO33" s="577" t="e">
        <f t="shared" si="35"/>
        <v>#REF!</v>
      </c>
      <c r="AP33" s="577" t="e">
        <f t="shared" si="41"/>
        <v>#REF!</v>
      </c>
      <c r="AQ33" s="550" t="e">
        <f t="shared" si="42"/>
        <v>#REF!</v>
      </c>
      <c r="AR33" s="578" t="e">
        <f t="shared" si="37"/>
        <v>#REF!</v>
      </c>
      <c r="AS33" s="547" t="e">
        <f t="shared" si="40"/>
        <v>#REF!</v>
      </c>
      <c r="AT33" s="547"/>
      <c r="AU33" s="547"/>
      <c r="AV33" s="547" t="e">
        <f t="shared" si="15"/>
        <v>#REF!</v>
      </c>
      <c r="AW33" s="547" t="e">
        <f>AI33*#REF!+AI32*#REF!+AI31*#REF!</f>
        <v>#REF!</v>
      </c>
      <c r="AX33" s="537"/>
      <c r="AY33" s="585">
        <f t="shared" si="31"/>
        <v>1.0459886781279049</v>
      </c>
      <c r="AZ33" s="547">
        <f t="shared" si="32"/>
        <v>355772.95163888892</v>
      </c>
      <c r="BA33" s="547">
        <f>BA32*[1]mProject!V37</f>
        <v>0</v>
      </c>
      <c r="BB33" s="547">
        <f t="shared" si="38"/>
        <v>355772.95163888892</v>
      </c>
      <c r="BC33" s="539"/>
      <c r="BD33" s="547">
        <f>((BB33/100)*(i_CFD.ObliRate/12))*[1]i.Finance!$O$64</f>
        <v>1197.0277435350117</v>
      </c>
      <c r="BE33" s="547">
        <f>(AZ33/100*[1]i.Finance!$O$61)*[1]i.Finance!$O$64</f>
        <v>14364.332922420141</v>
      </c>
      <c r="BF33" s="547">
        <f>(AZ33/100*[1]i.Finance!$O$65)</f>
        <v>1067.3188549166669</v>
      </c>
      <c r="BG33" s="553">
        <f t="shared" si="18"/>
        <v>2264.3465984516788</v>
      </c>
      <c r="BH33" s="534"/>
      <c r="BI33" s="547">
        <f>-PV([1]i.Finance!$O$63/12,[1]i.Finance!$O$62*12,mCFD!BG33)</f>
        <v>387339.23564805998</v>
      </c>
      <c r="BJ33" s="547">
        <f>BI33*[1]i.Finance!$O$58</f>
        <v>304061.29998372711</v>
      </c>
      <c r="BK33" s="547"/>
      <c r="BL33" s="547"/>
      <c r="BP33" s="547"/>
      <c r="BQ33" s="547"/>
      <c r="BR33" s="547" t="e">
        <f t="shared" si="19"/>
        <v>#NAME?</v>
      </c>
      <c r="BS33" s="547" t="e">
        <f t="shared" si="20"/>
        <v>#NAME?</v>
      </c>
      <c r="BT33" s="547" t="e">
        <f t="shared" si="21"/>
        <v>#NAME?</v>
      </c>
      <c r="BU33" s="547"/>
    </row>
    <row r="34" spans="1:73" ht="19" hidden="1" outlineLevel="2">
      <c r="A34" s="366"/>
      <c r="B34" s="562"/>
      <c r="C34" s="366"/>
      <c r="D34" s="454"/>
      <c r="E34" s="530">
        <f t="shared" si="34"/>
        <v>28</v>
      </c>
      <c r="F34" s="530">
        <f t="shared" si="22"/>
        <v>10</v>
      </c>
      <c r="G34" s="530">
        <f t="shared" si="23"/>
        <v>3</v>
      </c>
      <c r="H34" s="554">
        <f t="shared" si="24"/>
        <v>44681</v>
      </c>
      <c r="I34" s="555">
        <f t="shared" si="0"/>
        <v>2022</v>
      </c>
      <c r="K34" s="530">
        <f>[1]mProject!KB38</f>
        <v>20</v>
      </c>
      <c r="L34" s="530">
        <f t="shared" si="1"/>
        <v>40</v>
      </c>
      <c r="M34" s="530">
        <f t="shared" si="2"/>
        <v>295000</v>
      </c>
      <c r="N34" s="530">
        <f t="shared" si="3"/>
        <v>5900000</v>
      </c>
      <c r="O34" s="530">
        <f t="shared" si="25"/>
        <v>11800000</v>
      </c>
      <c r="P34" s="530">
        <f>[1]mProject!W38</f>
        <v>296971.58879857254</v>
      </c>
      <c r="Q34" s="530">
        <f t="shared" si="4"/>
        <v>5939431.7759714508</v>
      </c>
      <c r="R34" s="530">
        <f t="shared" si="26"/>
        <v>11868980.969952933</v>
      </c>
      <c r="T34" s="530">
        <v>0</v>
      </c>
      <c r="U34" s="530">
        <f t="shared" si="5"/>
        <v>0</v>
      </c>
      <c r="V34" s="530">
        <f>IF(T34=0,0,$V$7*(1+#REF!)^#REF!)</f>
        <v>0</v>
      </c>
      <c r="W34" s="530">
        <f t="shared" si="27"/>
        <v>0</v>
      </c>
      <c r="X34" s="530">
        <f t="shared" si="6"/>
        <v>0</v>
      </c>
      <c r="Y34" s="530">
        <f t="shared" si="7"/>
        <v>0</v>
      </c>
      <c r="AA34" s="530">
        <v>0</v>
      </c>
      <c r="AB34" s="530">
        <f t="shared" si="8"/>
        <v>0</v>
      </c>
      <c r="AC34" s="530">
        <f>IF(AA34=0,0,$V$7*(1+#REF!)^#REF!)</f>
        <v>0</v>
      </c>
      <c r="AD34" s="530">
        <f t="shared" si="28"/>
        <v>0</v>
      </c>
      <c r="AE34" s="530">
        <f t="shared" si="9"/>
        <v>0</v>
      </c>
      <c r="AF34" s="530">
        <f t="shared" si="10"/>
        <v>0</v>
      </c>
      <c r="AH34" s="530">
        <f t="shared" si="11"/>
        <v>20</v>
      </c>
      <c r="AI34" s="530">
        <f t="shared" si="29"/>
        <v>40</v>
      </c>
      <c r="AJ34" s="530">
        <f t="shared" si="12"/>
        <v>295000</v>
      </c>
      <c r="AK34" s="530">
        <f>AJ34*[1]mProject!V38</f>
        <v>296971.5887985726</v>
      </c>
      <c r="AL34" s="530">
        <f t="shared" si="13"/>
        <v>5900000</v>
      </c>
      <c r="AM34" s="530">
        <f t="shared" si="14"/>
        <v>5939431.7759714508</v>
      </c>
      <c r="AN34" s="534"/>
      <c r="AO34" s="572" t="e">
        <f t="shared" si="35"/>
        <v>#REF!</v>
      </c>
      <c r="AP34" s="572" t="e">
        <f t="shared" si="41"/>
        <v>#REF!</v>
      </c>
      <c r="AQ34" s="556" t="e">
        <f t="shared" si="42"/>
        <v>#REF!</v>
      </c>
      <c r="AR34" s="573" t="e">
        <f t="shared" si="37"/>
        <v>#REF!</v>
      </c>
      <c r="AS34" s="530" t="e">
        <f t="shared" si="40"/>
        <v>#REF!</v>
      </c>
      <c r="AT34" s="530"/>
      <c r="AU34" s="530"/>
      <c r="AV34" s="530" t="e">
        <f t="shared" si="15"/>
        <v>#REF!</v>
      </c>
      <c r="AW34" s="530" t="e">
        <f>AI34*#REF!+AI33*#REF!+AI32*#REF!</f>
        <v>#REF!</v>
      </c>
      <c r="AX34" s="537"/>
      <c r="AY34" s="583">
        <f t="shared" si="31"/>
        <v>1.0477319925914514</v>
      </c>
      <c r="AZ34" s="530">
        <f t="shared" si="32"/>
        <v>356365.9065582871</v>
      </c>
      <c r="BA34" s="530">
        <f>BA33*[1]mProject!V38</f>
        <v>0</v>
      </c>
      <c r="BB34" s="530">
        <f t="shared" si="38"/>
        <v>712138.85819717601</v>
      </c>
      <c r="BC34" s="539"/>
      <c r="BD34" s="530">
        <f>((BB34/100)*(i_CFD.ObliRate/12))*[1]i.Finance!$O$64</f>
        <v>2396.0505333092483</v>
      </c>
      <c r="BE34" s="530">
        <f>(AZ34/100*[1]i.Finance!$O$61)*[1]i.Finance!$O$64</f>
        <v>14388.273477290841</v>
      </c>
      <c r="BF34" s="530">
        <f>(AZ34/100*[1]i.Finance!$O$65)</f>
        <v>1069.0977196748613</v>
      </c>
      <c r="BG34" s="540">
        <f t="shared" si="18"/>
        <v>3465.1482529841096</v>
      </c>
      <c r="BH34" s="534"/>
      <c r="BI34" s="530">
        <f>-PV([1]i.Finance!$O$63/12,[1]i.Finance!$O$62*12,mCFD!BG34)</f>
        <v>592748.42315917555</v>
      </c>
      <c r="BJ34" s="530">
        <f>BI34*[1]i.Finance!$O$58</f>
        <v>465307.51217995281</v>
      </c>
      <c r="BK34" s="530"/>
      <c r="BL34" s="530"/>
      <c r="BP34" s="530"/>
      <c r="BQ34" s="530"/>
      <c r="BR34" s="530" t="e">
        <f t="shared" si="19"/>
        <v>#NAME?</v>
      </c>
      <c r="BS34" s="530" t="e">
        <f t="shared" si="20"/>
        <v>#NAME?</v>
      </c>
      <c r="BT34" s="530" t="e">
        <f t="shared" si="21"/>
        <v>#NAME?</v>
      </c>
      <c r="BU34" s="530"/>
    </row>
    <row r="35" spans="1:73" ht="19" hidden="1" outlineLevel="2">
      <c r="A35" s="366"/>
      <c r="B35" s="562"/>
      <c r="C35" s="366"/>
      <c r="D35" s="454"/>
      <c r="E35" s="533">
        <f t="shared" si="34"/>
        <v>29</v>
      </c>
      <c r="F35" s="533">
        <f t="shared" si="22"/>
        <v>10</v>
      </c>
      <c r="G35" s="533">
        <f t="shared" si="23"/>
        <v>3</v>
      </c>
      <c r="H35" s="541">
        <f t="shared" si="24"/>
        <v>44712</v>
      </c>
      <c r="I35" s="542">
        <f t="shared" si="0"/>
        <v>2022</v>
      </c>
      <c r="K35" s="533">
        <f>[1]mProject!KB39</f>
        <v>20</v>
      </c>
      <c r="L35" s="533">
        <f t="shared" si="1"/>
        <v>60</v>
      </c>
      <c r="M35" s="533">
        <f t="shared" si="2"/>
        <v>295000</v>
      </c>
      <c r="N35" s="533">
        <f t="shared" si="3"/>
        <v>5900000</v>
      </c>
      <c r="O35" s="533">
        <f t="shared" si="25"/>
        <v>17700000</v>
      </c>
      <c r="P35" s="533">
        <f>[1]mProject!W39</f>
        <v>297466.54144657019</v>
      </c>
      <c r="Q35" s="533">
        <f t="shared" si="4"/>
        <v>5949330.8289314043</v>
      </c>
      <c r="R35" s="533">
        <f t="shared" si="26"/>
        <v>17818311.79888434</v>
      </c>
      <c r="T35" s="533">
        <v>0</v>
      </c>
      <c r="U35" s="533">
        <f t="shared" si="5"/>
        <v>0</v>
      </c>
      <c r="V35" s="533">
        <f>IF(T35=0,0,$V$7*(1+#REF!)^#REF!)</f>
        <v>0</v>
      </c>
      <c r="W35" s="533">
        <f t="shared" si="27"/>
        <v>0</v>
      </c>
      <c r="X35" s="533">
        <f t="shared" si="6"/>
        <v>0</v>
      </c>
      <c r="Y35" s="533">
        <f t="shared" si="7"/>
        <v>0</v>
      </c>
      <c r="AA35" s="533">
        <v>0</v>
      </c>
      <c r="AB35" s="533">
        <f t="shared" si="8"/>
        <v>0</v>
      </c>
      <c r="AC35" s="533">
        <f>IF(AA35=0,0,$V$7*(1+#REF!)^#REF!)</f>
        <v>0</v>
      </c>
      <c r="AD35" s="533">
        <f t="shared" si="28"/>
        <v>0</v>
      </c>
      <c r="AE35" s="533">
        <f t="shared" si="9"/>
        <v>0</v>
      </c>
      <c r="AF35" s="533">
        <f t="shared" si="10"/>
        <v>0</v>
      </c>
      <c r="AH35" s="533">
        <f t="shared" si="11"/>
        <v>20</v>
      </c>
      <c r="AI35" s="533">
        <f t="shared" si="29"/>
        <v>60</v>
      </c>
      <c r="AJ35" s="533">
        <f t="shared" si="12"/>
        <v>295000</v>
      </c>
      <c r="AK35" s="533">
        <f>AJ35*[1]mProject!V39</f>
        <v>297466.54144657019</v>
      </c>
      <c r="AL35" s="533">
        <f t="shared" si="13"/>
        <v>5900000</v>
      </c>
      <c r="AM35" s="533">
        <f t="shared" si="14"/>
        <v>5949330.8289314043</v>
      </c>
      <c r="AN35" s="534"/>
      <c r="AO35" s="575" t="e">
        <f t="shared" si="35"/>
        <v>#REF!</v>
      </c>
      <c r="AP35" s="575" t="e">
        <f t="shared" si="41"/>
        <v>#REF!</v>
      </c>
      <c r="AQ35" s="543" t="e">
        <f t="shared" si="42"/>
        <v>#REF!</v>
      </c>
      <c r="AR35" s="576" t="e">
        <f t="shared" si="37"/>
        <v>#REF!</v>
      </c>
      <c r="AS35" s="533" t="e">
        <f t="shared" si="40"/>
        <v>#REF!</v>
      </c>
      <c r="AT35" s="533"/>
      <c r="AU35" s="533"/>
      <c r="AV35" s="533" t="e">
        <f t="shared" si="15"/>
        <v>#REF!</v>
      </c>
      <c r="AW35" s="533" t="e">
        <f>AI35*#REF!+AI34*#REF!+AI33*#REF!</f>
        <v>#REF!</v>
      </c>
      <c r="AX35" s="537"/>
      <c r="AY35" s="584">
        <f t="shared" si="31"/>
        <v>1.049478212579104</v>
      </c>
      <c r="AZ35" s="533">
        <f t="shared" si="32"/>
        <v>356959.84973588423</v>
      </c>
      <c r="BA35" s="533">
        <f>BA34*[1]mProject!V39</f>
        <v>0</v>
      </c>
      <c r="BB35" s="533">
        <f t="shared" si="38"/>
        <v>1069098.7079330604</v>
      </c>
      <c r="BC35" s="539"/>
      <c r="BD35" s="533">
        <f>((BB35/100)*(i_CFD.ObliRate/12))*[1]i.Finance!$O$64</f>
        <v>3597.0716943997763</v>
      </c>
      <c r="BE35" s="533">
        <f>(AZ35/100*[1]i.Finance!$O$61)*[1]i.Finance!$O$64</f>
        <v>14412.253933086326</v>
      </c>
      <c r="BF35" s="533">
        <f>(AZ35/100*[1]i.Finance!$O$65)</f>
        <v>1070.8795492076526</v>
      </c>
      <c r="BG35" s="546">
        <f t="shared" si="18"/>
        <v>4667.9512436074292</v>
      </c>
      <c r="BH35" s="534"/>
      <c r="BI35" s="533">
        <f>-PV([1]i.Finance!$O$63/12,[1]i.Finance!$O$62*12,mCFD!BG35)</f>
        <v>798499.95931614318</v>
      </c>
      <c r="BJ35" s="533">
        <f>BI35*[1]i.Finance!$O$58</f>
        <v>626822.46806317242</v>
      </c>
      <c r="BK35" s="533"/>
      <c r="BL35" s="533"/>
      <c r="BP35" s="533"/>
      <c r="BQ35" s="533"/>
      <c r="BR35" s="533" t="e">
        <f t="shared" si="19"/>
        <v>#NAME?</v>
      </c>
      <c r="BS35" s="533" t="e">
        <f t="shared" si="20"/>
        <v>#NAME?</v>
      </c>
      <c r="BT35" s="533" t="e">
        <f t="shared" si="21"/>
        <v>#NAME?</v>
      </c>
      <c r="BU35" s="533"/>
    </row>
    <row r="36" spans="1:73" ht="19" hidden="1" outlineLevel="2">
      <c r="A36" s="366"/>
      <c r="B36" s="562"/>
      <c r="C36" s="366"/>
      <c r="D36" s="454"/>
      <c r="E36" s="547">
        <f t="shared" si="34"/>
        <v>30</v>
      </c>
      <c r="F36" s="547">
        <f t="shared" si="22"/>
        <v>10</v>
      </c>
      <c r="G36" s="547">
        <f t="shared" si="23"/>
        <v>3</v>
      </c>
      <c r="H36" s="548">
        <f t="shared" si="24"/>
        <v>44742</v>
      </c>
      <c r="I36" s="549">
        <f t="shared" si="0"/>
        <v>2022</v>
      </c>
      <c r="K36" s="547">
        <f>[1]mProject!KB40</f>
        <v>20</v>
      </c>
      <c r="L36" s="547">
        <f t="shared" si="1"/>
        <v>80</v>
      </c>
      <c r="M36" s="547">
        <f t="shared" si="2"/>
        <v>295000</v>
      </c>
      <c r="N36" s="547">
        <f t="shared" si="3"/>
        <v>5900000</v>
      </c>
      <c r="O36" s="547">
        <f t="shared" si="25"/>
        <v>23600000</v>
      </c>
      <c r="P36" s="547">
        <f>[1]mProject!W40</f>
        <v>297962.31901564781</v>
      </c>
      <c r="Q36" s="547">
        <f t="shared" si="4"/>
        <v>5959246.3803129559</v>
      </c>
      <c r="R36" s="547">
        <f t="shared" si="26"/>
        <v>23777558.179197297</v>
      </c>
      <c r="T36" s="547">
        <v>0</v>
      </c>
      <c r="U36" s="547">
        <f t="shared" si="5"/>
        <v>0</v>
      </c>
      <c r="V36" s="547">
        <f>IF(T36=0,0,$V$7*(1+#REF!)^#REF!)</f>
        <v>0</v>
      </c>
      <c r="W36" s="547">
        <f t="shared" si="27"/>
        <v>0</v>
      </c>
      <c r="X36" s="547">
        <f t="shared" si="6"/>
        <v>0</v>
      </c>
      <c r="Y36" s="547">
        <f t="shared" si="7"/>
        <v>0</v>
      </c>
      <c r="AA36" s="547">
        <v>0</v>
      </c>
      <c r="AB36" s="547">
        <f t="shared" si="8"/>
        <v>0</v>
      </c>
      <c r="AC36" s="547">
        <f>IF(AA36=0,0,$V$7*(1+#REF!)^#REF!)</f>
        <v>0</v>
      </c>
      <c r="AD36" s="547">
        <f t="shared" si="28"/>
        <v>0</v>
      </c>
      <c r="AE36" s="547">
        <f t="shared" si="9"/>
        <v>0</v>
      </c>
      <c r="AF36" s="547">
        <f t="shared" si="10"/>
        <v>0</v>
      </c>
      <c r="AH36" s="547">
        <f t="shared" si="11"/>
        <v>20</v>
      </c>
      <c r="AI36" s="547">
        <f t="shared" si="29"/>
        <v>80</v>
      </c>
      <c r="AJ36" s="547">
        <f t="shared" si="12"/>
        <v>295000</v>
      </c>
      <c r="AK36" s="547">
        <f>AJ36*[1]mProject!V40</f>
        <v>297962.31901564787</v>
      </c>
      <c r="AL36" s="547">
        <f t="shared" si="13"/>
        <v>5900000</v>
      </c>
      <c r="AM36" s="547">
        <f t="shared" si="14"/>
        <v>5959246.3803129559</v>
      </c>
      <c r="AN36" s="534"/>
      <c r="AO36" s="577" t="e">
        <f t="shared" si="35"/>
        <v>#REF!</v>
      </c>
      <c r="AP36" s="577" t="e">
        <f t="shared" si="41"/>
        <v>#REF!</v>
      </c>
      <c r="AQ36" s="550" t="e">
        <f t="shared" si="42"/>
        <v>#REF!</v>
      </c>
      <c r="AR36" s="578" t="e">
        <f t="shared" si="37"/>
        <v>#REF!</v>
      </c>
      <c r="AS36" s="547" t="e">
        <f t="shared" si="40"/>
        <v>#REF!</v>
      </c>
      <c r="AT36" s="547"/>
      <c r="AU36" s="547"/>
      <c r="AV36" s="547" t="e">
        <f t="shared" si="15"/>
        <v>#REF!</v>
      </c>
      <c r="AW36" s="547" t="e">
        <f>AI36*#REF!+AI35*#REF!+AI34*#REF!</f>
        <v>#REF!</v>
      </c>
      <c r="AX36" s="537"/>
      <c r="AY36" s="585">
        <f t="shared" si="31"/>
        <v>1.0512273429334025</v>
      </c>
      <c r="AZ36" s="547">
        <f t="shared" si="32"/>
        <v>357554.78281877737</v>
      </c>
      <c r="BA36" s="547">
        <f>BA35*[1]mProject!V40</f>
        <v>0</v>
      </c>
      <c r="BB36" s="547">
        <f t="shared" si="38"/>
        <v>1426653.4907518378</v>
      </c>
      <c r="BC36" s="539"/>
      <c r="BD36" s="547">
        <f>((BB36/100)*(i_CFD.ObliRate/12))*[1]i.Finance!$O$64</f>
        <v>4800.0945574254547</v>
      </c>
      <c r="BE36" s="547">
        <f>(AZ36/100*[1]i.Finance!$O$61)*[1]i.Finance!$O$64</f>
        <v>14436.274356308135</v>
      </c>
      <c r="BF36" s="547">
        <f>(AZ36/100*[1]i.Finance!$O$65)</f>
        <v>1072.6643484563319</v>
      </c>
      <c r="BG36" s="553">
        <f t="shared" si="18"/>
        <v>5872.7589058817866</v>
      </c>
      <c r="BH36" s="534"/>
      <c r="BI36" s="547">
        <f>-PV([1]i.Finance!$O$63/12,[1]i.Finance!$O$62*12,mCFD!BG36)</f>
        <v>1004594.414700039</v>
      </c>
      <c r="BJ36" s="547">
        <f>BI36*[1]i.Finance!$O$58</f>
        <v>788606.61553953064</v>
      </c>
      <c r="BK36" s="547"/>
      <c r="BL36" s="547"/>
      <c r="BP36" s="547"/>
      <c r="BQ36" s="547"/>
      <c r="BR36" s="547" t="e">
        <f t="shared" si="19"/>
        <v>#NAME?</v>
      </c>
      <c r="BS36" s="547" t="e">
        <f t="shared" si="20"/>
        <v>#NAME?</v>
      </c>
      <c r="BT36" s="547" t="e">
        <f t="shared" si="21"/>
        <v>#NAME?</v>
      </c>
      <c r="BU36" s="547"/>
    </row>
    <row r="37" spans="1:73" ht="19" hidden="1" outlineLevel="2">
      <c r="A37" s="366"/>
      <c r="B37" s="562"/>
      <c r="C37" s="366"/>
      <c r="D37" s="454"/>
      <c r="E37" s="530">
        <f t="shared" si="34"/>
        <v>31</v>
      </c>
      <c r="F37" s="530">
        <f t="shared" si="22"/>
        <v>11</v>
      </c>
      <c r="G37" s="530">
        <f t="shared" si="23"/>
        <v>3</v>
      </c>
      <c r="H37" s="554">
        <f t="shared" si="24"/>
        <v>44773</v>
      </c>
      <c r="I37" s="555">
        <f t="shared" si="0"/>
        <v>2022</v>
      </c>
      <c r="K37" s="530">
        <f>[1]mProject!KB41</f>
        <v>20</v>
      </c>
      <c r="L37" s="530">
        <f t="shared" si="1"/>
        <v>100</v>
      </c>
      <c r="M37" s="530">
        <f t="shared" si="2"/>
        <v>295000</v>
      </c>
      <c r="N37" s="530">
        <f t="shared" si="3"/>
        <v>5900000</v>
      </c>
      <c r="O37" s="530">
        <f t="shared" si="25"/>
        <v>29500000</v>
      </c>
      <c r="P37" s="530">
        <f>[1]mProject!W41</f>
        <v>298458.9228806739</v>
      </c>
      <c r="Q37" s="530">
        <f t="shared" si="4"/>
        <v>5969178.4576134775</v>
      </c>
      <c r="R37" s="530">
        <f t="shared" si="26"/>
        <v>29746736.636810772</v>
      </c>
      <c r="T37" s="530">
        <v>0</v>
      </c>
      <c r="U37" s="530">
        <f t="shared" si="5"/>
        <v>0</v>
      </c>
      <c r="V37" s="530">
        <f>IF(T37=0,0,$V$7*(1+#REF!)^#REF!)</f>
        <v>0</v>
      </c>
      <c r="W37" s="530">
        <f t="shared" si="27"/>
        <v>0</v>
      </c>
      <c r="X37" s="530">
        <f t="shared" si="6"/>
        <v>0</v>
      </c>
      <c r="Y37" s="530">
        <f t="shared" si="7"/>
        <v>0</v>
      </c>
      <c r="AA37" s="530">
        <v>0</v>
      </c>
      <c r="AB37" s="530">
        <f t="shared" si="8"/>
        <v>0</v>
      </c>
      <c r="AC37" s="530">
        <f>IF(AA37=0,0,$V$7*(1+#REF!)^#REF!)</f>
        <v>0</v>
      </c>
      <c r="AD37" s="530">
        <f t="shared" si="28"/>
        <v>0</v>
      </c>
      <c r="AE37" s="530">
        <f t="shared" si="9"/>
        <v>0</v>
      </c>
      <c r="AF37" s="530">
        <f t="shared" si="10"/>
        <v>0</v>
      </c>
      <c r="AH37" s="530">
        <f t="shared" si="11"/>
        <v>20</v>
      </c>
      <c r="AI37" s="530">
        <f t="shared" si="29"/>
        <v>100</v>
      </c>
      <c r="AJ37" s="530">
        <f t="shared" si="12"/>
        <v>295000</v>
      </c>
      <c r="AK37" s="530">
        <f>AJ37*[1]mProject!V41</f>
        <v>298458.92288067396</v>
      </c>
      <c r="AL37" s="530">
        <f t="shared" si="13"/>
        <v>5900000</v>
      </c>
      <c r="AM37" s="530">
        <f t="shared" si="14"/>
        <v>5969178.4576134775</v>
      </c>
      <c r="AN37" s="534"/>
      <c r="AO37" s="572" t="e">
        <f t="shared" si="35"/>
        <v>#REF!</v>
      </c>
      <c r="AP37" s="572" t="e">
        <f t="shared" si="41"/>
        <v>#REF!</v>
      </c>
      <c r="AQ37" s="556" t="e">
        <f t="shared" si="42"/>
        <v>#REF!</v>
      </c>
      <c r="AR37" s="573" t="e">
        <f t="shared" si="37"/>
        <v>#REF!</v>
      </c>
      <c r="AS37" s="530" t="e">
        <f t="shared" si="40"/>
        <v>#REF!</v>
      </c>
      <c r="AT37" s="530"/>
      <c r="AU37" s="530"/>
      <c r="AV37" s="530" t="e">
        <f t="shared" si="15"/>
        <v>#REF!</v>
      </c>
      <c r="AW37" s="530" t="e">
        <f>AI37*#REF!+AI36*#REF!+AI35*#REF!</f>
        <v>#REF!</v>
      </c>
      <c r="AX37" s="537"/>
      <c r="AY37" s="583">
        <f t="shared" si="31"/>
        <v>1.0529793885049581</v>
      </c>
      <c r="AZ37" s="530">
        <f t="shared" si="32"/>
        <v>358150.70745680865</v>
      </c>
      <c r="BA37" s="530">
        <f>BA36*[1]mProject!V41</f>
        <v>0</v>
      </c>
      <c r="BB37" s="530">
        <f t="shared" si="38"/>
        <v>1784804.1982086464</v>
      </c>
      <c r="BC37" s="539"/>
      <c r="BD37" s="530">
        <f>((BB37/100)*(i_CFD.ObliRate/12))*[1]i.Finance!$O$64</f>
        <v>6005.122458556174</v>
      </c>
      <c r="BE37" s="530">
        <f>(AZ37/100*[1]i.Finance!$O$61)*[1]i.Finance!$O$64</f>
        <v>14460.334813568648</v>
      </c>
      <c r="BF37" s="530">
        <f>(AZ37/100*[1]i.Finance!$O$65)</f>
        <v>1074.452122370426</v>
      </c>
      <c r="BG37" s="540">
        <f t="shared" si="18"/>
        <v>7079.5745809266</v>
      </c>
      <c r="BH37" s="534"/>
      <c r="BI37" s="530">
        <f>-PV([1]i.Finance!$O$63/12,[1]i.Finance!$O$62*12,mCFD!BG37)</f>
        <v>1211032.3608429078</v>
      </c>
      <c r="BJ37" s="530">
        <f>BI37*[1]i.Finance!$O$58</f>
        <v>950660.40326168272</v>
      </c>
      <c r="BK37" s="530"/>
      <c r="BL37" s="530"/>
      <c r="BP37" s="530"/>
      <c r="BQ37" s="530"/>
      <c r="BR37" s="530" t="e">
        <f t="shared" si="19"/>
        <v>#NAME?</v>
      </c>
      <c r="BS37" s="530" t="e">
        <f t="shared" si="20"/>
        <v>#NAME?</v>
      </c>
      <c r="BT37" s="530" t="e">
        <f t="shared" si="21"/>
        <v>#NAME?</v>
      </c>
      <c r="BU37" s="530"/>
    </row>
    <row r="38" spans="1:73" ht="16" hidden="1" outlineLevel="2">
      <c r="A38" s="366"/>
      <c r="B38" s="562"/>
      <c r="C38" s="366"/>
      <c r="D38" s="454"/>
      <c r="E38" s="533">
        <f t="shared" si="34"/>
        <v>32</v>
      </c>
      <c r="F38" s="533">
        <f t="shared" si="22"/>
        <v>11</v>
      </c>
      <c r="G38" s="533">
        <f t="shared" si="23"/>
        <v>3</v>
      </c>
      <c r="H38" s="541">
        <f t="shared" si="24"/>
        <v>44804</v>
      </c>
      <c r="I38" s="542">
        <f t="shared" si="0"/>
        <v>2022</v>
      </c>
      <c r="K38" s="533">
        <f>[1]mProject!KB42</f>
        <v>20</v>
      </c>
      <c r="L38" s="533">
        <f t="shared" si="1"/>
        <v>120</v>
      </c>
      <c r="M38" s="533">
        <f t="shared" si="2"/>
        <v>295000</v>
      </c>
      <c r="N38" s="533">
        <f t="shared" si="3"/>
        <v>5900000</v>
      </c>
      <c r="O38" s="533">
        <f t="shared" si="25"/>
        <v>35400000</v>
      </c>
      <c r="P38" s="533">
        <f>[1]mProject!W42</f>
        <v>298956.35441880836</v>
      </c>
      <c r="Q38" s="533">
        <f t="shared" si="4"/>
        <v>5979127.0883761672</v>
      </c>
      <c r="R38" s="533">
        <f t="shared" si="26"/>
        <v>35725863.725186937</v>
      </c>
      <c r="T38" s="533">
        <v>0</v>
      </c>
      <c r="U38" s="533">
        <f t="shared" si="5"/>
        <v>0</v>
      </c>
      <c r="V38" s="533">
        <f>IF(T38=0,0,$V$7*(1+#REF!)^#REF!)</f>
        <v>0</v>
      </c>
      <c r="W38" s="533">
        <f t="shared" si="27"/>
        <v>0</v>
      </c>
      <c r="X38" s="533">
        <f t="shared" si="6"/>
        <v>0</v>
      </c>
      <c r="Y38" s="533">
        <f t="shared" si="7"/>
        <v>0</v>
      </c>
      <c r="AA38" s="533">
        <v>0</v>
      </c>
      <c r="AB38" s="533">
        <f t="shared" si="8"/>
        <v>0</v>
      </c>
      <c r="AC38" s="533">
        <f>IF(AA38=0,0,$V$7*(1+#REF!)^#REF!)</f>
        <v>0</v>
      </c>
      <c r="AD38" s="533">
        <f t="shared" si="28"/>
        <v>0</v>
      </c>
      <c r="AE38" s="533">
        <f t="shared" si="9"/>
        <v>0</v>
      </c>
      <c r="AF38" s="533">
        <f t="shared" si="10"/>
        <v>0</v>
      </c>
      <c r="AH38" s="533">
        <f t="shared" si="11"/>
        <v>20</v>
      </c>
      <c r="AI38" s="533">
        <f t="shared" si="29"/>
        <v>120</v>
      </c>
      <c r="AJ38" s="533">
        <f t="shared" si="12"/>
        <v>295000</v>
      </c>
      <c r="AK38" s="533">
        <f>AJ38*[1]mProject!V42</f>
        <v>298956.35441880842</v>
      </c>
      <c r="AL38" s="533">
        <f t="shared" si="13"/>
        <v>5900000</v>
      </c>
      <c r="AM38" s="533">
        <f t="shared" si="14"/>
        <v>5979127.0883761672</v>
      </c>
      <c r="AN38" s="456"/>
      <c r="AO38" s="575" t="e">
        <f t="shared" si="35"/>
        <v>#REF!</v>
      </c>
      <c r="AP38" s="575" t="e">
        <f t="shared" si="41"/>
        <v>#REF!</v>
      </c>
      <c r="AQ38" s="558" t="e">
        <f t="shared" si="42"/>
        <v>#REF!</v>
      </c>
      <c r="AR38" s="576" t="e">
        <f t="shared" si="37"/>
        <v>#REF!</v>
      </c>
      <c r="AS38" s="533" t="e">
        <f t="shared" si="40"/>
        <v>#REF!</v>
      </c>
      <c r="AT38" s="533"/>
      <c r="AU38" s="533"/>
      <c r="AV38" s="533" t="e">
        <f t="shared" si="15"/>
        <v>#REF!</v>
      </c>
      <c r="AW38" s="533" t="e">
        <f>AI38*#REF!+AI37*#REF!+AI36*#REF!</f>
        <v>#REF!</v>
      </c>
      <c r="AX38" s="456"/>
      <c r="AY38" s="584">
        <f t="shared" si="31"/>
        <v>1.0547343541524663</v>
      </c>
      <c r="AZ38" s="533">
        <f t="shared" si="32"/>
        <v>358747.62530257006</v>
      </c>
      <c r="BA38" s="533">
        <f>BA37*[1]mProject!V42</f>
        <v>0</v>
      </c>
      <c r="BB38" s="533">
        <f t="shared" si="38"/>
        <v>2143551.8235112163</v>
      </c>
      <c r="BC38" s="456"/>
      <c r="BD38" s="586">
        <f>((BB38/100)*(i_CFD.ObliRate/12))*[1]i.Finance!$O$64</f>
        <v>7212.1587395221122</v>
      </c>
      <c r="BE38" s="586">
        <f>(AZ38/100*[1]i.Finance!$O$61)*[1]i.Finance!$O$64</f>
        <v>14484.435371591266</v>
      </c>
      <c r="BF38" s="586">
        <f>(AZ38/100*[1]i.Finance!$O$65)</f>
        <v>1076.2428759077102</v>
      </c>
      <c r="BG38" s="587">
        <f t="shared" si="18"/>
        <v>8288.4016154298224</v>
      </c>
      <c r="BH38" s="456"/>
      <c r="BI38" s="586">
        <f>-PV([1]i.Finance!$O$63/12,[1]i.Finance!$O$62*12,mCFD!BG38)</f>
        <v>1417814.3702293481</v>
      </c>
      <c r="BJ38" s="586">
        <f>BI38*[1]i.Finance!$O$58</f>
        <v>1112984.2806300384</v>
      </c>
      <c r="BK38" s="586"/>
      <c r="BL38" s="586"/>
      <c r="BP38" s="533"/>
      <c r="BQ38" s="533"/>
      <c r="BR38" s="533" t="e">
        <f t="shared" si="19"/>
        <v>#NAME?</v>
      </c>
      <c r="BS38" s="533" t="e">
        <f t="shared" si="20"/>
        <v>#NAME?</v>
      </c>
      <c r="BT38" s="533" t="e">
        <f t="shared" si="21"/>
        <v>#NAME?</v>
      </c>
      <c r="BU38" s="533"/>
    </row>
    <row r="39" spans="1:73" ht="16" hidden="1" outlineLevel="2">
      <c r="A39" s="366"/>
      <c r="B39" s="562"/>
      <c r="C39" s="366"/>
      <c r="D39" s="454"/>
      <c r="E39" s="547">
        <f t="shared" si="34"/>
        <v>33</v>
      </c>
      <c r="F39" s="547">
        <f t="shared" si="22"/>
        <v>11</v>
      </c>
      <c r="G39" s="547">
        <f t="shared" si="23"/>
        <v>3</v>
      </c>
      <c r="H39" s="548">
        <f t="shared" si="24"/>
        <v>44834</v>
      </c>
      <c r="I39" s="549">
        <f t="shared" si="0"/>
        <v>2022</v>
      </c>
      <c r="K39" s="547">
        <f>[1]mProject!KB43</f>
        <v>20</v>
      </c>
      <c r="L39" s="547">
        <f t="shared" si="1"/>
        <v>140</v>
      </c>
      <c r="M39" s="547">
        <f t="shared" si="2"/>
        <v>295000</v>
      </c>
      <c r="N39" s="547">
        <f t="shared" si="3"/>
        <v>5900000</v>
      </c>
      <c r="O39" s="547">
        <f t="shared" si="25"/>
        <v>41300000</v>
      </c>
      <c r="P39" s="547">
        <f>[1]mProject!W43</f>
        <v>299454.61500950641</v>
      </c>
      <c r="Q39" s="547">
        <f t="shared" si="4"/>
        <v>5989092.3001901284</v>
      </c>
      <c r="R39" s="547">
        <f t="shared" si="26"/>
        <v>41714956.025377065</v>
      </c>
      <c r="T39" s="547">
        <v>0</v>
      </c>
      <c r="U39" s="547">
        <f t="shared" si="5"/>
        <v>0</v>
      </c>
      <c r="V39" s="547">
        <f>IF(T39=0,0,$V$7*(1+#REF!)^#REF!)</f>
        <v>0</v>
      </c>
      <c r="W39" s="547">
        <f t="shared" si="27"/>
        <v>0</v>
      </c>
      <c r="X39" s="547">
        <f t="shared" si="6"/>
        <v>0</v>
      </c>
      <c r="Y39" s="547">
        <f t="shared" si="7"/>
        <v>0</v>
      </c>
      <c r="AA39" s="547">
        <v>0</v>
      </c>
      <c r="AB39" s="547">
        <f t="shared" si="8"/>
        <v>0</v>
      </c>
      <c r="AC39" s="547">
        <f>IF(AA39=0,0,$V$7*(1+#REF!)^#REF!)</f>
        <v>0</v>
      </c>
      <c r="AD39" s="547">
        <f t="shared" si="28"/>
        <v>0</v>
      </c>
      <c r="AE39" s="547">
        <f t="shared" si="9"/>
        <v>0</v>
      </c>
      <c r="AF39" s="547">
        <f t="shared" si="10"/>
        <v>0</v>
      </c>
      <c r="AH39" s="547">
        <f t="shared" si="11"/>
        <v>20</v>
      </c>
      <c r="AI39" s="547">
        <f t="shared" si="29"/>
        <v>140</v>
      </c>
      <c r="AJ39" s="547">
        <f t="shared" si="12"/>
        <v>295000</v>
      </c>
      <c r="AK39" s="547">
        <f>AJ39*[1]mProject!V43</f>
        <v>299454.61500950641</v>
      </c>
      <c r="AL39" s="547">
        <f t="shared" si="13"/>
        <v>5900000</v>
      </c>
      <c r="AM39" s="547">
        <f t="shared" si="14"/>
        <v>5989092.3001901284</v>
      </c>
      <c r="AN39" s="456"/>
      <c r="AO39" s="577" t="e">
        <f t="shared" si="35"/>
        <v>#REF!</v>
      </c>
      <c r="AP39" s="577" t="e">
        <f t="shared" si="41"/>
        <v>#REF!</v>
      </c>
      <c r="AQ39" s="560" t="e">
        <f t="shared" si="42"/>
        <v>#REF!</v>
      </c>
      <c r="AR39" s="578" t="e">
        <f t="shared" si="37"/>
        <v>#REF!</v>
      </c>
      <c r="AS39" s="547" t="e">
        <f t="shared" si="40"/>
        <v>#REF!</v>
      </c>
      <c r="AT39" s="547"/>
      <c r="AU39" s="547"/>
      <c r="AV39" s="547" t="e">
        <f t="shared" si="15"/>
        <v>#REF!</v>
      </c>
      <c r="AW39" s="547" t="e">
        <f>AI39*#REF!+AI38*#REF!+AI37*#REF!</f>
        <v>#REF!</v>
      </c>
      <c r="AX39" s="456"/>
      <c r="AY39" s="585">
        <f t="shared" si="31"/>
        <v>1.0564922447427205</v>
      </c>
      <c r="AZ39" s="547">
        <f t="shared" si="32"/>
        <v>359345.53801140771</v>
      </c>
      <c r="BA39" s="547">
        <f>BA38*[1]mProject!V43</f>
        <v>0</v>
      </c>
      <c r="BB39" s="547">
        <f t="shared" si="38"/>
        <v>2502897.3615226243</v>
      </c>
      <c r="BC39" s="456"/>
      <c r="BD39" s="588">
        <f>((BB39/100)*(i_CFD.ObliRate/12))*[1]i.Finance!$O$64</f>
        <v>8421.2067476229968</v>
      </c>
      <c r="BE39" s="588">
        <f>(AZ39/100*[1]i.Finance!$O$61)*[1]i.Finance!$O$64</f>
        <v>14508.576097210587</v>
      </c>
      <c r="BF39" s="588">
        <f>(AZ39/100*[1]i.Finance!$O$65)</f>
        <v>1078.0366140342232</v>
      </c>
      <c r="BG39" s="589">
        <f t="shared" si="18"/>
        <v>9499.2433616572198</v>
      </c>
      <c r="BH39" s="456"/>
      <c r="BI39" s="588">
        <f>-PV([1]i.Finance!$O$63/12,[1]i.Finance!$O$62*12,mCFD!BG39)</f>
        <v>1624941.0162980997</v>
      </c>
      <c r="BJ39" s="588">
        <f>BI39*[1]i.Finance!$O$58</f>
        <v>1275578.6977940083</v>
      </c>
      <c r="BK39" s="588"/>
      <c r="BL39" s="588"/>
      <c r="BP39" s="547"/>
      <c r="BQ39" s="547"/>
      <c r="BR39" s="547" t="e">
        <f t="shared" si="19"/>
        <v>#NAME?</v>
      </c>
      <c r="BS39" s="547" t="e">
        <f t="shared" si="20"/>
        <v>#NAME?</v>
      </c>
      <c r="BT39" s="547" t="e">
        <f t="shared" si="21"/>
        <v>#NAME?</v>
      </c>
      <c r="BU39" s="547"/>
    </row>
    <row r="40" spans="1:73" ht="16" hidden="1" outlineLevel="2">
      <c r="A40" s="366"/>
      <c r="B40" s="562"/>
      <c r="C40" s="366"/>
      <c r="D40" s="454"/>
      <c r="E40" s="530">
        <f t="shared" si="34"/>
        <v>34</v>
      </c>
      <c r="F40" s="530">
        <f t="shared" si="22"/>
        <v>12</v>
      </c>
      <c r="G40" s="530">
        <f t="shared" si="23"/>
        <v>3</v>
      </c>
      <c r="H40" s="554">
        <f t="shared" si="24"/>
        <v>44865</v>
      </c>
      <c r="I40" s="555">
        <f t="shared" si="0"/>
        <v>2022</v>
      </c>
      <c r="K40" s="530">
        <f>[1]mProject!KB44</f>
        <v>20</v>
      </c>
      <c r="L40" s="530">
        <f t="shared" si="1"/>
        <v>160</v>
      </c>
      <c r="M40" s="530">
        <f t="shared" si="2"/>
        <v>295000</v>
      </c>
      <c r="N40" s="530">
        <f t="shared" si="3"/>
        <v>5900000</v>
      </c>
      <c r="O40" s="530">
        <f t="shared" si="25"/>
        <v>47200000</v>
      </c>
      <c r="P40" s="530">
        <f>[1]mProject!W44</f>
        <v>299953.70603452227</v>
      </c>
      <c r="Q40" s="530">
        <f t="shared" si="4"/>
        <v>5999074.1206904454</v>
      </c>
      <c r="R40" s="530">
        <f t="shared" si="26"/>
        <v>47714030.146067508</v>
      </c>
      <c r="T40" s="530">
        <v>0</v>
      </c>
      <c r="U40" s="530">
        <f t="shared" si="5"/>
        <v>0</v>
      </c>
      <c r="V40" s="530">
        <f>IF(T40=0,0,$V$7*(1+#REF!)^#REF!)</f>
        <v>0</v>
      </c>
      <c r="W40" s="530">
        <f t="shared" si="27"/>
        <v>0</v>
      </c>
      <c r="X40" s="530">
        <f t="shared" si="6"/>
        <v>0</v>
      </c>
      <c r="Y40" s="530">
        <f t="shared" si="7"/>
        <v>0</v>
      </c>
      <c r="AA40" s="530">
        <v>0</v>
      </c>
      <c r="AB40" s="530">
        <f t="shared" si="8"/>
        <v>0</v>
      </c>
      <c r="AC40" s="530">
        <f>IF(AA40=0,0,$V$7*(1+#REF!)^#REF!)</f>
        <v>0</v>
      </c>
      <c r="AD40" s="530">
        <f t="shared" si="28"/>
        <v>0</v>
      </c>
      <c r="AE40" s="530">
        <f t="shared" si="9"/>
        <v>0</v>
      </c>
      <c r="AF40" s="530">
        <f t="shared" si="10"/>
        <v>0</v>
      </c>
      <c r="AH40" s="530">
        <f t="shared" si="11"/>
        <v>20</v>
      </c>
      <c r="AI40" s="530">
        <f t="shared" si="29"/>
        <v>160</v>
      </c>
      <c r="AJ40" s="530">
        <f t="shared" si="12"/>
        <v>295000</v>
      </c>
      <c r="AK40" s="530">
        <f>AJ40*[1]mProject!V44</f>
        <v>299953.70603452227</v>
      </c>
      <c r="AL40" s="530">
        <f t="shared" si="13"/>
        <v>5900000</v>
      </c>
      <c r="AM40" s="530">
        <f t="shared" si="14"/>
        <v>5999074.1206904454</v>
      </c>
      <c r="AN40" s="456"/>
      <c r="AO40" s="572" t="e">
        <f t="shared" si="35"/>
        <v>#REF!</v>
      </c>
      <c r="AP40" s="572" t="e">
        <f t="shared" si="41"/>
        <v>#REF!</v>
      </c>
      <c r="AQ40" s="556" t="e">
        <f t="shared" si="42"/>
        <v>#REF!</v>
      </c>
      <c r="AR40" s="573" t="e">
        <f t="shared" si="37"/>
        <v>#REF!</v>
      </c>
      <c r="AS40" s="530" t="e">
        <f t="shared" si="40"/>
        <v>#REF!</v>
      </c>
      <c r="AT40" s="530"/>
      <c r="AU40" s="530"/>
      <c r="AV40" s="530" t="e">
        <f t="shared" si="15"/>
        <v>#REF!</v>
      </c>
      <c r="AW40" s="530" t="e">
        <f>AI40*#REF!+AI39*#REF!+AI38*#REF!</f>
        <v>#REF!</v>
      </c>
      <c r="AX40" s="456"/>
      <c r="AY40" s="583">
        <f t="shared" si="31"/>
        <v>1.058253065150625</v>
      </c>
      <c r="AZ40" s="530">
        <f t="shared" si="32"/>
        <v>359944.44724142674</v>
      </c>
      <c r="BA40" s="530">
        <f>BA39*[1]mProject!V44</f>
        <v>0</v>
      </c>
      <c r="BB40" s="530">
        <f t="shared" si="38"/>
        <v>2862841.8087640512</v>
      </c>
      <c r="BC40" s="456"/>
      <c r="BD40" s="590">
        <f>((BB40/100)*(i_CFD.ObliRate/12))*[1]i.Finance!$O$64</f>
        <v>9632.2698357373811</v>
      </c>
      <c r="BE40" s="590">
        <f>(AZ40/100*[1]i.Finance!$O$61)*[1]i.Finance!$O$64</f>
        <v>14532.757057372603</v>
      </c>
      <c r="BF40" s="590">
        <f>(AZ40/100*[1]i.Finance!$O$65)</f>
        <v>1079.8333417242802</v>
      </c>
      <c r="BG40" s="591">
        <f t="shared" si="18"/>
        <v>10712.10317746166</v>
      </c>
      <c r="BH40" s="456"/>
      <c r="BI40" s="590">
        <f>-PV([1]i.Finance!$O$63/12,[1]i.Finance!$O$62*12,mCFD!BG40)</f>
        <v>1832412.8734436319</v>
      </c>
      <c r="BJ40" s="590">
        <f>BI40*[1]i.Finance!$O$58</f>
        <v>1438444.1056532511</v>
      </c>
      <c r="BK40" s="590"/>
      <c r="BL40" s="590"/>
      <c r="BP40" s="530"/>
      <c r="BQ40" s="530"/>
      <c r="BR40" s="530" t="e">
        <f t="shared" si="19"/>
        <v>#NAME?</v>
      </c>
      <c r="BS40" s="530" t="e">
        <f t="shared" si="20"/>
        <v>#NAME?</v>
      </c>
      <c r="BT40" s="530" t="e">
        <f t="shared" si="21"/>
        <v>#NAME?</v>
      </c>
      <c r="BU40" s="530"/>
    </row>
    <row r="41" spans="1:73" ht="16" hidden="1" outlineLevel="2">
      <c r="A41" s="366"/>
      <c r="B41" s="562"/>
      <c r="C41" s="366"/>
      <c r="D41" s="454"/>
      <c r="E41" s="533">
        <f t="shared" si="34"/>
        <v>35</v>
      </c>
      <c r="F41" s="533">
        <f t="shared" si="22"/>
        <v>12</v>
      </c>
      <c r="G41" s="533">
        <f t="shared" si="23"/>
        <v>3</v>
      </c>
      <c r="H41" s="541">
        <f t="shared" si="24"/>
        <v>44895</v>
      </c>
      <c r="I41" s="542">
        <f t="shared" si="0"/>
        <v>2022</v>
      </c>
      <c r="K41" s="533">
        <f>[1]mProject!KB45</f>
        <v>20</v>
      </c>
      <c r="L41" s="533">
        <f t="shared" si="1"/>
        <v>180</v>
      </c>
      <c r="M41" s="533">
        <f t="shared" si="2"/>
        <v>295000</v>
      </c>
      <c r="N41" s="533">
        <f t="shared" si="3"/>
        <v>5900000</v>
      </c>
      <c r="O41" s="533">
        <f t="shared" si="25"/>
        <v>53100000</v>
      </c>
      <c r="P41" s="533">
        <f>[1]mProject!W45</f>
        <v>300453.62887791317</v>
      </c>
      <c r="Q41" s="533">
        <f t="shared" si="4"/>
        <v>6009072.5775582632</v>
      </c>
      <c r="R41" s="533">
        <f t="shared" si="26"/>
        <v>53723102.723625772</v>
      </c>
      <c r="T41" s="533">
        <v>0</v>
      </c>
      <c r="U41" s="533">
        <f t="shared" si="5"/>
        <v>0</v>
      </c>
      <c r="V41" s="533">
        <f>IF(T41=0,0,$V$7*(1+#REF!)^#REF!)</f>
        <v>0</v>
      </c>
      <c r="W41" s="533">
        <f t="shared" si="27"/>
        <v>0</v>
      </c>
      <c r="X41" s="533">
        <f t="shared" si="6"/>
        <v>0</v>
      </c>
      <c r="Y41" s="533">
        <f t="shared" si="7"/>
        <v>0</v>
      </c>
      <c r="AA41" s="533">
        <v>0</v>
      </c>
      <c r="AB41" s="533">
        <f t="shared" si="8"/>
        <v>0</v>
      </c>
      <c r="AC41" s="533">
        <f>IF(AA41=0,0,$V$7*(1+#REF!)^#REF!)</f>
        <v>0</v>
      </c>
      <c r="AD41" s="533">
        <f t="shared" si="28"/>
        <v>0</v>
      </c>
      <c r="AE41" s="533">
        <f t="shared" si="9"/>
        <v>0</v>
      </c>
      <c r="AF41" s="533">
        <f t="shared" si="10"/>
        <v>0</v>
      </c>
      <c r="AH41" s="533">
        <f t="shared" si="11"/>
        <v>20</v>
      </c>
      <c r="AI41" s="533">
        <f t="shared" si="29"/>
        <v>180</v>
      </c>
      <c r="AJ41" s="533">
        <f t="shared" si="12"/>
        <v>295000</v>
      </c>
      <c r="AK41" s="533">
        <f>AJ41*[1]mProject!V45</f>
        <v>300453.62887791317</v>
      </c>
      <c r="AL41" s="533">
        <f t="shared" si="13"/>
        <v>5900000</v>
      </c>
      <c r="AM41" s="533">
        <f t="shared" si="14"/>
        <v>6009072.5775582632</v>
      </c>
      <c r="AN41" s="456"/>
      <c r="AO41" s="575" t="e">
        <f t="shared" si="35"/>
        <v>#REF!</v>
      </c>
      <c r="AP41" s="575" t="e">
        <f t="shared" si="41"/>
        <v>#REF!</v>
      </c>
      <c r="AQ41" s="558" t="e">
        <f t="shared" si="42"/>
        <v>#REF!</v>
      </c>
      <c r="AR41" s="576" t="e">
        <f t="shared" si="37"/>
        <v>#REF!</v>
      </c>
      <c r="AS41" s="533" t="e">
        <f t="shared" si="40"/>
        <v>#REF!</v>
      </c>
      <c r="AT41" s="533"/>
      <c r="AU41" s="533"/>
      <c r="AV41" s="533" t="e">
        <f t="shared" si="15"/>
        <v>#REF!</v>
      </c>
      <c r="AW41" s="533" t="e">
        <f>AI41*#REF!+AI40*#REF!+AI39*#REF!</f>
        <v>#REF!</v>
      </c>
      <c r="AX41" s="456"/>
      <c r="AY41" s="584">
        <f t="shared" si="31"/>
        <v>1.0600168202592095</v>
      </c>
      <c r="AZ41" s="533">
        <f t="shared" si="32"/>
        <v>360544.35465349583</v>
      </c>
      <c r="BA41" s="533">
        <f>BA40*[1]mProject!V45</f>
        <v>0</v>
      </c>
      <c r="BB41" s="533">
        <f t="shared" si="38"/>
        <v>3223386.163417547</v>
      </c>
      <c r="BC41" s="456"/>
      <c r="BD41" s="586">
        <f>((BB41/100)*(i_CFD.ObliRate/12))*[1]i.Finance!$O$64</f>
        <v>10845.351362331956</v>
      </c>
      <c r="BE41" s="586">
        <f>(AZ41/100*[1]i.Finance!$O$61)*[1]i.Finance!$O$64</f>
        <v>14556.978319134894</v>
      </c>
      <c r="BF41" s="586">
        <f>(AZ41/100*[1]i.Finance!$O$65)</f>
        <v>1081.6330639604876</v>
      </c>
      <c r="BG41" s="587">
        <f t="shared" si="18"/>
        <v>11926.984426292443</v>
      </c>
      <c r="BH41" s="456"/>
      <c r="BI41" s="586">
        <f>-PV([1]i.Finance!$O$63/12,[1]i.Finance!$O$62*12,mCFD!BG41)</f>
        <v>2040230.5170177405</v>
      </c>
      <c r="BJ41" s="586">
        <f>BI41*[1]i.Finance!$O$58</f>
        <v>1601580.9558589263</v>
      </c>
      <c r="BK41" s="586"/>
      <c r="BL41" s="586"/>
      <c r="BP41" s="533"/>
      <c r="BQ41" s="533"/>
      <c r="BR41" s="533" t="e">
        <f t="shared" si="19"/>
        <v>#NAME?</v>
      </c>
      <c r="BS41" s="533" t="e">
        <f t="shared" si="20"/>
        <v>#NAME?</v>
      </c>
      <c r="BT41" s="533" t="e">
        <f t="shared" si="21"/>
        <v>#NAME?</v>
      </c>
      <c r="BU41" s="533"/>
    </row>
    <row r="42" spans="1:73" ht="17" hidden="1" outlineLevel="2" thickBot="1">
      <c r="A42" s="366"/>
      <c r="B42" s="562"/>
      <c r="C42" s="366"/>
      <c r="D42" s="454"/>
      <c r="E42" s="564">
        <f t="shared" si="34"/>
        <v>36</v>
      </c>
      <c r="F42" s="564">
        <f t="shared" si="22"/>
        <v>12</v>
      </c>
      <c r="G42" s="564">
        <f t="shared" si="23"/>
        <v>4</v>
      </c>
      <c r="H42" s="565">
        <f t="shared" si="24"/>
        <v>44926</v>
      </c>
      <c r="I42" s="566">
        <f t="shared" si="0"/>
        <v>2022</v>
      </c>
      <c r="K42" s="564">
        <f>[1]mProject!KB46</f>
        <v>20</v>
      </c>
      <c r="L42" s="564">
        <f t="shared" si="1"/>
        <v>200</v>
      </c>
      <c r="M42" s="564">
        <f t="shared" si="2"/>
        <v>295000</v>
      </c>
      <c r="N42" s="564">
        <f t="shared" si="3"/>
        <v>5900000</v>
      </c>
      <c r="O42" s="564">
        <f t="shared" si="25"/>
        <v>59000000</v>
      </c>
      <c r="P42" s="564">
        <f>[1]mProject!W46</f>
        <v>300954.38492604304</v>
      </c>
      <c r="Q42" s="564">
        <f t="shared" si="4"/>
        <v>6019087.6985208606</v>
      </c>
      <c r="R42" s="564">
        <f t="shared" si="26"/>
        <v>59742190.422146633</v>
      </c>
      <c r="T42" s="564">
        <v>0</v>
      </c>
      <c r="U42" s="564">
        <f t="shared" si="5"/>
        <v>0</v>
      </c>
      <c r="V42" s="564">
        <f>IF(T42=0,0,$V$7*(1+#REF!)^#REF!)</f>
        <v>0</v>
      </c>
      <c r="W42" s="564">
        <f t="shared" si="27"/>
        <v>0</v>
      </c>
      <c r="X42" s="564">
        <f t="shared" si="6"/>
        <v>0</v>
      </c>
      <c r="Y42" s="564">
        <f t="shared" si="7"/>
        <v>0</v>
      </c>
      <c r="AA42" s="564">
        <v>0</v>
      </c>
      <c r="AB42" s="564">
        <f t="shared" si="8"/>
        <v>0</v>
      </c>
      <c r="AC42" s="564">
        <f>IF(AA42=0,0,$V$7*(1+#REF!)^#REF!)</f>
        <v>0</v>
      </c>
      <c r="AD42" s="564">
        <f t="shared" si="28"/>
        <v>0</v>
      </c>
      <c r="AE42" s="564">
        <f t="shared" si="9"/>
        <v>0</v>
      </c>
      <c r="AF42" s="564">
        <f t="shared" si="10"/>
        <v>0</v>
      </c>
      <c r="AH42" s="564">
        <f t="shared" si="11"/>
        <v>20</v>
      </c>
      <c r="AI42" s="564">
        <f t="shared" si="29"/>
        <v>200</v>
      </c>
      <c r="AJ42" s="564">
        <f t="shared" si="12"/>
        <v>295000</v>
      </c>
      <c r="AK42" s="564">
        <f>AJ42*[1]mProject!V46</f>
        <v>300954.38492604304</v>
      </c>
      <c r="AL42" s="564">
        <f t="shared" si="13"/>
        <v>5900000</v>
      </c>
      <c r="AM42" s="564">
        <f t="shared" si="14"/>
        <v>6019087.6985208606</v>
      </c>
      <c r="AN42" s="456"/>
      <c r="AO42" s="581" t="e">
        <f t="shared" si="35"/>
        <v>#REF!</v>
      </c>
      <c r="AP42" s="581" t="e">
        <f t="shared" si="41"/>
        <v>#REF!</v>
      </c>
      <c r="AQ42" s="567" t="e">
        <f t="shared" si="42"/>
        <v>#REF!</v>
      </c>
      <c r="AR42" s="582" t="e">
        <f t="shared" si="37"/>
        <v>#REF!</v>
      </c>
      <c r="AS42" s="564" t="e">
        <f t="shared" si="40"/>
        <v>#REF!</v>
      </c>
      <c r="AT42" s="564"/>
      <c r="AU42" s="564"/>
      <c r="AV42" s="564" t="e">
        <f t="shared" si="15"/>
        <v>#REF!</v>
      </c>
      <c r="AW42" s="564" t="e">
        <f>AI42*#REF!+AI41*#REF!+AI40*#REF!</f>
        <v>#REF!</v>
      </c>
      <c r="AX42" s="456"/>
      <c r="AY42" s="592">
        <f t="shared" si="31"/>
        <v>1.0617835149596415</v>
      </c>
      <c r="AZ42" s="564">
        <f t="shared" si="32"/>
        <v>361145.26191125164</v>
      </c>
      <c r="BA42" s="564">
        <f>BA41*[1]mProject!V46</f>
        <v>0</v>
      </c>
      <c r="BB42" s="564">
        <f t="shared" si="38"/>
        <v>3584531.4253287986</v>
      </c>
      <c r="BC42" s="456"/>
      <c r="BD42" s="593">
        <f>((BB42/100)*(i_CFD.ObliRate/12))*[1]i.Finance!$O$64</f>
        <v>12060.454691470855</v>
      </c>
      <c r="BE42" s="593">
        <f>(AZ42/100*[1]i.Finance!$O$61)*[1]i.Finance!$O$64</f>
        <v>14581.239949666786</v>
      </c>
      <c r="BF42" s="593">
        <f>(AZ42/100*[1]i.Finance!$O$65)</f>
        <v>1083.435785733755</v>
      </c>
      <c r="BG42" s="594">
        <f t="shared" si="18"/>
        <v>13143.89047720461</v>
      </c>
      <c r="BH42" s="456"/>
      <c r="BI42" s="593">
        <f>-PV([1]i.Finance!$O$63/12,[1]i.Finance!$O$62*12,mCFD!BG42)</f>
        <v>2248394.5233311388</v>
      </c>
      <c r="BJ42" s="593">
        <f>BI42*[1]i.Finance!$O$58</f>
        <v>1764989.700814944</v>
      </c>
      <c r="BK42" s="593"/>
      <c r="BL42" s="593"/>
      <c r="BP42" s="564"/>
      <c r="BQ42" s="564"/>
      <c r="BR42" s="564" t="e">
        <f t="shared" si="19"/>
        <v>#NAME?</v>
      </c>
      <c r="BS42" s="564" t="e">
        <f t="shared" si="20"/>
        <v>#NAME?</v>
      </c>
      <c r="BT42" s="564" t="e">
        <f t="shared" si="21"/>
        <v>#NAME?</v>
      </c>
      <c r="BU42" s="564"/>
    </row>
    <row r="43" spans="1:73" ht="16" hidden="1" outlineLevel="2">
      <c r="A43" s="366"/>
      <c r="B43" s="562"/>
      <c r="C43" s="366"/>
      <c r="D43" s="454"/>
      <c r="E43" s="530">
        <f t="shared" si="34"/>
        <v>37</v>
      </c>
      <c r="F43" s="530">
        <f t="shared" si="22"/>
        <v>13</v>
      </c>
      <c r="G43" s="530">
        <f t="shared" si="23"/>
        <v>4</v>
      </c>
      <c r="H43" s="571">
        <f t="shared" si="24"/>
        <v>44957</v>
      </c>
      <c r="I43" s="532">
        <f t="shared" si="0"/>
        <v>2023</v>
      </c>
      <c r="K43" s="530">
        <f>[1]mProject!KB47</f>
        <v>27</v>
      </c>
      <c r="L43" s="530">
        <f t="shared" si="1"/>
        <v>227</v>
      </c>
      <c r="M43" s="530">
        <f t="shared" si="2"/>
        <v>295000</v>
      </c>
      <c r="N43" s="530">
        <f t="shared" si="3"/>
        <v>7965000</v>
      </c>
      <c r="O43" s="530">
        <f t="shared" si="25"/>
        <v>66965000</v>
      </c>
      <c r="P43" s="530">
        <f>[1]mProject!W47</f>
        <v>301455.97556758649</v>
      </c>
      <c r="Q43" s="530">
        <f t="shared" si="4"/>
        <v>8139311.3403248349</v>
      </c>
      <c r="R43" s="530">
        <f t="shared" si="26"/>
        <v>67881501.762471467</v>
      </c>
      <c r="T43" s="530">
        <v>0</v>
      </c>
      <c r="U43" s="530">
        <f t="shared" si="5"/>
        <v>0</v>
      </c>
      <c r="V43" s="530">
        <f>IF(T43=0,0,$V$7*(1+#REF!)^#REF!)</f>
        <v>0</v>
      </c>
      <c r="W43" s="530">
        <f t="shared" si="27"/>
        <v>0</v>
      </c>
      <c r="X43" s="530">
        <f t="shared" si="6"/>
        <v>0</v>
      </c>
      <c r="Y43" s="530">
        <f t="shared" si="7"/>
        <v>0</v>
      </c>
      <c r="AA43" s="530">
        <v>0</v>
      </c>
      <c r="AB43" s="530">
        <f t="shared" si="8"/>
        <v>0</v>
      </c>
      <c r="AC43" s="530">
        <f>IF(AA43=0,0,$V$7*(1+#REF!)^#REF!)</f>
        <v>0</v>
      </c>
      <c r="AD43" s="530">
        <f t="shared" si="28"/>
        <v>0</v>
      </c>
      <c r="AE43" s="530">
        <f t="shared" si="9"/>
        <v>0</v>
      </c>
      <c r="AF43" s="530">
        <f t="shared" si="10"/>
        <v>0</v>
      </c>
      <c r="AH43" s="530">
        <f t="shared" si="11"/>
        <v>27</v>
      </c>
      <c r="AI43" s="530">
        <f t="shared" si="29"/>
        <v>227</v>
      </c>
      <c r="AJ43" s="530">
        <f t="shared" si="12"/>
        <v>295000</v>
      </c>
      <c r="AK43" s="530">
        <f>AJ43*[1]mProject!V47</f>
        <v>301455.97556758643</v>
      </c>
      <c r="AL43" s="530">
        <f t="shared" si="13"/>
        <v>7965000</v>
      </c>
      <c r="AM43" s="530">
        <f t="shared" si="14"/>
        <v>8139311.3403248349</v>
      </c>
      <c r="AN43" s="456"/>
      <c r="AO43" s="572" t="e">
        <f t="shared" si="35"/>
        <v>#REF!</v>
      </c>
      <c r="AP43" s="572" t="e">
        <f t="shared" si="41"/>
        <v>#REF!</v>
      </c>
      <c r="AQ43" s="572" t="e">
        <f t="shared" ref="AQ43:AQ106" si="43">$L19*AQ$6</f>
        <v>#REF!</v>
      </c>
      <c r="AR43" s="573" t="e">
        <f t="shared" si="37"/>
        <v>#REF!</v>
      </c>
      <c r="AS43" s="530" t="e">
        <f t="shared" si="40"/>
        <v>#REF!</v>
      </c>
      <c r="AT43" s="530"/>
      <c r="AU43" s="530"/>
      <c r="AV43" s="530" t="e">
        <f t="shared" si="15"/>
        <v>#REF!</v>
      </c>
      <c r="AW43" s="530" t="e">
        <f>AI43*#REF!+AI42*#REF!+AI41*#REF!</f>
        <v>#REF!</v>
      </c>
      <c r="AX43" s="456"/>
      <c r="AY43" s="583">
        <f t="shared" si="31"/>
        <v>1.0635531541512409</v>
      </c>
      <c r="AZ43" s="530">
        <f t="shared" si="32"/>
        <v>488358.68041949015</v>
      </c>
      <c r="BA43" s="530">
        <f>BA42*[1]mProject!V47</f>
        <v>0</v>
      </c>
      <c r="BB43" s="530">
        <f t="shared" si="38"/>
        <v>4072890.1057482888</v>
      </c>
      <c r="BC43" s="456"/>
      <c r="BD43" s="590">
        <f>((BB43/100)*(i_CFD.ObliRate/12))*[1]i.Finance!$O$64</f>
        <v>13703.578168298929</v>
      </c>
      <c r="BE43" s="590">
        <f>(AZ43/100*[1]i.Finance!$O$61)*[1]i.Finance!$O$64</f>
        <v>19717.481721936914</v>
      </c>
      <c r="BF43" s="590">
        <f>(AZ43/100*[1]i.Finance!$O$65)</f>
        <v>1465.0760412584705</v>
      </c>
      <c r="BG43" s="591">
        <f t="shared" si="18"/>
        <v>15168.6542095574</v>
      </c>
      <c r="BH43" s="456"/>
      <c r="BI43" s="590">
        <f>-PV([1]i.Finance!$O$63/12,[1]i.Finance!$O$62*12,mCFD!BG43)</f>
        <v>2594750.7026341283</v>
      </c>
      <c r="BJ43" s="590">
        <f>BI43*[1]i.Finance!$O$58</f>
        <v>2036879.3015677908</v>
      </c>
      <c r="BK43" s="590"/>
      <c r="BL43" s="590"/>
      <c r="BP43" s="530"/>
      <c r="BQ43" s="530"/>
      <c r="BR43" s="530" t="e">
        <f t="shared" si="19"/>
        <v>#NAME?</v>
      </c>
      <c r="BS43" s="530" t="e">
        <f t="shared" si="20"/>
        <v>#NAME?</v>
      </c>
      <c r="BT43" s="530" t="e">
        <f t="shared" si="21"/>
        <v>#NAME?</v>
      </c>
      <c r="BU43" s="530"/>
    </row>
    <row r="44" spans="1:73" ht="16" hidden="1" outlineLevel="2">
      <c r="A44" s="366"/>
      <c r="B44" s="562"/>
      <c r="C44" s="366"/>
      <c r="D44" s="454"/>
      <c r="E44" s="533">
        <f t="shared" si="34"/>
        <v>38</v>
      </c>
      <c r="F44" s="533">
        <f t="shared" si="22"/>
        <v>13</v>
      </c>
      <c r="G44" s="533">
        <f t="shared" si="23"/>
        <v>4</v>
      </c>
      <c r="H44" s="541">
        <f t="shared" si="24"/>
        <v>44985</v>
      </c>
      <c r="I44" s="542">
        <f t="shared" si="0"/>
        <v>2023</v>
      </c>
      <c r="K44" s="533">
        <f>[1]mProject!KB48</f>
        <v>16</v>
      </c>
      <c r="L44" s="533">
        <f t="shared" si="1"/>
        <v>243</v>
      </c>
      <c r="M44" s="533">
        <f t="shared" si="2"/>
        <v>295000</v>
      </c>
      <c r="N44" s="533">
        <f t="shared" si="3"/>
        <v>4720000</v>
      </c>
      <c r="O44" s="533">
        <f t="shared" si="25"/>
        <v>71685000</v>
      </c>
      <c r="P44" s="533">
        <f>[1]mProject!W48</f>
        <v>301958.4021935325</v>
      </c>
      <c r="Q44" s="533">
        <f t="shared" si="4"/>
        <v>4831334.43509652</v>
      </c>
      <c r="R44" s="533">
        <f t="shared" si="26"/>
        <v>72712836.197567984</v>
      </c>
      <c r="T44" s="533">
        <v>0</v>
      </c>
      <c r="U44" s="533">
        <f t="shared" si="5"/>
        <v>0</v>
      </c>
      <c r="V44" s="533">
        <f>IF(T44=0,0,$V$7*(1+#REF!)^#REF!)</f>
        <v>0</v>
      </c>
      <c r="W44" s="533">
        <f t="shared" si="27"/>
        <v>0</v>
      </c>
      <c r="X44" s="533">
        <f t="shared" si="6"/>
        <v>0</v>
      </c>
      <c r="Y44" s="533">
        <f t="shared" si="7"/>
        <v>0</v>
      </c>
      <c r="AA44" s="533">
        <v>0</v>
      </c>
      <c r="AB44" s="533">
        <f t="shared" si="8"/>
        <v>0</v>
      </c>
      <c r="AC44" s="533">
        <f>IF(AA44=0,0,$V$7*(1+#REF!)^#REF!)</f>
        <v>0</v>
      </c>
      <c r="AD44" s="533">
        <f t="shared" si="28"/>
        <v>0</v>
      </c>
      <c r="AE44" s="533">
        <f t="shared" si="9"/>
        <v>0</v>
      </c>
      <c r="AF44" s="533">
        <f t="shared" si="10"/>
        <v>0</v>
      </c>
      <c r="AH44" s="533">
        <f t="shared" si="11"/>
        <v>16</v>
      </c>
      <c r="AI44" s="533">
        <f t="shared" si="29"/>
        <v>243</v>
      </c>
      <c r="AJ44" s="533">
        <f t="shared" si="12"/>
        <v>295000</v>
      </c>
      <c r="AK44" s="533">
        <f>AJ44*[1]mProject!V48</f>
        <v>301958.40219353238</v>
      </c>
      <c r="AL44" s="533">
        <f t="shared" si="13"/>
        <v>4720000</v>
      </c>
      <c r="AM44" s="533">
        <f t="shared" si="14"/>
        <v>4831334.43509652</v>
      </c>
      <c r="AN44" s="456"/>
      <c r="AO44" s="575" t="e">
        <f t="shared" si="35"/>
        <v>#REF!</v>
      </c>
      <c r="AP44" s="575" t="e">
        <f t="shared" si="41"/>
        <v>#REF!</v>
      </c>
      <c r="AQ44" s="575" t="e">
        <f t="shared" si="43"/>
        <v>#REF!</v>
      </c>
      <c r="AR44" s="576" t="e">
        <f t="shared" si="37"/>
        <v>#REF!</v>
      </c>
      <c r="AS44" s="533" t="e">
        <f t="shared" si="40"/>
        <v>#REF!</v>
      </c>
      <c r="AT44" s="533"/>
      <c r="AU44" s="533"/>
      <c r="AV44" s="533" t="e">
        <f t="shared" si="15"/>
        <v>#REF!</v>
      </c>
      <c r="AW44" s="533" t="e">
        <f>AI44*#REF!+AI43*#REF!+AI42*#REF!</f>
        <v>#REF!</v>
      </c>
      <c r="AX44" s="456"/>
      <c r="AY44" s="584">
        <f t="shared" si="31"/>
        <v>1.0653257427414931</v>
      </c>
      <c r="AZ44" s="533">
        <f t="shared" si="32"/>
        <v>289880.06610579119</v>
      </c>
      <c r="BA44" s="533">
        <f>BA43*[1]mProject!V48</f>
        <v>0</v>
      </c>
      <c r="BB44" s="533">
        <f t="shared" si="38"/>
        <v>4362770.1718540797</v>
      </c>
      <c r="BC44" s="456"/>
      <c r="BD44" s="586">
        <f>((BB44/100)*(i_CFD.ObliRate/12))*[1]i.Finance!$O$64</f>
        <v>14678.90380738404</v>
      </c>
      <c r="BE44" s="586">
        <f>(AZ44/100*[1]i.Finance!$O$61)*[1]i.Finance!$O$64</f>
        <v>11703.907669021319</v>
      </c>
      <c r="BF44" s="586">
        <f>(AZ44/100*[1]i.Finance!$O$65)</f>
        <v>869.64019831737357</v>
      </c>
      <c r="BG44" s="587">
        <f t="shared" si="18"/>
        <v>15548.544005701413</v>
      </c>
      <c r="BH44" s="456"/>
      <c r="BI44" s="586">
        <f>-PV([1]i.Finance!$O$63/12,[1]i.Finance!$O$62*12,mCFD!BG44)</f>
        <v>2659734.6690328834</v>
      </c>
      <c r="BJ44" s="586">
        <f>BI44*[1]i.Finance!$O$58</f>
        <v>2087891.7151908134</v>
      </c>
      <c r="BK44" s="586"/>
      <c r="BL44" s="586"/>
      <c r="BP44" s="533"/>
      <c r="BQ44" s="533"/>
      <c r="BR44" s="533" t="e">
        <f t="shared" si="19"/>
        <v>#NAME?</v>
      </c>
      <c r="BS44" s="533" t="e">
        <f t="shared" si="20"/>
        <v>#NAME?</v>
      </c>
      <c r="BT44" s="533" t="e">
        <f t="shared" si="21"/>
        <v>#NAME?</v>
      </c>
      <c r="BU44" s="533"/>
    </row>
    <row r="45" spans="1:73" ht="16" hidden="1" outlineLevel="2">
      <c r="A45" s="366"/>
      <c r="B45" s="562"/>
      <c r="C45" s="366"/>
      <c r="D45" s="454"/>
      <c r="E45" s="547">
        <f t="shared" si="34"/>
        <v>39</v>
      </c>
      <c r="F45" s="547">
        <f t="shared" si="22"/>
        <v>13</v>
      </c>
      <c r="G45" s="547">
        <f t="shared" si="23"/>
        <v>4</v>
      </c>
      <c r="H45" s="548">
        <f t="shared" si="24"/>
        <v>45016</v>
      </c>
      <c r="I45" s="549">
        <f t="shared" si="0"/>
        <v>2023</v>
      </c>
      <c r="K45" s="547">
        <f>[1]mProject!KB49</f>
        <v>16</v>
      </c>
      <c r="L45" s="547">
        <f t="shared" si="1"/>
        <v>259</v>
      </c>
      <c r="M45" s="547">
        <f t="shared" si="2"/>
        <v>295000</v>
      </c>
      <c r="N45" s="547">
        <f t="shared" si="3"/>
        <v>4720000</v>
      </c>
      <c r="O45" s="547">
        <f t="shared" si="25"/>
        <v>76405000</v>
      </c>
      <c r="P45" s="547">
        <f>[1]mProject!W49</f>
        <v>302461.66619718837</v>
      </c>
      <c r="Q45" s="547">
        <f t="shared" si="4"/>
        <v>4839386.659155014</v>
      </c>
      <c r="R45" s="547">
        <f t="shared" si="26"/>
        <v>77552222.856722996</v>
      </c>
      <c r="T45" s="547">
        <v>0</v>
      </c>
      <c r="U45" s="547">
        <f t="shared" si="5"/>
        <v>0</v>
      </c>
      <c r="V45" s="547">
        <f>IF(T45=0,0,$V$7*(1+#REF!)^#REF!)</f>
        <v>0</v>
      </c>
      <c r="W45" s="547">
        <f t="shared" si="27"/>
        <v>0</v>
      </c>
      <c r="X45" s="547">
        <f t="shared" si="6"/>
        <v>0</v>
      </c>
      <c r="Y45" s="547">
        <f t="shared" si="7"/>
        <v>0</v>
      </c>
      <c r="AA45" s="547">
        <v>0</v>
      </c>
      <c r="AB45" s="547">
        <f t="shared" si="8"/>
        <v>0</v>
      </c>
      <c r="AC45" s="547">
        <f>IF(AA45=0,0,$V$7*(1+#REF!)^#REF!)</f>
        <v>0</v>
      </c>
      <c r="AD45" s="547">
        <f t="shared" si="28"/>
        <v>0</v>
      </c>
      <c r="AE45" s="547">
        <f t="shared" si="9"/>
        <v>0</v>
      </c>
      <c r="AF45" s="547">
        <f t="shared" si="10"/>
        <v>0</v>
      </c>
      <c r="AH45" s="547">
        <f t="shared" si="11"/>
        <v>16</v>
      </c>
      <c r="AI45" s="547">
        <f t="shared" si="29"/>
        <v>259</v>
      </c>
      <c r="AJ45" s="547">
        <f t="shared" si="12"/>
        <v>295000</v>
      </c>
      <c r="AK45" s="547">
        <f>AJ45*[1]mProject!V49</f>
        <v>302461.66619718831</v>
      </c>
      <c r="AL45" s="547">
        <f t="shared" si="13"/>
        <v>4720000</v>
      </c>
      <c r="AM45" s="547">
        <f t="shared" si="14"/>
        <v>4839386.659155014</v>
      </c>
      <c r="AN45" s="456"/>
      <c r="AO45" s="577" t="e">
        <f t="shared" si="35"/>
        <v>#REF!</v>
      </c>
      <c r="AP45" s="577" t="e">
        <f t="shared" si="41"/>
        <v>#REF!</v>
      </c>
      <c r="AQ45" s="577" t="e">
        <f t="shared" si="43"/>
        <v>#REF!</v>
      </c>
      <c r="AR45" s="578" t="e">
        <f t="shared" si="37"/>
        <v>#REF!</v>
      </c>
      <c r="AS45" s="547" t="e">
        <f t="shared" si="40"/>
        <v>#REF!</v>
      </c>
      <c r="AT45" s="547"/>
      <c r="AU45" s="547"/>
      <c r="AV45" s="547" t="e">
        <f t="shared" si="15"/>
        <v>#REF!</v>
      </c>
      <c r="AW45" s="547" t="e">
        <f>AI45*#REF!+AI44*#REF!+AI43*#REF!</f>
        <v>#REF!</v>
      </c>
      <c r="AX45" s="456"/>
      <c r="AY45" s="585">
        <f t="shared" si="31"/>
        <v>1.0671012856460622</v>
      </c>
      <c r="AZ45" s="547">
        <f t="shared" si="32"/>
        <v>290363.19954930083</v>
      </c>
      <c r="BA45" s="547">
        <f>BA44*[1]mProject!V49</f>
        <v>0</v>
      </c>
      <c r="BB45" s="547">
        <f t="shared" si="38"/>
        <v>4653133.3714033803</v>
      </c>
      <c r="BC45" s="456"/>
      <c r="BD45" s="588">
        <f>((BB45/100)*(i_CFD.ObliRate/12))*[1]i.Finance!$O$64</f>
        <v>15655.854989200958</v>
      </c>
      <c r="BE45" s="588">
        <f>(AZ45/100*[1]i.Finance!$O$61)*[1]i.Finance!$O$64</f>
        <v>11723.41418180302</v>
      </c>
      <c r="BF45" s="588">
        <f>(AZ45/100*[1]i.Finance!$O$65)</f>
        <v>871.08959864790245</v>
      </c>
      <c r="BG45" s="589">
        <f t="shared" si="18"/>
        <v>16526.944587848859</v>
      </c>
      <c r="BH45" s="456"/>
      <c r="BI45" s="588">
        <f>-PV([1]i.Finance!$O$63/12,[1]i.Finance!$O$62*12,mCFD!BG45)</f>
        <v>2827099.9186398755</v>
      </c>
      <c r="BJ45" s="588">
        <f>BI45*[1]i.Finance!$O$58</f>
        <v>2219273.4361323025</v>
      </c>
      <c r="BK45" s="588"/>
      <c r="BL45" s="588"/>
      <c r="BP45" s="547"/>
      <c r="BQ45" s="547"/>
      <c r="BR45" s="547" t="e">
        <f t="shared" si="19"/>
        <v>#NAME?</v>
      </c>
      <c r="BS45" s="547" t="e">
        <f t="shared" si="20"/>
        <v>#NAME?</v>
      </c>
      <c r="BT45" s="547" t="e">
        <f t="shared" si="21"/>
        <v>#NAME?</v>
      </c>
      <c r="BU45" s="547"/>
    </row>
    <row r="46" spans="1:73" ht="16" hidden="1" outlineLevel="2">
      <c r="A46" s="366"/>
      <c r="B46" s="562"/>
      <c r="C46" s="366"/>
      <c r="D46" s="454"/>
      <c r="E46" s="530">
        <f t="shared" si="34"/>
        <v>40</v>
      </c>
      <c r="F46" s="530">
        <f t="shared" si="22"/>
        <v>14</v>
      </c>
      <c r="G46" s="530">
        <f t="shared" si="23"/>
        <v>4</v>
      </c>
      <c r="H46" s="554">
        <f t="shared" si="24"/>
        <v>45046</v>
      </c>
      <c r="I46" s="555">
        <f t="shared" si="0"/>
        <v>2023</v>
      </c>
      <c r="K46" s="530">
        <f>[1]mProject!KB50</f>
        <v>16</v>
      </c>
      <c r="L46" s="530">
        <f t="shared" si="1"/>
        <v>275</v>
      </c>
      <c r="M46" s="530">
        <f t="shared" si="2"/>
        <v>295000</v>
      </c>
      <c r="N46" s="530">
        <f t="shared" si="3"/>
        <v>4720000</v>
      </c>
      <c r="O46" s="530">
        <f t="shared" si="25"/>
        <v>81125000</v>
      </c>
      <c r="P46" s="530">
        <f>[1]mProject!W50</f>
        <v>302965.76897418371</v>
      </c>
      <c r="Q46" s="530">
        <f t="shared" si="4"/>
        <v>4847452.3035869393</v>
      </c>
      <c r="R46" s="530">
        <f t="shared" si="26"/>
        <v>82399675.160309941</v>
      </c>
      <c r="T46" s="530">
        <v>0</v>
      </c>
      <c r="U46" s="530">
        <f t="shared" si="5"/>
        <v>0</v>
      </c>
      <c r="V46" s="530">
        <f>IF(T46=0,0,$V$7*(1+#REF!)^#REF!)</f>
        <v>0</v>
      </c>
      <c r="W46" s="530">
        <f t="shared" si="27"/>
        <v>0</v>
      </c>
      <c r="X46" s="530">
        <f t="shared" si="6"/>
        <v>0</v>
      </c>
      <c r="Y46" s="530">
        <f t="shared" si="7"/>
        <v>0</v>
      </c>
      <c r="AA46" s="530">
        <v>0</v>
      </c>
      <c r="AB46" s="530">
        <f t="shared" si="8"/>
        <v>0</v>
      </c>
      <c r="AC46" s="530">
        <f>IF(AA46=0,0,$V$7*(1+#REF!)^#REF!)</f>
        <v>0</v>
      </c>
      <c r="AD46" s="530">
        <f t="shared" si="28"/>
        <v>0</v>
      </c>
      <c r="AE46" s="530">
        <f t="shared" si="9"/>
        <v>0</v>
      </c>
      <c r="AF46" s="530">
        <f t="shared" si="10"/>
        <v>0</v>
      </c>
      <c r="AH46" s="530">
        <f t="shared" si="11"/>
        <v>16</v>
      </c>
      <c r="AI46" s="530">
        <f t="shared" si="29"/>
        <v>275</v>
      </c>
      <c r="AJ46" s="530">
        <f t="shared" si="12"/>
        <v>295000</v>
      </c>
      <c r="AK46" s="530">
        <f>AJ46*[1]mProject!V50</f>
        <v>302965.76897418359</v>
      </c>
      <c r="AL46" s="530">
        <f t="shared" si="13"/>
        <v>4720000</v>
      </c>
      <c r="AM46" s="530">
        <f t="shared" si="14"/>
        <v>4847452.3035869393</v>
      </c>
      <c r="AN46" s="456"/>
      <c r="AO46" s="572" t="e">
        <f t="shared" si="35"/>
        <v>#REF!</v>
      </c>
      <c r="AP46" s="572" t="e">
        <f t="shared" si="41"/>
        <v>#REF!</v>
      </c>
      <c r="AQ46" s="572" t="e">
        <f t="shared" si="43"/>
        <v>#REF!</v>
      </c>
      <c r="AR46" s="573" t="e">
        <f t="shared" si="37"/>
        <v>#REF!</v>
      </c>
      <c r="AS46" s="530" t="e">
        <f t="shared" si="40"/>
        <v>#REF!</v>
      </c>
      <c r="AT46" s="530"/>
      <c r="AU46" s="530"/>
      <c r="AV46" s="530" t="e">
        <f t="shared" si="15"/>
        <v>#REF!</v>
      </c>
      <c r="AW46" s="530" t="e">
        <f>AI46*#REF!+AI45*#REF!+AI44*#REF!</f>
        <v>#REF!</v>
      </c>
      <c r="AX46" s="456"/>
      <c r="AY46" s="583">
        <f t="shared" si="31"/>
        <v>1.0688797877888057</v>
      </c>
      <c r="AZ46" s="530">
        <f t="shared" si="32"/>
        <v>290847.13821521634</v>
      </c>
      <c r="BA46" s="530">
        <f>BA45*[1]mProject!V50</f>
        <v>0</v>
      </c>
      <c r="BB46" s="530">
        <f t="shared" si="38"/>
        <v>4943980.5096185971</v>
      </c>
      <c r="BC46" s="456"/>
      <c r="BD46" s="590">
        <f>((BB46/100)*(i_CFD.ObliRate/12))*[1]i.Finance!$O$64</f>
        <v>16634.434422987571</v>
      </c>
      <c r="BE46" s="590">
        <f>(AZ46/100*[1]i.Finance!$O$61)*[1]i.Finance!$O$64</f>
        <v>11742.95320543936</v>
      </c>
      <c r="BF46" s="590">
        <f>(AZ46/100*[1]i.Finance!$O$65)</f>
        <v>872.54141464564907</v>
      </c>
      <c r="BG46" s="591">
        <f t="shared" si="18"/>
        <v>17506.975837633221</v>
      </c>
      <c r="BH46" s="456"/>
      <c r="BI46" s="590">
        <f>-PV([1]i.Finance!$O$63/12,[1]i.Finance!$O$62*12,mCFD!BG46)</f>
        <v>2994744.110329546</v>
      </c>
      <c r="BJ46" s="590">
        <f>BI46*[1]i.Finance!$O$58</f>
        <v>2350874.1266086935</v>
      </c>
      <c r="BK46" s="590"/>
      <c r="BL46" s="590"/>
      <c r="BP46" s="530"/>
      <c r="BQ46" s="530"/>
      <c r="BR46" s="530" t="e">
        <f t="shared" si="19"/>
        <v>#NAME?</v>
      </c>
      <c r="BS46" s="530" t="e">
        <f t="shared" si="20"/>
        <v>#NAME?</v>
      </c>
      <c r="BT46" s="530" t="e">
        <f t="shared" si="21"/>
        <v>#NAME?</v>
      </c>
      <c r="BU46" s="530"/>
    </row>
    <row r="47" spans="1:73" ht="16" hidden="1" outlineLevel="2">
      <c r="A47" s="366"/>
      <c r="B47" s="562"/>
      <c r="C47" s="366"/>
      <c r="D47" s="454"/>
      <c r="E47" s="533">
        <f t="shared" si="34"/>
        <v>41</v>
      </c>
      <c r="F47" s="533">
        <f t="shared" si="22"/>
        <v>14</v>
      </c>
      <c r="G47" s="533">
        <f t="shared" si="23"/>
        <v>4</v>
      </c>
      <c r="H47" s="541">
        <f t="shared" si="24"/>
        <v>45077</v>
      </c>
      <c r="I47" s="542">
        <f t="shared" si="0"/>
        <v>2023</v>
      </c>
      <c r="K47" s="533">
        <f>[1]mProject!KB51</f>
        <v>16</v>
      </c>
      <c r="L47" s="533">
        <f t="shared" si="1"/>
        <v>291</v>
      </c>
      <c r="M47" s="533">
        <f t="shared" si="2"/>
        <v>295000</v>
      </c>
      <c r="N47" s="533">
        <f t="shared" si="3"/>
        <v>4720000</v>
      </c>
      <c r="O47" s="533">
        <f t="shared" si="25"/>
        <v>85845000</v>
      </c>
      <c r="P47" s="533">
        <f>[1]mProject!W51</f>
        <v>303470.71192247403</v>
      </c>
      <c r="Q47" s="533">
        <f t="shared" si="4"/>
        <v>4855531.3907595845</v>
      </c>
      <c r="R47" s="533">
        <f t="shared" si="26"/>
        <v>87255206.551069528</v>
      </c>
      <c r="T47" s="533">
        <v>0</v>
      </c>
      <c r="U47" s="533">
        <f t="shared" si="5"/>
        <v>0</v>
      </c>
      <c r="V47" s="533">
        <f>IF(T47=0,0,$V$7*(1+#REF!)^#REF!)</f>
        <v>0</v>
      </c>
      <c r="W47" s="533">
        <f t="shared" si="27"/>
        <v>0</v>
      </c>
      <c r="X47" s="533">
        <f t="shared" si="6"/>
        <v>0</v>
      </c>
      <c r="Y47" s="533">
        <f t="shared" si="7"/>
        <v>0</v>
      </c>
      <c r="AA47" s="533">
        <v>0</v>
      </c>
      <c r="AB47" s="533">
        <f t="shared" si="8"/>
        <v>0</v>
      </c>
      <c r="AC47" s="533">
        <f>IF(AA47=0,0,$V$7*(1+#REF!)^#REF!)</f>
        <v>0</v>
      </c>
      <c r="AD47" s="533">
        <f t="shared" si="28"/>
        <v>0</v>
      </c>
      <c r="AE47" s="533">
        <f t="shared" si="9"/>
        <v>0</v>
      </c>
      <c r="AF47" s="533">
        <f t="shared" si="10"/>
        <v>0</v>
      </c>
      <c r="AH47" s="533">
        <f t="shared" si="11"/>
        <v>16</v>
      </c>
      <c r="AI47" s="533">
        <f t="shared" si="29"/>
        <v>291</v>
      </c>
      <c r="AJ47" s="533">
        <f t="shared" si="12"/>
        <v>295000</v>
      </c>
      <c r="AK47" s="533">
        <f>AJ47*[1]mProject!V51</f>
        <v>303470.71192247391</v>
      </c>
      <c r="AL47" s="533">
        <f t="shared" si="13"/>
        <v>4720000</v>
      </c>
      <c r="AM47" s="533">
        <f t="shared" si="14"/>
        <v>4855531.3907595845</v>
      </c>
      <c r="AN47" s="456"/>
      <c r="AO47" s="575" t="e">
        <f t="shared" si="35"/>
        <v>#REF!</v>
      </c>
      <c r="AP47" s="575" t="e">
        <f t="shared" si="41"/>
        <v>#REF!</v>
      </c>
      <c r="AQ47" s="575" t="e">
        <f t="shared" si="43"/>
        <v>#REF!</v>
      </c>
      <c r="AR47" s="576" t="e">
        <f t="shared" si="37"/>
        <v>#REF!</v>
      </c>
      <c r="AS47" s="533" t="e">
        <f t="shared" si="40"/>
        <v>#REF!</v>
      </c>
      <c r="AT47" s="533"/>
      <c r="AU47" s="533"/>
      <c r="AV47" s="533" t="e">
        <f t="shared" si="15"/>
        <v>#REF!</v>
      </c>
      <c r="AW47" s="533" t="e">
        <f>AI47*#REF!+AI46*#REF!+AI45*#REF!</f>
        <v>#REF!</v>
      </c>
      <c r="AX47" s="456"/>
      <c r="AY47" s="584">
        <f t="shared" si="31"/>
        <v>1.070661254101787</v>
      </c>
      <c r="AZ47" s="533">
        <f t="shared" si="32"/>
        <v>291331.88344557508</v>
      </c>
      <c r="BA47" s="533">
        <f>BA46*[1]mProject!V51</f>
        <v>0</v>
      </c>
      <c r="BB47" s="533">
        <f t="shared" si="38"/>
        <v>5235312.393064172</v>
      </c>
      <c r="BC47" s="456"/>
      <c r="BD47" s="586">
        <f>((BB47/100)*(i_CFD.ObliRate/12))*[1]i.Finance!$O$64</f>
        <v>17614.644822497161</v>
      </c>
      <c r="BE47" s="586">
        <f>(AZ47/100*[1]i.Finance!$O$61)*[1]i.Finance!$O$64</f>
        <v>11762.524794115092</v>
      </c>
      <c r="BF47" s="586">
        <f>(AZ47/100*[1]i.Finance!$O$65)</f>
        <v>873.99565033672513</v>
      </c>
      <c r="BG47" s="587">
        <f t="shared" si="18"/>
        <v>18488.640472833886</v>
      </c>
      <c r="BH47" s="456"/>
      <c r="BI47" s="586">
        <f>-PV([1]i.Finance!$O$63/12,[1]i.Finance!$O$62*12,mCFD!BG47)</f>
        <v>3162667.7090053656</v>
      </c>
      <c r="BJ47" s="586">
        <f>BI47*[1]i.Finance!$O$58</f>
        <v>2482694.1515692123</v>
      </c>
      <c r="BK47" s="586"/>
      <c r="BL47" s="586"/>
      <c r="BP47" s="533"/>
      <c r="BQ47" s="533"/>
      <c r="BR47" s="533" t="e">
        <f t="shared" si="19"/>
        <v>#NAME?</v>
      </c>
      <c r="BS47" s="533" t="e">
        <f t="shared" si="20"/>
        <v>#NAME?</v>
      </c>
      <c r="BT47" s="533" t="e">
        <f t="shared" si="21"/>
        <v>#NAME?</v>
      </c>
      <c r="BU47" s="533"/>
    </row>
    <row r="48" spans="1:73" ht="16" hidden="1" outlineLevel="2">
      <c r="A48" s="366"/>
      <c r="B48" s="562"/>
      <c r="C48" s="366"/>
      <c r="D48" s="454"/>
      <c r="E48" s="547">
        <f t="shared" si="34"/>
        <v>42</v>
      </c>
      <c r="F48" s="547">
        <f t="shared" si="22"/>
        <v>14</v>
      </c>
      <c r="G48" s="547">
        <f t="shared" si="23"/>
        <v>4</v>
      </c>
      <c r="H48" s="548">
        <f t="shared" si="24"/>
        <v>45107</v>
      </c>
      <c r="I48" s="549">
        <f t="shared" si="0"/>
        <v>2023</v>
      </c>
      <c r="K48" s="547">
        <f>[1]mProject!KB52</f>
        <v>16</v>
      </c>
      <c r="L48" s="547">
        <f t="shared" si="1"/>
        <v>307</v>
      </c>
      <c r="M48" s="547">
        <f t="shared" si="2"/>
        <v>295000</v>
      </c>
      <c r="N48" s="547">
        <f t="shared" si="3"/>
        <v>4720000</v>
      </c>
      <c r="O48" s="547">
        <f t="shared" si="25"/>
        <v>90565000</v>
      </c>
      <c r="P48" s="547">
        <f>[1]mProject!W52</f>
        <v>303976.49644234485</v>
      </c>
      <c r="Q48" s="547">
        <f t="shared" si="4"/>
        <v>4863623.9430775177</v>
      </c>
      <c r="R48" s="547">
        <f t="shared" si="26"/>
        <v>92118830.494147047</v>
      </c>
      <c r="T48" s="547">
        <v>0</v>
      </c>
      <c r="U48" s="547">
        <f t="shared" si="5"/>
        <v>0</v>
      </c>
      <c r="V48" s="547">
        <f>IF(T48=0,0,$V$7*(1+#REF!)^#REF!)</f>
        <v>0</v>
      </c>
      <c r="W48" s="547">
        <f t="shared" si="27"/>
        <v>0</v>
      </c>
      <c r="X48" s="547">
        <f t="shared" si="6"/>
        <v>0</v>
      </c>
      <c r="Y48" s="547">
        <f t="shared" si="7"/>
        <v>0</v>
      </c>
      <c r="AA48" s="547">
        <v>0</v>
      </c>
      <c r="AB48" s="547">
        <f t="shared" si="8"/>
        <v>0</v>
      </c>
      <c r="AC48" s="547">
        <f>IF(AA48=0,0,$V$7*(1+#REF!)^#REF!)</f>
        <v>0</v>
      </c>
      <c r="AD48" s="547">
        <f t="shared" si="28"/>
        <v>0</v>
      </c>
      <c r="AE48" s="547">
        <f t="shared" si="9"/>
        <v>0</v>
      </c>
      <c r="AF48" s="547">
        <f t="shared" si="10"/>
        <v>0</v>
      </c>
      <c r="AH48" s="547">
        <f t="shared" si="11"/>
        <v>16</v>
      </c>
      <c r="AI48" s="547">
        <f t="shared" si="29"/>
        <v>307</v>
      </c>
      <c r="AJ48" s="547">
        <f t="shared" si="12"/>
        <v>295000</v>
      </c>
      <c r="AK48" s="547">
        <f>AJ48*[1]mProject!V52</f>
        <v>303976.49644234468</v>
      </c>
      <c r="AL48" s="547">
        <f t="shared" si="13"/>
        <v>4720000</v>
      </c>
      <c r="AM48" s="547">
        <f t="shared" si="14"/>
        <v>4863623.9430775177</v>
      </c>
      <c r="AN48" s="456"/>
      <c r="AO48" s="577" t="e">
        <f t="shared" si="35"/>
        <v>#REF!</v>
      </c>
      <c r="AP48" s="577" t="e">
        <f t="shared" si="41"/>
        <v>#REF!</v>
      </c>
      <c r="AQ48" s="577" t="e">
        <f t="shared" si="43"/>
        <v>#REF!</v>
      </c>
      <c r="AR48" s="578" t="e">
        <f t="shared" si="37"/>
        <v>#REF!</v>
      </c>
      <c r="AS48" s="547" t="e">
        <f t="shared" si="40"/>
        <v>#REF!</v>
      </c>
      <c r="AT48" s="547"/>
      <c r="AU48" s="547"/>
      <c r="AV48" s="547" t="e">
        <f t="shared" si="15"/>
        <v>#REF!</v>
      </c>
      <c r="AW48" s="547" t="e">
        <f>AI48*#REF!+AI47*#REF!+AI46*#REF!</f>
        <v>#REF!</v>
      </c>
      <c r="AX48" s="456"/>
      <c r="AY48" s="585">
        <f t="shared" si="31"/>
        <v>1.0724456895252901</v>
      </c>
      <c r="AZ48" s="547">
        <f t="shared" si="32"/>
        <v>291817.43658465106</v>
      </c>
      <c r="BA48" s="547">
        <f>BA47*[1]mProject!V52</f>
        <v>0</v>
      </c>
      <c r="BB48" s="547">
        <f t="shared" si="38"/>
        <v>5527129.8296488235</v>
      </c>
      <c r="BC48" s="456"/>
      <c r="BD48" s="588">
        <f>((BB48/100)*(i_CFD.ObliRate/12))*[1]i.Finance!$O$64</f>
        <v>18596.488906005936</v>
      </c>
      <c r="BE48" s="588">
        <f>(AZ48/100*[1]i.Finance!$O$61)*[1]i.Finance!$O$64</f>
        <v>11782.129002105286</v>
      </c>
      <c r="BF48" s="588">
        <f>(AZ48/100*[1]i.Finance!$O$65)</f>
        <v>875.45230975395316</v>
      </c>
      <c r="BG48" s="589">
        <f t="shared" si="18"/>
        <v>19471.941215759889</v>
      </c>
      <c r="BH48" s="456"/>
      <c r="BI48" s="588">
        <f>-PV([1]i.Finance!$O$63/12,[1]i.Finance!$O$62*12,mCFD!BG48)</f>
        <v>3330871.1803456461</v>
      </c>
      <c r="BJ48" s="588">
        <f>BI48*[1]i.Finance!$O$58</f>
        <v>2614733.8765713321</v>
      </c>
      <c r="BK48" s="588"/>
      <c r="BL48" s="588"/>
      <c r="BP48" s="547"/>
      <c r="BQ48" s="547"/>
      <c r="BR48" s="547" t="e">
        <f t="shared" si="19"/>
        <v>#NAME?</v>
      </c>
      <c r="BS48" s="547" t="e">
        <f t="shared" si="20"/>
        <v>#NAME?</v>
      </c>
      <c r="BT48" s="547" t="e">
        <f t="shared" si="21"/>
        <v>#NAME?</v>
      </c>
      <c r="BU48" s="547"/>
    </row>
    <row r="49" spans="1:73" ht="16" hidden="1" outlineLevel="2">
      <c r="A49" s="366"/>
      <c r="B49" s="562"/>
      <c r="C49" s="366"/>
      <c r="D49" s="454"/>
      <c r="E49" s="530">
        <f t="shared" si="34"/>
        <v>43</v>
      </c>
      <c r="F49" s="530">
        <f t="shared" si="22"/>
        <v>15</v>
      </c>
      <c r="G49" s="530">
        <f t="shared" si="23"/>
        <v>4</v>
      </c>
      <c r="H49" s="554">
        <f t="shared" si="24"/>
        <v>45138</v>
      </c>
      <c r="I49" s="555">
        <f t="shared" si="0"/>
        <v>2023</v>
      </c>
      <c r="K49" s="530">
        <f>[1]mProject!KB53</f>
        <v>16</v>
      </c>
      <c r="L49" s="530">
        <f t="shared" si="1"/>
        <v>323</v>
      </c>
      <c r="M49" s="530">
        <f t="shared" si="2"/>
        <v>295000</v>
      </c>
      <c r="N49" s="530">
        <f t="shared" si="3"/>
        <v>4720000</v>
      </c>
      <c r="O49" s="530">
        <f t="shared" si="25"/>
        <v>95285000</v>
      </c>
      <c r="P49" s="530">
        <f>[1]mProject!W53</f>
        <v>304483.12393641542</v>
      </c>
      <c r="Q49" s="530">
        <f t="shared" si="4"/>
        <v>4871729.9829826467</v>
      </c>
      <c r="R49" s="530">
        <f t="shared" si="26"/>
        <v>96990560.477129698</v>
      </c>
      <c r="T49" s="530">
        <v>0</v>
      </c>
      <c r="U49" s="530">
        <f t="shared" si="5"/>
        <v>0</v>
      </c>
      <c r="V49" s="530">
        <f>IF(T49=0,0,$V$7*(1+#REF!)^#REF!)</f>
        <v>0</v>
      </c>
      <c r="W49" s="530">
        <f t="shared" si="27"/>
        <v>0</v>
      </c>
      <c r="X49" s="530">
        <f t="shared" si="6"/>
        <v>0</v>
      </c>
      <c r="Y49" s="530">
        <f t="shared" si="7"/>
        <v>0</v>
      </c>
      <c r="AA49" s="530">
        <v>0</v>
      </c>
      <c r="AB49" s="530">
        <f t="shared" si="8"/>
        <v>0</v>
      </c>
      <c r="AC49" s="530">
        <f>IF(AA49=0,0,$V$7*(1+#REF!)^#REF!)</f>
        <v>0</v>
      </c>
      <c r="AD49" s="530">
        <f t="shared" si="28"/>
        <v>0</v>
      </c>
      <c r="AE49" s="530">
        <f t="shared" si="9"/>
        <v>0</v>
      </c>
      <c r="AF49" s="530">
        <f t="shared" si="10"/>
        <v>0</v>
      </c>
      <c r="AH49" s="530">
        <f t="shared" si="11"/>
        <v>16</v>
      </c>
      <c r="AI49" s="530">
        <f t="shared" si="29"/>
        <v>323</v>
      </c>
      <c r="AJ49" s="530">
        <f t="shared" si="12"/>
        <v>295000</v>
      </c>
      <c r="AK49" s="530">
        <f>AJ49*[1]mProject!V53</f>
        <v>304483.1239364153</v>
      </c>
      <c r="AL49" s="530">
        <f t="shared" si="13"/>
        <v>4720000</v>
      </c>
      <c r="AM49" s="530">
        <f t="shared" si="14"/>
        <v>4871729.9829826467</v>
      </c>
      <c r="AN49" s="456"/>
      <c r="AO49" s="572" t="e">
        <f t="shared" si="35"/>
        <v>#REF!</v>
      </c>
      <c r="AP49" s="572" t="e">
        <f t="shared" si="41"/>
        <v>#REF!</v>
      </c>
      <c r="AQ49" s="572" t="e">
        <f t="shared" si="43"/>
        <v>#REF!</v>
      </c>
      <c r="AR49" s="573" t="e">
        <f t="shared" si="37"/>
        <v>#REF!</v>
      </c>
      <c r="AS49" s="530" t="e">
        <f t="shared" si="40"/>
        <v>#REF!</v>
      </c>
      <c r="AT49" s="530"/>
      <c r="AU49" s="530"/>
      <c r="AV49" s="530" t="e">
        <f t="shared" si="15"/>
        <v>#REF!</v>
      </c>
      <c r="AW49" s="530" t="e">
        <f>AI49*#REF!+AI48*#REF!+AI47*#REF!</f>
        <v>#REF!</v>
      </c>
      <c r="AX49" s="456"/>
      <c r="AY49" s="583">
        <f t="shared" si="31"/>
        <v>1.0742330990078324</v>
      </c>
      <c r="AZ49" s="530">
        <f t="shared" si="32"/>
        <v>292303.7989789588</v>
      </c>
      <c r="BA49" s="530">
        <f>BA48*[1]mProject!V53</f>
        <v>0</v>
      </c>
      <c r="BB49" s="530">
        <f t="shared" si="38"/>
        <v>5819433.6286277827</v>
      </c>
      <c r="BC49" s="456"/>
      <c r="BD49" s="590">
        <f>((BB49/100)*(i_CFD.ObliRate/12))*[1]i.Finance!$O$64</f>
        <v>19579.969396320561</v>
      </c>
      <c r="BE49" s="590">
        <f>(AZ49/100*[1]i.Finance!$O$61)*[1]i.Finance!$O$64</f>
        <v>11801.765883775462</v>
      </c>
      <c r="BF49" s="590">
        <f>(AZ49/100*[1]i.Finance!$O$65)</f>
        <v>876.91139693687649</v>
      </c>
      <c r="BG49" s="591">
        <f t="shared" si="18"/>
        <v>20456.880793257438</v>
      </c>
      <c r="BH49" s="456"/>
      <c r="BI49" s="590">
        <f>-PV([1]i.Finance!$O$63/12,[1]i.Finance!$O$62*12,mCFD!BG49)</f>
        <v>3499354.9908048268</v>
      </c>
      <c r="BJ49" s="590">
        <f>BI49*[1]i.Finance!$O$58</f>
        <v>2746993.6677817893</v>
      </c>
      <c r="BK49" s="590"/>
      <c r="BL49" s="590"/>
      <c r="BP49" s="530"/>
      <c r="BQ49" s="530"/>
      <c r="BR49" s="530" t="e">
        <f t="shared" si="19"/>
        <v>#NAME?</v>
      </c>
      <c r="BS49" s="530" t="e">
        <f t="shared" si="20"/>
        <v>#NAME?</v>
      </c>
      <c r="BT49" s="530" t="e">
        <f t="shared" si="21"/>
        <v>#NAME?</v>
      </c>
      <c r="BU49" s="530"/>
    </row>
    <row r="50" spans="1:73" ht="16" hidden="1" outlineLevel="2">
      <c r="A50" s="366"/>
      <c r="B50" s="562"/>
      <c r="C50" s="366"/>
      <c r="D50" s="454"/>
      <c r="E50" s="533">
        <f t="shared" si="34"/>
        <v>44</v>
      </c>
      <c r="F50" s="533">
        <f t="shared" si="22"/>
        <v>15</v>
      </c>
      <c r="G50" s="533">
        <f t="shared" si="23"/>
        <v>4</v>
      </c>
      <c r="H50" s="541">
        <f t="shared" si="24"/>
        <v>45169</v>
      </c>
      <c r="I50" s="542">
        <f t="shared" si="0"/>
        <v>2023</v>
      </c>
      <c r="K50" s="533">
        <f>[1]mProject!KB54</f>
        <v>16</v>
      </c>
      <c r="L50" s="533">
        <f t="shared" si="1"/>
        <v>339</v>
      </c>
      <c r="M50" s="533">
        <f t="shared" si="2"/>
        <v>295000</v>
      </c>
      <c r="N50" s="533">
        <f t="shared" si="3"/>
        <v>4720000</v>
      </c>
      <c r="O50" s="533">
        <f t="shared" si="25"/>
        <v>100005000</v>
      </c>
      <c r="P50" s="533">
        <f>[1]mProject!W54</f>
        <v>304990.59580964281</v>
      </c>
      <c r="Q50" s="533">
        <f t="shared" si="4"/>
        <v>4879849.5329542849</v>
      </c>
      <c r="R50" s="533">
        <f t="shared" si="26"/>
        <v>101870410.01008399</v>
      </c>
      <c r="T50" s="533">
        <v>0</v>
      </c>
      <c r="U50" s="533">
        <f t="shared" si="5"/>
        <v>0</v>
      </c>
      <c r="V50" s="533">
        <f>IF(T50=0,0,$V$7*(1+#REF!)^#REF!)</f>
        <v>0</v>
      </c>
      <c r="W50" s="533">
        <f t="shared" si="27"/>
        <v>0</v>
      </c>
      <c r="X50" s="533">
        <f t="shared" si="6"/>
        <v>0</v>
      </c>
      <c r="Y50" s="533">
        <f t="shared" si="7"/>
        <v>0</v>
      </c>
      <c r="AA50" s="533">
        <v>0</v>
      </c>
      <c r="AB50" s="533">
        <f t="shared" si="8"/>
        <v>0</v>
      </c>
      <c r="AC50" s="533">
        <f>IF(AA50=0,0,$V$7*(1+#REF!)^#REF!)</f>
        <v>0</v>
      </c>
      <c r="AD50" s="533">
        <f t="shared" si="28"/>
        <v>0</v>
      </c>
      <c r="AE50" s="533">
        <f t="shared" si="9"/>
        <v>0</v>
      </c>
      <c r="AF50" s="533">
        <f t="shared" si="10"/>
        <v>0</v>
      </c>
      <c r="AH50" s="533">
        <f t="shared" si="11"/>
        <v>16</v>
      </c>
      <c r="AI50" s="533">
        <f t="shared" si="29"/>
        <v>339</v>
      </c>
      <c r="AJ50" s="533">
        <f t="shared" si="12"/>
        <v>295000</v>
      </c>
      <c r="AK50" s="533">
        <f>AJ50*[1]mProject!V54</f>
        <v>304990.59580964263</v>
      </c>
      <c r="AL50" s="533">
        <f t="shared" si="13"/>
        <v>4720000</v>
      </c>
      <c r="AM50" s="533">
        <f t="shared" si="14"/>
        <v>4879849.5329542849</v>
      </c>
      <c r="AN50" s="456"/>
      <c r="AO50" s="575" t="e">
        <f t="shared" si="35"/>
        <v>#REF!</v>
      </c>
      <c r="AP50" s="575" t="e">
        <f t="shared" si="41"/>
        <v>#REF!</v>
      </c>
      <c r="AQ50" s="575" t="e">
        <f t="shared" si="43"/>
        <v>#REF!</v>
      </c>
      <c r="AR50" s="576" t="e">
        <f t="shared" si="37"/>
        <v>#REF!</v>
      </c>
      <c r="AS50" s="533" t="e">
        <f t="shared" si="40"/>
        <v>#REF!</v>
      </c>
      <c r="AT50" s="533"/>
      <c r="AU50" s="533"/>
      <c r="AV50" s="533" t="e">
        <f t="shared" si="15"/>
        <v>#REF!</v>
      </c>
      <c r="AW50" s="533" t="e">
        <f>AI50*#REF!+AI49*#REF!+AI48*#REF!</f>
        <v>#REF!</v>
      </c>
      <c r="AX50" s="456"/>
      <c r="AY50" s="584">
        <f t="shared" si="31"/>
        <v>1.0760234875061787</v>
      </c>
      <c r="AZ50" s="533">
        <f t="shared" si="32"/>
        <v>292790.97197725711</v>
      </c>
      <c r="BA50" s="533">
        <f>BA49*[1]mProject!V54</f>
        <v>0</v>
      </c>
      <c r="BB50" s="533">
        <f t="shared" si="38"/>
        <v>6112224.6006050399</v>
      </c>
      <c r="BC50" s="456"/>
      <c r="BD50" s="586">
        <f>((BB50/100)*(i_CFD.ObliRate/12))*[1]i.Finance!$O$64</f>
        <v>20565.089020785708</v>
      </c>
      <c r="BE50" s="586">
        <f>(AZ50/100*[1]i.Finance!$O$61)*[1]i.Finance!$O$64</f>
        <v>11821.435493581756</v>
      </c>
      <c r="BF50" s="586">
        <f>(AZ50/100*[1]i.Finance!$O$65)</f>
        <v>878.37291593177122</v>
      </c>
      <c r="BG50" s="587">
        <f t="shared" si="18"/>
        <v>21443.461936717478</v>
      </c>
      <c r="BH50" s="456"/>
      <c r="BI50" s="586">
        <f>-PV([1]i.Finance!$O$63/12,[1]i.Finance!$O$62*12,mCFD!BG50)</f>
        <v>3668119.6076147724</v>
      </c>
      <c r="BJ50" s="586">
        <f>BI50*[1]i.Finance!$O$58</f>
        <v>2879473.8919775966</v>
      </c>
      <c r="BK50" s="586"/>
      <c r="BL50" s="586"/>
      <c r="BP50" s="533"/>
      <c r="BQ50" s="533"/>
      <c r="BR50" s="533" t="e">
        <f t="shared" si="19"/>
        <v>#NAME?</v>
      </c>
      <c r="BS50" s="533" t="e">
        <f t="shared" si="20"/>
        <v>#NAME?</v>
      </c>
      <c r="BT50" s="533" t="e">
        <f t="shared" si="21"/>
        <v>#NAME?</v>
      </c>
      <c r="BU50" s="533"/>
    </row>
    <row r="51" spans="1:73" ht="16" hidden="1" outlineLevel="2">
      <c r="A51" s="366"/>
      <c r="B51" s="562"/>
      <c r="C51" s="366"/>
      <c r="D51" s="454"/>
      <c r="E51" s="547">
        <f t="shared" si="34"/>
        <v>45</v>
      </c>
      <c r="F51" s="547">
        <f t="shared" si="22"/>
        <v>15</v>
      </c>
      <c r="G51" s="547">
        <f t="shared" si="23"/>
        <v>4</v>
      </c>
      <c r="H51" s="548">
        <f t="shared" si="24"/>
        <v>45199</v>
      </c>
      <c r="I51" s="549">
        <f t="shared" si="0"/>
        <v>2023</v>
      </c>
      <c r="K51" s="547">
        <f>[1]mProject!KB55</f>
        <v>20</v>
      </c>
      <c r="L51" s="547">
        <f t="shared" si="1"/>
        <v>359</v>
      </c>
      <c r="M51" s="547">
        <f t="shared" si="2"/>
        <v>295000</v>
      </c>
      <c r="N51" s="547">
        <f t="shared" si="3"/>
        <v>5900000</v>
      </c>
      <c r="O51" s="547">
        <f t="shared" si="25"/>
        <v>105905000</v>
      </c>
      <c r="P51" s="547">
        <f>[1]mProject!W55</f>
        <v>305498.91346932558</v>
      </c>
      <c r="Q51" s="547">
        <f t="shared" si="4"/>
        <v>6109978.2693865113</v>
      </c>
      <c r="R51" s="547">
        <f t="shared" si="26"/>
        <v>107980388.2794705</v>
      </c>
      <c r="T51" s="547">
        <v>0</v>
      </c>
      <c r="U51" s="547">
        <f t="shared" si="5"/>
        <v>0</v>
      </c>
      <c r="V51" s="547">
        <f>IF(T51=0,0,$V$7*(1+#REF!)^#REF!)</f>
        <v>0</v>
      </c>
      <c r="W51" s="547">
        <f t="shared" si="27"/>
        <v>0</v>
      </c>
      <c r="X51" s="547">
        <f t="shared" si="6"/>
        <v>0</v>
      </c>
      <c r="Y51" s="547">
        <f t="shared" si="7"/>
        <v>0</v>
      </c>
      <c r="AA51" s="547">
        <v>0</v>
      </c>
      <c r="AB51" s="547">
        <f t="shared" si="8"/>
        <v>0</v>
      </c>
      <c r="AC51" s="547">
        <f>IF(AA51=0,0,$V$7*(1+#REF!)^#REF!)</f>
        <v>0</v>
      </c>
      <c r="AD51" s="547">
        <f t="shared" si="28"/>
        <v>0</v>
      </c>
      <c r="AE51" s="547">
        <f t="shared" si="9"/>
        <v>0</v>
      </c>
      <c r="AF51" s="547">
        <f t="shared" si="10"/>
        <v>0</v>
      </c>
      <c r="AH51" s="547">
        <f t="shared" si="11"/>
        <v>20</v>
      </c>
      <c r="AI51" s="547">
        <f t="shared" si="29"/>
        <v>359</v>
      </c>
      <c r="AJ51" s="547">
        <f t="shared" si="12"/>
        <v>295000</v>
      </c>
      <c r="AK51" s="547">
        <f>AJ51*[1]mProject!V55</f>
        <v>305498.91346932534</v>
      </c>
      <c r="AL51" s="547">
        <f t="shared" si="13"/>
        <v>5900000</v>
      </c>
      <c r="AM51" s="547">
        <f t="shared" si="14"/>
        <v>6109978.2693865113</v>
      </c>
      <c r="AN51" s="456"/>
      <c r="AO51" s="577" t="e">
        <f t="shared" si="35"/>
        <v>#REF!</v>
      </c>
      <c r="AP51" s="577" t="e">
        <f t="shared" si="41"/>
        <v>#REF!</v>
      </c>
      <c r="AQ51" s="577" t="e">
        <f t="shared" si="43"/>
        <v>#REF!</v>
      </c>
      <c r="AR51" s="578" t="e">
        <f t="shared" si="37"/>
        <v>#REF!</v>
      </c>
      <c r="AS51" s="547" t="e">
        <f t="shared" si="40"/>
        <v>#REF!</v>
      </c>
      <c r="AT51" s="547"/>
      <c r="AU51" s="547"/>
      <c r="AV51" s="547" t="e">
        <f t="shared" si="15"/>
        <v>#REF!</v>
      </c>
      <c r="AW51" s="547" t="e">
        <f>AI51*#REF!+AI50*#REF!+AI49*#REF!</f>
        <v>#REF!</v>
      </c>
      <c r="AX51" s="456"/>
      <c r="AY51" s="585">
        <f t="shared" si="31"/>
        <v>1.0778168599853557</v>
      </c>
      <c r="AZ51" s="547">
        <f t="shared" si="32"/>
        <v>366598.6961631907</v>
      </c>
      <c r="BA51" s="547">
        <f>BA50*[1]mProject!V55</f>
        <v>0</v>
      </c>
      <c r="BB51" s="547">
        <f t="shared" si="38"/>
        <v>6478823.2967682304</v>
      </c>
      <c r="BC51" s="456"/>
      <c r="BD51" s="588">
        <f>((BB51/100)*(i_CFD.ObliRate/12))*[1]i.Finance!$O$64</f>
        <v>21798.540883918111</v>
      </c>
      <c r="BE51" s="588">
        <f>(AZ51/100*[1]i.Finance!$O$61)*[1]i.Finance!$O$64</f>
        <v>14801.422357588823</v>
      </c>
      <c r="BF51" s="588">
        <f>(AZ51/100*[1]i.Finance!$O$65)</f>
        <v>1099.796088489572</v>
      </c>
      <c r="BG51" s="589">
        <f t="shared" si="18"/>
        <v>22898.336972407684</v>
      </c>
      <c r="BH51" s="456"/>
      <c r="BI51" s="588">
        <f>-PV([1]i.Finance!$O$63/12,[1]i.Finance!$O$62*12,mCFD!BG51)</f>
        <v>3916990.5996585786</v>
      </c>
      <c r="BJ51" s="588">
        <f>BI51*[1]i.Finance!$O$58</f>
        <v>3074837.6207319843</v>
      </c>
      <c r="BK51" s="588"/>
      <c r="BL51" s="588"/>
      <c r="BP51" s="547"/>
      <c r="BQ51" s="547"/>
      <c r="BR51" s="547" t="e">
        <f t="shared" si="19"/>
        <v>#NAME?</v>
      </c>
      <c r="BS51" s="547" t="e">
        <f t="shared" si="20"/>
        <v>#NAME?</v>
      </c>
      <c r="BT51" s="547" t="e">
        <f t="shared" si="21"/>
        <v>#NAME?</v>
      </c>
      <c r="BU51" s="547"/>
    </row>
    <row r="52" spans="1:73" ht="16" hidden="1" outlineLevel="2">
      <c r="A52" s="366"/>
      <c r="B52" s="562"/>
      <c r="C52" s="366"/>
      <c r="D52" s="454"/>
      <c r="E52" s="530">
        <f t="shared" si="34"/>
        <v>46</v>
      </c>
      <c r="F52" s="530">
        <f t="shared" si="22"/>
        <v>16</v>
      </c>
      <c r="G52" s="530">
        <f t="shared" si="23"/>
        <v>4</v>
      </c>
      <c r="H52" s="554">
        <f t="shared" si="24"/>
        <v>45230</v>
      </c>
      <c r="I52" s="555">
        <f t="shared" si="0"/>
        <v>2023</v>
      </c>
      <c r="K52" s="530">
        <f>[1]mProject!KB56</f>
        <v>12</v>
      </c>
      <c r="L52" s="530">
        <f t="shared" si="1"/>
        <v>371</v>
      </c>
      <c r="M52" s="530">
        <f t="shared" si="2"/>
        <v>295000</v>
      </c>
      <c r="N52" s="530">
        <f t="shared" si="3"/>
        <v>3540000</v>
      </c>
      <c r="O52" s="530">
        <f t="shared" si="25"/>
        <v>109445000</v>
      </c>
      <c r="P52" s="530">
        <f>[1]mProject!W56</f>
        <v>306008.07832510781</v>
      </c>
      <c r="Q52" s="530">
        <f t="shared" si="4"/>
        <v>3672096.9399012937</v>
      </c>
      <c r="R52" s="530">
        <f t="shared" si="26"/>
        <v>111652485.2193718</v>
      </c>
      <c r="T52" s="530">
        <v>0</v>
      </c>
      <c r="U52" s="530">
        <f t="shared" si="5"/>
        <v>0</v>
      </c>
      <c r="V52" s="530">
        <f>IF(T52=0,0,$V$7*(1+#REF!)^#REF!)</f>
        <v>0</v>
      </c>
      <c r="W52" s="530">
        <f t="shared" si="27"/>
        <v>0</v>
      </c>
      <c r="X52" s="530">
        <f t="shared" si="6"/>
        <v>0</v>
      </c>
      <c r="Y52" s="530">
        <f t="shared" si="7"/>
        <v>0</v>
      </c>
      <c r="AA52" s="530">
        <v>0</v>
      </c>
      <c r="AB52" s="530">
        <f t="shared" si="8"/>
        <v>0</v>
      </c>
      <c r="AC52" s="530">
        <f>IF(AA52=0,0,$V$7*(1+#REF!)^#REF!)</f>
        <v>0</v>
      </c>
      <c r="AD52" s="530">
        <f t="shared" si="28"/>
        <v>0</v>
      </c>
      <c r="AE52" s="530">
        <f t="shared" si="9"/>
        <v>0</v>
      </c>
      <c r="AF52" s="530">
        <f t="shared" si="10"/>
        <v>0</v>
      </c>
      <c r="AH52" s="530">
        <f t="shared" si="11"/>
        <v>12</v>
      </c>
      <c r="AI52" s="530">
        <f t="shared" si="29"/>
        <v>371</v>
      </c>
      <c r="AJ52" s="530">
        <f t="shared" si="12"/>
        <v>295000</v>
      </c>
      <c r="AK52" s="530">
        <f>AJ52*[1]mProject!V56</f>
        <v>306008.07832510752</v>
      </c>
      <c r="AL52" s="530">
        <f t="shared" si="13"/>
        <v>3540000</v>
      </c>
      <c r="AM52" s="530">
        <f t="shared" si="14"/>
        <v>3672096.9399012937</v>
      </c>
      <c r="AN52" s="456"/>
      <c r="AO52" s="572" t="e">
        <f t="shared" si="35"/>
        <v>#REF!</v>
      </c>
      <c r="AP52" s="572" t="e">
        <f t="shared" si="41"/>
        <v>#REF!</v>
      </c>
      <c r="AQ52" s="572" t="e">
        <f t="shared" si="43"/>
        <v>#REF!</v>
      </c>
      <c r="AR52" s="573" t="e">
        <f t="shared" si="37"/>
        <v>#REF!</v>
      </c>
      <c r="AS52" s="530" t="e">
        <f t="shared" si="40"/>
        <v>#REF!</v>
      </c>
      <c r="AT52" s="530"/>
      <c r="AU52" s="530"/>
      <c r="AV52" s="530" t="e">
        <f t="shared" si="15"/>
        <v>#REF!</v>
      </c>
      <c r="AW52" s="530" t="e">
        <f>AI52*#REF!+AI51*#REF!+AI50*#REF!</f>
        <v>#REF!</v>
      </c>
      <c r="AX52" s="456"/>
      <c r="AY52" s="583">
        <f t="shared" si="31"/>
        <v>1.0796132214186647</v>
      </c>
      <c r="AZ52" s="530">
        <f t="shared" si="32"/>
        <v>220325.81639407761</v>
      </c>
      <c r="BA52" s="530">
        <f>BA51*[1]mProject!V56</f>
        <v>0</v>
      </c>
      <c r="BB52" s="530">
        <f t="shared" si="38"/>
        <v>6699149.113162308</v>
      </c>
      <c r="BC52" s="456"/>
      <c r="BD52" s="590">
        <f>((BB52/100)*(i_CFD.ObliRate/12))*[1]i.Finance!$O$64</f>
        <v>22539.845453660684</v>
      </c>
      <c r="BE52" s="590">
        <f>(AZ52/100*[1]i.Finance!$O$61)*[1]i.Finance!$O$64</f>
        <v>8895.6548369108823</v>
      </c>
      <c r="BF52" s="590">
        <f>(AZ52/100*[1]i.Finance!$O$65)</f>
        <v>660.97744918223282</v>
      </c>
      <c r="BG52" s="591">
        <f t="shared" si="18"/>
        <v>23200.822902842916</v>
      </c>
      <c r="BH52" s="456"/>
      <c r="BI52" s="590">
        <f>-PV([1]i.Finance!$O$63/12,[1]i.Finance!$O$62*12,mCFD!BG52)</f>
        <v>3968733.8571480419</v>
      </c>
      <c r="BJ52" s="590">
        <f>BI52*[1]i.Finance!$O$58</f>
        <v>3115456.0778612131</v>
      </c>
      <c r="BK52" s="590"/>
      <c r="BL52" s="590"/>
      <c r="BP52" s="530"/>
      <c r="BQ52" s="530"/>
      <c r="BR52" s="530" t="e">
        <f t="shared" si="19"/>
        <v>#NAME?</v>
      </c>
      <c r="BS52" s="530" t="e">
        <f t="shared" si="20"/>
        <v>#NAME?</v>
      </c>
      <c r="BT52" s="530" t="e">
        <f t="shared" si="21"/>
        <v>#NAME?</v>
      </c>
      <c r="BU52" s="530"/>
    </row>
    <row r="53" spans="1:73" ht="16" hidden="1" outlineLevel="2">
      <c r="A53" s="366"/>
      <c r="B53" s="562"/>
      <c r="C53" s="366"/>
      <c r="D53" s="454"/>
      <c r="E53" s="533">
        <f t="shared" si="34"/>
        <v>47</v>
      </c>
      <c r="F53" s="533">
        <f t="shared" si="22"/>
        <v>16</v>
      </c>
      <c r="G53" s="533">
        <f t="shared" si="23"/>
        <v>4</v>
      </c>
      <c r="H53" s="541">
        <f t="shared" si="24"/>
        <v>45260</v>
      </c>
      <c r="I53" s="542">
        <f t="shared" si="0"/>
        <v>2023</v>
      </c>
      <c r="K53" s="533">
        <f>[1]mProject!KB57</f>
        <v>29</v>
      </c>
      <c r="L53" s="533">
        <f t="shared" si="1"/>
        <v>400</v>
      </c>
      <c r="M53" s="533">
        <f t="shared" si="2"/>
        <v>295000</v>
      </c>
      <c r="N53" s="533">
        <f t="shared" si="3"/>
        <v>8555000</v>
      </c>
      <c r="O53" s="533">
        <f t="shared" si="25"/>
        <v>118000000</v>
      </c>
      <c r="P53" s="533">
        <f>[1]mProject!W57</f>
        <v>306518.09178898297</v>
      </c>
      <c r="Q53" s="533">
        <f t="shared" si="4"/>
        <v>8889024.6618805062</v>
      </c>
      <c r="R53" s="533">
        <f t="shared" si="26"/>
        <v>120541509.8812523</v>
      </c>
      <c r="T53" s="533">
        <v>0</v>
      </c>
      <c r="U53" s="533">
        <f t="shared" si="5"/>
        <v>0</v>
      </c>
      <c r="V53" s="533">
        <f>IF(T53=0,0,$V$7*(1+#REF!)^#REF!)</f>
        <v>0</v>
      </c>
      <c r="W53" s="533">
        <f t="shared" si="27"/>
        <v>0</v>
      </c>
      <c r="X53" s="533">
        <f t="shared" si="6"/>
        <v>0</v>
      </c>
      <c r="Y53" s="533">
        <f t="shared" si="7"/>
        <v>0</v>
      </c>
      <c r="AA53" s="533">
        <v>0</v>
      </c>
      <c r="AB53" s="533">
        <f t="shared" si="8"/>
        <v>0</v>
      </c>
      <c r="AC53" s="533">
        <f>IF(AA53=0,0,$V$7*(1+#REF!)^#REF!)</f>
        <v>0</v>
      </c>
      <c r="AD53" s="533">
        <f t="shared" si="28"/>
        <v>0</v>
      </c>
      <c r="AE53" s="533">
        <f t="shared" si="9"/>
        <v>0</v>
      </c>
      <c r="AF53" s="533">
        <f t="shared" si="10"/>
        <v>0</v>
      </c>
      <c r="AH53" s="533">
        <f t="shared" si="11"/>
        <v>29</v>
      </c>
      <c r="AI53" s="533">
        <f t="shared" si="29"/>
        <v>400</v>
      </c>
      <c r="AJ53" s="533">
        <f t="shared" si="12"/>
        <v>295000</v>
      </c>
      <c r="AK53" s="533">
        <f>AJ53*[1]mProject!V57</f>
        <v>306518.09178898274</v>
      </c>
      <c r="AL53" s="533">
        <f t="shared" si="13"/>
        <v>8555000</v>
      </c>
      <c r="AM53" s="533">
        <f t="shared" si="14"/>
        <v>8889024.6618805062</v>
      </c>
      <c r="AN53" s="456"/>
      <c r="AO53" s="575" t="e">
        <f t="shared" si="35"/>
        <v>#REF!</v>
      </c>
      <c r="AP53" s="575" t="e">
        <f t="shared" si="41"/>
        <v>#REF!</v>
      </c>
      <c r="AQ53" s="575" t="e">
        <f t="shared" si="43"/>
        <v>#REF!</v>
      </c>
      <c r="AR53" s="576" t="e">
        <f t="shared" si="37"/>
        <v>#REF!</v>
      </c>
      <c r="AS53" s="533" t="e">
        <f t="shared" si="40"/>
        <v>#REF!</v>
      </c>
      <c r="AT53" s="533"/>
      <c r="AU53" s="533"/>
      <c r="AV53" s="533" t="e">
        <f t="shared" si="15"/>
        <v>#REF!</v>
      </c>
      <c r="AW53" s="533" t="e">
        <f>AI53*#REF!+AI52*#REF!+AI51*#REF!</f>
        <v>#REF!</v>
      </c>
      <c r="AX53" s="456"/>
      <c r="AY53" s="584">
        <f t="shared" si="31"/>
        <v>1.0814125767876959</v>
      </c>
      <c r="AZ53" s="533">
        <f t="shared" si="32"/>
        <v>533341.47971283039</v>
      </c>
      <c r="BA53" s="533">
        <f>BA52*[1]mProject!V57</f>
        <v>0</v>
      </c>
      <c r="BB53" s="533">
        <f t="shared" si="38"/>
        <v>7232490.5928751379</v>
      </c>
      <c r="BC53" s="456"/>
      <c r="BD53" s="586">
        <f>((BB53/100)*(i_CFD.ObliRate/12))*[1]i.Finance!$O$64</f>
        <v>24334.317307277808</v>
      </c>
      <c r="BE53" s="586">
        <f>(AZ53/100*[1]i.Finance!$O$61)*[1]i.Finance!$O$64</f>
        <v>21533.662243405528</v>
      </c>
      <c r="BF53" s="586">
        <f>(AZ53/100*[1]i.Finance!$O$65)</f>
        <v>1600.0244391384911</v>
      </c>
      <c r="BG53" s="587">
        <f t="shared" si="18"/>
        <v>25934.341746416299</v>
      </c>
      <c r="BH53" s="456"/>
      <c r="BI53" s="586">
        <f>-PV([1]i.Finance!$O$63/12,[1]i.Finance!$O$62*12,mCFD!BG53)</f>
        <v>4436329.7191169085</v>
      </c>
      <c r="BJ53" s="586">
        <f>BI53*[1]i.Finance!$O$58</f>
        <v>3482518.8295067735</v>
      </c>
      <c r="BK53" s="586"/>
      <c r="BL53" s="586"/>
      <c r="BP53" s="533"/>
      <c r="BQ53" s="533"/>
      <c r="BR53" s="533" t="e">
        <f t="shared" si="19"/>
        <v>#NAME?</v>
      </c>
      <c r="BS53" s="533" t="e">
        <f t="shared" si="20"/>
        <v>#NAME?</v>
      </c>
      <c r="BT53" s="533" t="e">
        <f t="shared" si="21"/>
        <v>#NAME?</v>
      </c>
      <c r="BU53" s="533"/>
    </row>
    <row r="54" spans="1:73" ht="17" hidden="1" outlineLevel="2" thickBot="1">
      <c r="A54" s="366"/>
      <c r="B54" s="562"/>
      <c r="C54" s="366"/>
      <c r="D54" s="454"/>
      <c r="E54" s="564">
        <f t="shared" si="34"/>
        <v>48</v>
      </c>
      <c r="F54" s="564">
        <f t="shared" si="22"/>
        <v>16</v>
      </c>
      <c r="G54" s="564">
        <f t="shared" si="23"/>
        <v>5</v>
      </c>
      <c r="H54" s="565">
        <f t="shared" si="24"/>
        <v>45291</v>
      </c>
      <c r="I54" s="566">
        <f t="shared" si="0"/>
        <v>2023</v>
      </c>
      <c r="K54" s="564">
        <f>[1]mProject!KB58</f>
        <v>0</v>
      </c>
      <c r="L54" s="564">
        <f t="shared" si="1"/>
        <v>400</v>
      </c>
      <c r="M54" s="564">
        <f t="shared" si="2"/>
        <v>295000</v>
      </c>
      <c r="N54" s="564">
        <f t="shared" si="3"/>
        <v>0</v>
      </c>
      <c r="O54" s="564">
        <f t="shared" si="25"/>
        <v>118000000</v>
      </c>
      <c r="P54" s="564">
        <f>[1]mProject!W58</f>
        <v>307028.95527529798</v>
      </c>
      <c r="Q54" s="564">
        <f t="shared" si="4"/>
        <v>0</v>
      </c>
      <c r="R54" s="564">
        <f t="shared" si="26"/>
        <v>120541509.8812523</v>
      </c>
      <c r="T54" s="564">
        <v>0</v>
      </c>
      <c r="U54" s="564">
        <f t="shared" si="5"/>
        <v>0</v>
      </c>
      <c r="V54" s="564">
        <f>IF(T54=0,0,$V$7*(1+#REF!)^#REF!)</f>
        <v>0</v>
      </c>
      <c r="W54" s="564">
        <f t="shared" si="27"/>
        <v>0</v>
      </c>
      <c r="X54" s="564">
        <f t="shared" si="6"/>
        <v>0</v>
      </c>
      <c r="Y54" s="564">
        <f t="shared" si="7"/>
        <v>0</v>
      </c>
      <c r="AA54" s="564">
        <v>0</v>
      </c>
      <c r="AB54" s="564">
        <f t="shared" si="8"/>
        <v>0</v>
      </c>
      <c r="AC54" s="564">
        <f>IF(AA54=0,0,$V$7*(1+#REF!)^#REF!)</f>
        <v>0</v>
      </c>
      <c r="AD54" s="564">
        <f t="shared" si="28"/>
        <v>0</v>
      </c>
      <c r="AE54" s="564">
        <f t="shared" si="9"/>
        <v>0</v>
      </c>
      <c r="AF54" s="564">
        <f t="shared" si="10"/>
        <v>0</v>
      </c>
      <c r="AH54" s="564">
        <f t="shared" si="11"/>
        <v>0</v>
      </c>
      <c r="AI54" s="564">
        <f t="shared" si="29"/>
        <v>400</v>
      </c>
      <c r="AJ54" s="564">
        <f t="shared" si="12"/>
        <v>0</v>
      </c>
      <c r="AK54" s="564">
        <f>AJ54*[1]mProject!V58</f>
        <v>0</v>
      </c>
      <c r="AL54" s="564">
        <f t="shared" si="13"/>
        <v>0</v>
      </c>
      <c r="AM54" s="564">
        <f t="shared" si="14"/>
        <v>0</v>
      </c>
      <c r="AN54" s="456"/>
      <c r="AO54" s="581" t="e">
        <f t="shared" si="35"/>
        <v>#REF!</v>
      </c>
      <c r="AP54" s="581" t="e">
        <f t="shared" si="41"/>
        <v>#REF!</v>
      </c>
      <c r="AQ54" s="581" t="e">
        <f t="shared" si="43"/>
        <v>#REF!</v>
      </c>
      <c r="AR54" s="582" t="e">
        <f t="shared" si="37"/>
        <v>#REF!</v>
      </c>
      <c r="AS54" s="564" t="e">
        <f t="shared" si="40"/>
        <v>#REF!</v>
      </c>
      <c r="AT54" s="564"/>
      <c r="AU54" s="564"/>
      <c r="AV54" s="564" t="e">
        <f t="shared" si="15"/>
        <v>#REF!</v>
      </c>
      <c r="AW54" s="564" t="e">
        <f>AI54*#REF!+AI53*#REF!+AI52*#REF!</f>
        <v>#REF!</v>
      </c>
      <c r="AX54" s="456"/>
      <c r="AY54" s="592">
        <f t="shared" si="31"/>
        <v>1.083214931082342</v>
      </c>
      <c r="AZ54" s="564">
        <f t="shared" si="32"/>
        <v>0</v>
      </c>
      <c r="BA54" s="564">
        <f>BA53*[1]mProject!V58</f>
        <v>0</v>
      </c>
      <c r="BB54" s="564">
        <f t="shared" si="38"/>
        <v>7232490.5928751379</v>
      </c>
      <c r="BC54" s="456"/>
      <c r="BD54" s="593">
        <f>((BB54/100)*(i_CFD.ObliRate/12))*[1]i.Finance!$O$64</f>
        <v>24334.317307277808</v>
      </c>
      <c r="BE54" s="593">
        <f>(AZ54/100*[1]i.Finance!$O$61)*[1]i.Finance!$O$64</f>
        <v>0</v>
      </c>
      <c r="BF54" s="593">
        <f>(AZ54/100*[1]i.Finance!$O$65)</f>
        <v>0</v>
      </c>
      <c r="BG54" s="594">
        <f t="shared" si="18"/>
        <v>24334.317307277808</v>
      </c>
      <c r="BH54" s="456"/>
      <c r="BI54" s="593">
        <f>-PV([1]i.Finance!$O$63/12,[1]i.Finance!$O$62*12,mCFD!BG54)</f>
        <v>4162629.4632912786</v>
      </c>
      <c r="BJ54" s="593">
        <f>BI54*[1]i.Finance!$O$58</f>
        <v>3267664.1286836537</v>
      </c>
      <c r="BK54" s="593"/>
      <c r="BL54" s="593"/>
      <c r="BP54" s="564"/>
      <c r="BQ54" s="564"/>
      <c r="BR54" s="564" t="e">
        <f t="shared" si="19"/>
        <v>#NAME?</v>
      </c>
      <c r="BS54" s="564" t="e">
        <f t="shared" si="20"/>
        <v>#NAME?</v>
      </c>
      <c r="BT54" s="564" t="e">
        <f t="shared" si="21"/>
        <v>#NAME?</v>
      </c>
      <c r="BU54" s="564"/>
    </row>
    <row r="55" spans="1:73" ht="16" hidden="1" outlineLevel="2">
      <c r="A55" s="366"/>
      <c r="B55" s="562"/>
      <c r="C55" s="366"/>
      <c r="D55" s="454"/>
      <c r="E55" s="530">
        <f t="shared" si="34"/>
        <v>49</v>
      </c>
      <c r="F55" s="530">
        <f t="shared" si="22"/>
        <v>17</v>
      </c>
      <c r="G55" s="530">
        <f t="shared" si="23"/>
        <v>5</v>
      </c>
      <c r="H55" s="571">
        <f t="shared" si="24"/>
        <v>45322</v>
      </c>
      <c r="I55" s="532">
        <f t="shared" si="0"/>
        <v>2024</v>
      </c>
      <c r="K55" s="530">
        <f>[1]mProject!KB59</f>
        <v>0</v>
      </c>
      <c r="L55" s="530">
        <f t="shared" si="1"/>
        <v>400</v>
      </c>
      <c r="M55" s="530">
        <f t="shared" si="2"/>
        <v>295000</v>
      </c>
      <c r="N55" s="530">
        <f t="shared" si="3"/>
        <v>0</v>
      </c>
      <c r="O55" s="530">
        <f t="shared" si="25"/>
        <v>118000000</v>
      </c>
      <c r="P55" s="530">
        <f>[1]mProject!W59</f>
        <v>307540.67020075681</v>
      </c>
      <c r="Q55" s="530">
        <f t="shared" si="4"/>
        <v>0</v>
      </c>
      <c r="R55" s="530">
        <f t="shared" si="26"/>
        <v>120541509.8812523</v>
      </c>
      <c r="T55" s="530">
        <v>0</v>
      </c>
      <c r="U55" s="530">
        <f t="shared" si="5"/>
        <v>0</v>
      </c>
      <c r="V55" s="530">
        <f>IF(T55=0,0,$V$7*(1+#REF!)^#REF!)</f>
        <v>0</v>
      </c>
      <c r="W55" s="530">
        <f t="shared" si="27"/>
        <v>0</v>
      </c>
      <c r="X55" s="530">
        <f t="shared" si="6"/>
        <v>0</v>
      </c>
      <c r="Y55" s="530">
        <f t="shared" si="7"/>
        <v>0</v>
      </c>
      <c r="AA55" s="530">
        <v>0</v>
      </c>
      <c r="AB55" s="530">
        <f t="shared" si="8"/>
        <v>0</v>
      </c>
      <c r="AC55" s="530">
        <f>IF(AA55=0,0,$V$7*(1+#REF!)^#REF!)</f>
        <v>0</v>
      </c>
      <c r="AD55" s="530">
        <f t="shared" si="28"/>
        <v>0</v>
      </c>
      <c r="AE55" s="530">
        <f t="shared" si="9"/>
        <v>0</v>
      </c>
      <c r="AF55" s="530">
        <f t="shared" si="10"/>
        <v>0</v>
      </c>
      <c r="AH55" s="530">
        <f t="shared" si="11"/>
        <v>0</v>
      </c>
      <c r="AI55" s="530">
        <f t="shared" si="29"/>
        <v>400</v>
      </c>
      <c r="AJ55" s="530">
        <f t="shared" si="12"/>
        <v>0</v>
      </c>
      <c r="AK55" s="530">
        <f>AJ55*[1]mProject!V59</f>
        <v>0</v>
      </c>
      <c r="AL55" s="530">
        <f t="shared" si="13"/>
        <v>0</v>
      </c>
      <c r="AM55" s="530">
        <f t="shared" si="14"/>
        <v>0</v>
      </c>
      <c r="AN55" s="456"/>
      <c r="AO55" s="572" t="e">
        <f t="shared" si="35"/>
        <v>#REF!</v>
      </c>
      <c r="AP55" s="572" t="e">
        <f t="shared" si="41"/>
        <v>#REF!</v>
      </c>
      <c r="AQ55" s="572" t="e">
        <f t="shared" si="43"/>
        <v>#REF!</v>
      </c>
      <c r="AR55" s="573" t="e">
        <f t="shared" si="37"/>
        <v>#REF!</v>
      </c>
      <c r="AS55" s="530" t="e">
        <f t="shared" si="40"/>
        <v>#REF!</v>
      </c>
      <c r="AT55" s="530"/>
      <c r="AU55" s="530"/>
      <c r="AV55" s="530" t="e">
        <f t="shared" si="15"/>
        <v>#REF!</v>
      </c>
      <c r="AW55" s="530" t="e">
        <f>AI55*#REF!+AI54*#REF!+AI53*#REF!</f>
        <v>#REF!</v>
      </c>
      <c r="AX55" s="456"/>
      <c r="AY55" s="583">
        <f t="shared" si="31"/>
        <v>1.0850202893008127</v>
      </c>
      <c r="AZ55" s="530">
        <f t="shared" si="32"/>
        <v>0</v>
      </c>
      <c r="BA55" s="530">
        <f>BA54*[1]mProject!V59</f>
        <v>0</v>
      </c>
      <c r="BB55" s="530">
        <f t="shared" si="38"/>
        <v>7232490.5928751379</v>
      </c>
      <c r="BC55" s="456"/>
      <c r="BD55" s="590">
        <f>((BB55/100)*(i_CFD.ObliRate/12))*[1]i.Finance!$O$64</f>
        <v>24334.317307277808</v>
      </c>
      <c r="BE55" s="590">
        <f>(AZ55/100*[1]i.Finance!$O$61)*[1]i.Finance!$O$64</f>
        <v>0</v>
      </c>
      <c r="BF55" s="590">
        <f>(AZ55/100*[1]i.Finance!$O$65)</f>
        <v>0</v>
      </c>
      <c r="BG55" s="591">
        <f t="shared" si="18"/>
        <v>24334.317307277808</v>
      </c>
      <c r="BH55" s="456"/>
      <c r="BI55" s="590">
        <f>-PV([1]i.Finance!$O$63/12,[1]i.Finance!$O$62*12,mCFD!BG55)</f>
        <v>4162629.4632912786</v>
      </c>
      <c r="BJ55" s="590">
        <f>BI55*[1]i.Finance!$O$58</f>
        <v>3267664.1286836537</v>
      </c>
      <c r="BK55" s="590"/>
      <c r="BL55" s="590"/>
      <c r="BP55" s="530"/>
      <c r="BQ55" s="530"/>
      <c r="BR55" s="530" t="e">
        <f t="shared" si="19"/>
        <v>#NAME?</v>
      </c>
      <c r="BS55" s="530" t="e">
        <f t="shared" si="20"/>
        <v>#NAME?</v>
      </c>
      <c r="BT55" s="530" t="e">
        <f t="shared" si="21"/>
        <v>#NAME?</v>
      </c>
      <c r="BU55" s="530"/>
    </row>
    <row r="56" spans="1:73" ht="16" hidden="1" outlineLevel="2">
      <c r="A56" s="366"/>
      <c r="B56" s="562"/>
      <c r="C56" s="366"/>
      <c r="D56" s="454"/>
      <c r="E56" s="533">
        <f t="shared" si="34"/>
        <v>50</v>
      </c>
      <c r="F56" s="533">
        <f t="shared" si="22"/>
        <v>17</v>
      </c>
      <c r="G56" s="533">
        <f t="shared" si="23"/>
        <v>5</v>
      </c>
      <c r="H56" s="541">
        <f t="shared" si="24"/>
        <v>45351</v>
      </c>
      <c r="I56" s="542">
        <f t="shared" si="0"/>
        <v>2024</v>
      </c>
      <c r="K56" s="533">
        <f>[1]mProject!KB60</f>
        <v>0</v>
      </c>
      <c r="L56" s="533">
        <f t="shared" si="1"/>
        <v>400</v>
      </c>
      <c r="M56" s="533">
        <f t="shared" si="2"/>
        <v>295000</v>
      </c>
      <c r="N56" s="533">
        <f t="shared" si="3"/>
        <v>0</v>
      </c>
      <c r="O56" s="533">
        <f t="shared" si="25"/>
        <v>118000000</v>
      </c>
      <c r="P56" s="533">
        <f>[1]mProject!W60</f>
        <v>308053.23798442475</v>
      </c>
      <c r="Q56" s="533">
        <f t="shared" si="4"/>
        <v>0</v>
      </c>
      <c r="R56" s="533">
        <f t="shared" si="26"/>
        <v>120541509.8812523</v>
      </c>
      <c r="T56" s="533">
        <v>0</v>
      </c>
      <c r="U56" s="533">
        <f t="shared" si="5"/>
        <v>0</v>
      </c>
      <c r="V56" s="533">
        <f>IF(T56=0,0,$V$7*(1+#REF!)^#REF!)</f>
        <v>0</v>
      </c>
      <c r="W56" s="533">
        <f t="shared" si="27"/>
        <v>0</v>
      </c>
      <c r="X56" s="533">
        <f t="shared" si="6"/>
        <v>0</v>
      </c>
      <c r="Y56" s="533">
        <f t="shared" si="7"/>
        <v>0</v>
      </c>
      <c r="AA56" s="533">
        <v>0</v>
      </c>
      <c r="AB56" s="533">
        <f t="shared" si="8"/>
        <v>0</v>
      </c>
      <c r="AC56" s="533">
        <f>IF(AA56=0,0,$V$7*(1+#REF!)^#REF!)</f>
        <v>0</v>
      </c>
      <c r="AD56" s="533">
        <f t="shared" si="28"/>
        <v>0</v>
      </c>
      <c r="AE56" s="533">
        <f t="shared" si="9"/>
        <v>0</v>
      </c>
      <c r="AF56" s="533">
        <f t="shared" si="10"/>
        <v>0</v>
      </c>
      <c r="AH56" s="533">
        <f t="shared" si="11"/>
        <v>0</v>
      </c>
      <c r="AI56" s="533">
        <f t="shared" si="29"/>
        <v>400</v>
      </c>
      <c r="AJ56" s="533">
        <f t="shared" si="12"/>
        <v>0</v>
      </c>
      <c r="AK56" s="533">
        <f>AJ56*[1]mProject!V60</f>
        <v>0</v>
      </c>
      <c r="AL56" s="533">
        <f t="shared" si="13"/>
        <v>0</v>
      </c>
      <c r="AM56" s="533">
        <f t="shared" si="14"/>
        <v>0</v>
      </c>
      <c r="AN56" s="456"/>
      <c r="AO56" s="575" t="e">
        <f t="shared" si="35"/>
        <v>#REF!</v>
      </c>
      <c r="AP56" s="575" t="e">
        <f t="shared" si="41"/>
        <v>#REF!</v>
      </c>
      <c r="AQ56" s="575" t="e">
        <f t="shared" si="43"/>
        <v>#REF!</v>
      </c>
      <c r="AR56" s="576" t="e">
        <f t="shared" si="37"/>
        <v>#REF!</v>
      </c>
      <c r="AS56" s="533" t="e">
        <f t="shared" si="40"/>
        <v>#REF!</v>
      </c>
      <c r="AT56" s="533"/>
      <c r="AU56" s="533"/>
      <c r="AV56" s="533" t="e">
        <f t="shared" si="15"/>
        <v>#REF!</v>
      </c>
      <c r="AW56" s="533" t="e">
        <f>AI56*#REF!+AI55*#REF!+AI54*#REF!</f>
        <v>#REF!</v>
      </c>
      <c r="AX56" s="456"/>
      <c r="AY56" s="584">
        <f t="shared" si="31"/>
        <v>1.0868286564496474</v>
      </c>
      <c r="AZ56" s="533">
        <f t="shared" si="32"/>
        <v>0</v>
      </c>
      <c r="BA56" s="533">
        <f>BA55*[1]mProject!V60</f>
        <v>0</v>
      </c>
      <c r="BB56" s="533">
        <f t="shared" si="38"/>
        <v>7232490.5928751379</v>
      </c>
      <c r="BC56" s="456"/>
      <c r="BD56" s="586">
        <f>((BB56/100)*(i_CFD.ObliRate/12))*[1]i.Finance!$O$64</f>
        <v>24334.317307277808</v>
      </c>
      <c r="BE56" s="586">
        <f>(AZ56/100*[1]i.Finance!$O$61)*[1]i.Finance!$O$64</f>
        <v>0</v>
      </c>
      <c r="BF56" s="586">
        <f>(AZ56/100*[1]i.Finance!$O$65)</f>
        <v>0</v>
      </c>
      <c r="BG56" s="587">
        <f t="shared" si="18"/>
        <v>24334.317307277808</v>
      </c>
      <c r="BH56" s="456"/>
      <c r="BI56" s="586">
        <f>-PV([1]i.Finance!$O$63/12,[1]i.Finance!$O$62*12,mCFD!BG56)</f>
        <v>4162629.4632912786</v>
      </c>
      <c r="BJ56" s="586">
        <f>BI56*[1]i.Finance!$O$58</f>
        <v>3267664.1286836537</v>
      </c>
      <c r="BK56" s="586"/>
      <c r="BL56" s="586"/>
      <c r="BP56" s="533"/>
      <c r="BQ56" s="533"/>
      <c r="BR56" s="533" t="e">
        <f t="shared" si="19"/>
        <v>#NAME?</v>
      </c>
      <c r="BS56" s="533" t="e">
        <f t="shared" si="20"/>
        <v>#NAME?</v>
      </c>
      <c r="BT56" s="533" t="e">
        <f t="shared" si="21"/>
        <v>#NAME?</v>
      </c>
      <c r="BU56" s="533"/>
    </row>
    <row r="57" spans="1:73" ht="16" hidden="1" outlineLevel="2">
      <c r="A57" s="366"/>
      <c r="B57" s="562"/>
      <c r="C57" s="366"/>
      <c r="D57" s="454"/>
      <c r="E57" s="547">
        <f t="shared" si="34"/>
        <v>51</v>
      </c>
      <c r="F57" s="547">
        <f t="shared" si="22"/>
        <v>17</v>
      </c>
      <c r="G57" s="547">
        <f t="shared" si="23"/>
        <v>5</v>
      </c>
      <c r="H57" s="548">
        <f t="shared" si="24"/>
        <v>45382</v>
      </c>
      <c r="I57" s="549">
        <f t="shared" si="0"/>
        <v>2024</v>
      </c>
      <c r="K57" s="547">
        <f>[1]mProject!KB61</f>
        <v>16</v>
      </c>
      <c r="L57" s="547">
        <f t="shared" si="1"/>
        <v>416</v>
      </c>
      <c r="M57" s="547">
        <f t="shared" si="2"/>
        <v>295000</v>
      </c>
      <c r="N57" s="547">
        <f t="shared" si="3"/>
        <v>4720000</v>
      </c>
      <c r="O57" s="547">
        <f t="shared" si="25"/>
        <v>122720000</v>
      </c>
      <c r="P57" s="547">
        <f>[1]mProject!W61</f>
        <v>308566.66004773212</v>
      </c>
      <c r="Q57" s="547">
        <f t="shared" si="4"/>
        <v>4937066.5607637139</v>
      </c>
      <c r="R57" s="547">
        <f t="shared" si="26"/>
        <v>125478576.44201602</v>
      </c>
      <c r="T57" s="547">
        <v>0</v>
      </c>
      <c r="U57" s="547">
        <f t="shared" si="5"/>
        <v>0</v>
      </c>
      <c r="V57" s="547">
        <f>IF(T57=0,0,$V$7*(1+#REF!)^#REF!)</f>
        <v>0</v>
      </c>
      <c r="W57" s="547">
        <f t="shared" si="27"/>
        <v>0</v>
      </c>
      <c r="X57" s="547">
        <f t="shared" si="6"/>
        <v>0</v>
      </c>
      <c r="Y57" s="547">
        <f t="shared" si="7"/>
        <v>0</v>
      </c>
      <c r="AA57" s="547">
        <v>0</v>
      </c>
      <c r="AB57" s="547">
        <f t="shared" si="8"/>
        <v>0</v>
      </c>
      <c r="AC57" s="547">
        <f>IF(AA57=0,0,$V$7*(1+#REF!)^#REF!)</f>
        <v>0</v>
      </c>
      <c r="AD57" s="547">
        <f t="shared" si="28"/>
        <v>0</v>
      </c>
      <c r="AE57" s="547">
        <f t="shared" si="9"/>
        <v>0</v>
      </c>
      <c r="AF57" s="547">
        <f t="shared" si="10"/>
        <v>0</v>
      </c>
      <c r="AH57" s="547">
        <f t="shared" si="11"/>
        <v>16</v>
      </c>
      <c r="AI57" s="547">
        <f t="shared" si="29"/>
        <v>416</v>
      </c>
      <c r="AJ57" s="547">
        <f t="shared" si="12"/>
        <v>295000</v>
      </c>
      <c r="AK57" s="547">
        <f>AJ57*[1]mProject!V61</f>
        <v>308566.66004773194</v>
      </c>
      <c r="AL57" s="547">
        <f t="shared" si="13"/>
        <v>4720000</v>
      </c>
      <c r="AM57" s="547">
        <f t="shared" si="14"/>
        <v>4937066.5607637139</v>
      </c>
      <c r="AN57" s="456"/>
      <c r="AO57" s="577" t="e">
        <f t="shared" si="35"/>
        <v>#REF!</v>
      </c>
      <c r="AP57" s="577" t="e">
        <f t="shared" si="41"/>
        <v>#REF!</v>
      </c>
      <c r="AQ57" s="577" t="e">
        <f t="shared" si="43"/>
        <v>#REF!</v>
      </c>
      <c r="AR57" s="578" t="e">
        <f t="shared" si="37"/>
        <v>#REF!</v>
      </c>
      <c r="AS57" s="547" t="e">
        <f t="shared" si="40"/>
        <v>#REF!</v>
      </c>
      <c r="AT57" s="547"/>
      <c r="AU57" s="547"/>
      <c r="AV57" s="547" t="e">
        <f t="shared" si="15"/>
        <v>#REF!</v>
      </c>
      <c r="AW57" s="547" t="e">
        <f>AI57*#REF!+AI56*#REF!+AI55*#REF!</f>
        <v>#REF!</v>
      </c>
      <c r="AX57" s="456"/>
      <c r="AY57" s="585">
        <f t="shared" si="31"/>
        <v>1.0886400375437302</v>
      </c>
      <c r="AZ57" s="547">
        <f t="shared" si="32"/>
        <v>296223.9936458228</v>
      </c>
      <c r="BA57" s="547">
        <f>BA56*[1]mProject!V61</f>
        <v>0</v>
      </c>
      <c r="BB57" s="547">
        <f t="shared" si="38"/>
        <v>7528714.5865209606</v>
      </c>
      <c r="BC57" s="456"/>
      <c r="BD57" s="588">
        <f>((BB57/100)*(i_CFD.ObliRate/12))*[1]i.Finance!$O$64</f>
        <v>25330.987619231983</v>
      </c>
      <c r="BE57" s="588">
        <f>(AZ57/100*[1]i.Finance!$O$61)*[1]i.Finance!$O$64</f>
        <v>11960.043743450095</v>
      </c>
      <c r="BF57" s="588">
        <f>(AZ57/100*[1]i.Finance!$O$65)</f>
        <v>888.67198093746833</v>
      </c>
      <c r="BG57" s="589">
        <f t="shared" si="18"/>
        <v>26219.659600169452</v>
      </c>
      <c r="BH57" s="456"/>
      <c r="BI57" s="588">
        <f>-PV([1]i.Finance!$O$63/12,[1]i.Finance!$O$62*12,mCFD!BG57)</f>
        <v>4485136.2046015328</v>
      </c>
      <c r="BJ57" s="588">
        <f>BI57*[1]i.Finance!$O$58</f>
        <v>3520831.9206122034</v>
      </c>
      <c r="BK57" s="588"/>
      <c r="BL57" s="588"/>
      <c r="BP57" s="547"/>
      <c r="BQ57" s="547"/>
      <c r="BR57" s="547" t="e">
        <f t="shared" si="19"/>
        <v>#NAME?</v>
      </c>
      <c r="BS57" s="547" t="e">
        <f t="shared" si="20"/>
        <v>#NAME?</v>
      </c>
      <c r="BT57" s="547" t="e">
        <f t="shared" si="21"/>
        <v>#NAME?</v>
      </c>
      <c r="BU57" s="547"/>
    </row>
    <row r="58" spans="1:73" ht="16" hidden="1" outlineLevel="2">
      <c r="A58" s="366"/>
      <c r="B58" s="562"/>
      <c r="C58" s="366"/>
      <c r="D58" s="454"/>
      <c r="E58" s="530">
        <f t="shared" si="34"/>
        <v>52</v>
      </c>
      <c r="F58" s="530">
        <f t="shared" si="22"/>
        <v>18</v>
      </c>
      <c r="G58" s="530">
        <f t="shared" si="23"/>
        <v>5</v>
      </c>
      <c r="H58" s="554">
        <f t="shared" si="24"/>
        <v>45412</v>
      </c>
      <c r="I58" s="555">
        <f t="shared" si="0"/>
        <v>2024</v>
      </c>
      <c r="K58" s="530">
        <f>[1]mProject!KB62</f>
        <v>16</v>
      </c>
      <c r="L58" s="530">
        <f t="shared" si="1"/>
        <v>432</v>
      </c>
      <c r="M58" s="530">
        <f t="shared" si="2"/>
        <v>295000</v>
      </c>
      <c r="N58" s="530">
        <f t="shared" si="3"/>
        <v>4720000</v>
      </c>
      <c r="O58" s="530">
        <f t="shared" si="25"/>
        <v>127440000</v>
      </c>
      <c r="P58" s="530">
        <f>[1]mProject!W62</f>
        <v>309080.93781447835</v>
      </c>
      <c r="Q58" s="530">
        <f t="shared" si="4"/>
        <v>4945295.0050316537</v>
      </c>
      <c r="R58" s="530">
        <f t="shared" si="26"/>
        <v>130423871.44704768</v>
      </c>
      <c r="T58" s="530">
        <v>0</v>
      </c>
      <c r="U58" s="530">
        <f t="shared" si="5"/>
        <v>0</v>
      </c>
      <c r="V58" s="530">
        <f>IF(T58=0,0,$V$7*(1+#REF!)^#REF!)</f>
        <v>0</v>
      </c>
      <c r="W58" s="530">
        <f t="shared" si="27"/>
        <v>0</v>
      </c>
      <c r="X58" s="530">
        <f t="shared" si="6"/>
        <v>0</v>
      </c>
      <c r="Y58" s="530">
        <f t="shared" si="7"/>
        <v>0</v>
      </c>
      <c r="AA58" s="530">
        <v>0</v>
      </c>
      <c r="AB58" s="530">
        <f t="shared" si="8"/>
        <v>0</v>
      </c>
      <c r="AC58" s="530">
        <f>IF(AA58=0,0,$V$7*(1+#REF!)^#REF!)</f>
        <v>0</v>
      </c>
      <c r="AD58" s="530">
        <f t="shared" si="28"/>
        <v>0</v>
      </c>
      <c r="AE58" s="530">
        <f t="shared" si="9"/>
        <v>0</v>
      </c>
      <c r="AF58" s="530">
        <f t="shared" si="10"/>
        <v>0</v>
      </c>
      <c r="AH58" s="530">
        <f t="shared" si="11"/>
        <v>16</v>
      </c>
      <c r="AI58" s="530">
        <f t="shared" si="29"/>
        <v>432</v>
      </c>
      <c r="AJ58" s="530">
        <f t="shared" si="12"/>
        <v>295000</v>
      </c>
      <c r="AK58" s="530">
        <f>AJ58*[1]mProject!V62</f>
        <v>309080.93781447818</v>
      </c>
      <c r="AL58" s="530">
        <f t="shared" si="13"/>
        <v>4720000</v>
      </c>
      <c r="AM58" s="530">
        <f t="shared" si="14"/>
        <v>4945295.0050316537</v>
      </c>
      <c r="AN58" s="456"/>
      <c r="AO58" s="572" t="e">
        <f t="shared" si="35"/>
        <v>#REF!</v>
      </c>
      <c r="AP58" s="572" t="e">
        <f t="shared" si="41"/>
        <v>#REF!</v>
      </c>
      <c r="AQ58" s="572" t="e">
        <f t="shared" si="43"/>
        <v>#REF!</v>
      </c>
      <c r="AR58" s="573" t="e">
        <f t="shared" si="37"/>
        <v>#REF!</v>
      </c>
      <c r="AS58" s="530" t="e">
        <f t="shared" si="40"/>
        <v>#REF!</v>
      </c>
      <c r="AT58" s="530"/>
      <c r="AU58" s="530"/>
      <c r="AV58" s="530" t="e">
        <f t="shared" si="15"/>
        <v>#REF!</v>
      </c>
      <c r="AW58" s="530" t="e">
        <f>AI58*#REF!+AI57*#REF!+AI56*#REF!</f>
        <v>#REF!</v>
      </c>
      <c r="AX58" s="456"/>
      <c r="AY58" s="583">
        <f t="shared" si="31"/>
        <v>1.090454437606303</v>
      </c>
      <c r="AZ58" s="530">
        <f t="shared" si="32"/>
        <v>296717.70030189923</v>
      </c>
      <c r="BA58" s="530">
        <f>BA57*[1]mProject!V62</f>
        <v>0</v>
      </c>
      <c r="BB58" s="530">
        <f t="shared" si="38"/>
        <v>7825432.2868228601</v>
      </c>
      <c r="BC58" s="456"/>
      <c r="BD58" s="590">
        <f>((BB58/100)*(i_CFD.ObliRate/12))*[1]i.Finance!$O$64</f>
        <v>26329.319048372749</v>
      </c>
      <c r="BE58" s="590">
        <f>(AZ58/100*[1]i.Finance!$O$61)*[1]i.Finance!$O$64</f>
        <v>11979.977149689181</v>
      </c>
      <c r="BF58" s="590">
        <f>(AZ58/100*[1]i.Finance!$O$65)</f>
        <v>890.15310090569767</v>
      </c>
      <c r="BG58" s="591">
        <f t="shared" si="18"/>
        <v>27219.472149278445</v>
      </c>
      <c r="BH58" s="456"/>
      <c r="BI58" s="590">
        <f>-PV([1]i.Finance!$O$63/12,[1]i.Finance!$O$62*12,mCFD!BG58)</f>
        <v>4656164.1862842059</v>
      </c>
      <c r="BJ58" s="590">
        <f>BI58*[1]i.Finance!$O$58</f>
        <v>3655088.8862331016</v>
      </c>
      <c r="BK58" s="590"/>
      <c r="BL58" s="590"/>
      <c r="BP58" s="530"/>
      <c r="BQ58" s="530"/>
      <c r="BR58" s="530" t="e">
        <f t="shared" si="19"/>
        <v>#NAME?</v>
      </c>
      <c r="BS58" s="530" t="e">
        <f t="shared" si="20"/>
        <v>#NAME?</v>
      </c>
      <c r="BT58" s="530" t="e">
        <f t="shared" si="21"/>
        <v>#NAME?</v>
      </c>
      <c r="BU58" s="530"/>
    </row>
    <row r="59" spans="1:73" ht="16" hidden="1" outlineLevel="2">
      <c r="A59" s="366"/>
      <c r="B59" s="562"/>
      <c r="C59" s="366"/>
      <c r="D59" s="454"/>
      <c r="E59" s="533">
        <f t="shared" si="34"/>
        <v>53</v>
      </c>
      <c r="F59" s="533">
        <f t="shared" si="22"/>
        <v>18</v>
      </c>
      <c r="G59" s="533">
        <f t="shared" si="23"/>
        <v>5</v>
      </c>
      <c r="H59" s="541">
        <f t="shared" si="24"/>
        <v>45443</v>
      </c>
      <c r="I59" s="542">
        <f t="shared" si="0"/>
        <v>2024</v>
      </c>
      <c r="K59" s="533">
        <f>[1]mProject!KB63</f>
        <v>16</v>
      </c>
      <c r="L59" s="533">
        <f t="shared" si="1"/>
        <v>448</v>
      </c>
      <c r="M59" s="533">
        <f t="shared" si="2"/>
        <v>295000</v>
      </c>
      <c r="N59" s="533">
        <f t="shared" si="3"/>
        <v>4720000</v>
      </c>
      <c r="O59" s="533">
        <f t="shared" si="25"/>
        <v>132160000</v>
      </c>
      <c r="P59" s="533">
        <f>[1]mProject!W63</f>
        <v>309596.07271083584</v>
      </c>
      <c r="Q59" s="533">
        <f t="shared" si="4"/>
        <v>4953537.1633733734</v>
      </c>
      <c r="R59" s="533">
        <f t="shared" si="26"/>
        <v>135377408.61042106</v>
      </c>
      <c r="T59" s="533">
        <v>0</v>
      </c>
      <c r="U59" s="533">
        <f t="shared" si="5"/>
        <v>0</v>
      </c>
      <c r="V59" s="533">
        <f>IF(T59=0,0,$V$7*(1+#REF!)^#REF!)</f>
        <v>0</v>
      </c>
      <c r="W59" s="533">
        <f t="shared" si="27"/>
        <v>0</v>
      </c>
      <c r="X59" s="533">
        <f t="shared" si="6"/>
        <v>0</v>
      </c>
      <c r="Y59" s="533">
        <f t="shared" si="7"/>
        <v>0</v>
      </c>
      <c r="AA59" s="533">
        <v>0</v>
      </c>
      <c r="AB59" s="533">
        <f t="shared" si="8"/>
        <v>0</v>
      </c>
      <c r="AC59" s="533">
        <f>IF(AA59=0,0,$V$7*(1+#REF!)^#REF!)</f>
        <v>0</v>
      </c>
      <c r="AD59" s="533">
        <f t="shared" si="28"/>
        <v>0</v>
      </c>
      <c r="AE59" s="533">
        <f t="shared" si="9"/>
        <v>0</v>
      </c>
      <c r="AF59" s="533">
        <f t="shared" si="10"/>
        <v>0</v>
      </c>
      <c r="AH59" s="533">
        <f t="shared" si="11"/>
        <v>16</v>
      </c>
      <c r="AI59" s="533">
        <f t="shared" si="29"/>
        <v>448</v>
      </c>
      <c r="AJ59" s="533">
        <f t="shared" si="12"/>
        <v>295000</v>
      </c>
      <c r="AK59" s="533">
        <f>AJ59*[1]mProject!V63</f>
        <v>309596.07271083567</v>
      </c>
      <c r="AL59" s="533">
        <f t="shared" si="13"/>
        <v>4720000</v>
      </c>
      <c r="AM59" s="533">
        <f t="shared" si="14"/>
        <v>4953537.1633733734</v>
      </c>
      <c r="AN59" s="456"/>
      <c r="AO59" s="575" t="e">
        <f t="shared" si="35"/>
        <v>#REF!</v>
      </c>
      <c r="AP59" s="575" t="e">
        <f t="shared" si="41"/>
        <v>#REF!</v>
      </c>
      <c r="AQ59" s="575" t="e">
        <f t="shared" si="43"/>
        <v>#REF!</v>
      </c>
      <c r="AR59" s="576" t="e">
        <f t="shared" si="37"/>
        <v>#REF!</v>
      </c>
      <c r="AS59" s="533" t="e">
        <f t="shared" si="40"/>
        <v>#REF!</v>
      </c>
      <c r="AT59" s="533"/>
      <c r="AU59" s="533"/>
      <c r="AV59" s="533" t="e">
        <f t="shared" si="15"/>
        <v>#REF!</v>
      </c>
      <c r="AW59" s="533" t="e">
        <f>AI59*#REF!+AI58*#REF!+AI57*#REF!</f>
        <v>#REF!</v>
      </c>
      <c r="AX59" s="456"/>
      <c r="AY59" s="584">
        <f t="shared" si="31"/>
        <v>1.0922718616689802</v>
      </c>
      <c r="AZ59" s="533">
        <f t="shared" si="32"/>
        <v>297212.22980240238</v>
      </c>
      <c r="BA59" s="533">
        <f>BA58*[1]mProject!V63</f>
        <v>0</v>
      </c>
      <c r="BB59" s="533">
        <f t="shared" si="38"/>
        <v>8122644.5166252628</v>
      </c>
      <c r="BC59" s="456"/>
      <c r="BD59" s="586">
        <f>((BB59/100)*(i_CFD.ObliRate/12))*[1]i.Finance!$O$64</f>
        <v>27329.314363228747</v>
      </c>
      <c r="BE59" s="586">
        <f>(AZ59/100*[1]i.Finance!$O$61)*[1]i.Finance!$O$64</f>
        <v>11999.943778271996</v>
      </c>
      <c r="BF59" s="586">
        <f>(AZ59/100*[1]i.Finance!$O$65)</f>
        <v>891.63668940720709</v>
      </c>
      <c r="BG59" s="587">
        <f t="shared" si="18"/>
        <v>28220.951052635952</v>
      </c>
      <c r="BH59" s="456"/>
      <c r="BI59" s="586">
        <f>-PV([1]i.Finance!$O$63/12,[1]i.Finance!$O$62*12,mCFD!BG59)</f>
        <v>4827477.2146030152</v>
      </c>
      <c r="BJ59" s="586">
        <f>BI59*[1]i.Finance!$O$58</f>
        <v>3789569.6134633669</v>
      </c>
      <c r="BK59" s="586"/>
      <c r="BL59" s="586"/>
      <c r="BP59" s="533"/>
      <c r="BQ59" s="533"/>
      <c r="BR59" s="533" t="e">
        <f t="shared" si="19"/>
        <v>#NAME?</v>
      </c>
      <c r="BS59" s="533" t="e">
        <f t="shared" si="20"/>
        <v>#NAME?</v>
      </c>
      <c r="BT59" s="533" t="e">
        <f t="shared" si="21"/>
        <v>#NAME?</v>
      </c>
      <c r="BU59" s="533"/>
    </row>
    <row r="60" spans="1:73" ht="16" hidden="1" outlineLevel="2">
      <c r="A60" s="366"/>
      <c r="B60" s="562"/>
      <c r="C60" s="366"/>
      <c r="D60" s="454"/>
      <c r="E60" s="547">
        <f t="shared" si="34"/>
        <v>54</v>
      </c>
      <c r="F60" s="547">
        <f t="shared" si="22"/>
        <v>18</v>
      </c>
      <c r="G60" s="547">
        <f t="shared" si="23"/>
        <v>5</v>
      </c>
      <c r="H60" s="548">
        <f t="shared" si="24"/>
        <v>45473</v>
      </c>
      <c r="I60" s="549">
        <f t="shared" si="0"/>
        <v>2024</v>
      </c>
      <c r="K60" s="547">
        <f>[1]mProject!KB64</f>
        <v>16</v>
      </c>
      <c r="L60" s="547">
        <f t="shared" si="1"/>
        <v>464</v>
      </c>
      <c r="M60" s="547">
        <f t="shared" si="2"/>
        <v>295000</v>
      </c>
      <c r="N60" s="547">
        <f t="shared" si="3"/>
        <v>4720000</v>
      </c>
      <c r="O60" s="547">
        <f t="shared" si="25"/>
        <v>136880000</v>
      </c>
      <c r="P60" s="547">
        <f>[1]mProject!W64</f>
        <v>310112.06616535393</v>
      </c>
      <c r="Q60" s="547">
        <f t="shared" si="4"/>
        <v>4961793.0586456629</v>
      </c>
      <c r="R60" s="547">
        <f t="shared" si="26"/>
        <v>140339201.66906673</v>
      </c>
      <c r="T60" s="547">
        <v>0</v>
      </c>
      <c r="U60" s="547">
        <f t="shared" si="5"/>
        <v>0</v>
      </c>
      <c r="V60" s="547">
        <f>IF(T60=0,0,$V$7*(1+#REF!)^#REF!)</f>
        <v>0</v>
      </c>
      <c r="W60" s="547">
        <f t="shared" si="27"/>
        <v>0</v>
      </c>
      <c r="X60" s="547">
        <f t="shared" si="6"/>
        <v>0</v>
      </c>
      <c r="Y60" s="547">
        <f t="shared" si="7"/>
        <v>0</v>
      </c>
      <c r="AA60" s="547">
        <v>0</v>
      </c>
      <c r="AB60" s="547">
        <f t="shared" si="8"/>
        <v>0</v>
      </c>
      <c r="AC60" s="547">
        <f>IF(AA60=0,0,$V$7*(1+#REF!)^#REF!)</f>
        <v>0</v>
      </c>
      <c r="AD60" s="547">
        <f t="shared" si="28"/>
        <v>0</v>
      </c>
      <c r="AE60" s="547">
        <f t="shared" si="9"/>
        <v>0</v>
      </c>
      <c r="AF60" s="547">
        <f t="shared" si="10"/>
        <v>0</v>
      </c>
      <c r="AH60" s="547">
        <f t="shared" si="11"/>
        <v>16</v>
      </c>
      <c r="AI60" s="547">
        <f t="shared" si="29"/>
        <v>464</v>
      </c>
      <c r="AJ60" s="547">
        <f t="shared" si="12"/>
        <v>295000</v>
      </c>
      <c r="AK60" s="547">
        <f>AJ60*[1]mProject!V64</f>
        <v>310112.06616535375</v>
      </c>
      <c r="AL60" s="547">
        <f t="shared" si="13"/>
        <v>4720000</v>
      </c>
      <c r="AM60" s="547">
        <f t="shared" si="14"/>
        <v>4961793.0586456629</v>
      </c>
      <c r="AN60" s="456"/>
      <c r="AO60" s="577" t="e">
        <f t="shared" si="35"/>
        <v>#REF!</v>
      </c>
      <c r="AP60" s="577" t="e">
        <f t="shared" si="41"/>
        <v>#REF!</v>
      </c>
      <c r="AQ60" s="577" t="e">
        <f t="shared" si="43"/>
        <v>#REF!</v>
      </c>
      <c r="AR60" s="578" t="e">
        <f t="shared" si="37"/>
        <v>#REF!</v>
      </c>
      <c r="AS60" s="547" t="e">
        <f t="shared" si="40"/>
        <v>#REF!</v>
      </c>
      <c r="AT60" s="547"/>
      <c r="AU60" s="547"/>
      <c r="AV60" s="547" t="e">
        <f t="shared" si="15"/>
        <v>#REF!</v>
      </c>
      <c r="AW60" s="547" t="e">
        <f>AI60*#REF!+AI59*#REF!+AI58*#REF!</f>
        <v>#REF!</v>
      </c>
      <c r="AX60" s="456"/>
      <c r="AY60" s="585">
        <f t="shared" si="31"/>
        <v>1.0940923147717618</v>
      </c>
      <c r="AZ60" s="547">
        <f t="shared" si="32"/>
        <v>297707.58351873973</v>
      </c>
      <c r="BA60" s="547">
        <f>BA59*[1]mProject!V64</f>
        <v>0</v>
      </c>
      <c r="BB60" s="547">
        <f t="shared" si="38"/>
        <v>8420352.1001440026</v>
      </c>
      <c r="BC60" s="456"/>
      <c r="BD60" s="588">
        <f>((BB60/100)*(i_CFD.ObliRate/12))*[1]i.Finance!$O$64</f>
        <v>28330.97633694284</v>
      </c>
      <c r="BE60" s="588">
        <f>(AZ60/100*[1]i.Finance!$O$61)*[1]i.Finance!$O$64</f>
        <v>12019.943684569116</v>
      </c>
      <c r="BF60" s="588">
        <f>(AZ60/100*[1]i.Finance!$O$65)</f>
        <v>893.12275055621922</v>
      </c>
      <c r="BG60" s="589">
        <f t="shared" si="18"/>
        <v>29224.09908749906</v>
      </c>
      <c r="BH60" s="456"/>
      <c r="BI60" s="588">
        <f>-PV([1]i.Finance!$O$63/12,[1]i.Finance!$O$62*12,mCFD!BG60)</f>
        <v>4999075.7646356914</v>
      </c>
      <c r="BJ60" s="588">
        <f>BI60*[1]i.Finance!$O$58</f>
        <v>3924274.475239018</v>
      </c>
      <c r="BK60" s="588"/>
      <c r="BL60" s="588"/>
      <c r="BP60" s="547"/>
      <c r="BQ60" s="547"/>
      <c r="BR60" s="547" t="e">
        <f t="shared" si="19"/>
        <v>#NAME?</v>
      </c>
      <c r="BS60" s="547" t="e">
        <f t="shared" si="20"/>
        <v>#NAME?</v>
      </c>
      <c r="BT60" s="547" t="e">
        <f t="shared" si="21"/>
        <v>#NAME?</v>
      </c>
      <c r="BU60" s="547"/>
    </row>
    <row r="61" spans="1:73" ht="16" hidden="1" outlineLevel="2">
      <c r="A61" s="366"/>
      <c r="B61" s="562"/>
      <c r="C61" s="366"/>
      <c r="D61" s="454"/>
      <c r="E61" s="530">
        <f t="shared" si="34"/>
        <v>55</v>
      </c>
      <c r="F61" s="530">
        <f t="shared" si="22"/>
        <v>19</v>
      </c>
      <c r="G61" s="530">
        <f t="shared" si="23"/>
        <v>5</v>
      </c>
      <c r="H61" s="554">
        <f t="shared" si="24"/>
        <v>45504</v>
      </c>
      <c r="I61" s="555">
        <f t="shared" si="0"/>
        <v>2024</v>
      </c>
      <c r="K61" s="530">
        <f>[1]mProject!KB65</f>
        <v>16</v>
      </c>
      <c r="L61" s="530">
        <f t="shared" si="1"/>
        <v>480</v>
      </c>
      <c r="M61" s="530">
        <f t="shared" si="2"/>
        <v>295000</v>
      </c>
      <c r="N61" s="530">
        <f t="shared" si="3"/>
        <v>4720000</v>
      </c>
      <c r="O61" s="530">
        <f t="shared" si="25"/>
        <v>141600000</v>
      </c>
      <c r="P61" s="530">
        <f>[1]mProject!W65</f>
        <v>310628.91960896284</v>
      </c>
      <c r="Q61" s="530">
        <f t="shared" si="4"/>
        <v>4970062.7137434054</v>
      </c>
      <c r="R61" s="530">
        <f t="shared" si="26"/>
        <v>145309264.38281015</v>
      </c>
      <c r="T61" s="530">
        <v>0</v>
      </c>
      <c r="U61" s="530">
        <f t="shared" si="5"/>
        <v>0</v>
      </c>
      <c r="V61" s="530">
        <f>IF(T61=0,0,$V$7*(1+#REF!)^#REF!)</f>
        <v>0</v>
      </c>
      <c r="W61" s="530">
        <f t="shared" si="27"/>
        <v>0</v>
      </c>
      <c r="X61" s="530">
        <f t="shared" si="6"/>
        <v>0</v>
      </c>
      <c r="Y61" s="530">
        <f t="shared" si="7"/>
        <v>0</v>
      </c>
      <c r="AA61" s="530">
        <v>0</v>
      </c>
      <c r="AB61" s="530">
        <f t="shared" si="8"/>
        <v>0</v>
      </c>
      <c r="AC61" s="530">
        <f>IF(AA61=0,0,$V$7*(1+#REF!)^#REF!)</f>
        <v>0</v>
      </c>
      <c r="AD61" s="530">
        <f t="shared" si="28"/>
        <v>0</v>
      </c>
      <c r="AE61" s="530">
        <f t="shared" si="9"/>
        <v>0</v>
      </c>
      <c r="AF61" s="530">
        <f t="shared" si="10"/>
        <v>0</v>
      </c>
      <c r="AH61" s="530">
        <f t="shared" si="11"/>
        <v>16</v>
      </c>
      <c r="AI61" s="530">
        <f t="shared" si="29"/>
        <v>480</v>
      </c>
      <c r="AJ61" s="530">
        <f t="shared" si="12"/>
        <v>295000</v>
      </c>
      <c r="AK61" s="530">
        <f>AJ61*[1]mProject!V65</f>
        <v>310628.91960896266</v>
      </c>
      <c r="AL61" s="530">
        <f t="shared" si="13"/>
        <v>4720000</v>
      </c>
      <c r="AM61" s="530">
        <f t="shared" si="14"/>
        <v>4970062.7137434054</v>
      </c>
      <c r="AN61" s="456"/>
      <c r="AO61" s="572" t="e">
        <f t="shared" si="35"/>
        <v>#REF!</v>
      </c>
      <c r="AP61" s="572" t="e">
        <f t="shared" si="41"/>
        <v>#REF!</v>
      </c>
      <c r="AQ61" s="572" t="e">
        <f t="shared" si="43"/>
        <v>#REF!</v>
      </c>
      <c r="AR61" s="573" t="e">
        <f t="shared" si="37"/>
        <v>#REF!</v>
      </c>
      <c r="AS61" s="530" t="e">
        <f t="shared" si="40"/>
        <v>#REF!</v>
      </c>
      <c r="AT61" s="530"/>
      <c r="AU61" s="530"/>
      <c r="AV61" s="530" t="e">
        <f t="shared" si="15"/>
        <v>#REF!</v>
      </c>
      <c r="AW61" s="530" t="e">
        <f>AI61*#REF!+AI60*#REF!+AI59*#REF!</f>
        <v>#REF!</v>
      </c>
      <c r="AX61" s="456"/>
      <c r="AY61" s="583">
        <f t="shared" si="31"/>
        <v>1.0959158019630482</v>
      </c>
      <c r="AZ61" s="530">
        <f t="shared" si="32"/>
        <v>298203.76282460435</v>
      </c>
      <c r="BA61" s="530">
        <f>BA60*[1]mProject!V65</f>
        <v>0</v>
      </c>
      <c r="BB61" s="530">
        <f t="shared" si="38"/>
        <v>8718555.8629686069</v>
      </c>
      <c r="BC61" s="456"/>
      <c r="BD61" s="590">
        <f>((BB61/100)*(i_CFD.ObliRate/12))*[1]i.Finance!$O$64</f>
        <v>29334.307747279792</v>
      </c>
      <c r="BE61" s="590">
        <f>(AZ61/100*[1]i.Finance!$O$61)*[1]i.Finance!$O$64</f>
        <v>12039.9769240434</v>
      </c>
      <c r="BF61" s="590">
        <f>(AZ61/100*[1]i.Finance!$O$65)</f>
        <v>894.61128847381303</v>
      </c>
      <c r="BG61" s="591">
        <f t="shared" si="18"/>
        <v>30228.919035753606</v>
      </c>
      <c r="BH61" s="456"/>
      <c r="BI61" s="590">
        <f>-PV([1]i.Finance!$O$63/12,[1]i.Finance!$O$62*12,mCFD!BG61)</f>
        <v>5170960.312251755</v>
      </c>
      <c r="BJ61" s="590">
        <f>BI61*[1]i.Finance!$O$58</f>
        <v>4059203.8451176276</v>
      </c>
      <c r="BK61" s="590"/>
      <c r="BL61" s="590"/>
      <c r="BP61" s="530"/>
      <c r="BQ61" s="530"/>
      <c r="BR61" s="530" t="e">
        <f t="shared" si="19"/>
        <v>#NAME?</v>
      </c>
      <c r="BS61" s="530" t="e">
        <f t="shared" si="20"/>
        <v>#NAME?</v>
      </c>
      <c r="BT61" s="530" t="e">
        <f t="shared" si="21"/>
        <v>#NAME?</v>
      </c>
      <c r="BU61" s="530"/>
    </row>
    <row r="62" spans="1:73" ht="16" hidden="1" outlineLevel="2">
      <c r="A62" s="366"/>
      <c r="B62" s="562"/>
      <c r="C62" s="366"/>
      <c r="D62" s="454"/>
      <c r="E62" s="533">
        <f t="shared" si="34"/>
        <v>56</v>
      </c>
      <c r="F62" s="533">
        <f t="shared" si="22"/>
        <v>19</v>
      </c>
      <c r="G62" s="533">
        <f t="shared" si="23"/>
        <v>5</v>
      </c>
      <c r="H62" s="541">
        <f t="shared" si="24"/>
        <v>45535</v>
      </c>
      <c r="I62" s="542">
        <f t="shared" si="0"/>
        <v>2024</v>
      </c>
      <c r="K62" s="533">
        <f>[1]mProject!KB66</f>
        <v>16</v>
      </c>
      <c r="L62" s="533">
        <f t="shared" si="1"/>
        <v>496</v>
      </c>
      <c r="M62" s="533">
        <f t="shared" si="2"/>
        <v>295000</v>
      </c>
      <c r="N62" s="533">
        <f t="shared" si="3"/>
        <v>4720000</v>
      </c>
      <c r="O62" s="533">
        <f t="shared" si="25"/>
        <v>146320000</v>
      </c>
      <c r="P62" s="533">
        <f>[1]mProject!W66</f>
        <v>311146.63447497779</v>
      </c>
      <c r="Q62" s="533">
        <f t="shared" si="4"/>
        <v>4978346.1515996447</v>
      </c>
      <c r="R62" s="533">
        <f t="shared" si="26"/>
        <v>150287610.53440979</v>
      </c>
      <c r="T62" s="533">
        <v>0</v>
      </c>
      <c r="U62" s="533">
        <f t="shared" si="5"/>
        <v>0</v>
      </c>
      <c r="V62" s="533">
        <f>IF(T62=0,0,$V$7*(1+#REF!)^#REF!)</f>
        <v>0</v>
      </c>
      <c r="W62" s="533">
        <f t="shared" si="27"/>
        <v>0</v>
      </c>
      <c r="X62" s="533">
        <f t="shared" si="6"/>
        <v>0</v>
      </c>
      <c r="Y62" s="533">
        <f t="shared" si="7"/>
        <v>0</v>
      </c>
      <c r="AA62" s="533">
        <v>0</v>
      </c>
      <c r="AB62" s="533">
        <f t="shared" si="8"/>
        <v>0</v>
      </c>
      <c r="AC62" s="533">
        <f>IF(AA62=0,0,$V$7*(1+#REF!)^#REF!)</f>
        <v>0</v>
      </c>
      <c r="AD62" s="533">
        <f t="shared" si="28"/>
        <v>0</v>
      </c>
      <c r="AE62" s="533">
        <f t="shared" si="9"/>
        <v>0</v>
      </c>
      <c r="AF62" s="533">
        <f t="shared" si="10"/>
        <v>0</v>
      </c>
      <c r="AH62" s="533">
        <f t="shared" si="11"/>
        <v>16</v>
      </c>
      <c r="AI62" s="533">
        <f t="shared" si="29"/>
        <v>496</v>
      </c>
      <c r="AJ62" s="533">
        <f t="shared" si="12"/>
        <v>295000</v>
      </c>
      <c r="AK62" s="533">
        <f>AJ62*[1]mProject!V66</f>
        <v>311146.63447497756</v>
      </c>
      <c r="AL62" s="533">
        <f t="shared" si="13"/>
        <v>4720000</v>
      </c>
      <c r="AM62" s="533">
        <f t="shared" si="14"/>
        <v>4978346.1515996447</v>
      </c>
      <c r="AN62" s="456"/>
      <c r="AO62" s="575" t="e">
        <f t="shared" si="35"/>
        <v>#REF!</v>
      </c>
      <c r="AP62" s="575" t="e">
        <f t="shared" si="41"/>
        <v>#REF!</v>
      </c>
      <c r="AQ62" s="575" t="e">
        <f t="shared" si="43"/>
        <v>#REF!</v>
      </c>
      <c r="AR62" s="576" t="e">
        <f t="shared" si="37"/>
        <v>#REF!</v>
      </c>
      <c r="AS62" s="533" t="e">
        <f t="shared" si="40"/>
        <v>#REF!</v>
      </c>
      <c r="AT62" s="533"/>
      <c r="AU62" s="533"/>
      <c r="AV62" s="533" t="e">
        <f t="shared" si="15"/>
        <v>#REF!</v>
      </c>
      <c r="AW62" s="533" t="e">
        <f>AI62*#REF!+AI61*#REF!+AI60*#REF!</f>
        <v>#REF!</v>
      </c>
      <c r="AX62" s="456"/>
      <c r="AY62" s="584">
        <f t="shared" si="31"/>
        <v>1.0977423282996532</v>
      </c>
      <c r="AZ62" s="533">
        <f t="shared" si="32"/>
        <v>298700.76909597864</v>
      </c>
      <c r="BA62" s="533">
        <f>BA61*[1]mProject!V66</f>
        <v>0</v>
      </c>
      <c r="BB62" s="533">
        <f t="shared" si="38"/>
        <v>9017256.6320645846</v>
      </c>
      <c r="BC62" s="456"/>
      <c r="BD62" s="586">
        <f>((BB62/100)*(i_CFD.ObliRate/12))*[1]i.Finance!$O$64</f>
        <v>30339.311376633967</v>
      </c>
      <c r="BE62" s="586">
        <f>(AZ62/100*[1]i.Finance!$O$61)*[1]i.Finance!$O$64</f>
        <v>12060.043552250138</v>
      </c>
      <c r="BF62" s="586">
        <f>(AZ62/100*[1]i.Finance!$O$65)</f>
        <v>896.1023072879359</v>
      </c>
      <c r="BG62" s="587">
        <f t="shared" si="18"/>
        <v>31235.413683921903</v>
      </c>
      <c r="BH62" s="456"/>
      <c r="BI62" s="586">
        <f>-PV([1]i.Finance!$O$63/12,[1]i.Finance!$O$62*12,mCFD!BG62)</f>
        <v>5343131.3341138437</v>
      </c>
      <c r="BJ62" s="586">
        <f>BI62*[1]i.Finance!$O$58</f>
        <v>4194358.097279367</v>
      </c>
      <c r="BK62" s="586"/>
      <c r="BL62" s="586"/>
      <c r="BP62" s="533"/>
      <c r="BQ62" s="533"/>
      <c r="BR62" s="533" t="e">
        <f t="shared" si="19"/>
        <v>#NAME?</v>
      </c>
      <c r="BS62" s="533" t="e">
        <f t="shared" si="20"/>
        <v>#NAME?</v>
      </c>
      <c r="BT62" s="533" t="e">
        <f t="shared" si="21"/>
        <v>#NAME?</v>
      </c>
      <c r="BU62" s="533"/>
    </row>
    <row r="63" spans="1:73" ht="16" hidden="1" outlineLevel="2">
      <c r="A63" s="366"/>
      <c r="B63" s="562"/>
      <c r="C63" s="366"/>
      <c r="D63" s="454"/>
      <c r="E63" s="547">
        <f t="shared" si="34"/>
        <v>57</v>
      </c>
      <c r="F63" s="547">
        <f t="shared" si="22"/>
        <v>19</v>
      </c>
      <c r="G63" s="547">
        <f t="shared" si="23"/>
        <v>5</v>
      </c>
      <c r="H63" s="548">
        <f t="shared" si="24"/>
        <v>45565</v>
      </c>
      <c r="I63" s="549">
        <f t="shared" si="0"/>
        <v>2024</v>
      </c>
      <c r="K63" s="547">
        <f>[1]mProject!KB67</f>
        <v>16</v>
      </c>
      <c r="L63" s="547">
        <f t="shared" si="1"/>
        <v>512</v>
      </c>
      <c r="M63" s="547">
        <f t="shared" si="2"/>
        <v>295000</v>
      </c>
      <c r="N63" s="547">
        <f t="shared" si="3"/>
        <v>4720000</v>
      </c>
      <c r="O63" s="547">
        <f t="shared" si="25"/>
        <v>151040000</v>
      </c>
      <c r="P63" s="547">
        <f>[1]mProject!W67</f>
        <v>311665.2121991028</v>
      </c>
      <c r="Q63" s="547">
        <f t="shared" si="4"/>
        <v>4986643.3951856447</v>
      </c>
      <c r="R63" s="547">
        <f t="shared" si="26"/>
        <v>155274253.92959544</v>
      </c>
      <c r="T63" s="547">
        <v>0</v>
      </c>
      <c r="U63" s="547">
        <f t="shared" si="5"/>
        <v>0</v>
      </c>
      <c r="V63" s="547">
        <f>IF(T63=0,0,$V$7*(1+#REF!)^#REF!)</f>
        <v>0</v>
      </c>
      <c r="W63" s="547">
        <f t="shared" si="27"/>
        <v>0</v>
      </c>
      <c r="X63" s="547">
        <f t="shared" si="6"/>
        <v>0</v>
      </c>
      <c r="Y63" s="547">
        <f t="shared" si="7"/>
        <v>0</v>
      </c>
      <c r="AA63" s="547">
        <v>0</v>
      </c>
      <c r="AB63" s="547">
        <f t="shared" si="8"/>
        <v>0</v>
      </c>
      <c r="AC63" s="547">
        <f>IF(AA63=0,0,$V$7*(1+#REF!)^#REF!)</f>
        <v>0</v>
      </c>
      <c r="AD63" s="547">
        <f t="shared" si="28"/>
        <v>0</v>
      </c>
      <c r="AE63" s="547">
        <f t="shared" si="9"/>
        <v>0</v>
      </c>
      <c r="AF63" s="547">
        <f t="shared" si="10"/>
        <v>0</v>
      </c>
      <c r="AH63" s="547">
        <f t="shared" si="11"/>
        <v>16</v>
      </c>
      <c r="AI63" s="547">
        <f t="shared" si="29"/>
        <v>512</v>
      </c>
      <c r="AJ63" s="547">
        <f t="shared" si="12"/>
        <v>295000</v>
      </c>
      <c r="AK63" s="547">
        <f>AJ63*[1]mProject!V67</f>
        <v>311665.21219910256</v>
      </c>
      <c r="AL63" s="547">
        <f t="shared" si="13"/>
        <v>4720000</v>
      </c>
      <c r="AM63" s="547">
        <f t="shared" si="14"/>
        <v>4986643.3951856447</v>
      </c>
      <c r="AN63" s="456"/>
      <c r="AO63" s="577" t="e">
        <f t="shared" si="35"/>
        <v>#REF!</v>
      </c>
      <c r="AP63" s="577" t="e">
        <f t="shared" si="41"/>
        <v>#REF!</v>
      </c>
      <c r="AQ63" s="577" t="e">
        <f t="shared" si="43"/>
        <v>#REF!</v>
      </c>
      <c r="AR63" s="578" t="e">
        <f t="shared" si="37"/>
        <v>#REF!</v>
      </c>
      <c r="AS63" s="547" t="e">
        <f t="shared" si="40"/>
        <v>#REF!</v>
      </c>
      <c r="AT63" s="547"/>
      <c r="AU63" s="547"/>
      <c r="AV63" s="547" t="e">
        <f t="shared" si="15"/>
        <v>#REF!</v>
      </c>
      <c r="AW63" s="547" t="e">
        <f>AI63*#REF!+AI62*#REF!+AI61*#REF!</f>
        <v>#REF!</v>
      </c>
      <c r="AX63" s="456"/>
      <c r="AY63" s="585">
        <f t="shared" si="31"/>
        <v>1.0995718988468193</v>
      </c>
      <c r="AZ63" s="547">
        <f t="shared" si="32"/>
        <v>299198.60371113865</v>
      </c>
      <c r="BA63" s="547">
        <f>BA62*[1]mProject!V67</f>
        <v>0</v>
      </c>
      <c r="BB63" s="547">
        <f t="shared" si="38"/>
        <v>9316455.2357757241</v>
      </c>
      <c r="BC63" s="456"/>
      <c r="BD63" s="588">
        <f>((BB63/100)*(i_CFD.ObliRate/12))*[1]i.Finance!$O$64</f>
        <v>31345.990012037073</v>
      </c>
      <c r="BE63" s="588">
        <f>(AZ63/100*[1]i.Finance!$O$61)*[1]i.Finance!$O$64</f>
        <v>12080.143624837223</v>
      </c>
      <c r="BF63" s="588">
        <f>(AZ63/100*[1]i.Finance!$O$65)</f>
        <v>897.59581113341585</v>
      </c>
      <c r="BG63" s="589">
        <f t="shared" si="18"/>
        <v>32243.585823170488</v>
      </c>
      <c r="BH63" s="456"/>
      <c r="BI63" s="588">
        <f>-PV([1]i.Finance!$O$63/12,[1]i.Finance!$O$62*12,mCFD!BG63)</f>
        <v>5515589.3076790385</v>
      </c>
      <c r="BJ63" s="588">
        <f>BI63*[1]i.Finance!$O$58</f>
        <v>4329737.6065280456</v>
      </c>
      <c r="BK63" s="588"/>
      <c r="BL63" s="588"/>
      <c r="BP63" s="547"/>
      <c r="BQ63" s="547"/>
      <c r="BR63" s="547" t="e">
        <f t="shared" si="19"/>
        <v>#NAME?</v>
      </c>
      <c r="BS63" s="547" t="e">
        <f t="shared" si="20"/>
        <v>#NAME?</v>
      </c>
      <c r="BT63" s="547" t="e">
        <f t="shared" si="21"/>
        <v>#NAME?</v>
      </c>
      <c r="BU63" s="547"/>
    </row>
    <row r="64" spans="1:73" ht="16" hidden="1" outlineLevel="2">
      <c r="A64" s="366"/>
      <c r="B64" s="562"/>
      <c r="C64" s="366"/>
      <c r="D64" s="454"/>
      <c r="E64" s="530">
        <f t="shared" si="34"/>
        <v>58</v>
      </c>
      <c r="F64" s="530">
        <f t="shared" si="22"/>
        <v>20</v>
      </c>
      <c r="G64" s="530">
        <f t="shared" si="23"/>
        <v>5</v>
      </c>
      <c r="H64" s="554">
        <f t="shared" si="24"/>
        <v>45596</v>
      </c>
      <c r="I64" s="555">
        <f t="shared" si="0"/>
        <v>2024</v>
      </c>
      <c r="K64" s="530">
        <f>[1]mProject!KB68</f>
        <v>16</v>
      </c>
      <c r="L64" s="530">
        <f t="shared" si="1"/>
        <v>528</v>
      </c>
      <c r="M64" s="530">
        <f t="shared" si="2"/>
        <v>295000</v>
      </c>
      <c r="N64" s="530">
        <f t="shared" si="3"/>
        <v>4720000</v>
      </c>
      <c r="O64" s="530">
        <f t="shared" si="25"/>
        <v>155760000</v>
      </c>
      <c r="P64" s="530">
        <f>[1]mProject!W68</f>
        <v>312184.65421943465</v>
      </c>
      <c r="Q64" s="530">
        <f t="shared" si="4"/>
        <v>4994954.4675109545</v>
      </c>
      <c r="R64" s="530">
        <f t="shared" si="26"/>
        <v>160269208.39710641</v>
      </c>
      <c r="T64" s="530">
        <v>0</v>
      </c>
      <c r="U64" s="530">
        <f t="shared" si="5"/>
        <v>0</v>
      </c>
      <c r="V64" s="530">
        <f>IF(T64=0,0,$V$7*(1+#REF!)^#REF!)</f>
        <v>0</v>
      </c>
      <c r="W64" s="530">
        <f t="shared" si="27"/>
        <v>0</v>
      </c>
      <c r="X64" s="530">
        <f t="shared" si="6"/>
        <v>0</v>
      </c>
      <c r="Y64" s="530">
        <f t="shared" si="7"/>
        <v>0</v>
      </c>
      <c r="AA64" s="530">
        <v>0</v>
      </c>
      <c r="AB64" s="530">
        <f t="shared" si="8"/>
        <v>0</v>
      </c>
      <c r="AC64" s="530">
        <f>IF(AA64=0,0,$V$7*(1+#REF!)^#REF!)</f>
        <v>0</v>
      </c>
      <c r="AD64" s="530">
        <f t="shared" si="28"/>
        <v>0</v>
      </c>
      <c r="AE64" s="530">
        <f t="shared" si="9"/>
        <v>0</v>
      </c>
      <c r="AF64" s="530">
        <f t="shared" si="10"/>
        <v>0</v>
      </c>
      <c r="AH64" s="530">
        <f t="shared" si="11"/>
        <v>16</v>
      </c>
      <c r="AI64" s="530">
        <f t="shared" si="29"/>
        <v>528</v>
      </c>
      <c r="AJ64" s="530">
        <f t="shared" si="12"/>
        <v>295000</v>
      </c>
      <c r="AK64" s="530">
        <f>AJ64*[1]mProject!V68</f>
        <v>312184.65421943436</v>
      </c>
      <c r="AL64" s="530">
        <f t="shared" si="13"/>
        <v>4720000</v>
      </c>
      <c r="AM64" s="530">
        <f t="shared" si="14"/>
        <v>4994954.4675109545</v>
      </c>
      <c r="AN64" s="456"/>
      <c r="AO64" s="572" t="e">
        <f t="shared" si="35"/>
        <v>#REF!</v>
      </c>
      <c r="AP64" s="572" t="e">
        <f t="shared" si="41"/>
        <v>#REF!</v>
      </c>
      <c r="AQ64" s="572" t="e">
        <f t="shared" si="43"/>
        <v>#REF!</v>
      </c>
      <c r="AR64" s="573" t="e">
        <f t="shared" si="37"/>
        <v>#REF!</v>
      </c>
      <c r="AS64" s="530" t="e">
        <f t="shared" si="40"/>
        <v>#REF!</v>
      </c>
      <c r="AT64" s="530"/>
      <c r="AU64" s="530"/>
      <c r="AV64" s="530" t="e">
        <f t="shared" si="15"/>
        <v>#REF!</v>
      </c>
      <c r="AW64" s="530" t="e">
        <f>AI64*#REF!+AI63*#REF!+AI62*#REF!</f>
        <v>#REF!</v>
      </c>
      <c r="AX64" s="456"/>
      <c r="AY64" s="583">
        <f t="shared" si="31"/>
        <v>1.1014045186782306</v>
      </c>
      <c r="AZ64" s="530">
        <f t="shared" si="32"/>
        <v>299697.26805065729</v>
      </c>
      <c r="BA64" s="530">
        <f>BA63*[1]mProject!V68</f>
        <v>0</v>
      </c>
      <c r="BB64" s="530">
        <f t="shared" si="38"/>
        <v>9616152.5038263816</v>
      </c>
      <c r="BC64" s="456"/>
      <c r="BD64" s="590">
        <f>((BB64/100)*(i_CFD.ObliRate/12))*[1]i.Finance!$O$64</f>
        <v>32354.346445165847</v>
      </c>
      <c r="BE64" s="590">
        <f>(AZ64/100*[1]i.Finance!$O$61)*[1]i.Finance!$O$64</f>
        <v>12100.277197545287</v>
      </c>
      <c r="BF64" s="590">
        <f>(AZ64/100*[1]i.Finance!$O$65)</f>
        <v>899.09180415197181</v>
      </c>
      <c r="BG64" s="591">
        <f t="shared" si="18"/>
        <v>33253.43824931782</v>
      </c>
      <c r="BH64" s="456"/>
      <c r="BI64" s="590">
        <f>-PV([1]i.Finance!$O$63/12,[1]i.Finance!$O$62*12,mCFD!BG64)</f>
        <v>5688334.7112001739</v>
      </c>
      <c r="BJ64" s="590">
        <f>BI64*[1]i.Finance!$O$58</f>
        <v>4465342.7482921369</v>
      </c>
      <c r="BK64" s="590"/>
      <c r="BL64" s="590"/>
      <c r="BP64" s="530"/>
      <c r="BQ64" s="530"/>
      <c r="BR64" s="530" t="e">
        <f t="shared" si="19"/>
        <v>#NAME?</v>
      </c>
      <c r="BS64" s="530" t="e">
        <f t="shared" si="20"/>
        <v>#NAME?</v>
      </c>
      <c r="BT64" s="530" t="e">
        <f t="shared" si="21"/>
        <v>#NAME?</v>
      </c>
      <c r="BU64" s="530"/>
    </row>
    <row r="65" spans="1:73" ht="16" hidden="1" outlineLevel="2">
      <c r="A65" s="366"/>
      <c r="B65" s="562"/>
      <c r="C65" s="366"/>
      <c r="D65" s="454"/>
      <c r="E65" s="533">
        <f t="shared" si="34"/>
        <v>59</v>
      </c>
      <c r="F65" s="533">
        <f t="shared" si="22"/>
        <v>20</v>
      </c>
      <c r="G65" s="533">
        <f t="shared" si="23"/>
        <v>5</v>
      </c>
      <c r="H65" s="541">
        <f t="shared" si="24"/>
        <v>45626</v>
      </c>
      <c r="I65" s="542">
        <f t="shared" si="0"/>
        <v>2024</v>
      </c>
      <c r="K65" s="533">
        <f>[1]mProject!KB69</f>
        <v>16</v>
      </c>
      <c r="L65" s="533">
        <f t="shared" si="1"/>
        <v>544</v>
      </c>
      <c r="M65" s="533">
        <f t="shared" si="2"/>
        <v>295000</v>
      </c>
      <c r="N65" s="533">
        <f t="shared" si="3"/>
        <v>4720000</v>
      </c>
      <c r="O65" s="533">
        <f t="shared" si="25"/>
        <v>160480000</v>
      </c>
      <c r="P65" s="533">
        <f>[1]mProject!W69</f>
        <v>312704.96197646705</v>
      </c>
      <c r="Q65" s="533">
        <f t="shared" si="4"/>
        <v>5003279.3916234728</v>
      </c>
      <c r="R65" s="533">
        <f t="shared" si="26"/>
        <v>165272487.78872988</v>
      </c>
      <c r="T65" s="533">
        <v>0</v>
      </c>
      <c r="U65" s="533">
        <f t="shared" si="5"/>
        <v>0</v>
      </c>
      <c r="V65" s="533">
        <f>IF(T65=0,0,$V$7*(1+#REF!)^#REF!)</f>
        <v>0</v>
      </c>
      <c r="W65" s="533">
        <f t="shared" si="27"/>
        <v>0</v>
      </c>
      <c r="X65" s="533">
        <f t="shared" si="6"/>
        <v>0</v>
      </c>
      <c r="Y65" s="533">
        <f t="shared" si="7"/>
        <v>0</v>
      </c>
      <c r="AA65" s="533">
        <v>0</v>
      </c>
      <c r="AB65" s="533">
        <f t="shared" si="8"/>
        <v>0</v>
      </c>
      <c r="AC65" s="533">
        <f>IF(AA65=0,0,$V$7*(1+#REF!)^#REF!)</f>
        <v>0</v>
      </c>
      <c r="AD65" s="533">
        <f t="shared" si="28"/>
        <v>0</v>
      </c>
      <c r="AE65" s="533">
        <f t="shared" si="9"/>
        <v>0</v>
      </c>
      <c r="AF65" s="533">
        <f t="shared" si="10"/>
        <v>0</v>
      </c>
      <c r="AH65" s="533">
        <f t="shared" si="11"/>
        <v>16</v>
      </c>
      <c r="AI65" s="533">
        <f t="shared" si="29"/>
        <v>544</v>
      </c>
      <c r="AJ65" s="533">
        <f t="shared" si="12"/>
        <v>295000</v>
      </c>
      <c r="AK65" s="533">
        <f>AJ65*[1]mProject!V69</f>
        <v>312704.96197646682</v>
      </c>
      <c r="AL65" s="533">
        <f t="shared" si="13"/>
        <v>4720000</v>
      </c>
      <c r="AM65" s="533">
        <f t="shared" si="14"/>
        <v>5003279.3916234728</v>
      </c>
      <c r="AN65" s="456"/>
      <c r="AO65" s="575" t="e">
        <f t="shared" si="35"/>
        <v>#REF!</v>
      </c>
      <c r="AP65" s="575" t="e">
        <f t="shared" si="41"/>
        <v>#REF!</v>
      </c>
      <c r="AQ65" s="575" t="e">
        <f t="shared" si="43"/>
        <v>#REF!</v>
      </c>
      <c r="AR65" s="576" t="e">
        <f t="shared" si="37"/>
        <v>#REF!</v>
      </c>
      <c r="AS65" s="533" t="e">
        <f t="shared" si="40"/>
        <v>#REF!</v>
      </c>
      <c r="AT65" s="533"/>
      <c r="AU65" s="533"/>
      <c r="AV65" s="533" t="e">
        <f t="shared" si="15"/>
        <v>#REF!</v>
      </c>
      <c r="AW65" s="533" t="e">
        <f>AI65*#REF!+AI64*#REF!+AI63*#REF!</f>
        <v>#REF!</v>
      </c>
      <c r="AX65" s="456"/>
      <c r="AY65" s="584">
        <f t="shared" si="31"/>
        <v>1.1032401928760278</v>
      </c>
      <c r="AZ65" s="533">
        <f t="shared" si="32"/>
        <v>300196.76349740836</v>
      </c>
      <c r="BA65" s="533">
        <f>BA64*[1]mProject!V69</f>
        <v>0</v>
      </c>
      <c r="BB65" s="533">
        <f t="shared" si="38"/>
        <v>9916349.2673237901</v>
      </c>
      <c r="BC65" s="456"/>
      <c r="BD65" s="586">
        <f>((BB65/100)*(i_CFD.ObliRate/12))*[1]i.Finance!$O$64</f>
        <v>33364.383472349829</v>
      </c>
      <c r="BE65" s="586">
        <f>(AZ65/100*[1]i.Finance!$O$61)*[1]i.Finance!$O$64</f>
        <v>12120.444326207862</v>
      </c>
      <c r="BF65" s="586">
        <f>(AZ65/100*[1]i.Finance!$O$65)</f>
        <v>900.59029049222499</v>
      </c>
      <c r="BG65" s="587">
        <f t="shared" si="18"/>
        <v>34264.973762842055</v>
      </c>
      <c r="BH65" s="456"/>
      <c r="BI65" s="586">
        <f>-PV([1]i.Finance!$O$63/12,[1]i.Finance!$O$62*12,mCFD!BG65)</f>
        <v>5861368.0237271776</v>
      </c>
      <c r="BJ65" s="586">
        <f>BI65*[1]i.Finance!$O$58</f>
        <v>4601173.8986258348</v>
      </c>
      <c r="BK65" s="586"/>
      <c r="BL65" s="586"/>
      <c r="BP65" s="533"/>
      <c r="BQ65" s="533"/>
      <c r="BR65" s="533" t="e">
        <f t="shared" si="19"/>
        <v>#NAME?</v>
      </c>
      <c r="BS65" s="533" t="e">
        <f t="shared" si="20"/>
        <v>#NAME?</v>
      </c>
      <c r="BT65" s="533" t="e">
        <f t="shared" si="21"/>
        <v>#NAME?</v>
      </c>
      <c r="BU65" s="533"/>
    </row>
    <row r="66" spans="1:73" ht="17" hidden="1" outlineLevel="2" thickBot="1">
      <c r="A66" s="366"/>
      <c r="B66" s="562"/>
      <c r="C66" s="366"/>
      <c r="D66" s="454"/>
      <c r="E66" s="564">
        <f t="shared" si="34"/>
        <v>60</v>
      </c>
      <c r="F66" s="564">
        <f t="shared" si="22"/>
        <v>20</v>
      </c>
      <c r="G66" s="564">
        <f t="shared" si="23"/>
        <v>6</v>
      </c>
      <c r="H66" s="565">
        <f t="shared" si="24"/>
        <v>45657</v>
      </c>
      <c r="I66" s="566">
        <f t="shared" si="0"/>
        <v>2024</v>
      </c>
      <c r="K66" s="564">
        <f>[1]mProject!KB70</f>
        <v>25</v>
      </c>
      <c r="L66" s="564">
        <f t="shared" si="1"/>
        <v>569</v>
      </c>
      <c r="M66" s="564">
        <f t="shared" si="2"/>
        <v>295000</v>
      </c>
      <c r="N66" s="564">
        <f t="shared" si="3"/>
        <v>7375000</v>
      </c>
      <c r="O66" s="564">
        <f t="shared" si="25"/>
        <v>167855000</v>
      </c>
      <c r="P66" s="564">
        <f>[1]mProject!W70</f>
        <v>313226.13691309449</v>
      </c>
      <c r="Q66" s="564">
        <f t="shared" si="4"/>
        <v>7830653.4228273621</v>
      </c>
      <c r="R66" s="564">
        <f t="shared" si="26"/>
        <v>173103141.21155724</v>
      </c>
      <c r="T66" s="564">
        <v>0</v>
      </c>
      <c r="U66" s="564">
        <f t="shared" si="5"/>
        <v>0</v>
      </c>
      <c r="V66" s="564">
        <f>IF(T66=0,0,$V$7*(1+#REF!)^#REF!)</f>
        <v>0</v>
      </c>
      <c r="W66" s="564">
        <f t="shared" si="27"/>
        <v>0</v>
      </c>
      <c r="X66" s="564">
        <f t="shared" si="6"/>
        <v>0</v>
      </c>
      <c r="Y66" s="564">
        <f t="shared" si="7"/>
        <v>0</v>
      </c>
      <c r="AA66" s="564">
        <v>0</v>
      </c>
      <c r="AB66" s="564">
        <f t="shared" si="8"/>
        <v>0</v>
      </c>
      <c r="AC66" s="564">
        <f>IF(AA66=0,0,$V$7*(1+#REF!)^#REF!)</f>
        <v>0</v>
      </c>
      <c r="AD66" s="564">
        <f t="shared" si="28"/>
        <v>0</v>
      </c>
      <c r="AE66" s="564">
        <f t="shared" si="9"/>
        <v>0</v>
      </c>
      <c r="AF66" s="564">
        <f t="shared" si="10"/>
        <v>0</v>
      </c>
      <c r="AH66" s="564">
        <f t="shared" si="11"/>
        <v>25</v>
      </c>
      <c r="AI66" s="564">
        <f t="shared" si="29"/>
        <v>569</v>
      </c>
      <c r="AJ66" s="564">
        <f t="shared" si="12"/>
        <v>295000</v>
      </c>
      <c r="AK66" s="564">
        <f>AJ66*[1]mProject!V70</f>
        <v>313226.13691309426</v>
      </c>
      <c r="AL66" s="564">
        <f t="shared" si="13"/>
        <v>7375000</v>
      </c>
      <c r="AM66" s="564">
        <f t="shared" si="14"/>
        <v>7830653.4228273621</v>
      </c>
      <c r="AN66" s="456"/>
      <c r="AO66" s="581" t="e">
        <f t="shared" si="35"/>
        <v>#REF!</v>
      </c>
      <c r="AP66" s="581" t="e">
        <f t="shared" si="41"/>
        <v>#REF!</v>
      </c>
      <c r="AQ66" s="581" t="e">
        <f t="shared" si="43"/>
        <v>#REF!</v>
      </c>
      <c r="AR66" s="582" t="e">
        <f t="shared" si="37"/>
        <v>#REF!</v>
      </c>
      <c r="AS66" s="564" t="e">
        <f t="shared" si="40"/>
        <v>#REF!</v>
      </c>
      <c r="AT66" s="564"/>
      <c r="AU66" s="564"/>
      <c r="AV66" s="564" t="e">
        <f t="shared" si="15"/>
        <v>#REF!</v>
      </c>
      <c r="AW66" s="564" t="e">
        <f>AI66*#REF!+AI65*#REF!+AI64*#REF!</f>
        <v>#REF!</v>
      </c>
      <c r="AX66" s="456"/>
      <c r="AY66" s="592">
        <f t="shared" si="31"/>
        <v>1.1050789265308212</v>
      </c>
      <c r="AZ66" s="564">
        <f t="shared" si="32"/>
        <v>469839.20536964177</v>
      </c>
      <c r="BA66" s="564">
        <f>BA65*[1]mProject!V70</f>
        <v>0</v>
      </c>
      <c r="BB66" s="564">
        <f t="shared" si="38"/>
        <v>10386188.472693432</v>
      </c>
      <c r="BC66" s="456"/>
      <c r="BD66" s="593">
        <f>((BB66/100)*(i_CFD.ObliRate/12))*[1]i.Finance!$O$64</f>
        <v>34945.196632083112</v>
      </c>
      <c r="BE66" s="593">
        <f>(AZ66/100*[1]i.Finance!$O$61)*[1]i.Finance!$O$64</f>
        <v>18969.757916799284</v>
      </c>
      <c r="BF66" s="593">
        <f>(AZ66/100*[1]i.Finance!$O$65)</f>
        <v>1409.5176161089253</v>
      </c>
      <c r="BG66" s="594">
        <f t="shared" si="18"/>
        <v>36354.714248192038</v>
      </c>
      <c r="BH66" s="456"/>
      <c r="BI66" s="593">
        <f>-PV([1]i.Finance!$O$63/12,[1]i.Finance!$O$62*12,mCFD!BG66)</f>
        <v>6218839.1294544311</v>
      </c>
      <c r="BJ66" s="593">
        <f>BI66*[1]i.Finance!$O$58</f>
        <v>4881788.7166217286</v>
      </c>
      <c r="BK66" s="593"/>
      <c r="BL66" s="593"/>
      <c r="BP66" s="564"/>
      <c r="BQ66" s="564"/>
      <c r="BR66" s="564" t="e">
        <f t="shared" si="19"/>
        <v>#NAME?</v>
      </c>
      <c r="BS66" s="564" t="e">
        <f t="shared" si="20"/>
        <v>#NAME?</v>
      </c>
      <c r="BT66" s="564" t="e">
        <f t="shared" si="21"/>
        <v>#NAME?</v>
      </c>
      <c r="BU66" s="564"/>
    </row>
    <row r="67" spans="1:73" ht="16" hidden="1" outlineLevel="2">
      <c r="A67" s="366"/>
      <c r="B67" s="562"/>
      <c r="C67" s="366"/>
      <c r="D67" s="454"/>
      <c r="E67" s="530">
        <f t="shared" si="34"/>
        <v>61</v>
      </c>
      <c r="F67" s="530">
        <f t="shared" si="22"/>
        <v>21</v>
      </c>
      <c r="G67" s="530">
        <f t="shared" si="23"/>
        <v>6</v>
      </c>
      <c r="H67" s="571">
        <f t="shared" si="24"/>
        <v>45688</v>
      </c>
      <c r="I67" s="532">
        <f t="shared" si="0"/>
        <v>2025</v>
      </c>
      <c r="K67" s="530">
        <f>[1]mProject!KB71</f>
        <v>8</v>
      </c>
      <c r="L67" s="530">
        <f t="shared" si="1"/>
        <v>577</v>
      </c>
      <c r="M67" s="530">
        <f t="shared" si="2"/>
        <v>295000</v>
      </c>
      <c r="N67" s="530">
        <f t="shared" si="3"/>
        <v>2360000</v>
      </c>
      <c r="O67" s="530">
        <f t="shared" si="25"/>
        <v>170215000</v>
      </c>
      <c r="P67" s="530">
        <f>[1]mProject!W71</f>
        <v>313748.18047461635</v>
      </c>
      <c r="Q67" s="530">
        <f t="shared" si="4"/>
        <v>2509985.4437969308</v>
      </c>
      <c r="R67" s="530">
        <f t="shared" si="26"/>
        <v>175613126.65535417</v>
      </c>
      <c r="T67" s="530">
        <v>0</v>
      </c>
      <c r="U67" s="530">
        <f t="shared" si="5"/>
        <v>0</v>
      </c>
      <c r="V67" s="530">
        <f>IF(T67=0,0,$V$7*(1+#REF!)^#REF!)</f>
        <v>0</v>
      </c>
      <c r="W67" s="530">
        <f t="shared" si="27"/>
        <v>0</v>
      </c>
      <c r="X67" s="530">
        <f t="shared" si="6"/>
        <v>0</v>
      </c>
      <c r="Y67" s="530">
        <f t="shared" si="7"/>
        <v>0</v>
      </c>
      <c r="AA67" s="530">
        <v>0</v>
      </c>
      <c r="AB67" s="530">
        <f t="shared" si="8"/>
        <v>0</v>
      </c>
      <c r="AC67" s="530">
        <f>IF(AA67=0,0,$V$7*(1+#REF!)^#REF!)</f>
        <v>0</v>
      </c>
      <c r="AD67" s="530">
        <f t="shared" si="28"/>
        <v>0</v>
      </c>
      <c r="AE67" s="530">
        <f t="shared" si="9"/>
        <v>0</v>
      </c>
      <c r="AF67" s="530">
        <f t="shared" si="10"/>
        <v>0</v>
      </c>
      <c r="AH67" s="530">
        <f t="shared" si="11"/>
        <v>8</v>
      </c>
      <c r="AI67" s="530">
        <f t="shared" si="29"/>
        <v>577</v>
      </c>
      <c r="AJ67" s="530">
        <f t="shared" si="12"/>
        <v>295000</v>
      </c>
      <c r="AK67" s="530">
        <f>AJ67*[1]mProject!V71</f>
        <v>313748.18047461606</v>
      </c>
      <c r="AL67" s="530">
        <f t="shared" si="13"/>
        <v>2360000</v>
      </c>
      <c r="AM67" s="530">
        <f t="shared" si="14"/>
        <v>2509985.4437969308</v>
      </c>
      <c r="AN67" s="456"/>
      <c r="AO67" s="572" t="e">
        <f t="shared" si="35"/>
        <v>#REF!</v>
      </c>
      <c r="AP67" s="572" t="e">
        <f t="shared" si="41"/>
        <v>#REF!</v>
      </c>
      <c r="AQ67" s="572" t="e">
        <f t="shared" si="43"/>
        <v>#REF!</v>
      </c>
      <c r="AR67" s="573" t="e">
        <f t="shared" si="37"/>
        <v>#REF!</v>
      </c>
      <c r="AS67" s="530" t="e">
        <f t="shared" si="40"/>
        <v>#REF!</v>
      </c>
      <c r="AT67" s="530"/>
      <c r="AU67" s="530"/>
      <c r="AV67" s="530" t="e">
        <f t="shared" si="15"/>
        <v>#REF!</v>
      </c>
      <c r="AW67" s="530" t="e">
        <f>AI67*#REF!+AI66*#REF!+AI65*#REF!</f>
        <v>#REF!</v>
      </c>
      <c r="AX67" s="456"/>
      <c r="AY67" s="583">
        <f t="shared" si="31"/>
        <v>1.1069207247417059</v>
      </c>
      <c r="AZ67" s="530">
        <f t="shared" si="32"/>
        <v>150599.12662781586</v>
      </c>
      <c r="BA67" s="530">
        <f>BA66*[1]mProject!V71</f>
        <v>0</v>
      </c>
      <c r="BB67" s="530">
        <f t="shared" si="38"/>
        <v>10536787.599321248</v>
      </c>
      <c r="BC67" s="456"/>
      <c r="BD67" s="590">
        <f>((BB67/100)*(i_CFD.ObliRate/12))*[1]i.Finance!$O$64</f>
        <v>35451.899943549615</v>
      </c>
      <c r="BE67" s="590">
        <f>(AZ67/100*[1]i.Finance!$O$61)*[1]i.Finance!$O$64</f>
        <v>6080.4397375980643</v>
      </c>
      <c r="BF67" s="590">
        <f>(AZ67/100*[1]i.Finance!$O$65)</f>
        <v>451.79737988344755</v>
      </c>
      <c r="BG67" s="591">
        <f t="shared" si="18"/>
        <v>35903.697323433065</v>
      </c>
      <c r="BH67" s="456"/>
      <c r="BI67" s="590">
        <f>-PV([1]i.Finance!$O$63/12,[1]i.Finance!$O$62*12,mCFD!BG67)</f>
        <v>6141688.1530889161</v>
      </c>
      <c r="BJ67" s="590">
        <f>BI67*[1]i.Finance!$O$58</f>
        <v>4821225.2001747992</v>
      </c>
      <c r="BK67" s="590"/>
      <c r="BL67" s="590"/>
      <c r="BP67" s="530"/>
      <c r="BQ67" s="530"/>
      <c r="BR67" s="530" t="e">
        <f t="shared" si="19"/>
        <v>#NAME?</v>
      </c>
      <c r="BS67" s="530" t="e">
        <f t="shared" si="20"/>
        <v>#NAME?</v>
      </c>
      <c r="BT67" s="530" t="e">
        <f t="shared" si="21"/>
        <v>#NAME?</v>
      </c>
      <c r="BU67" s="530"/>
    </row>
    <row r="68" spans="1:73" ht="16" hidden="1" outlineLevel="2">
      <c r="A68" s="366"/>
      <c r="B68" s="562"/>
      <c r="C68" s="366"/>
      <c r="D68" s="454"/>
      <c r="E68" s="533">
        <f t="shared" si="34"/>
        <v>62</v>
      </c>
      <c r="F68" s="533">
        <f t="shared" si="22"/>
        <v>21</v>
      </c>
      <c r="G68" s="533">
        <f t="shared" si="23"/>
        <v>6</v>
      </c>
      <c r="H68" s="541">
        <f t="shared" si="24"/>
        <v>45716</v>
      </c>
      <c r="I68" s="542">
        <f t="shared" si="0"/>
        <v>2025</v>
      </c>
      <c r="K68" s="533">
        <f>[1]mProject!KB72</f>
        <v>8</v>
      </c>
      <c r="L68" s="533">
        <f t="shared" si="1"/>
        <v>585</v>
      </c>
      <c r="M68" s="533">
        <f t="shared" si="2"/>
        <v>295000</v>
      </c>
      <c r="N68" s="533">
        <f t="shared" si="3"/>
        <v>2360000</v>
      </c>
      <c r="O68" s="533">
        <f t="shared" si="25"/>
        <v>172575000</v>
      </c>
      <c r="P68" s="533">
        <f>[1]mProject!W72</f>
        <v>314271.09410874074</v>
      </c>
      <c r="Q68" s="533">
        <f t="shared" si="4"/>
        <v>2514168.7528699259</v>
      </c>
      <c r="R68" s="533">
        <f t="shared" si="26"/>
        <v>178127295.40822411</v>
      </c>
      <c r="T68" s="533">
        <v>0</v>
      </c>
      <c r="U68" s="533">
        <f t="shared" si="5"/>
        <v>0</v>
      </c>
      <c r="V68" s="533">
        <f>IF(T68=0,0,$V$7*(1+#REF!)^#REF!)</f>
        <v>0</v>
      </c>
      <c r="W68" s="533">
        <f t="shared" si="27"/>
        <v>0</v>
      </c>
      <c r="X68" s="533">
        <f t="shared" si="6"/>
        <v>0</v>
      </c>
      <c r="Y68" s="533">
        <f t="shared" si="7"/>
        <v>0</v>
      </c>
      <c r="AA68" s="533">
        <v>0</v>
      </c>
      <c r="AB68" s="533">
        <f t="shared" si="8"/>
        <v>0</v>
      </c>
      <c r="AC68" s="533">
        <f>IF(AA68=0,0,$V$7*(1+#REF!)^#REF!)</f>
        <v>0</v>
      </c>
      <c r="AD68" s="533">
        <f t="shared" si="28"/>
        <v>0</v>
      </c>
      <c r="AE68" s="533">
        <f t="shared" si="9"/>
        <v>0</v>
      </c>
      <c r="AF68" s="533">
        <f t="shared" si="10"/>
        <v>0</v>
      </c>
      <c r="AH68" s="533">
        <f t="shared" si="11"/>
        <v>8</v>
      </c>
      <c r="AI68" s="533">
        <f t="shared" si="29"/>
        <v>585</v>
      </c>
      <c r="AJ68" s="533">
        <f t="shared" si="12"/>
        <v>295000</v>
      </c>
      <c r="AK68" s="533">
        <f>AJ68*[1]mProject!V72</f>
        <v>314271.09410874045</v>
      </c>
      <c r="AL68" s="533">
        <f t="shared" si="13"/>
        <v>2360000</v>
      </c>
      <c r="AM68" s="533">
        <f t="shared" si="14"/>
        <v>2514168.7528699259</v>
      </c>
      <c r="AN68" s="456"/>
      <c r="AO68" s="575" t="e">
        <f t="shared" si="35"/>
        <v>#REF!</v>
      </c>
      <c r="AP68" s="575" t="e">
        <f t="shared" si="41"/>
        <v>#REF!</v>
      </c>
      <c r="AQ68" s="575" t="e">
        <f t="shared" si="43"/>
        <v>#REF!</v>
      </c>
      <c r="AR68" s="576" t="e">
        <f t="shared" si="37"/>
        <v>#REF!</v>
      </c>
      <c r="AS68" s="533" t="e">
        <f t="shared" si="40"/>
        <v>#REF!</v>
      </c>
      <c r="AT68" s="533"/>
      <c r="AU68" s="533"/>
      <c r="AV68" s="533" t="e">
        <f t="shared" si="15"/>
        <v>#REF!</v>
      </c>
      <c r="AW68" s="533" t="e">
        <f>AI68*#REF!+AI67*#REF!+AI66*#REF!</f>
        <v>#REF!</v>
      </c>
      <c r="AX68" s="456"/>
      <c r="AY68" s="584">
        <f t="shared" si="31"/>
        <v>1.1087655926162754</v>
      </c>
      <c r="AZ68" s="533">
        <f t="shared" si="32"/>
        <v>150850.12517219558</v>
      </c>
      <c r="BA68" s="533">
        <f>BA67*[1]mProject!V72</f>
        <v>0</v>
      </c>
      <c r="BB68" s="533">
        <f t="shared" si="38"/>
        <v>10687637.724493444</v>
      </c>
      <c r="BC68" s="456"/>
      <c r="BD68" s="586">
        <f>((BB68/100)*(i_CFD.ObliRate/12))*[1]i.Finance!$O$64</f>
        <v>35959.447760535237</v>
      </c>
      <c r="BE68" s="586">
        <f>(AZ68/100*[1]i.Finance!$O$61)*[1]i.Finance!$O$64</f>
        <v>6090.5738038273957</v>
      </c>
      <c r="BF68" s="586">
        <f>(AZ68/100*[1]i.Finance!$O$65)</f>
        <v>452.55037551658671</v>
      </c>
      <c r="BG68" s="587">
        <f t="shared" si="18"/>
        <v>36411.998136051821</v>
      </c>
      <c r="BH68" s="456"/>
      <c r="BI68" s="586">
        <f>-PV([1]i.Finance!$O$63/12,[1]i.Finance!$O$62*12,mCFD!BG68)</f>
        <v>6228638.1140064113</v>
      </c>
      <c r="BJ68" s="586">
        <f>BI68*[1]i.Finance!$O$58</f>
        <v>4889480.9194950331</v>
      </c>
      <c r="BK68" s="586"/>
      <c r="BL68" s="586"/>
      <c r="BP68" s="533"/>
      <c r="BQ68" s="533"/>
      <c r="BR68" s="533" t="e">
        <f t="shared" si="19"/>
        <v>#NAME?</v>
      </c>
      <c r="BS68" s="533" t="e">
        <f t="shared" si="20"/>
        <v>#NAME?</v>
      </c>
      <c r="BT68" s="533" t="e">
        <f t="shared" si="21"/>
        <v>#NAME?</v>
      </c>
      <c r="BU68" s="533"/>
    </row>
    <row r="69" spans="1:73" ht="16" hidden="1" outlineLevel="2">
      <c r="A69" s="366"/>
      <c r="B69" s="562"/>
      <c r="C69" s="366"/>
      <c r="D69" s="454"/>
      <c r="E69" s="547">
        <f t="shared" si="34"/>
        <v>63</v>
      </c>
      <c r="F69" s="547">
        <f t="shared" si="22"/>
        <v>21</v>
      </c>
      <c r="G69" s="547">
        <f t="shared" si="23"/>
        <v>6</v>
      </c>
      <c r="H69" s="548">
        <f t="shared" si="24"/>
        <v>45747</v>
      </c>
      <c r="I69" s="549">
        <f t="shared" si="0"/>
        <v>2025</v>
      </c>
      <c r="K69" s="547">
        <f>[1]mProject!KB73</f>
        <v>8</v>
      </c>
      <c r="L69" s="547">
        <f t="shared" si="1"/>
        <v>593</v>
      </c>
      <c r="M69" s="547">
        <f t="shared" si="2"/>
        <v>295000</v>
      </c>
      <c r="N69" s="547">
        <f t="shared" si="3"/>
        <v>2360000</v>
      </c>
      <c r="O69" s="547">
        <f t="shared" si="25"/>
        <v>174935000</v>
      </c>
      <c r="P69" s="547">
        <f>[1]mProject!W73</f>
        <v>314794.87926558865</v>
      </c>
      <c r="Q69" s="547">
        <f t="shared" si="4"/>
        <v>2518359.0341247092</v>
      </c>
      <c r="R69" s="547">
        <f t="shared" si="26"/>
        <v>180645654.44234881</v>
      </c>
      <c r="T69" s="547">
        <v>0</v>
      </c>
      <c r="U69" s="547">
        <f t="shared" si="5"/>
        <v>0</v>
      </c>
      <c r="V69" s="547">
        <f>IF(T69=0,0,$V$7*(1+#REF!)^#REF!)</f>
        <v>0</v>
      </c>
      <c r="W69" s="547">
        <f t="shared" si="27"/>
        <v>0</v>
      </c>
      <c r="X69" s="547">
        <f t="shared" si="6"/>
        <v>0</v>
      </c>
      <c r="Y69" s="547">
        <f t="shared" si="7"/>
        <v>0</v>
      </c>
      <c r="AA69" s="547">
        <v>0</v>
      </c>
      <c r="AB69" s="547">
        <f t="shared" si="8"/>
        <v>0</v>
      </c>
      <c r="AC69" s="547">
        <f>IF(AA69=0,0,$V$7*(1+#REF!)^#REF!)</f>
        <v>0</v>
      </c>
      <c r="AD69" s="547">
        <f t="shared" si="28"/>
        <v>0</v>
      </c>
      <c r="AE69" s="547">
        <f t="shared" si="9"/>
        <v>0</v>
      </c>
      <c r="AF69" s="547">
        <f t="shared" si="10"/>
        <v>0</v>
      </c>
      <c r="AH69" s="547">
        <f t="shared" si="11"/>
        <v>8</v>
      </c>
      <c r="AI69" s="547">
        <f t="shared" si="29"/>
        <v>593</v>
      </c>
      <c r="AJ69" s="547">
        <f t="shared" si="12"/>
        <v>295000</v>
      </c>
      <c r="AK69" s="547">
        <f>AJ69*[1]mProject!V73</f>
        <v>314794.87926558836</v>
      </c>
      <c r="AL69" s="547">
        <f t="shared" si="13"/>
        <v>2360000</v>
      </c>
      <c r="AM69" s="547">
        <f t="shared" si="14"/>
        <v>2518359.0341247092</v>
      </c>
      <c r="AN69" s="456"/>
      <c r="AO69" s="577" t="e">
        <f t="shared" si="35"/>
        <v>#REF!</v>
      </c>
      <c r="AP69" s="577" t="e">
        <f t="shared" si="41"/>
        <v>#REF!</v>
      </c>
      <c r="AQ69" s="577" t="e">
        <f t="shared" si="43"/>
        <v>#REF!</v>
      </c>
      <c r="AR69" s="578" t="e">
        <f t="shared" si="37"/>
        <v>#REF!</v>
      </c>
      <c r="AS69" s="547" t="e">
        <f t="shared" si="40"/>
        <v>#REF!</v>
      </c>
      <c r="AT69" s="547"/>
      <c r="AU69" s="547"/>
      <c r="AV69" s="547" t="e">
        <f t="shared" si="15"/>
        <v>#REF!</v>
      </c>
      <c r="AW69" s="547" t="e">
        <f>AI69*#REF!+AI68*#REF!+AI67*#REF!</f>
        <v>#REF!</v>
      </c>
      <c r="AX69" s="456"/>
      <c r="AY69" s="585">
        <f t="shared" si="31"/>
        <v>1.1106135352706359</v>
      </c>
      <c r="AZ69" s="547">
        <f t="shared" si="32"/>
        <v>151101.54204748254</v>
      </c>
      <c r="BA69" s="547">
        <f>BA68*[1]mProject!V73</f>
        <v>0</v>
      </c>
      <c r="BB69" s="547">
        <f t="shared" si="38"/>
        <v>10838739.266540926</v>
      </c>
      <c r="BC69" s="456"/>
      <c r="BD69" s="588">
        <f>((BB69/100)*(i_CFD.ObliRate/12))*[1]i.Finance!$O$64</f>
        <v>36467.841490549159</v>
      </c>
      <c r="BE69" s="588">
        <f>(AZ69/100*[1]i.Finance!$O$61)*[1]i.Finance!$O$64</f>
        <v>6100.724760167107</v>
      </c>
      <c r="BF69" s="588">
        <f>(AZ69/100*[1]i.Finance!$O$65)</f>
        <v>453.3046261424476</v>
      </c>
      <c r="BG69" s="589">
        <f t="shared" si="18"/>
        <v>36921.146116691605</v>
      </c>
      <c r="BH69" s="456"/>
      <c r="BI69" s="588">
        <f>-PV([1]i.Finance!$O$63/12,[1]i.Finance!$O$62*12,mCFD!BG69)</f>
        <v>6315732.9915254349</v>
      </c>
      <c r="BJ69" s="588">
        <f>BI69*[1]i.Finance!$O$58</f>
        <v>4957850.3983474663</v>
      </c>
      <c r="BK69" s="588"/>
      <c r="BL69" s="588"/>
      <c r="BP69" s="547"/>
      <c r="BQ69" s="547"/>
      <c r="BR69" s="547" t="e">
        <f t="shared" si="19"/>
        <v>#NAME?</v>
      </c>
      <c r="BS69" s="547" t="e">
        <f t="shared" si="20"/>
        <v>#NAME?</v>
      </c>
      <c r="BT69" s="547" t="e">
        <f t="shared" si="21"/>
        <v>#NAME?</v>
      </c>
      <c r="BU69" s="547"/>
    </row>
    <row r="70" spans="1:73" ht="16" hidden="1" outlineLevel="2">
      <c r="A70" s="366"/>
      <c r="B70" s="562"/>
      <c r="C70" s="366"/>
      <c r="D70" s="454"/>
      <c r="E70" s="530">
        <f t="shared" si="34"/>
        <v>64</v>
      </c>
      <c r="F70" s="530">
        <f t="shared" si="22"/>
        <v>22</v>
      </c>
      <c r="G70" s="530">
        <f t="shared" si="23"/>
        <v>6</v>
      </c>
      <c r="H70" s="554">
        <f t="shared" si="24"/>
        <v>45777</v>
      </c>
      <c r="I70" s="555">
        <f t="shared" si="0"/>
        <v>2025</v>
      </c>
      <c r="K70" s="530">
        <f>[1]mProject!KB74</f>
        <v>12</v>
      </c>
      <c r="L70" s="530">
        <f t="shared" si="1"/>
        <v>605</v>
      </c>
      <c r="M70" s="530">
        <f t="shared" si="2"/>
        <v>295000</v>
      </c>
      <c r="N70" s="530">
        <f t="shared" si="3"/>
        <v>3540000</v>
      </c>
      <c r="O70" s="530">
        <f t="shared" si="25"/>
        <v>178475000</v>
      </c>
      <c r="P70" s="530">
        <f>[1]mProject!W74</f>
        <v>315319.53739769798</v>
      </c>
      <c r="Q70" s="530">
        <f t="shared" si="4"/>
        <v>3783834.4487723755</v>
      </c>
      <c r="R70" s="530">
        <f t="shared" si="26"/>
        <v>184429488.89112118</v>
      </c>
      <c r="T70" s="530">
        <v>0</v>
      </c>
      <c r="U70" s="530">
        <f t="shared" si="5"/>
        <v>0</v>
      </c>
      <c r="V70" s="530">
        <f>IF(T70=0,0,$V$7*(1+#REF!)^#REF!)</f>
        <v>0</v>
      </c>
      <c r="W70" s="530">
        <f t="shared" si="27"/>
        <v>0</v>
      </c>
      <c r="X70" s="530">
        <f t="shared" si="6"/>
        <v>0</v>
      </c>
      <c r="Y70" s="530">
        <f t="shared" si="7"/>
        <v>0</v>
      </c>
      <c r="AA70" s="530">
        <v>0</v>
      </c>
      <c r="AB70" s="530">
        <f t="shared" si="8"/>
        <v>0</v>
      </c>
      <c r="AC70" s="530">
        <f>IF(AA70=0,0,$V$7*(1+#REF!)^#REF!)</f>
        <v>0</v>
      </c>
      <c r="AD70" s="530">
        <f t="shared" si="28"/>
        <v>0</v>
      </c>
      <c r="AE70" s="530">
        <f t="shared" si="9"/>
        <v>0</v>
      </c>
      <c r="AF70" s="530">
        <f t="shared" si="10"/>
        <v>0</v>
      </c>
      <c r="AH70" s="530">
        <f t="shared" si="11"/>
        <v>12</v>
      </c>
      <c r="AI70" s="530">
        <f t="shared" si="29"/>
        <v>605</v>
      </c>
      <c r="AJ70" s="530">
        <f t="shared" si="12"/>
        <v>295000</v>
      </c>
      <c r="AK70" s="530">
        <f>AJ70*[1]mProject!V74</f>
        <v>315319.53739769768</v>
      </c>
      <c r="AL70" s="530">
        <f t="shared" si="13"/>
        <v>3540000</v>
      </c>
      <c r="AM70" s="530">
        <f t="shared" si="14"/>
        <v>3783834.4487723755</v>
      </c>
      <c r="AN70" s="456"/>
      <c r="AO70" s="572" t="e">
        <f t="shared" si="35"/>
        <v>#REF!</v>
      </c>
      <c r="AP70" s="572" t="e">
        <f t="shared" si="41"/>
        <v>#REF!</v>
      </c>
      <c r="AQ70" s="572" t="e">
        <f t="shared" si="43"/>
        <v>#REF!</v>
      </c>
      <c r="AR70" s="573" t="e">
        <f t="shared" si="37"/>
        <v>#REF!</v>
      </c>
      <c r="AS70" s="530" t="e">
        <f t="shared" si="40"/>
        <v>#REF!</v>
      </c>
      <c r="AT70" s="530"/>
      <c r="AU70" s="530"/>
      <c r="AV70" s="530" t="e">
        <f t="shared" si="15"/>
        <v>#REF!</v>
      </c>
      <c r="AW70" s="530" t="e">
        <f>AI70*#REF!+AI69*#REF!+AI68*#REF!</f>
        <v>#REF!</v>
      </c>
      <c r="AX70" s="456"/>
      <c r="AY70" s="583">
        <f t="shared" si="31"/>
        <v>1.1124645578294203</v>
      </c>
      <c r="AZ70" s="530">
        <f t="shared" si="32"/>
        <v>227030.06692634255</v>
      </c>
      <c r="BA70" s="530">
        <f>BA69*[1]mProject!V74</f>
        <v>0</v>
      </c>
      <c r="BB70" s="530">
        <f t="shared" si="38"/>
        <v>11065769.333467269</v>
      </c>
      <c r="BC70" s="456"/>
      <c r="BD70" s="590">
        <f>((BB70/100)*(i_CFD.ObliRate/12))*[1]i.Finance!$O$64</f>
        <v>37231.703069895084</v>
      </c>
      <c r="BE70" s="590">
        <f>(AZ70/100*[1]i.Finance!$O$61)*[1]i.Finance!$O$64</f>
        <v>9166.338952151078</v>
      </c>
      <c r="BF70" s="590">
        <f>(AZ70/100*[1]i.Finance!$O$65)</f>
        <v>681.09020077902755</v>
      </c>
      <c r="BG70" s="591">
        <f t="shared" si="18"/>
        <v>37912.793270674112</v>
      </c>
      <c r="BH70" s="456"/>
      <c r="BI70" s="590">
        <f>-PV([1]i.Finance!$O$63/12,[1]i.Finance!$O$62*12,mCFD!BG70)</f>
        <v>6485364.2003336642</v>
      </c>
      <c r="BJ70" s="590">
        <f>BI70*[1]i.Finance!$O$58</f>
        <v>5091010.8972619269</v>
      </c>
      <c r="BK70" s="590"/>
      <c r="BL70" s="590"/>
      <c r="BP70" s="530"/>
      <c r="BQ70" s="530"/>
      <c r="BR70" s="530" t="e">
        <f t="shared" si="19"/>
        <v>#NAME?</v>
      </c>
      <c r="BS70" s="530" t="e">
        <f t="shared" si="20"/>
        <v>#NAME?</v>
      </c>
      <c r="BT70" s="530" t="e">
        <f t="shared" si="21"/>
        <v>#NAME?</v>
      </c>
      <c r="BU70" s="530"/>
    </row>
    <row r="71" spans="1:73" ht="16" hidden="1" outlineLevel="2">
      <c r="A71" s="366"/>
      <c r="B71" s="562"/>
      <c r="C71" s="366"/>
      <c r="D71" s="454"/>
      <c r="E71" s="533">
        <f t="shared" si="34"/>
        <v>65</v>
      </c>
      <c r="F71" s="533">
        <f t="shared" si="22"/>
        <v>22</v>
      </c>
      <c r="G71" s="533">
        <f t="shared" si="23"/>
        <v>6</v>
      </c>
      <c r="H71" s="541">
        <f t="shared" si="24"/>
        <v>45808</v>
      </c>
      <c r="I71" s="542">
        <f t="shared" ref="I71:I134" si="44">YEAR(H71)</f>
        <v>2025</v>
      </c>
      <c r="K71" s="533">
        <f>[1]mProject!KB75</f>
        <v>17</v>
      </c>
      <c r="L71" s="533">
        <f t="shared" ref="L71:L134" si="45">+K71+L70</f>
        <v>622</v>
      </c>
      <c r="M71" s="533">
        <f t="shared" ref="M71:M134" si="46">M70</f>
        <v>295000</v>
      </c>
      <c r="N71" s="533">
        <f t="shared" ref="N71:N134" si="47">M71*K71</f>
        <v>5015000</v>
      </c>
      <c r="O71" s="533">
        <f t="shared" si="25"/>
        <v>183490000</v>
      </c>
      <c r="P71" s="533">
        <f>[1]mProject!W75</f>
        <v>315845.06996002747</v>
      </c>
      <c r="Q71" s="533">
        <f t="shared" ref="Q71:Q134" si="48">P71*K71</f>
        <v>5369366.1893204674</v>
      </c>
      <c r="R71" s="533">
        <f t="shared" si="26"/>
        <v>189798855.08044165</v>
      </c>
      <c r="T71" s="533">
        <v>0</v>
      </c>
      <c r="U71" s="533">
        <f t="shared" ref="U71:U134" si="49">+T71+U70</f>
        <v>0</v>
      </c>
      <c r="V71" s="533">
        <f>IF(T71=0,0,$V$7*(1+#REF!)^#REF!)</f>
        <v>0</v>
      </c>
      <c r="W71" s="533">
        <f t="shared" si="27"/>
        <v>0</v>
      </c>
      <c r="X71" s="533">
        <f t="shared" ref="X71:X134" si="50">W71*T71</f>
        <v>0</v>
      </c>
      <c r="Y71" s="533">
        <f t="shared" ref="Y71:Y134" si="51">T71*V71</f>
        <v>0</v>
      </c>
      <c r="AA71" s="533">
        <v>0</v>
      </c>
      <c r="AB71" s="533">
        <f t="shared" ref="AB71:AB134" si="52">+AA71+AB70</f>
        <v>0</v>
      </c>
      <c r="AC71" s="533">
        <f>IF(AA71=0,0,$V$7*(1+#REF!)^#REF!)</f>
        <v>0</v>
      </c>
      <c r="AD71" s="533">
        <f t="shared" si="28"/>
        <v>0</v>
      </c>
      <c r="AE71" s="533">
        <f t="shared" ref="AE71:AE134" si="53">AD71*AA71</f>
        <v>0</v>
      </c>
      <c r="AF71" s="533">
        <f t="shared" ref="AF71:AF134" si="54">AA71*AC71</f>
        <v>0</v>
      </c>
      <c r="AH71" s="533">
        <f t="shared" ref="AH71:AH134" si="55">+K71+T71+AA71</f>
        <v>17</v>
      </c>
      <c r="AI71" s="533">
        <f t="shared" si="29"/>
        <v>622</v>
      </c>
      <c r="AJ71" s="533">
        <f t="shared" ref="AJ71:AJ111" si="56">IF(K71+T71+AA71=0,0,(K71*M71+T71*V71+AA71*AC71)/(K71+T71+AA71))</f>
        <v>295000</v>
      </c>
      <c r="AK71" s="533">
        <f>AJ71*[1]mProject!V75</f>
        <v>315845.06996002718</v>
      </c>
      <c r="AL71" s="533">
        <f t="shared" ref="AL71:AL134" si="57">N71+X71+AE71</f>
        <v>5015000</v>
      </c>
      <c r="AM71" s="533">
        <f t="shared" ref="AM71:AM134" si="58">Q71</f>
        <v>5369366.1893204674</v>
      </c>
      <c r="AN71" s="456"/>
      <c r="AO71" s="575" t="e">
        <f t="shared" si="35"/>
        <v>#REF!</v>
      </c>
      <c r="AP71" s="575" t="e">
        <f t="shared" si="41"/>
        <v>#REF!</v>
      </c>
      <c r="AQ71" s="575" t="e">
        <f t="shared" si="43"/>
        <v>#REF!</v>
      </c>
      <c r="AR71" s="576" t="e">
        <f t="shared" si="37"/>
        <v>#REF!</v>
      </c>
      <c r="AS71" s="533" t="e">
        <f t="shared" si="40"/>
        <v>#REF!</v>
      </c>
      <c r="AT71" s="533"/>
      <c r="AU71" s="533"/>
      <c r="AV71" s="533" t="e">
        <f t="shared" ref="AV71:AV134" si="59">SUM(AS71:AU71)</f>
        <v>#REF!</v>
      </c>
      <c r="AW71" s="533" t="e">
        <f>AI71*#REF!+AI70*#REF!+AI69*#REF!</f>
        <v>#REF!</v>
      </c>
      <c r="AX71" s="456"/>
      <c r="AY71" s="584">
        <f t="shared" si="31"/>
        <v>1.1143186654258028</v>
      </c>
      <c r="AZ71" s="533">
        <f t="shared" ref="AZ71:AZ134" si="60">(Q71*i_CFD.FullCashRatio*i_CFD.ResiAssesRatio)+(AU71*i_CFD.FullCashRatio*i_CFD.CommeAssesRatio)*AY71</f>
        <v>322161.97135922802</v>
      </c>
      <c r="BA71" s="533">
        <f>BA70*[1]mProject!V75</f>
        <v>0</v>
      </c>
      <c r="BB71" s="533">
        <f t="shared" si="38"/>
        <v>11387931.304826498</v>
      </c>
      <c r="BC71" s="456"/>
      <c r="BD71" s="586">
        <f>((BB71/100)*(i_CFD.ObliRate/12))*[1]i.Finance!$O$64</f>
        <v>38315.643869364154</v>
      </c>
      <c r="BE71" s="586">
        <f>(AZ71/100*[1]i.Finance!$O$61)*[1]i.Finance!$O$64</f>
        <v>13007.28959362883</v>
      </c>
      <c r="BF71" s="586">
        <f>(AZ71/100*[1]i.Finance!$O$65)</f>
        <v>966.48591407768401</v>
      </c>
      <c r="BG71" s="587">
        <f t="shared" ref="BG71:BG134" si="61">BD71+BF71</f>
        <v>39282.129783441836</v>
      </c>
      <c r="BH71" s="456"/>
      <c r="BI71" s="586">
        <f>-PV([1]i.Finance!$O$63/12,[1]i.Finance!$O$62*12,mCFD!BG71)</f>
        <v>6719602.9686225411</v>
      </c>
      <c r="BJ71" s="586">
        <f>BI71*[1]i.Finance!$O$58</f>
        <v>5274888.3303686948</v>
      </c>
      <c r="BK71" s="586"/>
      <c r="BL71" s="586"/>
      <c r="BP71" s="533"/>
      <c r="BQ71" s="533"/>
      <c r="BR71" s="533" t="e">
        <f t="shared" ref="BR71:BR134" si="62">LOOKUP(H71,cv_Dates,cv_Lots.Sold)*$BR$5</f>
        <v>#NAME?</v>
      </c>
      <c r="BS71" s="533" t="e">
        <f t="shared" ref="BS71:BS134" si="63">BR71*-$BS$5</f>
        <v>#NAME?</v>
      </c>
      <c r="BT71" s="533" t="e">
        <f t="shared" ref="BT71:BT134" si="64">BR71+BS71</f>
        <v>#NAME?</v>
      </c>
      <c r="BU71" s="533"/>
    </row>
    <row r="72" spans="1:73" ht="16" hidden="1" outlineLevel="2">
      <c r="A72" s="366"/>
      <c r="B72" s="562"/>
      <c r="C72" s="366"/>
      <c r="D72" s="454"/>
      <c r="E72" s="547">
        <f t="shared" si="34"/>
        <v>66</v>
      </c>
      <c r="F72" s="547">
        <f t="shared" ref="F72:F135" si="65">INT(INT(E72+2)/3)</f>
        <v>22</v>
      </c>
      <c r="G72" s="547">
        <f t="shared" ref="G72:G135" si="66">MIN(INT(YEARFRAC(H$7,EDATE(H72,12),3)))</f>
        <v>6</v>
      </c>
      <c r="H72" s="548">
        <f t="shared" ref="H72:H95" si="67">EOMONTH(H71,1)</f>
        <v>45838</v>
      </c>
      <c r="I72" s="549">
        <f t="shared" si="44"/>
        <v>2025</v>
      </c>
      <c r="K72" s="547">
        <f>[1]mProject!KB76</f>
        <v>8</v>
      </c>
      <c r="L72" s="547">
        <f t="shared" si="45"/>
        <v>630</v>
      </c>
      <c r="M72" s="547">
        <f t="shared" si="46"/>
        <v>295000</v>
      </c>
      <c r="N72" s="547">
        <f t="shared" si="47"/>
        <v>2360000</v>
      </c>
      <c r="O72" s="547">
        <f t="shared" ref="O72:O135" si="68">O71+N72</f>
        <v>185850000</v>
      </c>
      <c r="P72" s="547">
        <f>[1]mProject!W76</f>
        <v>316371.47840996087</v>
      </c>
      <c r="Q72" s="547">
        <f t="shared" si="48"/>
        <v>2530971.8272796869</v>
      </c>
      <c r="R72" s="547">
        <f t="shared" ref="R72:R135" si="69">R71+Q72</f>
        <v>192329826.90772134</v>
      </c>
      <c r="T72" s="547">
        <v>0</v>
      </c>
      <c r="U72" s="547">
        <f t="shared" si="49"/>
        <v>0</v>
      </c>
      <c r="V72" s="547">
        <f>IF(T72=0,0,$V$7*(1+#REF!)^#REF!)</f>
        <v>0</v>
      </c>
      <c r="W72" s="547">
        <f t="shared" ref="W72:W135" si="70">IF(T72=0,0,$V$7)</f>
        <v>0</v>
      </c>
      <c r="X72" s="547">
        <f t="shared" si="50"/>
        <v>0</v>
      </c>
      <c r="Y72" s="547">
        <f t="shared" si="51"/>
        <v>0</v>
      </c>
      <c r="AA72" s="547">
        <v>0</v>
      </c>
      <c r="AB72" s="547">
        <f t="shared" si="52"/>
        <v>0</v>
      </c>
      <c r="AC72" s="547">
        <f>IF(AA72=0,0,$V$7*(1+#REF!)^#REF!)</f>
        <v>0</v>
      </c>
      <c r="AD72" s="547">
        <f t="shared" ref="AD72:AD135" si="71">IF(AA72=0,0,$V$7)</f>
        <v>0</v>
      </c>
      <c r="AE72" s="547">
        <f t="shared" si="53"/>
        <v>0</v>
      </c>
      <c r="AF72" s="547">
        <f t="shared" si="54"/>
        <v>0</v>
      </c>
      <c r="AH72" s="547">
        <f t="shared" si="55"/>
        <v>8</v>
      </c>
      <c r="AI72" s="547">
        <f t="shared" ref="AI72:AI135" si="72">+AH72+AI71</f>
        <v>630</v>
      </c>
      <c r="AJ72" s="547">
        <f t="shared" si="56"/>
        <v>295000</v>
      </c>
      <c r="AK72" s="547">
        <f>AJ72*[1]mProject!V76</f>
        <v>316371.47840996057</v>
      </c>
      <c r="AL72" s="547">
        <f t="shared" si="57"/>
        <v>2360000</v>
      </c>
      <c r="AM72" s="547">
        <f t="shared" si="58"/>
        <v>2530971.8272796869</v>
      </c>
      <c r="AN72" s="456"/>
      <c r="AO72" s="577" t="e">
        <f t="shared" si="35"/>
        <v>#REF!</v>
      </c>
      <c r="AP72" s="577" t="e">
        <f t="shared" si="41"/>
        <v>#REF!</v>
      </c>
      <c r="AQ72" s="577" t="e">
        <f t="shared" si="43"/>
        <v>#REF!</v>
      </c>
      <c r="AR72" s="578" t="e">
        <f t="shared" si="37"/>
        <v>#REF!</v>
      </c>
      <c r="AS72" s="547" t="e">
        <f t="shared" si="40"/>
        <v>#REF!</v>
      </c>
      <c r="AT72" s="547"/>
      <c r="AU72" s="547"/>
      <c r="AV72" s="547" t="e">
        <f t="shared" si="59"/>
        <v>#REF!</v>
      </c>
      <c r="AW72" s="547" t="e">
        <f>AI72*#REF!+AI71*#REF!+AI70*#REF!</f>
        <v>#REF!</v>
      </c>
      <c r="AX72" s="456"/>
      <c r="AY72" s="585">
        <f t="shared" ref="AY72:AY135" si="73">AY71*(1+i_CFD.AV.Inflation/12)</f>
        <v>1.1161758632015126</v>
      </c>
      <c r="AZ72" s="547">
        <f t="shared" si="60"/>
        <v>151858.3096367812</v>
      </c>
      <c r="BA72" s="547">
        <f>BA71*[1]mProject!V76</f>
        <v>0</v>
      </c>
      <c r="BB72" s="547">
        <f t="shared" si="38"/>
        <v>11539789.614463279</v>
      </c>
      <c r="BC72" s="456"/>
      <c r="BD72" s="588">
        <f>((BB72/100)*(i_CFD.ObliRate/12))*[1]i.Finance!$O$64</f>
        <v>38826.583806996241</v>
      </c>
      <c r="BE72" s="588">
        <f>(AZ72/100*[1]i.Finance!$O$61)*[1]i.Finance!$O$64</f>
        <v>6131.2792515850406</v>
      </c>
      <c r="BF72" s="588">
        <f>(AZ72/100*[1]i.Finance!$O$65)</f>
        <v>455.5749289103436</v>
      </c>
      <c r="BG72" s="589">
        <f t="shared" si="61"/>
        <v>39282.158735906582</v>
      </c>
      <c r="BH72" s="456"/>
      <c r="BI72" s="588">
        <f>-PV([1]i.Finance!$O$63/12,[1]i.Finance!$O$62*12,mCFD!BG72)</f>
        <v>6719607.9212325225</v>
      </c>
      <c r="BJ72" s="588">
        <f>BI72*[1]i.Finance!$O$58</f>
        <v>5274892.2181675304</v>
      </c>
      <c r="BK72" s="588"/>
      <c r="BL72" s="588"/>
      <c r="BP72" s="547"/>
      <c r="BQ72" s="547"/>
      <c r="BR72" s="547" t="e">
        <f t="shared" si="62"/>
        <v>#NAME?</v>
      </c>
      <c r="BS72" s="547" t="e">
        <f t="shared" si="63"/>
        <v>#NAME?</v>
      </c>
      <c r="BT72" s="547" t="e">
        <f t="shared" si="64"/>
        <v>#NAME?</v>
      </c>
      <c r="BU72" s="547"/>
    </row>
    <row r="73" spans="1:73" ht="16" hidden="1" outlineLevel="2">
      <c r="A73" s="366"/>
      <c r="B73" s="562"/>
      <c r="C73" s="366"/>
      <c r="D73" s="454"/>
      <c r="E73" s="530">
        <f t="shared" ref="E73:E136" si="74">E72+1</f>
        <v>67</v>
      </c>
      <c r="F73" s="530">
        <f t="shared" si="65"/>
        <v>23</v>
      </c>
      <c r="G73" s="530">
        <f t="shared" si="66"/>
        <v>6</v>
      </c>
      <c r="H73" s="554">
        <f t="shared" si="67"/>
        <v>45869</v>
      </c>
      <c r="I73" s="555">
        <f t="shared" si="44"/>
        <v>2025</v>
      </c>
      <c r="K73" s="530">
        <f>[1]mProject!KB77</f>
        <v>8</v>
      </c>
      <c r="L73" s="530">
        <f t="shared" si="45"/>
        <v>638</v>
      </c>
      <c r="M73" s="530">
        <f t="shared" si="46"/>
        <v>295000</v>
      </c>
      <c r="N73" s="530">
        <f t="shared" si="47"/>
        <v>2360000</v>
      </c>
      <c r="O73" s="530">
        <f t="shared" si="68"/>
        <v>188210000</v>
      </c>
      <c r="P73" s="530">
        <f>[1]mProject!W77</f>
        <v>316898.7642073108</v>
      </c>
      <c r="Q73" s="530">
        <f t="shared" si="48"/>
        <v>2535190.1136584864</v>
      </c>
      <c r="R73" s="530">
        <f t="shared" si="69"/>
        <v>194865017.02137983</v>
      </c>
      <c r="T73" s="530">
        <v>0</v>
      </c>
      <c r="U73" s="530">
        <f t="shared" si="49"/>
        <v>0</v>
      </c>
      <c r="V73" s="530">
        <f>IF(T73=0,0,$V$7*(1+#REF!)^#REF!)</f>
        <v>0</v>
      </c>
      <c r="W73" s="530">
        <f t="shared" si="70"/>
        <v>0</v>
      </c>
      <c r="X73" s="530">
        <f t="shared" si="50"/>
        <v>0</v>
      </c>
      <c r="Y73" s="530">
        <f t="shared" si="51"/>
        <v>0</v>
      </c>
      <c r="AA73" s="530">
        <v>0</v>
      </c>
      <c r="AB73" s="530">
        <f t="shared" si="52"/>
        <v>0</v>
      </c>
      <c r="AC73" s="530">
        <f>IF(AA73=0,0,$V$7*(1+#REF!)^#REF!)</f>
        <v>0</v>
      </c>
      <c r="AD73" s="530">
        <f t="shared" si="71"/>
        <v>0</v>
      </c>
      <c r="AE73" s="530">
        <f t="shared" si="53"/>
        <v>0</v>
      </c>
      <c r="AF73" s="530">
        <f t="shared" si="54"/>
        <v>0</v>
      </c>
      <c r="AH73" s="530">
        <f t="shared" si="55"/>
        <v>8</v>
      </c>
      <c r="AI73" s="530">
        <f t="shared" si="72"/>
        <v>638</v>
      </c>
      <c r="AJ73" s="530">
        <f t="shared" si="56"/>
        <v>295000</v>
      </c>
      <c r="AK73" s="530">
        <f>AJ73*[1]mProject!V77</f>
        <v>316898.76420731057</v>
      </c>
      <c r="AL73" s="530">
        <f t="shared" si="57"/>
        <v>2360000</v>
      </c>
      <c r="AM73" s="530">
        <f t="shared" si="58"/>
        <v>2535190.1136584864</v>
      </c>
      <c r="AN73" s="456"/>
      <c r="AO73" s="572" t="e">
        <f t="shared" si="35"/>
        <v>#REF!</v>
      </c>
      <c r="AP73" s="572" t="e">
        <f t="shared" si="41"/>
        <v>#REF!</v>
      </c>
      <c r="AQ73" s="572" t="e">
        <f t="shared" si="43"/>
        <v>#REF!</v>
      </c>
      <c r="AR73" s="573" t="e">
        <f t="shared" si="37"/>
        <v>#REF!</v>
      </c>
      <c r="AS73" s="530" t="e">
        <f t="shared" si="40"/>
        <v>#REF!</v>
      </c>
      <c r="AT73" s="530"/>
      <c r="AU73" s="530"/>
      <c r="AV73" s="530" t="e">
        <f t="shared" si="59"/>
        <v>#REF!</v>
      </c>
      <c r="AW73" s="530" t="e">
        <f>AI73*#REF!+AI72*#REF!+AI71*#REF!</f>
        <v>#REF!</v>
      </c>
      <c r="AX73" s="456"/>
      <c r="AY73" s="583">
        <f t="shared" si="73"/>
        <v>1.1180361563068486</v>
      </c>
      <c r="AZ73" s="530">
        <f t="shared" si="60"/>
        <v>152111.4068195092</v>
      </c>
      <c r="BA73" s="530">
        <f>BA72*[1]mProject!V77</f>
        <v>0</v>
      </c>
      <c r="BB73" s="530">
        <f t="shared" si="38"/>
        <v>11691901.021282788</v>
      </c>
      <c r="BC73" s="456"/>
      <c r="BD73" s="590">
        <f>((BB73/100)*(i_CFD.ObliRate/12))*[1]i.Finance!$O$64</f>
        <v>39338.375311191041</v>
      </c>
      <c r="BE73" s="590">
        <f>(AZ73/100*[1]i.Finance!$O$61)*[1]i.Finance!$O$64</f>
        <v>6141.4980503376837</v>
      </c>
      <c r="BF73" s="590">
        <f>(AZ73/100*[1]i.Finance!$O$65)</f>
        <v>456.33422045852757</v>
      </c>
      <c r="BG73" s="591">
        <f t="shared" si="61"/>
        <v>39794.709531649569</v>
      </c>
      <c r="BH73" s="456"/>
      <c r="BI73" s="590">
        <f>-PV([1]i.Finance!$O$63/12,[1]i.Finance!$O$62*12,mCFD!BG73)</f>
        <v>6807284.8844631715</v>
      </c>
      <c r="BJ73" s="590">
        <f>BI73*[1]i.Finance!$O$58</f>
        <v>5343718.6343035903</v>
      </c>
      <c r="BK73" s="590"/>
      <c r="BL73" s="590"/>
      <c r="BP73" s="530"/>
      <c r="BQ73" s="530"/>
      <c r="BR73" s="530" t="e">
        <f t="shared" si="62"/>
        <v>#NAME?</v>
      </c>
      <c r="BS73" s="530" t="e">
        <f t="shared" si="63"/>
        <v>#NAME?</v>
      </c>
      <c r="BT73" s="530" t="e">
        <f t="shared" si="64"/>
        <v>#NAME?</v>
      </c>
      <c r="BU73" s="530"/>
    </row>
    <row r="74" spans="1:73" ht="16" hidden="1" outlineLevel="2">
      <c r="A74" s="366"/>
      <c r="B74" s="562"/>
      <c r="C74" s="366"/>
      <c r="D74" s="454"/>
      <c r="E74" s="533">
        <f t="shared" si="74"/>
        <v>68</v>
      </c>
      <c r="F74" s="533">
        <f t="shared" si="65"/>
        <v>23</v>
      </c>
      <c r="G74" s="533">
        <f t="shared" si="66"/>
        <v>6</v>
      </c>
      <c r="H74" s="541">
        <f t="shared" si="67"/>
        <v>45900</v>
      </c>
      <c r="I74" s="542">
        <f t="shared" si="44"/>
        <v>2025</v>
      </c>
      <c r="K74" s="533">
        <f>[1]mProject!KB78</f>
        <v>8</v>
      </c>
      <c r="L74" s="533">
        <f t="shared" si="45"/>
        <v>646</v>
      </c>
      <c r="M74" s="533">
        <f t="shared" si="46"/>
        <v>295000</v>
      </c>
      <c r="N74" s="533">
        <f t="shared" si="47"/>
        <v>2360000</v>
      </c>
      <c r="O74" s="533">
        <f t="shared" si="68"/>
        <v>190570000</v>
      </c>
      <c r="P74" s="533">
        <f>[1]mProject!W78</f>
        <v>317426.92881432298</v>
      </c>
      <c r="Q74" s="533">
        <f t="shared" si="48"/>
        <v>2539415.4305145838</v>
      </c>
      <c r="R74" s="533">
        <f t="shared" si="69"/>
        <v>197404432.4518944</v>
      </c>
      <c r="T74" s="533">
        <v>0</v>
      </c>
      <c r="U74" s="533">
        <f t="shared" si="49"/>
        <v>0</v>
      </c>
      <c r="V74" s="533">
        <f>IF(T74=0,0,$V$7*(1+#REF!)^#REF!)</f>
        <v>0</v>
      </c>
      <c r="W74" s="533">
        <f t="shared" si="70"/>
        <v>0</v>
      </c>
      <c r="X74" s="533">
        <f t="shared" si="50"/>
        <v>0</v>
      </c>
      <c r="Y74" s="533">
        <f t="shared" si="51"/>
        <v>0</v>
      </c>
      <c r="AA74" s="533">
        <v>0</v>
      </c>
      <c r="AB74" s="533">
        <f t="shared" si="52"/>
        <v>0</v>
      </c>
      <c r="AC74" s="533">
        <f>IF(AA74=0,0,$V$7*(1+#REF!)^#REF!)</f>
        <v>0</v>
      </c>
      <c r="AD74" s="533">
        <f t="shared" si="71"/>
        <v>0</v>
      </c>
      <c r="AE74" s="533">
        <f t="shared" si="53"/>
        <v>0</v>
      </c>
      <c r="AF74" s="533">
        <f t="shared" si="54"/>
        <v>0</v>
      </c>
      <c r="AH74" s="533">
        <f t="shared" si="55"/>
        <v>8</v>
      </c>
      <c r="AI74" s="533">
        <f t="shared" si="72"/>
        <v>646</v>
      </c>
      <c r="AJ74" s="533">
        <f t="shared" si="56"/>
        <v>295000</v>
      </c>
      <c r="AK74" s="533">
        <f>AJ74*[1]mProject!V78</f>
        <v>317426.92881432275</v>
      </c>
      <c r="AL74" s="533">
        <f t="shared" si="57"/>
        <v>2360000</v>
      </c>
      <c r="AM74" s="533">
        <f t="shared" si="58"/>
        <v>2539415.4305145838</v>
      </c>
      <c r="AN74" s="456"/>
      <c r="AO74" s="575" t="e">
        <f t="shared" si="35"/>
        <v>#REF!</v>
      </c>
      <c r="AP74" s="575" t="e">
        <f t="shared" si="41"/>
        <v>#REF!</v>
      </c>
      <c r="AQ74" s="575" t="e">
        <f t="shared" si="43"/>
        <v>#REF!</v>
      </c>
      <c r="AR74" s="576" t="e">
        <f t="shared" si="37"/>
        <v>#REF!</v>
      </c>
      <c r="AS74" s="533" t="e">
        <f t="shared" si="40"/>
        <v>#REF!</v>
      </c>
      <c r="AT74" s="533"/>
      <c r="AU74" s="533"/>
      <c r="AV74" s="533" t="e">
        <f t="shared" si="59"/>
        <v>#REF!</v>
      </c>
      <c r="AW74" s="533" t="e">
        <f>AI74*#REF!+AI73*#REF!+AI72*#REF!</f>
        <v>#REF!</v>
      </c>
      <c r="AX74" s="456"/>
      <c r="AY74" s="584">
        <f t="shared" si="73"/>
        <v>1.1198995499006934</v>
      </c>
      <c r="AZ74" s="533">
        <f t="shared" si="60"/>
        <v>152364.92583087503</v>
      </c>
      <c r="BA74" s="533">
        <f>BA73*[1]mProject!V78</f>
        <v>0</v>
      </c>
      <c r="BB74" s="533">
        <f t="shared" si="38"/>
        <v>11844265.947113663</v>
      </c>
      <c r="BC74" s="456"/>
      <c r="BD74" s="586">
        <f>((BB74/100)*(i_CFD.ObliRate/12))*[1]i.Finance!$O$64</f>
        <v>39851.019801226175</v>
      </c>
      <c r="BE74" s="586">
        <f>(AZ74/100*[1]i.Finance!$O$61)*[1]i.Finance!$O$64</f>
        <v>6151.7338804215788</v>
      </c>
      <c r="BF74" s="586">
        <f>(AZ74/100*[1]i.Finance!$O$65)</f>
        <v>457.09477749262504</v>
      </c>
      <c r="BG74" s="587">
        <f t="shared" si="61"/>
        <v>40308.1145787188</v>
      </c>
      <c r="BH74" s="456"/>
      <c r="BI74" s="586">
        <f>-PV([1]i.Finance!$O$63/12,[1]i.Finance!$O$62*12,mCFD!BG74)</f>
        <v>6895107.9759658724</v>
      </c>
      <c r="BJ74" s="586">
        <f>BI74*[1]i.Finance!$O$58</f>
        <v>5412659.7611332098</v>
      </c>
      <c r="BK74" s="586"/>
      <c r="BL74" s="586"/>
      <c r="BP74" s="533"/>
      <c r="BQ74" s="533"/>
      <c r="BR74" s="533" t="e">
        <f t="shared" si="62"/>
        <v>#NAME?</v>
      </c>
      <c r="BS74" s="533" t="e">
        <f t="shared" si="63"/>
        <v>#NAME?</v>
      </c>
      <c r="BT74" s="533" t="e">
        <f t="shared" si="64"/>
        <v>#NAME?</v>
      </c>
      <c r="BU74" s="533"/>
    </row>
    <row r="75" spans="1:73" ht="16" hidden="1" outlineLevel="2">
      <c r="A75" s="366"/>
      <c r="B75" s="562"/>
      <c r="C75" s="366"/>
      <c r="D75" s="454"/>
      <c r="E75" s="547">
        <f t="shared" si="74"/>
        <v>69</v>
      </c>
      <c r="F75" s="547">
        <f t="shared" si="65"/>
        <v>23</v>
      </c>
      <c r="G75" s="547">
        <f t="shared" si="66"/>
        <v>6</v>
      </c>
      <c r="H75" s="548">
        <f t="shared" si="67"/>
        <v>45930</v>
      </c>
      <c r="I75" s="549">
        <f t="shared" si="44"/>
        <v>2025</v>
      </c>
      <c r="K75" s="547">
        <f>[1]mProject!KB79</f>
        <v>8</v>
      </c>
      <c r="L75" s="547">
        <f t="shared" si="45"/>
        <v>654</v>
      </c>
      <c r="M75" s="547">
        <f t="shared" si="46"/>
        <v>295000</v>
      </c>
      <c r="N75" s="547">
        <f t="shared" si="47"/>
        <v>2360000</v>
      </c>
      <c r="O75" s="547">
        <f t="shared" si="68"/>
        <v>192930000</v>
      </c>
      <c r="P75" s="547">
        <f>[1]mProject!W79</f>
        <v>317955.97369568021</v>
      </c>
      <c r="Q75" s="547">
        <f t="shared" si="48"/>
        <v>2543647.7895654417</v>
      </c>
      <c r="R75" s="547">
        <f t="shared" si="69"/>
        <v>199948080.24145985</v>
      </c>
      <c r="T75" s="547">
        <v>0</v>
      </c>
      <c r="U75" s="547">
        <f t="shared" si="49"/>
        <v>0</v>
      </c>
      <c r="V75" s="547">
        <f>IF(T75=0,0,$V$7*(1+#REF!)^#REF!)</f>
        <v>0</v>
      </c>
      <c r="W75" s="547">
        <f t="shared" si="70"/>
        <v>0</v>
      </c>
      <c r="X75" s="547">
        <f t="shared" si="50"/>
        <v>0</v>
      </c>
      <c r="Y75" s="547">
        <f t="shared" si="51"/>
        <v>0</v>
      </c>
      <c r="AA75" s="547">
        <v>0</v>
      </c>
      <c r="AB75" s="547">
        <f t="shared" si="52"/>
        <v>0</v>
      </c>
      <c r="AC75" s="547">
        <f>IF(AA75=0,0,$V$7*(1+#REF!)^#REF!)</f>
        <v>0</v>
      </c>
      <c r="AD75" s="547">
        <f t="shared" si="71"/>
        <v>0</v>
      </c>
      <c r="AE75" s="547">
        <f t="shared" si="53"/>
        <v>0</v>
      </c>
      <c r="AF75" s="547">
        <f t="shared" si="54"/>
        <v>0</v>
      </c>
      <c r="AH75" s="547">
        <f t="shared" si="55"/>
        <v>8</v>
      </c>
      <c r="AI75" s="547">
        <f t="shared" si="72"/>
        <v>654</v>
      </c>
      <c r="AJ75" s="547">
        <f t="shared" si="56"/>
        <v>295000</v>
      </c>
      <c r="AK75" s="547">
        <f>AJ75*[1]mProject!V79</f>
        <v>317955.97369567992</v>
      </c>
      <c r="AL75" s="547">
        <f t="shared" si="57"/>
        <v>2360000</v>
      </c>
      <c r="AM75" s="547">
        <f t="shared" si="58"/>
        <v>2543647.7895654417</v>
      </c>
      <c r="AN75" s="456"/>
      <c r="AO75" s="577" t="e">
        <f t="shared" si="35"/>
        <v>#REF!</v>
      </c>
      <c r="AP75" s="577" t="e">
        <f t="shared" si="41"/>
        <v>#REF!</v>
      </c>
      <c r="AQ75" s="577" t="e">
        <f t="shared" si="43"/>
        <v>#REF!</v>
      </c>
      <c r="AR75" s="578" t="e">
        <f t="shared" si="37"/>
        <v>#REF!</v>
      </c>
      <c r="AS75" s="547" t="e">
        <f t="shared" si="40"/>
        <v>#REF!</v>
      </c>
      <c r="AT75" s="547"/>
      <c r="AU75" s="547"/>
      <c r="AV75" s="547" t="e">
        <f t="shared" si="59"/>
        <v>#REF!</v>
      </c>
      <c r="AW75" s="547" t="e">
        <f>AI75*#REF!+AI74*#REF!+AI73*#REF!</f>
        <v>#REF!</v>
      </c>
      <c r="AX75" s="456"/>
      <c r="AY75" s="585">
        <f t="shared" si="73"/>
        <v>1.1217660491505279</v>
      </c>
      <c r="AZ75" s="547">
        <f t="shared" si="60"/>
        <v>152618.86737392651</v>
      </c>
      <c r="BA75" s="547">
        <f>BA74*[1]mProject!V79</f>
        <v>0</v>
      </c>
      <c r="BB75" s="547">
        <f t="shared" si="38"/>
        <v>11996884.81448759</v>
      </c>
      <c r="BC75" s="456"/>
      <c r="BD75" s="588">
        <f>((BB75/100)*(i_CFD.ObliRate/12))*[1]i.Finance!$O$64</f>
        <v>40364.518698744701</v>
      </c>
      <c r="BE75" s="588">
        <f>(AZ75/100*[1]i.Finance!$O$61)*[1]i.Finance!$O$64</f>
        <v>6161.9867702222818</v>
      </c>
      <c r="BF75" s="588">
        <f>(AZ75/100*[1]i.Finance!$O$65)</f>
        <v>457.85660212177953</v>
      </c>
      <c r="BG75" s="589">
        <f t="shared" si="61"/>
        <v>40822.375300866479</v>
      </c>
      <c r="BH75" s="456"/>
      <c r="BI75" s="588">
        <f>-PV([1]i.Finance!$O$63/12,[1]i.Finance!$O$62*12,mCFD!BG75)</f>
        <v>6983077.4392877454</v>
      </c>
      <c r="BJ75" s="588">
        <f>BI75*[1]i.Finance!$O$58</f>
        <v>5481715.7898408808</v>
      </c>
      <c r="BK75" s="588"/>
      <c r="BL75" s="588"/>
      <c r="BP75" s="547"/>
      <c r="BQ75" s="547"/>
      <c r="BR75" s="547" t="e">
        <f t="shared" si="62"/>
        <v>#NAME?</v>
      </c>
      <c r="BS75" s="547" t="e">
        <f t="shared" si="63"/>
        <v>#NAME?</v>
      </c>
      <c r="BT75" s="547" t="e">
        <f t="shared" si="64"/>
        <v>#NAME?</v>
      </c>
      <c r="BU75" s="547"/>
    </row>
    <row r="76" spans="1:73" ht="16" hidden="1" outlineLevel="2">
      <c r="A76" s="366"/>
      <c r="B76" s="562"/>
      <c r="C76" s="366"/>
      <c r="D76" s="454"/>
      <c r="E76" s="530">
        <f t="shared" si="74"/>
        <v>70</v>
      </c>
      <c r="F76" s="530">
        <f t="shared" si="65"/>
        <v>24</v>
      </c>
      <c r="G76" s="530">
        <f t="shared" si="66"/>
        <v>6</v>
      </c>
      <c r="H76" s="554">
        <f t="shared" si="67"/>
        <v>45961</v>
      </c>
      <c r="I76" s="555">
        <f t="shared" si="44"/>
        <v>2025</v>
      </c>
      <c r="K76" s="530">
        <f>[1]mProject!KB80</f>
        <v>8</v>
      </c>
      <c r="L76" s="530">
        <f t="shared" si="45"/>
        <v>662</v>
      </c>
      <c r="M76" s="530">
        <f t="shared" si="46"/>
        <v>295000</v>
      </c>
      <c r="N76" s="530">
        <f t="shared" si="47"/>
        <v>2360000</v>
      </c>
      <c r="O76" s="530">
        <f t="shared" si="68"/>
        <v>195290000</v>
      </c>
      <c r="P76" s="530">
        <f>[1]mProject!W80</f>
        <v>318485.90031850635</v>
      </c>
      <c r="Q76" s="530">
        <f t="shared" si="48"/>
        <v>2547887.2025480508</v>
      </c>
      <c r="R76" s="530">
        <f t="shared" si="69"/>
        <v>202495967.4440079</v>
      </c>
      <c r="T76" s="530">
        <v>0</v>
      </c>
      <c r="U76" s="530">
        <f t="shared" si="49"/>
        <v>0</v>
      </c>
      <c r="V76" s="530">
        <f>IF(T76=0,0,$V$7*(1+#REF!)^#REF!)</f>
        <v>0</v>
      </c>
      <c r="W76" s="530">
        <f t="shared" si="70"/>
        <v>0</v>
      </c>
      <c r="X76" s="530">
        <f t="shared" si="50"/>
        <v>0</v>
      </c>
      <c r="Y76" s="530">
        <f t="shared" si="51"/>
        <v>0</v>
      </c>
      <c r="AA76" s="530">
        <v>0</v>
      </c>
      <c r="AB76" s="530">
        <f t="shared" si="52"/>
        <v>0</v>
      </c>
      <c r="AC76" s="530">
        <f>IF(AA76=0,0,$V$7*(1+#REF!)^#REF!)</f>
        <v>0</v>
      </c>
      <c r="AD76" s="530">
        <f t="shared" si="71"/>
        <v>0</v>
      </c>
      <c r="AE76" s="530">
        <f t="shared" si="53"/>
        <v>0</v>
      </c>
      <c r="AF76" s="530">
        <f t="shared" si="54"/>
        <v>0</v>
      </c>
      <c r="AH76" s="530">
        <f t="shared" si="55"/>
        <v>8</v>
      </c>
      <c r="AI76" s="530">
        <f t="shared" si="72"/>
        <v>662</v>
      </c>
      <c r="AJ76" s="530">
        <f t="shared" si="56"/>
        <v>295000</v>
      </c>
      <c r="AK76" s="530">
        <f>AJ76*[1]mProject!V80</f>
        <v>318485.90031850606</v>
      </c>
      <c r="AL76" s="530">
        <f t="shared" si="57"/>
        <v>2360000</v>
      </c>
      <c r="AM76" s="530">
        <f t="shared" si="58"/>
        <v>2547887.2025480508</v>
      </c>
      <c r="AN76" s="456"/>
      <c r="AO76" s="572" t="e">
        <f t="shared" si="35"/>
        <v>#REF!</v>
      </c>
      <c r="AP76" s="572" t="e">
        <f t="shared" si="41"/>
        <v>#REF!</v>
      </c>
      <c r="AQ76" s="572" t="e">
        <f t="shared" si="43"/>
        <v>#REF!</v>
      </c>
      <c r="AR76" s="573" t="e">
        <f t="shared" si="37"/>
        <v>#REF!</v>
      </c>
      <c r="AS76" s="530" t="e">
        <f t="shared" si="40"/>
        <v>#REF!</v>
      </c>
      <c r="AT76" s="530"/>
      <c r="AU76" s="530"/>
      <c r="AV76" s="530" t="e">
        <f t="shared" si="59"/>
        <v>#REF!</v>
      </c>
      <c r="AW76" s="530" t="e">
        <f>AI76*#REF!+AI75*#REF!+AI74*#REF!</f>
        <v>#REF!</v>
      </c>
      <c r="AX76" s="456"/>
      <c r="AY76" s="583">
        <f t="shared" si="73"/>
        <v>1.1236356592324455</v>
      </c>
      <c r="AZ76" s="530">
        <f t="shared" si="60"/>
        <v>152873.23215288305</v>
      </c>
      <c r="BA76" s="530">
        <f>BA75*[1]mProject!V80</f>
        <v>0</v>
      </c>
      <c r="BB76" s="530">
        <f t="shared" si="38"/>
        <v>12149758.046640472</v>
      </c>
      <c r="BC76" s="456"/>
      <c r="BD76" s="590">
        <f>((BB76/100)*(i_CFD.ObliRate/12))*[1]i.Finance!$O$64</f>
        <v>40878.873427759092</v>
      </c>
      <c r="BE76" s="590">
        <f>(AZ76/100*[1]i.Finance!$O$61)*[1]i.Finance!$O$64</f>
        <v>6172.2567481726528</v>
      </c>
      <c r="BF76" s="590">
        <f>(AZ76/100*[1]i.Finance!$O$65)</f>
        <v>458.61969645864912</v>
      </c>
      <c r="BG76" s="591">
        <f t="shared" si="61"/>
        <v>41337.493124217741</v>
      </c>
      <c r="BH76" s="456"/>
      <c r="BI76" s="590">
        <f>-PV([1]i.Finance!$O$63/12,[1]i.Finance!$O$62*12,mCFD!BG76)</f>
        <v>7071193.518381821</v>
      </c>
      <c r="BJ76" s="590">
        <f>BI76*[1]i.Finance!$O$58</f>
        <v>5550886.9119297294</v>
      </c>
      <c r="BK76" s="590"/>
      <c r="BL76" s="590"/>
      <c r="BP76" s="530"/>
      <c r="BQ76" s="530"/>
      <c r="BR76" s="530" t="e">
        <f t="shared" si="62"/>
        <v>#NAME?</v>
      </c>
      <c r="BS76" s="530" t="e">
        <f t="shared" si="63"/>
        <v>#NAME?</v>
      </c>
      <c r="BT76" s="530" t="e">
        <f t="shared" si="64"/>
        <v>#NAME?</v>
      </c>
      <c r="BU76" s="530"/>
    </row>
    <row r="77" spans="1:73" ht="16" hidden="1" outlineLevel="2">
      <c r="A77" s="366"/>
      <c r="B77" s="562"/>
      <c r="C77" s="366"/>
      <c r="D77" s="454"/>
      <c r="E77" s="533">
        <f t="shared" si="74"/>
        <v>71</v>
      </c>
      <c r="F77" s="533">
        <f t="shared" si="65"/>
        <v>24</v>
      </c>
      <c r="G77" s="533">
        <f t="shared" si="66"/>
        <v>6</v>
      </c>
      <c r="H77" s="541">
        <f t="shared" si="67"/>
        <v>45991</v>
      </c>
      <c r="I77" s="542">
        <f t="shared" si="44"/>
        <v>2025</v>
      </c>
      <c r="K77" s="533">
        <f>[1]mProject!KB81</f>
        <v>8</v>
      </c>
      <c r="L77" s="533">
        <f t="shared" si="45"/>
        <v>670</v>
      </c>
      <c r="M77" s="533">
        <f t="shared" si="46"/>
        <v>295000</v>
      </c>
      <c r="N77" s="533">
        <f t="shared" si="47"/>
        <v>2360000</v>
      </c>
      <c r="O77" s="533">
        <f t="shared" si="68"/>
        <v>197650000</v>
      </c>
      <c r="P77" s="533">
        <f>[1]mProject!W81</f>
        <v>319016.71015237056</v>
      </c>
      <c r="Q77" s="533">
        <f t="shared" si="48"/>
        <v>2552133.6812189645</v>
      </c>
      <c r="R77" s="533">
        <f t="shared" si="69"/>
        <v>205048101.12522686</v>
      </c>
      <c r="T77" s="533">
        <v>0</v>
      </c>
      <c r="U77" s="533">
        <f t="shared" si="49"/>
        <v>0</v>
      </c>
      <c r="V77" s="533">
        <f>IF(T77=0,0,$V$7*(1+#REF!)^#REF!)</f>
        <v>0</v>
      </c>
      <c r="W77" s="533">
        <f t="shared" si="70"/>
        <v>0</v>
      </c>
      <c r="X77" s="533">
        <f t="shared" si="50"/>
        <v>0</v>
      </c>
      <c r="Y77" s="533">
        <f t="shared" si="51"/>
        <v>0</v>
      </c>
      <c r="AA77" s="533">
        <v>0</v>
      </c>
      <c r="AB77" s="533">
        <f t="shared" si="52"/>
        <v>0</v>
      </c>
      <c r="AC77" s="533">
        <f>IF(AA77=0,0,$V$7*(1+#REF!)^#REF!)</f>
        <v>0</v>
      </c>
      <c r="AD77" s="533">
        <f t="shared" si="71"/>
        <v>0</v>
      </c>
      <c r="AE77" s="533">
        <f t="shared" si="53"/>
        <v>0</v>
      </c>
      <c r="AF77" s="533">
        <f t="shared" si="54"/>
        <v>0</v>
      </c>
      <c r="AH77" s="533">
        <f t="shared" si="55"/>
        <v>8</v>
      </c>
      <c r="AI77" s="533">
        <f t="shared" si="72"/>
        <v>670</v>
      </c>
      <c r="AJ77" s="533">
        <f t="shared" si="56"/>
        <v>295000</v>
      </c>
      <c r="AK77" s="533">
        <f>AJ77*[1]mProject!V81</f>
        <v>319016.71015237027</v>
      </c>
      <c r="AL77" s="533">
        <f t="shared" si="57"/>
        <v>2360000</v>
      </c>
      <c r="AM77" s="533">
        <f t="shared" si="58"/>
        <v>2552133.6812189645</v>
      </c>
      <c r="AN77" s="456"/>
      <c r="AO77" s="575" t="e">
        <f t="shared" si="35"/>
        <v>#REF!</v>
      </c>
      <c r="AP77" s="575" t="e">
        <f t="shared" si="41"/>
        <v>#REF!</v>
      </c>
      <c r="AQ77" s="575" t="e">
        <f t="shared" si="43"/>
        <v>#REF!</v>
      </c>
      <c r="AR77" s="576" t="e">
        <f t="shared" si="37"/>
        <v>#REF!</v>
      </c>
      <c r="AS77" s="533" t="e">
        <f t="shared" si="40"/>
        <v>#REF!</v>
      </c>
      <c r="AT77" s="533"/>
      <c r="AU77" s="533"/>
      <c r="AV77" s="533" t="e">
        <f t="shared" si="59"/>
        <v>#REF!</v>
      </c>
      <c r="AW77" s="533" t="e">
        <f>AI77*#REF!+AI76*#REF!+AI75*#REF!</f>
        <v>#REF!</v>
      </c>
      <c r="AX77" s="456"/>
      <c r="AY77" s="584">
        <f t="shared" si="73"/>
        <v>1.1255083853311663</v>
      </c>
      <c r="AZ77" s="533">
        <f t="shared" si="60"/>
        <v>153128.02087313787</v>
      </c>
      <c r="BA77" s="533">
        <f>BA76*[1]mProject!V81</f>
        <v>0</v>
      </c>
      <c r="BB77" s="533">
        <f t="shared" si="38"/>
        <v>12302886.067513611</v>
      </c>
      <c r="BC77" s="456"/>
      <c r="BD77" s="586">
        <f>((BB77/100)*(i_CFD.ObliRate/12))*[1]i.Finance!$O$64</f>
        <v>41394.085414655172</v>
      </c>
      <c r="BE77" s="586">
        <f>(AZ77/100*[1]i.Finance!$O$61)*[1]i.Finance!$O$64</f>
        <v>6182.5438427529416</v>
      </c>
      <c r="BF77" s="586">
        <f>(AZ77/100*[1]i.Finance!$O$65)</f>
        <v>459.38406261941361</v>
      </c>
      <c r="BG77" s="587">
        <f t="shared" si="61"/>
        <v>41853.469477274586</v>
      </c>
      <c r="BH77" s="456"/>
      <c r="BI77" s="586">
        <f>-PV([1]i.Finance!$O$63/12,[1]i.Finance!$O$62*12,mCFD!BG77)</f>
        <v>7159456.457607721</v>
      </c>
      <c r="BJ77" s="586">
        <f>BI77*[1]i.Finance!$O$58</f>
        <v>5620173.319222061</v>
      </c>
      <c r="BK77" s="586"/>
      <c r="BL77" s="586"/>
      <c r="BP77" s="533"/>
      <c r="BQ77" s="533"/>
      <c r="BR77" s="533" t="e">
        <f t="shared" si="62"/>
        <v>#NAME?</v>
      </c>
      <c r="BS77" s="533" t="e">
        <f t="shared" si="63"/>
        <v>#NAME?</v>
      </c>
      <c r="BT77" s="533" t="e">
        <f t="shared" si="64"/>
        <v>#NAME?</v>
      </c>
      <c r="BU77" s="533"/>
    </row>
    <row r="78" spans="1:73" ht="17" hidden="1" outlineLevel="2" thickBot="1">
      <c r="A78" s="366"/>
      <c r="B78" s="562"/>
      <c r="C78" s="366"/>
      <c r="D78" s="454"/>
      <c r="E78" s="564">
        <f t="shared" si="74"/>
        <v>72</v>
      </c>
      <c r="F78" s="564">
        <f t="shared" si="65"/>
        <v>24</v>
      </c>
      <c r="G78" s="564">
        <f t="shared" si="66"/>
        <v>7</v>
      </c>
      <c r="H78" s="565">
        <f t="shared" si="67"/>
        <v>46022</v>
      </c>
      <c r="I78" s="566">
        <f t="shared" si="44"/>
        <v>2025</v>
      </c>
      <c r="K78" s="564">
        <f>[1]mProject!KB82</f>
        <v>8</v>
      </c>
      <c r="L78" s="564">
        <f t="shared" si="45"/>
        <v>678</v>
      </c>
      <c r="M78" s="564">
        <f t="shared" si="46"/>
        <v>295000</v>
      </c>
      <c r="N78" s="564">
        <f t="shared" si="47"/>
        <v>2360000</v>
      </c>
      <c r="O78" s="564">
        <f t="shared" si="68"/>
        <v>200010000</v>
      </c>
      <c r="P78" s="564">
        <f>[1]mProject!W82</f>
        <v>319548.40466929117</v>
      </c>
      <c r="Q78" s="564">
        <f t="shared" si="48"/>
        <v>2556387.2373543293</v>
      </c>
      <c r="R78" s="564">
        <f t="shared" si="69"/>
        <v>207604488.36258119</v>
      </c>
      <c r="T78" s="564">
        <v>0</v>
      </c>
      <c r="U78" s="564">
        <f t="shared" si="49"/>
        <v>0</v>
      </c>
      <c r="V78" s="564">
        <f>IF(T78=0,0,$V$7*(1+#REF!)^#REF!)</f>
        <v>0</v>
      </c>
      <c r="W78" s="564">
        <f t="shared" si="70"/>
        <v>0</v>
      </c>
      <c r="X78" s="564">
        <f t="shared" si="50"/>
        <v>0</v>
      </c>
      <c r="Y78" s="564">
        <f t="shared" si="51"/>
        <v>0</v>
      </c>
      <c r="AA78" s="564">
        <v>0</v>
      </c>
      <c r="AB78" s="564">
        <f t="shared" si="52"/>
        <v>0</v>
      </c>
      <c r="AC78" s="564">
        <f>IF(AA78=0,0,$V$7*(1+#REF!)^#REF!)</f>
        <v>0</v>
      </c>
      <c r="AD78" s="564">
        <f t="shared" si="71"/>
        <v>0</v>
      </c>
      <c r="AE78" s="564">
        <f t="shared" si="53"/>
        <v>0</v>
      </c>
      <c r="AF78" s="564">
        <f t="shared" si="54"/>
        <v>0</v>
      </c>
      <c r="AH78" s="564">
        <f t="shared" si="55"/>
        <v>8</v>
      </c>
      <c r="AI78" s="564">
        <f t="shared" si="72"/>
        <v>678</v>
      </c>
      <c r="AJ78" s="564">
        <f t="shared" si="56"/>
        <v>295000</v>
      </c>
      <c r="AK78" s="564">
        <f>AJ78*[1]mProject!V82</f>
        <v>319548.40466929087</v>
      </c>
      <c r="AL78" s="564">
        <f t="shared" si="57"/>
        <v>2360000</v>
      </c>
      <c r="AM78" s="564">
        <f t="shared" si="58"/>
        <v>2556387.2373543293</v>
      </c>
      <c r="AN78" s="456"/>
      <c r="AO78" s="581" t="e">
        <f t="shared" si="35"/>
        <v>#REF!</v>
      </c>
      <c r="AP78" s="581" t="e">
        <f t="shared" si="41"/>
        <v>#REF!</v>
      </c>
      <c r="AQ78" s="581" t="e">
        <f t="shared" si="43"/>
        <v>#REF!</v>
      </c>
      <c r="AR78" s="582" t="e">
        <f t="shared" si="37"/>
        <v>#REF!</v>
      </c>
      <c r="AS78" s="564" t="e">
        <f t="shared" si="40"/>
        <v>#REF!</v>
      </c>
      <c r="AT78" s="564"/>
      <c r="AU78" s="564"/>
      <c r="AV78" s="564" t="e">
        <f t="shared" si="59"/>
        <v>#REF!</v>
      </c>
      <c r="AW78" s="564" t="e">
        <f>AI78*#REF!+AI77*#REF!+AI76*#REF!</f>
        <v>#REF!</v>
      </c>
      <c r="AX78" s="456"/>
      <c r="AY78" s="592">
        <f t="shared" si="73"/>
        <v>1.1273842326400516</v>
      </c>
      <c r="AZ78" s="564">
        <f t="shared" si="60"/>
        <v>153383.23424125975</v>
      </c>
      <c r="BA78" s="564">
        <f>BA77*[1]mProject!V82</f>
        <v>0</v>
      </c>
      <c r="BB78" s="564">
        <f t="shared" si="38"/>
        <v>12456269.301754871</v>
      </c>
      <c r="BC78" s="456"/>
      <c r="BD78" s="593">
        <f>((BB78/100)*(i_CFD.ObliRate/12))*[1]i.Finance!$O$64</f>
        <v>41910.156088196076</v>
      </c>
      <c r="BE78" s="593">
        <f>(AZ78/100*[1]i.Finance!$O$61)*[1]i.Finance!$O$64</f>
        <v>6192.848082490862</v>
      </c>
      <c r="BF78" s="593">
        <f>(AZ78/100*[1]i.Finance!$O$65)</f>
        <v>460.14970272377923</v>
      </c>
      <c r="BG78" s="594">
        <f t="shared" si="61"/>
        <v>42370.305790919854</v>
      </c>
      <c r="BH78" s="456"/>
      <c r="BI78" s="593">
        <f>-PV([1]i.Finance!$O$63/12,[1]i.Finance!$O$62*12,mCFD!BG78)</f>
        <v>7247866.501732328</v>
      </c>
      <c r="BJ78" s="593">
        <f>BI78*[1]i.Finance!$O$58</f>
        <v>5689575.2038598778</v>
      </c>
      <c r="BK78" s="593"/>
      <c r="BL78" s="593"/>
      <c r="BP78" s="564"/>
      <c r="BQ78" s="564"/>
      <c r="BR78" s="564" t="e">
        <f t="shared" si="62"/>
        <v>#NAME?</v>
      </c>
      <c r="BS78" s="564" t="e">
        <f t="shared" si="63"/>
        <v>#NAME?</v>
      </c>
      <c r="BT78" s="564" t="e">
        <f t="shared" si="64"/>
        <v>#NAME?</v>
      </c>
      <c r="BU78" s="564"/>
    </row>
    <row r="79" spans="1:73" ht="16" hidden="1" outlineLevel="2">
      <c r="A79" s="366"/>
      <c r="B79" s="562"/>
      <c r="C79" s="366"/>
      <c r="D79" s="454"/>
      <c r="E79" s="530">
        <f t="shared" si="74"/>
        <v>73</v>
      </c>
      <c r="F79" s="530">
        <f t="shared" si="65"/>
        <v>25</v>
      </c>
      <c r="G79" s="530">
        <f t="shared" si="66"/>
        <v>7</v>
      </c>
      <c r="H79" s="571">
        <f t="shared" si="67"/>
        <v>46053</v>
      </c>
      <c r="I79" s="532">
        <f t="shared" si="44"/>
        <v>2026</v>
      </c>
      <c r="K79" s="530">
        <f>[1]mProject!KB83</f>
        <v>8</v>
      </c>
      <c r="L79" s="530">
        <f t="shared" si="45"/>
        <v>686</v>
      </c>
      <c r="M79" s="530">
        <f t="shared" si="46"/>
        <v>295000</v>
      </c>
      <c r="N79" s="530">
        <f t="shared" si="47"/>
        <v>2360000</v>
      </c>
      <c r="O79" s="530">
        <f t="shared" si="68"/>
        <v>202370000</v>
      </c>
      <c r="P79" s="530">
        <f>[1]mProject!W83</f>
        <v>320080.98534373997</v>
      </c>
      <c r="Q79" s="530">
        <f t="shared" si="48"/>
        <v>2560647.8827499198</v>
      </c>
      <c r="R79" s="530">
        <f t="shared" si="69"/>
        <v>210165136.24533111</v>
      </c>
      <c r="T79" s="530">
        <v>0</v>
      </c>
      <c r="U79" s="530">
        <f t="shared" si="49"/>
        <v>0</v>
      </c>
      <c r="V79" s="530">
        <f>IF(T79=0,0,$V$7*(1+#REF!)^#REF!)</f>
        <v>0</v>
      </c>
      <c r="W79" s="530">
        <f t="shared" si="70"/>
        <v>0</v>
      </c>
      <c r="X79" s="530">
        <f t="shared" si="50"/>
        <v>0</v>
      </c>
      <c r="Y79" s="530">
        <f t="shared" si="51"/>
        <v>0</v>
      </c>
      <c r="AA79" s="530">
        <v>0</v>
      </c>
      <c r="AB79" s="530">
        <f t="shared" si="52"/>
        <v>0</v>
      </c>
      <c r="AC79" s="530">
        <f>IF(AA79=0,0,$V$7*(1+#REF!)^#REF!)</f>
        <v>0</v>
      </c>
      <c r="AD79" s="530">
        <f t="shared" si="71"/>
        <v>0</v>
      </c>
      <c r="AE79" s="530">
        <f t="shared" si="53"/>
        <v>0</v>
      </c>
      <c r="AF79" s="530">
        <f t="shared" si="54"/>
        <v>0</v>
      </c>
      <c r="AH79" s="530">
        <f t="shared" si="55"/>
        <v>8</v>
      </c>
      <c r="AI79" s="530">
        <f t="shared" si="72"/>
        <v>686</v>
      </c>
      <c r="AJ79" s="530">
        <f t="shared" si="56"/>
        <v>295000</v>
      </c>
      <c r="AK79" s="530">
        <f>AJ79*[1]mProject!V83</f>
        <v>320080.98534373974</v>
      </c>
      <c r="AL79" s="530">
        <f t="shared" si="57"/>
        <v>2360000</v>
      </c>
      <c r="AM79" s="530">
        <f t="shared" si="58"/>
        <v>2560647.8827499198</v>
      </c>
      <c r="AN79" s="456"/>
      <c r="AO79" s="572" t="e">
        <f t="shared" si="35"/>
        <v>#REF!</v>
      </c>
      <c r="AP79" s="572" t="e">
        <f t="shared" si="41"/>
        <v>#REF!</v>
      </c>
      <c r="AQ79" s="572" t="e">
        <f t="shared" si="43"/>
        <v>#REF!</v>
      </c>
      <c r="AR79" s="573" t="e">
        <f t="shared" si="37"/>
        <v>#REF!</v>
      </c>
      <c r="AS79" s="530" t="e">
        <f t="shared" si="40"/>
        <v>#REF!</v>
      </c>
      <c r="AT79" s="530"/>
      <c r="AU79" s="530"/>
      <c r="AV79" s="530" t="e">
        <f t="shared" si="59"/>
        <v>#REF!</v>
      </c>
      <c r="AW79" s="530" t="e">
        <f>AI79*#REF!+AI78*#REF!+AI77*#REF!</f>
        <v>#REF!</v>
      </c>
      <c r="AX79" s="456"/>
      <c r="AY79" s="583">
        <f t="shared" si="73"/>
        <v>1.1292632063611183</v>
      </c>
      <c r="AZ79" s="530">
        <f t="shared" si="60"/>
        <v>153638.87296499519</v>
      </c>
      <c r="BA79" s="530">
        <f>BA78*[1]mProject!V83</f>
        <v>0</v>
      </c>
      <c r="BB79" s="530">
        <f t="shared" si="38"/>
        <v>12609908.174719866</v>
      </c>
      <c r="BC79" s="456"/>
      <c r="BD79" s="590">
        <f>((BB79/100)*(i_CFD.ObliRate/12))*[1]i.Finance!$O$64</f>
        <v>42427.086879526221</v>
      </c>
      <c r="BE79" s="590">
        <f>(AZ79/100*[1]i.Finance!$O$61)*[1]i.Finance!$O$64</f>
        <v>6203.1694959616798</v>
      </c>
      <c r="BF79" s="590">
        <f>(AZ79/100*[1]i.Finance!$O$65)</f>
        <v>460.9166188949855</v>
      </c>
      <c r="BG79" s="591">
        <f t="shared" si="61"/>
        <v>42888.003498421203</v>
      </c>
      <c r="BH79" s="456"/>
      <c r="BI79" s="590">
        <f>-PV([1]i.Finance!$O$63/12,[1]i.Finance!$O$62*12,mCFD!BG79)</f>
        <v>7336423.8959304793</v>
      </c>
      <c r="BJ79" s="590">
        <f>BI79*[1]i.Finance!$O$58</f>
        <v>5759092.7583054267</v>
      </c>
      <c r="BK79" s="590"/>
      <c r="BL79" s="590"/>
      <c r="BP79" s="530"/>
      <c r="BQ79" s="530"/>
      <c r="BR79" s="530" t="e">
        <f t="shared" si="62"/>
        <v>#NAME?</v>
      </c>
      <c r="BS79" s="530" t="e">
        <f t="shared" si="63"/>
        <v>#NAME?</v>
      </c>
      <c r="BT79" s="530" t="e">
        <f t="shared" si="64"/>
        <v>#NAME?</v>
      </c>
      <c r="BU79" s="530"/>
    </row>
    <row r="80" spans="1:73" ht="16" hidden="1" outlineLevel="2">
      <c r="A80" s="366"/>
      <c r="B80" s="562"/>
      <c r="C80" s="366"/>
      <c r="D80" s="454"/>
      <c r="E80" s="533">
        <f t="shared" si="74"/>
        <v>74</v>
      </c>
      <c r="F80" s="533">
        <f t="shared" si="65"/>
        <v>25</v>
      </c>
      <c r="G80" s="533">
        <f t="shared" si="66"/>
        <v>7</v>
      </c>
      <c r="H80" s="541">
        <f t="shared" si="67"/>
        <v>46081</v>
      </c>
      <c r="I80" s="542">
        <f t="shared" si="44"/>
        <v>2026</v>
      </c>
      <c r="K80" s="533">
        <f>[1]mProject!KB84</f>
        <v>8</v>
      </c>
      <c r="L80" s="533">
        <f t="shared" si="45"/>
        <v>694</v>
      </c>
      <c r="M80" s="533">
        <f t="shared" si="46"/>
        <v>295000</v>
      </c>
      <c r="N80" s="533">
        <f t="shared" si="47"/>
        <v>2360000</v>
      </c>
      <c r="O80" s="533">
        <f t="shared" si="68"/>
        <v>204730000</v>
      </c>
      <c r="P80" s="533">
        <f>[1]mProject!W84</f>
        <v>320614.45365264622</v>
      </c>
      <c r="Q80" s="533">
        <f t="shared" si="48"/>
        <v>2564915.6292211697</v>
      </c>
      <c r="R80" s="533">
        <f t="shared" si="69"/>
        <v>212730051.87455228</v>
      </c>
      <c r="T80" s="533">
        <v>0</v>
      </c>
      <c r="U80" s="533">
        <f t="shared" si="49"/>
        <v>0</v>
      </c>
      <c r="V80" s="533">
        <f>IF(T80=0,0,$V$7*(1+#REF!)^#REF!)</f>
        <v>0</v>
      </c>
      <c r="W80" s="533">
        <f t="shared" si="70"/>
        <v>0</v>
      </c>
      <c r="X80" s="533">
        <f t="shared" si="50"/>
        <v>0</v>
      </c>
      <c r="Y80" s="533">
        <f t="shared" si="51"/>
        <v>0</v>
      </c>
      <c r="AA80" s="533">
        <v>0</v>
      </c>
      <c r="AB80" s="533">
        <f t="shared" si="52"/>
        <v>0</v>
      </c>
      <c r="AC80" s="533">
        <f>IF(AA80=0,0,$V$7*(1+#REF!)^#REF!)</f>
        <v>0</v>
      </c>
      <c r="AD80" s="533">
        <f t="shared" si="71"/>
        <v>0</v>
      </c>
      <c r="AE80" s="533">
        <f t="shared" si="53"/>
        <v>0</v>
      </c>
      <c r="AF80" s="533">
        <f t="shared" si="54"/>
        <v>0</v>
      </c>
      <c r="AH80" s="533">
        <f t="shared" si="55"/>
        <v>8</v>
      </c>
      <c r="AI80" s="533">
        <f t="shared" si="72"/>
        <v>694</v>
      </c>
      <c r="AJ80" s="533">
        <f t="shared" si="56"/>
        <v>295000</v>
      </c>
      <c r="AK80" s="533">
        <f>AJ80*[1]mProject!V84</f>
        <v>320614.45365264599</v>
      </c>
      <c r="AL80" s="533">
        <f t="shared" si="57"/>
        <v>2360000</v>
      </c>
      <c r="AM80" s="533">
        <f t="shared" si="58"/>
        <v>2564915.6292211697</v>
      </c>
      <c r="AN80" s="456"/>
      <c r="AO80" s="575" t="e">
        <f t="shared" si="35"/>
        <v>#REF!</v>
      </c>
      <c r="AP80" s="575" t="e">
        <f t="shared" si="41"/>
        <v>#REF!</v>
      </c>
      <c r="AQ80" s="575" t="e">
        <f t="shared" si="43"/>
        <v>#REF!</v>
      </c>
      <c r="AR80" s="576" t="e">
        <f t="shared" si="37"/>
        <v>#REF!</v>
      </c>
      <c r="AS80" s="533" t="e">
        <f t="shared" si="40"/>
        <v>#REF!</v>
      </c>
      <c r="AT80" s="533"/>
      <c r="AU80" s="533"/>
      <c r="AV80" s="533" t="e">
        <f t="shared" si="59"/>
        <v>#REF!</v>
      </c>
      <c r="AW80" s="533" t="e">
        <f>AI80*#REF!+AI79*#REF!+AI78*#REF!</f>
        <v>#REF!</v>
      </c>
      <c r="AX80" s="456"/>
      <c r="AY80" s="584">
        <f t="shared" si="73"/>
        <v>1.1311453117050536</v>
      </c>
      <c r="AZ80" s="533">
        <f t="shared" si="60"/>
        <v>153894.93775327018</v>
      </c>
      <c r="BA80" s="533">
        <f>BA79*[1]mProject!V84</f>
        <v>0</v>
      </c>
      <c r="BB80" s="533">
        <f t="shared" si="38"/>
        <v>12763803.112473136</v>
      </c>
      <c r="BC80" s="456"/>
      <c r="BD80" s="586">
        <f>((BB80/100)*(i_CFD.ObliRate/12))*[1]i.Finance!$O$64</f>
        <v>42944.879222175237</v>
      </c>
      <c r="BE80" s="586">
        <f>(AZ80/100*[1]i.Finance!$O$61)*[1]i.Finance!$O$64</f>
        <v>6213.5081117882837</v>
      </c>
      <c r="BF80" s="586">
        <f>(AZ80/100*[1]i.Finance!$O$65)</f>
        <v>461.68481325981054</v>
      </c>
      <c r="BG80" s="587">
        <f t="shared" si="61"/>
        <v>43406.564035435047</v>
      </c>
      <c r="BH80" s="456"/>
      <c r="BI80" s="586">
        <f>-PV([1]i.Finance!$O$63/12,[1]i.Finance!$O$62*12,mCFD!BG80)</f>
        <v>7425128.8857856244</v>
      </c>
      <c r="BJ80" s="586">
        <f>BI80*[1]i.Finance!$O$58</f>
        <v>5828726.1753417151</v>
      </c>
      <c r="BK80" s="586"/>
      <c r="BL80" s="586"/>
      <c r="BP80" s="533"/>
      <c r="BQ80" s="533"/>
      <c r="BR80" s="533" t="e">
        <f t="shared" si="62"/>
        <v>#NAME?</v>
      </c>
      <c r="BS80" s="533" t="e">
        <f t="shared" si="63"/>
        <v>#NAME?</v>
      </c>
      <c r="BT80" s="533" t="e">
        <f t="shared" si="64"/>
        <v>#NAME?</v>
      </c>
      <c r="BU80" s="533"/>
    </row>
    <row r="81" spans="1:73" ht="16" hidden="1" outlineLevel="2">
      <c r="A81" s="366"/>
      <c r="B81" s="562"/>
      <c r="C81" s="366"/>
      <c r="D81" s="454"/>
      <c r="E81" s="547">
        <f t="shared" si="74"/>
        <v>75</v>
      </c>
      <c r="F81" s="547">
        <f t="shared" si="65"/>
        <v>25</v>
      </c>
      <c r="G81" s="547">
        <f t="shared" si="66"/>
        <v>7</v>
      </c>
      <c r="H81" s="548">
        <f t="shared" si="67"/>
        <v>46112</v>
      </c>
      <c r="I81" s="549">
        <f t="shared" si="44"/>
        <v>2026</v>
      </c>
      <c r="K81" s="547">
        <f>[1]mProject!KB85</f>
        <v>12</v>
      </c>
      <c r="L81" s="547">
        <f t="shared" si="45"/>
        <v>706</v>
      </c>
      <c r="M81" s="547">
        <f t="shared" si="46"/>
        <v>295000</v>
      </c>
      <c r="N81" s="547">
        <f t="shared" si="47"/>
        <v>3540000</v>
      </c>
      <c r="O81" s="547">
        <f t="shared" si="68"/>
        <v>208270000</v>
      </c>
      <c r="P81" s="547">
        <f>[1]mProject!W85</f>
        <v>321148.81107540062</v>
      </c>
      <c r="Q81" s="547">
        <f t="shared" si="48"/>
        <v>3853785.7329048077</v>
      </c>
      <c r="R81" s="547">
        <f t="shared" si="69"/>
        <v>216583837.6074571</v>
      </c>
      <c r="T81" s="547">
        <v>0</v>
      </c>
      <c r="U81" s="547">
        <f t="shared" si="49"/>
        <v>0</v>
      </c>
      <c r="V81" s="547">
        <f>IF(T81=0,0,$V$7*(1+#REF!)^#REF!)</f>
        <v>0</v>
      </c>
      <c r="W81" s="547">
        <f t="shared" si="70"/>
        <v>0</v>
      </c>
      <c r="X81" s="547">
        <f t="shared" si="50"/>
        <v>0</v>
      </c>
      <c r="Y81" s="547">
        <f t="shared" si="51"/>
        <v>0</v>
      </c>
      <c r="AA81" s="547">
        <v>0</v>
      </c>
      <c r="AB81" s="547">
        <f t="shared" si="52"/>
        <v>0</v>
      </c>
      <c r="AC81" s="547">
        <f>IF(AA81=0,0,$V$7*(1+#REF!)^#REF!)</f>
        <v>0</v>
      </c>
      <c r="AD81" s="547">
        <f t="shared" si="71"/>
        <v>0</v>
      </c>
      <c r="AE81" s="547">
        <f t="shared" si="53"/>
        <v>0</v>
      </c>
      <c r="AF81" s="547">
        <f t="shared" si="54"/>
        <v>0</v>
      </c>
      <c r="AH81" s="547">
        <f t="shared" si="55"/>
        <v>12</v>
      </c>
      <c r="AI81" s="547">
        <f t="shared" si="72"/>
        <v>706</v>
      </c>
      <c r="AJ81" s="547">
        <f t="shared" si="56"/>
        <v>295000</v>
      </c>
      <c r="AK81" s="547">
        <f>AJ81*[1]mProject!V85</f>
        <v>321148.81107540039</v>
      </c>
      <c r="AL81" s="547">
        <f t="shared" si="57"/>
        <v>3540000</v>
      </c>
      <c r="AM81" s="547">
        <f t="shared" si="58"/>
        <v>3853785.7329048077</v>
      </c>
      <c r="AN81" s="456"/>
      <c r="AO81" s="577" t="e">
        <f t="shared" si="35"/>
        <v>#REF!</v>
      </c>
      <c r="AP81" s="577" t="e">
        <f t="shared" si="41"/>
        <v>#REF!</v>
      </c>
      <c r="AQ81" s="577" t="e">
        <f t="shared" si="43"/>
        <v>#REF!</v>
      </c>
      <c r="AR81" s="578" t="e">
        <f t="shared" si="37"/>
        <v>#REF!</v>
      </c>
      <c r="AS81" s="547" t="e">
        <f t="shared" si="40"/>
        <v>#REF!</v>
      </c>
      <c r="AT81" s="547"/>
      <c r="AU81" s="547"/>
      <c r="AV81" s="547" t="e">
        <f t="shared" si="59"/>
        <v>#REF!</v>
      </c>
      <c r="AW81" s="547" t="e">
        <f>AI81*#REF!+AI80*#REF!+AI79*#REF!</f>
        <v>#REF!</v>
      </c>
      <c r="AX81" s="456"/>
      <c r="AY81" s="585">
        <f t="shared" si="73"/>
        <v>1.1330305538912286</v>
      </c>
      <c r="AZ81" s="547">
        <f t="shared" si="60"/>
        <v>231227.14397428848</v>
      </c>
      <c r="BA81" s="547">
        <f>BA80*[1]mProject!V85</f>
        <v>0</v>
      </c>
      <c r="BB81" s="547">
        <f t="shared" si="38"/>
        <v>12995030.256447425</v>
      </c>
      <c r="BC81" s="456"/>
      <c r="BD81" s="588">
        <f>((BB81/100)*(i_CFD.ObliRate/12))*[1]i.Finance!$O$64</f>
        <v>43722.8622170054</v>
      </c>
      <c r="BE81" s="588">
        <f>(AZ81/100*[1]i.Finance!$O$61)*[1]i.Finance!$O$64</f>
        <v>9335.7959379618969</v>
      </c>
      <c r="BF81" s="588">
        <f>(AZ81/100*[1]i.Finance!$O$65)</f>
        <v>693.6814319228655</v>
      </c>
      <c r="BG81" s="589">
        <f t="shared" si="61"/>
        <v>44416.543648928266</v>
      </c>
      <c r="BH81" s="456"/>
      <c r="BI81" s="588">
        <f>-PV([1]i.Finance!$O$63/12,[1]i.Finance!$O$62*12,mCFD!BG81)</f>
        <v>7597896.0459801303</v>
      </c>
      <c r="BJ81" s="588">
        <f>BI81*[1]i.Finance!$O$58</f>
        <v>5964348.3960944023</v>
      </c>
      <c r="BK81" s="588"/>
      <c r="BL81" s="588"/>
      <c r="BP81" s="547"/>
      <c r="BQ81" s="547"/>
      <c r="BR81" s="547" t="e">
        <f t="shared" si="62"/>
        <v>#NAME?</v>
      </c>
      <c r="BS81" s="547" t="e">
        <f t="shared" si="63"/>
        <v>#NAME?</v>
      </c>
      <c r="BT81" s="547" t="e">
        <f t="shared" si="64"/>
        <v>#NAME?</v>
      </c>
      <c r="BU81" s="547"/>
    </row>
    <row r="82" spans="1:73" ht="16" hidden="1" outlineLevel="2">
      <c r="A82" s="366"/>
      <c r="B82" s="562"/>
      <c r="C82" s="366"/>
      <c r="D82" s="454"/>
      <c r="E82" s="530">
        <f t="shared" si="74"/>
        <v>76</v>
      </c>
      <c r="F82" s="530">
        <f t="shared" si="65"/>
        <v>26</v>
      </c>
      <c r="G82" s="530">
        <f t="shared" si="66"/>
        <v>7</v>
      </c>
      <c r="H82" s="554">
        <f t="shared" si="67"/>
        <v>46142</v>
      </c>
      <c r="I82" s="555">
        <f t="shared" si="44"/>
        <v>2026</v>
      </c>
      <c r="K82" s="530">
        <f>[1]mProject!KB86</f>
        <v>12</v>
      </c>
      <c r="L82" s="530">
        <f t="shared" si="45"/>
        <v>718</v>
      </c>
      <c r="M82" s="530">
        <f t="shared" si="46"/>
        <v>295000</v>
      </c>
      <c r="N82" s="530">
        <f t="shared" si="47"/>
        <v>3540000</v>
      </c>
      <c r="O82" s="530">
        <f t="shared" si="68"/>
        <v>211810000</v>
      </c>
      <c r="P82" s="530">
        <f>[1]mProject!W86</f>
        <v>321684.05909385963</v>
      </c>
      <c r="Q82" s="530">
        <f t="shared" si="48"/>
        <v>3860208.7091263155</v>
      </c>
      <c r="R82" s="530">
        <f t="shared" si="69"/>
        <v>220444046.31658342</v>
      </c>
      <c r="T82" s="530">
        <v>0</v>
      </c>
      <c r="U82" s="530">
        <f t="shared" si="49"/>
        <v>0</v>
      </c>
      <c r="V82" s="530">
        <f>IF(T82=0,0,$V$7*(1+#REF!)^#REF!)</f>
        <v>0</v>
      </c>
      <c r="W82" s="530">
        <f t="shared" si="70"/>
        <v>0</v>
      </c>
      <c r="X82" s="530">
        <f t="shared" si="50"/>
        <v>0</v>
      </c>
      <c r="Y82" s="530">
        <f t="shared" si="51"/>
        <v>0</v>
      </c>
      <c r="AA82" s="530">
        <v>0</v>
      </c>
      <c r="AB82" s="530">
        <f t="shared" si="52"/>
        <v>0</v>
      </c>
      <c r="AC82" s="530">
        <f>IF(AA82=0,0,$V$7*(1+#REF!)^#REF!)</f>
        <v>0</v>
      </c>
      <c r="AD82" s="530">
        <f t="shared" si="71"/>
        <v>0</v>
      </c>
      <c r="AE82" s="530">
        <f t="shared" si="53"/>
        <v>0</v>
      </c>
      <c r="AF82" s="530">
        <f t="shared" si="54"/>
        <v>0</v>
      </c>
      <c r="AH82" s="530">
        <f t="shared" si="55"/>
        <v>12</v>
      </c>
      <c r="AI82" s="530">
        <f t="shared" si="72"/>
        <v>718</v>
      </c>
      <c r="AJ82" s="530">
        <f t="shared" si="56"/>
        <v>295000</v>
      </c>
      <c r="AK82" s="530">
        <f>AJ82*[1]mProject!V86</f>
        <v>321684.0590938594</v>
      </c>
      <c r="AL82" s="530">
        <f t="shared" si="57"/>
        <v>3540000</v>
      </c>
      <c r="AM82" s="530">
        <f t="shared" si="58"/>
        <v>3860208.7091263155</v>
      </c>
      <c r="AN82" s="456"/>
      <c r="AO82" s="572" t="e">
        <f t="shared" si="35"/>
        <v>#REF!</v>
      </c>
      <c r="AP82" s="572" t="e">
        <f t="shared" si="41"/>
        <v>#REF!</v>
      </c>
      <c r="AQ82" s="572" t="e">
        <f t="shared" si="43"/>
        <v>#REF!</v>
      </c>
      <c r="AR82" s="573" t="e">
        <f t="shared" si="37"/>
        <v>#REF!</v>
      </c>
      <c r="AS82" s="530" t="e">
        <f t="shared" si="40"/>
        <v>#REF!</v>
      </c>
      <c r="AT82" s="530"/>
      <c r="AU82" s="530"/>
      <c r="AV82" s="530" t="e">
        <f t="shared" si="59"/>
        <v>#REF!</v>
      </c>
      <c r="AW82" s="530" t="e">
        <f>AI82*#REF!+AI81*#REF!+AI80*#REF!</f>
        <v>#REF!</v>
      </c>
      <c r="AX82" s="456"/>
      <c r="AY82" s="583">
        <f t="shared" si="73"/>
        <v>1.1349189381477141</v>
      </c>
      <c r="AZ82" s="530">
        <f t="shared" si="60"/>
        <v>231612.5225475789</v>
      </c>
      <c r="BA82" s="530">
        <f>BA81*[1]mProject!V86</f>
        <v>0</v>
      </c>
      <c r="BB82" s="530">
        <f t="shared" si="38"/>
        <v>13226642.778995004</v>
      </c>
      <c r="BC82" s="456"/>
      <c r="BD82" s="590">
        <f>((BB82/100)*(i_CFD.ObliRate/12))*[1]i.Finance!$O$64</f>
        <v>44502.141850160275</v>
      </c>
      <c r="BE82" s="590">
        <f>(AZ82/100*[1]i.Finance!$O$61)*[1]i.Finance!$O$64</f>
        <v>9351.3555978584973</v>
      </c>
      <c r="BF82" s="590">
        <f>(AZ82/100*[1]i.Finance!$O$65)</f>
        <v>694.83756764273676</v>
      </c>
      <c r="BG82" s="591">
        <f t="shared" si="61"/>
        <v>45196.979417803013</v>
      </c>
      <c r="BH82" s="456"/>
      <c r="BI82" s="590">
        <f>-PV([1]i.Finance!$O$63/12,[1]i.Finance!$O$62*12,mCFD!BG82)</f>
        <v>7731397.42531625</v>
      </c>
      <c r="BJ82" s="590">
        <f>BI82*[1]i.Finance!$O$58</f>
        <v>6069146.9788732566</v>
      </c>
      <c r="BK82" s="590"/>
      <c r="BL82" s="590"/>
      <c r="BP82" s="530"/>
      <c r="BQ82" s="530"/>
      <c r="BR82" s="530" t="e">
        <f t="shared" si="62"/>
        <v>#NAME?</v>
      </c>
      <c r="BS82" s="530" t="e">
        <f t="shared" si="63"/>
        <v>#NAME?</v>
      </c>
      <c r="BT82" s="530" t="e">
        <f t="shared" si="64"/>
        <v>#NAME?</v>
      </c>
      <c r="BU82" s="530"/>
    </row>
    <row r="83" spans="1:73" ht="16" hidden="1" outlineLevel="2">
      <c r="A83" s="366"/>
      <c r="B83" s="562"/>
      <c r="C83" s="366"/>
      <c r="D83" s="454"/>
      <c r="E83" s="533">
        <f t="shared" si="74"/>
        <v>77</v>
      </c>
      <c r="F83" s="533">
        <f t="shared" si="65"/>
        <v>26</v>
      </c>
      <c r="G83" s="533">
        <f t="shared" si="66"/>
        <v>7</v>
      </c>
      <c r="H83" s="541">
        <f t="shared" si="67"/>
        <v>46173</v>
      </c>
      <c r="I83" s="542">
        <f t="shared" si="44"/>
        <v>2026</v>
      </c>
      <c r="K83" s="533">
        <f>[1]mProject!KB87</f>
        <v>12</v>
      </c>
      <c r="L83" s="533">
        <f t="shared" si="45"/>
        <v>730</v>
      </c>
      <c r="M83" s="533">
        <f t="shared" si="46"/>
        <v>295000</v>
      </c>
      <c r="N83" s="533">
        <f t="shared" si="47"/>
        <v>3540000</v>
      </c>
      <c r="O83" s="533">
        <f t="shared" si="68"/>
        <v>215350000</v>
      </c>
      <c r="P83" s="533">
        <f>[1]mProject!W87</f>
        <v>322220.19919234939</v>
      </c>
      <c r="Q83" s="533">
        <f t="shared" si="48"/>
        <v>3866642.3903081929</v>
      </c>
      <c r="R83" s="533">
        <f t="shared" si="69"/>
        <v>224310688.70689163</v>
      </c>
      <c r="T83" s="533">
        <v>0</v>
      </c>
      <c r="U83" s="533">
        <f t="shared" si="49"/>
        <v>0</v>
      </c>
      <c r="V83" s="533">
        <f>IF(T83=0,0,$V$7*(1+#REF!)^#REF!)</f>
        <v>0</v>
      </c>
      <c r="W83" s="533">
        <f t="shared" si="70"/>
        <v>0</v>
      </c>
      <c r="X83" s="533">
        <f t="shared" si="50"/>
        <v>0</v>
      </c>
      <c r="Y83" s="533">
        <f t="shared" si="51"/>
        <v>0</v>
      </c>
      <c r="AA83" s="533">
        <v>0</v>
      </c>
      <c r="AB83" s="533">
        <f t="shared" si="52"/>
        <v>0</v>
      </c>
      <c r="AC83" s="533">
        <f>IF(AA83=0,0,$V$7*(1+#REF!)^#REF!)</f>
        <v>0</v>
      </c>
      <c r="AD83" s="533">
        <f t="shared" si="71"/>
        <v>0</v>
      </c>
      <c r="AE83" s="533">
        <f t="shared" si="53"/>
        <v>0</v>
      </c>
      <c r="AF83" s="533">
        <f t="shared" si="54"/>
        <v>0</v>
      </c>
      <c r="AH83" s="533">
        <f t="shared" si="55"/>
        <v>12</v>
      </c>
      <c r="AI83" s="533">
        <f t="shared" si="72"/>
        <v>730</v>
      </c>
      <c r="AJ83" s="533">
        <f t="shared" si="56"/>
        <v>295000</v>
      </c>
      <c r="AK83" s="533">
        <f>AJ83*[1]mProject!V87</f>
        <v>322220.19919234916</v>
      </c>
      <c r="AL83" s="533">
        <f t="shared" si="57"/>
        <v>3540000</v>
      </c>
      <c r="AM83" s="533">
        <f t="shared" si="58"/>
        <v>3866642.3903081929</v>
      </c>
      <c r="AN83" s="456"/>
      <c r="AO83" s="575" t="e">
        <f t="shared" ref="AO83:AO146" si="75">$L83*AO$6</f>
        <v>#REF!</v>
      </c>
      <c r="AP83" s="575" t="e">
        <f t="shared" si="41"/>
        <v>#REF!</v>
      </c>
      <c r="AQ83" s="575" t="e">
        <f t="shared" si="43"/>
        <v>#REF!</v>
      </c>
      <c r="AR83" s="576" t="e">
        <f t="shared" ref="AR83:AR146" si="76">SUM(AO83:AQ83)</f>
        <v>#REF!</v>
      </c>
      <c r="AS83" s="533" t="e">
        <f t="shared" si="40"/>
        <v>#REF!</v>
      </c>
      <c r="AT83" s="533"/>
      <c r="AU83" s="533"/>
      <c r="AV83" s="533" t="e">
        <f t="shared" si="59"/>
        <v>#REF!</v>
      </c>
      <c r="AW83" s="533" t="e">
        <f>AI83*#REF!+AI82*#REF!+AI81*#REF!</f>
        <v>#REF!</v>
      </c>
      <c r="AX83" s="456"/>
      <c r="AY83" s="584">
        <f t="shared" si="73"/>
        <v>1.1368104697112935</v>
      </c>
      <c r="AZ83" s="533">
        <f t="shared" si="60"/>
        <v>231998.54341849161</v>
      </c>
      <c r="BA83" s="533">
        <f>BA82*[1]mProject!V87</f>
        <v>0</v>
      </c>
      <c r="BB83" s="533">
        <f t="shared" ref="BB83:BB146" si="77">BB82+AZ83+BA83</f>
        <v>13458641.322413495</v>
      </c>
      <c r="BC83" s="456"/>
      <c r="BD83" s="586">
        <f>((BB83/100)*(i_CFD.ObliRate/12))*[1]i.Finance!$O$64</f>
        <v>45282.72028270374</v>
      </c>
      <c r="BE83" s="586">
        <f>(AZ83/100*[1]i.Finance!$O$61)*[1]i.Finance!$O$64</f>
        <v>9366.9411905215966</v>
      </c>
      <c r="BF83" s="586">
        <f>(AZ83/100*[1]i.Finance!$O$65)</f>
        <v>695.99563025547479</v>
      </c>
      <c r="BG83" s="587">
        <f t="shared" si="61"/>
        <v>45978.715912959218</v>
      </c>
      <c r="BH83" s="456"/>
      <c r="BI83" s="586">
        <f>-PV([1]i.Finance!$O$63/12,[1]i.Finance!$O$62*12,mCFD!BG83)</f>
        <v>7865121.3069512649</v>
      </c>
      <c r="BJ83" s="586">
        <f>BI83*[1]i.Finance!$O$58</f>
        <v>6174120.2259567436</v>
      </c>
      <c r="BK83" s="586"/>
      <c r="BL83" s="586"/>
      <c r="BP83" s="533"/>
      <c r="BQ83" s="533"/>
      <c r="BR83" s="533" t="e">
        <f t="shared" si="62"/>
        <v>#NAME?</v>
      </c>
      <c r="BS83" s="533" t="e">
        <f t="shared" si="63"/>
        <v>#NAME?</v>
      </c>
      <c r="BT83" s="533" t="e">
        <f t="shared" si="64"/>
        <v>#NAME?</v>
      </c>
      <c r="BU83" s="533"/>
    </row>
    <row r="84" spans="1:73" ht="16" hidden="1" outlineLevel="2">
      <c r="A84" s="366"/>
      <c r="B84" s="562"/>
      <c r="C84" s="366"/>
      <c r="D84" s="454"/>
      <c r="E84" s="547">
        <f t="shared" si="74"/>
        <v>78</v>
      </c>
      <c r="F84" s="547">
        <f t="shared" si="65"/>
        <v>26</v>
      </c>
      <c r="G84" s="547">
        <f t="shared" si="66"/>
        <v>7</v>
      </c>
      <c r="H84" s="548">
        <f t="shared" si="67"/>
        <v>46203</v>
      </c>
      <c r="I84" s="549">
        <f t="shared" si="44"/>
        <v>2026</v>
      </c>
      <c r="K84" s="547">
        <f>[1]mProject!KB88</f>
        <v>12</v>
      </c>
      <c r="L84" s="547">
        <f t="shared" si="45"/>
        <v>742</v>
      </c>
      <c r="M84" s="547">
        <f t="shared" si="46"/>
        <v>295000</v>
      </c>
      <c r="N84" s="547">
        <f t="shared" si="47"/>
        <v>3540000</v>
      </c>
      <c r="O84" s="547">
        <f t="shared" si="68"/>
        <v>218890000</v>
      </c>
      <c r="P84" s="547">
        <f>[1]mProject!W88</f>
        <v>322757.23285766999</v>
      </c>
      <c r="Q84" s="547">
        <f t="shared" si="48"/>
        <v>3873086.7942920402</v>
      </c>
      <c r="R84" s="547">
        <f t="shared" si="69"/>
        <v>228183775.50118366</v>
      </c>
      <c r="T84" s="547">
        <v>0</v>
      </c>
      <c r="U84" s="547">
        <f t="shared" si="49"/>
        <v>0</v>
      </c>
      <c r="V84" s="547">
        <f>IF(T84=0,0,$V$7*(1+#REF!)^#REF!)</f>
        <v>0</v>
      </c>
      <c r="W84" s="547">
        <f t="shared" si="70"/>
        <v>0</v>
      </c>
      <c r="X84" s="547">
        <f t="shared" si="50"/>
        <v>0</v>
      </c>
      <c r="Y84" s="547">
        <f t="shared" si="51"/>
        <v>0</v>
      </c>
      <c r="AA84" s="547">
        <v>0</v>
      </c>
      <c r="AB84" s="547">
        <f t="shared" si="52"/>
        <v>0</v>
      </c>
      <c r="AC84" s="547">
        <f>IF(AA84=0,0,$V$7*(1+#REF!)^#REF!)</f>
        <v>0</v>
      </c>
      <c r="AD84" s="547">
        <f t="shared" si="71"/>
        <v>0</v>
      </c>
      <c r="AE84" s="547">
        <f t="shared" si="53"/>
        <v>0</v>
      </c>
      <c r="AF84" s="547">
        <f t="shared" si="54"/>
        <v>0</v>
      </c>
      <c r="AH84" s="547">
        <f t="shared" si="55"/>
        <v>12</v>
      </c>
      <c r="AI84" s="547">
        <f t="shared" si="72"/>
        <v>742</v>
      </c>
      <c r="AJ84" s="547">
        <f t="shared" si="56"/>
        <v>295000</v>
      </c>
      <c r="AK84" s="547">
        <f>AJ84*[1]mProject!V88</f>
        <v>322757.23285766976</v>
      </c>
      <c r="AL84" s="547">
        <f t="shared" si="57"/>
        <v>3540000</v>
      </c>
      <c r="AM84" s="547">
        <f t="shared" si="58"/>
        <v>3873086.7942920402</v>
      </c>
      <c r="AN84" s="456"/>
      <c r="AO84" s="577" t="e">
        <f t="shared" si="75"/>
        <v>#REF!</v>
      </c>
      <c r="AP84" s="577" t="e">
        <f t="shared" si="41"/>
        <v>#REF!</v>
      </c>
      <c r="AQ84" s="577" t="e">
        <f t="shared" si="43"/>
        <v>#REF!</v>
      </c>
      <c r="AR84" s="578" t="e">
        <f t="shared" si="76"/>
        <v>#REF!</v>
      </c>
      <c r="AS84" s="547" t="e">
        <f t="shared" si="40"/>
        <v>#REF!</v>
      </c>
      <c r="AT84" s="547"/>
      <c r="AU84" s="547"/>
      <c r="AV84" s="547" t="e">
        <f t="shared" si="59"/>
        <v>#REF!</v>
      </c>
      <c r="AW84" s="547" t="e">
        <f>AI84*#REF!+AI83*#REF!+AI82*#REF!</f>
        <v>#REF!</v>
      </c>
      <c r="AX84" s="456"/>
      <c r="AY84" s="585">
        <f t="shared" si="73"/>
        <v>1.1387051538274791</v>
      </c>
      <c r="AZ84" s="547">
        <f t="shared" si="60"/>
        <v>232385.20765752241</v>
      </c>
      <c r="BA84" s="547">
        <f>BA83*[1]mProject!V88</f>
        <v>0</v>
      </c>
      <c r="BB84" s="547">
        <f t="shared" si="77"/>
        <v>13691026.530071016</v>
      </c>
      <c r="BC84" s="456"/>
      <c r="BD84" s="588">
        <f>((BB84/100)*(i_CFD.ObliRate/12))*[1]i.Finance!$O$64</f>
        <v>46064.599679301442</v>
      </c>
      <c r="BE84" s="588">
        <f>(AZ84/100*[1]i.Finance!$O$61)*[1]i.Finance!$O$64</f>
        <v>9382.5527591724676</v>
      </c>
      <c r="BF84" s="588">
        <f>(AZ84/100*[1]i.Finance!$O$65)</f>
        <v>697.15562297256724</v>
      </c>
      <c r="BG84" s="589">
        <f t="shared" si="61"/>
        <v>46761.75530227401</v>
      </c>
      <c r="BH84" s="456"/>
      <c r="BI84" s="588">
        <f>-PV([1]i.Finance!$O$63/12,[1]i.Finance!$O$62*12,mCFD!BG84)</f>
        <v>7999068.0617223345</v>
      </c>
      <c r="BJ84" s="588">
        <f>BI84*[1]i.Finance!$O$58</f>
        <v>6279268.4284520326</v>
      </c>
      <c r="BK84" s="588"/>
      <c r="BL84" s="588"/>
      <c r="BP84" s="547"/>
      <c r="BQ84" s="547"/>
      <c r="BR84" s="547" t="e">
        <f t="shared" si="62"/>
        <v>#NAME?</v>
      </c>
      <c r="BS84" s="547" t="e">
        <f t="shared" si="63"/>
        <v>#NAME?</v>
      </c>
      <c r="BT84" s="547" t="e">
        <f t="shared" si="64"/>
        <v>#NAME?</v>
      </c>
      <c r="BU84" s="547"/>
    </row>
    <row r="85" spans="1:73" ht="16" hidden="1" outlineLevel="2">
      <c r="A85" s="366"/>
      <c r="B85" s="562"/>
      <c r="C85" s="366"/>
      <c r="D85" s="454"/>
      <c r="E85" s="530">
        <f t="shared" si="74"/>
        <v>79</v>
      </c>
      <c r="F85" s="530">
        <f t="shared" si="65"/>
        <v>27</v>
      </c>
      <c r="G85" s="530">
        <f t="shared" si="66"/>
        <v>7</v>
      </c>
      <c r="H85" s="554">
        <f t="shared" si="67"/>
        <v>46234</v>
      </c>
      <c r="I85" s="555">
        <f t="shared" si="44"/>
        <v>2026</v>
      </c>
      <c r="K85" s="530">
        <f>[1]mProject!KB89</f>
        <v>12</v>
      </c>
      <c r="L85" s="530">
        <f t="shared" si="45"/>
        <v>754</v>
      </c>
      <c r="M85" s="530">
        <f t="shared" si="46"/>
        <v>295000</v>
      </c>
      <c r="N85" s="530">
        <f t="shared" si="47"/>
        <v>3540000</v>
      </c>
      <c r="O85" s="530">
        <f t="shared" si="68"/>
        <v>222430000</v>
      </c>
      <c r="P85" s="530">
        <f>[1]mProject!W89</f>
        <v>323295.16157909948</v>
      </c>
      <c r="Q85" s="530">
        <f t="shared" si="48"/>
        <v>3879541.9389491938</v>
      </c>
      <c r="R85" s="530">
        <f t="shared" si="69"/>
        <v>232063317.44013286</v>
      </c>
      <c r="T85" s="530">
        <v>0</v>
      </c>
      <c r="U85" s="530">
        <f t="shared" si="49"/>
        <v>0</v>
      </c>
      <c r="V85" s="530">
        <f>IF(T85=0,0,$V$7*(1+#REF!)^#REF!)</f>
        <v>0</v>
      </c>
      <c r="W85" s="530">
        <f t="shared" si="70"/>
        <v>0</v>
      </c>
      <c r="X85" s="530">
        <f t="shared" si="50"/>
        <v>0</v>
      </c>
      <c r="Y85" s="530">
        <f t="shared" si="51"/>
        <v>0</v>
      </c>
      <c r="AA85" s="530">
        <v>0</v>
      </c>
      <c r="AB85" s="530">
        <f t="shared" si="52"/>
        <v>0</v>
      </c>
      <c r="AC85" s="530">
        <f>IF(AA85=0,0,$V$7*(1+#REF!)^#REF!)</f>
        <v>0</v>
      </c>
      <c r="AD85" s="530">
        <f t="shared" si="71"/>
        <v>0</v>
      </c>
      <c r="AE85" s="530">
        <f t="shared" si="53"/>
        <v>0</v>
      </c>
      <c r="AF85" s="530">
        <f t="shared" si="54"/>
        <v>0</v>
      </c>
      <c r="AH85" s="530">
        <f t="shared" si="55"/>
        <v>12</v>
      </c>
      <c r="AI85" s="530">
        <f t="shared" si="72"/>
        <v>754</v>
      </c>
      <c r="AJ85" s="530">
        <f t="shared" si="56"/>
        <v>295000</v>
      </c>
      <c r="AK85" s="530">
        <f>AJ85*[1]mProject!V89</f>
        <v>323295.16157909919</v>
      </c>
      <c r="AL85" s="530">
        <f t="shared" si="57"/>
        <v>3540000</v>
      </c>
      <c r="AM85" s="530">
        <f t="shared" si="58"/>
        <v>3879541.9389491938</v>
      </c>
      <c r="AN85" s="456"/>
      <c r="AO85" s="572" t="e">
        <f t="shared" si="75"/>
        <v>#REF!</v>
      </c>
      <c r="AP85" s="572" t="e">
        <f t="shared" si="41"/>
        <v>#REF!</v>
      </c>
      <c r="AQ85" s="572" t="e">
        <f t="shared" si="43"/>
        <v>#REF!</v>
      </c>
      <c r="AR85" s="573" t="e">
        <f t="shared" si="76"/>
        <v>#REF!</v>
      </c>
      <c r="AS85" s="530" t="e">
        <f t="shared" si="40"/>
        <v>#REF!</v>
      </c>
      <c r="AT85" s="530"/>
      <c r="AU85" s="530"/>
      <c r="AV85" s="530" t="e">
        <f t="shared" si="59"/>
        <v>#REF!</v>
      </c>
      <c r="AW85" s="530" t="e">
        <f>AI85*#REF!+AI84*#REF!+AI83*#REF!</f>
        <v>#REF!</v>
      </c>
      <c r="AX85" s="456"/>
      <c r="AY85" s="583">
        <f t="shared" si="73"/>
        <v>1.1406029957505248</v>
      </c>
      <c r="AZ85" s="530">
        <f t="shared" si="60"/>
        <v>232772.51633695164</v>
      </c>
      <c r="BA85" s="530">
        <f>BA84*[1]mProject!V89</f>
        <v>0</v>
      </c>
      <c r="BB85" s="530">
        <f t="shared" si="77"/>
        <v>13923799.046407968</v>
      </c>
      <c r="BC85" s="456"/>
      <c r="BD85" s="590">
        <f>((BB85/100)*(i_CFD.ObliRate/12))*[1]i.Finance!$O$64</f>
        <v>46847.78220822681</v>
      </c>
      <c r="BE85" s="590">
        <f>(AZ85/100*[1]i.Finance!$O$61)*[1]i.Finance!$O$64</f>
        <v>9398.1903471044225</v>
      </c>
      <c r="BF85" s="590">
        <f>(AZ85/100*[1]i.Finance!$O$65)</f>
        <v>698.31754901085492</v>
      </c>
      <c r="BG85" s="591">
        <f t="shared" si="61"/>
        <v>47546.099757237665</v>
      </c>
      <c r="BH85" s="456"/>
      <c r="BI85" s="590">
        <f>-PV([1]i.Finance!$O$63/12,[1]i.Finance!$O$62*12,mCFD!BG85)</f>
        <v>8133238.0610846914</v>
      </c>
      <c r="BJ85" s="590">
        <f>BI85*[1]i.Finance!$O$58</f>
        <v>6384591.8779514832</v>
      </c>
      <c r="BK85" s="590"/>
      <c r="BL85" s="590"/>
      <c r="BP85" s="530"/>
      <c r="BQ85" s="530"/>
      <c r="BR85" s="530" t="e">
        <f t="shared" si="62"/>
        <v>#NAME?</v>
      </c>
      <c r="BS85" s="530" t="e">
        <f t="shared" si="63"/>
        <v>#NAME?</v>
      </c>
      <c r="BT85" s="530" t="e">
        <f t="shared" si="64"/>
        <v>#NAME?</v>
      </c>
      <c r="BU85" s="530"/>
    </row>
    <row r="86" spans="1:73" ht="16" hidden="1" outlineLevel="2">
      <c r="A86" s="366"/>
      <c r="B86" s="562"/>
      <c r="C86" s="366"/>
      <c r="D86" s="454"/>
      <c r="E86" s="533">
        <f t="shared" si="74"/>
        <v>80</v>
      </c>
      <c r="F86" s="533">
        <f t="shared" si="65"/>
        <v>27</v>
      </c>
      <c r="G86" s="533">
        <f t="shared" si="66"/>
        <v>7</v>
      </c>
      <c r="H86" s="541">
        <f t="shared" si="67"/>
        <v>46265</v>
      </c>
      <c r="I86" s="542">
        <f t="shared" si="44"/>
        <v>2026</v>
      </c>
      <c r="K86" s="533">
        <f>[1]mProject!KB90</f>
        <v>12</v>
      </c>
      <c r="L86" s="533">
        <f t="shared" si="45"/>
        <v>766</v>
      </c>
      <c r="M86" s="533">
        <f t="shared" si="46"/>
        <v>295000</v>
      </c>
      <c r="N86" s="533">
        <f t="shared" si="47"/>
        <v>3540000</v>
      </c>
      <c r="O86" s="533">
        <f t="shared" si="68"/>
        <v>225970000</v>
      </c>
      <c r="P86" s="533">
        <f>[1]mProject!W90</f>
        <v>323833.986848398</v>
      </c>
      <c r="Q86" s="533">
        <f t="shared" si="48"/>
        <v>3886007.8421807759</v>
      </c>
      <c r="R86" s="533">
        <f t="shared" si="69"/>
        <v>235949325.28231364</v>
      </c>
      <c r="T86" s="533">
        <v>0</v>
      </c>
      <c r="U86" s="533">
        <f t="shared" si="49"/>
        <v>0</v>
      </c>
      <c r="V86" s="533">
        <f>IF(T86=0,0,$V$7*(1+#REF!)^#REF!)</f>
        <v>0</v>
      </c>
      <c r="W86" s="533">
        <f t="shared" si="70"/>
        <v>0</v>
      </c>
      <c r="X86" s="533">
        <f t="shared" si="50"/>
        <v>0</v>
      </c>
      <c r="Y86" s="533">
        <f t="shared" si="51"/>
        <v>0</v>
      </c>
      <c r="AA86" s="533">
        <v>0</v>
      </c>
      <c r="AB86" s="533">
        <f t="shared" si="52"/>
        <v>0</v>
      </c>
      <c r="AC86" s="533">
        <f>IF(AA86=0,0,$V$7*(1+#REF!)^#REF!)</f>
        <v>0</v>
      </c>
      <c r="AD86" s="533">
        <f t="shared" si="71"/>
        <v>0</v>
      </c>
      <c r="AE86" s="533">
        <f t="shared" si="53"/>
        <v>0</v>
      </c>
      <c r="AF86" s="533">
        <f t="shared" si="54"/>
        <v>0</v>
      </c>
      <c r="AH86" s="533">
        <f t="shared" si="55"/>
        <v>12</v>
      </c>
      <c r="AI86" s="533">
        <f t="shared" si="72"/>
        <v>766</v>
      </c>
      <c r="AJ86" s="533">
        <f t="shared" si="56"/>
        <v>295000</v>
      </c>
      <c r="AK86" s="533">
        <f>AJ86*[1]mProject!V90</f>
        <v>323833.9868483977</v>
      </c>
      <c r="AL86" s="533">
        <f t="shared" si="57"/>
        <v>3540000</v>
      </c>
      <c r="AM86" s="533">
        <f t="shared" si="58"/>
        <v>3886007.8421807759</v>
      </c>
      <c r="AN86" s="456"/>
      <c r="AO86" s="575" t="e">
        <f t="shared" si="75"/>
        <v>#REF!</v>
      </c>
      <c r="AP86" s="575" t="e">
        <f t="shared" si="41"/>
        <v>#REF!</v>
      </c>
      <c r="AQ86" s="575" t="e">
        <f t="shared" si="43"/>
        <v>#REF!</v>
      </c>
      <c r="AR86" s="576" t="e">
        <f t="shared" si="76"/>
        <v>#REF!</v>
      </c>
      <c r="AS86" s="533" t="e">
        <f t="shared" si="40"/>
        <v>#REF!</v>
      </c>
      <c r="AT86" s="533"/>
      <c r="AU86" s="533"/>
      <c r="AV86" s="533" t="e">
        <f t="shared" si="59"/>
        <v>#REF!</v>
      </c>
      <c r="AW86" s="533" t="e">
        <f>AI86*#REF!+AI85*#REF!+AI84*#REF!</f>
        <v>#REF!</v>
      </c>
      <c r="AX86" s="456"/>
      <c r="AY86" s="584">
        <f t="shared" si="73"/>
        <v>1.1425040007434424</v>
      </c>
      <c r="AZ86" s="533">
        <f t="shared" si="60"/>
        <v>233160.47053084653</v>
      </c>
      <c r="BA86" s="533">
        <f>BA85*[1]mProject!V90</f>
        <v>0</v>
      </c>
      <c r="BB86" s="533">
        <f t="shared" si="77"/>
        <v>14156959.516938815</v>
      </c>
      <c r="BC86" s="456"/>
      <c r="BD86" s="586">
        <f>((BB86/100)*(i_CFD.ObliRate/12))*[1]i.Finance!$O$64</f>
        <v>47632.270041367054</v>
      </c>
      <c r="BE86" s="586">
        <f>(AZ86/100*[1]i.Finance!$O$61)*[1]i.Finance!$O$64</f>
        <v>9413.853997682927</v>
      </c>
      <c r="BF86" s="586">
        <f>(AZ86/100*[1]i.Finance!$O$65)</f>
        <v>699.48141159253953</v>
      </c>
      <c r="BG86" s="587">
        <f t="shared" si="61"/>
        <v>48331.751452959594</v>
      </c>
      <c r="BH86" s="456"/>
      <c r="BI86" s="586">
        <f>-PV([1]i.Finance!$O$63/12,[1]i.Finance!$O$62*12,mCFD!BG86)</f>
        <v>8267631.6771126529</v>
      </c>
      <c r="BJ86" s="586">
        <f>BI86*[1]i.Finance!$O$58</f>
        <v>6490090.8665334331</v>
      </c>
      <c r="BK86" s="586"/>
      <c r="BL86" s="586"/>
      <c r="BP86" s="533"/>
      <c r="BQ86" s="533"/>
      <c r="BR86" s="533" t="e">
        <f t="shared" si="62"/>
        <v>#NAME?</v>
      </c>
      <c r="BS86" s="533" t="e">
        <f t="shared" si="63"/>
        <v>#NAME?</v>
      </c>
      <c r="BT86" s="533" t="e">
        <f t="shared" si="64"/>
        <v>#NAME?</v>
      </c>
      <c r="BU86" s="533"/>
    </row>
    <row r="87" spans="1:73" ht="16" hidden="1" outlineLevel="2">
      <c r="A87" s="366"/>
      <c r="B87" s="562"/>
      <c r="C87" s="366"/>
      <c r="D87" s="454"/>
      <c r="E87" s="547">
        <f t="shared" si="74"/>
        <v>81</v>
      </c>
      <c r="F87" s="547">
        <f t="shared" si="65"/>
        <v>27</v>
      </c>
      <c r="G87" s="547">
        <f t="shared" si="66"/>
        <v>7</v>
      </c>
      <c r="H87" s="548">
        <f t="shared" si="67"/>
        <v>46295</v>
      </c>
      <c r="I87" s="549">
        <f t="shared" si="44"/>
        <v>2026</v>
      </c>
      <c r="K87" s="547">
        <f>[1]mProject!KB91</f>
        <v>12</v>
      </c>
      <c r="L87" s="547">
        <f t="shared" si="45"/>
        <v>778</v>
      </c>
      <c r="M87" s="547">
        <f t="shared" si="46"/>
        <v>295000</v>
      </c>
      <c r="N87" s="547">
        <f t="shared" si="47"/>
        <v>3540000</v>
      </c>
      <c r="O87" s="547">
        <f t="shared" si="68"/>
        <v>229510000</v>
      </c>
      <c r="P87" s="547">
        <f>[1]mProject!W91</f>
        <v>324373.71015981201</v>
      </c>
      <c r="Q87" s="547">
        <f t="shared" si="48"/>
        <v>3892484.5219177441</v>
      </c>
      <c r="R87" s="547">
        <f t="shared" si="69"/>
        <v>239841809.80423138</v>
      </c>
      <c r="T87" s="547">
        <v>0</v>
      </c>
      <c r="U87" s="547">
        <f t="shared" si="49"/>
        <v>0</v>
      </c>
      <c r="V87" s="547">
        <f>IF(T87=0,0,$V$7*(1+#REF!)^#REF!)</f>
        <v>0</v>
      </c>
      <c r="W87" s="547">
        <f t="shared" si="70"/>
        <v>0</v>
      </c>
      <c r="X87" s="547">
        <f t="shared" si="50"/>
        <v>0</v>
      </c>
      <c r="Y87" s="547">
        <f t="shared" si="51"/>
        <v>0</v>
      </c>
      <c r="AA87" s="547">
        <v>0</v>
      </c>
      <c r="AB87" s="547">
        <f t="shared" si="52"/>
        <v>0</v>
      </c>
      <c r="AC87" s="547">
        <f>IF(AA87=0,0,$V$7*(1+#REF!)^#REF!)</f>
        <v>0</v>
      </c>
      <c r="AD87" s="547">
        <f t="shared" si="71"/>
        <v>0</v>
      </c>
      <c r="AE87" s="547">
        <f t="shared" si="53"/>
        <v>0</v>
      </c>
      <c r="AF87" s="547">
        <f t="shared" si="54"/>
        <v>0</v>
      </c>
      <c r="AH87" s="547">
        <f t="shared" si="55"/>
        <v>12</v>
      </c>
      <c r="AI87" s="547">
        <f t="shared" si="72"/>
        <v>778</v>
      </c>
      <c r="AJ87" s="547">
        <f t="shared" si="56"/>
        <v>295000</v>
      </c>
      <c r="AK87" s="547">
        <f>AJ87*[1]mProject!V91</f>
        <v>324373.71015981166</v>
      </c>
      <c r="AL87" s="547">
        <f t="shared" si="57"/>
        <v>3540000</v>
      </c>
      <c r="AM87" s="547">
        <f t="shared" si="58"/>
        <v>3892484.5219177441</v>
      </c>
      <c r="AN87" s="456"/>
      <c r="AO87" s="577" t="e">
        <f t="shared" si="75"/>
        <v>#REF!</v>
      </c>
      <c r="AP87" s="577" t="e">
        <f t="shared" si="41"/>
        <v>#REF!</v>
      </c>
      <c r="AQ87" s="577" t="e">
        <f t="shared" si="43"/>
        <v>#REF!</v>
      </c>
      <c r="AR87" s="578" t="e">
        <f t="shared" si="76"/>
        <v>#REF!</v>
      </c>
      <c r="AS87" s="547" t="e">
        <f t="shared" si="40"/>
        <v>#REF!</v>
      </c>
      <c r="AT87" s="547"/>
      <c r="AU87" s="547"/>
      <c r="AV87" s="547" t="e">
        <f t="shared" si="59"/>
        <v>#REF!</v>
      </c>
      <c r="AW87" s="547" t="e">
        <f>AI87*#REF!+AI86*#REF!+AI85*#REF!</f>
        <v>#REF!</v>
      </c>
      <c r="AX87" s="456"/>
      <c r="AY87" s="585">
        <f t="shared" si="73"/>
        <v>1.1444081740780148</v>
      </c>
      <c r="AZ87" s="547">
        <f t="shared" si="60"/>
        <v>233549.07131506468</v>
      </c>
      <c r="BA87" s="547">
        <f>BA86*[1]mProject!V91</f>
        <v>0</v>
      </c>
      <c r="BB87" s="547">
        <f t="shared" si="77"/>
        <v>14390508.58825388</v>
      </c>
      <c r="BC87" s="456"/>
      <c r="BD87" s="588">
        <f>((BB87/100)*(i_CFD.ObliRate/12))*[1]i.Finance!$O$64</f>
        <v>48418.065354229206</v>
      </c>
      <c r="BE87" s="588">
        <f>(AZ87/100*[1]i.Finance!$O$61)*[1]i.Finance!$O$64</f>
        <v>9429.5437543457356</v>
      </c>
      <c r="BF87" s="588">
        <f>(AZ87/100*[1]i.Finance!$O$65)</f>
        <v>700.64721394519393</v>
      </c>
      <c r="BG87" s="589">
        <f t="shared" si="61"/>
        <v>49118.7125681744</v>
      </c>
      <c r="BH87" s="456"/>
      <c r="BI87" s="588">
        <f>-PV([1]i.Finance!$O$63/12,[1]i.Finance!$O$62*12,mCFD!BG87)</f>
        <v>8402249.2825006619</v>
      </c>
      <c r="BJ87" s="588">
        <f>BI87*[1]i.Finance!$O$58</f>
        <v>6595765.6867630202</v>
      </c>
      <c r="BK87" s="588"/>
      <c r="BL87" s="588"/>
      <c r="BP87" s="547"/>
      <c r="BQ87" s="547"/>
      <c r="BR87" s="547" t="e">
        <f t="shared" si="62"/>
        <v>#NAME?</v>
      </c>
      <c r="BS87" s="547" t="e">
        <f t="shared" si="63"/>
        <v>#NAME?</v>
      </c>
      <c r="BT87" s="547" t="e">
        <f t="shared" si="64"/>
        <v>#NAME?</v>
      </c>
      <c r="BU87" s="547"/>
    </row>
    <row r="88" spans="1:73" ht="16" hidden="1" outlineLevel="2">
      <c r="A88" s="366"/>
      <c r="B88" s="562"/>
      <c r="C88" s="366"/>
      <c r="D88" s="454"/>
      <c r="E88" s="530">
        <f t="shared" si="74"/>
        <v>82</v>
      </c>
      <c r="F88" s="530">
        <f t="shared" si="65"/>
        <v>28</v>
      </c>
      <c r="G88" s="530">
        <f t="shared" si="66"/>
        <v>7</v>
      </c>
      <c r="H88" s="554">
        <f t="shared" si="67"/>
        <v>46326</v>
      </c>
      <c r="I88" s="555">
        <f t="shared" si="44"/>
        <v>2026</v>
      </c>
      <c r="K88" s="530">
        <f>[1]mProject!KB92</f>
        <v>12</v>
      </c>
      <c r="L88" s="530">
        <f t="shared" si="45"/>
        <v>790</v>
      </c>
      <c r="M88" s="530">
        <f t="shared" si="46"/>
        <v>295000</v>
      </c>
      <c r="N88" s="530">
        <f t="shared" si="47"/>
        <v>3540000</v>
      </c>
      <c r="O88" s="530">
        <f t="shared" si="68"/>
        <v>233050000</v>
      </c>
      <c r="P88" s="530">
        <f>[1]mProject!W92</f>
        <v>324914.33301007835</v>
      </c>
      <c r="Q88" s="530">
        <f t="shared" si="48"/>
        <v>3898971.99612094</v>
      </c>
      <c r="R88" s="530">
        <f t="shared" si="69"/>
        <v>243740781.80035231</v>
      </c>
      <c r="T88" s="530">
        <v>0</v>
      </c>
      <c r="U88" s="530">
        <f t="shared" si="49"/>
        <v>0</v>
      </c>
      <c r="V88" s="530">
        <f>IF(T88=0,0,$V$7*(1+#REF!)^#REF!)</f>
        <v>0</v>
      </c>
      <c r="W88" s="530">
        <f t="shared" si="70"/>
        <v>0</v>
      </c>
      <c r="X88" s="530">
        <f t="shared" si="50"/>
        <v>0</v>
      </c>
      <c r="Y88" s="530">
        <f t="shared" si="51"/>
        <v>0</v>
      </c>
      <c r="AA88" s="530">
        <v>0</v>
      </c>
      <c r="AB88" s="530">
        <f t="shared" si="52"/>
        <v>0</v>
      </c>
      <c r="AC88" s="530">
        <f>IF(AA88=0,0,$V$7*(1+#REF!)^#REF!)</f>
        <v>0</v>
      </c>
      <c r="AD88" s="530">
        <f t="shared" si="71"/>
        <v>0</v>
      </c>
      <c r="AE88" s="530">
        <f t="shared" si="53"/>
        <v>0</v>
      </c>
      <c r="AF88" s="530">
        <f t="shared" si="54"/>
        <v>0</v>
      </c>
      <c r="AH88" s="530">
        <f t="shared" si="55"/>
        <v>12</v>
      </c>
      <c r="AI88" s="530">
        <f t="shared" si="72"/>
        <v>790</v>
      </c>
      <c r="AJ88" s="530">
        <f t="shared" si="56"/>
        <v>295000</v>
      </c>
      <c r="AK88" s="530">
        <f>AJ88*[1]mProject!V92</f>
        <v>324914.33301007806</v>
      </c>
      <c r="AL88" s="530">
        <f t="shared" si="57"/>
        <v>3540000</v>
      </c>
      <c r="AM88" s="530">
        <f t="shared" si="58"/>
        <v>3898971.99612094</v>
      </c>
      <c r="AN88" s="456"/>
      <c r="AO88" s="572" t="e">
        <f t="shared" si="75"/>
        <v>#REF!</v>
      </c>
      <c r="AP88" s="572" t="e">
        <f t="shared" si="41"/>
        <v>#REF!</v>
      </c>
      <c r="AQ88" s="572" t="e">
        <f t="shared" si="43"/>
        <v>#REF!</v>
      </c>
      <c r="AR88" s="573" t="e">
        <f t="shared" si="76"/>
        <v>#REF!</v>
      </c>
      <c r="AS88" s="530" t="e">
        <f t="shared" si="40"/>
        <v>#REF!</v>
      </c>
      <c r="AT88" s="530"/>
      <c r="AU88" s="530"/>
      <c r="AV88" s="530" t="e">
        <f t="shared" si="59"/>
        <v>#REF!</v>
      </c>
      <c r="AW88" s="530" t="e">
        <f>AI88*#REF!+AI87*#REF!+AI86*#REF!</f>
        <v>#REF!</v>
      </c>
      <c r="AX88" s="456"/>
      <c r="AY88" s="583">
        <f t="shared" si="73"/>
        <v>1.1463155210348115</v>
      </c>
      <c r="AZ88" s="530">
        <f t="shared" si="60"/>
        <v>233938.31976725641</v>
      </c>
      <c r="BA88" s="530">
        <f>BA87*[1]mProject!V92</f>
        <v>0</v>
      </c>
      <c r="BB88" s="530">
        <f t="shared" si="77"/>
        <v>14624446.908021137</v>
      </c>
      <c r="BC88" s="456"/>
      <c r="BD88" s="590">
        <f>((BB88/100)*(i_CFD.ObliRate/12))*[1]i.Finance!$O$64</f>
        <v>49205.170325946114</v>
      </c>
      <c r="BE88" s="590">
        <f>(AZ88/100*[1]i.Finance!$O$61)*[1]i.Finance!$O$64</f>
        <v>9445.2596606029765</v>
      </c>
      <c r="BF88" s="590">
        <f>(AZ88/100*[1]i.Finance!$O$65)</f>
        <v>701.81495930176925</v>
      </c>
      <c r="BG88" s="591">
        <f t="shared" si="61"/>
        <v>49906.98528524788</v>
      </c>
      <c r="BH88" s="456"/>
      <c r="BI88" s="590">
        <f>-PV([1]i.Finance!$O$63/12,[1]i.Finance!$O$62*12,mCFD!BG88)</f>
        <v>8537091.2505643144</v>
      </c>
      <c r="BJ88" s="590">
        <f>BI88*[1]i.Finance!$O$58</f>
        <v>6701616.6316929869</v>
      </c>
      <c r="BK88" s="590"/>
      <c r="BL88" s="590"/>
      <c r="BP88" s="530"/>
      <c r="BQ88" s="530"/>
      <c r="BR88" s="530" t="e">
        <f t="shared" si="62"/>
        <v>#NAME?</v>
      </c>
      <c r="BS88" s="530" t="e">
        <f t="shared" si="63"/>
        <v>#NAME?</v>
      </c>
      <c r="BT88" s="530" t="e">
        <f t="shared" si="64"/>
        <v>#NAME?</v>
      </c>
      <c r="BU88" s="530"/>
    </row>
    <row r="89" spans="1:73" ht="16" hidden="1" outlineLevel="2">
      <c r="A89" s="366"/>
      <c r="B89" s="562"/>
      <c r="C89" s="366"/>
      <c r="D89" s="454"/>
      <c r="E89" s="533">
        <f t="shared" si="74"/>
        <v>83</v>
      </c>
      <c r="F89" s="533">
        <f t="shared" si="65"/>
        <v>28</v>
      </c>
      <c r="G89" s="533">
        <f t="shared" si="66"/>
        <v>7</v>
      </c>
      <c r="H89" s="541">
        <f t="shared" si="67"/>
        <v>46356</v>
      </c>
      <c r="I89" s="542">
        <f t="shared" si="44"/>
        <v>2026</v>
      </c>
      <c r="K89" s="533">
        <f>[1]mProject!KB93</f>
        <v>12</v>
      </c>
      <c r="L89" s="533">
        <f t="shared" si="45"/>
        <v>802</v>
      </c>
      <c r="M89" s="533">
        <f t="shared" si="46"/>
        <v>295000</v>
      </c>
      <c r="N89" s="533">
        <f t="shared" si="47"/>
        <v>3540000</v>
      </c>
      <c r="O89" s="533">
        <f t="shared" si="68"/>
        <v>236590000</v>
      </c>
      <c r="P89" s="533">
        <f>[1]mProject!W93</f>
        <v>325455.85689842846</v>
      </c>
      <c r="Q89" s="533">
        <f t="shared" si="48"/>
        <v>3905470.2827811418</v>
      </c>
      <c r="R89" s="533">
        <f t="shared" si="69"/>
        <v>247646252.08313346</v>
      </c>
      <c r="T89" s="533">
        <v>0</v>
      </c>
      <c r="U89" s="533">
        <f t="shared" si="49"/>
        <v>0</v>
      </c>
      <c r="V89" s="533">
        <f>IF(T89=0,0,$V$7*(1+#REF!)^#REF!)</f>
        <v>0</v>
      </c>
      <c r="W89" s="533">
        <f t="shared" si="70"/>
        <v>0</v>
      </c>
      <c r="X89" s="533">
        <f t="shared" si="50"/>
        <v>0</v>
      </c>
      <c r="Y89" s="533">
        <f t="shared" si="51"/>
        <v>0</v>
      </c>
      <c r="AA89" s="533">
        <v>0</v>
      </c>
      <c r="AB89" s="533">
        <f t="shared" si="52"/>
        <v>0</v>
      </c>
      <c r="AC89" s="533">
        <f>IF(AA89=0,0,$V$7*(1+#REF!)^#REF!)</f>
        <v>0</v>
      </c>
      <c r="AD89" s="533">
        <f t="shared" si="71"/>
        <v>0</v>
      </c>
      <c r="AE89" s="533">
        <f t="shared" si="53"/>
        <v>0</v>
      </c>
      <c r="AF89" s="533">
        <f t="shared" si="54"/>
        <v>0</v>
      </c>
      <c r="AH89" s="533">
        <f t="shared" si="55"/>
        <v>12</v>
      </c>
      <c r="AI89" s="533">
        <f t="shared" si="72"/>
        <v>802</v>
      </c>
      <c r="AJ89" s="533">
        <f t="shared" si="56"/>
        <v>295000</v>
      </c>
      <c r="AK89" s="533">
        <f>AJ89*[1]mProject!V93</f>
        <v>325455.85689842823</v>
      </c>
      <c r="AL89" s="533">
        <f t="shared" si="57"/>
        <v>3540000</v>
      </c>
      <c r="AM89" s="533">
        <f t="shared" si="58"/>
        <v>3905470.2827811418</v>
      </c>
      <c r="AN89" s="456"/>
      <c r="AO89" s="575" t="e">
        <f t="shared" si="75"/>
        <v>#REF!</v>
      </c>
      <c r="AP89" s="575" t="e">
        <f t="shared" si="41"/>
        <v>#REF!</v>
      </c>
      <c r="AQ89" s="575" t="e">
        <f t="shared" si="43"/>
        <v>#REF!</v>
      </c>
      <c r="AR89" s="576" t="e">
        <f t="shared" si="76"/>
        <v>#REF!</v>
      </c>
      <c r="AS89" s="533" t="e">
        <f t="shared" si="40"/>
        <v>#REF!</v>
      </c>
      <c r="AT89" s="533"/>
      <c r="AU89" s="533"/>
      <c r="AV89" s="533" t="e">
        <f t="shared" si="59"/>
        <v>#REF!</v>
      </c>
      <c r="AW89" s="533" t="e">
        <f>AI89*#REF!+AI88*#REF!+AI87*#REF!</f>
        <v>#REF!</v>
      </c>
      <c r="AX89" s="456"/>
      <c r="AY89" s="584">
        <f t="shared" si="73"/>
        <v>1.1482260469032028</v>
      </c>
      <c r="AZ89" s="533">
        <f t="shared" si="60"/>
        <v>234328.21696686852</v>
      </c>
      <c r="BA89" s="533">
        <f>BA88*[1]mProject!V93</f>
        <v>0</v>
      </c>
      <c r="BB89" s="533">
        <f t="shared" si="77"/>
        <v>14858775.124988006</v>
      </c>
      <c r="BC89" s="456"/>
      <c r="BD89" s="586">
        <f>((BB89/100)*(i_CFD.ObliRate/12))*[1]i.Finance!$O$64</f>
        <v>49993.587139282557</v>
      </c>
      <c r="BE89" s="586">
        <f>(AZ89/100*[1]i.Finance!$O$61)*[1]i.Finance!$O$64</f>
        <v>9461.0017600373158</v>
      </c>
      <c r="BF89" s="586">
        <f>(AZ89/100*[1]i.Finance!$O$65)</f>
        <v>702.98465090060552</v>
      </c>
      <c r="BG89" s="587">
        <f t="shared" si="61"/>
        <v>50696.571790183159</v>
      </c>
      <c r="BH89" s="456"/>
      <c r="BI89" s="586">
        <f>-PV([1]i.Finance!$O$63/12,[1]i.Finance!$O$62*12,mCFD!BG89)</f>
        <v>8672157.9552414082</v>
      </c>
      <c r="BJ89" s="586">
        <f>BI89*[1]i.Finance!$O$58</f>
        <v>6807643.9948645057</v>
      </c>
      <c r="BK89" s="586"/>
      <c r="BL89" s="586"/>
      <c r="BP89" s="533"/>
      <c r="BQ89" s="533"/>
      <c r="BR89" s="533" t="e">
        <f t="shared" si="62"/>
        <v>#NAME?</v>
      </c>
      <c r="BS89" s="533" t="e">
        <f t="shared" si="63"/>
        <v>#NAME?</v>
      </c>
      <c r="BT89" s="533" t="e">
        <f t="shared" si="64"/>
        <v>#NAME?</v>
      </c>
      <c r="BU89" s="533"/>
    </row>
    <row r="90" spans="1:73" ht="17" hidden="1" outlineLevel="2" thickBot="1">
      <c r="A90" s="366"/>
      <c r="B90" s="562"/>
      <c r="C90" s="366"/>
      <c r="D90" s="454"/>
      <c r="E90" s="564">
        <f t="shared" si="74"/>
        <v>84</v>
      </c>
      <c r="F90" s="564">
        <f t="shared" si="65"/>
        <v>28</v>
      </c>
      <c r="G90" s="564">
        <f t="shared" si="66"/>
        <v>8</v>
      </c>
      <c r="H90" s="565">
        <f t="shared" si="67"/>
        <v>46387</v>
      </c>
      <c r="I90" s="566">
        <f t="shared" si="44"/>
        <v>2026</v>
      </c>
      <c r="K90" s="564">
        <f>[1]mProject!KB94</f>
        <v>12</v>
      </c>
      <c r="L90" s="564">
        <f t="shared" si="45"/>
        <v>814</v>
      </c>
      <c r="M90" s="564">
        <f t="shared" si="46"/>
        <v>295000</v>
      </c>
      <c r="N90" s="564">
        <f t="shared" si="47"/>
        <v>3540000</v>
      </c>
      <c r="O90" s="564">
        <f t="shared" si="68"/>
        <v>240130000</v>
      </c>
      <c r="P90" s="564">
        <f>[1]mProject!W94</f>
        <v>325998.28332659253</v>
      </c>
      <c r="Q90" s="564">
        <f t="shared" si="48"/>
        <v>3911979.3999191104</v>
      </c>
      <c r="R90" s="564">
        <f t="shared" si="69"/>
        <v>251558231.48305258</v>
      </c>
      <c r="T90" s="564">
        <v>0</v>
      </c>
      <c r="U90" s="564">
        <f t="shared" si="49"/>
        <v>0</v>
      </c>
      <c r="V90" s="564">
        <f>IF(T90=0,0,$V$7*(1+#REF!)^#REF!)</f>
        <v>0</v>
      </c>
      <c r="W90" s="564">
        <f t="shared" si="70"/>
        <v>0</v>
      </c>
      <c r="X90" s="564">
        <f t="shared" si="50"/>
        <v>0</v>
      </c>
      <c r="Y90" s="564">
        <f t="shared" si="51"/>
        <v>0</v>
      </c>
      <c r="AA90" s="564">
        <v>0</v>
      </c>
      <c r="AB90" s="564">
        <f t="shared" si="52"/>
        <v>0</v>
      </c>
      <c r="AC90" s="564">
        <f>IF(AA90=0,0,$V$7*(1+#REF!)^#REF!)</f>
        <v>0</v>
      </c>
      <c r="AD90" s="564">
        <f t="shared" si="71"/>
        <v>0</v>
      </c>
      <c r="AE90" s="564">
        <f t="shared" si="53"/>
        <v>0</v>
      </c>
      <c r="AF90" s="564">
        <f t="shared" si="54"/>
        <v>0</v>
      </c>
      <c r="AH90" s="564">
        <f t="shared" si="55"/>
        <v>12</v>
      </c>
      <c r="AI90" s="564">
        <f t="shared" si="72"/>
        <v>814</v>
      </c>
      <c r="AJ90" s="564">
        <f t="shared" si="56"/>
        <v>295000</v>
      </c>
      <c r="AK90" s="564">
        <f>AJ90*[1]mProject!V94</f>
        <v>325998.28332659224</v>
      </c>
      <c r="AL90" s="564">
        <f t="shared" si="57"/>
        <v>3540000</v>
      </c>
      <c r="AM90" s="564">
        <f t="shared" si="58"/>
        <v>3911979.3999191104</v>
      </c>
      <c r="AN90" s="456"/>
      <c r="AO90" s="581" t="e">
        <f t="shared" si="75"/>
        <v>#REF!</v>
      </c>
      <c r="AP90" s="581" t="e">
        <f t="shared" si="41"/>
        <v>#REF!</v>
      </c>
      <c r="AQ90" s="581" t="e">
        <f t="shared" si="43"/>
        <v>#REF!</v>
      </c>
      <c r="AR90" s="582" t="e">
        <f t="shared" si="76"/>
        <v>#REF!</v>
      </c>
      <c r="AS90" s="564" t="e">
        <f t="shared" si="40"/>
        <v>#REF!</v>
      </c>
      <c r="AT90" s="564"/>
      <c r="AU90" s="564"/>
      <c r="AV90" s="564" t="e">
        <f t="shared" si="59"/>
        <v>#REF!</v>
      </c>
      <c r="AW90" s="564" t="e">
        <f>AI90*#REF!+AI89*#REF!+AI88*#REF!</f>
        <v>#REF!</v>
      </c>
      <c r="AX90" s="456"/>
      <c r="AY90" s="592">
        <f t="shared" si="73"/>
        <v>1.1501397569813749</v>
      </c>
      <c r="AZ90" s="564">
        <f t="shared" si="60"/>
        <v>234718.76399514661</v>
      </c>
      <c r="BA90" s="564">
        <f>BA89*[1]mProject!V94</f>
        <v>0</v>
      </c>
      <c r="BB90" s="564">
        <f t="shared" si="77"/>
        <v>15093493.888983153</v>
      </c>
      <c r="BC90" s="456"/>
      <c r="BD90" s="593">
        <f>((BB90/100)*(i_CFD.ObliRate/12))*[1]i.Finance!$O$64</f>
        <v>50783.317980641237</v>
      </c>
      <c r="BE90" s="593">
        <f>(AZ90/100*[1]i.Finance!$O$61)*[1]i.Finance!$O$64</f>
        <v>9476.7700963040443</v>
      </c>
      <c r="BF90" s="593">
        <f>(AZ90/100*[1]i.Finance!$O$65)</f>
        <v>704.15629198543991</v>
      </c>
      <c r="BG90" s="594">
        <f t="shared" si="61"/>
        <v>51487.474272626678</v>
      </c>
      <c r="BH90" s="456"/>
      <c r="BI90" s="593">
        <f>-PV([1]i.Finance!$O$63/12,[1]i.Finance!$O$62*12,mCFD!BG90)</f>
        <v>8807449.7710929643</v>
      </c>
      <c r="BJ90" s="593">
        <f>BI90*[1]i.Finance!$O$58</f>
        <v>6913848.0703079775</v>
      </c>
      <c r="BK90" s="593"/>
      <c r="BL90" s="593"/>
      <c r="BP90" s="564"/>
      <c r="BQ90" s="564"/>
      <c r="BR90" s="564" t="e">
        <f t="shared" si="62"/>
        <v>#NAME?</v>
      </c>
      <c r="BS90" s="564" t="e">
        <f t="shared" si="63"/>
        <v>#NAME?</v>
      </c>
      <c r="BT90" s="564" t="e">
        <f t="shared" si="64"/>
        <v>#NAME?</v>
      </c>
      <c r="BU90" s="564"/>
    </row>
    <row r="91" spans="1:73" ht="16" hidden="1" outlineLevel="2">
      <c r="A91" s="366"/>
      <c r="B91" s="562"/>
      <c r="C91" s="366"/>
      <c r="D91" s="454"/>
      <c r="E91" s="530">
        <f t="shared" si="74"/>
        <v>85</v>
      </c>
      <c r="F91" s="530">
        <f t="shared" si="65"/>
        <v>29</v>
      </c>
      <c r="G91" s="530">
        <f t="shared" si="66"/>
        <v>8</v>
      </c>
      <c r="H91" s="571">
        <f t="shared" si="67"/>
        <v>46418</v>
      </c>
      <c r="I91" s="532">
        <f t="shared" si="44"/>
        <v>2027</v>
      </c>
      <c r="K91" s="530">
        <f>[1]mProject!KB95</f>
        <v>12</v>
      </c>
      <c r="L91" s="530">
        <f t="shared" si="45"/>
        <v>826</v>
      </c>
      <c r="M91" s="530">
        <f t="shared" si="46"/>
        <v>295000</v>
      </c>
      <c r="N91" s="530">
        <f t="shared" si="47"/>
        <v>3540000</v>
      </c>
      <c r="O91" s="530">
        <f t="shared" si="68"/>
        <v>243670000</v>
      </c>
      <c r="P91" s="530">
        <f>[1]mProject!W95</f>
        <v>326541.61379880353</v>
      </c>
      <c r="Q91" s="530">
        <f t="shared" si="48"/>
        <v>3918499.3655856424</v>
      </c>
      <c r="R91" s="530">
        <f t="shared" si="69"/>
        <v>255476730.84863824</v>
      </c>
      <c r="T91" s="530">
        <v>0</v>
      </c>
      <c r="U91" s="530">
        <f t="shared" si="49"/>
        <v>0</v>
      </c>
      <c r="V91" s="530">
        <f>IF(T91=0,0,$V$7*(1+#REF!)^#REF!)</f>
        <v>0</v>
      </c>
      <c r="W91" s="530">
        <f t="shared" si="70"/>
        <v>0</v>
      </c>
      <c r="X91" s="530">
        <f t="shared" si="50"/>
        <v>0</v>
      </c>
      <c r="Y91" s="530">
        <f t="shared" si="51"/>
        <v>0</v>
      </c>
      <c r="AA91" s="530">
        <v>0</v>
      </c>
      <c r="AB91" s="530">
        <f t="shared" si="52"/>
        <v>0</v>
      </c>
      <c r="AC91" s="530">
        <f>IF(AA91=0,0,$V$7*(1+#REF!)^#REF!)</f>
        <v>0</v>
      </c>
      <c r="AD91" s="530">
        <f t="shared" si="71"/>
        <v>0</v>
      </c>
      <c r="AE91" s="530">
        <f t="shared" si="53"/>
        <v>0</v>
      </c>
      <c r="AF91" s="530">
        <f t="shared" si="54"/>
        <v>0</v>
      </c>
      <c r="AH91" s="530">
        <f t="shared" si="55"/>
        <v>12</v>
      </c>
      <c r="AI91" s="530">
        <f t="shared" si="72"/>
        <v>826</v>
      </c>
      <c r="AJ91" s="530">
        <f t="shared" si="56"/>
        <v>295000</v>
      </c>
      <c r="AK91" s="530">
        <f>AJ91*[1]mProject!V95</f>
        <v>326541.61379880324</v>
      </c>
      <c r="AL91" s="530">
        <f t="shared" si="57"/>
        <v>3540000</v>
      </c>
      <c r="AM91" s="530">
        <f t="shared" si="58"/>
        <v>3918499.3655856424</v>
      </c>
      <c r="AN91" s="456"/>
      <c r="AO91" s="572" t="e">
        <f t="shared" si="75"/>
        <v>#REF!</v>
      </c>
      <c r="AP91" s="572" t="e">
        <f t="shared" si="41"/>
        <v>#REF!</v>
      </c>
      <c r="AQ91" s="572" t="e">
        <f t="shared" si="43"/>
        <v>#REF!</v>
      </c>
      <c r="AR91" s="573" t="e">
        <f t="shared" si="76"/>
        <v>#REF!</v>
      </c>
      <c r="AS91" s="530" t="e">
        <f t="shared" si="40"/>
        <v>#REF!</v>
      </c>
      <c r="AT91" s="530"/>
      <c r="AU91" s="530"/>
      <c r="AV91" s="530" t="e">
        <f t="shared" si="59"/>
        <v>#REF!</v>
      </c>
      <c r="AW91" s="530" t="e">
        <f>AI91*#REF!+AI90*#REF!+AI89*#REF!</f>
        <v>#REF!</v>
      </c>
      <c r="AX91" s="456"/>
      <c r="AY91" s="583">
        <f t="shared" si="73"/>
        <v>1.1520566565763439</v>
      </c>
      <c r="AZ91" s="530">
        <f t="shared" si="60"/>
        <v>235109.96193513853</v>
      </c>
      <c r="BA91" s="530">
        <f>BA90*[1]mProject!V95</f>
        <v>0</v>
      </c>
      <c r="BB91" s="530">
        <f t="shared" si="77"/>
        <v>15328603.850918291</v>
      </c>
      <c r="BC91" s="456"/>
      <c r="BD91" s="590">
        <f>((BB91/100)*(i_CFD.ObliRate/12))*[1]i.Finance!$O$64</f>
        <v>51574.365040068835</v>
      </c>
      <c r="BE91" s="590">
        <f>(AZ91/100*[1]i.Finance!$O$61)*[1]i.Finance!$O$64</f>
        <v>9492.564713131218</v>
      </c>
      <c r="BF91" s="590">
        <f>(AZ91/100*[1]i.Finance!$O$65)</f>
        <v>705.32988580541553</v>
      </c>
      <c r="BG91" s="591">
        <f t="shared" si="61"/>
        <v>52279.694925874253</v>
      </c>
      <c r="BH91" s="456"/>
      <c r="BI91" s="590">
        <f>-PV([1]i.Finance!$O$63/12,[1]i.Finance!$O$62*12,mCFD!BG91)</f>
        <v>8942967.0733042732</v>
      </c>
      <c r="BJ91" s="590">
        <f>BI91*[1]i.Finance!$O$58</f>
        <v>7020229.1525438549</v>
      </c>
      <c r="BK91" s="590"/>
      <c r="BL91" s="590"/>
      <c r="BP91" s="530"/>
      <c r="BQ91" s="530"/>
      <c r="BR91" s="530" t="e">
        <f t="shared" si="62"/>
        <v>#NAME?</v>
      </c>
      <c r="BS91" s="530" t="e">
        <f t="shared" si="63"/>
        <v>#NAME?</v>
      </c>
      <c r="BT91" s="530" t="e">
        <f t="shared" si="64"/>
        <v>#NAME?</v>
      </c>
      <c r="BU91" s="530"/>
    </row>
    <row r="92" spans="1:73" ht="16" hidden="1" outlineLevel="2">
      <c r="A92" s="366"/>
      <c r="B92" s="562"/>
      <c r="C92" s="366"/>
      <c r="D92" s="454"/>
      <c r="E92" s="533">
        <f t="shared" si="74"/>
        <v>86</v>
      </c>
      <c r="F92" s="533">
        <f t="shared" si="65"/>
        <v>29</v>
      </c>
      <c r="G92" s="533">
        <f t="shared" si="66"/>
        <v>8</v>
      </c>
      <c r="H92" s="541">
        <f t="shared" si="67"/>
        <v>46446</v>
      </c>
      <c r="I92" s="542">
        <f t="shared" si="44"/>
        <v>2027</v>
      </c>
      <c r="K92" s="533">
        <f>[1]mProject!KB96</f>
        <v>12</v>
      </c>
      <c r="L92" s="533">
        <f t="shared" si="45"/>
        <v>838</v>
      </c>
      <c r="M92" s="533">
        <f t="shared" si="46"/>
        <v>295000</v>
      </c>
      <c r="N92" s="533">
        <f t="shared" si="47"/>
        <v>3540000</v>
      </c>
      <c r="O92" s="533">
        <f t="shared" si="68"/>
        <v>247210000</v>
      </c>
      <c r="P92" s="533">
        <f>[1]mProject!W96</f>
        <v>327085.84982180153</v>
      </c>
      <c r="Q92" s="533">
        <f t="shared" si="48"/>
        <v>3925030.1978616184</v>
      </c>
      <c r="R92" s="533">
        <f t="shared" si="69"/>
        <v>259401761.04649985</v>
      </c>
      <c r="T92" s="533">
        <v>0</v>
      </c>
      <c r="U92" s="533">
        <f t="shared" si="49"/>
        <v>0</v>
      </c>
      <c r="V92" s="533">
        <f>IF(T92=0,0,$V$7*(1+#REF!)^#REF!)</f>
        <v>0</v>
      </c>
      <c r="W92" s="533">
        <f t="shared" si="70"/>
        <v>0</v>
      </c>
      <c r="X92" s="533">
        <f t="shared" si="50"/>
        <v>0</v>
      </c>
      <c r="Y92" s="533">
        <f t="shared" si="51"/>
        <v>0</v>
      </c>
      <c r="AA92" s="533">
        <v>0</v>
      </c>
      <c r="AB92" s="533">
        <f t="shared" si="52"/>
        <v>0</v>
      </c>
      <c r="AC92" s="533">
        <f>IF(AA92=0,0,$V$7*(1+#REF!)^#REF!)</f>
        <v>0</v>
      </c>
      <c r="AD92" s="533">
        <f t="shared" si="71"/>
        <v>0</v>
      </c>
      <c r="AE92" s="533">
        <f t="shared" si="53"/>
        <v>0</v>
      </c>
      <c r="AF92" s="533">
        <f t="shared" si="54"/>
        <v>0</v>
      </c>
      <c r="AH92" s="533">
        <f t="shared" si="55"/>
        <v>12</v>
      </c>
      <c r="AI92" s="533">
        <f t="shared" si="72"/>
        <v>838</v>
      </c>
      <c r="AJ92" s="533">
        <f t="shared" si="56"/>
        <v>295000</v>
      </c>
      <c r="AK92" s="533">
        <f>AJ92*[1]mProject!V96</f>
        <v>327085.84982180124</v>
      </c>
      <c r="AL92" s="533">
        <f t="shared" si="57"/>
        <v>3540000</v>
      </c>
      <c r="AM92" s="533">
        <f t="shared" si="58"/>
        <v>3925030.1978616184</v>
      </c>
      <c r="AN92" s="456"/>
      <c r="AO92" s="575" t="e">
        <f t="shared" si="75"/>
        <v>#REF!</v>
      </c>
      <c r="AP92" s="575" t="e">
        <f t="shared" si="41"/>
        <v>#REF!</v>
      </c>
      <c r="AQ92" s="575" t="e">
        <f t="shared" si="43"/>
        <v>#REF!</v>
      </c>
      <c r="AR92" s="576" t="e">
        <f t="shared" si="76"/>
        <v>#REF!</v>
      </c>
      <c r="AS92" s="533" t="e">
        <f t="shared" ref="AS92:AS155" si="78">AR92*P92</f>
        <v>#REF!</v>
      </c>
      <c r="AT92" s="533"/>
      <c r="AU92" s="533"/>
      <c r="AV92" s="533" t="e">
        <f t="shared" si="59"/>
        <v>#REF!</v>
      </c>
      <c r="AW92" s="533" t="e">
        <f>AI92*#REF!+AI91*#REF!+AI90*#REF!</f>
        <v>#REF!</v>
      </c>
      <c r="AX92" s="456"/>
      <c r="AY92" s="584">
        <f t="shared" si="73"/>
        <v>1.1539767510039711</v>
      </c>
      <c r="AZ92" s="533">
        <f t="shared" si="60"/>
        <v>235501.81187169711</v>
      </c>
      <c r="BA92" s="533">
        <f>BA91*[1]mProject!V97</f>
        <v>0</v>
      </c>
      <c r="BB92" s="533">
        <f t="shared" si="77"/>
        <v>15564105.662789987</v>
      </c>
      <c r="BC92" s="456"/>
      <c r="BD92" s="586">
        <f>((BB92/100)*(i_CFD.ObliRate/12))*[1]i.Finance!$O$64</f>
        <v>52366.730511262147</v>
      </c>
      <c r="BE92" s="586">
        <f>(AZ92/100*[1]i.Finance!$O$61)*[1]i.Finance!$O$64</f>
        <v>9508.3856543197708</v>
      </c>
      <c r="BF92" s="586">
        <f>(AZ92/100*[1]i.Finance!$O$65)</f>
        <v>706.5054356150913</v>
      </c>
      <c r="BG92" s="587">
        <f t="shared" si="61"/>
        <v>53073.235946877241</v>
      </c>
      <c r="BH92" s="456"/>
      <c r="BI92" s="586">
        <f>-PV([1]i.Finance!$O$63/12,[1]i.Finance!$O$62*12,mCFD!BG92)</f>
        <v>9078710.2376859318</v>
      </c>
      <c r="BJ92" s="586">
        <f>BI92*[1]i.Finance!$O$58</f>
        <v>7126787.5365834571</v>
      </c>
      <c r="BK92" s="586"/>
      <c r="BL92" s="586"/>
      <c r="BP92" s="533"/>
      <c r="BQ92" s="533"/>
      <c r="BR92" s="533" t="e">
        <f t="shared" si="62"/>
        <v>#NAME?</v>
      </c>
      <c r="BS92" s="533" t="e">
        <f t="shared" si="63"/>
        <v>#NAME?</v>
      </c>
      <c r="BT92" s="533" t="e">
        <f t="shared" si="64"/>
        <v>#NAME?</v>
      </c>
      <c r="BU92" s="533"/>
    </row>
    <row r="93" spans="1:73" ht="16" hidden="1" outlineLevel="2">
      <c r="A93" s="366"/>
      <c r="B93" s="562"/>
      <c r="C93" s="366"/>
      <c r="D93" s="454"/>
      <c r="E93" s="547">
        <f t="shared" si="74"/>
        <v>87</v>
      </c>
      <c r="F93" s="547">
        <f t="shared" si="65"/>
        <v>29</v>
      </c>
      <c r="G93" s="547">
        <f t="shared" si="66"/>
        <v>8</v>
      </c>
      <c r="H93" s="548">
        <f t="shared" si="67"/>
        <v>46477</v>
      </c>
      <c r="I93" s="549">
        <f t="shared" si="44"/>
        <v>2027</v>
      </c>
      <c r="K93" s="547">
        <f>[1]mProject!KB97</f>
        <v>12</v>
      </c>
      <c r="L93" s="547">
        <f t="shared" si="45"/>
        <v>850</v>
      </c>
      <c r="M93" s="547">
        <f t="shared" si="46"/>
        <v>295000</v>
      </c>
      <c r="N93" s="547">
        <f t="shared" si="47"/>
        <v>3540000</v>
      </c>
      <c r="O93" s="547">
        <f t="shared" si="68"/>
        <v>250750000</v>
      </c>
      <c r="P93" s="547">
        <f>[1]mProject!W97</f>
        <v>327630.99290483788</v>
      </c>
      <c r="Q93" s="547">
        <f t="shared" si="48"/>
        <v>3931571.9148580544</v>
      </c>
      <c r="R93" s="547">
        <f t="shared" si="69"/>
        <v>263333332.96135789</v>
      </c>
      <c r="T93" s="547">
        <v>0</v>
      </c>
      <c r="U93" s="547">
        <f t="shared" si="49"/>
        <v>0</v>
      </c>
      <c r="V93" s="547">
        <f>IF(T93=0,0,$V$7*(1+#REF!)^#REF!)</f>
        <v>0</v>
      </c>
      <c r="W93" s="547">
        <f t="shared" si="70"/>
        <v>0</v>
      </c>
      <c r="X93" s="547">
        <f t="shared" si="50"/>
        <v>0</v>
      </c>
      <c r="Y93" s="547">
        <f t="shared" si="51"/>
        <v>0</v>
      </c>
      <c r="AA93" s="547">
        <v>0</v>
      </c>
      <c r="AB93" s="547">
        <f t="shared" si="52"/>
        <v>0</v>
      </c>
      <c r="AC93" s="547">
        <f>IF(AA93=0,0,$V$7*(1+#REF!)^#REF!)</f>
        <v>0</v>
      </c>
      <c r="AD93" s="547">
        <f t="shared" si="71"/>
        <v>0</v>
      </c>
      <c r="AE93" s="547">
        <f t="shared" si="53"/>
        <v>0</v>
      </c>
      <c r="AF93" s="547">
        <f t="shared" si="54"/>
        <v>0</v>
      </c>
      <c r="AH93" s="547">
        <f t="shared" si="55"/>
        <v>12</v>
      </c>
      <c r="AI93" s="547">
        <f t="shared" si="72"/>
        <v>850</v>
      </c>
      <c r="AJ93" s="547">
        <f t="shared" si="56"/>
        <v>295000</v>
      </c>
      <c r="AK93" s="547">
        <f>AJ93*[1]mProject!V97</f>
        <v>327630.99290483759</v>
      </c>
      <c r="AL93" s="547">
        <f t="shared" si="57"/>
        <v>3540000</v>
      </c>
      <c r="AM93" s="547">
        <f t="shared" si="58"/>
        <v>3931571.9148580544</v>
      </c>
      <c r="AN93" s="456"/>
      <c r="AO93" s="577" t="e">
        <f t="shared" si="75"/>
        <v>#REF!</v>
      </c>
      <c r="AP93" s="577" t="e">
        <f t="shared" si="41"/>
        <v>#REF!</v>
      </c>
      <c r="AQ93" s="577" t="e">
        <f t="shared" si="43"/>
        <v>#REF!</v>
      </c>
      <c r="AR93" s="578" t="e">
        <f t="shared" si="76"/>
        <v>#REF!</v>
      </c>
      <c r="AS93" s="547" t="e">
        <f t="shared" si="78"/>
        <v>#REF!</v>
      </c>
      <c r="AT93" s="547"/>
      <c r="AU93" s="547"/>
      <c r="AV93" s="547" t="e">
        <f t="shared" si="59"/>
        <v>#REF!</v>
      </c>
      <c r="AW93" s="547" t="e">
        <f>AI93*#REF!+AI92*#REF!+AI91*#REF!</f>
        <v>#REF!</v>
      </c>
      <c r="AX93" s="456"/>
      <c r="AY93" s="585">
        <f t="shared" si="73"/>
        <v>1.1559000455889779</v>
      </c>
      <c r="AZ93" s="547">
        <f t="shared" si="60"/>
        <v>235894.31489148329</v>
      </c>
      <c r="BA93" s="547">
        <f>BA92*[1]mProject!V98</f>
        <v>0</v>
      </c>
      <c r="BB93" s="547">
        <f t="shared" si="77"/>
        <v>15799999.977681471</v>
      </c>
      <c r="BC93" s="456"/>
      <c r="BD93" s="588">
        <f>((BB93/100)*(i_CFD.ObliRate/12))*[1]i.Finance!$O$64</f>
        <v>53160.416591574118</v>
      </c>
      <c r="BE93" s="588">
        <f>(AZ93/100*[1]i.Finance!$O$61)*[1]i.Finance!$O$64</f>
        <v>9524.2329637436378</v>
      </c>
      <c r="BF93" s="588">
        <f>(AZ93/100*[1]i.Finance!$O$65)</f>
        <v>707.6829446744498</v>
      </c>
      <c r="BG93" s="589">
        <f t="shared" si="61"/>
        <v>53868.09953624857</v>
      </c>
      <c r="BH93" s="456"/>
      <c r="BI93" s="588">
        <f>-PV([1]i.Finance!$O$63/12,[1]i.Finance!$O$62*12,mCFD!BG93)</f>
        <v>9214679.6406748947</v>
      </c>
      <c r="BJ93" s="588">
        <f>BI93*[1]i.Finance!$O$58</f>
        <v>7233523.5179297924</v>
      </c>
      <c r="BK93" s="588"/>
      <c r="BL93" s="588"/>
      <c r="BP93" s="547"/>
      <c r="BQ93" s="547"/>
      <c r="BR93" s="547" t="e">
        <f t="shared" si="62"/>
        <v>#NAME?</v>
      </c>
      <c r="BS93" s="547" t="e">
        <f t="shared" si="63"/>
        <v>#NAME?</v>
      </c>
      <c r="BT93" s="547" t="e">
        <f t="shared" si="64"/>
        <v>#NAME?</v>
      </c>
      <c r="BU93" s="547"/>
    </row>
    <row r="94" spans="1:73" ht="16" hidden="1" outlineLevel="2">
      <c r="A94" s="366"/>
      <c r="B94" s="562"/>
      <c r="C94" s="366"/>
      <c r="D94" s="454"/>
      <c r="E94" s="530">
        <f t="shared" si="74"/>
        <v>88</v>
      </c>
      <c r="F94" s="530">
        <f t="shared" si="65"/>
        <v>30</v>
      </c>
      <c r="G94" s="530">
        <f t="shared" si="66"/>
        <v>8</v>
      </c>
      <c r="H94" s="554">
        <f t="shared" si="67"/>
        <v>46507</v>
      </c>
      <c r="I94" s="555">
        <f t="shared" si="44"/>
        <v>2027</v>
      </c>
      <c r="K94" s="530">
        <f>[1]mProject!KB98</f>
        <v>12</v>
      </c>
      <c r="L94" s="530">
        <f t="shared" si="45"/>
        <v>862</v>
      </c>
      <c r="M94" s="530">
        <f t="shared" si="46"/>
        <v>295000</v>
      </c>
      <c r="N94" s="530">
        <f t="shared" si="47"/>
        <v>3540000</v>
      </c>
      <c r="O94" s="530">
        <f t="shared" si="68"/>
        <v>254290000</v>
      </c>
      <c r="P94" s="530">
        <f>[1]mProject!W98</f>
        <v>328177.04455967929</v>
      </c>
      <c r="Q94" s="530">
        <f t="shared" si="48"/>
        <v>3938124.5347161517</v>
      </c>
      <c r="R94" s="530">
        <f t="shared" si="69"/>
        <v>267271457.49607405</v>
      </c>
      <c r="T94" s="530">
        <v>0</v>
      </c>
      <c r="U94" s="530">
        <f t="shared" si="49"/>
        <v>0</v>
      </c>
      <c r="V94" s="530">
        <f>IF(T94=0,0,$V$7*(1+#REF!)^#REF!)</f>
        <v>0</v>
      </c>
      <c r="W94" s="530">
        <f t="shared" si="70"/>
        <v>0</v>
      </c>
      <c r="X94" s="530">
        <f t="shared" si="50"/>
        <v>0</v>
      </c>
      <c r="Y94" s="530">
        <f t="shared" si="51"/>
        <v>0</v>
      </c>
      <c r="AA94" s="530">
        <v>0</v>
      </c>
      <c r="AB94" s="530">
        <f t="shared" si="52"/>
        <v>0</v>
      </c>
      <c r="AC94" s="530">
        <f>IF(AA94=0,0,$V$7*(1+#REF!)^#REF!)</f>
        <v>0</v>
      </c>
      <c r="AD94" s="530">
        <f t="shared" si="71"/>
        <v>0</v>
      </c>
      <c r="AE94" s="530">
        <f t="shared" si="53"/>
        <v>0</v>
      </c>
      <c r="AF94" s="530">
        <f t="shared" si="54"/>
        <v>0</v>
      </c>
      <c r="AH94" s="530">
        <f t="shared" si="55"/>
        <v>12</v>
      </c>
      <c r="AI94" s="530">
        <f t="shared" si="72"/>
        <v>862</v>
      </c>
      <c r="AJ94" s="530">
        <f t="shared" si="56"/>
        <v>295000</v>
      </c>
      <c r="AK94" s="530">
        <f>AJ94*[1]mProject!V98</f>
        <v>328177.04455967899</v>
      </c>
      <c r="AL94" s="530">
        <f t="shared" si="57"/>
        <v>3540000</v>
      </c>
      <c r="AM94" s="530">
        <f t="shared" si="58"/>
        <v>3938124.5347161517</v>
      </c>
      <c r="AN94" s="456"/>
      <c r="AO94" s="575" t="e">
        <f t="shared" si="75"/>
        <v>#REF!</v>
      </c>
      <c r="AP94" s="575" t="e">
        <f t="shared" si="41"/>
        <v>#REF!</v>
      </c>
      <c r="AQ94" s="575" t="e">
        <f t="shared" si="43"/>
        <v>#REF!</v>
      </c>
      <c r="AR94" s="576" t="e">
        <f t="shared" si="76"/>
        <v>#REF!</v>
      </c>
      <c r="AS94" s="530" t="e">
        <f t="shared" si="78"/>
        <v>#REF!</v>
      </c>
      <c r="AT94" s="530"/>
      <c r="AU94" s="530"/>
      <c r="AV94" s="530" t="e">
        <f t="shared" si="59"/>
        <v>#REF!</v>
      </c>
      <c r="AW94" s="530" t="e">
        <f>AI94*#REF!+AI93*#REF!+AI92*#REF!</f>
        <v>#REF!</v>
      </c>
      <c r="AX94" s="456"/>
      <c r="AY94" s="583">
        <f t="shared" si="73"/>
        <v>1.1578265456649595</v>
      </c>
      <c r="AZ94" s="530">
        <f t="shared" si="60"/>
        <v>236287.47208296909</v>
      </c>
      <c r="BA94" s="530">
        <f>BA93*[1]mProject!V99</f>
        <v>0</v>
      </c>
      <c r="BB94" s="530">
        <f t="shared" si="77"/>
        <v>16036287.44976444</v>
      </c>
      <c r="BC94" s="456"/>
      <c r="BD94" s="586">
        <f>((BB94/100)*(i_CFD.ObliRate/12))*[1]i.Finance!$O$64</f>
        <v>53955.425482019935</v>
      </c>
      <c r="BE94" s="586">
        <f>(AZ94/100*[1]i.Finance!$O$61)*[1]i.Finance!$O$64</f>
        <v>9540.106685349876</v>
      </c>
      <c r="BF94" s="586">
        <f>(AZ94/100*[1]i.Finance!$O$65)</f>
        <v>708.86241624890727</v>
      </c>
      <c r="BG94" s="587">
        <f t="shared" si="61"/>
        <v>54664.287898268842</v>
      </c>
      <c r="BH94" s="456"/>
      <c r="BI94" s="586">
        <f>-PV([1]i.Finance!$O$63/12,[1]i.Finance!$O$62*12,mCFD!BG94)</f>
        <v>9350875.6593355052</v>
      </c>
      <c r="BJ94" s="586">
        <f>BI94*[1]i.Finance!$O$58</f>
        <v>7340437.3925783718</v>
      </c>
      <c r="BK94" s="586"/>
      <c r="BL94" s="586"/>
      <c r="BP94" s="530"/>
      <c r="BQ94" s="530"/>
      <c r="BR94" s="530" t="e">
        <f t="shared" si="62"/>
        <v>#NAME?</v>
      </c>
      <c r="BS94" s="530" t="e">
        <f t="shared" si="63"/>
        <v>#NAME?</v>
      </c>
      <c r="BT94" s="530" t="e">
        <f t="shared" si="64"/>
        <v>#NAME?</v>
      </c>
      <c r="BU94" s="530"/>
    </row>
    <row r="95" spans="1:73" ht="16" hidden="1" outlineLevel="2">
      <c r="A95" s="366"/>
      <c r="B95" s="562"/>
      <c r="C95" s="366"/>
      <c r="D95" s="454"/>
      <c r="E95" s="533">
        <f t="shared" si="74"/>
        <v>89</v>
      </c>
      <c r="F95" s="533">
        <f t="shared" si="65"/>
        <v>30</v>
      </c>
      <c r="G95" s="533">
        <f t="shared" si="66"/>
        <v>8</v>
      </c>
      <c r="H95" s="541">
        <f t="shared" si="67"/>
        <v>46538</v>
      </c>
      <c r="I95" s="542">
        <f t="shared" si="44"/>
        <v>2027</v>
      </c>
      <c r="K95" s="533">
        <f>[1]mProject!KB99</f>
        <v>12</v>
      </c>
      <c r="L95" s="533">
        <f t="shared" si="45"/>
        <v>874</v>
      </c>
      <c r="M95" s="533">
        <f t="shared" si="46"/>
        <v>295000</v>
      </c>
      <c r="N95" s="533">
        <f t="shared" si="47"/>
        <v>3540000</v>
      </c>
      <c r="O95" s="533">
        <f t="shared" si="68"/>
        <v>257830000</v>
      </c>
      <c r="P95" s="533">
        <f>[1]mProject!W99</f>
        <v>328724.00630061212</v>
      </c>
      <c r="Q95" s="533">
        <f t="shared" si="48"/>
        <v>3944688.0756073454</v>
      </c>
      <c r="R95" s="533">
        <f t="shared" si="69"/>
        <v>271216145.57168138</v>
      </c>
      <c r="T95" s="533">
        <v>0</v>
      </c>
      <c r="U95" s="533">
        <f t="shared" si="49"/>
        <v>0</v>
      </c>
      <c r="V95" s="533">
        <f>IF(T95=0,0,$V$7*(1+#REF!)^#REF!)</f>
        <v>0</v>
      </c>
      <c r="W95" s="533">
        <f t="shared" si="70"/>
        <v>0</v>
      </c>
      <c r="X95" s="533">
        <f t="shared" si="50"/>
        <v>0</v>
      </c>
      <c r="Y95" s="533">
        <f t="shared" si="51"/>
        <v>0</v>
      </c>
      <c r="AA95" s="533">
        <v>0</v>
      </c>
      <c r="AB95" s="533">
        <f t="shared" si="52"/>
        <v>0</v>
      </c>
      <c r="AC95" s="533">
        <f>IF(AA95=0,0,$V$7*(1+#REF!)^#REF!)</f>
        <v>0</v>
      </c>
      <c r="AD95" s="533">
        <f t="shared" si="71"/>
        <v>0</v>
      </c>
      <c r="AE95" s="533">
        <f t="shared" si="53"/>
        <v>0</v>
      </c>
      <c r="AF95" s="533">
        <f t="shared" si="54"/>
        <v>0</v>
      </c>
      <c r="AH95" s="533">
        <f t="shared" si="55"/>
        <v>12</v>
      </c>
      <c r="AI95" s="533">
        <f t="shared" si="72"/>
        <v>874</v>
      </c>
      <c r="AJ95" s="533">
        <f t="shared" si="56"/>
        <v>295000</v>
      </c>
      <c r="AK95" s="533">
        <f>AJ95*[1]mProject!V99</f>
        <v>328724.00630061183</v>
      </c>
      <c r="AL95" s="533">
        <f t="shared" si="57"/>
        <v>3540000</v>
      </c>
      <c r="AM95" s="533">
        <f t="shared" si="58"/>
        <v>3944688.0756073454</v>
      </c>
      <c r="AN95" s="456"/>
      <c r="AO95" s="575" t="e">
        <f t="shared" si="75"/>
        <v>#REF!</v>
      </c>
      <c r="AP95" s="575" t="e">
        <f t="shared" ref="AP95:AP158" si="79">$L83*AP$6</f>
        <v>#REF!</v>
      </c>
      <c r="AQ95" s="575" t="e">
        <f t="shared" si="43"/>
        <v>#REF!</v>
      </c>
      <c r="AR95" s="576" t="e">
        <f t="shared" si="76"/>
        <v>#REF!</v>
      </c>
      <c r="AS95" s="533" t="e">
        <f t="shared" si="78"/>
        <v>#REF!</v>
      </c>
      <c r="AT95" s="533"/>
      <c r="AU95" s="533"/>
      <c r="AV95" s="533" t="e">
        <f t="shared" si="59"/>
        <v>#REF!</v>
      </c>
      <c r="AW95" s="533" t="e">
        <f>AI95*#REF!+AI94*#REF!+AI93*#REF!</f>
        <v>#REF!</v>
      </c>
      <c r="AX95" s="456"/>
      <c r="AY95" s="584">
        <f t="shared" si="73"/>
        <v>1.1597562565744011</v>
      </c>
      <c r="AZ95" s="533">
        <f t="shared" si="60"/>
        <v>236681.28453644074</v>
      </c>
      <c r="BA95" s="533">
        <f>BA94*[1]mProject!V100</f>
        <v>0</v>
      </c>
      <c r="BB95" s="533">
        <f t="shared" si="77"/>
        <v>16272968.73430088</v>
      </c>
      <c r="BC95" s="456"/>
      <c r="BD95" s="586">
        <f>((BB95/100)*(i_CFD.ObliRate/12))*[1]i.Finance!$O$64</f>
        <v>54751.759387283164</v>
      </c>
      <c r="BE95" s="586">
        <f>(AZ95/100*[1]i.Finance!$O$61)*[1]i.Finance!$O$64</f>
        <v>9556.0068631587965</v>
      </c>
      <c r="BF95" s="586">
        <f>(AZ95/100*[1]i.Finance!$O$65)</f>
        <v>710.04385360932224</v>
      </c>
      <c r="BG95" s="587">
        <f t="shared" si="61"/>
        <v>55461.803240892485</v>
      </c>
      <c r="BH95" s="456"/>
      <c r="BI95" s="586">
        <f>-PV([1]i.Finance!$O$63/12,[1]i.Finance!$O$62*12,mCFD!BG95)</f>
        <v>9487298.6713605504</v>
      </c>
      <c r="BJ95" s="586">
        <f>BI95*[1]i.Finance!$O$58</f>
        <v>7447529.4570180327</v>
      </c>
      <c r="BK95" s="586"/>
      <c r="BL95" s="586"/>
      <c r="BP95" s="533"/>
      <c r="BQ95" s="533"/>
      <c r="BR95" s="533" t="e">
        <f t="shared" si="62"/>
        <v>#NAME?</v>
      </c>
      <c r="BS95" s="533" t="e">
        <f t="shared" si="63"/>
        <v>#NAME?</v>
      </c>
      <c r="BT95" s="533" t="e">
        <f t="shared" si="64"/>
        <v>#NAME?</v>
      </c>
      <c r="BU95" s="533"/>
    </row>
    <row r="96" spans="1:73" ht="16" hidden="1" outlineLevel="2">
      <c r="A96" s="366"/>
      <c r="B96" s="562"/>
      <c r="C96" s="366"/>
      <c r="D96" s="454"/>
      <c r="E96" s="547">
        <f t="shared" si="74"/>
        <v>90</v>
      </c>
      <c r="F96" s="547">
        <f t="shared" si="65"/>
        <v>30</v>
      </c>
      <c r="G96" s="547">
        <f t="shared" si="66"/>
        <v>8</v>
      </c>
      <c r="H96" s="548">
        <f>EOMONTH(H94,1)</f>
        <v>46538</v>
      </c>
      <c r="I96" s="549">
        <f t="shared" si="44"/>
        <v>2027</v>
      </c>
      <c r="K96" s="547">
        <f>[1]mProject!KB100</f>
        <v>12</v>
      </c>
      <c r="L96" s="547">
        <f t="shared" si="45"/>
        <v>886</v>
      </c>
      <c r="M96" s="547">
        <f t="shared" si="46"/>
        <v>295000</v>
      </c>
      <c r="N96" s="547">
        <f t="shared" si="47"/>
        <v>3540000</v>
      </c>
      <c r="O96" s="547">
        <f t="shared" si="68"/>
        <v>261370000</v>
      </c>
      <c r="P96" s="547">
        <f>[1]mProject!W100</f>
        <v>329271.87964444648</v>
      </c>
      <c r="Q96" s="547">
        <f t="shared" si="48"/>
        <v>3951262.5557333576</v>
      </c>
      <c r="R96" s="547">
        <f t="shared" si="69"/>
        <v>275167408.12741476</v>
      </c>
      <c r="T96" s="547">
        <v>0</v>
      </c>
      <c r="U96" s="547">
        <f t="shared" si="49"/>
        <v>0</v>
      </c>
      <c r="V96" s="547">
        <f>IF(T96=0,0,$V$7*(1+#REF!)^#REF!)</f>
        <v>0</v>
      </c>
      <c r="W96" s="547">
        <f t="shared" si="70"/>
        <v>0</v>
      </c>
      <c r="X96" s="547">
        <f t="shared" si="50"/>
        <v>0</v>
      </c>
      <c r="Y96" s="547">
        <f t="shared" si="51"/>
        <v>0</v>
      </c>
      <c r="AA96" s="547">
        <v>0</v>
      </c>
      <c r="AB96" s="547">
        <f t="shared" si="52"/>
        <v>0</v>
      </c>
      <c r="AC96" s="547">
        <f>IF(AA96=0,0,$V$7*(1+#REF!)^#REF!)</f>
        <v>0</v>
      </c>
      <c r="AD96" s="547">
        <f t="shared" si="71"/>
        <v>0</v>
      </c>
      <c r="AE96" s="547">
        <f t="shared" si="53"/>
        <v>0</v>
      </c>
      <c r="AF96" s="547">
        <f t="shared" si="54"/>
        <v>0</v>
      </c>
      <c r="AH96" s="547">
        <f t="shared" si="55"/>
        <v>12</v>
      </c>
      <c r="AI96" s="547">
        <f t="shared" si="72"/>
        <v>886</v>
      </c>
      <c r="AJ96" s="547">
        <f t="shared" si="56"/>
        <v>295000</v>
      </c>
      <c r="AK96" s="547">
        <f>AJ96*[1]mProject!V100</f>
        <v>329271.87964444625</v>
      </c>
      <c r="AL96" s="547">
        <f t="shared" si="57"/>
        <v>3540000</v>
      </c>
      <c r="AM96" s="547">
        <f t="shared" si="58"/>
        <v>3951262.5557333576</v>
      </c>
      <c r="AN96" s="456"/>
      <c r="AO96" s="577" t="e">
        <f t="shared" si="75"/>
        <v>#REF!</v>
      </c>
      <c r="AP96" s="577" t="e">
        <f t="shared" si="79"/>
        <v>#REF!</v>
      </c>
      <c r="AQ96" s="577" t="e">
        <f t="shared" si="43"/>
        <v>#REF!</v>
      </c>
      <c r="AR96" s="578" t="e">
        <f t="shared" si="76"/>
        <v>#REF!</v>
      </c>
      <c r="AS96" s="547" t="e">
        <f t="shared" si="78"/>
        <v>#REF!</v>
      </c>
      <c r="AT96" s="547"/>
      <c r="AU96" s="547"/>
      <c r="AV96" s="547" t="e">
        <f t="shared" si="59"/>
        <v>#REF!</v>
      </c>
      <c r="AW96" s="547" t="e">
        <f>AI96*#REF!+AI95*#REF!+AI94*#REF!</f>
        <v>#REF!</v>
      </c>
      <c r="AX96" s="456"/>
      <c r="AY96" s="585">
        <f t="shared" si="73"/>
        <v>1.1616891836686918</v>
      </c>
      <c r="AZ96" s="547">
        <f t="shared" si="60"/>
        <v>237075.75334400145</v>
      </c>
      <c r="BA96" s="547">
        <f>BA95*[1]mProject!V101</f>
        <v>0</v>
      </c>
      <c r="BB96" s="547">
        <f t="shared" si="77"/>
        <v>16510044.487644881</v>
      </c>
      <c r="BC96" s="456"/>
      <c r="BD96" s="588">
        <f>((BB96/100)*(i_CFD.ObliRate/12))*[1]i.Finance!$O$64</f>
        <v>55549.420515721838</v>
      </c>
      <c r="BE96" s="588">
        <f>(AZ96/100*[1]i.Finance!$O$61)*[1]i.Finance!$O$64</f>
        <v>9571.9335412640576</v>
      </c>
      <c r="BF96" s="588">
        <f>(AZ96/100*[1]i.Finance!$O$65)</f>
        <v>711.22726003200432</v>
      </c>
      <c r="BG96" s="589">
        <f t="shared" si="61"/>
        <v>56260.647775753845</v>
      </c>
      <c r="BH96" s="456"/>
      <c r="BI96" s="588">
        <f>-PV([1]i.Finance!$O$63/12,[1]i.Finance!$O$62*12,mCFD!BG96)</f>
        <v>9623949.0550723039</v>
      </c>
      <c r="BJ96" s="588">
        <f>BI96*[1]i.Finance!$O$58</f>
        <v>7554800.0082317591</v>
      </c>
      <c r="BK96" s="588"/>
      <c r="BL96" s="588"/>
      <c r="BP96" s="547"/>
      <c r="BQ96" s="547"/>
      <c r="BR96" s="547" t="e">
        <f t="shared" si="62"/>
        <v>#NAME?</v>
      </c>
      <c r="BS96" s="547" t="e">
        <f t="shared" si="63"/>
        <v>#NAME?</v>
      </c>
      <c r="BT96" s="547" t="e">
        <f t="shared" si="64"/>
        <v>#NAME?</v>
      </c>
      <c r="BU96" s="547"/>
    </row>
    <row r="97" spans="1:73" ht="16" hidden="1" outlineLevel="2">
      <c r="A97" s="366"/>
      <c r="B97" s="562"/>
      <c r="C97" s="366"/>
      <c r="D97" s="454"/>
      <c r="E97" s="530">
        <f t="shared" si="74"/>
        <v>91</v>
      </c>
      <c r="F97" s="530">
        <f t="shared" si="65"/>
        <v>31</v>
      </c>
      <c r="G97" s="530">
        <f t="shared" si="66"/>
        <v>8</v>
      </c>
      <c r="H97" s="554">
        <f t="shared" ref="H97:H160" si="80">EOMONTH(H96,1)</f>
        <v>46568</v>
      </c>
      <c r="I97" s="555">
        <f t="shared" si="44"/>
        <v>2027</v>
      </c>
      <c r="K97" s="530">
        <f>[1]mProject!KB101</f>
        <v>19</v>
      </c>
      <c r="L97" s="530">
        <f t="shared" si="45"/>
        <v>905</v>
      </c>
      <c r="M97" s="530">
        <f t="shared" si="46"/>
        <v>295000</v>
      </c>
      <c r="N97" s="530">
        <f t="shared" si="47"/>
        <v>5605000</v>
      </c>
      <c r="O97" s="530">
        <f t="shared" si="68"/>
        <v>266975000</v>
      </c>
      <c r="P97" s="530">
        <f>[1]mProject!W101</f>
        <v>329820.6661105206</v>
      </c>
      <c r="Q97" s="530">
        <f t="shared" si="48"/>
        <v>6266592.6560998913</v>
      </c>
      <c r="R97" s="530">
        <f t="shared" si="69"/>
        <v>281434000.78351468</v>
      </c>
      <c r="T97" s="530">
        <v>0</v>
      </c>
      <c r="U97" s="530">
        <f t="shared" si="49"/>
        <v>0</v>
      </c>
      <c r="V97" s="530">
        <f>IF(T97=0,0,$V$7*(1+#REF!)^#REF!)</f>
        <v>0</v>
      </c>
      <c r="W97" s="530">
        <f t="shared" si="70"/>
        <v>0</v>
      </c>
      <c r="X97" s="530">
        <f t="shared" si="50"/>
        <v>0</v>
      </c>
      <c r="Y97" s="530">
        <f t="shared" si="51"/>
        <v>0</v>
      </c>
      <c r="AA97" s="530">
        <v>0</v>
      </c>
      <c r="AB97" s="530">
        <f t="shared" si="52"/>
        <v>0</v>
      </c>
      <c r="AC97" s="530">
        <f>IF(AA97=0,0,$V$7*(1+#REF!)^#REF!)</f>
        <v>0</v>
      </c>
      <c r="AD97" s="530">
        <f t="shared" si="71"/>
        <v>0</v>
      </c>
      <c r="AE97" s="530">
        <f t="shared" si="53"/>
        <v>0</v>
      </c>
      <c r="AF97" s="530">
        <f t="shared" si="54"/>
        <v>0</v>
      </c>
      <c r="AH97" s="530">
        <f t="shared" si="55"/>
        <v>19</v>
      </c>
      <c r="AI97" s="530">
        <f t="shared" si="72"/>
        <v>905</v>
      </c>
      <c r="AJ97" s="530">
        <f t="shared" si="56"/>
        <v>295000</v>
      </c>
      <c r="AK97" s="530">
        <f>AJ97*[1]mProject!V101</f>
        <v>329820.66611052037</v>
      </c>
      <c r="AL97" s="530">
        <f t="shared" si="57"/>
        <v>5605000</v>
      </c>
      <c r="AM97" s="530">
        <f t="shared" si="58"/>
        <v>6266592.6560998913</v>
      </c>
      <c r="AN97" s="456"/>
      <c r="AO97" s="572" t="e">
        <f t="shared" si="75"/>
        <v>#REF!</v>
      </c>
      <c r="AP97" s="572" t="e">
        <f t="shared" si="79"/>
        <v>#REF!</v>
      </c>
      <c r="AQ97" s="572" t="e">
        <f t="shared" si="43"/>
        <v>#REF!</v>
      </c>
      <c r="AR97" s="573" t="e">
        <f t="shared" si="76"/>
        <v>#REF!</v>
      </c>
      <c r="AS97" s="530" t="e">
        <f t="shared" si="78"/>
        <v>#REF!</v>
      </c>
      <c r="AT97" s="530"/>
      <c r="AU97" s="530"/>
      <c r="AV97" s="530" t="e">
        <f t="shared" si="59"/>
        <v>#REF!</v>
      </c>
      <c r="AW97" s="530" t="e">
        <f>AI97*#REF!+AI96*#REF!+AI95*#REF!</f>
        <v>#REF!</v>
      </c>
      <c r="AX97" s="456"/>
      <c r="AY97" s="583">
        <f t="shared" si="73"/>
        <v>1.1636253323081396</v>
      </c>
      <c r="AZ97" s="530">
        <f t="shared" si="60"/>
        <v>375995.55936599348</v>
      </c>
      <c r="BA97" s="530">
        <f>BA96*[1]mProject!V102</f>
        <v>0</v>
      </c>
      <c r="BB97" s="530">
        <f t="shared" si="77"/>
        <v>16886040.047010876</v>
      </c>
      <c r="BC97" s="456"/>
      <c r="BD97" s="590">
        <f>((BB97/100)*(i_CFD.ObliRate/12))*[1]i.Finance!$O$64</f>
        <v>56814.48890817201</v>
      </c>
      <c r="BE97" s="590">
        <f>(AZ97/100*[1]i.Finance!$O$61)*[1]i.Finance!$O$64</f>
        <v>15180.820709401987</v>
      </c>
      <c r="BF97" s="590">
        <f>(AZ97/100*[1]i.Finance!$O$65)</f>
        <v>1127.9866780979805</v>
      </c>
      <c r="BG97" s="591">
        <f t="shared" si="61"/>
        <v>57942.475586269989</v>
      </c>
      <c r="BH97" s="456"/>
      <c r="BI97" s="590">
        <f>-PV([1]i.Finance!$O$63/12,[1]i.Finance!$O$62*12,mCFD!BG97)</f>
        <v>9911642.5994539</v>
      </c>
      <c r="BJ97" s="590">
        <f>BI97*[1]i.Finance!$O$58</f>
        <v>7780639.4405713119</v>
      </c>
      <c r="BK97" s="590"/>
      <c r="BL97" s="590"/>
      <c r="BP97" s="530"/>
      <c r="BQ97" s="530"/>
      <c r="BR97" s="530" t="e">
        <f t="shared" si="62"/>
        <v>#NAME?</v>
      </c>
      <c r="BS97" s="530" t="e">
        <f t="shared" si="63"/>
        <v>#NAME?</v>
      </c>
      <c r="BT97" s="530" t="e">
        <f t="shared" si="64"/>
        <v>#NAME?</v>
      </c>
      <c r="BU97" s="530"/>
    </row>
    <row r="98" spans="1:73" ht="16" hidden="1" outlineLevel="2">
      <c r="A98" s="366"/>
      <c r="B98" s="562"/>
      <c r="C98" s="366"/>
      <c r="D98" s="454"/>
      <c r="E98" s="533">
        <f t="shared" si="74"/>
        <v>92</v>
      </c>
      <c r="F98" s="533">
        <f t="shared" si="65"/>
        <v>31</v>
      </c>
      <c r="G98" s="533">
        <f t="shared" si="66"/>
        <v>8</v>
      </c>
      <c r="H98" s="541">
        <f t="shared" si="80"/>
        <v>46599</v>
      </c>
      <c r="I98" s="542">
        <f t="shared" si="44"/>
        <v>2027</v>
      </c>
      <c r="K98" s="533">
        <f>[1]mProject!KB102</f>
        <v>8</v>
      </c>
      <c r="L98" s="533">
        <f t="shared" si="45"/>
        <v>913</v>
      </c>
      <c r="M98" s="533">
        <f t="shared" si="46"/>
        <v>295000</v>
      </c>
      <c r="N98" s="533">
        <f t="shared" si="47"/>
        <v>2360000</v>
      </c>
      <c r="O98" s="533">
        <f t="shared" si="68"/>
        <v>269335000</v>
      </c>
      <c r="P98" s="533">
        <f>[1]mProject!W102</f>
        <v>330370.36722070479</v>
      </c>
      <c r="Q98" s="533">
        <f t="shared" si="48"/>
        <v>2642962.9377656383</v>
      </c>
      <c r="R98" s="533">
        <f t="shared" si="69"/>
        <v>284076963.72128034</v>
      </c>
      <c r="T98" s="533">
        <v>0</v>
      </c>
      <c r="U98" s="533">
        <f t="shared" si="49"/>
        <v>0</v>
      </c>
      <c r="V98" s="533">
        <f>IF(T98=0,0,$V$7*(1+#REF!)^#REF!)</f>
        <v>0</v>
      </c>
      <c r="W98" s="533">
        <f t="shared" si="70"/>
        <v>0</v>
      </c>
      <c r="X98" s="533">
        <f t="shared" si="50"/>
        <v>0</v>
      </c>
      <c r="Y98" s="533">
        <f t="shared" si="51"/>
        <v>0</v>
      </c>
      <c r="AA98" s="533">
        <v>0</v>
      </c>
      <c r="AB98" s="533">
        <f t="shared" si="52"/>
        <v>0</v>
      </c>
      <c r="AC98" s="533">
        <f>IF(AA98=0,0,$V$7*(1+#REF!)^#REF!)</f>
        <v>0</v>
      </c>
      <c r="AD98" s="533">
        <f t="shared" si="71"/>
        <v>0</v>
      </c>
      <c r="AE98" s="533">
        <f t="shared" si="53"/>
        <v>0</v>
      </c>
      <c r="AF98" s="533">
        <f t="shared" si="54"/>
        <v>0</v>
      </c>
      <c r="AH98" s="533">
        <f t="shared" si="55"/>
        <v>8</v>
      </c>
      <c r="AI98" s="533">
        <f t="shared" si="72"/>
        <v>913</v>
      </c>
      <c r="AJ98" s="533">
        <f t="shared" si="56"/>
        <v>295000</v>
      </c>
      <c r="AK98" s="533">
        <f>AJ98*[1]mProject!V102</f>
        <v>330370.36722070456</v>
      </c>
      <c r="AL98" s="533">
        <f t="shared" si="57"/>
        <v>2360000</v>
      </c>
      <c r="AM98" s="533">
        <f t="shared" si="58"/>
        <v>2642962.9377656383</v>
      </c>
      <c r="AN98" s="456"/>
      <c r="AO98" s="575" t="e">
        <f t="shared" si="75"/>
        <v>#REF!</v>
      </c>
      <c r="AP98" s="575" t="e">
        <f t="shared" si="79"/>
        <v>#REF!</v>
      </c>
      <c r="AQ98" s="575" t="e">
        <f t="shared" si="43"/>
        <v>#REF!</v>
      </c>
      <c r="AR98" s="576" t="e">
        <f t="shared" si="76"/>
        <v>#REF!</v>
      </c>
      <c r="AS98" s="533" t="e">
        <f t="shared" si="78"/>
        <v>#REF!</v>
      </c>
      <c r="AT98" s="533"/>
      <c r="AU98" s="533"/>
      <c r="AV98" s="533" t="e">
        <f t="shared" si="59"/>
        <v>#REF!</v>
      </c>
      <c r="AW98" s="533" t="e">
        <f>AI98*#REF!+AI97*#REF!+AI96*#REF!</f>
        <v>#REF!</v>
      </c>
      <c r="AX98" s="456"/>
      <c r="AY98" s="584">
        <f t="shared" si="73"/>
        <v>1.1655647078619866</v>
      </c>
      <c r="AZ98" s="533">
        <f t="shared" si="60"/>
        <v>158577.7762659383</v>
      </c>
      <c r="BA98" s="533">
        <f>BA97*[1]mProject!V103</f>
        <v>0</v>
      </c>
      <c r="BB98" s="533">
        <f t="shared" si="77"/>
        <v>17044617.823276814</v>
      </c>
      <c r="BC98" s="456"/>
      <c r="BD98" s="586">
        <f>((BB98/100)*(i_CFD.ObliRate/12))*[1]i.Finance!$O$64</f>
        <v>57348.037051233448</v>
      </c>
      <c r="BE98" s="586">
        <f>(AZ98/100*[1]i.Finance!$O$61)*[1]i.Finance!$O$64</f>
        <v>6402.577716737258</v>
      </c>
      <c r="BF98" s="586">
        <f>(AZ98/100*[1]i.Finance!$O$65)</f>
        <v>475.73332879781486</v>
      </c>
      <c r="BG98" s="587">
        <f t="shared" si="61"/>
        <v>57823.770380031267</v>
      </c>
      <c r="BH98" s="456"/>
      <c r="BI98" s="586">
        <f>-PV([1]i.Finance!$O$63/12,[1]i.Finance!$O$62*12,mCFD!BG98)</f>
        <v>9891336.8812907059</v>
      </c>
      <c r="BJ98" s="586">
        <f>BI98*[1]i.Finance!$O$58</f>
        <v>7764699.4518132042</v>
      </c>
      <c r="BK98" s="586"/>
      <c r="BL98" s="586"/>
      <c r="BP98" s="533"/>
      <c r="BQ98" s="533"/>
      <c r="BR98" s="533" t="e">
        <f t="shared" si="62"/>
        <v>#NAME?</v>
      </c>
      <c r="BS98" s="533" t="e">
        <f t="shared" si="63"/>
        <v>#NAME?</v>
      </c>
      <c r="BT98" s="533" t="e">
        <f t="shared" si="64"/>
        <v>#NAME?</v>
      </c>
      <c r="BU98" s="533"/>
    </row>
    <row r="99" spans="1:73" ht="16" hidden="1" outlineLevel="2">
      <c r="A99" s="366"/>
      <c r="B99" s="562"/>
      <c r="C99" s="366"/>
      <c r="D99" s="454"/>
      <c r="E99" s="547">
        <f t="shared" si="74"/>
        <v>93</v>
      </c>
      <c r="F99" s="547">
        <f t="shared" si="65"/>
        <v>31</v>
      </c>
      <c r="G99" s="547">
        <f t="shared" si="66"/>
        <v>8</v>
      </c>
      <c r="H99" s="548">
        <f t="shared" si="80"/>
        <v>46630</v>
      </c>
      <c r="I99" s="549">
        <f t="shared" si="44"/>
        <v>2027</v>
      </c>
      <c r="K99" s="547">
        <f>[1]mProject!KB103</f>
        <v>8</v>
      </c>
      <c r="L99" s="547">
        <f t="shared" si="45"/>
        <v>921</v>
      </c>
      <c r="M99" s="547">
        <f t="shared" si="46"/>
        <v>295000</v>
      </c>
      <c r="N99" s="547">
        <f t="shared" si="47"/>
        <v>2360000</v>
      </c>
      <c r="O99" s="547">
        <f t="shared" si="68"/>
        <v>271695000</v>
      </c>
      <c r="P99" s="547">
        <f>[1]mProject!W103</f>
        <v>330920.98449940595</v>
      </c>
      <c r="Q99" s="547">
        <f t="shared" si="48"/>
        <v>2647367.8759952476</v>
      </c>
      <c r="R99" s="547">
        <f t="shared" si="69"/>
        <v>286724331.59727556</v>
      </c>
      <c r="T99" s="547">
        <v>0</v>
      </c>
      <c r="U99" s="547">
        <f t="shared" si="49"/>
        <v>0</v>
      </c>
      <c r="V99" s="547">
        <f>IF(T99=0,0,$V$7*(1+#REF!)^#REF!)</f>
        <v>0</v>
      </c>
      <c r="W99" s="547">
        <f t="shared" si="70"/>
        <v>0</v>
      </c>
      <c r="X99" s="547">
        <f t="shared" si="50"/>
        <v>0</v>
      </c>
      <c r="Y99" s="547">
        <f t="shared" si="51"/>
        <v>0</v>
      </c>
      <c r="AA99" s="547">
        <v>0</v>
      </c>
      <c r="AB99" s="547">
        <f t="shared" si="52"/>
        <v>0</v>
      </c>
      <c r="AC99" s="547">
        <f>IF(AA99=0,0,$V$7*(1+#REF!)^#REF!)</f>
        <v>0</v>
      </c>
      <c r="AD99" s="547">
        <f t="shared" si="71"/>
        <v>0</v>
      </c>
      <c r="AE99" s="547">
        <f t="shared" si="53"/>
        <v>0</v>
      </c>
      <c r="AF99" s="547">
        <f t="shared" si="54"/>
        <v>0</v>
      </c>
      <c r="AH99" s="547">
        <f t="shared" si="55"/>
        <v>8</v>
      </c>
      <c r="AI99" s="547">
        <f t="shared" si="72"/>
        <v>921</v>
      </c>
      <c r="AJ99" s="547">
        <f t="shared" si="56"/>
        <v>295000</v>
      </c>
      <c r="AK99" s="547">
        <f>AJ99*[1]mProject!V103</f>
        <v>330920.98449940572</v>
      </c>
      <c r="AL99" s="547">
        <f t="shared" si="57"/>
        <v>2360000</v>
      </c>
      <c r="AM99" s="547">
        <f t="shared" si="58"/>
        <v>2647367.8759952476</v>
      </c>
      <c r="AN99" s="456"/>
      <c r="AO99" s="577" t="e">
        <f t="shared" si="75"/>
        <v>#REF!</v>
      </c>
      <c r="AP99" s="577" t="e">
        <f t="shared" si="79"/>
        <v>#REF!</v>
      </c>
      <c r="AQ99" s="577" t="e">
        <f t="shared" si="43"/>
        <v>#REF!</v>
      </c>
      <c r="AR99" s="578" t="e">
        <f t="shared" si="76"/>
        <v>#REF!</v>
      </c>
      <c r="AS99" s="547" t="e">
        <f t="shared" si="78"/>
        <v>#REF!</v>
      </c>
      <c r="AT99" s="547"/>
      <c r="AU99" s="547"/>
      <c r="AV99" s="547" t="e">
        <f t="shared" si="59"/>
        <v>#REF!</v>
      </c>
      <c r="AW99" s="547" t="e">
        <f>AI99*#REF!+AI98*#REF!+AI97*#REF!</f>
        <v>#REF!</v>
      </c>
      <c r="AX99" s="456"/>
      <c r="AY99" s="585">
        <f t="shared" si="73"/>
        <v>1.1675073157084233</v>
      </c>
      <c r="AZ99" s="547">
        <f t="shared" si="60"/>
        <v>158842.07255971487</v>
      </c>
      <c r="BA99" s="547">
        <f>BA98*[1]mProject!V104</f>
        <v>0</v>
      </c>
      <c r="BB99" s="547">
        <f t="shared" si="77"/>
        <v>17203459.895836528</v>
      </c>
      <c r="BC99" s="456"/>
      <c r="BD99" s="588">
        <f>((BB99/100)*(i_CFD.ObliRate/12))*[1]i.Finance!$O$64</f>
        <v>57882.474441199978</v>
      </c>
      <c r="BE99" s="588">
        <f>(AZ99/100*[1]i.Finance!$O$61)*[1]i.Finance!$O$64</f>
        <v>6413.2486795984878</v>
      </c>
      <c r="BF99" s="588">
        <f>(AZ99/100*[1]i.Finance!$O$65)</f>
        <v>476.52621767914457</v>
      </c>
      <c r="BG99" s="589">
        <f t="shared" si="61"/>
        <v>58359.000658879122</v>
      </c>
      <c r="BH99" s="456"/>
      <c r="BI99" s="588">
        <f>-PV([1]i.Finance!$O$63/12,[1]i.Finance!$O$62*12,mCFD!BG99)</f>
        <v>9982893.3979681358</v>
      </c>
      <c r="BJ99" s="588">
        <f>BI99*[1]i.Finance!$O$58</f>
        <v>7836571.3174049873</v>
      </c>
      <c r="BK99" s="588"/>
      <c r="BL99" s="588"/>
      <c r="BP99" s="547"/>
      <c r="BQ99" s="547"/>
      <c r="BR99" s="547" t="e">
        <f t="shared" si="62"/>
        <v>#NAME?</v>
      </c>
      <c r="BS99" s="547" t="e">
        <f t="shared" si="63"/>
        <v>#NAME?</v>
      </c>
      <c r="BT99" s="547" t="e">
        <f t="shared" si="64"/>
        <v>#NAME?</v>
      </c>
      <c r="BU99" s="547"/>
    </row>
    <row r="100" spans="1:73" ht="16" hidden="1" outlineLevel="2">
      <c r="A100" s="366"/>
      <c r="B100" s="562"/>
      <c r="C100" s="366"/>
      <c r="D100" s="454"/>
      <c r="E100" s="530">
        <f t="shared" si="74"/>
        <v>94</v>
      </c>
      <c r="F100" s="530">
        <f t="shared" si="65"/>
        <v>32</v>
      </c>
      <c r="G100" s="530">
        <f t="shared" si="66"/>
        <v>8</v>
      </c>
      <c r="H100" s="554">
        <f t="shared" si="80"/>
        <v>46660</v>
      </c>
      <c r="I100" s="555">
        <f t="shared" si="44"/>
        <v>2027</v>
      </c>
      <c r="K100" s="530">
        <f>[1]mProject!KB104</f>
        <v>8</v>
      </c>
      <c r="L100" s="530">
        <f t="shared" si="45"/>
        <v>929</v>
      </c>
      <c r="M100" s="530">
        <f t="shared" si="46"/>
        <v>295000</v>
      </c>
      <c r="N100" s="530">
        <f t="shared" si="47"/>
        <v>2360000</v>
      </c>
      <c r="O100" s="530">
        <f t="shared" si="68"/>
        <v>274055000</v>
      </c>
      <c r="P100" s="530">
        <f>[1]mProject!W104</f>
        <v>331472.51947357162</v>
      </c>
      <c r="Q100" s="530">
        <f t="shared" si="48"/>
        <v>2651780.155788573</v>
      </c>
      <c r="R100" s="530">
        <f t="shared" si="69"/>
        <v>289376111.75306416</v>
      </c>
      <c r="T100" s="530">
        <v>0</v>
      </c>
      <c r="U100" s="530">
        <f t="shared" si="49"/>
        <v>0</v>
      </c>
      <c r="V100" s="530">
        <f>IF(T100=0,0,$V$7*(1+#REF!)^#REF!)</f>
        <v>0</v>
      </c>
      <c r="W100" s="530">
        <f t="shared" si="70"/>
        <v>0</v>
      </c>
      <c r="X100" s="530">
        <f t="shared" si="50"/>
        <v>0</v>
      </c>
      <c r="Y100" s="530">
        <f t="shared" si="51"/>
        <v>0</v>
      </c>
      <c r="AA100" s="530">
        <v>0</v>
      </c>
      <c r="AB100" s="530">
        <f t="shared" si="52"/>
        <v>0</v>
      </c>
      <c r="AC100" s="530">
        <f>IF(AA100=0,0,$V$7*(1+#REF!)^#REF!)</f>
        <v>0</v>
      </c>
      <c r="AD100" s="530">
        <f t="shared" si="71"/>
        <v>0</v>
      </c>
      <c r="AE100" s="530">
        <f t="shared" si="53"/>
        <v>0</v>
      </c>
      <c r="AF100" s="530">
        <f t="shared" si="54"/>
        <v>0</v>
      </c>
      <c r="AH100" s="530">
        <f t="shared" si="55"/>
        <v>8</v>
      </c>
      <c r="AI100" s="530">
        <f t="shared" si="72"/>
        <v>929</v>
      </c>
      <c r="AJ100" s="530">
        <f t="shared" si="56"/>
        <v>295000</v>
      </c>
      <c r="AK100" s="530">
        <f>AJ100*[1]mProject!V104</f>
        <v>331472.51947357139</v>
      </c>
      <c r="AL100" s="530">
        <f t="shared" si="57"/>
        <v>2360000</v>
      </c>
      <c r="AM100" s="530">
        <f t="shared" si="58"/>
        <v>2651780.155788573</v>
      </c>
      <c r="AN100" s="456"/>
      <c r="AO100" s="572" t="e">
        <f t="shared" si="75"/>
        <v>#REF!</v>
      </c>
      <c r="AP100" s="572" t="e">
        <f t="shared" si="79"/>
        <v>#REF!</v>
      </c>
      <c r="AQ100" s="572" t="e">
        <f t="shared" si="43"/>
        <v>#REF!</v>
      </c>
      <c r="AR100" s="573" t="e">
        <f t="shared" si="76"/>
        <v>#REF!</v>
      </c>
      <c r="AS100" s="530" t="e">
        <f t="shared" si="78"/>
        <v>#REF!</v>
      </c>
      <c r="AT100" s="530"/>
      <c r="AU100" s="530"/>
      <c r="AV100" s="530" t="e">
        <f t="shared" si="59"/>
        <v>#REF!</v>
      </c>
      <c r="AW100" s="530" t="e">
        <f>AI100*#REF!+AI99*#REF!+AI98*#REF!</f>
        <v>#REF!</v>
      </c>
      <c r="AX100" s="456"/>
      <c r="AY100" s="583">
        <f t="shared" si="73"/>
        <v>1.169453161234604</v>
      </c>
      <c r="AZ100" s="530">
        <f t="shared" si="60"/>
        <v>159106.80934731438</v>
      </c>
      <c r="BA100" s="530">
        <f>BA99*[1]mProject!V105</f>
        <v>0</v>
      </c>
      <c r="BB100" s="530">
        <f t="shared" si="77"/>
        <v>17362566.705183841</v>
      </c>
      <c r="BC100" s="456"/>
      <c r="BD100" s="590">
        <f>((BB100/100)*(i_CFD.ObliRate/12))*[1]i.Finance!$O$64</f>
        <v>58417.802560149801</v>
      </c>
      <c r="BE100" s="590">
        <f>(AZ100/100*[1]i.Finance!$O$61)*[1]i.Finance!$O$64</f>
        <v>6423.9374273978174</v>
      </c>
      <c r="BF100" s="590">
        <f>(AZ100/100*[1]i.Finance!$O$65)</f>
        <v>477.3204280419431</v>
      </c>
      <c r="BG100" s="591">
        <f t="shared" si="61"/>
        <v>58895.122988191746</v>
      </c>
      <c r="BH100" s="456"/>
      <c r="BI100" s="590">
        <f>-PV([1]i.Finance!$O$63/12,[1]i.Finance!$O$62*12,mCFD!BG100)</f>
        <v>10074602.508840032</v>
      </c>
      <c r="BJ100" s="590">
        <f>BI100*[1]i.Finance!$O$58</f>
        <v>7908562.9694394255</v>
      </c>
      <c r="BK100" s="590"/>
      <c r="BL100" s="590"/>
      <c r="BP100" s="530"/>
      <c r="BQ100" s="530"/>
      <c r="BR100" s="530" t="e">
        <f t="shared" si="62"/>
        <v>#NAME?</v>
      </c>
      <c r="BS100" s="530" t="e">
        <f t="shared" si="63"/>
        <v>#NAME?</v>
      </c>
      <c r="BT100" s="530" t="e">
        <f t="shared" si="64"/>
        <v>#NAME?</v>
      </c>
      <c r="BU100" s="530"/>
    </row>
    <row r="101" spans="1:73" ht="16" hidden="1" outlineLevel="2">
      <c r="A101" s="366"/>
      <c r="B101" s="562"/>
      <c r="C101" s="366"/>
      <c r="D101" s="454"/>
      <c r="E101" s="533">
        <f t="shared" si="74"/>
        <v>95</v>
      </c>
      <c r="F101" s="533">
        <f t="shared" si="65"/>
        <v>32</v>
      </c>
      <c r="G101" s="533">
        <f t="shared" si="66"/>
        <v>8</v>
      </c>
      <c r="H101" s="541">
        <f t="shared" si="80"/>
        <v>46691</v>
      </c>
      <c r="I101" s="542">
        <f t="shared" si="44"/>
        <v>2027</v>
      </c>
      <c r="K101" s="533">
        <f>[1]mProject!KB105</f>
        <v>13</v>
      </c>
      <c r="L101" s="533">
        <f t="shared" si="45"/>
        <v>942</v>
      </c>
      <c r="M101" s="533">
        <f t="shared" si="46"/>
        <v>295000</v>
      </c>
      <c r="N101" s="533">
        <f t="shared" si="47"/>
        <v>3835000</v>
      </c>
      <c r="O101" s="533">
        <f t="shared" si="68"/>
        <v>277890000</v>
      </c>
      <c r="P101" s="533">
        <f>[1]mProject!W105</f>
        <v>332024.97367269424</v>
      </c>
      <c r="Q101" s="533">
        <f t="shared" si="48"/>
        <v>4316324.6577450251</v>
      </c>
      <c r="R101" s="533">
        <f t="shared" si="69"/>
        <v>293692436.41080916</v>
      </c>
      <c r="T101" s="533">
        <v>0</v>
      </c>
      <c r="U101" s="533">
        <f t="shared" si="49"/>
        <v>0</v>
      </c>
      <c r="V101" s="533">
        <f>IF(T101=0,0,$V$7*(1+#REF!)^#REF!)</f>
        <v>0</v>
      </c>
      <c r="W101" s="533">
        <f t="shared" si="70"/>
        <v>0</v>
      </c>
      <c r="X101" s="533">
        <f t="shared" si="50"/>
        <v>0</v>
      </c>
      <c r="Y101" s="533">
        <f t="shared" si="51"/>
        <v>0</v>
      </c>
      <c r="AA101" s="533">
        <v>0</v>
      </c>
      <c r="AB101" s="533">
        <f t="shared" si="52"/>
        <v>0</v>
      </c>
      <c r="AC101" s="533">
        <f>IF(AA101=0,0,$V$7*(1+#REF!)^#REF!)</f>
        <v>0</v>
      </c>
      <c r="AD101" s="533">
        <f t="shared" si="71"/>
        <v>0</v>
      </c>
      <c r="AE101" s="533">
        <f t="shared" si="53"/>
        <v>0</v>
      </c>
      <c r="AF101" s="533">
        <f t="shared" si="54"/>
        <v>0</v>
      </c>
      <c r="AH101" s="533">
        <f t="shared" si="55"/>
        <v>13</v>
      </c>
      <c r="AI101" s="533">
        <f t="shared" si="72"/>
        <v>942</v>
      </c>
      <c r="AJ101" s="533">
        <f t="shared" si="56"/>
        <v>295000</v>
      </c>
      <c r="AK101" s="533">
        <f>AJ101*[1]mProject!V105</f>
        <v>332024.97367269406</v>
      </c>
      <c r="AL101" s="533">
        <f t="shared" si="57"/>
        <v>3835000</v>
      </c>
      <c r="AM101" s="533">
        <f t="shared" si="58"/>
        <v>4316324.6577450251</v>
      </c>
      <c r="AN101" s="456"/>
      <c r="AO101" s="575" t="e">
        <f t="shared" si="75"/>
        <v>#REF!</v>
      </c>
      <c r="AP101" s="575" t="e">
        <f t="shared" si="79"/>
        <v>#REF!</v>
      </c>
      <c r="AQ101" s="575" t="e">
        <f t="shared" si="43"/>
        <v>#REF!</v>
      </c>
      <c r="AR101" s="576" t="e">
        <f t="shared" si="76"/>
        <v>#REF!</v>
      </c>
      <c r="AS101" s="533" t="e">
        <f t="shared" si="78"/>
        <v>#REF!</v>
      </c>
      <c r="AT101" s="533"/>
      <c r="AU101" s="533"/>
      <c r="AV101" s="533" t="e">
        <f t="shared" si="59"/>
        <v>#REF!</v>
      </c>
      <c r="AW101" s="533" t="e">
        <f>AI101*#REF!+AI100*#REF!+AI99*#REF!</f>
        <v>#REF!</v>
      </c>
      <c r="AX101" s="456"/>
      <c r="AY101" s="584">
        <f t="shared" si="73"/>
        <v>1.1714022498366616</v>
      </c>
      <c r="AZ101" s="533">
        <f t="shared" si="60"/>
        <v>258979.47946470152</v>
      </c>
      <c r="BA101" s="533">
        <f>BA100*[1]mProject!V106</f>
        <v>0</v>
      </c>
      <c r="BB101" s="533">
        <f t="shared" si="77"/>
        <v>17621546.184648544</v>
      </c>
      <c r="BC101" s="456"/>
      <c r="BD101" s="586">
        <f>((BB101/100)*(i_CFD.ObliRate/12))*[1]i.Finance!$O$64</f>
        <v>59289.160600432086</v>
      </c>
      <c r="BE101" s="586">
        <f>(AZ101/100*[1]i.Finance!$O$61)*[1]i.Finance!$O$64</f>
        <v>10456.296483387325</v>
      </c>
      <c r="BF101" s="586">
        <f>(AZ101/100*[1]i.Finance!$O$65)</f>
        <v>776.93843839410454</v>
      </c>
      <c r="BG101" s="587">
        <f t="shared" si="61"/>
        <v>60066.099038826193</v>
      </c>
      <c r="BH101" s="456"/>
      <c r="BI101" s="586">
        <f>-PV([1]i.Finance!$O$63/12,[1]i.Finance!$O$62*12,mCFD!BG101)</f>
        <v>10274909.727145337</v>
      </c>
      <c r="BJ101" s="586">
        <f>BI101*[1]i.Finance!$O$58</f>
        <v>8065804.13580909</v>
      </c>
      <c r="BK101" s="586"/>
      <c r="BL101" s="586"/>
      <c r="BP101" s="533"/>
      <c r="BQ101" s="533"/>
      <c r="BR101" s="533" t="e">
        <f t="shared" si="62"/>
        <v>#NAME?</v>
      </c>
      <c r="BS101" s="533" t="e">
        <f t="shared" si="63"/>
        <v>#NAME?</v>
      </c>
      <c r="BT101" s="533" t="e">
        <f t="shared" si="64"/>
        <v>#NAME?</v>
      </c>
      <c r="BU101" s="533"/>
    </row>
    <row r="102" spans="1:73" ht="17" hidden="1" outlineLevel="2" thickBot="1">
      <c r="A102" s="366"/>
      <c r="B102" s="562"/>
      <c r="C102" s="366"/>
      <c r="D102" s="454"/>
      <c r="E102" s="564">
        <f t="shared" si="74"/>
        <v>96</v>
      </c>
      <c r="F102" s="564">
        <f t="shared" si="65"/>
        <v>32</v>
      </c>
      <c r="G102" s="564">
        <f t="shared" si="66"/>
        <v>8</v>
      </c>
      <c r="H102" s="565">
        <f t="shared" si="80"/>
        <v>46721</v>
      </c>
      <c r="I102" s="566">
        <f t="shared" si="44"/>
        <v>2027</v>
      </c>
      <c r="K102" s="564">
        <f>[1]mProject!KB106</f>
        <v>4</v>
      </c>
      <c r="L102" s="564">
        <f t="shared" si="45"/>
        <v>946</v>
      </c>
      <c r="M102" s="564">
        <f t="shared" si="46"/>
        <v>295000</v>
      </c>
      <c r="N102" s="564">
        <f t="shared" si="47"/>
        <v>1180000</v>
      </c>
      <c r="O102" s="564">
        <f t="shared" si="68"/>
        <v>279070000</v>
      </c>
      <c r="P102" s="564">
        <f>[1]mProject!W106</f>
        <v>332578.34862881538</v>
      </c>
      <c r="Q102" s="564">
        <f t="shared" si="48"/>
        <v>1330313.3945152615</v>
      </c>
      <c r="R102" s="564">
        <f t="shared" si="69"/>
        <v>295022749.80532444</v>
      </c>
      <c r="T102" s="564">
        <v>0</v>
      </c>
      <c r="U102" s="564">
        <f t="shared" si="49"/>
        <v>0</v>
      </c>
      <c r="V102" s="564">
        <f>IF(T102=0,0,$V$7*(1+#REF!)^#REF!)</f>
        <v>0</v>
      </c>
      <c r="W102" s="564">
        <f t="shared" si="70"/>
        <v>0</v>
      </c>
      <c r="X102" s="564">
        <f t="shared" si="50"/>
        <v>0</v>
      </c>
      <c r="Y102" s="564">
        <f t="shared" si="51"/>
        <v>0</v>
      </c>
      <c r="AA102" s="564">
        <v>0</v>
      </c>
      <c r="AB102" s="564">
        <f t="shared" si="52"/>
        <v>0</v>
      </c>
      <c r="AC102" s="564">
        <f>IF(AA102=0,0,$V$7*(1+#REF!)^#REF!)</f>
        <v>0</v>
      </c>
      <c r="AD102" s="564">
        <f t="shared" si="71"/>
        <v>0</v>
      </c>
      <c r="AE102" s="564">
        <f t="shared" si="53"/>
        <v>0</v>
      </c>
      <c r="AF102" s="564">
        <f t="shared" si="54"/>
        <v>0</v>
      </c>
      <c r="AH102" s="564">
        <f t="shared" si="55"/>
        <v>4</v>
      </c>
      <c r="AI102" s="564">
        <f t="shared" si="72"/>
        <v>946</v>
      </c>
      <c r="AJ102" s="564">
        <f t="shared" si="56"/>
        <v>295000</v>
      </c>
      <c r="AK102" s="564">
        <f>AJ102*[1]mProject!V106</f>
        <v>332578.34862881521</v>
      </c>
      <c r="AL102" s="564">
        <f t="shared" si="57"/>
        <v>1180000</v>
      </c>
      <c r="AM102" s="564">
        <f t="shared" si="58"/>
        <v>1330313.3945152615</v>
      </c>
      <c r="AN102" s="456"/>
      <c r="AO102" s="581" t="e">
        <f t="shared" si="75"/>
        <v>#REF!</v>
      </c>
      <c r="AP102" s="581" t="e">
        <f t="shared" si="79"/>
        <v>#REF!</v>
      </c>
      <c r="AQ102" s="581" t="e">
        <f t="shared" si="43"/>
        <v>#REF!</v>
      </c>
      <c r="AR102" s="582" t="e">
        <f t="shared" si="76"/>
        <v>#REF!</v>
      </c>
      <c r="AS102" s="564" t="e">
        <f t="shared" si="78"/>
        <v>#REF!</v>
      </c>
      <c r="AT102" s="564"/>
      <c r="AU102" s="564"/>
      <c r="AV102" s="564" t="e">
        <f t="shared" si="59"/>
        <v>#REF!</v>
      </c>
      <c r="AW102" s="564" t="e">
        <f>AI102*#REF!+AI101*#REF!+AI100*#REF!</f>
        <v>#REF!</v>
      </c>
      <c r="AX102" s="456"/>
      <c r="AY102" s="592">
        <f t="shared" si="73"/>
        <v>1.1733545869197228</v>
      </c>
      <c r="AZ102" s="564">
        <f t="shared" si="60"/>
        <v>79818.803670915702</v>
      </c>
      <c r="BA102" s="564">
        <f>BA101*[1]mProject!V107</f>
        <v>0</v>
      </c>
      <c r="BB102" s="564">
        <f t="shared" si="77"/>
        <v>17701364.98831946</v>
      </c>
      <c r="BC102" s="456"/>
      <c r="BD102" s="593">
        <f>((BB102/100)*(i_CFD.ObliRate/12))*[1]i.Finance!$O$64</f>
        <v>59557.717616949849</v>
      </c>
      <c r="BE102" s="593">
        <f>(AZ102/100*[1]i.Finance!$O$61)*[1]i.Finance!$O$64</f>
        <v>3222.684198213221</v>
      </c>
      <c r="BF102" s="593">
        <f>(AZ102/100*[1]i.Finance!$O$65)</f>
        <v>239.45641101274708</v>
      </c>
      <c r="BG102" s="594">
        <f t="shared" si="61"/>
        <v>59797.174027962596</v>
      </c>
      <c r="BH102" s="595"/>
      <c r="BI102" s="593">
        <f>-PV([1]i.Finance!$O$63/12,[1]i.Finance!$O$62*12,mCFD!BG102)</f>
        <v>10228907.402136533</v>
      </c>
      <c r="BJ102" s="593">
        <f>BI102*[1]i.Finance!$O$58</f>
        <v>8029692.3106771782</v>
      </c>
      <c r="BK102" s="593"/>
      <c r="BL102" s="593"/>
      <c r="BP102" s="564"/>
      <c r="BQ102" s="564"/>
      <c r="BR102" s="564" t="e">
        <f t="shared" si="62"/>
        <v>#NAME?</v>
      </c>
      <c r="BS102" s="564" t="e">
        <f t="shared" si="63"/>
        <v>#NAME?</v>
      </c>
      <c r="BT102" s="564" t="e">
        <f t="shared" si="64"/>
        <v>#NAME?</v>
      </c>
      <c r="BU102" s="564"/>
    </row>
    <row r="103" spans="1:73" ht="16" hidden="1" outlineLevel="2">
      <c r="A103" s="366"/>
      <c r="B103" s="562"/>
      <c r="C103" s="366"/>
      <c r="D103" s="454"/>
      <c r="E103" s="530">
        <f t="shared" si="74"/>
        <v>97</v>
      </c>
      <c r="F103" s="530">
        <f t="shared" si="65"/>
        <v>33</v>
      </c>
      <c r="G103" s="530">
        <f t="shared" si="66"/>
        <v>9</v>
      </c>
      <c r="H103" s="571">
        <f t="shared" si="80"/>
        <v>46752</v>
      </c>
      <c r="I103" s="532">
        <f t="shared" si="44"/>
        <v>2027</v>
      </c>
      <c r="K103" s="530">
        <f>[1]mProject!KB107</f>
        <v>4</v>
      </c>
      <c r="L103" s="530">
        <f t="shared" si="45"/>
        <v>950</v>
      </c>
      <c r="M103" s="530">
        <f t="shared" si="46"/>
        <v>295000</v>
      </c>
      <c r="N103" s="530">
        <f t="shared" si="47"/>
        <v>1180000</v>
      </c>
      <c r="O103" s="530">
        <f t="shared" si="68"/>
        <v>280250000</v>
      </c>
      <c r="P103" s="530">
        <f>[1]mProject!W107</f>
        <v>333132.64587653009</v>
      </c>
      <c r="Q103" s="530">
        <f t="shared" si="48"/>
        <v>1332530.5835061204</v>
      </c>
      <c r="R103" s="530">
        <f t="shared" si="69"/>
        <v>296355280.38883054</v>
      </c>
      <c r="T103" s="530">
        <v>0</v>
      </c>
      <c r="U103" s="530">
        <f t="shared" si="49"/>
        <v>0</v>
      </c>
      <c r="V103" s="530">
        <f>IF(T103=0,0,$V$7*(1+#REF!)^#REF!)</f>
        <v>0</v>
      </c>
      <c r="W103" s="530">
        <f t="shared" si="70"/>
        <v>0</v>
      </c>
      <c r="X103" s="530">
        <f t="shared" si="50"/>
        <v>0</v>
      </c>
      <c r="Y103" s="530">
        <f t="shared" si="51"/>
        <v>0</v>
      </c>
      <c r="AA103" s="530">
        <v>0</v>
      </c>
      <c r="AB103" s="530">
        <f t="shared" si="52"/>
        <v>0</v>
      </c>
      <c r="AC103" s="530">
        <f>IF(AA103=0,0,$V$7*(1+#REF!)^#REF!)</f>
        <v>0</v>
      </c>
      <c r="AD103" s="530">
        <f t="shared" si="71"/>
        <v>0</v>
      </c>
      <c r="AE103" s="530">
        <f t="shared" si="53"/>
        <v>0</v>
      </c>
      <c r="AF103" s="530">
        <f t="shared" si="54"/>
        <v>0</v>
      </c>
      <c r="AH103" s="530">
        <f t="shared" si="55"/>
        <v>4</v>
      </c>
      <c r="AI103" s="530">
        <f t="shared" si="72"/>
        <v>950</v>
      </c>
      <c r="AJ103" s="530">
        <f t="shared" si="56"/>
        <v>295000</v>
      </c>
      <c r="AK103" s="530">
        <f>AJ103*[1]mProject!V107</f>
        <v>333132.64587652992</v>
      </c>
      <c r="AL103" s="530">
        <f t="shared" si="57"/>
        <v>1180000</v>
      </c>
      <c r="AM103" s="530">
        <f t="shared" si="58"/>
        <v>1332530.5835061204</v>
      </c>
      <c r="AN103" s="456"/>
      <c r="AO103" s="572" t="e">
        <f t="shared" si="75"/>
        <v>#REF!</v>
      </c>
      <c r="AP103" s="572" t="e">
        <f t="shared" si="79"/>
        <v>#REF!</v>
      </c>
      <c r="AQ103" s="572" t="e">
        <f t="shared" si="43"/>
        <v>#REF!</v>
      </c>
      <c r="AR103" s="573" t="e">
        <f t="shared" si="76"/>
        <v>#REF!</v>
      </c>
      <c r="AS103" s="530" t="e">
        <f t="shared" si="78"/>
        <v>#REF!</v>
      </c>
      <c r="AT103" s="530"/>
      <c r="AU103" s="530"/>
      <c r="AV103" s="530" t="e">
        <f t="shared" si="59"/>
        <v>#REF!</v>
      </c>
      <c r="AW103" s="530" t="e">
        <f>AI103*#REF!+AI102*#REF!+AI101*#REF!</f>
        <v>#REF!</v>
      </c>
      <c r="AX103" s="456"/>
      <c r="AY103" s="583">
        <f t="shared" si="73"/>
        <v>1.1753101778979225</v>
      </c>
      <c r="AZ103" s="530">
        <f t="shared" si="60"/>
        <v>79951.835010367227</v>
      </c>
      <c r="BA103" s="530">
        <f>BA102*[1]mProject!V108</f>
        <v>0</v>
      </c>
      <c r="BB103" s="530">
        <f t="shared" si="77"/>
        <v>17781316.823329829</v>
      </c>
      <c r="BC103" s="456"/>
      <c r="BD103" s="590">
        <f>((BB103/100)*(i_CFD.ObliRate/12))*[1]i.Finance!$O$64</f>
        <v>59826.722228495157</v>
      </c>
      <c r="BE103" s="590">
        <f>(AZ103/100*[1]i.Finance!$O$61)*[1]i.Finance!$O$64</f>
        <v>3228.0553385435765</v>
      </c>
      <c r="BF103" s="590">
        <f>(AZ103/100*[1]i.Finance!$O$65)</f>
        <v>239.85550503110164</v>
      </c>
      <c r="BG103" s="591">
        <f t="shared" si="61"/>
        <v>60066.577733526261</v>
      </c>
      <c r="BH103" s="595"/>
      <c r="BI103" s="590">
        <f>-PV([1]i.Finance!$O$63/12,[1]i.Finance!$O$62*12,mCFD!BG103)</f>
        <v>10274991.612683248</v>
      </c>
      <c r="BJ103" s="590">
        <f>BI103*[1]i.Finance!$O$58</f>
        <v>8065868.41595635</v>
      </c>
      <c r="BK103" s="590"/>
      <c r="BL103" s="590"/>
      <c r="BP103" s="530"/>
      <c r="BQ103" s="530"/>
      <c r="BR103" s="530" t="e">
        <f t="shared" si="62"/>
        <v>#NAME?</v>
      </c>
      <c r="BS103" s="530" t="e">
        <f t="shared" si="63"/>
        <v>#NAME?</v>
      </c>
      <c r="BT103" s="530" t="e">
        <f t="shared" si="64"/>
        <v>#NAME?</v>
      </c>
      <c r="BU103" s="530"/>
    </row>
    <row r="104" spans="1:73" ht="16" hidden="1" outlineLevel="2">
      <c r="A104" s="366"/>
      <c r="B104" s="562"/>
      <c r="C104" s="366"/>
      <c r="D104" s="454"/>
      <c r="E104" s="533">
        <f t="shared" si="74"/>
        <v>98</v>
      </c>
      <c r="F104" s="533">
        <f t="shared" si="65"/>
        <v>33</v>
      </c>
      <c r="G104" s="533">
        <f t="shared" si="66"/>
        <v>9</v>
      </c>
      <c r="H104" s="541">
        <f t="shared" si="80"/>
        <v>46783</v>
      </c>
      <c r="I104" s="542">
        <f t="shared" si="44"/>
        <v>2028</v>
      </c>
      <c r="K104" s="533">
        <f>[1]mProject!KB108</f>
        <v>0</v>
      </c>
      <c r="L104" s="533">
        <f t="shared" si="45"/>
        <v>950</v>
      </c>
      <c r="M104" s="533">
        <f t="shared" si="46"/>
        <v>295000</v>
      </c>
      <c r="N104" s="533">
        <f t="shared" si="47"/>
        <v>0</v>
      </c>
      <c r="O104" s="533">
        <f t="shared" si="68"/>
        <v>280250000</v>
      </c>
      <c r="P104" s="533">
        <f>[1]mProject!W108</f>
        <v>333687.866952991</v>
      </c>
      <c r="Q104" s="533">
        <f t="shared" si="48"/>
        <v>0</v>
      </c>
      <c r="R104" s="533">
        <f t="shared" si="69"/>
        <v>296355280.38883054</v>
      </c>
      <c r="T104" s="533">
        <v>0</v>
      </c>
      <c r="U104" s="533">
        <f t="shared" si="49"/>
        <v>0</v>
      </c>
      <c r="V104" s="533">
        <f>IF(T104=0,0,$V$7*(1+#REF!)^#REF!)</f>
        <v>0</v>
      </c>
      <c r="W104" s="533">
        <f t="shared" si="70"/>
        <v>0</v>
      </c>
      <c r="X104" s="533">
        <f t="shared" si="50"/>
        <v>0</v>
      </c>
      <c r="Y104" s="533">
        <f t="shared" si="51"/>
        <v>0</v>
      </c>
      <c r="AA104" s="533">
        <v>0</v>
      </c>
      <c r="AB104" s="533">
        <f t="shared" si="52"/>
        <v>0</v>
      </c>
      <c r="AC104" s="533">
        <f>IF(AA104=0,0,$V$7*(1+#REF!)^#REF!)</f>
        <v>0</v>
      </c>
      <c r="AD104" s="533">
        <f t="shared" si="71"/>
        <v>0</v>
      </c>
      <c r="AE104" s="533">
        <f t="shared" si="53"/>
        <v>0</v>
      </c>
      <c r="AF104" s="533">
        <f t="shared" si="54"/>
        <v>0</v>
      </c>
      <c r="AH104" s="533">
        <f t="shared" si="55"/>
        <v>0</v>
      </c>
      <c r="AI104" s="533">
        <f t="shared" si="72"/>
        <v>950</v>
      </c>
      <c r="AJ104" s="533">
        <f t="shared" si="56"/>
        <v>0</v>
      </c>
      <c r="AK104" s="533">
        <f>AJ104*[1]mProject!V108</f>
        <v>0</v>
      </c>
      <c r="AL104" s="533">
        <f t="shared" si="57"/>
        <v>0</v>
      </c>
      <c r="AM104" s="533">
        <f t="shared" si="58"/>
        <v>0</v>
      </c>
      <c r="AN104" s="456"/>
      <c r="AO104" s="575" t="e">
        <f t="shared" si="75"/>
        <v>#REF!</v>
      </c>
      <c r="AP104" s="575" t="e">
        <f t="shared" si="79"/>
        <v>#REF!</v>
      </c>
      <c r="AQ104" s="575" t="e">
        <f t="shared" si="43"/>
        <v>#REF!</v>
      </c>
      <c r="AR104" s="576" t="e">
        <f t="shared" si="76"/>
        <v>#REF!</v>
      </c>
      <c r="AS104" s="533" t="e">
        <f t="shared" si="78"/>
        <v>#REF!</v>
      </c>
      <c r="AT104" s="533"/>
      <c r="AU104" s="533"/>
      <c r="AV104" s="533" t="e">
        <f t="shared" si="59"/>
        <v>#REF!</v>
      </c>
      <c r="AW104" s="533" t="e">
        <f>AI104*#REF!+AI103*#REF!+AI102*#REF!</f>
        <v>#REF!</v>
      </c>
      <c r="AX104" s="456"/>
      <c r="AY104" s="584">
        <f t="shared" si="73"/>
        <v>1.1772690281944191</v>
      </c>
      <c r="AZ104" s="533">
        <f t="shared" si="60"/>
        <v>0</v>
      </c>
      <c r="BA104" s="533">
        <f>BA103*[1]mProject!V109</f>
        <v>0</v>
      </c>
      <c r="BB104" s="533">
        <f t="shared" si="77"/>
        <v>17781316.823329829</v>
      </c>
      <c r="BC104" s="456"/>
      <c r="BD104" s="586">
        <f>((BB104/100)*(i_CFD.ObliRate/12))*[1]i.Finance!$O$64</f>
        <v>59826.722228495157</v>
      </c>
      <c r="BE104" s="586">
        <f>(AZ104/100*[1]i.Finance!$O$61)*[1]i.Finance!$O$64</f>
        <v>0</v>
      </c>
      <c r="BF104" s="586">
        <f>(AZ104/100*[1]i.Finance!$O$65)</f>
        <v>0</v>
      </c>
      <c r="BG104" s="587">
        <f t="shared" si="61"/>
        <v>59826.722228495157</v>
      </c>
      <c r="BH104" s="595"/>
      <c r="BI104" s="586">
        <f>-PV([1]i.Finance!$O$63/12,[1]i.Finance!$O$62*12,mCFD!BG104)</f>
        <v>10233961.918709608</v>
      </c>
      <c r="BJ104" s="586">
        <f>BI104*[1]i.Finance!$O$58</f>
        <v>8033660.1061870428</v>
      </c>
      <c r="BK104" s="586"/>
      <c r="BL104" s="586"/>
      <c r="BP104" s="533"/>
      <c r="BQ104" s="533"/>
      <c r="BR104" s="533" t="e">
        <f t="shared" si="62"/>
        <v>#NAME?</v>
      </c>
      <c r="BS104" s="533" t="e">
        <f t="shared" si="63"/>
        <v>#NAME?</v>
      </c>
      <c r="BT104" s="533" t="e">
        <f t="shared" si="64"/>
        <v>#NAME?</v>
      </c>
      <c r="BU104" s="533"/>
    </row>
    <row r="105" spans="1:73" ht="16" hidden="1" outlineLevel="2">
      <c r="A105" s="366"/>
      <c r="B105" s="562"/>
      <c r="C105" s="366"/>
      <c r="D105" s="454"/>
      <c r="E105" s="547">
        <f t="shared" si="74"/>
        <v>99</v>
      </c>
      <c r="F105" s="547">
        <f t="shared" si="65"/>
        <v>33</v>
      </c>
      <c r="G105" s="547">
        <f t="shared" si="66"/>
        <v>9</v>
      </c>
      <c r="H105" s="548">
        <f t="shared" si="80"/>
        <v>46812</v>
      </c>
      <c r="I105" s="549">
        <f t="shared" si="44"/>
        <v>2028</v>
      </c>
      <c r="K105" s="547">
        <f>[1]mProject!KB109</f>
        <v>0</v>
      </c>
      <c r="L105" s="547">
        <f t="shared" si="45"/>
        <v>950</v>
      </c>
      <c r="M105" s="547">
        <f t="shared" si="46"/>
        <v>295000</v>
      </c>
      <c r="N105" s="547">
        <f t="shared" si="47"/>
        <v>0</v>
      </c>
      <c r="O105" s="547">
        <f t="shared" si="68"/>
        <v>280250000</v>
      </c>
      <c r="P105" s="547">
        <f>[1]mProject!W109</f>
        <v>334244.01339791267</v>
      </c>
      <c r="Q105" s="547">
        <f t="shared" si="48"/>
        <v>0</v>
      </c>
      <c r="R105" s="547">
        <f t="shared" si="69"/>
        <v>296355280.38883054</v>
      </c>
      <c r="T105" s="547">
        <v>0</v>
      </c>
      <c r="U105" s="547">
        <f t="shared" si="49"/>
        <v>0</v>
      </c>
      <c r="V105" s="547">
        <f>IF(T105=0,0,$V$7*(1+#REF!)^#REF!)</f>
        <v>0</v>
      </c>
      <c r="W105" s="547">
        <f t="shared" si="70"/>
        <v>0</v>
      </c>
      <c r="X105" s="547">
        <f t="shared" si="50"/>
        <v>0</v>
      </c>
      <c r="Y105" s="547">
        <f t="shared" si="51"/>
        <v>0</v>
      </c>
      <c r="AA105" s="547">
        <v>0</v>
      </c>
      <c r="AB105" s="547">
        <f t="shared" si="52"/>
        <v>0</v>
      </c>
      <c r="AC105" s="547">
        <f>IF(AA105=0,0,$V$7*(1+#REF!)^#REF!)</f>
        <v>0</v>
      </c>
      <c r="AD105" s="547">
        <f t="shared" si="71"/>
        <v>0</v>
      </c>
      <c r="AE105" s="547">
        <f t="shared" si="53"/>
        <v>0</v>
      </c>
      <c r="AF105" s="547">
        <f t="shared" si="54"/>
        <v>0</v>
      </c>
      <c r="AH105" s="547">
        <f t="shared" si="55"/>
        <v>0</v>
      </c>
      <c r="AI105" s="547">
        <f t="shared" si="72"/>
        <v>950</v>
      </c>
      <c r="AJ105" s="547">
        <f t="shared" si="56"/>
        <v>0</v>
      </c>
      <c r="AK105" s="547">
        <f>AJ105*[1]mProject!V109</f>
        <v>0</v>
      </c>
      <c r="AL105" s="547">
        <f t="shared" si="57"/>
        <v>0</v>
      </c>
      <c r="AM105" s="547">
        <f t="shared" si="58"/>
        <v>0</v>
      </c>
      <c r="AN105" s="456"/>
      <c r="AO105" s="577" t="e">
        <f t="shared" si="75"/>
        <v>#REF!</v>
      </c>
      <c r="AP105" s="577" t="e">
        <f t="shared" si="79"/>
        <v>#REF!</v>
      </c>
      <c r="AQ105" s="577" t="e">
        <f t="shared" si="43"/>
        <v>#REF!</v>
      </c>
      <c r="AR105" s="578" t="e">
        <f t="shared" si="76"/>
        <v>#REF!</v>
      </c>
      <c r="AS105" s="547" t="e">
        <f t="shared" si="78"/>
        <v>#REF!</v>
      </c>
      <c r="AT105" s="547"/>
      <c r="AU105" s="547"/>
      <c r="AV105" s="547" t="e">
        <f t="shared" si="59"/>
        <v>#REF!</v>
      </c>
      <c r="AW105" s="547" t="e">
        <f>AI105*#REF!+AI104*#REF!+AI103*#REF!</f>
        <v>#REF!</v>
      </c>
      <c r="AX105" s="456"/>
      <c r="AY105" s="585">
        <f t="shared" si="73"/>
        <v>1.17923114324141</v>
      </c>
      <c r="AZ105" s="547">
        <f t="shared" si="60"/>
        <v>0</v>
      </c>
      <c r="BA105" s="547">
        <f>BA104*[1]mProject!V110</f>
        <v>0</v>
      </c>
      <c r="BB105" s="547">
        <f t="shared" si="77"/>
        <v>17781316.823329829</v>
      </c>
      <c r="BC105" s="456"/>
      <c r="BD105" s="588">
        <f>((BB105/100)*(i_CFD.ObliRate/12))*[1]i.Finance!$O$64</f>
        <v>59826.722228495157</v>
      </c>
      <c r="BE105" s="588">
        <f>(AZ105/100*[1]i.Finance!$O$61)*[1]i.Finance!$O$64</f>
        <v>0</v>
      </c>
      <c r="BF105" s="588">
        <f>(AZ105/100*[1]i.Finance!$O$65)</f>
        <v>0</v>
      </c>
      <c r="BG105" s="589">
        <f t="shared" si="61"/>
        <v>59826.722228495157</v>
      </c>
      <c r="BH105" s="595"/>
      <c r="BI105" s="588">
        <f>-PV([1]i.Finance!$O$63/12,[1]i.Finance!$O$62*12,mCFD!BG105)</f>
        <v>10233961.918709608</v>
      </c>
      <c r="BJ105" s="588">
        <f>BI105*[1]i.Finance!$O$58</f>
        <v>8033660.1061870428</v>
      </c>
      <c r="BK105" s="588"/>
      <c r="BL105" s="588"/>
      <c r="BP105" s="547"/>
      <c r="BQ105" s="547"/>
      <c r="BR105" s="547" t="e">
        <f t="shared" si="62"/>
        <v>#NAME?</v>
      </c>
      <c r="BS105" s="547" t="e">
        <f t="shared" si="63"/>
        <v>#NAME?</v>
      </c>
      <c r="BT105" s="547" t="e">
        <f t="shared" si="64"/>
        <v>#NAME?</v>
      </c>
      <c r="BU105" s="547"/>
    </row>
    <row r="106" spans="1:73" ht="16" hidden="1" outlineLevel="2">
      <c r="A106" s="366"/>
      <c r="B106" s="562"/>
      <c r="C106" s="366"/>
      <c r="D106" s="454"/>
      <c r="E106" s="530">
        <f t="shared" si="74"/>
        <v>100</v>
      </c>
      <c r="F106" s="530">
        <f t="shared" si="65"/>
        <v>34</v>
      </c>
      <c r="G106" s="530">
        <f t="shared" si="66"/>
        <v>9</v>
      </c>
      <c r="H106" s="554">
        <f t="shared" si="80"/>
        <v>46843</v>
      </c>
      <c r="I106" s="555">
        <f t="shared" si="44"/>
        <v>2028</v>
      </c>
      <c r="K106" s="530">
        <f>[1]mProject!KB110</f>
        <v>0</v>
      </c>
      <c r="L106" s="530">
        <f t="shared" si="45"/>
        <v>950</v>
      </c>
      <c r="M106" s="530">
        <f t="shared" si="46"/>
        <v>295000</v>
      </c>
      <c r="N106" s="530">
        <f t="shared" si="47"/>
        <v>0</v>
      </c>
      <c r="O106" s="530">
        <f t="shared" si="68"/>
        <v>280250000</v>
      </c>
      <c r="P106" s="530">
        <f>[1]mProject!W110</f>
        <v>334801.08675357589</v>
      </c>
      <c r="Q106" s="530">
        <f t="shared" si="48"/>
        <v>0</v>
      </c>
      <c r="R106" s="530">
        <f t="shared" si="69"/>
        <v>296355280.38883054</v>
      </c>
      <c r="T106" s="530">
        <v>0</v>
      </c>
      <c r="U106" s="530">
        <f t="shared" si="49"/>
        <v>0</v>
      </c>
      <c r="V106" s="530">
        <f>IF(T106=0,0,$V$7*(1+#REF!)^#REF!)</f>
        <v>0</v>
      </c>
      <c r="W106" s="530">
        <f t="shared" si="70"/>
        <v>0</v>
      </c>
      <c r="X106" s="530">
        <f t="shared" si="50"/>
        <v>0</v>
      </c>
      <c r="Y106" s="530">
        <f t="shared" si="51"/>
        <v>0</v>
      </c>
      <c r="AA106" s="530">
        <v>0</v>
      </c>
      <c r="AB106" s="530">
        <f t="shared" si="52"/>
        <v>0</v>
      </c>
      <c r="AC106" s="530">
        <f>IF(AA106=0,0,$V$7*(1+#REF!)^#REF!)</f>
        <v>0</v>
      </c>
      <c r="AD106" s="530">
        <f t="shared" si="71"/>
        <v>0</v>
      </c>
      <c r="AE106" s="530">
        <f t="shared" si="53"/>
        <v>0</v>
      </c>
      <c r="AF106" s="530">
        <f t="shared" si="54"/>
        <v>0</v>
      </c>
      <c r="AH106" s="530">
        <f t="shared" si="55"/>
        <v>0</v>
      </c>
      <c r="AI106" s="530">
        <f t="shared" si="72"/>
        <v>950</v>
      </c>
      <c r="AJ106" s="530">
        <f t="shared" si="56"/>
        <v>0</v>
      </c>
      <c r="AK106" s="530">
        <f>AJ106*[1]mProject!V110</f>
        <v>0</v>
      </c>
      <c r="AL106" s="530">
        <f t="shared" si="57"/>
        <v>0</v>
      </c>
      <c r="AM106" s="530">
        <f t="shared" si="58"/>
        <v>0</v>
      </c>
      <c r="AN106" s="456"/>
      <c r="AO106" s="572" t="e">
        <f t="shared" si="75"/>
        <v>#REF!</v>
      </c>
      <c r="AP106" s="572" t="e">
        <f t="shared" si="79"/>
        <v>#REF!</v>
      </c>
      <c r="AQ106" s="572" t="e">
        <f t="shared" si="43"/>
        <v>#REF!</v>
      </c>
      <c r="AR106" s="573" t="e">
        <f t="shared" si="76"/>
        <v>#REF!</v>
      </c>
      <c r="AS106" s="530" t="e">
        <f t="shared" si="78"/>
        <v>#REF!</v>
      </c>
      <c r="AT106" s="530"/>
      <c r="AU106" s="530"/>
      <c r="AV106" s="530" t="e">
        <f t="shared" si="59"/>
        <v>#REF!</v>
      </c>
      <c r="AW106" s="530" t="e">
        <f>AI106*#REF!+AI105*#REF!+AI104*#REF!</f>
        <v>#REF!</v>
      </c>
      <c r="AX106" s="456"/>
      <c r="AY106" s="583">
        <f t="shared" si="73"/>
        <v>1.1811965284801458</v>
      </c>
      <c r="AZ106" s="530">
        <f t="shared" si="60"/>
        <v>0</v>
      </c>
      <c r="BA106" s="530">
        <f>BA105*[1]mProject!V111</f>
        <v>0</v>
      </c>
      <c r="BB106" s="530">
        <f t="shared" si="77"/>
        <v>17781316.823329829</v>
      </c>
      <c r="BC106" s="456"/>
      <c r="BD106" s="590">
        <f>((BB106/100)*(i_CFD.ObliRate/12))*[1]i.Finance!$O$64</f>
        <v>59826.722228495157</v>
      </c>
      <c r="BE106" s="590">
        <f>(AZ106/100*[1]i.Finance!$O$61)*[1]i.Finance!$O$64</f>
        <v>0</v>
      </c>
      <c r="BF106" s="590">
        <f>(AZ106/100*[1]i.Finance!$O$65)</f>
        <v>0</v>
      </c>
      <c r="BG106" s="591">
        <f t="shared" si="61"/>
        <v>59826.722228495157</v>
      </c>
      <c r="BH106" s="595"/>
      <c r="BI106" s="590">
        <f>-PV([1]i.Finance!$O$63/12,[1]i.Finance!$O$62*12,mCFD!BG106)</f>
        <v>10233961.918709608</v>
      </c>
      <c r="BJ106" s="590">
        <f>BI106*[1]i.Finance!$O$58</f>
        <v>8033660.1061870428</v>
      </c>
      <c r="BK106" s="590"/>
      <c r="BL106" s="590"/>
      <c r="BP106" s="530"/>
      <c r="BQ106" s="530"/>
      <c r="BR106" s="530" t="e">
        <f t="shared" si="62"/>
        <v>#NAME?</v>
      </c>
      <c r="BS106" s="530" t="e">
        <f t="shared" si="63"/>
        <v>#NAME?</v>
      </c>
      <c r="BT106" s="530" t="e">
        <f t="shared" si="64"/>
        <v>#NAME?</v>
      </c>
      <c r="BU106" s="530"/>
    </row>
    <row r="107" spans="1:73" ht="16" hidden="1" outlineLevel="2">
      <c r="A107" s="366"/>
      <c r="B107" s="562"/>
      <c r="C107" s="366"/>
      <c r="D107" s="454"/>
      <c r="E107" s="533">
        <f t="shared" si="74"/>
        <v>101</v>
      </c>
      <c r="F107" s="533">
        <f t="shared" si="65"/>
        <v>34</v>
      </c>
      <c r="G107" s="533">
        <f t="shared" si="66"/>
        <v>9</v>
      </c>
      <c r="H107" s="541">
        <f t="shared" si="80"/>
        <v>46873</v>
      </c>
      <c r="I107" s="542">
        <f t="shared" si="44"/>
        <v>2028</v>
      </c>
      <c r="K107" s="533">
        <f>[1]mProject!KB111</f>
        <v>0</v>
      </c>
      <c r="L107" s="533">
        <f t="shared" si="45"/>
        <v>950</v>
      </c>
      <c r="M107" s="533">
        <f t="shared" si="46"/>
        <v>295000</v>
      </c>
      <c r="N107" s="533">
        <f t="shared" si="47"/>
        <v>0</v>
      </c>
      <c r="O107" s="533">
        <f t="shared" si="68"/>
        <v>280250000</v>
      </c>
      <c r="P107" s="533">
        <f>[1]mProject!W111</f>
        <v>335359.08856483188</v>
      </c>
      <c r="Q107" s="533">
        <f t="shared" si="48"/>
        <v>0</v>
      </c>
      <c r="R107" s="533">
        <f t="shared" si="69"/>
        <v>296355280.38883054</v>
      </c>
      <c r="T107" s="533">
        <v>0</v>
      </c>
      <c r="U107" s="533">
        <f t="shared" si="49"/>
        <v>0</v>
      </c>
      <c r="V107" s="533">
        <f>IF(T107=0,0,$V$7*(1+#REF!)^#REF!)</f>
        <v>0</v>
      </c>
      <c r="W107" s="533">
        <f t="shared" si="70"/>
        <v>0</v>
      </c>
      <c r="X107" s="533">
        <f t="shared" si="50"/>
        <v>0</v>
      </c>
      <c r="Y107" s="533">
        <f t="shared" si="51"/>
        <v>0</v>
      </c>
      <c r="AA107" s="533">
        <v>0</v>
      </c>
      <c r="AB107" s="533">
        <f t="shared" si="52"/>
        <v>0</v>
      </c>
      <c r="AC107" s="533">
        <f>IF(AA107=0,0,$V$7*(1+#REF!)^#REF!)</f>
        <v>0</v>
      </c>
      <c r="AD107" s="533">
        <f t="shared" si="71"/>
        <v>0</v>
      </c>
      <c r="AE107" s="533">
        <f t="shared" si="53"/>
        <v>0</v>
      </c>
      <c r="AF107" s="533">
        <f t="shared" si="54"/>
        <v>0</v>
      </c>
      <c r="AH107" s="533">
        <f t="shared" si="55"/>
        <v>0</v>
      </c>
      <c r="AI107" s="533">
        <f t="shared" si="72"/>
        <v>950</v>
      </c>
      <c r="AJ107" s="533">
        <f t="shared" si="56"/>
        <v>0</v>
      </c>
      <c r="AK107" s="533">
        <f>AJ107*[1]mProject!V111</f>
        <v>0</v>
      </c>
      <c r="AL107" s="533">
        <f t="shared" si="57"/>
        <v>0</v>
      </c>
      <c r="AM107" s="533">
        <f t="shared" si="58"/>
        <v>0</v>
      </c>
      <c r="AN107" s="456"/>
      <c r="AO107" s="575" t="e">
        <f t="shared" si="75"/>
        <v>#REF!</v>
      </c>
      <c r="AP107" s="575" t="e">
        <f t="shared" si="79"/>
        <v>#REF!</v>
      </c>
      <c r="AQ107" s="575" t="e">
        <f t="shared" ref="AQ107:AQ170" si="81">$L83*AQ$6</f>
        <v>#REF!</v>
      </c>
      <c r="AR107" s="576" t="e">
        <f t="shared" si="76"/>
        <v>#REF!</v>
      </c>
      <c r="AS107" s="533" t="e">
        <f t="shared" si="78"/>
        <v>#REF!</v>
      </c>
      <c r="AT107" s="533"/>
      <c r="AU107" s="533"/>
      <c r="AV107" s="533" t="e">
        <f t="shared" si="59"/>
        <v>#REF!</v>
      </c>
      <c r="AW107" s="533" t="e">
        <f>AI107*#REF!+AI106*#REF!+AI105*#REF!</f>
        <v>#REF!</v>
      </c>
      <c r="AX107" s="456"/>
      <c r="AY107" s="584">
        <f t="shared" si="73"/>
        <v>1.1831651893609461</v>
      </c>
      <c r="AZ107" s="533">
        <f t="shared" si="60"/>
        <v>0</v>
      </c>
      <c r="BA107" s="533">
        <f>BA106*[1]mProject!V112</f>
        <v>0</v>
      </c>
      <c r="BB107" s="533">
        <f t="shared" si="77"/>
        <v>17781316.823329829</v>
      </c>
      <c r="BC107" s="456"/>
      <c r="BD107" s="586">
        <f>((BB107/100)*(i_CFD.ObliRate/12))*[1]i.Finance!$O$64</f>
        <v>59826.722228495157</v>
      </c>
      <c r="BE107" s="586">
        <f>(AZ107/100*[1]i.Finance!$O$61)*[1]i.Finance!$O$64</f>
        <v>0</v>
      </c>
      <c r="BF107" s="586">
        <f>(AZ107/100*[1]i.Finance!$O$65)</f>
        <v>0</v>
      </c>
      <c r="BG107" s="587">
        <f t="shared" si="61"/>
        <v>59826.722228495157</v>
      </c>
      <c r="BH107" s="595"/>
      <c r="BI107" s="586">
        <f>-PV([1]i.Finance!$O$63/12,[1]i.Finance!$O$62*12,mCFD!BG107)</f>
        <v>10233961.918709608</v>
      </c>
      <c r="BJ107" s="586">
        <f>BI107*[1]i.Finance!$O$58</f>
        <v>8033660.1061870428</v>
      </c>
      <c r="BK107" s="586"/>
      <c r="BL107" s="586"/>
      <c r="BP107" s="533"/>
      <c r="BQ107" s="533"/>
      <c r="BR107" s="533" t="e">
        <f t="shared" si="62"/>
        <v>#NAME?</v>
      </c>
      <c r="BS107" s="533" t="e">
        <f t="shared" si="63"/>
        <v>#NAME?</v>
      </c>
      <c r="BT107" s="533" t="e">
        <f t="shared" si="64"/>
        <v>#NAME?</v>
      </c>
      <c r="BU107" s="533"/>
    </row>
    <row r="108" spans="1:73" ht="16" hidden="1" outlineLevel="2">
      <c r="A108" s="366"/>
      <c r="B108" s="562"/>
      <c r="C108" s="366"/>
      <c r="D108" s="454"/>
      <c r="E108" s="547">
        <f t="shared" si="74"/>
        <v>102</v>
      </c>
      <c r="F108" s="547">
        <f t="shared" si="65"/>
        <v>34</v>
      </c>
      <c r="G108" s="547">
        <f t="shared" si="66"/>
        <v>9</v>
      </c>
      <c r="H108" s="548">
        <f t="shared" si="80"/>
        <v>46904</v>
      </c>
      <c r="I108" s="549">
        <f t="shared" si="44"/>
        <v>2028</v>
      </c>
      <c r="K108" s="547">
        <f>[1]mProject!KB112</f>
        <v>0</v>
      </c>
      <c r="L108" s="547">
        <f t="shared" si="45"/>
        <v>950</v>
      </c>
      <c r="M108" s="547">
        <f t="shared" si="46"/>
        <v>295000</v>
      </c>
      <c r="N108" s="547">
        <f t="shared" si="47"/>
        <v>0</v>
      </c>
      <c r="O108" s="547">
        <f t="shared" si="68"/>
        <v>280250000</v>
      </c>
      <c r="P108" s="547">
        <f>[1]mProject!W112</f>
        <v>335918.02037910663</v>
      </c>
      <c r="Q108" s="547">
        <f t="shared" si="48"/>
        <v>0</v>
      </c>
      <c r="R108" s="547">
        <f t="shared" si="69"/>
        <v>296355280.38883054</v>
      </c>
      <c r="T108" s="547">
        <v>0</v>
      </c>
      <c r="U108" s="547">
        <f t="shared" si="49"/>
        <v>0</v>
      </c>
      <c r="V108" s="547">
        <f>IF(T108=0,0,$V$7*(1+#REF!)^#REF!)</f>
        <v>0</v>
      </c>
      <c r="W108" s="547">
        <f t="shared" si="70"/>
        <v>0</v>
      </c>
      <c r="X108" s="547">
        <f t="shared" si="50"/>
        <v>0</v>
      </c>
      <c r="Y108" s="547">
        <f t="shared" si="51"/>
        <v>0</v>
      </c>
      <c r="AA108" s="547">
        <v>0</v>
      </c>
      <c r="AB108" s="547">
        <f t="shared" si="52"/>
        <v>0</v>
      </c>
      <c r="AC108" s="547">
        <f>IF(AA108=0,0,$V$7*(1+#REF!)^#REF!)</f>
        <v>0</v>
      </c>
      <c r="AD108" s="547">
        <f t="shared" si="71"/>
        <v>0</v>
      </c>
      <c r="AE108" s="547">
        <f t="shared" si="53"/>
        <v>0</v>
      </c>
      <c r="AF108" s="547">
        <f t="shared" si="54"/>
        <v>0</v>
      </c>
      <c r="AH108" s="547">
        <f t="shared" si="55"/>
        <v>0</v>
      </c>
      <c r="AI108" s="547">
        <f t="shared" si="72"/>
        <v>950</v>
      </c>
      <c r="AJ108" s="547">
        <f t="shared" si="56"/>
        <v>0</v>
      </c>
      <c r="AK108" s="547">
        <f>AJ108*[1]mProject!V112</f>
        <v>0</v>
      </c>
      <c r="AL108" s="547">
        <f t="shared" si="57"/>
        <v>0</v>
      </c>
      <c r="AM108" s="547">
        <f t="shared" si="58"/>
        <v>0</v>
      </c>
      <c r="AN108" s="456"/>
      <c r="AO108" s="577" t="e">
        <f t="shared" si="75"/>
        <v>#REF!</v>
      </c>
      <c r="AP108" s="577" t="e">
        <f t="shared" si="79"/>
        <v>#REF!</v>
      </c>
      <c r="AQ108" s="577" t="e">
        <f t="shared" si="81"/>
        <v>#REF!</v>
      </c>
      <c r="AR108" s="578" t="e">
        <f t="shared" si="76"/>
        <v>#REF!</v>
      </c>
      <c r="AS108" s="547" t="e">
        <f t="shared" si="78"/>
        <v>#REF!</v>
      </c>
      <c r="AT108" s="547"/>
      <c r="AU108" s="547"/>
      <c r="AV108" s="547" t="e">
        <f t="shared" si="59"/>
        <v>#REF!</v>
      </c>
      <c r="AW108" s="547" t="e">
        <f>AI108*#REF!+AI107*#REF!+AI106*#REF!</f>
        <v>#REF!</v>
      </c>
      <c r="AX108" s="456"/>
      <c r="AY108" s="585">
        <f t="shared" si="73"/>
        <v>1.1851371313432144</v>
      </c>
      <c r="AZ108" s="547">
        <f t="shared" si="60"/>
        <v>0</v>
      </c>
      <c r="BA108" s="547">
        <f>BA107*[1]mProject!V113</f>
        <v>0</v>
      </c>
      <c r="BB108" s="547">
        <f t="shared" si="77"/>
        <v>17781316.823329829</v>
      </c>
      <c r="BC108" s="456"/>
      <c r="BD108" s="588">
        <f>((BB108/100)*(i_CFD.ObliRate/12))*[1]i.Finance!$O$64</f>
        <v>59826.722228495157</v>
      </c>
      <c r="BE108" s="588">
        <f>(AZ108/100*[1]i.Finance!$O$61)*[1]i.Finance!$O$64</f>
        <v>0</v>
      </c>
      <c r="BF108" s="588">
        <f>(AZ108/100*[1]i.Finance!$O$65)</f>
        <v>0</v>
      </c>
      <c r="BG108" s="589">
        <f t="shared" si="61"/>
        <v>59826.722228495157</v>
      </c>
      <c r="BH108" s="595"/>
      <c r="BI108" s="588">
        <f>-PV([1]i.Finance!$O$63/12,[1]i.Finance!$O$62*12,mCFD!BG108)</f>
        <v>10233961.918709608</v>
      </c>
      <c r="BJ108" s="588">
        <f>BI108*[1]i.Finance!$O$58</f>
        <v>8033660.1061870428</v>
      </c>
      <c r="BK108" s="588"/>
      <c r="BL108" s="588"/>
      <c r="BP108" s="547"/>
      <c r="BQ108" s="547"/>
      <c r="BR108" s="547" t="e">
        <f t="shared" si="62"/>
        <v>#NAME?</v>
      </c>
      <c r="BS108" s="547" t="e">
        <f t="shared" si="63"/>
        <v>#NAME?</v>
      </c>
      <c r="BT108" s="547" t="e">
        <f t="shared" si="64"/>
        <v>#NAME?</v>
      </c>
      <c r="BU108" s="547"/>
    </row>
    <row r="109" spans="1:73" ht="16" hidden="1" outlineLevel="2">
      <c r="A109" s="366"/>
      <c r="B109" s="562"/>
      <c r="C109" s="366"/>
      <c r="D109" s="454"/>
      <c r="E109" s="530">
        <f t="shared" si="74"/>
        <v>103</v>
      </c>
      <c r="F109" s="530">
        <f t="shared" si="65"/>
        <v>35</v>
      </c>
      <c r="G109" s="530">
        <f t="shared" si="66"/>
        <v>9</v>
      </c>
      <c r="H109" s="554">
        <f t="shared" si="80"/>
        <v>46934</v>
      </c>
      <c r="I109" s="555">
        <f t="shared" si="44"/>
        <v>2028</v>
      </c>
      <c r="K109" s="530">
        <f>[1]mProject!KB113</f>
        <v>0</v>
      </c>
      <c r="L109" s="530">
        <f t="shared" si="45"/>
        <v>950</v>
      </c>
      <c r="M109" s="530">
        <f t="shared" si="46"/>
        <v>295000</v>
      </c>
      <c r="N109" s="530">
        <f t="shared" si="47"/>
        <v>0</v>
      </c>
      <c r="O109" s="530">
        <f t="shared" si="68"/>
        <v>280250000</v>
      </c>
      <c r="P109" s="530">
        <f>[1]mProject!W113</f>
        <v>336477.88374640513</v>
      </c>
      <c r="Q109" s="530">
        <f t="shared" si="48"/>
        <v>0</v>
      </c>
      <c r="R109" s="530">
        <f t="shared" si="69"/>
        <v>296355280.38883054</v>
      </c>
      <c r="T109" s="530">
        <v>0</v>
      </c>
      <c r="U109" s="530">
        <f t="shared" si="49"/>
        <v>0</v>
      </c>
      <c r="V109" s="530">
        <f>IF(T109=0,0,$V$7*(1+#REF!)^#REF!)</f>
        <v>0</v>
      </c>
      <c r="W109" s="530">
        <f t="shared" si="70"/>
        <v>0</v>
      </c>
      <c r="X109" s="530">
        <f t="shared" si="50"/>
        <v>0</v>
      </c>
      <c r="Y109" s="530">
        <f t="shared" si="51"/>
        <v>0</v>
      </c>
      <c r="AA109" s="530">
        <v>0</v>
      </c>
      <c r="AB109" s="530">
        <f t="shared" si="52"/>
        <v>0</v>
      </c>
      <c r="AC109" s="530">
        <f>IF(AA109=0,0,$V$7*(1+#REF!)^#REF!)</f>
        <v>0</v>
      </c>
      <c r="AD109" s="530">
        <f t="shared" si="71"/>
        <v>0</v>
      </c>
      <c r="AE109" s="530">
        <f t="shared" si="53"/>
        <v>0</v>
      </c>
      <c r="AF109" s="530">
        <f t="shared" si="54"/>
        <v>0</v>
      </c>
      <c r="AH109" s="530">
        <f t="shared" si="55"/>
        <v>0</v>
      </c>
      <c r="AI109" s="530">
        <f t="shared" si="72"/>
        <v>950</v>
      </c>
      <c r="AJ109" s="530">
        <f t="shared" si="56"/>
        <v>0</v>
      </c>
      <c r="AK109" s="530">
        <f>AJ109*[1]mProject!V113</f>
        <v>0</v>
      </c>
      <c r="AL109" s="530">
        <f t="shared" si="57"/>
        <v>0</v>
      </c>
      <c r="AM109" s="530">
        <f t="shared" si="58"/>
        <v>0</v>
      </c>
      <c r="AN109" s="456"/>
      <c r="AO109" s="572" t="e">
        <f t="shared" si="75"/>
        <v>#REF!</v>
      </c>
      <c r="AP109" s="572" t="e">
        <f t="shared" si="79"/>
        <v>#REF!</v>
      </c>
      <c r="AQ109" s="572" t="e">
        <f t="shared" si="81"/>
        <v>#REF!</v>
      </c>
      <c r="AR109" s="573" t="e">
        <f t="shared" si="76"/>
        <v>#REF!</v>
      </c>
      <c r="AS109" s="530" t="e">
        <f t="shared" si="78"/>
        <v>#REF!</v>
      </c>
      <c r="AT109" s="530"/>
      <c r="AU109" s="530"/>
      <c r="AV109" s="530" t="e">
        <f t="shared" si="59"/>
        <v>#REF!</v>
      </c>
      <c r="AW109" s="530" t="e">
        <f>AI109*#REF!+AI108*#REF!+AI107*#REF!</f>
        <v>#REF!</v>
      </c>
      <c r="AX109" s="456"/>
      <c r="AY109" s="583">
        <f t="shared" si="73"/>
        <v>1.1871123598954532</v>
      </c>
      <c r="AZ109" s="530">
        <f t="shared" si="60"/>
        <v>0</v>
      </c>
      <c r="BA109" s="530">
        <f>BA108*[1]mProject!V114</f>
        <v>0</v>
      </c>
      <c r="BB109" s="530">
        <f t="shared" si="77"/>
        <v>17781316.823329829</v>
      </c>
      <c r="BC109" s="456"/>
      <c r="BD109" s="590">
        <f>((BB109/100)*(i_CFD.ObliRate/12))*[1]i.Finance!$O$64</f>
        <v>59826.722228495157</v>
      </c>
      <c r="BE109" s="590">
        <f>(AZ109/100*[1]i.Finance!$O$61)*[1]i.Finance!$O$64</f>
        <v>0</v>
      </c>
      <c r="BF109" s="590">
        <f>(AZ109/100*[1]i.Finance!$O$65)</f>
        <v>0</v>
      </c>
      <c r="BG109" s="591">
        <f t="shared" si="61"/>
        <v>59826.722228495157</v>
      </c>
      <c r="BH109" s="595"/>
      <c r="BI109" s="590">
        <f>-PV([1]i.Finance!$O$63/12,[1]i.Finance!$O$62*12,mCFD!BG109)</f>
        <v>10233961.918709608</v>
      </c>
      <c r="BJ109" s="590">
        <f>BI109*[1]i.Finance!$O$58</f>
        <v>8033660.1061870428</v>
      </c>
      <c r="BK109" s="590"/>
      <c r="BL109" s="590"/>
      <c r="BP109" s="530"/>
      <c r="BQ109" s="530"/>
      <c r="BR109" s="530" t="e">
        <f t="shared" si="62"/>
        <v>#NAME?</v>
      </c>
      <c r="BS109" s="530" t="e">
        <f t="shared" si="63"/>
        <v>#NAME?</v>
      </c>
      <c r="BT109" s="530" t="e">
        <f t="shared" si="64"/>
        <v>#NAME?</v>
      </c>
      <c r="BU109" s="530"/>
    </row>
    <row r="110" spans="1:73" ht="16" hidden="1" outlineLevel="2">
      <c r="A110" s="366"/>
      <c r="B110" s="562"/>
      <c r="C110" s="366"/>
      <c r="D110" s="454"/>
      <c r="E110" s="533">
        <f t="shared" si="74"/>
        <v>104</v>
      </c>
      <c r="F110" s="533">
        <f t="shared" si="65"/>
        <v>35</v>
      </c>
      <c r="G110" s="533">
        <f t="shared" si="66"/>
        <v>9</v>
      </c>
      <c r="H110" s="541">
        <f t="shared" si="80"/>
        <v>46965</v>
      </c>
      <c r="I110" s="542">
        <f t="shared" si="44"/>
        <v>2028</v>
      </c>
      <c r="K110" s="533">
        <f>[1]mProject!KB114</f>
        <v>0</v>
      </c>
      <c r="L110" s="533">
        <f t="shared" si="45"/>
        <v>950</v>
      </c>
      <c r="M110" s="533">
        <f t="shared" si="46"/>
        <v>295000</v>
      </c>
      <c r="N110" s="533">
        <f t="shared" si="47"/>
        <v>0</v>
      </c>
      <c r="O110" s="533">
        <f t="shared" si="68"/>
        <v>280250000</v>
      </c>
      <c r="P110" s="533">
        <f>[1]mProject!W114</f>
        <v>337038.68021931581</v>
      </c>
      <c r="Q110" s="533">
        <f t="shared" si="48"/>
        <v>0</v>
      </c>
      <c r="R110" s="533">
        <f t="shared" si="69"/>
        <v>296355280.38883054</v>
      </c>
      <c r="T110" s="533">
        <v>0</v>
      </c>
      <c r="U110" s="533">
        <f t="shared" si="49"/>
        <v>0</v>
      </c>
      <c r="V110" s="533">
        <f>IF(T110=0,0,$V$7*(1+#REF!)^#REF!)</f>
        <v>0</v>
      </c>
      <c r="W110" s="533">
        <f t="shared" si="70"/>
        <v>0</v>
      </c>
      <c r="X110" s="533">
        <f t="shared" si="50"/>
        <v>0</v>
      </c>
      <c r="Y110" s="533">
        <f t="shared" si="51"/>
        <v>0</v>
      </c>
      <c r="AA110" s="533">
        <v>0</v>
      </c>
      <c r="AB110" s="533">
        <f t="shared" si="52"/>
        <v>0</v>
      </c>
      <c r="AC110" s="533">
        <f>IF(AA110=0,0,$V$7*(1+#REF!)^#REF!)</f>
        <v>0</v>
      </c>
      <c r="AD110" s="533">
        <f t="shared" si="71"/>
        <v>0</v>
      </c>
      <c r="AE110" s="533">
        <f t="shared" si="53"/>
        <v>0</v>
      </c>
      <c r="AF110" s="533">
        <f t="shared" si="54"/>
        <v>0</v>
      </c>
      <c r="AH110" s="533">
        <f t="shared" si="55"/>
        <v>0</v>
      </c>
      <c r="AI110" s="533">
        <f t="shared" si="72"/>
        <v>950</v>
      </c>
      <c r="AJ110" s="533">
        <f t="shared" si="56"/>
        <v>0</v>
      </c>
      <c r="AK110" s="533">
        <f>AJ110*[1]mProject!V114</f>
        <v>0</v>
      </c>
      <c r="AL110" s="533">
        <f t="shared" si="57"/>
        <v>0</v>
      </c>
      <c r="AM110" s="533">
        <f t="shared" si="58"/>
        <v>0</v>
      </c>
      <c r="AN110" s="456"/>
      <c r="AO110" s="575" t="e">
        <f t="shared" si="75"/>
        <v>#REF!</v>
      </c>
      <c r="AP110" s="575" t="e">
        <f t="shared" si="79"/>
        <v>#REF!</v>
      </c>
      <c r="AQ110" s="575" t="e">
        <f t="shared" si="81"/>
        <v>#REF!</v>
      </c>
      <c r="AR110" s="576" t="e">
        <f t="shared" si="76"/>
        <v>#REF!</v>
      </c>
      <c r="AS110" s="533" t="e">
        <f t="shared" si="78"/>
        <v>#REF!</v>
      </c>
      <c r="AT110" s="533"/>
      <c r="AU110" s="533"/>
      <c r="AV110" s="533" t="e">
        <f t="shared" si="59"/>
        <v>#REF!</v>
      </c>
      <c r="AW110" s="533" t="e">
        <f>AI110*#REF!+AI109*#REF!+AI108*#REF!</f>
        <v>#REF!</v>
      </c>
      <c r="AX110" s="456"/>
      <c r="AY110" s="584">
        <f t="shared" si="73"/>
        <v>1.1890908804952789</v>
      </c>
      <c r="AZ110" s="533">
        <f t="shared" si="60"/>
        <v>0</v>
      </c>
      <c r="BA110" s="533">
        <f>BA109*[1]mProject!V115</f>
        <v>0</v>
      </c>
      <c r="BB110" s="533">
        <f t="shared" si="77"/>
        <v>17781316.823329829</v>
      </c>
      <c r="BC110" s="456"/>
      <c r="BD110" s="586">
        <f>((BB110/100)*(i_CFD.ObliRate/12))*[1]i.Finance!$O$64</f>
        <v>59826.722228495157</v>
      </c>
      <c r="BE110" s="586">
        <f>(AZ110/100*[1]i.Finance!$O$61)*[1]i.Finance!$O$64</f>
        <v>0</v>
      </c>
      <c r="BF110" s="586">
        <f>(AZ110/100*[1]i.Finance!$O$65)</f>
        <v>0</v>
      </c>
      <c r="BG110" s="587">
        <f t="shared" si="61"/>
        <v>59826.722228495157</v>
      </c>
      <c r="BH110" s="595"/>
      <c r="BI110" s="586">
        <f>-PV([1]i.Finance!$O$63/12,[1]i.Finance!$O$62*12,mCFD!BG110)</f>
        <v>10233961.918709608</v>
      </c>
      <c r="BJ110" s="586">
        <f>BI110*[1]i.Finance!$O$58</f>
        <v>8033660.1061870428</v>
      </c>
      <c r="BK110" s="586"/>
      <c r="BL110" s="586"/>
      <c r="BP110" s="533"/>
      <c r="BQ110" s="533"/>
      <c r="BR110" s="533" t="e">
        <f t="shared" si="62"/>
        <v>#NAME?</v>
      </c>
      <c r="BS110" s="533" t="e">
        <f t="shared" si="63"/>
        <v>#NAME?</v>
      </c>
      <c r="BT110" s="533" t="e">
        <f t="shared" si="64"/>
        <v>#NAME?</v>
      </c>
      <c r="BU110" s="533"/>
    </row>
    <row r="111" spans="1:73" ht="16" hidden="1" outlineLevel="2">
      <c r="A111" s="366"/>
      <c r="B111" s="562"/>
      <c r="C111" s="366"/>
      <c r="D111" s="454"/>
      <c r="E111" s="547">
        <f t="shared" si="74"/>
        <v>105</v>
      </c>
      <c r="F111" s="547">
        <f t="shared" si="65"/>
        <v>35</v>
      </c>
      <c r="G111" s="547">
        <f t="shared" si="66"/>
        <v>9</v>
      </c>
      <c r="H111" s="548">
        <f t="shared" si="80"/>
        <v>46996</v>
      </c>
      <c r="I111" s="549">
        <f t="shared" si="44"/>
        <v>2028</v>
      </c>
      <c r="K111" s="547">
        <f>[1]mProject!KB115</f>
        <v>0</v>
      </c>
      <c r="L111" s="547">
        <f t="shared" si="45"/>
        <v>950</v>
      </c>
      <c r="M111" s="547">
        <f t="shared" si="46"/>
        <v>295000</v>
      </c>
      <c r="N111" s="547">
        <f t="shared" si="47"/>
        <v>0</v>
      </c>
      <c r="O111" s="547">
        <f t="shared" si="68"/>
        <v>280250000</v>
      </c>
      <c r="P111" s="547">
        <f>[1]mProject!W115</f>
        <v>337600.4113530147</v>
      </c>
      <c r="Q111" s="547">
        <f t="shared" si="48"/>
        <v>0</v>
      </c>
      <c r="R111" s="547">
        <f t="shared" si="69"/>
        <v>296355280.38883054</v>
      </c>
      <c r="T111" s="547">
        <v>0</v>
      </c>
      <c r="U111" s="547">
        <f t="shared" si="49"/>
        <v>0</v>
      </c>
      <c r="V111" s="547">
        <f>IF(T111=0,0,$V$7*(1+#REF!)^#REF!)</f>
        <v>0</v>
      </c>
      <c r="W111" s="547">
        <f t="shared" si="70"/>
        <v>0</v>
      </c>
      <c r="X111" s="547">
        <f t="shared" si="50"/>
        <v>0</v>
      </c>
      <c r="Y111" s="547">
        <f t="shared" si="51"/>
        <v>0</v>
      </c>
      <c r="AA111" s="547">
        <v>0</v>
      </c>
      <c r="AB111" s="547">
        <f t="shared" si="52"/>
        <v>0</v>
      </c>
      <c r="AC111" s="547">
        <f>IF(AA111=0,0,$V$7*(1+#REF!)^#REF!)</f>
        <v>0</v>
      </c>
      <c r="AD111" s="547">
        <f t="shared" si="71"/>
        <v>0</v>
      </c>
      <c r="AE111" s="547">
        <f t="shared" si="53"/>
        <v>0</v>
      </c>
      <c r="AF111" s="547">
        <f t="shared" si="54"/>
        <v>0</v>
      </c>
      <c r="AH111" s="547">
        <f t="shared" si="55"/>
        <v>0</v>
      </c>
      <c r="AI111" s="547">
        <f t="shared" si="72"/>
        <v>950</v>
      </c>
      <c r="AJ111" s="547">
        <f t="shared" si="56"/>
        <v>0</v>
      </c>
      <c r="AK111" s="547">
        <f>AJ111*[1]mProject!V115</f>
        <v>0</v>
      </c>
      <c r="AL111" s="547">
        <f t="shared" si="57"/>
        <v>0</v>
      </c>
      <c r="AM111" s="547">
        <f t="shared" si="58"/>
        <v>0</v>
      </c>
      <c r="AN111" s="456"/>
      <c r="AO111" s="577" t="e">
        <f t="shared" si="75"/>
        <v>#REF!</v>
      </c>
      <c r="AP111" s="577" t="e">
        <f t="shared" si="79"/>
        <v>#REF!</v>
      </c>
      <c r="AQ111" s="577" t="e">
        <f t="shared" si="81"/>
        <v>#REF!</v>
      </c>
      <c r="AR111" s="578" t="e">
        <f t="shared" si="76"/>
        <v>#REF!</v>
      </c>
      <c r="AS111" s="547" t="e">
        <f t="shared" si="78"/>
        <v>#REF!</v>
      </c>
      <c r="AT111" s="547"/>
      <c r="AU111" s="547"/>
      <c r="AV111" s="547" t="e">
        <f t="shared" si="59"/>
        <v>#REF!</v>
      </c>
      <c r="AW111" s="547" t="e">
        <f>AI111*#REF!+AI110*#REF!+AI109*#REF!</f>
        <v>#REF!</v>
      </c>
      <c r="AX111" s="456"/>
      <c r="AY111" s="585">
        <f t="shared" si="73"/>
        <v>1.1910726986294378</v>
      </c>
      <c r="AZ111" s="547">
        <f t="shared" si="60"/>
        <v>0</v>
      </c>
      <c r="BA111" s="547">
        <f>BA110*[1]mProject!V116</f>
        <v>0</v>
      </c>
      <c r="BB111" s="547">
        <f t="shared" si="77"/>
        <v>17781316.823329829</v>
      </c>
      <c r="BC111" s="456"/>
      <c r="BD111" s="588">
        <f>((BB111/100)*(i_CFD.ObliRate/12))*[1]i.Finance!$O$64</f>
        <v>59826.722228495157</v>
      </c>
      <c r="BE111" s="588">
        <f>(AZ111/100*[1]i.Finance!$O$61)*[1]i.Finance!$O$64</f>
        <v>0</v>
      </c>
      <c r="BF111" s="588">
        <f>(AZ111/100*[1]i.Finance!$O$65)</f>
        <v>0</v>
      </c>
      <c r="BG111" s="589">
        <f t="shared" si="61"/>
        <v>59826.722228495157</v>
      </c>
      <c r="BH111" s="595"/>
      <c r="BI111" s="588">
        <f>-PV([1]i.Finance!$O$63/12,[1]i.Finance!$O$62*12,mCFD!BG111)</f>
        <v>10233961.918709608</v>
      </c>
      <c r="BJ111" s="588">
        <f>BI111*[1]i.Finance!$O$58</f>
        <v>8033660.1061870428</v>
      </c>
      <c r="BK111" s="588"/>
      <c r="BL111" s="588"/>
      <c r="BP111" s="547"/>
      <c r="BQ111" s="547"/>
      <c r="BR111" s="547" t="e">
        <f t="shared" si="62"/>
        <v>#NAME?</v>
      </c>
      <c r="BS111" s="547" t="e">
        <f t="shared" si="63"/>
        <v>#NAME?</v>
      </c>
      <c r="BT111" s="547" t="e">
        <f t="shared" si="64"/>
        <v>#NAME?</v>
      </c>
      <c r="BU111" s="547"/>
    </row>
    <row r="112" spans="1:73" ht="16" hidden="1" outlineLevel="2">
      <c r="A112" s="366"/>
      <c r="B112" s="562"/>
      <c r="C112" s="366"/>
      <c r="D112" s="454"/>
      <c r="E112" s="530">
        <f t="shared" si="74"/>
        <v>106</v>
      </c>
      <c r="F112" s="530">
        <f t="shared" si="65"/>
        <v>36</v>
      </c>
      <c r="G112" s="530">
        <f t="shared" si="66"/>
        <v>9</v>
      </c>
      <c r="H112" s="554">
        <f t="shared" si="80"/>
        <v>47026</v>
      </c>
      <c r="I112" s="555">
        <f t="shared" si="44"/>
        <v>2028</v>
      </c>
      <c r="K112" s="530">
        <f>[1]mProject!KB116</f>
        <v>0</v>
      </c>
      <c r="L112" s="530">
        <f t="shared" si="45"/>
        <v>950</v>
      </c>
      <c r="M112" s="530">
        <f t="shared" si="46"/>
        <v>295000</v>
      </c>
      <c r="N112" s="530">
        <f t="shared" si="47"/>
        <v>0</v>
      </c>
      <c r="O112" s="530">
        <f t="shared" si="68"/>
        <v>280250000</v>
      </c>
      <c r="P112" s="530">
        <f>[1]mProject!W116</f>
        <v>338163.07870526973</v>
      </c>
      <c r="Q112" s="530">
        <f t="shared" si="48"/>
        <v>0</v>
      </c>
      <c r="R112" s="530">
        <f t="shared" si="69"/>
        <v>296355280.38883054</v>
      </c>
      <c r="T112" s="530">
        <v>0</v>
      </c>
      <c r="U112" s="530">
        <f t="shared" si="49"/>
        <v>0</v>
      </c>
      <c r="V112" s="530">
        <f>IF(T112=0,0,$V$7*(1+#REF!)^#REF!)</f>
        <v>0</v>
      </c>
      <c r="W112" s="530">
        <f t="shared" si="70"/>
        <v>0</v>
      </c>
      <c r="X112" s="530">
        <f t="shared" si="50"/>
        <v>0</v>
      </c>
      <c r="Y112" s="530">
        <f t="shared" si="51"/>
        <v>0</v>
      </c>
      <c r="AA112" s="530">
        <v>0</v>
      </c>
      <c r="AB112" s="530">
        <f t="shared" si="52"/>
        <v>0</v>
      </c>
      <c r="AC112" s="530">
        <f>IF(AA112=0,0,$V$7*(1+#REF!)^#REF!)</f>
        <v>0</v>
      </c>
      <c r="AD112" s="530">
        <f t="shared" si="71"/>
        <v>0</v>
      </c>
      <c r="AE112" s="530">
        <f t="shared" si="53"/>
        <v>0</v>
      </c>
      <c r="AF112" s="530">
        <f t="shared" si="54"/>
        <v>0</v>
      </c>
      <c r="AH112" s="530">
        <f t="shared" si="55"/>
        <v>0</v>
      </c>
      <c r="AI112" s="530">
        <f t="shared" si="72"/>
        <v>950</v>
      </c>
      <c r="AJ112" s="530">
        <f t="shared" ref="AJ112:AJ175" si="82">AJ111</f>
        <v>0</v>
      </c>
      <c r="AK112" s="530">
        <f>AJ112*[1]mProject!V116</f>
        <v>0</v>
      </c>
      <c r="AL112" s="530">
        <f t="shared" si="57"/>
        <v>0</v>
      </c>
      <c r="AM112" s="530">
        <f t="shared" si="58"/>
        <v>0</v>
      </c>
      <c r="AN112" s="456"/>
      <c r="AO112" s="572" t="e">
        <f t="shared" si="75"/>
        <v>#REF!</v>
      </c>
      <c r="AP112" s="572" t="e">
        <f t="shared" si="79"/>
        <v>#REF!</v>
      </c>
      <c r="AQ112" s="572" t="e">
        <f t="shared" si="81"/>
        <v>#REF!</v>
      </c>
      <c r="AR112" s="573" t="e">
        <f t="shared" si="76"/>
        <v>#REF!</v>
      </c>
      <c r="AS112" s="530" t="e">
        <f t="shared" si="78"/>
        <v>#REF!</v>
      </c>
      <c r="AT112" s="530"/>
      <c r="AU112" s="530"/>
      <c r="AV112" s="530" t="e">
        <f t="shared" si="59"/>
        <v>#REF!</v>
      </c>
      <c r="AW112" s="530" t="e">
        <f>AI112*#REF!+AI111*#REF!+AI110*#REF!</f>
        <v>#REF!</v>
      </c>
      <c r="AX112" s="456"/>
      <c r="AY112" s="583">
        <f t="shared" si="73"/>
        <v>1.1930578197938202</v>
      </c>
      <c r="AZ112" s="530">
        <f t="shared" si="60"/>
        <v>0</v>
      </c>
      <c r="BA112" s="530">
        <f>BA111*[1]mProject!V117</f>
        <v>0</v>
      </c>
      <c r="BB112" s="530">
        <f t="shared" si="77"/>
        <v>17781316.823329829</v>
      </c>
      <c r="BC112" s="456"/>
      <c r="BD112" s="590">
        <f>((BB112/100)*(i_CFD.ObliRate/12))*[1]i.Finance!$O$64</f>
        <v>59826.722228495157</v>
      </c>
      <c r="BE112" s="590">
        <f>(AZ112/100*[1]i.Finance!$O$61)*[1]i.Finance!$O$64</f>
        <v>0</v>
      </c>
      <c r="BF112" s="590">
        <f>(AZ112/100*[1]i.Finance!$O$65)</f>
        <v>0</v>
      </c>
      <c r="BG112" s="591">
        <f t="shared" si="61"/>
        <v>59826.722228495157</v>
      </c>
      <c r="BH112" s="595"/>
      <c r="BI112" s="590">
        <f>-PV([1]i.Finance!$O$63/12,[1]i.Finance!$O$62*12,mCFD!BG112)</f>
        <v>10233961.918709608</v>
      </c>
      <c r="BJ112" s="590">
        <f>BI112*[1]i.Finance!$O$58</f>
        <v>8033660.1061870428</v>
      </c>
      <c r="BK112" s="590"/>
      <c r="BL112" s="590"/>
      <c r="BP112" s="530"/>
      <c r="BQ112" s="530"/>
      <c r="BR112" s="530" t="e">
        <f t="shared" si="62"/>
        <v>#NAME?</v>
      </c>
      <c r="BS112" s="530" t="e">
        <f t="shared" si="63"/>
        <v>#NAME?</v>
      </c>
      <c r="BT112" s="530" t="e">
        <f t="shared" si="64"/>
        <v>#NAME?</v>
      </c>
      <c r="BU112" s="530"/>
    </row>
    <row r="113" spans="1:73" ht="16" hidden="1" outlineLevel="2">
      <c r="A113" s="366"/>
      <c r="B113" s="562"/>
      <c r="C113" s="366"/>
      <c r="D113" s="454"/>
      <c r="E113" s="533">
        <f t="shared" si="74"/>
        <v>107</v>
      </c>
      <c r="F113" s="533">
        <f t="shared" si="65"/>
        <v>36</v>
      </c>
      <c r="G113" s="533">
        <f t="shared" si="66"/>
        <v>9</v>
      </c>
      <c r="H113" s="541">
        <f t="shared" si="80"/>
        <v>47057</v>
      </c>
      <c r="I113" s="542">
        <f t="shared" si="44"/>
        <v>2028</v>
      </c>
      <c r="K113" s="533">
        <f>[1]mProject!KB117</f>
        <v>0</v>
      </c>
      <c r="L113" s="533">
        <f t="shared" si="45"/>
        <v>950</v>
      </c>
      <c r="M113" s="533">
        <f t="shared" si="46"/>
        <v>295000</v>
      </c>
      <c r="N113" s="533">
        <f t="shared" si="47"/>
        <v>0</v>
      </c>
      <c r="O113" s="533">
        <f t="shared" si="68"/>
        <v>280250000</v>
      </c>
      <c r="P113" s="533">
        <f>[1]mProject!W117</f>
        <v>338726.68383644521</v>
      </c>
      <c r="Q113" s="533">
        <f t="shared" si="48"/>
        <v>0</v>
      </c>
      <c r="R113" s="533">
        <f t="shared" si="69"/>
        <v>296355280.38883054</v>
      </c>
      <c r="T113" s="533">
        <v>0</v>
      </c>
      <c r="U113" s="533">
        <f t="shared" si="49"/>
        <v>0</v>
      </c>
      <c r="V113" s="533">
        <f>IF(T113=0,0,$V$7*(1+#REF!)^#REF!)</f>
        <v>0</v>
      </c>
      <c r="W113" s="533">
        <f t="shared" si="70"/>
        <v>0</v>
      </c>
      <c r="X113" s="533">
        <f t="shared" si="50"/>
        <v>0</v>
      </c>
      <c r="Y113" s="533">
        <f t="shared" si="51"/>
        <v>0</v>
      </c>
      <c r="AA113" s="533">
        <v>0</v>
      </c>
      <c r="AB113" s="533">
        <f t="shared" si="52"/>
        <v>0</v>
      </c>
      <c r="AC113" s="533">
        <f>IF(AA113=0,0,$V$7*(1+#REF!)^#REF!)</f>
        <v>0</v>
      </c>
      <c r="AD113" s="533">
        <f t="shared" si="71"/>
        <v>0</v>
      </c>
      <c r="AE113" s="533">
        <f t="shared" si="53"/>
        <v>0</v>
      </c>
      <c r="AF113" s="533">
        <f t="shared" si="54"/>
        <v>0</v>
      </c>
      <c r="AH113" s="533">
        <f t="shared" si="55"/>
        <v>0</v>
      </c>
      <c r="AI113" s="533">
        <f t="shared" si="72"/>
        <v>950</v>
      </c>
      <c r="AJ113" s="533">
        <f t="shared" si="82"/>
        <v>0</v>
      </c>
      <c r="AK113" s="533">
        <f>AJ113*[1]mProject!V117</f>
        <v>0</v>
      </c>
      <c r="AL113" s="533">
        <f t="shared" si="57"/>
        <v>0</v>
      </c>
      <c r="AM113" s="533">
        <f t="shared" si="58"/>
        <v>0</v>
      </c>
      <c r="AN113" s="456"/>
      <c r="AO113" s="575" t="e">
        <f t="shared" si="75"/>
        <v>#REF!</v>
      </c>
      <c r="AP113" s="575" t="e">
        <f t="shared" si="79"/>
        <v>#REF!</v>
      </c>
      <c r="AQ113" s="575" t="e">
        <f t="shared" si="81"/>
        <v>#REF!</v>
      </c>
      <c r="AR113" s="576" t="e">
        <f t="shared" si="76"/>
        <v>#REF!</v>
      </c>
      <c r="AS113" s="533" t="e">
        <f t="shared" si="78"/>
        <v>#REF!</v>
      </c>
      <c r="AT113" s="533"/>
      <c r="AU113" s="533"/>
      <c r="AV113" s="533" t="e">
        <f t="shared" si="59"/>
        <v>#REF!</v>
      </c>
      <c r="AW113" s="533" t="e">
        <f>AI113*#REF!+AI112*#REF!+AI111*#REF!</f>
        <v>#REF!</v>
      </c>
      <c r="AX113" s="456"/>
      <c r="AY113" s="584">
        <f t="shared" si="73"/>
        <v>1.1950462494934766</v>
      </c>
      <c r="AZ113" s="533">
        <f t="shared" si="60"/>
        <v>0</v>
      </c>
      <c r="BA113" s="533">
        <f>BA112*[1]mProject!V118</f>
        <v>0</v>
      </c>
      <c r="BB113" s="533">
        <f t="shared" si="77"/>
        <v>17781316.823329829</v>
      </c>
      <c r="BC113" s="456"/>
      <c r="BD113" s="586">
        <f>((BB113/100)*(i_CFD.ObliRate/12))*[1]i.Finance!$O$64</f>
        <v>59826.722228495157</v>
      </c>
      <c r="BE113" s="586">
        <f>(AZ113/100*[1]i.Finance!$O$61)*[1]i.Finance!$O$64</f>
        <v>0</v>
      </c>
      <c r="BF113" s="586">
        <f>(AZ113/100*[1]i.Finance!$O$65)</f>
        <v>0</v>
      </c>
      <c r="BG113" s="587">
        <f t="shared" si="61"/>
        <v>59826.722228495157</v>
      </c>
      <c r="BH113" s="595"/>
      <c r="BI113" s="586">
        <f>-PV([1]i.Finance!$O$63/12,[1]i.Finance!$O$62*12,mCFD!BG113)</f>
        <v>10233961.918709608</v>
      </c>
      <c r="BJ113" s="586">
        <f>BI113*[1]i.Finance!$O$58</f>
        <v>8033660.1061870428</v>
      </c>
      <c r="BK113" s="586"/>
      <c r="BL113" s="586"/>
      <c r="BP113" s="533"/>
      <c r="BQ113" s="533"/>
      <c r="BR113" s="533" t="e">
        <f t="shared" si="62"/>
        <v>#NAME?</v>
      </c>
      <c r="BS113" s="533" t="e">
        <f t="shared" si="63"/>
        <v>#NAME?</v>
      </c>
      <c r="BT113" s="533" t="e">
        <f t="shared" si="64"/>
        <v>#NAME?</v>
      </c>
      <c r="BU113" s="533"/>
    </row>
    <row r="114" spans="1:73" ht="17" hidden="1" outlineLevel="2" thickBot="1">
      <c r="A114" s="366"/>
      <c r="B114" s="562"/>
      <c r="C114" s="366"/>
      <c r="D114" s="454"/>
      <c r="E114" s="564">
        <f t="shared" si="74"/>
        <v>108</v>
      </c>
      <c r="F114" s="564">
        <f t="shared" si="65"/>
        <v>36</v>
      </c>
      <c r="G114" s="564">
        <f t="shared" si="66"/>
        <v>9</v>
      </c>
      <c r="H114" s="565">
        <f t="shared" si="80"/>
        <v>47087</v>
      </c>
      <c r="I114" s="566">
        <f t="shared" si="44"/>
        <v>2028</v>
      </c>
      <c r="K114" s="564">
        <f>[1]mProject!KB118</f>
        <v>0</v>
      </c>
      <c r="L114" s="564">
        <f t="shared" si="45"/>
        <v>950</v>
      </c>
      <c r="M114" s="564">
        <f t="shared" si="46"/>
        <v>295000</v>
      </c>
      <c r="N114" s="564">
        <f t="shared" si="47"/>
        <v>0</v>
      </c>
      <c r="O114" s="564">
        <f t="shared" si="68"/>
        <v>280250000</v>
      </c>
      <c r="P114" s="564">
        <f>[1]mProject!W118</f>
        <v>339291.22830950597</v>
      </c>
      <c r="Q114" s="564">
        <f t="shared" si="48"/>
        <v>0</v>
      </c>
      <c r="R114" s="564">
        <f t="shared" si="69"/>
        <v>296355280.38883054</v>
      </c>
      <c r="T114" s="564">
        <v>0</v>
      </c>
      <c r="U114" s="564">
        <f t="shared" si="49"/>
        <v>0</v>
      </c>
      <c r="V114" s="564">
        <f>IF(T114=0,0,$V$7*(1+#REF!)^#REF!)</f>
        <v>0</v>
      </c>
      <c r="W114" s="564">
        <f t="shared" si="70"/>
        <v>0</v>
      </c>
      <c r="X114" s="564">
        <f t="shared" si="50"/>
        <v>0</v>
      </c>
      <c r="Y114" s="564">
        <f t="shared" si="51"/>
        <v>0</v>
      </c>
      <c r="AA114" s="564">
        <v>0</v>
      </c>
      <c r="AB114" s="564">
        <f t="shared" si="52"/>
        <v>0</v>
      </c>
      <c r="AC114" s="564">
        <f>IF(AA114=0,0,$V$7*(1+#REF!)^#REF!)</f>
        <v>0</v>
      </c>
      <c r="AD114" s="564">
        <f t="shared" si="71"/>
        <v>0</v>
      </c>
      <c r="AE114" s="564">
        <f t="shared" si="53"/>
        <v>0</v>
      </c>
      <c r="AF114" s="564">
        <f t="shared" si="54"/>
        <v>0</v>
      </c>
      <c r="AH114" s="564">
        <f t="shared" si="55"/>
        <v>0</v>
      </c>
      <c r="AI114" s="564">
        <f t="shared" si="72"/>
        <v>950</v>
      </c>
      <c r="AJ114" s="564">
        <f t="shared" si="82"/>
        <v>0</v>
      </c>
      <c r="AK114" s="564">
        <f>AJ114*[1]mProject!V118</f>
        <v>0</v>
      </c>
      <c r="AL114" s="564">
        <f t="shared" si="57"/>
        <v>0</v>
      </c>
      <c r="AM114" s="564">
        <f t="shared" si="58"/>
        <v>0</v>
      </c>
      <c r="AN114" s="456"/>
      <c r="AO114" s="581" t="e">
        <f t="shared" si="75"/>
        <v>#REF!</v>
      </c>
      <c r="AP114" s="581" t="e">
        <f t="shared" si="79"/>
        <v>#REF!</v>
      </c>
      <c r="AQ114" s="581" t="e">
        <f t="shared" si="81"/>
        <v>#REF!</v>
      </c>
      <c r="AR114" s="582" t="e">
        <f t="shared" si="76"/>
        <v>#REF!</v>
      </c>
      <c r="AS114" s="564" t="e">
        <f t="shared" si="78"/>
        <v>#REF!</v>
      </c>
      <c r="AT114" s="564"/>
      <c r="AU114" s="564"/>
      <c r="AV114" s="564" t="e">
        <f t="shared" si="59"/>
        <v>#REF!</v>
      </c>
      <c r="AW114" s="564" t="e">
        <f>AI114*#REF!+AI113*#REF!+AI112*#REF!</f>
        <v>#REF!</v>
      </c>
      <c r="AX114" s="456"/>
      <c r="AY114" s="592">
        <f t="shared" si="73"/>
        <v>1.1970379932426325</v>
      </c>
      <c r="AZ114" s="564">
        <f t="shared" si="60"/>
        <v>0</v>
      </c>
      <c r="BA114" s="564">
        <f>BA113*[1]mProject!V119</f>
        <v>0</v>
      </c>
      <c r="BB114" s="564">
        <f t="shared" si="77"/>
        <v>17781316.823329829</v>
      </c>
      <c r="BC114" s="456"/>
      <c r="BD114" s="593">
        <f>((BB114/100)*(i_CFD.ObliRate/12))*[1]i.Finance!$O$64</f>
        <v>59826.722228495157</v>
      </c>
      <c r="BE114" s="593">
        <f>(AZ114/100*[1]i.Finance!$O$61)*[1]i.Finance!$O$64</f>
        <v>0</v>
      </c>
      <c r="BF114" s="593">
        <f>(AZ114/100*[1]i.Finance!$O$65)</f>
        <v>0</v>
      </c>
      <c r="BG114" s="594">
        <f t="shared" si="61"/>
        <v>59826.722228495157</v>
      </c>
      <c r="BH114" s="595"/>
      <c r="BI114" s="593">
        <f>-PV([1]i.Finance!$O$63/12,[1]i.Finance!$O$62*12,mCFD!BG114)</f>
        <v>10233961.918709608</v>
      </c>
      <c r="BJ114" s="593">
        <f>BI114*[1]i.Finance!$O$58</f>
        <v>8033660.1061870428</v>
      </c>
      <c r="BK114" s="593"/>
      <c r="BL114" s="593"/>
      <c r="BP114" s="564"/>
      <c r="BQ114" s="564"/>
      <c r="BR114" s="564" t="e">
        <f t="shared" si="62"/>
        <v>#NAME?</v>
      </c>
      <c r="BS114" s="564" t="e">
        <f t="shared" si="63"/>
        <v>#NAME?</v>
      </c>
      <c r="BT114" s="564" t="e">
        <f t="shared" si="64"/>
        <v>#NAME?</v>
      </c>
      <c r="BU114" s="564"/>
    </row>
    <row r="115" spans="1:73" ht="16" hidden="1" outlineLevel="2">
      <c r="A115" s="366"/>
      <c r="B115" s="562"/>
      <c r="C115" s="366"/>
      <c r="D115" s="454"/>
      <c r="E115" s="530">
        <f t="shared" si="74"/>
        <v>109</v>
      </c>
      <c r="F115" s="530">
        <f t="shared" si="65"/>
        <v>37</v>
      </c>
      <c r="G115" s="530">
        <f t="shared" si="66"/>
        <v>10</v>
      </c>
      <c r="H115" s="571">
        <f t="shared" si="80"/>
        <v>47118</v>
      </c>
      <c r="I115" s="532">
        <f t="shared" si="44"/>
        <v>2028</v>
      </c>
      <c r="K115" s="530">
        <f>[1]mProject!KB119</f>
        <v>0</v>
      </c>
      <c r="L115" s="530">
        <f t="shared" si="45"/>
        <v>950</v>
      </c>
      <c r="M115" s="530">
        <f t="shared" si="46"/>
        <v>295000</v>
      </c>
      <c r="N115" s="530">
        <f t="shared" si="47"/>
        <v>0</v>
      </c>
      <c r="O115" s="530">
        <f t="shared" si="68"/>
        <v>280250000</v>
      </c>
      <c r="P115" s="530">
        <f>[1]mProject!W119</f>
        <v>339856.71369002183</v>
      </c>
      <c r="Q115" s="530">
        <f t="shared" si="48"/>
        <v>0</v>
      </c>
      <c r="R115" s="530">
        <f t="shared" si="69"/>
        <v>296355280.38883054</v>
      </c>
      <c r="T115" s="530">
        <v>0</v>
      </c>
      <c r="U115" s="530">
        <f t="shared" si="49"/>
        <v>0</v>
      </c>
      <c r="V115" s="530">
        <f>IF(T115=0,0,$V$7*(1+#REF!)^#REF!)</f>
        <v>0</v>
      </c>
      <c r="W115" s="530">
        <f t="shared" si="70"/>
        <v>0</v>
      </c>
      <c r="X115" s="530">
        <f t="shared" si="50"/>
        <v>0</v>
      </c>
      <c r="Y115" s="530">
        <f t="shared" si="51"/>
        <v>0</v>
      </c>
      <c r="AA115" s="530">
        <v>0</v>
      </c>
      <c r="AB115" s="530">
        <f t="shared" si="52"/>
        <v>0</v>
      </c>
      <c r="AC115" s="530">
        <f>IF(AA115=0,0,$V$7*(1+#REF!)^#REF!)</f>
        <v>0</v>
      </c>
      <c r="AD115" s="530">
        <f t="shared" si="71"/>
        <v>0</v>
      </c>
      <c r="AE115" s="530">
        <f t="shared" si="53"/>
        <v>0</v>
      </c>
      <c r="AF115" s="530">
        <f t="shared" si="54"/>
        <v>0</v>
      </c>
      <c r="AH115" s="530">
        <f t="shared" si="55"/>
        <v>0</v>
      </c>
      <c r="AI115" s="530">
        <f t="shared" si="72"/>
        <v>950</v>
      </c>
      <c r="AJ115" s="530">
        <f t="shared" si="82"/>
        <v>0</v>
      </c>
      <c r="AK115" s="530">
        <f>AJ115*[1]mProject!V119</f>
        <v>0</v>
      </c>
      <c r="AL115" s="530">
        <f t="shared" si="57"/>
        <v>0</v>
      </c>
      <c r="AM115" s="530">
        <f t="shared" si="58"/>
        <v>0</v>
      </c>
      <c r="AN115" s="456"/>
      <c r="AO115" s="572" t="e">
        <f t="shared" si="75"/>
        <v>#REF!</v>
      </c>
      <c r="AP115" s="572" t="e">
        <f t="shared" si="79"/>
        <v>#REF!</v>
      </c>
      <c r="AQ115" s="572" t="e">
        <f t="shared" si="81"/>
        <v>#REF!</v>
      </c>
      <c r="AR115" s="573" t="e">
        <f t="shared" si="76"/>
        <v>#REF!</v>
      </c>
      <c r="AS115" s="530" t="e">
        <f t="shared" si="78"/>
        <v>#REF!</v>
      </c>
      <c r="AT115" s="530"/>
      <c r="AU115" s="530"/>
      <c r="AV115" s="530" t="e">
        <f t="shared" si="59"/>
        <v>#REF!</v>
      </c>
      <c r="AW115" s="530" t="e">
        <f>AI115*#REF!+AI114*#REF!+AI113*#REF!</f>
        <v>#REF!</v>
      </c>
      <c r="AX115" s="456"/>
      <c r="AY115" s="583">
        <f t="shared" si="73"/>
        <v>1.1990330565647036</v>
      </c>
      <c r="AZ115" s="530">
        <f t="shared" si="60"/>
        <v>0</v>
      </c>
      <c r="BA115" s="530">
        <f>BA114*[1]mProject!V120</f>
        <v>0</v>
      </c>
      <c r="BB115" s="530">
        <f t="shared" si="77"/>
        <v>17781316.823329829</v>
      </c>
      <c r="BC115" s="456"/>
      <c r="BD115" s="590">
        <f>((BB115/100)*(i_CFD.ObliRate/12))*[1]i.Finance!$O$64</f>
        <v>59826.722228495157</v>
      </c>
      <c r="BE115" s="590">
        <f>(AZ115/100*[1]i.Finance!$O$61)*[1]i.Finance!$O$64</f>
        <v>0</v>
      </c>
      <c r="BF115" s="590">
        <f>(AZ115/100*[1]i.Finance!$O$65)</f>
        <v>0</v>
      </c>
      <c r="BG115" s="591">
        <f t="shared" si="61"/>
        <v>59826.722228495157</v>
      </c>
      <c r="BH115" s="595"/>
      <c r="BI115" s="590">
        <f>-PV([1]i.Finance!$O$63/12,[1]i.Finance!$O$62*12,mCFD!BG115)</f>
        <v>10233961.918709608</v>
      </c>
      <c r="BJ115" s="590">
        <f>BI115*[1]i.Finance!$O$58</f>
        <v>8033660.1061870428</v>
      </c>
      <c r="BK115" s="590"/>
      <c r="BL115" s="590"/>
      <c r="BP115" s="530"/>
      <c r="BQ115" s="530"/>
      <c r="BR115" s="530" t="e">
        <f t="shared" si="62"/>
        <v>#NAME?</v>
      </c>
      <c r="BS115" s="530" t="e">
        <f t="shared" si="63"/>
        <v>#NAME?</v>
      </c>
      <c r="BT115" s="530" t="e">
        <f t="shared" si="64"/>
        <v>#NAME?</v>
      </c>
      <c r="BU115" s="530"/>
    </row>
    <row r="116" spans="1:73" ht="16" hidden="1" outlineLevel="2">
      <c r="A116" s="366"/>
      <c r="B116" s="562"/>
      <c r="C116" s="366"/>
      <c r="D116" s="454"/>
      <c r="E116" s="533">
        <f t="shared" si="74"/>
        <v>110</v>
      </c>
      <c r="F116" s="533">
        <f t="shared" si="65"/>
        <v>37</v>
      </c>
      <c r="G116" s="533">
        <f t="shared" si="66"/>
        <v>10</v>
      </c>
      <c r="H116" s="541">
        <f t="shared" si="80"/>
        <v>47149</v>
      </c>
      <c r="I116" s="542">
        <f t="shared" si="44"/>
        <v>2029</v>
      </c>
      <c r="K116" s="533">
        <f>[1]mProject!KB120</f>
        <v>0</v>
      </c>
      <c r="L116" s="533">
        <f t="shared" si="45"/>
        <v>950</v>
      </c>
      <c r="M116" s="533">
        <f t="shared" si="46"/>
        <v>295000</v>
      </c>
      <c r="N116" s="533">
        <f t="shared" si="47"/>
        <v>0</v>
      </c>
      <c r="O116" s="533">
        <f t="shared" si="68"/>
        <v>280250000</v>
      </c>
      <c r="P116" s="533">
        <f>[1]mProject!W120</f>
        <v>340423.14154617186</v>
      </c>
      <c r="Q116" s="533">
        <f t="shared" si="48"/>
        <v>0</v>
      </c>
      <c r="R116" s="533">
        <f t="shared" si="69"/>
        <v>296355280.38883054</v>
      </c>
      <c r="T116" s="533">
        <v>0</v>
      </c>
      <c r="U116" s="533">
        <f t="shared" si="49"/>
        <v>0</v>
      </c>
      <c r="V116" s="533">
        <f>IF(T116=0,0,$V$7*(1+#REF!)^#REF!)</f>
        <v>0</v>
      </c>
      <c r="W116" s="533">
        <f t="shared" si="70"/>
        <v>0</v>
      </c>
      <c r="X116" s="533">
        <f t="shared" si="50"/>
        <v>0</v>
      </c>
      <c r="Y116" s="533">
        <f t="shared" si="51"/>
        <v>0</v>
      </c>
      <c r="AA116" s="533">
        <v>0</v>
      </c>
      <c r="AB116" s="533">
        <f t="shared" si="52"/>
        <v>0</v>
      </c>
      <c r="AC116" s="533">
        <f>IF(AA116=0,0,$V$7*(1+#REF!)^#REF!)</f>
        <v>0</v>
      </c>
      <c r="AD116" s="533">
        <f t="shared" si="71"/>
        <v>0</v>
      </c>
      <c r="AE116" s="533">
        <f t="shared" si="53"/>
        <v>0</v>
      </c>
      <c r="AF116" s="533">
        <f t="shared" si="54"/>
        <v>0</v>
      </c>
      <c r="AH116" s="533">
        <f t="shared" si="55"/>
        <v>0</v>
      </c>
      <c r="AI116" s="533">
        <f t="shared" si="72"/>
        <v>950</v>
      </c>
      <c r="AJ116" s="533">
        <f t="shared" si="82"/>
        <v>0</v>
      </c>
      <c r="AK116" s="533">
        <f>AJ116*[1]mProject!V120</f>
        <v>0</v>
      </c>
      <c r="AL116" s="533">
        <f t="shared" si="57"/>
        <v>0</v>
      </c>
      <c r="AM116" s="533">
        <f t="shared" si="58"/>
        <v>0</v>
      </c>
      <c r="AN116" s="456"/>
      <c r="AO116" s="575" t="e">
        <f t="shared" si="75"/>
        <v>#REF!</v>
      </c>
      <c r="AP116" s="575" t="e">
        <f t="shared" si="79"/>
        <v>#REF!</v>
      </c>
      <c r="AQ116" s="575" t="e">
        <f t="shared" si="81"/>
        <v>#REF!</v>
      </c>
      <c r="AR116" s="576" t="e">
        <f t="shared" si="76"/>
        <v>#REF!</v>
      </c>
      <c r="AS116" s="533" t="e">
        <f t="shared" si="78"/>
        <v>#REF!</v>
      </c>
      <c r="AT116" s="533"/>
      <c r="AU116" s="533"/>
      <c r="AV116" s="533" t="e">
        <f t="shared" si="59"/>
        <v>#REF!</v>
      </c>
      <c r="AW116" s="533" t="e">
        <f>AI116*#REF!+AI115*#REF!+AI114*#REF!</f>
        <v>#REF!</v>
      </c>
      <c r="AX116" s="456"/>
      <c r="AY116" s="584">
        <f t="shared" si="73"/>
        <v>1.2010314449923114</v>
      </c>
      <c r="AZ116" s="533">
        <f t="shared" si="60"/>
        <v>0</v>
      </c>
      <c r="BA116" s="533">
        <f>BA115*[1]mProject!V121</f>
        <v>0</v>
      </c>
      <c r="BB116" s="533">
        <f t="shared" si="77"/>
        <v>17781316.823329829</v>
      </c>
      <c r="BC116" s="456"/>
      <c r="BD116" s="586">
        <f>((BB116/100)*(i_CFD.ObliRate/12))*[1]i.Finance!$O$64</f>
        <v>59826.722228495157</v>
      </c>
      <c r="BE116" s="586">
        <f>(AZ116/100*[1]i.Finance!$O$61)*[1]i.Finance!$O$64</f>
        <v>0</v>
      </c>
      <c r="BF116" s="586">
        <f>(AZ116/100*[1]i.Finance!$O$65)</f>
        <v>0</v>
      </c>
      <c r="BG116" s="587">
        <f t="shared" si="61"/>
        <v>59826.722228495157</v>
      </c>
      <c r="BH116" s="595"/>
      <c r="BI116" s="586">
        <f>-PV([1]i.Finance!$O$63/12,[1]i.Finance!$O$62*12,mCFD!BG116)</f>
        <v>10233961.918709608</v>
      </c>
      <c r="BJ116" s="586">
        <f>BI116*[1]i.Finance!$O$58</f>
        <v>8033660.1061870428</v>
      </c>
      <c r="BK116" s="586"/>
      <c r="BL116" s="586"/>
      <c r="BP116" s="533"/>
      <c r="BQ116" s="533"/>
      <c r="BR116" s="533" t="e">
        <f t="shared" si="62"/>
        <v>#NAME?</v>
      </c>
      <c r="BS116" s="533" t="e">
        <f t="shared" si="63"/>
        <v>#NAME?</v>
      </c>
      <c r="BT116" s="533" t="e">
        <f t="shared" si="64"/>
        <v>#NAME?</v>
      </c>
      <c r="BU116" s="533"/>
    </row>
    <row r="117" spans="1:73" ht="16" hidden="1" outlineLevel="2">
      <c r="A117" s="366"/>
      <c r="B117" s="562"/>
      <c r="C117" s="366"/>
      <c r="D117" s="454"/>
      <c r="E117" s="547">
        <f t="shared" si="74"/>
        <v>111</v>
      </c>
      <c r="F117" s="547">
        <f t="shared" si="65"/>
        <v>37</v>
      </c>
      <c r="G117" s="547">
        <f t="shared" si="66"/>
        <v>10</v>
      </c>
      <c r="H117" s="548">
        <f t="shared" si="80"/>
        <v>47177</v>
      </c>
      <c r="I117" s="549">
        <f t="shared" si="44"/>
        <v>2029</v>
      </c>
      <c r="K117" s="547">
        <f>[1]mProject!KB121</f>
        <v>0</v>
      </c>
      <c r="L117" s="547">
        <f t="shared" si="45"/>
        <v>950</v>
      </c>
      <c r="M117" s="547">
        <f t="shared" si="46"/>
        <v>295000</v>
      </c>
      <c r="N117" s="547">
        <f t="shared" si="47"/>
        <v>0</v>
      </c>
      <c r="O117" s="547">
        <f t="shared" si="68"/>
        <v>280250000</v>
      </c>
      <c r="P117" s="547">
        <f>[1]mProject!W121</f>
        <v>340990.5134487488</v>
      </c>
      <c r="Q117" s="547">
        <f t="shared" si="48"/>
        <v>0</v>
      </c>
      <c r="R117" s="547">
        <f t="shared" si="69"/>
        <v>296355280.38883054</v>
      </c>
      <c r="T117" s="547">
        <v>0</v>
      </c>
      <c r="U117" s="547">
        <f t="shared" si="49"/>
        <v>0</v>
      </c>
      <c r="V117" s="547">
        <f>IF(T117=0,0,$V$7*(1+#REF!)^#REF!)</f>
        <v>0</v>
      </c>
      <c r="W117" s="547">
        <f t="shared" si="70"/>
        <v>0</v>
      </c>
      <c r="X117" s="547">
        <f t="shared" si="50"/>
        <v>0</v>
      </c>
      <c r="Y117" s="547">
        <f t="shared" si="51"/>
        <v>0</v>
      </c>
      <c r="AA117" s="547">
        <v>0</v>
      </c>
      <c r="AB117" s="547">
        <f t="shared" si="52"/>
        <v>0</v>
      </c>
      <c r="AC117" s="547">
        <f>IF(AA117=0,0,$V$7*(1+#REF!)^#REF!)</f>
        <v>0</v>
      </c>
      <c r="AD117" s="547">
        <f t="shared" si="71"/>
        <v>0</v>
      </c>
      <c r="AE117" s="547">
        <f t="shared" si="53"/>
        <v>0</v>
      </c>
      <c r="AF117" s="547">
        <f t="shared" si="54"/>
        <v>0</v>
      </c>
      <c r="AH117" s="547">
        <f t="shared" si="55"/>
        <v>0</v>
      </c>
      <c r="AI117" s="547">
        <f t="shared" si="72"/>
        <v>950</v>
      </c>
      <c r="AJ117" s="547">
        <f t="shared" si="82"/>
        <v>0</v>
      </c>
      <c r="AK117" s="547">
        <f>AJ117*[1]mProject!V121</f>
        <v>0</v>
      </c>
      <c r="AL117" s="547">
        <f t="shared" si="57"/>
        <v>0</v>
      </c>
      <c r="AM117" s="547">
        <f t="shared" si="58"/>
        <v>0</v>
      </c>
      <c r="AN117" s="456"/>
      <c r="AO117" s="577" t="e">
        <f t="shared" si="75"/>
        <v>#REF!</v>
      </c>
      <c r="AP117" s="577" t="e">
        <f t="shared" si="79"/>
        <v>#REF!</v>
      </c>
      <c r="AQ117" s="577" t="e">
        <f t="shared" si="81"/>
        <v>#REF!</v>
      </c>
      <c r="AR117" s="578" t="e">
        <f t="shared" si="76"/>
        <v>#REF!</v>
      </c>
      <c r="AS117" s="547" t="e">
        <f t="shared" si="78"/>
        <v>#REF!</v>
      </c>
      <c r="AT117" s="547"/>
      <c r="AU117" s="547"/>
      <c r="AV117" s="547" t="e">
        <f t="shared" si="59"/>
        <v>#REF!</v>
      </c>
      <c r="AW117" s="547" t="e">
        <f>AI117*#REF!+AI116*#REF!+AI115*#REF!</f>
        <v>#REF!</v>
      </c>
      <c r="AX117" s="456"/>
      <c r="AY117" s="585">
        <f t="shared" si="73"/>
        <v>1.2030331640672987</v>
      </c>
      <c r="AZ117" s="547">
        <f t="shared" si="60"/>
        <v>0</v>
      </c>
      <c r="BA117" s="547">
        <f>BA116*[1]mProject!V122</f>
        <v>0</v>
      </c>
      <c r="BB117" s="547">
        <f t="shared" si="77"/>
        <v>17781316.823329829</v>
      </c>
      <c r="BC117" s="456"/>
      <c r="BD117" s="588">
        <f>((BB117/100)*(i_CFD.ObliRate/12))*[1]i.Finance!$O$64</f>
        <v>59826.722228495157</v>
      </c>
      <c r="BE117" s="588">
        <f>(AZ117/100*[1]i.Finance!$O$61)*[1]i.Finance!$O$64</f>
        <v>0</v>
      </c>
      <c r="BF117" s="588">
        <f>(AZ117/100*[1]i.Finance!$O$65)</f>
        <v>0</v>
      </c>
      <c r="BG117" s="589">
        <f t="shared" si="61"/>
        <v>59826.722228495157</v>
      </c>
      <c r="BH117" s="595"/>
      <c r="BI117" s="588">
        <f>-PV([1]i.Finance!$O$63/12,[1]i.Finance!$O$62*12,mCFD!BG117)</f>
        <v>10233961.918709608</v>
      </c>
      <c r="BJ117" s="588">
        <f>BI117*[1]i.Finance!$O$58</f>
        <v>8033660.1061870428</v>
      </c>
      <c r="BK117" s="588"/>
      <c r="BL117" s="588"/>
      <c r="BP117" s="547"/>
      <c r="BQ117" s="547"/>
      <c r="BR117" s="547" t="e">
        <f t="shared" si="62"/>
        <v>#NAME?</v>
      </c>
      <c r="BS117" s="547" t="e">
        <f t="shared" si="63"/>
        <v>#NAME?</v>
      </c>
      <c r="BT117" s="547" t="e">
        <f t="shared" si="64"/>
        <v>#NAME?</v>
      </c>
      <c r="BU117" s="547"/>
    </row>
    <row r="118" spans="1:73" ht="16" hidden="1" outlineLevel="2">
      <c r="A118" s="366"/>
      <c r="B118" s="562"/>
      <c r="C118" s="366"/>
      <c r="D118" s="454"/>
      <c r="E118" s="530">
        <f t="shared" si="74"/>
        <v>112</v>
      </c>
      <c r="F118" s="530">
        <f t="shared" si="65"/>
        <v>38</v>
      </c>
      <c r="G118" s="530">
        <f t="shared" si="66"/>
        <v>10</v>
      </c>
      <c r="H118" s="554">
        <f t="shared" si="80"/>
        <v>47208</v>
      </c>
      <c r="I118" s="555">
        <f t="shared" si="44"/>
        <v>2029</v>
      </c>
      <c r="K118" s="530">
        <f>[1]mProject!KB122</f>
        <v>0</v>
      </c>
      <c r="L118" s="530">
        <f t="shared" si="45"/>
        <v>950</v>
      </c>
      <c r="M118" s="530">
        <f t="shared" si="46"/>
        <v>295000</v>
      </c>
      <c r="N118" s="530">
        <f t="shared" si="47"/>
        <v>0</v>
      </c>
      <c r="O118" s="530">
        <f t="shared" si="68"/>
        <v>280250000</v>
      </c>
      <c r="P118" s="530">
        <f>[1]mProject!W122</f>
        <v>341558.83097116341</v>
      </c>
      <c r="Q118" s="530">
        <f t="shared" si="48"/>
        <v>0</v>
      </c>
      <c r="R118" s="530">
        <f t="shared" si="69"/>
        <v>296355280.38883054</v>
      </c>
      <c r="T118" s="530">
        <v>0</v>
      </c>
      <c r="U118" s="530">
        <f t="shared" si="49"/>
        <v>0</v>
      </c>
      <c r="V118" s="530">
        <f>IF(T118=0,0,$V$7*(1+#REF!)^#REF!)</f>
        <v>0</v>
      </c>
      <c r="W118" s="530">
        <f t="shared" si="70"/>
        <v>0</v>
      </c>
      <c r="X118" s="530">
        <f t="shared" si="50"/>
        <v>0</v>
      </c>
      <c r="Y118" s="530">
        <f t="shared" si="51"/>
        <v>0</v>
      </c>
      <c r="AA118" s="530">
        <v>0</v>
      </c>
      <c r="AB118" s="530">
        <f t="shared" si="52"/>
        <v>0</v>
      </c>
      <c r="AC118" s="530">
        <f>IF(AA118=0,0,$V$7*(1+#REF!)^#REF!)</f>
        <v>0</v>
      </c>
      <c r="AD118" s="530">
        <f t="shared" si="71"/>
        <v>0</v>
      </c>
      <c r="AE118" s="530">
        <f t="shared" si="53"/>
        <v>0</v>
      </c>
      <c r="AF118" s="530">
        <f t="shared" si="54"/>
        <v>0</v>
      </c>
      <c r="AH118" s="530">
        <f t="shared" si="55"/>
        <v>0</v>
      </c>
      <c r="AI118" s="530">
        <f t="shared" si="72"/>
        <v>950</v>
      </c>
      <c r="AJ118" s="530">
        <f t="shared" si="82"/>
        <v>0</v>
      </c>
      <c r="AK118" s="530">
        <f>AJ118*[1]mProject!V122</f>
        <v>0</v>
      </c>
      <c r="AL118" s="530">
        <f t="shared" si="57"/>
        <v>0</v>
      </c>
      <c r="AM118" s="530">
        <f t="shared" si="58"/>
        <v>0</v>
      </c>
      <c r="AN118" s="456"/>
      <c r="AO118" s="572" t="e">
        <f t="shared" si="75"/>
        <v>#REF!</v>
      </c>
      <c r="AP118" s="572" t="e">
        <f t="shared" si="79"/>
        <v>#REF!</v>
      </c>
      <c r="AQ118" s="572" t="e">
        <f t="shared" si="81"/>
        <v>#REF!</v>
      </c>
      <c r="AR118" s="573" t="e">
        <f t="shared" si="76"/>
        <v>#REF!</v>
      </c>
      <c r="AS118" s="530" t="e">
        <f t="shared" si="78"/>
        <v>#REF!</v>
      </c>
      <c r="AT118" s="530"/>
      <c r="AU118" s="530"/>
      <c r="AV118" s="530" t="e">
        <f t="shared" si="59"/>
        <v>#REF!</v>
      </c>
      <c r="AW118" s="530" t="e">
        <f>AI118*#REF!+AI117*#REF!+AI116*#REF!</f>
        <v>#REF!</v>
      </c>
      <c r="AX118" s="456"/>
      <c r="AY118" s="583">
        <f t="shared" si="73"/>
        <v>1.2050382193407443</v>
      </c>
      <c r="AZ118" s="530">
        <f t="shared" si="60"/>
        <v>0</v>
      </c>
      <c r="BA118" s="530">
        <f>BA117*[1]mProject!V123</f>
        <v>0</v>
      </c>
      <c r="BB118" s="530">
        <f t="shared" si="77"/>
        <v>17781316.823329829</v>
      </c>
      <c r="BC118" s="456"/>
      <c r="BD118" s="590">
        <f>((BB118/100)*(i_CFD.ObliRate/12))*[1]i.Finance!$O$64</f>
        <v>59826.722228495157</v>
      </c>
      <c r="BE118" s="590">
        <f>(AZ118/100*[1]i.Finance!$O$61)*[1]i.Finance!$O$64</f>
        <v>0</v>
      </c>
      <c r="BF118" s="590">
        <f>(AZ118/100*[1]i.Finance!$O$65)</f>
        <v>0</v>
      </c>
      <c r="BG118" s="591">
        <f t="shared" si="61"/>
        <v>59826.722228495157</v>
      </c>
      <c r="BH118" s="595"/>
      <c r="BI118" s="590">
        <f>-PV([1]i.Finance!$O$63/12,[1]i.Finance!$O$62*12,mCFD!BG118)</f>
        <v>10233961.918709608</v>
      </c>
      <c r="BJ118" s="590">
        <f>BI118*[1]i.Finance!$O$58</f>
        <v>8033660.1061870428</v>
      </c>
      <c r="BK118" s="590"/>
      <c r="BL118" s="590"/>
      <c r="BP118" s="530"/>
      <c r="BQ118" s="530"/>
      <c r="BR118" s="530" t="e">
        <f t="shared" si="62"/>
        <v>#NAME?</v>
      </c>
      <c r="BS118" s="530" t="e">
        <f t="shared" si="63"/>
        <v>#NAME?</v>
      </c>
      <c r="BT118" s="530" t="e">
        <f t="shared" si="64"/>
        <v>#NAME?</v>
      </c>
      <c r="BU118" s="530"/>
    </row>
    <row r="119" spans="1:73" ht="16" hidden="1" outlineLevel="2">
      <c r="A119" s="366"/>
      <c r="B119" s="562"/>
      <c r="C119" s="366"/>
      <c r="D119" s="454"/>
      <c r="E119" s="533">
        <f t="shared" si="74"/>
        <v>113</v>
      </c>
      <c r="F119" s="533">
        <f t="shared" si="65"/>
        <v>38</v>
      </c>
      <c r="G119" s="533">
        <f t="shared" si="66"/>
        <v>10</v>
      </c>
      <c r="H119" s="541">
        <f t="shared" si="80"/>
        <v>47238</v>
      </c>
      <c r="I119" s="542">
        <f t="shared" si="44"/>
        <v>2029</v>
      </c>
      <c r="K119" s="533">
        <f>[1]mProject!KB123</f>
        <v>0</v>
      </c>
      <c r="L119" s="533">
        <f t="shared" si="45"/>
        <v>950</v>
      </c>
      <c r="M119" s="533">
        <f t="shared" si="46"/>
        <v>295000</v>
      </c>
      <c r="N119" s="533">
        <f t="shared" si="47"/>
        <v>0</v>
      </c>
      <c r="O119" s="533">
        <f t="shared" si="68"/>
        <v>280250000</v>
      </c>
      <c r="P119" s="533">
        <f>[1]mProject!W123</f>
        <v>342128.0956894487</v>
      </c>
      <c r="Q119" s="533">
        <f t="shared" si="48"/>
        <v>0</v>
      </c>
      <c r="R119" s="533">
        <f t="shared" si="69"/>
        <v>296355280.38883054</v>
      </c>
      <c r="T119" s="533">
        <v>0</v>
      </c>
      <c r="U119" s="533">
        <f t="shared" si="49"/>
        <v>0</v>
      </c>
      <c r="V119" s="533">
        <f>IF(T119=0,0,$V$7*(1+#REF!)^#REF!)</f>
        <v>0</v>
      </c>
      <c r="W119" s="533">
        <f t="shared" si="70"/>
        <v>0</v>
      </c>
      <c r="X119" s="533">
        <f t="shared" si="50"/>
        <v>0</v>
      </c>
      <c r="Y119" s="533">
        <f t="shared" si="51"/>
        <v>0</v>
      </c>
      <c r="AA119" s="533">
        <v>0</v>
      </c>
      <c r="AB119" s="533">
        <f t="shared" si="52"/>
        <v>0</v>
      </c>
      <c r="AC119" s="533">
        <f>IF(AA119=0,0,$V$7*(1+#REF!)^#REF!)</f>
        <v>0</v>
      </c>
      <c r="AD119" s="533">
        <f t="shared" si="71"/>
        <v>0</v>
      </c>
      <c r="AE119" s="533">
        <f t="shared" si="53"/>
        <v>0</v>
      </c>
      <c r="AF119" s="533">
        <f t="shared" si="54"/>
        <v>0</v>
      </c>
      <c r="AH119" s="533">
        <f t="shared" si="55"/>
        <v>0</v>
      </c>
      <c r="AI119" s="533">
        <f t="shared" si="72"/>
        <v>950</v>
      </c>
      <c r="AJ119" s="533">
        <f t="shared" si="82"/>
        <v>0</v>
      </c>
      <c r="AK119" s="533">
        <f>AJ119*[1]mProject!V123</f>
        <v>0</v>
      </c>
      <c r="AL119" s="533">
        <f t="shared" si="57"/>
        <v>0</v>
      </c>
      <c r="AM119" s="533">
        <f t="shared" si="58"/>
        <v>0</v>
      </c>
      <c r="AN119" s="456"/>
      <c r="AO119" s="575" t="e">
        <f t="shared" si="75"/>
        <v>#REF!</v>
      </c>
      <c r="AP119" s="575" t="e">
        <f t="shared" si="79"/>
        <v>#REF!</v>
      </c>
      <c r="AQ119" s="575" t="e">
        <f t="shared" si="81"/>
        <v>#REF!</v>
      </c>
      <c r="AR119" s="576" t="e">
        <f t="shared" si="76"/>
        <v>#REF!</v>
      </c>
      <c r="AS119" s="533" t="e">
        <f t="shared" si="78"/>
        <v>#REF!</v>
      </c>
      <c r="AT119" s="533"/>
      <c r="AU119" s="533"/>
      <c r="AV119" s="533" t="e">
        <f t="shared" si="59"/>
        <v>#REF!</v>
      </c>
      <c r="AW119" s="533" t="e">
        <f>AI119*#REF!+AI118*#REF!+AI117*#REF!</f>
        <v>#REF!</v>
      </c>
      <c r="AX119" s="456"/>
      <c r="AY119" s="584">
        <f t="shared" si="73"/>
        <v>1.2070466163729789</v>
      </c>
      <c r="AZ119" s="533">
        <f t="shared" si="60"/>
        <v>0</v>
      </c>
      <c r="BA119" s="533">
        <f>BA118*[1]mProject!V124</f>
        <v>0</v>
      </c>
      <c r="BB119" s="533">
        <f t="shared" si="77"/>
        <v>17781316.823329829</v>
      </c>
      <c r="BC119" s="456"/>
      <c r="BD119" s="586">
        <f>((BB119/100)*(i_CFD.ObliRate/12))*[1]i.Finance!$O$64</f>
        <v>59826.722228495157</v>
      </c>
      <c r="BE119" s="586">
        <f>(AZ119/100*[1]i.Finance!$O$61)*[1]i.Finance!$O$64</f>
        <v>0</v>
      </c>
      <c r="BF119" s="586">
        <f>(AZ119/100*[1]i.Finance!$O$65)</f>
        <v>0</v>
      </c>
      <c r="BG119" s="587">
        <f t="shared" si="61"/>
        <v>59826.722228495157</v>
      </c>
      <c r="BH119" s="595"/>
      <c r="BI119" s="586">
        <f>-PV([1]i.Finance!$O$63/12,[1]i.Finance!$O$62*12,mCFD!BG119)</f>
        <v>10233961.918709608</v>
      </c>
      <c r="BJ119" s="586">
        <f>BI119*[1]i.Finance!$O$58</f>
        <v>8033660.1061870428</v>
      </c>
      <c r="BK119" s="586"/>
      <c r="BL119" s="586"/>
      <c r="BP119" s="533"/>
      <c r="BQ119" s="533"/>
      <c r="BR119" s="533" t="e">
        <f t="shared" si="62"/>
        <v>#NAME?</v>
      </c>
      <c r="BS119" s="533" t="e">
        <f t="shared" si="63"/>
        <v>#NAME?</v>
      </c>
      <c r="BT119" s="533" t="e">
        <f t="shared" si="64"/>
        <v>#NAME?</v>
      </c>
      <c r="BU119" s="533"/>
    </row>
    <row r="120" spans="1:73" ht="16" hidden="1" outlineLevel="2">
      <c r="A120" s="366"/>
      <c r="B120" s="562"/>
      <c r="C120" s="366"/>
      <c r="D120" s="454"/>
      <c r="E120" s="547">
        <f t="shared" si="74"/>
        <v>114</v>
      </c>
      <c r="F120" s="547">
        <f t="shared" si="65"/>
        <v>38</v>
      </c>
      <c r="G120" s="547">
        <f t="shared" si="66"/>
        <v>10</v>
      </c>
      <c r="H120" s="548">
        <f t="shared" si="80"/>
        <v>47269</v>
      </c>
      <c r="I120" s="549">
        <f t="shared" si="44"/>
        <v>2029</v>
      </c>
      <c r="K120" s="547">
        <f>[1]mProject!KB124</f>
        <v>0</v>
      </c>
      <c r="L120" s="547">
        <f t="shared" si="45"/>
        <v>950</v>
      </c>
      <c r="M120" s="547">
        <f t="shared" si="46"/>
        <v>295000</v>
      </c>
      <c r="N120" s="547">
        <f t="shared" si="47"/>
        <v>0</v>
      </c>
      <c r="O120" s="547">
        <f t="shared" si="68"/>
        <v>280250000</v>
      </c>
      <c r="P120" s="547">
        <f>[1]mProject!W124</f>
        <v>342698.30918226443</v>
      </c>
      <c r="Q120" s="547">
        <f t="shared" si="48"/>
        <v>0</v>
      </c>
      <c r="R120" s="547">
        <f t="shared" si="69"/>
        <v>296355280.38883054</v>
      </c>
      <c r="T120" s="547">
        <v>0</v>
      </c>
      <c r="U120" s="547">
        <f t="shared" si="49"/>
        <v>0</v>
      </c>
      <c r="V120" s="547">
        <f>IF(T120=0,0,$V$7*(1+#REF!)^#REF!)</f>
        <v>0</v>
      </c>
      <c r="W120" s="547">
        <f t="shared" si="70"/>
        <v>0</v>
      </c>
      <c r="X120" s="547">
        <f t="shared" si="50"/>
        <v>0</v>
      </c>
      <c r="Y120" s="547">
        <f t="shared" si="51"/>
        <v>0</v>
      </c>
      <c r="AA120" s="547">
        <v>0</v>
      </c>
      <c r="AB120" s="547">
        <f t="shared" si="52"/>
        <v>0</v>
      </c>
      <c r="AC120" s="547">
        <f>IF(AA120=0,0,$V$7*(1+#REF!)^#REF!)</f>
        <v>0</v>
      </c>
      <c r="AD120" s="547">
        <f t="shared" si="71"/>
        <v>0</v>
      </c>
      <c r="AE120" s="547">
        <f t="shared" si="53"/>
        <v>0</v>
      </c>
      <c r="AF120" s="547">
        <f t="shared" si="54"/>
        <v>0</v>
      </c>
      <c r="AH120" s="547">
        <f t="shared" si="55"/>
        <v>0</v>
      </c>
      <c r="AI120" s="547">
        <f t="shared" si="72"/>
        <v>950</v>
      </c>
      <c r="AJ120" s="547">
        <f t="shared" si="82"/>
        <v>0</v>
      </c>
      <c r="AK120" s="547">
        <f>AJ120*[1]mProject!V124</f>
        <v>0</v>
      </c>
      <c r="AL120" s="547">
        <f t="shared" si="57"/>
        <v>0</v>
      </c>
      <c r="AM120" s="547">
        <f t="shared" si="58"/>
        <v>0</v>
      </c>
      <c r="AN120" s="456"/>
      <c r="AO120" s="577" t="e">
        <f t="shared" si="75"/>
        <v>#REF!</v>
      </c>
      <c r="AP120" s="577" t="e">
        <f t="shared" si="79"/>
        <v>#REF!</v>
      </c>
      <c r="AQ120" s="577" t="e">
        <f t="shared" si="81"/>
        <v>#REF!</v>
      </c>
      <c r="AR120" s="578" t="e">
        <f t="shared" si="76"/>
        <v>#REF!</v>
      </c>
      <c r="AS120" s="547" t="e">
        <f t="shared" si="78"/>
        <v>#REF!</v>
      </c>
      <c r="AT120" s="547"/>
      <c r="AU120" s="547"/>
      <c r="AV120" s="547" t="e">
        <f t="shared" si="59"/>
        <v>#REF!</v>
      </c>
      <c r="AW120" s="547" t="e">
        <f>AI120*#REF!+AI119*#REF!+AI118*#REF!</f>
        <v>#REF!</v>
      </c>
      <c r="AX120" s="456"/>
      <c r="AY120" s="585">
        <f t="shared" si="73"/>
        <v>1.2090583607336005</v>
      </c>
      <c r="AZ120" s="547">
        <f t="shared" si="60"/>
        <v>0</v>
      </c>
      <c r="BA120" s="547">
        <f>BA119*[1]mProject!V125</f>
        <v>0</v>
      </c>
      <c r="BB120" s="547">
        <f t="shared" si="77"/>
        <v>17781316.823329829</v>
      </c>
      <c r="BC120" s="456"/>
      <c r="BD120" s="588">
        <f>((BB120/100)*(i_CFD.ObliRate/12))*[1]i.Finance!$O$64</f>
        <v>59826.722228495157</v>
      </c>
      <c r="BE120" s="588">
        <f>(AZ120/100*[1]i.Finance!$O$61)*[1]i.Finance!$O$64</f>
        <v>0</v>
      </c>
      <c r="BF120" s="588">
        <f>(AZ120/100*[1]i.Finance!$O$65)</f>
        <v>0</v>
      </c>
      <c r="BG120" s="589">
        <f t="shared" si="61"/>
        <v>59826.722228495157</v>
      </c>
      <c r="BH120" s="595"/>
      <c r="BI120" s="588">
        <f>-PV([1]i.Finance!$O$63/12,[1]i.Finance!$O$62*12,mCFD!BG120)</f>
        <v>10233961.918709608</v>
      </c>
      <c r="BJ120" s="588">
        <f>BI120*[1]i.Finance!$O$58</f>
        <v>8033660.1061870428</v>
      </c>
      <c r="BK120" s="588"/>
      <c r="BL120" s="588"/>
      <c r="BP120" s="547"/>
      <c r="BQ120" s="547"/>
      <c r="BR120" s="547" t="e">
        <f t="shared" si="62"/>
        <v>#NAME?</v>
      </c>
      <c r="BS120" s="547" t="e">
        <f t="shared" si="63"/>
        <v>#NAME?</v>
      </c>
      <c r="BT120" s="547" t="e">
        <f t="shared" si="64"/>
        <v>#NAME?</v>
      </c>
      <c r="BU120" s="547"/>
    </row>
    <row r="121" spans="1:73" ht="16" hidden="1" outlineLevel="2">
      <c r="A121" s="366"/>
      <c r="B121" s="562"/>
      <c r="C121" s="366"/>
      <c r="D121" s="454"/>
      <c r="E121" s="530">
        <f t="shared" si="74"/>
        <v>115</v>
      </c>
      <c r="F121" s="530">
        <f t="shared" si="65"/>
        <v>39</v>
      </c>
      <c r="G121" s="530">
        <f t="shared" si="66"/>
        <v>10</v>
      </c>
      <c r="H121" s="554">
        <f t="shared" si="80"/>
        <v>47299</v>
      </c>
      <c r="I121" s="555">
        <f t="shared" si="44"/>
        <v>2029</v>
      </c>
      <c r="K121" s="530">
        <f>[1]mProject!KB125</f>
        <v>0</v>
      </c>
      <c r="L121" s="530">
        <f t="shared" si="45"/>
        <v>950</v>
      </c>
      <c r="M121" s="530">
        <f t="shared" si="46"/>
        <v>295000</v>
      </c>
      <c r="N121" s="530">
        <f t="shared" si="47"/>
        <v>0</v>
      </c>
      <c r="O121" s="530">
        <f t="shared" si="68"/>
        <v>280250000</v>
      </c>
      <c r="P121" s="530">
        <f>[1]mProject!W125</f>
        <v>343269.47303090157</v>
      </c>
      <c r="Q121" s="530">
        <f t="shared" si="48"/>
        <v>0</v>
      </c>
      <c r="R121" s="530">
        <f t="shared" si="69"/>
        <v>296355280.38883054</v>
      </c>
      <c r="T121" s="530">
        <v>0</v>
      </c>
      <c r="U121" s="530">
        <f t="shared" si="49"/>
        <v>0</v>
      </c>
      <c r="V121" s="530">
        <f>IF(T121=0,0,$V$7*(1+#REF!)^#REF!)</f>
        <v>0</v>
      </c>
      <c r="W121" s="530">
        <f t="shared" si="70"/>
        <v>0</v>
      </c>
      <c r="X121" s="530">
        <f t="shared" si="50"/>
        <v>0</v>
      </c>
      <c r="Y121" s="530">
        <f t="shared" si="51"/>
        <v>0</v>
      </c>
      <c r="AA121" s="530">
        <v>0</v>
      </c>
      <c r="AB121" s="530">
        <f t="shared" si="52"/>
        <v>0</v>
      </c>
      <c r="AC121" s="530">
        <f>IF(AA121=0,0,$V$7*(1+#REF!)^#REF!)</f>
        <v>0</v>
      </c>
      <c r="AD121" s="530">
        <f t="shared" si="71"/>
        <v>0</v>
      </c>
      <c r="AE121" s="530">
        <f t="shared" si="53"/>
        <v>0</v>
      </c>
      <c r="AF121" s="530">
        <f t="shared" si="54"/>
        <v>0</v>
      </c>
      <c r="AH121" s="530">
        <f t="shared" si="55"/>
        <v>0</v>
      </c>
      <c r="AI121" s="530">
        <f t="shared" si="72"/>
        <v>950</v>
      </c>
      <c r="AJ121" s="530">
        <f t="shared" si="82"/>
        <v>0</v>
      </c>
      <c r="AK121" s="530">
        <f>AJ121*[1]mProject!V125</f>
        <v>0</v>
      </c>
      <c r="AL121" s="530">
        <f t="shared" si="57"/>
        <v>0</v>
      </c>
      <c r="AM121" s="530">
        <f t="shared" si="58"/>
        <v>0</v>
      </c>
      <c r="AN121" s="456"/>
      <c r="AO121" s="572" t="e">
        <f t="shared" si="75"/>
        <v>#REF!</v>
      </c>
      <c r="AP121" s="572" t="e">
        <f t="shared" si="79"/>
        <v>#REF!</v>
      </c>
      <c r="AQ121" s="572" t="e">
        <f t="shared" si="81"/>
        <v>#REF!</v>
      </c>
      <c r="AR121" s="573" t="e">
        <f t="shared" si="76"/>
        <v>#REF!</v>
      </c>
      <c r="AS121" s="530" t="e">
        <f t="shared" si="78"/>
        <v>#REF!</v>
      </c>
      <c r="AT121" s="530"/>
      <c r="AU121" s="530"/>
      <c r="AV121" s="530" t="e">
        <f t="shared" si="59"/>
        <v>#REF!</v>
      </c>
      <c r="AW121" s="530" t="e">
        <f>AI121*#REF!+AI120*#REF!+AI119*#REF!</f>
        <v>#REF!</v>
      </c>
      <c r="AX121" s="456"/>
      <c r="AY121" s="583">
        <f t="shared" si="73"/>
        <v>1.2110734580014899</v>
      </c>
      <c r="AZ121" s="530">
        <f t="shared" si="60"/>
        <v>0</v>
      </c>
      <c r="BA121" s="530">
        <f>BA120*[1]mProject!V126</f>
        <v>0</v>
      </c>
      <c r="BB121" s="530">
        <f t="shared" si="77"/>
        <v>17781316.823329829</v>
      </c>
      <c r="BC121" s="456"/>
      <c r="BD121" s="590">
        <f>((BB121/100)*(i_CFD.ObliRate/12))*[1]i.Finance!$O$64</f>
        <v>59826.722228495157</v>
      </c>
      <c r="BE121" s="590">
        <f>(AZ121/100*[1]i.Finance!$O$61)*[1]i.Finance!$O$64</f>
        <v>0</v>
      </c>
      <c r="BF121" s="590">
        <f>(AZ121/100*[1]i.Finance!$O$65)</f>
        <v>0</v>
      </c>
      <c r="BG121" s="591">
        <f t="shared" si="61"/>
        <v>59826.722228495157</v>
      </c>
      <c r="BH121" s="595"/>
      <c r="BI121" s="590">
        <f>-PV([1]i.Finance!$O$63/12,[1]i.Finance!$O$62*12,mCFD!BG121)</f>
        <v>10233961.918709608</v>
      </c>
      <c r="BJ121" s="590">
        <f>BI121*[1]i.Finance!$O$58</f>
        <v>8033660.1061870428</v>
      </c>
      <c r="BK121" s="590"/>
      <c r="BL121" s="590"/>
      <c r="BP121" s="530"/>
      <c r="BQ121" s="530"/>
      <c r="BR121" s="530" t="e">
        <f t="shared" si="62"/>
        <v>#NAME?</v>
      </c>
      <c r="BS121" s="530" t="e">
        <f t="shared" si="63"/>
        <v>#NAME?</v>
      </c>
      <c r="BT121" s="530" t="e">
        <f t="shared" si="64"/>
        <v>#NAME?</v>
      </c>
      <c r="BU121" s="530"/>
    </row>
    <row r="122" spans="1:73" ht="16" hidden="1" outlineLevel="2">
      <c r="A122" s="366"/>
      <c r="B122" s="562"/>
      <c r="C122" s="366"/>
      <c r="D122" s="454"/>
      <c r="E122" s="533">
        <f t="shared" si="74"/>
        <v>116</v>
      </c>
      <c r="F122" s="533">
        <f t="shared" si="65"/>
        <v>39</v>
      </c>
      <c r="G122" s="533">
        <f t="shared" si="66"/>
        <v>10</v>
      </c>
      <c r="H122" s="541">
        <f t="shared" si="80"/>
        <v>47330</v>
      </c>
      <c r="I122" s="542">
        <f t="shared" si="44"/>
        <v>2029</v>
      </c>
      <c r="K122" s="533">
        <f>[1]mProject!KB126</f>
        <v>0</v>
      </c>
      <c r="L122" s="533">
        <f t="shared" si="45"/>
        <v>950</v>
      </c>
      <c r="M122" s="533">
        <f t="shared" si="46"/>
        <v>295000</v>
      </c>
      <c r="N122" s="533">
        <f t="shared" si="47"/>
        <v>0</v>
      </c>
      <c r="O122" s="533">
        <f t="shared" si="68"/>
        <v>280250000</v>
      </c>
      <c r="P122" s="533">
        <f>[1]mProject!W126</f>
        <v>343841.58881928644</v>
      </c>
      <c r="Q122" s="533">
        <f t="shared" si="48"/>
        <v>0</v>
      </c>
      <c r="R122" s="533">
        <f t="shared" si="69"/>
        <v>296355280.38883054</v>
      </c>
      <c r="T122" s="533">
        <v>0</v>
      </c>
      <c r="U122" s="533">
        <f t="shared" si="49"/>
        <v>0</v>
      </c>
      <c r="V122" s="533">
        <f>IF(T122=0,0,$V$7*(1+#REF!)^#REF!)</f>
        <v>0</v>
      </c>
      <c r="W122" s="533">
        <f t="shared" si="70"/>
        <v>0</v>
      </c>
      <c r="X122" s="533">
        <f t="shared" si="50"/>
        <v>0</v>
      </c>
      <c r="Y122" s="533">
        <f t="shared" si="51"/>
        <v>0</v>
      </c>
      <c r="AA122" s="533">
        <v>0</v>
      </c>
      <c r="AB122" s="533">
        <f t="shared" si="52"/>
        <v>0</v>
      </c>
      <c r="AC122" s="533">
        <f>IF(AA122=0,0,$V$7*(1+#REF!)^#REF!)</f>
        <v>0</v>
      </c>
      <c r="AD122" s="533">
        <f t="shared" si="71"/>
        <v>0</v>
      </c>
      <c r="AE122" s="533">
        <f t="shared" si="53"/>
        <v>0</v>
      </c>
      <c r="AF122" s="533">
        <f t="shared" si="54"/>
        <v>0</v>
      </c>
      <c r="AH122" s="533">
        <f t="shared" si="55"/>
        <v>0</v>
      </c>
      <c r="AI122" s="533">
        <f t="shared" si="72"/>
        <v>950</v>
      </c>
      <c r="AJ122" s="533">
        <f t="shared" si="82"/>
        <v>0</v>
      </c>
      <c r="AK122" s="533">
        <f>AJ122*[1]mProject!V126</f>
        <v>0</v>
      </c>
      <c r="AL122" s="533">
        <f t="shared" si="57"/>
        <v>0</v>
      </c>
      <c r="AM122" s="533">
        <f t="shared" si="58"/>
        <v>0</v>
      </c>
      <c r="AN122" s="456"/>
      <c r="AO122" s="575" t="e">
        <f t="shared" si="75"/>
        <v>#REF!</v>
      </c>
      <c r="AP122" s="575" t="e">
        <f t="shared" si="79"/>
        <v>#REF!</v>
      </c>
      <c r="AQ122" s="575" t="e">
        <f t="shared" si="81"/>
        <v>#REF!</v>
      </c>
      <c r="AR122" s="576" t="e">
        <f t="shared" si="76"/>
        <v>#REF!</v>
      </c>
      <c r="AS122" s="533" t="e">
        <f t="shared" si="78"/>
        <v>#REF!</v>
      </c>
      <c r="AT122" s="533"/>
      <c r="AU122" s="533"/>
      <c r="AV122" s="533" t="e">
        <f t="shared" si="59"/>
        <v>#REF!</v>
      </c>
      <c r="AW122" s="533" t="e">
        <f>AI122*#REF!+AI121*#REF!+AI120*#REF!</f>
        <v>#REF!</v>
      </c>
      <c r="AX122" s="456"/>
      <c r="AY122" s="584">
        <f t="shared" si="73"/>
        <v>1.2130919137648257</v>
      </c>
      <c r="AZ122" s="533">
        <f t="shared" si="60"/>
        <v>0</v>
      </c>
      <c r="BA122" s="533">
        <f>BA121*[1]mProject!V127</f>
        <v>0</v>
      </c>
      <c r="BB122" s="533">
        <f t="shared" si="77"/>
        <v>17781316.823329829</v>
      </c>
      <c r="BC122" s="456"/>
      <c r="BD122" s="586">
        <f>((BB122/100)*(i_CFD.ObliRate/12))*[1]i.Finance!$O$64</f>
        <v>59826.722228495157</v>
      </c>
      <c r="BE122" s="586">
        <f>(AZ122/100*[1]i.Finance!$O$61)*[1]i.Finance!$O$64</f>
        <v>0</v>
      </c>
      <c r="BF122" s="586">
        <f>(AZ122/100*[1]i.Finance!$O$65)</f>
        <v>0</v>
      </c>
      <c r="BG122" s="587">
        <f t="shared" si="61"/>
        <v>59826.722228495157</v>
      </c>
      <c r="BH122" s="595"/>
      <c r="BI122" s="586">
        <f>-PV([1]i.Finance!$O$63/12,[1]i.Finance!$O$62*12,mCFD!BG122)</f>
        <v>10233961.918709608</v>
      </c>
      <c r="BJ122" s="586">
        <f>BI122*[1]i.Finance!$O$58</f>
        <v>8033660.1061870428</v>
      </c>
      <c r="BK122" s="586"/>
      <c r="BL122" s="586"/>
      <c r="BP122" s="533"/>
      <c r="BQ122" s="533"/>
      <c r="BR122" s="533" t="e">
        <f t="shared" si="62"/>
        <v>#NAME?</v>
      </c>
      <c r="BS122" s="533" t="e">
        <f t="shared" si="63"/>
        <v>#NAME?</v>
      </c>
      <c r="BT122" s="533" t="e">
        <f t="shared" si="64"/>
        <v>#NAME?</v>
      </c>
      <c r="BU122" s="533"/>
    </row>
    <row r="123" spans="1:73" ht="16" hidden="1" outlineLevel="2">
      <c r="A123" s="366"/>
      <c r="B123" s="562"/>
      <c r="C123" s="366"/>
      <c r="D123" s="454"/>
      <c r="E123" s="547">
        <f t="shared" si="74"/>
        <v>117</v>
      </c>
      <c r="F123" s="547">
        <f t="shared" si="65"/>
        <v>39</v>
      </c>
      <c r="G123" s="547">
        <f t="shared" si="66"/>
        <v>10</v>
      </c>
      <c r="H123" s="548">
        <f t="shared" si="80"/>
        <v>47361</v>
      </c>
      <c r="I123" s="549">
        <f t="shared" si="44"/>
        <v>2029</v>
      </c>
      <c r="K123" s="547">
        <f>[1]mProject!KB127</f>
        <v>0</v>
      </c>
      <c r="L123" s="547">
        <f t="shared" si="45"/>
        <v>950</v>
      </c>
      <c r="M123" s="547">
        <f t="shared" si="46"/>
        <v>295000</v>
      </c>
      <c r="N123" s="547">
        <f t="shared" si="47"/>
        <v>0</v>
      </c>
      <c r="O123" s="547">
        <f t="shared" si="68"/>
        <v>280250000</v>
      </c>
      <c r="P123" s="547">
        <f>[1]mProject!W127</f>
        <v>344414.65813398524</v>
      </c>
      <c r="Q123" s="547">
        <f t="shared" si="48"/>
        <v>0</v>
      </c>
      <c r="R123" s="547">
        <f t="shared" si="69"/>
        <v>296355280.38883054</v>
      </c>
      <c r="T123" s="547">
        <v>0</v>
      </c>
      <c r="U123" s="547">
        <f t="shared" si="49"/>
        <v>0</v>
      </c>
      <c r="V123" s="547">
        <f>IF(T123=0,0,$V$7*(1+#REF!)^#REF!)</f>
        <v>0</v>
      </c>
      <c r="W123" s="547">
        <f t="shared" si="70"/>
        <v>0</v>
      </c>
      <c r="X123" s="547">
        <f t="shared" si="50"/>
        <v>0</v>
      </c>
      <c r="Y123" s="547">
        <f t="shared" si="51"/>
        <v>0</v>
      </c>
      <c r="AA123" s="547">
        <v>0</v>
      </c>
      <c r="AB123" s="547">
        <f t="shared" si="52"/>
        <v>0</v>
      </c>
      <c r="AC123" s="547">
        <f>IF(AA123=0,0,$V$7*(1+#REF!)^#REF!)</f>
        <v>0</v>
      </c>
      <c r="AD123" s="547">
        <f t="shared" si="71"/>
        <v>0</v>
      </c>
      <c r="AE123" s="547">
        <f t="shared" si="53"/>
        <v>0</v>
      </c>
      <c r="AF123" s="547">
        <f t="shared" si="54"/>
        <v>0</v>
      </c>
      <c r="AH123" s="547">
        <f t="shared" si="55"/>
        <v>0</v>
      </c>
      <c r="AI123" s="547">
        <f t="shared" si="72"/>
        <v>950</v>
      </c>
      <c r="AJ123" s="547">
        <f t="shared" si="82"/>
        <v>0</v>
      </c>
      <c r="AK123" s="547">
        <f>AJ123*[1]mProject!V127</f>
        <v>0</v>
      </c>
      <c r="AL123" s="547">
        <f t="shared" si="57"/>
        <v>0</v>
      </c>
      <c r="AM123" s="547">
        <f t="shared" si="58"/>
        <v>0</v>
      </c>
      <c r="AN123" s="456"/>
      <c r="AO123" s="577" t="e">
        <f t="shared" si="75"/>
        <v>#REF!</v>
      </c>
      <c r="AP123" s="577" t="e">
        <f t="shared" si="79"/>
        <v>#REF!</v>
      </c>
      <c r="AQ123" s="577" t="e">
        <f t="shared" si="81"/>
        <v>#REF!</v>
      </c>
      <c r="AR123" s="578" t="e">
        <f t="shared" si="76"/>
        <v>#REF!</v>
      </c>
      <c r="AS123" s="547" t="e">
        <f t="shared" si="78"/>
        <v>#REF!</v>
      </c>
      <c r="AT123" s="547"/>
      <c r="AU123" s="547"/>
      <c r="AV123" s="547" t="e">
        <f t="shared" si="59"/>
        <v>#REF!</v>
      </c>
      <c r="AW123" s="547" t="e">
        <f>AI123*#REF!+AI122*#REF!+AI121*#REF!</f>
        <v>#REF!</v>
      </c>
      <c r="AX123" s="456"/>
      <c r="AY123" s="585">
        <f t="shared" si="73"/>
        <v>1.2151137336211004</v>
      </c>
      <c r="AZ123" s="547">
        <f t="shared" si="60"/>
        <v>0</v>
      </c>
      <c r="BA123" s="547">
        <f>BA122*[1]mProject!V128</f>
        <v>0</v>
      </c>
      <c r="BB123" s="547">
        <f t="shared" si="77"/>
        <v>17781316.823329829</v>
      </c>
      <c r="BC123" s="456"/>
      <c r="BD123" s="588">
        <f>((BB123/100)*(i_CFD.ObliRate/12))*[1]i.Finance!$O$64</f>
        <v>59826.722228495157</v>
      </c>
      <c r="BE123" s="588">
        <f>(AZ123/100*[1]i.Finance!$O$61)*[1]i.Finance!$O$64</f>
        <v>0</v>
      </c>
      <c r="BF123" s="588">
        <f>(AZ123/100*[1]i.Finance!$O$65)</f>
        <v>0</v>
      </c>
      <c r="BG123" s="589">
        <f t="shared" si="61"/>
        <v>59826.722228495157</v>
      </c>
      <c r="BH123" s="595"/>
      <c r="BI123" s="588">
        <f>-PV([1]i.Finance!$O$63/12,[1]i.Finance!$O$62*12,mCFD!BG123)</f>
        <v>10233961.918709608</v>
      </c>
      <c r="BJ123" s="588">
        <f>BI123*[1]i.Finance!$O$58</f>
        <v>8033660.1061870428</v>
      </c>
      <c r="BK123" s="588"/>
      <c r="BL123" s="588"/>
      <c r="BP123" s="547"/>
      <c r="BQ123" s="547"/>
      <c r="BR123" s="547" t="e">
        <f t="shared" si="62"/>
        <v>#NAME?</v>
      </c>
      <c r="BS123" s="547" t="e">
        <f t="shared" si="63"/>
        <v>#NAME?</v>
      </c>
      <c r="BT123" s="547" t="e">
        <f t="shared" si="64"/>
        <v>#NAME?</v>
      </c>
      <c r="BU123" s="547"/>
    </row>
    <row r="124" spans="1:73" ht="16" hidden="1" outlineLevel="2">
      <c r="A124" s="366"/>
      <c r="B124" s="562"/>
      <c r="C124" s="366"/>
      <c r="D124" s="454"/>
      <c r="E124" s="530">
        <f t="shared" si="74"/>
        <v>118</v>
      </c>
      <c r="F124" s="530">
        <f t="shared" si="65"/>
        <v>40</v>
      </c>
      <c r="G124" s="530">
        <f t="shared" si="66"/>
        <v>10</v>
      </c>
      <c r="H124" s="554">
        <f t="shared" si="80"/>
        <v>47391</v>
      </c>
      <c r="I124" s="555">
        <f t="shared" si="44"/>
        <v>2029</v>
      </c>
      <c r="K124" s="530">
        <f>[1]mProject!KB128</f>
        <v>0</v>
      </c>
      <c r="L124" s="530">
        <f t="shared" si="45"/>
        <v>950</v>
      </c>
      <c r="M124" s="530">
        <f t="shared" si="46"/>
        <v>295000</v>
      </c>
      <c r="N124" s="530">
        <f t="shared" si="47"/>
        <v>0</v>
      </c>
      <c r="O124" s="530">
        <f t="shared" si="68"/>
        <v>280250000</v>
      </c>
      <c r="P124" s="530">
        <f>[1]mProject!W128</f>
        <v>344988.68256420858</v>
      </c>
      <c r="Q124" s="530">
        <f t="shared" si="48"/>
        <v>0</v>
      </c>
      <c r="R124" s="530">
        <f t="shared" si="69"/>
        <v>296355280.38883054</v>
      </c>
      <c r="T124" s="530">
        <v>0</v>
      </c>
      <c r="U124" s="530">
        <f t="shared" si="49"/>
        <v>0</v>
      </c>
      <c r="V124" s="530">
        <f>IF(T124=0,0,$V$7*(1+#REF!)^#REF!)</f>
        <v>0</v>
      </c>
      <c r="W124" s="530">
        <f t="shared" si="70"/>
        <v>0</v>
      </c>
      <c r="X124" s="530">
        <f t="shared" si="50"/>
        <v>0</v>
      </c>
      <c r="Y124" s="530">
        <f t="shared" si="51"/>
        <v>0</v>
      </c>
      <c r="AA124" s="530">
        <v>0</v>
      </c>
      <c r="AB124" s="530">
        <f t="shared" si="52"/>
        <v>0</v>
      </c>
      <c r="AC124" s="530">
        <f>IF(AA124=0,0,$V$7*(1+#REF!)^#REF!)</f>
        <v>0</v>
      </c>
      <c r="AD124" s="530">
        <f t="shared" si="71"/>
        <v>0</v>
      </c>
      <c r="AE124" s="530">
        <f t="shared" si="53"/>
        <v>0</v>
      </c>
      <c r="AF124" s="530">
        <f t="shared" si="54"/>
        <v>0</v>
      </c>
      <c r="AH124" s="530">
        <f t="shared" si="55"/>
        <v>0</v>
      </c>
      <c r="AI124" s="530">
        <f t="shared" si="72"/>
        <v>950</v>
      </c>
      <c r="AJ124" s="530">
        <f t="shared" si="82"/>
        <v>0</v>
      </c>
      <c r="AK124" s="530">
        <f>AJ124*[1]mProject!V128</f>
        <v>0</v>
      </c>
      <c r="AL124" s="530">
        <f t="shared" si="57"/>
        <v>0</v>
      </c>
      <c r="AM124" s="530">
        <f t="shared" si="58"/>
        <v>0</v>
      </c>
      <c r="AN124" s="456"/>
      <c r="AO124" s="572" t="e">
        <f t="shared" si="75"/>
        <v>#REF!</v>
      </c>
      <c r="AP124" s="572" t="e">
        <f t="shared" si="79"/>
        <v>#REF!</v>
      </c>
      <c r="AQ124" s="572" t="e">
        <f t="shared" si="81"/>
        <v>#REF!</v>
      </c>
      <c r="AR124" s="573" t="e">
        <f t="shared" si="76"/>
        <v>#REF!</v>
      </c>
      <c r="AS124" s="530" t="e">
        <f t="shared" si="78"/>
        <v>#REF!</v>
      </c>
      <c r="AT124" s="530"/>
      <c r="AU124" s="530"/>
      <c r="AV124" s="530" t="e">
        <f t="shared" si="59"/>
        <v>#REF!</v>
      </c>
      <c r="AW124" s="530" t="e">
        <f>AI124*#REF!+AI123*#REF!+AI122*#REF!</f>
        <v>#REF!</v>
      </c>
      <c r="AX124" s="456"/>
      <c r="AY124" s="583">
        <f t="shared" si="73"/>
        <v>1.2171389231771357</v>
      </c>
      <c r="AZ124" s="530">
        <f t="shared" si="60"/>
        <v>0</v>
      </c>
      <c r="BA124" s="530">
        <f>BA123*[1]mProject!V129</f>
        <v>0</v>
      </c>
      <c r="BB124" s="530">
        <f t="shared" si="77"/>
        <v>17781316.823329829</v>
      </c>
      <c r="BC124" s="456"/>
      <c r="BD124" s="590">
        <f>((BB124/100)*(i_CFD.ObliRate/12))*[1]i.Finance!$O$64</f>
        <v>59826.722228495157</v>
      </c>
      <c r="BE124" s="590">
        <f>(AZ124/100*[1]i.Finance!$O$61)*[1]i.Finance!$O$64</f>
        <v>0</v>
      </c>
      <c r="BF124" s="590">
        <f>(AZ124/100*[1]i.Finance!$O$65)</f>
        <v>0</v>
      </c>
      <c r="BG124" s="591">
        <f t="shared" si="61"/>
        <v>59826.722228495157</v>
      </c>
      <c r="BH124" s="595"/>
      <c r="BI124" s="590">
        <f>-PV([1]i.Finance!$O$63/12,[1]i.Finance!$O$62*12,mCFD!BG124)</f>
        <v>10233961.918709608</v>
      </c>
      <c r="BJ124" s="590">
        <f>BI124*[1]i.Finance!$O$58</f>
        <v>8033660.1061870428</v>
      </c>
      <c r="BK124" s="590"/>
      <c r="BL124" s="590"/>
      <c r="BP124" s="530"/>
      <c r="BQ124" s="530"/>
      <c r="BR124" s="530" t="e">
        <f t="shared" si="62"/>
        <v>#NAME?</v>
      </c>
      <c r="BS124" s="530" t="e">
        <f t="shared" si="63"/>
        <v>#NAME?</v>
      </c>
      <c r="BT124" s="530" t="e">
        <f t="shared" si="64"/>
        <v>#NAME?</v>
      </c>
      <c r="BU124" s="530"/>
    </row>
    <row r="125" spans="1:73" ht="16" hidden="1" outlineLevel="2">
      <c r="A125" s="366"/>
      <c r="B125" s="562"/>
      <c r="C125" s="366"/>
      <c r="D125" s="454"/>
      <c r="E125" s="533">
        <f t="shared" si="74"/>
        <v>119</v>
      </c>
      <c r="F125" s="533">
        <f t="shared" si="65"/>
        <v>40</v>
      </c>
      <c r="G125" s="533">
        <f t="shared" si="66"/>
        <v>10</v>
      </c>
      <c r="H125" s="541">
        <f t="shared" si="80"/>
        <v>47422</v>
      </c>
      <c r="I125" s="542">
        <f t="shared" si="44"/>
        <v>2029</v>
      </c>
      <c r="K125" s="533">
        <f>[1]mProject!KB129</f>
        <v>0</v>
      </c>
      <c r="L125" s="533">
        <f t="shared" si="45"/>
        <v>950</v>
      </c>
      <c r="M125" s="533">
        <f t="shared" si="46"/>
        <v>295000</v>
      </c>
      <c r="N125" s="533">
        <f t="shared" si="47"/>
        <v>0</v>
      </c>
      <c r="O125" s="533">
        <f t="shared" si="68"/>
        <v>280250000</v>
      </c>
      <c r="P125" s="533">
        <f>[1]mProject!W129</f>
        <v>345563.66370181559</v>
      </c>
      <c r="Q125" s="533">
        <f t="shared" si="48"/>
        <v>0</v>
      </c>
      <c r="R125" s="533">
        <f t="shared" si="69"/>
        <v>296355280.38883054</v>
      </c>
      <c r="T125" s="533">
        <v>0</v>
      </c>
      <c r="U125" s="533">
        <f t="shared" si="49"/>
        <v>0</v>
      </c>
      <c r="V125" s="533">
        <f>IF(T125=0,0,$V$7*(1+#REF!)^#REF!)</f>
        <v>0</v>
      </c>
      <c r="W125" s="533">
        <f t="shared" si="70"/>
        <v>0</v>
      </c>
      <c r="X125" s="533">
        <f t="shared" si="50"/>
        <v>0</v>
      </c>
      <c r="Y125" s="533">
        <f t="shared" si="51"/>
        <v>0</v>
      </c>
      <c r="AA125" s="533">
        <v>0</v>
      </c>
      <c r="AB125" s="533">
        <f t="shared" si="52"/>
        <v>0</v>
      </c>
      <c r="AC125" s="533">
        <f>IF(AA125=0,0,$V$7*(1+#REF!)^#REF!)</f>
        <v>0</v>
      </c>
      <c r="AD125" s="533">
        <f t="shared" si="71"/>
        <v>0</v>
      </c>
      <c r="AE125" s="533">
        <f t="shared" si="53"/>
        <v>0</v>
      </c>
      <c r="AF125" s="533">
        <f t="shared" si="54"/>
        <v>0</v>
      </c>
      <c r="AH125" s="533">
        <f t="shared" si="55"/>
        <v>0</v>
      </c>
      <c r="AI125" s="533">
        <f t="shared" si="72"/>
        <v>950</v>
      </c>
      <c r="AJ125" s="533">
        <f t="shared" si="82"/>
        <v>0</v>
      </c>
      <c r="AK125" s="533">
        <f>AJ125*[1]mProject!V129</f>
        <v>0</v>
      </c>
      <c r="AL125" s="533">
        <f t="shared" si="57"/>
        <v>0</v>
      </c>
      <c r="AM125" s="533">
        <f t="shared" si="58"/>
        <v>0</v>
      </c>
      <c r="AN125" s="456"/>
      <c r="AO125" s="575" t="e">
        <f t="shared" si="75"/>
        <v>#REF!</v>
      </c>
      <c r="AP125" s="575" t="e">
        <f t="shared" si="79"/>
        <v>#REF!</v>
      </c>
      <c r="AQ125" s="575" t="e">
        <f t="shared" si="81"/>
        <v>#REF!</v>
      </c>
      <c r="AR125" s="576" t="e">
        <f t="shared" si="76"/>
        <v>#REF!</v>
      </c>
      <c r="AS125" s="533" t="e">
        <f t="shared" si="78"/>
        <v>#REF!</v>
      </c>
      <c r="AT125" s="533"/>
      <c r="AU125" s="533"/>
      <c r="AV125" s="533" t="e">
        <f t="shared" si="59"/>
        <v>#REF!</v>
      </c>
      <c r="AW125" s="533" t="e">
        <f>AI125*#REF!+AI124*#REF!+AI123*#REF!</f>
        <v>#REF!</v>
      </c>
      <c r="AX125" s="456"/>
      <c r="AY125" s="584">
        <f t="shared" si="73"/>
        <v>1.2191674880490977</v>
      </c>
      <c r="AZ125" s="533">
        <f t="shared" si="60"/>
        <v>0</v>
      </c>
      <c r="BA125" s="533">
        <f>BA124*[1]mProject!V130</f>
        <v>0</v>
      </c>
      <c r="BB125" s="533">
        <f t="shared" si="77"/>
        <v>17781316.823329829</v>
      </c>
      <c r="BC125" s="456"/>
      <c r="BD125" s="586">
        <f>((BB125/100)*(i_CFD.ObliRate/12))*[1]i.Finance!$O$64</f>
        <v>59826.722228495157</v>
      </c>
      <c r="BE125" s="586">
        <f>(AZ125/100*[1]i.Finance!$O$61)*[1]i.Finance!$O$64</f>
        <v>0</v>
      </c>
      <c r="BF125" s="586">
        <f>(AZ125/100*[1]i.Finance!$O$65)</f>
        <v>0</v>
      </c>
      <c r="BG125" s="587">
        <f t="shared" si="61"/>
        <v>59826.722228495157</v>
      </c>
      <c r="BH125" s="456"/>
      <c r="BI125" s="586">
        <f>-PV([1]i.Finance!$O$63/12,[1]i.Finance!$O$62*12,mCFD!BG125)</f>
        <v>10233961.918709608</v>
      </c>
      <c r="BJ125" s="586">
        <f>BI125*[1]i.Finance!$O$58</f>
        <v>8033660.1061870428</v>
      </c>
      <c r="BK125" s="586"/>
      <c r="BL125" s="586"/>
      <c r="BP125" s="533"/>
      <c r="BQ125" s="533"/>
      <c r="BR125" s="533" t="e">
        <f t="shared" si="62"/>
        <v>#NAME?</v>
      </c>
      <c r="BS125" s="533" t="e">
        <f t="shared" si="63"/>
        <v>#NAME?</v>
      </c>
      <c r="BT125" s="533" t="e">
        <f t="shared" si="64"/>
        <v>#NAME?</v>
      </c>
      <c r="BU125" s="533"/>
    </row>
    <row r="126" spans="1:73" ht="17" hidden="1" outlineLevel="2" thickBot="1">
      <c r="A126" s="366"/>
      <c r="B126" s="562"/>
      <c r="C126" s="366"/>
      <c r="D126" s="454"/>
      <c r="E126" s="564">
        <f t="shared" si="74"/>
        <v>120</v>
      </c>
      <c r="F126" s="564">
        <f t="shared" si="65"/>
        <v>40</v>
      </c>
      <c r="G126" s="564">
        <f t="shared" si="66"/>
        <v>10</v>
      </c>
      <c r="H126" s="565">
        <f t="shared" si="80"/>
        <v>47452</v>
      </c>
      <c r="I126" s="566">
        <f t="shared" si="44"/>
        <v>2029</v>
      </c>
      <c r="K126" s="564">
        <f>[1]mProject!KB130</f>
        <v>0</v>
      </c>
      <c r="L126" s="564">
        <f t="shared" si="45"/>
        <v>950</v>
      </c>
      <c r="M126" s="564">
        <f t="shared" si="46"/>
        <v>295000</v>
      </c>
      <c r="N126" s="564">
        <f t="shared" si="47"/>
        <v>0</v>
      </c>
      <c r="O126" s="564">
        <f t="shared" si="68"/>
        <v>280250000</v>
      </c>
      <c r="P126" s="564">
        <f>[1]mProject!W130</f>
        <v>346139.6031413186</v>
      </c>
      <c r="Q126" s="564">
        <f t="shared" si="48"/>
        <v>0</v>
      </c>
      <c r="R126" s="564">
        <f t="shared" si="69"/>
        <v>296355280.38883054</v>
      </c>
      <c r="T126" s="564">
        <v>0</v>
      </c>
      <c r="U126" s="564">
        <f t="shared" si="49"/>
        <v>0</v>
      </c>
      <c r="V126" s="564">
        <f>IF(T126=0,0,$V$7*(1+#REF!)^#REF!)</f>
        <v>0</v>
      </c>
      <c r="W126" s="564">
        <f t="shared" si="70"/>
        <v>0</v>
      </c>
      <c r="X126" s="564">
        <f t="shared" si="50"/>
        <v>0</v>
      </c>
      <c r="Y126" s="564">
        <f t="shared" si="51"/>
        <v>0</v>
      </c>
      <c r="AA126" s="564">
        <v>0</v>
      </c>
      <c r="AB126" s="564">
        <f t="shared" si="52"/>
        <v>0</v>
      </c>
      <c r="AC126" s="564">
        <f>IF(AA126=0,0,$V$7*(1+#REF!)^#REF!)</f>
        <v>0</v>
      </c>
      <c r="AD126" s="564">
        <f t="shared" si="71"/>
        <v>0</v>
      </c>
      <c r="AE126" s="564">
        <f t="shared" si="53"/>
        <v>0</v>
      </c>
      <c r="AF126" s="564">
        <f t="shared" si="54"/>
        <v>0</v>
      </c>
      <c r="AH126" s="564">
        <f t="shared" si="55"/>
        <v>0</v>
      </c>
      <c r="AI126" s="564">
        <f t="shared" si="72"/>
        <v>950</v>
      </c>
      <c r="AJ126" s="564">
        <f t="shared" si="82"/>
        <v>0</v>
      </c>
      <c r="AK126" s="564">
        <f>AJ126*[1]mProject!V130</f>
        <v>0</v>
      </c>
      <c r="AL126" s="564">
        <f t="shared" si="57"/>
        <v>0</v>
      </c>
      <c r="AM126" s="564">
        <f t="shared" si="58"/>
        <v>0</v>
      </c>
      <c r="AN126" s="456"/>
      <c r="AO126" s="581" t="e">
        <f t="shared" si="75"/>
        <v>#REF!</v>
      </c>
      <c r="AP126" s="581" t="e">
        <f t="shared" si="79"/>
        <v>#REF!</v>
      </c>
      <c r="AQ126" s="581" t="e">
        <f t="shared" si="81"/>
        <v>#REF!</v>
      </c>
      <c r="AR126" s="582" t="e">
        <f t="shared" si="76"/>
        <v>#REF!</v>
      </c>
      <c r="AS126" s="564" t="e">
        <f t="shared" si="78"/>
        <v>#REF!</v>
      </c>
      <c r="AT126" s="564"/>
      <c r="AU126" s="564"/>
      <c r="AV126" s="564" t="e">
        <f t="shared" si="59"/>
        <v>#REF!</v>
      </c>
      <c r="AW126" s="564" t="e">
        <f>AI126*#REF!+AI125*#REF!+AI124*#REF!</f>
        <v>#REF!</v>
      </c>
      <c r="AX126" s="456"/>
      <c r="AY126" s="592">
        <f t="shared" si="73"/>
        <v>1.221199433862513</v>
      </c>
      <c r="AZ126" s="564">
        <f t="shared" si="60"/>
        <v>0</v>
      </c>
      <c r="BA126" s="564">
        <f>BA125*[1]mProject!V131</f>
        <v>0</v>
      </c>
      <c r="BB126" s="564">
        <f t="shared" si="77"/>
        <v>17781316.823329829</v>
      </c>
      <c r="BC126" s="456"/>
      <c r="BD126" s="593">
        <f>((BB126/100)*(i_CFD.ObliRate/12))*[1]i.Finance!$O$64</f>
        <v>59826.722228495157</v>
      </c>
      <c r="BE126" s="593">
        <f>(AZ126/100*[1]i.Finance!$O$61)*[1]i.Finance!$O$64</f>
        <v>0</v>
      </c>
      <c r="BF126" s="593">
        <f>(AZ126/100*[1]i.Finance!$O$65)</f>
        <v>0</v>
      </c>
      <c r="BG126" s="594">
        <f t="shared" si="61"/>
        <v>59826.722228495157</v>
      </c>
      <c r="BH126" s="456"/>
      <c r="BI126" s="593">
        <f>-PV([1]i.Finance!$O$63/12,[1]i.Finance!$O$62*12,mCFD!BG126)</f>
        <v>10233961.918709608</v>
      </c>
      <c r="BJ126" s="593">
        <f>BI126*[1]i.Finance!$O$58</f>
        <v>8033660.1061870428</v>
      </c>
      <c r="BK126" s="593"/>
      <c r="BL126" s="593"/>
      <c r="BP126" s="564"/>
      <c r="BQ126" s="564"/>
      <c r="BR126" s="564" t="e">
        <f t="shared" si="62"/>
        <v>#NAME?</v>
      </c>
      <c r="BS126" s="564" t="e">
        <f t="shared" si="63"/>
        <v>#NAME?</v>
      </c>
      <c r="BT126" s="564" t="e">
        <f t="shared" si="64"/>
        <v>#NAME?</v>
      </c>
      <c r="BU126" s="564"/>
    </row>
    <row r="127" spans="1:73" ht="16" hidden="1" outlineLevel="2">
      <c r="A127" s="366"/>
      <c r="B127" s="562"/>
      <c r="C127" s="366"/>
      <c r="D127" s="454"/>
      <c r="E127" s="530">
        <f t="shared" si="74"/>
        <v>121</v>
      </c>
      <c r="F127" s="530">
        <f t="shared" si="65"/>
        <v>41</v>
      </c>
      <c r="G127" s="530">
        <f t="shared" si="66"/>
        <v>11</v>
      </c>
      <c r="H127" s="571">
        <f t="shared" si="80"/>
        <v>47483</v>
      </c>
      <c r="I127" s="532">
        <f t="shared" si="44"/>
        <v>2029</v>
      </c>
      <c r="K127" s="530">
        <f>[1]mProject!KB131</f>
        <v>0</v>
      </c>
      <c r="L127" s="530">
        <f t="shared" si="45"/>
        <v>950</v>
      </c>
      <c r="M127" s="530">
        <f t="shared" si="46"/>
        <v>295000</v>
      </c>
      <c r="N127" s="530">
        <f t="shared" si="47"/>
        <v>0</v>
      </c>
      <c r="O127" s="530">
        <f t="shared" si="68"/>
        <v>280250000</v>
      </c>
      <c r="P127" s="530">
        <f>[1]mProject!W131</f>
        <v>346716.50247988745</v>
      </c>
      <c r="Q127" s="530">
        <f t="shared" si="48"/>
        <v>0</v>
      </c>
      <c r="R127" s="530">
        <f t="shared" si="69"/>
        <v>296355280.38883054</v>
      </c>
      <c r="T127" s="530">
        <v>0</v>
      </c>
      <c r="U127" s="530">
        <f t="shared" si="49"/>
        <v>0</v>
      </c>
      <c r="V127" s="530">
        <f>IF(T127=0,0,$V$7*(1+#REF!)^#REF!)</f>
        <v>0</v>
      </c>
      <c r="W127" s="530">
        <f t="shared" si="70"/>
        <v>0</v>
      </c>
      <c r="X127" s="530">
        <f t="shared" si="50"/>
        <v>0</v>
      </c>
      <c r="Y127" s="530">
        <f t="shared" si="51"/>
        <v>0</v>
      </c>
      <c r="AA127" s="530">
        <v>0</v>
      </c>
      <c r="AB127" s="530">
        <f t="shared" si="52"/>
        <v>0</v>
      </c>
      <c r="AC127" s="530">
        <f>IF(AA127=0,0,$V$7*(1+#REF!)^#REF!)</f>
        <v>0</v>
      </c>
      <c r="AD127" s="530">
        <f t="shared" si="71"/>
        <v>0</v>
      </c>
      <c r="AE127" s="530">
        <f t="shared" si="53"/>
        <v>0</v>
      </c>
      <c r="AF127" s="530">
        <f t="shared" si="54"/>
        <v>0</v>
      </c>
      <c r="AH127" s="530">
        <f t="shared" si="55"/>
        <v>0</v>
      </c>
      <c r="AI127" s="530">
        <f t="shared" si="72"/>
        <v>950</v>
      </c>
      <c r="AJ127" s="530">
        <f t="shared" si="82"/>
        <v>0</v>
      </c>
      <c r="AK127" s="530">
        <f>AJ127*[1]mProject!V131</f>
        <v>0</v>
      </c>
      <c r="AL127" s="530">
        <f t="shared" si="57"/>
        <v>0</v>
      </c>
      <c r="AM127" s="530">
        <f t="shared" si="58"/>
        <v>0</v>
      </c>
      <c r="AN127" s="456"/>
      <c r="AO127" s="572" t="e">
        <f t="shared" si="75"/>
        <v>#REF!</v>
      </c>
      <c r="AP127" s="572" t="e">
        <f t="shared" si="79"/>
        <v>#REF!</v>
      </c>
      <c r="AQ127" s="572" t="e">
        <f t="shared" si="81"/>
        <v>#REF!</v>
      </c>
      <c r="AR127" s="573" t="e">
        <f t="shared" si="76"/>
        <v>#REF!</v>
      </c>
      <c r="AS127" s="530" t="e">
        <f t="shared" si="78"/>
        <v>#REF!</v>
      </c>
      <c r="AT127" s="530"/>
      <c r="AU127" s="530"/>
      <c r="AV127" s="530" t="e">
        <f t="shared" si="59"/>
        <v>#REF!</v>
      </c>
      <c r="AW127" s="530" t="e">
        <f>AI127*#REF!+AI126*#REF!+AI125*#REF!</f>
        <v>#REF!</v>
      </c>
      <c r="AX127" s="456"/>
      <c r="AY127" s="583">
        <f t="shared" si="73"/>
        <v>1.2232347662522838</v>
      </c>
      <c r="AZ127" s="530">
        <f t="shared" si="60"/>
        <v>0</v>
      </c>
      <c r="BA127" s="530">
        <f>BA126*[1]mProject!V132</f>
        <v>0</v>
      </c>
      <c r="BB127" s="530">
        <f t="shared" si="77"/>
        <v>17781316.823329829</v>
      </c>
      <c r="BC127" s="456"/>
      <c r="BD127" s="590">
        <f>((BB127/100)*(i_CFD.ObliRate/12))*[1]i.Finance!$O$64</f>
        <v>59826.722228495157</v>
      </c>
      <c r="BE127" s="590">
        <f>(AZ127/100*[1]i.Finance!$O$61)*[1]i.Finance!$O$64</f>
        <v>0</v>
      </c>
      <c r="BF127" s="590">
        <f>(AZ127/100*[1]i.Finance!$O$65)</f>
        <v>0</v>
      </c>
      <c r="BG127" s="591">
        <f t="shared" si="61"/>
        <v>59826.722228495157</v>
      </c>
      <c r="BH127" s="456"/>
      <c r="BI127" s="590">
        <f>-PV([1]i.Finance!$O$63/12,[1]i.Finance!$O$62*12,mCFD!BG127)</f>
        <v>10233961.918709608</v>
      </c>
      <c r="BJ127" s="590">
        <f>BI127*[1]i.Finance!$O$58</f>
        <v>8033660.1061870428</v>
      </c>
      <c r="BK127" s="590"/>
      <c r="BL127" s="590"/>
      <c r="BP127" s="530"/>
      <c r="BQ127" s="530"/>
      <c r="BR127" s="530" t="e">
        <f t="shared" si="62"/>
        <v>#NAME?</v>
      </c>
      <c r="BS127" s="530" t="e">
        <f t="shared" si="63"/>
        <v>#NAME?</v>
      </c>
      <c r="BT127" s="530" t="e">
        <f t="shared" si="64"/>
        <v>#NAME?</v>
      </c>
      <c r="BU127" s="530"/>
    </row>
    <row r="128" spans="1:73" ht="16" hidden="1" outlineLevel="2">
      <c r="A128" s="366"/>
      <c r="B128" s="562"/>
      <c r="C128" s="366"/>
      <c r="D128" s="454"/>
      <c r="E128" s="533">
        <f t="shared" si="74"/>
        <v>122</v>
      </c>
      <c r="F128" s="533">
        <f t="shared" si="65"/>
        <v>41</v>
      </c>
      <c r="G128" s="533">
        <f t="shared" si="66"/>
        <v>11</v>
      </c>
      <c r="H128" s="541">
        <f t="shared" si="80"/>
        <v>47514</v>
      </c>
      <c r="I128" s="542">
        <f t="shared" si="44"/>
        <v>2030</v>
      </c>
      <c r="K128" s="533">
        <f>[1]mProject!KB132</f>
        <v>0</v>
      </c>
      <c r="L128" s="533">
        <f t="shared" si="45"/>
        <v>950</v>
      </c>
      <c r="M128" s="533">
        <f t="shared" si="46"/>
        <v>295000</v>
      </c>
      <c r="N128" s="533">
        <f t="shared" si="47"/>
        <v>0</v>
      </c>
      <c r="O128" s="533">
        <f t="shared" si="68"/>
        <v>280250000</v>
      </c>
      <c r="P128" s="533">
        <f>[1]mProject!W132</f>
        <v>347294.36331735394</v>
      </c>
      <c r="Q128" s="533">
        <f t="shared" si="48"/>
        <v>0</v>
      </c>
      <c r="R128" s="533">
        <f t="shared" si="69"/>
        <v>296355280.38883054</v>
      </c>
      <c r="T128" s="533">
        <v>0</v>
      </c>
      <c r="U128" s="533">
        <f t="shared" si="49"/>
        <v>0</v>
      </c>
      <c r="V128" s="533">
        <f>IF(T128=0,0,$V$7*(1+#REF!)^#REF!)</f>
        <v>0</v>
      </c>
      <c r="W128" s="533">
        <f t="shared" si="70"/>
        <v>0</v>
      </c>
      <c r="X128" s="533">
        <f t="shared" si="50"/>
        <v>0</v>
      </c>
      <c r="Y128" s="533">
        <f t="shared" si="51"/>
        <v>0</v>
      </c>
      <c r="AA128" s="533">
        <v>0</v>
      </c>
      <c r="AB128" s="533">
        <f t="shared" si="52"/>
        <v>0</v>
      </c>
      <c r="AC128" s="533">
        <f>IF(AA128=0,0,$V$7*(1+#REF!)^#REF!)</f>
        <v>0</v>
      </c>
      <c r="AD128" s="533">
        <f t="shared" si="71"/>
        <v>0</v>
      </c>
      <c r="AE128" s="533">
        <f t="shared" si="53"/>
        <v>0</v>
      </c>
      <c r="AF128" s="533">
        <f t="shared" si="54"/>
        <v>0</v>
      </c>
      <c r="AH128" s="533">
        <f t="shared" si="55"/>
        <v>0</v>
      </c>
      <c r="AI128" s="533">
        <f t="shared" si="72"/>
        <v>950</v>
      </c>
      <c r="AJ128" s="533">
        <f t="shared" si="82"/>
        <v>0</v>
      </c>
      <c r="AK128" s="533">
        <f>AJ128*[1]mProject!V132</f>
        <v>0</v>
      </c>
      <c r="AL128" s="533">
        <f t="shared" si="57"/>
        <v>0</v>
      </c>
      <c r="AM128" s="533">
        <f t="shared" si="58"/>
        <v>0</v>
      </c>
      <c r="AN128" s="456"/>
      <c r="AO128" s="575" t="e">
        <f t="shared" si="75"/>
        <v>#REF!</v>
      </c>
      <c r="AP128" s="575" t="e">
        <f t="shared" si="79"/>
        <v>#REF!</v>
      </c>
      <c r="AQ128" s="575" t="e">
        <f t="shared" si="81"/>
        <v>#REF!</v>
      </c>
      <c r="AR128" s="576" t="e">
        <f t="shared" si="76"/>
        <v>#REF!</v>
      </c>
      <c r="AS128" s="533" t="e">
        <f t="shared" si="78"/>
        <v>#REF!</v>
      </c>
      <c r="AT128" s="533"/>
      <c r="AU128" s="533"/>
      <c r="AV128" s="533" t="e">
        <f t="shared" si="59"/>
        <v>#REF!</v>
      </c>
      <c r="AW128" s="533" t="e">
        <f>AI128*#REF!+AI127*#REF!+AI126*#REF!</f>
        <v>#REF!</v>
      </c>
      <c r="AX128" s="456"/>
      <c r="AY128" s="584">
        <f t="shared" si="73"/>
        <v>1.2252734908627043</v>
      </c>
      <c r="AZ128" s="533">
        <f t="shared" si="60"/>
        <v>0</v>
      </c>
      <c r="BA128" s="533">
        <f>BA127*[1]mProject!V133</f>
        <v>0</v>
      </c>
      <c r="BB128" s="533">
        <f t="shared" si="77"/>
        <v>17781316.823329829</v>
      </c>
      <c r="BC128" s="456"/>
      <c r="BD128" s="586">
        <f>((BB128/100)*(i_CFD.ObliRate/12))*[1]i.Finance!$O$64</f>
        <v>59826.722228495157</v>
      </c>
      <c r="BE128" s="586">
        <f>(AZ128/100*[1]i.Finance!$O$61)*[1]i.Finance!$O$64</f>
        <v>0</v>
      </c>
      <c r="BF128" s="586">
        <f>(AZ128/100*[1]i.Finance!$O$65)</f>
        <v>0</v>
      </c>
      <c r="BG128" s="587">
        <f t="shared" si="61"/>
        <v>59826.722228495157</v>
      </c>
      <c r="BH128" s="456"/>
      <c r="BI128" s="586">
        <f>-PV([1]i.Finance!$O$63/12,[1]i.Finance!$O$62*12,mCFD!BG128)</f>
        <v>10233961.918709608</v>
      </c>
      <c r="BJ128" s="586">
        <f>BI128*[1]i.Finance!$O$58</f>
        <v>8033660.1061870428</v>
      </c>
      <c r="BK128" s="586"/>
      <c r="BL128" s="586"/>
      <c r="BP128" s="533"/>
      <c r="BQ128" s="533"/>
      <c r="BR128" s="533" t="e">
        <f t="shared" si="62"/>
        <v>#NAME?</v>
      </c>
      <c r="BS128" s="533" t="e">
        <f t="shared" si="63"/>
        <v>#NAME?</v>
      </c>
      <c r="BT128" s="533" t="e">
        <f t="shared" si="64"/>
        <v>#NAME?</v>
      </c>
      <c r="BU128" s="533"/>
    </row>
    <row r="129" spans="1:73" ht="16" hidden="1" outlineLevel="2">
      <c r="A129" s="366"/>
      <c r="B129" s="562"/>
      <c r="C129" s="366"/>
      <c r="D129" s="454"/>
      <c r="E129" s="547">
        <f t="shared" si="74"/>
        <v>123</v>
      </c>
      <c r="F129" s="547">
        <f t="shared" si="65"/>
        <v>41</v>
      </c>
      <c r="G129" s="547">
        <f t="shared" si="66"/>
        <v>11</v>
      </c>
      <c r="H129" s="548">
        <f t="shared" si="80"/>
        <v>47542</v>
      </c>
      <c r="I129" s="549">
        <f t="shared" si="44"/>
        <v>2030</v>
      </c>
      <c r="K129" s="547">
        <f>[1]mProject!KB133</f>
        <v>0</v>
      </c>
      <c r="L129" s="547">
        <f t="shared" si="45"/>
        <v>950</v>
      </c>
      <c r="M129" s="547">
        <f t="shared" si="46"/>
        <v>295000</v>
      </c>
      <c r="N129" s="547">
        <f t="shared" si="47"/>
        <v>0</v>
      </c>
      <c r="O129" s="547">
        <f t="shared" si="68"/>
        <v>280250000</v>
      </c>
      <c r="P129" s="547">
        <f>[1]mProject!W133</f>
        <v>347873.18725621619</v>
      </c>
      <c r="Q129" s="547">
        <f t="shared" si="48"/>
        <v>0</v>
      </c>
      <c r="R129" s="547">
        <f t="shared" si="69"/>
        <v>296355280.38883054</v>
      </c>
      <c r="T129" s="547">
        <v>0</v>
      </c>
      <c r="U129" s="547">
        <f t="shared" si="49"/>
        <v>0</v>
      </c>
      <c r="V129" s="547">
        <f>IF(T129=0,0,$V$7*(1+#REF!)^#REF!)</f>
        <v>0</v>
      </c>
      <c r="W129" s="547">
        <f t="shared" si="70"/>
        <v>0</v>
      </c>
      <c r="X129" s="547">
        <f t="shared" si="50"/>
        <v>0</v>
      </c>
      <c r="Y129" s="547">
        <f t="shared" si="51"/>
        <v>0</v>
      </c>
      <c r="AA129" s="547">
        <v>0</v>
      </c>
      <c r="AB129" s="547">
        <f t="shared" si="52"/>
        <v>0</v>
      </c>
      <c r="AC129" s="547">
        <f>IF(AA129=0,0,$V$7*(1+#REF!)^#REF!)</f>
        <v>0</v>
      </c>
      <c r="AD129" s="547">
        <f t="shared" si="71"/>
        <v>0</v>
      </c>
      <c r="AE129" s="547">
        <f t="shared" si="53"/>
        <v>0</v>
      </c>
      <c r="AF129" s="547">
        <f t="shared" si="54"/>
        <v>0</v>
      </c>
      <c r="AH129" s="547">
        <f t="shared" si="55"/>
        <v>0</v>
      </c>
      <c r="AI129" s="547">
        <f t="shared" si="72"/>
        <v>950</v>
      </c>
      <c r="AJ129" s="547">
        <f t="shared" si="82"/>
        <v>0</v>
      </c>
      <c r="AK129" s="547">
        <f>AJ129*[1]mProject!V133</f>
        <v>0</v>
      </c>
      <c r="AL129" s="547">
        <f t="shared" si="57"/>
        <v>0</v>
      </c>
      <c r="AM129" s="547">
        <f t="shared" si="58"/>
        <v>0</v>
      </c>
      <c r="AN129" s="456"/>
      <c r="AO129" s="577" t="e">
        <f t="shared" si="75"/>
        <v>#REF!</v>
      </c>
      <c r="AP129" s="577" t="e">
        <f t="shared" si="79"/>
        <v>#REF!</v>
      </c>
      <c r="AQ129" s="577" t="e">
        <f t="shared" si="81"/>
        <v>#REF!</v>
      </c>
      <c r="AR129" s="578" t="e">
        <f t="shared" si="76"/>
        <v>#REF!</v>
      </c>
      <c r="AS129" s="547" t="e">
        <f t="shared" si="78"/>
        <v>#REF!</v>
      </c>
      <c r="AT129" s="547"/>
      <c r="AU129" s="547"/>
      <c r="AV129" s="547" t="e">
        <f t="shared" si="59"/>
        <v>#REF!</v>
      </c>
      <c r="AW129" s="547" t="e">
        <f>AI129*#REF!+AI128*#REF!+AI127*#REF!</f>
        <v>#REF!</v>
      </c>
      <c r="AX129" s="456"/>
      <c r="AY129" s="585">
        <f t="shared" si="73"/>
        <v>1.2273156133474756</v>
      </c>
      <c r="AZ129" s="547">
        <f t="shared" si="60"/>
        <v>0</v>
      </c>
      <c r="BA129" s="547">
        <f>BA128*[1]mProject!V134</f>
        <v>0</v>
      </c>
      <c r="BB129" s="547">
        <f t="shared" si="77"/>
        <v>17781316.823329829</v>
      </c>
      <c r="BC129" s="456"/>
      <c r="BD129" s="588">
        <f>((BB129/100)*(i_CFD.ObliRate/12))*[1]i.Finance!$O$64</f>
        <v>59826.722228495157</v>
      </c>
      <c r="BE129" s="588">
        <f>(AZ129/100*[1]i.Finance!$O$61)*[1]i.Finance!$O$64</f>
        <v>0</v>
      </c>
      <c r="BF129" s="588">
        <f>(AZ129/100*[1]i.Finance!$O$65)</f>
        <v>0</v>
      </c>
      <c r="BG129" s="589">
        <f t="shared" si="61"/>
        <v>59826.722228495157</v>
      </c>
      <c r="BH129" s="456"/>
      <c r="BI129" s="588">
        <f>-PV([1]i.Finance!$O$63/12,[1]i.Finance!$O$62*12,mCFD!BG129)</f>
        <v>10233961.918709608</v>
      </c>
      <c r="BJ129" s="588">
        <f>BI129*[1]i.Finance!$O$58</f>
        <v>8033660.1061870428</v>
      </c>
      <c r="BK129" s="588"/>
      <c r="BL129" s="588"/>
      <c r="BP129" s="547"/>
      <c r="BQ129" s="547"/>
      <c r="BR129" s="547" t="e">
        <f t="shared" si="62"/>
        <v>#NAME?</v>
      </c>
      <c r="BS129" s="547" t="e">
        <f t="shared" si="63"/>
        <v>#NAME?</v>
      </c>
      <c r="BT129" s="547" t="e">
        <f t="shared" si="64"/>
        <v>#NAME?</v>
      </c>
      <c r="BU129" s="547"/>
    </row>
    <row r="130" spans="1:73" ht="16" hidden="1" outlineLevel="2">
      <c r="A130" s="366"/>
      <c r="B130" s="562"/>
      <c r="C130" s="366"/>
      <c r="D130" s="454"/>
      <c r="E130" s="530">
        <f t="shared" si="74"/>
        <v>124</v>
      </c>
      <c r="F130" s="530">
        <f t="shared" si="65"/>
        <v>42</v>
      </c>
      <c r="G130" s="530">
        <f t="shared" si="66"/>
        <v>11</v>
      </c>
      <c r="H130" s="554">
        <f t="shared" si="80"/>
        <v>47573</v>
      </c>
      <c r="I130" s="555">
        <f t="shared" si="44"/>
        <v>2030</v>
      </c>
      <c r="K130" s="530">
        <f>[1]mProject!KB134</f>
        <v>0</v>
      </c>
      <c r="L130" s="530">
        <f t="shared" si="45"/>
        <v>950</v>
      </c>
      <c r="M130" s="530">
        <f t="shared" si="46"/>
        <v>295000</v>
      </c>
      <c r="N130" s="530">
        <f t="shared" si="47"/>
        <v>0</v>
      </c>
      <c r="O130" s="530">
        <f t="shared" si="68"/>
        <v>280250000</v>
      </c>
      <c r="P130" s="530">
        <f>[1]mProject!W134</f>
        <v>348452.97590164322</v>
      </c>
      <c r="Q130" s="530">
        <f t="shared" si="48"/>
        <v>0</v>
      </c>
      <c r="R130" s="530">
        <f t="shared" si="69"/>
        <v>296355280.38883054</v>
      </c>
      <c r="T130" s="530">
        <v>0</v>
      </c>
      <c r="U130" s="530">
        <f t="shared" si="49"/>
        <v>0</v>
      </c>
      <c r="V130" s="530">
        <f>IF(T130=0,0,$V$7*(1+#REF!)^#REF!)</f>
        <v>0</v>
      </c>
      <c r="W130" s="530">
        <f t="shared" si="70"/>
        <v>0</v>
      </c>
      <c r="X130" s="530">
        <f t="shared" si="50"/>
        <v>0</v>
      </c>
      <c r="Y130" s="530">
        <f t="shared" si="51"/>
        <v>0</v>
      </c>
      <c r="AA130" s="530">
        <v>0</v>
      </c>
      <c r="AB130" s="530">
        <f t="shared" si="52"/>
        <v>0</v>
      </c>
      <c r="AC130" s="530">
        <f>IF(AA130=0,0,$V$7*(1+#REF!)^#REF!)</f>
        <v>0</v>
      </c>
      <c r="AD130" s="530">
        <f t="shared" si="71"/>
        <v>0</v>
      </c>
      <c r="AE130" s="530">
        <f t="shared" si="53"/>
        <v>0</v>
      </c>
      <c r="AF130" s="530">
        <f t="shared" si="54"/>
        <v>0</v>
      </c>
      <c r="AH130" s="530">
        <f t="shared" si="55"/>
        <v>0</v>
      </c>
      <c r="AI130" s="530">
        <f t="shared" si="72"/>
        <v>950</v>
      </c>
      <c r="AJ130" s="530">
        <f t="shared" si="82"/>
        <v>0</v>
      </c>
      <c r="AK130" s="530">
        <f>AJ130*[1]mProject!V134</f>
        <v>0</v>
      </c>
      <c r="AL130" s="530">
        <f t="shared" si="57"/>
        <v>0</v>
      </c>
      <c r="AM130" s="530">
        <f t="shared" si="58"/>
        <v>0</v>
      </c>
      <c r="AN130" s="456"/>
      <c r="AO130" s="572" t="e">
        <f t="shared" si="75"/>
        <v>#REF!</v>
      </c>
      <c r="AP130" s="572" t="e">
        <f t="shared" si="79"/>
        <v>#REF!</v>
      </c>
      <c r="AQ130" s="572" t="e">
        <f t="shared" si="81"/>
        <v>#REF!</v>
      </c>
      <c r="AR130" s="573" t="e">
        <f t="shared" si="76"/>
        <v>#REF!</v>
      </c>
      <c r="AS130" s="530" t="e">
        <f t="shared" si="78"/>
        <v>#REF!</v>
      </c>
      <c r="AT130" s="530"/>
      <c r="AU130" s="530"/>
      <c r="AV130" s="530" t="e">
        <f t="shared" si="59"/>
        <v>#REF!</v>
      </c>
      <c r="AW130" s="530" t="e">
        <f>AI130*#REF!+AI129*#REF!+AI128*#REF!</f>
        <v>#REF!</v>
      </c>
      <c r="AX130" s="456"/>
      <c r="AY130" s="583">
        <f t="shared" si="73"/>
        <v>1.2293611393697215</v>
      </c>
      <c r="AZ130" s="530">
        <f t="shared" si="60"/>
        <v>0</v>
      </c>
      <c r="BA130" s="530">
        <f>BA129*[1]mProject!V135</f>
        <v>0</v>
      </c>
      <c r="BB130" s="530">
        <f t="shared" si="77"/>
        <v>17781316.823329829</v>
      </c>
      <c r="BC130" s="456"/>
      <c r="BD130" s="590">
        <f>((BB130/100)*(i_CFD.ObliRate/12))*[1]i.Finance!$O$64</f>
        <v>59826.722228495157</v>
      </c>
      <c r="BE130" s="590">
        <f>(AZ130/100*[1]i.Finance!$O$61)*[1]i.Finance!$O$64</f>
        <v>0</v>
      </c>
      <c r="BF130" s="590">
        <f>(AZ130/100*[1]i.Finance!$O$65)</f>
        <v>0</v>
      </c>
      <c r="BG130" s="591">
        <f t="shared" si="61"/>
        <v>59826.722228495157</v>
      </c>
      <c r="BH130" s="456"/>
      <c r="BI130" s="590">
        <f>-PV([1]i.Finance!$O$63/12,[1]i.Finance!$O$62*12,mCFD!BG130)</f>
        <v>10233961.918709608</v>
      </c>
      <c r="BJ130" s="590">
        <f>BI130*[1]i.Finance!$O$58</f>
        <v>8033660.1061870428</v>
      </c>
      <c r="BK130" s="590"/>
      <c r="BL130" s="590"/>
      <c r="BP130" s="530"/>
      <c r="BQ130" s="530"/>
      <c r="BR130" s="530" t="e">
        <f t="shared" si="62"/>
        <v>#NAME?</v>
      </c>
      <c r="BS130" s="530" t="e">
        <f t="shared" si="63"/>
        <v>#NAME?</v>
      </c>
      <c r="BT130" s="530" t="e">
        <f t="shared" si="64"/>
        <v>#NAME?</v>
      </c>
      <c r="BU130" s="530"/>
    </row>
    <row r="131" spans="1:73" ht="16" hidden="1" outlineLevel="2">
      <c r="A131" s="366"/>
      <c r="B131" s="562"/>
      <c r="C131" s="366"/>
      <c r="D131" s="454"/>
      <c r="E131" s="533">
        <f t="shared" si="74"/>
        <v>125</v>
      </c>
      <c r="F131" s="533">
        <f t="shared" si="65"/>
        <v>42</v>
      </c>
      <c r="G131" s="533">
        <f t="shared" si="66"/>
        <v>11</v>
      </c>
      <c r="H131" s="541">
        <f t="shared" si="80"/>
        <v>47603</v>
      </c>
      <c r="I131" s="542">
        <f t="shared" si="44"/>
        <v>2030</v>
      </c>
      <c r="K131" s="533">
        <f>[1]mProject!KB135</f>
        <v>0</v>
      </c>
      <c r="L131" s="533">
        <f t="shared" si="45"/>
        <v>950</v>
      </c>
      <c r="M131" s="533">
        <f t="shared" si="46"/>
        <v>295000</v>
      </c>
      <c r="N131" s="533">
        <f t="shared" si="47"/>
        <v>0</v>
      </c>
      <c r="O131" s="533">
        <f t="shared" si="68"/>
        <v>280250000</v>
      </c>
      <c r="P131" s="533">
        <f>[1]mProject!W135</f>
        <v>349033.7308614793</v>
      </c>
      <c r="Q131" s="533">
        <f t="shared" si="48"/>
        <v>0</v>
      </c>
      <c r="R131" s="533">
        <f t="shared" si="69"/>
        <v>296355280.38883054</v>
      </c>
      <c r="T131" s="533">
        <v>0</v>
      </c>
      <c r="U131" s="533">
        <f t="shared" si="49"/>
        <v>0</v>
      </c>
      <c r="V131" s="533">
        <f>IF(T131=0,0,$V$7*(1+#REF!)^#REF!)</f>
        <v>0</v>
      </c>
      <c r="W131" s="533">
        <f t="shared" si="70"/>
        <v>0</v>
      </c>
      <c r="X131" s="533">
        <f t="shared" si="50"/>
        <v>0</v>
      </c>
      <c r="Y131" s="533">
        <f t="shared" si="51"/>
        <v>0</v>
      </c>
      <c r="AA131" s="533">
        <v>0</v>
      </c>
      <c r="AB131" s="533">
        <f t="shared" si="52"/>
        <v>0</v>
      </c>
      <c r="AC131" s="533">
        <f>IF(AA131=0,0,$V$7*(1+#REF!)^#REF!)</f>
        <v>0</v>
      </c>
      <c r="AD131" s="533">
        <f t="shared" si="71"/>
        <v>0</v>
      </c>
      <c r="AE131" s="533">
        <f t="shared" si="53"/>
        <v>0</v>
      </c>
      <c r="AF131" s="533">
        <f t="shared" si="54"/>
        <v>0</v>
      </c>
      <c r="AH131" s="533">
        <f t="shared" si="55"/>
        <v>0</v>
      </c>
      <c r="AI131" s="533">
        <f t="shared" si="72"/>
        <v>950</v>
      </c>
      <c r="AJ131" s="533">
        <f t="shared" si="82"/>
        <v>0</v>
      </c>
      <c r="AK131" s="533">
        <f>AJ131*[1]mProject!V135</f>
        <v>0</v>
      </c>
      <c r="AL131" s="533">
        <f t="shared" si="57"/>
        <v>0</v>
      </c>
      <c r="AM131" s="533">
        <f t="shared" si="58"/>
        <v>0</v>
      </c>
      <c r="AN131" s="456"/>
      <c r="AO131" s="575" t="e">
        <f t="shared" si="75"/>
        <v>#REF!</v>
      </c>
      <c r="AP131" s="575" t="e">
        <f t="shared" si="79"/>
        <v>#REF!</v>
      </c>
      <c r="AQ131" s="575" t="e">
        <f t="shared" si="81"/>
        <v>#REF!</v>
      </c>
      <c r="AR131" s="576" t="e">
        <f t="shared" si="76"/>
        <v>#REF!</v>
      </c>
      <c r="AS131" s="533" t="e">
        <f t="shared" si="78"/>
        <v>#REF!</v>
      </c>
      <c r="AT131" s="533"/>
      <c r="AU131" s="533"/>
      <c r="AV131" s="533" t="e">
        <f t="shared" si="59"/>
        <v>#REF!</v>
      </c>
      <c r="AW131" s="533" t="e">
        <f>AI131*#REF!+AI130*#REF!+AI129*#REF!</f>
        <v>#REF!</v>
      </c>
      <c r="AX131" s="456"/>
      <c r="AY131" s="584">
        <f t="shared" si="73"/>
        <v>1.2314100746020045</v>
      </c>
      <c r="AZ131" s="533">
        <f t="shared" si="60"/>
        <v>0</v>
      </c>
      <c r="BA131" s="533">
        <f>BA130*[1]mProject!V136</f>
        <v>0</v>
      </c>
      <c r="BB131" s="533">
        <f t="shared" si="77"/>
        <v>17781316.823329829</v>
      </c>
      <c r="BC131" s="456"/>
      <c r="BD131" s="586">
        <f>((BB131/100)*(i_CFD.ObliRate/12))*[1]i.Finance!$O$64</f>
        <v>59826.722228495157</v>
      </c>
      <c r="BE131" s="586">
        <f>(AZ131/100*[1]i.Finance!$O$61)*[1]i.Finance!$O$64</f>
        <v>0</v>
      </c>
      <c r="BF131" s="586">
        <f>(AZ131/100*[1]i.Finance!$O$65)</f>
        <v>0</v>
      </c>
      <c r="BG131" s="587">
        <f t="shared" si="61"/>
        <v>59826.722228495157</v>
      </c>
      <c r="BH131" s="456"/>
      <c r="BI131" s="586">
        <f>-PV([1]i.Finance!$O$63/12,[1]i.Finance!$O$62*12,mCFD!BG131)</f>
        <v>10233961.918709608</v>
      </c>
      <c r="BJ131" s="586">
        <f>BI131*[1]i.Finance!$O$58</f>
        <v>8033660.1061870428</v>
      </c>
      <c r="BK131" s="586"/>
      <c r="BL131" s="586"/>
      <c r="BP131" s="533"/>
      <c r="BQ131" s="533"/>
      <c r="BR131" s="533" t="e">
        <f t="shared" si="62"/>
        <v>#NAME?</v>
      </c>
      <c r="BS131" s="533" t="e">
        <f t="shared" si="63"/>
        <v>#NAME?</v>
      </c>
      <c r="BT131" s="533" t="e">
        <f t="shared" si="64"/>
        <v>#NAME?</v>
      </c>
      <c r="BU131" s="533"/>
    </row>
    <row r="132" spans="1:73" ht="16" hidden="1" outlineLevel="2">
      <c r="A132" s="366"/>
      <c r="B132" s="562"/>
      <c r="C132" s="366"/>
      <c r="D132" s="454"/>
      <c r="E132" s="547">
        <f t="shared" si="74"/>
        <v>126</v>
      </c>
      <c r="F132" s="547">
        <f t="shared" si="65"/>
        <v>42</v>
      </c>
      <c r="G132" s="547">
        <f t="shared" si="66"/>
        <v>11</v>
      </c>
      <c r="H132" s="548">
        <f t="shared" si="80"/>
        <v>47634</v>
      </c>
      <c r="I132" s="549">
        <f t="shared" si="44"/>
        <v>2030</v>
      </c>
      <c r="K132" s="547">
        <f>[1]mProject!KB136</f>
        <v>0</v>
      </c>
      <c r="L132" s="547">
        <f t="shared" si="45"/>
        <v>950</v>
      </c>
      <c r="M132" s="547">
        <f t="shared" si="46"/>
        <v>295000</v>
      </c>
      <c r="N132" s="547">
        <f t="shared" si="47"/>
        <v>0</v>
      </c>
      <c r="O132" s="547">
        <f t="shared" si="68"/>
        <v>280250000</v>
      </c>
      <c r="P132" s="547">
        <f>[1]mProject!W136</f>
        <v>349615.45374624844</v>
      </c>
      <c r="Q132" s="547">
        <f t="shared" si="48"/>
        <v>0</v>
      </c>
      <c r="R132" s="547">
        <f t="shared" si="69"/>
        <v>296355280.38883054</v>
      </c>
      <c r="T132" s="547">
        <v>0</v>
      </c>
      <c r="U132" s="547">
        <f t="shared" si="49"/>
        <v>0</v>
      </c>
      <c r="V132" s="547">
        <f>IF(T132=0,0,$V$7*(1+#REF!)^#REF!)</f>
        <v>0</v>
      </c>
      <c r="W132" s="547">
        <f t="shared" si="70"/>
        <v>0</v>
      </c>
      <c r="X132" s="547">
        <f t="shared" si="50"/>
        <v>0</v>
      </c>
      <c r="Y132" s="547">
        <f t="shared" si="51"/>
        <v>0</v>
      </c>
      <c r="AA132" s="547">
        <v>0</v>
      </c>
      <c r="AB132" s="547">
        <f t="shared" si="52"/>
        <v>0</v>
      </c>
      <c r="AC132" s="547">
        <f>IF(AA132=0,0,$V$7*(1+#REF!)^#REF!)</f>
        <v>0</v>
      </c>
      <c r="AD132" s="547">
        <f t="shared" si="71"/>
        <v>0</v>
      </c>
      <c r="AE132" s="547">
        <f t="shared" si="53"/>
        <v>0</v>
      </c>
      <c r="AF132" s="547">
        <f t="shared" si="54"/>
        <v>0</v>
      </c>
      <c r="AH132" s="547">
        <f t="shared" si="55"/>
        <v>0</v>
      </c>
      <c r="AI132" s="547">
        <f t="shared" si="72"/>
        <v>950</v>
      </c>
      <c r="AJ132" s="547">
        <f t="shared" si="82"/>
        <v>0</v>
      </c>
      <c r="AK132" s="547">
        <f>AJ132*[1]mProject!V136</f>
        <v>0</v>
      </c>
      <c r="AL132" s="547">
        <f t="shared" si="57"/>
        <v>0</v>
      </c>
      <c r="AM132" s="547">
        <f t="shared" si="58"/>
        <v>0</v>
      </c>
      <c r="AN132" s="456"/>
      <c r="AO132" s="577" t="e">
        <f t="shared" si="75"/>
        <v>#REF!</v>
      </c>
      <c r="AP132" s="577" t="e">
        <f t="shared" si="79"/>
        <v>#REF!</v>
      </c>
      <c r="AQ132" s="577" t="e">
        <f t="shared" si="81"/>
        <v>#REF!</v>
      </c>
      <c r="AR132" s="578" t="e">
        <f t="shared" si="76"/>
        <v>#REF!</v>
      </c>
      <c r="AS132" s="547" t="e">
        <f t="shared" si="78"/>
        <v>#REF!</v>
      </c>
      <c r="AT132" s="547"/>
      <c r="AU132" s="547"/>
      <c r="AV132" s="547" t="e">
        <f t="shared" si="59"/>
        <v>#REF!</v>
      </c>
      <c r="AW132" s="547" t="e">
        <f>AI132*#REF!+AI131*#REF!+AI130*#REF!</f>
        <v>#REF!</v>
      </c>
      <c r="AX132" s="456"/>
      <c r="AY132" s="585">
        <f t="shared" si="73"/>
        <v>1.2334624247263413</v>
      </c>
      <c r="AZ132" s="547">
        <f t="shared" si="60"/>
        <v>0</v>
      </c>
      <c r="BA132" s="547">
        <f>BA131*[1]mProject!V137</f>
        <v>0</v>
      </c>
      <c r="BB132" s="547">
        <f t="shared" si="77"/>
        <v>17781316.823329829</v>
      </c>
      <c r="BC132" s="456"/>
      <c r="BD132" s="588">
        <f>((BB132/100)*(i_CFD.ObliRate/12))*[1]i.Finance!$O$64</f>
        <v>59826.722228495157</v>
      </c>
      <c r="BE132" s="588">
        <f>(AZ132/100*[1]i.Finance!$O$61)*[1]i.Finance!$O$64</f>
        <v>0</v>
      </c>
      <c r="BF132" s="588">
        <f>(AZ132/100*[1]i.Finance!$O$65)</f>
        <v>0</v>
      </c>
      <c r="BG132" s="589">
        <f t="shared" si="61"/>
        <v>59826.722228495157</v>
      </c>
      <c r="BH132" s="456"/>
      <c r="BI132" s="588">
        <f>-PV([1]i.Finance!$O$63/12,[1]i.Finance!$O$62*12,mCFD!BG132)</f>
        <v>10233961.918709608</v>
      </c>
      <c r="BJ132" s="588">
        <f>BI132*[1]i.Finance!$O$58</f>
        <v>8033660.1061870428</v>
      </c>
      <c r="BK132" s="588"/>
      <c r="BL132" s="588"/>
      <c r="BP132" s="547"/>
      <c r="BQ132" s="547"/>
      <c r="BR132" s="547" t="e">
        <f t="shared" si="62"/>
        <v>#NAME?</v>
      </c>
      <c r="BS132" s="547" t="e">
        <f t="shared" si="63"/>
        <v>#NAME?</v>
      </c>
      <c r="BT132" s="547" t="e">
        <f t="shared" si="64"/>
        <v>#NAME?</v>
      </c>
      <c r="BU132" s="547"/>
    </row>
    <row r="133" spans="1:73" ht="16" hidden="1" outlineLevel="2">
      <c r="A133" s="366"/>
      <c r="B133" s="562"/>
      <c r="C133" s="366"/>
      <c r="D133" s="454"/>
      <c r="E133" s="530">
        <f t="shared" si="74"/>
        <v>127</v>
      </c>
      <c r="F133" s="530">
        <f t="shared" si="65"/>
        <v>43</v>
      </c>
      <c r="G133" s="530">
        <f t="shared" si="66"/>
        <v>11</v>
      </c>
      <c r="H133" s="554">
        <f t="shared" si="80"/>
        <v>47664</v>
      </c>
      <c r="I133" s="555">
        <f t="shared" si="44"/>
        <v>2030</v>
      </c>
      <c r="K133" s="530">
        <f>[1]mProject!KB137</f>
        <v>0</v>
      </c>
      <c r="L133" s="530">
        <f t="shared" si="45"/>
        <v>950</v>
      </c>
      <c r="M133" s="530">
        <f t="shared" si="46"/>
        <v>295000</v>
      </c>
      <c r="N133" s="530">
        <f t="shared" si="47"/>
        <v>0</v>
      </c>
      <c r="O133" s="530">
        <f t="shared" si="68"/>
        <v>280250000</v>
      </c>
      <c r="P133" s="530">
        <f>[1]mProject!W137</f>
        <v>350198.14616915886</v>
      </c>
      <c r="Q133" s="530">
        <f t="shared" si="48"/>
        <v>0</v>
      </c>
      <c r="R133" s="530">
        <f t="shared" si="69"/>
        <v>296355280.38883054</v>
      </c>
      <c r="T133" s="530">
        <v>0</v>
      </c>
      <c r="U133" s="530">
        <f t="shared" si="49"/>
        <v>0</v>
      </c>
      <c r="V133" s="530">
        <f>IF(T133=0,0,$V$7*(1+#REF!)^#REF!)</f>
        <v>0</v>
      </c>
      <c r="W133" s="530">
        <f t="shared" si="70"/>
        <v>0</v>
      </c>
      <c r="X133" s="530">
        <f t="shared" si="50"/>
        <v>0</v>
      </c>
      <c r="Y133" s="530">
        <f t="shared" si="51"/>
        <v>0</v>
      </c>
      <c r="AA133" s="530">
        <v>0</v>
      </c>
      <c r="AB133" s="530">
        <f t="shared" si="52"/>
        <v>0</v>
      </c>
      <c r="AC133" s="530">
        <f>IF(AA133=0,0,$V$7*(1+#REF!)^#REF!)</f>
        <v>0</v>
      </c>
      <c r="AD133" s="530">
        <f t="shared" si="71"/>
        <v>0</v>
      </c>
      <c r="AE133" s="530">
        <f t="shared" si="53"/>
        <v>0</v>
      </c>
      <c r="AF133" s="530">
        <f t="shared" si="54"/>
        <v>0</v>
      </c>
      <c r="AH133" s="530">
        <f t="shared" si="55"/>
        <v>0</v>
      </c>
      <c r="AI133" s="530">
        <f t="shared" si="72"/>
        <v>950</v>
      </c>
      <c r="AJ133" s="530">
        <f t="shared" si="82"/>
        <v>0</v>
      </c>
      <c r="AK133" s="530">
        <f>AJ133*[1]mProject!V137</f>
        <v>0</v>
      </c>
      <c r="AL133" s="530">
        <f t="shared" si="57"/>
        <v>0</v>
      </c>
      <c r="AM133" s="530">
        <f t="shared" si="58"/>
        <v>0</v>
      </c>
      <c r="AN133" s="456"/>
      <c r="AO133" s="572" t="e">
        <f t="shared" si="75"/>
        <v>#REF!</v>
      </c>
      <c r="AP133" s="572" t="e">
        <f t="shared" si="79"/>
        <v>#REF!</v>
      </c>
      <c r="AQ133" s="572" t="e">
        <f t="shared" si="81"/>
        <v>#REF!</v>
      </c>
      <c r="AR133" s="573" t="e">
        <f t="shared" si="76"/>
        <v>#REF!</v>
      </c>
      <c r="AS133" s="530" t="e">
        <f t="shared" si="78"/>
        <v>#REF!</v>
      </c>
      <c r="AT133" s="530"/>
      <c r="AU133" s="530"/>
      <c r="AV133" s="530" t="e">
        <f t="shared" si="59"/>
        <v>#REF!</v>
      </c>
      <c r="AW133" s="530" t="e">
        <f>AI133*#REF!+AI132*#REF!+AI131*#REF!</f>
        <v>#REF!</v>
      </c>
      <c r="AX133" s="456"/>
      <c r="AY133" s="583">
        <f t="shared" si="73"/>
        <v>1.2355181954342185</v>
      </c>
      <c r="AZ133" s="530">
        <f t="shared" si="60"/>
        <v>0</v>
      </c>
      <c r="BA133" s="530">
        <f>BA132*[1]mProject!V138</f>
        <v>0</v>
      </c>
      <c r="BB133" s="530">
        <f t="shared" si="77"/>
        <v>17781316.823329829</v>
      </c>
      <c r="BC133" s="456"/>
      <c r="BD133" s="590">
        <f>((BB133/100)*(i_CFD.ObliRate/12))*[1]i.Finance!$O$64</f>
        <v>59826.722228495157</v>
      </c>
      <c r="BE133" s="590">
        <f>(AZ133/100*[1]i.Finance!$O$61)*[1]i.Finance!$O$64</f>
        <v>0</v>
      </c>
      <c r="BF133" s="590">
        <f>(AZ133/100*[1]i.Finance!$O$65)</f>
        <v>0</v>
      </c>
      <c r="BG133" s="591">
        <f t="shared" si="61"/>
        <v>59826.722228495157</v>
      </c>
      <c r="BH133" s="456"/>
      <c r="BI133" s="590">
        <f>-PV([1]i.Finance!$O$63/12,[1]i.Finance!$O$62*12,mCFD!BG133)</f>
        <v>10233961.918709608</v>
      </c>
      <c r="BJ133" s="590">
        <f>BI133*[1]i.Finance!$O$58</f>
        <v>8033660.1061870428</v>
      </c>
      <c r="BK133" s="590"/>
      <c r="BL133" s="590"/>
      <c r="BP133" s="530"/>
      <c r="BQ133" s="530"/>
      <c r="BR133" s="530" t="e">
        <f t="shared" si="62"/>
        <v>#NAME?</v>
      </c>
      <c r="BS133" s="530" t="e">
        <f t="shared" si="63"/>
        <v>#NAME?</v>
      </c>
      <c r="BT133" s="530" t="e">
        <f t="shared" si="64"/>
        <v>#NAME?</v>
      </c>
      <c r="BU133" s="530"/>
    </row>
    <row r="134" spans="1:73" ht="16" hidden="1" outlineLevel="2">
      <c r="A134" s="366"/>
      <c r="B134" s="562"/>
      <c r="C134" s="366"/>
      <c r="D134" s="454"/>
      <c r="E134" s="533">
        <f t="shared" si="74"/>
        <v>128</v>
      </c>
      <c r="F134" s="533">
        <f t="shared" si="65"/>
        <v>43</v>
      </c>
      <c r="G134" s="533">
        <f t="shared" si="66"/>
        <v>11</v>
      </c>
      <c r="H134" s="541">
        <f t="shared" si="80"/>
        <v>47695</v>
      </c>
      <c r="I134" s="542">
        <f t="shared" si="44"/>
        <v>2030</v>
      </c>
      <c r="K134" s="533">
        <f>[1]mProject!KB138</f>
        <v>0</v>
      </c>
      <c r="L134" s="533">
        <f t="shared" si="45"/>
        <v>950</v>
      </c>
      <c r="M134" s="533">
        <f t="shared" si="46"/>
        <v>295000</v>
      </c>
      <c r="N134" s="533">
        <f t="shared" si="47"/>
        <v>0</v>
      </c>
      <c r="O134" s="533">
        <f t="shared" si="68"/>
        <v>280250000</v>
      </c>
      <c r="P134" s="533">
        <f>[1]mProject!W138</f>
        <v>350781.80974610749</v>
      </c>
      <c r="Q134" s="533">
        <f t="shared" si="48"/>
        <v>0</v>
      </c>
      <c r="R134" s="533">
        <f t="shared" si="69"/>
        <v>296355280.38883054</v>
      </c>
      <c r="T134" s="533">
        <v>0</v>
      </c>
      <c r="U134" s="533">
        <f t="shared" si="49"/>
        <v>0</v>
      </c>
      <c r="V134" s="533">
        <f>IF(T134=0,0,$V$7*(1+#REF!)^#REF!)</f>
        <v>0</v>
      </c>
      <c r="W134" s="533">
        <f t="shared" si="70"/>
        <v>0</v>
      </c>
      <c r="X134" s="533">
        <f t="shared" si="50"/>
        <v>0</v>
      </c>
      <c r="Y134" s="533">
        <f t="shared" si="51"/>
        <v>0</v>
      </c>
      <c r="AA134" s="533">
        <v>0</v>
      </c>
      <c r="AB134" s="533">
        <f t="shared" si="52"/>
        <v>0</v>
      </c>
      <c r="AC134" s="533">
        <f>IF(AA134=0,0,$V$7*(1+#REF!)^#REF!)</f>
        <v>0</v>
      </c>
      <c r="AD134" s="533">
        <f t="shared" si="71"/>
        <v>0</v>
      </c>
      <c r="AE134" s="533">
        <f t="shared" si="53"/>
        <v>0</v>
      </c>
      <c r="AF134" s="533">
        <f t="shared" si="54"/>
        <v>0</v>
      </c>
      <c r="AH134" s="533">
        <f t="shared" si="55"/>
        <v>0</v>
      </c>
      <c r="AI134" s="533">
        <f t="shared" si="72"/>
        <v>950</v>
      </c>
      <c r="AJ134" s="533">
        <f t="shared" si="82"/>
        <v>0</v>
      </c>
      <c r="AK134" s="533">
        <f>AJ134*[1]mProject!V138</f>
        <v>0</v>
      </c>
      <c r="AL134" s="533">
        <f t="shared" si="57"/>
        <v>0</v>
      </c>
      <c r="AM134" s="533">
        <f t="shared" si="58"/>
        <v>0</v>
      </c>
      <c r="AN134" s="456"/>
      <c r="AO134" s="575" t="e">
        <f t="shared" si="75"/>
        <v>#REF!</v>
      </c>
      <c r="AP134" s="575" t="e">
        <f t="shared" si="79"/>
        <v>#REF!</v>
      </c>
      <c r="AQ134" s="575" t="e">
        <f t="shared" si="81"/>
        <v>#REF!</v>
      </c>
      <c r="AR134" s="576" t="e">
        <f t="shared" si="76"/>
        <v>#REF!</v>
      </c>
      <c r="AS134" s="533" t="e">
        <f t="shared" si="78"/>
        <v>#REF!</v>
      </c>
      <c r="AT134" s="533"/>
      <c r="AU134" s="533"/>
      <c r="AV134" s="533" t="e">
        <f t="shared" si="59"/>
        <v>#REF!</v>
      </c>
      <c r="AW134" s="533" t="e">
        <f>AI134*#REF!+AI133*#REF!+AI132*#REF!</f>
        <v>#REF!</v>
      </c>
      <c r="AX134" s="456"/>
      <c r="AY134" s="584">
        <f t="shared" si="73"/>
        <v>1.2375773924266089</v>
      </c>
      <c r="AZ134" s="533">
        <f t="shared" si="60"/>
        <v>0</v>
      </c>
      <c r="BA134" s="533">
        <f>BA133*[1]mProject!V139</f>
        <v>0</v>
      </c>
      <c r="BB134" s="533">
        <f t="shared" si="77"/>
        <v>17781316.823329829</v>
      </c>
      <c r="BC134" s="456"/>
      <c r="BD134" s="586">
        <f>((BB134/100)*(i_CFD.ObliRate/12))*[1]i.Finance!$O$64</f>
        <v>59826.722228495157</v>
      </c>
      <c r="BE134" s="586">
        <f>(AZ134/100*[1]i.Finance!$O$61)*[1]i.Finance!$O$64</f>
        <v>0</v>
      </c>
      <c r="BF134" s="586">
        <f>(AZ134/100*[1]i.Finance!$O$65)</f>
        <v>0</v>
      </c>
      <c r="BG134" s="587">
        <f t="shared" si="61"/>
        <v>59826.722228495157</v>
      </c>
      <c r="BH134" s="456"/>
      <c r="BI134" s="586">
        <f>-PV([1]i.Finance!$O$63/12,[1]i.Finance!$O$62*12,mCFD!BG134)</f>
        <v>10233961.918709608</v>
      </c>
      <c r="BJ134" s="586">
        <f>BI134*[1]i.Finance!$O$58</f>
        <v>8033660.1061870428</v>
      </c>
      <c r="BK134" s="586"/>
      <c r="BL134" s="586"/>
      <c r="BP134" s="533"/>
      <c r="BQ134" s="533"/>
      <c r="BR134" s="533" t="e">
        <f t="shared" si="62"/>
        <v>#NAME?</v>
      </c>
      <c r="BS134" s="533" t="e">
        <f t="shared" si="63"/>
        <v>#NAME?</v>
      </c>
      <c r="BT134" s="533" t="e">
        <f t="shared" si="64"/>
        <v>#NAME?</v>
      </c>
      <c r="BU134" s="533"/>
    </row>
    <row r="135" spans="1:73" ht="16" hidden="1" outlineLevel="2">
      <c r="A135" s="366"/>
      <c r="B135" s="562"/>
      <c r="C135" s="366"/>
      <c r="D135" s="454"/>
      <c r="E135" s="547">
        <f t="shared" si="74"/>
        <v>129</v>
      </c>
      <c r="F135" s="547">
        <f t="shared" si="65"/>
        <v>43</v>
      </c>
      <c r="G135" s="547">
        <f t="shared" si="66"/>
        <v>11</v>
      </c>
      <c r="H135" s="548">
        <f t="shared" si="80"/>
        <v>47726</v>
      </c>
      <c r="I135" s="549">
        <f t="shared" ref="I135:I198" si="83">YEAR(H135)</f>
        <v>2030</v>
      </c>
      <c r="K135" s="547">
        <f>[1]mProject!KB139</f>
        <v>0</v>
      </c>
      <c r="L135" s="547">
        <f t="shared" ref="L135:L198" si="84">+K135+L134</f>
        <v>950</v>
      </c>
      <c r="M135" s="547">
        <f t="shared" ref="M135:M198" si="85">M134</f>
        <v>295000</v>
      </c>
      <c r="N135" s="547">
        <f t="shared" ref="N135:N198" si="86">M135*K135</f>
        <v>0</v>
      </c>
      <c r="O135" s="547">
        <f t="shared" si="68"/>
        <v>280250000</v>
      </c>
      <c r="P135" s="547">
        <f>[1]mProject!W139</f>
        <v>351366.44609568437</v>
      </c>
      <c r="Q135" s="547">
        <f t="shared" ref="Q135:Q198" si="87">P135*K135</f>
        <v>0</v>
      </c>
      <c r="R135" s="547">
        <f t="shared" si="69"/>
        <v>296355280.38883054</v>
      </c>
      <c r="T135" s="547">
        <v>0</v>
      </c>
      <c r="U135" s="547">
        <f t="shared" ref="U135:U198" si="88">+T135+U134</f>
        <v>0</v>
      </c>
      <c r="V135" s="547">
        <f>IF(T135=0,0,$V$7*(1+#REF!)^#REF!)</f>
        <v>0</v>
      </c>
      <c r="W135" s="547">
        <f t="shared" si="70"/>
        <v>0</v>
      </c>
      <c r="X135" s="547">
        <f t="shared" ref="X135:X198" si="89">W135*T135</f>
        <v>0</v>
      </c>
      <c r="Y135" s="547">
        <f t="shared" ref="Y135:Y198" si="90">T135*V135</f>
        <v>0</v>
      </c>
      <c r="AA135" s="547">
        <v>0</v>
      </c>
      <c r="AB135" s="547">
        <f t="shared" ref="AB135:AB198" si="91">+AA135+AB134</f>
        <v>0</v>
      </c>
      <c r="AC135" s="547">
        <f>IF(AA135=0,0,$V$7*(1+#REF!)^#REF!)</f>
        <v>0</v>
      </c>
      <c r="AD135" s="547">
        <f t="shared" si="71"/>
        <v>0</v>
      </c>
      <c r="AE135" s="547">
        <f t="shared" ref="AE135:AE198" si="92">AD135*AA135</f>
        <v>0</v>
      </c>
      <c r="AF135" s="547">
        <f t="shared" ref="AF135:AF198" si="93">AA135*AC135</f>
        <v>0</v>
      </c>
      <c r="AH135" s="547">
        <f t="shared" ref="AH135:AH198" si="94">+K135+T135+AA135</f>
        <v>0</v>
      </c>
      <c r="AI135" s="547">
        <f t="shared" si="72"/>
        <v>950</v>
      </c>
      <c r="AJ135" s="547">
        <f t="shared" si="82"/>
        <v>0</v>
      </c>
      <c r="AK135" s="547">
        <f>AJ135*[1]mProject!V139</f>
        <v>0</v>
      </c>
      <c r="AL135" s="547">
        <f t="shared" ref="AL135:AL198" si="95">N135+X135+AE135</f>
        <v>0</v>
      </c>
      <c r="AM135" s="547">
        <f t="shared" ref="AM135:AM198" si="96">Q135</f>
        <v>0</v>
      </c>
      <c r="AN135" s="456"/>
      <c r="AO135" s="577" t="e">
        <f t="shared" si="75"/>
        <v>#REF!</v>
      </c>
      <c r="AP135" s="577" t="e">
        <f t="shared" si="79"/>
        <v>#REF!</v>
      </c>
      <c r="AQ135" s="577" t="e">
        <f t="shared" si="81"/>
        <v>#REF!</v>
      </c>
      <c r="AR135" s="578" t="e">
        <f t="shared" si="76"/>
        <v>#REF!</v>
      </c>
      <c r="AS135" s="547" t="e">
        <f t="shared" si="78"/>
        <v>#REF!</v>
      </c>
      <c r="AT135" s="547"/>
      <c r="AU135" s="547"/>
      <c r="AV135" s="547" t="e">
        <f t="shared" ref="AV135:AV198" si="97">SUM(AS135:AU135)</f>
        <v>#REF!</v>
      </c>
      <c r="AW135" s="547" t="e">
        <f>AI135*#REF!+AI134*#REF!+AI133*#REF!</f>
        <v>#REF!</v>
      </c>
      <c r="AX135" s="456"/>
      <c r="AY135" s="585">
        <f t="shared" si="73"/>
        <v>1.2396400214139867</v>
      </c>
      <c r="AZ135" s="547">
        <f t="shared" ref="AZ135:AZ198" si="98">(Q135*i_CFD.FullCashRatio*i_CFD.ResiAssesRatio)+(AU135*i_CFD.FullCashRatio*i_CFD.CommeAssesRatio)*AY135</f>
        <v>0</v>
      </c>
      <c r="BA135" s="547">
        <f>BA134*[1]mProject!V140</f>
        <v>0</v>
      </c>
      <c r="BB135" s="547">
        <f t="shared" si="77"/>
        <v>17781316.823329829</v>
      </c>
      <c r="BC135" s="456"/>
      <c r="BD135" s="588">
        <f>((BB135/100)*(i_CFD.ObliRate/12))*[1]i.Finance!$O$64</f>
        <v>59826.722228495157</v>
      </c>
      <c r="BE135" s="588">
        <f>(AZ135/100*[1]i.Finance!$O$61)*[1]i.Finance!$O$64</f>
        <v>0</v>
      </c>
      <c r="BF135" s="588">
        <f>(AZ135/100*[1]i.Finance!$O$65)</f>
        <v>0</v>
      </c>
      <c r="BG135" s="589">
        <f t="shared" ref="BG135:BG198" si="99">BD135+BF135</f>
        <v>59826.722228495157</v>
      </c>
      <c r="BH135" s="456"/>
      <c r="BI135" s="588">
        <f>-PV([1]i.Finance!$O$63/12,[1]i.Finance!$O$62*12,mCFD!BG135)</f>
        <v>10233961.918709608</v>
      </c>
      <c r="BJ135" s="588">
        <f>BI135*[1]i.Finance!$O$58</f>
        <v>8033660.1061870428</v>
      </c>
      <c r="BK135" s="588"/>
      <c r="BL135" s="588"/>
      <c r="BP135" s="547"/>
      <c r="BQ135" s="547"/>
      <c r="BR135" s="547" t="e">
        <f t="shared" ref="BR135:BR198" si="100">LOOKUP(H135,cv_Dates,cv_Lots.Sold)*$BR$5</f>
        <v>#NAME?</v>
      </c>
      <c r="BS135" s="547" t="e">
        <f t="shared" ref="BS135:BS198" si="101">BR135*-$BS$5</f>
        <v>#NAME?</v>
      </c>
      <c r="BT135" s="547" t="e">
        <f t="shared" ref="BT135:BT198" si="102">BR135+BS135</f>
        <v>#NAME?</v>
      </c>
      <c r="BU135" s="547"/>
    </row>
    <row r="136" spans="1:73" ht="16" hidden="1" outlineLevel="2">
      <c r="A136" s="366"/>
      <c r="B136" s="562"/>
      <c r="C136" s="366"/>
      <c r="D136" s="454"/>
      <c r="E136" s="530">
        <f t="shared" si="74"/>
        <v>130</v>
      </c>
      <c r="F136" s="530">
        <f t="shared" ref="F136:F199" si="103">INT(INT(E136+2)/3)</f>
        <v>44</v>
      </c>
      <c r="G136" s="530">
        <f t="shared" ref="G136:G199" si="104">MIN(INT(YEARFRAC(H$7,EDATE(H136,12),3)))</f>
        <v>11</v>
      </c>
      <c r="H136" s="554">
        <f t="shared" si="80"/>
        <v>47756</v>
      </c>
      <c r="I136" s="555">
        <f t="shared" si="83"/>
        <v>2030</v>
      </c>
      <c r="K136" s="530">
        <f>[1]mProject!KB140</f>
        <v>0</v>
      </c>
      <c r="L136" s="530">
        <f t="shared" si="84"/>
        <v>950</v>
      </c>
      <c r="M136" s="530">
        <f t="shared" si="85"/>
        <v>295000</v>
      </c>
      <c r="N136" s="530">
        <f t="shared" si="86"/>
        <v>0</v>
      </c>
      <c r="O136" s="530">
        <f t="shared" ref="O136:O199" si="105">O135+N136</f>
        <v>280250000</v>
      </c>
      <c r="P136" s="530">
        <f>[1]mProject!W140</f>
        <v>351952.05683917721</v>
      </c>
      <c r="Q136" s="530">
        <f t="shared" si="87"/>
        <v>0</v>
      </c>
      <c r="R136" s="530">
        <f t="shared" ref="R136:R199" si="106">R135+Q136</f>
        <v>296355280.38883054</v>
      </c>
      <c r="T136" s="530">
        <v>0</v>
      </c>
      <c r="U136" s="530">
        <f t="shared" si="88"/>
        <v>0</v>
      </c>
      <c r="V136" s="530">
        <f>IF(T136=0,0,$V$7*(1+#REF!)^#REF!)</f>
        <v>0</v>
      </c>
      <c r="W136" s="530">
        <f t="shared" ref="W136:W199" si="107">IF(T136=0,0,$V$7)</f>
        <v>0</v>
      </c>
      <c r="X136" s="530">
        <f t="shared" si="89"/>
        <v>0</v>
      </c>
      <c r="Y136" s="530">
        <f t="shared" si="90"/>
        <v>0</v>
      </c>
      <c r="AA136" s="530">
        <v>0</v>
      </c>
      <c r="AB136" s="530">
        <f t="shared" si="91"/>
        <v>0</v>
      </c>
      <c r="AC136" s="530">
        <f>IF(AA136=0,0,$V$7*(1+#REF!)^#REF!)</f>
        <v>0</v>
      </c>
      <c r="AD136" s="530">
        <f t="shared" ref="AD136:AD199" si="108">IF(AA136=0,0,$V$7)</f>
        <v>0</v>
      </c>
      <c r="AE136" s="530">
        <f t="shared" si="92"/>
        <v>0</v>
      </c>
      <c r="AF136" s="530">
        <f t="shared" si="93"/>
        <v>0</v>
      </c>
      <c r="AH136" s="530">
        <f t="shared" si="94"/>
        <v>0</v>
      </c>
      <c r="AI136" s="530">
        <f t="shared" ref="AI136:AI199" si="109">+AH136+AI135</f>
        <v>950</v>
      </c>
      <c r="AJ136" s="530">
        <f t="shared" si="82"/>
        <v>0</v>
      </c>
      <c r="AK136" s="530">
        <f>AJ136*[1]mProject!V140</f>
        <v>0</v>
      </c>
      <c r="AL136" s="530">
        <f t="shared" si="95"/>
        <v>0</v>
      </c>
      <c r="AM136" s="530">
        <f t="shared" si="96"/>
        <v>0</v>
      </c>
      <c r="AN136" s="456"/>
      <c r="AO136" s="572" t="e">
        <f t="shared" si="75"/>
        <v>#REF!</v>
      </c>
      <c r="AP136" s="572" t="e">
        <f t="shared" si="79"/>
        <v>#REF!</v>
      </c>
      <c r="AQ136" s="572" t="e">
        <f t="shared" si="81"/>
        <v>#REF!</v>
      </c>
      <c r="AR136" s="573" t="e">
        <f t="shared" si="76"/>
        <v>#REF!</v>
      </c>
      <c r="AS136" s="530" t="e">
        <f t="shared" si="78"/>
        <v>#REF!</v>
      </c>
      <c r="AT136" s="530"/>
      <c r="AU136" s="530"/>
      <c r="AV136" s="530" t="e">
        <f t="shared" si="97"/>
        <v>#REF!</v>
      </c>
      <c r="AW136" s="530" t="e">
        <f>AI136*#REF!+AI135*#REF!+AI134*#REF!</f>
        <v>#REF!</v>
      </c>
      <c r="AX136" s="456"/>
      <c r="AY136" s="583">
        <f t="shared" ref="AY136:AY199" si="110">AY135*(1+i_CFD.AV.Inflation/12)</f>
        <v>1.2417060881163433</v>
      </c>
      <c r="AZ136" s="530">
        <f t="shared" si="98"/>
        <v>0</v>
      </c>
      <c r="BA136" s="530">
        <f>BA135*[1]mProject!V141</f>
        <v>0</v>
      </c>
      <c r="BB136" s="530">
        <f t="shared" si="77"/>
        <v>17781316.823329829</v>
      </c>
      <c r="BC136" s="456"/>
      <c r="BD136" s="590">
        <f>((BB136/100)*(i_CFD.ObliRate/12))*[1]i.Finance!$O$64</f>
        <v>59826.722228495157</v>
      </c>
      <c r="BE136" s="590">
        <f>(AZ136/100*[1]i.Finance!$O$61)*[1]i.Finance!$O$64</f>
        <v>0</v>
      </c>
      <c r="BF136" s="590">
        <f>(AZ136/100*[1]i.Finance!$O$65)</f>
        <v>0</v>
      </c>
      <c r="BG136" s="591">
        <f t="shared" si="99"/>
        <v>59826.722228495157</v>
      </c>
      <c r="BH136" s="456"/>
      <c r="BI136" s="590">
        <f>-PV([1]i.Finance!$O$63/12,[1]i.Finance!$O$62*12,mCFD!BG136)</f>
        <v>10233961.918709608</v>
      </c>
      <c r="BJ136" s="590">
        <f>BI136*[1]i.Finance!$O$58</f>
        <v>8033660.1061870428</v>
      </c>
      <c r="BK136" s="590"/>
      <c r="BL136" s="590"/>
      <c r="BP136" s="530"/>
      <c r="BQ136" s="530"/>
      <c r="BR136" s="530" t="e">
        <f t="shared" si="100"/>
        <v>#NAME?</v>
      </c>
      <c r="BS136" s="530" t="e">
        <f t="shared" si="101"/>
        <v>#NAME?</v>
      </c>
      <c r="BT136" s="530" t="e">
        <f t="shared" si="102"/>
        <v>#NAME?</v>
      </c>
      <c r="BU136" s="530"/>
    </row>
    <row r="137" spans="1:73" ht="16" hidden="1" outlineLevel="2">
      <c r="A137" s="366"/>
      <c r="B137" s="562"/>
      <c r="C137" s="366"/>
      <c r="D137" s="454"/>
      <c r="E137" s="533">
        <f t="shared" ref="E137:E200" si="111">E136+1</f>
        <v>131</v>
      </c>
      <c r="F137" s="533">
        <f t="shared" si="103"/>
        <v>44</v>
      </c>
      <c r="G137" s="533">
        <f t="shared" si="104"/>
        <v>11</v>
      </c>
      <c r="H137" s="541">
        <f t="shared" si="80"/>
        <v>47787</v>
      </c>
      <c r="I137" s="542">
        <f t="shared" si="83"/>
        <v>2030</v>
      </c>
      <c r="K137" s="533">
        <f>[1]mProject!KB141</f>
        <v>0</v>
      </c>
      <c r="L137" s="533">
        <f t="shared" si="84"/>
        <v>950</v>
      </c>
      <c r="M137" s="533">
        <f t="shared" si="85"/>
        <v>295000</v>
      </c>
      <c r="N137" s="533">
        <f t="shared" si="86"/>
        <v>0</v>
      </c>
      <c r="O137" s="533">
        <f t="shared" si="105"/>
        <v>280250000</v>
      </c>
      <c r="P137" s="533">
        <f>[1]mProject!W141</f>
        <v>352538.64360057586</v>
      </c>
      <c r="Q137" s="533">
        <f t="shared" si="87"/>
        <v>0</v>
      </c>
      <c r="R137" s="533">
        <f t="shared" si="106"/>
        <v>296355280.38883054</v>
      </c>
      <c r="T137" s="533">
        <v>0</v>
      </c>
      <c r="U137" s="533">
        <f t="shared" si="88"/>
        <v>0</v>
      </c>
      <c r="V137" s="533">
        <f>IF(T137=0,0,$V$7*(1+#REF!)^#REF!)</f>
        <v>0</v>
      </c>
      <c r="W137" s="533">
        <f t="shared" si="107"/>
        <v>0</v>
      </c>
      <c r="X137" s="533">
        <f t="shared" si="89"/>
        <v>0</v>
      </c>
      <c r="Y137" s="533">
        <f t="shared" si="90"/>
        <v>0</v>
      </c>
      <c r="AA137" s="533">
        <v>0</v>
      </c>
      <c r="AB137" s="533">
        <f t="shared" si="91"/>
        <v>0</v>
      </c>
      <c r="AC137" s="533">
        <f>IF(AA137=0,0,$V$7*(1+#REF!)^#REF!)</f>
        <v>0</v>
      </c>
      <c r="AD137" s="533">
        <f t="shared" si="108"/>
        <v>0</v>
      </c>
      <c r="AE137" s="533">
        <f t="shared" si="92"/>
        <v>0</v>
      </c>
      <c r="AF137" s="533">
        <f t="shared" si="93"/>
        <v>0</v>
      </c>
      <c r="AH137" s="533">
        <f t="shared" si="94"/>
        <v>0</v>
      </c>
      <c r="AI137" s="533">
        <f t="shared" si="109"/>
        <v>950</v>
      </c>
      <c r="AJ137" s="533">
        <f t="shared" si="82"/>
        <v>0</v>
      </c>
      <c r="AK137" s="533">
        <f>AJ137*[1]mProject!V141</f>
        <v>0</v>
      </c>
      <c r="AL137" s="533">
        <f t="shared" si="95"/>
        <v>0</v>
      </c>
      <c r="AM137" s="533">
        <f t="shared" si="96"/>
        <v>0</v>
      </c>
      <c r="AN137" s="456"/>
      <c r="AO137" s="575" t="e">
        <f t="shared" si="75"/>
        <v>#REF!</v>
      </c>
      <c r="AP137" s="575" t="e">
        <f t="shared" si="79"/>
        <v>#REF!</v>
      </c>
      <c r="AQ137" s="575" t="e">
        <f t="shared" si="81"/>
        <v>#REF!</v>
      </c>
      <c r="AR137" s="576" t="e">
        <f t="shared" si="76"/>
        <v>#REF!</v>
      </c>
      <c r="AS137" s="533" t="e">
        <f t="shared" si="78"/>
        <v>#REF!</v>
      </c>
      <c r="AT137" s="533"/>
      <c r="AU137" s="533"/>
      <c r="AV137" s="533" t="e">
        <f t="shared" si="97"/>
        <v>#REF!</v>
      </c>
      <c r="AW137" s="533" t="e">
        <f>AI137*#REF!+AI136*#REF!+AI135*#REF!</f>
        <v>#REF!</v>
      </c>
      <c r="AX137" s="456"/>
      <c r="AY137" s="584">
        <f t="shared" si="110"/>
        <v>1.2437755982632039</v>
      </c>
      <c r="AZ137" s="533">
        <f t="shared" si="98"/>
        <v>0</v>
      </c>
      <c r="BA137" s="533">
        <f>BA136*[1]mProject!V142</f>
        <v>0</v>
      </c>
      <c r="BB137" s="533">
        <f t="shared" si="77"/>
        <v>17781316.823329829</v>
      </c>
      <c r="BC137" s="456"/>
      <c r="BD137" s="586">
        <f>((BB137/100)*(i_CFD.ObliRate/12))*[1]i.Finance!$O$64</f>
        <v>59826.722228495157</v>
      </c>
      <c r="BE137" s="586">
        <f>(AZ137/100*[1]i.Finance!$O$61)*[1]i.Finance!$O$64</f>
        <v>0</v>
      </c>
      <c r="BF137" s="586">
        <f>(AZ137/100*[1]i.Finance!$O$65)</f>
        <v>0</v>
      </c>
      <c r="BG137" s="587">
        <f t="shared" si="99"/>
        <v>59826.722228495157</v>
      </c>
      <c r="BH137" s="456"/>
      <c r="BI137" s="586">
        <f>-PV([1]i.Finance!$O$63/12,[1]i.Finance!$O$62*12,mCFD!BG137)</f>
        <v>10233961.918709608</v>
      </c>
      <c r="BJ137" s="586">
        <f>BI137*[1]i.Finance!$O$58</f>
        <v>8033660.1061870428</v>
      </c>
      <c r="BK137" s="586"/>
      <c r="BL137" s="586"/>
      <c r="BP137" s="533"/>
      <c r="BQ137" s="533"/>
      <c r="BR137" s="533" t="e">
        <f t="shared" si="100"/>
        <v>#NAME?</v>
      </c>
      <c r="BS137" s="533" t="e">
        <f t="shared" si="101"/>
        <v>#NAME?</v>
      </c>
      <c r="BT137" s="533" t="e">
        <f t="shared" si="102"/>
        <v>#NAME?</v>
      </c>
      <c r="BU137" s="533"/>
    </row>
    <row r="138" spans="1:73" ht="17" hidden="1" outlineLevel="2" thickBot="1">
      <c r="A138" s="366"/>
      <c r="B138" s="562"/>
      <c r="C138" s="366"/>
      <c r="D138" s="454"/>
      <c r="E138" s="564">
        <f t="shared" si="111"/>
        <v>132</v>
      </c>
      <c r="F138" s="564">
        <f t="shared" si="103"/>
        <v>44</v>
      </c>
      <c r="G138" s="564">
        <f t="shared" si="104"/>
        <v>11</v>
      </c>
      <c r="H138" s="565">
        <f t="shared" si="80"/>
        <v>47817</v>
      </c>
      <c r="I138" s="566">
        <f t="shared" si="83"/>
        <v>2030</v>
      </c>
      <c r="K138" s="564">
        <f>[1]mProject!KB142</f>
        <v>0</v>
      </c>
      <c r="L138" s="564">
        <f t="shared" si="84"/>
        <v>950</v>
      </c>
      <c r="M138" s="564">
        <f t="shared" si="85"/>
        <v>295000</v>
      </c>
      <c r="N138" s="564">
        <f t="shared" si="86"/>
        <v>0</v>
      </c>
      <c r="O138" s="564">
        <f t="shared" si="105"/>
        <v>280250000</v>
      </c>
      <c r="P138" s="564">
        <f>[1]mProject!W142</f>
        <v>353126.20800657681</v>
      </c>
      <c r="Q138" s="564">
        <f t="shared" si="87"/>
        <v>0</v>
      </c>
      <c r="R138" s="564">
        <f t="shared" si="106"/>
        <v>296355280.38883054</v>
      </c>
      <c r="T138" s="564">
        <v>0</v>
      </c>
      <c r="U138" s="564">
        <f t="shared" si="88"/>
        <v>0</v>
      </c>
      <c r="V138" s="564">
        <f>IF(T138=0,0,$V$7*(1+#REF!)^#REF!)</f>
        <v>0</v>
      </c>
      <c r="W138" s="564">
        <f t="shared" si="107"/>
        <v>0</v>
      </c>
      <c r="X138" s="564">
        <f t="shared" si="89"/>
        <v>0</v>
      </c>
      <c r="Y138" s="564">
        <f t="shared" si="90"/>
        <v>0</v>
      </c>
      <c r="AA138" s="564">
        <v>0</v>
      </c>
      <c r="AB138" s="564">
        <f t="shared" si="91"/>
        <v>0</v>
      </c>
      <c r="AC138" s="564">
        <f>IF(AA138=0,0,$V$7*(1+#REF!)^#REF!)</f>
        <v>0</v>
      </c>
      <c r="AD138" s="564">
        <f t="shared" si="108"/>
        <v>0</v>
      </c>
      <c r="AE138" s="564">
        <f t="shared" si="92"/>
        <v>0</v>
      </c>
      <c r="AF138" s="564">
        <f t="shared" si="93"/>
        <v>0</v>
      </c>
      <c r="AH138" s="564">
        <f t="shared" si="94"/>
        <v>0</v>
      </c>
      <c r="AI138" s="564">
        <f t="shared" si="109"/>
        <v>950</v>
      </c>
      <c r="AJ138" s="564">
        <f t="shared" si="82"/>
        <v>0</v>
      </c>
      <c r="AK138" s="564">
        <f>AJ138*[1]mProject!V142</f>
        <v>0</v>
      </c>
      <c r="AL138" s="564">
        <f t="shared" si="95"/>
        <v>0</v>
      </c>
      <c r="AM138" s="564">
        <f t="shared" si="96"/>
        <v>0</v>
      </c>
      <c r="AN138" s="456"/>
      <c r="AO138" s="581" t="e">
        <f t="shared" si="75"/>
        <v>#REF!</v>
      </c>
      <c r="AP138" s="581" t="e">
        <f t="shared" si="79"/>
        <v>#REF!</v>
      </c>
      <c r="AQ138" s="581" t="e">
        <f t="shared" si="81"/>
        <v>#REF!</v>
      </c>
      <c r="AR138" s="582" t="e">
        <f t="shared" si="76"/>
        <v>#REF!</v>
      </c>
      <c r="AS138" s="564" t="e">
        <f t="shared" si="78"/>
        <v>#REF!</v>
      </c>
      <c r="AT138" s="564"/>
      <c r="AU138" s="564"/>
      <c r="AV138" s="564" t="e">
        <f t="shared" si="97"/>
        <v>#REF!</v>
      </c>
      <c r="AW138" s="564" t="e">
        <f>AI138*#REF!+AI137*#REF!+AI136*#REF!</f>
        <v>#REF!</v>
      </c>
      <c r="AX138" s="456"/>
      <c r="AY138" s="592">
        <f t="shared" si="110"/>
        <v>1.2458485575936427</v>
      </c>
      <c r="AZ138" s="564">
        <f t="shared" si="98"/>
        <v>0</v>
      </c>
      <c r="BA138" s="564">
        <f>BA137*[1]mProject!V143</f>
        <v>0</v>
      </c>
      <c r="BB138" s="564">
        <f t="shared" si="77"/>
        <v>17781316.823329829</v>
      </c>
      <c r="BC138" s="456"/>
      <c r="BD138" s="593">
        <f>((BB138/100)*(i_CFD.ObliRate/12))*[1]i.Finance!$O$64</f>
        <v>59826.722228495157</v>
      </c>
      <c r="BE138" s="593">
        <f>(AZ138/100*[1]i.Finance!$O$61)*[1]i.Finance!$O$64</f>
        <v>0</v>
      </c>
      <c r="BF138" s="593">
        <f>(AZ138/100*[1]i.Finance!$O$65)</f>
        <v>0</v>
      </c>
      <c r="BG138" s="594">
        <f t="shared" si="99"/>
        <v>59826.722228495157</v>
      </c>
      <c r="BH138" s="456"/>
      <c r="BI138" s="593">
        <f>-PV([1]i.Finance!$O$63/12,[1]i.Finance!$O$62*12,mCFD!BG138)</f>
        <v>10233961.918709608</v>
      </c>
      <c r="BJ138" s="593">
        <f>BI138*[1]i.Finance!$O$58</f>
        <v>8033660.1061870428</v>
      </c>
      <c r="BK138" s="593"/>
      <c r="BL138" s="593"/>
      <c r="BP138" s="564"/>
      <c r="BQ138" s="564"/>
      <c r="BR138" s="564" t="e">
        <f t="shared" si="100"/>
        <v>#NAME?</v>
      </c>
      <c r="BS138" s="564" t="e">
        <f t="shared" si="101"/>
        <v>#NAME?</v>
      </c>
      <c r="BT138" s="564" t="e">
        <f t="shared" si="102"/>
        <v>#NAME?</v>
      </c>
      <c r="BU138" s="564"/>
    </row>
    <row r="139" spans="1:73" ht="16" hidden="1" outlineLevel="2">
      <c r="A139" s="366"/>
      <c r="B139" s="562"/>
      <c r="C139" s="366"/>
      <c r="D139" s="454"/>
      <c r="E139" s="530">
        <f t="shared" si="111"/>
        <v>133</v>
      </c>
      <c r="F139" s="530">
        <f t="shared" si="103"/>
        <v>45</v>
      </c>
      <c r="G139" s="530">
        <f t="shared" si="104"/>
        <v>12</v>
      </c>
      <c r="H139" s="571">
        <f t="shared" si="80"/>
        <v>47848</v>
      </c>
      <c r="I139" s="532">
        <f t="shared" si="83"/>
        <v>2030</v>
      </c>
      <c r="K139" s="530">
        <f>[1]mProject!KB143</f>
        <v>0</v>
      </c>
      <c r="L139" s="530">
        <f t="shared" si="84"/>
        <v>950</v>
      </c>
      <c r="M139" s="530">
        <f t="shared" si="85"/>
        <v>295000</v>
      </c>
      <c r="N139" s="530">
        <f t="shared" si="86"/>
        <v>0</v>
      </c>
      <c r="O139" s="530">
        <f t="shared" si="105"/>
        <v>280250000</v>
      </c>
      <c r="P139" s="530">
        <f>[1]mProject!W143</f>
        <v>353714.75168658781</v>
      </c>
      <c r="Q139" s="530">
        <f t="shared" si="87"/>
        <v>0</v>
      </c>
      <c r="R139" s="530">
        <f t="shared" si="106"/>
        <v>296355280.38883054</v>
      </c>
      <c r="T139" s="530">
        <v>0</v>
      </c>
      <c r="U139" s="530">
        <f t="shared" si="88"/>
        <v>0</v>
      </c>
      <c r="V139" s="530">
        <f>IF(T139=0,0,$V$7*(1+#REF!)^#REF!)</f>
        <v>0</v>
      </c>
      <c r="W139" s="530">
        <f t="shared" si="107"/>
        <v>0</v>
      </c>
      <c r="X139" s="530">
        <f t="shared" si="89"/>
        <v>0</v>
      </c>
      <c r="Y139" s="530">
        <f t="shared" si="90"/>
        <v>0</v>
      </c>
      <c r="AA139" s="530">
        <v>0</v>
      </c>
      <c r="AB139" s="530">
        <f t="shared" si="91"/>
        <v>0</v>
      </c>
      <c r="AC139" s="530">
        <f>IF(AA139=0,0,$V$7*(1+#REF!)^#REF!)</f>
        <v>0</v>
      </c>
      <c r="AD139" s="530">
        <f t="shared" si="108"/>
        <v>0</v>
      </c>
      <c r="AE139" s="530">
        <f t="shared" si="92"/>
        <v>0</v>
      </c>
      <c r="AF139" s="530">
        <f t="shared" si="93"/>
        <v>0</v>
      </c>
      <c r="AH139" s="530">
        <f t="shared" si="94"/>
        <v>0</v>
      </c>
      <c r="AI139" s="530">
        <f t="shared" si="109"/>
        <v>950</v>
      </c>
      <c r="AJ139" s="530">
        <f t="shared" si="82"/>
        <v>0</v>
      </c>
      <c r="AK139" s="530">
        <f>AJ139*[1]mProject!V143</f>
        <v>0</v>
      </c>
      <c r="AL139" s="530">
        <f t="shared" si="95"/>
        <v>0</v>
      </c>
      <c r="AM139" s="530">
        <f t="shared" si="96"/>
        <v>0</v>
      </c>
      <c r="AN139" s="456"/>
      <c r="AO139" s="572" t="e">
        <f t="shared" si="75"/>
        <v>#REF!</v>
      </c>
      <c r="AP139" s="572" t="e">
        <f t="shared" si="79"/>
        <v>#REF!</v>
      </c>
      <c r="AQ139" s="572" t="e">
        <f t="shared" si="81"/>
        <v>#REF!</v>
      </c>
      <c r="AR139" s="573" t="e">
        <f t="shared" si="76"/>
        <v>#REF!</v>
      </c>
      <c r="AS139" s="530" t="e">
        <f t="shared" si="78"/>
        <v>#REF!</v>
      </c>
      <c r="AT139" s="530"/>
      <c r="AU139" s="530"/>
      <c r="AV139" s="530" t="e">
        <f t="shared" si="97"/>
        <v>#REF!</v>
      </c>
      <c r="AW139" s="530" t="e">
        <f>AI139*#REF!+AI138*#REF!+AI137*#REF!</f>
        <v>#REF!</v>
      </c>
      <c r="AX139" s="456"/>
      <c r="AY139" s="583">
        <f t="shared" si="110"/>
        <v>1.2479249718562988</v>
      </c>
      <c r="AZ139" s="530">
        <f t="shared" si="98"/>
        <v>0</v>
      </c>
      <c r="BA139" s="530">
        <f>BA138*[1]mProject!V144</f>
        <v>0</v>
      </c>
      <c r="BB139" s="530">
        <f t="shared" si="77"/>
        <v>17781316.823329829</v>
      </c>
      <c r="BC139" s="456"/>
      <c r="BD139" s="590">
        <f>((BB139/100)*(i_CFD.ObliRate/12))*[1]i.Finance!$O$64</f>
        <v>59826.722228495157</v>
      </c>
      <c r="BE139" s="590">
        <f>(AZ139/100*[1]i.Finance!$O$61)*[1]i.Finance!$O$64</f>
        <v>0</v>
      </c>
      <c r="BF139" s="590">
        <f>(AZ139/100*[1]i.Finance!$O$65)</f>
        <v>0</v>
      </c>
      <c r="BG139" s="591">
        <f t="shared" si="99"/>
        <v>59826.722228495157</v>
      </c>
      <c r="BH139" s="456"/>
      <c r="BI139" s="590">
        <f>-PV([1]i.Finance!$O$63/12,[1]i.Finance!$O$62*12,mCFD!BG139)</f>
        <v>10233961.918709608</v>
      </c>
      <c r="BJ139" s="590">
        <f>BI139*[1]i.Finance!$O$58</f>
        <v>8033660.1061870428</v>
      </c>
      <c r="BK139" s="590"/>
      <c r="BL139" s="590"/>
      <c r="BP139" s="530"/>
      <c r="BQ139" s="530"/>
      <c r="BR139" s="530" t="e">
        <f t="shared" si="100"/>
        <v>#NAME?</v>
      </c>
      <c r="BS139" s="530" t="e">
        <f t="shared" si="101"/>
        <v>#NAME?</v>
      </c>
      <c r="BT139" s="530" t="e">
        <f t="shared" si="102"/>
        <v>#NAME?</v>
      </c>
      <c r="BU139" s="530"/>
    </row>
    <row r="140" spans="1:73" ht="16" hidden="1" outlineLevel="2">
      <c r="A140" s="366"/>
      <c r="B140" s="562"/>
      <c r="C140" s="366"/>
      <c r="D140" s="454"/>
      <c r="E140" s="533">
        <f t="shared" si="111"/>
        <v>134</v>
      </c>
      <c r="F140" s="533">
        <f t="shared" si="103"/>
        <v>45</v>
      </c>
      <c r="G140" s="533">
        <f t="shared" si="104"/>
        <v>12</v>
      </c>
      <c r="H140" s="541">
        <f t="shared" si="80"/>
        <v>47879</v>
      </c>
      <c r="I140" s="542">
        <f t="shared" si="83"/>
        <v>2031</v>
      </c>
      <c r="K140" s="533">
        <f>[1]mProject!KB144</f>
        <v>0</v>
      </c>
      <c r="L140" s="533">
        <f t="shared" si="84"/>
        <v>950</v>
      </c>
      <c r="M140" s="533">
        <f t="shared" si="85"/>
        <v>295000</v>
      </c>
      <c r="N140" s="533">
        <f t="shared" si="86"/>
        <v>0</v>
      </c>
      <c r="O140" s="533">
        <f t="shared" si="105"/>
        <v>280250000</v>
      </c>
      <c r="P140" s="533">
        <f>[1]mProject!W144</f>
        <v>354304.27627273212</v>
      </c>
      <c r="Q140" s="533">
        <f t="shared" si="87"/>
        <v>0</v>
      </c>
      <c r="R140" s="533">
        <f t="shared" si="106"/>
        <v>296355280.38883054</v>
      </c>
      <c r="T140" s="533">
        <v>0</v>
      </c>
      <c r="U140" s="533">
        <f t="shared" si="88"/>
        <v>0</v>
      </c>
      <c r="V140" s="533">
        <f>IF(T140=0,0,$V$7*(1+#REF!)^#REF!)</f>
        <v>0</v>
      </c>
      <c r="W140" s="533">
        <f t="shared" si="107"/>
        <v>0</v>
      </c>
      <c r="X140" s="533">
        <f t="shared" si="89"/>
        <v>0</v>
      </c>
      <c r="Y140" s="533">
        <f t="shared" si="90"/>
        <v>0</v>
      </c>
      <c r="AA140" s="533">
        <v>0</v>
      </c>
      <c r="AB140" s="533">
        <f t="shared" si="91"/>
        <v>0</v>
      </c>
      <c r="AC140" s="533">
        <f>IF(AA140=0,0,$V$7*(1+#REF!)^#REF!)</f>
        <v>0</v>
      </c>
      <c r="AD140" s="533">
        <f t="shared" si="108"/>
        <v>0</v>
      </c>
      <c r="AE140" s="533">
        <f t="shared" si="92"/>
        <v>0</v>
      </c>
      <c r="AF140" s="533">
        <f t="shared" si="93"/>
        <v>0</v>
      </c>
      <c r="AH140" s="533">
        <f t="shared" si="94"/>
        <v>0</v>
      </c>
      <c r="AI140" s="533">
        <f t="shared" si="109"/>
        <v>950</v>
      </c>
      <c r="AJ140" s="533">
        <f t="shared" si="82"/>
        <v>0</v>
      </c>
      <c r="AK140" s="533">
        <f>AJ140*[1]mProject!V144</f>
        <v>0</v>
      </c>
      <c r="AL140" s="533">
        <f t="shared" si="95"/>
        <v>0</v>
      </c>
      <c r="AM140" s="533">
        <f t="shared" si="96"/>
        <v>0</v>
      </c>
      <c r="AN140" s="456"/>
      <c r="AO140" s="575" t="e">
        <f t="shared" si="75"/>
        <v>#REF!</v>
      </c>
      <c r="AP140" s="575" t="e">
        <f t="shared" si="79"/>
        <v>#REF!</v>
      </c>
      <c r="AQ140" s="575" t="e">
        <f t="shared" si="81"/>
        <v>#REF!</v>
      </c>
      <c r="AR140" s="576" t="e">
        <f t="shared" si="76"/>
        <v>#REF!</v>
      </c>
      <c r="AS140" s="533" t="e">
        <f t="shared" si="78"/>
        <v>#REF!</v>
      </c>
      <c r="AT140" s="533"/>
      <c r="AU140" s="533"/>
      <c r="AV140" s="533" t="e">
        <f t="shared" si="97"/>
        <v>#REF!</v>
      </c>
      <c r="AW140" s="533" t="e">
        <f>AI140*#REF!+AI139*#REF!+AI138*#REF!</f>
        <v>#REF!</v>
      </c>
      <c r="AX140" s="456"/>
      <c r="AY140" s="584">
        <f t="shared" si="110"/>
        <v>1.2500048468093927</v>
      </c>
      <c r="AZ140" s="533">
        <f t="shared" si="98"/>
        <v>0</v>
      </c>
      <c r="BA140" s="533">
        <f>BA139*[1]mProject!V145</f>
        <v>0</v>
      </c>
      <c r="BB140" s="533">
        <f t="shared" si="77"/>
        <v>17781316.823329829</v>
      </c>
      <c r="BC140" s="456"/>
      <c r="BD140" s="586">
        <f>((BB140/100)*(i_CFD.ObliRate/12))*[1]i.Finance!$O$64</f>
        <v>59826.722228495157</v>
      </c>
      <c r="BE140" s="586">
        <f>(AZ140/100*[1]i.Finance!$O$61)*[1]i.Finance!$O$64</f>
        <v>0</v>
      </c>
      <c r="BF140" s="586">
        <f>(AZ140/100*[1]i.Finance!$O$65)</f>
        <v>0</v>
      </c>
      <c r="BG140" s="587">
        <f t="shared" si="99"/>
        <v>59826.722228495157</v>
      </c>
      <c r="BH140" s="456"/>
      <c r="BI140" s="586">
        <f>-PV([1]i.Finance!$O$63/12,[1]i.Finance!$O$62*12,mCFD!BG140)</f>
        <v>10233961.918709608</v>
      </c>
      <c r="BJ140" s="586">
        <f>BI140*[1]i.Finance!$O$58</f>
        <v>8033660.1061870428</v>
      </c>
      <c r="BK140" s="586"/>
      <c r="BL140" s="586"/>
      <c r="BP140" s="533"/>
      <c r="BQ140" s="533"/>
      <c r="BR140" s="533" t="e">
        <f t="shared" si="100"/>
        <v>#NAME?</v>
      </c>
      <c r="BS140" s="533" t="e">
        <f t="shared" si="101"/>
        <v>#NAME?</v>
      </c>
      <c r="BT140" s="533" t="e">
        <f t="shared" si="102"/>
        <v>#NAME?</v>
      </c>
      <c r="BU140" s="533"/>
    </row>
    <row r="141" spans="1:73" ht="16" hidden="1" outlineLevel="2">
      <c r="A141" s="366"/>
      <c r="B141" s="562"/>
      <c r="C141" s="366"/>
      <c r="D141" s="454"/>
      <c r="E141" s="547">
        <f t="shared" si="111"/>
        <v>135</v>
      </c>
      <c r="F141" s="547">
        <f t="shared" si="103"/>
        <v>45</v>
      </c>
      <c r="G141" s="547">
        <f t="shared" si="104"/>
        <v>12</v>
      </c>
      <c r="H141" s="548">
        <f t="shared" si="80"/>
        <v>47907</v>
      </c>
      <c r="I141" s="549">
        <f t="shared" si="83"/>
        <v>2031</v>
      </c>
      <c r="K141" s="547">
        <f>[1]mProject!KB145</f>
        <v>0</v>
      </c>
      <c r="L141" s="547">
        <f t="shared" si="84"/>
        <v>950</v>
      </c>
      <c r="M141" s="547">
        <f t="shared" si="85"/>
        <v>295000</v>
      </c>
      <c r="N141" s="547">
        <f t="shared" si="86"/>
        <v>0</v>
      </c>
      <c r="O141" s="547">
        <f t="shared" si="105"/>
        <v>280250000</v>
      </c>
      <c r="P141" s="547">
        <f>[1]mProject!W145</f>
        <v>354894.78339985333</v>
      </c>
      <c r="Q141" s="547">
        <f t="shared" si="87"/>
        <v>0</v>
      </c>
      <c r="R141" s="547">
        <f t="shared" si="106"/>
        <v>296355280.38883054</v>
      </c>
      <c r="T141" s="547">
        <v>0</v>
      </c>
      <c r="U141" s="547">
        <f t="shared" si="88"/>
        <v>0</v>
      </c>
      <c r="V141" s="547">
        <f>IF(T141=0,0,$V$7*(1+#REF!)^#REF!)</f>
        <v>0</v>
      </c>
      <c r="W141" s="547">
        <f t="shared" si="107"/>
        <v>0</v>
      </c>
      <c r="X141" s="547">
        <f t="shared" si="89"/>
        <v>0</v>
      </c>
      <c r="Y141" s="547">
        <f t="shared" si="90"/>
        <v>0</v>
      </c>
      <c r="AA141" s="547">
        <v>0</v>
      </c>
      <c r="AB141" s="547">
        <f t="shared" si="91"/>
        <v>0</v>
      </c>
      <c r="AC141" s="547">
        <f>IF(AA141=0,0,$V$7*(1+#REF!)^#REF!)</f>
        <v>0</v>
      </c>
      <c r="AD141" s="547">
        <f t="shared" si="108"/>
        <v>0</v>
      </c>
      <c r="AE141" s="547">
        <f t="shared" si="92"/>
        <v>0</v>
      </c>
      <c r="AF141" s="547">
        <f t="shared" si="93"/>
        <v>0</v>
      </c>
      <c r="AH141" s="547">
        <f t="shared" si="94"/>
        <v>0</v>
      </c>
      <c r="AI141" s="547">
        <f t="shared" si="109"/>
        <v>950</v>
      </c>
      <c r="AJ141" s="547">
        <f t="shared" si="82"/>
        <v>0</v>
      </c>
      <c r="AK141" s="547">
        <f>AJ141*[1]mProject!V145</f>
        <v>0</v>
      </c>
      <c r="AL141" s="547">
        <f t="shared" si="95"/>
        <v>0</v>
      </c>
      <c r="AM141" s="547">
        <f t="shared" si="96"/>
        <v>0</v>
      </c>
      <c r="AN141" s="456"/>
      <c r="AO141" s="577" t="e">
        <f t="shared" si="75"/>
        <v>#REF!</v>
      </c>
      <c r="AP141" s="577" t="e">
        <f t="shared" si="79"/>
        <v>#REF!</v>
      </c>
      <c r="AQ141" s="577" t="e">
        <f t="shared" si="81"/>
        <v>#REF!</v>
      </c>
      <c r="AR141" s="578" t="e">
        <f t="shared" si="76"/>
        <v>#REF!</v>
      </c>
      <c r="AS141" s="547" t="e">
        <f t="shared" si="78"/>
        <v>#REF!</v>
      </c>
      <c r="AT141" s="547"/>
      <c r="AU141" s="547"/>
      <c r="AV141" s="547" t="e">
        <f t="shared" si="97"/>
        <v>#REF!</v>
      </c>
      <c r="AW141" s="547" t="e">
        <f>AI141*#REF!+AI140*#REF!+AI139*#REF!</f>
        <v>#REF!</v>
      </c>
      <c r="AX141" s="456"/>
      <c r="AY141" s="585">
        <f t="shared" si="110"/>
        <v>1.2520881882207417</v>
      </c>
      <c r="AZ141" s="547">
        <f t="shared" si="98"/>
        <v>0</v>
      </c>
      <c r="BA141" s="547">
        <f>BA140*[1]mProject!V146</f>
        <v>0</v>
      </c>
      <c r="BB141" s="547">
        <f t="shared" si="77"/>
        <v>17781316.823329829</v>
      </c>
      <c r="BC141" s="456"/>
      <c r="BD141" s="588">
        <f>((BB141/100)*(i_CFD.ObliRate/12))*[1]i.Finance!$O$64</f>
        <v>59826.722228495157</v>
      </c>
      <c r="BE141" s="588">
        <f>(AZ141/100*[1]i.Finance!$O$61)*[1]i.Finance!$O$64</f>
        <v>0</v>
      </c>
      <c r="BF141" s="588">
        <f>(AZ141/100*[1]i.Finance!$O$65)</f>
        <v>0</v>
      </c>
      <c r="BG141" s="589">
        <f t="shared" si="99"/>
        <v>59826.722228495157</v>
      </c>
      <c r="BH141" s="456"/>
      <c r="BI141" s="588">
        <f>-PV([1]i.Finance!$O$63/12,[1]i.Finance!$O$62*12,mCFD!BG141)</f>
        <v>10233961.918709608</v>
      </c>
      <c r="BJ141" s="588">
        <f>BI141*[1]i.Finance!$O$58</f>
        <v>8033660.1061870428</v>
      </c>
      <c r="BK141" s="588"/>
      <c r="BL141" s="588"/>
      <c r="BP141" s="547"/>
      <c r="BQ141" s="547"/>
      <c r="BR141" s="547" t="e">
        <f t="shared" si="100"/>
        <v>#NAME?</v>
      </c>
      <c r="BS141" s="547" t="e">
        <f t="shared" si="101"/>
        <v>#NAME?</v>
      </c>
      <c r="BT141" s="547" t="e">
        <f t="shared" si="102"/>
        <v>#NAME?</v>
      </c>
      <c r="BU141" s="547"/>
    </row>
    <row r="142" spans="1:73" ht="16" hidden="1" outlineLevel="2">
      <c r="A142" s="366"/>
      <c r="B142" s="562"/>
      <c r="C142" s="366"/>
      <c r="D142" s="454"/>
      <c r="E142" s="530">
        <f t="shared" si="111"/>
        <v>136</v>
      </c>
      <c r="F142" s="530">
        <f t="shared" si="103"/>
        <v>46</v>
      </c>
      <c r="G142" s="530">
        <f t="shared" si="104"/>
        <v>12</v>
      </c>
      <c r="H142" s="554">
        <f t="shared" si="80"/>
        <v>47938</v>
      </c>
      <c r="I142" s="555">
        <f t="shared" si="83"/>
        <v>2031</v>
      </c>
      <c r="K142" s="530">
        <f>[1]mProject!KB146</f>
        <v>0</v>
      </c>
      <c r="L142" s="530">
        <f t="shared" si="84"/>
        <v>950</v>
      </c>
      <c r="M142" s="530">
        <f t="shared" si="85"/>
        <v>295000</v>
      </c>
      <c r="N142" s="530">
        <f t="shared" si="86"/>
        <v>0</v>
      </c>
      <c r="O142" s="530">
        <f t="shared" si="105"/>
        <v>280250000</v>
      </c>
      <c r="P142" s="530">
        <f>[1]mProject!W146</f>
        <v>355486.27470551978</v>
      </c>
      <c r="Q142" s="530">
        <f t="shared" si="87"/>
        <v>0</v>
      </c>
      <c r="R142" s="530">
        <f t="shared" si="106"/>
        <v>296355280.38883054</v>
      </c>
      <c r="T142" s="530">
        <v>0</v>
      </c>
      <c r="U142" s="530">
        <f t="shared" si="88"/>
        <v>0</v>
      </c>
      <c r="V142" s="530">
        <f>IF(T142=0,0,$V$7*(1+#REF!)^#REF!)</f>
        <v>0</v>
      </c>
      <c r="W142" s="530">
        <f t="shared" si="107"/>
        <v>0</v>
      </c>
      <c r="X142" s="530">
        <f t="shared" si="89"/>
        <v>0</v>
      </c>
      <c r="Y142" s="530">
        <f t="shared" si="90"/>
        <v>0</v>
      </c>
      <c r="AA142" s="530">
        <v>0</v>
      </c>
      <c r="AB142" s="530">
        <f t="shared" si="91"/>
        <v>0</v>
      </c>
      <c r="AC142" s="530">
        <f>IF(AA142=0,0,$V$7*(1+#REF!)^#REF!)</f>
        <v>0</v>
      </c>
      <c r="AD142" s="530">
        <f t="shared" si="108"/>
        <v>0</v>
      </c>
      <c r="AE142" s="530">
        <f t="shared" si="92"/>
        <v>0</v>
      </c>
      <c r="AF142" s="530">
        <f t="shared" si="93"/>
        <v>0</v>
      </c>
      <c r="AH142" s="530">
        <f t="shared" si="94"/>
        <v>0</v>
      </c>
      <c r="AI142" s="530">
        <f t="shared" si="109"/>
        <v>950</v>
      </c>
      <c r="AJ142" s="530">
        <f t="shared" si="82"/>
        <v>0</v>
      </c>
      <c r="AK142" s="530">
        <f>AJ142*[1]mProject!V146</f>
        <v>0</v>
      </c>
      <c r="AL142" s="530">
        <f t="shared" si="95"/>
        <v>0</v>
      </c>
      <c r="AM142" s="530">
        <f t="shared" si="96"/>
        <v>0</v>
      </c>
      <c r="AN142" s="456"/>
      <c r="AO142" s="572" t="e">
        <f t="shared" si="75"/>
        <v>#REF!</v>
      </c>
      <c r="AP142" s="572" t="e">
        <f t="shared" si="79"/>
        <v>#REF!</v>
      </c>
      <c r="AQ142" s="572" t="e">
        <f t="shared" si="81"/>
        <v>#REF!</v>
      </c>
      <c r="AR142" s="573" t="e">
        <f t="shared" si="76"/>
        <v>#REF!</v>
      </c>
      <c r="AS142" s="530" t="e">
        <f t="shared" si="78"/>
        <v>#REF!</v>
      </c>
      <c r="AT142" s="530"/>
      <c r="AU142" s="530"/>
      <c r="AV142" s="530" t="e">
        <f t="shared" si="97"/>
        <v>#REF!</v>
      </c>
      <c r="AW142" s="530" t="e">
        <f>AI142*#REF!+AI141*#REF!+AI140*#REF!</f>
        <v>#REF!</v>
      </c>
      <c r="AX142" s="456"/>
      <c r="AY142" s="583">
        <f t="shared" si="110"/>
        <v>1.2541750018677764</v>
      </c>
      <c r="AZ142" s="530">
        <f t="shared" si="98"/>
        <v>0</v>
      </c>
      <c r="BA142" s="530">
        <f>BA141*[1]mProject!V147</f>
        <v>0</v>
      </c>
      <c r="BB142" s="530">
        <f t="shared" si="77"/>
        <v>17781316.823329829</v>
      </c>
      <c r="BC142" s="456"/>
      <c r="BD142" s="590">
        <f>((BB142/100)*(i_CFD.ObliRate/12))*[1]i.Finance!$O$64</f>
        <v>59826.722228495157</v>
      </c>
      <c r="BE142" s="590">
        <f>(AZ142/100*[1]i.Finance!$O$61)*[1]i.Finance!$O$64</f>
        <v>0</v>
      </c>
      <c r="BF142" s="590">
        <f>(AZ142/100*[1]i.Finance!$O$65)</f>
        <v>0</v>
      </c>
      <c r="BG142" s="591">
        <f t="shared" si="99"/>
        <v>59826.722228495157</v>
      </c>
      <c r="BH142" s="456"/>
      <c r="BI142" s="590">
        <f>-PV([1]i.Finance!$O$63/12,[1]i.Finance!$O$62*12,mCFD!BG142)</f>
        <v>10233961.918709608</v>
      </c>
      <c r="BJ142" s="590">
        <f>BI142*[1]i.Finance!$O$58</f>
        <v>8033660.1061870428</v>
      </c>
      <c r="BK142" s="590"/>
      <c r="BL142" s="590"/>
      <c r="BP142" s="530"/>
      <c r="BQ142" s="530"/>
      <c r="BR142" s="530" t="e">
        <f t="shared" si="100"/>
        <v>#NAME?</v>
      </c>
      <c r="BS142" s="530" t="e">
        <f t="shared" si="101"/>
        <v>#NAME?</v>
      </c>
      <c r="BT142" s="530" t="e">
        <f t="shared" si="102"/>
        <v>#NAME?</v>
      </c>
      <c r="BU142" s="530"/>
    </row>
    <row r="143" spans="1:73" ht="16" hidden="1" outlineLevel="2">
      <c r="A143" s="366"/>
      <c r="B143" s="562"/>
      <c r="C143" s="366"/>
      <c r="D143" s="454"/>
      <c r="E143" s="533">
        <f t="shared" si="111"/>
        <v>137</v>
      </c>
      <c r="F143" s="533">
        <f t="shared" si="103"/>
        <v>46</v>
      </c>
      <c r="G143" s="533">
        <f t="shared" si="104"/>
        <v>12</v>
      </c>
      <c r="H143" s="541">
        <f t="shared" si="80"/>
        <v>47968</v>
      </c>
      <c r="I143" s="542">
        <f t="shared" si="83"/>
        <v>2031</v>
      </c>
      <c r="K143" s="533">
        <f>[1]mProject!KB147</f>
        <v>0</v>
      </c>
      <c r="L143" s="533">
        <f t="shared" si="84"/>
        <v>950</v>
      </c>
      <c r="M143" s="533">
        <f t="shared" si="85"/>
        <v>295000</v>
      </c>
      <c r="N143" s="533">
        <f t="shared" si="86"/>
        <v>0</v>
      </c>
      <c r="O143" s="533">
        <f t="shared" si="105"/>
        <v>280250000</v>
      </c>
      <c r="P143" s="533">
        <f>[1]mProject!W147</f>
        <v>356078.75183002901</v>
      </c>
      <c r="Q143" s="533">
        <f t="shared" si="87"/>
        <v>0</v>
      </c>
      <c r="R143" s="533">
        <f t="shared" si="106"/>
        <v>296355280.38883054</v>
      </c>
      <c r="T143" s="533">
        <v>0</v>
      </c>
      <c r="U143" s="533">
        <f t="shared" si="88"/>
        <v>0</v>
      </c>
      <c r="V143" s="533">
        <f>IF(T143=0,0,$V$7*(1+#REF!)^#REF!)</f>
        <v>0</v>
      </c>
      <c r="W143" s="533">
        <f t="shared" si="107"/>
        <v>0</v>
      </c>
      <c r="X143" s="533">
        <f t="shared" si="89"/>
        <v>0</v>
      </c>
      <c r="Y143" s="533">
        <f t="shared" si="90"/>
        <v>0</v>
      </c>
      <c r="AA143" s="533">
        <v>0</v>
      </c>
      <c r="AB143" s="533">
        <f t="shared" si="91"/>
        <v>0</v>
      </c>
      <c r="AC143" s="533">
        <f>IF(AA143=0,0,$V$7*(1+#REF!)^#REF!)</f>
        <v>0</v>
      </c>
      <c r="AD143" s="533">
        <f t="shared" si="108"/>
        <v>0</v>
      </c>
      <c r="AE143" s="533">
        <f t="shared" si="92"/>
        <v>0</v>
      </c>
      <c r="AF143" s="533">
        <f t="shared" si="93"/>
        <v>0</v>
      </c>
      <c r="AH143" s="533">
        <f t="shared" si="94"/>
        <v>0</v>
      </c>
      <c r="AI143" s="533">
        <f t="shared" si="109"/>
        <v>950</v>
      </c>
      <c r="AJ143" s="533">
        <f t="shared" si="82"/>
        <v>0</v>
      </c>
      <c r="AK143" s="533">
        <f>AJ143*[1]mProject!V147</f>
        <v>0</v>
      </c>
      <c r="AL143" s="533">
        <f t="shared" si="95"/>
        <v>0</v>
      </c>
      <c r="AM143" s="533">
        <f t="shared" si="96"/>
        <v>0</v>
      </c>
      <c r="AN143" s="456"/>
      <c r="AO143" s="575" t="e">
        <f t="shared" si="75"/>
        <v>#REF!</v>
      </c>
      <c r="AP143" s="575" t="e">
        <f t="shared" si="79"/>
        <v>#REF!</v>
      </c>
      <c r="AQ143" s="575" t="e">
        <f t="shared" si="81"/>
        <v>#REF!</v>
      </c>
      <c r="AR143" s="576" t="e">
        <f t="shared" si="76"/>
        <v>#REF!</v>
      </c>
      <c r="AS143" s="533" t="e">
        <f t="shared" si="78"/>
        <v>#REF!</v>
      </c>
      <c r="AT143" s="533"/>
      <c r="AU143" s="533"/>
      <c r="AV143" s="533" t="e">
        <f t="shared" si="97"/>
        <v>#REF!</v>
      </c>
      <c r="AW143" s="533" t="e">
        <f>AI143*#REF!+AI142*#REF!+AI141*#REF!</f>
        <v>#REF!</v>
      </c>
      <c r="AX143" s="456"/>
      <c r="AY143" s="584">
        <f t="shared" si="110"/>
        <v>1.256265293537556</v>
      </c>
      <c r="AZ143" s="533">
        <f t="shared" si="98"/>
        <v>0</v>
      </c>
      <c r="BA143" s="533">
        <f>BA142*[1]mProject!V148</f>
        <v>0</v>
      </c>
      <c r="BB143" s="533">
        <f t="shared" si="77"/>
        <v>17781316.823329829</v>
      </c>
      <c r="BC143" s="456"/>
      <c r="BD143" s="586">
        <f>((BB143/100)*(i_CFD.ObliRate/12))*[1]i.Finance!$O$64</f>
        <v>59826.722228495157</v>
      </c>
      <c r="BE143" s="586">
        <f>(AZ143/100*[1]i.Finance!$O$61)*[1]i.Finance!$O$64</f>
        <v>0</v>
      </c>
      <c r="BF143" s="586">
        <f>(AZ143/100*[1]i.Finance!$O$65)</f>
        <v>0</v>
      </c>
      <c r="BG143" s="587">
        <f t="shared" si="99"/>
        <v>59826.722228495157</v>
      </c>
      <c r="BH143" s="456"/>
      <c r="BI143" s="586">
        <f>-PV([1]i.Finance!$O$63/12,[1]i.Finance!$O$62*12,mCFD!BG143)</f>
        <v>10233961.918709608</v>
      </c>
      <c r="BJ143" s="586">
        <f>BI143*[1]i.Finance!$O$58</f>
        <v>8033660.1061870428</v>
      </c>
      <c r="BK143" s="586"/>
      <c r="BL143" s="586"/>
      <c r="BP143" s="533"/>
      <c r="BQ143" s="533"/>
      <c r="BR143" s="533" t="e">
        <f t="shared" si="100"/>
        <v>#NAME?</v>
      </c>
      <c r="BS143" s="533" t="e">
        <f t="shared" si="101"/>
        <v>#NAME?</v>
      </c>
      <c r="BT143" s="533" t="e">
        <f t="shared" si="102"/>
        <v>#NAME?</v>
      </c>
      <c r="BU143" s="533"/>
    </row>
    <row r="144" spans="1:73" ht="16" hidden="1" outlineLevel="2">
      <c r="A144" s="366"/>
      <c r="B144" s="562"/>
      <c r="C144" s="366"/>
      <c r="D144" s="454"/>
      <c r="E144" s="547">
        <f t="shared" si="111"/>
        <v>138</v>
      </c>
      <c r="F144" s="547">
        <f t="shared" si="103"/>
        <v>46</v>
      </c>
      <c r="G144" s="547">
        <f t="shared" si="104"/>
        <v>12</v>
      </c>
      <c r="H144" s="548">
        <f t="shared" si="80"/>
        <v>47999</v>
      </c>
      <c r="I144" s="549">
        <f t="shared" si="83"/>
        <v>2031</v>
      </c>
      <c r="K144" s="547">
        <f>[1]mProject!KB148</f>
        <v>0</v>
      </c>
      <c r="L144" s="547">
        <f t="shared" si="84"/>
        <v>950</v>
      </c>
      <c r="M144" s="547">
        <f t="shared" si="85"/>
        <v>295000</v>
      </c>
      <c r="N144" s="547">
        <f t="shared" si="86"/>
        <v>0</v>
      </c>
      <c r="O144" s="547">
        <f t="shared" si="105"/>
        <v>280250000</v>
      </c>
      <c r="P144" s="547">
        <f>[1]mProject!W148</f>
        <v>356672.21641641238</v>
      </c>
      <c r="Q144" s="547">
        <f t="shared" si="87"/>
        <v>0</v>
      </c>
      <c r="R144" s="547">
        <f t="shared" si="106"/>
        <v>296355280.38883054</v>
      </c>
      <c r="T144" s="547">
        <v>0</v>
      </c>
      <c r="U144" s="547">
        <f t="shared" si="88"/>
        <v>0</v>
      </c>
      <c r="V144" s="547">
        <f>IF(T144=0,0,$V$7*(1+#REF!)^#REF!)</f>
        <v>0</v>
      </c>
      <c r="W144" s="547">
        <f t="shared" si="107"/>
        <v>0</v>
      </c>
      <c r="X144" s="547">
        <f t="shared" si="89"/>
        <v>0</v>
      </c>
      <c r="Y144" s="547">
        <f t="shared" si="90"/>
        <v>0</v>
      </c>
      <c r="AA144" s="547">
        <v>0</v>
      </c>
      <c r="AB144" s="547">
        <f t="shared" si="91"/>
        <v>0</v>
      </c>
      <c r="AC144" s="547">
        <f>IF(AA144=0,0,$V$7*(1+#REF!)^#REF!)</f>
        <v>0</v>
      </c>
      <c r="AD144" s="547">
        <f t="shared" si="108"/>
        <v>0</v>
      </c>
      <c r="AE144" s="547">
        <f t="shared" si="92"/>
        <v>0</v>
      </c>
      <c r="AF144" s="547">
        <f t="shared" si="93"/>
        <v>0</v>
      </c>
      <c r="AH144" s="547">
        <f t="shared" si="94"/>
        <v>0</v>
      </c>
      <c r="AI144" s="547">
        <f t="shared" si="109"/>
        <v>950</v>
      </c>
      <c r="AJ144" s="547">
        <f t="shared" si="82"/>
        <v>0</v>
      </c>
      <c r="AK144" s="547">
        <f>AJ144*[1]mProject!V148</f>
        <v>0</v>
      </c>
      <c r="AL144" s="547">
        <f t="shared" si="95"/>
        <v>0</v>
      </c>
      <c r="AM144" s="547">
        <f t="shared" si="96"/>
        <v>0</v>
      </c>
      <c r="AN144" s="456"/>
      <c r="AO144" s="577" t="e">
        <f t="shared" si="75"/>
        <v>#REF!</v>
      </c>
      <c r="AP144" s="577" t="e">
        <f t="shared" si="79"/>
        <v>#REF!</v>
      </c>
      <c r="AQ144" s="577" t="e">
        <f t="shared" si="81"/>
        <v>#REF!</v>
      </c>
      <c r="AR144" s="578" t="e">
        <f t="shared" si="76"/>
        <v>#REF!</v>
      </c>
      <c r="AS144" s="547" t="e">
        <f t="shared" si="78"/>
        <v>#REF!</v>
      </c>
      <c r="AT144" s="547"/>
      <c r="AU144" s="547"/>
      <c r="AV144" s="547" t="e">
        <f t="shared" si="97"/>
        <v>#REF!</v>
      </c>
      <c r="AW144" s="547" t="e">
        <f>AI144*#REF!+AI143*#REF!+AI142*#REF!</f>
        <v>#REF!</v>
      </c>
      <c r="AX144" s="456"/>
      <c r="AY144" s="585">
        <f t="shared" si="110"/>
        <v>1.2583590690267854</v>
      </c>
      <c r="AZ144" s="547">
        <f t="shared" si="98"/>
        <v>0</v>
      </c>
      <c r="BA144" s="547">
        <f>BA143*[1]mProject!V149</f>
        <v>0</v>
      </c>
      <c r="BB144" s="547">
        <f t="shared" si="77"/>
        <v>17781316.823329829</v>
      </c>
      <c r="BC144" s="456"/>
      <c r="BD144" s="588">
        <f>((BB144/100)*(i_CFD.ObliRate/12))*[1]i.Finance!$O$64</f>
        <v>59826.722228495157</v>
      </c>
      <c r="BE144" s="588">
        <f>(AZ144/100*[1]i.Finance!$O$61)*[1]i.Finance!$O$64</f>
        <v>0</v>
      </c>
      <c r="BF144" s="588">
        <f>(AZ144/100*[1]i.Finance!$O$65)</f>
        <v>0</v>
      </c>
      <c r="BG144" s="589">
        <f t="shared" si="99"/>
        <v>59826.722228495157</v>
      </c>
      <c r="BH144" s="456"/>
      <c r="BI144" s="588">
        <f>-PV([1]i.Finance!$O$63/12,[1]i.Finance!$O$62*12,mCFD!BG144)</f>
        <v>10233961.918709608</v>
      </c>
      <c r="BJ144" s="588">
        <f>BI144*[1]i.Finance!$O$58</f>
        <v>8033660.1061870428</v>
      </c>
      <c r="BK144" s="588"/>
      <c r="BL144" s="588"/>
      <c r="BP144" s="547"/>
      <c r="BQ144" s="547"/>
      <c r="BR144" s="547" t="e">
        <f t="shared" si="100"/>
        <v>#NAME?</v>
      </c>
      <c r="BS144" s="547" t="e">
        <f t="shared" si="101"/>
        <v>#NAME?</v>
      </c>
      <c r="BT144" s="547" t="e">
        <f t="shared" si="102"/>
        <v>#NAME?</v>
      </c>
      <c r="BU144" s="547"/>
    </row>
    <row r="145" spans="1:73" ht="16" hidden="1" outlineLevel="2">
      <c r="A145" s="366"/>
      <c r="B145" s="562"/>
      <c r="C145" s="366"/>
      <c r="D145" s="454"/>
      <c r="E145" s="530">
        <f t="shared" si="111"/>
        <v>139</v>
      </c>
      <c r="F145" s="530">
        <f t="shared" si="103"/>
        <v>47</v>
      </c>
      <c r="G145" s="530">
        <f t="shared" si="104"/>
        <v>12</v>
      </c>
      <c r="H145" s="554">
        <f t="shared" si="80"/>
        <v>48029</v>
      </c>
      <c r="I145" s="555">
        <f t="shared" si="83"/>
        <v>2031</v>
      </c>
      <c r="K145" s="530">
        <f>[1]mProject!KB149</f>
        <v>0</v>
      </c>
      <c r="L145" s="530">
        <f t="shared" si="84"/>
        <v>950</v>
      </c>
      <c r="M145" s="530">
        <f t="shared" si="85"/>
        <v>295000</v>
      </c>
      <c r="N145" s="530">
        <f t="shared" si="86"/>
        <v>0</v>
      </c>
      <c r="O145" s="530">
        <f t="shared" si="105"/>
        <v>280250000</v>
      </c>
      <c r="P145" s="530">
        <f>[1]mProject!W149</f>
        <v>357266.67011043977</v>
      </c>
      <c r="Q145" s="530">
        <f t="shared" si="87"/>
        <v>0</v>
      </c>
      <c r="R145" s="530">
        <f t="shared" si="106"/>
        <v>296355280.38883054</v>
      </c>
      <c r="T145" s="530">
        <v>0</v>
      </c>
      <c r="U145" s="530">
        <f t="shared" si="88"/>
        <v>0</v>
      </c>
      <c r="V145" s="530">
        <f>IF(T145=0,0,$V$7*(1+#REF!)^#REF!)</f>
        <v>0</v>
      </c>
      <c r="W145" s="530">
        <f t="shared" si="107"/>
        <v>0</v>
      </c>
      <c r="X145" s="530">
        <f t="shared" si="89"/>
        <v>0</v>
      </c>
      <c r="Y145" s="530">
        <f t="shared" si="90"/>
        <v>0</v>
      </c>
      <c r="AA145" s="530">
        <v>0</v>
      </c>
      <c r="AB145" s="530">
        <f t="shared" si="91"/>
        <v>0</v>
      </c>
      <c r="AC145" s="530">
        <f>IF(AA145=0,0,$V$7*(1+#REF!)^#REF!)</f>
        <v>0</v>
      </c>
      <c r="AD145" s="530">
        <f t="shared" si="108"/>
        <v>0</v>
      </c>
      <c r="AE145" s="530">
        <f t="shared" si="92"/>
        <v>0</v>
      </c>
      <c r="AF145" s="530">
        <f t="shared" si="93"/>
        <v>0</v>
      </c>
      <c r="AH145" s="530">
        <f t="shared" si="94"/>
        <v>0</v>
      </c>
      <c r="AI145" s="530">
        <f t="shared" si="109"/>
        <v>950</v>
      </c>
      <c r="AJ145" s="530">
        <f t="shared" si="82"/>
        <v>0</v>
      </c>
      <c r="AK145" s="530">
        <f>AJ145*[1]mProject!V149</f>
        <v>0</v>
      </c>
      <c r="AL145" s="530">
        <f t="shared" si="95"/>
        <v>0</v>
      </c>
      <c r="AM145" s="530">
        <f t="shared" si="96"/>
        <v>0</v>
      </c>
      <c r="AN145" s="456"/>
      <c r="AO145" s="572" t="e">
        <f t="shared" si="75"/>
        <v>#REF!</v>
      </c>
      <c r="AP145" s="572" t="e">
        <f t="shared" si="79"/>
        <v>#REF!</v>
      </c>
      <c r="AQ145" s="572" t="e">
        <f t="shared" si="81"/>
        <v>#REF!</v>
      </c>
      <c r="AR145" s="573" t="e">
        <f t="shared" si="76"/>
        <v>#REF!</v>
      </c>
      <c r="AS145" s="530" t="e">
        <f t="shared" si="78"/>
        <v>#REF!</v>
      </c>
      <c r="AT145" s="530"/>
      <c r="AU145" s="530"/>
      <c r="AV145" s="530" t="e">
        <f t="shared" si="97"/>
        <v>#REF!</v>
      </c>
      <c r="AW145" s="530" t="e">
        <f>AI145*#REF!+AI144*#REF!+AI143*#REF!</f>
        <v>#REF!</v>
      </c>
      <c r="AX145" s="456"/>
      <c r="AY145" s="583">
        <f t="shared" si="110"/>
        <v>1.26045633414183</v>
      </c>
      <c r="AZ145" s="530">
        <f t="shared" si="98"/>
        <v>0</v>
      </c>
      <c r="BA145" s="530">
        <f>BA144*[1]mProject!V150</f>
        <v>0</v>
      </c>
      <c r="BB145" s="530">
        <f t="shared" si="77"/>
        <v>17781316.823329829</v>
      </c>
      <c r="BC145" s="456"/>
      <c r="BD145" s="590">
        <f>((BB145/100)*(i_CFD.ObliRate/12))*[1]i.Finance!$O$64</f>
        <v>59826.722228495157</v>
      </c>
      <c r="BE145" s="590">
        <f>(AZ145/100*[1]i.Finance!$O$61)*[1]i.Finance!$O$64</f>
        <v>0</v>
      </c>
      <c r="BF145" s="590">
        <f>(AZ145/100*[1]i.Finance!$O$65)</f>
        <v>0</v>
      </c>
      <c r="BG145" s="591">
        <f t="shared" si="99"/>
        <v>59826.722228495157</v>
      </c>
      <c r="BH145" s="456"/>
      <c r="BI145" s="590">
        <f>-PV([1]i.Finance!$O$63/12,[1]i.Finance!$O$62*12,mCFD!BG145)</f>
        <v>10233961.918709608</v>
      </c>
      <c r="BJ145" s="590">
        <f>BI145*[1]i.Finance!$O$58</f>
        <v>8033660.1061870428</v>
      </c>
      <c r="BK145" s="590"/>
      <c r="BL145" s="590"/>
      <c r="BP145" s="530"/>
      <c r="BQ145" s="530"/>
      <c r="BR145" s="530" t="e">
        <f t="shared" si="100"/>
        <v>#NAME?</v>
      </c>
      <c r="BS145" s="530" t="e">
        <f t="shared" si="101"/>
        <v>#NAME?</v>
      </c>
      <c r="BT145" s="530" t="e">
        <f t="shared" si="102"/>
        <v>#NAME?</v>
      </c>
      <c r="BU145" s="530"/>
    </row>
    <row r="146" spans="1:73" ht="16" hidden="1" outlineLevel="2">
      <c r="A146" s="366"/>
      <c r="B146" s="562"/>
      <c r="C146" s="366"/>
      <c r="D146" s="454"/>
      <c r="E146" s="533">
        <f t="shared" si="111"/>
        <v>140</v>
      </c>
      <c r="F146" s="533">
        <f t="shared" si="103"/>
        <v>47</v>
      </c>
      <c r="G146" s="533">
        <f t="shared" si="104"/>
        <v>12</v>
      </c>
      <c r="H146" s="541">
        <f t="shared" si="80"/>
        <v>48060</v>
      </c>
      <c r="I146" s="542">
        <f t="shared" si="83"/>
        <v>2031</v>
      </c>
      <c r="K146" s="533">
        <f>[1]mProject!KB150</f>
        <v>0</v>
      </c>
      <c r="L146" s="533">
        <f t="shared" si="84"/>
        <v>950</v>
      </c>
      <c r="M146" s="533">
        <f t="shared" si="85"/>
        <v>295000</v>
      </c>
      <c r="N146" s="533">
        <f t="shared" si="86"/>
        <v>0</v>
      </c>
      <c r="O146" s="533">
        <f t="shared" si="105"/>
        <v>280250000</v>
      </c>
      <c r="P146" s="533">
        <f>[1]mProject!W150</f>
        <v>357862.11456062383</v>
      </c>
      <c r="Q146" s="533">
        <f t="shared" si="87"/>
        <v>0</v>
      </c>
      <c r="R146" s="533">
        <f t="shared" si="106"/>
        <v>296355280.38883054</v>
      </c>
      <c r="T146" s="533">
        <v>0</v>
      </c>
      <c r="U146" s="533">
        <f t="shared" si="88"/>
        <v>0</v>
      </c>
      <c r="V146" s="533">
        <f>IF(T146=0,0,$V$7*(1+#REF!)^#REF!)</f>
        <v>0</v>
      </c>
      <c r="W146" s="533">
        <f t="shared" si="107"/>
        <v>0</v>
      </c>
      <c r="X146" s="533">
        <f t="shared" si="89"/>
        <v>0</v>
      </c>
      <c r="Y146" s="533">
        <f t="shared" si="90"/>
        <v>0</v>
      </c>
      <c r="AA146" s="533">
        <v>0</v>
      </c>
      <c r="AB146" s="533">
        <f t="shared" si="91"/>
        <v>0</v>
      </c>
      <c r="AC146" s="533">
        <f>IF(AA146=0,0,$V$7*(1+#REF!)^#REF!)</f>
        <v>0</v>
      </c>
      <c r="AD146" s="533">
        <f t="shared" si="108"/>
        <v>0</v>
      </c>
      <c r="AE146" s="533">
        <f t="shared" si="92"/>
        <v>0</v>
      </c>
      <c r="AF146" s="533">
        <f t="shared" si="93"/>
        <v>0</v>
      </c>
      <c r="AH146" s="533">
        <f t="shared" si="94"/>
        <v>0</v>
      </c>
      <c r="AI146" s="533">
        <f t="shared" si="109"/>
        <v>950</v>
      </c>
      <c r="AJ146" s="533">
        <f t="shared" si="82"/>
        <v>0</v>
      </c>
      <c r="AK146" s="533">
        <f>AJ146*[1]mProject!V150</f>
        <v>0</v>
      </c>
      <c r="AL146" s="533">
        <f t="shared" si="95"/>
        <v>0</v>
      </c>
      <c r="AM146" s="533">
        <f t="shared" si="96"/>
        <v>0</v>
      </c>
      <c r="AN146" s="456"/>
      <c r="AO146" s="575" t="e">
        <f t="shared" si="75"/>
        <v>#REF!</v>
      </c>
      <c r="AP146" s="575" t="e">
        <f t="shared" si="79"/>
        <v>#REF!</v>
      </c>
      <c r="AQ146" s="575" t="e">
        <f t="shared" si="81"/>
        <v>#REF!</v>
      </c>
      <c r="AR146" s="576" t="e">
        <f t="shared" si="76"/>
        <v>#REF!</v>
      </c>
      <c r="AS146" s="533" t="e">
        <f t="shared" si="78"/>
        <v>#REF!</v>
      </c>
      <c r="AT146" s="533"/>
      <c r="AU146" s="533"/>
      <c r="AV146" s="533" t="e">
        <f t="shared" si="97"/>
        <v>#REF!</v>
      </c>
      <c r="AW146" s="533" t="e">
        <f>AI146*#REF!+AI145*#REF!+AI144*#REF!</f>
        <v>#REF!</v>
      </c>
      <c r="AX146" s="456"/>
      <c r="AY146" s="584">
        <f t="shared" si="110"/>
        <v>1.262557094698733</v>
      </c>
      <c r="AZ146" s="533">
        <f t="shared" si="98"/>
        <v>0</v>
      </c>
      <c r="BA146" s="533">
        <f>BA145*[1]mProject!V151</f>
        <v>0</v>
      </c>
      <c r="BB146" s="533">
        <f t="shared" si="77"/>
        <v>17781316.823329829</v>
      </c>
      <c r="BC146" s="456"/>
      <c r="BD146" s="586">
        <f>((BB146/100)*(i_CFD.ObliRate/12))*[1]i.Finance!$O$64</f>
        <v>59826.722228495157</v>
      </c>
      <c r="BE146" s="586">
        <f>(AZ146/100*[1]i.Finance!$O$61)*[1]i.Finance!$O$64</f>
        <v>0</v>
      </c>
      <c r="BF146" s="586">
        <f>(AZ146/100*[1]i.Finance!$O$65)</f>
        <v>0</v>
      </c>
      <c r="BG146" s="587">
        <f t="shared" si="99"/>
        <v>59826.722228495157</v>
      </c>
      <c r="BH146" s="456"/>
      <c r="BI146" s="586">
        <f>-PV([1]i.Finance!$O$63/12,[1]i.Finance!$O$62*12,mCFD!BG146)</f>
        <v>10233961.918709608</v>
      </c>
      <c r="BJ146" s="586">
        <f>BI146*[1]i.Finance!$O$58</f>
        <v>8033660.1061870428</v>
      </c>
      <c r="BK146" s="586"/>
      <c r="BL146" s="586"/>
      <c r="BP146" s="533"/>
      <c r="BQ146" s="533"/>
      <c r="BR146" s="533" t="e">
        <f t="shared" si="100"/>
        <v>#NAME?</v>
      </c>
      <c r="BS146" s="533" t="e">
        <f t="shared" si="101"/>
        <v>#NAME?</v>
      </c>
      <c r="BT146" s="533" t="e">
        <f t="shared" si="102"/>
        <v>#NAME?</v>
      </c>
      <c r="BU146" s="533"/>
    </row>
    <row r="147" spans="1:73" ht="16" hidden="1" outlineLevel="2">
      <c r="A147" s="366"/>
      <c r="B147" s="562"/>
      <c r="C147" s="366"/>
      <c r="D147" s="454"/>
      <c r="E147" s="547">
        <f t="shared" si="111"/>
        <v>141</v>
      </c>
      <c r="F147" s="547">
        <f t="shared" si="103"/>
        <v>47</v>
      </c>
      <c r="G147" s="547">
        <f t="shared" si="104"/>
        <v>12</v>
      </c>
      <c r="H147" s="548">
        <f t="shared" si="80"/>
        <v>48091</v>
      </c>
      <c r="I147" s="549">
        <f t="shared" si="83"/>
        <v>2031</v>
      </c>
      <c r="K147" s="547">
        <f>[1]mProject!KB151</f>
        <v>0</v>
      </c>
      <c r="L147" s="547">
        <f t="shared" si="84"/>
        <v>950</v>
      </c>
      <c r="M147" s="547">
        <f t="shared" si="85"/>
        <v>295000</v>
      </c>
      <c r="N147" s="547">
        <f t="shared" si="86"/>
        <v>0</v>
      </c>
      <c r="O147" s="547">
        <f t="shared" si="105"/>
        <v>280250000</v>
      </c>
      <c r="P147" s="547">
        <f>[1]mProject!W151</f>
        <v>358458.55141822487</v>
      </c>
      <c r="Q147" s="547">
        <f t="shared" si="87"/>
        <v>0</v>
      </c>
      <c r="R147" s="547">
        <f t="shared" si="106"/>
        <v>296355280.38883054</v>
      </c>
      <c r="T147" s="547">
        <v>0</v>
      </c>
      <c r="U147" s="547">
        <f t="shared" si="88"/>
        <v>0</v>
      </c>
      <c r="V147" s="547">
        <f>IF(T147=0,0,$V$7*(1+#REF!)^#REF!)</f>
        <v>0</v>
      </c>
      <c r="W147" s="547">
        <f t="shared" si="107"/>
        <v>0</v>
      </c>
      <c r="X147" s="547">
        <f t="shared" si="89"/>
        <v>0</v>
      </c>
      <c r="Y147" s="547">
        <f t="shared" si="90"/>
        <v>0</v>
      </c>
      <c r="AA147" s="547">
        <v>0</v>
      </c>
      <c r="AB147" s="547">
        <f t="shared" si="91"/>
        <v>0</v>
      </c>
      <c r="AC147" s="547">
        <f>IF(AA147=0,0,$V$7*(1+#REF!)^#REF!)</f>
        <v>0</v>
      </c>
      <c r="AD147" s="547">
        <f t="shared" si="108"/>
        <v>0</v>
      </c>
      <c r="AE147" s="547">
        <f t="shared" si="92"/>
        <v>0</v>
      </c>
      <c r="AF147" s="547">
        <f t="shared" si="93"/>
        <v>0</v>
      </c>
      <c r="AH147" s="547">
        <f t="shared" si="94"/>
        <v>0</v>
      </c>
      <c r="AI147" s="547">
        <f t="shared" si="109"/>
        <v>950</v>
      </c>
      <c r="AJ147" s="547">
        <f t="shared" si="82"/>
        <v>0</v>
      </c>
      <c r="AK147" s="547">
        <f>AJ147*[1]mProject!V151</f>
        <v>0</v>
      </c>
      <c r="AL147" s="547">
        <f t="shared" si="95"/>
        <v>0</v>
      </c>
      <c r="AM147" s="547">
        <f t="shared" si="96"/>
        <v>0</v>
      </c>
      <c r="AN147" s="456"/>
      <c r="AO147" s="577" t="e">
        <f t="shared" ref="AO147:AO210" si="112">$L147*AO$6</f>
        <v>#REF!</v>
      </c>
      <c r="AP147" s="577" t="e">
        <f t="shared" si="79"/>
        <v>#REF!</v>
      </c>
      <c r="AQ147" s="577" t="e">
        <f t="shared" si="81"/>
        <v>#REF!</v>
      </c>
      <c r="AR147" s="578" t="e">
        <f t="shared" ref="AR147:AR210" si="113">SUM(AO147:AQ147)</f>
        <v>#REF!</v>
      </c>
      <c r="AS147" s="547" t="e">
        <f t="shared" si="78"/>
        <v>#REF!</v>
      </c>
      <c r="AT147" s="547"/>
      <c r="AU147" s="547"/>
      <c r="AV147" s="547" t="e">
        <f t="shared" si="97"/>
        <v>#REF!</v>
      </c>
      <c r="AW147" s="547" t="e">
        <f>AI147*#REF!+AI146*#REF!+AI145*#REF!</f>
        <v>#REF!</v>
      </c>
      <c r="AX147" s="456"/>
      <c r="AY147" s="585">
        <f t="shared" si="110"/>
        <v>1.264661356523231</v>
      </c>
      <c r="AZ147" s="547">
        <f t="shared" si="98"/>
        <v>0</v>
      </c>
      <c r="BA147" s="547">
        <f>BA146*[1]mProject!V152</f>
        <v>0</v>
      </c>
      <c r="BB147" s="547">
        <f t="shared" ref="BB147:BB210" si="114">BB146+AZ147+BA147</f>
        <v>17781316.823329829</v>
      </c>
      <c r="BC147" s="456"/>
      <c r="BD147" s="588">
        <f>((BB147/100)*(i_CFD.ObliRate/12))*[1]i.Finance!$O$64</f>
        <v>59826.722228495157</v>
      </c>
      <c r="BE147" s="588">
        <f>(AZ147/100*[1]i.Finance!$O$61)*[1]i.Finance!$O$64</f>
        <v>0</v>
      </c>
      <c r="BF147" s="588">
        <f>(AZ147/100*[1]i.Finance!$O$65)</f>
        <v>0</v>
      </c>
      <c r="BG147" s="589">
        <f t="shared" si="99"/>
        <v>59826.722228495157</v>
      </c>
      <c r="BH147" s="456"/>
      <c r="BI147" s="588">
        <f>-PV([1]i.Finance!$O$63/12,[1]i.Finance!$O$62*12,mCFD!BG147)</f>
        <v>10233961.918709608</v>
      </c>
      <c r="BJ147" s="588">
        <f>BI147*[1]i.Finance!$O$58</f>
        <v>8033660.1061870428</v>
      </c>
      <c r="BK147" s="588"/>
      <c r="BL147" s="588"/>
      <c r="BP147" s="547"/>
      <c r="BQ147" s="547"/>
      <c r="BR147" s="547" t="e">
        <f t="shared" si="100"/>
        <v>#NAME?</v>
      </c>
      <c r="BS147" s="547" t="e">
        <f t="shared" si="101"/>
        <v>#NAME?</v>
      </c>
      <c r="BT147" s="547" t="e">
        <f t="shared" si="102"/>
        <v>#NAME?</v>
      </c>
      <c r="BU147" s="547"/>
    </row>
    <row r="148" spans="1:73" ht="16" hidden="1" outlineLevel="2">
      <c r="A148" s="366"/>
      <c r="B148" s="562"/>
      <c r="C148" s="366"/>
      <c r="D148" s="454"/>
      <c r="E148" s="530">
        <f t="shared" si="111"/>
        <v>142</v>
      </c>
      <c r="F148" s="530">
        <f t="shared" si="103"/>
        <v>48</v>
      </c>
      <c r="G148" s="530">
        <f t="shared" si="104"/>
        <v>12</v>
      </c>
      <c r="H148" s="554">
        <f t="shared" si="80"/>
        <v>48121</v>
      </c>
      <c r="I148" s="555">
        <f t="shared" si="83"/>
        <v>2031</v>
      </c>
      <c r="K148" s="530">
        <f>[1]mProject!KB152</f>
        <v>0</v>
      </c>
      <c r="L148" s="530">
        <f t="shared" si="84"/>
        <v>950</v>
      </c>
      <c r="M148" s="530">
        <f t="shared" si="85"/>
        <v>295000</v>
      </c>
      <c r="N148" s="530">
        <f t="shared" si="86"/>
        <v>0</v>
      </c>
      <c r="O148" s="530">
        <f t="shared" si="105"/>
        <v>280250000</v>
      </c>
      <c r="P148" s="530">
        <f>[1]mProject!W152</f>
        <v>359055.98233725526</v>
      </c>
      <c r="Q148" s="530">
        <f t="shared" si="87"/>
        <v>0</v>
      </c>
      <c r="R148" s="530">
        <f t="shared" si="106"/>
        <v>296355280.38883054</v>
      </c>
      <c r="T148" s="530">
        <v>0</v>
      </c>
      <c r="U148" s="530">
        <f t="shared" si="88"/>
        <v>0</v>
      </c>
      <c r="V148" s="530">
        <f>IF(T148=0,0,$V$7*(1+#REF!)^#REF!)</f>
        <v>0</v>
      </c>
      <c r="W148" s="530">
        <f t="shared" si="107"/>
        <v>0</v>
      </c>
      <c r="X148" s="530">
        <f t="shared" si="89"/>
        <v>0</v>
      </c>
      <c r="Y148" s="530">
        <f t="shared" si="90"/>
        <v>0</v>
      </c>
      <c r="AA148" s="530">
        <v>0</v>
      </c>
      <c r="AB148" s="530">
        <f t="shared" si="91"/>
        <v>0</v>
      </c>
      <c r="AC148" s="530">
        <f>IF(AA148=0,0,$V$7*(1+#REF!)^#REF!)</f>
        <v>0</v>
      </c>
      <c r="AD148" s="530">
        <f t="shared" si="108"/>
        <v>0</v>
      </c>
      <c r="AE148" s="530">
        <f t="shared" si="92"/>
        <v>0</v>
      </c>
      <c r="AF148" s="530">
        <f t="shared" si="93"/>
        <v>0</v>
      </c>
      <c r="AH148" s="530">
        <f t="shared" si="94"/>
        <v>0</v>
      </c>
      <c r="AI148" s="530">
        <f t="shared" si="109"/>
        <v>950</v>
      </c>
      <c r="AJ148" s="530">
        <f t="shared" si="82"/>
        <v>0</v>
      </c>
      <c r="AK148" s="530">
        <f>AJ148*[1]mProject!V152</f>
        <v>0</v>
      </c>
      <c r="AL148" s="530">
        <f t="shared" si="95"/>
        <v>0</v>
      </c>
      <c r="AM148" s="530">
        <f t="shared" si="96"/>
        <v>0</v>
      </c>
      <c r="AN148" s="456"/>
      <c r="AO148" s="572" t="e">
        <f t="shared" si="112"/>
        <v>#REF!</v>
      </c>
      <c r="AP148" s="572" t="e">
        <f t="shared" si="79"/>
        <v>#REF!</v>
      </c>
      <c r="AQ148" s="572" t="e">
        <f t="shared" si="81"/>
        <v>#REF!</v>
      </c>
      <c r="AR148" s="573" t="e">
        <f t="shared" si="113"/>
        <v>#REF!</v>
      </c>
      <c r="AS148" s="530" t="e">
        <f t="shared" si="78"/>
        <v>#REF!</v>
      </c>
      <c r="AT148" s="530"/>
      <c r="AU148" s="530"/>
      <c r="AV148" s="530" t="e">
        <f t="shared" si="97"/>
        <v>#REF!</v>
      </c>
      <c r="AW148" s="530" t="e">
        <f>AI148*#REF!+AI147*#REF!+AI146*#REF!</f>
        <v>#REF!</v>
      </c>
      <c r="AX148" s="456"/>
      <c r="AY148" s="583">
        <f t="shared" si="110"/>
        <v>1.2667691254507698</v>
      </c>
      <c r="AZ148" s="530">
        <f t="shared" si="98"/>
        <v>0</v>
      </c>
      <c r="BA148" s="530">
        <f>BA147*[1]mProject!V153</f>
        <v>0</v>
      </c>
      <c r="BB148" s="530">
        <f t="shared" si="114"/>
        <v>17781316.823329829</v>
      </c>
      <c r="BC148" s="456"/>
      <c r="BD148" s="590">
        <f>((BB148/100)*(i_CFD.ObliRate/12))*[1]i.Finance!$O$64</f>
        <v>59826.722228495157</v>
      </c>
      <c r="BE148" s="590">
        <f>(AZ148/100*[1]i.Finance!$O$61)*[1]i.Finance!$O$64</f>
        <v>0</v>
      </c>
      <c r="BF148" s="590">
        <f>(AZ148/100*[1]i.Finance!$O$65)</f>
        <v>0</v>
      </c>
      <c r="BG148" s="591">
        <f t="shared" si="99"/>
        <v>59826.722228495157</v>
      </c>
      <c r="BH148" s="456"/>
      <c r="BI148" s="590">
        <f>-PV([1]i.Finance!$O$63/12,[1]i.Finance!$O$62*12,mCFD!BG148)</f>
        <v>10233961.918709608</v>
      </c>
      <c r="BJ148" s="590">
        <f>BI148*[1]i.Finance!$O$58</f>
        <v>8033660.1061870428</v>
      </c>
      <c r="BK148" s="590"/>
      <c r="BL148" s="590"/>
      <c r="BP148" s="530"/>
      <c r="BQ148" s="530"/>
      <c r="BR148" s="530" t="e">
        <f t="shared" si="100"/>
        <v>#NAME?</v>
      </c>
      <c r="BS148" s="530" t="e">
        <f t="shared" si="101"/>
        <v>#NAME?</v>
      </c>
      <c r="BT148" s="530" t="e">
        <f t="shared" si="102"/>
        <v>#NAME?</v>
      </c>
      <c r="BU148" s="530"/>
    </row>
    <row r="149" spans="1:73" ht="16" hidden="1" outlineLevel="2">
      <c r="A149" s="366"/>
      <c r="B149" s="562"/>
      <c r="C149" s="366"/>
      <c r="D149" s="454"/>
      <c r="E149" s="533">
        <f t="shared" si="111"/>
        <v>143</v>
      </c>
      <c r="F149" s="533">
        <f t="shared" si="103"/>
        <v>48</v>
      </c>
      <c r="G149" s="533">
        <f t="shared" si="104"/>
        <v>12</v>
      </c>
      <c r="H149" s="541">
        <f t="shared" si="80"/>
        <v>48152</v>
      </c>
      <c r="I149" s="542">
        <f t="shared" si="83"/>
        <v>2031</v>
      </c>
      <c r="K149" s="533">
        <f>[1]mProject!KB153</f>
        <v>0</v>
      </c>
      <c r="L149" s="533">
        <f t="shared" si="84"/>
        <v>950</v>
      </c>
      <c r="M149" s="533">
        <f t="shared" si="85"/>
        <v>295000</v>
      </c>
      <c r="N149" s="533">
        <f t="shared" si="86"/>
        <v>0</v>
      </c>
      <c r="O149" s="533">
        <f t="shared" si="105"/>
        <v>280250000</v>
      </c>
      <c r="P149" s="533">
        <f>[1]mProject!W153</f>
        <v>359654.40897448402</v>
      </c>
      <c r="Q149" s="533">
        <f t="shared" si="87"/>
        <v>0</v>
      </c>
      <c r="R149" s="533">
        <f t="shared" si="106"/>
        <v>296355280.38883054</v>
      </c>
      <c r="T149" s="533">
        <v>0</v>
      </c>
      <c r="U149" s="533">
        <f t="shared" si="88"/>
        <v>0</v>
      </c>
      <c r="V149" s="533">
        <f>IF(T149=0,0,$V$7*(1+#REF!)^#REF!)</f>
        <v>0</v>
      </c>
      <c r="W149" s="533">
        <f t="shared" si="107"/>
        <v>0</v>
      </c>
      <c r="X149" s="533">
        <f t="shared" si="89"/>
        <v>0</v>
      </c>
      <c r="Y149" s="533">
        <f t="shared" si="90"/>
        <v>0</v>
      </c>
      <c r="AA149" s="533">
        <v>0</v>
      </c>
      <c r="AB149" s="533">
        <f t="shared" si="91"/>
        <v>0</v>
      </c>
      <c r="AC149" s="533">
        <f>IF(AA149=0,0,$V$7*(1+#REF!)^#REF!)</f>
        <v>0</v>
      </c>
      <c r="AD149" s="533">
        <f t="shared" si="108"/>
        <v>0</v>
      </c>
      <c r="AE149" s="533">
        <f t="shared" si="92"/>
        <v>0</v>
      </c>
      <c r="AF149" s="533">
        <f t="shared" si="93"/>
        <v>0</v>
      </c>
      <c r="AH149" s="533">
        <f t="shared" si="94"/>
        <v>0</v>
      </c>
      <c r="AI149" s="533">
        <f t="shared" si="109"/>
        <v>950</v>
      </c>
      <c r="AJ149" s="533">
        <f t="shared" si="82"/>
        <v>0</v>
      </c>
      <c r="AK149" s="533">
        <f>AJ149*[1]mProject!V153</f>
        <v>0</v>
      </c>
      <c r="AL149" s="533">
        <f t="shared" si="95"/>
        <v>0</v>
      </c>
      <c r="AM149" s="533">
        <f t="shared" si="96"/>
        <v>0</v>
      </c>
      <c r="AN149" s="456"/>
      <c r="AO149" s="575" t="e">
        <f t="shared" si="112"/>
        <v>#REF!</v>
      </c>
      <c r="AP149" s="575" t="e">
        <f t="shared" si="79"/>
        <v>#REF!</v>
      </c>
      <c r="AQ149" s="575" t="e">
        <f t="shared" si="81"/>
        <v>#REF!</v>
      </c>
      <c r="AR149" s="576" t="e">
        <f t="shared" si="113"/>
        <v>#REF!</v>
      </c>
      <c r="AS149" s="533" t="e">
        <f t="shared" si="78"/>
        <v>#REF!</v>
      </c>
      <c r="AT149" s="533"/>
      <c r="AU149" s="533"/>
      <c r="AV149" s="533" t="e">
        <f t="shared" si="97"/>
        <v>#REF!</v>
      </c>
      <c r="AW149" s="533" t="e">
        <f>AI149*#REF!+AI148*#REF!+AI147*#REF!</f>
        <v>#REF!</v>
      </c>
      <c r="AX149" s="456"/>
      <c r="AY149" s="584">
        <f t="shared" si="110"/>
        <v>1.2688804073265212</v>
      </c>
      <c r="AZ149" s="533">
        <f t="shared" si="98"/>
        <v>0</v>
      </c>
      <c r="BA149" s="533">
        <f>BA148*[1]mProject!V154</f>
        <v>0</v>
      </c>
      <c r="BB149" s="533">
        <f t="shared" si="114"/>
        <v>17781316.823329829</v>
      </c>
      <c r="BC149" s="456"/>
      <c r="BD149" s="586">
        <f>((BB149/100)*(i_CFD.ObliRate/12))*[1]i.Finance!$O$64</f>
        <v>59826.722228495157</v>
      </c>
      <c r="BE149" s="586">
        <f>(AZ149/100*[1]i.Finance!$O$61)*[1]i.Finance!$O$64</f>
        <v>0</v>
      </c>
      <c r="BF149" s="586">
        <f>(AZ149/100*[1]i.Finance!$O$65)</f>
        <v>0</v>
      </c>
      <c r="BG149" s="587">
        <f t="shared" si="99"/>
        <v>59826.722228495157</v>
      </c>
      <c r="BH149" s="456"/>
      <c r="BI149" s="586">
        <f>-PV([1]i.Finance!$O$63/12,[1]i.Finance!$O$62*12,mCFD!BG149)</f>
        <v>10233961.918709608</v>
      </c>
      <c r="BJ149" s="586">
        <f>BI149*[1]i.Finance!$O$58</f>
        <v>8033660.1061870428</v>
      </c>
      <c r="BK149" s="586"/>
      <c r="BL149" s="586"/>
      <c r="BP149" s="533"/>
      <c r="BQ149" s="533"/>
      <c r="BR149" s="533" t="e">
        <f t="shared" si="100"/>
        <v>#NAME?</v>
      </c>
      <c r="BS149" s="533" t="e">
        <f t="shared" si="101"/>
        <v>#NAME?</v>
      </c>
      <c r="BT149" s="533" t="e">
        <f t="shared" si="102"/>
        <v>#NAME?</v>
      </c>
      <c r="BU149" s="533"/>
    </row>
    <row r="150" spans="1:73" ht="17" hidden="1" outlineLevel="2" thickBot="1">
      <c r="A150" s="366"/>
      <c r="B150" s="562"/>
      <c r="C150" s="366"/>
      <c r="D150" s="454"/>
      <c r="E150" s="564">
        <f t="shared" si="111"/>
        <v>144</v>
      </c>
      <c r="F150" s="564">
        <f t="shared" si="103"/>
        <v>48</v>
      </c>
      <c r="G150" s="564">
        <f t="shared" si="104"/>
        <v>12</v>
      </c>
      <c r="H150" s="565">
        <f t="shared" si="80"/>
        <v>48182</v>
      </c>
      <c r="I150" s="566">
        <f t="shared" si="83"/>
        <v>2031</v>
      </c>
      <c r="K150" s="564">
        <f>[1]mProject!KB154</f>
        <v>0</v>
      </c>
      <c r="L150" s="564">
        <f t="shared" si="84"/>
        <v>950</v>
      </c>
      <c r="M150" s="564">
        <f t="shared" si="85"/>
        <v>295000</v>
      </c>
      <c r="N150" s="564">
        <f t="shared" si="86"/>
        <v>0</v>
      </c>
      <c r="O150" s="564">
        <f t="shared" si="105"/>
        <v>280250000</v>
      </c>
      <c r="P150" s="564">
        <f>[1]mProject!W154</f>
        <v>360253.83298944152</v>
      </c>
      <c r="Q150" s="564">
        <f t="shared" si="87"/>
        <v>0</v>
      </c>
      <c r="R150" s="564">
        <f t="shared" si="106"/>
        <v>296355280.38883054</v>
      </c>
      <c r="T150" s="564">
        <v>0</v>
      </c>
      <c r="U150" s="564">
        <f t="shared" si="88"/>
        <v>0</v>
      </c>
      <c r="V150" s="564">
        <f>IF(T150=0,0,$V$7*(1+#REF!)^#REF!)</f>
        <v>0</v>
      </c>
      <c r="W150" s="564">
        <f t="shared" si="107"/>
        <v>0</v>
      </c>
      <c r="X150" s="564">
        <f t="shared" si="89"/>
        <v>0</v>
      </c>
      <c r="Y150" s="564">
        <f t="shared" si="90"/>
        <v>0</v>
      </c>
      <c r="AA150" s="564">
        <v>0</v>
      </c>
      <c r="AB150" s="564">
        <f t="shared" si="91"/>
        <v>0</v>
      </c>
      <c r="AC150" s="564">
        <f>IF(AA150=0,0,$V$7*(1+#REF!)^#REF!)</f>
        <v>0</v>
      </c>
      <c r="AD150" s="564">
        <f t="shared" si="108"/>
        <v>0</v>
      </c>
      <c r="AE150" s="564">
        <f t="shared" si="92"/>
        <v>0</v>
      </c>
      <c r="AF150" s="564">
        <f t="shared" si="93"/>
        <v>0</v>
      </c>
      <c r="AH150" s="564">
        <f t="shared" si="94"/>
        <v>0</v>
      </c>
      <c r="AI150" s="564">
        <f t="shared" si="109"/>
        <v>950</v>
      </c>
      <c r="AJ150" s="564">
        <f t="shared" si="82"/>
        <v>0</v>
      </c>
      <c r="AK150" s="564">
        <f>AJ150*[1]mProject!V154</f>
        <v>0</v>
      </c>
      <c r="AL150" s="564">
        <f t="shared" si="95"/>
        <v>0</v>
      </c>
      <c r="AM150" s="564">
        <f t="shared" si="96"/>
        <v>0</v>
      </c>
      <c r="AN150" s="456"/>
      <c r="AO150" s="581" t="e">
        <f t="shared" si="112"/>
        <v>#REF!</v>
      </c>
      <c r="AP150" s="581" t="e">
        <f t="shared" si="79"/>
        <v>#REF!</v>
      </c>
      <c r="AQ150" s="581" t="e">
        <f t="shared" si="81"/>
        <v>#REF!</v>
      </c>
      <c r="AR150" s="582" t="e">
        <f t="shared" si="113"/>
        <v>#REF!</v>
      </c>
      <c r="AS150" s="564" t="e">
        <f t="shared" si="78"/>
        <v>#REF!</v>
      </c>
      <c r="AT150" s="564"/>
      <c r="AU150" s="564"/>
      <c r="AV150" s="564" t="e">
        <f t="shared" si="97"/>
        <v>#REF!</v>
      </c>
      <c r="AW150" s="564" t="e">
        <f>AI150*#REF!+AI149*#REF!+AI148*#REF!</f>
        <v>#REF!</v>
      </c>
      <c r="AX150" s="456"/>
      <c r="AY150" s="592">
        <f t="shared" si="110"/>
        <v>1.2709952080053988</v>
      </c>
      <c r="AZ150" s="564">
        <f t="shared" si="98"/>
        <v>0</v>
      </c>
      <c r="BA150" s="564">
        <f>BA149*[1]mProject!V155</f>
        <v>0</v>
      </c>
      <c r="BB150" s="564">
        <f t="shared" si="114"/>
        <v>17781316.823329829</v>
      </c>
      <c r="BC150" s="456"/>
      <c r="BD150" s="593">
        <f>((BB150/100)*(i_CFD.ObliRate/12))*[1]i.Finance!$O$64</f>
        <v>59826.722228495157</v>
      </c>
      <c r="BE150" s="593">
        <f>(AZ150/100*[1]i.Finance!$O$61)*[1]i.Finance!$O$64</f>
        <v>0</v>
      </c>
      <c r="BF150" s="593">
        <f>(AZ150/100*[1]i.Finance!$O$65)</f>
        <v>0</v>
      </c>
      <c r="BG150" s="594">
        <f t="shared" si="99"/>
        <v>59826.722228495157</v>
      </c>
      <c r="BH150" s="456"/>
      <c r="BI150" s="593">
        <f>-PV([1]i.Finance!$O$63/12,[1]i.Finance!$O$62*12,mCFD!BG150)</f>
        <v>10233961.918709608</v>
      </c>
      <c r="BJ150" s="593">
        <f>BI150*[1]i.Finance!$O$58</f>
        <v>8033660.1061870428</v>
      </c>
      <c r="BK150" s="593"/>
      <c r="BL150" s="593"/>
      <c r="BP150" s="564"/>
      <c r="BQ150" s="564"/>
      <c r="BR150" s="564" t="e">
        <f t="shared" si="100"/>
        <v>#NAME?</v>
      </c>
      <c r="BS150" s="564" t="e">
        <f t="shared" si="101"/>
        <v>#NAME?</v>
      </c>
      <c r="BT150" s="564" t="e">
        <f t="shared" si="102"/>
        <v>#NAME?</v>
      </c>
      <c r="BU150" s="564"/>
    </row>
    <row r="151" spans="1:73" ht="16" hidden="1" outlineLevel="2">
      <c r="A151" s="366"/>
      <c r="B151" s="562"/>
      <c r="C151" s="366"/>
      <c r="D151" s="454"/>
      <c r="E151" s="530">
        <f t="shared" si="111"/>
        <v>145</v>
      </c>
      <c r="F151" s="530">
        <f t="shared" si="103"/>
        <v>49</v>
      </c>
      <c r="G151" s="530">
        <f t="shared" si="104"/>
        <v>13</v>
      </c>
      <c r="H151" s="571">
        <f t="shared" si="80"/>
        <v>48213</v>
      </c>
      <c r="I151" s="532">
        <f t="shared" si="83"/>
        <v>2031</v>
      </c>
      <c r="K151" s="530">
        <f>[1]mProject!KB155</f>
        <v>0</v>
      </c>
      <c r="L151" s="530">
        <f t="shared" si="84"/>
        <v>950</v>
      </c>
      <c r="M151" s="530">
        <f t="shared" si="85"/>
        <v>295000</v>
      </c>
      <c r="N151" s="530">
        <f t="shared" si="86"/>
        <v>0</v>
      </c>
      <c r="O151" s="530">
        <f t="shared" si="105"/>
        <v>280250000</v>
      </c>
      <c r="P151" s="530">
        <f>[1]mProject!W155</f>
        <v>360854.25604442396</v>
      </c>
      <c r="Q151" s="530">
        <f t="shared" si="87"/>
        <v>0</v>
      </c>
      <c r="R151" s="530">
        <f t="shared" si="106"/>
        <v>296355280.38883054</v>
      </c>
      <c r="T151" s="530">
        <v>0</v>
      </c>
      <c r="U151" s="530">
        <f t="shared" si="88"/>
        <v>0</v>
      </c>
      <c r="V151" s="530">
        <f>IF(T151=0,0,$V$7*(1+#REF!)^#REF!)</f>
        <v>0</v>
      </c>
      <c r="W151" s="530">
        <f t="shared" si="107"/>
        <v>0</v>
      </c>
      <c r="X151" s="530">
        <f t="shared" si="89"/>
        <v>0</v>
      </c>
      <c r="Y151" s="530">
        <f t="shared" si="90"/>
        <v>0</v>
      </c>
      <c r="AA151" s="530">
        <v>0</v>
      </c>
      <c r="AB151" s="530">
        <f t="shared" si="91"/>
        <v>0</v>
      </c>
      <c r="AC151" s="530">
        <f>IF(AA151=0,0,$V$7*(1+#REF!)^#REF!)</f>
        <v>0</v>
      </c>
      <c r="AD151" s="530">
        <f t="shared" si="108"/>
        <v>0</v>
      </c>
      <c r="AE151" s="530">
        <f t="shared" si="92"/>
        <v>0</v>
      </c>
      <c r="AF151" s="530">
        <f t="shared" si="93"/>
        <v>0</v>
      </c>
      <c r="AH151" s="530">
        <f t="shared" si="94"/>
        <v>0</v>
      </c>
      <c r="AI151" s="530">
        <f t="shared" si="109"/>
        <v>950</v>
      </c>
      <c r="AJ151" s="530">
        <f t="shared" si="82"/>
        <v>0</v>
      </c>
      <c r="AK151" s="530">
        <f>AJ151*[1]mProject!V155</f>
        <v>0</v>
      </c>
      <c r="AL151" s="530">
        <f t="shared" si="95"/>
        <v>0</v>
      </c>
      <c r="AM151" s="530">
        <f t="shared" si="96"/>
        <v>0</v>
      </c>
      <c r="AN151" s="456"/>
      <c r="AO151" s="572" t="e">
        <f t="shared" si="112"/>
        <v>#REF!</v>
      </c>
      <c r="AP151" s="572" t="e">
        <f t="shared" si="79"/>
        <v>#REF!</v>
      </c>
      <c r="AQ151" s="572" t="e">
        <f t="shared" si="81"/>
        <v>#REF!</v>
      </c>
      <c r="AR151" s="573" t="e">
        <f t="shared" si="113"/>
        <v>#REF!</v>
      </c>
      <c r="AS151" s="530" t="e">
        <f t="shared" si="78"/>
        <v>#REF!</v>
      </c>
      <c r="AT151" s="530"/>
      <c r="AU151" s="530"/>
      <c r="AV151" s="530" t="e">
        <f t="shared" si="97"/>
        <v>#REF!</v>
      </c>
      <c r="AW151" s="530" t="e">
        <f>AI151*#REF!+AI150*#REF!+AI149*#REF!</f>
        <v>#REF!</v>
      </c>
      <c r="AX151" s="456"/>
      <c r="AY151" s="583">
        <f t="shared" si="110"/>
        <v>1.2731135333520744</v>
      </c>
      <c r="AZ151" s="530">
        <f t="shared" si="98"/>
        <v>0</v>
      </c>
      <c r="BA151" s="530">
        <f>BA150*[1]mProject!V156</f>
        <v>0</v>
      </c>
      <c r="BB151" s="530">
        <f t="shared" si="114"/>
        <v>17781316.823329829</v>
      </c>
      <c r="BC151" s="456"/>
      <c r="BD151" s="590">
        <f>((BB151/100)*(i_CFD.ObliRate/12))*[1]i.Finance!$O$64</f>
        <v>59826.722228495157</v>
      </c>
      <c r="BE151" s="590">
        <f>(AZ151/100*[1]i.Finance!$O$61)*[1]i.Finance!$O$64</f>
        <v>0</v>
      </c>
      <c r="BF151" s="590">
        <f>(AZ151/100*[1]i.Finance!$O$65)</f>
        <v>0</v>
      </c>
      <c r="BG151" s="591">
        <f t="shared" si="99"/>
        <v>59826.722228495157</v>
      </c>
      <c r="BH151" s="456"/>
      <c r="BI151" s="590">
        <f>-PV([1]i.Finance!$O$63/12,[1]i.Finance!$O$62*12,mCFD!BG151)</f>
        <v>10233961.918709608</v>
      </c>
      <c r="BJ151" s="590">
        <f>BI151*[1]i.Finance!$O$58</f>
        <v>8033660.1061870428</v>
      </c>
      <c r="BK151" s="590"/>
      <c r="BL151" s="590"/>
      <c r="BP151" s="530"/>
      <c r="BQ151" s="530"/>
      <c r="BR151" s="530" t="e">
        <f t="shared" si="100"/>
        <v>#NAME?</v>
      </c>
      <c r="BS151" s="530" t="e">
        <f t="shared" si="101"/>
        <v>#NAME?</v>
      </c>
      <c r="BT151" s="530" t="e">
        <f t="shared" si="102"/>
        <v>#NAME?</v>
      </c>
      <c r="BU151" s="530"/>
    </row>
    <row r="152" spans="1:73" ht="16" hidden="1" outlineLevel="2">
      <c r="A152" s="366"/>
      <c r="B152" s="562"/>
      <c r="C152" s="366"/>
      <c r="D152" s="454"/>
      <c r="E152" s="533">
        <f t="shared" si="111"/>
        <v>146</v>
      </c>
      <c r="F152" s="533">
        <f t="shared" si="103"/>
        <v>49</v>
      </c>
      <c r="G152" s="533">
        <f t="shared" si="104"/>
        <v>13</v>
      </c>
      <c r="H152" s="541">
        <f t="shared" si="80"/>
        <v>48244</v>
      </c>
      <c r="I152" s="542">
        <f t="shared" si="83"/>
        <v>2032</v>
      </c>
      <c r="K152" s="533">
        <f>[1]mProject!KB156</f>
        <v>0</v>
      </c>
      <c r="L152" s="533">
        <f t="shared" si="84"/>
        <v>950</v>
      </c>
      <c r="M152" s="533">
        <f t="shared" si="85"/>
        <v>295000</v>
      </c>
      <c r="N152" s="533">
        <f t="shared" si="86"/>
        <v>0</v>
      </c>
      <c r="O152" s="533">
        <f t="shared" si="105"/>
        <v>280250000</v>
      </c>
      <c r="P152" s="533">
        <f>[1]mProject!W156</f>
        <v>361455.67980449804</v>
      </c>
      <c r="Q152" s="533">
        <f t="shared" si="87"/>
        <v>0</v>
      </c>
      <c r="R152" s="533">
        <f t="shared" si="106"/>
        <v>296355280.38883054</v>
      </c>
      <c r="T152" s="533">
        <v>0</v>
      </c>
      <c r="U152" s="533">
        <f t="shared" si="88"/>
        <v>0</v>
      </c>
      <c r="V152" s="533">
        <f>IF(T152=0,0,$V$7*(1+#REF!)^#REF!)</f>
        <v>0</v>
      </c>
      <c r="W152" s="533">
        <f t="shared" si="107"/>
        <v>0</v>
      </c>
      <c r="X152" s="533">
        <f t="shared" si="89"/>
        <v>0</v>
      </c>
      <c r="Y152" s="533">
        <f t="shared" si="90"/>
        <v>0</v>
      </c>
      <c r="AA152" s="533">
        <v>0</v>
      </c>
      <c r="AB152" s="533">
        <f t="shared" si="91"/>
        <v>0</v>
      </c>
      <c r="AC152" s="533">
        <f>IF(AA152=0,0,$V$7*(1+#REF!)^#REF!)</f>
        <v>0</v>
      </c>
      <c r="AD152" s="533">
        <f t="shared" si="108"/>
        <v>0</v>
      </c>
      <c r="AE152" s="533">
        <f t="shared" si="92"/>
        <v>0</v>
      </c>
      <c r="AF152" s="533">
        <f t="shared" si="93"/>
        <v>0</v>
      </c>
      <c r="AH152" s="533">
        <f t="shared" si="94"/>
        <v>0</v>
      </c>
      <c r="AI152" s="533">
        <f t="shared" si="109"/>
        <v>950</v>
      </c>
      <c r="AJ152" s="533">
        <f t="shared" si="82"/>
        <v>0</v>
      </c>
      <c r="AK152" s="533">
        <f>AJ152*[1]mProject!V156</f>
        <v>0</v>
      </c>
      <c r="AL152" s="533">
        <f t="shared" si="95"/>
        <v>0</v>
      </c>
      <c r="AM152" s="533">
        <f t="shared" si="96"/>
        <v>0</v>
      </c>
      <c r="AN152" s="456"/>
      <c r="AO152" s="575" t="e">
        <f t="shared" si="112"/>
        <v>#REF!</v>
      </c>
      <c r="AP152" s="575" t="e">
        <f t="shared" si="79"/>
        <v>#REF!</v>
      </c>
      <c r="AQ152" s="575" t="e">
        <f t="shared" si="81"/>
        <v>#REF!</v>
      </c>
      <c r="AR152" s="576" t="e">
        <f t="shared" si="113"/>
        <v>#REF!</v>
      </c>
      <c r="AS152" s="533" t="e">
        <f t="shared" si="78"/>
        <v>#REF!</v>
      </c>
      <c r="AT152" s="533"/>
      <c r="AU152" s="533"/>
      <c r="AV152" s="533" t="e">
        <f t="shared" si="97"/>
        <v>#REF!</v>
      </c>
      <c r="AW152" s="533" t="e">
        <f>AI152*#REF!+AI151*#REF!+AI150*#REF!</f>
        <v>#REF!</v>
      </c>
      <c r="AX152" s="456"/>
      <c r="AY152" s="584">
        <f t="shared" si="110"/>
        <v>1.2752353892409947</v>
      </c>
      <c r="AZ152" s="533">
        <f t="shared" si="98"/>
        <v>0</v>
      </c>
      <c r="BA152" s="533">
        <f>BA151*[1]mProject!V157</f>
        <v>0</v>
      </c>
      <c r="BB152" s="533">
        <f t="shared" si="114"/>
        <v>17781316.823329829</v>
      </c>
      <c r="BC152" s="456"/>
      <c r="BD152" s="586">
        <f>((BB152/100)*(i_CFD.ObliRate/12))*[1]i.Finance!$O$64</f>
        <v>59826.722228495157</v>
      </c>
      <c r="BE152" s="586">
        <f>(AZ152/100*[1]i.Finance!$O$61)*[1]i.Finance!$O$64</f>
        <v>0</v>
      </c>
      <c r="BF152" s="586">
        <f>(AZ152/100*[1]i.Finance!$O$65)</f>
        <v>0</v>
      </c>
      <c r="BG152" s="587">
        <f t="shared" si="99"/>
        <v>59826.722228495157</v>
      </c>
      <c r="BH152" s="456"/>
      <c r="BI152" s="586">
        <f>-PV([1]i.Finance!$O$63/12,[1]i.Finance!$O$62*12,mCFD!BG152)</f>
        <v>10233961.918709608</v>
      </c>
      <c r="BJ152" s="586">
        <f>BI152*[1]i.Finance!$O$58</f>
        <v>8033660.1061870428</v>
      </c>
      <c r="BK152" s="586"/>
      <c r="BL152" s="586"/>
      <c r="BP152" s="533"/>
      <c r="BQ152" s="533"/>
      <c r="BR152" s="533" t="e">
        <f t="shared" si="100"/>
        <v>#NAME?</v>
      </c>
      <c r="BS152" s="533" t="e">
        <f t="shared" si="101"/>
        <v>#NAME?</v>
      </c>
      <c r="BT152" s="533" t="e">
        <f t="shared" si="102"/>
        <v>#NAME?</v>
      </c>
      <c r="BU152" s="533"/>
    </row>
    <row r="153" spans="1:73" ht="16" hidden="1" outlineLevel="2">
      <c r="A153" s="366"/>
      <c r="B153" s="562"/>
      <c r="C153" s="366"/>
      <c r="D153" s="454"/>
      <c r="E153" s="547">
        <f t="shared" si="111"/>
        <v>147</v>
      </c>
      <c r="F153" s="547">
        <f t="shared" si="103"/>
        <v>49</v>
      </c>
      <c r="G153" s="547">
        <f t="shared" si="104"/>
        <v>13</v>
      </c>
      <c r="H153" s="548">
        <f t="shared" si="80"/>
        <v>48273</v>
      </c>
      <c r="I153" s="549">
        <f t="shared" si="83"/>
        <v>2032</v>
      </c>
      <c r="K153" s="547">
        <f>[1]mProject!KB157</f>
        <v>0</v>
      </c>
      <c r="L153" s="547">
        <f t="shared" si="84"/>
        <v>950</v>
      </c>
      <c r="M153" s="547">
        <f t="shared" si="85"/>
        <v>295000</v>
      </c>
      <c r="N153" s="547">
        <f t="shared" si="86"/>
        <v>0</v>
      </c>
      <c r="O153" s="547">
        <f t="shared" si="105"/>
        <v>280250000</v>
      </c>
      <c r="P153" s="547">
        <f>[1]mProject!W157</f>
        <v>362058.10593750555</v>
      </c>
      <c r="Q153" s="547">
        <f t="shared" si="87"/>
        <v>0</v>
      </c>
      <c r="R153" s="547">
        <f t="shared" si="106"/>
        <v>296355280.38883054</v>
      </c>
      <c r="T153" s="547">
        <v>0</v>
      </c>
      <c r="U153" s="547">
        <f t="shared" si="88"/>
        <v>0</v>
      </c>
      <c r="V153" s="547">
        <f>IF(T153=0,0,$V$7*(1+#REF!)^#REF!)</f>
        <v>0</v>
      </c>
      <c r="W153" s="547">
        <f t="shared" si="107"/>
        <v>0</v>
      </c>
      <c r="X153" s="547">
        <f t="shared" si="89"/>
        <v>0</v>
      </c>
      <c r="Y153" s="547">
        <f t="shared" si="90"/>
        <v>0</v>
      </c>
      <c r="AA153" s="547">
        <v>0</v>
      </c>
      <c r="AB153" s="547">
        <f t="shared" si="91"/>
        <v>0</v>
      </c>
      <c r="AC153" s="547">
        <f>IF(AA153=0,0,$V$7*(1+#REF!)^#REF!)</f>
        <v>0</v>
      </c>
      <c r="AD153" s="547">
        <f t="shared" si="108"/>
        <v>0</v>
      </c>
      <c r="AE153" s="547">
        <f t="shared" si="92"/>
        <v>0</v>
      </c>
      <c r="AF153" s="547">
        <f t="shared" si="93"/>
        <v>0</v>
      </c>
      <c r="AH153" s="547">
        <f t="shared" si="94"/>
        <v>0</v>
      </c>
      <c r="AI153" s="547">
        <f t="shared" si="109"/>
        <v>950</v>
      </c>
      <c r="AJ153" s="547">
        <f t="shared" si="82"/>
        <v>0</v>
      </c>
      <c r="AK153" s="547">
        <f>AJ153*[1]mProject!V157</f>
        <v>0</v>
      </c>
      <c r="AL153" s="547">
        <f t="shared" si="95"/>
        <v>0</v>
      </c>
      <c r="AM153" s="547">
        <f t="shared" si="96"/>
        <v>0</v>
      </c>
      <c r="AN153" s="456"/>
      <c r="AO153" s="577" t="e">
        <f t="shared" si="112"/>
        <v>#REF!</v>
      </c>
      <c r="AP153" s="577" t="e">
        <f t="shared" si="79"/>
        <v>#REF!</v>
      </c>
      <c r="AQ153" s="577" t="e">
        <f t="shared" si="81"/>
        <v>#REF!</v>
      </c>
      <c r="AR153" s="578" t="e">
        <f t="shared" si="113"/>
        <v>#REF!</v>
      </c>
      <c r="AS153" s="547" t="e">
        <f t="shared" si="78"/>
        <v>#REF!</v>
      </c>
      <c r="AT153" s="547"/>
      <c r="AU153" s="547"/>
      <c r="AV153" s="547" t="e">
        <f t="shared" si="97"/>
        <v>#REF!</v>
      </c>
      <c r="AW153" s="547" t="e">
        <f>AI153*#REF!+AI152*#REF!+AI151*#REF!</f>
        <v>#REF!</v>
      </c>
      <c r="AX153" s="456"/>
      <c r="AY153" s="585">
        <f t="shared" si="110"/>
        <v>1.2773607815563963</v>
      </c>
      <c r="AZ153" s="547">
        <f t="shared" si="98"/>
        <v>0</v>
      </c>
      <c r="BA153" s="547">
        <f>BA152*[1]mProject!V158</f>
        <v>0</v>
      </c>
      <c r="BB153" s="547">
        <f t="shared" si="114"/>
        <v>17781316.823329829</v>
      </c>
      <c r="BC153" s="456"/>
      <c r="BD153" s="588">
        <f>((BB153/100)*(i_CFD.ObliRate/12))*[1]i.Finance!$O$64</f>
        <v>59826.722228495157</v>
      </c>
      <c r="BE153" s="588">
        <f>(AZ153/100*[1]i.Finance!$O$61)*[1]i.Finance!$O$64</f>
        <v>0</v>
      </c>
      <c r="BF153" s="588">
        <f>(AZ153/100*[1]i.Finance!$O$65)</f>
        <v>0</v>
      </c>
      <c r="BG153" s="589">
        <f t="shared" si="99"/>
        <v>59826.722228495157</v>
      </c>
      <c r="BH153" s="456"/>
      <c r="BI153" s="588">
        <f>-PV([1]i.Finance!$O$63/12,[1]i.Finance!$O$62*12,mCFD!BG153)</f>
        <v>10233961.918709608</v>
      </c>
      <c r="BJ153" s="588">
        <f>BI153*[1]i.Finance!$O$58</f>
        <v>8033660.1061870428</v>
      </c>
      <c r="BK153" s="588"/>
      <c r="BL153" s="588"/>
      <c r="BP153" s="547"/>
      <c r="BQ153" s="547"/>
      <c r="BR153" s="547" t="e">
        <f t="shared" si="100"/>
        <v>#NAME?</v>
      </c>
      <c r="BS153" s="547" t="e">
        <f t="shared" si="101"/>
        <v>#NAME?</v>
      </c>
      <c r="BT153" s="547" t="e">
        <f t="shared" si="102"/>
        <v>#NAME?</v>
      </c>
      <c r="BU153" s="547"/>
    </row>
    <row r="154" spans="1:73" ht="16" hidden="1" outlineLevel="2">
      <c r="A154" s="366"/>
      <c r="B154" s="562"/>
      <c r="C154" s="366"/>
      <c r="D154" s="454"/>
      <c r="E154" s="530">
        <f t="shared" si="111"/>
        <v>148</v>
      </c>
      <c r="F154" s="530">
        <f t="shared" si="103"/>
        <v>50</v>
      </c>
      <c r="G154" s="530">
        <f t="shared" si="104"/>
        <v>13</v>
      </c>
      <c r="H154" s="554">
        <f t="shared" si="80"/>
        <v>48304</v>
      </c>
      <c r="I154" s="555">
        <f t="shared" si="83"/>
        <v>2032</v>
      </c>
      <c r="K154" s="530">
        <f>[1]mProject!KB158</f>
        <v>0</v>
      </c>
      <c r="L154" s="530">
        <f t="shared" si="84"/>
        <v>950</v>
      </c>
      <c r="M154" s="530">
        <f t="shared" si="85"/>
        <v>295000</v>
      </c>
      <c r="N154" s="530">
        <f t="shared" si="86"/>
        <v>0</v>
      </c>
      <c r="O154" s="530">
        <f t="shared" si="105"/>
        <v>280250000</v>
      </c>
      <c r="P154" s="530">
        <f>[1]mProject!W158</f>
        <v>362661.53611406806</v>
      </c>
      <c r="Q154" s="530">
        <f t="shared" si="87"/>
        <v>0</v>
      </c>
      <c r="R154" s="530">
        <f t="shared" si="106"/>
        <v>296355280.38883054</v>
      </c>
      <c r="T154" s="530">
        <v>0</v>
      </c>
      <c r="U154" s="530">
        <f t="shared" si="88"/>
        <v>0</v>
      </c>
      <c r="V154" s="530">
        <f>IF(T154=0,0,$V$7*(1+#REF!)^#REF!)</f>
        <v>0</v>
      </c>
      <c r="W154" s="530">
        <f t="shared" si="107"/>
        <v>0</v>
      </c>
      <c r="X154" s="530">
        <f t="shared" si="89"/>
        <v>0</v>
      </c>
      <c r="Y154" s="530">
        <f t="shared" si="90"/>
        <v>0</v>
      </c>
      <c r="AA154" s="530">
        <v>0</v>
      </c>
      <c r="AB154" s="530">
        <f t="shared" si="91"/>
        <v>0</v>
      </c>
      <c r="AC154" s="530">
        <f>IF(AA154=0,0,$V$7*(1+#REF!)^#REF!)</f>
        <v>0</v>
      </c>
      <c r="AD154" s="530">
        <f t="shared" si="108"/>
        <v>0</v>
      </c>
      <c r="AE154" s="530">
        <f t="shared" si="92"/>
        <v>0</v>
      </c>
      <c r="AF154" s="530">
        <f t="shared" si="93"/>
        <v>0</v>
      </c>
      <c r="AH154" s="530">
        <f t="shared" si="94"/>
        <v>0</v>
      </c>
      <c r="AI154" s="530">
        <f t="shared" si="109"/>
        <v>950</v>
      </c>
      <c r="AJ154" s="530">
        <f t="shared" si="82"/>
        <v>0</v>
      </c>
      <c r="AK154" s="530">
        <f>AJ154*[1]mProject!V158</f>
        <v>0</v>
      </c>
      <c r="AL154" s="530">
        <f t="shared" si="95"/>
        <v>0</v>
      </c>
      <c r="AM154" s="530">
        <f t="shared" si="96"/>
        <v>0</v>
      </c>
      <c r="AN154" s="456"/>
      <c r="AO154" s="572" t="e">
        <f t="shared" si="112"/>
        <v>#REF!</v>
      </c>
      <c r="AP154" s="572" t="e">
        <f t="shared" si="79"/>
        <v>#REF!</v>
      </c>
      <c r="AQ154" s="572" t="e">
        <f t="shared" si="81"/>
        <v>#REF!</v>
      </c>
      <c r="AR154" s="573" t="e">
        <f t="shared" si="113"/>
        <v>#REF!</v>
      </c>
      <c r="AS154" s="530" t="e">
        <f t="shared" si="78"/>
        <v>#REF!</v>
      </c>
      <c r="AT154" s="530"/>
      <c r="AU154" s="530"/>
      <c r="AV154" s="530" t="e">
        <f t="shared" si="97"/>
        <v>#REF!</v>
      </c>
      <c r="AW154" s="530" t="e">
        <f>AI154*#REF!+AI153*#REF!+AI152*#REF!</f>
        <v>#REF!</v>
      </c>
      <c r="AX154" s="456"/>
      <c r="AY154" s="583">
        <f t="shared" si="110"/>
        <v>1.2794897161923238</v>
      </c>
      <c r="AZ154" s="530">
        <f t="shared" si="98"/>
        <v>0</v>
      </c>
      <c r="BA154" s="530">
        <f>BA153*[1]mProject!V159</f>
        <v>0</v>
      </c>
      <c r="BB154" s="530">
        <f t="shared" si="114"/>
        <v>17781316.823329829</v>
      </c>
      <c r="BC154" s="456"/>
      <c r="BD154" s="590">
        <f>((BB154/100)*(i_CFD.ObliRate/12))*[1]i.Finance!$O$64</f>
        <v>59826.722228495157</v>
      </c>
      <c r="BE154" s="590">
        <f>(AZ154/100*[1]i.Finance!$O$61)*[1]i.Finance!$O$64</f>
        <v>0</v>
      </c>
      <c r="BF154" s="590">
        <f>(AZ154/100*[1]i.Finance!$O$65)</f>
        <v>0</v>
      </c>
      <c r="BG154" s="591">
        <f t="shared" si="99"/>
        <v>59826.722228495157</v>
      </c>
      <c r="BH154" s="456"/>
      <c r="BI154" s="590">
        <f>-PV([1]i.Finance!$O$63/12,[1]i.Finance!$O$62*12,mCFD!BG154)</f>
        <v>10233961.918709608</v>
      </c>
      <c r="BJ154" s="590">
        <f>BI154*[1]i.Finance!$O$58</f>
        <v>8033660.1061870428</v>
      </c>
      <c r="BK154" s="590"/>
      <c r="BL154" s="590"/>
      <c r="BP154" s="530"/>
      <c r="BQ154" s="530"/>
      <c r="BR154" s="530" t="e">
        <f t="shared" si="100"/>
        <v>#NAME?</v>
      </c>
      <c r="BS154" s="530" t="e">
        <f t="shared" si="101"/>
        <v>#NAME?</v>
      </c>
      <c r="BT154" s="530" t="e">
        <f t="shared" si="102"/>
        <v>#NAME?</v>
      </c>
      <c r="BU154" s="530"/>
    </row>
    <row r="155" spans="1:73" ht="16" hidden="1" outlineLevel="2">
      <c r="A155" s="366"/>
      <c r="B155" s="562"/>
      <c r="C155" s="366"/>
      <c r="D155" s="454"/>
      <c r="E155" s="533">
        <f t="shared" si="111"/>
        <v>149</v>
      </c>
      <c r="F155" s="533">
        <f t="shared" si="103"/>
        <v>50</v>
      </c>
      <c r="G155" s="533">
        <f t="shared" si="104"/>
        <v>13</v>
      </c>
      <c r="H155" s="541">
        <f t="shared" si="80"/>
        <v>48334</v>
      </c>
      <c r="I155" s="542">
        <f t="shared" si="83"/>
        <v>2032</v>
      </c>
      <c r="K155" s="533">
        <f>[1]mProject!KB159</f>
        <v>0</v>
      </c>
      <c r="L155" s="533">
        <f t="shared" si="84"/>
        <v>950</v>
      </c>
      <c r="M155" s="533">
        <f t="shared" si="85"/>
        <v>295000</v>
      </c>
      <c r="N155" s="533">
        <f t="shared" si="86"/>
        <v>0</v>
      </c>
      <c r="O155" s="533">
        <f t="shared" si="105"/>
        <v>280250000</v>
      </c>
      <c r="P155" s="533">
        <f>[1]mProject!W159</f>
        <v>363265.97200759151</v>
      </c>
      <c r="Q155" s="533">
        <f t="shared" si="87"/>
        <v>0</v>
      </c>
      <c r="R155" s="533">
        <f t="shared" si="106"/>
        <v>296355280.38883054</v>
      </c>
      <c r="T155" s="533">
        <v>0</v>
      </c>
      <c r="U155" s="533">
        <f t="shared" si="88"/>
        <v>0</v>
      </c>
      <c r="V155" s="533">
        <f>IF(T155=0,0,$V$7*(1+#REF!)^#REF!)</f>
        <v>0</v>
      </c>
      <c r="W155" s="533">
        <f t="shared" si="107"/>
        <v>0</v>
      </c>
      <c r="X155" s="533">
        <f t="shared" si="89"/>
        <v>0</v>
      </c>
      <c r="Y155" s="533">
        <f t="shared" si="90"/>
        <v>0</v>
      </c>
      <c r="AA155" s="533">
        <v>0</v>
      </c>
      <c r="AB155" s="533">
        <f t="shared" si="91"/>
        <v>0</v>
      </c>
      <c r="AC155" s="533">
        <f>IF(AA155=0,0,$V$7*(1+#REF!)^#REF!)</f>
        <v>0</v>
      </c>
      <c r="AD155" s="533">
        <f t="shared" si="108"/>
        <v>0</v>
      </c>
      <c r="AE155" s="533">
        <f t="shared" si="92"/>
        <v>0</v>
      </c>
      <c r="AF155" s="533">
        <f t="shared" si="93"/>
        <v>0</v>
      </c>
      <c r="AH155" s="533">
        <f t="shared" si="94"/>
        <v>0</v>
      </c>
      <c r="AI155" s="533">
        <f t="shared" si="109"/>
        <v>950</v>
      </c>
      <c r="AJ155" s="533">
        <f t="shared" si="82"/>
        <v>0</v>
      </c>
      <c r="AK155" s="533">
        <f>AJ155*[1]mProject!V159</f>
        <v>0</v>
      </c>
      <c r="AL155" s="533">
        <f t="shared" si="95"/>
        <v>0</v>
      </c>
      <c r="AM155" s="533">
        <f t="shared" si="96"/>
        <v>0</v>
      </c>
      <c r="AN155" s="456"/>
      <c r="AO155" s="575" t="e">
        <f t="shared" si="112"/>
        <v>#REF!</v>
      </c>
      <c r="AP155" s="575" t="e">
        <f t="shared" si="79"/>
        <v>#REF!</v>
      </c>
      <c r="AQ155" s="575" t="e">
        <f t="shared" si="81"/>
        <v>#REF!</v>
      </c>
      <c r="AR155" s="576" t="e">
        <f t="shared" si="113"/>
        <v>#REF!</v>
      </c>
      <c r="AS155" s="533" t="e">
        <f t="shared" si="78"/>
        <v>#REF!</v>
      </c>
      <c r="AT155" s="533"/>
      <c r="AU155" s="533"/>
      <c r="AV155" s="533" t="e">
        <f t="shared" si="97"/>
        <v>#REF!</v>
      </c>
      <c r="AW155" s="533" t="e">
        <f>AI155*#REF!+AI154*#REF!+AI153*#REF!</f>
        <v>#REF!</v>
      </c>
      <c r="AX155" s="456"/>
      <c r="AY155" s="584">
        <f t="shared" si="110"/>
        <v>1.2816221990526444</v>
      </c>
      <c r="AZ155" s="533">
        <f t="shared" si="98"/>
        <v>0</v>
      </c>
      <c r="BA155" s="533">
        <f>BA154*[1]mProject!V160</f>
        <v>0</v>
      </c>
      <c r="BB155" s="533">
        <f t="shared" si="114"/>
        <v>17781316.823329829</v>
      </c>
      <c r="BC155" s="456"/>
      <c r="BD155" s="586">
        <f>((BB155/100)*(i_CFD.ObliRate/12))*[1]i.Finance!$O$64</f>
        <v>59826.722228495157</v>
      </c>
      <c r="BE155" s="586">
        <f>(AZ155/100*[1]i.Finance!$O$61)*[1]i.Finance!$O$64</f>
        <v>0</v>
      </c>
      <c r="BF155" s="586">
        <f>(AZ155/100*[1]i.Finance!$O$65)</f>
        <v>0</v>
      </c>
      <c r="BG155" s="587">
        <f t="shared" si="99"/>
        <v>59826.722228495157</v>
      </c>
      <c r="BH155" s="456"/>
      <c r="BI155" s="586">
        <f>-PV([1]i.Finance!$O$63/12,[1]i.Finance!$O$62*12,mCFD!BG155)</f>
        <v>10233961.918709608</v>
      </c>
      <c r="BJ155" s="586">
        <f>BI155*[1]i.Finance!$O$58</f>
        <v>8033660.1061870428</v>
      </c>
      <c r="BK155" s="586"/>
      <c r="BL155" s="586"/>
      <c r="BP155" s="533"/>
      <c r="BQ155" s="533"/>
      <c r="BR155" s="533" t="e">
        <f t="shared" si="100"/>
        <v>#NAME?</v>
      </c>
      <c r="BS155" s="533" t="e">
        <f t="shared" si="101"/>
        <v>#NAME?</v>
      </c>
      <c r="BT155" s="533" t="e">
        <f t="shared" si="102"/>
        <v>#NAME?</v>
      </c>
      <c r="BU155" s="533"/>
    </row>
    <row r="156" spans="1:73" ht="16" hidden="1" outlineLevel="2">
      <c r="A156" s="366"/>
      <c r="B156" s="562"/>
      <c r="C156" s="366"/>
      <c r="D156" s="454"/>
      <c r="E156" s="547">
        <f t="shared" si="111"/>
        <v>150</v>
      </c>
      <c r="F156" s="547">
        <f t="shared" si="103"/>
        <v>50</v>
      </c>
      <c r="G156" s="547">
        <f t="shared" si="104"/>
        <v>13</v>
      </c>
      <c r="H156" s="548">
        <f t="shared" si="80"/>
        <v>48365</v>
      </c>
      <c r="I156" s="549">
        <f t="shared" si="83"/>
        <v>2032</v>
      </c>
      <c r="K156" s="547">
        <f>[1]mProject!KB160</f>
        <v>0</v>
      </c>
      <c r="L156" s="547">
        <f t="shared" si="84"/>
        <v>950</v>
      </c>
      <c r="M156" s="547">
        <f t="shared" si="85"/>
        <v>295000</v>
      </c>
      <c r="N156" s="547">
        <f t="shared" si="86"/>
        <v>0</v>
      </c>
      <c r="O156" s="547">
        <f t="shared" si="105"/>
        <v>280250000</v>
      </c>
      <c r="P156" s="547">
        <f>[1]mProject!W160</f>
        <v>363871.41529427085</v>
      </c>
      <c r="Q156" s="547">
        <f t="shared" si="87"/>
        <v>0</v>
      </c>
      <c r="R156" s="547">
        <f t="shared" si="106"/>
        <v>296355280.38883054</v>
      </c>
      <c r="T156" s="547">
        <v>0</v>
      </c>
      <c r="U156" s="547">
        <f t="shared" si="88"/>
        <v>0</v>
      </c>
      <c r="V156" s="547">
        <f>IF(T156=0,0,$V$7*(1+#REF!)^#REF!)</f>
        <v>0</v>
      </c>
      <c r="W156" s="547">
        <f t="shared" si="107"/>
        <v>0</v>
      </c>
      <c r="X156" s="547">
        <f t="shared" si="89"/>
        <v>0</v>
      </c>
      <c r="Y156" s="547">
        <f t="shared" si="90"/>
        <v>0</v>
      </c>
      <c r="AA156" s="547">
        <v>0</v>
      </c>
      <c r="AB156" s="547">
        <f t="shared" si="91"/>
        <v>0</v>
      </c>
      <c r="AC156" s="547">
        <f>IF(AA156=0,0,$V$7*(1+#REF!)^#REF!)</f>
        <v>0</v>
      </c>
      <c r="AD156" s="547">
        <f t="shared" si="108"/>
        <v>0</v>
      </c>
      <c r="AE156" s="547">
        <f t="shared" si="92"/>
        <v>0</v>
      </c>
      <c r="AF156" s="547">
        <f t="shared" si="93"/>
        <v>0</v>
      </c>
      <c r="AH156" s="547">
        <f t="shared" si="94"/>
        <v>0</v>
      </c>
      <c r="AI156" s="547">
        <f t="shared" si="109"/>
        <v>950</v>
      </c>
      <c r="AJ156" s="547">
        <f t="shared" si="82"/>
        <v>0</v>
      </c>
      <c r="AK156" s="547">
        <f>AJ156*[1]mProject!V160</f>
        <v>0</v>
      </c>
      <c r="AL156" s="547">
        <f t="shared" si="95"/>
        <v>0</v>
      </c>
      <c r="AM156" s="547">
        <f t="shared" si="96"/>
        <v>0</v>
      </c>
      <c r="AN156" s="456"/>
      <c r="AO156" s="577" t="e">
        <f t="shared" si="112"/>
        <v>#REF!</v>
      </c>
      <c r="AP156" s="577" t="e">
        <f t="shared" si="79"/>
        <v>#REF!</v>
      </c>
      <c r="AQ156" s="577" t="e">
        <f t="shared" si="81"/>
        <v>#REF!</v>
      </c>
      <c r="AR156" s="578" t="e">
        <f t="shared" si="113"/>
        <v>#REF!</v>
      </c>
      <c r="AS156" s="547" t="e">
        <f t="shared" ref="AS156:AS219" si="115">AR156*P156</f>
        <v>#REF!</v>
      </c>
      <c r="AT156" s="547"/>
      <c r="AU156" s="547"/>
      <c r="AV156" s="547" t="e">
        <f t="shared" si="97"/>
        <v>#REF!</v>
      </c>
      <c r="AW156" s="547" t="e">
        <f>AI156*#REF!+AI155*#REF!+AI154*#REF!</f>
        <v>#REF!</v>
      </c>
      <c r="AX156" s="456"/>
      <c r="AY156" s="585">
        <f t="shared" si="110"/>
        <v>1.2837582360510655</v>
      </c>
      <c r="AZ156" s="547">
        <f t="shared" si="98"/>
        <v>0</v>
      </c>
      <c r="BA156" s="547">
        <f>BA155*[1]mProject!V161</f>
        <v>0</v>
      </c>
      <c r="BB156" s="547">
        <f t="shared" si="114"/>
        <v>17781316.823329829</v>
      </c>
      <c r="BC156" s="456"/>
      <c r="BD156" s="588">
        <f>((BB156/100)*(i_CFD.ObliRate/12))*[1]i.Finance!$O$64</f>
        <v>59826.722228495157</v>
      </c>
      <c r="BE156" s="588">
        <f>(AZ156/100*[1]i.Finance!$O$61)*[1]i.Finance!$O$64</f>
        <v>0</v>
      </c>
      <c r="BF156" s="588">
        <f>(AZ156/100*[1]i.Finance!$O$65)</f>
        <v>0</v>
      </c>
      <c r="BG156" s="589">
        <f t="shared" si="99"/>
        <v>59826.722228495157</v>
      </c>
      <c r="BH156" s="456"/>
      <c r="BI156" s="588">
        <f>-PV([1]i.Finance!$O$63/12,[1]i.Finance!$O$62*12,mCFD!BG156)</f>
        <v>10233961.918709608</v>
      </c>
      <c r="BJ156" s="588">
        <f>BI156*[1]i.Finance!$O$58</f>
        <v>8033660.1061870428</v>
      </c>
      <c r="BK156" s="588"/>
      <c r="BL156" s="588"/>
      <c r="BP156" s="547"/>
      <c r="BQ156" s="547"/>
      <c r="BR156" s="547" t="e">
        <f t="shared" si="100"/>
        <v>#NAME?</v>
      </c>
      <c r="BS156" s="547" t="e">
        <f t="shared" si="101"/>
        <v>#NAME?</v>
      </c>
      <c r="BT156" s="547" t="e">
        <f t="shared" si="102"/>
        <v>#NAME?</v>
      </c>
      <c r="BU156" s="547"/>
    </row>
    <row r="157" spans="1:73" ht="16" hidden="1" outlineLevel="2">
      <c r="A157" s="366"/>
      <c r="B157" s="562"/>
      <c r="C157" s="366"/>
      <c r="D157" s="454"/>
      <c r="E157" s="530">
        <f t="shared" si="111"/>
        <v>151</v>
      </c>
      <c r="F157" s="530">
        <f t="shared" si="103"/>
        <v>51</v>
      </c>
      <c r="G157" s="530">
        <f t="shared" si="104"/>
        <v>13</v>
      </c>
      <c r="H157" s="554">
        <f t="shared" si="80"/>
        <v>48395</v>
      </c>
      <c r="I157" s="555">
        <f t="shared" si="83"/>
        <v>2032</v>
      </c>
      <c r="K157" s="530">
        <f>[1]mProject!KB161</f>
        <v>0</v>
      </c>
      <c r="L157" s="530">
        <f t="shared" si="84"/>
        <v>950</v>
      </c>
      <c r="M157" s="530">
        <f t="shared" si="85"/>
        <v>295000</v>
      </c>
      <c r="N157" s="530">
        <f t="shared" si="86"/>
        <v>0</v>
      </c>
      <c r="O157" s="530">
        <f t="shared" si="105"/>
        <v>280250000</v>
      </c>
      <c r="P157" s="530">
        <f>[1]mProject!W161</f>
        <v>364477.86765309464</v>
      </c>
      <c r="Q157" s="530">
        <f t="shared" si="87"/>
        <v>0</v>
      </c>
      <c r="R157" s="530">
        <f t="shared" si="106"/>
        <v>296355280.38883054</v>
      </c>
      <c r="T157" s="530">
        <v>0</v>
      </c>
      <c r="U157" s="530">
        <f t="shared" si="88"/>
        <v>0</v>
      </c>
      <c r="V157" s="530">
        <f>IF(T157=0,0,$V$7*(1+#REF!)^#REF!)</f>
        <v>0</v>
      </c>
      <c r="W157" s="530">
        <f t="shared" si="107"/>
        <v>0</v>
      </c>
      <c r="X157" s="530">
        <f t="shared" si="89"/>
        <v>0</v>
      </c>
      <c r="Y157" s="530">
        <f t="shared" si="90"/>
        <v>0</v>
      </c>
      <c r="AA157" s="530">
        <v>0</v>
      </c>
      <c r="AB157" s="530">
        <f t="shared" si="91"/>
        <v>0</v>
      </c>
      <c r="AC157" s="530">
        <f>IF(AA157=0,0,$V$7*(1+#REF!)^#REF!)</f>
        <v>0</v>
      </c>
      <c r="AD157" s="530">
        <f t="shared" si="108"/>
        <v>0</v>
      </c>
      <c r="AE157" s="530">
        <f t="shared" si="92"/>
        <v>0</v>
      </c>
      <c r="AF157" s="530">
        <f t="shared" si="93"/>
        <v>0</v>
      </c>
      <c r="AH157" s="530">
        <f t="shared" si="94"/>
        <v>0</v>
      </c>
      <c r="AI157" s="530">
        <f t="shared" si="109"/>
        <v>950</v>
      </c>
      <c r="AJ157" s="530">
        <f t="shared" si="82"/>
        <v>0</v>
      </c>
      <c r="AK157" s="530">
        <f>AJ157*[1]mProject!V161</f>
        <v>0</v>
      </c>
      <c r="AL157" s="530">
        <f t="shared" si="95"/>
        <v>0</v>
      </c>
      <c r="AM157" s="530">
        <f t="shared" si="96"/>
        <v>0</v>
      </c>
      <c r="AN157" s="456"/>
      <c r="AO157" s="572" t="e">
        <f t="shared" si="112"/>
        <v>#REF!</v>
      </c>
      <c r="AP157" s="572" t="e">
        <f t="shared" si="79"/>
        <v>#REF!</v>
      </c>
      <c r="AQ157" s="572" t="e">
        <f t="shared" si="81"/>
        <v>#REF!</v>
      </c>
      <c r="AR157" s="573" t="e">
        <f t="shared" si="113"/>
        <v>#REF!</v>
      </c>
      <c r="AS157" s="530" t="e">
        <f t="shared" si="115"/>
        <v>#REF!</v>
      </c>
      <c r="AT157" s="530"/>
      <c r="AU157" s="530"/>
      <c r="AV157" s="530" t="e">
        <f t="shared" si="97"/>
        <v>#REF!</v>
      </c>
      <c r="AW157" s="530" t="e">
        <f>AI157*#REF!+AI156*#REF!+AI155*#REF!</f>
        <v>#REF!</v>
      </c>
      <c r="AX157" s="456"/>
      <c r="AY157" s="583">
        <f t="shared" si="110"/>
        <v>1.2858978331111508</v>
      </c>
      <c r="AZ157" s="530">
        <f t="shared" si="98"/>
        <v>0</v>
      </c>
      <c r="BA157" s="530">
        <f>BA156*[1]mProject!V162</f>
        <v>0</v>
      </c>
      <c r="BB157" s="530">
        <f t="shared" si="114"/>
        <v>17781316.823329829</v>
      </c>
      <c r="BC157" s="456"/>
      <c r="BD157" s="590">
        <f>((BB157/100)*(i_CFD.ObliRate/12))*[1]i.Finance!$O$64</f>
        <v>59826.722228495157</v>
      </c>
      <c r="BE157" s="590">
        <f>(AZ157/100*[1]i.Finance!$O$61)*[1]i.Finance!$O$64</f>
        <v>0</v>
      </c>
      <c r="BF157" s="590">
        <f>(AZ157/100*[1]i.Finance!$O$65)</f>
        <v>0</v>
      </c>
      <c r="BG157" s="591">
        <f t="shared" si="99"/>
        <v>59826.722228495157</v>
      </c>
      <c r="BH157" s="456"/>
      <c r="BI157" s="590">
        <f>-PV([1]i.Finance!$O$63/12,[1]i.Finance!$O$62*12,mCFD!BG157)</f>
        <v>10233961.918709608</v>
      </c>
      <c r="BJ157" s="590">
        <f>BI157*[1]i.Finance!$O$58</f>
        <v>8033660.1061870428</v>
      </c>
      <c r="BK157" s="590"/>
      <c r="BL157" s="590"/>
      <c r="BP157" s="530"/>
      <c r="BQ157" s="530"/>
      <c r="BR157" s="530" t="e">
        <f t="shared" si="100"/>
        <v>#NAME?</v>
      </c>
      <c r="BS157" s="530" t="e">
        <f t="shared" si="101"/>
        <v>#NAME?</v>
      </c>
      <c r="BT157" s="530" t="e">
        <f t="shared" si="102"/>
        <v>#NAME?</v>
      </c>
      <c r="BU157" s="530"/>
    </row>
    <row r="158" spans="1:73" ht="16" hidden="1" outlineLevel="2">
      <c r="A158" s="366"/>
      <c r="B158" s="562"/>
      <c r="C158" s="366"/>
      <c r="D158" s="454"/>
      <c r="E158" s="533">
        <f t="shared" si="111"/>
        <v>152</v>
      </c>
      <c r="F158" s="533">
        <f t="shared" si="103"/>
        <v>51</v>
      </c>
      <c r="G158" s="533">
        <f t="shared" si="104"/>
        <v>13</v>
      </c>
      <c r="H158" s="541">
        <f t="shared" si="80"/>
        <v>48426</v>
      </c>
      <c r="I158" s="542">
        <f t="shared" si="83"/>
        <v>2032</v>
      </c>
      <c r="K158" s="533">
        <f>[1]mProject!KB162</f>
        <v>0</v>
      </c>
      <c r="L158" s="533">
        <f t="shared" si="84"/>
        <v>950</v>
      </c>
      <c r="M158" s="533">
        <f t="shared" si="85"/>
        <v>295000</v>
      </c>
      <c r="N158" s="533">
        <f t="shared" si="86"/>
        <v>0</v>
      </c>
      <c r="O158" s="533">
        <f t="shared" si="105"/>
        <v>280250000</v>
      </c>
      <c r="P158" s="533">
        <f>[1]mProject!W162</f>
        <v>365085.33076584979</v>
      </c>
      <c r="Q158" s="533">
        <f t="shared" si="87"/>
        <v>0</v>
      </c>
      <c r="R158" s="533">
        <f t="shared" si="106"/>
        <v>296355280.38883054</v>
      </c>
      <c r="T158" s="533">
        <v>0</v>
      </c>
      <c r="U158" s="533">
        <f t="shared" si="88"/>
        <v>0</v>
      </c>
      <c r="V158" s="533">
        <f>IF(T158=0,0,$V$7*(1+#REF!)^#REF!)</f>
        <v>0</v>
      </c>
      <c r="W158" s="533">
        <f t="shared" si="107"/>
        <v>0</v>
      </c>
      <c r="X158" s="533">
        <f t="shared" si="89"/>
        <v>0</v>
      </c>
      <c r="Y158" s="533">
        <f t="shared" si="90"/>
        <v>0</v>
      </c>
      <c r="AA158" s="533">
        <v>0</v>
      </c>
      <c r="AB158" s="533">
        <f t="shared" si="91"/>
        <v>0</v>
      </c>
      <c r="AC158" s="533">
        <f>IF(AA158=0,0,$V$7*(1+#REF!)^#REF!)</f>
        <v>0</v>
      </c>
      <c r="AD158" s="533">
        <f t="shared" si="108"/>
        <v>0</v>
      </c>
      <c r="AE158" s="533">
        <f t="shared" si="92"/>
        <v>0</v>
      </c>
      <c r="AF158" s="533">
        <f t="shared" si="93"/>
        <v>0</v>
      </c>
      <c r="AH158" s="533">
        <f t="shared" si="94"/>
        <v>0</v>
      </c>
      <c r="AI158" s="533">
        <f t="shared" si="109"/>
        <v>950</v>
      </c>
      <c r="AJ158" s="533">
        <f t="shared" si="82"/>
        <v>0</v>
      </c>
      <c r="AK158" s="533">
        <f>AJ158*[1]mProject!V162</f>
        <v>0</v>
      </c>
      <c r="AL158" s="533">
        <f t="shared" si="95"/>
        <v>0</v>
      </c>
      <c r="AM158" s="533">
        <f t="shared" si="96"/>
        <v>0</v>
      </c>
      <c r="AN158" s="456"/>
      <c r="AO158" s="575" t="e">
        <f t="shared" si="112"/>
        <v>#REF!</v>
      </c>
      <c r="AP158" s="575" t="e">
        <f t="shared" si="79"/>
        <v>#REF!</v>
      </c>
      <c r="AQ158" s="575" t="e">
        <f t="shared" si="81"/>
        <v>#REF!</v>
      </c>
      <c r="AR158" s="576" t="e">
        <f t="shared" si="113"/>
        <v>#REF!</v>
      </c>
      <c r="AS158" s="533" t="e">
        <f t="shared" si="115"/>
        <v>#REF!</v>
      </c>
      <c r="AT158" s="533"/>
      <c r="AU158" s="533"/>
      <c r="AV158" s="533" t="e">
        <f t="shared" si="97"/>
        <v>#REF!</v>
      </c>
      <c r="AW158" s="533" t="e">
        <f>AI158*#REF!+AI157*#REF!+AI156*#REF!</f>
        <v>#REF!</v>
      </c>
      <c r="AX158" s="456"/>
      <c r="AY158" s="584">
        <f t="shared" si="110"/>
        <v>1.2880409961663362</v>
      </c>
      <c r="AZ158" s="533">
        <f t="shared" si="98"/>
        <v>0</v>
      </c>
      <c r="BA158" s="533">
        <f>BA157*[1]mProject!V163</f>
        <v>0</v>
      </c>
      <c r="BB158" s="533">
        <f t="shared" si="114"/>
        <v>17781316.823329829</v>
      </c>
      <c r="BC158" s="456"/>
      <c r="BD158" s="586">
        <f>((BB158/100)*(i_CFD.ObliRate/12))*[1]i.Finance!$O$64</f>
        <v>59826.722228495157</v>
      </c>
      <c r="BE158" s="586">
        <f>(AZ158/100*[1]i.Finance!$O$61)*[1]i.Finance!$O$64</f>
        <v>0</v>
      </c>
      <c r="BF158" s="586">
        <f>(AZ158/100*[1]i.Finance!$O$65)</f>
        <v>0</v>
      </c>
      <c r="BG158" s="587">
        <f t="shared" si="99"/>
        <v>59826.722228495157</v>
      </c>
      <c r="BH158" s="456"/>
      <c r="BI158" s="586">
        <f>-PV([1]i.Finance!$O$63/12,[1]i.Finance!$O$62*12,mCFD!BG158)</f>
        <v>10233961.918709608</v>
      </c>
      <c r="BJ158" s="586">
        <f>BI158*[1]i.Finance!$O$58</f>
        <v>8033660.1061870428</v>
      </c>
      <c r="BK158" s="586"/>
      <c r="BL158" s="586"/>
      <c r="BP158" s="533"/>
      <c r="BQ158" s="533"/>
      <c r="BR158" s="533" t="e">
        <f t="shared" si="100"/>
        <v>#NAME?</v>
      </c>
      <c r="BS158" s="533" t="e">
        <f t="shared" si="101"/>
        <v>#NAME?</v>
      </c>
      <c r="BT158" s="533" t="e">
        <f t="shared" si="102"/>
        <v>#NAME?</v>
      </c>
      <c r="BU158" s="533"/>
    </row>
    <row r="159" spans="1:73" ht="16" hidden="1" outlineLevel="2">
      <c r="A159" s="366"/>
      <c r="B159" s="562"/>
      <c r="C159" s="366"/>
      <c r="D159" s="454"/>
      <c r="E159" s="547">
        <f t="shared" si="111"/>
        <v>153</v>
      </c>
      <c r="F159" s="547">
        <f t="shared" si="103"/>
        <v>51</v>
      </c>
      <c r="G159" s="547">
        <f t="shared" si="104"/>
        <v>13</v>
      </c>
      <c r="H159" s="548">
        <f t="shared" si="80"/>
        <v>48457</v>
      </c>
      <c r="I159" s="549">
        <f t="shared" si="83"/>
        <v>2032</v>
      </c>
      <c r="K159" s="547">
        <f>[1]mProject!KB163</f>
        <v>0</v>
      </c>
      <c r="L159" s="547">
        <f t="shared" si="84"/>
        <v>950</v>
      </c>
      <c r="M159" s="547">
        <f t="shared" si="85"/>
        <v>295000</v>
      </c>
      <c r="N159" s="547">
        <f t="shared" si="86"/>
        <v>0</v>
      </c>
      <c r="O159" s="547">
        <f t="shared" si="105"/>
        <v>280250000</v>
      </c>
      <c r="P159" s="547">
        <f>[1]mProject!W163</f>
        <v>365693.8063171262</v>
      </c>
      <c r="Q159" s="547">
        <f t="shared" si="87"/>
        <v>0</v>
      </c>
      <c r="R159" s="547">
        <f t="shared" si="106"/>
        <v>296355280.38883054</v>
      </c>
      <c r="T159" s="547">
        <v>0</v>
      </c>
      <c r="U159" s="547">
        <f t="shared" si="88"/>
        <v>0</v>
      </c>
      <c r="V159" s="547">
        <f>IF(T159=0,0,$V$7*(1+#REF!)^#REF!)</f>
        <v>0</v>
      </c>
      <c r="W159" s="547">
        <f t="shared" si="107"/>
        <v>0</v>
      </c>
      <c r="X159" s="547">
        <f t="shared" si="89"/>
        <v>0</v>
      </c>
      <c r="Y159" s="547">
        <f t="shared" si="90"/>
        <v>0</v>
      </c>
      <c r="AA159" s="547">
        <v>0</v>
      </c>
      <c r="AB159" s="547">
        <f t="shared" si="91"/>
        <v>0</v>
      </c>
      <c r="AC159" s="547">
        <f>IF(AA159=0,0,$V$7*(1+#REF!)^#REF!)</f>
        <v>0</v>
      </c>
      <c r="AD159" s="547">
        <f t="shared" si="108"/>
        <v>0</v>
      </c>
      <c r="AE159" s="547">
        <f t="shared" si="92"/>
        <v>0</v>
      </c>
      <c r="AF159" s="547">
        <f t="shared" si="93"/>
        <v>0</v>
      </c>
      <c r="AH159" s="547">
        <f t="shared" si="94"/>
        <v>0</v>
      </c>
      <c r="AI159" s="547">
        <f t="shared" si="109"/>
        <v>950</v>
      </c>
      <c r="AJ159" s="547">
        <f t="shared" si="82"/>
        <v>0</v>
      </c>
      <c r="AK159" s="547">
        <f>AJ159*[1]mProject!V163</f>
        <v>0</v>
      </c>
      <c r="AL159" s="547">
        <f t="shared" si="95"/>
        <v>0</v>
      </c>
      <c r="AM159" s="547">
        <f t="shared" si="96"/>
        <v>0</v>
      </c>
      <c r="AN159" s="456"/>
      <c r="AO159" s="577" t="e">
        <f t="shared" si="112"/>
        <v>#REF!</v>
      </c>
      <c r="AP159" s="577" t="e">
        <f t="shared" ref="AP159:AP222" si="116">$L147*AP$6</f>
        <v>#REF!</v>
      </c>
      <c r="AQ159" s="577" t="e">
        <f t="shared" si="81"/>
        <v>#REF!</v>
      </c>
      <c r="AR159" s="578" t="e">
        <f t="shared" si="113"/>
        <v>#REF!</v>
      </c>
      <c r="AS159" s="547" t="e">
        <f t="shared" si="115"/>
        <v>#REF!</v>
      </c>
      <c r="AT159" s="547"/>
      <c r="AU159" s="547"/>
      <c r="AV159" s="547" t="e">
        <f t="shared" si="97"/>
        <v>#REF!</v>
      </c>
      <c r="AW159" s="547" t="e">
        <f>AI159*#REF!+AI158*#REF!+AI157*#REF!</f>
        <v>#REF!</v>
      </c>
      <c r="AX159" s="456"/>
      <c r="AY159" s="585">
        <f t="shared" si="110"/>
        <v>1.2901877311599468</v>
      </c>
      <c r="AZ159" s="547">
        <f t="shared" si="98"/>
        <v>0</v>
      </c>
      <c r="BA159" s="547">
        <f>BA158*[1]mProject!V164</f>
        <v>0</v>
      </c>
      <c r="BB159" s="547">
        <f t="shared" si="114"/>
        <v>17781316.823329829</v>
      </c>
      <c r="BC159" s="456"/>
      <c r="BD159" s="588">
        <f>((BB159/100)*(i_CFD.ObliRate/12))*[1]i.Finance!$O$64</f>
        <v>59826.722228495157</v>
      </c>
      <c r="BE159" s="588">
        <f>(AZ159/100*[1]i.Finance!$O$61)*[1]i.Finance!$O$64</f>
        <v>0</v>
      </c>
      <c r="BF159" s="588">
        <f>(AZ159/100*[1]i.Finance!$O$65)</f>
        <v>0</v>
      </c>
      <c r="BG159" s="589">
        <f t="shared" si="99"/>
        <v>59826.722228495157</v>
      </c>
      <c r="BH159" s="456"/>
      <c r="BI159" s="588">
        <f>-PV([1]i.Finance!$O$63/12,[1]i.Finance!$O$62*12,mCFD!BG159)</f>
        <v>10233961.918709608</v>
      </c>
      <c r="BJ159" s="588">
        <f>BI159*[1]i.Finance!$O$58</f>
        <v>8033660.1061870428</v>
      </c>
      <c r="BK159" s="588"/>
      <c r="BL159" s="588"/>
      <c r="BP159" s="547"/>
      <c r="BQ159" s="547"/>
      <c r="BR159" s="547" t="e">
        <f t="shared" si="100"/>
        <v>#NAME?</v>
      </c>
      <c r="BS159" s="547" t="e">
        <f t="shared" si="101"/>
        <v>#NAME?</v>
      </c>
      <c r="BT159" s="547" t="e">
        <f t="shared" si="102"/>
        <v>#NAME?</v>
      </c>
      <c r="BU159" s="547"/>
    </row>
    <row r="160" spans="1:73" ht="16" hidden="1" outlineLevel="2">
      <c r="A160" s="366"/>
      <c r="B160" s="562"/>
      <c r="C160" s="366"/>
      <c r="D160" s="454"/>
      <c r="E160" s="530">
        <f t="shared" si="111"/>
        <v>154</v>
      </c>
      <c r="F160" s="530">
        <f t="shared" si="103"/>
        <v>52</v>
      </c>
      <c r="G160" s="530">
        <f t="shared" si="104"/>
        <v>13</v>
      </c>
      <c r="H160" s="554">
        <f t="shared" si="80"/>
        <v>48487</v>
      </c>
      <c r="I160" s="555">
        <f t="shared" si="83"/>
        <v>2032</v>
      </c>
      <c r="K160" s="530">
        <f>[1]mProject!KB164</f>
        <v>0</v>
      </c>
      <c r="L160" s="530">
        <f t="shared" si="84"/>
        <v>950</v>
      </c>
      <c r="M160" s="530">
        <f t="shared" si="85"/>
        <v>295000</v>
      </c>
      <c r="N160" s="530">
        <f t="shared" si="86"/>
        <v>0</v>
      </c>
      <c r="O160" s="530">
        <f t="shared" si="105"/>
        <v>280250000</v>
      </c>
      <c r="P160" s="530">
        <f>[1]mProject!W164</f>
        <v>366303.29599432141</v>
      </c>
      <c r="Q160" s="530">
        <f t="shared" si="87"/>
        <v>0</v>
      </c>
      <c r="R160" s="530">
        <f t="shared" si="106"/>
        <v>296355280.38883054</v>
      </c>
      <c r="T160" s="530">
        <v>0</v>
      </c>
      <c r="U160" s="530">
        <f t="shared" si="88"/>
        <v>0</v>
      </c>
      <c r="V160" s="530">
        <f>IF(T160=0,0,$V$7*(1+#REF!)^#REF!)</f>
        <v>0</v>
      </c>
      <c r="W160" s="530">
        <f t="shared" si="107"/>
        <v>0</v>
      </c>
      <c r="X160" s="530">
        <f t="shared" si="89"/>
        <v>0</v>
      </c>
      <c r="Y160" s="530">
        <f t="shared" si="90"/>
        <v>0</v>
      </c>
      <c r="AA160" s="530">
        <v>0</v>
      </c>
      <c r="AB160" s="530">
        <f t="shared" si="91"/>
        <v>0</v>
      </c>
      <c r="AC160" s="530">
        <f>IF(AA160=0,0,$V$7*(1+#REF!)^#REF!)</f>
        <v>0</v>
      </c>
      <c r="AD160" s="530">
        <f t="shared" si="108"/>
        <v>0</v>
      </c>
      <c r="AE160" s="530">
        <f t="shared" si="92"/>
        <v>0</v>
      </c>
      <c r="AF160" s="530">
        <f t="shared" si="93"/>
        <v>0</v>
      </c>
      <c r="AH160" s="530">
        <f t="shared" si="94"/>
        <v>0</v>
      </c>
      <c r="AI160" s="530">
        <f t="shared" si="109"/>
        <v>950</v>
      </c>
      <c r="AJ160" s="530">
        <f t="shared" si="82"/>
        <v>0</v>
      </c>
      <c r="AK160" s="530">
        <f>AJ160*[1]mProject!V164</f>
        <v>0</v>
      </c>
      <c r="AL160" s="530">
        <f t="shared" si="95"/>
        <v>0</v>
      </c>
      <c r="AM160" s="530">
        <f t="shared" si="96"/>
        <v>0</v>
      </c>
      <c r="AN160" s="456"/>
      <c r="AO160" s="572" t="e">
        <f t="shared" si="112"/>
        <v>#REF!</v>
      </c>
      <c r="AP160" s="572" t="e">
        <f t="shared" si="116"/>
        <v>#REF!</v>
      </c>
      <c r="AQ160" s="572" t="e">
        <f t="shared" si="81"/>
        <v>#REF!</v>
      </c>
      <c r="AR160" s="573" t="e">
        <f t="shared" si="113"/>
        <v>#REF!</v>
      </c>
      <c r="AS160" s="530" t="e">
        <f t="shared" si="115"/>
        <v>#REF!</v>
      </c>
      <c r="AT160" s="530"/>
      <c r="AU160" s="530"/>
      <c r="AV160" s="530" t="e">
        <f t="shared" si="97"/>
        <v>#REF!</v>
      </c>
      <c r="AW160" s="530" t="e">
        <f>AI160*#REF!+AI159*#REF!+AI158*#REF!</f>
        <v>#REF!</v>
      </c>
      <c r="AX160" s="456"/>
      <c r="AY160" s="583">
        <f t="shared" si="110"/>
        <v>1.2923380440452135</v>
      </c>
      <c r="AZ160" s="530">
        <f t="shared" si="98"/>
        <v>0</v>
      </c>
      <c r="BA160" s="530">
        <f>BA159*[1]mProject!V165</f>
        <v>0</v>
      </c>
      <c r="BB160" s="530">
        <f t="shared" si="114"/>
        <v>17781316.823329829</v>
      </c>
      <c r="BC160" s="456"/>
      <c r="BD160" s="590">
        <f>((BB160/100)*(i_CFD.ObliRate/12))*[1]i.Finance!$O$64</f>
        <v>59826.722228495157</v>
      </c>
      <c r="BE160" s="590">
        <f>(AZ160/100*[1]i.Finance!$O$61)*[1]i.Finance!$O$64</f>
        <v>0</v>
      </c>
      <c r="BF160" s="590">
        <f>(AZ160/100*[1]i.Finance!$O$65)</f>
        <v>0</v>
      </c>
      <c r="BG160" s="591">
        <f t="shared" si="99"/>
        <v>59826.722228495157</v>
      </c>
      <c r="BH160" s="456"/>
      <c r="BI160" s="590">
        <f>-PV([1]i.Finance!$O$63/12,[1]i.Finance!$O$62*12,mCFD!BG160)</f>
        <v>10233961.918709608</v>
      </c>
      <c r="BJ160" s="590">
        <f>BI160*[1]i.Finance!$O$58</f>
        <v>8033660.1061870428</v>
      </c>
      <c r="BK160" s="590"/>
      <c r="BL160" s="590"/>
      <c r="BP160" s="530"/>
      <c r="BQ160" s="530"/>
      <c r="BR160" s="530" t="e">
        <f t="shared" si="100"/>
        <v>#NAME?</v>
      </c>
      <c r="BS160" s="530" t="e">
        <f t="shared" si="101"/>
        <v>#NAME?</v>
      </c>
      <c r="BT160" s="530" t="e">
        <f t="shared" si="102"/>
        <v>#NAME?</v>
      </c>
      <c r="BU160" s="530"/>
    </row>
    <row r="161" spans="1:73" ht="16" hidden="1" outlineLevel="2">
      <c r="A161" s="366"/>
      <c r="B161" s="562"/>
      <c r="C161" s="366"/>
      <c r="D161" s="454"/>
      <c r="E161" s="533">
        <f t="shared" si="111"/>
        <v>155</v>
      </c>
      <c r="F161" s="533">
        <f t="shared" si="103"/>
        <v>52</v>
      </c>
      <c r="G161" s="533">
        <f t="shared" si="104"/>
        <v>13</v>
      </c>
      <c r="H161" s="541">
        <f t="shared" ref="H161:H224" si="117">EOMONTH(H160,1)</f>
        <v>48518</v>
      </c>
      <c r="I161" s="542">
        <f t="shared" si="83"/>
        <v>2032</v>
      </c>
      <c r="K161" s="533">
        <f>[1]mProject!KB165</f>
        <v>0</v>
      </c>
      <c r="L161" s="533">
        <f t="shared" si="84"/>
        <v>950</v>
      </c>
      <c r="M161" s="533">
        <f t="shared" si="85"/>
        <v>295000</v>
      </c>
      <c r="N161" s="533">
        <f t="shared" si="86"/>
        <v>0</v>
      </c>
      <c r="O161" s="533">
        <f t="shared" si="105"/>
        <v>280250000</v>
      </c>
      <c r="P161" s="533">
        <f>[1]mProject!W165</f>
        <v>366913.80148764531</v>
      </c>
      <c r="Q161" s="533">
        <f t="shared" si="87"/>
        <v>0</v>
      </c>
      <c r="R161" s="533">
        <f t="shared" si="106"/>
        <v>296355280.38883054</v>
      </c>
      <c r="T161" s="533">
        <v>0</v>
      </c>
      <c r="U161" s="533">
        <f t="shared" si="88"/>
        <v>0</v>
      </c>
      <c r="V161" s="533">
        <f>IF(T161=0,0,$V$7*(1+#REF!)^#REF!)</f>
        <v>0</v>
      </c>
      <c r="W161" s="533">
        <f t="shared" si="107"/>
        <v>0</v>
      </c>
      <c r="X161" s="533">
        <f t="shared" si="89"/>
        <v>0</v>
      </c>
      <c r="Y161" s="533">
        <f t="shared" si="90"/>
        <v>0</v>
      </c>
      <c r="AA161" s="533">
        <v>0</v>
      </c>
      <c r="AB161" s="533">
        <f t="shared" si="91"/>
        <v>0</v>
      </c>
      <c r="AC161" s="533">
        <f>IF(AA161=0,0,$V$7*(1+#REF!)^#REF!)</f>
        <v>0</v>
      </c>
      <c r="AD161" s="533">
        <f t="shared" si="108"/>
        <v>0</v>
      </c>
      <c r="AE161" s="533">
        <f t="shared" si="92"/>
        <v>0</v>
      </c>
      <c r="AF161" s="533">
        <f t="shared" si="93"/>
        <v>0</v>
      </c>
      <c r="AH161" s="533">
        <f t="shared" si="94"/>
        <v>0</v>
      </c>
      <c r="AI161" s="533">
        <f t="shared" si="109"/>
        <v>950</v>
      </c>
      <c r="AJ161" s="533">
        <f t="shared" si="82"/>
        <v>0</v>
      </c>
      <c r="AK161" s="533">
        <f>AJ161*[1]mProject!V165</f>
        <v>0</v>
      </c>
      <c r="AL161" s="533">
        <f t="shared" si="95"/>
        <v>0</v>
      </c>
      <c r="AM161" s="533">
        <f t="shared" si="96"/>
        <v>0</v>
      </c>
      <c r="AN161" s="456"/>
      <c r="AO161" s="575" t="e">
        <f t="shared" si="112"/>
        <v>#REF!</v>
      </c>
      <c r="AP161" s="575" t="e">
        <f t="shared" si="116"/>
        <v>#REF!</v>
      </c>
      <c r="AQ161" s="575" t="e">
        <f t="shared" si="81"/>
        <v>#REF!</v>
      </c>
      <c r="AR161" s="576" t="e">
        <f t="shared" si="113"/>
        <v>#REF!</v>
      </c>
      <c r="AS161" s="533" t="e">
        <f t="shared" si="115"/>
        <v>#REF!</v>
      </c>
      <c r="AT161" s="533"/>
      <c r="AU161" s="533"/>
      <c r="AV161" s="533" t="e">
        <f t="shared" si="97"/>
        <v>#REF!</v>
      </c>
      <c r="AW161" s="533" t="e">
        <f>AI161*#REF!+AI160*#REF!+AI159*#REF!</f>
        <v>#REF!</v>
      </c>
      <c r="AX161" s="456"/>
      <c r="AY161" s="584">
        <f t="shared" si="110"/>
        <v>1.2944919407852888</v>
      </c>
      <c r="AZ161" s="533">
        <f t="shared" si="98"/>
        <v>0</v>
      </c>
      <c r="BA161" s="533">
        <f>BA160*[1]mProject!V166</f>
        <v>0</v>
      </c>
      <c r="BB161" s="533">
        <f t="shared" si="114"/>
        <v>17781316.823329829</v>
      </c>
      <c r="BC161" s="456"/>
      <c r="BD161" s="586">
        <f>((BB161/100)*(i_CFD.ObliRate/12))*[1]i.Finance!$O$64</f>
        <v>59826.722228495157</v>
      </c>
      <c r="BE161" s="586">
        <f>(AZ161/100*[1]i.Finance!$O$61)*[1]i.Finance!$O$64</f>
        <v>0</v>
      </c>
      <c r="BF161" s="586">
        <f>(AZ161/100*[1]i.Finance!$O$65)</f>
        <v>0</v>
      </c>
      <c r="BG161" s="587">
        <f t="shared" si="99"/>
        <v>59826.722228495157</v>
      </c>
      <c r="BH161" s="456"/>
      <c r="BI161" s="586">
        <f>-PV([1]i.Finance!$O$63/12,[1]i.Finance!$O$62*12,mCFD!BG161)</f>
        <v>10233961.918709608</v>
      </c>
      <c r="BJ161" s="586">
        <f>BI161*[1]i.Finance!$O$58</f>
        <v>8033660.1061870428</v>
      </c>
      <c r="BK161" s="586"/>
      <c r="BL161" s="586"/>
      <c r="BP161" s="533"/>
      <c r="BQ161" s="533"/>
      <c r="BR161" s="533" t="e">
        <f t="shared" si="100"/>
        <v>#NAME?</v>
      </c>
      <c r="BS161" s="533" t="e">
        <f t="shared" si="101"/>
        <v>#NAME?</v>
      </c>
      <c r="BT161" s="533" t="e">
        <f t="shared" si="102"/>
        <v>#NAME?</v>
      </c>
      <c r="BU161" s="533"/>
    </row>
    <row r="162" spans="1:73" ht="17" hidden="1" outlineLevel="2" thickBot="1">
      <c r="A162" s="366"/>
      <c r="B162" s="562"/>
      <c r="C162" s="366"/>
      <c r="D162" s="454"/>
      <c r="E162" s="564">
        <f t="shared" si="111"/>
        <v>156</v>
      </c>
      <c r="F162" s="564">
        <f t="shared" si="103"/>
        <v>52</v>
      </c>
      <c r="G162" s="564">
        <f t="shared" si="104"/>
        <v>13</v>
      </c>
      <c r="H162" s="565">
        <f t="shared" si="117"/>
        <v>48548</v>
      </c>
      <c r="I162" s="566">
        <f t="shared" si="83"/>
        <v>2032</v>
      </c>
      <c r="K162" s="564">
        <f>[1]mProject!KB166</f>
        <v>0</v>
      </c>
      <c r="L162" s="564">
        <f t="shared" si="84"/>
        <v>950</v>
      </c>
      <c r="M162" s="564">
        <f t="shared" si="85"/>
        <v>295000</v>
      </c>
      <c r="N162" s="564">
        <f t="shared" si="86"/>
        <v>0</v>
      </c>
      <c r="O162" s="564">
        <f t="shared" si="105"/>
        <v>280250000</v>
      </c>
      <c r="P162" s="564">
        <f>[1]mProject!W166</f>
        <v>367525.32449012471</v>
      </c>
      <c r="Q162" s="564">
        <f t="shared" si="87"/>
        <v>0</v>
      </c>
      <c r="R162" s="564">
        <f t="shared" si="106"/>
        <v>296355280.38883054</v>
      </c>
      <c r="T162" s="564">
        <v>0</v>
      </c>
      <c r="U162" s="564">
        <f t="shared" si="88"/>
        <v>0</v>
      </c>
      <c r="V162" s="564">
        <f>IF(T162=0,0,$V$7*(1+#REF!)^#REF!)</f>
        <v>0</v>
      </c>
      <c r="W162" s="564">
        <f t="shared" si="107"/>
        <v>0</v>
      </c>
      <c r="X162" s="564">
        <f t="shared" si="89"/>
        <v>0</v>
      </c>
      <c r="Y162" s="564">
        <f t="shared" si="90"/>
        <v>0</v>
      </c>
      <c r="AA162" s="564">
        <v>0</v>
      </c>
      <c r="AB162" s="564">
        <f t="shared" si="91"/>
        <v>0</v>
      </c>
      <c r="AC162" s="564">
        <f>IF(AA162=0,0,$V$7*(1+#REF!)^#REF!)</f>
        <v>0</v>
      </c>
      <c r="AD162" s="564">
        <f t="shared" si="108"/>
        <v>0</v>
      </c>
      <c r="AE162" s="564">
        <f t="shared" si="92"/>
        <v>0</v>
      </c>
      <c r="AF162" s="564">
        <f t="shared" si="93"/>
        <v>0</v>
      </c>
      <c r="AH162" s="564">
        <f t="shared" si="94"/>
        <v>0</v>
      </c>
      <c r="AI162" s="564">
        <f t="shared" si="109"/>
        <v>950</v>
      </c>
      <c r="AJ162" s="564">
        <f t="shared" si="82"/>
        <v>0</v>
      </c>
      <c r="AK162" s="564">
        <f>AJ162*[1]mProject!V166</f>
        <v>0</v>
      </c>
      <c r="AL162" s="564">
        <f t="shared" si="95"/>
        <v>0</v>
      </c>
      <c r="AM162" s="564">
        <f t="shared" si="96"/>
        <v>0</v>
      </c>
      <c r="AN162" s="456"/>
      <c r="AO162" s="581" t="e">
        <f t="shared" si="112"/>
        <v>#REF!</v>
      </c>
      <c r="AP162" s="581" t="e">
        <f t="shared" si="116"/>
        <v>#REF!</v>
      </c>
      <c r="AQ162" s="581" t="e">
        <f t="shared" si="81"/>
        <v>#REF!</v>
      </c>
      <c r="AR162" s="582" t="e">
        <f t="shared" si="113"/>
        <v>#REF!</v>
      </c>
      <c r="AS162" s="564" t="e">
        <f t="shared" si="115"/>
        <v>#REF!</v>
      </c>
      <c r="AT162" s="564"/>
      <c r="AU162" s="564"/>
      <c r="AV162" s="564" t="e">
        <f t="shared" si="97"/>
        <v>#REF!</v>
      </c>
      <c r="AW162" s="564" t="e">
        <f>AI162*#REF!+AI161*#REF!+AI160*#REF!</f>
        <v>#REF!</v>
      </c>
      <c r="AX162" s="456"/>
      <c r="AY162" s="592">
        <f t="shared" si="110"/>
        <v>1.2966494273532643</v>
      </c>
      <c r="AZ162" s="564">
        <f t="shared" si="98"/>
        <v>0</v>
      </c>
      <c r="BA162" s="564">
        <f>BA161*[1]mProject!V167</f>
        <v>0</v>
      </c>
      <c r="BB162" s="564">
        <f t="shared" si="114"/>
        <v>17781316.823329829</v>
      </c>
      <c r="BC162" s="456"/>
      <c r="BD162" s="593">
        <f>((BB162/100)*(i_CFD.ObliRate/12))*[1]i.Finance!$O$64</f>
        <v>59826.722228495157</v>
      </c>
      <c r="BE162" s="593">
        <f>(AZ162/100*[1]i.Finance!$O$61)*[1]i.Finance!$O$64</f>
        <v>0</v>
      </c>
      <c r="BF162" s="593">
        <f>(AZ162/100*[1]i.Finance!$O$65)</f>
        <v>0</v>
      </c>
      <c r="BG162" s="594">
        <f t="shared" si="99"/>
        <v>59826.722228495157</v>
      </c>
      <c r="BH162" s="456"/>
      <c r="BI162" s="593">
        <f>-PV([1]i.Finance!$O$63/12,[1]i.Finance!$O$62*12,mCFD!BG162)</f>
        <v>10233961.918709608</v>
      </c>
      <c r="BJ162" s="593">
        <f>BI162*[1]i.Finance!$O$58</f>
        <v>8033660.1061870428</v>
      </c>
      <c r="BK162" s="593"/>
      <c r="BL162" s="593"/>
      <c r="BP162" s="564"/>
      <c r="BQ162" s="564"/>
      <c r="BR162" s="564" t="e">
        <f t="shared" si="100"/>
        <v>#NAME?</v>
      </c>
      <c r="BS162" s="564" t="e">
        <f t="shared" si="101"/>
        <v>#NAME?</v>
      </c>
      <c r="BT162" s="564" t="e">
        <f t="shared" si="102"/>
        <v>#NAME?</v>
      </c>
      <c r="BU162" s="564"/>
    </row>
    <row r="163" spans="1:73" ht="16" hidden="1" outlineLevel="2">
      <c r="A163" s="366"/>
      <c r="B163" s="562"/>
      <c r="C163" s="366"/>
      <c r="D163" s="454"/>
      <c r="E163" s="530">
        <f t="shared" si="111"/>
        <v>157</v>
      </c>
      <c r="F163" s="530">
        <f t="shared" si="103"/>
        <v>53</v>
      </c>
      <c r="G163" s="530">
        <f t="shared" si="104"/>
        <v>14</v>
      </c>
      <c r="H163" s="571">
        <f t="shared" si="117"/>
        <v>48579</v>
      </c>
      <c r="I163" s="532">
        <f t="shared" si="83"/>
        <v>2032</v>
      </c>
      <c r="K163" s="530">
        <f>[1]mProject!KB167</f>
        <v>0</v>
      </c>
      <c r="L163" s="530">
        <f t="shared" si="84"/>
        <v>950</v>
      </c>
      <c r="M163" s="530">
        <f t="shared" si="85"/>
        <v>295000</v>
      </c>
      <c r="N163" s="530">
        <f t="shared" si="86"/>
        <v>0</v>
      </c>
      <c r="O163" s="530">
        <f t="shared" si="105"/>
        <v>280250000</v>
      </c>
      <c r="P163" s="530">
        <f>[1]mProject!W167</f>
        <v>368137.86669760826</v>
      </c>
      <c r="Q163" s="530">
        <f t="shared" si="87"/>
        <v>0</v>
      </c>
      <c r="R163" s="530">
        <f t="shared" si="106"/>
        <v>296355280.38883054</v>
      </c>
      <c r="T163" s="530">
        <v>0</v>
      </c>
      <c r="U163" s="530">
        <f t="shared" si="88"/>
        <v>0</v>
      </c>
      <c r="V163" s="530">
        <f>IF(T163=0,0,$V$7*(1+#REF!)^#REF!)</f>
        <v>0</v>
      </c>
      <c r="W163" s="530">
        <f t="shared" si="107"/>
        <v>0</v>
      </c>
      <c r="X163" s="530">
        <f t="shared" si="89"/>
        <v>0</v>
      </c>
      <c r="Y163" s="530">
        <f t="shared" si="90"/>
        <v>0</v>
      </c>
      <c r="AA163" s="530">
        <v>0</v>
      </c>
      <c r="AB163" s="530">
        <f t="shared" si="91"/>
        <v>0</v>
      </c>
      <c r="AC163" s="530">
        <f>IF(AA163=0,0,$V$7*(1+#REF!)^#REF!)</f>
        <v>0</v>
      </c>
      <c r="AD163" s="530">
        <f t="shared" si="108"/>
        <v>0</v>
      </c>
      <c r="AE163" s="530">
        <f t="shared" si="92"/>
        <v>0</v>
      </c>
      <c r="AF163" s="530">
        <f t="shared" si="93"/>
        <v>0</v>
      </c>
      <c r="AH163" s="530">
        <f t="shared" si="94"/>
        <v>0</v>
      </c>
      <c r="AI163" s="530">
        <f t="shared" si="109"/>
        <v>950</v>
      </c>
      <c r="AJ163" s="530">
        <f t="shared" si="82"/>
        <v>0</v>
      </c>
      <c r="AK163" s="530">
        <f>AJ163*[1]mProject!V167</f>
        <v>0</v>
      </c>
      <c r="AL163" s="530">
        <f t="shared" si="95"/>
        <v>0</v>
      </c>
      <c r="AM163" s="530">
        <f t="shared" si="96"/>
        <v>0</v>
      </c>
      <c r="AN163" s="456"/>
      <c r="AO163" s="572" t="e">
        <f t="shared" si="112"/>
        <v>#REF!</v>
      </c>
      <c r="AP163" s="572" t="e">
        <f t="shared" si="116"/>
        <v>#REF!</v>
      </c>
      <c r="AQ163" s="572" t="e">
        <f t="shared" si="81"/>
        <v>#REF!</v>
      </c>
      <c r="AR163" s="573" t="e">
        <f t="shared" si="113"/>
        <v>#REF!</v>
      </c>
      <c r="AS163" s="530" t="e">
        <f t="shared" si="115"/>
        <v>#REF!</v>
      </c>
      <c r="AT163" s="530"/>
      <c r="AU163" s="530"/>
      <c r="AV163" s="530" t="e">
        <f t="shared" si="97"/>
        <v>#REF!</v>
      </c>
      <c r="AW163" s="530" t="e">
        <f>AI163*#REF!+AI162*#REF!+AI161*#REF!</f>
        <v>#REF!</v>
      </c>
      <c r="AX163" s="456"/>
      <c r="AY163" s="583">
        <f t="shared" si="110"/>
        <v>1.2988105097321865</v>
      </c>
      <c r="AZ163" s="530">
        <f t="shared" si="98"/>
        <v>0</v>
      </c>
      <c r="BA163" s="530">
        <f>BA162*[1]mProject!V168</f>
        <v>0</v>
      </c>
      <c r="BB163" s="530">
        <f t="shared" si="114"/>
        <v>17781316.823329829</v>
      </c>
      <c r="BC163" s="456"/>
      <c r="BD163" s="590">
        <f>((BB163/100)*(i_CFD.ObliRate/12))*[1]i.Finance!$O$64</f>
        <v>59826.722228495157</v>
      </c>
      <c r="BE163" s="590">
        <f>(AZ163/100*[1]i.Finance!$O$61)*[1]i.Finance!$O$64</f>
        <v>0</v>
      </c>
      <c r="BF163" s="590">
        <f>(AZ163/100*[1]i.Finance!$O$65)</f>
        <v>0</v>
      </c>
      <c r="BG163" s="591">
        <f t="shared" si="99"/>
        <v>59826.722228495157</v>
      </c>
      <c r="BH163" s="456"/>
      <c r="BI163" s="590">
        <f>-PV([1]i.Finance!$O$63/12,[1]i.Finance!$O$62*12,mCFD!BG163)</f>
        <v>10233961.918709608</v>
      </c>
      <c r="BJ163" s="590">
        <f>BI163*[1]i.Finance!$O$58</f>
        <v>8033660.1061870428</v>
      </c>
      <c r="BK163" s="590"/>
      <c r="BL163" s="590"/>
      <c r="BP163" s="530"/>
      <c r="BQ163" s="530"/>
      <c r="BR163" s="530" t="e">
        <f t="shared" si="100"/>
        <v>#NAME?</v>
      </c>
      <c r="BS163" s="530" t="e">
        <f t="shared" si="101"/>
        <v>#NAME?</v>
      </c>
      <c r="BT163" s="530" t="e">
        <f t="shared" si="102"/>
        <v>#NAME?</v>
      </c>
      <c r="BU163" s="530"/>
    </row>
    <row r="164" spans="1:73" ht="16" hidden="1" outlineLevel="2">
      <c r="A164" s="366"/>
      <c r="B164" s="562"/>
      <c r="C164" s="366"/>
      <c r="D164" s="454"/>
      <c r="E164" s="533">
        <f t="shared" si="111"/>
        <v>158</v>
      </c>
      <c r="F164" s="533">
        <f t="shared" si="103"/>
        <v>53</v>
      </c>
      <c r="G164" s="533">
        <f t="shared" si="104"/>
        <v>14</v>
      </c>
      <c r="H164" s="541">
        <f t="shared" si="117"/>
        <v>48610</v>
      </c>
      <c r="I164" s="542">
        <f t="shared" si="83"/>
        <v>2033</v>
      </c>
      <c r="K164" s="533">
        <f>[1]mProject!KB168</f>
        <v>0</v>
      </c>
      <c r="L164" s="533">
        <f t="shared" si="84"/>
        <v>950</v>
      </c>
      <c r="M164" s="533">
        <f t="shared" si="85"/>
        <v>295000</v>
      </c>
      <c r="N164" s="533">
        <f t="shared" si="86"/>
        <v>0</v>
      </c>
      <c r="O164" s="533">
        <f t="shared" si="105"/>
        <v>280250000</v>
      </c>
      <c r="P164" s="533">
        <f>[1]mProject!W168</f>
        <v>368751.42980877095</v>
      </c>
      <c r="Q164" s="533">
        <f t="shared" si="87"/>
        <v>0</v>
      </c>
      <c r="R164" s="533">
        <f t="shared" si="106"/>
        <v>296355280.38883054</v>
      </c>
      <c r="T164" s="533">
        <v>0</v>
      </c>
      <c r="U164" s="533">
        <f t="shared" si="88"/>
        <v>0</v>
      </c>
      <c r="V164" s="533">
        <f>IF(T164=0,0,$V$7*(1+#REF!)^#REF!)</f>
        <v>0</v>
      </c>
      <c r="W164" s="533">
        <f t="shared" si="107"/>
        <v>0</v>
      </c>
      <c r="X164" s="533">
        <f t="shared" si="89"/>
        <v>0</v>
      </c>
      <c r="Y164" s="533">
        <f t="shared" si="90"/>
        <v>0</v>
      </c>
      <c r="AA164" s="533">
        <v>0</v>
      </c>
      <c r="AB164" s="533">
        <f t="shared" si="91"/>
        <v>0</v>
      </c>
      <c r="AC164" s="533">
        <f>IF(AA164=0,0,$V$7*(1+#REF!)^#REF!)</f>
        <v>0</v>
      </c>
      <c r="AD164" s="533">
        <f t="shared" si="108"/>
        <v>0</v>
      </c>
      <c r="AE164" s="533">
        <f t="shared" si="92"/>
        <v>0</v>
      </c>
      <c r="AF164" s="533">
        <f t="shared" si="93"/>
        <v>0</v>
      </c>
      <c r="AH164" s="533">
        <f t="shared" si="94"/>
        <v>0</v>
      </c>
      <c r="AI164" s="533">
        <f t="shared" si="109"/>
        <v>950</v>
      </c>
      <c r="AJ164" s="533">
        <f t="shared" si="82"/>
        <v>0</v>
      </c>
      <c r="AK164" s="533">
        <f>AJ164*[1]mProject!V168</f>
        <v>0</v>
      </c>
      <c r="AL164" s="533">
        <f t="shared" si="95"/>
        <v>0</v>
      </c>
      <c r="AM164" s="533">
        <f t="shared" si="96"/>
        <v>0</v>
      </c>
      <c r="AN164" s="456"/>
      <c r="AO164" s="575" t="e">
        <f t="shared" si="112"/>
        <v>#REF!</v>
      </c>
      <c r="AP164" s="575" t="e">
        <f t="shared" si="116"/>
        <v>#REF!</v>
      </c>
      <c r="AQ164" s="575" t="e">
        <f t="shared" si="81"/>
        <v>#REF!</v>
      </c>
      <c r="AR164" s="576" t="e">
        <f t="shared" si="113"/>
        <v>#REF!</v>
      </c>
      <c r="AS164" s="533" t="e">
        <f t="shared" si="115"/>
        <v>#REF!</v>
      </c>
      <c r="AT164" s="533"/>
      <c r="AU164" s="533"/>
      <c r="AV164" s="533" t="e">
        <f t="shared" si="97"/>
        <v>#REF!</v>
      </c>
      <c r="AW164" s="533" t="e">
        <f>AI164*#REF!+AI163*#REF!+AI162*#REF!</f>
        <v>#REF!</v>
      </c>
      <c r="AX164" s="456"/>
      <c r="AY164" s="584">
        <f t="shared" si="110"/>
        <v>1.3009751939150735</v>
      </c>
      <c r="AZ164" s="533">
        <f t="shared" si="98"/>
        <v>0</v>
      </c>
      <c r="BA164" s="533">
        <f>BA163*[1]mProject!V169</f>
        <v>0</v>
      </c>
      <c r="BB164" s="533">
        <f t="shared" si="114"/>
        <v>17781316.823329829</v>
      </c>
      <c r="BC164" s="456"/>
      <c r="BD164" s="586">
        <f>((BB164/100)*(i_CFD.ObliRate/12))*[1]i.Finance!$O$64</f>
        <v>59826.722228495157</v>
      </c>
      <c r="BE164" s="586">
        <f>(AZ164/100*[1]i.Finance!$O$61)*[1]i.Finance!$O$64</f>
        <v>0</v>
      </c>
      <c r="BF164" s="586">
        <f>(AZ164/100*[1]i.Finance!$O$65)</f>
        <v>0</v>
      </c>
      <c r="BG164" s="587">
        <f t="shared" si="99"/>
        <v>59826.722228495157</v>
      </c>
      <c r="BH164" s="456"/>
      <c r="BI164" s="586">
        <f>-PV([1]i.Finance!$O$63/12,[1]i.Finance!$O$62*12,mCFD!BG164)</f>
        <v>10233961.918709608</v>
      </c>
      <c r="BJ164" s="586">
        <f>BI164*[1]i.Finance!$O$58</f>
        <v>8033660.1061870428</v>
      </c>
      <c r="BK164" s="586"/>
      <c r="BL164" s="586"/>
      <c r="BP164" s="533"/>
      <c r="BQ164" s="533"/>
      <c r="BR164" s="533" t="e">
        <f t="shared" si="100"/>
        <v>#NAME?</v>
      </c>
      <c r="BS164" s="533" t="e">
        <f t="shared" si="101"/>
        <v>#NAME?</v>
      </c>
      <c r="BT164" s="533" t="e">
        <f t="shared" si="102"/>
        <v>#NAME?</v>
      </c>
      <c r="BU164" s="533"/>
    </row>
    <row r="165" spans="1:73" ht="16" hidden="1" outlineLevel="2">
      <c r="A165" s="366"/>
      <c r="B165" s="562"/>
      <c r="C165" s="366"/>
      <c r="D165" s="454"/>
      <c r="E165" s="547">
        <f t="shared" si="111"/>
        <v>159</v>
      </c>
      <c r="F165" s="547">
        <f t="shared" si="103"/>
        <v>53</v>
      </c>
      <c r="G165" s="547">
        <f t="shared" si="104"/>
        <v>14</v>
      </c>
      <c r="H165" s="548">
        <f t="shared" si="117"/>
        <v>48638</v>
      </c>
      <c r="I165" s="549">
        <f t="shared" si="83"/>
        <v>2033</v>
      </c>
      <c r="K165" s="547">
        <f>[1]mProject!KB169</f>
        <v>0</v>
      </c>
      <c r="L165" s="547">
        <f t="shared" si="84"/>
        <v>950</v>
      </c>
      <c r="M165" s="547">
        <f t="shared" si="85"/>
        <v>295000</v>
      </c>
      <c r="N165" s="547">
        <f t="shared" si="86"/>
        <v>0</v>
      </c>
      <c r="O165" s="547">
        <f t="shared" si="105"/>
        <v>280250000</v>
      </c>
      <c r="P165" s="547">
        <f>[1]mProject!W169</f>
        <v>369366.01552511891</v>
      </c>
      <c r="Q165" s="547">
        <f t="shared" si="87"/>
        <v>0</v>
      </c>
      <c r="R165" s="547">
        <f t="shared" si="106"/>
        <v>296355280.38883054</v>
      </c>
      <c r="T165" s="547">
        <v>0</v>
      </c>
      <c r="U165" s="547">
        <f t="shared" si="88"/>
        <v>0</v>
      </c>
      <c r="V165" s="547">
        <f>IF(T165=0,0,$V$7*(1+#REF!)^#REF!)</f>
        <v>0</v>
      </c>
      <c r="W165" s="547">
        <f t="shared" si="107"/>
        <v>0</v>
      </c>
      <c r="X165" s="547">
        <f t="shared" si="89"/>
        <v>0</v>
      </c>
      <c r="Y165" s="547">
        <f t="shared" si="90"/>
        <v>0</v>
      </c>
      <c r="AA165" s="547">
        <v>0</v>
      </c>
      <c r="AB165" s="547">
        <f t="shared" si="91"/>
        <v>0</v>
      </c>
      <c r="AC165" s="547">
        <f>IF(AA165=0,0,$V$7*(1+#REF!)^#REF!)</f>
        <v>0</v>
      </c>
      <c r="AD165" s="547">
        <f t="shared" si="108"/>
        <v>0</v>
      </c>
      <c r="AE165" s="547">
        <f t="shared" si="92"/>
        <v>0</v>
      </c>
      <c r="AF165" s="547">
        <f t="shared" si="93"/>
        <v>0</v>
      </c>
      <c r="AH165" s="547">
        <f t="shared" si="94"/>
        <v>0</v>
      </c>
      <c r="AI165" s="547">
        <f t="shared" si="109"/>
        <v>950</v>
      </c>
      <c r="AJ165" s="547">
        <f t="shared" si="82"/>
        <v>0</v>
      </c>
      <c r="AK165" s="547">
        <f>AJ165*[1]mProject!V169</f>
        <v>0</v>
      </c>
      <c r="AL165" s="547">
        <f t="shared" si="95"/>
        <v>0</v>
      </c>
      <c r="AM165" s="547">
        <f t="shared" si="96"/>
        <v>0</v>
      </c>
      <c r="AN165" s="456"/>
      <c r="AO165" s="577" t="e">
        <f t="shared" si="112"/>
        <v>#REF!</v>
      </c>
      <c r="AP165" s="577" t="e">
        <f t="shared" si="116"/>
        <v>#REF!</v>
      </c>
      <c r="AQ165" s="577" t="e">
        <f t="shared" si="81"/>
        <v>#REF!</v>
      </c>
      <c r="AR165" s="578" t="e">
        <f t="shared" si="113"/>
        <v>#REF!</v>
      </c>
      <c r="AS165" s="547" t="e">
        <f t="shared" si="115"/>
        <v>#REF!</v>
      </c>
      <c r="AT165" s="547"/>
      <c r="AU165" s="547"/>
      <c r="AV165" s="547" t="e">
        <f t="shared" si="97"/>
        <v>#REF!</v>
      </c>
      <c r="AW165" s="547" t="e">
        <f>AI165*#REF!+AI164*#REF!+AI163*#REF!</f>
        <v>#REF!</v>
      </c>
      <c r="AX165" s="456"/>
      <c r="AY165" s="585">
        <f t="shared" si="110"/>
        <v>1.303143485904932</v>
      </c>
      <c r="AZ165" s="547">
        <f t="shared" si="98"/>
        <v>0</v>
      </c>
      <c r="BA165" s="547">
        <f>BA164*[1]mProject!V170</f>
        <v>0</v>
      </c>
      <c r="BB165" s="547">
        <f t="shared" si="114"/>
        <v>17781316.823329829</v>
      </c>
      <c r="BC165" s="456"/>
      <c r="BD165" s="588">
        <f>((BB165/100)*(i_CFD.ObliRate/12))*[1]i.Finance!$O$64</f>
        <v>59826.722228495157</v>
      </c>
      <c r="BE165" s="588">
        <f>(AZ165/100*[1]i.Finance!$O$61)*[1]i.Finance!$O$64</f>
        <v>0</v>
      </c>
      <c r="BF165" s="588">
        <f>(AZ165/100*[1]i.Finance!$O$65)</f>
        <v>0</v>
      </c>
      <c r="BG165" s="589">
        <f t="shared" si="99"/>
        <v>59826.722228495157</v>
      </c>
      <c r="BH165" s="456"/>
      <c r="BI165" s="588">
        <f>-PV([1]i.Finance!$O$63/12,[1]i.Finance!$O$62*12,mCFD!BG165)</f>
        <v>10233961.918709608</v>
      </c>
      <c r="BJ165" s="588">
        <f>BI165*[1]i.Finance!$O$58</f>
        <v>8033660.1061870428</v>
      </c>
      <c r="BK165" s="588"/>
      <c r="BL165" s="588"/>
      <c r="BP165" s="547"/>
      <c r="BQ165" s="547"/>
      <c r="BR165" s="547" t="e">
        <f t="shared" si="100"/>
        <v>#NAME?</v>
      </c>
      <c r="BS165" s="547" t="e">
        <f t="shared" si="101"/>
        <v>#NAME?</v>
      </c>
      <c r="BT165" s="547" t="e">
        <f t="shared" si="102"/>
        <v>#NAME?</v>
      </c>
      <c r="BU165" s="547"/>
    </row>
    <row r="166" spans="1:73" ht="16" hidden="1" outlineLevel="2">
      <c r="A166" s="366"/>
      <c r="B166" s="562"/>
      <c r="C166" s="366"/>
      <c r="D166" s="454"/>
      <c r="E166" s="530">
        <f t="shared" si="111"/>
        <v>160</v>
      </c>
      <c r="F166" s="530">
        <f t="shared" si="103"/>
        <v>54</v>
      </c>
      <c r="G166" s="530">
        <f t="shared" si="104"/>
        <v>14</v>
      </c>
      <c r="H166" s="554">
        <f t="shared" si="117"/>
        <v>48669</v>
      </c>
      <c r="I166" s="555">
        <f t="shared" si="83"/>
        <v>2033</v>
      </c>
      <c r="K166" s="530">
        <f>[1]mProject!KB170</f>
        <v>0</v>
      </c>
      <c r="L166" s="530">
        <f t="shared" si="84"/>
        <v>950</v>
      </c>
      <c r="M166" s="530">
        <f t="shared" si="85"/>
        <v>295000</v>
      </c>
      <c r="N166" s="530">
        <f t="shared" si="86"/>
        <v>0</v>
      </c>
      <c r="O166" s="530">
        <f t="shared" si="105"/>
        <v>280250000</v>
      </c>
      <c r="P166" s="530">
        <f>[1]mProject!W170</f>
        <v>369981.62555099413</v>
      </c>
      <c r="Q166" s="530">
        <f t="shared" si="87"/>
        <v>0</v>
      </c>
      <c r="R166" s="530">
        <f t="shared" si="106"/>
        <v>296355280.38883054</v>
      </c>
      <c r="T166" s="530">
        <v>0</v>
      </c>
      <c r="U166" s="530">
        <f t="shared" si="88"/>
        <v>0</v>
      </c>
      <c r="V166" s="530">
        <f>IF(T166=0,0,$V$7*(1+#REF!)^#REF!)</f>
        <v>0</v>
      </c>
      <c r="W166" s="530">
        <f t="shared" si="107"/>
        <v>0</v>
      </c>
      <c r="X166" s="530">
        <f t="shared" si="89"/>
        <v>0</v>
      </c>
      <c r="Y166" s="530">
        <f t="shared" si="90"/>
        <v>0</v>
      </c>
      <c r="AA166" s="530">
        <v>0</v>
      </c>
      <c r="AB166" s="530">
        <f t="shared" si="91"/>
        <v>0</v>
      </c>
      <c r="AC166" s="530">
        <f>IF(AA166=0,0,$V$7*(1+#REF!)^#REF!)</f>
        <v>0</v>
      </c>
      <c r="AD166" s="530">
        <f t="shared" si="108"/>
        <v>0</v>
      </c>
      <c r="AE166" s="530">
        <f t="shared" si="92"/>
        <v>0</v>
      </c>
      <c r="AF166" s="530">
        <f t="shared" si="93"/>
        <v>0</v>
      </c>
      <c r="AH166" s="530">
        <f t="shared" si="94"/>
        <v>0</v>
      </c>
      <c r="AI166" s="530">
        <f t="shared" si="109"/>
        <v>950</v>
      </c>
      <c r="AJ166" s="530">
        <f t="shared" si="82"/>
        <v>0</v>
      </c>
      <c r="AK166" s="530">
        <f>AJ166*[1]mProject!V170</f>
        <v>0</v>
      </c>
      <c r="AL166" s="530">
        <f t="shared" si="95"/>
        <v>0</v>
      </c>
      <c r="AM166" s="530">
        <f t="shared" si="96"/>
        <v>0</v>
      </c>
      <c r="AN166" s="456"/>
      <c r="AO166" s="572" t="e">
        <f t="shared" si="112"/>
        <v>#REF!</v>
      </c>
      <c r="AP166" s="572" t="e">
        <f t="shared" si="116"/>
        <v>#REF!</v>
      </c>
      <c r="AQ166" s="572" t="e">
        <f t="shared" si="81"/>
        <v>#REF!</v>
      </c>
      <c r="AR166" s="573" t="e">
        <f t="shared" si="113"/>
        <v>#REF!</v>
      </c>
      <c r="AS166" s="530" t="e">
        <f t="shared" si="115"/>
        <v>#REF!</v>
      </c>
      <c r="AT166" s="530"/>
      <c r="AU166" s="530"/>
      <c r="AV166" s="530" t="e">
        <f t="shared" si="97"/>
        <v>#REF!</v>
      </c>
      <c r="AW166" s="530" t="e">
        <f>AI166*#REF!+AI165*#REF!+AI164*#REF!</f>
        <v>#REF!</v>
      </c>
      <c r="AX166" s="456"/>
      <c r="AY166" s="583">
        <f t="shared" si="110"/>
        <v>1.3053153917147735</v>
      </c>
      <c r="AZ166" s="530">
        <f t="shared" si="98"/>
        <v>0</v>
      </c>
      <c r="BA166" s="530">
        <f>BA165*[1]mProject!V171</f>
        <v>0</v>
      </c>
      <c r="BB166" s="530">
        <f t="shared" si="114"/>
        <v>17781316.823329829</v>
      </c>
      <c r="BC166" s="456"/>
      <c r="BD166" s="590">
        <f>((BB166/100)*(i_CFD.ObliRate/12))*[1]i.Finance!$O$64</f>
        <v>59826.722228495157</v>
      </c>
      <c r="BE166" s="590">
        <f>(AZ166/100*[1]i.Finance!$O$61)*[1]i.Finance!$O$64</f>
        <v>0</v>
      </c>
      <c r="BF166" s="590">
        <f>(AZ166/100*[1]i.Finance!$O$65)</f>
        <v>0</v>
      </c>
      <c r="BG166" s="591">
        <f t="shared" si="99"/>
        <v>59826.722228495157</v>
      </c>
      <c r="BH166" s="456"/>
      <c r="BI166" s="590">
        <f>-PV([1]i.Finance!$O$63/12,[1]i.Finance!$O$62*12,mCFD!BG166)</f>
        <v>10233961.918709608</v>
      </c>
      <c r="BJ166" s="590">
        <f>BI166*[1]i.Finance!$O$58</f>
        <v>8033660.1061870428</v>
      </c>
      <c r="BK166" s="590"/>
      <c r="BL166" s="590"/>
      <c r="BP166" s="530"/>
      <c r="BQ166" s="530"/>
      <c r="BR166" s="530" t="e">
        <f t="shared" si="100"/>
        <v>#NAME?</v>
      </c>
      <c r="BS166" s="530" t="e">
        <f t="shared" si="101"/>
        <v>#NAME?</v>
      </c>
      <c r="BT166" s="530" t="e">
        <f t="shared" si="102"/>
        <v>#NAME?</v>
      </c>
      <c r="BU166" s="530"/>
    </row>
    <row r="167" spans="1:73" ht="16" hidden="1" outlineLevel="2">
      <c r="A167" s="366"/>
      <c r="B167" s="562"/>
      <c r="C167" s="366"/>
      <c r="D167" s="454"/>
      <c r="E167" s="533">
        <f t="shared" si="111"/>
        <v>161</v>
      </c>
      <c r="F167" s="533">
        <f t="shared" si="103"/>
        <v>54</v>
      </c>
      <c r="G167" s="533">
        <f t="shared" si="104"/>
        <v>14</v>
      </c>
      <c r="H167" s="541">
        <f t="shared" si="117"/>
        <v>48699</v>
      </c>
      <c r="I167" s="542">
        <f t="shared" si="83"/>
        <v>2033</v>
      </c>
      <c r="K167" s="533">
        <f>[1]mProject!KB171</f>
        <v>0</v>
      </c>
      <c r="L167" s="533">
        <f t="shared" si="84"/>
        <v>950</v>
      </c>
      <c r="M167" s="533">
        <f t="shared" si="85"/>
        <v>295000</v>
      </c>
      <c r="N167" s="533">
        <f t="shared" si="86"/>
        <v>0</v>
      </c>
      <c r="O167" s="533">
        <f t="shared" si="105"/>
        <v>280250000</v>
      </c>
      <c r="P167" s="533">
        <f>[1]mProject!W171</f>
        <v>370598.26159357914</v>
      </c>
      <c r="Q167" s="533">
        <f t="shared" si="87"/>
        <v>0</v>
      </c>
      <c r="R167" s="533">
        <f t="shared" si="106"/>
        <v>296355280.38883054</v>
      </c>
      <c r="T167" s="533">
        <v>0</v>
      </c>
      <c r="U167" s="533">
        <f t="shared" si="88"/>
        <v>0</v>
      </c>
      <c r="V167" s="533">
        <f>IF(T167=0,0,$V$7*(1+#REF!)^#REF!)</f>
        <v>0</v>
      </c>
      <c r="W167" s="533">
        <f t="shared" si="107"/>
        <v>0</v>
      </c>
      <c r="X167" s="533">
        <f t="shared" si="89"/>
        <v>0</v>
      </c>
      <c r="Y167" s="533">
        <f t="shared" si="90"/>
        <v>0</v>
      </c>
      <c r="AA167" s="533">
        <v>0</v>
      </c>
      <c r="AB167" s="533">
        <f t="shared" si="91"/>
        <v>0</v>
      </c>
      <c r="AC167" s="533">
        <f>IF(AA167=0,0,$V$7*(1+#REF!)^#REF!)</f>
        <v>0</v>
      </c>
      <c r="AD167" s="533">
        <f t="shared" si="108"/>
        <v>0</v>
      </c>
      <c r="AE167" s="533">
        <f t="shared" si="92"/>
        <v>0</v>
      </c>
      <c r="AF167" s="533">
        <f t="shared" si="93"/>
        <v>0</v>
      </c>
      <c r="AH167" s="533">
        <f t="shared" si="94"/>
        <v>0</v>
      </c>
      <c r="AI167" s="533">
        <f t="shared" si="109"/>
        <v>950</v>
      </c>
      <c r="AJ167" s="533">
        <f t="shared" si="82"/>
        <v>0</v>
      </c>
      <c r="AK167" s="533">
        <f>AJ167*[1]mProject!V171</f>
        <v>0</v>
      </c>
      <c r="AL167" s="533">
        <f t="shared" si="95"/>
        <v>0</v>
      </c>
      <c r="AM167" s="533">
        <f t="shared" si="96"/>
        <v>0</v>
      </c>
      <c r="AN167" s="456"/>
      <c r="AO167" s="575" t="e">
        <f t="shared" si="112"/>
        <v>#REF!</v>
      </c>
      <c r="AP167" s="575" t="e">
        <f t="shared" si="116"/>
        <v>#REF!</v>
      </c>
      <c r="AQ167" s="575" t="e">
        <f t="shared" si="81"/>
        <v>#REF!</v>
      </c>
      <c r="AR167" s="576" t="e">
        <f t="shared" si="113"/>
        <v>#REF!</v>
      </c>
      <c r="AS167" s="533" t="e">
        <f t="shared" si="115"/>
        <v>#REF!</v>
      </c>
      <c r="AT167" s="533"/>
      <c r="AU167" s="533"/>
      <c r="AV167" s="533" t="e">
        <f t="shared" si="97"/>
        <v>#REF!</v>
      </c>
      <c r="AW167" s="533" t="e">
        <f>AI167*#REF!+AI166*#REF!+AI165*#REF!</f>
        <v>#REF!</v>
      </c>
      <c r="AX167" s="456"/>
      <c r="AY167" s="584">
        <f t="shared" si="110"/>
        <v>1.3074909173676315</v>
      </c>
      <c r="AZ167" s="533">
        <f t="shared" si="98"/>
        <v>0</v>
      </c>
      <c r="BA167" s="533">
        <f>BA166*[1]mProject!V172</f>
        <v>0</v>
      </c>
      <c r="BB167" s="533">
        <f t="shared" si="114"/>
        <v>17781316.823329829</v>
      </c>
      <c r="BC167" s="456"/>
      <c r="BD167" s="586">
        <f>((BB167/100)*(i_CFD.ObliRate/12))*[1]i.Finance!$O$64</f>
        <v>59826.722228495157</v>
      </c>
      <c r="BE167" s="586">
        <f>(AZ167/100*[1]i.Finance!$O$61)*[1]i.Finance!$O$64</f>
        <v>0</v>
      </c>
      <c r="BF167" s="586">
        <f>(AZ167/100*[1]i.Finance!$O$65)</f>
        <v>0</v>
      </c>
      <c r="BG167" s="587">
        <f t="shared" si="99"/>
        <v>59826.722228495157</v>
      </c>
      <c r="BH167" s="456"/>
      <c r="BI167" s="586">
        <f>-PV([1]i.Finance!$O$63/12,[1]i.Finance!$O$62*12,mCFD!BG167)</f>
        <v>10233961.918709608</v>
      </c>
      <c r="BJ167" s="586">
        <f>BI167*[1]i.Finance!$O$58</f>
        <v>8033660.1061870428</v>
      </c>
      <c r="BK167" s="586"/>
      <c r="BL167" s="586"/>
      <c r="BP167" s="533"/>
      <c r="BQ167" s="533"/>
      <c r="BR167" s="533" t="e">
        <f t="shared" si="100"/>
        <v>#NAME?</v>
      </c>
      <c r="BS167" s="533" t="e">
        <f t="shared" si="101"/>
        <v>#NAME?</v>
      </c>
      <c r="BT167" s="533" t="e">
        <f t="shared" si="102"/>
        <v>#NAME?</v>
      </c>
      <c r="BU167" s="533"/>
    </row>
    <row r="168" spans="1:73" ht="16" hidden="1" outlineLevel="2">
      <c r="A168" s="366"/>
      <c r="B168" s="562"/>
      <c r="C168" s="366"/>
      <c r="D168" s="454"/>
      <c r="E168" s="547">
        <f t="shared" si="111"/>
        <v>162</v>
      </c>
      <c r="F168" s="547">
        <f t="shared" si="103"/>
        <v>54</v>
      </c>
      <c r="G168" s="547">
        <f t="shared" si="104"/>
        <v>14</v>
      </c>
      <c r="H168" s="548">
        <f t="shared" si="117"/>
        <v>48730</v>
      </c>
      <c r="I168" s="549">
        <f t="shared" si="83"/>
        <v>2033</v>
      </c>
      <c r="K168" s="547">
        <f>[1]mProject!KB172</f>
        <v>0</v>
      </c>
      <c r="L168" s="547">
        <f t="shared" si="84"/>
        <v>950</v>
      </c>
      <c r="M168" s="547">
        <f t="shared" si="85"/>
        <v>295000</v>
      </c>
      <c r="N168" s="547">
        <f t="shared" si="86"/>
        <v>0</v>
      </c>
      <c r="O168" s="547">
        <f t="shared" si="105"/>
        <v>280250000</v>
      </c>
      <c r="P168" s="547">
        <f>[1]mProject!W172</f>
        <v>371215.92536290176</v>
      </c>
      <c r="Q168" s="547">
        <f t="shared" si="87"/>
        <v>0</v>
      </c>
      <c r="R168" s="547">
        <f t="shared" si="106"/>
        <v>296355280.38883054</v>
      </c>
      <c r="T168" s="547">
        <v>0</v>
      </c>
      <c r="U168" s="547">
        <f t="shared" si="88"/>
        <v>0</v>
      </c>
      <c r="V168" s="547">
        <f>IF(T168=0,0,$V$7*(1+#REF!)^#REF!)</f>
        <v>0</v>
      </c>
      <c r="W168" s="547">
        <f t="shared" si="107"/>
        <v>0</v>
      </c>
      <c r="X168" s="547">
        <f t="shared" si="89"/>
        <v>0</v>
      </c>
      <c r="Y168" s="547">
        <f t="shared" si="90"/>
        <v>0</v>
      </c>
      <c r="AA168" s="547">
        <v>0</v>
      </c>
      <c r="AB168" s="547">
        <f t="shared" si="91"/>
        <v>0</v>
      </c>
      <c r="AC168" s="547">
        <f>IF(AA168=0,0,$V$7*(1+#REF!)^#REF!)</f>
        <v>0</v>
      </c>
      <c r="AD168" s="547">
        <f t="shared" si="108"/>
        <v>0</v>
      </c>
      <c r="AE168" s="547">
        <f t="shared" si="92"/>
        <v>0</v>
      </c>
      <c r="AF168" s="547">
        <f t="shared" si="93"/>
        <v>0</v>
      </c>
      <c r="AH168" s="547">
        <f t="shared" si="94"/>
        <v>0</v>
      </c>
      <c r="AI168" s="547">
        <f t="shared" si="109"/>
        <v>950</v>
      </c>
      <c r="AJ168" s="547">
        <f t="shared" si="82"/>
        <v>0</v>
      </c>
      <c r="AK168" s="547">
        <f>AJ168*[1]mProject!V172</f>
        <v>0</v>
      </c>
      <c r="AL168" s="547">
        <f t="shared" si="95"/>
        <v>0</v>
      </c>
      <c r="AM168" s="547">
        <f t="shared" si="96"/>
        <v>0</v>
      </c>
      <c r="AN168" s="456"/>
      <c r="AO168" s="577" t="e">
        <f t="shared" si="112"/>
        <v>#REF!</v>
      </c>
      <c r="AP168" s="577" t="e">
        <f t="shared" si="116"/>
        <v>#REF!</v>
      </c>
      <c r="AQ168" s="577" t="e">
        <f t="shared" si="81"/>
        <v>#REF!</v>
      </c>
      <c r="AR168" s="578" t="e">
        <f t="shared" si="113"/>
        <v>#REF!</v>
      </c>
      <c r="AS168" s="547" t="e">
        <f t="shared" si="115"/>
        <v>#REF!</v>
      </c>
      <c r="AT168" s="547"/>
      <c r="AU168" s="547"/>
      <c r="AV168" s="547" t="e">
        <f t="shared" si="97"/>
        <v>#REF!</v>
      </c>
      <c r="AW168" s="547" t="e">
        <f>AI168*#REF!+AI167*#REF!+AI166*#REF!</f>
        <v>#REF!</v>
      </c>
      <c r="AX168" s="456"/>
      <c r="AY168" s="585">
        <f t="shared" si="110"/>
        <v>1.3096700688965777</v>
      </c>
      <c r="AZ168" s="547">
        <f t="shared" si="98"/>
        <v>0</v>
      </c>
      <c r="BA168" s="547">
        <f>BA167*[1]mProject!V173</f>
        <v>0</v>
      </c>
      <c r="BB168" s="547">
        <f t="shared" si="114"/>
        <v>17781316.823329829</v>
      </c>
      <c r="BC168" s="456"/>
      <c r="BD168" s="588">
        <f>((BB168/100)*(i_CFD.ObliRate/12))*[1]i.Finance!$O$64</f>
        <v>59826.722228495157</v>
      </c>
      <c r="BE168" s="588">
        <f>(AZ168/100*[1]i.Finance!$O$61)*[1]i.Finance!$O$64</f>
        <v>0</v>
      </c>
      <c r="BF168" s="588">
        <f>(AZ168/100*[1]i.Finance!$O$65)</f>
        <v>0</v>
      </c>
      <c r="BG168" s="589">
        <f t="shared" si="99"/>
        <v>59826.722228495157</v>
      </c>
      <c r="BH168" s="456"/>
      <c r="BI168" s="588">
        <f>-PV([1]i.Finance!$O$63/12,[1]i.Finance!$O$62*12,mCFD!BG168)</f>
        <v>10233961.918709608</v>
      </c>
      <c r="BJ168" s="588">
        <f>BI168*[1]i.Finance!$O$58</f>
        <v>8033660.1061870428</v>
      </c>
      <c r="BK168" s="588"/>
      <c r="BL168" s="588"/>
      <c r="BP168" s="547"/>
      <c r="BQ168" s="547"/>
      <c r="BR168" s="547" t="e">
        <f t="shared" si="100"/>
        <v>#NAME?</v>
      </c>
      <c r="BS168" s="547" t="e">
        <f t="shared" si="101"/>
        <v>#NAME?</v>
      </c>
      <c r="BT168" s="547" t="e">
        <f t="shared" si="102"/>
        <v>#NAME?</v>
      </c>
      <c r="BU168" s="547"/>
    </row>
    <row r="169" spans="1:73" ht="16" hidden="1" outlineLevel="2">
      <c r="A169" s="366"/>
      <c r="B169" s="562"/>
      <c r="C169" s="366"/>
      <c r="D169" s="454"/>
      <c r="E169" s="530">
        <f t="shared" si="111"/>
        <v>163</v>
      </c>
      <c r="F169" s="530">
        <f t="shared" si="103"/>
        <v>55</v>
      </c>
      <c r="G169" s="530">
        <f t="shared" si="104"/>
        <v>14</v>
      </c>
      <c r="H169" s="554">
        <f t="shared" si="117"/>
        <v>48760</v>
      </c>
      <c r="I169" s="555">
        <f t="shared" si="83"/>
        <v>2033</v>
      </c>
      <c r="K169" s="530">
        <f>[1]mProject!KB173</f>
        <v>0</v>
      </c>
      <c r="L169" s="530">
        <f t="shared" si="84"/>
        <v>950</v>
      </c>
      <c r="M169" s="530">
        <f t="shared" si="85"/>
        <v>295000</v>
      </c>
      <c r="N169" s="530">
        <f t="shared" si="86"/>
        <v>0</v>
      </c>
      <c r="O169" s="530">
        <f t="shared" si="105"/>
        <v>280250000</v>
      </c>
      <c r="P169" s="530">
        <f>[1]mProject!W173</f>
        <v>371834.61857183994</v>
      </c>
      <c r="Q169" s="530">
        <f t="shared" si="87"/>
        <v>0</v>
      </c>
      <c r="R169" s="530">
        <f t="shared" si="106"/>
        <v>296355280.38883054</v>
      </c>
      <c r="T169" s="530">
        <v>0</v>
      </c>
      <c r="U169" s="530">
        <f t="shared" si="88"/>
        <v>0</v>
      </c>
      <c r="V169" s="530">
        <f>IF(T169=0,0,$V$7*(1+#REF!)^#REF!)</f>
        <v>0</v>
      </c>
      <c r="W169" s="530">
        <f t="shared" si="107"/>
        <v>0</v>
      </c>
      <c r="X169" s="530">
        <f t="shared" si="89"/>
        <v>0</v>
      </c>
      <c r="Y169" s="530">
        <f t="shared" si="90"/>
        <v>0</v>
      </c>
      <c r="AA169" s="530">
        <v>0</v>
      </c>
      <c r="AB169" s="530">
        <f t="shared" si="91"/>
        <v>0</v>
      </c>
      <c r="AC169" s="530">
        <f>IF(AA169=0,0,$V$7*(1+#REF!)^#REF!)</f>
        <v>0</v>
      </c>
      <c r="AD169" s="530">
        <f t="shared" si="108"/>
        <v>0</v>
      </c>
      <c r="AE169" s="530">
        <f t="shared" si="92"/>
        <v>0</v>
      </c>
      <c r="AF169" s="530">
        <f t="shared" si="93"/>
        <v>0</v>
      </c>
      <c r="AH169" s="530">
        <f t="shared" si="94"/>
        <v>0</v>
      </c>
      <c r="AI169" s="530">
        <f t="shared" si="109"/>
        <v>950</v>
      </c>
      <c r="AJ169" s="530">
        <f t="shared" si="82"/>
        <v>0</v>
      </c>
      <c r="AK169" s="530">
        <f>AJ169*[1]mProject!V173</f>
        <v>0</v>
      </c>
      <c r="AL169" s="530">
        <f t="shared" si="95"/>
        <v>0</v>
      </c>
      <c r="AM169" s="530">
        <f t="shared" si="96"/>
        <v>0</v>
      </c>
      <c r="AN169" s="456"/>
      <c r="AO169" s="572" t="e">
        <f t="shared" si="112"/>
        <v>#REF!</v>
      </c>
      <c r="AP169" s="572" t="e">
        <f t="shared" si="116"/>
        <v>#REF!</v>
      </c>
      <c r="AQ169" s="572" t="e">
        <f t="shared" si="81"/>
        <v>#REF!</v>
      </c>
      <c r="AR169" s="573" t="e">
        <f t="shared" si="113"/>
        <v>#REF!</v>
      </c>
      <c r="AS169" s="530" t="e">
        <f t="shared" si="115"/>
        <v>#REF!</v>
      </c>
      <c r="AT169" s="530"/>
      <c r="AU169" s="530"/>
      <c r="AV169" s="530" t="e">
        <f t="shared" si="97"/>
        <v>#REF!</v>
      </c>
      <c r="AW169" s="530" t="e">
        <f>AI169*#REF!+AI168*#REF!+AI167*#REF!</f>
        <v>#REF!</v>
      </c>
      <c r="AX169" s="456"/>
      <c r="AY169" s="583">
        <f t="shared" si="110"/>
        <v>1.3118528523447386</v>
      </c>
      <c r="AZ169" s="530">
        <f t="shared" si="98"/>
        <v>0</v>
      </c>
      <c r="BA169" s="530">
        <f>BA168*[1]mProject!V174</f>
        <v>0</v>
      </c>
      <c r="BB169" s="530">
        <f t="shared" si="114"/>
        <v>17781316.823329829</v>
      </c>
      <c r="BC169" s="456"/>
      <c r="BD169" s="590">
        <f>((BB169/100)*(i_CFD.ObliRate/12))*[1]i.Finance!$O$64</f>
        <v>59826.722228495157</v>
      </c>
      <c r="BE169" s="590">
        <f>(AZ169/100*[1]i.Finance!$O$61)*[1]i.Finance!$O$64</f>
        <v>0</v>
      </c>
      <c r="BF169" s="590">
        <f>(AZ169/100*[1]i.Finance!$O$65)</f>
        <v>0</v>
      </c>
      <c r="BG169" s="591">
        <f t="shared" si="99"/>
        <v>59826.722228495157</v>
      </c>
      <c r="BH169" s="456"/>
      <c r="BI169" s="590">
        <f>-PV([1]i.Finance!$O$63/12,[1]i.Finance!$O$62*12,mCFD!BG169)</f>
        <v>10233961.918709608</v>
      </c>
      <c r="BJ169" s="590">
        <f>BI169*[1]i.Finance!$O$58</f>
        <v>8033660.1061870428</v>
      </c>
      <c r="BK169" s="590"/>
      <c r="BL169" s="590"/>
      <c r="BP169" s="530"/>
      <c r="BQ169" s="530"/>
      <c r="BR169" s="530" t="e">
        <f t="shared" si="100"/>
        <v>#NAME?</v>
      </c>
      <c r="BS169" s="530" t="e">
        <f t="shared" si="101"/>
        <v>#NAME?</v>
      </c>
      <c r="BT169" s="530" t="e">
        <f t="shared" si="102"/>
        <v>#NAME?</v>
      </c>
      <c r="BU169" s="530"/>
    </row>
    <row r="170" spans="1:73" ht="16" hidden="1" outlineLevel="2">
      <c r="A170" s="366"/>
      <c r="B170" s="562"/>
      <c r="C170" s="366"/>
      <c r="D170" s="454"/>
      <c r="E170" s="533">
        <f t="shared" si="111"/>
        <v>164</v>
      </c>
      <c r="F170" s="533">
        <f t="shared" si="103"/>
        <v>55</v>
      </c>
      <c r="G170" s="533">
        <f t="shared" si="104"/>
        <v>14</v>
      </c>
      <c r="H170" s="541">
        <f t="shared" si="117"/>
        <v>48791</v>
      </c>
      <c r="I170" s="542">
        <f t="shared" si="83"/>
        <v>2033</v>
      </c>
      <c r="K170" s="533">
        <f>[1]mProject!KB174</f>
        <v>0</v>
      </c>
      <c r="L170" s="533">
        <f t="shared" si="84"/>
        <v>950</v>
      </c>
      <c r="M170" s="533">
        <f t="shared" si="85"/>
        <v>295000</v>
      </c>
      <c r="N170" s="533">
        <f t="shared" si="86"/>
        <v>0</v>
      </c>
      <c r="O170" s="533">
        <f t="shared" si="105"/>
        <v>280250000</v>
      </c>
      <c r="P170" s="533">
        <f>[1]mProject!W174</f>
        <v>372454.34293612634</v>
      </c>
      <c r="Q170" s="533">
        <f t="shared" si="87"/>
        <v>0</v>
      </c>
      <c r="R170" s="533">
        <f t="shared" si="106"/>
        <v>296355280.38883054</v>
      </c>
      <c r="T170" s="533">
        <v>0</v>
      </c>
      <c r="U170" s="533">
        <f t="shared" si="88"/>
        <v>0</v>
      </c>
      <c r="V170" s="533">
        <f>IF(T170=0,0,$V$7*(1+#REF!)^#REF!)</f>
        <v>0</v>
      </c>
      <c r="W170" s="533">
        <f t="shared" si="107"/>
        <v>0</v>
      </c>
      <c r="X170" s="533">
        <f t="shared" si="89"/>
        <v>0</v>
      </c>
      <c r="Y170" s="533">
        <f t="shared" si="90"/>
        <v>0</v>
      </c>
      <c r="AA170" s="533">
        <v>0</v>
      </c>
      <c r="AB170" s="533">
        <f t="shared" si="91"/>
        <v>0</v>
      </c>
      <c r="AC170" s="533">
        <f>IF(AA170=0,0,$V$7*(1+#REF!)^#REF!)</f>
        <v>0</v>
      </c>
      <c r="AD170" s="533">
        <f t="shared" si="108"/>
        <v>0</v>
      </c>
      <c r="AE170" s="533">
        <f t="shared" si="92"/>
        <v>0</v>
      </c>
      <c r="AF170" s="533">
        <f t="shared" si="93"/>
        <v>0</v>
      </c>
      <c r="AH170" s="533">
        <f t="shared" si="94"/>
        <v>0</v>
      </c>
      <c r="AI170" s="533">
        <f t="shared" si="109"/>
        <v>950</v>
      </c>
      <c r="AJ170" s="533">
        <f t="shared" si="82"/>
        <v>0</v>
      </c>
      <c r="AK170" s="533">
        <f>AJ170*[1]mProject!V174</f>
        <v>0</v>
      </c>
      <c r="AL170" s="533">
        <f t="shared" si="95"/>
        <v>0</v>
      </c>
      <c r="AM170" s="533">
        <f t="shared" si="96"/>
        <v>0</v>
      </c>
      <c r="AN170" s="456"/>
      <c r="AO170" s="575" t="e">
        <f t="shared" si="112"/>
        <v>#REF!</v>
      </c>
      <c r="AP170" s="575" t="e">
        <f t="shared" si="116"/>
        <v>#REF!</v>
      </c>
      <c r="AQ170" s="575" t="e">
        <f t="shared" si="81"/>
        <v>#REF!</v>
      </c>
      <c r="AR170" s="576" t="e">
        <f t="shared" si="113"/>
        <v>#REF!</v>
      </c>
      <c r="AS170" s="533" t="e">
        <f t="shared" si="115"/>
        <v>#REF!</v>
      </c>
      <c r="AT170" s="533"/>
      <c r="AU170" s="533"/>
      <c r="AV170" s="533" t="e">
        <f t="shared" si="97"/>
        <v>#REF!</v>
      </c>
      <c r="AW170" s="533" t="e">
        <f>AI170*#REF!+AI169*#REF!+AI168*#REF!</f>
        <v>#REF!</v>
      </c>
      <c r="AX170" s="456"/>
      <c r="AY170" s="584">
        <f t="shared" si="110"/>
        <v>1.3140392737653133</v>
      </c>
      <c r="AZ170" s="533">
        <f t="shared" si="98"/>
        <v>0</v>
      </c>
      <c r="BA170" s="533">
        <f>BA169*[1]mProject!V175</f>
        <v>0</v>
      </c>
      <c r="BB170" s="533">
        <f t="shared" si="114"/>
        <v>17781316.823329829</v>
      </c>
      <c r="BC170" s="456"/>
      <c r="BD170" s="586">
        <f>((BB170/100)*(i_CFD.ObliRate/12))*[1]i.Finance!$O$64</f>
        <v>59826.722228495157</v>
      </c>
      <c r="BE170" s="586">
        <f>(AZ170/100*[1]i.Finance!$O$61)*[1]i.Finance!$O$64</f>
        <v>0</v>
      </c>
      <c r="BF170" s="586">
        <f>(AZ170/100*[1]i.Finance!$O$65)</f>
        <v>0</v>
      </c>
      <c r="BG170" s="587">
        <f t="shared" si="99"/>
        <v>59826.722228495157</v>
      </c>
      <c r="BH170" s="456"/>
      <c r="BI170" s="586">
        <f>-PV([1]i.Finance!$O$63/12,[1]i.Finance!$O$62*12,mCFD!BG170)</f>
        <v>10233961.918709608</v>
      </c>
      <c r="BJ170" s="586">
        <f>BI170*[1]i.Finance!$O$58</f>
        <v>8033660.1061870428</v>
      </c>
      <c r="BK170" s="586"/>
      <c r="BL170" s="586"/>
      <c r="BP170" s="533"/>
      <c r="BQ170" s="533"/>
      <c r="BR170" s="533" t="e">
        <f t="shared" si="100"/>
        <v>#NAME?</v>
      </c>
      <c r="BS170" s="533" t="e">
        <f t="shared" si="101"/>
        <v>#NAME?</v>
      </c>
      <c r="BT170" s="533" t="e">
        <f t="shared" si="102"/>
        <v>#NAME?</v>
      </c>
      <c r="BU170" s="533"/>
    </row>
    <row r="171" spans="1:73" ht="16" hidden="1" outlineLevel="2">
      <c r="A171" s="366"/>
      <c r="B171" s="562"/>
      <c r="C171" s="366"/>
      <c r="D171" s="454"/>
      <c r="E171" s="547">
        <f t="shared" si="111"/>
        <v>165</v>
      </c>
      <c r="F171" s="547">
        <f t="shared" si="103"/>
        <v>55</v>
      </c>
      <c r="G171" s="547">
        <f t="shared" si="104"/>
        <v>14</v>
      </c>
      <c r="H171" s="548">
        <f t="shared" si="117"/>
        <v>48822</v>
      </c>
      <c r="I171" s="549">
        <f t="shared" si="83"/>
        <v>2033</v>
      </c>
      <c r="K171" s="547">
        <f>[1]mProject!KB175</f>
        <v>0</v>
      </c>
      <c r="L171" s="547">
        <f t="shared" si="84"/>
        <v>950</v>
      </c>
      <c r="M171" s="547">
        <f t="shared" si="85"/>
        <v>295000</v>
      </c>
      <c r="N171" s="547">
        <f t="shared" si="86"/>
        <v>0</v>
      </c>
      <c r="O171" s="547">
        <f t="shared" si="105"/>
        <v>280250000</v>
      </c>
      <c r="P171" s="547">
        <f>[1]mProject!W175</f>
        <v>373075.10017435323</v>
      </c>
      <c r="Q171" s="547">
        <f t="shared" si="87"/>
        <v>0</v>
      </c>
      <c r="R171" s="547">
        <f t="shared" si="106"/>
        <v>296355280.38883054</v>
      </c>
      <c r="T171" s="547">
        <v>0</v>
      </c>
      <c r="U171" s="547">
        <f t="shared" si="88"/>
        <v>0</v>
      </c>
      <c r="V171" s="547">
        <f>IF(T171=0,0,$V$7*(1+#REF!)^#REF!)</f>
        <v>0</v>
      </c>
      <c r="W171" s="547">
        <f t="shared" si="107"/>
        <v>0</v>
      </c>
      <c r="X171" s="547">
        <f t="shared" si="89"/>
        <v>0</v>
      </c>
      <c r="Y171" s="547">
        <f t="shared" si="90"/>
        <v>0</v>
      </c>
      <c r="AA171" s="547">
        <v>0</v>
      </c>
      <c r="AB171" s="547">
        <f t="shared" si="91"/>
        <v>0</v>
      </c>
      <c r="AC171" s="547">
        <f>IF(AA171=0,0,$V$7*(1+#REF!)^#REF!)</f>
        <v>0</v>
      </c>
      <c r="AD171" s="547">
        <f t="shared" si="108"/>
        <v>0</v>
      </c>
      <c r="AE171" s="547">
        <f t="shared" si="92"/>
        <v>0</v>
      </c>
      <c r="AF171" s="547">
        <f t="shared" si="93"/>
        <v>0</v>
      </c>
      <c r="AH171" s="547">
        <f t="shared" si="94"/>
        <v>0</v>
      </c>
      <c r="AI171" s="547">
        <f t="shared" si="109"/>
        <v>950</v>
      </c>
      <c r="AJ171" s="547">
        <f t="shared" si="82"/>
        <v>0</v>
      </c>
      <c r="AK171" s="547">
        <f>AJ171*[1]mProject!V175</f>
        <v>0</v>
      </c>
      <c r="AL171" s="547">
        <f t="shared" si="95"/>
        <v>0</v>
      </c>
      <c r="AM171" s="547">
        <f t="shared" si="96"/>
        <v>0</v>
      </c>
      <c r="AN171" s="456"/>
      <c r="AO171" s="577" t="e">
        <f t="shared" si="112"/>
        <v>#REF!</v>
      </c>
      <c r="AP171" s="577" t="e">
        <f t="shared" si="116"/>
        <v>#REF!</v>
      </c>
      <c r="AQ171" s="577" t="e">
        <f t="shared" ref="AQ171:AQ234" si="118">$L147*AQ$6</f>
        <v>#REF!</v>
      </c>
      <c r="AR171" s="578" t="e">
        <f t="shared" si="113"/>
        <v>#REF!</v>
      </c>
      <c r="AS171" s="547" t="e">
        <f t="shared" si="115"/>
        <v>#REF!</v>
      </c>
      <c r="AT171" s="547"/>
      <c r="AU171" s="547"/>
      <c r="AV171" s="547" t="e">
        <f t="shared" si="97"/>
        <v>#REF!</v>
      </c>
      <c r="AW171" s="547" t="e">
        <f>AI171*#REF!+AI170*#REF!+AI169*#REF!</f>
        <v>#REF!</v>
      </c>
      <c r="AX171" s="456"/>
      <c r="AY171" s="585">
        <f t="shared" si="110"/>
        <v>1.3162293392215889</v>
      </c>
      <c r="AZ171" s="547">
        <f t="shared" si="98"/>
        <v>0</v>
      </c>
      <c r="BA171" s="547">
        <f>BA170*[1]mProject!V176</f>
        <v>0</v>
      </c>
      <c r="BB171" s="547">
        <f t="shared" si="114"/>
        <v>17781316.823329829</v>
      </c>
      <c r="BC171" s="456"/>
      <c r="BD171" s="588">
        <f>((BB171/100)*(i_CFD.ObliRate/12))*[1]i.Finance!$O$64</f>
        <v>59826.722228495157</v>
      </c>
      <c r="BE171" s="588">
        <f>(AZ171/100*[1]i.Finance!$O$61)*[1]i.Finance!$O$64</f>
        <v>0</v>
      </c>
      <c r="BF171" s="588">
        <f>(AZ171/100*[1]i.Finance!$O$65)</f>
        <v>0</v>
      </c>
      <c r="BG171" s="589">
        <f t="shared" si="99"/>
        <v>59826.722228495157</v>
      </c>
      <c r="BH171" s="456"/>
      <c r="BI171" s="588">
        <f>-PV([1]i.Finance!$O$63/12,[1]i.Finance!$O$62*12,mCFD!BG171)</f>
        <v>10233961.918709608</v>
      </c>
      <c r="BJ171" s="588">
        <f>BI171*[1]i.Finance!$O$58</f>
        <v>8033660.1061870428</v>
      </c>
      <c r="BK171" s="588"/>
      <c r="BL171" s="588"/>
      <c r="BP171" s="547"/>
      <c r="BQ171" s="547"/>
      <c r="BR171" s="547" t="e">
        <f t="shared" si="100"/>
        <v>#NAME?</v>
      </c>
      <c r="BS171" s="547" t="e">
        <f t="shared" si="101"/>
        <v>#NAME?</v>
      </c>
      <c r="BT171" s="547" t="e">
        <f t="shared" si="102"/>
        <v>#NAME?</v>
      </c>
      <c r="BU171" s="547"/>
    </row>
    <row r="172" spans="1:73" ht="16" hidden="1" outlineLevel="2">
      <c r="A172" s="366"/>
      <c r="B172" s="562"/>
      <c r="C172" s="366"/>
      <c r="D172" s="454"/>
      <c r="E172" s="530">
        <f t="shared" si="111"/>
        <v>166</v>
      </c>
      <c r="F172" s="530">
        <f t="shared" si="103"/>
        <v>56</v>
      </c>
      <c r="G172" s="530">
        <f t="shared" si="104"/>
        <v>14</v>
      </c>
      <c r="H172" s="554">
        <f t="shared" si="117"/>
        <v>48852</v>
      </c>
      <c r="I172" s="555">
        <f t="shared" si="83"/>
        <v>2033</v>
      </c>
      <c r="K172" s="530">
        <f>[1]mProject!KB176</f>
        <v>0</v>
      </c>
      <c r="L172" s="530">
        <f t="shared" si="84"/>
        <v>950</v>
      </c>
      <c r="M172" s="530">
        <f t="shared" si="85"/>
        <v>295000</v>
      </c>
      <c r="N172" s="530">
        <f t="shared" si="86"/>
        <v>0</v>
      </c>
      <c r="O172" s="530">
        <f t="shared" si="105"/>
        <v>280250000</v>
      </c>
      <c r="P172" s="530">
        <f>[1]mProject!W176</f>
        <v>373696.89200797718</v>
      </c>
      <c r="Q172" s="530">
        <f t="shared" si="87"/>
        <v>0</v>
      </c>
      <c r="R172" s="530">
        <f t="shared" si="106"/>
        <v>296355280.38883054</v>
      </c>
      <c r="T172" s="530">
        <v>0</v>
      </c>
      <c r="U172" s="530">
        <f t="shared" si="88"/>
        <v>0</v>
      </c>
      <c r="V172" s="530">
        <f>IF(T172=0,0,$V$7*(1+#REF!)^#REF!)</f>
        <v>0</v>
      </c>
      <c r="W172" s="530">
        <f t="shared" si="107"/>
        <v>0</v>
      </c>
      <c r="X172" s="530">
        <f t="shared" si="89"/>
        <v>0</v>
      </c>
      <c r="Y172" s="530">
        <f t="shared" si="90"/>
        <v>0</v>
      </c>
      <c r="AA172" s="530">
        <v>0</v>
      </c>
      <c r="AB172" s="530">
        <f t="shared" si="91"/>
        <v>0</v>
      </c>
      <c r="AC172" s="530">
        <f>IF(AA172=0,0,$V$7*(1+#REF!)^#REF!)</f>
        <v>0</v>
      </c>
      <c r="AD172" s="530">
        <f t="shared" si="108"/>
        <v>0</v>
      </c>
      <c r="AE172" s="530">
        <f t="shared" si="92"/>
        <v>0</v>
      </c>
      <c r="AF172" s="530">
        <f t="shared" si="93"/>
        <v>0</v>
      </c>
      <c r="AH172" s="530">
        <f t="shared" si="94"/>
        <v>0</v>
      </c>
      <c r="AI172" s="530">
        <f t="shared" si="109"/>
        <v>950</v>
      </c>
      <c r="AJ172" s="530">
        <f t="shared" si="82"/>
        <v>0</v>
      </c>
      <c r="AK172" s="530">
        <f>AJ172*[1]mProject!V176</f>
        <v>0</v>
      </c>
      <c r="AL172" s="530">
        <f t="shared" si="95"/>
        <v>0</v>
      </c>
      <c r="AM172" s="530">
        <f t="shared" si="96"/>
        <v>0</v>
      </c>
      <c r="AN172" s="456"/>
      <c r="AO172" s="572" t="e">
        <f t="shared" si="112"/>
        <v>#REF!</v>
      </c>
      <c r="AP172" s="572" t="e">
        <f t="shared" si="116"/>
        <v>#REF!</v>
      </c>
      <c r="AQ172" s="572" t="e">
        <f t="shared" si="118"/>
        <v>#REF!</v>
      </c>
      <c r="AR172" s="573" t="e">
        <f t="shared" si="113"/>
        <v>#REF!</v>
      </c>
      <c r="AS172" s="530" t="e">
        <f t="shared" si="115"/>
        <v>#REF!</v>
      </c>
      <c r="AT172" s="530"/>
      <c r="AU172" s="530"/>
      <c r="AV172" s="530" t="e">
        <f t="shared" si="97"/>
        <v>#REF!</v>
      </c>
      <c r="AW172" s="530" t="e">
        <f>AI172*#REF!+AI171*#REF!+AI170*#REF!</f>
        <v>#REF!</v>
      </c>
      <c r="AX172" s="456"/>
      <c r="AY172" s="583">
        <f t="shared" si="110"/>
        <v>1.3184230547869582</v>
      </c>
      <c r="AZ172" s="530">
        <f t="shared" si="98"/>
        <v>0</v>
      </c>
      <c r="BA172" s="530">
        <f>BA171*[1]mProject!V177</f>
        <v>0</v>
      </c>
      <c r="BB172" s="530">
        <f t="shared" si="114"/>
        <v>17781316.823329829</v>
      </c>
      <c r="BC172" s="456"/>
      <c r="BD172" s="590">
        <f>((BB172/100)*(i_CFD.ObliRate/12))*[1]i.Finance!$O$64</f>
        <v>59826.722228495157</v>
      </c>
      <c r="BE172" s="590">
        <f>(AZ172/100*[1]i.Finance!$O$61)*[1]i.Finance!$O$64</f>
        <v>0</v>
      </c>
      <c r="BF172" s="590">
        <f>(AZ172/100*[1]i.Finance!$O$65)</f>
        <v>0</v>
      </c>
      <c r="BG172" s="591">
        <f t="shared" si="99"/>
        <v>59826.722228495157</v>
      </c>
      <c r="BH172" s="456"/>
      <c r="BI172" s="590">
        <f>-PV([1]i.Finance!$O$63/12,[1]i.Finance!$O$62*12,mCFD!BG172)</f>
        <v>10233961.918709608</v>
      </c>
      <c r="BJ172" s="590">
        <f>BI172*[1]i.Finance!$O$58</f>
        <v>8033660.1061870428</v>
      </c>
      <c r="BK172" s="590"/>
      <c r="BL172" s="590"/>
      <c r="BP172" s="530"/>
      <c r="BQ172" s="530"/>
      <c r="BR172" s="530" t="e">
        <f t="shared" si="100"/>
        <v>#NAME?</v>
      </c>
      <c r="BS172" s="530" t="e">
        <f t="shared" si="101"/>
        <v>#NAME?</v>
      </c>
      <c r="BT172" s="530" t="e">
        <f t="shared" si="102"/>
        <v>#NAME?</v>
      </c>
      <c r="BU172" s="530"/>
    </row>
    <row r="173" spans="1:73" ht="16" hidden="1" outlineLevel="2">
      <c r="A173" s="366"/>
      <c r="B173" s="562"/>
      <c r="C173" s="366"/>
      <c r="D173" s="454"/>
      <c r="E173" s="533">
        <f t="shared" si="111"/>
        <v>167</v>
      </c>
      <c r="F173" s="533">
        <f t="shared" si="103"/>
        <v>56</v>
      </c>
      <c r="G173" s="533">
        <f t="shared" si="104"/>
        <v>14</v>
      </c>
      <c r="H173" s="541">
        <f t="shared" si="117"/>
        <v>48883</v>
      </c>
      <c r="I173" s="542">
        <f t="shared" si="83"/>
        <v>2033</v>
      </c>
      <c r="K173" s="533">
        <f>[1]mProject!KB177</f>
        <v>0</v>
      </c>
      <c r="L173" s="533">
        <f t="shared" si="84"/>
        <v>950</v>
      </c>
      <c r="M173" s="533">
        <f t="shared" si="85"/>
        <v>295000</v>
      </c>
      <c r="N173" s="533">
        <f t="shared" si="86"/>
        <v>0</v>
      </c>
      <c r="O173" s="533">
        <f t="shared" si="105"/>
        <v>280250000</v>
      </c>
      <c r="P173" s="533">
        <f>[1]mProject!W177</f>
        <v>374319.72016132384</v>
      </c>
      <c r="Q173" s="533">
        <f t="shared" si="87"/>
        <v>0</v>
      </c>
      <c r="R173" s="533">
        <f t="shared" si="106"/>
        <v>296355280.38883054</v>
      </c>
      <c r="T173" s="533">
        <v>0</v>
      </c>
      <c r="U173" s="533">
        <f t="shared" si="88"/>
        <v>0</v>
      </c>
      <c r="V173" s="533">
        <f>IF(T173=0,0,$V$7*(1+#REF!)^#REF!)</f>
        <v>0</v>
      </c>
      <c r="W173" s="533">
        <f t="shared" si="107"/>
        <v>0</v>
      </c>
      <c r="X173" s="533">
        <f t="shared" si="89"/>
        <v>0</v>
      </c>
      <c r="Y173" s="533">
        <f t="shared" si="90"/>
        <v>0</v>
      </c>
      <c r="AA173" s="533">
        <v>0</v>
      </c>
      <c r="AB173" s="533">
        <f t="shared" si="91"/>
        <v>0</v>
      </c>
      <c r="AC173" s="533">
        <f>IF(AA173=0,0,$V$7*(1+#REF!)^#REF!)</f>
        <v>0</v>
      </c>
      <c r="AD173" s="533">
        <f t="shared" si="108"/>
        <v>0</v>
      </c>
      <c r="AE173" s="533">
        <f t="shared" si="92"/>
        <v>0</v>
      </c>
      <c r="AF173" s="533">
        <f t="shared" si="93"/>
        <v>0</v>
      </c>
      <c r="AH173" s="533">
        <f t="shared" si="94"/>
        <v>0</v>
      </c>
      <c r="AI173" s="533">
        <f t="shared" si="109"/>
        <v>950</v>
      </c>
      <c r="AJ173" s="533">
        <f t="shared" si="82"/>
        <v>0</v>
      </c>
      <c r="AK173" s="533">
        <f>AJ173*[1]mProject!V177</f>
        <v>0</v>
      </c>
      <c r="AL173" s="533">
        <f t="shared" si="95"/>
        <v>0</v>
      </c>
      <c r="AM173" s="533">
        <f t="shared" si="96"/>
        <v>0</v>
      </c>
      <c r="AN173" s="456"/>
      <c r="AO173" s="575" t="e">
        <f t="shared" si="112"/>
        <v>#REF!</v>
      </c>
      <c r="AP173" s="575" t="e">
        <f t="shared" si="116"/>
        <v>#REF!</v>
      </c>
      <c r="AQ173" s="575" t="e">
        <f t="shared" si="118"/>
        <v>#REF!</v>
      </c>
      <c r="AR173" s="576" t="e">
        <f t="shared" si="113"/>
        <v>#REF!</v>
      </c>
      <c r="AS173" s="533" t="e">
        <f t="shared" si="115"/>
        <v>#REF!</v>
      </c>
      <c r="AT173" s="533"/>
      <c r="AU173" s="533"/>
      <c r="AV173" s="533" t="e">
        <f t="shared" si="97"/>
        <v>#REF!</v>
      </c>
      <c r="AW173" s="533" t="e">
        <f>AI173*#REF!+AI172*#REF!+AI171*#REF!</f>
        <v>#REF!</v>
      </c>
      <c r="AX173" s="456"/>
      <c r="AY173" s="584">
        <f t="shared" si="110"/>
        <v>1.3206204265449366</v>
      </c>
      <c r="AZ173" s="533">
        <f t="shared" si="98"/>
        <v>0</v>
      </c>
      <c r="BA173" s="533">
        <f>BA172*[1]mProject!V178</f>
        <v>0</v>
      </c>
      <c r="BB173" s="533">
        <f t="shared" si="114"/>
        <v>17781316.823329829</v>
      </c>
      <c r="BC173" s="456"/>
      <c r="BD173" s="586">
        <f>((BB173/100)*(i_CFD.ObliRate/12))*[1]i.Finance!$O$64</f>
        <v>59826.722228495157</v>
      </c>
      <c r="BE173" s="586">
        <f>(AZ173/100*[1]i.Finance!$O$61)*[1]i.Finance!$O$64</f>
        <v>0</v>
      </c>
      <c r="BF173" s="586">
        <f>(AZ173/100*[1]i.Finance!$O$65)</f>
        <v>0</v>
      </c>
      <c r="BG173" s="587">
        <f t="shared" si="99"/>
        <v>59826.722228495157</v>
      </c>
      <c r="BH173" s="456"/>
      <c r="BI173" s="586">
        <f>-PV([1]i.Finance!$O$63/12,[1]i.Finance!$O$62*12,mCFD!BG173)</f>
        <v>10233961.918709608</v>
      </c>
      <c r="BJ173" s="586">
        <f>BI173*[1]i.Finance!$O$58</f>
        <v>8033660.1061870428</v>
      </c>
      <c r="BK173" s="586"/>
      <c r="BL173" s="586"/>
      <c r="BP173" s="533"/>
      <c r="BQ173" s="533"/>
      <c r="BR173" s="533" t="e">
        <f t="shared" si="100"/>
        <v>#NAME?</v>
      </c>
      <c r="BS173" s="533" t="e">
        <f t="shared" si="101"/>
        <v>#NAME?</v>
      </c>
      <c r="BT173" s="533" t="e">
        <f t="shared" si="102"/>
        <v>#NAME?</v>
      </c>
      <c r="BU173" s="533"/>
    </row>
    <row r="174" spans="1:73" ht="17" hidden="1" outlineLevel="2" thickBot="1">
      <c r="A174" s="366"/>
      <c r="B174" s="562"/>
      <c r="C174" s="366"/>
      <c r="D174" s="454"/>
      <c r="E174" s="564">
        <f t="shared" si="111"/>
        <v>168</v>
      </c>
      <c r="F174" s="564">
        <f t="shared" si="103"/>
        <v>56</v>
      </c>
      <c r="G174" s="564">
        <f t="shared" si="104"/>
        <v>14</v>
      </c>
      <c r="H174" s="565">
        <f t="shared" si="117"/>
        <v>48913</v>
      </c>
      <c r="I174" s="566">
        <f t="shared" si="83"/>
        <v>2033</v>
      </c>
      <c r="K174" s="564">
        <f>[1]mProject!KB178</f>
        <v>0</v>
      </c>
      <c r="L174" s="564">
        <f t="shared" si="84"/>
        <v>950</v>
      </c>
      <c r="M174" s="564">
        <f t="shared" si="85"/>
        <v>295000</v>
      </c>
      <c r="N174" s="564">
        <f t="shared" si="86"/>
        <v>0</v>
      </c>
      <c r="O174" s="564">
        <f t="shared" si="105"/>
        <v>280250000</v>
      </c>
      <c r="P174" s="564">
        <f>[1]mProject!W178</f>
        <v>374943.58636159275</v>
      </c>
      <c r="Q174" s="564">
        <f t="shared" si="87"/>
        <v>0</v>
      </c>
      <c r="R174" s="564">
        <f t="shared" si="106"/>
        <v>296355280.38883054</v>
      </c>
      <c r="T174" s="564">
        <v>0</v>
      </c>
      <c r="U174" s="564">
        <f t="shared" si="88"/>
        <v>0</v>
      </c>
      <c r="V174" s="564">
        <f>IF(T174=0,0,$V$7*(1+#REF!)^#REF!)</f>
        <v>0</v>
      </c>
      <c r="W174" s="564">
        <f t="shared" si="107"/>
        <v>0</v>
      </c>
      <c r="X174" s="564">
        <f t="shared" si="89"/>
        <v>0</v>
      </c>
      <c r="Y174" s="564">
        <f t="shared" si="90"/>
        <v>0</v>
      </c>
      <c r="AA174" s="564">
        <v>0</v>
      </c>
      <c r="AB174" s="564">
        <f t="shared" si="91"/>
        <v>0</v>
      </c>
      <c r="AC174" s="564">
        <f>IF(AA174=0,0,$V$7*(1+#REF!)^#REF!)</f>
        <v>0</v>
      </c>
      <c r="AD174" s="564">
        <f t="shared" si="108"/>
        <v>0</v>
      </c>
      <c r="AE174" s="564">
        <f t="shared" si="92"/>
        <v>0</v>
      </c>
      <c r="AF174" s="564">
        <f t="shared" si="93"/>
        <v>0</v>
      </c>
      <c r="AH174" s="564">
        <f t="shared" si="94"/>
        <v>0</v>
      </c>
      <c r="AI174" s="564">
        <f t="shared" si="109"/>
        <v>950</v>
      </c>
      <c r="AJ174" s="564">
        <f t="shared" si="82"/>
        <v>0</v>
      </c>
      <c r="AK174" s="564">
        <f>AJ174*[1]mProject!V178</f>
        <v>0</v>
      </c>
      <c r="AL174" s="564">
        <f t="shared" si="95"/>
        <v>0</v>
      </c>
      <c r="AM174" s="564">
        <f t="shared" si="96"/>
        <v>0</v>
      </c>
      <c r="AN174" s="456"/>
      <c r="AO174" s="581" t="e">
        <f t="shared" si="112"/>
        <v>#REF!</v>
      </c>
      <c r="AP174" s="581" t="e">
        <f t="shared" si="116"/>
        <v>#REF!</v>
      </c>
      <c r="AQ174" s="581" t="e">
        <f t="shared" si="118"/>
        <v>#REF!</v>
      </c>
      <c r="AR174" s="582" t="e">
        <f t="shared" si="113"/>
        <v>#REF!</v>
      </c>
      <c r="AS174" s="564" t="e">
        <f t="shared" si="115"/>
        <v>#REF!</v>
      </c>
      <c r="AT174" s="564"/>
      <c r="AU174" s="564"/>
      <c r="AV174" s="564" t="e">
        <f t="shared" si="97"/>
        <v>#REF!</v>
      </c>
      <c r="AW174" s="564" t="e">
        <f>AI174*#REF!+AI173*#REF!+AI172*#REF!</f>
        <v>#REF!</v>
      </c>
      <c r="AX174" s="456"/>
      <c r="AY174" s="592">
        <f t="shared" si="110"/>
        <v>1.3228214605891782</v>
      </c>
      <c r="AZ174" s="564">
        <f t="shared" si="98"/>
        <v>0</v>
      </c>
      <c r="BA174" s="564">
        <f>BA173*[1]mProject!V179</f>
        <v>0</v>
      </c>
      <c r="BB174" s="564">
        <f t="shared" si="114"/>
        <v>17781316.823329829</v>
      </c>
      <c r="BC174" s="456"/>
      <c r="BD174" s="593">
        <f>((BB174/100)*(i_CFD.ObliRate/12))*[1]i.Finance!$O$64</f>
        <v>59826.722228495157</v>
      </c>
      <c r="BE174" s="593">
        <f>(AZ174/100*[1]i.Finance!$O$61)*[1]i.Finance!$O$64</f>
        <v>0</v>
      </c>
      <c r="BF174" s="593">
        <f>(AZ174/100*[1]i.Finance!$O$65)</f>
        <v>0</v>
      </c>
      <c r="BG174" s="594">
        <f t="shared" si="99"/>
        <v>59826.722228495157</v>
      </c>
      <c r="BH174" s="456"/>
      <c r="BI174" s="593">
        <f>-PV([1]i.Finance!$O$63/12,[1]i.Finance!$O$62*12,mCFD!BG174)</f>
        <v>10233961.918709608</v>
      </c>
      <c r="BJ174" s="593">
        <f>BI174*[1]i.Finance!$O$58</f>
        <v>8033660.1061870428</v>
      </c>
      <c r="BK174" s="593"/>
      <c r="BL174" s="593"/>
      <c r="BP174" s="564"/>
      <c r="BQ174" s="564"/>
      <c r="BR174" s="564" t="e">
        <f t="shared" si="100"/>
        <v>#NAME?</v>
      </c>
      <c r="BS174" s="564" t="e">
        <f t="shared" si="101"/>
        <v>#NAME?</v>
      </c>
      <c r="BT174" s="564" t="e">
        <f t="shared" si="102"/>
        <v>#NAME?</v>
      </c>
      <c r="BU174" s="564"/>
    </row>
    <row r="175" spans="1:73" ht="16" hidden="1" outlineLevel="2">
      <c r="A175" s="366"/>
      <c r="B175" s="562"/>
      <c r="C175" s="366"/>
      <c r="D175" s="454"/>
      <c r="E175" s="530">
        <f t="shared" si="111"/>
        <v>169</v>
      </c>
      <c r="F175" s="530">
        <f t="shared" si="103"/>
        <v>57</v>
      </c>
      <c r="G175" s="530">
        <f t="shared" si="104"/>
        <v>15</v>
      </c>
      <c r="H175" s="571">
        <f t="shared" si="117"/>
        <v>48944</v>
      </c>
      <c r="I175" s="532">
        <f t="shared" si="83"/>
        <v>2033</v>
      </c>
      <c r="K175" s="530">
        <f>[1]mProject!KB179</f>
        <v>0</v>
      </c>
      <c r="L175" s="530">
        <f t="shared" si="84"/>
        <v>950</v>
      </c>
      <c r="M175" s="530">
        <f t="shared" si="85"/>
        <v>295000</v>
      </c>
      <c r="N175" s="530">
        <f t="shared" si="86"/>
        <v>0</v>
      </c>
      <c r="O175" s="530">
        <f t="shared" si="105"/>
        <v>280250000</v>
      </c>
      <c r="P175" s="530">
        <f>[1]mProject!W179</f>
        <v>375568.4923388621</v>
      </c>
      <c r="Q175" s="530">
        <f t="shared" si="87"/>
        <v>0</v>
      </c>
      <c r="R175" s="530">
        <f t="shared" si="106"/>
        <v>296355280.38883054</v>
      </c>
      <c r="T175" s="530">
        <v>0</v>
      </c>
      <c r="U175" s="530">
        <f t="shared" si="88"/>
        <v>0</v>
      </c>
      <c r="V175" s="530">
        <f>IF(T175=0,0,$V$7*(1+#REF!)^#REF!)</f>
        <v>0</v>
      </c>
      <c r="W175" s="530">
        <f t="shared" si="107"/>
        <v>0</v>
      </c>
      <c r="X175" s="530">
        <f t="shared" si="89"/>
        <v>0</v>
      </c>
      <c r="Y175" s="530">
        <f t="shared" si="90"/>
        <v>0</v>
      </c>
      <c r="AA175" s="530">
        <v>0</v>
      </c>
      <c r="AB175" s="530">
        <f t="shared" si="91"/>
        <v>0</v>
      </c>
      <c r="AC175" s="530">
        <f>IF(AA175=0,0,$V$7*(1+#REF!)^#REF!)</f>
        <v>0</v>
      </c>
      <c r="AD175" s="530">
        <f t="shared" si="108"/>
        <v>0</v>
      </c>
      <c r="AE175" s="530">
        <f t="shared" si="92"/>
        <v>0</v>
      </c>
      <c r="AF175" s="530">
        <f t="shared" si="93"/>
        <v>0</v>
      </c>
      <c r="AH175" s="530">
        <f t="shared" si="94"/>
        <v>0</v>
      </c>
      <c r="AI175" s="530">
        <f t="shared" si="109"/>
        <v>950</v>
      </c>
      <c r="AJ175" s="530">
        <f t="shared" si="82"/>
        <v>0</v>
      </c>
      <c r="AK175" s="530">
        <f>AJ175*[1]mProject!V179</f>
        <v>0</v>
      </c>
      <c r="AL175" s="530">
        <f t="shared" si="95"/>
        <v>0</v>
      </c>
      <c r="AM175" s="530">
        <f t="shared" si="96"/>
        <v>0</v>
      </c>
      <c r="AN175" s="456"/>
      <c r="AO175" s="572" t="e">
        <f t="shared" si="112"/>
        <v>#REF!</v>
      </c>
      <c r="AP175" s="572" t="e">
        <f t="shared" si="116"/>
        <v>#REF!</v>
      </c>
      <c r="AQ175" s="572" t="e">
        <f t="shared" si="118"/>
        <v>#REF!</v>
      </c>
      <c r="AR175" s="573" t="e">
        <f t="shared" si="113"/>
        <v>#REF!</v>
      </c>
      <c r="AS175" s="530" t="e">
        <f t="shared" si="115"/>
        <v>#REF!</v>
      </c>
      <c r="AT175" s="530"/>
      <c r="AU175" s="530"/>
      <c r="AV175" s="530" t="e">
        <f t="shared" si="97"/>
        <v>#REF!</v>
      </c>
      <c r="AW175" s="530" t="e">
        <f>AI175*#REF!+AI174*#REF!+AI173*#REF!</f>
        <v>#REF!</v>
      </c>
      <c r="AX175" s="456"/>
      <c r="AY175" s="583">
        <f t="shared" si="110"/>
        <v>1.3250261630234934</v>
      </c>
      <c r="AZ175" s="530">
        <f t="shared" si="98"/>
        <v>0</v>
      </c>
      <c r="BA175" s="530">
        <f>BA174*[1]mProject!V180</f>
        <v>0</v>
      </c>
      <c r="BB175" s="530">
        <f t="shared" si="114"/>
        <v>17781316.823329829</v>
      </c>
      <c r="BC175" s="456"/>
      <c r="BD175" s="590">
        <f>((BB175/100)*(i_CFD.ObliRate/12))*[1]i.Finance!$O$64</f>
        <v>59826.722228495157</v>
      </c>
      <c r="BE175" s="590">
        <f>(AZ175/100*[1]i.Finance!$O$61)*[1]i.Finance!$O$64</f>
        <v>0</v>
      </c>
      <c r="BF175" s="590">
        <f>(AZ175/100*[1]i.Finance!$O$65)</f>
        <v>0</v>
      </c>
      <c r="BG175" s="591">
        <f t="shared" si="99"/>
        <v>59826.722228495157</v>
      </c>
      <c r="BH175" s="456"/>
      <c r="BI175" s="590">
        <f>-PV([1]i.Finance!$O$63/12,[1]i.Finance!$O$62*12,mCFD!BG175)</f>
        <v>10233961.918709608</v>
      </c>
      <c r="BJ175" s="590">
        <f>BI175*[1]i.Finance!$O$58</f>
        <v>8033660.1061870428</v>
      </c>
      <c r="BK175" s="590"/>
      <c r="BL175" s="590"/>
      <c r="BP175" s="530"/>
      <c r="BQ175" s="530"/>
      <c r="BR175" s="530" t="e">
        <f t="shared" si="100"/>
        <v>#NAME?</v>
      </c>
      <c r="BS175" s="530" t="e">
        <f t="shared" si="101"/>
        <v>#NAME?</v>
      </c>
      <c r="BT175" s="530" t="e">
        <f t="shared" si="102"/>
        <v>#NAME?</v>
      </c>
      <c r="BU175" s="530"/>
    </row>
    <row r="176" spans="1:73" ht="16" hidden="1" outlineLevel="2">
      <c r="A176" s="366"/>
      <c r="B176" s="562"/>
      <c r="C176" s="366"/>
      <c r="D176" s="454"/>
      <c r="E176" s="533">
        <f t="shared" si="111"/>
        <v>170</v>
      </c>
      <c r="F176" s="533">
        <f t="shared" si="103"/>
        <v>57</v>
      </c>
      <c r="G176" s="533">
        <f t="shared" si="104"/>
        <v>15</v>
      </c>
      <c r="H176" s="541">
        <f t="shared" si="117"/>
        <v>48975</v>
      </c>
      <c r="I176" s="542">
        <f t="shared" si="83"/>
        <v>2034</v>
      </c>
      <c r="K176" s="533">
        <f>[1]mProject!KB180</f>
        <v>0</v>
      </c>
      <c r="L176" s="533">
        <f t="shared" si="84"/>
        <v>950</v>
      </c>
      <c r="M176" s="533">
        <f t="shared" si="85"/>
        <v>295000</v>
      </c>
      <c r="N176" s="533">
        <f t="shared" si="86"/>
        <v>0</v>
      </c>
      <c r="O176" s="533">
        <f t="shared" si="105"/>
        <v>280250000</v>
      </c>
      <c r="P176" s="533">
        <f>[1]mProject!W180</f>
        <v>376194.43982609356</v>
      </c>
      <c r="Q176" s="533">
        <f t="shared" si="87"/>
        <v>0</v>
      </c>
      <c r="R176" s="533">
        <f t="shared" si="106"/>
        <v>296355280.38883054</v>
      </c>
      <c r="T176" s="533">
        <v>0</v>
      </c>
      <c r="U176" s="533">
        <f t="shared" si="88"/>
        <v>0</v>
      </c>
      <c r="V176" s="533">
        <f>IF(T176=0,0,$V$7*(1+#REF!)^#REF!)</f>
        <v>0</v>
      </c>
      <c r="W176" s="533">
        <f t="shared" si="107"/>
        <v>0</v>
      </c>
      <c r="X176" s="533">
        <f t="shared" si="89"/>
        <v>0</v>
      </c>
      <c r="Y176" s="533">
        <f t="shared" si="90"/>
        <v>0</v>
      </c>
      <c r="AA176" s="533">
        <v>0</v>
      </c>
      <c r="AB176" s="533">
        <f t="shared" si="91"/>
        <v>0</v>
      </c>
      <c r="AC176" s="533">
        <f>IF(AA176=0,0,$V$7*(1+#REF!)^#REF!)</f>
        <v>0</v>
      </c>
      <c r="AD176" s="533">
        <f t="shared" si="108"/>
        <v>0</v>
      </c>
      <c r="AE176" s="533">
        <f t="shared" si="92"/>
        <v>0</v>
      </c>
      <c r="AF176" s="533">
        <f t="shared" si="93"/>
        <v>0</v>
      </c>
      <c r="AH176" s="533">
        <f t="shared" si="94"/>
        <v>0</v>
      </c>
      <c r="AI176" s="533">
        <f t="shared" si="109"/>
        <v>950</v>
      </c>
      <c r="AJ176" s="533">
        <f t="shared" ref="AJ176:AJ239" si="119">AJ175</f>
        <v>0</v>
      </c>
      <c r="AK176" s="533">
        <f>AJ176*[1]mProject!V180</f>
        <v>0</v>
      </c>
      <c r="AL176" s="533">
        <f t="shared" si="95"/>
        <v>0</v>
      </c>
      <c r="AM176" s="533">
        <f t="shared" si="96"/>
        <v>0</v>
      </c>
      <c r="AN176" s="456"/>
      <c r="AO176" s="575" t="e">
        <f t="shared" si="112"/>
        <v>#REF!</v>
      </c>
      <c r="AP176" s="575" t="e">
        <f t="shared" si="116"/>
        <v>#REF!</v>
      </c>
      <c r="AQ176" s="575" t="e">
        <f t="shared" si="118"/>
        <v>#REF!</v>
      </c>
      <c r="AR176" s="576" t="e">
        <f t="shared" si="113"/>
        <v>#REF!</v>
      </c>
      <c r="AS176" s="533" t="e">
        <f t="shared" si="115"/>
        <v>#REF!</v>
      </c>
      <c r="AT176" s="533"/>
      <c r="AU176" s="533"/>
      <c r="AV176" s="533" t="e">
        <f t="shared" si="97"/>
        <v>#REF!</v>
      </c>
      <c r="AW176" s="533" t="e">
        <f>AI176*#REF!+AI175*#REF!+AI174*#REF!</f>
        <v>#REF!</v>
      </c>
      <c r="AX176" s="456"/>
      <c r="AY176" s="584">
        <f t="shared" si="110"/>
        <v>1.3272345399618659</v>
      </c>
      <c r="AZ176" s="533">
        <f t="shared" si="98"/>
        <v>0</v>
      </c>
      <c r="BA176" s="533">
        <f>BA175*[1]mProject!V181</f>
        <v>0</v>
      </c>
      <c r="BB176" s="533">
        <f t="shared" si="114"/>
        <v>17781316.823329829</v>
      </c>
      <c r="BC176" s="456"/>
      <c r="BD176" s="586">
        <f>((BB176/100)*(i_CFD.ObliRate/12))*[1]i.Finance!$O$64</f>
        <v>59826.722228495157</v>
      </c>
      <c r="BE176" s="586">
        <f>(AZ176/100*[1]i.Finance!$O$61)*[1]i.Finance!$O$64</f>
        <v>0</v>
      </c>
      <c r="BF176" s="586">
        <f>(AZ176/100*[1]i.Finance!$O$65)</f>
        <v>0</v>
      </c>
      <c r="BG176" s="587">
        <f t="shared" si="99"/>
        <v>59826.722228495157</v>
      </c>
      <c r="BH176" s="456"/>
      <c r="BI176" s="586">
        <f>-PV([1]i.Finance!$O$63/12,[1]i.Finance!$O$62*12,mCFD!BG176)</f>
        <v>10233961.918709608</v>
      </c>
      <c r="BJ176" s="586">
        <f>BI176*[1]i.Finance!$O$58</f>
        <v>8033660.1061870428</v>
      </c>
      <c r="BK176" s="586"/>
      <c r="BL176" s="586"/>
      <c r="BP176" s="533"/>
      <c r="BQ176" s="533"/>
      <c r="BR176" s="533" t="e">
        <f t="shared" si="100"/>
        <v>#NAME?</v>
      </c>
      <c r="BS176" s="533" t="e">
        <f t="shared" si="101"/>
        <v>#NAME?</v>
      </c>
      <c r="BT176" s="533" t="e">
        <f t="shared" si="102"/>
        <v>#NAME?</v>
      </c>
      <c r="BU176" s="533"/>
    </row>
    <row r="177" spans="1:73" ht="16" hidden="1" outlineLevel="2">
      <c r="A177" s="366"/>
      <c r="B177" s="562"/>
      <c r="C177" s="366"/>
      <c r="D177" s="454"/>
      <c r="E177" s="547">
        <f t="shared" si="111"/>
        <v>171</v>
      </c>
      <c r="F177" s="547">
        <f t="shared" si="103"/>
        <v>57</v>
      </c>
      <c r="G177" s="547">
        <f t="shared" si="104"/>
        <v>15</v>
      </c>
      <c r="H177" s="548">
        <f t="shared" si="117"/>
        <v>49003</v>
      </c>
      <c r="I177" s="549">
        <f t="shared" si="83"/>
        <v>2034</v>
      </c>
      <c r="K177" s="547">
        <f>[1]mProject!KB181</f>
        <v>0</v>
      </c>
      <c r="L177" s="547">
        <f t="shared" si="84"/>
        <v>950</v>
      </c>
      <c r="M177" s="547">
        <f t="shared" si="85"/>
        <v>295000</v>
      </c>
      <c r="N177" s="547">
        <f t="shared" si="86"/>
        <v>0</v>
      </c>
      <c r="O177" s="547">
        <f t="shared" si="105"/>
        <v>280250000</v>
      </c>
      <c r="P177" s="547">
        <f>[1]mProject!W181</f>
        <v>376821.43055913708</v>
      </c>
      <c r="Q177" s="547">
        <f t="shared" si="87"/>
        <v>0</v>
      </c>
      <c r="R177" s="547">
        <f t="shared" si="106"/>
        <v>296355280.38883054</v>
      </c>
      <c r="T177" s="547">
        <v>0</v>
      </c>
      <c r="U177" s="547">
        <f t="shared" si="88"/>
        <v>0</v>
      </c>
      <c r="V177" s="547">
        <f>IF(T177=0,0,$V$7*(1+#REF!)^#REF!)</f>
        <v>0</v>
      </c>
      <c r="W177" s="547">
        <f t="shared" si="107"/>
        <v>0</v>
      </c>
      <c r="X177" s="547">
        <f t="shared" si="89"/>
        <v>0</v>
      </c>
      <c r="Y177" s="547">
        <f t="shared" si="90"/>
        <v>0</v>
      </c>
      <c r="AA177" s="547">
        <v>0</v>
      </c>
      <c r="AB177" s="547">
        <f t="shared" si="91"/>
        <v>0</v>
      </c>
      <c r="AC177" s="547">
        <f>IF(AA177=0,0,$V$7*(1+#REF!)^#REF!)</f>
        <v>0</v>
      </c>
      <c r="AD177" s="547">
        <f t="shared" si="108"/>
        <v>0</v>
      </c>
      <c r="AE177" s="547">
        <f t="shared" si="92"/>
        <v>0</v>
      </c>
      <c r="AF177" s="547">
        <f t="shared" si="93"/>
        <v>0</v>
      </c>
      <c r="AH177" s="547">
        <f t="shared" si="94"/>
        <v>0</v>
      </c>
      <c r="AI177" s="547">
        <f t="shared" si="109"/>
        <v>950</v>
      </c>
      <c r="AJ177" s="547">
        <f t="shared" si="119"/>
        <v>0</v>
      </c>
      <c r="AK177" s="547">
        <f>AJ177*[1]mProject!V181</f>
        <v>0</v>
      </c>
      <c r="AL177" s="547">
        <f t="shared" si="95"/>
        <v>0</v>
      </c>
      <c r="AM177" s="547">
        <f t="shared" si="96"/>
        <v>0</v>
      </c>
      <c r="AN177" s="456"/>
      <c r="AO177" s="577" t="e">
        <f t="shared" si="112"/>
        <v>#REF!</v>
      </c>
      <c r="AP177" s="577" t="e">
        <f t="shared" si="116"/>
        <v>#REF!</v>
      </c>
      <c r="AQ177" s="577" t="e">
        <f t="shared" si="118"/>
        <v>#REF!</v>
      </c>
      <c r="AR177" s="578" t="e">
        <f t="shared" si="113"/>
        <v>#REF!</v>
      </c>
      <c r="AS177" s="547" t="e">
        <f t="shared" si="115"/>
        <v>#REF!</v>
      </c>
      <c r="AT177" s="547"/>
      <c r="AU177" s="547"/>
      <c r="AV177" s="547" t="e">
        <f t="shared" si="97"/>
        <v>#REF!</v>
      </c>
      <c r="AW177" s="547" t="e">
        <f>AI177*#REF!+AI176*#REF!+AI175*#REF!</f>
        <v>#REF!</v>
      </c>
      <c r="AX177" s="456"/>
      <c r="AY177" s="585">
        <f t="shared" si="110"/>
        <v>1.3294465975284691</v>
      </c>
      <c r="AZ177" s="547">
        <f t="shared" si="98"/>
        <v>0</v>
      </c>
      <c r="BA177" s="547">
        <f>BA176*[1]mProject!V182</f>
        <v>0</v>
      </c>
      <c r="BB177" s="547">
        <f t="shared" si="114"/>
        <v>17781316.823329829</v>
      </c>
      <c r="BC177" s="456"/>
      <c r="BD177" s="588">
        <f>((BB177/100)*(i_CFD.ObliRate/12))*[1]i.Finance!$O$64</f>
        <v>59826.722228495157</v>
      </c>
      <c r="BE177" s="588">
        <f>(AZ177/100*[1]i.Finance!$O$61)*[1]i.Finance!$O$64</f>
        <v>0</v>
      </c>
      <c r="BF177" s="588">
        <f>(AZ177/100*[1]i.Finance!$O$65)</f>
        <v>0</v>
      </c>
      <c r="BG177" s="589">
        <f t="shared" si="99"/>
        <v>59826.722228495157</v>
      </c>
      <c r="BH177" s="456"/>
      <c r="BI177" s="588">
        <f>-PV([1]i.Finance!$O$63/12,[1]i.Finance!$O$62*12,mCFD!BG177)</f>
        <v>10233961.918709608</v>
      </c>
      <c r="BJ177" s="588">
        <f>BI177*[1]i.Finance!$O$58</f>
        <v>8033660.1061870428</v>
      </c>
      <c r="BK177" s="588"/>
      <c r="BL177" s="588"/>
      <c r="BP177" s="547"/>
      <c r="BQ177" s="547"/>
      <c r="BR177" s="547" t="e">
        <f t="shared" si="100"/>
        <v>#NAME?</v>
      </c>
      <c r="BS177" s="547" t="e">
        <f t="shared" si="101"/>
        <v>#NAME?</v>
      </c>
      <c r="BT177" s="547" t="e">
        <f t="shared" si="102"/>
        <v>#NAME?</v>
      </c>
      <c r="BU177" s="547"/>
    </row>
    <row r="178" spans="1:73" ht="16" hidden="1" outlineLevel="2">
      <c r="A178" s="366"/>
      <c r="B178" s="562"/>
      <c r="C178" s="366"/>
      <c r="D178" s="454"/>
      <c r="E178" s="530">
        <f t="shared" si="111"/>
        <v>172</v>
      </c>
      <c r="F178" s="530">
        <f t="shared" si="103"/>
        <v>58</v>
      </c>
      <c r="G178" s="530">
        <f t="shared" si="104"/>
        <v>15</v>
      </c>
      <c r="H178" s="554">
        <f t="shared" si="117"/>
        <v>49034</v>
      </c>
      <c r="I178" s="555">
        <f t="shared" si="83"/>
        <v>2034</v>
      </c>
      <c r="K178" s="530">
        <f>[1]mProject!KB182</f>
        <v>0</v>
      </c>
      <c r="L178" s="530">
        <f t="shared" si="84"/>
        <v>950</v>
      </c>
      <c r="M178" s="530">
        <f t="shared" si="85"/>
        <v>295000</v>
      </c>
      <c r="N178" s="530">
        <f t="shared" si="86"/>
        <v>0</v>
      </c>
      <c r="O178" s="530">
        <f t="shared" si="105"/>
        <v>280250000</v>
      </c>
      <c r="P178" s="530">
        <f>[1]mProject!W182</f>
        <v>377449.46627673565</v>
      </c>
      <c r="Q178" s="530">
        <f t="shared" si="87"/>
        <v>0</v>
      </c>
      <c r="R178" s="530">
        <f t="shared" si="106"/>
        <v>296355280.38883054</v>
      </c>
      <c r="T178" s="530">
        <v>0</v>
      </c>
      <c r="U178" s="530">
        <f t="shared" si="88"/>
        <v>0</v>
      </c>
      <c r="V178" s="530">
        <f>IF(T178=0,0,$V$7*(1+#REF!)^#REF!)</f>
        <v>0</v>
      </c>
      <c r="W178" s="530">
        <f t="shared" si="107"/>
        <v>0</v>
      </c>
      <c r="X178" s="530">
        <f t="shared" si="89"/>
        <v>0</v>
      </c>
      <c r="Y178" s="530">
        <f t="shared" si="90"/>
        <v>0</v>
      </c>
      <c r="AA178" s="530">
        <v>0</v>
      </c>
      <c r="AB178" s="530">
        <f t="shared" si="91"/>
        <v>0</v>
      </c>
      <c r="AC178" s="530">
        <f>IF(AA178=0,0,$V$7*(1+#REF!)^#REF!)</f>
        <v>0</v>
      </c>
      <c r="AD178" s="530">
        <f t="shared" si="108"/>
        <v>0</v>
      </c>
      <c r="AE178" s="530">
        <f t="shared" si="92"/>
        <v>0</v>
      </c>
      <c r="AF178" s="530">
        <f t="shared" si="93"/>
        <v>0</v>
      </c>
      <c r="AH178" s="530">
        <f t="shared" si="94"/>
        <v>0</v>
      </c>
      <c r="AI178" s="530">
        <f t="shared" si="109"/>
        <v>950</v>
      </c>
      <c r="AJ178" s="530">
        <f t="shared" si="119"/>
        <v>0</v>
      </c>
      <c r="AK178" s="530">
        <f>AJ178*[1]mProject!V182</f>
        <v>0</v>
      </c>
      <c r="AL178" s="530">
        <f t="shared" si="95"/>
        <v>0</v>
      </c>
      <c r="AM178" s="530">
        <f t="shared" si="96"/>
        <v>0</v>
      </c>
      <c r="AN178" s="456"/>
      <c r="AO178" s="572" t="e">
        <f t="shared" si="112"/>
        <v>#REF!</v>
      </c>
      <c r="AP178" s="572" t="e">
        <f t="shared" si="116"/>
        <v>#REF!</v>
      </c>
      <c r="AQ178" s="572" t="e">
        <f t="shared" si="118"/>
        <v>#REF!</v>
      </c>
      <c r="AR178" s="573" t="e">
        <f t="shared" si="113"/>
        <v>#REF!</v>
      </c>
      <c r="AS178" s="530" t="e">
        <f t="shared" si="115"/>
        <v>#REF!</v>
      </c>
      <c r="AT178" s="530"/>
      <c r="AU178" s="530"/>
      <c r="AV178" s="530" t="e">
        <f t="shared" si="97"/>
        <v>#REF!</v>
      </c>
      <c r="AW178" s="530" t="e">
        <f>AI178*#REF!+AI177*#REF!+AI176*#REF!</f>
        <v>#REF!</v>
      </c>
      <c r="AX178" s="456"/>
      <c r="AY178" s="583">
        <f t="shared" si="110"/>
        <v>1.3316623418576832</v>
      </c>
      <c r="AZ178" s="530">
        <f t="shared" si="98"/>
        <v>0</v>
      </c>
      <c r="BA178" s="530">
        <f>BA177*[1]mProject!V183</f>
        <v>0</v>
      </c>
      <c r="BB178" s="530">
        <f t="shared" si="114"/>
        <v>17781316.823329829</v>
      </c>
      <c r="BC178" s="456"/>
      <c r="BD178" s="590">
        <f>((BB178/100)*(i_CFD.ObliRate/12))*[1]i.Finance!$O$64</f>
        <v>59826.722228495157</v>
      </c>
      <c r="BE178" s="590">
        <f>(AZ178/100*[1]i.Finance!$O$61)*[1]i.Finance!$O$64</f>
        <v>0</v>
      </c>
      <c r="BF178" s="590">
        <f>(AZ178/100*[1]i.Finance!$O$65)</f>
        <v>0</v>
      </c>
      <c r="BG178" s="591">
        <f t="shared" si="99"/>
        <v>59826.722228495157</v>
      </c>
      <c r="BH178" s="456"/>
      <c r="BI178" s="590">
        <f>-PV([1]i.Finance!$O$63/12,[1]i.Finance!$O$62*12,mCFD!BG178)</f>
        <v>10233961.918709608</v>
      </c>
      <c r="BJ178" s="590">
        <f>BI178*[1]i.Finance!$O$58</f>
        <v>8033660.1061870428</v>
      </c>
      <c r="BK178" s="590"/>
      <c r="BL178" s="590"/>
      <c r="BP178" s="530"/>
      <c r="BQ178" s="530"/>
      <c r="BR178" s="530" t="e">
        <f t="shared" si="100"/>
        <v>#NAME?</v>
      </c>
      <c r="BS178" s="530" t="e">
        <f t="shared" si="101"/>
        <v>#NAME?</v>
      </c>
      <c r="BT178" s="530" t="e">
        <f t="shared" si="102"/>
        <v>#NAME?</v>
      </c>
      <c r="BU178" s="530"/>
    </row>
    <row r="179" spans="1:73" ht="16" hidden="1" outlineLevel="2">
      <c r="A179" s="366"/>
      <c r="B179" s="562"/>
      <c r="C179" s="366"/>
      <c r="D179" s="454"/>
      <c r="E179" s="533">
        <f t="shared" si="111"/>
        <v>173</v>
      </c>
      <c r="F179" s="533">
        <f t="shared" si="103"/>
        <v>58</v>
      </c>
      <c r="G179" s="533">
        <f t="shared" si="104"/>
        <v>15</v>
      </c>
      <c r="H179" s="541">
        <f t="shared" si="117"/>
        <v>49064</v>
      </c>
      <c r="I179" s="542">
        <f t="shared" si="83"/>
        <v>2034</v>
      </c>
      <c r="K179" s="533">
        <f>[1]mProject!KB183</f>
        <v>0</v>
      </c>
      <c r="L179" s="533">
        <f t="shared" si="84"/>
        <v>950</v>
      </c>
      <c r="M179" s="533">
        <f t="shared" si="85"/>
        <v>295000</v>
      </c>
      <c r="N179" s="533">
        <f t="shared" si="86"/>
        <v>0</v>
      </c>
      <c r="O179" s="533">
        <f t="shared" si="105"/>
        <v>280250000</v>
      </c>
      <c r="P179" s="533">
        <f>[1]mProject!W183</f>
        <v>378078.54872053023</v>
      </c>
      <c r="Q179" s="533">
        <f t="shared" si="87"/>
        <v>0</v>
      </c>
      <c r="R179" s="533">
        <f t="shared" si="106"/>
        <v>296355280.38883054</v>
      </c>
      <c r="T179" s="533">
        <v>0</v>
      </c>
      <c r="U179" s="533">
        <f t="shared" si="88"/>
        <v>0</v>
      </c>
      <c r="V179" s="533">
        <f>IF(T179=0,0,$V$7*(1+#REF!)^#REF!)</f>
        <v>0</v>
      </c>
      <c r="W179" s="533">
        <f t="shared" si="107"/>
        <v>0</v>
      </c>
      <c r="X179" s="533">
        <f t="shared" si="89"/>
        <v>0</v>
      </c>
      <c r="Y179" s="533">
        <f t="shared" si="90"/>
        <v>0</v>
      </c>
      <c r="AA179" s="533">
        <v>0</v>
      </c>
      <c r="AB179" s="533">
        <f t="shared" si="91"/>
        <v>0</v>
      </c>
      <c r="AC179" s="533">
        <f>IF(AA179=0,0,$V$7*(1+#REF!)^#REF!)</f>
        <v>0</v>
      </c>
      <c r="AD179" s="533">
        <f t="shared" si="108"/>
        <v>0</v>
      </c>
      <c r="AE179" s="533">
        <f t="shared" si="92"/>
        <v>0</v>
      </c>
      <c r="AF179" s="533">
        <f t="shared" si="93"/>
        <v>0</v>
      </c>
      <c r="AH179" s="533">
        <f t="shared" si="94"/>
        <v>0</v>
      </c>
      <c r="AI179" s="533">
        <f t="shared" si="109"/>
        <v>950</v>
      </c>
      <c r="AJ179" s="533">
        <f t="shared" si="119"/>
        <v>0</v>
      </c>
      <c r="AK179" s="533">
        <f>AJ179*[1]mProject!V183</f>
        <v>0</v>
      </c>
      <c r="AL179" s="533">
        <f t="shared" si="95"/>
        <v>0</v>
      </c>
      <c r="AM179" s="533">
        <f t="shared" si="96"/>
        <v>0</v>
      </c>
      <c r="AN179" s="456"/>
      <c r="AO179" s="575" t="e">
        <f t="shared" si="112"/>
        <v>#REF!</v>
      </c>
      <c r="AP179" s="575" t="e">
        <f t="shared" si="116"/>
        <v>#REF!</v>
      </c>
      <c r="AQ179" s="575" t="e">
        <f t="shared" si="118"/>
        <v>#REF!</v>
      </c>
      <c r="AR179" s="576" t="e">
        <f t="shared" si="113"/>
        <v>#REF!</v>
      </c>
      <c r="AS179" s="533" t="e">
        <f t="shared" si="115"/>
        <v>#REF!</v>
      </c>
      <c r="AT179" s="533"/>
      <c r="AU179" s="533"/>
      <c r="AV179" s="533" t="e">
        <f t="shared" si="97"/>
        <v>#REF!</v>
      </c>
      <c r="AW179" s="533" t="e">
        <f>AI179*#REF!+AI178*#REF!+AI177*#REF!</f>
        <v>#REF!</v>
      </c>
      <c r="AX179" s="456"/>
      <c r="AY179" s="584">
        <f t="shared" si="110"/>
        <v>1.3338817790941127</v>
      </c>
      <c r="AZ179" s="533">
        <f t="shared" si="98"/>
        <v>0</v>
      </c>
      <c r="BA179" s="533">
        <f>BA178*[1]mProject!V184</f>
        <v>0</v>
      </c>
      <c r="BB179" s="533">
        <f t="shared" si="114"/>
        <v>17781316.823329829</v>
      </c>
      <c r="BC179" s="456"/>
      <c r="BD179" s="586">
        <f>((BB179/100)*(i_CFD.ObliRate/12))*[1]i.Finance!$O$64</f>
        <v>59826.722228495157</v>
      </c>
      <c r="BE179" s="586">
        <f>(AZ179/100*[1]i.Finance!$O$61)*[1]i.Finance!$O$64</f>
        <v>0</v>
      </c>
      <c r="BF179" s="586">
        <f>(AZ179/100*[1]i.Finance!$O$65)</f>
        <v>0</v>
      </c>
      <c r="BG179" s="587">
        <f t="shared" si="99"/>
        <v>59826.722228495157</v>
      </c>
      <c r="BH179" s="456"/>
      <c r="BI179" s="586">
        <f>-PV([1]i.Finance!$O$63/12,[1]i.Finance!$O$62*12,mCFD!BG179)</f>
        <v>10233961.918709608</v>
      </c>
      <c r="BJ179" s="586">
        <f>BI179*[1]i.Finance!$O$58</f>
        <v>8033660.1061870428</v>
      </c>
      <c r="BK179" s="586"/>
      <c r="BL179" s="586"/>
      <c r="BP179" s="533"/>
      <c r="BQ179" s="533"/>
      <c r="BR179" s="533" t="e">
        <f t="shared" si="100"/>
        <v>#NAME?</v>
      </c>
      <c r="BS179" s="533" t="e">
        <f t="shared" si="101"/>
        <v>#NAME?</v>
      </c>
      <c r="BT179" s="533" t="e">
        <f t="shared" si="102"/>
        <v>#NAME?</v>
      </c>
      <c r="BU179" s="533"/>
    </row>
    <row r="180" spans="1:73" ht="16" hidden="1" outlineLevel="2">
      <c r="A180" s="366"/>
      <c r="B180" s="562"/>
      <c r="C180" s="366"/>
      <c r="D180" s="454"/>
      <c r="E180" s="547">
        <f t="shared" si="111"/>
        <v>174</v>
      </c>
      <c r="F180" s="547">
        <f t="shared" si="103"/>
        <v>58</v>
      </c>
      <c r="G180" s="547">
        <f t="shared" si="104"/>
        <v>15</v>
      </c>
      <c r="H180" s="548">
        <f t="shared" si="117"/>
        <v>49095</v>
      </c>
      <c r="I180" s="549">
        <f t="shared" si="83"/>
        <v>2034</v>
      </c>
      <c r="K180" s="547">
        <f>[1]mProject!KB184</f>
        <v>0</v>
      </c>
      <c r="L180" s="547">
        <f t="shared" si="84"/>
        <v>950</v>
      </c>
      <c r="M180" s="547">
        <f t="shared" si="85"/>
        <v>295000</v>
      </c>
      <c r="N180" s="547">
        <f t="shared" si="86"/>
        <v>0</v>
      </c>
      <c r="O180" s="547">
        <f t="shared" si="105"/>
        <v>280250000</v>
      </c>
      <c r="P180" s="547">
        <f>[1]mProject!W184</f>
        <v>378708.67963506444</v>
      </c>
      <c r="Q180" s="547">
        <f t="shared" si="87"/>
        <v>0</v>
      </c>
      <c r="R180" s="547">
        <f t="shared" si="106"/>
        <v>296355280.38883054</v>
      </c>
      <c r="T180" s="547">
        <v>0</v>
      </c>
      <c r="U180" s="547">
        <f t="shared" si="88"/>
        <v>0</v>
      </c>
      <c r="V180" s="547">
        <f>IF(T180=0,0,$V$7*(1+#REF!)^#REF!)</f>
        <v>0</v>
      </c>
      <c r="W180" s="547">
        <f t="shared" si="107"/>
        <v>0</v>
      </c>
      <c r="X180" s="547">
        <f t="shared" si="89"/>
        <v>0</v>
      </c>
      <c r="Y180" s="547">
        <f t="shared" si="90"/>
        <v>0</v>
      </c>
      <c r="AA180" s="547">
        <v>0</v>
      </c>
      <c r="AB180" s="547">
        <f t="shared" si="91"/>
        <v>0</v>
      </c>
      <c r="AC180" s="547">
        <f>IF(AA180=0,0,$V$7*(1+#REF!)^#REF!)</f>
        <v>0</v>
      </c>
      <c r="AD180" s="547">
        <f t="shared" si="108"/>
        <v>0</v>
      </c>
      <c r="AE180" s="547">
        <f t="shared" si="92"/>
        <v>0</v>
      </c>
      <c r="AF180" s="547">
        <f t="shared" si="93"/>
        <v>0</v>
      </c>
      <c r="AH180" s="547">
        <f t="shared" si="94"/>
        <v>0</v>
      </c>
      <c r="AI180" s="547">
        <f t="shared" si="109"/>
        <v>950</v>
      </c>
      <c r="AJ180" s="547">
        <f t="shared" si="119"/>
        <v>0</v>
      </c>
      <c r="AK180" s="547">
        <f>AJ180*[1]mProject!V184</f>
        <v>0</v>
      </c>
      <c r="AL180" s="547">
        <f t="shared" si="95"/>
        <v>0</v>
      </c>
      <c r="AM180" s="547">
        <f t="shared" si="96"/>
        <v>0</v>
      </c>
      <c r="AN180" s="456"/>
      <c r="AO180" s="577" t="e">
        <f t="shared" si="112"/>
        <v>#REF!</v>
      </c>
      <c r="AP180" s="577" t="e">
        <f t="shared" si="116"/>
        <v>#REF!</v>
      </c>
      <c r="AQ180" s="577" t="e">
        <f t="shared" si="118"/>
        <v>#REF!</v>
      </c>
      <c r="AR180" s="578" t="e">
        <f t="shared" si="113"/>
        <v>#REF!</v>
      </c>
      <c r="AS180" s="547" t="e">
        <f t="shared" si="115"/>
        <v>#REF!</v>
      </c>
      <c r="AT180" s="547"/>
      <c r="AU180" s="547"/>
      <c r="AV180" s="547" t="e">
        <f t="shared" si="97"/>
        <v>#REF!</v>
      </c>
      <c r="AW180" s="547" t="e">
        <f>AI180*#REF!+AI179*#REF!+AI178*#REF!</f>
        <v>#REF!</v>
      </c>
      <c r="AX180" s="456"/>
      <c r="AY180" s="585">
        <f t="shared" si="110"/>
        <v>1.3361049153926028</v>
      </c>
      <c r="AZ180" s="547">
        <f t="shared" si="98"/>
        <v>0</v>
      </c>
      <c r="BA180" s="547">
        <f>BA179*[1]mProject!V185</f>
        <v>0</v>
      </c>
      <c r="BB180" s="547">
        <f t="shared" si="114"/>
        <v>17781316.823329829</v>
      </c>
      <c r="BC180" s="456"/>
      <c r="BD180" s="588">
        <f>((BB180/100)*(i_CFD.ObliRate/12))*[1]i.Finance!$O$64</f>
        <v>59826.722228495157</v>
      </c>
      <c r="BE180" s="588">
        <f>(AZ180/100*[1]i.Finance!$O$61)*[1]i.Finance!$O$64</f>
        <v>0</v>
      </c>
      <c r="BF180" s="588">
        <f>(AZ180/100*[1]i.Finance!$O$65)</f>
        <v>0</v>
      </c>
      <c r="BG180" s="589">
        <f t="shared" si="99"/>
        <v>59826.722228495157</v>
      </c>
      <c r="BH180" s="456"/>
      <c r="BI180" s="588">
        <f>-PV([1]i.Finance!$O$63/12,[1]i.Finance!$O$62*12,mCFD!BG180)</f>
        <v>10233961.918709608</v>
      </c>
      <c r="BJ180" s="588">
        <f>BI180*[1]i.Finance!$O$58</f>
        <v>8033660.1061870428</v>
      </c>
      <c r="BK180" s="588"/>
      <c r="BL180" s="588"/>
      <c r="BP180" s="547"/>
      <c r="BQ180" s="547"/>
      <c r="BR180" s="547" t="e">
        <f t="shared" si="100"/>
        <v>#NAME?</v>
      </c>
      <c r="BS180" s="547" t="e">
        <f t="shared" si="101"/>
        <v>#NAME?</v>
      </c>
      <c r="BT180" s="547" t="e">
        <f t="shared" si="102"/>
        <v>#NAME?</v>
      </c>
      <c r="BU180" s="547"/>
    </row>
    <row r="181" spans="1:73" ht="16" hidden="1" outlineLevel="2">
      <c r="A181" s="366"/>
      <c r="B181" s="562"/>
      <c r="C181" s="366"/>
      <c r="D181" s="454"/>
      <c r="E181" s="530">
        <f t="shared" si="111"/>
        <v>175</v>
      </c>
      <c r="F181" s="530">
        <f t="shared" si="103"/>
        <v>59</v>
      </c>
      <c r="G181" s="530">
        <f t="shared" si="104"/>
        <v>15</v>
      </c>
      <c r="H181" s="554">
        <f t="shared" si="117"/>
        <v>49125</v>
      </c>
      <c r="I181" s="555">
        <f t="shared" si="83"/>
        <v>2034</v>
      </c>
      <c r="K181" s="530">
        <f>[1]mProject!KB185</f>
        <v>0</v>
      </c>
      <c r="L181" s="530">
        <f t="shared" si="84"/>
        <v>950</v>
      </c>
      <c r="M181" s="530">
        <f t="shared" si="85"/>
        <v>295000</v>
      </c>
      <c r="N181" s="530">
        <f t="shared" si="86"/>
        <v>0</v>
      </c>
      <c r="O181" s="530">
        <f t="shared" si="105"/>
        <v>280250000</v>
      </c>
      <c r="P181" s="530">
        <f>[1]mProject!W185</f>
        <v>379339.86076778959</v>
      </c>
      <c r="Q181" s="530">
        <f t="shared" si="87"/>
        <v>0</v>
      </c>
      <c r="R181" s="530">
        <f t="shared" si="106"/>
        <v>296355280.38883054</v>
      </c>
      <c r="T181" s="530">
        <v>0</v>
      </c>
      <c r="U181" s="530">
        <f t="shared" si="88"/>
        <v>0</v>
      </c>
      <c r="V181" s="530">
        <f>IF(T181=0,0,$V$7*(1+#REF!)^#REF!)</f>
        <v>0</v>
      </c>
      <c r="W181" s="530">
        <f t="shared" si="107"/>
        <v>0</v>
      </c>
      <c r="X181" s="530">
        <f t="shared" si="89"/>
        <v>0</v>
      </c>
      <c r="Y181" s="530">
        <f t="shared" si="90"/>
        <v>0</v>
      </c>
      <c r="AA181" s="530">
        <v>0</v>
      </c>
      <c r="AB181" s="530">
        <f t="shared" si="91"/>
        <v>0</v>
      </c>
      <c r="AC181" s="530">
        <f>IF(AA181=0,0,$V$7*(1+#REF!)^#REF!)</f>
        <v>0</v>
      </c>
      <c r="AD181" s="530">
        <f t="shared" si="108"/>
        <v>0</v>
      </c>
      <c r="AE181" s="530">
        <f t="shared" si="92"/>
        <v>0</v>
      </c>
      <c r="AF181" s="530">
        <f t="shared" si="93"/>
        <v>0</v>
      </c>
      <c r="AH181" s="530">
        <f t="shared" si="94"/>
        <v>0</v>
      </c>
      <c r="AI181" s="530">
        <f t="shared" si="109"/>
        <v>950</v>
      </c>
      <c r="AJ181" s="530">
        <f t="shared" si="119"/>
        <v>0</v>
      </c>
      <c r="AK181" s="530">
        <f>AJ181*[1]mProject!V185</f>
        <v>0</v>
      </c>
      <c r="AL181" s="530">
        <f t="shared" si="95"/>
        <v>0</v>
      </c>
      <c r="AM181" s="530">
        <f t="shared" si="96"/>
        <v>0</v>
      </c>
      <c r="AN181" s="456"/>
      <c r="AO181" s="572" t="e">
        <f t="shared" si="112"/>
        <v>#REF!</v>
      </c>
      <c r="AP181" s="572" t="e">
        <f t="shared" si="116"/>
        <v>#REF!</v>
      </c>
      <c r="AQ181" s="572" t="e">
        <f t="shared" si="118"/>
        <v>#REF!</v>
      </c>
      <c r="AR181" s="573" t="e">
        <f t="shared" si="113"/>
        <v>#REF!</v>
      </c>
      <c r="AS181" s="530" t="e">
        <f t="shared" si="115"/>
        <v>#REF!</v>
      </c>
      <c r="AT181" s="530"/>
      <c r="AU181" s="530"/>
      <c r="AV181" s="530" t="e">
        <f t="shared" si="97"/>
        <v>#REF!</v>
      </c>
      <c r="AW181" s="530" t="e">
        <f>AI181*#REF!+AI180*#REF!+AI179*#REF!</f>
        <v>#REF!</v>
      </c>
      <c r="AX181" s="456"/>
      <c r="AY181" s="583">
        <f t="shared" si="110"/>
        <v>1.3383317569182571</v>
      </c>
      <c r="AZ181" s="530">
        <f t="shared" si="98"/>
        <v>0</v>
      </c>
      <c r="BA181" s="530">
        <f>BA180*[1]mProject!V186</f>
        <v>0</v>
      </c>
      <c r="BB181" s="530">
        <f t="shared" si="114"/>
        <v>17781316.823329829</v>
      </c>
      <c r="BC181" s="456"/>
      <c r="BD181" s="590">
        <f>((BB181/100)*(i_CFD.ObliRate/12))*[1]i.Finance!$O$64</f>
        <v>59826.722228495157</v>
      </c>
      <c r="BE181" s="590">
        <f>(AZ181/100*[1]i.Finance!$O$61)*[1]i.Finance!$O$64</f>
        <v>0</v>
      </c>
      <c r="BF181" s="590">
        <f>(AZ181/100*[1]i.Finance!$O$65)</f>
        <v>0</v>
      </c>
      <c r="BG181" s="591">
        <f t="shared" si="99"/>
        <v>59826.722228495157</v>
      </c>
      <c r="BH181" s="456"/>
      <c r="BI181" s="590">
        <f>-PV([1]i.Finance!$O$63/12,[1]i.Finance!$O$62*12,mCFD!BG181)</f>
        <v>10233961.918709608</v>
      </c>
      <c r="BJ181" s="590">
        <f>BI181*[1]i.Finance!$O$58</f>
        <v>8033660.1061870428</v>
      </c>
      <c r="BK181" s="590"/>
      <c r="BL181" s="590"/>
      <c r="BP181" s="530"/>
      <c r="BQ181" s="530"/>
      <c r="BR181" s="530" t="e">
        <f t="shared" si="100"/>
        <v>#NAME?</v>
      </c>
      <c r="BS181" s="530" t="e">
        <f t="shared" si="101"/>
        <v>#NAME?</v>
      </c>
      <c r="BT181" s="530" t="e">
        <f t="shared" si="102"/>
        <v>#NAME?</v>
      </c>
      <c r="BU181" s="530"/>
    </row>
    <row r="182" spans="1:73" ht="16" hidden="1" outlineLevel="2">
      <c r="A182" s="366"/>
      <c r="B182" s="562"/>
      <c r="C182" s="366"/>
      <c r="D182" s="454"/>
      <c r="E182" s="533">
        <f t="shared" si="111"/>
        <v>176</v>
      </c>
      <c r="F182" s="533">
        <f t="shared" si="103"/>
        <v>59</v>
      </c>
      <c r="G182" s="533">
        <f t="shared" si="104"/>
        <v>15</v>
      </c>
      <c r="H182" s="541">
        <f t="shared" si="117"/>
        <v>49156</v>
      </c>
      <c r="I182" s="542">
        <f t="shared" si="83"/>
        <v>2034</v>
      </c>
      <c r="K182" s="533">
        <f>[1]mProject!KB186</f>
        <v>0</v>
      </c>
      <c r="L182" s="533">
        <f t="shared" si="84"/>
        <v>950</v>
      </c>
      <c r="M182" s="533">
        <f t="shared" si="85"/>
        <v>295000</v>
      </c>
      <c r="N182" s="533">
        <f t="shared" si="86"/>
        <v>0</v>
      </c>
      <c r="O182" s="533">
        <f t="shared" si="105"/>
        <v>280250000</v>
      </c>
      <c r="P182" s="533">
        <f>[1]mProject!W186</f>
        <v>379972.09386906924</v>
      </c>
      <c r="Q182" s="533">
        <f t="shared" si="87"/>
        <v>0</v>
      </c>
      <c r="R182" s="533">
        <f t="shared" si="106"/>
        <v>296355280.38883054</v>
      </c>
      <c r="T182" s="533">
        <v>0</v>
      </c>
      <c r="U182" s="533">
        <f t="shared" si="88"/>
        <v>0</v>
      </c>
      <c r="V182" s="533">
        <f>IF(T182=0,0,$V$7*(1+#REF!)^#REF!)</f>
        <v>0</v>
      </c>
      <c r="W182" s="533">
        <f t="shared" si="107"/>
        <v>0</v>
      </c>
      <c r="X182" s="533">
        <f t="shared" si="89"/>
        <v>0</v>
      </c>
      <c r="Y182" s="533">
        <f t="shared" si="90"/>
        <v>0</v>
      </c>
      <c r="AA182" s="533">
        <v>0</v>
      </c>
      <c r="AB182" s="533">
        <f t="shared" si="91"/>
        <v>0</v>
      </c>
      <c r="AC182" s="533">
        <f>IF(AA182=0,0,$V$7*(1+#REF!)^#REF!)</f>
        <v>0</v>
      </c>
      <c r="AD182" s="533">
        <f t="shared" si="108"/>
        <v>0</v>
      </c>
      <c r="AE182" s="533">
        <f t="shared" si="92"/>
        <v>0</v>
      </c>
      <c r="AF182" s="533">
        <f t="shared" si="93"/>
        <v>0</v>
      </c>
      <c r="AH182" s="533">
        <f t="shared" si="94"/>
        <v>0</v>
      </c>
      <c r="AI182" s="533">
        <f t="shared" si="109"/>
        <v>950</v>
      </c>
      <c r="AJ182" s="533">
        <f t="shared" si="119"/>
        <v>0</v>
      </c>
      <c r="AK182" s="533">
        <f>AJ182*[1]mProject!V186</f>
        <v>0</v>
      </c>
      <c r="AL182" s="533">
        <f t="shared" si="95"/>
        <v>0</v>
      </c>
      <c r="AM182" s="533">
        <f t="shared" si="96"/>
        <v>0</v>
      </c>
      <c r="AN182" s="456"/>
      <c r="AO182" s="575" t="e">
        <f t="shared" si="112"/>
        <v>#REF!</v>
      </c>
      <c r="AP182" s="575" t="e">
        <f t="shared" si="116"/>
        <v>#REF!</v>
      </c>
      <c r="AQ182" s="575" t="e">
        <f t="shared" si="118"/>
        <v>#REF!</v>
      </c>
      <c r="AR182" s="576" t="e">
        <f t="shared" si="113"/>
        <v>#REF!</v>
      </c>
      <c r="AS182" s="533" t="e">
        <f t="shared" si="115"/>
        <v>#REF!</v>
      </c>
      <c r="AT182" s="533"/>
      <c r="AU182" s="533"/>
      <c r="AV182" s="533" t="e">
        <f t="shared" si="97"/>
        <v>#REF!</v>
      </c>
      <c r="AW182" s="533" t="e">
        <f>AI182*#REF!+AI181*#REF!+AI180*#REF!</f>
        <v>#REF!</v>
      </c>
      <c r="AX182" s="456"/>
      <c r="AY182" s="584">
        <f t="shared" si="110"/>
        <v>1.3405623098464543</v>
      </c>
      <c r="AZ182" s="533">
        <f t="shared" si="98"/>
        <v>0</v>
      </c>
      <c r="BA182" s="533">
        <f>BA181*[1]mProject!V187</f>
        <v>0</v>
      </c>
      <c r="BB182" s="533">
        <f t="shared" si="114"/>
        <v>17781316.823329829</v>
      </c>
      <c r="BC182" s="456"/>
      <c r="BD182" s="586">
        <f>((BB182/100)*(i_CFD.ObliRate/12))*[1]i.Finance!$O$64</f>
        <v>59826.722228495157</v>
      </c>
      <c r="BE182" s="586">
        <f>(AZ182/100*[1]i.Finance!$O$61)*[1]i.Finance!$O$64</f>
        <v>0</v>
      </c>
      <c r="BF182" s="586">
        <f>(AZ182/100*[1]i.Finance!$O$65)</f>
        <v>0</v>
      </c>
      <c r="BG182" s="587">
        <f t="shared" si="99"/>
        <v>59826.722228495157</v>
      </c>
      <c r="BH182" s="456"/>
      <c r="BI182" s="586">
        <f>-PV([1]i.Finance!$O$63/12,[1]i.Finance!$O$62*12,mCFD!BG182)</f>
        <v>10233961.918709608</v>
      </c>
      <c r="BJ182" s="586">
        <f>BI182*[1]i.Finance!$O$58</f>
        <v>8033660.1061870428</v>
      </c>
      <c r="BK182" s="586"/>
      <c r="BL182" s="586"/>
      <c r="BP182" s="533"/>
      <c r="BQ182" s="533"/>
      <c r="BR182" s="533" t="e">
        <f t="shared" si="100"/>
        <v>#NAME?</v>
      </c>
      <c r="BS182" s="533" t="e">
        <f t="shared" si="101"/>
        <v>#NAME?</v>
      </c>
      <c r="BT182" s="533" t="e">
        <f t="shared" si="102"/>
        <v>#NAME?</v>
      </c>
      <c r="BU182" s="533"/>
    </row>
    <row r="183" spans="1:73" ht="16" hidden="1" outlineLevel="2">
      <c r="A183" s="366"/>
      <c r="B183" s="562"/>
      <c r="C183" s="366"/>
      <c r="D183" s="454"/>
      <c r="E183" s="547">
        <f t="shared" si="111"/>
        <v>177</v>
      </c>
      <c r="F183" s="547">
        <f t="shared" si="103"/>
        <v>59</v>
      </c>
      <c r="G183" s="547">
        <f t="shared" si="104"/>
        <v>15</v>
      </c>
      <c r="H183" s="548">
        <f t="shared" si="117"/>
        <v>49187</v>
      </c>
      <c r="I183" s="549">
        <f t="shared" si="83"/>
        <v>2034</v>
      </c>
      <c r="K183" s="547">
        <f>[1]mProject!KB187</f>
        <v>0</v>
      </c>
      <c r="L183" s="547">
        <f t="shared" si="84"/>
        <v>950</v>
      </c>
      <c r="M183" s="547">
        <f t="shared" si="85"/>
        <v>295000</v>
      </c>
      <c r="N183" s="547">
        <f t="shared" si="86"/>
        <v>0</v>
      </c>
      <c r="O183" s="547">
        <f t="shared" si="105"/>
        <v>280250000</v>
      </c>
      <c r="P183" s="547">
        <f>[1]mProject!W187</f>
        <v>380605.38069218438</v>
      </c>
      <c r="Q183" s="547">
        <f t="shared" si="87"/>
        <v>0</v>
      </c>
      <c r="R183" s="547">
        <f t="shared" si="106"/>
        <v>296355280.38883054</v>
      </c>
      <c r="T183" s="547">
        <v>0</v>
      </c>
      <c r="U183" s="547">
        <f t="shared" si="88"/>
        <v>0</v>
      </c>
      <c r="V183" s="547">
        <f>IF(T183=0,0,$V$7*(1+#REF!)^#REF!)</f>
        <v>0</v>
      </c>
      <c r="W183" s="547">
        <f t="shared" si="107"/>
        <v>0</v>
      </c>
      <c r="X183" s="547">
        <f t="shared" si="89"/>
        <v>0</v>
      </c>
      <c r="Y183" s="547">
        <f t="shared" si="90"/>
        <v>0</v>
      </c>
      <c r="AA183" s="547">
        <v>0</v>
      </c>
      <c r="AB183" s="547">
        <f t="shared" si="91"/>
        <v>0</v>
      </c>
      <c r="AC183" s="547">
        <f>IF(AA183=0,0,$V$7*(1+#REF!)^#REF!)</f>
        <v>0</v>
      </c>
      <c r="AD183" s="547">
        <f t="shared" si="108"/>
        <v>0</v>
      </c>
      <c r="AE183" s="547">
        <f t="shared" si="92"/>
        <v>0</v>
      </c>
      <c r="AF183" s="547">
        <f t="shared" si="93"/>
        <v>0</v>
      </c>
      <c r="AH183" s="547">
        <f t="shared" si="94"/>
        <v>0</v>
      </c>
      <c r="AI183" s="547">
        <f t="shared" si="109"/>
        <v>950</v>
      </c>
      <c r="AJ183" s="547">
        <f t="shared" si="119"/>
        <v>0</v>
      </c>
      <c r="AK183" s="547">
        <f>AJ183*[1]mProject!V187</f>
        <v>0</v>
      </c>
      <c r="AL183" s="547">
        <f t="shared" si="95"/>
        <v>0</v>
      </c>
      <c r="AM183" s="547">
        <f t="shared" si="96"/>
        <v>0</v>
      </c>
      <c r="AN183" s="456"/>
      <c r="AO183" s="577" t="e">
        <f t="shared" si="112"/>
        <v>#REF!</v>
      </c>
      <c r="AP183" s="577" t="e">
        <f t="shared" si="116"/>
        <v>#REF!</v>
      </c>
      <c r="AQ183" s="577" t="e">
        <f t="shared" si="118"/>
        <v>#REF!</v>
      </c>
      <c r="AR183" s="578" t="e">
        <f t="shared" si="113"/>
        <v>#REF!</v>
      </c>
      <c r="AS183" s="547" t="e">
        <f t="shared" si="115"/>
        <v>#REF!</v>
      </c>
      <c r="AT183" s="547"/>
      <c r="AU183" s="547"/>
      <c r="AV183" s="547" t="e">
        <f t="shared" si="97"/>
        <v>#REF!</v>
      </c>
      <c r="AW183" s="547" t="e">
        <f>AI183*#REF!+AI182*#REF!+AI181*#REF!</f>
        <v>#REF!</v>
      </c>
      <c r="AX183" s="456"/>
      <c r="AY183" s="585">
        <f t="shared" si="110"/>
        <v>1.3427965803628652</v>
      </c>
      <c r="AZ183" s="547">
        <f t="shared" si="98"/>
        <v>0</v>
      </c>
      <c r="BA183" s="547">
        <f>BA182*[1]mProject!V188</f>
        <v>0</v>
      </c>
      <c r="BB183" s="547">
        <f t="shared" si="114"/>
        <v>17781316.823329829</v>
      </c>
      <c r="BC183" s="456"/>
      <c r="BD183" s="588">
        <f>((BB183/100)*(i_CFD.ObliRate/12))*[1]i.Finance!$O$64</f>
        <v>59826.722228495157</v>
      </c>
      <c r="BE183" s="588">
        <f>(AZ183/100*[1]i.Finance!$O$61)*[1]i.Finance!$O$64</f>
        <v>0</v>
      </c>
      <c r="BF183" s="588">
        <f>(AZ183/100*[1]i.Finance!$O$65)</f>
        <v>0</v>
      </c>
      <c r="BG183" s="589">
        <f t="shared" si="99"/>
        <v>59826.722228495157</v>
      </c>
      <c r="BH183" s="456"/>
      <c r="BI183" s="588">
        <f>-PV([1]i.Finance!$O$63/12,[1]i.Finance!$O$62*12,mCFD!BG183)</f>
        <v>10233961.918709608</v>
      </c>
      <c r="BJ183" s="588">
        <f>BI183*[1]i.Finance!$O$58</f>
        <v>8033660.1061870428</v>
      </c>
      <c r="BK183" s="588"/>
      <c r="BL183" s="588"/>
      <c r="BP183" s="547"/>
      <c r="BQ183" s="547"/>
      <c r="BR183" s="547" t="e">
        <f t="shared" si="100"/>
        <v>#NAME?</v>
      </c>
      <c r="BS183" s="547" t="e">
        <f t="shared" si="101"/>
        <v>#NAME?</v>
      </c>
      <c r="BT183" s="547" t="e">
        <f t="shared" si="102"/>
        <v>#NAME?</v>
      </c>
      <c r="BU183" s="547"/>
    </row>
    <row r="184" spans="1:73" ht="16" hidden="1" outlineLevel="2">
      <c r="A184" s="366"/>
      <c r="B184" s="562"/>
      <c r="C184" s="366"/>
      <c r="D184" s="454"/>
      <c r="E184" s="530">
        <f t="shared" si="111"/>
        <v>178</v>
      </c>
      <c r="F184" s="530">
        <f t="shared" si="103"/>
        <v>60</v>
      </c>
      <c r="G184" s="530">
        <f t="shared" si="104"/>
        <v>15</v>
      </c>
      <c r="H184" s="554">
        <f t="shared" si="117"/>
        <v>49217</v>
      </c>
      <c r="I184" s="555">
        <f t="shared" si="83"/>
        <v>2034</v>
      </c>
      <c r="K184" s="530">
        <f>[1]mProject!KB188</f>
        <v>0</v>
      </c>
      <c r="L184" s="530">
        <f t="shared" si="84"/>
        <v>950</v>
      </c>
      <c r="M184" s="530">
        <f t="shared" si="85"/>
        <v>295000</v>
      </c>
      <c r="N184" s="530">
        <f t="shared" si="86"/>
        <v>0</v>
      </c>
      <c r="O184" s="530">
        <f t="shared" si="105"/>
        <v>280250000</v>
      </c>
      <c r="P184" s="530">
        <f>[1]mProject!W188</f>
        <v>381239.72299333801</v>
      </c>
      <c r="Q184" s="530">
        <f t="shared" si="87"/>
        <v>0</v>
      </c>
      <c r="R184" s="530">
        <f t="shared" si="106"/>
        <v>296355280.38883054</v>
      </c>
      <c r="T184" s="530">
        <v>0</v>
      </c>
      <c r="U184" s="530">
        <f t="shared" si="88"/>
        <v>0</v>
      </c>
      <c r="V184" s="530">
        <f>IF(T184=0,0,$V$7*(1+#REF!)^#REF!)</f>
        <v>0</v>
      </c>
      <c r="W184" s="530">
        <f t="shared" si="107"/>
        <v>0</v>
      </c>
      <c r="X184" s="530">
        <f t="shared" si="89"/>
        <v>0</v>
      </c>
      <c r="Y184" s="530">
        <f t="shared" si="90"/>
        <v>0</v>
      </c>
      <c r="AA184" s="530">
        <v>0</v>
      </c>
      <c r="AB184" s="530">
        <f t="shared" si="91"/>
        <v>0</v>
      </c>
      <c r="AC184" s="530">
        <f>IF(AA184=0,0,$V$7*(1+#REF!)^#REF!)</f>
        <v>0</v>
      </c>
      <c r="AD184" s="530">
        <f t="shared" si="108"/>
        <v>0</v>
      </c>
      <c r="AE184" s="530">
        <f t="shared" si="92"/>
        <v>0</v>
      </c>
      <c r="AF184" s="530">
        <f t="shared" si="93"/>
        <v>0</v>
      </c>
      <c r="AH184" s="530">
        <f t="shared" si="94"/>
        <v>0</v>
      </c>
      <c r="AI184" s="530">
        <f t="shared" si="109"/>
        <v>950</v>
      </c>
      <c r="AJ184" s="530">
        <f t="shared" si="119"/>
        <v>0</v>
      </c>
      <c r="AK184" s="530">
        <f>AJ184*[1]mProject!V188</f>
        <v>0</v>
      </c>
      <c r="AL184" s="530">
        <f t="shared" si="95"/>
        <v>0</v>
      </c>
      <c r="AM184" s="530">
        <f t="shared" si="96"/>
        <v>0</v>
      </c>
      <c r="AN184" s="456"/>
      <c r="AO184" s="572" t="e">
        <f t="shared" si="112"/>
        <v>#REF!</v>
      </c>
      <c r="AP184" s="572" t="e">
        <f t="shared" si="116"/>
        <v>#REF!</v>
      </c>
      <c r="AQ184" s="572" t="e">
        <f t="shared" si="118"/>
        <v>#REF!</v>
      </c>
      <c r="AR184" s="573" t="e">
        <f t="shared" si="113"/>
        <v>#REF!</v>
      </c>
      <c r="AS184" s="530" t="e">
        <f t="shared" si="115"/>
        <v>#REF!</v>
      </c>
      <c r="AT184" s="530"/>
      <c r="AU184" s="530"/>
      <c r="AV184" s="530" t="e">
        <f t="shared" si="97"/>
        <v>#REF!</v>
      </c>
      <c r="AW184" s="530" t="e">
        <f>AI184*#REF!+AI183*#REF!+AI182*#REF!</f>
        <v>#REF!</v>
      </c>
      <c r="AX184" s="456"/>
      <c r="AY184" s="583">
        <f t="shared" si="110"/>
        <v>1.34503457466347</v>
      </c>
      <c r="AZ184" s="530">
        <f t="shared" si="98"/>
        <v>0</v>
      </c>
      <c r="BA184" s="530">
        <f>BA183*[1]mProject!V189</f>
        <v>0</v>
      </c>
      <c r="BB184" s="530">
        <f t="shared" si="114"/>
        <v>17781316.823329829</v>
      </c>
      <c r="BC184" s="456"/>
      <c r="BD184" s="590">
        <f>((BB184/100)*(i_CFD.ObliRate/12))*[1]i.Finance!$O$64</f>
        <v>59826.722228495157</v>
      </c>
      <c r="BE184" s="590">
        <f>(AZ184/100*[1]i.Finance!$O$61)*[1]i.Finance!$O$64</f>
        <v>0</v>
      </c>
      <c r="BF184" s="590">
        <f>(AZ184/100*[1]i.Finance!$O$65)</f>
        <v>0</v>
      </c>
      <c r="BG184" s="591">
        <f t="shared" si="99"/>
        <v>59826.722228495157</v>
      </c>
      <c r="BH184" s="456"/>
      <c r="BI184" s="590">
        <f>-PV([1]i.Finance!$O$63/12,[1]i.Finance!$O$62*12,mCFD!BG184)</f>
        <v>10233961.918709608</v>
      </c>
      <c r="BJ184" s="590">
        <f>BI184*[1]i.Finance!$O$58</f>
        <v>8033660.1061870428</v>
      </c>
      <c r="BK184" s="590"/>
      <c r="BL184" s="590"/>
      <c r="BP184" s="530"/>
      <c r="BQ184" s="530"/>
      <c r="BR184" s="530" t="e">
        <f t="shared" si="100"/>
        <v>#NAME?</v>
      </c>
      <c r="BS184" s="530" t="e">
        <f t="shared" si="101"/>
        <v>#NAME?</v>
      </c>
      <c r="BT184" s="530" t="e">
        <f t="shared" si="102"/>
        <v>#NAME?</v>
      </c>
      <c r="BU184" s="530"/>
    </row>
    <row r="185" spans="1:73" ht="16" hidden="1" outlineLevel="2">
      <c r="A185" s="366"/>
      <c r="B185" s="562"/>
      <c r="C185" s="366"/>
      <c r="D185" s="454"/>
      <c r="E185" s="533">
        <f t="shared" si="111"/>
        <v>179</v>
      </c>
      <c r="F185" s="533">
        <f t="shared" si="103"/>
        <v>60</v>
      </c>
      <c r="G185" s="533">
        <f t="shared" si="104"/>
        <v>15</v>
      </c>
      <c r="H185" s="541">
        <f t="shared" si="117"/>
        <v>49248</v>
      </c>
      <c r="I185" s="542">
        <f t="shared" si="83"/>
        <v>2034</v>
      </c>
      <c r="K185" s="533">
        <f>[1]mProject!KB189</f>
        <v>0</v>
      </c>
      <c r="L185" s="533">
        <f t="shared" si="84"/>
        <v>950</v>
      </c>
      <c r="M185" s="533">
        <f t="shared" si="85"/>
        <v>295000</v>
      </c>
      <c r="N185" s="533">
        <f t="shared" si="86"/>
        <v>0</v>
      </c>
      <c r="O185" s="533">
        <f t="shared" si="105"/>
        <v>280250000</v>
      </c>
      <c r="P185" s="533">
        <f>[1]mProject!W189</f>
        <v>381875.12253166025</v>
      </c>
      <c r="Q185" s="533">
        <f t="shared" si="87"/>
        <v>0</v>
      </c>
      <c r="R185" s="533">
        <f t="shared" si="106"/>
        <v>296355280.38883054</v>
      </c>
      <c r="T185" s="533">
        <v>0</v>
      </c>
      <c r="U185" s="533">
        <f t="shared" si="88"/>
        <v>0</v>
      </c>
      <c r="V185" s="533">
        <f>IF(T185=0,0,$V$7*(1+#REF!)^#REF!)</f>
        <v>0</v>
      </c>
      <c r="W185" s="533">
        <f t="shared" si="107"/>
        <v>0</v>
      </c>
      <c r="X185" s="533">
        <f t="shared" si="89"/>
        <v>0</v>
      </c>
      <c r="Y185" s="533">
        <f t="shared" si="90"/>
        <v>0</v>
      </c>
      <c r="AA185" s="533">
        <v>0</v>
      </c>
      <c r="AB185" s="533">
        <f t="shared" si="91"/>
        <v>0</v>
      </c>
      <c r="AC185" s="533">
        <f>IF(AA185=0,0,$V$7*(1+#REF!)^#REF!)</f>
        <v>0</v>
      </c>
      <c r="AD185" s="533">
        <f t="shared" si="108"/>
        <v>0</v>
      </c>
      <c r="AE185" s="533">
        <f t="shared" si="92"/>
        <v>0</v>
      </c>
      <c r="AF185" s="533">
        <f t="shared" si="93"/>
        <v>0</v>
      </c>
      <c r="AH185" s="533">
        <f t="shared" si="94"/>
        <v>0</v>
      </c>
      <c r="AI185" s="533">
        <f t="shared" si="109"/>
        <v>950</v>
      </c>
      <c r="AJ185" s="533">
        <f t="shared" si="119"/>
        <v>0</v>
      </c>
      <c r="AK185" s="533">
        <f>AJ185*[1]mProject!V189</f>
        <v>0</v>
      </c>
      <c r="AL185" s="533">
        <f t="shared" si="95"/>
        <v>0</v>
      </c>
      <c r="AM185" s="533">
        <f t="shared" si="96"/>
        <v>0</v>
      </c>
      <c r="AN185" s="456"/>
      <c r="AO185" s="575" t="e">
        <f t="shared" si="112"/>
        <v>#REF!</v>
      </c>
      <c r="AP185" s="575" t="e">
        <f t="shared" si="116"/>
        <v>#REF!</v>
      </c>
      <c r="AQ185" s="575" t="e">
        <f t="shared" si="118"/>
        <v>#REF!</v>
      </c>
      <c r="AR185" s="576" t="e">
        <f t="shared" si="113"/>
        <v>#REF!</v>
      </c>
      <c r="AS185" s="533" t="e">
        <f t="shared" si="115"/>
        <v>#REF!</v>
      </c>
      <c r="AT185" s="533"/>
      <c r="AU185" s="533"/>
      <c r="AV185" s="533" t="e">
        <f t="shared" si="97"/>
        <v>#REF!</v>
      </c>
      <c r="AW185" s="533" t="e">
        <f>AI185*#REF!+AI184*#REF!+AI183*#REF!</f>
        <v>#REF!</v>
      </c>
      <c r="AX185" s="456"/>
      <c r="AY185" s="584">
        <f t="shared" si="110"/>
        <v>1.3472762989545759</v>
      </c>
      <c r="AZ185" s="533">
        <f t="shared" si="98"/>
        <v>0</v>
      </c>
      <c r="BA185" s="533">
        <f>BA184*[1]mProject!V190</f>
        <v>0</v>
      </c>
      <c r="BB185" s="533">
        <f t="shared" si="114"/>
        <v>17781316.823329829</v>
      </c>
      <c r="BC185" s="456"/>
      <c r="BD185" s="586">
        <f>((BB185/100)*(i_CFD.ObliRate/12))*[1]i.Finance!$O$64</f>
        <v>59826.722228495157</v>
      </c>
      <c r="BE185" s="586">
        <f>(AZ185/100*[1]i.Finance!$O$61)*[1]i.Finance!$O$64</f>
        <v>0</v>
      </c>
      <c r="BF185" s="586">
        <f>(AZ185/100*[1]i.Finance!$O$65)</f>
        <v>0</v>
      </c>
      <c r="BG185" s="587">
        <f t="shared" si="99"/>
        <v>59826.722228495157</v>
      </c>
      <c r="BH185" s="456"/>
      <c r="BI185" s="586">
        <f>-PV([1]i.Finance!$O$63/12,[1]i.Finance!$O$62*12,mCFD!BG185)</f>
        <v>10233961.918709608</v>
      </c>
      <c r="BJ185" s="586">
        <f>BI185*[1]i.Finance!$O$58</f>
        <v>8033660.1061870428</v>
      </c>
      <c r="BK185" s="586"/>
      <c r="BL185" s="586"/>
      <c r="BP185" s="533"/>
      <c r="BQ185" s="533"/>
      <c r="BR185" s="533" t="e">
        <f t="shared" si="100"/>
        <v>#NAME?</v>
      </c>
      <c r="BS185" s="533" t="e">
        <f t="shared" si="101"/>
        <v>#NAME?</v>
      </c>
      <c r="BT185" s="533" t="e">
        <f t="shared" si="102"/>
        <v>#NAME?</v>
      </c>
      <c r="BU185" s="533"/>
    </row>
    <row r="186" spans="1:73" ht="17" hidden="1" outlineLevel="2" thickBot="1">
      <c r="A186" s="366"/>
      <c r="B186" s="562"/>
      <c r="C186" s="366"/>
      <c r="D186" s="454"/>
      <c r="E186" s="564">
        <f t="shared" si="111"/>
        <v>180</v>
      </c>
      <c r="F186" s="564">
        <f t="shared" si="103"/>
        <v>60</v>
      </c>
      <c r="G186" s="564">
        <f t="shared" si="104"/>
        <v>15</v>
      </c>
      <c r="H186" s="565">
        <f t="shared" si="117"/>
        <v>49278</v>
      </c>
      <c r="I186" s="566">
        <f t="shared" si="83"/>
        <v>2034</v>
      </c>
      <c r="K186" s="564">
        <f>[1]mProject!KB190</f>
        <v>0</v>
      </c>
      <c r="L186" s="564">
        <f t="shared" si="84"/>
        <v>950</v>
      </c>
      <c r="M186" s="564">
        <f t="shared" si="85"/>
        <v>295000</v>
      </c>
      <c r="N186" s="564">
        <f t="shared" si="86"/>
        <v>0</v>
      </c>
      <c r="O186" s="564">
        <f t="shared" si="105"/>
        <v>280250000</v>
      </c>
      <c r="P186" s="564">
        <f>[1]mProject!W190</f>
        <v>382511.58106921305</v>
      </c>
      <c r="Q186" s="564">
        <f t="shared" si="87"/>
        <v>0</v>
      </c>
      <c r="R186" s="564">
        <f t="shared" si="106"/>
        <v>296355280.38883054</v>
      </c>
      <c r="T186" s="564">
        <v>0</v>
      </c>
      <c r="U186" s="564">
        <f t="shared" si="88"/>
        <v>0</v>
      </c>
      <c r="V186" s="564">
        <f>IF(T186=0,0,$V$7*(1+#REF!)^#REF!)</f>
        <v>0</v>
      </c>
      <c r="W186" s="564">
        <f t="shared" si="107"/>
        <v>0</v>
      </c>
      <c r="X186" s="564">
        <f t="shared" si="89"/>
        <v>0</v>
      </c>
      <c r="Y186" s="564">
        <f t="shared" si="90"/>
        <v>0</v>
      </c>
      <c r="AA186" s="564">
        <v>0</v>
      </c>
      <c r="AB186" s="564">
        <f t="shared" si="91"/>
        <v>0</v>
      </c>
      <c r="AC186" s="564">
        <f>IF(AA186=0,0,$V$7*(1+#REF!)^#REF!)</f>
        <v>0</v>
      </c>
      <c r="AD186" s="564">
        <f t="shared" si="108"/>
        <v>0</v>
      </c>
      <c r="AE186" s="564">
        <f t="shared" si="92"/>
        <v>0</v>
      </c>
      <c r="AF186" s="564">
        <f t="shared" si="93"/>
        <v>0</v>
      </c>
      <c r="AH186" s="564">
        <f t="shared" si="94"/>
        <v>0</v>
      </c>
      <c r="AI186" s="564">
        <f t="shared" si="109"/>
        <v>950</v>
      </c>
      <c r="AJ186" s="564">
        <f t="shared" si="119"/>
        <v>0</v>
      </c>
      <c r="AK186" s="564">
        <f>AJ186*[1]mProject!V190</f>
        <v>0</v>
      </c>
      <c r="AL186" s="564">
        <f t="shared" si="95"/>
        <v>0</v>
      </c>
      <c r="AM186" s="564">
        <f t="shared" si="96"/>
        <v>0</v>
      </c>
      <c r="AN186" s="456"/>
      <c r="AO186" s="581" t="e">
        <f t="shared" si="112"/>
        <v>#REF!</v>
      </c>
      <c r="AP186" s="581" t="e">
        <f t="shared" si="116"/>
        <v>#REF!</v>
      </c>
      <c r="AQ186" s="581" t="e">
        <f t="shared" si="118"/>
        <v>#REF!</v>
      </c>
      <c r="AR186" s="582" t="e">
        <f t="shared" si="113"/>
        <v>#REF!</v>
      </c>
      <c r="AS186" s="564" t="e">
        <f t="shared" si="115"/>
        <v>#REF!</v>
      </c>
      <c r="AT186" s="564"/>
      <c r="AU186" s="564"/>
      <c r="AV186" s="564" t="e">
        <f t="shared" si="97"/>
        <v>#REF!</v>
      </c>
      <c r="AW186" s="564" t="e">
        <f>AI186*#REF!+AI185*#REF!+AI184*#REF!</f>
        <v>#REF!</v>
      </c>
      <c r="AX186" s="456"/>
      <c r="AY186" s="592">
        <f t="shared" si="110"/>
        <v>1.3495217594528335</v>
      </c>
      <c r="AZ186" s="564">
        <f t="shared" si="98"/>
        <v>0</v>
      </c>
      <c r="BA186" s="564">
        <f>BA185*[1]mProject!V191</f>
        <v>0</v>
      </c>
      <c r="BB186" s="564">
        <f t="shared" si="114"/>
        <v>17781316.823329829</v>
      </c>
      <c r="BC186" s="456"/>
      <c r="BD186" s="593">
        <f>((BB186/100)*(i_CFD.ObliRate/12))*[1]i.Finance!$O$64</f>
        <v>59826.722228495157</v>
      </c>
      <c r="BE186" s="593">
        <f>(AZ186/100*[1]i.Finance!$O$61)*[1]i.Finance!$O$64</f>
        <v>0</v>
      </c>
      <c r="BF186" s="593">
        <f>(AZ186/100*[1]i.Finance!$O$65)</f>
        <v>0</v>
      </c>
      <c r="BG186" s="594">
        <f t="shared" si="99"/>
        <v>59826.722228495157</v>
      </c>
      <c r="BH186" s="456"/>
      <c r="BI186" s="593">
        <f>-PV([1]i.Finance!$O$63/12,[1]i.Finance!$O$62*12,mCFD!BG186)</f>
        <v>10233961.918709608</v>
      </c>
      <c r="BJ186" s="593">
        <f>BI186*[1]i.Finance!$O$58</f>
        <v>8033660.1061870428</v>
      </c>
      <c r="BK186" s="593"/>
      <c r="BL186" s="593"/>
      <c r="BP186" s="564"/>
      <c r="BQ186" s="564"/>
      <c r="BR186" s="564" t="e">
        <f t="shared" si="100"/>
        <v>#NAME?</v>
      </c>
      <c r="BS186" s="564" t="e">
        <f t="shared" si="101"/>
        <v>#NAME?</v>
      </c>
      <c r="BT186" s="564" t="e">
        <f t="shared" si="102"/>
        <v>#NAME?</v>
      </c>
      <c r="BU186" s="564"/>
    </row>
    <row r="187" spans="1:73" ht="16" hidden="1" outlineLevel="2">
      <c r="A187" s="366"/>
      <c r="B187" s="562"/>
      <c r="C187" s="366"/>
      <c r="D187" s="454"/>
      <c r="E187" s="530">
        <f t="shared" si="111"/>
        <v>181</v>
      </c>
      <c r="F187" s="530">
        <f t="shared" si="103"/>
        <v>61</v>
      </c>
      <c r="G187" s="530">
        <f t="shared" si="104"/>
        <v>16</v>
      </c>
      <c r="H187" s="571">
        <f t="shared" si="117"/>
        <v>49309</v>
      </c>
      <c r="I187" s="532">
        <f t="shared" si="83"/>
        <v>2034</v>
      </c>
      <c r="K187" s="530">
        <f>[1]mProject!KB191</f>
        <v>0</v>
      </c>
      <c r="L187" s="530">
        <f t="shared" si="84"/>
        <v>950</v>
      </c>
      <c r="M187" s="530">
        <f t="shared" si="85"/>
        <v>295000</v>
      </c>
      <c r="N187" s="530">
        <f t="shared" si="86"/>
        <v>0</v>
      </c>
      <c r="O187" s="530">
        <f t="shared" si="105"/>
        <v>280250000</v>
      </c>
      <c r="P187" s="530">
        <f>[1]mProject!W191</f>
        <v>383149.10037099506</v>
      </c>
      <c r="Q187" s="530">
        <f t="shared" si="87"/>
        <v>0</v>
      </c>
      <c r="R187" s="530">
        <f t="shared" si="106"/>
        <v>296355280.38883054</v>
      </c>
      <c r="T187" s="530">
        <v>0</v>
      </c>
      <c r="U187" s="530">
        <f t="shared" si="88"/>
        <v>0</v>
      </c>
      <c r="V187" s="530">
        <f>IF(T187=0,0,$V$7*(1+#REF!)^#REF!)</f>
        <v>0</v>
      </c>
      <c r="W187" s="530">
        <f t="shared" si="107"/>
        <v>0</v>
      </c>
      <c r="X187" s="530">
        <f t="shared" si="89"/>
        <v>0</v>
      </c>
      <c r="Y187" s="530">
        <f t="shared" si="90"/>
        <v>0</v>
      </c>
      <c r="AA187" s="530">
        <v>0</v>
      </c>
      <c r="AB187" s="530">
        <f t="shared" si="91"/>
        <v>0</v>
      </c>
      <c r="AC187" s="530">
        <f>IF(AA187=0,0,$V$7*(1+#REF!)^#REF!)</f>
        <v>0</v>
      </c>
      <c r="AD187" s="530">
        <f t="shared" si="108"/>
        <v>0</v>
      </c>
      <c r="AE187" s="530">
        <f t="shared" si="92"/>
        <v>0</v>
      </c>
      <c r="AF187" s="530">
        <f t="shared" si="93"/>
        <v>0</v>
      </c>
      <c r="AH187" s="530">
        <f t="shared" si="94"/>
        <v>0</v>
      </c>
      <c r="AI187" s="530">
        <f t="shared" si="109"/>
        <v>950</v>
      </c>
      <c r="AJ187" s="530">
        <f t="shared" si="119"/>
        <v>0</v>
      </c>
      <c r="AK187" s="530">
        <f>AJ187*[1]mProject!V191</f>
        <v>0</v>
      </c>
      <c r="AL187" s="530">
        <f t="shared" si="95"/>
        <v>0</v>
      </c>
      <c r="AM187" s="530">
        <f t="shared" si="96"/>
        <v>0</v>
      </c>
      <c r="AN187" s="456"/>
      <c r="AO187" s="572" t="e">
        <f t="shared" si="112"/>
        <v>#REF!</v>
      </c>
      <c r="AP187" s="572" t="e">
        <f t="shared" si="116"/>
        <v>#REF!</v>
      </c>
      <c r="AQ187" s="572" t="e">
        <f t="shared" si="118"/>
        <v>#REF!</v>
      </c>
      <c r="AR187" s="573" t="e">
        <f t="shared" si="113"/>
        <v>#REF!</v>
      </c>
      <c r="AS187" s="530" t="e">
        <f t="shared" si="115"/>
        <v>#REF!</v>
      </c>
      <c r="AT187" s="530"/>
      <c r="AU187" s="530"/>
      <c r="AV187" s="530" t="e">
        <f t="shared" si="97"/>
        <v>#REF!</v>
      </c>
      <c r="AW187" s="530" t="e">
        <f>AI187*#REF!+AI186*#REF!+AI185*#REF!</f>
        <v>#REF!</v>
      </c>
      <c r="AX187" s="456"/>
      <c r="AY187" s="583">
        <f t="shared" si="110"/>
        <v>1.351770962385255</v>
      </c>
      <c r="AZ187" s="530">
        <f t="shared" si="98"/>
        <v>0</v>
      </c>
      <c r="BA187" s="530">
        <f>BA186*[1]mProject!V192</f>
        <v>0</v>
      </c>
      <c r="BB187" s="530">
        <f t="shared" si="114"/>
        <v>17781316.823329829</v>
      </c>
      <c r="BC187" s="456"/>
      <c r="BD187" s="590">
        <f>((BB187/100)*(i_CFD.ObliRate/12))*[1]i.Finance!$O$64</f>
        <v>59826.722228495157</v>
      </c>
      <c r="BE187" s="590">
        <f>(AZ187/100*[1]i.Finance!$O$61)*[1]i.Finance!$O$64</f>
        <v>0</v>
      </c>
      <c r="BF187" s="590">
        <f>(AZ187/100*[1]i.Finance!$O$65)</f>
        <v>0</v>
      </c>
      <c r="BG187" s="591">
        <f t="shared" si="99"/>
        <v>59826.722228495157</v>
      </c>
      <c r="BH187" s="456"/>
      <c r="BI187" s="590">
        <f>-PV([1]i.Finance!$O$63/12,[1]i.Finance!$O$62*12,mCFD!BG187)</f>
        <v>10233961.918709608</v>
      </c>
      <c r="BJ187" s="590">
        <f>BI187*[1]i.Finance!$O$58</f>
        <v>8033660.1061870428</v>
      </c>
      <c r="BK187" s="590"/>
      <c r="BL187" s="590"/>
      <c r="BP187" s="530"/>
      <c r="BQ187" s="530"/>
      <c r="BR187" s="530" t="e">
        <f t="shared" si="100"/>
        <v>#NAME?</v>
      </c>
      <c r="BS187" s="530" t="e">
        <f t="shared" si="101"/>
        <v>#NAME?</v>
      </c>
      <c r="BT187" s="530" t="e">
        <f t="shared" si="102"/>
        <v>#NAME?</v>
      </c>
      <c r="BU187" s="530"/>
    </row>
    <row r="188" spans="1:73" ht="16" hidden="1" outlineLevel="2">
      <c r="A188" s="366"/>
      <c r="B188" s="562"/>
      <c r="C188" s="366"/>
      <c r="D188" s="454"/>
      <c r="E188" s="533">
        <f t="shared" si="111"/>
        <v>182</v>
      </c>
      <c r="F188" s="533">
        <f t="shared" si="103"/>
        <v>61</v>
      </c>
      <c r="G188" s="533">
        <f t="shared" si="104"/>
        <v>16</v>
      </c>
      <c r="H188" s="541">
        <f t="shared" si="117"/>
        <v>49340</v>
      </c>
      <c r="I188" s="542">
        <f t="shared" si="83"/>
        <v>2035</v>
      </c>
      <c r="K188" s="533">
        <f>[1]mProject!KB192</f>
        <v>0</v>
      </c>
      <c r="L188" s="533">
        <f t="shared" si="84"/>
        <v>950</v>
      </c>
      <c r="M188" s="533">
        <f t="shared" si="85"/>
        <v>295000</v>
      </c>
      <c r="N188" s="533">
        <f t="shared" si="86"/>
        <v>0</v>
      </c>
      <c r="O188" s="533">
        <f t="shared" si="105"/>
        <v>280250000</v>
      </c>
      <c r="P188" s="533">
        <f>[1]mProject!W192</f>
        <v>383787.68220494676</v>
      </c>
      <c r="Q188" s="533">
        <f t="shared" si="87"/>
        <v>0</v>
      </c>
      <c r="R188" s="533">
        <f t="shared" si="106"/>
        <v>296355280.38883054</v>
      </c>
      <c r="T188" s="533">
        <v>0</v>
      </c>
      <c r="U188" s="533">
        <f t="shared" si="88"/>
        <v>0</v>
      </c>
      <c r="V188" s="533">
        <f>IF(T188=0,0,$V$7*(1+#REF!)^#REF!)</f>
        <v>0</v>
      </c>
      <c r="W188" s="533">
        <f t="shared" si="107"/>
        <v>0</v>
      </c>
      <c r="X188" s="533">
        <f t="shared" si="89"/>
        <v>0</v>
      </c>
      <c r="Y188" s="533">
        <f t="shared" si="90"/>
        <v>0</v>
      </c>
      <c r="AA188" s="533">
        <v>0</v>
      </c>
      <c r="AB188" s="533">
        <f t="shared" si="91"/>
        <v>0</v>
      </c>
      <c r="AC188" s="533">
        <f>IF(AA188=0,0,$V$7*(1+#REF!)^#REF!)</f>
        <v>0</v>
      </c>
      <c r="AD188" s="533">
        <f t="shared" si="108"/>
        <v>0</v>
      </c>
      <c r="AE188" s="533">
        <f t="shared" si="92"/>
        <v>0</v>
      </c>
      <c r="AF188" s="533">
        <f t="shared" si="93"/>
        <v>0</v>
      </c>
      <c r="AH188" s="533">
        <f t="shared" si="94"/>
        <v>0</v>
      </c>
      <c r="AI188" s="533">
        <f t="shared" si="109"/>
        <v>950</v>
      </c>
      <c r="AJ188" s="533">
        <f t="shared" si="119"/>
        <v>0</v>
      </c>
      <c r="AK188" s="533">
        <f>AJ188*[1]mProject!V192</f>
        <v>0</v>
      </c>
      <c r="AL188" s="533">
        <f t="shared" si="95"/>
        <v>0</v>
      </c>
      <c r="AM188" s="533">
        <f t="shared" si="96"/>
        <v>0</v>
      </c>
      <c r="AN188" s="456"/>
      <c r="AO188" s="575" t="e">
        <f t="shared" si="112"/>
        <v>#REF!</v>
      </c>
      <c r="AP188" s="575" t="e">
        <f t="shared" si="116"/>
        <v>#REF!</v>
      </c>
      <c r="AQ188" s="575" t="e">
        <f t="shared" si="118"/>
        <v>#REF!</v>
      </c>
      <c r="AR188" s="576" t="e">
        <f t="shared" si="113"/>
        <v>#REF!</v>
      </c>
      <c r="AS188" s="533" t="e">
        <f t="shared" si="115"/>
        <v>#REF!</v>
      </c>
      <c r="AT188" s="533"/>
      <c r="AU188" s="533"/>
      <c r="AV188" s="533" t="e">
        <f t="shared" si="97"/>
        <v>#REF!</v>
      </c>
      <c r="AW188" s="533" t="e">
        <f>AI188*#REF!+AI187*#REF!+AI186*#REF!</f>
        <v>#REF!</v>
      </c>
      <c r="AX188" s="456"/>
      <c r="AY188" s="584">
        <f t="shared" si="110"/>
        <v>1.3540239139892305</v>
      </c>
      <c r="AZ188" s="533">
        <f t="shared" si="98"/>
        <v>0</v>
      </c>
      <c r="BA188" s="533">
        <f>BA187*[1]mProject!V193</f>
        <v>0</v>
      </c>
      <c r="BB188" s="533">
        <f t="shared" si="114"/>
        <v>17781316.823329829</v>
      </c>
      <c r="BC188" s="456"/>
      <c r="BD188" s="586">
        <f>((BB188/100)*(i_CFD.ObliRate/12))*[1]i.Finance!$O$64</f>
        <v>59826.722228495157</v>
      </c>
      <c r="BE188" s="586">
        <f>(AZ188/100*[1]i.Finance!$O$61)*[1]i.Finance!$O$64</f>
        <v>0</v>
      </c>
      <c r="BF188" s="586">
        <f>(AZ188/100*[1]i.Finance!$O$65)</f>
        <v>0</v>
      </c>
      <c r="BG188" s="587">
        <f t="shared" si="99"/>
        <v>59826.722228495157</v>
      </c>
      <c r="BH188" s="456"/>
      <c r="BI188" s="586">
        <f>-PV([1]i.Finance!$O$63/12,[1]i.Finance!$O$62*12,mCFD!BG188)</f>
        <v>10233961.918709608</v>
      </c>
      <c r="BJ188" s="586">
        <f>BI188*[1]i.Finance!$O$58</f>
        <v>8033660.1061870428</v>
      </c>
      <c r="BK188" s="586"/>
      <c r="BL188" s="586"/>
      <c r="BP188" s="533"/>
      <c r="BQ188" s="533"/>
      <c r="BR188" s="533" t="e">
        <f t="shared" si="100"/>
        <v>#NAME?</v>
      </c>
      <c r="BS188" s="533" t="e">
        <f t="shared" si="101"/>
        <v>#NAME?</v>
      </c>
      <c r="BT188" s="533" t="e">
        <f t="shared" si="102"/>
        <v>#NAME?</v>
      </c>
      <c r="BU188" s="533"/>
    </row>
    <row r="189" spans="1:73" ht="16" hidden="1" outlineLevel="2">
      <c r="A189" s="366"/>
      <c r="B189" s="562"/>
      <c r="C189" s="366"/>
      <c r="D189" s="454"/>
      <c r="E189" s="547">
        <f t="shared" si="111"/>
        <v>183</v>
      </c>
      <c r="F189" s="547">
        <f t="shared" si="103"/>
        <v>61</v>
      </c>
      <c r="G189" s="547">
        <f t="shared" si="104"/>
        <v>16</v>
      </c>
      <c r="H189" s="548">
        <f t="shared" si="117"/>
        <v>49368</v>
      </c>
      <c r="I189" s="549">
        <f t="shared" si="83"/>
        <v>2035</v>
      </c>
      <c r="K189" s="547">
        <f>[1]mProject!KB193</f>
        <v>0</v>
      </c>
      <c r="L189" s="547">
        <f t="shared" si="84"/>
        <v>950</v>
      </c>
      <c r="M189" s="547">
        <f t="shared" si="85"/>
        <v>295000</v>
      </c>
      <c r="N189" s="547">
        <f t="shared" si="86"/>
        <v>0</v>
      </c>
      <c r="O189" s="547">
        <f t="shared" si="105"/>
        <v>280250000</v>
      </c>
      <c r="P189" s="547">
        <f>[1]mProject!W193</f>
        <v>384427.32834195503</v>
      </c>
      <c r="Q189" s="547">
        <f t="shared" si="87"/>
        <v>0</v>
      </c>
      <c r="R189" s="547">
        <f t="shared" si="106"/>
        <v>296355280.38883054</v>
      </c>
      <c r="T189" s="547">
        <v>0</v>
      </c>
      <c r="U189" s="547">
        <f t="shared" si="88"/>
        <v>0</v>
      </c>
      <c r="V189" s="547">
        <f>IF(T189=0,0,$V$7*(1+#REF!)^#REF!)</f>
        <v>0</v>
      </c>
      <c r="W189" s="547">
        <f t="shared" si="107"/>
        <v>0</v>
      </c>
      <c r="X189" s="547">
        <f t="shared" si="89"/>
        <v>0</v>
      </c>
      <c r="Y189" s="547">
        <f t="shared" si="90"/>
        <v>0</v>
      </c>
      <c r="AA189" s="547">
        <v>0</v>
      </c>
      <c r="AB189" s="547">
        <f t="shared" si="91"/>
        <v>0</v>
      </c>
      <c r="AC189" s="547">
        <f>IF(AA189=0,0,$V$7*(1+#REF!)^#REF!)</f>
        <v>0</v>
      </c>
      <c r="AD189" s="547">
        <f t="shared" si="108"/>
        <v>0</v>
      </c>
      <c r="AE189" s="547">
        <f t="shared" si="92"/>
        <v>0</v>
      </c>
      <c r="AF189" s="547">
        <f t="shared" si="93"/>
        <v>0</v>
      </c>
      <c r="AH189" s="547">
        <f t="shared" si="94"/>
        <v>0</v>
      </c>
      <c r="AI189" s="547">
        <f t="shared" si="109"/>
        <v>950</v>
      </c>
      <c r="AJ189" s="547">
        <f t="shared" si="119"/>
        <v>0</v>
      </c>
      <c r="AK189" s="547">
        <f>AJ189*[1]mProject!V193</f>
        <v>0</v>
      </c>
      <c r="AL189" s="547">
        <f t="shared" si="95"/>
        <v>0</v>
      </c>
      <c r="AM189" s="547">
        <f t="shared" si="96"/>
        <v>0</v>
      </c>
      <c r="AN189" s="456"/>
      <c r="AO189" s="577" t="e">
        <f t="shared" si="112"/>
        <v>#REF!</v>
      </c>
      <c r="AP189" s="577" t="e">
        <f t="shared" si="116"/>
        <v>#REF!</v>
      </c>
      <c r="AQ189" s="577" t="e">
        <f t="shared" si="118"/>
        <v>#REF!</v>
      </c>
      <c r="AR189" s="578" t="e">
        <f t="shared" si="113"/>
        <v>#REF!</v>
      </c>
      <c r="AS189" s="547" t="e">
        <f t="shared" si="115"/>
        <v>#REF!</v>
      </c>
      <c r="AT189" s="547"/>
      <c r="AU189" s="547"/>
      <c r="AV189" s="547" t="e">
        <f t="shared" si="97"/>
        <v>#REF!</v>
      </c>
      <c r="AW189" s="547" t="e">
        <f>AI189*#REF!+AI188*#REF!+AI187*#REF!</f>
        <v>#REF!</v>
      </c>
      <c r="AX189" s="456"/>
      <c r="AY189" s="585">
        <f t="shared" si="110"/>
        <v>1.3562806205125459</v>
      </c>
      <c r="AZ189" s="547">
        <f t="shared" si="98"/>
        <v>0</v>
      </c>
      <c r="BA189" s="547">
        <f>BA188*[1]mProject!V194</f>
        <v>0</v>
      </c>
      <c r="BB189" s="547">
        <f t="shared" si="114"/>
        <v>17781316.823329829</v>
      </c>
      <c r="BC189" s="456"/>
      <c r="BD189" s="588">
        <f>((BB189/100)*(i_CFD.ObliRate/12))*[1]i.Finance!$O$64</f>
        <v>59826.722228495157</v>
      </c>
      <c r="BE189" s="588">
        <f>(AZ189/100*[1]i.Finance!$O$61)*[1]i.Finance!$O$64</f>
        <v>0</v>
      </c>
      <c r="BF189" s="588">
        <f>(AZ189/100*[1]i.Finance!$O$65)</f>
        <v>0</v>
      </c>
      <c r="BG189" s="589">
        <f t="shared" si="99"/>
        <v>59826.722228495157</v>
      </c>
      <c r="BH189" s="456"/>
      <c r="BI189" s="588">
        <f>-PV([1]i.Finance!$O$63/12,[1]i.Finance!$O$62*12,mCFD!BG189)</f>
        <v>10233961.918709608</v>
      </c>
      <c r="BJ189" s="588">
        <f>BI189*[1]i.Finance!$O$58</f>
        <v>8033660.1061870428</v>
      </c>
      <c r="BK189" s="588"/>
      <c r="BL189" s="588"/>
      <c r="BP189" s="547"/>
      <c r="BQ189" s="547"/>
      <c r="BR189" s="547" t="e">
        <f t="shared" si="100"/>
        <v>#NAME?</v>
      </c>
      <c r="BS189" s="547" t="e">
        <f t="shared" si="101"/>
        <v>#NAME?</v>
      </c>
      <c r="BT189" s="547" t="e">
        <f t="shared" si="102"/>
        <v>#NAME?</v>
      </c>
      <c r="BU189" s="547"/>
    </row>
    <row r="190" spans="1:73" ht="16" hidden="1" outlineLevel="2">
      <c r="A190" s="366"/>
      <c r="B190" s="562"/>
      <c r="C190" s="366"/>
      <c r="D190" s="454"/>
      <c r="E190" s="530">
        <f t="shared" si="111"/>
        <v>184</v>
      </c>
      <c r="F190" s="530">
        <f t="shared" si="103"/>
        <v>62</v>
      </c>
      <c r="G190" s="530">
        <f t="shared" si="104"/>
        <v>16</v>
      </c>
      <c r="H190" s="554">
        <f t="shared" si="117"/>
        <v>49399</v>
      </c>
      <c r="I190" s="555">
        <f t="shared" si="83"/>
        <v>2035</v>
      </c>
      <c r="K190" s="530">
        <f>[1]mProject!KB194</f>
        <v>0</v>
      </c>
      <c r="L190" s="530">
        <f t="shared" si="84"/>
        <v>950</v>
      </c>
      <c r="M190" s="530">
        <f t="shared" si="85"/>
        <v>295000</v>
      </c>
      <c r="N190" s="530">
        <f t="shared" si="86"/>
        <v>0</v>
      </c>
      <c r="O190" s="530">
        <f t="shared" si="105"/>
        <v>280250000</v>
      </c>
      <c r="P190" s="530">
        <f>[1]mProject!W194</f>
        <v>385068.04055585829</v>
      </c>
      <c r="Q190" s="530">
        <f t="shared" si="87"/>
        <v>0</v>
      </c>
      <c r="R190" s="530">
        <f t="shared" si="106"/>
        <v>296355280.38883054</v>
      </c>
      <c r="T190" s="530">
        <v>0</v>
      </c>
      <c r="U190" s="530">
        <f t="shared" si="88"/>
        <v>0</v>
      </c>
      <c r="V190" s="530">
        <f>IF(T190=0,0,$V$7*(1+#REF!)^#REF!)</f>
        <v>0</v>
      </c>
      <c r="W190" s="530">
        <f t="shared" si="107"/>
        <v>0</v>
      </c>
      <c r="X190" s="530">
        <f t="shared" si="89"/>
        <v>0</v>
      </c>
      <c r="Y190" s="530">
        <f t="shared" si="90"/>
        <v>0</v>
      </c>
      <c r="AA190" s="530">
        <v>0</v>
      </c>
      <c r="AB190" s="530">
        <f t="shared" si="91"/>
        <v>0</v>
      </c>
      <c r="AC190" s="530">
        <f>IF(AA190=0,0,$V$7*(1+#REF!)^#REF!)</f>
        <v>0</v>
      </c>
      <c r="AD190" s="530">
        <f t="shared" si="108"/>
        <v>0</v>
      </c>
      <c r="AE190" s="530">
        <f t="shared" si="92"/>
        <v>0</v>
      </c>
      <c r="AF190" s="530">
        <f t="shared" si="93"/>
        <v>0</v>
      </c>
      <c r="AH190" s="530">
        <f t="shared" si="94"/>
        <v>0</v>
      </c>
      <c r="AI190" s="530">
        <f t="shared" si="109"/>
        <v>950</v>
      </c>
      <c r="AJ190" s="530">
        <f t="shared" si="119"/>
        <v>0</v>
      </c>
      <c r="AK190" s="530">
        <f>AJ190*[1]mProject!V194</f>
        <v>0</v>
      </c>
      <c r="AL190" s="530">
        <f t="shared" si="95"/>
        <v>0</v>
      </c>
      <c r="AM190" s="530">
        <f t="shared" si="96"/>
        <v>0</v>
      </c>
      <c r="AN190" s="456"/>
      <c r="AO190" s="572" t="e">
        <f t="shared" si="112"/>
        <v>#REF!</v>
      </c>
      <c r="AP190" s="572" t="e">
        <f t="shared" si="116"/>
        <v>#REF!</v>
      </c>
      <c r="AQ190" s="572" t="e">
        <f t="shared" si="118"/>
        <v>#REF!</v>
      </c>
      <c r="AR190" s="573" t="e">
        <f t="shared" si="113"/>
        <v>#REF!</v>
      </c>
      <c r="AS190" s="530" t="e">
        <f t="shared" si="115"/>
        <v>#REF!</v>
      </c>
      <c r="AT190" s="530"/>
      <c r="AU190" s="530"/>
      <c r="AV190" s="530" t="e">
        <f t="shared" si="97"/>
        <v>#REF!</v>
      </c>
      <c r="AW190" s="530" t="e">
        <f>AI190*#REF!+AI189*#REF!+AI188*#REF!</f>
        <v>#REF!</v>
      </c>
      <c r="AX190" s="456"/>
      <c r="AY190" s="583">
        <f t="shared" si="110"/>
        <v>1.3585410882134001</v>
      </c>
      <c r="AZ190" s="530">
        <f t="shared" si="98"/>
        <v>0</v>
      </c>
      <c r="BA190" s="530">
        <f>BA189*[1]mProject!V195</f>
        <v>0</v>
      </c>
      <c r="BB190" s="530">
        <f t="shared" si="114"/>
        <v>17781316.823329829</v>
      </c>
      <c r="BC190" s="456"/>
      <c r="BD190" s="590">
        <f>((BB190/100)*(i_CFD.ObliRate/12))*[1]i.Finance!$O$64</f>
        <v>59826.722228495157</v>
      </c>
      <c r="BE190" s="590">
        <f>(AZ190/100*[1]i.Finance!$O$61)*[1]i.Finance!$O$64</f>
        <v>0</v>
      </c>
      <c r="BF190" s="590">
        <f>(AZ190/100*[1]i.Finance!$O$65)</f>
        <v>0</v>
      </c>
      <c r="BG190" s="591">
        <f t="shared" si="99"/>
        <v>59826.722228495157</v>
      </c>
      <c r="BH190" s="456"/>
      <c r="BI190" s="590">
        <f>-PV([1]i.Finance!$O$63/12,[1]i.Finance!$O$62*12,mCFD!BG190)</f>
        <v>10233961.918709608</v>
      </c>
      <c r="BJ190" s="590">
        <f>BI190*[1]i.Finance!$O$58</f>
        <v>8033660.1061870428</v>
      </c>
      <c r="BK190" s="590"/>
      <c r="BL190" s="590"/>
      <c r="BP190" s="530"/>
      <c r="BQ190" s="530"/>
      <c r="BR190" s="530" t="e">
        <f t="shared" si="100"/>
        <v>#NAME?</v>
      </c>
      <c r="BS190" s="530" t="e">
        <f t="shared" si="101"/>
        <v>#NAME?</v>
      </c>
      <c r="BT190" s="530" t="e">
        <f t="shared" si="102"/>
        <v>#NAME?</v>
      </c>
      <c r="BU190" s="530"/>
    </row>
    <row r="191" spans="1:73" ht="16" hidden="1" outlineLevel="2">
      <c r="A191" s="366"/>
      <c r="B191" s="562"/>
      <c r="C191" s="366"/>
      <c r="D191" s="454"/>
      <c r="E191" s="533">
        <f t="shared" si="111"/>
        <v>185</v>
      </c>
      <c r="F191" s="533">
        <f t="shared" si="103"/>
        <v>62</v>
      </c>
      <c r="G191" s="533">
        <f t="shared" si="104"/>
        <v>16</v>
      </c>
      <c r="H191" s="541">
        <f t="shared" si="117"/>
        <v>49429</v>
      </c>
      <c r="I191" s="542">
        <f t="shared" si="83"/>
        <v>2035</v>
      </c>
      <c r="K191" s="533">
        <f>[1]mProject!KB195</f>
        <v>0</v>
      </c>
      <c r="L191" s="533">
        <f t="shared" si="84"/>
        <v>950</v>
      </c>
      <c r="M191" s="533">
        <f t="shared" si="85"/>
        <v>295000</v>
      </c>
      <c r="N191" s="533">
        <f t="shared" si="86"/>
        <v>0</v>
      </c>
      <c r="O191" s="533">
        <f t="shared" si="105"/>
        <v>280250000</v>
      </c>
      <c r="P191" s="533">
        <f>[1]mProject!W195</f>
        <v>385709.82062345138</v>
      </c>
      <c r="Q191" s="533">
        <f t="shared" si="87"/>
        <v>0</v>
      </c>
      <c r="R191" s="533">
        <f t="shared" si="106"/>
        <v>296355280.38883054</v>
      </c>
      <c r="T191" s="533">
        <v>0</v>
      </c>
      <c r="U191" s="533">
        <f t="shared" si="88"/>
        <v>0</v>
      </c>
      <c r="V191" s="533">
        <f>IF(T191=0,0,$V$7*(1+#REF!)^#REF!)</f>
        <v>0</v>
      </c>
      <c r="W191" s="533">
        <f t="shared" si="107"/>
        <v>0</v>
      </c>
      <c r="X191" s="533">
        <f t="shared" si="89"/>
        <v>0</v>
      </c>
      <c r="Y191" s="533">
        <f t="shared" si="90"/>
        <v>0</v>
      </c>
      <c r="AA191" s="533">
        <v>0</v>
      </c>
      <c r="AB191" s="533">
        <f t="shared" si="91"/>
        <v>0</v>
      </c>
      <c r="AC191" s="533">
        <f>IF(AA191=0,0,$V$7*(1+#REF!)^#REF!)</f>
        <v>0</v>
      </c>
      <c r="AD191" s="533">
        <f t="shared" si="108"/>
        <v>0</v>
      </c>
      <c r="AE191" s="533">
        <f t="shared" si="92"/>
        <v>0</v>
      </c>
      <c r="AF191" s="533">
        <f t="shared" si="93"/>
        <v>0</v>
      </c>
      <c r="AH191" s="533">
        <f t="shared" si="94"/>
        <v>0</v>
      </c>
      <c r="AI191" s="533">
        <f t="shared" si="109"/>
        <v>950</v>
      </c>
      <c r="AJ191" s="533">
        <f t="shared" si="119"/>
        <v>0</v>
      </c>
      <c r="AK191" s="533">
        <f>AJ191*[1]mProject!V195</f>
        <v>0</v>
      </c>
      <c r="AL191" s="533">
        <f t="shared" si="95"/>
        <v>0</v>
      </c>
      <c r="AM191" s="533">
        <f t="shared" si="96"/>
        <v>0</v>
      </c>
      <c r="AN191" s="456"/>
      <c r="AO191" s="575" t="e">
        <f t="shared" si="112"/>
        <v>#REF!</v>
      </c>
      <c r="AP191" s="575" t="e">
        <f t="shared" si="116"/>
        <v>#REF!</v>
      </c>
      <c r="AQ191" s="575" t="e">
        <f t="shared" si="118"/>
        <v>#REF!</v>
      </c>
      <c r="AR191" s="576" t="e">
        <f t="shared" si="113"/>
        <v>#REF!</v>
      </c>
      <c r="AS191" s="533" t="e">
        <f t="shared" si="115"/>
        <v>#REF!</v>
      </c>
      <c r="AT191" s="533"/>
      <c r="AU191" s="533"/>
      <c r="AV191" s="533" t="e">
        <f t="shared" si="97"/>
        <v>#REF!</v>
      </c>
      <c r="AW191" s="533" t="e">
        <f>AI191*#REF!+AI190*#REF!+AI189*#REF!</f>
        <v>#REF!</v>
      </c>
      <c r="AX191" s="456"/>
      <c r="AY191" s="584">
        <f t="shared" si="110"/>
        <v>1.3608053233604225</v>
      </c>
      <c r="AZ191" s="533">
        <f t="shared" si="98"/>
        <v>0</v>
      </c>
      <c r="BA191" s="533">
        <f>BA190*[1]mProject!V196</f>
        <v>0</v>
      </c>
      <c r="BB191" s="533">
        <f t="shared" si="114"/>
        <v>17781316.823329829</v>
      </c>
      <c r="BC191" s="456"/>
      <c r="BD191" s="586">
        <f>((BB191/100)*(i_CFD.ObliRate/12))*[1]i.Finance!$O$64</f>
        <v>59826.722228495157</v>
      </c>
      <c r="BE191" s="586">
        <f>(AZ191/100*[1]i.Finance!$O$61)*[1]i.Finance!$O$64</f>
        <v>0</v>
      </c>
      <c r="BF191" s="586">
        <f>(AZ191/100*[1]i.Finance!$O$65)</f>
        <v>0</v>
      </c>
      <c r="BG191" s="587">
        <f t="shared" si="99"/>
        <v>59826.722228495157</v>
      </c>
      <c r="BH191" s="456"/>
      <c r="BI191" s="586">
        <f>-PV([1]i.Finance!$O$63/12,[1]i.Finance!$O$62*12,mCFD!BG191)</f>
        <v>10233961.918709608</v>
      </c>
      <c r="BJ191" s="586">
        <f>BI191*[1]i.Finance!$O$58</f>
        <v>8033660.1061870428</v>
      </c>
      <c r="BK191" s="586"/>
      <c r="BL191" s="586"/>
      <c r="BP191" s="533"/>
      <c r="BQ191" s="533"/>
      <c r="BR191" s="533" t="e">
        <f t="shared" si="100"/>
        <v>#NAME?</v>
      </c>
      <c r="BS191" s="533" t="e">
        <f t="shared" si="101"/>
        <v>#NAME?</v>
      </c>
      <c r="BT191" s="533" t="e">
        <f t="shared" si="102"/>
        <v>#NAME?</v>
      </c>
      <c r="BU191" s="533"/>
    </row>
    <row r="192" spans="1:73" ht="16" hidden="1" outlineLevel="2">
      <c r="A192" s="366"/>
      <c r="B192" s="562"/>
      <c r="C192" s="366"/>
      <c r="D192" s="454"/>
      <c r="E192" s="547">
        <f t="shared" si="111"/>
        <v>186</v>
      </c>
      <c r="F192" s="547">
        <f t="shared" si="103"/>
        <v>62</v>
      </c>
      <c r="G192" s="547">
        <f t="shared" si="104"/>
        <v>16</v>
      </c>
      <c r="H192" s="548">
        <f t="shared" si="117"/>
        <v>49460</v>
      </c>
      <c r="I192" s="549">
        <f t="shared" si="83"/>
        <v>2035</v>
      </c>
      <c r="K192" s="547">
        <f>[1]mProject!KB196</f>
        <v>0</v>
      </c>
      <c r="L192" s="547">
        <f t="shared" si="84"/>
        <v>950</v>
      </c>
      <c r="M192" s="547">
        <f t="shared" si="85"/>
        <v>295000</v>
      </c>
      <c r="N192" s="547">
        <f t="shared" si="86"/>
        <v>0</v>
      </c>
      <c r="O192" s="547">
        <f t="shared" si="105"/>
        <v>280250000</v>
      </c>
      <c r="P192" s="547">
        <f>[1]mProject!W196</f>
        <v>386352.67032449046</v>
      </c>
      <c r="Q192" s="547">
        <f t="shared" si="87"/>
        <v>0</v>
      </c>
      <c r="R192" s="547">
        <f t="shared" si="106"/>
        <v>296355280.38883054</v>
      </c>
      <c r="T192" s="547">
        <v>0</v>
      </c>
      <c r="U192" s="547">
        <f t="shared" si="88"/>
        <v>0</v>
      </c>
      <c r="V192" s="547">
        <f>IF(T192=0,0,$V$7*(1+#REF!)^#REF!)</f>
        <v>0</v>
      </c>
      <c r="W192" s="547">
        <f t="shared" si="107"/>
        <v>0</v>
      </c>
      <c r="X192" s="547">
        <f t="shared" si="89"/>
        <v>0</v>
      </c>
      <c r="Y192" s="547">
        <f t="shared" si="90"/>
        <v>0</v>
      </c>
      <c r="AA192" s="547">
        <v>0</v>
      </c>
      <c r="AB192" s="547">
        <f t="shared" si="91"/>
        <v>0</v>
      </c>
      <c r="AC192" s="547">
        <f>IF(AA192=0,0,$V$7*(1+#REF!)^#REF!)</f>
        <v>0</v>
      </c>
      <c r="AD192" s="547">
        <f t="shared" si="108"/>
        <v>0</v>
      </c>
      <c r="AE192" s="547">
        <f t="shared" si="92"/>
        <v>0</v>
      </c>
      <c r="AF192" s="547">
        <f t="shared" si="93"/>
        <v>0</v>
      </c>
      <c r="AH192" s="547">
        <f t="shared" si="94"/>
        <v>0</v>
      </c>
      <c r="AI192" s="547">
        <f t="shared" si="109"/>
        <v>950</v>
      </c>
      <c r="AJ192" s="547">
        <f t="shared" si="119"/>
        <v>0</v>
      </c>
      <c r="AK192" s="547">
        <f>AJ192*[1]mProject!V196</f>
        <v>0</v>
      </c>
      <c r="AL192" s="547">
        <f t="shared" si="95"/>
        <v>0</v>
      </c>
      <c r="AM192" s="547">
        <f t="shared" si="96"/>
        <v>0</v>
      </c>
      <c r="AN192" s="456"/>
      <c r="AO192" s="577" t="e">
        <f t="shared" si="112"/>
        <v>#REF!</v>
      </c>
      <c r="AP192" s="577" t="e">
        <f t="shared" si="116"/>
        <v>#REF!</v>
      </c>
      <c r="AQ192" s="577" t="e">
        <f t="shared" si="118"/>
        <v>#REF!</v>
      </c>
      <c r="AR192" s="578" t="e">
        <f t="shared" si="113"/>
        <v>#REF!</v>
      </c>
      <c r="AS192" s="547" t="e">
        <f t="shared" si="115"/>
        <v>#REF!</v>
      </c>
      <c r="AT192" s="547"/>
      <c r="AU192" s="547"/>
      <c r="AV192" s="547" t="e">
        <f t="shared" si="97"/>
        <v>#REF!</v>
      </c>
      <c r="AW192" s="547" t="e">
        <f>AI192*#REF!+AI191*#REF!+AI190*#REF!</f>
        <v>#REF!</v>
      </c>
      <c r="AX192" s="456"/>
      <c r="AY192" s="585">
        <f t="shared" si="110"/>
        <v>1.36307333223269</v>
      </c>
      <c r="AZ192" s="547">
        <f t="shared" si="98"/>
        <v>0</v>
      </c>
      <c r="BA192" s="547">
        <f>BA191*[1]mProject!V197</f>
        <v>0</v>
      </c>
      <c r="BB192" s="547">
        <f t="shared" si="114"/>
        <v>17781316.823329829</v>
      </c>
      <c r="BC192" s="456"/>
      <c r="BD192" s="588">
        <f>((BB192/100)*(i_CFD.ObliRate/12))*[1]i.Finance!$O$64</f>
        <v>59826.722228495157</v>
      </c>
      <c r="BE192" s="588">
        <f>(AZ192/100*[1]i.Finance!$O$61)*[1]i.Finance!$O$64</f>
        <v>0</v>
      </c>
      <c r="BF192" s="588">
        <f>(AZ192/100*[1]i.Finance!$O$65)</f>
        <v>0</v>
      </c>
      <c r="BG192" s="589">
        <f t="shared" si="99"/>
        <v>59826.722228495157</v>
      </c>
      <c r="BH192" s="456"/>
      <c r="BI192" s="588">
        <f>-PV([1]i.Finance!$O$63/12,[1]i.Finance!$O$62*12,mCFD!BG192)</f>
        <v>10233961.918709608</v>
      </c>
      <c r="BJ192" s="588">
        <f>BI192*[1]i.Finance!$O$58</f>
        <v>8033660.1061870428</v>
      </c>
      <c r="BK192" s="588"/>
      <c r="BL192" s="588"/>
      <c r="BP192" s="547"/>
      <c r="BQ192" s="547"/>
      <c r="BR192" s="547" t="e">
        <f t="shared" si="100"/>
        <v>#NAME?</v>
      </c>
      <c r="BS192" s="547" t="e">
        <f t="shared" si="101"/>
        <v>#NAME?</v>
      </c>
      <c r="BT192" s="547" t="e">
        <f t="shared" si="102"/>
        <v>#NAME?</v>
      </c>
      <c r="BU192" s="547"/>
    </row>
    <row r="193" spans="1:73" ht="16" hidden="1" outlineLevel="2">
      <c r="A193" s="366"/>
      <c r="B193" s="562"/>
      <c r="C193" s="366"/>
      <c r="D193" s="454"/>
      <c r="E193" s="530">
        <f t="shared" si="111"/>
        <v>187</v>
      </c>
      <c r="F193" s="530">
        <f t="shared" si="103"/>
        <v>63</v>
      </c>
      <c r="G193" s="530">
        <f t="shared" si="104"/>
        <v>16</v>
      </c>
      <c r="H193" s="554">
        <f t="shared" si="117"/>
        <v>49490</v>
      </c>
      <c r="I193" s="555">
        <f t="shared" si="83"/>
        <v>2035</v>
      </c>
      <c r="K193" s="530">
        <f>[1]mProject!KB197</f>
        <v>0</v>
      </c>
      <c r="L193" s="530">
        <f t="shared" si="84"/>
        <v>950</v>
      </c>
      <c r="M193" s="530">
        <f t="shared" si="85"/>
        <v>295000</v>
      </c>
      <c r="N193" s="530">
        <f t="shared" si="86"/>
        <v>0</v>
      </c>
      <c r="O193" s="530">
        <f t="shared" si="105"/>
        <v>280250000</v>
      </c>
      <c r="P193" s="530">
        <f>[1]mProject!W197</f>
        <v>386996.59144169796</v>
      </c>
      <c r="Q193" s="530">
        <f t="shared" si="87"/>
        <v>0</v>
      </c>
      <c r="R193" s="530">
        <f t="shared" si="106"/>
        <v>296355280.38883054</v>
      </c>
      <c r="T193" s="530">
        <v>0</v>
      </c>
      <c r="U193" s="530">
        <f t="shared" si="88"/>
        <v>0</v>
      </c>
      <c r="V193" s="530">
        <f>IF(T193=0,0,$V$7*(1+#REF!)^#REF!)</f>
        <v>0</v>
      </c>
      <c r="W193" s="530">
        <f t="shared" si="107"/>
        <v>0</v>
      </c>
      <c r="X193" s="530">
        <f t="shared" si="89"/>
        <v>0</v>
      </c>
      <c r="Y193" s="530">
        <f t="shared" si="90"/>
        <v>0</v>
      </c>
      <c r="AA193" s="530">
        <v>0</v>
      </c>
      <c r="AB193" s="530">
        <f t="shared" si="91"/>
        <v>0</v>
      </c>
      <c r="AC193" s="530">
        <f>IF(AA193=0,0,$V$7*(1+#REF!)^#REF!)</f>
        <v>0</v>
      </c>
      <c r="AD193" s="530">
        <f t="shared" si="108"/>
        <v>0</v>
      </c>
      <c r="AE193" s="530">
        <f t="shared" si="92"/>
        <v>0</v>
      </c>
      <c r="AF193" s="530">
        <f t="shared" si="93"/>
        <v>0</v>
      </c>
      <c r="AH193" s="530">
        <f t="shared" si="94"/>
        <v>0</v>
      </c>
      <c r="AI193" s="530">
        <f t="shared" si="109"/>
        <v>950</v>
      </c>
      <c r="AJ193" s="530">
        <f t="shared" si="119"/>
        <v>0</v>
      </c>
      <c r="AK193" s="530">
        <f>AJ193*[1]mProject!V197</f>
        <v>0</v>
      </c>
      <c r="AL193" s="530">
        <f t="shared" si="95"/>
        <v>0</v>
      </c>
      <c r="AM193" s="530">
        <f t="shared" si="96"/>
        <v>0</v>
      </c>
      <c r="AN193" s="456"/>
      <c r="AO193" s="572" t="e">
        <f t="shared" si="112"/>
        <v>#REF!</v>
      </c>
      <c r="AP193" s="572" t="e">
        <f t="shared" si="116"/>
        <v>#REF!</v>
      </c>
      <c r="AQ193" s="572" t="e">
        <f t="shared" si="118"/>
        <v>#REF!</v>
      </c>
      <c r="AR193" s="573" t="e">
        <f t="shared" si="113"/>
        <v>#REF!</v>
      </c>
      <c r="AS193" s="530" t="e">
        <f t="shared" si="115"/>
        <v>#REF!</v>
      </c>
      <c r="AT193" s="530"/>
      <c r="AU193" s="530"/>
      <c r="AV193" s="530" t="e">
        <f t="shared" si="97"/>
        <v>#REF!</v>
      </c>
      <c r="AW193" s="530" t="e">
        <f>AI193*#REF!+AI192*#REF!+AI191*#REF!</f>
        <v>#REF!</v>
      </c>
      <c r="AX193" s="456"/>
      <c r="AY193" s="583">
        <f t="shared" si="110"/>
        <v>1.3653451211197445</v>
      </c>
      <c r="AZ193" s="530">
        <f t="shared" si="98"/>
        <v>0</v>
      </c>
      <c r="BA193" s="530">
        <f>BA192*[1]mProject!V198</f>
        <v>0</v>
      </c>
      <c r="BB193" s="530">
        <f t="shared" si="114"/>
        <v>17781316.823329829</v>
      </c>
      <c r="BC193" s="456"/>
      <c r="BD193" s="590">
        <f>((BB193/100)*(i_CFD.ObliRate/12))*[1]i.Finance!$O$64</f>
        <v>59826.722228495157</v>
      </c>
      <c r="BE193" s="590">
        <f>(AZ193/100*[1]i.Finance!$O$61)*[1]i.Finance!$O$64</f>
        <v>0</v>
      </c>
      <c r="BF193" s="590">
        <f>(AZ193/100*[1]i.Finance!$O$65)</f>
        <v>0</v>
      </c>
      <c r="BG193" s="591">
        <f t="shared" si="99"/>
        <v>59826.722228495157</v>
      </c>
      <c r="BH193" s="456"/>
      <c r="BI193" s="590">
        <f>-PV([1]i.Finance!$O$63/12,[1]i.Finance!$O$62*12,mCFD!BG193)</f>
        <v>10233961.918709608</v>
      </c>
      <c r="BJ193" s="590">
        <f>BI193*[1]i.Finance!$O$58</f>
        <v>8033660.1061870428</v>
      </c>
      <c r="BK193" s="590"/>
      <c r="BL193" s="590"/>
      <c r="BP193" s="530"/>
      <c r="BQ193" s="530"/>
      <c r="BR193" s="530" t="e">
        <f t="shared" si="100"/>
        <v>#NAME?</v>
      </c>
      <c r="BS193" s="530" t="e">
        <f t="shared" si="101"/>
        <v>#NAME?</v>
      </c>
      <c r="BT193" s="530" t="e">
        <f t="shared" si="102"/>
        <v>#NAME?</v>
      </c>
      <c r="BU193" s="530"/>
    </row>
    <row r="194" spans="1:73" ht="16" hidden="1" outlineLevel="2">
      <c r="A194" s="366"/>
      <c r="B194" s="562"/>
      <c r="C194" s="366"/>
      <c r="D194" s="454"/>
      <c r="E194" s="533">
        <f t="shared" si="111"/>
        <v>188</v>
      </c>
      <c r="F194" s="533">
        <f t="shared" si="103"/>
        <v>63</v>
      </c>
      <c r="G194" s="533">
        <f t="shared" si="104"/>
        <v>16</v>
      </c>
      <c r="H194" s="541">
        <f t="shared" si="117"/>
        <v>49521</v>
      </c>
      <c r="I194" s="542">
        <f t="shared" si="83"/>
        <v>2035</v>
      </c>
      <c r="K194" s="533">
        <f>[1]mProject!KB198</f>
        <v>0</v>
      </c>
      <c r="L194" s="533">
        <f t="shared" si="84"/>
        <v>950</v>
      </c>
      <c r="M194" s="533">
        <f t="shared" si="85"/>
        <v>295000</v>
      </c>
      <c r="N194" s="533">
        <f t="shared" si="86"/>
        <v>0</v>
      </c>
      <c r="O194" s="533">
        <f t="shared" si="105"/>
        <v>280250000</v>
      </c>
      <c r="P194" s="533">
        <f>[1]mProject!W198</f>
        <v>387641.58576076746</v>
      </c>
      <c r="Q194" s="533">
        <f t="shared" si="87"/>
        <v>0</v>
      </c>
      <c r="R194" s="533">
        <f t="shared" si="106"/>
        <v>296355280.38883054</v>
      </c>
      <c r="T194" s="533">
        <v>0</v>
      </c>
      <c r="U194" s="533">
        <f t="shared" si="88"/>
        <v>0</v>
      </c>
      <c r="V194" s="533">
        <f>IF(T194=0,0,$V$7*(1+#REF!)^#REF!)</f>
        <v>0</v>
      </c>
      <c r="W194" s="533">
        <f t="shared" si="107"/>
        <v>0</v>
      </c>
      <c r="X194" s="533">
        <f t="shared" si="89"/>
        <v>0</v>
      </c>
      <c r="Y194" s="533">
        <f t="shared" si="90"/>
        <v>0</v>
      </c>
      <c r="AA194" s="533">
        <v>0</v>
      </c>
      <c r="AB194" s="533">
        <f t="shared" si="91"/>
        <v>0</v>
      </c>
      <c r="AC194" s="533">
        <f>IF(AA194=0,0,$V$7*(1+#REF!)^#REF!)</f>
        <v>0</v>
      </c>
      <c r="AD194" s="533">
        <f t="shared" si="108"/>
        <v>0</v>
      </c>
      <c r="AE194" s="533">
        <f t="shared" si="92"/>
        <v>0</v>
      </c>
      <c r="AF194" s="533">
        <f t="shared" si="93"/>
        <v>0</v>
      </c>
      <c r="AH194" s="533">
        <f t="shared" si="94"/>
        <v>0</v>
      </c>
      <c r="AI194" s="533">
        <f t="shared" si="109"/>
        <v>950</v>
      </c>
      <c r="AJ194" s="533">
        <f t="shared" si="119"/>
        <v>0</v>
      </c>
      <c r="AK194" s="533">
        <f>AJ194*[1]mProject!V198</f>
        <v>0</v>
      </c>
      <c r="AL194" s="533">
        <f t="shared" si="95"/>
        <v>0</v>
      </c>
      <c r="AM194" s="533">
        <f t="shared" si="96"/>
        <v>0</v>
      </c>
      <c r="AN194" s="456"/>
      <c r="AO194" s="575" t="e">
        <f t="shared" si="112"/>
        <v>#REF!</v>
      </c>
      <c r="AP194" s="575" t="e">
        <f t="shared" si="116"/>
        <v>#REF!</v>
      </c>
      <c r="AQ194" s="575" t="e">
        <f t="shared" si="118"/>
        <v>#REF!</v>
      </c>
      <c r="AR194" s="576" t="e">
        <f t="shared" si="113"/>
        <v>#REF!</v>
      </c>
      <c r="AS194" s="533" t="e">
        <f t="shared" si="115"/>
        <v>#REF!</v>
      </c>
      <c r="AT194" s="533"/>
      <c r="AU194" s="533"/>
      <c r="AV194" s="533" t="e">
        <f t="shared" si="97"/>
        <v>#REF!</v>
      </c>
      <c r="AW194" s="533" t="e">
        <f>AI194*#REF!+AI193*#REF!+AI192*#REF!</f>
        <v>#REF!</v>
      </c>
      <c r="AX194" s="456"/>
      <c r="AY194" s="584">
        <f t="shared" si="110"/>
        <v>1.3676206963216109</v>
      </c>
      <c r="AZ194" s="533">
        <f t="shared" si="98"/>
        <v>0</v>
      </c>
      <c r="BA194" s="533">
        <f>BA193*[1]mProject!V199</f>
        <v>0</v>
      </c>
      <c r="BB194" s="533">
        <f t="shared" si="114"/>
        <v>17781316.823329829</v>
      </c>
      <c r="BC194" s="456"/>
      <c r="BD194" s="586">
        <f>((BB194/100)*(i_CFD.ObliRate/12))*[1]i.Finance!$O$64</f>
        <v>59826.722228495157</v>
      </c>
      <c r="BE194" s="586">
        <f>(AZ194/100*[1]i.Finance!$O$61)*[1]i.Finance!$O$64</f>
        <v>0</v>
      </c>
      <c r="BF194" s="586">
        <f>(AZ194/100*[1]i.Finance!$O$65)</f>
        <v>0</v>
      </c>
      <c r="BG194" s="587">
        <f t="shared" si="99"/>
        <v>59826.722228495157</v>
      </c>
      <c r="BH194" s="456"/>
      <c r="BI194" s="586">
        <f>-PV([1]i.Finance!$O$63/12,[1]i.Finance!$O$62*12,mCFD!BG194)</f>
        <v>10233961.918709608</v>
      </c>
      <c r="BJ194" s="586">
        <f>BI194*[1]i.Finance!$O$58</f>
        <v>8033660.1061870428</v>
      </c>
      <c r="BK194" s="586"/>
      <c r="BL194" s="586"/>
      <c r="BP194" s="533"/>
      <c r="BQ194" s="533"/>
      <c r="BR194" s="533" t="e">
        <f t="shared" si="100"/>
        <v>#NAME?</v>
      </c>
      <c r="BS194" s="533" t="e">
        <f t="shared" si="101"/>
        <v>#NAME?</v>
      </c>
      <c r="BT194" s="533" t="e">
        <f t="shared" si="102"/>
        <v>#NAME?</v>
      </c>
      <c r="BU194" s="533"/>
    </row>
    <row r="195" spans="1:73" ht="16" hidden="1" outlineLevel="2">
      <c r="A195" s="366"/>
      <c r="B195" s="562"/>
      <c r="C195" s="366"/>
      <c r="D195" s="454"/>
      <c r="E195" s="547">
        <f t="shared" si="111"/>
        <v>189</v>
      </c>
      <c r="F195" s="547">
        <f t="shared" si="103"/>
        <v>63</v>
      </c>
      <c r="G195" s="547">
        <f t="shared" si="104"/>
        <v>16</v>
      </c>
      <c r="H195" s="548">
        <f t="shared" si="117"/>
        <v>49552</v>
      </c>
      <c r="I195" s="549">
        <f t="shared" si="83"/>
        <v>2035</v>
      </c>
      <c r="K195" s="547">
        <f>[1]mProject!KB199</f>
        <v>0</v>
      </c>
      <c r="L195" s="547">
        <f t="shared" si="84"/>
        <v>950</v>
      </c>
      <c r="M195" s="547">
        <f t="shared" si="85"/>
        <v>295000</v>
      </c>
      <c r="N195" s="547">
        <f t="shared" si="86"/>
        <v>0</v>
      </c>
      <c r="O195" s="547">
        <f t="shared" si="105"/>
        <v>280250000</v>
      </c>
      <c r="P195" s="547">
        <f>[1]mProject!W199</f>
        <v>388287.65507036872</v>
      </c>
      <c r="Q195" s="547">
        <f t="shared" si="87"/>
        <v>0</v>
      </c>
      <c r="R195" s="547">
        <f t="shared" si="106"/>
        <v>296355280.38883054</v>
      </c>
      <c r="T195" s="547">
        <v>0</v>
      </c>
      <c r="U195" s="547">
        <f t="shared" si="88"/>
        <v>0</v>
      </c>
      <c r="V195" s="547">
        <f>IF(T195=0,0,$V$7*(1+#REF!)^#REF!)</f>
        <v>0</v>
      </c>
      <c r="W195" s="547">
        <f t="shared" si="107"/>
        <v>0</v>
      </c>
      <c r="X195" s="547">
        <f t="shared" si="89"/>
        <v>0</v>
      </c>
      <c r="Y195" s="547">
        <f t="shared" si="90"/>
        <v>0</v>
      </c>
      <c r="AA195" s="547">
        <v>0</v>
      </c>
      <c r="AB195" s="547">
        <f t="shared" si="91"/>
        <v>0</v>
      </c>
      <c r="AC195" s="547">
        <f>IF(AA195=0,0,$V$7*(1+#REF!)^#REF!)</f>
        <v>0</v>
      </c>
      <c r="AD195" s="547">
        <f t="shared" si="108"/>
        <v>0</v>
      </c>
      <c r="AE195" s="547">
        <f t="shared" si="92"/>
        <v>0</v>
      </c>
      <c r="AF195" s="547">
        <f t="shared" si="93"/>
        <v>0</v>
      </c>
      <c r="AH195" s="547">
        <f t="shared" si="94"/>
        <v>0</v>
      </c>
      <c r="AI195" s="547">
        <f t="shared" si="109"/>
        <v>950</v>
      </c>
      <c r="AJ195" s="547">
        <f t="shared" si="119"/>
        <v>0</v>
      </c>
      <c r="AK195" s="547">
        <f>AJ195*[1]mProject!V199</f>
        <v>0</v>
      </c>
      <c r="AL195" s="547">
        <f t="shared" si="95"/>
        <v>0</v>
      </c>
      <c r="AM195" s="547">
        <f t="shared" si="96"/>
        <v>0</v>
      </c>
      <c r="AN195" s="456"/>
      <c r="AO195" s="577" t="e">
        <f t="shared" si="112"/>
        <v>#REF!</v>
      </c>
      <c r="AP195" s="577" t="e">
        <f t="shared" si="116"/>
        <v>#REF!</v>
      </c>
      <c r="AQ195" s="577" t="e">
        <f t="shared" si="118"/>
        <v>#REF!</v>
      </c>
      <c r="AR195" s="578" t="e">
        <f t="shared" si="113"/>
        <v>#REF!</v>
      </c>
      <c r="AS195" s="547" t="e">
        <f t="shared" si="115"/>
        <v>#REF!</v>
      </c>
      <c r="AT195" s="547"/>
      <c r="AU195" s="547"/>
      <c r="AV195" s="547" t="e">
        <f t="shared" si="97"/>
        <v>#REF!</v>
      </c>
      <c r="AW195" s="547" t="e">
        <f>AI195*#REF!+AI194*#REF!+AI193*#REF!</f>
        <v>#REF!</v>
      </c>
      <c r="AX195" s="456"/>
      <c r="AY195" s="585">
        <f t="shared" si="110"/>
        <v>1.3699000641488137</v>
      </c>
      <c r="AZ195" s="547">
        <f t="shared" si="98"/>
        <v>0</v>
      </c>
      <c r="BA195" s="547">
        <f>BA194*[1]mProject!V200</f>
        <v>0</v>
      </c>
      <c r="BB195" s="547">
        <f t="shared" si="114"/>
        <v>17781316.823329829</v>
      </c>
      <c r="BC195" s="456"/>
      <c r="BD195" s="588">
        <f>((BB195/100)*(i_CFD.ObliRate/12))*[1]i.Finance!$O$64</f>
        <v>59826.722228495157</v>
      </c>
      <c r="BE195" s="588">
        <f>(AZ195/100*[1]i.Finance!$O$61)*[1]i.Finance!$O$64</f>
        <v>0</v>
      </c>
      <c r="BF195" s="588">
        <f>(AZ195/100*[1]i.Finance!$O$65)</f>
        <v>0</v>
      </c>
      <c r="BG195" s="589">
        <f t="shared" si="99"/>
        <v>59826.722228495157</v>
      </c>
      <c r="BH195" s="456"/>
      <c r="BI195" s="588">
        <f>-PV([1]i.Finance!$O$63/12,[1]i.Finance!$O$62*12,mCFD!BG195)</f>
        <v>10233961.918709608</v>
      </c>
      <c r="BJ195" s="588">
        <f>BI195*[1]i.Finance!$O$58</f>
        <v>8033660.1061870428</v>
      </c>
      <c r="BK195" s="588"/>
      <c r="BL195" s="588"/>
      <c r="BP195" s="547"/>
      <c r="BQ195" s="547"/>
      <c r="BR195" s="547" t="e">
        <f t="shared" si="100"/>
        <v>#NAME?</v>
      </c>
      <c r="BS195" s="547" t="e">
        <f t="shared" si="101"/>
        <v>#NAME?</v>
      </c>
      <c r="BT195" s="547" t="e">
        <f t="shared" si="102"/>
        <v>#NAME?</v>
      </c>
      <c r="BU195" s="547"/>
    </row>
    <row r="196" spans="1:73" ht="16" hidden="1" outlineLevel="2">
      <c r="A196" s="366"/>
      <c r="B196" s="562"/>
      <c r="C196" s="366"/>
      <c r="D196" s="454"/>
      <c r="E196" s="530">
        <f t="shared" si="111"/>
        <v>190</v>
      </c>
      <c r="F196" s="530">
        <f t="shared" si="103"/>
        <v>64</v>
      </c>
      <c r="G196" s="530">
        <f t="shared" si="104"/>
        <v>16</v>
      </c>
      <c r="H196" s="554">
        <f t="shared" si="117"/>
        <v>49582</v>
      </c>
      <c r="I196" s="555">
        <f t="shared" si="83"/>
        <v>2035</v>
      </c>
      <c r="K196" s="530">
        <f>[1]mProject!KB200</f>
        <v>0</v>
      </c>
      <c r="L196" s="530">
        <f t="shared" si="84"/>
        <v>950</v>
      </c>
      <c r="M196" s="530">
        <f t="shared" si="85"/>
        <v>295000</v>
      </c>
      <c r="N196" s="530">
        <f t="shared" si="86"/>
        <v>0</v>
      </c>
      <c r="O196" s="530">
        <f t="shared" si="105"/>
        <v>280250000</v>
      </c>
      <c r="P196" s="530">
        <f>[1]mProject!W200</f>
        <v>388934.80116215267</v>
      </c>
      <c r="Q196" s="530">
        <f t="shared" si="87"/>
        <v>0</v>
      </c>
      <c r="R196" s="530">
        <f t="shared" si="106"/>
        <v>296355280.38883054</v>
      </c>
      <c r="T196" s="530">
        <v>0</v>
      </c>
      <c r="U196" s="530">
        <f t="shared" si="88"/>
        <v>0</v>
      </c>
      <c r="V196" s="530">
        <f>IF(T196=0,0,$V$7*(1+#REF!)^#REF!)</f>
        <v>0</v>
      </c>
      <c r="W196" s="530">
        <f t="shared" si="107"/>
        <v>0</v>
      </c>
      <c r="X196" s="530">
        <f t="shared" si="89"/>
        <v>0</v>
      </c>
      <c r="Y196" s="530">
        <f t="shared" si="90"/>
        <v>0</v>
      </c>
      <c r="AA196" s="530">
        <v>0</v>
      </c>
      <c r="AB196" s="530">
        <f t="shared" si="91"/>
        <v>0</v>
      </c>
      <c r="AC196" s="530">
        <f>IF(AA196=0,0,$V$7*(1+#REF!)^#REF!)</f>
        <v>0</v>
      </c>
      <c r="AD196" s="530">
        <f t="shared" si="108"/>
        <v>0</v>
      </c>
      <c r="AE196" s="530">
        <f t="shared" si="92"/>
        <v>0</v>
      </c>
      <c r="AF196" s="530">
        <f t="shared" si="93"/>
        <v>0</v>
      </c>
      <c r="AH196" s="530">
        <f t="shared" si="94"/>
        <v>0</v>
      </c>
      <c r="AI196" s="530">
        <f t="shared" si="109"/>
        <v>950</v>
      </c>
      <c r="AJ196" s="530">
        <f t="shared" si="119"/>
        <v>0</v>
      </c>
      <c r="AK196" s="530">
        <f>AJ196*[1]mProject!V200</f>
        <v>0</v>
      </c>
      <c r="AL196" s="530">
        <f t="shared" si="95"/>
        <v>0</v>
      </c>
      <c r="AM196" s="530">
        <f t="shared" si="96"/>
        <v>0</v>
      </c>
      <c r="AN196" s="456"/>
      <c r="AO196" s="572" t="e">
        <f t="shared" si="112"/>
        <v>#REF!</v>
      </c>
      <c r="AP196" s="572" t="e">
        <f t="shared" si="116"/>
        <v>#REF!</v>
      </c>
      <c r="AQ196" s="572" t="e">
        <f t="shared" si="118"/>
        <v>#REF!</v>
      </c>
      <c r="AR196" s="573" t="e">
        <f t="shared" si="113"/>
        <v>#REF!</v>
      </c>
      <c r="AS196" s="530" t="e">
        <f t="shared" si="115"/>
        <v>#REF!</v>
      </c>
      <c r="AT196" s="530"/>
      <c r="AU196" s="530"/>
      <c r="AV196" s="530" t="e">
        <f t="shared" si="97"/>
        <v>#REF!</v>
      </c>
      <c r="AW196" s="530" t="e">
        <f>AI196*#REF!+AI195*#REF!+AI194*#REF!</f>
        <v>#REF!</v>
      </c>
      <c r="AX196" s="456"/>
      <c r="AY196" s="583">
        <f t="shared" si="110"/>
        <v>1.3721832309223951</v>
      </c>
      <c r="AZ196" s="530">
        <f t="shared" si="98"/>
        <v>0</v>
      </c>
      <c r="BA196" s="530">
        <f>BA195*[1]mProject!V201</f>
        <v>0</v>
      </c>
      <c r="BB196" s="530">
        <f t="shared" si="114"/>
        <v>17781316.823329829</v>
      </c>
      <c r="BC196" s="456"/>
      <c r="BD196" s="590">
        <f>((BB196/100)*(i_CFD.ObliRate/12))*[1]i.Finance!$O$64</f>
        <v>59826.722228495157</v>
      </c>
      <c r="BE196" s="590">
        <f>(AZ196/100*[1]i.Finance!$O$61)*[1]i.Finance!$O$64</f>
        <v>0</v>
      </c>
      <c r="BF196" s="590">
        <f>(AZ196/100*[1]i.Finance!$O$65)</f>
        <v>0</v>
      </c>
      <c r="BG196" s="591">
        <f t="shared" si="99"/>
        <v>59826.722228495157</v>
      </c>
      <c r="BH196" s="456"/>
      <c r="BI196" s="590">
        <f>-PV([1]i.Finance!$O$63/12,[1]i.Finance!$O$62*12,mCFD!BG196)</f>
        <v>10233961.918709608</v>
      </c>
      <c r="BJ196" s="590">
        <f>BI196*[1]i.Finance!$O$58</f>
        <v>8033660.1061870428</v>
      </c>
      <c r="BK196" s="590"/>
      <c r="BL196" s="590"/>
      <c r="BP196" s="530"/>
      <c r="BQ196" s="530"/>
      <c r="BR196" s="530" t="e">
        <f t="shared" si="100"/>
        <v>#NAME?</v>
      </c>
      <c r="BS196" s="530" t="e">
        <f t="shared" si="101"/>
        <v>#NAME?</v>
      </c>
      <c r="BT196" s="530" t="e">
        <f t="shared" si="102"/>
        <v>#NAME?</v>
      </c>
      <c r="BU196" s="530"/>
    </row>
    <row r="197" spans="1:73" ht="16" hidden="1" outlineLevel="2">
      <c r="A197" s="366"/>
      <c r="B197" s="562"/>
      <c r="C197" s="366"/>
      <c r="D197" s="454"/>
      <c r="E197" s="533">
        <f t="shared" si="111"/>
        <v>191</v>
      </c>
      <c r="F197" s="533">
        <f t="shared" si="103"/>
        <v>64</v>
      </c>
      <c r="G197" s="533">
        <f t="shared" si="104"/>
        <v>16</v>
      </c>
      <c r="H197" s="541">
        <f t="shared" si="117"/>
        <v>49613</v>
      </c>
      <c r="I197" s="542">
        <f t="shared" si="83"/>
        <v>2035</v>
      </c>
      <c r="K197" s="533">
        <f>[1]mProject!KB201</f>
        <v>0</v>
      </c>
      <c r="L197" s="533">
        <f t="shared" si="84"/>
        <v>950</v>
      </c>
      <c r="M197" s="533">
        <f t="shared" si="85"/>
        <v>295000</v>
      </c>
      <c r="N197" s="533">
        <f t="shared" si="86"/>
        <v>0</v>
      </c>
      <c r="O197" s="533">
        <f t="shared" si="105"/>
        <v>280250000</v>
      </c>
      <c r="P197" s="533">
        <f>[1]mProject!W201</f>
        <v>389583.02583075629</v>
      </c>
      <c r="Q197" s="533">
        <f t="shared" si="87"/>
        <v>0</v>
      </c>
      <c r="R197" s="533">
        <f t="shared" si="106"/>
        <v>296355280.38883054</v>
      </c>
      <c r="T197" s="533">
        <v>0</v>
      </c>
      <c r="U197" s="533">
        <f t="shared" si="88"/>
        <v>0</v>
      </c>
      <c r="V197" s="533">
        <f>IF(T197=0,0,$V$7*(1+#REF!)^#REF!)</f>
        <v>0</v>
      </c>
      <c r="W197" s="533">
        <f t="shared" si="107"/>
        <v>0</v>
      </c>
      <c r="X197" s="533">
        <f t="shared" si="89"/>
        <v>0</v>
      </c>
      <c r="Y197" s="533">
        <f t="shared" si="90"/>
        <v>0</v>
      </c>
      <c r="AA197" s="533">
        <v>0</v>
      </c>
      <c r="AB197" s="533">
        <f t="shared" si="91"/>
        <v>0</v>
      </c>
      <c r="AC197" s="533">
        <f>IF(AA197=0,0,$V$7*(1+#REF!)^#REF!)</f>
        <v>0</v>
      </c>
      <c r="AD197" s="533">
        <f t="shared" si="108"/>
        <v>0</v>
      </c>
      <c r="AE197" s="533">
        <f t="shared" si="92"/>
        <v>0</v>
      </c>
      <c r="AF197" s="533">
        <f t="shared" si="93"/>
        <v>0</v>
      </c>
      <c r="AH197" s="533">
        <f t="shared" si="94"/>
        <v>0</v>
      </c>
      <c r="AI197" s="533">
        <f t="shared" si="109"/>
        <v>950</v>
      </c>
      <c r="AJ197" s="533">
        <f t="shared" si="119"/>
        <v>0</v>
      </c>
      <c r="AK197" s="533">
        <f>AJ197*[1]mProject!V201</f>
        <v>0</v>
      </c>
      <c r="AL197" s="533">
        <f t="shared" si="95"/>
        <v>0</v>
      </c>
      <c r="AM197" s="533">
        <f t="shared" si="96"/>
        <v>0</v>
      </c>
      <c r="AN197" s="456"/>
      <c r="AO197" s="575" t="e">
        <f t="shared" si="112"/>
        <v>#REF!</v>
      </c>
      <c r="AP197" s="575" t="e">
        <f t="shared" si="116"/>
        <v>#REF!</v>
      </c>
      <c r="AQ197" s="575" t="e">
        <f t="shared" si="118"/>
        <v>#REF!</v>
      </c>
      <c r="AR197" s="576" t="e">
        <f t="shared" si="113"/>
        <v>#REF!</v>
      </c>
      <c r="AS197" s="533" t="e">
        <f t="shared" si="115"/>
        <v>#REF!</v>
      </c>
      <c r="AT197" s="533"/>
      <c r="AU197" s="533"/>
      <c r="AV197" s="533" t="e">
        <f t="shared" si="97"/>
        <v>#REF!</v>
      </c>
      <c r="AW197" s="533" t="e">
        <f>AI197*#REF!+AI196*#REF!+AI195*#REF!</f>
        <v>#REF!</v>
      </c>
      <c r="AX197" s="456"/>
      <c r="AY197" s="584">
        <f t="shared" si="110"/>
        <v>1.3744702029739324</v>
      </c>
      <c r="AZ197" s="533">
        <f t="shared" si="98"/>
        <v>0</v>
      </c>
      <c r="BA197" s="533">
        <f>BA196*[1]mProject!V202</f>
        <v>0</v>
      </c>
      <c r="BB197" s="533">
        <f t="shared" si="114"/>
        <v>17781316.823329829</v>
      </c>
      <c r="BC197" s="456"/>
      <c r="BD197" s="586">
        <f>((BB197/100)*(i_CFD.ObliRate/12))*[1]i.Finance!$O$64</f>
        <v>59826.722228495157</v>
      </c>
      <c r="BE197" s="586">
        <f>(AZ197/100*[1]i.Finance!$O$61)*[1]i.Finance!$O$64</f>
        <v>0</v>
      </c>
      <c r="BF197" s="586">
        <f>(AZ197/100*[1]i.Finance!$O$65)</f>
        <v>0</v>
      </c>
      <c r="BG197" s="587">
        <f t="shared" si="99"/>
        <v>59826.722228495157</v>
      </c>
      <c r="BH197" s="456"/>
      <c r="BI197" s="586">
        <f>-PV([1]i.Finance!$O$63/12,[1]i.Finance!$O$62*12,mCFD!BG197)</f>
        <v>10233961.918709608</v>
      </c>
      <c r="BJ197" s="586">
        <f>BI197*[1]i.Finance!$O$58</f>
        <v>8033660.1061870428</v>
      </c>
      <c r="BK197" s="586"/>
      <c r="BL197" s="586"/>
      <c r="BP197" s="533"/>
      <c r="BQ197" s="533"/>
      <c r="BR197" s="533" t="e">
        <f t="shared" si="100"/>
        <v>#NAME?</v>
      </c>
      <c r="BS197" s="533" t="e">
        <f t="shared" si="101"/>
        <v>#NAME?</v>
      </c>
      <c r="BT197" s="533" t="e">
        <f t="shared" si="102"/>
        <v>#NAME?</v>
      </c>
      <c r="BU197" s="533"/>
    </row>
    <row r="198" spans="1:73" ht="17" hidden="1" outlineLevel="2" thickBot="1">
      <c r="A198" s="366"/>
      <c r="B198" s="562"/>
      <c r="C198" s="366"/>
      <c r="D198" s="454"/>
      <c r="E198" s="564">
        <f t="shared" si="111"/>
        <v>192</v>
      </c>
      <c r="F198" s="564">
        <f t="shared" si="103"/>
        <v>64</v>
      </c>
      <c r="G198" s="564">
        <f t="shared" si="104"/>
        <v>16</v>
      </c>
      <c r="H198" s="565">
        <f t="shared" si="117"/>
        <v>49643</v>
      </c>
      <c r="I198" s="566">
        <f t="shared" si="83"/>
        <v>2035</v>
      </c>
      <c r="K198" s="564">
        <f>[1]mProject!KB202</f>
        <v>0</v>
      </c>
      <c r="L198" s="564">
        <f t="shared" si="84"/>
        <v>950</v>
      </c>
      <c r="M198" s="564">
        <f t="shared" si="85"/>
        <v>295000</v>
      </c>
      <c r="N198" s="564">
        <f t="shared" si="86"/>
        <v>0</v>
      </c>
      <c r="O198" s="564">
        <f t="shared" si="105"/>
        <v>280250000</v>
      </c>
      <c r="P198" s="564">
        <f>[1]mProject!W202</f>
        <v>390232.33087380754</v>
      </c>
      <c r="Q198" s="564">
        <f t="shared" si="87"/>
        <v>0</v>
      </c>
      <c r="R198" s="564">
        <f t="shared" si="106"/>
        <v>296355280.38883054</v>
      </c>
      <c r="T198" s="564">
        <v>0</v>
      </c>
      <c r="U198" s="564">
        <f t="shared" si="88"/>
        <v>0</v>
      </c>
      <c r="V198" s="564">
        <f>IF(T198=0,0,$V$7*(1+#REF!)^#REF!)</f>
        <v>0</v>
      </c>
      <c r="W198" s="564">
        <f t="shared" si="107"/>
        <v>0</v>
      </c>
      <c r="X198" s="564">
        <f t="shared" si="89"/>
        <v>0</v>
      </c>
      <c r="Y198" s="564">
        <f t="shared" si="90"/>
        <v>0</v>
      </c>
      <c r="AA198" s="564">
        <v>0</v>
      </c>
      <c r="AB198" s="564">
        <f t="shared" si="91"/>
        <v>0</v>
      </c>
      <c r="AC198" s="564">
        <f>IF(AA198=0,0,$V$7*(1+#REF!)^#REF!)</f>
        <v>0</v>
      </c>
      <c r="AD198" s="564">
        <f t="shared" si="108"/>
        <v>0</v>
      </c>
      <c r="AE198" s="564">
        <f t="shared" si="92"/>
        <v>0</v>
      </c>
      <c r="AF198" s="564">
        <f t="shared" si="93"/>
        <v>0</v>
      </c>
      <c r="AH198" s="564">
        <f t="shared" si="94"/>
        <v>0</v>
      </c>
      <c r="AI198" s="564">
        <f t="shared" si="109"/>
        <v>950</v>
      </c>
      <c r="AJ198" s="564">
        <f t="shared" si="119"/>
        <v>0</v>
      </c>
      <c r="AK198" s="564">
        <f>AJ198*[1]mProject!V202</f>
        <v>0</v>
      </c>
      <c r="AL198" s="564">
        <f t="shared" si="95"/>
        <v>0</v>
      </c>
      <c r="AM198" s="564">
        <f t="shared" si="96"/>
        <v>0</v>
      </c>
      <c r="AN198" s="456"/>
      <c r="AO198" s="581" t="e">
        <f t="shared" si="112"/>
        <v>#REF!</v>
      </c>
      <c r="AP198" s="581" t="e">
        <f t="shared" si="116"/>
        <v>#REF!</v>
      </c>
      <c r="AQ198" s="581" t="e">
        <f t="shared" si="118"/>
        <v>#REF!</v>
      </c>
      <c r="AR198" s="582" t="e">
        <f t="shared" si="113"/>
        <v>#REF!</v>
      </c>
      <c r="AS198" s="564" t="e">
        <f t="shared" si="115"/>
        <v>#REF!</v>
      </c>
      <c r="AT198" s="564"/>
      <c r="AU198" s="564"/>
      <c r="AV198" s="564" t="e">
        <f t="shared" si="97"/>
        <v>#REF!</v>
      </c>
      <c r="AW198" s="564" t="e">
        <f>AI198*#REF!+AI197*#REF!+AI196*#REF!</f>
        <v>#REF!</v>
      </c>
      <c r="AX198" s="456"/>
      <c r="AY198" s="592">
        <f t="shared" si="110"/>
        <v>1.3767609866455557</v>
      </c>
      <c r="AZ198" s="564">
        <f t="shared" si="98"/>
        <v>0</v>
      </c>
      <c r="BA198" s="564">
        <f>BA197*[1]mProject!V203</f>
        <v>0</v>
      </c>
      <c r="BB198" s="564">
        <f t="shared" si="114"/>
        <v>17781316.823329829</v>
      </c>
      <c r="BC198" s="456"/>
      <c r="BD198" s="593">
        <f>((BB198/100)*(i_CFD.ObliRate/12))*[1]i.Finance!$O$64</f>
        <v>59826.722228495157</v>
      </c>
      <c r="BE198" s="593">
        <f>(AZ198/100*[1]i.Finance!$O$61)*[1]i.Finance!$O$64</f>
        <v>0</v>
      </c>
      <c r="BF198" s="593">
        <f>(AZ198/100*[1]i.Finance!$O$65)</f>
        <v>0</v>
      </c>
      <c r="BG198" s="594">
        <f t="shared" si="99"/>
        <v>59826.722228495157</v>
      </c>
      <c r="BH198" s="456"/>
      <c r="BI198" s="593">
        <f>-PV([1]i.Finance!$O$63/12,[1]i.Finance!$O$62*12,mCFD!BG198)</f>
        <v>10233961.918709608</v>
      </c>
      <c r="BJ198" s="593">
        <f>BI198*[1]i.Finance!$O$58</f>
        <v>8033660.1061870428</v>
      </c>
      <c r="BK198" s="593"/>
      <c r="BL198" s="593"/>
      <c r="BP198" s="564"/>
      <c r="BQ198" s="564"/>
      <c r="BR198" s="564" t="e">
        <f t="shared" si="100"/>
        <v>#NAME?</v>
      </c>
      <c r="BS198" s="564" t="e">
        <f t="shared" si="101"/>
        <v>#NAME?</v>
      </c>
      <c r="BT198" s="564" t="e">
        <f t="shared" si="102"/>
        <v>#NAME?</v>
      </c>
      <c r="BU198" s="564"/>
    </row>
    <row r="199" spans="1:73" ht="16" hidden="1" outlineLevel="2">
      <c r="A199" s="366"/>
      <c r="B199" s="562"/>
      <c r="C199" s="366"/>
      <c r="D199" s="454"/>
      <c r="E199" s="530">
        <f t="shared" si="111"/>
        <v>193</v>
      </c>
      <c r="F199" s="530">
        <f t="shared" si="103"/>
        <v>65</v>
      </c>
      <c r="G199" s="530">
        <f t="shared" si="104"/>
        <v>17</v>
      </c>
      <c r="H199" s="571">
        <f t="shared" si="117"/>
        <v>49674</v>
      </c>
      <c r="I199" s="532">
        <f t="shared" ref="I199:I262" si="120">YEAR(H199)</f>
        <v>2035</v>
      </c>
      <c r="K199" s="530">
        <f>[1]mProject!KB203</f>
        <v>0</v>
      </c>
      <c r="L199" s="530">
        <f t="shared" ref="L199:L262" si="121">+K199+L198</f>
        <v>950</v>
      </c>
      <c r="M199" s="530">
        <f t="shared" ref="M199:M262" si="122">M198</f>
        <v>295000</v>
      </c>
      <c r="N199" s="530">
        <f t="shared" ref="N199:N262" si="123">M199*K199</f>
        <v>0</v>
      </c>
      <c r="O199" s="530">
        <f t="shared" si="105"/>
        <v>280250000</v>
      </c>
      <c r="P199" s="530">
        <f>[1]mProject!W203</f>
        <v>390882.71809193055</v>
      </c>
      <c r="Q199" s="530">
        <f t="shared" ref="Q199:Q262" si="124">P199*K199</f>
        <v>0</v>
      </c>
      <c r="R199" s="530">
        <f t="shared" si="106"/>
        <v>296355280.38883054</v>
      </c>
      <c r="T199" s="530">
        <v>0</v>
      </c>
      <c r="U199" s="530">
        <f t="shared" ref="U199:U262" si="125">+T199+U198</f>
        <v>0</v>
      </c>
      <c r="V199" s="530">
        <f>IF(T199=0,0,$V$7*(1+#REF!)^#REF!)</f>
        <v>0</v>
      </c>
      <c r="W199" s="530">
        <f t="shared" si="107"/>
        <v>0</v>
      </c>
      <c r="X199" s="530">
        <f t="shared" ref="X199:X262" si="126">W199*T199</f>
        <v>0</v>
      </c>
      <c r="Y199" s="530">
        <f t="shared" ref="Y199:Y262" si="127">T199*V199</f>
        <v>0</v>
      </c>
      <c r="AA199" s="530">
        <v>0</v>
      </c>
      <c r="AB199" s="530">
        <f t="shared" ref="AB199:AB262" si="128">+AA199+AB198</f>
        <v>0</v>
      </c>
      <c r="AC199" s="530">
        <f>IF(AA199=0,0,$V$7*(1+#REF!)^#REF!)</f>
        <v>0</v>
      </c>
      <c r="AD199" s="530">
        <f t="shared" si="108"/>
        <v>0</v>
      </c>
      <c r="AE199" s="530">
        <f t="shared" ref="AE199:AE262" si="129">AD199*AA199</f>
        <v>0</v>
      </c>
      <c r="AF199" s="530">
        <f t="shared" ref="AF199:AF262" si="130">AA199*AC199</f>
        <v>0</v>
      </c>
      <c r="AH199" s="530">
        <f t="shared" ref="AH199:AH262" si="131">+K199+T199+AA199</f>
        <v>0</v>
      </c>
      <c r="AI199" s="530">
        <f t="shared" si="109"/>
        <v>950</v>
      </c>
      <c r="AJ199" s="530">
        <f t="shared" si="119"/>
        <v>0</v>
      </c>
      <c r="AK199" s="530">
        <f>AJ199*[1]mProject!V203</f>
        <v>0</v>
      </c>
      <c r="AL199" s="530">
        <f t="shared" ref="AL199:AL262" si="132">N199+X199+AE199</f>
        <v>0</v>
      </c>
      <c r="AM199" s="530">
        <f t="shared" ref="AM199:AM262" si="133">Q199</f>
        <v>0</v>
      </c>
      <c r="AN199" s="456"/>
      <c r="AO199" s="572" t="e">
        <f t="shared" si="112"/>
        <v>#REF!</v>
      </c>
      <c r="AP199" s="572" t="e">
        <f t="shared" si="116"/>
        <v>#REF!</v>
      </c>
      <c r="AQ199" s="572" t="e">
        <f t="shared" si="118"/>
        <v>#REF!</v>
      </c>
      <c r="AR199" s="573" t="e">
        <f t="shared" si="113"/>
        <v>#REF!</v>
      </c>
      <c r="AS199" s="530" t="e">
        <f t="shared" si="115"/>
        <v>#REF!</v>
      </c>
      <c r="AT199" s="530"/>
      <c r="AU199" s="530"/>
      <c r="AV199" s="530" t="e">
        <f t="shared" ref="AV199:AV262" si="134">SUM(AS199:AU199)</f>
        <v>#REF!</v>
      </c>
      <c r="AW199" s="530" t="e">
        <f>AI199*#REF!+AI198*#REF!+AI197*#REF!</f>
        <v>#REF!</v>
      </c>
      <c r="AX199" s="456"/>
      <c r="AY199" s="583">
        <f t="shared" si="110"/>
        <v>1.3790555882899651</v>
      </c>
      <c r="AZ199" s="530">
        <f t="shared" ref="AZ199:AZ262" si="135">(Q199*i_CFD.FullCashRatio*i_CFD.ResiAssesRatio)+(AU199*i_CFD.FullCashRatio*i_CFD.CommeAssesRatio)*AY199</f>
        <v>0</v>
      </c>
      <c r="BA199" s="530">
        <f>BA198*[1]mProject!V204</f>
        <v>0</v>
      </c>
      <c r="BB199" s="530">
        <f t="shared" si="114"/>
        <v>17781316.823329829</v>
      </c>
      <c r="BC199" s="456"/>
      <c r="BD199" s="590">
        <f>((BB199/100)*(i_CFD.ObliRate/12))*[1]i.Finance!$O$64</f>
        <v>59826.722228495157</v>
      </c>
      <c r="BE199" s="590">
        <f>(AZ199/100*[1]i.Finance!$O$61)*[1]i.Finance!$O$64</f>
        <v>0</v>
      </c>
      <c r="BF199" s="590">
        <f>(AZ199/100*[1]i.Finance!$O$65)</f>
        <v>0</v>
      </c>
      <c r="BG199" s="591">
        <f t="shared" ref="BG199:BG262" si="136">BD199+BF199</f>
        <v>59826.722228495157</v>
      </c>
      <c r="BH199" s="456"/>
      <c r="BI199" s="590">
        <f>-PV([1]i.Finance!$O$63/12,[1]i.Finance!$O$62*12,mCFD!BG199)</f>
        <v>10233961.918709608</v>
      </c>
      <c r="BJ199" s="590">
        <f>BI199*[1]i.Finance!$O$58</f>
        <v>8033660.1061870428</v>
      </c>
      <c r="BK199" s="590"/>
      <c r="BL199" s="590"/>
      <c r="BP199" s="530"/>
      <c r="BQ199" s="530"/>
      <c r="BR199" s="530" t="e">
        <f t="shared" ref="BR199:BR262" si="137">LOOKUP(H199,cv_Dates,cv_Lots.Sold)*$BR$5</f>
        <v>#NAME?</v>
      </c>
      <c r="BS199" s="530" t="e">
        <f t="shared" ref="BS199:BS262" si="138">BR199*-$BS$5</f>
        <v>#NAME?</v>
      </c>
      <c r="BT199" s="530" t="e">
        <f t="shared" ref="BT199:BT262" si="139">BR199+BS199</f>
        <v>#NAME?</v>
      </c>
      <c r="BU199" s="530"/>
    </row>
    <row r="200" spans="1:73" ht="16" hidden="1" outlineLevel="2">
      <c r="A200" s="366"/>
      <c r="B200" s="562"/>
      <c r="C200" s="366"/>
      <c r="D200" s="454"/>
      <c r="E200" s="533">
        <f t="shared" si="111"/>
        <v>194</v>
      </c>
      <c r="F200" s="533">
        <f t="shared" ref="F200:F263" si="140">INT(INT(E200+2)/3)</f>
        <v>65</v>
      </c>
      <c r="G200" s="533">
        <f t="shared" ref="G200:G263" si="141">MIN(INT(YEARFRAC(H$7,EDATE(H200,12),3)))</f>
        <v>17</v>
      </c>
      <c r="H200" s="541">
        <f t="shared" si="117"/>
        <v>49705</v>
      </c>
      <c r="I200" s="542">
        <f t="shared" si="120"/>
        <v>2036</v>
      </c>
      <c r="K200" s="533">
        <f>[1]mProject!KB204</f>
        <v>0</v>
      </c>
      <c r="L200" s="533">
        <f t="shared" si="121"/>
        <v>950</v>
      </c>
      <c r="M200" s="533">
        <f t="shared" si="122"/>
        <v>295000</v>
      </c>
      <c r="N200" s="533">
        <f t="shared" si="123"/>
        <v>0</v>
      </c>
      <c r="O200" s="533">
        <f t="shared" ref="O200:O263" si="142">O199+N200</f>
        <v>280250000</v>
      </c>
      <c r="P200" s="533">
        <f>[1]mProject!W204</f>
        <v>391534.18928875047</v>
      </c>
      <c r="Q200" s="533">
        <f t="shared" si="124"/>
        <v>0</v>
      </c>
      <c r="R200" s="533">
        <f t="shared" ref="R200:R263" si="143">R199+Q200</f>
        <v>296355280.38883054</v>
      </c>
      <c r="T200" s="533">
        <v>0</v>
      </c>
      <c r="U200" s="533">
        <f t="shared" si="125"/>
        <v>0</v>
      </c>
      <c r="V200" s="533">
        <f>IF(T200=0,0,$V$7*(1+#REF!)^#REF!)</f>
        <v>0</v>
      </c>
      <c r="W200" s="533">
        <f t="shared" ref="W200:W263" si="144">IF(T200=0,0,$V$7)</f>
        <v>0</v>
      </c>
      <c r="X200" s="533">
        <f t="shared" si="126"/>
        <v>0</v>
      </c>
      <c r="Y200" s="533">
        <f t="shared" si="127"/>
        <v>0</v>
      </c>
      <c r="AA200" s="533">
        <v>0</v>
      </c>
      <c r="AB200" s="533">
        <f t="shared" si="128"/>
        <v>0</v>
      </c>
      <c r="AC200" s="533">
        <f>IF(AA200=0,0,$V$7*(1+#REF!)^#REF!)</f>
        <v>0</v>
      </c>
      <c r="AD200" s="533">
        <f t="shared" ref="AD200:AD263" si="145">IF(AA200=0,0,$V$7)</f>
        <v>0</v>
      </c>
      <c r="AE200" s="533">
        <f t="shared" si="129"/>
        <v>0</v>
      </c>
      <c r="AF200" s="533">
        <f t="shared" si="130"/>
        <v>0</v>
      </c>
      <c r="AH200" s="533">
        <f t="shared" si="131"/>
        <v>0</v>
      </c>
      <c r="AI200" s="533">
        <f t="shared" ref="AI200:AI263" si="146">+AH200+AI199</f>
        <v>950</v>
      </c>
      <c r="AJ200" s="533">
        <f t="shared" si="119"/>
        <v>0</v>
      </c>
      <c r="AK200" s="533">
        <f>AJ200*[1]mProject!V204</f>
        <v>0</v>
      </c>
      <c r="AL200" s="533">
        <f t="shared" si="132"/>
        <v>0</v>
      </c>
      <c r="AM200" s="533">
        <f t="shared" si="133"/>
        <v>0</v>
      </c>
      <c r="AN200" s="456"/>
      <c r="AO200" s="575" t="e">
        <f t="shared" si="112"/>
        <v>#REF!</v>
      </c>
      <c r="AP200" s="575" t="e">
        <f t="shared" si="116"/>
        <v>#REF!</v>
      </c>
      <c r="AQ200" s="575" t="e">
        <f t="shared" si="118"/>
        <v>#REF!</v>
      </c>
      <c r="AR200" s="576" t="e">
        <f t="shared" si="113"/>
        <v>#REF!</v>
      </c>
      <c r="AS200" s="533" t="e">
        <f t="shared" si="115"/>
        <v>#REF!</v>
      </c>
      <c r="AT200" s="533"/>
      <c r="AU200" s="533"/>
      <c r="AV200" s="533" t="e">
        <f t="shared" si="134"/>
        <v>#REF!</v>
      </c>
      <c r="AW200" s="533" t="e">
        <f>AI200*#REF!+AI199*#REF!+AI198*#REF!</f>
        <v>#REF!</v>
      </c>
      <c r="AX200" s="456"/>
      <c r="AY200" s="584">
        <f t="shared" ref="AY200:AY263" si="147">AY199*(1+i_CFD.AV.Inflation/12)</f>
        <v>1.3813540142704483</v>
      </c>
      <c r="AZ200" s="533">
        <f t="shared" si="135"/>
        <v>0</v>
      </c>
      <c r="BA200" s="533">
        <f>BA199*[1]mProject!V205</f>
        <v>0</v>
      </c>
      <c r="BB200" s="533">
        <f t="shared" si="114"/>
        <v>17781316.823329829</v>
      </c>
      <c r="BC200" s="456"/>
      <c r="BD200" s="586">
        <f>((BB200/100)*(i_CFD.ObliRate/12))*[1]i.Finance!$O$64</f>
        <v>59826.722228495157</v>
      </c>
      <c r="BE200" s="586">
        <f>(AZ200/100*[1]i.Finance!$O$61)*[1]i.Finance!$O$64</f>
        <v>0</v>
      </c>
      <c r="BF200" s="586">
        <f>(AZ200/100*[1]i.Finance!$O$65)</f>
        <v>0</v>
      </c>
      <c r="BG200" s="587">
        <f t="shared" si="136"/>
        <v>59826.722228495157</v>
      </c>
      <c r="BH200" s="456"/>
      <c r="BI200" s="586">
        <f>-PV([1]i.Finance!$O$63/12,[1]i.Finance!$O$62*12,mCFD!BG200)</f>
        <v>10233961.918709608</v>
      </c>
      <c r="BJ200" s="586">
        <f>BI200*[1]i.Finance!$O$58</f>
        <v>8033660.1061870428</v>
      </c>
      <c r="BK200" s="586"/>
      <c r="BL200" s="586"/>
      <c r="BP200" s="533"/>
      <c r="BQ200" s="533"/>
      <c r="BR200" s="533" t="e">
        <f t="shared" si="137"/>
        <v>#NAME?</v>
      </c>
      <c r="BS200" s="533" t="e">
        <f t="shared" si="138"/>
        <v>#NAME?</v>
      </c>
      <c r="BT200" s="533" t="e">
        <f t="shared" si="139"/>
        <v>#NAME?</v>
      </c>
      <c r="BU200" s="533"/>
    </row>
    <row r="201" spans="1:73" ht="16" hidden="1" outlineLevel="2">
      <c r="A201" s="366"/>
      <c r="B201" s="562"/>
      <c r="C201" s="366"/>
      <c r="D201" s="454"/>
      <c r="E201" s="547">
        <f t="shared" ref="E201:E264" si="148">E200+1</f>
        <v>195</v>
      </c>
      <c r="F201" s="547">
        <f t="shared" si="140"/>
        <v>65</v>
      </c>
      <c r="G201" s="547">
        <f t="shared" si="141"/>
        <v>17</v>
      </c>
      <c r="H201" s="548">
        <f t="shared" si="117"/>
        <v>49734</v>
      </c>
      <c r="I201" s="549">
        <f t="shared" si="120"/>
        <v>2036</v>
      </c>
      <c r="K201" s="547">
        <f>[1]mProject!KB205</f>
        <v>0</v>
      </c>
      <c r="L201" s="547">
        <f t="shared" si="121"/>
        <v>950</v>
      </c>
      <c r="M201" s="547">
        <f t="shared" si="122"/>
        <v>295000</v>
      </c>
      <c r="N201" s="547">
        <f t="shared" si="123"/>
        <v>0</v>
      </c>
      <c r="O201" s="547">
        <f t="shared" si="142"/>
        <v>280250000</v>
      </c>
      <c r="P201" s="547">
        <f>[1]mProject!W205</f>
        <v>392186.74627089838</v>
      </c>
      <c r="Q201" s="547">
        <f t="shared" si="124"/>
        <v>0</v>
      </c>
      <c r="R201" s="547">
        <f t="shared" si="143"/>
        <v>296355280.38883054</v>
      </c>
      <c r="T201" s="547">
        <v>0</v>
      </c>
      <c r="U201" s="547">
        <f t="shared" si="125"/>
        <v>0</v>
      </c>
      <c r="V201" s="547">
        <f>IF(T201=0,0,$V$7*(1+#REF!)^#REF!)</f>
        <v>0</v>
      </c>
      <c r="W201" s="547">
        <f t="shared" si="144"/>
        <v>0</v>
      </c>
      <c r="X201" s="547">
        <f t="shared" si="126"/>
        <v>0</v>
      </c>
      <c r="Y201" s="547">
        <f t="shared" si="127"/>
        <v>0</v>
      </c>
      <c r="AA201" s="547">
        <v>0</v>
      </c>
      <c r="AB201" s="547">
        <f t="shared" si="128"/>
        <v>0</v>
      </c>
      <c r="AC201" s="547">
        <f>IF(AA201=0,0,$V$7*(1+#REF!)^#REF!)</f>
        <v>0</v>
      </c>
      <c r="AD201" s="547">
        <f t="shared" si="145"/>
        <v>0</v>
      </c>
      <c r="AE201" s="547">
        <f t="shared" si="129"/>
        <v>0</v>
      </c>
      <c r="AF201" s="547">
        <f t="shared" si="130"/>
        <v>0</v>
      </c>
      <c r="AH201" s="547">
        <f t="shared" si="131"/>
        <v>0</v>
      </c>
      <c r="AI201" s="547">
        <f t="shared" si="146"/>
        <v>950</v>
      </c>
      <c r="AJ201" s="547">
        <f t="shared" si="119"/>
        <v>0</v>
      </c>
      <c r="AK201" s="547">
        <f>AJ201*[1]mProject!V205</f>
        <v>0</v>
      </c>
      <c r="AL201" s="547">
        <f t="shared" si="132"/>
        <v>0</v>
      </c>
      <c r="AM201" s="547">
        <f t="shared" si="133"/>
        <v>0</v>
      </c>
      <c r="AN201" s="456"/>
      <c r="AO201" s="577" t="e">
        <f t="shared" si="112"/>
        <v>#REF!</v>
      </c>
      <c r="AP201" s="577" t="e">
        <f t="shared" si="116"/>
        <v>#REF!</v>
      </c>
      <c r="AQ201" s="577" t="e">
        <f t="shared" si="118"/>
        <v>#REF!</v>
      </c>
      <c r="AR201" s="578" t="e">
        <f t="shared" si="113"/>
        <v>#REF!</v>
      </c>
      <c r="AS201" s="547" t="e">
        <f t="shared" si="115"/>
        <v>#REF!</v>
      </c>
      <c r="AT201" s="547"/>
      <c r="AU201" s="547"/>
      <c r="AV201" s="547" t="e">
        <f t="shared" si="134"/>
        <v>#REF!</v>
      </c>
      <c r="AW201" s="547" t="e">
        <f>AI201*#REF!+AI200*#REF!+AI199*#REF!</f>
        <v>#REF!</v>
      </c>
      <c r="AX201" s="456"/>
      <c r="AY201" s="585">
        <f t="shared" si="147"/>
        <v>1.383656270960899</v>
      </c>
      <c r="AZ201" s="547">
        <f t="shared" si="135"/>
        <v>0</v>
      </c>
      <c r="BA201" s="547">
        <f>BA200*[1]mProject!V206</f>
        <v>0</v>
      </c>
      <c r="BB201" s="547">
        <f t="shared" si="114"/>
        <v>17781316.823329829</v>
      </c>
      <c r="BC201" s="456"/>
      <c r="BD201" s="588">
        <f>((BB201/100)*(i_CFD.ObliRate/12))*[1]i.Finance!$O$64</f>
        <v>59826.722228495157</v>
      </c>
      <c r="BE201" s="588">
        <f>(AZ201/100*[1]i.Finance!$O$61)*[1]i.Finance!$O$64</f>
        <v>0</v>
      </c>
      <c r="BF201" s="588">
        <f>(AZ201/100*[1]i.Finance!$O$65)</f>
        <v>0</v>
      </c>
      <c r="BG201" s="589">
        <f t="shared" si="136"/>
        <v>59826.722228495157</v>
      </c>
      <c r="BH201" s="456"/>
      <c r="BI201" s="588">
        <f>-PV([1]i.Finance!$O$63/12,[1]i.Finance!$O$62*12,mCFD!BG201)</f>
        <v>10233961.918709608</v>
      </c>
      <c r="BJ201" s="588">
        <f>BI201*[1]i.Finance!$O$58</f>
        <v>8033660.1061870428</v>
      </c>
      <c r="BK201" s="588"/>
      <c r="BL201" s="588"/>
      <c r="BP201" s="547"/>
      <c r="BQ201" s="547"/>
      <c r="BR201" s="547" t="e">
        <f t="shared" si="137"/>
        <v>#NAME?</v>
      </c>
      <c r="BS201" s="547" t="e">
        <f t="shared" si="138"/>
        <v>#NAME?</v>
      </c>
      <c r="BT201" s="547" t="e">
        <f t="shared" si="139"/>
        <v>#NAME?</v>
      </c>
      <c r="BU201" s="547"/>
    </row>
    <row r="202" spans="1:73" ht="16" hidden="1" outlineLevel="2">
      <c r="A202" s="366"/>
      <c r="B202" s="562"/>
      <c r="C202" s="366"/>
      <c r="D202" s="454"/>
      <c r="E202" s="530">
        <f t="shared" si="148"/>
        <v>196</v>
      </c>
      <c r="F202" s="530">
        <f t="shared" si="140"/>
        <v>66</v>
      </c>
      <c r="G202" s="530">
        <f t="shared" si="141"/>
        <v>17</v>
      </c>
      <c r="H202" s="554">
        <f t="shared" si="117"/>
        <v>49765</v>
      </c>
      <c r="I202" s="555">
        <f t="shared" si="120"/>
        <v>2036</v>
      </c>
      <c r="K202" s="530">
        <f>[1]mProject!KB206</f>
        <v>0</v>
      </c>
      <c r="L202" s="530">
        <f t="shared" si="121"/>
        <v>950</v>
      </c>
      <c r="M202" s="530">
        <f t="shared" si="122"/>
        <v>295000</v>
      </c>
      <c r="N202" s="530">
        <f t="shared" si="123"/>
        <v>0</v>
      </c>
      <c r="O202" s="530">
        <f t="shared" si="142"/>
        <v>280250000</v>
      </c>
      <c r="P202" s="530">
        <f>[1]mProject!W206</f>
        <v>392840.39084801654</v>
      </c>
      <c r="Q202" s="530">
        <f t="shared" si="124"/>
        <v>0</v>
      </c>
      <c r="R202" s="530">
        <f t="shared" si="143"/>
        <v>296355280.38883054</v>
      </c>
      <c r="T202" s="530">
        <v>0</v>
      </c>
      <c r="U202" s="530">
        <f t="shared" si="125"/>
        <v>0</v>
      </c>
      <c r="V202" s="530">
        <f>IF(T202=0,0,$V$7*(1+#REF!)^#REF!)</f>
        <v>0</v>
      </c>
      <c r="W202" s="530">
        <f t="shared" si="144"/>
        <v>0</v>
      </c>
      <c r="X202" s="530">
        <f t="shared" si="126"/>
        <v>0</v>
      </c>
      <c r="Y202" s="530">
        <f t="shared" si="127"/>
        <v>0</v>
      </c>
      <c r="AA202" s="530">
        <v>0</v>
      </c>
      <c r="AB202" s="530">
        <f t="shared" si="128"/>
        <v>0</v>
      </c>
      <c r="AC202" s="530">
        <f>IF(AA202=0,0,$V$7*(1+#REF!)^#REF!)</f>
        <v>0</v>
      </c>
      <c r="AD202" s="530">
        <f t="shared" si="145"/>
        <v>0</v>
      </c>
      <c r="AE202" s="530">
        <f t="shared" si="129"/>
        <v>0</v>
      </c>
      <c r="AF202" s="530">
        <f t="shared" si="130"/>
        <v>0</v>
      </c>
      <c r="AH202" s="530">
        <f t="shared" si="131"/>
        <v>0</v>
      </c>
      <c r="AI202" s="530">
        <f t="shared" si="146"/>
        <v>950</v>
      </c>
      <c r="AJ202" s="530">
        <f t="shared" si="119"/>
        <v>0</v>
      </c>
      <c r="AK202" s="530">
        <f>AJ202*[1]mProject!V206</f>
        <v>0</v>
      </c>
      <c r="AL202" s="530">
        <f t="shared" si="132"/>
        <v>0</v>
      </c>
      <c r="AM202" s="530">
        <f t="shared" si="133"/>
        <v>0</v>
      </c>
      <c r="AN202" s="456"/>
      <c r="AO202" s="572" t="e">
        <f t="shared" si="112"/>
        <v>#REF!</v>
      </c>
      <c r="AP202" s="572" t="e">
        <f t="shared" si="116"/>
        <v>#REF!</v>
      </c>
      <c r="AQ202" s="572" t="e">
        <f t="shared" si="118"/>
        <v>#REF!</v>
      </c>
      <c r="AR202" s="573" t="e">
        <f t="shared" si="113"/>
        <v>#REF!</v>
      </c>
      <c r="AS202" s="530" t="e">
        <f t="shared" si="115"/>
        <v>#REF!</v>
      </c>
      <c r="AT202" s="530"/>
      <c r="AU202" s="530"/>
      <c r="AV202" s="530" t="e">
        <f t="shared" si="134"/>
        <v>#REF!</v>
      </c>
      <c r="AW202" s="530" t="e">
        <f>AI202*#REF!+AI201*#REF!+AI200*#REF!</f>
        <v>#REF!</v>
      </c>
      <c r="AX202" s="456"/>
      <c r="AY202" s="583">
        <f t="shared" si="147"/>
        <v>1.3859623647458339</v>
      </c>
      <c r="AZ202" s="530">
        <f t="shared" si="135"/>
        <v>0</v>
      </c>
      <c r="BA202" s="530">
        <f>BA201*[1]mProject!V207</f>
        <v>0</v>
      </c>
      <c r="BB202" s="530">
        <f t="shared" si="114"/>
        <v>17781316.823329829</v>
      </c>
      <c r="BC202" s="456"/>
      <c r="BD202" s="590">
        <f>((BB202/100)*(i_CFD.ObliRate/12))*[1]i.Finance!$O$64</f>
        <v>59826.722228495157</v>
      </c>
      <c r="BE202" s="590">
        <f>(AZ202/100*[1]i.Finance!$O$61)*[1]i.Finance!$O$64</f>
        <v>0</v>
      </c>
      <c r="BF202" s="590">
        <f>(AZ202/100*[1]i.Finance!$O$65)</f>
        <v>0</v>
      </c>
      <c r="BG202" s="591">
        <f t="shared" si="136"/>
        <v>59826.722228495157</v>
      </c>
      <c r="BH202" s="456"/>
      <c r="BI202" s="590">
        <f>-PV([1]i.Finance!$O$63/12,[1]i.Finance!$O$62*12,mCFD!BG202)</f>
        <v>10233961.918709608</v>
      </c>
      <c r="BJ202" s="590">
        <f>BI202*[1]i.Finance!$O$58</f>
        <v>8033660.1061870428</v>
      </c>
      <c r="BK202" s="590"/>
      <c r="BL202" s="590"/>
      <c r="BP202" s="530"/>
      <c r="BQ202" s="530"/>
      <c r="BR202" s="530" t="e">
        <f t="shared" si="137"/>
        <v>#NAME?</v>
      </c>
      <c r="BS202" s="530" t="e">
        <f t="shared" si="138"/>
        <v>#NAME?</v>
      </c>
      <c r="BT202" s="530" t="e">
        <f t="shared" si="139"/>
        <v>#NAME?</v>
      </c>
      <c r="BU202" s="530"/>
    </row>
    <row r="203" spans="1:73" ht="16" hidden="1" outlineLevel="2">
      <c r="A203" s="366"/>
      <c r="B203" s="562"/>
      <c r="C203" s="366"/>
      <c r="D203" s="454"/>
      <c r="E203" s="533">
        <f t="shared" si="148"/>
        <v>197</v>
      </c>
      <c r="F203" s="533">
        <f t="shared" si="140"/>
        <v>66</v>
      </c>
      <c r="G203" s="533">
        <f t="shared" si="141"/>
        <v>17</v>
      </c>
      <c r="H203" s="541">
        <f t="shared" si="117"/>
        <v>49795</v>
      </c>
      <c r="I203" s="542">
        <f t="shared" si="120"/>
        <v>2036</v>
      </c>
      <c r="K203" s="533">
        <f>[1]mProject!KB207</f>
        <v>0</v>
      </c>
      <c r="L203" s="533">
        <f t="shared" si="121"/>
        <v>950</v>
      </c>
      <c r="M203" s="533">
        <f t="shared" si="122"/>
        <v>295000</v>
      </c>
      <c r="N203" s="533">
        <f t="shared" si="123"/>
        <v>0</v>
      </c>
      <c r="O203" s="533">
        <f t="shared" si="142"/>
        <v>280250000</v>
      </c>
      <c r="P203" s="533">
        <f>[1]mProject!W207</f>
        <v>393495.12483276328</v>
      </c>
      <c r="Q203" s="533">
        <f t="shared" si="124"/>
        <v>0</v>
      </c>
      <c r="R203" s="533">
        <f t="shared" si="143"/>
        <v>296355280.38883054</v>
      </c>
      <c r="T203" s="533">
        <v>0</v>
      </c>
      <c r="U203" s="533">
        <f t="shared" si="125"/>
        <v>0</v>
      </c>
      <c r="V203" s="533">
        <f>IF(T203=0,0,$V$7*(1+#REF!)^#REF!)</f>
        <v>0</v>
      </c>
      <c r="W203" s="533">
        <f t="shared" si="144"/>
        <v>0</v>
      </c>
      <c r="X203" s="533">
        <f t="shared" si="126"/>
        <v>0</v>
      </c>
      <c r="Y203" s="533">
        <f t="shared" si="127"/>
        <v>0</v>
      </c>
      <c r="AA203" s="533">
        <v>0</v>
      </c>
      <c r="AB203" s="533">
        <f t="shared" si="128"/>
        <v>0</v>
      </c>
      <c r="AC203" s="533">
        <f>IF(AA203=0,0,$V$7*(1+#REF!)^#REF!)</f>
        <v>0</v>
      </c>
      <c r="AD203" s="533">
        <f t="shared" si="145"/>
        <v>0</v>
      </c>
      <c r="AE203" s="533">
        <f t="shared" si="129"/>
        <v>0</v>
      </c>
      <c r="AF203" s="533">
        <f t="shared" si="130"/>
        <v>0</v>
      </c>
      <c r="AH203" s="533">
        <f t="shared" si="131"/>
        <v>0</v>
      </c>
      <c r="AI203" s="533">
        <f t="shared" si="146"/>
        <v>950</v>
      </c>
      <c r="AJ203" s="533">
        <f t="shared" si="119"/>
        <v>0</v>
      </c>
      <c r="AK203" s="533">
        <f>AJ203*[1]mProject!V207</f>
        <v>0</v>
      </c>
      <c r="AL203" s="533">
        <f t="shared" si="132"/>
        <v>0</v>
      </c>
      <c r="AM203" s="533">
        <f t="shared" si="133"/>
        <v>0</v>
      </c>
      <c r="AN203" s="456"/>
      <c r="AO203" s="575" t="e">
        <f t="shared" si="112"/>
        <v>#REF!</v>
      </c>
      <c r="AP203" s="575" t="e">
        <f t="shared" si="116"/>
        <v>#REF!</v>
      </c>
      <c r="AQ203" s="575" t="e">
        <f t="shared" si="118"/>
        <v>#REF!</v>
      </c>
      <c r="AR203" s="576" t="e">
        <f t="shared" si="113"/>
        <v>#REF!</v>
      </c>
      <c r="AS203" s="533" t="e">
        <f t="shared" si="115"/>
        <v>#REF!</v>
      </c>
      <c r="AT203" s="533"/>
      <c r="AU203" s="533"/>
      <c r="AV203" s="533" t="e">
        <f t="shared" si="134"/>
        <v>#REF!</v>
      </c>
      <c r="AW203" s="533" t="e">
        <f>AI203*#REF!+AI202*#REF!+AI201*#REF!</f>
        <v>#REF!</v>
      </c>
      <c r="AX203" s="456"/>
      <c r="AY203" s="584">
        <f t="shared" si="147"/>
        <v>1.3882723020204104</v>
      </c>
      <c r="AZ203" s="533">
        <f t="shared" si="135"/>
        <v>0</v>
      </c>
      <c r="BA203" s="533">
        <f>BA202*[1]mProject!V208</f>
        <v>0</v>
      </c>
      <c r="BB203" s="533">
        <f t="shared" si="114"/>
        <v>17781316.823329829</v>
      </c>
      <c r="BC203" s="456"/>
      <c r="BD203" s="586">
        <f>((BB203/100)*(i_CFD.ObliRate/12))*[1]i.Finance!$O$64</f>
        <v>59826.722228495157</v>
      </c>
      <c r="BE203" s="586">
        <f>(AZ203/100*[1]i.Finance!$O$61)*[1]i.Finance!$O$64</f>
        <v>0</v>
      </c>
      <c r="BF203" s="586">
        <f>(AZ203/100*[1]i.Finance!$O$65)</f>
        <v>0</v>
      </c>
      <c r="BG203" s="587">
        <f t="shared" si="136"/>
        <v>59826.722228495157</v>
      </c>
      <c r="BH203" s="456"/>
      <c r="BI203" s="586">
        <f>-PV([1]i.Finance!$O$63/12,[1]i.Finance!$O$62*12,mCFD!BG203)</f>
        <v>10233961.918709608</v>
      </c>
      <c r="BJ203" s="586">
        <f>BI203*[1]i.Finance!$O$58</f>
        <v>8033660.1061870428</v>
      </c>
      <c r="BK203" s="586"/>
      <c r="BL203" s="586"/>
      <c r="BP203" s="533"/>
      <c r="BQ203" s="533"/>
      <c r="BR203" s="533" t="e">
        <f t="shared" si="137"/>
        <v>#NAME?</v>
      </c>
      <c r="BS203" s="533" t="e">
        <f t="shared" si="138"/>
        <v>#NAME?</v>
      </c>
      <c r="BT203" s="533" t="e">
        <f t="shared" si="139"/>
        <v>#NAME?</v>
      </c>
      <c r="BU203" s="533"/>
    </row>
    <row r="204" spans="1:73" ht="16" hidden="1" outlineLevel="2">
      <c r="A204" s="366"/>
      <c r="B204" s="562"/>
      <c r="C204" s="366"/>
      <c r="D204" s="454"/>
      <c r="E204" s="547">
        <f t="shared" si="148"/>
        <v>198</v>
      </c>
      <c r="F204" s="547">
        <f t="shared" si="140"/>
        <v>66</v>
      </c>
      <c r="G204" s="547">
        <f t="shared" si="141"/>
        <v>17</v>
      </c>
      <c r="H204" s="548">
        <f t="shared" si="117"/>
        <v>49826</v>
      </c>
      <c r="I204" s="549">
        <f t="shared" si="120"/>
        <v>2036</v>
      </c>
      <c r="K204" s="547">
        <f>[1]mProject!KB208</f>
        <v>0</v>
      </c>
      <c r="L204" s="547">
        <f t="shared" si="121"/>
        <v>950</v>
      </c>
      <c r="M204" s="547">
        <f t="shared" si="122"/>
        <v>295000</v>
      </c>
      <c r="N204" s="547">
        <f t="shared" si="123"/>
        <v>0</v>
      </c>
      <c r="O204" s="547">
        <f t="shared" si="142"/>
        <v>280250000</v>
      </c>
      <c r="P204" s="547">
        <f>[1]mProject!W208</f>
        <v>394150.9500408179</v>
      </c>
      <c r="Q204" s="547">
        <f t="shared" si="124"/>
        <v>0</v>
      </c>
      <c r="R204" s="547">
        <f t="shared" si="143"/>
        <v>296355280.38883054</v>
      </c>
      <c r="T204" s="547">
        <v>0</v>
      </c>
      <c r="U204" s="547">
        <f t="shared" si="125"/>
        <v>0</v>
      </c>
      <c r="V204" s="547">
        <f>IF(T204=0,0,$V$7*(1+#REF!)^#REF!)</f>
        <v>0</v>
      </c>
      <c r="W204" s="547">
        <f t="shared" si="144"/>
        <v>0</v>
      </c>
      <c r="X204" s="547">
        <f t="shared" si="126"/>
        <v>0</v>
      </c>
      <c r="Y204" s="547">
        <f t="shared" si="127"/>
        <v>0</v>
      </c>
      <c r="AA204" s="547">
        <v>0</v>
      </c>
      <c r="AB204" s="547">
        <f t="shared" si="128"/>
        <v>0</v>
      </c>
      <c r="AC204" s="547">
        <f>IF(AA204=0,0,$V$7*(1+#REF!)^#REF!)</f>
        <v>0</v>
      </c>
      <c r="AD204" s="547">
        <f t="shared" si="145"/>
        <v>0</v>
      </c>
      <c r="AE204" s="547">
        <f t="shared" si="129"/>
        <v>0</v>
      </c>
      <c r="AF204" s="547">
        <f t="shared" si="130"/>
        <v>0</v>
      </c>
      <c r="AH204" s="547">
        <f t="shared" si="131"/>
        <v>0</v>
      </c>
      <c r="AI204" s="547">
        <f t="shared" si="146"/>
        <v>950</v>
      </c>
      <c r="AJ204" s="547">
        <f t="shared" si="119"/>
        <v>0</v>
      </c>
      <c r="AK204" s="547">
        <f>AJ204*[1]mProject!V208</f>
        <v>0</v>
      </c>
      <c r="AL204" s="547">
        <f t="shared" si="132"/>
        <v>0</v>
      </c>
      <c r="AM204" s="547">
        <f t="shared" si="133"/>
        <v>0</v>
      </c>
      <c r="AN204" s="456"/>
      <c r="AO204" s="577" t="e">
        <f t="shared" si="112"/>
        <v>#REF!</v>
      </c>
      <c r="AP204" s="577" t="e">
        <f t="shared" si="116"/>
        <v>#REF!</v>
      </c>
      <c r="AQ204" s="577" t="e">
        <f t="shared" si="118"/>
        <v>#REF!</v>
      </c>
      <c r="AR204" s="578" t="e">
        <f t="shared" si="113"/>
        <v>#REF!</v>
      </c>
      <c r="AS204" s="547" t="e">
        <f t="shared" si="115"/>
        <v>#REF!</v>
      </c>
      <c r="AT204" s="547"/>
      <c r="AU204" s="547"/>
      <c r="AV204" s="547" t="e">
        <f t="shared" si="134"/>
        <v>#REF!</v>
      </c>
      <c r="AW204" s="547" t="e">
        <f>AI204*#REF!+AI203*#REF!+AI202*#REF!</f>
        <v>#REF!</v>
      </c>
      <c r="AX204" s="456"/>
      <c r="AY204" s="585">
        <f t="shared" si="147"/>
        <v>1.3905860891904445</v>
      </c>
      <c r="AZ204" s="547">
        <f t="shared" si="135"/>
        <v>0</v>
      </c>
      <c r="BA204" s="547">
        <f>BA203*[1]mProject!V209</f>
        <v>0</v>
      </c>
      <c r="BB204" s="547">
        <f t="shared" si="114"/>
        <v>17781316.823329829</v>
      </c>
      <c r="BC204" s="456"/>
      <c r="BD204" s="588">
        <f>((BB204/100)*(i_CFD.ObliRate/12))*[1]i.Finance!$O$64</f>
        <v>59826.722228495157</v>
      </c>
      <c r="BE204" s="588">
        <f>(AZ204/100*[1]i.Finance!$O$61)*[1]i.Finance!$O$64</f>
        <v>0</v>
      </c>
      <c r="BF204" s="588">
        <f>(AZ204/100*[1]i.Finance!$O$65)</f>
        <v>0</v>
      </c>
      <c r="BG204" s="589">
        <f t="shared" si="136"/>
        <v>59826.722228495157</v>
      </c>
      <c r="BH204" s="456"/>
      <c r="BI204" s="588">
        <f>-PV([1]i.Finance!$O$63/12,[1]i.Finance!$O$62*12,mCFD!BG204)</f>
        <v>10233961.918709608</v>
      </c>
      <c r="BJ204" s="588">
        <f>BI204*[1]i.Finance!$O$58</f>
        <v>8033660.1061870428</v>
      </c>
      <c r="BK204" s="588"/>
      <c r="BL204" s="588"/>
      <c r="BP204" s="547"/>
      <c r="BQ204" s="547"/>
      <c r="BR204" s="547" t="e">
        <f t="shared" si="137"/>
        <v>#NAME?</v>
      </c>
      <c r="BS204" s="547" t="e">
        <f t="shared" si="138"/>
        <v>#NAME?</v>
      </c>
      <c r="BT204" s="547" t="e">
        <f t="shared" si="139"/>
        <v>#NAME?</v>
      </c>
      <c r="BU204" s="547"/>
    </row>
    <row r="205" spans="1:73" ht="16" hidden="1" outlineLevel="2">
      <c r="A205" s="366"/>
      <c r="B205" s="562"/>
      <c r="C205" s="366"/>
      <c r="D205" s="454"/>
      <c r="E205" s="530">
        <f t="shared" si="148"/>
        <v>199</v>
      </c>
      <c r="F205" s="530">
        <f t="shared" si="140"/>
        <v>67</v>
      </c>
      <c r="G205" s="530">
        <f t="shared" si="141"/>
        <v>17</v>
      </c>
      <c r="H205" s="554">
        <f t="shared" si="117"/>
        <v>49856</v>
      </c>
      <c r="I205" s="555">
        <f t="shared" si="120"/>
        <v>2036</v>
      </c>
      <c r="K205" s="530">
        <f>[1]mProject!KB209</f>
        <v>0</v>
      </c>
      <c r="L205" s="530">
        <f t="shared" si="121"/>
        <v>950</v>
      </c>
      <c r="M205" s="530">
        <f t="shared" si="122"/>
        <v>295000</v>
      </c>
      <c r="N205" s="530">
        <f t="shared" si="123"/>
        <v>0</v>
      </c>
      <c r="O205" s="530">
        <f t="shared" si="142"/>
        <v>280250000</v>
      </c>
      <c r="P205" s="530">
        <f>[1]mProject!W209</f>
        <v>394807.86829088593</v>
      </c>
      <c r="Q205" s="530">
        <f t="shared" si="124"/>
        <v>0</v>
      </c>
      <c r="R205" s="530">
        <f t="shared" si="143"/>
        <v>296355280.38883054</v>
      </c>
      <c r="T205" s="530">
        <v>0</v>
      </c>
      <c r="U205" s="530">
        <f t="shared" si="125"/>
        <v>0</v>
      </c>
      <c r="V205" s="530">
        <f>IF(T205=0,0,$V$7*(1+#REF!)^#REF!)</f>
        <v>0</v>
      </c>
      <c r="W205" s="530">
        <f t="shared" si="144"/>
        <v>0</v>
      </c>
      <c r="X205" s="530">
        <f t="shared" si="126"/>
        <v>0</v>
      </c>
      <c r="Y205" s="530">
        <f t="shared" si="127"/>
        <v>0</v>
      </c>
      <c r="AA205" s="530">
        <v>0</v>
      </c>
      <c r="AB205" s="530">
        <f t="shared" si="128"/>
        <v>0</v>
      </c>
      <c r="AC205" s="530">
        <f>IF(AA205=0,0,$V$7*(1+#REF!)^#REF!)</f>
        <v>0</v>
      </c>
      <c r="AD205" s="530">
        <f t="shared" si="145"/>
        <v>0</v>
      </c>
      <c r="AE205" s="530">
        <f t="shared" si="129"/>
        <v>0</v>
      </c>
      <c r="AF205" s="530">
        <f t="shared" si="130"/>
        <v>0</v>
      </c>
      <c r="AH205" s="530">
        <f t="shared" si="131"/>
        <v>0</v>
      </c>
      <c r="AI205" s="530">
        <f t="shared" si="146"/>
        <v>950</v>
      </c>
      <c r="AJ205" s="530">
        <f t="shared" si="119"/>
        <v>0</v>
      </c>
      <c r="AK205" s="530">
        <f>AJ205*[1]mProject!V209</f>
        <v>0</v>
      </c>
      <c r="AL205" s="530">
        <f t="shared" si="132"/>
        <v>0</v>
      </c>
      <c r="AM205" s="530">
        <f t="shared" si="133"/>
        <v>0</v>
      </c>
      <c r="AN205" s="456"/>
      <c r="AO205" s="572" t="e">
        <f t="shared" si="112"/>
        <v>#REF!</v>
      </c>
      <c r="AP205" s="572" t="e">
        <f t="shared" si="116"/>
        <v>#REF!</v>
      </c>
      <c r="AQ205" s="572" t="e">
        <f t="shared" si="118"/>
        <v>#REF!</v>
      </c>
      <c r="AR205" s="573" t="e">
        <f t="shared" si="113"/>
        <v>#REF!</v>
      </c>
      <c r="AS205" s="530" t="e">
        <f t="shared" si="115"/>
        <v>#REF!</v>
      </c>
      <c r="AT205" s="530"/>
      <c r="AU205" s="530"/>
      <c r="AV205" s="530" t="e">
        <f t="shared" si="134"/>
        <v>#REF!</v>
      </c>
      <c r="AW205" s="530" t="e">
        <f>AI205*#REF!+AI204*#REF!+AI203*#REF!</f>
        <v>#REF!</v>
      </c>
      <c r="AX205" s="456"/>
      <c r="AY205" s="583">
        <f t="shared" si="147"/>
        <v>1.3929037326724285</v>
      </c>
      <c r="AZ205" s="530">
        <f t="shared" si="135"/>
        <v>0</v>
      </c>
      <c r="BA205" s="530">
        <f>BA204*[1]mProject!V210</f>
        <v>0</v>
      </c>
      <c r="BB205" s="530">
        <f t="shared" si="114"/>
        <v>17781316.823329829</v>
      </c>
      <c r="BC205" s="456"/>
      <c r="BD205" s="590">
        <f>((BB205/100)*(i_CFD.ObliRate/12))*[1]i.Finance!$O$64</f>
        <v>59826.722228495157</v>
      </c>
      <c r="BE205" s="590">
        <f>(AZ205/100*[1]i.Finance!$O$61)*[1]i.Finance!$O$64</f>
        <v>0</v>
      </c>
      <c r="BF205" s="590">
        <f>(AZ205/100*[1]i.Finance!$O$65)</f>
        <v>0</v>
      </c>
      <c r="BG205" s="591">
        <f t="shared" si="136"/>
        <v>59826.722228495157</v>
      </c>
      <c r="BH205" s="456"/>
      <c r="BI205" s="590">
        <f>-PV([1]i.Finance!$O$63/12,[1]i.Finance!$O$62*12,mCFD!BG205)</f>
        <v>10233961.918709608</v>
      </c>
      <c r="BJ205" s="590">
        <f>BI205*[1]i.Finance!$O$58</f>
        <v>8033660.1061870428</v>
      </c>
      <c r="BK205" s="590"/>
      <c r="BL205" s="590"/>
      <c r="BP205" s="530"/>
      <c r="BQ205" s="530"/>
      <c r="BR205" s="530" t="e">
        <f t="shared" si="137"/>
        <v>#NAME?</v>
      </c>
      <c r="BS205" s="530" t="e">
        <f t="shared" si="138"/>
        <v>#NAME?</v>
      </c>
      <c r="BT205" s="530" t="e">
        <f t="shared" si="139"/>
        <v>#NAME?</v>
      </c>
      <c r="BU205" s="530"/>
    </row>
    <row r="206" spans="1:73" ht="16" hidden="1" outlineLevel="2">
      <c r="A206" s="366"/>
      <c r="B206" s="562"/>
      <c r="C206" s="366"/>
      <c r="D206" s="454"/>
      <c r="E206" s="533">
        <f t="shared" si="148"/>
        <v>200</v>
      </c>
      <c r="F206" s="533">
        <f t="shared" si="140"/>
        <v>67</v>
      </c>
      <c r="G206" s="533">
        <f t="shared" si="141"/>
        <v>17</v>
      </c>
      <c r="H206" s="541">
        <f t="shared" si="117"/>
        <v>49887</v>
      </c>
      <c r="I206" s="542">
        <f t="shared" si="120"/>
        <v>2036</v>
      </c>
      <c r="K206" s="533">
        <f>[1]mProject!KB210</f>
        <v>0</v>
      </c>
      <c r="L206" s="533">
        <f t="shared" si="121"/>
        <v>950</v>
      </c>
      <c r="M206" s="533">
        <f t="shared" si="122"/>
        <v>295000</v>
      </c>
      <c r="N206" s="533">
        <f t="shared" si="123"/>
        <v>0</v>
      </c>
      <c r="O206" s="533">
        <f t="shared" si="142"/>
        <v>280250000</v>
      </c>
      <c r="P206" s="533">
        <f>[1]mProject!W210</f>
        <v>395465.88140470407</v>
      </c>
      <c r="Q206" s="533">
        <f t="shared" si="124"/>
        <v>0</v>
      </c>
      <c r="R206" s="533">
        <f t="shared" si="143"/>
        <v>296355280.38883054</v>
      </c>
      <c r="T206" s="533">
        <v>0</v>
      </c>
      <c r="U206" s="533">
        <f t="shared" si="125"/>
        <v>0</v>
      </c>
      <c r="V206" s="533">
        <f>IF(T206=0,0,$V$7*(1+#REF!)^#REF!)</f>
        <v>0</v>
      </c>
      <c r="W206" s="533">
        <f t="shared" si="144"/>
        <v>0</v>
      </c>
      <c r="X206" s="533">
        <f t="shared" si="126"/>
        <v>0</v>
      </c>
      <c r="Y206" s="533">
        <f t="shared" si="127"/>
        <v>0</v>
      </c>
      <c r="AA206" s="533">
        <v>0</v>
      </c>
      <c r="AB206" s="533">
        <f t="shared" si="128"/>
        <v>0</v>
      </c>
      <c r="AC206" s="533">
        <f>IF(AA206=0,0,$V$7*(1+#REF!)^#REF!)</f>
        <v>0</v>
      </c>
      <c r="AD206" s="533">
        <f t="shared" si="145"/>
        <v>0</v>
      </c>
      <c r="AE206" s="533">
        <f t="shared" si="129"/>
        <v>0</v>
      </c>
      <c r="AF206" s="533">
        <f t="shared" si="130"/>
        <v>0</v>
      </c>
      <c r="AH206" s="533">
        <f t="shared" si="131"/>
        <v>0</v>
      </c>
      <c r="AI206" s="533">
        <f t="shared" si="146"/>
        <v>950</v>
      </c>
      <c r="AJ206" s="533">
        <f t="shared" si="119"/>
        <v>0</v>
      </c>
      <c r="AK206" s="533">
        <f>AJ206*[1]mProject!V210</f>
        <v>0</v>
      </c>
      <c r="AL206" s="533">
        <f t="shared" si="132"/>
        <v>0</v>
      </c>
      <c r="AM206" s="533">
        <f t="shared" si="133"/>
        <v>0</v>
      </c>
      <c r="AN206" s="456"/>
      <c r="AO206" s="575" t="e">
        <f t="shared" si="112"/>
        <v>#REF!</v>
      </c>
      <c r="AP206" s="575" t="e">
        <f t="shared" si="116"/>
        <v>#REF!</v>
      </c>
      <c r="AQ206" s="575" t="e">
        <f t="shared" si="118"/>
        <v>#REF!</v>
      </c>
      <c r="AR206" s="576" t="e">
        <f t="shared" si="113"/>
        <v>#REF!</v>
      </c>
      <c r="AS206" s="533" t="e">
        <f t="shared" si="115"/>
        <v>#REF!</v>
      </c>
      <c r="AT206" s="533"/>
      <c r="AU206" s="533"/>
      <c r="AV206" s="533" t="e">
        <f t="shared" si="134"/>
        <v>#REF!</v>
      </c>
      <c r="AW206" s="533" t="e">
        <f>AI206*#REF!+AI205*#REF!+AI204*#REF!</f>
        <v>#REF!</v>
      </c>
      <c r="AX206" s="456"/>
      <c r="AY206" s="584">
        <f t="shared" si="147"/>
        <v>1.3952252388935493</v>
      </c>
      <c r="AZ206" s="533">
        <f t="shared" si="135"/>
        <v>0</v>
      </c>
      <c r="BA206" s="533">
        <f>BA205*[1]mProject!V211</f>
        <v>0</v>
      </c>
      <c r="BB206" s="533">
        <f t="shared" si="114"/>
        <v>17781316.823329829</v>
      </c>
      <c r="BC206" s="456"/>
      <c r="BD206" s="586">
        <f>((BB206/100)*(i_CFD.ObliRate/12))*[1]i.Finance!$O$64</f>
        <v>59826.722228495157</v>
      </c>
      <c r="BE206" s="586">
        <f>(AZ206/100*[1]i.Finance!$O$61)*[1]i.Finance!$O$64</f>
        <v>0</v>
      </c>
      <c r="BF206" s="586">
        <f>(AZ206/100*[1]i.Finance!$O$65)</f>
        <v>0</v>
      </c>
      <c r="BG206" s="587">
        <f t="shared" si="136"/>
        <v>59826.722228495157</v>
      </c>
      <c r="BH206" s="456"/>
      <c r="BI206" s="586">
        <f>-PV([1]i.Finance!$O$63/12,[1]i.Finance!$O$62*12,mCFD!BG206)</f>
        <v>10233961.918709608</v>
      </c>
      <c r="BJ206" s="586">
        <f>BI206*[1]i.Finance!$O$58</f>
        <v>8033660.1061870428</v>
      </c>
      <c r="BK206" s="586"/>
      <c r="BL206" s="586"/>
      <c r="BP206" s="533"/>
      <c r="BQ206" s="533"/>
      <c r="BR206" s="533" t="e">
        <f t="shared" si="137"/>
        <v>#NAME?</v>
      </c>
      <c r="BS206" s="533" t="e">
        <f t="shared" si="138"/>
        <v>#NAME?</v>
      </c>
      <c r="BT206" s="533" t="e">
        <f t="shared" si="139"/>
        <v>#NAME?</v>
      </c>
      <c r="BU206" s="533"/>
    </row>
    <row r="207" spans="1:73" ht="16" hidden="1" outlineLevel="2">
      <c r="A207" s="366"/>
      <c r="B207" s="562"/>
      <c r="C207" s="366"/>
      <c r="D207" s="454"/>
      <c r="E207" s="547">
        <f t="shared" si="148"/>
        <v>201</v>
      </c>
      <c r="F207" s="547">
        <f t="shared" si="140"/>
        <v>67</v>
      </c>
      <c r="G207" s="547">
        <f t="shared" si="141"/>
        <v>17</v>
      </c>
      <c r="H207" s="548">
        <f t="shared" si="117"/>
        <v>49918</v>
      </c>
      <c r="I207" s="549">
        <f t="shared" si="120"/>
        <v>2036</v>
      </c>
      <c r="K207" s="547">
        <f>[1]mProject!KB211</f>
        <v>0</v>
      </c>
      <c r="L207" s="547">
        <f t="shared" si="121"/>
        <v>950</v>
      </c>
      <c r="M207" s="547">
        <f t="shared" si="122"/>
        <v>295000</v>
      </c>
      <c r="N207" s="547">
        <f t="shared" si="123"/>
        <v>0</v>
      </c>
      <c r="O207" s="547">
        <f t="shared" si="142"/>
        <v>280250000</v>
      </c>
      <c r="P207" s="547">
        <f>[1]mProject!W211</f>
        <v>396124.99120704527</v>
      </c>
      <c r="Q207" s="547">
        <f t="shared" si="124"/>
        <v>0</v>
      </c>
      <c r="R207" s="547">
        <f t="shared" si="143"/>
        <v>296355280.38883054</v>
      </c>
      <c r="T207" s="547">
        <v>0</v>
      </c>
      <c r="U207" s="547">
        <f t="shared" si="125"/>
        <v>0</v>
      </c>
      <c r="V207" s="547">
        <f>IF(T207=0,0,$V$7*(1+#REF!)^#REF!)</f>
        <v>0</v>
      </c>
      <c r="W207" s="547">
        <f t="shared" si="144"/>
        <v>0</v>
      </c>
      <c r="X207" s="547">
        <f t="shared" si="126"/>
        <v>0</v>
      </c>
      <c r="Y207" s="547">
        <f t="shared" si="127"/>
        <v>0</v>
      </c>
      <c r="AA207" s="547">
        <v>0</v>
      </c>
      <c r="AB207" s="547">
        <f t="shared" si="128"/>
        <v>0</v>
      </c>
      <c r="AC207" s="547">
        <f>IF(AA207=0,0,$V$7*(1+#REF!)^#REF!)</f>
        <v>0</v>
      </c>
      <c r="AD207" s="547">
        <f t="shared" si="145"/>
        <v>0</v>
      </c>
      <c r="AE207" s="547">
        <f t="shared" si="129"/>
        <v>0</v>
      </c>
      <c r="AF207" s="547">
        <f t="shared" si="130"/>
        <v>0</v>
      </c>
      <c r="AH207" s="547">
        <f t="shared" si="131"/>
        <v>0</v>
      </c>
      <c r="AI207" s="547">
        <f t="shared" si="146"/>
        <v>950</v>
      </c>
      <c r="AJ207" s="547">
        <f t="shared" si="119"/>
        <v>0</v>
      </c>
      <c r="AK207" s="547">
        <f>AJ207*[1]mProject!V211</f>
        <v>0</v>
      </c>
      <c r="AL207" s="547">
        <f t="shared" si="132"/>
        <v>0</v>
      </c>
      <c r="AM207" s="547">
        <f t="shared" si="133"/>
        <v>0</v>
      </c>
      <c r="AN207" s="456"/>
      <c r="AO207" s="577" t="e">
        <f t="shared" si="112"/>
        <v>#REF!</v>
      </c>
      <c r="AP207" s="577" t="e">
        <f t="shared" si="116"/>
        <v>#REF!</v>
      </c>
      <c r="AQ207" s="577" t="e">
        <f t="shared" si="118"/>
        <v>#REF!</v>
      </c>
      <c r="AR207" s="578" t="e">
        <f t="shared" si="113"/>
        <v>#REF!</v>
      </c>
      <c r="AS207" s="547" t="e">
        <f t="shared" si="115"/>
        <v>#REF!</v>
      </c>
      <c r="AT207" s="547"/>
      <c r="AU207" s="547"/>
      <c r="AV207" s="547" t="e">
        <f t="shared" si="134"/>
        <v>#REF!</v>
      </c>
      <c r="AW207" s="547" t="e">
        <f>AI207*#REF!+AI206*#REF!+AI205*#REF!</f>
        <v>#REF!</v>
      </c>
      <c r="AX207" s="456"/>
      <c r="AY207" s="585">
        <f t="shared" si="147"/>
        <v>1.3975506142917054</v>
      </c>
      <c r="AZ207" s="547">
        <f t="shared" si="135"/>
        <v>0</v>
      </c>
      <c r="BA207" s="547">
        <f>BA206*[1]mProject!V212</f>
        <v>0</v>
      </c>
      <c r="BB207" s="547">
        <f t="shared" si="114"/>
        <v>17781316.823329829</v>
      </c>
      <c r="BC207" s="456"/>
      <c r="BD207" s="588">
        <f>((BB207/100)*(i_CFD.ObliRate/12))*[1]i.Finance!$O$64</f>
        <v>59826.722228495157</v>
      </c>
      <c r="BE207" s="588">
        <f>(AZ207/100*[1]i.Finance!$O$61)*[1]i.Finance!$O$64</f>
        <v>0</v>
      </c>
      <c r="BF207" s="588">
        <f>(AZ207/100*[1]i.Finance!$O$65)</f>
        <v>0</v>
      </c>
      <c r="BG207" s="589">
        <f t="shared" si="136"/>
        <v>59826.722228495157</v>
      </c>
      <c r="BH207" s="456"/>
      <c r="BI207" s="588">
        <f>-PV([1]i.Finance!$O$63/12,[1]i.Finance!$O$62*12,mCFD!BG207)</f>
        <v>10233961.918709608</v>
      </c>
      <c r="BJ207" s="588">
        <f>BI207*[1]i.Finance!$O$58</f>
        <v>8033660.1061870428</v>
      </c>
      <c r="BK207" s="588"/>
      <c r="BL207" s="588"/>
      <c r="BP207" s="547"/>
      <c r="BQ207" s="547"/>
      <c r="BR207" s="547" t="e">
        <f t="shared" si="137"/>
        <v>#NAME?</v>
      </c>
      <c r="BS207" s="547" t="e">
        <f t="shared" si="138"/>
        <v>#NAME?</v>
      </c>
      <c r="BT207" s="547" t="e">
        <f t="shared" si="139"/>
        <v>#NAME?</v>
      </c>
      <c r="BU207" s="547"/>
    </row>
    <row r="208" spans="1:73" ht="16" hidden="1" outlineLevel="2">
      <c r="A208" s="366"/>
      <c r="B208" s="562"/>
      <c r="C208" s="366"/>
      <c r="D208" s="454"/>
      <c r="E208" s="530">
        <f t="shared" si="148"/>
        <v>202</v>
      </c>
      <c r="F208" s="530">
        <f t="shared" si="140"/>
        <v>68</v>
      </c>
      <c r="G208" s="530">
        <f t="shared" si="141"/>
        <v>17</v>
      </c>
      <c r="H208" s="554">
        <f t="shared" si="117"/>
        <v>49948</v>
      </c>
      <c r="I208" s="555">
        <f t="shared" si="120"/>
        <v>2036</v>
      </c>
      <c r="K208" s="530">
        <f>[1]mProject!KB212</f>
        <v>0</v>
      </c>
      <c r="L208" s="530">
        <f t="shared" si="121"/>
        <v>950</v>
      </c>
      <c r="M208" s="530">
        <f t="shared" si="122"/>
        <v>295000</v>
      </c>
      <c r="N208" s="530">
        <f t="shared" si="123"/>
        <v>0</v>
      </c>
      <c r="O208" s="530">
        <f t="shared" si="142"/>
        <v>280250000</v>
      </c>
      <c r="P208" s="530">
        <f>[1]mProject!W212</f>
        <v>396785.1995257237</v>
      </c>
      <c r="Q208" s="530">
        <f t="shared" si="124"/>
        <v>0</v>
      </c>
      <c r="R208" s="530">
        <f t="shared" si="143"/>
        <v>296355280.38883054</v>
      </c>
      <c r="T208" s="530">
        <v>0</v>
      </c>
      <c r="U208" s="530">
        <f t="shared" si="125"/>
        <v>0</v>
      </c>
      <c r="V208" s="530">
        <f>IF(T208=0,0,$V$7*(1+#REF!)^#REF!)</f>
        <v>0</v>
      </c>
      <c r="W208" s="530">
        <f t="shared" si="144"/>
        <v>0</v>
      </c>
      <c r="X208" s="530">
        <f t="shared" si="126"/>
        <v>0</v>
      </c>
      <c r="Y208" s="530">
        <f t="shared" si="127"/>
        <v>0</v>
      </c>
      <c r="AA208" s="530">
        <v>0</v>
      </c>
      <c r="AB208" s="530">
        <f t="shared" si="128"/>
        <v>0</v>
      </c>
      <c r="AC208" s="530">
        <f>IF(AA208=0,0,$V$7*(1+#REF!)^#REF!)</f>
        <v>0</v>
      </c>
      <c r="AD208" s="530">
        <f t="shared" si="145"/>
        <v>0</v>
      </c>
      <c r="AE208" s="530">
        <f t="shared" si="129"/>
        <v>0</v>
      </c>
      <c r="AF208" s="530">
        <f t="shared" si="130"/>
        <v>0</v>
      </c>
      <c r="AH208" s="530">
        <f t="shared" si="131"/>
        <v>0</v>
      </c>
      <c r="AI208" s="530">
        <f t="shared" si="146"/>
        <v>950</v>
      </c>
      <c r="AJ208" s="530">
        <f t="shared" si="119"/>
        <v>0</v>
      </c>
      <c r="AK208" s="530">
        <f>AJ208*[1]mProject!V212</f>
        <v>0</v>
      </c>
      <c r="AL208" s="530">
        <f t="shared" si="132"/>
        <v>0</v>
      </c>
      <c r="AM208" s="530">
        <f t="shared" si="133"/>
        <v>0</v>
      </c>
      <c r="AN208" s="456"/>
      <c r="AO208" s="572" t="e">
        <f t="shared" si="112"/>
        <v>#REF!</v>
      </c>
      <c r="AP208" s="572" t="e">
        <f t="shared" si="116"/>
        <v>#REF!</v>
      </c>
      <c r="AQ208" s="572" t="e">
        <f t="shared" si="118"/>
        <v>#REF!</v>
      </c>
      <c r="AR208" s="573" t="e">
        <f t="shared" si="113"/>
        <v>#REF!</v>
      </c>
      <c r="AS208" s="530" t="e">
        <f t="shared" si="115"/>
        <v>#REF!</v>
      </c>
      <c r="AT208" s="530"/>
      <c r="AU208" s="530"/>
      <c r="AV208" s="530" t="e">
        <f t="shared" si="134"/>
        <v>#REF!</v>
      </c>
      <c r="AW208" s="530" t="e">
        <f>AI208*#REF!+AI207*#REF!+AI206*#REF!</f>
        <v>#REF!</v>
      </c>
      <c r="AX208" s="456"/>
      <c r="AY208" s="583">
        <f t="shared" si="147"/>
        <v>1.3998798653155249</v>
      </c>
      <c r="AZ208" s="530">
        <f t="shared" si="135"/>
        <v>0</v>
      </c>
      <c r="BA208" s="530">
        <f>BA207*[1]mProject!V213</f>
        <v>0</v>
      </c>
      <c r="BB208" s="530">
        <f t="shared" si="114"/>
        <v>17781316.823329829</v>
      </c>
      <c r="BC208" s="456"/>
      <c r="BD208" s="590">
        <f>((BB208/100)*(i_CFD.ObliRate/12))*[1]i.Finance!$O$64</f>
        <v>59826.722228495157</v>
      </c>
      <c r="BE208" s="590">
        <f>(AZ208/100*[1]i.Finance!$O$61)*[1]i.Finance!$O$64</f>
        <v>0</v>
      </c>
      <c r="BF208" s="590">
        <f>(AZ208/100*[1]i.Finance!$O$65)</f>
        <v>0</v>
      </c>
      <c r="BG208" s="591">
        <f t="shared" si="136"/>
        <v>59826.722228495157</v>
      </c>
      <c r="BH208" s="456"/>
      <c r="BI208" s="590">
        <f>-PV([1]i.Finance!$O$63/12,[1]i.Finance!$O$62*12,mCFD!BG208)</f>
        <v>10233961.918709608</v>
      </c>
      <c r="BJ208" s="590">
        <f>BI208*[1]i.Finance!$O$58</f>
        <v>8033660.1061870428</v>
      </c>
      <c r="BK208" s="590"/>
      <c r="BL208" s="590"/>
      <c r="BP208" s="530"/>
      <c r="BQ208" s="530"/>
      <c r="BR208" s="530" t="e">
        <f t="shared" si="137"/>
        <v>#NAME?</v>
      </c>
      <c r="BS208" s="530" t="e">
        <f t="shared" si="138"/>
        <v>#NAME?</v>
      </c>
      <c r="BT208" s="530" t="e">
        <f t="shared" si="139"/>
        <v>#NAME?</v>
      </c>
      <c r="BU208" s="530"/>
    </row>
    <row r="209" spans="1:73" ht="16" hidden="1" outlineLevel="2">
      <c r="A209" s="366"/>
      <c r="B209" s="562"/>
      <c r="C209" s="366"/>
      <c r="D209" s="454"/>
      <c r="E209" s="533">
        <f t="shared" si="148"/>
        <v>203</v>
      </c>
      <c r="F209" s="533">
        <f t="shared" si="140"/>
        <v>68</v>
      </c>
      <c r="G209" s="533">
        <f t="shared" si="141"/>
        <v>17</v>
      </c>
      <c r="H209" s="541">
        <f t="shared" si="117"/>
        <v>49979</v>
      </c>
      <c r="I209" s="542">
        <f t="shared" si="120"/>
        <v>2036</v>
      </c>
      <c r="K209" s="533">
        <f>[1]mProject!KB213</f>
        <v>0</v>
      </c>
      <c r="L209" s="533">
        <f t="shared" si="121"/>
        <v>950</v>
      </c>
      <c r="M209" s="533">
        <f t="shared" si="122"/>
        <v>295000</v>
      </c>
      <c r="N209" s="533">
        <f t="shared" si="123"/>
        <v>0</v>
      </c>
      <c r="O209" s="533">
        <f t="shared" si="142"/>
        <v>280250000</v>
      </c>
      <c r="P209" s="533">
        <f>[1]mProject!W213</f>
        <v>397446.50819159992</v>
      </c>
      <c r="Q209" s="533">
        <f t="shared" si="124"/>
        <v>0</v>
      </c>
      <c r="R209" s="533">
        <f t="shared" si="143"/>
        <v>296355280.38883054</v>
      </c>
      <c r="T209" s="533">
        <v>0</v>
      </c>
      <c r="U209" s="533">
        <f t="shared" si="125"/>
        <v>0</v>
      </c>
      <c r="V209" s="533">
        <f>IF(T209=0,0,$V$7*(1+#REF!)^#REF!)</f>
        <v>0</v>
      </c>
      <c r="W209" s="533">
        <f t="shared" si="144"/>
        <v>0</v>
      </c>
      <c r="X209" s="533">
        <f t="shared" si="126"/>
        <v>0</v>
      </c>
      <c r="Y209" s="533">
        <f t="shared" si="127"/>
        <v>0</v>
      </c>
      <c r="AA209" s="533">
        <v>0</v>
      </c>
      <c r="AB209" s="533">
        <f t="shared" si="128"/>
        <v>0</v>
      </c>
      <c r="AC209" s="533">
        <f>IF(AA209=0,0,$V$7*(1+#REF!)^#REF!)</f>
        <v>0</v>
      </c>
      <c r="AD209" s="533">
        <f t="shared" si="145"/>
        <v>0</v>
      </c>
      <c r="AE209" s="533">
        <f t="shared" si="129"/>
        <v>0</v>
      </c>
      <c r="AF209" s="533">
        <f t="shared" si="130"/>
        <v>0</v>
      </c>
      <c r="AH209" s="533">
        <f t="shared" si="131"/>
        <v>0</v>
      </c>
      <c r="AI209" s="533">
        <f t="shared" si="146"/>
        <v>950</v>
      </c>
      <c r="AJ209" s="533">
        <f t="shared" si="119"/>
        <v>0</v>
      </c>
      <c r="AK209" s="533">
        <f>AJ209*[1]mProject!V213</f>
        <v>0</v>
      </c>
      <c r="AL209" s="533">
        <f t="shared" si="132"/>
        <v>0</v>
      </c>
      <c r="AM209" s="533">
        <f t="shared" si="133"/>
        <v>0</v>
      </c>
      <c r="AN209" s="456"/>
      <c r="AO209" s="575" t="e">
        <f t="shared" si="112"/>
        <v>#REF!</v>
      </c>
      <c r="AP209" s="575" t="e">
        <f t="shared" si="116"/>
        <v>#REF!</v>
      </c>
      <c r="AQ209" s="575" t="e">
        <f t="shared" si="118"/>
        <v>#REF!</v>
      </c>
      <c r="AR209" s="576" t="e">
        <f t="shared" si="113"/>
        <v>#REF!</v>
      </c>
      <c r="AS209" s="533" t="e">
        <f t="shared" si="115"/>
        <v>#REF!</v>
      </c>
      <c r="AT209" s="533"/>
      <c r="AU209" s="533"/>
      <c r="AV209" s="533" t="e">
        <f t="shared" si="134"/>
        <v>#REF!</v>
      </c>
      <c r="AW209" s="533" t="e">
        <f>AI209*#REF!+AI208*#REF!+AI207*#REF!</f>
        <v>#REF!</v>
      </c>
      <c r="AX209" s="456"/>
      <c r="AY209" s="584">
        <f t="shared" si="147"/>
        <v>1.4022129984243841</v>
      </c>
      <c r="AZ209" s="533">
        <f t="shared" si="135"/>
        <v>0</v>
      </c>
      <c r="BA209" s="533">
        <f>BA208*[1]mProject!V214</f>
        <v>0</v>
      </c>
      <c r="BB209" s="533">
        <f t="shared" si="114"/>
        <v>17781316.823329829</v>
      </c>
      <c r="BC209" s="456"/>
      <c r="BD209" s="586">
        <f>((BB209/100)*(i_CFD.ObliRate/12))*[1]i.Finance!$O$64</f>
        <v>59826.722228495157</v>
      </c>
      <c r="BE209" s="586">
        <f>(AZ209/100*[1]i.Finance!$O$61)*[1]i.Finance!$O$64</f>
        <v>0</v>
      </c>
      <c r="BF209" s="586">
        <f>(AZ209/100*[1]i.Finance!$O$65)</f>
        <v>0</v>
      </c>
      <c r="BG209" s="587">
        <f t="shared" si="136"/>
        <v>59826.722228495157</v>
      </c>
      <c r="BH209" s="456"/>
      <c r="BI209" s="586">
        <f>-PV([1]i.Finance!$O$63/12,[1]i.Finance!$O$62*12,mCFD!BG209)</f>
        <v>10233961.918709608</v>
      </c>
      <c r="BJ209" s="586">
        <f>BI209*[1]i.Finance!$O$58</f>
        <v>8033660.1061870428</v>
      </c>
      <c r="BK209" s="586"/>
      <c r="BL209" s="586"/>
      <c r="BP209" s="533"/>
      <c r="BQ209" s="533"/>
      <c r="BR209" s="533" t="e">
        <f t="shared" si="137"/>
        <v>#NAME?</v>
      </c>
      <c r="BS209" s="533" t="e">
        <f t="shared" si="138"/>
        <v>#NAME?</v>
      </c>
      <c r="BT209" s="533" t="e">
        <f t="shared" si="139"/>
        <v>#NAME?</v>
      </c>
      <c r="BU209" s="533"/>
    </row>
    <row r="210" spans="1:73" ht="17" hidden="1" outlineLevel="2" thickBot="1">
      <c r="A210" s="366"/>
      <c r="B210" s="562"/>
      <c r="C210" s="366"/>
      <c r="D210" s="454"/>
      <c r="E210" s="564">
        <f t="shared" si="148"/>
        <v>204</v>
      </c>
      <c r="F210" s="564">
        <f t="shared" si="140"/>
        <v>68</v>
      </c>
      <c r="G210" s="564">
        <f t="shared" si="141"/>
        <v>17</v>
      </c>
      <c r="H210" s="565">
        <f t="shared" si="117"/>
        <v>50009</v>
      </c>
      <c r="I210" s="566">
        <f t="shared" si="120"/>
        <v>2036</v>
      </c>
      <c r="K210" s="564">
        <f>[1]mProject!KB214</f>
        <v>0</v>
      </c>
      <c r="L210" s="564">
        <f t="shared" si="121"/>
        <v>950</v>
      </c>
      <c r="M210" s="564">
        <f t="shared" si="122"/>
        <v>295000</v>
      </c>
      <c r="N210" s="564">
        <f t="shared" si="123"/>
        <v>0</v>
      </c>
      <c r="O210" s="564">
        <f t="shared" si="142"/>
        <v>280250000</v>
      </c>
      <c r="P210" s="564">
        <f>[1]mProject!W214</f>
        <v>398108.91903858591</v>
      </c>
      <c r="Q210" s="564">
        <f t="shared" si="124"/>
        <v>0</v>
      </c>
      <c r="R210" s="564">
        <f t="shared" si="143"/>
        <v>296355280.38883054</v>
      </c>
      <c r="T210" s="564">
        <v>0</v>
      </c>
      <c r="U210" s="564">
        <f t="shared" si="125"/>
        <v>0</v>
      </c>
      <c r="V210" s="564">
        <f>IF(T210=0,0,$V$7*(1+#REF!)^#REF!)</f>
        <v>0</v>
      </c>
      <c r="W210" s="564">
        <f t="shared" si="144"/>
        <v>0</v>
      </c>
      <c r="X210" s="564">
        <f t="shared" si="126"/>
        <v>0</v>
      </c>
      <c r="Y210" s="564">
        <f t="shared" si="127"/>
        <v>0</v>
      </c>
      <c r="AA210" s="564">
        <v>0</v>
      </c>
      <c r="AB210" s="564">
        <f t="shared" si="128"/>
        <v>0</v>
      </c>
      <c r="AC210" s="564">
        <f>IF(AA210=0,0,$V$7*(1+#REF!)^#REF!)</f>
        <v>0</v>
      </c>
      <c r="AD210" s="564">
        <f t="shared" si="145"/>
        <v>0</v>
      </c>
      <c r="AE210" s="564">
        <f t="shared" si="129"/>
        <v>0</v>
      </c>
      <c r="AF210" s="564">
        <f t="shared" si="130"/>
        <v>0</v>
      </c>
      <c r="AH210" s="564">
        <f t="shared" si="131"/>
        <v>0</v>
      </c>
      <c r="AI210" s="564">
        <f t="shared" si="146"/>
        <v>950</v>
      </c>
      <c r="AJ210" s="564">
        <f t="shared" si="119"/>
        <v>0</v>
      </c>
      <c r="AK210" s="564">
        <f>AJ210*[1]mProject!V214</f>
        <v>0</v>
      </c>
      <c r="AL210" s="564">
        <f t="shared" si="132"/>
        <v>0</v>
      </c>
      <c r="AM210" s="564">
        <f t="shared" si="133"/>
        <v>0</v>
      </c>
      <c r="AN210" s="456"/>
      <c r="AO210" s="581" t="e">
        <f t="shared" si="112"/>
        <v>#REF!</v>
      </c>
      <c r="AP210" s="581" t="e">
        <f t="shared" si="116"/>
        <v>#REF!</v>
      </c>
      <c r="AQ210" s="581" t="e">
        <f t="shared" si="118"/>
        <v>#REF!</v>
      </c>
      <c r="AR210" s="582" t="e">
        <f t="shared" si="113"/>
        <v>#REF!</v>
      </c>
      <c r="AS210" s="564" t="e">
        <f t="shared" si="115"/>
        <v>#REF!</v>
      </c>
      <c r="AT210" s="564"/>
      <c r="AU210" s="564"/>
      <c r="AV210" s="564" t="e">
        <f t="shared" si="134"/>
        <v>#REF!</v>
      </c>
      <c r="AW210" s="564" t="e">
        <f>AI210*#REF!+AI209*#REF!+AI208*#REF!</f>
        <v>#REF!</v>
      </c>
      <c r="AX210" s="456"/>
      <c r="AY210" s="592">
        <f t="shared" si="147"/>
        <v>1.4045500200884247</v>
      </c>
      <c r="AZ210" s="564">
        <f t="shared" si="135"/>
        <v>0</v>
      </c>
      <c r="BA210" s="564">
        <f>BA209*[1]mProject!V215</f>
        <v>0</v>
      </c>
      <c r="BB210" s="564">
        <f t="shared" si="114"/>
        <v>17781316.823329829</v>
      </c>
      <c r="BC210" s="456"/>
      <c r="BD210" s="593">
        <f>((BB210/100)*(i_CFD.ObliRate/12))*[1]i.Finance!$O$64</f>
        <v>59826.722228495157</v>
      </c>
      <c r="BE210" s="593">
        <f>(AZ210/100*[1]i.Finance!$O$61)*[1]i.Finance!$O$64</f>
        <v>0</v>
      </c>
      <c r="BF210" s="593">
        <f>(AZ210/100*[1]i.Finance!$O$65)</f>
        <v>0</v>
      </c>
      <c r="BG210" s="594">
        <f t="shared" si="136"/>
        <v>59826.722228495157</v>
      </c>
      <c r="BH210" s="456"/>
      <c r="BI210" s="593">
        <f>-PV([1]i.Finance!$O$63/12,[1]i.Finance!$O$62*12,mCFD!BG210)</f>
        <v>10233961.918709608</v>
      </c>
      <c r="BJ210" s="593">
        <f>BI210*[1]i.Finance!$O$58</f>
        <v>8033660.1061870428</v>
      </c>
      <c r="BK210" s="593"/>
      <c r="BL210" s="593"/>
      <c r="BP210" s="564"/>
      <c r="BQ210" s="564"/>
      <c r="BR210" s="564" t="e">
        <f t="shared" si="137"/>
        <v>#NAME?</v>
      </c>
      <c r="BS210" s="564" t="e">
        <f t="shared" si="138"/>
        <v>#NAME?</v>
      </c>
      <c r="BT210" s="564" t="e">
        <f t="shared" si="139"/>
        <v>#NAME?</v>
      </c>
      <c r="BU210" s="564"/>
    </row>
    <row r="211" spans="1:73" ht="16" hidden="1" outlineLevel="2">
      <c r="A211" s="366"/>
      <c r="B211" s="562"/>
      <c r="C211" s="366"/>
      <c r="D211" s="454"/>
      <c r="E211" s="530">
        <f t="shared" si="148"/>
        <v>205</v>
      </c>
      <c r="F211" s="530">
        <f t="shared" si="140"/>
        <v>69</v>
      </c>
      <c r="G211" s="530">
        <f t="shared" si="141"/>
        <v>18</v>
      </c>
      <c r="H211" s="571">
        <f t="shared" si="117"/>
        <v>50040</v>
      </c>
      <c r="I211" s="532">
        <f t="shared" si="120"/>
        <v>2036</v>
      </c>
      <c r="K211" s="530">
        <f>[1]mProject!KB215</f>
        <v>0</v>
      </c>
      <c r="L211" s="530">
        <f t="shared" si="121"/>
        <v>950</v>
      </c>
      <c r="M211" s="530">
        <f t="shared" si="122"/>
        <v>295000</v>
      </c>
      <c r="N211" s="530">
        <f t="shared" si="123"/>
        <v>0</v>
      </c>
      <c r="O211" s="530">
        <f t="shared" si="142"/>
        <v>280250000</v>
      </c>
      <c r="P211" s="530">
        <f>[1]mProject!W215</f>
        <v>398772.43390365026</v>
      </c>
      <c r="Q211" s="530">
        <f t="shared" si="124"/>
        <v>0</v>
      </c>
      <c r="R211" s="530">
        <f t="shared" si="143"/>
        <v>296355280.38883054</v>
      </c>
      <c r="T211" s="530">
        <v>0</v>
      </c>
      <c r="U211" s="530">
        <f t="shared" si="125"/>
        <v>0</v>
      </c>
      <c r="V211" s="530">
        <f>IF(T211=0,0,$V$7*(1+#REF!)^#REF!)</f>
        <v>0</v>
      </c>
      <c r="W211" s="530">
        <f t="shared" si="144"/>
        <v>0</v>
      </c>
      <c r="X211" s="530">
        <f t="shared" si="126"/>
        <v>0</v>
      </c>
      <c r="Y211" s="530">
        <f t="shared" si="127"/>
        <v>0</v>
      </c>
      <c r="AA211" s="530">
        <v>0</v>
      </c>
      <c r="AB211" s="530">
        <f t="shared" si="128"/>
        <v>0</v>
      </c>
      <c r="AC211" s="530">
        <f>IF(AA211=0,0,$V$7*(1+#REF!)^#REF!)</f>
        <v>0</v>
      </c>
      <c r="AD211" s="530">
        <f t="shared" si="145"/>
        <v>0</v>
      </c>
      <c r="AE211" s="530">
        <f t="shared" si="129"/>
        <v>0</v>
      </c>
      <c r="AF211" s="530">
        <f t="shared" si="130"/>
        <v>0</v>
      </c>
      <c r="AH211" s="530">
        <f t="shared" si="131"/>
        <v>0</v>
      </c>
      <c r="AI211" s="530">
        <f t="shared" si="146"/>
        <v>950</v>
      </c>
      <c r="AJ211" s="530">
        <f t="shared" si="119"/>
        <v>0</v>
      </c>
      <c r="AK211" s="530">
        <f>AJ211*[1]mProject!V215</f>
        <v>0</v>
      </c>
      <c r="AL211" s="530">
        <f t="shared" si="132"/>
        <v>0</v>
      </c>
      <c r="AM211" s="530">
        <f t="shared" si="133"/>
        <v>0</v>
      </c>
      <c r="AN211" s="456"/>
      <c r="AO211" s="572" t="e">
        <f t="shared" ref="AO211:AO274" si="149">$L211*AO$6</f>
        <v>#REF!</v>
      </c>
      <c r="AP211" s="572" t="e">
        <f t="shared" si="116"/>
        <v>#REF!</v>
      </c>
      <c r="AQ211" s="572" t="e">
        <f t="shared" si="118"/>
        <v>#REF!</v>
      </c>
      <c r="AR211" s="573" t="e">
        <f t="shared" ref="AR211:AR274" si="150">SUM(AO211:AQ211)</f>
        <v>#REF!</v>
      </c>
      <c r="AS211" s="530" t="e">
        <f t="shared" si="115"/>
        <v>#REF!</v>
      </c>
      <c r="AT211" s="530"/>
      <c r="AU211" s="530"/>
      <c r="AV211" s="530" t="e">
        <f t="shared" si="134"/>
        <v>#REF!</v>
      </c>
      <c r="AW211" s="530" t="e">
        <f>AI211*#REF!+AI210*#REF!+AI209*#REF!</f>
        <v>#REF!</v>
      </c>
      <c r="AX211" s="456"/>
      <c r="AY211" s="583">
        <f t="shared" si="147"/>
        <v>1.406890936788572</v>
      </c>
      <c r="AZ211" s="530">
        <f t="shared" si="135"/>
        <v>0</v>
      </c>
      <c r="BA211" s="530">
        <f>BA210*[1]mProject!V216</f>
        <v>0</v>
      </c>
      <c r="BB211" s="530">
        <f t="shared" ref="BB211:BB274" si="151">BB210+AZ211+BA211</f>
        <v>17781316.823329829</v>
      </c>
      <c r="BC211" s="456"/>
      <c r="BD211" s="590">
        <f>((BB211/100)*(i_CFD.ObliRate/12))*[1]i.Finance!$O$64</f>
        <v>59826.722228495157</v>
      </c>
      <c r="BE211" s="590">
        <f>(AZ211/100*[1]i.Finance!$O$61)*[1]i.Finance!$O$64</f>
        <v>0</v>
      </c>
      <c r="BF211" s="590">
        <f>(AZ211/100*[1]i.Finance!$O$65)</f>
        <v>0</v>
      </c>
      <c r="BG211" s="591">
        <f t="shared" si="136"/>
        <v>59826.722228495157</v>
      </c>
      <c r="BH211" s="456"/>
      <c r="BI211" s="590">
        <f>-PV([1]i.Finance!$O$63/12,[1]i.Finance!$O$62*12,mCFD!BG211)</f>
        <v>10233961.918709608</v>
      </c>
      <c r="BJ211" s="590">
        <f>BI211*[1]i.Finance!$O$58</f>
        <v>8033660.1061870428</v>
      </c>
      <c r="BK211" s="590"/>
      <c r="BL211" s="590"/>
      <c r="BP211" s="530"/>
      <c r="BQ211" s="530"/>
      <c r="BR211" s="530" t="e">
        <f t="shared" si="137"/>
        <v>#NAME?</v>
      </c>
      <c r="BS211" s="530" t="e">
        <f t="shared" si="138"/>
        <v>#NAME?</v>
      </c>
      <c r="BT211" s="530" t="e">
        <f t="shared" si="139"/>
        <v>#NAME?</v>
      </c>
      <c r="BU211" s="530"/>
    </row>
    <row r="212" spans="1:73" ht="16" hidden="1" outlineLevel="2">
      <c r="A212" s="366"/>
      <c r="B212" s="562"/>
      <c r="C212" s="366"/>
      <c r="D212" s="454"/>
      <c r="E212" s="533">
        <f t="shared" si="148"/>
        <v>206</v>
      </c>
      <c r="F212" s="533">
        <f t="shared" si="140"/>
        <v>69</v>
      </c>
      <c r="G212" s="533">
        <f t="shared" si="141"/>
        <v>18</v>
      </c>
      <c r="H212" s="541">
        <f t="shared" si="117"/>
        <v>50071</v>
      </c>
      <c r="I212" s="542">
        <f t="shared" si="120"/>
        <v>2037</v>
      </c>
      <c r="K212" s="533">
        <f>[1]mProject!KB216</f>
        <v>0</v>
      </c>
      <c r="L212" s="533">
        <f t="shared" si="121"/>
        <v>950</v>
      </c>
      <c r="M212" s="533">
        <f t="shared" si="122"/>
        <v>295000</v>
      </c>
      <c r="N212" s="533">
        <f t="shared" si="123"/>
        <v>0</v>
      </c>
      <c r="O212" s="533">
        <f t="shared" si="142"/>
        <v>280250000</v>
      </c>
      <c r="P212" s="533">
        <f>[1]mProject!W216</f>
        <v>399437.05462682305</v>
      </c>
      <c r="Q212" s="533">
        <f t="shared" si="124"/>
        <v>0</v>
      </c>
      <c r="R212" s="533">
        <f t="shared" si="143"/>
        <v>296355280.38883054</v>
      </c>
      <c r="T212" s="533">
        <v>0</v>
      </c>
      <c r="U212" s="533">
        <f t="shared" si="125"/>
        <v>0</v>
      </c>
      <c r="V212" s="533">
        <f>IF(T212=0,0,$V$7*(1+#REF!)^#REF!)</f>
        <v>0</v>
      </c>
      <c r="W212" s="533">
        <f t="shared" si="144"/>
        <v>0</v>
      </c>
      <c r="X212" s="533">
        <f t="shared" si="126"/>
        <v>0</v>
      </c>
      <c r="Y212" s="533">
        <f t="shared" si="127"/>
        <v>0</v>
      </c>
      <c r="AA212" s="533">
        <v>0</v>
      </c>
      <c r="AB212" s="533">
        <f t="shared" si="128"/>
        <v>0</v>
      </c>
      <c r="AC212" s="533">
        <f>IF(AA212=0,0,$V$7*(1+#REF!)^#REF!)</f>
        <v>0</v>
      </c>
      <c r="AD212" s="533">
        <f t="shared" si="145"/>
        <v>0</v>
      </c>
      <c r="AE212" s="533">
        <f t="shared" si="129"/>
        <v>0</v>
      </c>
      <c r="AF212" s="533">
        <f t="shared" si="130"/>
        <v>0</v>
      </c>
      <c r="AH212" s="533">
        <f t="shared" si="131"/>
        <v>0</v>
      </c>
      <c r="AI212" s="533">
        <f t="shared" si="146"/>
        <v>950</v>
      </c>
      <c r="AJ212" s="533">
        <f t="shared" si="119"/>
        <v>0</v>
      </c>
      <c r="AK212" s="533">
        <f>AJ212*[1]mProject!V216</f>
        <v>0</v>
      </c>
      <c r="AL212" s="533">
        <f t="shared" si="132"/>
        <v>0</v>
      </c>
      <c r="AM212" s="533">
        <f t="shared" si="133"/>
        <v>0</v>
      </c>
      <c r="AN212" s="456"/>
      <c r="AO212" s="575" t="e">
        <f t="shared" si="149"/>
        <v>#REF!</v>
      </c>
      <c r="AP212" s="575" t="e">
        <f t="shared" si="116"/>
        <v>#REF!</v>
      </c>
      <c r="AQ212" s="575" t="e">
        <f t="shared" si="118"/>
        <v>#REF!</v>
      </c>
      <c r="AR212" s="576" t="e">
        <f t="shared" si="150"/>
        <v>#REF!</v>
      </c>
      <c r="AS212" s="533" t="e">
        <f t="shared" si="115"/>
        <v>#REF!</v>
      </c>
      <c r="AT212" s="533"/>
      <c r="AU212" s="533"/>
      <c r="AV212" s="533" t="e">
        <f t="shared" si="134"/>
        <v>#REF!</v>
      </c>
      <c r="AW212" s="533" t="e">
        <f>AI212*#REF!+AI211*#REF!+AI210*#REF!</f>
        <v>#REF!</v>
      </c>
      <c r="AX212" s="456"/>
      <c r="AY212" s="584">
        <f t="shared" si="147"/>
        <v>1.4092357550165531</v>
      </c>
      <c r="AZ212" s="533">
        <f t="shared" si="135"/>
        <v>0</v>
      </c>
      <c r="BA212" s="533">
        <f>BA211*[1]mProject!V217</f>
        <v>0</v>
      </c>
      <c r="BB212" s="533">
        <f t="shared" si="151"/>
        <v>17781316.823329829</v>
      </c>
      <c r="BC212" s="456"/>
      <c r="BD212" s="586">
        <f>((BB212/100)*(i_CFD.ObliRate/12))*[1]i.Finance!$O$64</f>
        <v>59826.722228495157</v>
      </c>
      <c r="BE212" s="586">
        <f>(AZ212/100*[1]i.Finance!$O$61)*[1]i.Finance!$O$64</f>
        <v>0</v>
      </c>
      <c r="BF212" s="586">
        <f>(AZ212/100*[1]i.Finance!$O$65)</f>
        <v>0</v>
      </c>
      <c r="BG212" s="587">
        <f t="shared" si="136"/>
        <v>59826.722228495157</v>
      </c>
      <c r="BH212" s="456"/>
      <c r="BI212" s="586">
        <f>-PV([1]i.Finance!$O$63/12,[1]i.Finance!$O$62*12,mCFD!BG212)</f>
        <v>10233961.918709608</v>
      </c>
      <c r="BJ212" s="586">
        <f>BI212*[1]i.Finance!$O$58</f>
        <v>8033660.1061870428</v>
      </c>
      <c r="BK212" s="586"/>
      <c r="BL212" s="586"/>
      <c r="BP212" s="533"/>
      <c r="BQ212" s="533"/>
      <c r="BR212" s="533" t="e">
        <f t="shared" si="137"/>
        <v>#NAME?</v>
      </c>
      <c r="BS212" s="533" t="e">
        <f t="shared" si="138"/>
        <v>#NAME?</v>
      </c>
      <c r="BT212" s="533" t="e">
        <f t="shared" si="139"/>
        <v>#NAME?</v>
      </c>
      <c r="BU212" s="533"/>
    </row>
    <row r="213" spans="1:73" ht="16" hidden="1" outlineLevel="2">
      <c r="A213" s="366"/>
      <c r="B213" s="562"/>
      <c r="C213" s="366"/>
      <c r="D213" s="454"/>
      <c r="E213" s="547">
        <f t="shared" si="148"/>
        <v>207</v>
      </c>
      <c r="F213" s="547">
        <f t="shared" si="140"/>
        <v>69</v>
      </c>
      <c r="G213" s="547">
        <f t="shared" si="141"/>
        <v>18</v>
      </c>
      <c r="H213" s="548">
        <f t="shared" si="117"/>
        <v>50099</v>
      </c>
      <c r="I213" s="549">
        <f t="shared" si="120"/>
        <v>2037</v>
      </c>
      <c r="K213" s="547">
        <f>[1]mProject!KB217</f>
        <v>0</v>
      </c>
      <c r="L213" s="547">
        <f t="shared" si="121"/>
        <v>950</v>
      </c>
      <c r="M213" s="547">
        <f t="shared" si="122"/>
        <v>295000</v>
      </c>
      <c r="N213" s="547">
        <f t="shared" si="123"/>
        <v>0</v>
      </c>
      <c r="O213" s="547">
        <f t="shared" si="142"/>
        <v>280250000</v>
      </c>
      <c r="P213" s="547">
        <f>[1]mProject!W217</f>
        <v>400102.78305120108</v>
      </c>
      <c r="Q213" s="547">
        <f t="shared" si="124"/>
        <v>0</v>
      </c>
      <c r="R213" s="547">
        <f t="shared" si="143"/>
        <v>296355280.38883054</v>
      </c>
      <c r="T213" s="547">
        <v>0</v>
      </c>
      <c r="U213" s="547">
        <f t="shared" si="125"/>
        <v>0</v>
      </c>
      <c r="V213" s="547">
        <f>IF(T213=0,0,$V$7*(1+#REF!)^#REF!)</f>
        <v>0</v>
      </c>
      <c r="W213" s="547">
        <f t="shared" si="144"/>
        <v>0</v>
      </c>
      <c r="X213" s="547">
        <f t="shared" si="126"/>
        <v>0</v>
      </c>
      <c r="Y213" s="547">
        <f t="shared" si="127"/>
        <v>0</v>
      </c>
      <c r="AA213" s="547">
        <v>0</v>
      </c>
      <c r="AB213" s="547">
        <f t="shared" si="128"/>
        <v>0</v>
      </c>
      <c r="AC213" s="547">
        <f>IF(AA213=0,0,$V$7*(1+#REF!)^#REF!)</f>
        <v>0</v>
      </c>
      <c r="AD213" s="547">
        <f t="shared" si="145"/>
        <v>0</v>
      </c>
      <c r="AE213" s="547">
        <f t="shared" si="129"/>
        <v>0</v>
      </c>
      <c r="AF213" s="547">
        <f t="shared" si="130"/>
        <v>0</v>
      </c>
      <c r="AH213" s="547">
        <f t="shared" si="131"/>
        <v>0</v>
      </c>
      <c r="AI213" s="547">
        <f t="shared" si="146"/>
        <v>950</v>
      </c>
      <c r="AJ213" s="547">
        <f t="shared" si="119"/>
        <v>0</v>
      </c>
      <c r="AK213" s="547">
        <f>AJ213*[1]mProject!V217</f>
        <v>0</v>
      </c>
      <c r="AL213" s="547">
        <f t="shared" si="132"/>
        <v>0</v>
      </c>
      <c r="AM213" s="547">
        <f t="shared" si="133"/>
        <v>0</v>
      </c>
      <c r="AN213" s="456"/>
      <c r="AO213" s="577" t="e">
        <f t="shared" si="149"/>
        <v>#REF!</v>
      </c>
      <c r="AP213" s="577" t="e">
        <f t="shared" si="116"/>
        <v>#REF!</v>
      </c>
      <c r="AQ213" s="577" t="e">
        <f t="shared" si="118"/>
        <v>#REF!</v>
      </c>
      <c r="AR213" s="578" t="e">
        <f t="shared" si="150"/>
        <v>#REF!</v>
      </c>
      <c r="AS213" s="547" t="e">
        <f t="shared" si="115"/>
        <v>#REF!</v>
      </c>
      <c r="AT213" s="547"/>
      <c r="AU213" s="547"/>
      <c r="AV213" s="547" t="e">
        <f t="shared" si="134"/>
        <v>#REF!</v>
      </c>
      <c r="AW213" s="547" t="e">
        <f>AI213*#REF!+AI212*#REF!+AI211*#REF!</f>
        <v>#REF!</v>
      </c>
      <c r="AX213" s="456"/>
      <c r="AY213" s="585">
        <f t="shared" si="147"/>
        <v>1.4115844812749141</v>
      </c>
      <c r="AZ213" s="547">
        <f t="shared" si="135"/>
        <v>0</v>
      </c>
      <c r="BA213" s="547">
        <f>BA212*[1]mProject!V218</f>
        <v>0</v>
      </c>
      <c r="BB213" s="547">
        <f t="shared" si="151"/>
        <v>17781316.823329829</v>
      </c>
      <c r="BC213" s="456"/>
      <c r="BD213" s="588">
        <f>((BB213/100)*(i_CFD.ObliRate/12))*[1]i.Finance!$O$64</f>
        <v>59826.722228495157</v>
      </c>
      <c r="BE213" s="588">
        <f>(AZ213/100*[1]i.Finance!$O$61)*[1]i.Finance!$O$64</f>
        <v>0</v>
      </c>
      <c r="BF213" s="588">
        <f>(AZ213/100*[1]i.Finance!$O$65)</f>
        <v>0</v>
      </c>
      <c r="BG213" s="589">
        <f t="shared" si="136"/>
        <v>59826.722228495157</v>
      </c>
      <c r="BH213" s="456"/>
      <c r="BI213" s="588">
        <f>-PV([1]i.Finance!$O$63/12,[1]i.Finance!$O$62*12,mCFD!BG213)</f>
        <v>10233961.918709608</v>
      </c>
      <c r="BJ213" s="588">
        <f>BI213*[1]i.Finance!$O$58</f>
        <v>8033660.1061870428</v>
      </c>
      <c r="BK213" s="588"/>
      <c r="BL213" s="588"/>
      <c r="BP213" s="547"/>
      <c r="BQ213" s="547"/>
      <c r="BR213" s="547" t="e">
        <f t="shared" si="137"/>
        <v>#NAME?</v>
      </c>
      <c r="BS213" s="547" t="e">
        <f t="shared" si="138"/>
        <v>#NAME?</v>
      </c>
      <c r="BT213" s="547" t="e">
        <f t="shared" si="139"/>
        <v>#NAME?</v>
      </c>
      <c r="BU213" s="547"/>
    </row>
    <row r="214" spans="1:73" ht="16" hidden="1" outlineLevel="2">
      <c r="A214" s="366"/>
      <c r="B214" s="562"/>
      <c r="C214" s="366"/>
      <c r="D214" s="454"/>
      <c r="E214" s="530">
        <f t="shared" si="148"/>
        <v>208</v>
      </c>
      <c r="F214" s="530">
        <f t="shared" si="140"/>
        <v>70</v>
      </c>
      <c r="G214" s="530">
        <f t="shared" si="141"/>
        <v>18</v>
      </c>
      <c r="H214" s="554">
        <f t="shared" si="117"/>
        <v>50130</v>
      </c>
      <c r="I214" s="555">
        <f t="shared" si="120"/>
        <v>2037</v>
      </c>
      <c r="K214" s="530">
        <f>[1]mProject!KB218</f>
        <v>0</v>
      </c>
      <c r="L214" s="530">
        <f t="shared" si="121"/>
        <v>950</v>
      </c>
      <c r="M214" s="530">
        <f t="shared" si="122"/>
        <v>295000</v>
      </c>
      <c r="N214" s="530">
        <f t="shared" si="123"/>
        <v>0</v>
      </c>
      <c r="O214" s="530">
        <f t="shared" si="142"/>
        <v>280250000</v>
      </c>
      <c r="P214" s="530">
        <f>[1]mProject!W218</f>
        <v>400769.62102295313</v>
      </c>
      <c r="Q214" s="530">
        <f t="shared" si="124"/>
        <v>0</v>
      </c>
      <c r="R214" s="530">
        <f t="shared" si="143"/>
        <v>296355280.38883054</v>
      </c>
      <c r="T214" s="530">
        <v>0</v>
      </c>
      <c r="U214" s="530">
        <f t="shared" si="125"/>
        <v>0</v>
      </c>
      <c r="V214" s="530">
        <f>IF(T214=0,0,$V$7*(1+#REF!)^#REF!)</f>
        <v>0</v>
      </c>
      <c r="W214" s="530">
        <f t="shared" si="144"/>
        <v>0</v>
      </c>
      <c r="X214" s="530">
        <f t="shared" si="126"/>
        <v>0</v>
      </c>
      <c r="Y214" s="530">
        <f t="shared" si="127"/>
        <v>0</v>
      </c>
      <c r="AA214" s="530">
        <v>0</v>
      </c>
      <c r="AB214" s="530">
        <f t="shared" si="128"/>
        <v>0</v>
      </c>
      <c r="AC214" s="530">
        <f>IF(AA214=0,0,$V$7*(1+#REF!)^#REF!)</f>
        <v>0</v>
      </c>
      <c r="AD214" s="530">
        <f t="shared" si="145"/>
        <v>0</v>
      </c>
      <c r="AE214" s="530">
        <f t="shared" si="129"/>
        <v>0</v>
      </c>
      <c r="AF214" s="530">
        <f t="shared" si="130"/>
        <v>0</v>
      </c>
      <c r="AH214" s="530">
        <f t="shared" si="131"/>
        <v>0</v>
      </c>
      <c r="AI214" s="530">
        <f t="shared" si="146"/>
        <v>950</v>
      </c>
      <c r="AJ214" s="530">
        <f t="shared" si="119"/>
        <v>0</v>
      </c>
      <c r="AK214" s="530">
        <f>AJ214*[1]mProject!V218</f>
        <v>0</v>
      </c>
      <c r="AL214" s="530">
        <f t="shared" si="132"/>
        <v>0</v>
      </c>
      <c r="AM214" s="530">
        <f t="shared" si="133"/>
        <v>0</v>
      </c>
      <c r="AN214" s="456"/>
      <c r="AO214" s="572" t="e">
        <f t="shared" si="149"/>
        <v>#REF!</v>
      </c>
      <c r="AP214" s="572" t="e">
        <f t="shared" si="116"/>
        <v>#REF!</v>
      </c>
      <c r="AQ214" s="572" t="e">
        <f t="shared" si="118"/>
        <v>#REF!</v>
      </c>
      <c r="AR214" s="573" t="e">
        <f t="shared" si="150"/>
        <v>#REF!</v>
      </c>
      <c r="AS214" s="530" t="e">
        <f t="shared" si="115"/>
        <v>#REF!</v>
      </c>
      <c r="AT214" s="530"/>
      <c r="AU214" s="530"/>
      <c r="AV214" s="530" t="e">
        <f t="shared" si="134"/>
        <v>#REF!</v>
      </c>
      <c r="AW214" s="530" t="e">
        <f>AI214*#REF!+AI213*#REF!+AI212*#REF!</f>
        <v>#REF!</v>
      </c>
      <c r="AX214" s="456"/>
      <c r="AY214" s="583">
        <f t="shared" si="147"/>
        <v>1.4139371220770389</v>
      </c>
      <c r="AZ214" s="530">
        <f t="shared" si="135"/>
        <v>0</v>
      </c>
      <c r="BA214" s="530">
        <f>BA213*[1]mProject!V219</f>
        <v>0</v>
      </c>
      <c r="BB214" s="530">
        <f t="shared" si="151"/>
        <v>17781316.823329829</v>
      </c>
      <c r="BC214" s="456"/>
      <c r="BD214" s="590">
        <f>((BB214/100)*(i_CFD.ObliRate/12))*[1]i.Finance!$O$64</f>
        <v>59826.722228495157</v>
      </c>
      <c r="BE214" s="590">
        <f>(AZ214/100*[1]i.Finance!$O$61)*[1]i.Finance!$O$64</f>
        <v>0</v>
      </c>
      <c r="BF214" s="590">
        <f>(AZ214/100*[1]i.Finance!$O$65)</f>
        <v>0</v>
      </c>
      <c r="BG214" s="591">
        <f t="shared" si="136"/>
        <v>59826.722228495157</v>
      </c>
      <c r="BH214" s="456"/>
      <c r="BI214" s="590">
        <f>-PV([1]i.Finance!$O$63/12,[1]i.Finance!$O$62*12,mCFD!BG214)</f>
        <v>10233961.918709608</v>
      </c>
      <c r="BJ214" s="590">
        <f>BI214*[1]i.Finance!$O$58</f>
        <v>8033660.1061870428</v>
      </c>
      <c r="BK214" s="590"/>
      <c r="BL214" s="590"/>
      <c r="BP214" s="530"/>
      <c r="BQ214" s="530"/>
      <c r="BR214" s="530" t="e">
        <f t="shared" si="137"/>
        <v>#NAME?</v>
      </c>
      <c r="BS214" s="530" t="e">
        <f t="shared" si="138"/>
        <v>#NAME?</v>
      </c>
      <c r="BT214" s="530" t="e">
        <f t="shared" si="139"/>
        <v>#NAME?</v>
      </c>
      <c r="BU214" s="530"/>
    </row>
    <row r="215" spans="1:73" ht="16" hidden="1" outlineLevel="2">
      <c r="A215" s="366"/>
      <c r="B215" s="562"/>
      <c r="C215" s="366"/>
      <c r="D215" s="454"/>
      <c r="E215" s="533">
        <f t="shared" si="148"/>
        <v>209</v>
      </c>
      <c r="F215" s="533">
        <f t="shared" si="140"/>
        <v>70</v>
      </c>
      <c r="G215" s="533">
        <f t="shared" si="141"/>
        <v>18</v>
      </c>
      <c r="H215" s="541">
        <f t="shared" si="117"/>
        <v>50160</v>
      </c>
      <c r="I215" s="542">
        <f t="shared" si="120"/>
        <v>2037</v>
      </c>
      <c r="K215" s="533">
        <f>[1]mProject!KB219</f>
        <v>0</v>
      </c>
      <c r="L215" s="533">
        <f t="shared" si="121"/>
        <v>950</v>
      </c>
      <c r="M215" s="533">
        <f t="shared" si="122"/>
        <v>295000</v>
      </c>
      <c r="N215" s="533">
        <f t="shared" si="123"/>
        <v>0</v>
      </c>
      <c r="O215" s="533">
        <f t="shared" si="142"/>
        <v>280250000</v>
      </c>
      <c r="P215" s="533">
        <f>[1]mProject!W219</f>
        <v>401437.57039132476</v>
      </c>
      <c r="Q215" s="533">
        <f t="shared" si="124"/>
        <v>0</v>
      </c>
      <c r="R215" s="533">
        <f t="shared" si="143"/>
        <v>296355280.38883054</v>
      </c>
      <c r="T215" s="533">
        <v>0</v>
      </c>
      <c r="U215" s="533">
        <f t="shared" si="125"/>
        <v>0</v>
      </c>
      <c r="V215" s="533">
        <f>IF(T215=0,0,$V$7*(1+#REF!)^#REF!)</f>
        <v>0</v>
      </c>
      <c r="W215" s="533">
        <f t="shared" si="144"/>
        <v>0</v>
      </c>
      <c r="X215" s="533">
        <f t="shared" si="126"/>
        <v>0</v>
      </c>
      <c r="Y215" s="533">
        <f t="shared" si="127"/>
        <v>0</v>
      </c>
      <c r="AA215" s="533">
        <v>0</v>
      </c>
      <c r="AB215" s="533">
        <f t="shared" si="128"/>
        <v>0</v>
      </c>
      <c r="AC215" s="533">
        <f>IF(AA215=0,0,$V$7*(1+#REF!)^#REF!)</f>
        <v>0</v>
      </c>
      <c r="AD215" s="533">
        <f t="shared" si="145"/>
        <v>0</v>
      </c>
      <c r="AE215" s="533">
        <f t="shared" si="129"/>
        <v>0</v>
      </c>
      <c r="AF215" s="533">
        <f t="shared" si="130"/>
        <v>0</v>
      </c>
      <c r="AH215" s="533">
        <f t="shared" si="131"/>
        <v>0</v>
      </c>
      <c r="AI215" s="533">
        <f t="shared" si="146"/>
        <v>950</v>
      </c>
      <c r="AJ215" s="533">
        <f t="shared" si="119"/>
        <v>0</v>
      </c>
      <c r="AK215" s="533">
        <f>AJ215*[1]mProject!V219</f>
        <v>0</v>
      </c>
      <c r="AL215" s="533">
        <f t="shared" si="132"/>
        <v>0</v>
      </c>
      <c r="AM215" s="533">
        <f t="shared" si="133"/>
        <v>0</v>
      </c>
      <c r="AN215" s="456"/>
      <c r="AO215" s="575" t="e">
        <f t="shared" si="149"/>
        <v>#REF!</v>
      </c>
      <c r="AP215" s="575" t="e">
        <f t="shared" si="116"/>
        <v>#REF!</v>
      </c>
      <c r="AQ215" s="575" t="e">
        <f t="shared" si="118"/>
        <v>#REF!</v>
      </c>
      <c r="AR215" s="576" t="e">
        <f t="shared" si="150"/>
        <v>#REF!</v>
      </c>
      <c r="AS215" s="533" t="e">
        <f t="shared" si="115"/>
        <v>#REF!</v>
      </c>
      <c r="AT215" s="533"/>
      <c r="AU215" s="533"/>
      <c r="AV215" s="533" t="e">
        <f t="shared" si="134"/>
        <v>#REF!</v>
      </c>
      <c r="AW215" s="533" t="e">
        <f>AI215*#REF!+AI214*#REF!+AI213*#REF!</f>
        <v>#REF!</v>
      </c>
      <c r="AX215" s="456"/>
      <c r="AY215" s="584">
        <f t="shared" si="147"/>
        <v>1.4162936839471674</v>
      </c>
      <c r="AZ215" s="533">
        <f t="shared" si="135"/>
        <v>0</v>
      </c>
      <c r="BA215" s="533">
        <f>BA214*[1]mProject!V220</f>
        <v>0</v>
      </c>
      <c r="BB215" s="533">
        <f t="shared" si="151"/>
        <v>17781316.823329829</v>
      </c>
      <c r="BC215" s="456"/>
      <c r="BD215" s="586">
        <f>((BB215/100)*(i_CFD.ObliRate/12))*[1]i.Finance!$O$64</f>
        <v>59826.722228495157</v>
      </c>
      <c r="BE215" s="586">
        <f>(AZ215/100*[1]i.Finance!$O$61)*[1]i.Finance!$O$64</f>
        <v>0</v>
      </c>
      <c r="BF215" s="586">
        <f>(AZ215/100*[1]i.Finance!$O$65)</f>
        <v>0</v>
      </c>
      <c r="BG215" s="587">
        <f t="shared" si="136"/>
        <v>59826.722228495157</v>
      </c>
      <c r="BH215" s="456"/>
      <c r="BI215" s="586">
        <f>-PV([1]i.Finance!$O$63/12,[1]i.Finance!$O$62*12,mCFD!BG215)</f>
        <v>10233961.918709608</v>
      </c>
      <c r="BJ215" s="586">
        <f>BI215*[1]i.Finance!$O$58</f>
        <v>8033660.1061870428</v>
      </c>
      <c r="BK215" s="586"/>
      <c r="BL215" s="586"/>
      <c r="BP215" s="533"/>
      <c r="BQ215" s="533"/>
      <c r="BR215" s="533" t="e">
        <f t="shared" si="137"/>
        <v>#NAME?</v>
      </c>
      <c r="BS215" s="533" t="e">
        <f t="shared" si="138"/>
        <v>#NAME?</v>
      </c>
      <c r="BT215" s="533" t="e">
        <f t="shared" si="139"/>
        <v>#NAME?</v>
      </c>
      <c r="BU215" s="533"/>
    </row>
    <row r="216" spans="1:73" ht="16" hidden="1" outlineLevel="2">
      <c r="A216" s="366"/>
      <c r="B216" s="562"/>
      <c r="C216" s="366"/>
      <c r="D216" s="454"/>
      <c r="E216" s="547">
        <f t="shared" si="148"/>
        <v>210</v>
      </c>
      <c r="F216" s="547">
        <f t="shared" si="140"/>
        <v>70</v>
      </c>
      <c r="G216" s="547">
        <f t="shared" si="141"/>
        <v>18</v>
      </c>
      <c r="H216" s="548">
        <f t="shared" si="117"/>
        <v>50191</v>
      </c>
      <c r="I216" s="549">
        <f t="shared" si="120"/>
        <v>2037</v>
      </c>
      <c r="K216" s="547">
        <f>[1]mProject!KB220</f>
        <v>0</v>
      </c>
      <c r="L216" s="547">
        <f t="shared" si="121"/>
        <v>950</v>
      </c>
      <c r="M216" s="547">
        <f t="shared" si="122"/>
        <v>295000</v>
      </c>
      <c r="N216" s="547">
        <f t="shared" si="123"/>
        <v>0</v>
      </c>
      <c r="O216" s="547">
        <f t="shared" si="142"/>
        <v>280250000</v>
      </c>
      <c r="P216" s="547">
        <f>[1]mProject!W220</f>
        <v>402106.63300864364</v>
      </c>
      <c r="Q216" s="547">
        <f t="shared" si="124"/>
        <v>0</v>
      </c>
      <c r="R216" s="547">
        <f t="shared" si="143"/>
        <v>296355280.38883054</v>
      </c>
      <c r="T216" s="547">
        <v>0</v>
      </c>
      <c r="U216" s="547">
        <f t="shared" si="125"/>
        <v>0</v>
      </c>
      <c r="V216" s="547">
        <f>IF(T216=0,0,$V$7*(1+#REF!)^#REF!)</f>
        <v>0</v>
      </c>
      <c r="W216" s="547">
        <f t="shared" si="144"/>
        <v>0</v>
      </c>
      <c r="X216" s="547">
        <f t="shared" si="126"/>
        <v>0</v>
      </c>
      <c r="Y216" s="547">
        <f t="shared" si="127"/>
        <v>0</v>
      </c>
      <c r="AA216" s="547">
        <v>0</v>
      </c>
      <c r="AB216" s="547">
        <f t="shared" si="128"/>
        <v>0</v>
      </c>
      <c r="AC216" s="547">
        <f>IF(AA216=0,0,$V$7*(1+#REF!)^#REF!)</f>
        <v>0</v>
      </c>
      <c r="AD216" s="547">
        <f t="shared" si="145"/>
        <v>0</v>
      </c>
      <c r="AE216" s="547">
        <f t="shared" si="129"/>
        <v>0</v>
      </c>
      <c r="AF216" s="547">
        <f t="shared" si="130"/>
        <v>0</v>
      </c>
      <c r="AH216" s="547">
        <f t="shared" si="131"/>
        <v>0</v>
      </c>
      <c r="AI216" s="547">
        <f t="shared" si="146"/>
        <v>950</v>
      </c>
      <c r="AJ216" s="547">
        <f t="shared" si="119"/>
        <v>0</v>
      </c>
      <c r="AK216" s="547">
        <f>AJ216*[1]mProject!V220</f>
        <v>0</v>
      </c>
      <c r="AL216" s="547">
        <f t="shared" si="132"/>
        <v>0</v>
      </c>
      <c r="AM216" s="547">
        <f t="shared" si="133"/>
        <v>0</v>
      </c>
      <c r="AN216" s="456"/>
      <c r="AO216" s="577" t="e">
        <f t="shared" si="149"/>
        <v>#REF!</v>
      </c>
      <c r="AP216" s="577" t="e">
        <f t="shared" si="116"/>
        <v>#REF!</v>
      </c>
      <c r="AQ216" s="577" t="e">
        <f t="shared" si="118"/>
        <v>#REF!</v>
      </c>
      <c r="AR216" s="578" t="e">
        <f t="shared" si="150"/>
        <v>#REF!</v>
      </c>
      <c r="AS216" s="547" t="e">
        <f t="shared" si="115"/>
        <v>#REF!</v>
      </c>
      <c r="AT216" s="547"/>
      <c r="AU216" s="547"/>
      <c r="AV216" s="547" t="e">
        <f t="shared" si="134"/>
        <v>#REF!</v>
      </c>
      <c r="AW216" s="547" t="e">
        <f>AI216*#REF!+AI215*#REF!+AI214*#REF!</f>
        <v>#REF!</v>
      </c>
      <c r="AX216" s="456"/>
      <c r="AY216" s="585">
        <f t="shared" si="147"/>
        <v>1.4186541734204128</v>
      </c>
      <c r="AZ216" s="547">
        <f t="shared" si="135"/>
        <v>0</v>
      </c>
      <c r="BA216" s="547">
        <f>BA215*[1]mProject!V221</f>
        <v>0</v>
      </c>
      <c r="BB216" s="547">
        <f t="shared" si="151"/>
        <v>17781316.823329829</v>
      </c>
      <c r="BC216" s="456"/>
      <c r="BD216" s="588">
        <f>((BB216/100)*(i_CFD.ObliRate/12))*[1]i.Finance!$O$64</f>
        <v>59826.722228495157</v>
      </c>
      <c r="BE216" s="588">
        <f>(AZ216/100*[1]i.Finance!$O$61)*[1]i.Finance!$O$64</f>
        <v>0</v>
      </c>
      <c r="BF216" s="588">
        <f>(AZ216/100*[1]i.Finance!$O$65)</f>
        <v>0</v>
      </c>
      <c r="BG216" s="589">
        <f t="shared" si="136"/>
        <v>59826.722228495157</v>
      </c>
      <c r="BH216" s="456"/>
      <c r="BI216" s="588">
        <f>-PV([1]i.Finance!$O$63/12,[1]i.Finance!$O$62*12,mCFD!BG216)</f>
        <v>10233961.918709608</v>
      </c>
      <c r="BJ216" s="588">
        <f>BI216*[1]i.Finance!$O$58</f>
        <v>8033660.1061870428</v>
      </c>
      <c r="BK216" s="588"/>
      <c r="BL216" s="588"/>
      <c r="BP216" s="547"/>
      <c r="BQ216" s="547"/>
      <c r="BR216" s="547" t="e">
        <f t="shared" si="137"/>
        <v>#NAME?</v>
      </c>
      <c r="BS216" s="547" t="e">
        <f t="shared" si="138"/>
        <v>#NAME?</v>
      </c>
      <c r="BT216" s="547" t="e">
        <f t="shared" si="139"/>
        <v>#NAME?</v>
      </c>
      <c r="BU216" s="547"/>
    </row>
    <row r="217" spans="1:73" ht="16" hidden="1" outlineLevel="2">
      <c r="A217" s="366"/>
      <c r="B217" s="562"/>
      <c r="C217" s="366"/>
      <c r="D217" s="454"/>
      <c r="E217" s="530">
        <f t="shared" si="148"/>
        <v>211</v>
      </c>
      <c r="F217" s="530">
        <f t="shared" si="140"/>
        <v>71</v>
      </c>
      <c r="G217" s="530">
        <f t="shared" si="141"/>
        <v>18</v>
      </c>
      <c r="H217" s="554">
        <f t="shared" si="117"/>
        <v>50221</v>
      </c>
      <c r="I217" s="555">
        <f t="shared" si="120"/>
        <v>2037</v>
      </c>
      <c r="K217" s="530">
        <f>[1]mProject!KB221</f>
        <v>0</v>
      </c>
      <c r="L217" s="530">
        <f t="shared" si="121"/>
        <v>950</v>
      </c>
      <c r="M217" s="530">
        <f t="shared" si="122"/>
        <v>295000</v>
      </c>
      <c r="N217" s="530">
        <f t="shared" si="123"/>
        <v>0</v>
      </c>
      <c r="O217" s="530">
        <f t="shared" si="142"/>
        <v>280250000</v>
      </c>
      <c r="P217" s="530">
        <f>[1]mProject!W221</f>
        <v>402776.81073032471</v>
      </c>
      <c r="Q217" s="530">
        <f t="shared" si="124"/>
        <v>0</v>
      </c>
      <c r="R217" s="530">
        <f t="shared" si="143"/>
        <v>296355280.38883054</v>
      </c>
      <c r="T217" s="530">
        <v>0</v>
      </c>
      <c r="U217" s="530">
        <f t="shared" si="125"/>
        <v>0</v>
      </c>
      <c r="V217" s="530">
        <f>IF(T217=0,0,$V$7*(1+#REF!)^#REF!)</f>
        <v>0</v>
      </c>
      <c r="W217" s="530">
        <f t="shared" si="144"/>
        <v>0</v>
      </c>
      <c r="X217" s="530">
        <f t="shared" si="126"/>
        <v>0</v>
      </c>
      <c r="Y217" s="530">
        <f t="shared" si="127"/>
        <v>0</v>
      </c>
      <c r="AA217" s="530">
        <v>0</v>
      </c>
      <c r="AB217" s="530">
        <f t="shared" si="128"/>
        <v>0</v>
      </c>
      <c r="AC217" s="530">
        <f>IF(AA217=0,0,$V$7*(1+#REF!)^#REF!)</f>
        <v>0</v>
      </c>
      <c r="AD217" s="530">
        <f t="shared" si="145"/>
        <v>0</v>
      </c>
      <c r="AE217" s="530">
        <f t="shared" si="129"/>
        <v>0</v>
      </c>
      <c r="AF217" s="530">
        <f t="shared" si="130"/>
        <v>0</v>
      </c>
      <c r="AH217" s="530">
        <f t="shared" si="131"/>
        <v>0</v>
      </c>
      <c r="AI217" s="530">
        <f t="shared" si="146"/>
        <v>950</v>
      </c>
      <c r="AJ217" s="530">
        <f t="shared" si="119"/>
        <v>0</v>
      </c>
      <c r="AK217" s="530">
        <f>AJ217*[1]mProject!V221</f>
        <v>0</v>
      </c>
      <c r="AL217" s="530">
        <f t="shared" si="132"/>
        <v>0</v>
      </c>
      <c r="AM217" s="530">
        <f t="shared" si="133"/>
        <v>0</v>
      </c>
      <c r="AN217" s="456"/>
      <c r="AO217" s="572" t="e">
        <f t="shared" si="149"/>
        <v>#REF!</v>
      </c>
      <c r="AP217" s="572" t="e">
        <f t="shared" si="116"/>
        <v>#REF!</v>
      </c>
      <c r="AQ217" s="572" t="e">
        <f t="shared" si="118"/>
        <v>#REF!</v>
      </c>
      <c r="AR217" s="573" t="e">
        <f t="shared" si="150"/>
        <v>#REF!</v>
      </c>
      <c r="AS217" s="530" t="e">
        <f t="shared" si="115"/>
        <v>#REF!</v>
      </c>
      <c r="AT217" s="530"/>
      <c r="AU217" s="530"/>
      <c r="AV217" s="530" t="e">
        <f t="shared" si="134"/>
        <v>#REF!</v>
      </c>
      <c r="AW217" s="530" t="e">
        <f>AI217*#REF!+AI216*#REF!+AI215*#REF!</f>
        <v>#REF!</v>
      </c>
      <c r="AX217" s="456"/>
      <c r="AY217" s="583">
        <f t="shared" si="147"/>
        <v>1.4210185970427802</v>
      </c>
      <c r="AZ217" s="530">
        <f t="shared" si="135"/>
        <v>0</v>
      </c>
      <c r="BA217" s="530">
        <f>BA216*[1]mProject!V222</f>
        <v>0</v>
      </c>
      <c r="BB217" s="530">
        <f t="shared" si="151"/>
        <v>17781316.823329829</v>
      </c>
      <c r="BC217" s="456"/>
      <c r="BD217" s="590">
        <f>((BB217/100)*(i_CFD.ObliRate/12))*[1]i.Finance!$O$64</f>
        <v>59826.722228495157</v>
      </c>
      <c r="BE217" s="590">
        <f>(AZ217/100*[1]i.Finance!$O$61)*[1]i.Finance!$O$64</f>
        <v>0</v>
      </c>
      <c r="BF217" s="590">
        <f>(AZ217/100*[1]i.Finance!$O$65)</f>
        <v>0</v>
      </c>
      <c r="BG217" s="591">
        <f t="shared" si="136"/>
        <v>59826.722228495157</v>
      </c>
      <c r="BH217" s="456"/>
      <c r="BI217" s="590">
        <f>-PV([1]i.Finance!$O$63/12,[1]i.Finance!$O$62*12,mCFD!BG217)</f>
        <v>10233961.918709608</v>
      </c>
      <c r="BJ217" s="590">
        <f>BI217*[1]i.Finance!$O$58</f>
        <v>8033660.1061870428</v>
      </c>
      <c r="BK217" s="590"/>
      <c r="BL217" s="590"/>
      <c r="BP217" s="530"/>
      <c r="BQ217" s="530"/>
      <c r="BR217" s="530" t="e">
        <f t="shared" si="137"/>
        <v>#NAME?</v>
      </c>
      <c r="BS217" s="530" t="e">
        <f t="shared" si="138"/>
        <v>#NAME?</v>
      </c>
      <c r="BT217" s="530" t="e">
        <f t="shared" si="139"/>
        <v>#NAME?</v>
      </c>
      <c r="BU217" s="530"/>
    </row>
    <row r="218" spans="1:73" ht="16" hidden="1" outlineLevel="2">
      <c r="A218" s="366"/>
      <c r="B218" s="562"/>
      <c r="C218" s="366"/>
      <c r="D218" s="454"/>
      <c r="E218" s="533">
        <f t="shared" si="148"/>
        <v>212</v>
      </c>
      <c r="F218" s="533">
        <f t="shared" si="140"/>
        <v>71</v>
      </c>
      <c r="G218" s="533">
        <f t="shared" si="141"/>
        <v>18</v>
      </c>
      <c r="H218" s="541">
        <f t="shared" si="117"/>
        <v>50252</v>
      </c>
      <c r="I218" s="542">
        <f t="shared" si="120"/>
        <v>2037</v>
      </c>
      <c r="K218" s="533">
        <f>[1]mProject!KB222</f>
        <v>0</v>
      </c>
      <c r="L218" s="533">
        <f t="shared" si="121"/>
        <v>950</v>
      </c>
      <c r="M218" s="533">
        <f t="shared" si="122"/>
        <v>295000</v>
      </c>
      <c r="N218" s="533">
        <f t="shared" si="123"/>
        <v>0</v>
      </c>
      <c r="O218" s="533">
        <f t="shared" si="142"/>
        <v>280250000</v>
      </c>
      <c r="P218" s="533">
        <f>[1]mProject!W222</f>
        <v>403448.10541487526</v>
      </c>
      <c r="Q218" s="533">
        <f t="shared" si="124"/>
        <v>0</v>
      </c>
      <c r="R218" s="533">
        <f t="shared" si="143"/>
        <v>296355280.38883054</v>
      </c>
      <c r="T218" s="533">
        <v>0</v>
      </c>
      <c r="U218" s="533">
        <f t="shared" si="125"/>
        <v>0</v>
      </c>
      <c r="V218" s="533">
        <f>IF(T218=0,0,$V$7*(1+#REF!)^#REF!)</f>
        <v>0</v>
      </c>
      <c r="W218" s="533">
        <f t="shared" si="144"/>
        <v>0</v>
      </c>
      <c r="X218" s="533">
        <f t="shared" si="126"/>
        <v>0</v>
      </c>
      <c r="Y218" s="533">
        <f t="shared" si="127"/>
        <v>0</v>
      </c>
      <c r="AA218" s="533">
        <v>0</v>
      </c>
      <c r="AB218" s="533">
        <f t="shared" si="128"/>
        <v>0</v>
      </c>
      <c r="AC218" s="533">
        <f>IF(AA218=0,0,$V$7*(1+#REF!)^#REF!)</f>
        <v>0</v>
      </c>
      <c r="AD218" s="533">
        <f t="shared" si="145"/>
        <v>0</v>
      </c>
      <c r="AE218" s="533">
        <f t="shared" si="129"/>
        <v>0</v>
      </c>
      <c r="AF218" s="533">
        <f t="shared" si="130"/>
        <v>0</v>
      </c>
      <c r="AH218" s="533">
        <f t="shared" si="131"/>
        <v>0</v>
      </c>
      <c r="AI218" s="533">
        <f t="shared" si="146"/>
        <v>950</v>
      </c>
      <c r="AJ218" s="533">
        <f t="shared" si="119"/>
        <v>0</v>
      </c>
      <c r="AK218" s="533">
        <f>AJ218*[1]mProject!V222</f>
        <v>0</v>
      </c>
      <c r="AL218" s="533">
        <f t="shared" si="132"/>
        <v>0</v>
      </c>
      <c r="AM218" s="533">
        <f t="shared" si="133"/>
        <v>0</v>
      </c>
      <c r="AN218" s="456"/>
      <c r="AO218" s="575" t="e">
        <f t="shared" si="149"/>
        <v>#REF!</v>
      </c>
      <c r="AP218" s="575" t="e">
        <f t="shared" si="116"/>
        <v>#REF!</v>
      </c>
      <c r="AQ218" s="575" t="e">
        <f t="shared" si="118"/>
        <v>#REF!</v>
      </c>
      <c r="AR218" s="576" t="e">
        <f t="shared" si="150"/>
        <v>#REF!</v>
      </c>
      <c r="AS218" s="533" t="e">
        <f t="shared" si="115"/>
        <v>#REF!</v>
      </c>
      <c r="AT218" s="533"/>
      <c r="AU218" s="533"/>
      <c r="AV218" s="533" t="e">
        <f t="shared" si="134"/>
        <v>#REF!</v>
      </c>
      <c r="AW218" s="533" t="e">
        <f>AI218*#REF!+AI217*#REF!+AI216*#REF!</f>
        <v>#REF!</v>
      </c>
      <c r="AX218" s="456"/>
      <c r="AY218" s="584">
        <f t="shared" si="147"/>
        <v>1.4233869613711849</v>
      </c>
      <c r="AZ218" s="533">
        <f t="shared" si="135"/>
        <v>0</v>
      </c>
      <c r="BA218" s="533">
        <f>BA217*[1]mProject!V223</f>
        <v>0</v>
      </c>
      <c r="BB218" s="533">
        <f t="shared" si="151"/>
        <v>17781316.823329829</v>
      </c>
      <c r="BC218" s="456"/>
      <c r="BD218" s="586">
        <f>((BB218/100)*(i_CFD.ObliRate/12))*[1]i.Finance!$O$64</f>
        <v>59826.722228495157</v>
      </c>
      <c r="BE218" s="586">
        <f>(AZ218/100*[1]i.Finance!$O$61)*[1]i.Finance!$O$64</f>
        <v>0</v>
      </c>
      <c r="BF218" s="586">
        <f>(AZ218/100*[1]i.Finance!$O$65)</f>
        <v>0</v>
      </c>
      <c r="BG218" s="587">
        <f t="shared" si="136"/>
        <v>59826.722228495157</v>
      </c>
      <c r="BH218" s="456"/>
      <c r="BI218" s="586">
        <f>-PV([1]i.Finance!$O$63/12,[1]i.Finance!$O$62*12,mCFD!BG218)</f>
        <v>10233961.918709608</v>
      </c>
      <c r="BJ218" s="586">
        <f>BI218*[1]i.Finance!$O$58</f>
        <v>8033660.1061870428</v>
      </c>
      <c r="BK218" s="586"/>
      <c r="BL218" s="586"/>
      <c r="BP218" s="533"/>
      <c r="BQ218" s="533"/>
      <c r="BR218" s="533" t="e">
        <f t="shared" si="137"/>
        <v>#NAME?</v>
      </c>
      <c r="BS218" s="533" t="e">
        <f t="shared" si="138"/>
        <v>#NAME?</v>
      </c>
      <c r="BT218" s="533" t="e">
        <f t="shared" si="139"/>
        <v>#NAME?</v>
      </c>
      <c r="BU218" s="533"/>
    </row>
    <row r="219" spans="1:73" ht="16" hidden="1" outlineLevel="2">
      <c r="A219" s="366"/>
      <c r="B219" s="562"/>
      <c r="C219" s="366"/>
      <c r="D219" s="454"/>
      <c r="E219" s="547">
        <f t="shared" si="148"/>
        <v>213</v>
      </c>
      <c r="F219" s="547">
        <f t="shared" si="140"/>
        <v>71</v>
      </c>
      <c r="G219" s="547">
        <f t="shared" si="141"/>
        <v>18</v>
      </c>
      <c r="H219" s="548">
        <f t="shared" si="117"/>
        <v>50283</v>
      </c>
      <c r="I219" s="549">
        <f t="shared" si="120"/>
        <v>2037</v>
      </c>
      <c r="K219" s="547">
        <f>[1]mProject!KB223</f>
        <v>0</v>
      </c>
      <c r="L219" s="547">
        <f t="shared" si="121"/>
        <v>950</v>
      </c>
      <c r="M219" s="547">
        <f t="shared" si="122"/>
        <v>295000</v>
      </c>
      <c r="N219" s="547">
        <f t="shared" si="123"/>
        <v>0</v>
      </c>
      <c r="O219" s="547">
        <f t="shared" si="142"/>
        <v>280250000</v>
      </c>
      <c r="P219" s="547">
        <f>[1]mProject!W223</f>
        <v>404120.51892390009</v>
      </c>
      <c r="Q219" s="547">
        <f t="shared" si="124"/>
        <v>0</v>
      </c>
      <c r="R219" s="547">
        <f t="shared" si="143"/>
        <v>296355280.38883054</v>
      </c>
      <c r="T219" s="547">
        <v>0</v>
      </c>
      <c r="U219" s="547">
        <f t="shared" si="125"/>
        <v>0</v>
      </c>
      <c r="V219" s="547">
        <f>IF(T219=0,0,$V$7*(1+#REF!)^#REF!)</f>
        <v>0</v>
      </c>
      <c r="W219" s="547">
        <f t="shared" si="144"/>
        <v>0</v>
      </c>
      <c r="X219" s="547">
        <f t="shared" si="126"/>
        <v>0</v>
      </c>
      <c r="Y219" s="547">
        <f t="shared" si="127"/>
        <v>0</v>
      </c>
      <c r="AA219" s="547">
        <v>0</v>
      </c>
      <c r="AB219" s="547">
        <f t="shared" si="128"/>
        <v>0</v>
      </c>
      <c r="AC219" s="547">
        <f>IF(AA219=0,0,$V$7*(1+#REF!)^#REF!)</f>
        <v>0</v>
      </c>
      <c r="AD219" s="547">
        <f t="shared" si="145"/>
        <v>0</v>
      </c>
      <c r="AE219" s="547">
        <f t="shared" si="129"/>
        <v>0</v>
      </c>
      <c r="AF219" s="547">
        <f t="shared" si="130"/>
        <v>0</v>
      </c>
      <c r="AH219" s="547">
        <f t="shared" si="131"/>
        <v>0</v>
      </c>
      <c r="AI219" s="547">
        <f t="shared" si="146"/>
        <v>950</v>
      </c>
      <c r="AJ219" s="547">
        <f t="shared" si="119"/>
        <v>0</v>
      </c>
      <c r="AK219" s="547">
        <f>AJ219*[1]mProject!V223</f>
        <v>0</v>
      </c>
      <c r="AL219" s="547">
        <f t="shared" si="132"/>
        <v>0</v>
      </c>
      <c r="AM219" s="547">
        <f t="shared" si="133"/>
        <v>0</v>
      </c>
      <c r="AN219" s="456"/>
      <c r="AO219" s="577" t="e">
        <f t="shared" si="149"/>
        <v>#REF!</v>
      </c>
      <c r="AP219" s="577" t="e">
        <f t="shared" si="116"/>
        <v>#REF!</v>
      </c>
      <c r="AQ219" s="577" t="e">
        <f t="shared" si="118"/>
        <v>#REF!</v>
      </c>
      <c r="AR219" s="578" t="e">
        <f t="shared" si="150"/>
        <v>#REF!</v>
      </c>
      <c r="AS219" s="547" t="e">
        <f t="shared" si="115"/>
        <v>#REF!</v>
      </c>
      <c r="AT219" s="547"/>
      <c r="AU219" s="547"/>
      <c r="AV219" s="547" t="e">
        <f t="shared" si="134"/>
        <v>#REF!</v>
      </c>
      <c r="AW219" s="547" t="e">
        <f>AI219*#REF!+AI218*#REF!+AI217*#REF!</f>
        <v>#REF!</v>
      </c>
      <c r="AX219" s="456"/>
      <c r="AY219" s="585">
        <f t="shared" si="147"/>
        <v>1.4257592729734703</v>
      </c>
      <c r="AZ219" s="547">
        <f t="shared" si="135"/>
        <v>0</v>
      </c>
      <c r="BA219" s="547">
        <f>BA218*[1]mProject!V224</f>
        <v>0</v>
      </c>
      <c r="BB219" s="547">
        <f t="shared" si="151"/>
        <v>17781316.823329829</v>
      </c>
      <c r="BC219" s="456"/>
      <c r="BD219" s="588">
        <f>((BB219/100)*(i_CFD.ObliRate/12))*[1]i.Finance!$O$64</f>
        <v>59826.722228495157</v>
      </c>
      <c r="BE219" s="588">
        <f>(AZ219/100*[1]i.Finance!$O$61)*[1]i.Finance!$O$64</f>
        <v>0</v>
      </c>
      <c r="BF219" s="588">
        <f>(AZ219/100*[1]i.Finance!$O$65)</f>
        <v>0</v>
      </c>
      <c r="BG219" s="589">
        <f t="shared" si="136"/>
        <v>59826.722228495157</v>
      </c>
      <c r="BH219" s="456"/>
      <c r="BI219" s="588">
        <f>-PV([1]i.Finance!$O$63/12,[1]i.Finance!$O$62*12,mCFD!BG219)</f>
        <v>10233961.918709608</v>
      </c>
      <c r="BJ219" s="588">
        <f>BI219*[1]i.Finance!$O$58</f>
        <v>8033660.1061870428</v>
      </c>
      <c r="BK219" s="588"/>
      <c r="BL219" s="588"/>
      <c r="BP219" s="547"/>
      <c r="BQ219" s="547"/>
      <c r="BR219" s="547" t="e">
        <f t="shared" si="137"/>
        <v>#NAME?</v>
      </c>
      <c r="BS219" s="547" t="e">
        <f t="shared" si="138"/>
        <v>#NAME?</v>
      </c>
      <c r="BT219" s="547" t="e">
        <f t="shared" si="139"/>
        <v>#NAME?</v>
      </c>
      <c r="BU219" s="547"/>
    </row>
    <row r="220" spans="1:73" ht="16" hidden="1" outlineLevel="2">
      <c r="A220" s="366"/>
      <c r="B220" s="562"/>
      <c r="C220" s="366"/>
      <c r="D220" s="454"/>
      <c r="E220" s="530">
        <f t="shared" si="148"/>
        <v>214</v>
      </c>
      <c r="F220" s="530">
        <f t="shared" si="140"/>
        <v>72</v>
      </c>
      <c r="G220" s="530">
        <f t="shared" si="141"/>
        <v>18</v>
      </c>
      <c r="H220" s="554">
        <f t="shared" si="117"/>
        <v>50313</v>
      </c>
      <c r="I220" s="555">
        <f t="shared" si="120"/>
        <v>2037</v>
      </c>
      <c r="K220" s="530">
        <f>[1]mProject!KB224</f>
        <v>0</v>
      </c>
      <c r="L220" s="530">
        <f t="shared" si="121"/>
        <v>950</v>
      </c>
      <c r="M220" s="530">
        <f t="shared" si="122"/>
        <v>295000</v>
      </c>
      <c r="N220" s="530">
        <f t="shared" si="123"/>
        <v>0</v>
      </c>
      <c r="O220" s="530">
        <f t="shared" si="142"/>
        <v>280250000</v>
      </c>
      <c r="P220" s="530">
        <f>[1]mProject!W224</f>
        <v>404794.05312210659</v>
      </c>
      <c r="Q220" s="530">
        <f t="shared" si="124"/>
        <v>0</v>
      </c>
      <c r="R220" s="530">
        <f t="shared" si="143"/>
        <v>296355280.38883054</v>
      </c>
      <c r="T220" s="530">
        <v>0</v>
      </c>
      <c r="U220" s="530">
        <f t="shared" si="125"/>
        <v>0</v>
      </c>
      <c r="V220" s="530">
        <f>IF(T220=0,0,$V$7*(1+#REF!)^#REF!)</f>
        <v>0</v>
      </c>
      <c r="W220" s="530">
        <f t="shared" si="144"/>
        <v>0</v>
      </c>
      <c r="X220" s="530">
        <f t="shared" si="126"/>
        <v>0</v>
      </c>
      <c r="Y220" s="530">
        <f t="shared" si="127"/>
        <v>0</v>
      </c>
      <c r="AA220" s="530">
        <v>0</v>
      </c>
      <c r="AB220" s="530">
        <f t="shared" si="128"/>
        <v>0</v>
      </c>
      <c r="AC220" s="530">
        <f>IF(AA220=0,0,$V$7*(1+#REF!)^#REF!)</f>
        <v>0</v>
      </c>
      <c r="AD220" s="530">
        <f t="shared" si="145"/>
        <v>0</v>
      </c>
      <c r="AE220" s="530">
        <f t="shared" si="129"/>
        <v>0</v>
      </c>
      <c r="AF220" s="530">
        <f t="shared" si="130"/>
        <v>0</v>
      </c>
      <c r="AH220" s="530">
        <f t="shared" si="131"/>
        <v>0</v>
      </c>
      <c r="AI220" s="530">
        <f t="shared" si="146"/>
        <v>950</v>
      </c>
      <c r="AJ220" s="530">
        <f t="shared" si="119"/>
        <v>0</v>
      </c>
      <c r="AK220" s="530">
        <f>AJ220*[1]mProject!V224</f>
        <v>0</v>
      </c>
      <c r="AL220" s="530">
        <f t="shared" si="132"/>
        <v>0</v>
      </c>
      <c r="AM220" s="530">
        <f t="shared" si="133"/>
        <v>0</v>
      </c>
      <c r="AN220" s="456"/>
      <c r="AO220" s="572" t="e">
        <f t="shared" si="149"/>
        <v>#REF!</v>
      </c>
      <c r="AP220" s="572" t="e">
        <f t="shared" si="116"/>
        <v>#REF!</v>
      </c>
      <c r="AQ220" s="572" t="e">
        <f t="shared" si="118"/>
        <v>#REF!</v>
      </c>
      <c r="AR220" s="573" t="e">
        <f t="shared" si="150"/>
        <v>#REF!</v>
      </c>
      <c r="AS220" s="530" t="e">
        <f t="shared" ref="AS220:AS283" si="152">AR220*P220</f>
        <v>#REF!</v>
      </c>
      <c r="AT220" s="530"/>
      <c r="AU220" s="530"/>
      <c r="AV220" s="530" t="e">
        <f t="shared" si="134"/>
        <v>#REF!</v>
      </c>
      <c r="AW220" s="530" t="e">
        <f>AI220*#REF!+AI219*#REF!+AI218*#REF!</f>
        <v>#REF!</v>
      </c>
      <c r="AX220" s="456"/>
      <c r="AY220" s="583">
        <f t="shared" si="147"/>
        <v>1.428135538428426</v>
      </c>
      <c r="AZ220" s="530">
        <f t="shared" si="135"/>
        <v>0</v>
      </c>
      <c r="BA220" s="530">
        <f>BA219*[1]mProject!V225</f>
        <v>0</v>
      </c>
      <c r="BB220" s="530">
        <f t="shared" si="151"/>
        <v>17781316.823329829</v>
      </c>
      <c r="BC220" s="456"/>
      <c r="BD220" s="590">
        <f>((BB220/100)*(i_CFD.ObliRate/12))*[1]i.Finance!$O$64</f>
        <v>59826.722228495157</v>
      </c>
      <c r="BE220" s="590">
        <f>(AZ220/100*[1]i.Finance!$O$61)*[1]i.Finance!$O$64</f>
        <v>0</v>
      </c>
      <c r="BF220" s="590">
        <f>(AZ220/100*[1]i.Finance!$O$65)</f>
        <v>0</v>
      </c>
      <c r="BG220" s="591">
        <f t="shared" si="136"/>
        <v>59826.722228495157</v>
      </c>
      <c r="BH220" s="456"/>
      <c r="BI220" s="590">
        <f>-PV([1]i.Finance!$O$63/12,[1]i.Finance!$O$62*12,mCFD!BG220)</f>
        <v>10233961.918709608</v>
      </c>
      <c r="BJ220" s="590">
        <f>BI220*[1]i.Finance!$O$58</f>
        <v>8033660.1061870428</v>
      </c>
      <c r="BK220" s="590"/>
      <c r="BL220" s="590"/>
      <c r="BP220" s="530"/>
      <c r="BQ220" s="530"/>
      <c r="BR220" s="530" t="e">
        <f t="shared" si="137"/>
        <v>#NAME?</v>
      </c>
      <c r="BS220" s="530" t="e">
        <f t="shared" si="138"/>
        <v>#NAME?</v>
      </c>
      <c r="BT220" s="530" t="e">
        <f t="shared" si="139"/>
        <v>#NAME?</v>
      </c>
      <c r="BU220" s="530"/>
    </row>
    <row r="221" spans="1:73" ht="16" hidden="1" outlineLevel="2">
      <c r="A221" s="366"/>
      <c r="B221" s="562"/>
      <c r="C221" s="366"/>
      <c r="D221" s="454"/>
      <c r="E221" s="533">
        <f t="shared" si="148"/>
        <v>215</v>
      </c>
      <c r="F221" s="533">
        <f t="shared" si="140"/>
        <v>72</v>
      </c>
      <c r="G221" s="533">
        <f t="shared" si="141"/>
        <v>18</v>
      </c>
      <c r="H221" s="541">
        <f t="shared" si="117"/>
        <v>50344</v>
      </c>
      <c r="I221" s="542">
        <f t="shared" si="120"/>
        <v>2037</v>
      </c>
      <c r="K221" s="533">
        <f>[1]mProject!KB225</f>
        <v>0</v>
      </c>
      <c r="L221" s="533">
        <f t="shared" si="121"/>
        <v>950</v>
      </c>
      <c r="M221" s="533">
        <f t="shared" si="122"/>
        <v>295000</v>
      </c>
      <c r="N221" s="533">
        <f t="shared" si="123"/>
        <v>0</v>
      </c>
      <c r="O221" s="533">
        <f t="shared" si="142"/>
        <v>280250000</v>
      </c>
      <c r="P221" s="533">
        <f>[1]mProject!W225</f>
        <v>405468.70987731009</v>
      </c>
      <c r="Q221" s="533">
        <f t="shared" si="124"/>
        <v>0</v>
      </c>
      <c r="R221" s="533">
        <f t="shared" si="143"/>
        <v>296355280.38883054</v>
      </c>
      <c r="T221" s="533">
        <v>0</v>
      </c>
      <c r="U221" s="533">
        <f t="shared" si="125"/>
        <v>0</v>
      </c>
      <c r="V221" s="533">
        <f>IF(T221=0,0,$V$7*(1+#REF!)^#REF!)</f>
        <v>0</v>
      </c>
      <c r="W221" s="533">
        <f t="shared" si="144"/>
        <v>0</v>
      </c>
      <c r="X221" s="533">
        <f t="shared" si="126"/>
        <v>0</v>
      </c>
      <c r="Y221" s="533">
        <f t="shared" si="127"/>
        <v>0</v>
      </c>
      <c r="AA221" s="533">
        <v>0</v>
      </c>
      <c r="AB221" s="533">
        <f t="shared" si="128"/>
        <v>0</v>
      </c>
      <c r="AC221" s="533">
        <f>IF(AA221=0,0,$V$7*(1+#REF!)^#REF!)</f>
        <v>0</v>
      </c>
      <c r="AD221" s="533">
        <f t="shared" si="145"/>
        <v>0</v>
      </c>
      <c r="AE221" s="533">
        <f t="shared" si="129"/>
        <v>0</v>
      </c>
      <c r="AF221" s="533">
        <f t="shared" si="130"/>
        <v>0</v>
      </c>
      <c r="AH221" s="533">
        <f t="shared" si="131"/>
        <v>0</v>
      </c>
      <c r="AI221" s="533">
        <f t="shared" si="146"/>
        <v>950</v>
      </c>
      <c r="AJ221" s="533">
        <f t="shared" si="119"/>
        <v>0</v>
      </c>
      <c r="AK221" s="533">
        <f>AJ221*[1]mProject!V225</f>
        <v>0</v>
      </c>
      <c r="AL221" s="533">
        <f t="shared" si="132"/>
        <v>0</v>
      </c>
      <c r="AM221" s="533">
        <f t="shared" si="133"/>
        <v>0</v>
      </c>
      <c r="AN221" s="456"/>
      <c r="AO221" s="575" t="e">
        <f t="shared" si="149"/>
        <v>#REF!</v>
      </c>
      <c r="AP221" s="575" t="e">
        <f t="shared" si="116"/>
        <v>#REF!</v>
      </c>
      <c r="AQ221" s="575" t="e">
        <f t="shared" si="118"/>
        <v>#REF!</v>
      </c>
      <c r="AR221" s="576" t="e">
        <f t="shared" si="150"/>
        <v>#REF!</v>
      </c>
      <c r="AS221" s="533" t="e">
        <f t="shared" si="152"/>
        <v>#REF!</v>
      </c>
      <c r="AT221" s="533"/>
      <c r="AU221" s="533"/>
      <c r="AV221" s="533" t="e">
        <f t="shared" si="134"/>
        <v>#REF!</v>
      </c>
      <c r="AW221" s="533" t="e">
        <f>AI221*#REF!+AI220*#REF!+AI219*#REF!</f>
        <v>#REF!</v>
      </c>
      <c r="AX221" s="456"/>
      <c r="AY221" s="584">
        <f t="shared" si="147"/>
        <v>1.4305157643258068</v>
      </c>
      <c r="AZ221" s="533">
        <f t="shared" si="135"/>
        <v>0</v>
      </c>
      <c r="BA221" s="533">
        <f>BA220*[1]mProject!V226</f>
        <v>0</v>
      </c>
      <c r="BB221" s="533">
        <f t="shared" si="151"/>
        <v>17781316.823329829</v>
      </c>
      <c r="BC221" s="456"/>
      <c r="BD221" s="586">
        <f>((BB221/100)*(i_CFD.ObliRate/12))*[1]i.Finance!$O$64</f>
        <v>59826.722228495157</v>
      </c>
      <c r="BE221" s="586">
        <f>(AZ221/100*[1]i.Finance!$O$61)*[1]i.Finance!$O$64</f>
        <v>0</v>
      </c>
      <c r="BF221" s="586">
        <f>(AZ221/100*[1]i.Finance!$O$65)</f>
        <v>0</v>
      </c>
      <c r="BG221" s="587">
        <f t="shared" si="136"/>
        <v>59826.722228495157</v>
      </c>
      <c r="BH221" s="456"/>
      <c r="BI221" s="586">
        <f>-PV([1]i.Finance!$O$63/12,[1]i.Finance!$O$62*12,mCFD!BG221)</f>
        <v>10233961.918709608</v>
      </c>
      <c r="BJ221" s="586">
        <f>BI221*[1]i.Finance!$O$58</f>
        <v>8033660.1061870428</v>
      </c>
      <c r="BK221" s="586"/>
      <c r="BL221" s="586"/>
      <c r="BP221" s="533"/>
      <c r="BQ221" s="533"/>
      <c r="BR221" s="533" t="e">
        <f t="shared" si="137"/>
        <v>#NAME?</v>
      </c>
      <c r="BS221" s="533" t="e">
        <f t="shared" si="138"/>
        <v>#NAME?</v>
      </c>
      <c r="BT221" s="533" t="e">
        <f t="shared" si="139"/>
        <v>#NAME?</v>
      </c>
      <c r="BU221" s="533"/>
    </row>
    <row r="222" spans="1:73" ht="17" hidden="1" outlineLevel="2" thickBot="1">
      <c r="A222" s="366"/>
      <c r="B222" s="562"/>
      <c r="C222" s="366"/>
      <c r="D222" s="454"/>
      <c r="E222" s="564">
        <f t="shared" si="148"/>
        <v>216</v>
      </c>
      <c r="F222" s="564">
        <f t="shared" si="140"/>
        <v>72</v>
      </c>
      <c r="G222" s="564">
        <f t="shared" si="141"/>
        <v>18</v>
      </c>
      <c r="H222" s="565">
        <f t="shared" si="117"/>
        <v>50374</v>
      </c>
      <c r="I222" s="566">
        <f t="shared" si="120"/>
        <v>2037</v>
      </c>
      <c r="K222" s="564">
        <f>[1]mProject!KB226</f>
        <v>0</v>
      </c>
      <c r="L222" s="564">
        <f t="shared" si="121"/>
        <v>950</v>
      </c>
      <c r="M222" s="564">
        <f t="shared" si="122"/>
        <v>295000</v>
      </c>
      <c r="N222" s="564">
        <f t="shared" si="123"/>
        <v>0</v>
      </c>
      <c r="O222" s="564">
        <f t="shared" si="142"/>
        <v>280250000</v>
      </c>
      <c r="P222" s="564">
        <f>[1]mProject!W226</f>
        <v>406144.49106043897</v>
      </c>
      <c r="Q222" s="564">
        <f t="shared" si="124"/>
        <v>0</v>
      </c>
      <c r="R222" s="564">
        <f t="shared" si="143"/>
        <v>296355280.38883054</v>
      </c>
      <c r="T222" s="564">
        <v>0</v>
      </c>
      <c r="U222" s="564">
        <f t="shared" si="125"/>
        <v>0</v>
      </c>
      <c r="V222" s="564">
        <f>IF(T222=0,0,$V$7*(1+#REF!)^#REF!)</f>
        <v>0</v>
      </c>
      <c r="W222" s="564">
        <f t="shared" si="144"/>
        <v>0</v>
      </c>
      <c r="X222" s="564">
        <f t="shared" si="126"/>
        <v>0</v>
      </c>
      <c r="Y222" s="564">
        <f t="shared" si="127"/>
        <v>0</v>
      </c>
      <c r="AA222" s="564">
        <v>0</v>
      </c>
      <c r="AB222" s="564">
        <f t="shared" si="128"/>
        <v>0</v>
      </c>
      <c r="AC222" s="564">
        <f>IF(AA222=0,0,$V$7*(1+#REF!)^#REF!)</f>
        <v>0</v>
      </c>
      <c r="AD222" s="564">
        <f t="shared" si="145"/>
        <v>0</v>
      </c>
      <c r="AE222" s="564">
        <f t="shared" si="129"/>
        <v>0</v>
      </c>
      <c r="AF222" s="564">
        <f t="shared" si="130"/>
        <v>0</v>
      </c>
      <c r="AH222" s="564">
        <f t="shared" si="131"/>
        <v>0</v>
      </c>
      <c r="AI222" s="564">
        <f t="shared" si="146"/>
        <v>950</v>
      </c>
      <c r="AJ222" s="564">
        <f t="shared" si="119"/>
        <v>0</v>
      </c>
      <c r="AK222" s="564">
        <f>AJ222*[1]mProject!V226</f>
        <v>0</v>
      </c>
      <c r="AL222" s="564">
        <f t="shared" si="132"/>
        <v>0</v>
      </c>
      <c r="AM222" s="564">
        <f t="shared" si="133"/>
        <v>0</v>
      </c>
      <c r="AN222" s="456"/>
      <c r="AO222" s="581" t="e">
        <f t="shared" si="149"/>
        <v>#REF!</v>
      </c>
      <c r="AP222" s="581" t="e">
        <f t="shared" si="116"/>
        <v>#REF!</v>
      </c>
      <c r="AQ222" s="581" t="e">
        <f t="shared" si="118"/>
        <v>#REF!</v>
      </c>
      <c r="AR222" s="582" t="e">
        <f t="shared" si="150"/>
        <v>#REF!</v>
      </c>
      <c r="AS222" s="564" t="e">
        <f t="shared" si="152"/>
        <v>#REF!</v>
      </c>
      <c r="AT222" s="564"/>
      <c r="AU222" s="564"/>
      <c r="AV222" s="564" t="e">
        <f t="shared" si="134"/>
        <v>#REF!</v>
      </c>
      <c r="AW222" s="564" t="e">
        <f>AI222*#REF!+AI221*#REF!+AI220*#REF!</f>
        <v>#REF!</v>
      </c>
      <c r="AX222" s="456"/>
      <c r="AY222" s="592">
        <f t="shared" si="147"/>
        <v>1.4328999572663499</v>
      </c>
      <c r="AZ222" s="564">
        <f t="shared" si="135"/>
        <v>0</v>
      </c>
      <c r="BA222" s="564">
        <f>BA221*[1]mProject!V227</f>
        <v>0</v>
      </c>
      <c r="BB222" s="564">
        <f t="shared" si="151"/>
        <v>17781316.823329829</v>
      </c>
      <c r="BC222" s="456"/>
      <c r="BD222" s="593">
        <f>((BB222/100)*(i_CFD.ObliRate/12))*[1]i.Finance!$O$64</f>
        <v>59826.722228495157</v>
      </c>
      <c r="BE222" s="593">
        <f>(AZ222/100*[1]i.Finance!$O$61)*[1]i.Finance!$O$64</f>
        <v>0</v>
      </c>
      <c r="BF222" s="593">
        <f>(AZ222/100*[1]i.Finance!$O$65)</f>
        <v>0</v>
      </c>
      <c r="BG222" s="594">
        <f t="shared" si="136"/>
        <v>59826.722228495157</v>
      </c>
      <c r="BH222" s="456"/>
      <c r="BI222" s="593">
        <f>-PV([1]i.Finance!$O$63/12,[1]i.Finance!$O$62*12,mCFD!BG222)</f>
        <v>10233961.918709608</v>
      </c>
      <c r="BJ222" s="593">
        <f>BI222*[1]i.Finance!$O$58</f>
        <v>8033660.1061870428</v>
      </c>
      <c r="BK222" s="593"/>
      <c r="BL222" s="593"/>
      <c r="BP222" s="564"/>
      <c r="BQ222" s="564"/>
      <c r="BR222" s="564" t="e">
        <f t="shared" si="137"/>
        <v>#NAME?</v>
      </c>
      <c r="BS222" s="564" t="e">
        <f t="shared" si="138"/>
        <v>#NAME?</v>
      </c>
      <c r="BT222" s="564" t="e">
        <f t="shared" si="139"/>
        <v>#NAME?</v>
      </c>
      <c r="BU222" s="564"/>
    </row>
    <row r="223" spans="1:73" ht="16" hidden="1" outlineLevel="2">
      <c r="A223" s="366"/>
      <c r="B223" s="562"/>
      <c r="C223" s="366"/>
      <c r="D223" s="454"/>
      <c r="E223" s="530">
        <f t="shared" si="148"/>
        <v>217</v>
      </c>
      <c r="F223" s="530">
        <f t="shared" si="140"/>
        <v>73</v>
      </c>
      <c r="G223" s="530">
        <f t="shared" si="141"/>
        <v>19</v>
      </c>
      <c r="H223" s="571">
        <f t="shared" si="117"/>
        <v>50405</v>
      </c>
      <c r="I223" s="532">
        <f t="shared" si="120"/>
        <v>2037</v>
      </c>
      <c r="K223" s="530">
        <f>[1]mProject!KB227</f>
        <v>0</v>
      </c>
      <c r="L223" s="530">
        <f t="shared" si="121"/>
        <v>950</v>
      </c>
      <c r="M223" s="530">
        <f t="shared" si="122"/>
        <v>295000</v>
      </c>
      <c r="N223" s="530">
        <f t="shared" si="123"/>
        <v>0</v>
      </c>
      <c r="O223" s="530">
        <f t="shared" si="142"/>
        <v>280250000</v>
      </c>
      <c r="P223" s="530">
        <f>[1]mProject!W227</f>
        <v>406821.39854553971</v>
      </c>
      <c r="Q223" s="530">
        <f t="shared" si="124"/>
        <v>0</v>
      </c>
      <c r="R223" s="530">
        <f t="shared" si="143"/>
        <v>296355280.38883054</v>
      </c>
      <c r="T223" s="530">
        <v>0</v>
      </c>
      <c r="U223" s="530">
        <f t="shared" si="125"/>
        <v>0</v>
      </c>
      <c r="V223" s="530">
        <f>IF(T223=0,0,$V$7*(1+#REF!)^#REF!)</f>
        <v>0</v>
      </c>
      <c r="W223" s="530">
        <f t="shared" si="144"/>
        <v>0</v>
      </c>
      <c r="X223" s="530">
        <f t="shared" si="126"/>
        <v>0</v>
      </c>
      <c r="Y223" s="530">
        <f t="shared" si="127"/>
        <v>0</v>
      </c>
      <c r="AA223" s="530">
        <v>0</v>
      </c>
      <c r="AB223" s="530">
        <f t="shared" si="128"/>
        <v>0</v>
      </c>
      <c r="AC223" s="530">
        <f>IF(AA223=0,0,$V$7*(1+#REF!)^#REF!)</f>
        <v>0</v>
      </c>
      <c r="AD223" s="530">
        <f t="shared" si="145"/>
        <v>0</v>
      </c>
      <c r="AE223" s="530">
        <f t="shared" si="129"/>
        <v>0</v>
      </c>
      <c r="AF223" s="530">
        <f t="shared" si="130"/>
        <v>0</v>
      </c>
      <c r="AH223" s="530">
        <f t="shared" si="131"/>
        <v>0</v>
      </c>
      <c r="AI223" s="530">
        <f t="shared" si="146"/>
        <v>950</v>
      </c>
      <c r="AJ223" s="530">
        <f t="shared" si="119"/>
        <v>0</v>
      </c>
      <c r="AK223" s="530">
        <f>AJ223*[1]mProject!V227</f>
        <v>0</v>
      </c>
      <c r="AL223" s="530">
        <f t="shared" si="132"/>
        <v>0</v>
      </c>
      <c r="AM223" s="530">
        <f t="shared" si="133"/>
        <v>0</v>
      </c>
      <c r="AN223" s="456"/>
      <c r="AO223" s="572" t="e">
        <f t="shared" si="149"/>
        <v>#REF!</v>
      </c>
      <c r="AP223" s="572" t="e">
        <f t="shared" ref="AP223:AP286" si="153">$L211*AP$6</f>
        <v>#REF!</v>
      </c>
      <c r="AQ223" s="572" t="e">
        <f t="shared" si="118"/>
        <v>#REF!</v>
      </c>
      <c r="AR223" s="573" t="e">
        <f t="shared" si="150"/>
        <v>#REF!</v>
      </c>
      <c r="AS223" s="530" t="e">
        <f t="shared" si="152"/>
        <v>#REF!</v>
      </c>
      <c r="AT223" s="530"/>
      <c r="AU223" s="530"/>
      <c r="AV223" s="530" t="e">
        <f t="shared" si="134"/>
        <v>#REF!</v>
      </c>
      <c r="AW223" s="530" t="e">
        <f>AI223*#REF!+AI222*#REF!+AI221*#REF!</f>
        <v>#REF!</v>
      </c>
      <c r="AX223" s="456"/>
      <c r="AY223" s="583">
        <f t="shared" si="147"/>
        <v>1.4352881238617938</v>
      </c>
      <c r="AZ223" s="530">
        <f t="shared" si="135"/>
        <v>0</v>
      </c>
      <c r="BA223" s="530">
        <f>BA222*[1]mProject!V228</f>
        <v>0</v>
      </c>
      <c r="BB223" s="530">
        <f t="shared" si="151"/>
        <v>17781316.823329829</v>
      </c>
      <c r="BC223" s="456"/>
      <c r="BD223" s="590">
        <f>((BB223/100)*(i_CFD.ObliRate/12))*[1]i.Finance!$O$64</f>
        <v>59826.722228495157</v>
      </c>
      <c r="BE223" s="590">
        <f>(AZ223/100*[1]i.Finance!$O$61)*[1]i.Finance!$O$64</f>
        <v>0</v>
      </c>
      <c r="BF223" s="590">
        <f>(AZ223/100*[1]i.Finance!$O$65)</f>
        <v>0</v>
      </c>
      <c r="BG223" s="591">
        <f t="shared" si="136"/>
        <v>59826.722228495157</v>
      </c>
      <c r="BH223" s="456"/>
      <c r="BI223" s="590">
        <f>-PV([1]i.Finance!$O$63/12,[1]i.Finance!$O$62*12,mCFD!BG223)</f>
        <v>10233961.918709608</v>
      </c>
      <c r="BJ223" s="590">
        <f>BI223*[1]i.Finance!$O$58</f>
        <v>8033660.1061870428</v>
      </c>
      <c r="BK223" s="590"/>
      <c r="BL223" s="590"/>
      <c r="BP223" s="530"/>
      <c r="BQ223" s="530"/>
      <c r="BR223" s="530" t="e">
        <f t="shared" si="137"/>
        <v>#NAME?</v>
      </c>
      <c r="BS223" s="530" t="e">
        <f t="shared" si="138"/>
        <v>#NAME?</v>
      </c>
      <c r="BT223" s="530" t="e">
        <f t="shared" si="139"/>
        <v>#NAME?</v>
      </c>
      <c r="BU223" s="530"/>
    </row>
    <row r="224" spans="1:73" ht="16" hidden="1" outlineLevel="2">
      <c r="A224" s="366"/>
      <c r="B224" s="562"/>
      <c r="C224" s="366"/>
      <c r="D224" s="454"/>
      <c r="E224" s="533">
        <f t="shared" si="148"/>
        <v>218</v>
      </c>
      <c r="F224" s="533">
        <f t="shared" si="140"/>
        <v>73</v>
      </c>
      <c r="G224" s="533">
        <f t="shared" si="141"/>
        <v>19</v>
      </c>
      <c r="H224" s="541">
        <f t="shared" si="117"/>
        <v>50436</v>
      </c>
      <c r="I224" s="542">
        <f t="shared" si="120"/>
        <v>2038</v>
      </c>
      <c r="K224" s="533">
        <f>[1]mProject!KB228</f>
        <v>0</v>
      </c>
      <c r="L224" s="533">
        <f t="shared" si="121"/>
        <v>950</v>
      </c>
      <c r="M224" s="533">
        <f t="shared" si="122"/>
        <v>295000</v>
      </c>
      <c r="N224" s="533">
        <f t="shared" si="123"/>
        <v>0</v>
      </c>
      <c r="O224" s="533">
        <f t="shared" si="142"/>
        <v>280250000</v>
      </c>
      <c r="P224" s="533">
        <f>[1]mProject!W228</f>
        <v>407499.43420978228</v>
      </c>
      <c r="Q224" s="533">
        <f t="shared" si="124"/>
        <v>0</v>
      </c>
      <c r="R224" s="533">
        <f t="shared" si="143"/>
        <v>296355280.38883054</v>
      </c>
      <c r="T224" s="533">
        <v>0</v>
      </c>
      <c r="U224" s="533">
        <f t="shared" si="125"/>
        <v>0</v>
      </c>
      <c r="V224" s="533">
        <f>IF(T224=0,0,$V$7*(1+#REF!)^#REF!)</f>
        <v>0</v>
      </c>
      <c r="W224" s="533">
        <f t="shared" si="144"/>
        <v>0</v>
      </c>
      <c r="X224" s="533">
        <f t="shared" si="126"/>
        <v>0</v>
      </c>
      <c r="Y224" s="533">
        <f t="shared" si="127"/>
        <v>0</v>
      </c>
      <c r="AA224" s="533">
        <v>0</v>
      </c>
      <c r="AB224" s="533">
        <f t="shared" si="128"/>
        <v>0</v>
      </c>
      <c r="AC224" s="533">
        <f>IF(AA224=0,0,$V$7*(1+#REF!)^#REF!)</f>
        <v>0</v>
      </c>
      <c r="AD224" s="533">
        <f t="shared" si="145"/>
        <v>0</v>
      </c>
      <c r="AE224" s="533">
        <f t="shared" si="129"/>
        <v>0</v>
      </c>
      <c r="AF224" s="533">
        <f t="shared" si="130"/>
        <v>0</v>
      </c>
      <c r="AH224" s="533">
        <f t="shared" si="131"/>
        <v>0</v>
      </c>
      <c r="AI224" s="533">
        <f t="shared" si="146"/>
        <v>950</v>
      </c>
      <c r="AJ224" s="533">
        <f t="shared" si="119"/>
        <v>0</v>
      </c>
      <c r="AK224" s="533">
        <f>AJ224*[1]mProject!V228</f>
        <v>0</v>
      </c>
      <c r="AL224" s="533">
        <f t="shared" si="132"/>
        <v>0</v>
      </c>
      <c r="AM224" s="533">
        <f t="shared" si="133"/>
        <v>0</v>
      </c>
      <c r="AN224" s="456"/>
      <c r="AO224" s="575" t="e">
        <f t="shared" si="149"/>
        <v>#REF!</v>
      </c>
      <c r="AP224" s="575" t="e">
        <f t="shared" si="153"/>
        <v>#REF!</v>
      </c>
      <c r="AQ224" s="575" t="e">
        <f t="shared" si="118"/>
        <v>#REF!</v>
      </c>
      <c r="AR224" s="576" t="e">
        <f t="shared" si="150"/>
        <v>#REF!</v>
      </c>
      <c r="AS224" s="533" t="e">
        <f t="shared" si="152"/>
        <v>#REF!</v>
      </c>
      <c r="AT224" s="533"/>
      <c r="AU224" s="533"/>
      <c r="AV224" s="533" t="e">
        <f t="shared" si="134"/>
        <v>#REF!</v>
      </c>
      <c r="AW224" s="533" t="e">
        <f>AI224*#REF!+AI223*#REF!+AI222*#REF!</f>
        <v>#REF!</v>
      </c>
      <c r="AX224" s="456"/>
      <c r="AY224" s="584">
        <f t="shared" si="147"/>
        <v>1.4376802707348968</v>
      </c>
      <c r="AZ224" s="533">
        <f t="shared" si="135"/>
        <v>0</v>
      </c>
      <c r="BA224" s="533">
        <f>BA223*[1]mProject!V229</f>
        <v>0</v>
      </c>
      <c r="BB224" s="533">
        <f t="shared" si="151"/>
        <v>17781316.823329829</v>
      </c>
      <c r="BC224" s="456"/>
      <c r="BD224" s="586">
        <f>((BB224/100)*(i_CFD.ObliRate/12))*[1]i.Finance!$O$64</f>
        <v>59826.722228495157</v>
      </c>
      <c r="BE224" s="586">
        <f>(AZ224/100*[1]i.Finance!$O$61)*[1]i.Finance!$O$64</f>
        <v>0</v>
      </c>
      <c r="BF224" s="586">
        <f>(AZ224/100*[1]i.Finance!$O$65)</f>
        <v>0</v>
      </c>
      <c r="BG224" s="587">
        <f t="shared" si="136"/>
        <v>59826.722228495157</v>
      </c>
      <c r="BH224" s="456"/>
      <c r="BI224" s="586">
        <f>-PV([1]i.Finance!$O$63/12,[1]i.Finance!$O$62*12,mCFD!BG224)</f>
        <v>10233961.918709608</v>
      </c>
      <c r="BJ224" s="586">
        <f>BI224*[1]i.Finance!$O$58</f>
        <v>8033660.1061870428</v>
      </c>
      <c r="BK224" s="586"/>
      <c r="BL224" s="586"/>
      <c r="BP224" s="533"/>
      <c r="BQ224" s="533"/>
      <c r="BR224" s="533" t="e">
        <f t="shared" si="137"/>
        <v>#NAME?</v>
      </c>
      <c r="BS224" s="533" t="e">
        <f t="shared" si="138"/>
        <v>#NAME?</v>
      </c>
      <c r="BT224" s="533" t="e">
        <f t="shared" si="139"/>
        <v>#NAME?</v>
      </c>
      <c r="BU224" s="533"/>
    </row>
    <row r="225" spans="1:73" ht="16" hidden="1" outlineLevel="2">
      <c r="A225" s="366"/>
      <c r="B225" s="562"/>
      <c r="C225" s="366"/>
      <c r="D225" s="454"/>
      <c r="E225" s="547">
        <f t="shared" si="148"/>
        <v>219</v>
      </c>
      <c r="F225" s="547">
        <f t="shared" si="140"/>
        <v>73</v>
      </c>
      <c r="G225" s="547">
        <f t="shared" si="141"/>
        <v>19</v>
      </c>
      <c r="H225" s="548">
        <f t="shared" ref="H225:H288" si="154">EOMONTH(H224,1)</f>
        <v>50464</v>
      </c>
      <c r="I225" s="549">
        <f t="shared" si="120"/>
        <v>2038</v>
      </c>
      <c r="K225" s="547">
        <f>[1]mProject!KB229</f>
        <v>0</v>
      </c>
      <c r="L225" s="547">
        <f t="shared" si="121"/>
        <v>950</v>
      </c>
      <c r="M225" s="547">
        <f t="shared" si="122"/>
        <v>295000</v>
      </c>
      <c r="N225" s="547">
        <f t="shared" si="123"/>
        <v>0</v>
      </c>
      <c r="O225" s="547">
        <f t="shared" si="142"/>
        <v>280250000</v>
      </c>
      <c r="P225" s="547">
        <f>[1]mProject!W229</f>
        <v>408178.59993346524</v>
      </c>
      <c r="Q225" s="547">
        <f t="shared" si="124"/>
        <v>0</v>
      </c>
      <c r="R225" s="547">
        <f t="shared" si="143"/>
        <v>296355280.38883054</v>
      </c>
      <c r="T225" s="547">
        <v>0</v>
      </c>
      <c r="U225" s="547">
        <f t="shared" si="125"/>
        <v>0</v>
      </c>
      <c r="V225" s="547">
        <f>IF(T225=0,0,$V$7*(1+#REF!)^#REF!)</f>
        <v>0</v>
      </c>
      <c r="W225" s="547">
        <f t="shared" si="144"/>
        <v>0</v>
      </c>
      <c r="X225" s="547">
        <f t="shared" si="126"/>
        <v>0</v>
      </c>
      <c r="Y225" s="547">
        <f t="shared" si="127"/>
        <v>0</v>
      </c>
      <c r="AA225" s="547">
        <v>0</v>
      </c>
      <c r="AB225" s="547">
        <f t="shared" si="128"/>
        <v>0</v>
      </c>
      <c r="AC225" s="547">
        <f>IF(AA225=0,0,$V$7*(1+#REF!)^#REF!)</f>
        <v>0</v>
      </c>
      <c r="AD225" s="547">
        <f t="shared" si="145"/>
        <v>0</v>
      </c>
      <c r="AE225" s="547">
        <f t="shared" si="129"/>
        <v>0</v>
      </c>
      <c r="AF225" s="547">
        <f t="shared" si="130"/>
        <v>0</v>
      </c>
      <c r="AH225" s="547">
        <f t="shared" si="131"/>
        <v>0</v>
      </c>
      <c r="AI225" s="547">
        <f t="shared" si="146"/>
        <v>950</v>
      </c>
      <c r="AJ225" s="547">
        <f t="shared" si="119"/>
        <v>0</v>
      </c>
      <c r="AK225" s="547">
        <f>AJ225*[1]mProject!V229</f>
        <v>0</v>
      </c>
      <c r="AL225" s="547">
        <f t="shared" si="132"/>
        <v>0</v>
      </c>
      <c r="AM225" s="547">
        <f t="shared" si="133"/>
        <v>0</v>
      </c>
      <c r="AN225" s="456"/>
      <c r="AO225" s="577" t="e">
        <f t="shared" si="149"/>
        <v>#REF!</v>
      </c>
      <c r="AP225" s="577" t="e">
        <f t="shared" si="153"/>
        <v>#REF!</v>
      </c>
      <c r="AQ225" s="577" t="e">
        <f t="shared" si="118"/>
        <v>#REF!</v>
      </c>
      <c r="AR225" s="578" t="e">
        <f t="shared" si="150"/>
        <v>#REF!</v>
      </c>
      <c r="AS225" s="547" t="e">
        <f t="shared" si="152"/>
        <v>#REF!</v>
      </c>
      <c r="AT225" s="547"/>
      <c r="AU225" s="547"/>
      <c r="AV225" s="547" t="e">
        <f t="shared" si="134"/>
        <v>#REF!</v>
      </c>
      <c r="AW225" s="547" t="e">
        <f>AI225*#REF!+AI224*#REF!+AI223*#REF!</f>
        <v>#REF!</v>
      </c>
      <c r="AX225" s="456"/>
      <c r="AY225" s="585">
        <f t="shared" si="147"/>
        <v>1.440076404519455</v>
      </c>
      <c r="AZ225" s="547">
        <f t="shared" si="135"/>
        <v>0</v>
      </c>
      <c r="BA225" s="547">
        <f>BA224*[1]mProject!V230</f>
        <v>0</v>
      </c>
      <c r="BB225" s="547">
        <f t="shared" si="151"/>
        <v>17781316.823329829</v>
      </c>
      <c r="BC225" s="456"/>
      <c r="BD225" s="588">
        <f>((BB225/100)*(i_CFD.ObliRate/12))*[1]i.Finance!$O$64</f>
        <v>59826.722228495157</v>
      </c>
      <c r="BE225" s="588">
        <f>(AZ225/100*[1]i.Finance!$O$61)*[1]i.Finance!$O$64</f>
        <v>0</v>
      </c>
      <c r="BF225" s="588">
        <f>(AZ225/100*[1]i.Finance!$O$65)</f>
        <v>0</v>
      </c>
      <c r="BG225" s="589">
        <f t="shared" si="136"/>
        <v>59826.722228495157</v>
      </c>
      <c r="BH225" s="456"/>
      <c r="BI225" s="588">
        <f>-PV([1]i.Finance!$O$63/12,[1]i.Finance!$O$62*12,mCFD!BG225)</f>
        <v>10233961.918709608</v>
      </c>
      <c r="BJ225" s="588">
        <f>BI225*[1]i.Finance!$O$58</f>
        <v>8033660.1061870428</v>
      </c>
      <c r="BK225" s="588"/>
      <c r="BL225" s="588"/>
      <c r="BP225" s="547"/>
      <c r="BQ225" s="547"/>
      <c r="BR225" s="547" t="e">
        <f t="shared" si="137"/>
        <v>#NAME?</v>
      </c>
      <c r="BS225" s="547" t="e">
        <f t="shared" si="138"/>
        <v>#NAME?</v>
      </c>
      <c r="BT225" s="547" t="e">
        <f t="shared" si="139"/>
        <v>#NAME?</v>
      </c>
      <c r="BU225" s="547"/>
    </row>
    <row r="226" spans="1:73" ht="16" hidden="1" outlineLevel="2">
      <c r="A226" s="366"/>
      <c r="B226" s="562"/>
      <c r="C226" s="366"/>
      <c r="D226" s="454"/>
      <c r="E226" s="530">
        <f t="shared" si="148"/>
        <v>220</v>
      </c>
      <c r="F226" s="530">
        <f t="shared" si="140"/>
        <v>74</v>
      </c>
      <c r="G226" s="530">
        <f t="shared" si="141"/>
        <v>19</v>
      </c>
      <c r="H226" s="554">
        <f t="shared" si="154"/>
        <v>50495</v>
      </c>
      <c r="I226" s="555">
        <f t="shared" si="120"/>
        <v>2038</v>
      </c>
      <c r="K226" s="530">
        <f>[1]mProject!KB230</f>
        <v>0</v>
      </c>
      <c r="L226" s="530">
        <f t="shared" si="121"/>
        <v>950</v>
      </c>
      <c r="M226" s="530">
        <f t="shared" si="122"/>
        <v>295000</v>
      </c>
      <c r="N226" s="530">
        <f t="shared" si="123"/>
        <v>0</v>
      </c>
      <c r="O226" s="530">
        <f t="shared" si="142"/>
        <v>280250000</v>
      </c>
      <c r="P226" s="530">
        <f>[1]mProject!W230</f>
        <v>408858.89760002104</v>
      </c>
      <c r="Q226" s="530">
        <f t="shared" si="124"/>
        <v>0</v>
      </c>
      <c r="R226" s="530">
        <f t="shared" si="143"/>
        <v>296355280.38883054</v>
      </c>
      <c r="T226" s="530">
        <v>0</v>
      </c>
      <c r="U226" s="530">
        <f t="shared" si="125"/>
        <v>0</v>
      </c>
      <c r="V226" s="530">
        <f>IF(T226=0,0,$V$7*(1+#REF!)^#REF!)</f>
        <v>0</v>
      </c>
      <c r="W226" s="530">
        <f t="shared" si="144"/>
        <v>0</v>
      </c>
      <c r="X226" s="530">
        <f t="shared" si="126"/>
        <v>0</v>
      </c>
      <c r="Y226" s="530">
        <f t="shared" si="127"/>
        <v>0</v>
      </c>
      <c r="AA226" s="530">
        <v>0</v>
      </c>
      <c r="AB226" s="530">
        <f t="shared" si="128"/>
        <v>0</v>
      </c>
      <c r="AC226" s="530">
        <f>IF(AA226=0,0,$V$7*(1+#REF!)^#REF!)</f>
        <v>0</v>
      </c>
      <c r="AD226" s="530">
        <f t="shared" si="145"/>
        <v>0</v>
      </c>
      <c r="AE226" s="530">
        <f t="shared" si="129"/>
        <v>0</v>
      </c>
      <c r="AF226" s="530">
        <f t="shared" si="130"/>
        <v>0</v>
      </c>
      <c r="AH226" s="530">
        <f t="shared" si="131"/>
        <v>0</v>
      </c>
      <c r="AI226" s="530">
        <f t="shared" si="146"/>
        <v>950</v>
      </c>
      <c r="AJ226" s="530">
        <f t="shared" si="119"/>
        <v>0</v>
      </c>
      <c r="AK226" s="530">
        <f>AJ226*[1]mProject!V230</f>
        <v>0</v>
      </c>
      <c r="AL226" s="530">
        <f t="shared" si="132"/>
        <v>0</v>
      </c>
      <c r="AM226" s="530">
        <f t="shared" si="133"/>
        <v>0</v>
      </c>
      <c r="AN226" s="456"/>
      <c r="AO226" s="572" t="e">
        <f t="shared" si="149"/>
        <v>#REF!</v>
      </c>
      <c r="AP226" s="572" t="e">
        <f t="shared" si="153"/>
        <v>#REF!</v>
      </c>
      <c r="AQ226" s="572" t="e">
        <f t="shared" si="118"/>
        <v>#REF!</v>
      </c>
      <c r="AR226" s="573" t="e">
        <f t="shared" si="150"/>
        <v>#REF!</v>
      </c>
      <c r="AS226" s="530" t="e">
        <f t="shared" si="152"/>
        <v>#REF!</v>
      </c>
      <c r="AT226" s="530"/>
      <c r="AU226" s="530"/>
      <c r="AV226" s="530" t="e">
        <f t="shared" si="134"/>
        <v>#REF!</v>
      </c>
      <c r="AW226" s="530" t="e">
        <f>AI226*#REF!+AI225*#REF!+AI224*#REF!</f>
        <v>#REF!</v>
      </c>
      <c r="AX226" s="456"/>
      <c r="AY226" s="583">
        <f t="shared" si="147"/>
        <v>1.4424765318603208</v>
      </c>
      <c r="AZ226" s="530">
        <f t="shared" si="135"/>
        <v>0</v>
      </c>
      <c r="BA226" s="530">
        <f>BA225*[1]mProject!V231</f>
        <v>0</v>
      </c>
      <c r="BB226" s="530">
        <f t="shared" si="151"/>
        <v>17781316.823329829</v>
      </c>
      <c r="BC226" s="456"/>
      <c r="BD226" s="590">
        <f>((BB226/100)*(i_CFD.ObliRate/12))*[1]i.Finance!$O$64</f>
        <v>59826.722228495157</v>
      </c>
      <c r="BE226" s="590">
        <f>(AZ226/100*[1]i.Finance!$O$61)*[1]i.Finance!$O$64</f>
        <v>0</v>
      </c>
      <c r="BF226" s="590">
        <f>(AZ226/100*[1]i.Finance!$O$65)</f>
        <v>0</v>
      </c>
      <c r="BG226" s="591">
        <f t="shared" si="136"/>
        <v>59826.722228495157</v>
      </c>
      <c r="BH226" s="456"/>
      <c r="BI226" s="590">
        <f>-PV([1]i.Finance!$O$63/12,[1]i.Finance!$O$62*12,mCFD!BG226)</f>
        <v>10233961.918709608</v>
      </c>
      <c r="BJ226" s="590">
        <f>BI226*[1]i.Finance!$O$58</f>
        <v>8033660.1061870428</v>
      </c>
      <c r="BK226" s="590"/>
      <c r="BL226" s="590"/>
      <c r="BP226" s="530"/>
      <c r="BQ226" s="530"/>
      <c r="BR226" s="530" t="e">
        <f t="shared" si="137"/>
        <v>#NAME?</v>
      </c>
      <c r="BS226" s="530" t="e">
        <f t="shared" si="138"/>
        <v>#NAME?</v>
      </c>
      <c r="BT226" s="530" t="e">
        <f t="shared" si="139"/>
        <v>#NAME?</v>
      </c>
      <c r="BU226" s="530"/>
    </row>
    <row r="227" spans="1:73" ht="16" hidden="1" outlineLevel="2">
      <c r="A227" s="366"/>
      <c r="B227" s="562"/>
      <c r="C227" s="366"/>
      <c r="D227" s="454"/>
      <c r="E227" s="533">
        <f t="shared" si="148"/>
        <v>221</v>
      </c>
      <c r="F227" s="533">
        <f t="shared" si="140"/>
        <v>74</v>
      </c>
      <c r="G227" s="533">
        <f t="shared" si="141"/>
        <v>19</v>
      </c>
      <c r="H227" s="541">
        <f t="shared" si="154"/>
        <v>50525</v>
      </c>
      <c r="I227" s="542">
        <f t="shared" si="120"/>
        <v>2038</v>
      </c>
      <c r="K227" s="533">
        <f>[1]mProject!KB231</f>
        <v>0</v>
      </c>
      <c r="L227" s="533">
        <f t="shared" si="121"/>
        <v>950</v>
      </c>
      <c r="M227" s="533">
        <f t="shared" si="122"/>
        <v>295000</v>
      </c>
      <c r="N227" s="533">
        <f t="shared" si="123"/>
        <v>0</v>
      </c>
      <c r="O227" s="533">
        <f t="shared" si="142"/>
        <v>280250000</v>
      </c>
      <c r="P227" s="533">
        <f>[1]mProject!W231</f>
        <v>409540.32909602107</v>
      </c>
      <c r="Q227" s="533">
        <f t="shared" si="124"/>
        <v>0</v>
      </c>
      <c r="R227" s="533">
        <f t="shared" si="143"/>
        <v>296355280.38883054</v>
      </c>
      <c r="T227" s="533">
        <v>0</v>
      </c>
      <c r="U227" s="533">
        <f t="shared" si="125"/>
        <v>0</v>
      </c>
      <c r="V227" s="533">
        <f>IF(T227=0,0,$V$7*(1+#REF!)^#REF!)</f>
        <v>0</v>
      </c>
      <c r="W227" s="533">
        <f t="shared" si="144"/>
        <v>0</v>
      </c>
      <c r="X227" s="533">
        <f t="shared" si="126"/>
        <v>0</v>
      </c>
      <c r="Y227" s="533">
        <f t="shared" si="127"/>
        <v>0</v>
      </c>
      <c r="AA227" s="533">
        <v>0</v>
      </c>
      <c r="AB227" s="533">
        <f t="shared" si="128"/>
        <v>0</v>
      </c>
      <c r="AC227" s="533">
        <f>IF(AA227=0,0,$V$7*(1+#REF!)^#REF!)</f>
        <v>0</v>
      </c>
      <c r="AD227" s="533">
        <f t="shared" si="145"/>
        <v>0</v>
      </c>
      <c r="AE227" s="533">
        <f t="shared" si="129"/>
        <v>0</v>
      </c>
      <c r="AF227" s="533">
        <f t="shared" si="130"/>
        <v>0</v>
      </c>
      <c r="AH227" s="533">
        <f t="shared" si="131"/>
        <v>0</v>
      </c>
      <c r="AI227" s="533">
        <f t="shared" si="146"/>
        <v>950</v>
      </c>
      <c r="AJ227" s="533">
        <f t="shared" si="119"/>
        <v>0</v>
      </c>
      <c r="AK227" s="533">
        <f>AJ227*[1]mProject!V231</f>
        <v>0</v>
      </c>
      <c r="AL227" s="533">
        <f t="shared" si="132"/>
        <v>0</v>
      </c>
      <c r="AM227" s="533">
        <f t="shared" si="133"/>
        <v>0</v>
      </c>
      <c r="AN227" s="456"/>
      <c r="AO227" s="575" t="e">
        <f t="shared" si="149"/>
        <v>#REF!</v>
      </c>
      <c r="AP227" s="575" t="e">
        <f t="shared" si="153"/>
        <v>#REF!</v>
      </c>
      <c r="AQ227" s="575" t="e">
        <f t="shared" si="118"/>
        <v>#REF!</v>
      </c>
      <c r="AR227" s="576" t="e">
        <f t="shared" si="150"/>
        <v>#REF!</v>
      </c>
      <c r="AS227" s="533" t="e">
        <f t="shared" si="152"/>
        <v>#REF!</v>
      </c>
      <c r="AT227" s="533"/>
      <c r="AU227" s="533"/>
      <c r="AV227" s="533" t="e">
        <f t="shared" si="134"/>
        <v>#REF!</v>
      </c>
      <c r="AW227" s="533" t="e">
        <f>AI227*#REF!+AI226*#REF!+AI225*#REF!</f>
        <v>#REF!</v>
      </c>
      <c r="AX227" s="456"/>
      <c r="AY227" s="584">
        <f t="shared" si="147"/>
        <v>1.4448806594134214</v>
      </c>
      <c r="AZ227" s="533">
        <f t="shared" si="135"/>
        <v>0</v>
      </c>
      <c r="BA227" s="533">
        <f>BA226*[1]mProject!V232</f>
        <v>0</v>
      </c>
      <c r="BB227" s="533">
        <f t="shared" si="151"/>
        <v>17781316.823329829</v>
      </c>
      <c r="BC227" s="456"/>
      <c r="BD227" s="586">
        <f>((BB227/100)*(i_CFD.ObliRate/12))*[1]i.Finance!$O$64</f>
        <v>59826.722228495157</v>
      </c>
      <c r="BE227" s="586">
        <f>(AZ227/100*[1]i.Finance!$O$61)*[1]i.Finance!$O$64</f>
        <v>0</v>
      </c>
      <c r="BF227" s="586">
        <f>(AZ227/100*[1]i.Finance!$O$65)</f>
        <v>0</v>
      </c>
      <c r="BG227" s="587">
        <f t="shared" si="136"/>
        <v>59826.722228495157</v>
      </c>
      <c r="BH227" s="456"/>
      <c r="BI227" s="586">
        <f>-PV([1]i.Finance!$O$63/12,[1]i.Finance!$O$62*12,mCFD!BG227)</f>
        <v>10233961.918709608</v>
      </c>
      <c r="BJ227" s="586">
        <f>BI227*[1]i.Finance!$O$58</f>
        <v>8033660.1061870428</v>
      </c>
      <c r="BK227" s="586"/>
      <c r="BL227" s="586"/>
      <c r="BP227" s="533"/>
      <c r="BQ227" s="533"/>
      <c r="BR227" s="533" t="e">
        <f t="shared" si="137"/>
        <v>#NAME?</v>
      </c>
      <c r="BS227" s="533" t="e">
        <f t="shared" si="138"/>
        <v>#NAME?</v>
      </c>
      <c r="BT227" s="533" t="e">
        <f t="shared" si="139"/>
        <v>#NAME?</v>
      </c>
      <c r="BU227" s="533"/>
    </row>
    <row r="228" spans="1:73" ht="16" hidden="1" outlineLevel="2">
      <c r="A228" s="366"/>
      <c r="B228" s="562"/>
      <c r="C228" s="366"/>
      <c r="D228" s="454"/>
      <c r="E228" s="547">
        <f t="shared" si="148"/>
        <v>222</v>
      </c>
      <c r="F228" s="547">
        <f t="shared" si="140"/>
        <v>74</v>
      </c>
      <c r="G228" s="547">
        <f t="shared" si="141"/>
        <v>19</v>
      </c>
      <c r="H228" s="548">
        <f t="shared" si="154"/>
        <v>50556</v>
      </c>
      <c r="I228" s="549">
        <f t="shared" si="120"/>
        <v>2038</v>
      </c>
      <c r="K228" s="547">
        <f>[1]mProject!KB232</f>
        <v>0</v>
      </c>
      <c r="L228" s="547">
        <f t="shared" si="121"/>
        <v>950</v>
      </c>
      <c r="M228" s="547">
        <f t="shared" si="122"/>
        <v>295000</v>
      </c>
      <c r="N228" s="547">
        <f t="shared" si="123"/>
        <v>0</v>
      </c>
      <c r="O228" s="547">
        <f t="shared" si="142"/>
        <v>280250000</v>
      </c>
      <c r="P228" s="547">
        <f>[1]mProject!W232</f>
        <v>410222.89631118113</v>
      </c>
      <c r="Q228" s="547">
        <f t="shared" si="124"/>
        <v>0</v>
      </c>
      <c r="R228" s="547">
        <f t="shared" si="143"/>
        <v>296355280.38883054</v>
      </c>
      <c r="T228" s="547">
        <v>0</v>
      </c>
      <c r="U228" s="547">
        <f t="shared" si="125"/>
        <v>0</v>
      </c>
      <c r="V228" s="547">
        <f>IF(T228=0,0,$V$7*(1+#REF!)^#REF!)</f>
        <v>0</v>
      </c>
      <c r="W228" s="547">
        <f t="shared" si="144"/>
        <v>0</v>
      </c>
      <c r="X228" s="547">
        <f t="shared" si="126"/>
        <v>0</v>
      </c>
      <c r="Y228" s="547">
        <f t="shared" si="127"/>
        <v>0</v>
      </c>
      <c r="AA228" s="547">
        <v>0</v>
      </c>
      <c r="AB228" s="547">
        <f t="shared" si="128"/>
        <v>0</v>
      </c>
      <c r="AC228" s="547">
        <f>IF(AA228=0,0,$V$7*(1+#REF!)^#REF!)</f>
        <v>0</v>
      </c>
      <c r="AD228" s="547">
        <f t="shared" si="145"/>
        <v>0</v>
      </c>
      <c r="AE228" s="547">
        <f t="shared" si="129"/>
        <v>0</v>
      </c>
      <c r="AF228" s="547">
        <f t="shared" si="130"/>
        <v>0</v>
      </c>
      <c r="AH228" s="547">
        <f t="shared" si="131"/>
        <v>0</v>
      </c>
      <c r="AI228" s="547">
        <f t="shared" si="146"/>
        <v>950</v>
      </c>
      <c r="AJ228" s="547">
        <f t="shared" si="119"/>
        <v>0</v>
      </c>
      <c r="AK228" s="547">
        <f>AJ228*[1]mProject!V232</f>
        <v>0</v>
      </c>
      <c r="AL228" s="547">
        <f t="shared" si="132"/>
        <v>0</v>
      </c>
      <c r="AM228" s="547">
        <f t="shared" si="133"/>
        <v>0</v>
      </c>
      <c r="AN228" s="456"/>
      <c r="AO228" s="577" t="e">
        <f t="shared" si="149"/>
        <v>#REF!</v>
      </c>
      <c r="AP228" s="577" t="e">
        <f t="shared" si="153"/>
        <v>#REF!</v>
      </c>
      <c r="AQ228" s="577" t="e">
        <f t="shared" si="118"/>
        <v>#REF!</v>
      </c>
      <c r="AR228" s="578" t="e">
        <f t="shared" si="150"/>
        <v>#REF!</v>
      </c>
      <c r="AS228" s="547" t="e">
        <f t="shared" si="152"/>
        <v>#REF!</v>
      </c>
      <c r="AT228" s="547"/>
      <c r="AU228" s="547"/>
      <c r="AV228" s="547" t="e">
        <f t="shared" si="134"/>
        <v>#REF!</v>
      </c>
      <c r="AW228" s="547" t="e">
        <f>AI228*#REF!+AI227*#REF!+AI226*#REF!</f>
        <v>#REF!</v>
      </c>
      <c r="AX228" s="456"/>
      <c r="AY228" s="585">
        <f t="shared" si="147"/>
        <v>1.447288793845777</v>
      </c>
      <c r="AZ228" s="547">
        <f t="shared" si="135"/>
        <v>0</v>
      </c>
      <c r="BA228" s="547">
        <f>BA227*[1]mProject!V233</f>
        <v>0</v>
      </c>
      <c r="BB228" s="547">
        <f t="shared" si="151"/>
        <v>17781316.823329829</v>
      </c>
      <c r="BC228" s="456"/>
      <c r="BD228" s="588">
        <f>((BB228/100)*(i_CFD.ObliRate/12))*[1]i.Finance!$O$64</f>
        <v>59826.722228495157</v>
      </c>
      <c r="BE228" s="588">
        <f>(AZ228/100*[1]i.Finance!$O$61)*[1]i.Finance!$O$64</f>
        <v>0</v>
      </c>
      <c r="BF228" s="588">
        <f>(AZ228/100*[1]i.Finance!$O$65)</f>
        <v>0</v>
      </c>
      <c r="BG228" s="589">
        <f t="shared" si="136"/>
        <v>59826.722228495157</v>
      </c>
      <c r="BH228" s="456"/>
      <c r="BI228" s="588">
        <f>-PV([1]i.Finance!$O$63/12,[1]i.Finance!$O$62*12,mCFD!BG228)</f>
        <v>10233961.918709608</v>
      </c>
      <c r="BJ228" s="588">
        <f>BI228*[1]i.Finance!$O$58</f>
        <v>8033660.1061870428</v>
      </c>
      <c r="BK228" s="588"/>
      <c r="BL228" s="588"/>
      <c r="BP228" s="547"/>
      <c r="BQ228" s="547"/>
      <c r="BR228" s="547" t="e">
        <f t="shared" si="137"/>
        <v>#NAME?</v>
      </c>
      <c r="BS228" s="547" t="e">
        <f t="shared" si="138"/>
        <v>#NAME?</v>
      </c>
      <c r="BT228" s="547" t="e">
        <f t="shared" si="139"/>
        <v>#NAME?</v>
      </c>
      <c r="BU228" s="547"/>
    </row>
    <row r="229" spans="1:73" ht="16" hidden="1" outlineLevel="2">
      <c r="A229" s="366"/>
      <c r="B229" s="562"/>
      <c r="C229" s="366"/>
      <c r="D229" s="454"/>
      <c r="E229" s="530">
        <f t="shared" si="148"/>
        <v>223</v>
      </c>
      <c r="F229" s="530">
        <f t="shared" si="140"/>
        <v>75</v>
      </c>
      <c r="G229" s="530">
        <f t="shared" si="141"/>
        <v>19</v>
      </c>
      <c r="H229" s="554">
        <f t="shared" si="154"/>
        <v>50586</v>
      </c>
      <c r="I229" s="555">
        <f t="shared" si="120"/>
        <v>2038</v>
      </c>
      <c r="K229" s="530">
        <f>[1]mProject!KB233</f>
        <v>0</v>
      </c>
      <c r="L229" s="530">
        <f t="shared" si="121"/>
        <v>950</v>
      </c>
      <c r="M229" s="530">
        <f t="shared" si="122"/>
        <v>295000</v>
      </c>
      <c r="N229" s="530">
        <f t="shared" si="123"/>
        <v>0</v>
      </c>
      <c r="O229" s="530">
        <f t="shared" si="142"/>
        <v>280250000</v>
      </c>
      <c r="P229" s="530">
        <f>[1]mProject!W233</f>
        <v>410906.60113836644</v>
      </c>
      <c r="Q229" s="530">
        <f t="shared" si="124"/>
        <v>0</v>
      </c>
      <c r="R229" s="530">
        <f t="shared" si="143"/>
        <v>296355280.38883054</v>
      </c>
      <c r="T229" s="530">
        <v>0</v>
      </c>
      <c r="U229" s="530">
        <f t="shared" si="125"/>
        <v>0</v>
      </c>
      <c r="V229" s="530">
        <f>IF(T229=0,0,$V$7*(1+#REF!)^#REF!)</f>
        <v>0</v>
      </c>
      <c r="W229" s="530">
        <f t="shared" si="144"/>
        <v>0</v>
      </c>
      <c r="X229" s="530">
        <f t="shared" si="126"/>
        <v>0</v>
      </c>
      <c r="Y229" s="530">
        <f t="shared" si="127"/>
        <v>0</v>
      </c>
      <c r="AA229" s="530">
        <v>0</v>
      </c>
      <c r="AB229" s="530">
        <f t="shared" si="128"/>
        <v>0</v>
      </c>
      <c r="AC229" s="530">
        <f>IF(AA229=0,0,$V$7*(1+#REF!)^#REF!)</f>
        <v>0</v>
      </c>
      <c r="AD229" s="530">
        <f t="shared" si="145"/>
        <v>0</v>
      </c>
      <c r="AE229" s="530">
        <f t="shared" si="129"/>
        <v>0</v>
      </c>
      <c r="AF229" s="530">
        <f t="shared" si="130"/>
        <v>0</v>
      </c>
      <c r="AH229" s="530">
        <f t="shared" si="131"/>
        <v>0</v>
      </c>
      <c r="AI229" s="530">
        <f t="shared" si="146"/>
        <v>950</v>
      </c>
      <c r="AJ229" s="530">
        <f t="shared" si="119"/>
        <v>0</v>
      </c>
      <c r="AK229" s="530">
        <f>AJ229*[1]mProject!V233</f>
        <v>0</v>
      </c>
      <c r="AL229" s="530">
        <f t="shared" si="132"/>
        <v>0</v>
      </c>
      <c r="AM229" s="530">
        <f t="shared" si="133"/>
        <v>0</v>
      </c>
      <c r="AN229" s="456"/>
      <c r="AO229" s="572" t="e">
        <f t="shared" si="149"/>
        <v>#REF!</v>
      </c>
      <c r="AP229" s="572" t="e">
        <f t="shared" si="153"/>
        <v>#REF!</v>
      </c>
      <c r="AQ229" s="572" t="e">
        <f t="shared" si="118"/>
        <v>#REF!</v>
      </c>
      <c r="AR229" s="573" t="e">
        <f t="shared" si="150"/>
        <v>#REF!</v>
      </c>
      <c r="AS229" s="530" t="e">
        <f t="shared" si="152"/>
        <v>#REF!</v>
      </c>
      <c r="AT229" s="530"/>
      <c r="AU229" s="530"/>
      <c r="AV229" s="530" t="e">
        <f t="shared" si="134"/>
        <v>#REF!</v>
      </c>
      <c r="AW229" s="530" t="e">
        <f>AI229*#REF!+AI228*#REF!+AI227*#REF!</f>
        <v>#REF!</v>
      </c>
      <c r="AX229" s="456"/>
      <c r="AY229" s="583">
        <f t="shared" si="147"/>
        <v>1.44970094183552</v>
      </c>
      <c r="AZ229" s="530">
        <f t="shared" si="135"/>
        <v>0</v>
      </c>
      <c r="BA229" s="530">
        <f>BA228*[1]mProject!V234</f>
        <v>0</v>
      </c>
      <c r="BB229" s="530">
        <f t="shared" si="151"/>
        <v>17781316.823329829</v>
      </c>
      <c r="BC229" s="456"/>
      <c r="BD229" s="590">
        <f>((BB229/100)*(i_CFD.ObliRate/12))*[1]i.Finance!$O$64</f>
        <v>59826.722228495157</v>
      </c>
      <c r="BE229" s="590">
        <f>(AZ229/100*[1]i.Finance!$O$61)*[1]i.Finance!$O$64</f>
        <v>0</v>
      </c>
      <c r="BF229" s="590">
        <f>(AZ229/100*[1]i.Finance!$O$65)</f>
        <v>0</v>
      </c>
      <c r="BG229" s="591">
        <f t="shared" si="136"/>
        <v>59826.722228495157</v>
      </c>
      <c r="BH229" s="456"/>
      <c r="BI229" s="590">
        <f>-PV([1]i.Finance!$O$63/12,[1]i.Finance!$O$62*12,mCFD!BG229)</f>
        <v>10233961.918709608</v>
      </c>
      <c r="BJ229" s="590">
        <f>BI229*[1]i.Finance!$O$58</f>
        <v>8033660.1061870428</v>
      </c>
      <c r="BK229" s="590"/>
      <c r="BL229" s="590"/>
      <c r="BP229" s="530"/>
      <c r="BQ229" s="530"/>
      <c r="BR229" s="530" t="e">
        <f t="shared" si="137"/>
        <v>#NAME?</v>
      </c>
      <c r="BS229" s="530" t="e">
        <f t="shared" si="138"/>
        <v>#NAME?</v>
      </c>
      <c r="BT229" s="530" t="e">
        <f t="shared" si="139"/>
        <v>#NAME?</v>
      </c>
      <c r="BU229" s="530"/>
    </row>
    <row r="230" spans="1:73" ht="16" hidden="1" outlineLevel="2">
      <c r="A230" s="366"/>
      <c r="B230" s="562"/>
      <c r="C230" s="366"/>
      <c r="D230" s="454"/>
      <c r="E230" s="533">
        <f t="shared" si="148"/>
        <v>224</v>
      </c>
      <c r="F230" s="533">
        <f t="shared" si="140"/>
        <v>75</v>
      </c>
      <c r="G230" s="533">
        <f t="shared" si="141"/>
        <v>19</v>
      </c>
      <c r="H230" s="541">
        <f t="shared" si="154"/>
        <v>50617</v>
      </c>
      <c r="I230" s="542">
        <f t="shared" si="120"/>
        <v>2038</v>
      </c>
      <c r="K230" s="533">
        <f>[1]mProject!KB234</f>
        <v>0</v>
      </c>
      <c r="L230" s="533">
        <f t="shared" si="121"/>
        <v>950</v>
      </c>
      <c r="M230" s="533">
        <f t="shared" si="122"/>
        <v>295000</v>
      </c>
      <c r="N230" s="533">
        <f t="shared" si="123"/>
        <v>0</v>
      </c>
      <c r="O230" s="533">
        <f t="shared" si="142"/>
        <v>280250000</v>
      </c>
      <c r="P230" s="533">
        <f>[1]mProject!W234</f>
        <v>411591.44547359709</v>
      </c>
      <c r="Q230" s="533">
        <f t="shared" si="124"/>
        <v>0</v>
      </c>
      <c r="R230" s="533">
        <f t="shared" si="143"/>
        <v>296355280.38883054</v>
      </c>
      <c r="T230" s="533">
        <v>0</v>
      </c>
      <c r="U230" s="533">
        <f t="shared" si="125"/>
        <v>0</v>
      </c>
      <c r="V230" s="533">
        <f>IF(T230=0,0,$V$7*(1+#REF!)^#REF!)</f>
        <v>0</v>
      </c>
      <c r="W230" s="533">
        <f t="shared" si="144"/>
        <v>0</v>
      </c>
      <c r="X230" s="533">
        <f t="shared" si="126"/>
        <v>0</v>
      </c>
      <c r="Y230" s="533">
        <f t="shared" si="127"/>
        <v>0</v>
      </c>
      <c r="AA230" s="533">
        <v>0</v>
      </c>
      <c r="AB230" s="533">
        <f t="shared" si="128"/>
        <v>0</v>
      </c>
      <c r="AC230" s="533">
        <f>IF(AA230=0,0,$V$7*(1+#REF!)^#REF!)</f>
        <v>0</v>
      </c>
      <c r="AD230" s="533">
        <f t="shared" si="145"/>
        <v>0</v>
      </c>
      <c r="AE230" s="533">
        <f t="shared" si="129"/>
        <v>0</v>
      </c>
      <c r="AF230" s="533">
        <f t="shared" si="130"/>
        <v>0</v>
      </c>
      <c r="AH230" s="533">
        <f t="shared" si="131"/>
        <v>0</v>
      </c>
      <c r="AI230" s="533">
        <f t="shared" si="146"/>
        <v>950</v>
      </c>
      <c r="AJ230" s="533">
        <f t="shared" si="119"/>
        <v>0</v>
      </c>
      <c r="AK230" s="533">
        <f>AJ230*[1]mProject!V234</f>
        <v>0</v>
      </c>
      <c r="AL230" s="533">
        <f t="shared" si="132"/>
        <v>0</v>
      </c>
      <c r="AM230" s="533">
        <f t="shared" si="133"/>
        <v>0</v>
      </c>
      <c r="AN230" s="456"/>
      <c r="AO230" s="575" t="e">
        <f t="shared" si="149"/>
        <v>#REF!</v>
      </c>
      <c r="AP230" s="575" t="e">
        <f t="shared" si="153"/>
        <v>#REF!</v>
      </c>
      <c r="AQ230" s="575" t="e">
        <f t="shared" si="118"/>
        <v>#REF!</v>
      </c>
      <c r="AR230" s="576" t="e">
        <f t="shared" si="150"/>
        <v>#REF!</v>
      </c>
      <c r="AS230" s="533" t="e">
        <f t="shared" si="152"/>
        <v>#REF!</v>
      </c>
      <c r="AT230" s="533"/>
      <c r="AU230" s="533"/>
      <c r="AV230" s="533" t="e">
        <f t="shared" si="134"/>
        <v>#REF!</v>
      </c>
      <c r="AW230" s="533" t="e">
        <f>AI230*#REF!+AI229*#REF!+AI228*#REF!</f>
        <v>#REF!</v>
      </c>
      <c r="AX230" s="456"/>
      <c r="AY230" s="584">
        <f t="shared" si="147"/>
        <v>1.4521171100719126</v>
      </c>
      <c r="AZ230" s="533">
        <f t="shared" si="135"/>
        <v>0</v>
      </c>
      <c r="BA230" s="533">
        <f>BA229*[1]mProject!V235</f>
        <v>0</v>
      </c>
      <c r="BB230" s="533">
        <f t="shared" si="151"/>
        <v>17781316.823329829</v>
      </c>
      <c r="BC230" s="456"/>
      <c r="BD230" s="586">
        <f>((BB230/100)*(i_CFD.ObliRate/12))*[1]i.Finance!$O$64</f>
        <v>59826.722228495157</v>
      </c>
      <c r="BE230" s="586">
        <f>(AZ230/100*[1]i.Finance!$O$61)*[1]i.Finance!$O$64</f>
        <v>0</v>
      </c>
      <c r="BF230" s="586">
        <f>(AZ230/100*[1]i.Finance!$O$65)</f>
        <v>0</v>
      </c>
      <c r="BG230" s="587">
        <f t="shared" si="136"/>
        <v>59826.722228495157</v>
      </c>
      <c r="BH230" s="456"/>
      <c r="BI230" s="586">
        <f>-PV([1]i.Finance!$O$63/12,[1]i.Finance!$O$62*12,mCFD!BG230)</f>
        <v>10233961.918709608</v>
      </c>
      <c r="BJ230" s="586">
        <f>BI230*[1]i.Finance!$O$58</f>
        <v>8033660.1061870428</v>
      </c>
      <c r="BK230" s="586"/>
      <c r="BL230" s="586"/>
      <c r="BP230" s="533"/>
      <c r="BQ230" s="533"/>
      <c r="BR230" s="533" t="e">
        <f t="shared" si="137"/>
        <v>#NAME?</v>
      </c>
      <c r="BS230" s="533" t="e">
        <f t="shared" si="138"/>
        <v>#NAME?</v>
      </c>
      <c r="BT230" s="533" t="e">
        <f t="shared" si="139"/>
        <v>#NAME?</v>
      </c>
      <c r="BU230" s="533"/>
    </row>
    <row r="231" spans="1:73" ht="16" hidden="1" outlineLevel="2">
      <c r="A231" s="366"/>
      <c r="B231" s="562"/>
      <c r="C231" s="366"/>
      <c r="D231" s="454"/>
      <c r="E231" s="547">
        <f t="shared" si="148"/>
        <v>225</v>
      </c>
      <c r="F231" s="547">
        <f t="shared" si="140"/>
        <v>75</v>
      </c>
      <c r="G231" s="547">
        <f t="shared" si="141"/>
        <v>19</v>
      </c>
      <c r="H231" s="548">
        <f t="shared" si="154"/>
        <v>50648</v>
      </c>
      <c r="I231" s="549">
        <f t="shared" si="120"/>
        <v>2038</v>
      </c>
      <c r="K231" s="547">
        <f>[1]mProject!KB235</f>
        <v>0</v>
      </c>
      <c r="L231" s="547">
        <f t="shared" si="121"/>
        <v>950</v>
      </c>
      <c r="M231" s="547">
        <f t="shared" si="122"/>
        <v>295000</v>
      </c>
      <c r="N231" s="547">
        <f t="shared" si="123"/>
        <v>0</v>
      </c>
      <c r="O231" s="547">
        <f t="shared" si="142"/>
        <v>280250000</v>
      </c>
      <c r="P231" s="547">
        <f>[1]mProject!W235</f>
        <v>412277.43121605308</v>
      </c>
      <c r="Q231" s="547">
        <f t="shared" si="124"/>
        <v>0</v>
      </c>
      <c r="R231" s="547">
        <f t="shared" si="143"/>
        <v>296355280.38883054</v>
      </c>
      <c r="T231" s="547">
        <v>0</v>
      </c>
      <c r="U231" s="547">
        <f t="shared" si="125"/>
        <v>0</v>
      </c>
      <c r="V231" s="547">
        <f>IF(T231=0,0,$V$7*(1+#REF!)^#REF!)</f>
        <v>0</v>
      </c>
      <c r="W231" s="547">
        <f t="shared" si="144"/>
        <v>0</v>
      </c>
      <c r="X231" s="547">
        <f t="shared" si="126"/>
        <v>0</v>
      </c>
      <c r="Y231" s="547">
        <f t="shared" si="127"/>
        <v>0</v>
      </c>
      <c r="AA231" s="547">
        <v>0</v>
      </c>
      <c r="AB231" s="547">
        <f t="shared" si="128"/>
        <v>0</v>
      </c>
      <c r="AC231" s="547">
        <f>IF(AA231=0,0,$V$7*(1+#REF!)^#REF!)</f>
        <v>0</v>
      </c>
      <c r="AD231" s="547">
        <f t="shared" si="145"/>
        <v>0</v>
      </c>
      <c r="AE231" s="547">
        <f t="shared" si="129"/>
        <v>0</v>
      </c>
      <c r="AF231" s="547">
        <f t="shared" si="130"/>
        <v>0</v>
      </c>
      <c r="AH231" s="547">
        <f t="shared" si="131"/>
        <v>0</v>
      </c>
      <c r="AI231" s="547">
        <f t="shared" si="146"/>
        <v>950</v>
      </c>
      <c r="AJ231" s="547">
        <f t="shared" si="119"/>
        <v>0</v>
      </c>
      <c r="AK231" s="547">
        <f>AJ231*[1]mProject!V235</f>
        <v>0</v>
      </c>
      <c r="AL231" s="547">
        <f t="shared" si="132"/>
        <v>0</v>
      </c>
      <c r="AM231" s="547">
        <f t="shared" si="133"/>
        <v>0</v>
      </c>
      <c r="AN231" s="456"/>
      <c r="AO231" s="577" t="e">
        <f t="shared" si="149"/>
        <v>#REF!</v>
      </c>
      <c r="AP231" s="577" t="e">
        <f t="shared" si="153"/>
        <v>#REF!</v>
      </c>
      <c r="AQ231" s="577" t="e">
        <f t="shared" si="118"/>
        <v>#REF!</v>
      </c>
      <c r="AR231" s="578" t="e">
        <f t="shared" si="150"/>
        <v>#REF!</v>
      </c>
      <c r="AS231" s="547" t="e">
        <f t="shared" si="152"/>
        <v>#REF!</v>
      </c>
      <c r="AT231" s="547"/>
      <c r="AU231" s="547"/>
      <c r="AV231" s="547" t="e">
        <f t="shared" si="134"/>
        <v>#REF!</v>
      </c>
      <c r="AW231" s="547" t="e">
        <f>AI231*#REF!+AI230*#REF!+AI229*#REF!</f>
        <v>#REF!</v>
      </c>
      <c r="AX231" s="456"/>
      <c r="AY231" s="585">
        <f t="shared" si="147"/>
        <v>1.4545373052553658</v>
      </c>
      <c r="AZ231" s="547">
        <f t="shared" si="135"/>
        <v>0</v>
      </c>
      <c r="BA231" s="547">
        <f>BA230*[1]mProject!V236</f>
        <v>0</v>
      </c>
      <c r="BB231" s="547">
        <f t="shared" si="151"/>
        <v>17781316.823329829</v>
      </c>
      <c r="BC231" s="456"/>
      <c r="BD231" s="588">
        <f>((BB231/100)*(i_CFD.ObliRate/12))*[1]i.Finance!$O$64</f>
        <v>59826.722228495157</v>
      </c>
      <c r="BE231" s="588">
        <f>(AZ231/100*[1]i.Finance!$O$61)*[1]i.Finance!$O$64</f>
        <v>0</v>
      </c>
      <c r="BF231" s="588">
        <f>(AZ231/100*[1]i.Finance!$O$65)</f>
        <v>0</v>
      </c>
      <c r="BG231" s="589">
        <f t="shared" si="136"/>
        <v>59826.722228495157</v>
      </c>
      <c r="BH231" s="456"/>
      <c r="BI231" s="588">
        <f>-PV([1]i.Finance!$O$63/12,[1]i.Finance!$O$62*12,mCFD!BG231)</f>
        <v>10233961.918709608</v>
      </c>
      <c r="BJ231" s="588">
        <f>BI231*[1]i.Finance!$O$58</f>
        <v>8033660.1061870428</v>
      </c>
      <c r="BK231" s="588"/>
      <c r="BL231" s="588"/>
      <c r="BP231" s="547"/>
      <c r="BQ231" s="547"/>
      <c r="BR231" s="547" t="e">
        <f t="shared" si="137"/>
        <v>#NAME?</v>
      </c>
      <c r="BS231" s="547" t="e">
        <f t="shared" si="138"/>
        <v>#NAME?</v>
      </c>
      <c r="BT231" s="547" t="e">
        <f t="shared" si="139"/>
        <v>#NAME?</v>
      </c>
      <c r="BU231" s="547"/>
    </row>
    <row r="232" spans="1:73" ht="16" hidden="1" outlineLevel="2">
      <c r="A232" s="366"/>
      <c r="B232" s="562"/>
      <c r="C232" s="366"/>
      <c r="D232" s="454"/>
      <c r="E232" s="530">
        <f t="shared" si="148"/>
        <v>226</v>
      </c>
      <c r="F232" s="530">
        <f t="shared" si="140"/>
        <v>76</v>
      </c>
      <c r="G232" s="530">
        <f t="shared" si="141"/>
        <v>19</v>
      </c>
      <c r="H232" s="554">
        <f t="shared" si="154"/>
        <v>50678</v>
      </c>
      <c r="I232" s="555">
        <f t="shared" si="120"/>
        <v>2038</v>
      </c>
      <c r="K232" s="530">
        <f>[1]mProject!KB236</f>
        <v>0</v>
      </c>
      <c r="L232" s="530">
        <f t="shared" si="121"/>
        <v>950</v>
      </c>
      <c r="M232" s="530">
        <f t="shared" si="122"/>
        <v>295000</v>
      </c>
      <c r="N232" s="530">
        <f t="shared" si="123"/>
        <v>0</v>
      </c>
      <c r="O232" s="530">
        <f t="shared" si="142"/>
        <v>280250000</v>
      </c>
      <c r="P232" s="530">
        <f>[1]mProject!W236</f>
        <v>412964.56026807986</v>
      </c>
      <c r="Q232" s="530">
        <f t="shared" si="124"/>
        <v>0</v>
      </c>
      <c r="R232" s="530">
        <f t="shared" si="143"/>
        <v>296355280.38883054</v>
      </c>
      <c r="T232" s="530">
        <v>0</v>
      </c>
      <c r="U232" s="530">
        <f t="shared" si="125"/>
        <v>0</v>
      </c>
      <c r="V232" s="530">
        <f>IF(T232=0,0,$V$7*(1+#REF!)^#REF!)</f>
        <v>0</v>
      </c>
      <c r="W232" s="530">
        <f t="shared" si="144"/>
        <v>0</v>
      </c>
      <c r="X232" s="530">
        <f t="shared" si="126"/>
        <v>0</v>
      </c>
      <c r="Y232" s="530">
        <f t="shared" si="127"/>
        <v>0</v>
      </c>
      <c r="AA232" s="530">
        <v>0</v>
      </c>
      <c r="AB232" s="530">
        <f t="shared" si="128"/>
        <v>0</v>
      </c>
      <c r="AC232" s="530">
        <f>IF(AA232=0,0,$V$7*(1+#REF!)^#REF!)</f>
        <v>0</v>
      </c>
      <c r="AD232" s="530">
        <f t="shared" si="145"/>
        <v>0</v>
      </c>
      <c r="AE232" s="530">
        <f t="shared" si="129"/>
        <v>0</v>
      </c>
      <c r="AF232" s="530">
        <f t="shared" si="130"/>
        <v>0</v>
      </c>
      <c r="AH232" s="530">
        <f t="shared" si="131"/>
        <v>0</v>
      </c>
      <c r="AI232" s="530">
        <f t="shared" si="146"/>
        <v>950</v>
      </c>
      <c r="AJ232" s="530">
        <f t="shared" si="119"/>
        <v>0</v>
      </c>
      <c r="AK232" s="530">
        <f>AJ232*[1]mProject!V236</f>
        <v>0</v>
      </c>
      <c r="AL232" s="530">
        <f t="shared" si="132"/>
        <v>0</v>
      </c>
      <c r="AM232" s="530">
        <f t="shared" si="133"/>
        <v>0</v>
      </c>
      <c r="AN232" s="456"/>
      <c r="AO232" s="572" t="e">
        <f t="shared" si="149"/>
        <v>#REF!</v>
      </c>
      <c r="AP232" s="572" t="e">
        <f t="shared" si="153"/>
        <v>#REF!</v>
      </c>
      <c r="AQ232" s="572" t="e">
        <f t="shared" si="118"/>
        <v>#REF!</v>
      </c>
      <c r="AR232" s="573" t="e">
        <f t="shared" si="150"/>
        <v>#REF!</v>
      </c>
      <c r="AS232" s="530" t="e">
        <f t="shared" si="152"/>
        <v>#REF!</v>
      </c>
      <c r="AT232" s="530"/>
      <c r="AU232" s="530"/>
      <c r="AV232" s="530" t="e">
        <f t="shared" si="134"/>
        <v>#REF!</v>
      </c>
      <c r="AW232" s="530" t="e">
        <f>AI232*#REF!+AI231*#REF!+AI230*#REF!</f>
        <v>#REF!</v>
      </c>
      <c r="AX232" s="456"/>
      <c r="AY232" s="583">
        <f t="shared" si="147"/>
        <v>1.4569615340974582</v>
      </c>
      <c r="AZ232" s="530">
        <f t="shared" si="135"/>
        <v>0</v>
      </c>
      <c r="BA232" s="530">
        <f>BA231*[1]mProject!V237</f>
        <v>0</v>
      </c>
      <c r="BB232" s="530">
        <f t="shared" si="151"/>
        <v>17781316.823329829</v>
      </c>
      <c r="BC232" s="456"/>
      <c r="BD232" s="590">
        <f>((BB232/100)*(i_CFD.ObliRate/12))*[1]i.Finance!$O$64</f>
        <v>59826.722228495157</v>
      </c>
      <c r="BE232" s="590">
        <f>(AZ232/100*[1]i.Finance!$O$61)*[1]i.Finance!$O$64</f>
        <v>0</v>
      </c>
      <c r="BF232" s="590">
        <f>(AZ232/100*[1]i.Finance!$O$65)</f>
        <v>0</v>
      </c>
      <c r="BG232" s="591">
        <f t="shared" si="136"/>
        <v>59826.722228495157</v>
      </c>
      <c r="BH232" s="456"/>
      <c r="BI232" s="590">
        <f>-PV([1]i.Finance!$O$63/12,[1]i.Finance!$O$62*12,mCFD!BG232)</f>
        <v>10233961.918709608</v>
      </c>
      <c r="BJ232" s="590">
        <f>BI232*[1]i.Finance!$O$58</f>
        <v>8033660.1061870428</v>
      </c>
      <c r="BK232" s="590"/>
      <c r="BL232" s="590"/>
      <c r="BP232" s="530"/>
      <c r="BQ232" s="530"/>
      <c r="BR232" s="530" t="e">
        <f t="shared" si="137"/>
        <v>#NAME?</v>
      </c>
      <c r="BS232" s="530" t="e">
        <f t="shared" si="138"/>
        <v>#NAME?</v>
      </c>
      <c r="BT232" s="530" t="e">
        <f t="shared" si="139"/>
        <v>#NAME?</v>
      </c>
      <c r="BU232" s="530"/>
    </row>
    <row r="233" spans="1:73" ht="16" hidden="1" outlineLevel="2">
      <c r="A233" s="366"/>
      <c r="B233" s="562"/>
      <c r="C233" s="366"/>
      <c r="D233" s="454"/>
      <c r="E233" s="533">
        <f t="shared" si="148"/>
        <v>227</v>
      </c>
      <c r="F233" s="533">
        <f t="shared" si="140"/>
        <v>76</v>
      </c>
      <c r="G233" s="533">
        <f t="shared" si="141"/>
        <v>19</v>
      </c>
      <c r="H233" s="541">
        <f t="shared" si="154"/>
        <v>50709</v>
      </c>
      <c r="I233" s="542">
        <f t="shared" si="120"/>
        <v>2038</v>
      </c>
      <c r="K233" s="533">
        <f>[1]mProject!KB237</f>
        <v>0</v>
      </c>
      <c r="L233" s="533">
        <f t="shared" si="121"/>
        <v>950</v>
      </c>
      <c r="M233" s="533">
        <f t="shared" si="122"/>
        <v>295000</v>
      </c>
      <c r="N233" s="533">
        <f t="shared" si="123"/>
        <v>0</v>
      </c>
      <c r="O233" s="533">
        <f t="shared" si="142"/>
        <v>280250000</v>
      </c>
      <c r="P233" s="533">
        <f>[1]mProject!W237</f>
        <v>413652.83453519334</v>
      </c>
      <c r="Q233" s="533">
        <f t="shared" si="124"/>
        <v>0</v>
      </c>
      <c r="R233" s="533">
        <f t="shared" si="143"/>
        <v>296355280.38883054</v>
      </c>
      <c r="T233" s="533">
        <v>0</v>
      </c>
      <c r="U233" s="533">
        <f t="shared" si="125"/>
        <v>0</v>
      </c>
      <c r="V233" s="533">
        <f>IF(T233=0,0,$V$7*(1+#REF!)^#REF!)</f>
        <v>0</v>
      </c>
      <c r="W233" s="533">
        <f t="shared" si="144"/>
        <v>0</v>
      </c>
      <c r="X233" s="533">
        <f t="shared" si="126"/>
        <v>0</v>
      </c>
      <c r="Y233" s="533">
        <f t="shared" si="127"/>
        <v>0</v>
      </c>
      <c r="AA233" s="533">
        <v>0</v>
      </c>
      <c r="AB233" s="533">
        <f t="shared" si="128"/>
        <v>0</v>
      </c>
      <c r="AC233" s="533">
        <f>IF(AA233=0,0,$V$7*(1+#REF!)^#REF!)</f>
        <v>0</v>
      </c>
      <c r="AD233" s="533">
        <f t="shared" si="145"/>
        <v>0</v>
      </c>
      <c r="AE233" s="533">
        <f t="shared" si="129"/>
        <v>0</v>
      </c>
      <c r="AF233" s="533">
        <f t="shared" si="130"/>
        <v>0</v>
      </c>
      <c r="AH233" s="533">
        <f t="shared" si="131"/>
        <v>0</v>
      </c>
      <c r="AI233" s="533">
        <f t="shared" si="146"/>
        <v>950</v>
      </c>
      <c r="AJ233" s="533">
        <f t="shared" si="119"/>
        <v>0</v>
      </c>
      <c r="AK233" s="533">
        <f>AJ233*[1]mProject!V237</f>
        <v>0</v>
      </c>
      <c r="AL233" s="533">
        <f t="shared" si="132"/>
        <v>0</v>
      </c>
      <c r="AM233" s="533">
        <f t="shared" si="133"/>
        <v>0</v>
      </c>
      <c r="AN233" s="456"/>
      <c r="AO233" s="575" t="e">
        <f t="shared" si="149"/>
        <v>#REF!</v>
      </c>
      <c r="AP233" s="575" t="e">
        <f t="shared" si="153"/>
        <v>#REF!</v>
      </c>
      <c r="AQ233" s="575" t="e">
        <f t="shared" si="118"/>
        <v>#REF!</v>
      </c>
      <c r="AR233" s="576" t="e">
        <f t="shared" si="150"/>
        <v>#REF!</v>
      </c>
      <c r="AS233" s="533" t="e">
        <f t="shared" si="152"/>
        <v>#REF!</v>
      </c>
      <c r="AT233" s="533"/>
      <c r="AU233" s="533"/>
      <c r="AV233" s="533" t="e">
        <f t="shared" si="134"/>
        <v>#REF!</v>
      </c>
      <c r="AW233" s="533" t="e">
        <f>AI233*#REF!+AI232*#REF!+AI231*#REF!</f>
        <v>#REF!</v>
      </c>
      <c r="AX233" s="456"/>
      <c r="AY233" s="584">
        <f t="shared" si="147"/>
        <v>1.459389803320954</v>
      </c>
      <c r="AZ233" s="533">
        <f t="shared" si="135"/>
        <v>0</v>
      </c>
      <c r="BA233" s="533">
        <f>BA232*[1]mProject!V238</f>
        <v>0</v>
      </c>
      <c r="BB233" s="533">
        <f t="shared" si="151"/>
        <v>17781316.823329829</v>
      </c>
      <c r="BC233" s="456"/>
      <c r="BD233" s="586">
        <f>((BB233/100)*(i_CFD.ObliRate/12))*[1]i.Finance!$O$64</f>
        <v>59826.722228495157</v>
      </c>
      <c r="BE233" s="586">
        <f>(AZ233/100*[1]i.Finance!$O$61)*[1]i.Finance!$O$64</f>
        <v>0</v>
      </c>
      <c r="BF233" s="586">
        <f>(AZ233/100*[1]i.Finance!$O$65)</f>
        <v>0</v>
      </c>
      <c r="BG233" s="587">
        <f t="shared" si="136"/>
        <v>59826.722228495157</v>
      </c>
      <c r="BH233" s="456"/>
      <c r="BI233" s="586">
        <f>-PV([1]i.Finance!$O$63/12,[1]i.Finance!$O$62*12,mCFD!BG233)</f>
        <v>10233961.918709608</v>
      </c>
      <c r="BJ233" s="586">
        <f>BI233*[1]i.Finance!$O$58</f>
        <v>8033660.1061870428</v>
      </c>
      <c r="BK233" s="586"/>
      <c r="BL233" s="586"/>
      <c r="BP233" s="533"/>
      <c r="BQ233" s="533"/>
      <c r="BR233" s="533" t="e">
        <f t="shared" si="137"/>
        <v>#NAME?</v>
      </c>
      <c r="BS233" s="533" t="e">
        <f t="shared" si="138"/>
        <v>#NAME?</v>
      </c>
      <c r="BT233" s="533" t="e">
        <f t="shared" si="139"/>
        <v>#NAME?</v>
      </c>
      <c r="BU233" s="533"/>
    </row>
    <row r="234" spans="1:73" ht="17" hidden="1" outlineLevel="2" thickBot="1">
      <c r="A234" s="366"/>
      <c r="B234" s="562"/>
      <c r="C234" s="366"/>
      <c r="D234" s="454"/>
      <c r="E234" s="564">
        <f t="shared" si="148"/>
        <v>228</v>
      </c>
      <c r="F234" s="564">
        <f t="shared" si="140"/>
        <v>76</v>
      </c>
      <c r="G234" s="564">
        <f t="shared" si="141"/>
        <v>19</v>
      </c>
      <c r="H234" s="565">
        <f t="shared" si="154"/>
        <v>50739</v>
      </c>
      <c r="I234" s="566">
        <f t="shared" si="120"/>
        <v>2038</v>
      </c>
      <c r="K234" s="564">
        <f>[1]mProject!KB238</f>
        <v>0</v>
      </c>
      <c r="L234" s="564">
        <f t="shared" si="121"/>
        <v>950</v>
      </c>
      <c r="M234" s="564">
        <f t="shared" si="122"/>
        <v>295000</v>
      </c>
      <c r="N234" s="564">
        <f t="shared" si="123"/>
        <v>0</v>
      </c>
      <c r="O234" s="564">
        <f t="shared" si="142"/>
        <v>280250000</v>
      </c>
      <c r="P234" s="564">
        <f>[1]mProject!W238</f>
        <v>414342.25592608534</v>
      </c>
      <c r="Q234" s="564">
        <f t="shared" si="124"/>
        <v>0</v>
      </c>
      <c r="R234" s="564">
        <f t="shared" si="143"/>
        <v>296355280.38883054</v>
      </c>
      <c r="T234" s="564">
        <v>0</v>
      </c>
      <c r="U234" s="564">
        <f t="shared" si="125"/>
        <v>0</v>
      </c>
      <c r="V234" s="564">
        <f>IF(T234=0,0,$V$7*(1+#REF!)^#REF!)</f>
        <v>0</v>
      </c>
      <c r="W234" s="564">
        <f t="shared" si="144"/>
        <v>0</v>
      </c>
      <c r="X234" s="564">
        <f t="shared" si="126"/>
        <v>0</v>
      </c>
      <c r="Y234" s="564">
        <f t="shared" si="127"/>
        <v>0</v>
      </c>
      <c r="AA234" s="564">
        <v>0</v>
      </c>
      <c r="AB234" s="564">
        <f t="shared" si="128"/>
        <v>0</v>
      </c>
      <c r="AC234" s="564">
        <f>IF(AA234=0,0,$V$7*(1+#REF!)^#REF!)</f>
        <v>0</v>
      </c>
      <c r="AD234" s="564">
        <f t="shared" si="145"/>
        <v>0</v>
      </c>
      <c r="AE234" s="564">
        <f t="shared" si="129"/>
        <v>0</v>
      </c>
      <c r="AF234" s="564">
        <f t="shared" si="130"/>
        <v>0</v>
      </c>
      <c r="AH234" s="564">
        <f t="shared" si="131"/>
        <v>0</v>
      </c>
      <c r="AI234" s="564">
        <f t="shared" si="146"/>
        <v>950</v>
      </c>
      <c r="AJ234" s="564">
        <f t="shared" si="119"/>
        <v>0</v>
      </c>
      <c r="AK234" s="564">
        <f>AJ234*[1]mProject!V238</f>
        <v>0</v>
      </c>
      <c r="AL234" s="564">
        <f t="shared" si="132"/>
        <v>0</v>
      </c>
      <c r="AM234" s="564">
        <f t="shared" si="133"/>
        <v>0</v>
      </c>
      <c r="AN234" s="456"/>
      <c r="AO234" s="581" t="e">
        <f t="shared" si="149"/>
        <v>#REF!</v>
      </c>
      <c r="AP234" s="581" t="e">
        <f t="shared" si="153"/>
        <v>#REF!</v>
      </c>
      <c r="AQ234" s="581" t="e">
        <f t="shared" si="118"/>
        <v>#REF!</v>
      </c>
      <c r="AR234" s="582" t="e">
        <f t="shared" si="150"/>
        <v>#REF!</v>
      </c>
      <c r="AS234" s="564" t="e">
        <f t="shared" si="152"/>
        <v>#REF!</v>
      </c>
      <c r="AT234" s="564"/>
      <c r="AU234" s="564"/>
      <c r="AV234" s="564" t="e">
        <f t="shared" si="134"/>
        <v>#REF!</v>
      </c>
      <c r="AW234" s="564" t="e">
        <f>AI234*#REF!+AI233*#REF!+AI232*#REF!</f>
        <v>#REF!</v>
      </c>
      <c r="AX234" s="456"/>
      <c r="AY234" s="592">
        <f t="shared" si="147"/>
        <v>1.4618221196598224</v>
      </c>
      <c r="AZ234" s="564">
        <f t="shared" si="135"/>
        <v>0</v>
      </c>
      <c r="BA234" s="564">
        <f>BA233*[1]mProject!V239</f>
        <v>0</v>
      </c>
      <c r="BB234" s="564">
        <f t="shared" si="151"/>
        <v>17781316.823329829</v>
      </c>
      <c r="BC234" s="456"/>
      <c r="BD234" s="593">
        <f>((BB234/100)*(i_CFD.ObliRate/12))*[1]i.Finance!$O$64</f>
        <v>59826.722228495157</v>
      </c>
      <c r="BE234" s="593">
        <f>(AZ234/100*[1]i.Finance!$O$61)*[1]i.Finance!$O$64</f>
        <v>0</v>
      </c>
      <c r="BF234" s="593">
        <f>(AZ234/100*[1]i.Finance!$O$65)</f>
        <v>0</v>
      </c>
      <c r="BG234" s="594">
        <f t="shared" si="136"/>
        <v>59826.722228495157</v>
      </c>
      <c r="BH234" s="456"/>
      <c r="BI234" s="593">
        <f>-PV([1]i.Finance!$O$63/12,[1]i.Finance!$O$62*12,mCFD!BG234)</f>
        <v>10233961.918709608</v>
      </c>
      <c r="BJ234" s="593">
        <f>BI234*[1]i.Finance!$O$58</f>
        <v>8033660.1061870428</v>
      </c>
      <c r="BK234" s="593"/>
      <c r="BL234" s="593"/>
      <c r="BP234" s="564"/>
      <c r="BQ234" s="564"/>
      <c r="BR234" s="564" t="e">
        <f t="shared" si="137"/>
        <v>#NAME?</v>
      </c>
      <c r="BS234" s="564" t="e">
        <f t="shared" si="138"/>
        <v>#NAME?</v>
      </c>
      <c r="BT234" s="564" t="e">
        <f t="shared" si="139"/>
        <v>#NAME?</v>
      </c>
      <c r="BU234" s="564"/>
    </row>
    <row r="235" spans="1:73" ht="16" hidden="1" outlineLevel="2">
      <c r="A235" s="366"/>
      <c r="B235" s="562"/>
      <c r="C235" s="366"/>
      <c r="D235" s="454"/>
      <c r="E235" s="530">
        <f t="shared" si="148"/>
        <v>229</v>
      </c>
      <c r="F235" s="530">
        <f t="shared" si="140"/>
        <v>77</v>
      </c>
      <c r="G235" s="530">
        <f t="shared" si="141"/>
        <v>20</v>
      </c>
      <c r="H235" s="571">
        <f t="shared" si="154"/>
        <v>50770</v>
      </c>
      <c r="I235" s="532">
        <f t="shared" si="120"/>
        <v>2038</v>
      </c>
      <c r="K235" s="530">
        <f>[1]mProject!KB239</f>
        <v>0</v>
      </c>
      <c r="L235" s="530">
        <f t="shared" si="121"/>
        <v>950</v>
      </c>
      <c r="M235" s="530">
        <f t="shared" si="122"/>
        <v>295000</v>
      </c>
      <c r="N235" s="530">
        <f t="shared" si="123"/>
        <v>0</v>
      </c>
      <c r="O235" s="530">
        <f t="shared" si="142"/>
        <v>280250000</v>
      </c>
      <c r="P235" s="530">
        <f>[1]mProject!W239</f>
        <v>415032.82635262882</v>
      </c>
      <c r="Q235" s="530">
        <f t="shared" si="124"/>
        <v>0</v>
      </c>
      <c r="R235" s="530">
        <f t="shared" si="143"/>
        <v>296355280.38883054</v>
      </c>
      <c r="T235" s="530">
        <v>0</v>
      </c>
      <c r="U235" s="530">
        <f t="shared" si="125"/>
        <v>0</v>
      </c>
      <c r="V235" s="530">
        <f>IF(T235=0,0,$V$7*(1+#REF!)^#REF!)</f>
        <v>0</v>
      </c>
      <c r="W235" s="530">
        <f t="shared" si="144"/>
        <v>0</v>
      </c>
      <c r="X235" s="530">
        <f t="shared" si="126"/>
        <v>0</v>
      </c>
      <c r="Y235" s="530">
        <f t="shared" si="127"/>
        <v>0</v>
      </c>
      <c r="AA235" s="530">
        <v>0</v>
      </c>
      <c r="AB235" s="530">
        <f t="shared" si="128"/>
        <v>0</v>
      </c>
      <c r="AC235" s="530">
        <f>IF(AA235=0,0,$V$7*(1+#REF!)^#REF!)</f>
        <v>0</v>
      </c>
      <c r="AD235" s="530">
        <f t="shared" si="145"/>
        <v>0</v>
      </c>
      <c r="AE235" s="530">
        <f t="shared" si="129"/>
        <v>0</v>
      </c>
      <c r="AF235" s="530">
        <f t="shared" si="130"/>
        <v>0</v>
      </c>
      <c r="AH235" s="530">
        <f t="shared" si="131"/>
        <v>0</v>
      </c>
      <c r="AI235" s="530">
        <f t="shared" si="146"/>
        <v>950</v>
      </c>
      <c r="AJ235" s="530">
        <f t="shared" si="119"/>
        <v>0</v>
      </c>
      <c r="AK235" s="530">
        <f>AJ235*[1]mProject!V239</f>
        <v>0</v>
      </c>
      <c r="AL235" s="530">
        <f t="shared" si="132"/>
        <v>0</v>
      </c>
      <c r="AM235" s="530">
        <f t="shared" si="133"/>
        <v>0</v>
      </c>
      <c r="AN235" s="456"/>
      <c r="AO235" s="572" t="e">
        <f t="shared" si="149"/>
        <v>#REF!</v>
      </c>
      <c r="AP235" s="572" t="e">
        <f t="shared" si="153"/>
        <v>#REF!</v>
      </c>
      <c r="AQ235" s="572" t="e">
        <f t="shared" ref="AQ235:AQ298" si="155">$L211*AQ$6</f>
        <v>#REF!</v>
      </c>
      <c r="AR235" s="573" t="e">
        <f t="shared" si="150"/>
        <v>#REF!</v>
      </c>
      <c r="AS235" s="530" t="e">
        <f t="shared" si="152"/>
        <v>#REF!</v>
      </c>
      <c r="AT235" s="530"/>
      <c r="AU235" s="530"/>
      <c r="AV235" s="530" t="e">
        <f t="shared" si="134"/>
        <v>#REF!</v>
      </c>
      <c r="AW235" s="530" t="e">
        <f>AI235*#REF!+AI234*#REF!+AI233*#REF!</f>
        <v>#REF!</v>
      </c>
      <c r="AX235" s="456"/>
      <c r="AY235" s="583">
        <f t="shared" si="147"/>
        <v>1.4642584898592554</v>
      </c>
      <c r="AZ235" s="530">
        <f t="shared" si="135"/>
        <v>0</v>
      </c>
      <c r="BA235" s="530">
        <f>BA234*[1]mProject!V240</f>
        <v>0</v>
      </c>
      <c r="BB235" s="530">
        <f t="shared" si="151"/>
        <v>17781316.823329829</v>
      </c>
      <c r="BC235" s="456"/>
      <c r="BD235" s="590">
        <f>((BB235/100)*(i_CFD.ObliRate/12))*[1]i.Finance!$O$64</f>
        <v>59826.722228495157</v>
      </c>
      <c r="BE235" s="590">
        <f>(AZ235/100*[1]i.Finance!$O$61)*[1]i.Finance!$O$64</f>
        <v>0</v>
      </c>
      <c r="BF235" s="590">
        <f>(AZ235/100*[1]i.Finance!$O$65)</f>
        <v>0</v>
      </c>
      <c r="BG235" s="591">
        <f t="shared" si="136"/>
        <v>59826.722228495157</v>
      </c>
      <c r="BH235" s="456"/>
      <c r="BI235" s="590">
        <f>-PV([1]i.Finance!$O$63/12,[1]i.Finance!$O$62*12,mCFD!BG235)</f>
        <v>10233961.918709608</v>
      </c>
      <c r="BJ235" s="590">
        <f>BI235*[1]i.Finance!$O$58</f>
        <v>8033660.1061870428</v>
      </c>
      <c r="BK235" s="590"/>
      <c r="BL235" s="590"/>
      <c r="BP235" s="530"/>
      <c r="BQ235" s="530"/>
      <c r="BR235" s="530" t="e">
        <f t="shared" si="137"/>
        <v>#NAME?</v>
      </c>
      <c r="BS235" s="530" t="e">
        <f t="shared" si="138"/>
        <v>#NAME?</v>
      </c>
      <c r="BT235" s="530" t="e">
        <f t="shared" si="139"/>
        <v>#NAME?</v>
      </c>
      <c r="BU235" s="530"/>
    </row>
    <row r="236" spans="1:73" ht="16" hidden="1" outlineLevel="2">
      <c r="A236" s="366"/>
      <c r="B236" s="562"/>
      <c r="C236" s="366"/>
      <c r="D236" s="454"/>
      <c r="E236" s="533">
        <f t="shared" si="148"/>
        <v>230</v>
      </c>
      <c r="F236" s="533">
        <f t="shared" si="140"/>
        <v>77</v>
      </c>
      <c r="G236" s="533">
        <f t="shared" si="141"/>
        <v>20</v>
      </c>
      <c r="H236" s="541">
        <f t="shared" si="154"/>
        <v>50801</v>
      </c>
      <c r="I236" s="542">
        <f t="shared" si="120"/>
        <v>2039</v>
      </c>
      <c r="K236" s="533">
        <f>[1]mProject!KB240</f>
        <v>0</v>
      </c>
      <c r="L236" s="533">
        <f t="shared" si="121"/>
        <v>950</v>
      </c>
      <c r="M236" s="533">
        <f t="shared" si="122"/>
        <v>295000</v>
      </c>
      <c r="N236" s="533">
        <f t="shared" si="123"/>
        <v>0</v>
      </c>
      <c r="O236" s="533">
        <f t="shared" si="142"/>
        <v>280250000</v>
      </c>
      <c r="P236" s="533">
        <f>[1]mProject!W240</f>
        <v>415724.54772988323</v>
      </c>
      <c r="Q236" s="533">
        <f t="shared" si="124"/>
        <v>0</v>
      </c>
      <c r="R236" s="533">
        <f t="shared" si="143"/>
        <v>296355280.38883054</v>
      </c>
      <c r="T236" s="533">
        <v>0</v>
      </c>
      <c r="U236" s="533">
        <f t="shared" si="125"/>
        <v>0</v>
      </c>
      <c r="V236" s="533">
        <f>IF(T236=0,0,$V$7*(1+#REF!)^#REF!)</f>
        <v>0</v>
      </c>
      <c r="W236" s="533">
        <f t="shared" si="144"/>
        <v>0</v>
      </c>
      <c r="X236" s="533">
        <f t="shared" si="126"/>
        <v>0</v>
      </c>
      <c r="Y236" s="533">
        <f t="shared" si="127"/>
        <v>0</v>
      </c>
      <c r="AA236" s="533">
        <v>0</v>
      </c>
      <c r="AB236" s="533">
        <f t="shared" si="128"/>
        <v>0</v>
      </c>
      <c r="AC236" s="533">
        <f>IF(AA236=0,0,$V$7*(1+#REF!)^#REF!)</f>
        <v>0</v>
      </c>
      <c r="AD236" s="533">
        <f t="shared" si="145"/>
        <v>0</v>
      </c>
      <c r="AE236" s="533">
        <f t="shared" si="129"/>
        <v>0</v>
      </c>
      <c r="AF236" s="533">
        <f t="shared" si="130"/>
        <v>0</v>
      </c>
      <c r="AH236" s="533">
        <f t="shared" si="131"/>
        <v>0</v>
      </c>
      <c r="AI236" s="533">
        <f t="shared" si="146"/>
        <v>950</v>
      </c>
      <c r="AJ236" s="533">
        <f t="shared" si="119"/>
        <v>0</v>
      </c>
      <c r="AK236" s="533">
        <f>AJ236*[1]mProject!V240</f>
        <v>0</v>
      </c>
      <c r="AL236" s="533">
        <f t="shared" si="132"/>
        <v>0</v>
      </c>
      <c r="AM236" s="533">
        <f t="shared" si="133"/>
        <v>0</v>
      </c>
      <c r="AN236" s="456"/>
      <c r="AO236" s="575" t="e">
        <f t="shared" si="149"/>
        <v>#REF!</v>
      </c>
      <c r="AP236" s="575" t="e">
        <f t="shared" si="153"/>
        <v>#REF!</v>
      </c>
      <c r="AQ236" s="575" t="e">
        <f t="shared" si="155"/>
        <v>#REF!</v>
      </c>
      <c r="AR236" s="576" t="e">
        <f t="shared" si="150"/>
        <v>#REF!</v>
      </c>
      <c r="AS236" s="533" t="e">
        <f t="shared" si="152"/>
        <v>#REF!</v>
      </c>
      <c r="AT236" s="533"/>
      <c r="AU236" s="533"/>
      <c r="AV236" s="533" t="e">
        <f t="shared" si="134"/>
        <v>#REF!</v>
      </c>
      <c r="AW236" s="533" t="e">
        <f>AI236*#REF!+AI235*#REF!+AI234*#REF!</f>
        <v>#REF!</v>
      </c>
      <c r="AX236" s="456"/>
      <c r="AY236" s="584">
        <f t="shared" si="147"/>
        <v>1.4666989206756875</v>
      </c>
      <c r="AZ236" s="533">
        <f t="shared" si="135"/>
        <v>0</v>
      </c>
      <c r="BA236" s="533">
        <f>BA235*[1]mProject!V241</f>
        <v>0</v>
      </c>
      <c r="BB236" s="533">
        <f t="shared" si="151"/>
        <v>17781316.823329829</v>
      </c>
      <c r="BC236" s="456"/>
      <c r="BD236" s="586">
        <f>((BB236/100)*(i_CFD.ObliRate/12))*[1]i.Finance!$O$64</f>
        <v>59826.722228495157</v>
      </c>
      <c r="BE236" s="586">
        <f>(AZ236/100*[1]i.Finance!$O$61)*[1]i.Finance!$O$64</f>
        <v>0</v>
      </c>
      <c r="BF236" s="586">
        <f>(AZ236/100*[1]i.Finance!$O$65)</f>
        <v>0</v>
      </c>
      <c r="BG236" s="587">
        <f t="shared" si="136"/>
        <v>59826.722228495157</v>
      </c>
      <c r="BH236" s="456"/>
      <c r="BI236" s="586">
        <f>-PV([1]i.Finance!$O$63/12,[1]i.Finance!$O$62*12,mCFD!BG236)</f>
        <v>10233961.918709608</v>
      </c>
      <c r="BJ236" s="586">
        <f>BI236*[1]i.Finance!$O$58</f>
        <v>8033660.1061870428</v>
      </c>
      <c r="BK236" s="586"/>
      <c r="BL236" s="586"/>
      <c r="BP236" s="533"/>
      <c r="BQ236" s="533"/>
      <c r="BR236" s="533" t="e">
        <f t="shared" si="137"/>
        <v>#NAME?</v>
      </c>
      <c r="BS236" s="533" t="e">
        <f t="shared" si="138"/>
        <v>#NAME?</v>
      </c>
      <c r="BT236" s="533" t="e">
        <f t="shared" si="139"/>
        <v>#NAME?</v>
      </c>
      <c r="BU236" s="533"/>
    </row>
    <row r="237" spans="1:73" ht="16" hidden="1" outlineLevel="2">
      <c r="A237" s="366"/>
      <c r="B237" s="562"/>
      <c r="C237" s="366"/>
      <c r="D237" s="454"/>
      <c r="E237" s="547">
        <f t="shared" si="148"/>
        <v>231</v>
      </c>
      <c r="F237" s="547">
        <f t="shared" si="140"/>
        <v>77</v>
      </c>
      <c r="G237" s="547">
        <f t="shared" si="141"/>
        <v>20</v>
      </c>
      <c r="H237" s="548">
        <f t="shared" si="154"/>
        <v>50829</v>
      </c>
      <c r="I237" s="549">
        <f t="shared" si="120"/>
        <v>2039</v>
      </c>
      <c r="K237" s="547">
        <f>[1]mProject!KB241</f>
        <v>0</v>
      </c>
      <c r="L237" s="547">
        <f t="shared" si="121"/>
        <v>950</v>
      </c>
      <c r="M237" s="547">
        <f t="shared" si="122"/>
        <v>295000</v>
      </c>
      <c r="N237" s="547">
        <f t="shared" si="123"/>
        <v>0</v>
      </c>
      <c r="O237" s="547">
        <f t="shared" si="142"/>
        <v>280250000</v>
      </c>
      <c r="P237" s="547">
        <f>[1]mProject!W241</f>
        <v>416417.42197609972</v>
      </c>
      <c r="Q237" s="547">
        <f t="shared" si="124"/>
        <v>0</v>
      </c>
      <c r="R237" s="547">
        <f t="shared" si="143"/>
        <v>296355280.38883054</v>
      </c>
      <c r="T237" s="547">
        <v>0</v>
      </c>
      <c r="U237" s="547">
        <f t="shared" si="125"/>
        <v>0</v>
      </c>
      <c r="V237" s="547">
        <f>IF(T237=0,0,$V$7*(1+#REF!)^#REF!)</f>
        <v>0</v>
      </c>
      <c r="W237" s="547">
        <f t="shared" si="144"/>
        <v>0</v>
      </c>
      <c r="X237" s="547">
        <f t="shared" si="126"/>
        <v>0</v>
      </c>
      <c r="Y237" s="547">
        <f t="shared" si="127"/>
        <v>0</v>
      </c>
      <c r="AA237" s="547">
        <v>0</v>
      </c>
      <c r="AB237" s="547">
        <f t="shared" si="128"/>
        <v>0</v>
      </c>
      <c r="AC237" s="547">
        <f>IF(AA237=0,0,$V$7*(1+#REF!)^#REF!)</f>
        <v>0</v>
      </c>
      <c r="AD237" s="547">
        <f t="shared" si="145"/>
        <v>0</v>
      </c>
      <c r="AE237" s="547">
        <f t="shared" si="129"/>
        <v>0</v>
      </c>
      <c r="AF237" s="547">
        <f t="shared" si="130"/>
        <v>0</v>
      </c>
      <c r="AH237" s="547">
        <f t="shared" si="131"/>
        <v>0</v>
      </c>
      <c r="AI237" s="547">
        <f t="shared" si="146"/>
        <v>950</v>
      </c>
      <c r="AJ237" s="547">
        <f t="shared" si="119"/>
        <v>0</v>
      </c>
      <c r="AK237" s="547">
        <f>AJ237*[1]mProject!V241</f>
        <v>0</v>
      </c>
      <c r="AL237" s="547">
        <f t="shared" si="132"/>
        <v>0</v>
      </c>
      <c r="AM237" s="547">
        <f t="shared" si="133"/>
        <v>0</v>
      </c>
      <c r="AN237" s="456"/>
      <c r="AO237" s="577" t="e">
        <f t="shared" si="149"/>
        <v>#REF!</v>
      </c>
      <c r="AP237" s="577" t="e">
        <f t="shared" si="153"/>
        <v>#REF!</v>
      </c>
      <c r="AQ237" s="577" t="e">
        <f t="shared" si="155"/>
        <v>#REF!</v>
      </c>
      <c r="AR237" s="578" t="e">
        <f t="shared" si="150"/>
        <v>#REF!</v>
      </c>
      <c r="AS237" s="547" t="e">
        <f t="shared" si="152"/>
        <v>#REF!</v>
      </c>
      <c r="AT237" s="547"/>
      <c r="AU237" s="547"/>
      <c r="AV237" s="547" t="e">
        <f t="shared" si="134"/>
        <v>#REF!</v>
      </c>
      <c r="AW237" s="547" t="e">
        <f>AI237*#REF!+AI236*#REF!+AI235*#REF!</f>
        <v>#REF!</v>
      </c>
      <c r="AX237" s="456"/>
      <c r="AY237" s="585">
        <f t="shared" si="147"/>
        <v>1.4691434188768138</v>
      </c>
      <c r="AZ237" s="547">
        <f t="shared" si="135"/>
        <v>0</v>
      </c>
      <c r="BA237" s="547">
        <f>BA236*[1]mProject!V242</f>
        <v>0</v>
      </c>
      <c r="BB237" s="547">
        <f t="shared" si="151"/>
        <v>17781316.823329829</v>
      </c>
      <c r="BC237" s="456"/>
      <c r="BD237" s="588">
        <f>((BB237/100)*(i_CFD.ObliRate/12))*[1]i.Finance!$O$64</f>
        <v>59826.722228495157</v>
      </c>
      <c r="BE237" s="588">
        <f>(AZ237/100*[1]i.Finance!$O$61)*[1]i.Finance!$O$64</f>
        <v>0</v>
      </c>
      <c r="BF237" s="588">
        <f>(AZ237/100*[1]i.Finance!$O$65)</f>
        <v>0</v>
      </c>
      <c r="BG237" s="589">
        <f t="shared" si="136"/>
        <v>59826.722228495157</v>
      </c>
      <c r="BH237" s="456"/>
      <c r="BI237" s="588">
        <f>-PV([1]i.Finance!$O$63/12,[1]i.Finance!$O$62*12,mCFD!BG237)</f>
        <v>10233961.918709608</v>
      </c>
      <c r="BJ237" s="588">
        <f>BI237*[1]i.Finance!$O$58</f>
        <v>8033660.1061870428</v>
      </c>
      <c r="BK237" s="588"/>
      <c r="BL237" s="588"/>
      <c r="BP237" s="547"/>
      <c r="BQ237" s="547"/>
      <c r="BR237" s="547" t="e">
        <f t="shared" si="137"/>
        <v>#NAME?</v>
      </c>
      <c r="BS237" s="547" t="e">
        <f t="shared" si="138"/>
        <v>#NAME?</v>
      </c>
      <c r="BT237" s="547" t="e">
        <f t="shared" si="139"/>
        <v>#NAME?</v>
      </c>
      <c r="BU237" s="547"/>
    </row>
    <row r="238" spans="1:73" ht="16" hidden="1" outlineLevel="2">
      <c r="A238" s="366"/>
      <c r="B238" s="562"/>
      <c r="C238" s="366"/>
      <c r="D238" s="454"/>
      <c r="E238" s="530">
        <f t="shared" si="148"/>
        <v>232</v>
      </c>
      <c r="F238" s="530">
        <f t="shared" si="140"/>
        <v>78</v>
      </c>
      <c r="G238" s="530">
        <f t="shared" si="141"/>
        <v>20</v>
      </c>
      <c r="H238" s="554">
        <f t="shared" si="154"/>
        <v>50860</v>
      </c>
      <c r="I238" s="555">
        <f t="shared" si="120"/>
        <v>2039</v>
      </c>
      <c r="K238" s="530">
        <f>[1]mProject!KB242</f>
        <v>0</v>
      </c>
      <c r="L238" s="530">
        <f t="shared" si="121"/>
        <v>950</v>
      </c>
      <c r="M238" s="530">
        <f t="shared" si="122"/>
        <v>295000</v>
      </c>
      <c r="N238" s="530">
        <f t="shared" si="123"/>
        <v>0</v>
      </c>
      <c r="O238" s="530">
        <f t="shared" si="142"/>
        <v>280250000</v>
      </c>
      <c r="P238" s="530">
        <f>[1]mProject!W242</f>
        <v>417111.45101272658</v>
      </c>
      <c r="Q238" s="530">
        <f t="shared" si="124"/>
        <v>0</v>
      </c>
      <c r="R238" s="530">
        <f t="shared" si="143"/>
        <v>296355280.38883054</v>
      </c>
      <c r="T238" s="530">
        <v>0</v>
      </c>
      <c r="U238" s="530">
        <f t="shared" si="125"/>
        <v>0</v>
      </c>
      <c r="V238" s="530">
        <f>IF(T238=0,0,$V$7*(1+#REF!)^#REF!)</f>
        <v>0</v>
      </c>
      <c r="W238" s="530">
        <f t="shared" si="144"/>
        <v>0</v>
      </c>
      <c r="X238" s="530">
        <f t="shared" si="126"/>
        <v>0</v>
      </c>
      <c r="Y238" s="530">
        <f t="shared" si="127"/>
        <v>0</v>
      </c>
      <c r="AA238" s="530">
        <v>0</v>
      </c>
      <c r="AB238" s="530">
        <f t="shared" si="128"/>
        <v>0</v>
      </c>
      <c r="AC238" s="530">
        <f>IF(AA238=0,0,$V$7*(1+#REF!)^#REF!)</f>
        <v>0</v>
      </c>
      <c r="AD238" s="530">
        <f t="shared" si="145"/>
        <v>0</v>
      </c>
      <c r="AE238" s="530">
        <f t="shared" si="129"/>
        <v>0</v>
      </c>
      <c r="AF238" s="530">
        <f t="shared" si="130"/>
        <v>0</v>
      </c>
      <c r="AH238" s="530">
        <f t="shared" si="131"/>
        <v>0</v>
      </c>
      <c r="AI238" s="530">
        <f t="shared" si="146"/>
        <v>950</v>
      </c>
      <c r="AJ238" s="530">
        <f t="shared" si="119"/>
        <v>0</v>
      </c>
      <c r="AK238" s="530">
        <f>AJ238*[1]mProject!V242</f>
        <v>0</v>
      </c>
      <c r="AL238" s="530">
        <f t="shared" si="132"/>
        <v>0</v>
      </c>
      <c r="AM238" s="530">
        <f t="shared" si="133"/>
        <v>0</v>
      </c>
      <c r="AN238" s="456"/>
      <c r="AO238" s="572" t="e">
        <f t="shared" si="149"/>
        <v>#REF!</v>
      </c>
      <c r="AP238" s="572" t="e">
        <f t="shared" si="153"/>
        <v>#REF!</v>
      </c>
      <c r="AQ238" s="572" t="e">
        <f t="shared" si="155"/>
        <v>#REF!</v>
      </c>
      <c r="AR238" s="573" t="e">
        <f t="shared" si="150"/>
        <v>#REF!</v>
      </c>
      <c r="AS238" s="530" t="e">
        <f t="shared" si="152"/>
        <v>#REF!</v>
      </c>
      <c r="AT238" s="530"/>
      <c r="AU238" s="530"/>
      <c r="AV238" s="530" t="e">
        <f t="shared" si="134"/>
        <v>#REF!</v>
      </c>
      <c r="AW238" s="530" t="e">
        <f>AI238*#REF!+AI237*#REF!+AI236*#REF!</f>
        <v>#REF!</v>
      </c>
      <c r="AX238" s="456"/>
      <c r="AY238" s="583">
        <f t="shared" si="147"/>
        <v>1.4715919912416084</v>
      </c>
      <c r="AZ238" s="530">
        <f t="shared" si="135"/>
        <v>0</v>
      </c>
      <c r="BA238" s="530">
        <f>BA237*[1]mProject!V243</f>
        <v>0</v>
      </c>
      <c r="BB238" s="530">
        <f t="shared" si="151"/>
        <v>17781316.823329829</v>
      </c>
      <c r="BC238" s="456"/>
      <c r="BD238" s="590">
        <f>((BB238/100)*(i_CFD.ObliRate/12))*[1]i.Finance!$O$64</f>
        <v>59826.722228495157</v>
      </c>
      <c r="BE238" s="590">
        <f>(AZ238/100*[1]i.Finance!$O$61)*[1]i.Finance!$O$64</f>
        <v>0</v>
      </c>
      <c r="BF238" s="590">
        <f>(AZ238/100*[1]i.Finance!$O$65)</f>
        <v>0</v>
      </c>
      <c r="BG238" s="591">
        <f t="shared" si="136"/>
        <v>59826.722228495157</v>
      </c>
      <c r="BH238" s="456"/>
      <c r="BI238" s="590">
        <f>-PV([1]i.Finance!$O$63/12,[1]i.Finance!$O$62*12,mCFD!BG238)</f>
        <v>10233961.918709608</v>
      </c>
      <c r="BJ238" s="590">
        <f>BI238*[1]i.Finance!$O$58</f>
        <v>8033660.1061870428</v>
      </c>
      <c r="BK238" s="590"/>
      <c r="BL238" s="590"/>
      <c r="BP238" s="530"/>
      <c r="BQ238" s="530"/>
      <c r="BR238" s="530" t="e">
        <f t="shared" si="137"/>
        <v>#NAME?</v>
      </c>
      <c r="BS238" s="530" t="e">
        <f t="shared" si="138"/>
        <v>#NAME?</v>
      </c>
      <c r="BT238" s="530" t="e">
        <f t="shared" si="139"/>
        <v>#NAME?</v>
      </c>
      <c r="BU238" s="530"/>
    </row>
    <row r="239" spans="1:73" ht="16" hidden="1" outlineLevel="2">
      <c r="A239" s="366"/>
      <c r="B239" s="562"/>
      <c r="C239" s="366"/>
      <c r="D239" s="454"/>
      <c r="E239" s="533">
        <f t="shared" si="148"/>
        <v>233</v>
      </c>
      <c r="F239" s="533">
        <f t="shared" si="140"/>
        <v>78</v>
      </c>
      <c r="G239" s="533">
        <f t="shared" si="141"/>
        <v>20</v>
      </c>
      <c r="H239" s="541">
        <f t="shared" si="154"/>
        <v>50890</v>
      </c>
      <c r="I239" s="542">
        <f t="shared" si="120"/>
        <v>2039</v>
      </c>
      <c r="K239" s="533">
        <f>[1]mProject!KB243</f>
        <v>0</v>
      </c>
      <c r="L239" s="533">
        <f t="shared" si="121"/>
        <v>950</v>
      </c>
      <c r="M239" s="533">
        <f t="shared" si="122"/>
        <v>295000</v>
      </c>
      <c r="N239" s="533">
        <f t="shared" si="123"/>
        <v>0</v>
      </c>
      <c r="O239" s="533">
        <f t="shared" si="142"/>
        <v>280250000</v>
      </c>
      <c r="P239" s="533">
        <f>[1]mProject!W243</f>
        <v>417806.63676441449</v>
      </c>
      <c r="Q239" s="533">
        <f t="shared" si="124"/>
        <v>0</v>
      </c>
      <c r="R239" s="533">
        <f t="shared" si="143"/>
        <v>296355280.38883054</v>
      </c>
      <c r="T239" s="533">
        <v>0</v>
      </c>
      <c r="U239" s="533">
        <f t="shared" si="125"/>
        <v>0</v>
      </c>
      <c r="V239" s="533">
        <f>IF(T239=0,0,$V$7*(1+#REF!)^#REF!)</f>
        <v>0</v>
      </c>
      <c r="W239" s="533">
        <f t="shared" si="144"/>
        <v>0</v>
      </c>
      <c r="X239" s="533">
        <f t="shared" si="126"/>
        <v>0</v>
      </c>
      <c r="Y239" s="533">
        <f t="shared" si="127"/>
        <v>0</v>
      </c>
      <c r="AA239" s="533">
        <v>0</v>
      </c>
      <c r="AB239" s="533">
        <f t="shared" si="128"/>
        <v>0</v>
      </c>
      <c r="AC239" s="533">
        <f>IF(AA239=0,0,$V$7*(1+#REF!)^#REF!)</f>
        <v>0</v>
      </c>
      <c r="AD239" s="533">
        <f t="shared" si="145"/>
        <v>0</v>
      </c>
      <c r="AE239" s="533">
        <f t="shared" si="129"/>
        <v>0</v>
      </c>
      <c r="AF239" s="533">
        <f t="shared" si="130"/>
        <v>0</v>
      </c>
      <c r="AH239" s="533">
        <f t="shared" si="131"/>
        <v>0</v>
      </c>
      <c r="AI239" s="533">
        <f t="shared" si="146"/>
        <v>950</v>
      </c>
      <c r="AJ239" s="533">
        <f t="shared" si="119"/>
        <v>0</v>
      </c>
      <c r="AK239" s="533">
        <f>AJ239*[1]mProject!V243</f>
        <v>0</v>
      </c>
      <c r="AL239" s="533">
        <f t="shared" si="132"/>
        <v>0</v>
      </c>
      <c r="AM239" s="533">
        <f t="shared" si="133"/>
        <v>0</v>
      </c>
      <c r="AN239" s="456"/>
      <c r="AO239" s="575" t="e">
        <f t="shared" si="149"/>
        <v>#REF!</v>
      </c>
      <c r="AP239" s="575" t="e">
        <f t="shared" si="153"/>
        <v>#REF!</v>
      </c>
      <c r="AQ239" s="575" t="e">
        <f t="shared" si="155"/>
        <v>#REF!</v>
      </c>
      <c r="AR239" s="576" t="e">
        <f t="shared" si="150"/>
        <v>#REF!</v>
      </c>
      <c r="AS239" s="533" t="e">
        <f t="shared" si="152"/>
        <v>#REF!</v>
      </c>
      <c r="AT239" s="533"/>
      <c r="AU239" s="533"/>
      <c r="AV239" s="533" t="e">
        <f t="shared" si="134"/>
        <v>#REF!</v>
      </c>
      <c r="AW239" s="533" t="e">
        <f>AI239*#REF!+AI238*#REF!+AI237*#REF!</f>
        <v>#REF!</v>
      </c>
      <c r="AX239" s="456"/>
      <c r="AY239" s="584">
        <f t="shared" si="147"/>
        <v>1.4740446445603446</v>
      </c>
      <c r="AZ239" s="533">
        <f t="shared" si="135"/>
        <v>0</v>
      </c>
      <c r="BA239" s="533">
        <f>BA238*[1]mProject!V244</f>
        <v>0</v>
      </c>
      <c r="BB239" s="533">
        <f t="shared" si="151"/>
        <v>17781316.823329829</v>
      </c>
      <c r="BC239" s="456"/>
      <c r="BD239" s="586">
        <f>((BB239/100)*(i_CFD.ObliRate/12))*[1]i.Finance!$O$64</f>
        <v>59826.722228495157</v>
      </c>
      <c r="BE239" s="586">
        <f>(AZ239/100*[1]i.Finance!$O$61)*[1]i.Finance!$O$64</f>
        <v>0</v>
      </c>
      <c r="BF239" s="586">
        <f>(AZ239/100*[1]i.Finance!$O$65)</f>
        <v>0</v>
      </c>
      <c r="BG239" s="587">
        <f t="shared" si="136"/>
        <v>59826.722228495157</v>
      </c>
      <c r="BH239" s="456"/>
      <c r="BI239" s="586">
        <f>-PV([1]i.Finance!$O$63/12,[1]i.Finance!$O$62*12,mCFD!BG239)</f>
        <v>10233961.918709608</v>
      </c>
      <c r="BJ239" s="586">
        <f>BI239*[1]i.Finance!$O$58</f>
        <v>8033660.1061870428</v>
      </c>
      <c r="BK239" s="586"/>
      <c r="BL239" s="586"/>
      <c r="BP239" s="533"/>
      <c r="BQ239" s="533"/>
      <c r="BR239" s="533" t="e">
        <f t="shared" si="137"/>
        <v>#NAME?</v>
      </c>
      <c r="BS239" s="533" t="e">
        <f t="shared" si="138"/>
        <v>#NAME?</v>
      </c>
      <c r="BT239" s="533" t="e">
        <f t="shared" si="139"/>
        <v>#NAME?</v>
      </c>
      <c r="BU239" s="533"/>
    </row>
    <row r="240" spans="1:73" ht="16" hidden="1" outlineLevel="2">
      <c r="A240" s="366"/>
      <c r="B240" s="562"/>
      <c r="C240" s="366"/>
      <c r="D240" s="454"/>
      <c r="E240" s="547">
        <f t="shared" si="148"/>
        <v>234</v>
      </c>
      <c r="F240" s="547">
        <f t="shared" si="140"/>
        <v>78</v>
      </c>
      <c r="G240" s="547">
        <f t="shared" si="141"/>
        <v>20</v>
      </c>
      <c r="H240" s="548">
        <f t="shared" si="154"/>
        <v>50921</v>
      </c>
      <c r="I240" s="549">
        <f t="shared" si="120"/>
        <v>2039</v>
      </c>
      <c r="K240" s="547">
        <f>[1]mProject!KB244</f>
        <v>0</v>
      </c>
      <c r="L240" s="547">
        <f t="shared" si="121"/>
        <v>950</v>
      </c>
      <c r="M240" s="547">
        <f t="shared" si="122"/>
        <v>295000</v>
      </c>
      <c r="N240" s="547">
        <f t="shared" si="123"/>
        <v>0</v>
      </c>
      <c r="O240" s="547">
        <f t="shared" si="142"/>
        <v>280250000</v>
      </c>
      <c r="P240" s="547">
        <f>[1]mProject!W244</f>
        <v>418502.98115902185</v>
      </c>
      <c r="Q240" s="547">
        <f t="shared" si="124"/>
        <v>0</v>
      </c>
      <c r="R240" s="547">
        <f t="shared" si="143"/>
        <v>296355280.38883054</v>
      </c>
      <c r="T240" s="547">
        <v>0</v>
      </c>
      <c r="U240" s="547">
        <f t="shared" si="125"/>
        <v>0</v>
      </c>
      <c r="V240" s="547">
        <f>IF(T240=0,0,$V$7*(1+#REF!)^#REF!)</f>
        <v>0</v>
      </c>
      <c r="W240" s="547">
        <f t="shared" si="144"/>
        <v>0</v>
      </c>
      <c r="X240" s="547">
        <f t="shared" si="126"/>
        <v>0</v>
      </c>
      <c r="Y240" s="547">
        <f t="shared" si="127"/>
        <v>0</v>
      </c>
      <c r="AA240" s="547">
        <v>0</v>
      </c>
      <c r="AB240" s="547">
        <f t="shared" si="128"/>
        <v>0</v>
      </c>
      <c r="AC240" s="547">
        <f>IF(AA240=0,0,$V$7*(1+#REF!)^#REF!)</f>
        <v>0</v>
      </c>
      <c r="AD240" s="547">
        <f t="shared" si="145"/>
        <v>0</v>
      </c>
      <c r="AE240" s="547">
        <f t="shared" si="129"/>
        <v>0</v>
      </c>
      <c r="AF240" s="547">
        <f t="shared" si="130"/>
        <v>0</v>
      </c>
      <c r="AH240" s="547">
        <f t="shared" si="131"/>
        <v>0</v>
      </c>
      <c r="AI240" s="547">
        <f t="shared" si="146"/>
        <v>950</v>
      </c>
      <c r="AJ240" s="547">
        <f t="shared" ref="AJ240:AJ303" si="156">AJ239</f>
        <v>0</v>
      </c>
      <c r="AK240" s="547">
        <f>AJ240*[1]mProject!V244</f>
        <v>0</v>
      </c>
      <c r="AL240" s="547">
        <f t="shared" si="132"/>
        <v>0</v>
      </c>
      <c r="AM240" s="547">
        <f t="shared" si="133"/>
        <v>0</v>
      </c>
      <c r="AN240" s="456"/>
      <c r="AO240" s="577" t="e">
        <f t="shared" si="149"/>
        <v>#REF!</v>
      </c>
      <c r="AP240" s="577" t="e">
        <f t="shared" si="153"/>
        <v>#REF!</v>
      </c>
      <c r="AQ240" s="577" t="e">
        <f t="shared" si="155"/>
        <v>#REF!</v>
      </c>
      <c r="AR240" s="578" t="e">
        <f t="shared" si="150"/>
        <v>#REF!</v>
      </c>
      <c r="AS240" s="547" t="e">
        <f t="shared" si="152"/>
        <v>#REF!</v>
      </c>
      <c r="AT240" s="547"/>
      <c r="AU240" s="547"/>
      <c r="AV240" s="547" t="e">
        <f t="shared" si="134"/>
        <v>#REF!</v>
      </c>
      <c r="AW240" s="547" t="e">
        <f>AI240*#REF!+AI239*#REF!+AI238*#REF!</f>
        <v>#REF!</v>
      </c>
      <c r="AX240" s="456"/>
      <c r="AY240" s="585">
        <f t="shared" si="147"/>
        <v>1.4765013856346119</v>
      </c>
      <c r="AZ240" s="547">
        <f t="shared" si="135"/>
        <v>0</v>
      </c>
      <c r="BA240" s="547">
        <f>BA239*[1]mProject!V245</f>
        <v>0</v>
      </c>
      <c r="BB240" s="547">
        <f t="shared" si="151"/>
        <v>17781316.823329829</v>
      </c>
      <c r="BC240" s="456"/>
      <c r="BD240" s="588">
        <f>((BB240/100)*(i_CFD.ObliRate/12))*[1]i.Finance!$O$64</f>
        <v>59826.722228495157</v>
      </c>
      <c r="BE240" s="588">
        <f>(AZ240/100*[1]i.Finance!$O$61)*[1]i.Finance!$O$64</f>
        <v>0</v>
      </c>
      <c r="BF240" s="588">
        <f>(AZ240/100*[1]i.Finance!$O$65)</f>
        <v>0</v>
      </c>
      <c r="BG240" s="589">
        <f t="shared" si="136"/>
        <v>59826.722228495157</v>
      </c>
      <c r="BH240" s="456"/>
      <c r="BI240" s="588">
        <f>-PV([1]i.Finance!$O$63/12,[1]i.Finance!$O$62*12,mCFD!BG240)</f>
        <v>10233961.918709608</v>
      </c>
      <c r="BJ240" s="588">
        <f>BI240*[1]i.Finance!$O$58</f>
        <v>8033660.1061870428</v>
      </c>
      <c r="BK240" s="588"/>
      <c r="BL240" s="588"/>
      <c r="BP240" s="547"/>
      <c r="BQ240" s="547"/>
      <c r="BR240" s="547" t="e">
        <f t="shared" si="137"/>
        <v>#NAME?</v>
      </c>
      <c r="BS240" s="547" t="e">
        <f t="shared" si="138"/>
        <v>#NAME?</v>
      </c>
      <c r="BT240" s="547" t="e">
        <f t="shared" si="139"/>
        <v>#NAME?</v>
      </c>
      <c r="BU240" s="547"/>
    </row>
    <row r="241" spans="1:73" ht="16" hidden="1" outlineLevel="2">
      <c r="A241" s="366"/>
      <c r="B241" s="562"/>
      <c r="C241" s="366"/>
      <c r="D241" s="454"/>
      <c r="E241" s="530">
        <f t="shared" si="148"/>
        <v>235</v>
      </c>
      <c r="F241" s="530">
        <f t="shared" si="140"/>
        <v>79</v>
      </c>
      <c r="G241" s="530">
        <f t="shared" si="141"/>
        <v>20</v>
      </c>
      <c r="H241" s="554">
        <f t="shared" si="154"/>
        <v>50951</v>
      </c>
      <c r="I241" s="555">
        <f t="shared" si="120"/>
        <v>2039</v>
      </c>
      <c r="K241" s="530">
        <f>[1]mProject!KB245</f>
        <v>0</v>
      </c>
      <c r="L241" s="530">
        <f t="shared" si="121"/>
        <v>950</v>
      </c>
      <c r="M241" s="530">
        <f t="shared" si="122"/>
        <v>295000</v>
      </c>
      <c r="N241" s="530">
        <f t="shared" si="123"/>
        <v>0</v>
      </c>
      <c r="O241" s="530">
        <f t="shared" si="142"/>
        <v>280250000</v>
      </c>
      <c r="P241" s="530">
        <f>[1]mProject!W245</f>
        <v>419200.48612762021</v>
      </c>
      <c r="Q241" s="530">
        <f t="shared" si="124"/>
        <v>0</v>
      </c>
      <c r="R241" s="530">
        <f t="shared" si="143"/>
        <v>296355280.38883054</v>
      </c>
      <c r="T241" s="530">
        <v>0</v>
      </c>
      <c r="U241" s="530">
        <f t="shared" si="125"/>
        <v>0</v>
      </c>
      <c r="V241" s="530">
        <f>IF(T241=0,0,$V$7*(1+#REF!)^#REF!)</f>
        <v>0</v>
      </c>
      <c r="W241" s="530">
        <f t="shared" si="144"/>
        <v>0</v>
      </c>
      <c r="X241" s="530">
        <f t="shared" si="126"/>
        <v>0</v>
      </c>
      <c r="Y241" s="530">
        <f t="shared" si="127"/>
        <v>0</v>
      </c>
      <c r="AA241" s="530">
        <v>0</v>
      </c>
      <c r="AB241" s="530">
        <f t="shared" si="128"/>
        <v>0</v>
      </c>
      <c r="AC241" s="530">
        <f>IF(AA241=0,0,$V$7*(1+#REF!)^#REF!)</f>
        <v>0</v>
      </c>
      <c r="AD241" s="530">
        <f t="shared" si="145"/>
        <v>0</v>
      </c>
      <c r="AE241" s="530">
        <f t="shared" si="129"/>
        <v>0</v>
      </c>
      <c r="AF241" s="530">
        <f t="shared" si="130"/>
        <v>0</v>
      </c>
      <c r="AH241" s="530">
        <f t="shared" si="131"/>
        <v>0</v>
      </c>
      <c r="AI241" s="530">
        <f t="shared" si="146"/>
        <v>950</v>
      </c>
      <c r="AJ241" s="530">
        <f t="shared" si="156"/>
        <v>0</v>
      </c>
      <c r="AK241" s="530">
        <f>AJ241*[1]mProject!V245</f>
        <v>0</v>
      </c>
      <c r="AL241" s="530">
        <f t="shared" si="132"/>
        <v>0</v>
      </c>
      <c r="AM241" s="530">
        <f t="shared" si="133"/>
        <v>0</v>
      </c>
      <c r="AN241" s="456"/>
      <c r="AO241" s="572" t="e">
        <f t="shared" si="149"/>
        <v>#REF!</v>
      </c>
      <c r="AP241" s="572" t="e">
        <f t="shared" si="153"/>
        <v>#REF!</v>
      </c>
      <c r="AQ241" s="572" t="e">
        <f t="shared" si="155"/>
        <v>#REF!</v>
      </c>
      <c r="AR241" s="573" t="e">
        <f t="shared" si="150"/>
        <v>#REF!</v>
      </c>
      <c r="AS241" s="530" t="e">
        <f t="shared" si="152"/>
        <v>#REF!</v>
      </c>
      <c r="AT241" s="530"/>
      <c r="AU241" s="530"/>
      <c r="AV241" s="530" t="e">
        <f t="shared" si="134"/>
        <v>#REF!</v>
      </c>
      <c r="AW241" s="530" t="e">
        <f>AI241*#REF!+AI240*#REF!+AI239*#REF!</f>
        <v>#REF!</v>
      </c>
      <c r="AX241" s="456"/>
      <c r="AY241" s="583">
        <f t="shared" si="147"/>
        <v>1.4789622212773363</v>
      </c>
      <c r="AZ241" s="530">
        <f t="shared" si="135"/>
        <v>0</v>
      </c>
      <c r="BA241" s="530">
        <f>BA240*[1]mProject!V246</f>
        <v>0</v>
      </c>
      <c r="BB241" s="530">
        <f t="shared" si="151"/>
        <v>17781316.823329829</v>
      </c>
      <c r="BC241" s="456"/>
      <c r="BD241" s="590">
        <f>((BB241/100)*(i_CFD.ObliRate/12))*[1]i.Finance!$O$64</f>
        <v>59826.722228495157</v>
      </c>
      <c r="BE241" s="590">
        <f>(AZ241/100*[1]i.Finance!$O$61)*[1]i.Finance!$O$64</f>
        <v>0</v>
      </c>
      <c r="BF241" s="590">
        <f>(AZ241/100*[1]i.Finance!$O$65)</f>
        <v>0</v>
      </c>
      <c r="BG241" s="591">
        <f t="shared" si="136"/>
        <v>59826.722228495157</v>
      </c>
      <c r="BH241" s="456"/>
      <c r="BI241" s="590">
        <f>-PV([1]i.Finance!$O$63/12,[1]i.Finance!$O$62*12,mCFD!BG241)</f>
        <v>10233961.918709608</v>
      </c>
      <c r="BJ241" s="590">
        <f>BI241*[1]i.Finance!$O$58</f>
        <v>8033660.1061870428</v>
      </c>
      <c r="BK241" s="590"/>
      <c r="BL241" s="590"/>
      <c r="BP241" s="530"/>
      <c r="BQ241" s="530"/>
      <c r="BR241" s="530" t="e">
        <f t="shared" si="137"/>
        <v>#NAME?</v>
      </c>
      <c r="BS241" s="530" t="e">
        <f t="shared" si="138"/>
        <v>#NAME?</v>
      </c>
      <c r="BT241" s="530" t="e">
        <f t="shared" si="139"/>
        <v>#NAME?</v>
      </c>
      <c r="BU241" s="530"/>
    </row>
    <row r="242" spans="1:73" ht="16" hidden="1" outlineLevel="2">
      <c r="A242" s="366"/>
      <c r="B242" s="562"/>
      <c r="C242" s="366"/>
      <c r="D242" s="454"/>
      <c r="E242" s="533">
        <f t="shared" si="148"/>
        <v>236</v>
      </c>
      <c r="F242" s="533">
        <f t="shared" si="140"/>
        <v>79</v>
      </c>
      <c r="G242" s="533">
        <f t="shared" si="141"/>
        <v>20</v>
      </c>
      <c r="H242" s="541">
        <f t="shared" si="154"/>
        <v>50982</v>
      </c>
      <c r="I242" s="542">
        <f t="shared" si="120"/>
        <v>2039</v>
      </c>
      <c r="K242" s="533">
        <f>[1]mProject!KB246</f>
        <v>0</v>
      </c>
      <c r="L242" s="533">
        <f t="shared" si="121"/>
        <v>950</v>
      </c>
      <c r="M242" s="533">
        <f t="shared" si="122"/>
        <v>295000</v>
      </c>
      <c r="N242" s="533">
        <f t="shared" si="123"/>
        <v>0</v>
      </c>
      <c r="O242" s="533">
        <f t="shared" si="142"/>
        <v>280250000</v>
      </c>
      <c r="P242" s="533">
        <f>[1]mProject!W246</f>
        <v>419899.15360449959</v>
      </c>
      <c r="Q242" s="533">
        <f t="shared" si="124"/>
        <v>0</v>
      </c>
      <c r="R242" s="533">
        <f t="shared" si="143"/>
        <v>296355280.38883054</v>
      </c>
      <c r="T242" s="533">
        <v>0</v>
      </c>
      <c r="U242" s="533">
        <f t="shared" si="125"/>
        <v>0</v>
      </c>
      <c r="V242" s="533">
        <f>IF(T242=0,0,$V$7*(1+#REF!)^#REF!)</f>
        <v>0</v>
      </c>
      <c r="W242" s="533">
        <f t="shared" si="144"/>
        <v>0</v>
      </c>
      <c r="X242" s="533">
        <f t="shared" si="126"/>
        <v>0</v>
      </c>
      <c r="Y242" s="533">
        <f t="shared" si="127"/>
        <v>0</v>
      </c>
      <c r="AA242" s="533">
        <v>0</v>
      </c>
      <c r="AB242" s="533">
        <f t="shared" si="128"/>
        <v>0</v>
      </c>
      <c r="AC242" s="533">
        <f>IF(AA242=0,0,$V$7*(1+#REF!)^#REF!)</f>
        <v>0</v>
      </c>
      <c r="AD242" s="533">
        <f t="shared" si="145"/>
        <v>0</v>
      </c>
      <c r="AE242" s="533">
        <f t="shared" si="129"/>
        <v>0</v>
      </c>
      <c r="AF242" s="533">
        <f t="shared" si="130"/>
        <v>0</v>
      </c>
      <c r="AH242" s="533">
        <f t="shared" si="131"/>
        <v>0</v>
      </c>
      <c r="AI242" s="533">
        <f t="shared" si="146"/>
        <v>950</v>
      </c>
      <c r="AJ242" s="533">
        <f t="shared" si="156"/>
        <v>0</v>
      </c>
      <c r="AK242" s="533">
        <f>AJ242*[1]mProject!V246</f>
        <v>0</v>
      </c>
      <c r="AL242" s="533">
        <f t="shared" si="132"/>
        <v>0</v>
      </c>
      <c r="AM242" s="533">
        <f t="shared" si="133"/>
        <v>0</v>
      </c>
      <c r="AN242" s="456"/>
      <c r="AO242" s="575" t="e">
        <f t="shared" si="149"/>
        <v>#REF!</v>
      </c>
      <c r="AP242" s="575" t="e">
        <f t="shared" si="153"/>
        <v>#REF!</v>
      </c>
      <c r="AQ242" s="575" t="e">
        <f t="shared" si="155"/>
        <v>#REF!</v>
      </c>
      <c r="AR242" s="576" t="e">
        <f t="shared" si="150"/>
        <v>#REF!</v>
      </c>
      <c r="AS242" s="533" t="e">
        <f t="shared" si="152"/>
        <v>#REF!</v>
      </c>
      <c r="AT242" s="533"/>
      <c r="AU242" s="533"/>
      <c r="AV242" s="533" t="e">
        <f t="shared" si="134"/>
        <v>#REF!</v>
      </c>
      <c r="AW242" s="533" t="e">
        <f>AI242*#REF!+AI241*#REF!+AI240*#REF!</f>
        <v>#REF!</v>
      </c>
      <c r="AX242" s="456"/>
      <c r="AY242" s="584">
        <f t="shared" si="147"/>
        <v>1.4814271583127987</v>
      </c>
      <c r="AZ242" s="533">
        <f t="shared" si="135"/>
        <v>0</v>
      </c>
      <c r="BA242" s="533">
        <f>BA241*[1]mProject!V247</f>
        <v>0</v>
      </c>
      <c r="BB242" s="533">
        <f t="shared" si="151"/>
        <v>17781316.823329829</v>
      </c>
      <c r="BC242" s="456"/>
      <c r="BD242" s="586">
        <f>((BB242/100)*(i_CFD.ObliRate/12))*[1]i.Finance!$O$64</f>
        <v>59826.722228495157</v>
      </c>
      <c r="BE242" s="586">
        <f>(AZ242/100*[1]i.Finance!$O$61)*[1]i.Finance!$O$64</f>
        <v>0</v>
      </c>
      <c r="BF242" s="586">
        <f>(AZ242/100*[1]i.Finance!$O$65)</f>
        <v>0</v>
      </c>
      <c r="BG242" s="587">
        <f t="shared" si="136"/>
        <v>59826.722228495157</v>
      </c>
      <c r="BH242" s="456"/>
      <c r="BI242" s="586">
        <f>-PV([1]i.Finance!$O$63/12,[1]i.Finance!$O$62*12,mCFD!BG242)</f>
        <v>10233961.918709608</v>
      </c>
      <c r="BJ242" s="586">
        <f>BI242*[1]i.Finance!$O$58</f>
        <v>8033660.1061870428</v>
      </c>
      <c r="BK242" s="586"/>
      <c r="BL242" s="586"/>
      <c r="BP242" s="533"/>
      <c r="BQ242" s="533"/>
      <c r="BR242" s="533" t="e">
        <f t="shared" si="137"/>
        <v>#NAME?</v>
      </c>
      <c r="BS242" s="533" t="e">
        <f t="shared" si="138"/>
        <v>#NAME?</v>
      </c>
      <c r="BT242" s="533" t="e">
        <f t="shared" si="139"/>
        <v>#NAME?</v>
      </c>
      <c r="BU242" s="533"/>
    </row>
    <row r="243" spans="1:73" ht="16" hidden="1" outlineLevel="2">
      <c r="A243" s="366"/>
      <c r="B243" s="562"/>
      <c r="C243" s="366"/>
      <c r="D243" s="454"/>
      <c r="E243" s="547">
        <f t="shared" si="148"/>
        <v>237</v>
      </c>
      <c r="F243" s="547">
        <f t="shared" si="140"/>
        <v>79</v>
      </c>
      <c r="G243" s="547">
        <f t="shared" si="141"/>
        <v>20</v>
      </c>
      <c r="H243" s="548">
        <f t="shared" si="154"/>
        <v>51013</v>
      </c>
      <c r="I243" s="549">
        <f t="shared" si="120"/>
        <v>2039</v>
      </c>
      <c r="K243" s="547">
        <f>[1]mProject!KB247</f>
        <v>0</v>
      </c>
      <c r="L243" s="547">
        <f t="shared" si="121"/>
        <v>950</v>
      </c>
      <c r="M243" s="547">
        <f t="shared" si="122"/>
        <v>295000</v>
      </c>
      <c r="N243" s="547">
        <f t="shared" si="123"/>
        <v>0</v>
      </c>
      <c r="O243" s="547">
        <f t="shared" si="142"/>
        <v>280250000</v>
      </c>
      <c r="P243" s="547">
        <f>[1]mProject!W247</f>
        <v>420598.98552717379</v>
      </c>
      <c r="Q243" s="547">
        <f t="shared" si="124"/>
        <v>0</v>
      </c>
      <c r="R243" s="547">
        <f t="shared" si="143"/>
        <v>296355280.38883054</v>
      </c>
      <c r="T243" s="547">
        <v>0</v>
      </c>
      <c r="U243" s="547">
        <f t="shared" si="125"/>
        <v>0</v>
      </c>
      <c r="V243" s="547">
        <f>IF(T243=0,0,$V$7*(1+#REF!)^#REF!)</f>
        <v>0</v>
      </c>
      <c r="W243" s="547">
        <f t="shared" si="144"/>
        <v>0</v>
      </c>
      <c r="X243" s="547">
        <f t="shared" si="126"/>
        <v>0</v>
      </c>
      <c r="Y243" s="547">
        <f t="shared" si="127"/>
        <v>0</v>
      </c>
      <c r="AA243" s="547">
        <v>0</v>
      </c>
      <c r="AB243" s="547">
        <f t="shared" si="128"/>
        <v>0</v>
      </c>
      <c r="AC243" s="547">
        <f>IF(AA243=0,0,$V$7*(1+#REF!)^#REF!)</f>
        <v>0</v>
      </c>
      <c r="AD243" s="547">
        <f t="shared" si="145"/>
        <v>0</v>
      </c>
      <c r="AE243" s="547">
        <f t="shared" si="129"/>
        <v>0</v>
      </c>
      <c r="AF243" s="547">
        <f t="shared" si="130"/>
        <v>0</v>
      </c>
      <c r="AH243" s="547">
        <f t="shared" si="131"/>
        <v>0</v>
      </c>
      <c r="AI243" s="547">
        <f t="shared" si="146"/>
        <v>950</v>
      </c>
      <c r="AJ243" s="547">
        <f t="shared" si="156"/>
        <v>0</v>
      </c>
      <c r="AK243" s="547">
        <f>AJ243*[1]mProject!V247</f>
        <v>0</v>
      </c>
      <c r="AL243" s="547">
        <f t="shared" si="132"/>
        <v>0</v>
      </c>
      <c r="AM243" s="547">
        <f t="shared" si="133"/>
        <v>0</v>
      </c>
      <c r="AN243" s="456"/>
      <c r="AO243" s="577" t="e">
        <f t="shared" si="149"/>
        <v>#REF!</v>
      </c>
      <c r="AP243" s="577" t="e">
        <f t="shared" si="153"/>
        <v>#REF!</v>
      </c>
      <c r="AQ243" s="577" t="e">
        <f t="shared" si="155"/>
        <v>#REF!</v>
      </c>
      <c r="AR243" s="578" t="e">
        <f t="shared" si="150"/>
        <v>#REF!</v>
      </c>
      <c r="AS243" s="547" t="e">
        <f t="shared" si="152"/>
        <v>#REF!</v>
      </c>
      <c r="AT243" s="547"/>
      <c r="AU243" s="547"/>
      <c r="AV243" s="547" t="e">
        <f t="shared" si="134"/>
        <v>#REF!</v>
      </c>
      <c r="AW243" s="547" t="e">
        <f>AI243*#REF!+AI242*#REF!+AI241*#REF!</f>
        <v>#REF!</v>
      </c>
      <c r="AX243" s="456"/>
      <c r="AY243" s="585">
        <f t="shared" si="147"/>
        <v>1.4838962035766534</v>
      </c>
      <c r="AZ243" s="547">
        <f t="shared" si="135"/>
        <v>0</v>
      </c>
      <c r="BA243" s="547">
        <f>BA242*[1]mProject!V248</f>
        <v>0</v>
      </c>
      <c r="BB243" s="547">
        <f t="shared" si="151"/>
        <v>17781316.823329829</v>
      </c>
      <c r="BC243" s="456"/>
      <c r="BD243" s="588">
        <f>((BB243/100)*(i_CFD.ObliRate/12))*[1]i.Finance!$O$64</f>
        <v>59826.722228495157</v>
      </c>
      <c r="BE243" s="588">
        <f>(AZ243/100*[1]i.Finance!$O$61)*[1]i.Finance!$O$64</f>
        <v>0</v>
      </c>
      <c r="BF243" s="588">
        <f>(AZ243/100*[1]i.Finance!$O$65)</f>
        <v>0</v>
      </c>
      <c r="BG243" s="589">
        <f t="shared" si="136"/>
        <v>59826.722228495157</v>
      </c>
      <c r="BH243" s="456"/>
      <c r="BI243" s="588">
        <f>-PV([1]i.Finance!$O$63/12,[1]i.Finance!$O$62*12,mCFD!BG243)</f>
        <v>10233961.918709608</v>
      </c>
      <c r="BJ243" s="588">
        <f>BI243*[1]i.Finance!$O$58</f>
        <v>8033660.1061870428</v>
      </c>
      <c r="BK243" s="588"/>
      <c r="BL243" s="588"/>
      <c r="BP243" s="547"/>
      <c r="BQ243" s="547"/>
      <c r="BR243" s="547" t="e">
        <f t="shared" si="137"/>
        <v>#NAME?</v>
      </c>
      <c r="BS243" s="547" t="e">
        <f t="shared" si="138"/>
        <v>#NAME?</v>
      </c>
      <c r="BT243" s="547" t="e">
        <f t="shared" si="139"/>
        <v>#NAME?</v>
      </c>
      <c r="BU243" s="547"/>
    </row>
    <row r="244" spans="1:73" ht="16" hidden="1" outlineLevel="2">
      <c r="A244" s="366"/>
      <c r="B244" s="562"/>
      <c r="C244" s="366"/>
      <c r="D244" s="454"/>
      <c r="E244" s="530">
        <f t="shared" si="148"/>
        <v>238</v>
      </c>
      <c r="F244" s="530">
        <f t="shared" si="140"/>
        <v>80</v>
      </c>
      <c r="G244" s="530">
        <f t="shared" si="141"/>
        <v>20</v>
      </c>
      <c r="H244" s="554">
        <f t="shared" si="154"/>
        <v>51043</v>
      </c>
      <c r="I244" s="555">
        <f t="shared" si="120"/>
        <v>2039</v>
      </c>
      <c r="K244" s="530">
        <f>[1]mProject!KB248</f>
        <v>0</v>
      </c>
      <c r="L244" s="530">
        <f t="shared" si="121"/>
        <v>950</v>
      </c>
      <c r="M244" s="530">
        <f t="shared" si="122"/>
        <v>295000</v>
      </c>
      <c r="N244" s="530">
        <f t="shared" si="123"/>
        <v>0</v>
      </c>
      <c r="O244" s="530">
        <f t="shared" si="142"/>
        <v>280250000</v>
      </c>
      <c r="P244" s="530">
        <f>[1]mProject!W248</f>
        <v>421299.98383638577</v>
      </c>
      <c r="Q244" s="530">
        <f t="shared" si="124"/>
        <v>0</v>
      </c>
      <c r="R244" s="530">
        <f t="shared" si="143"/>
        <v>296355280.38883054</v>
      </c>
      <c r="T244" s="530">
        <v>0</v>
      </c>
      <c r="U244" s="530">
        <f t="shared" si="125"/>
        <v>0</v>
      </c>
      <c r="V244" s="530">
        <f>IF(T244=0,0,$V$7*(1+#REF!)^#REF!)</f>
        <v>0</v>
      </c>
      <c r="W244" s="530">
        <f t="shared" si="144"/>
        <v>0</v>
      </c>
      <c r="X244" s="530">
        <f t="shared" si="126"/>
        <v>0</v>
      </c>
      <c r="Y244" s="530">
        <f t="shared" si="127"/>
        <v>0</v>
      </c>
      <c r="AA244" s="530">
        <v>0</v>
      </c>
      <c r="AB244" s="530">
        <f t="shared" si="128"/>
        <v>0</v>
      </c>
      <c r="AC244" s="530">
        <f>IF(AA244=0,0,$V$7*(1+#REF!)^#REF!)</f>
        <v>0</v>
      </c>
      <c r="AD244" s="530">
        <f t="shared" si="145"/>
        <v>0</v>
      </c>
      <c r="AE244" s="530">
        <f t="shared" si="129"/>
        <v>0</v>
      </c>
      <c r="AF244" s="530">
        <f t="shared" si="130"/>
        <v>0</v>
      </c>
      <c r="AH244" s="530">
        <f t="shared" si="131"/>
        <v>0</v>
      </c>
      <c r="AI244" s="530">
        <f t="shared" si="146"/>
        <v>950</v>
      </c>
      <c r="AJ244" s="530">
        <f t="shared" si="156"/>
        <v>0</v>
      </c>
      <c r="AK244" s="530">
        <f>AJ244*[1]mProject!V248</f>
        <v>0</v>
      </c>
      <c r="AL244" s="530">
        <f t="shared" si="132"/>
        <v>0</v>
      </c>
      <c r="AM244" s="530">
        <f t="shared" si="133"/>
        <v>0</v>
      </c>
      <c r="AN244" s="456"/>
      <c r="AO244" s="572" t="e">
        <f t="shared" si="149"/>
        <v>#REF!</v>
      </c>
      <c r="AP244" s="572" t="e">
        <f t="shared" si="153"/>
        <v>#REF!</v>
      </c>
      <c r="AQ244" s="572" t="e">
        <f t="shared" si="155"/>
        <v>#REF!</v>
      </c>
      <c r="AR244" s="573" t="e">
        <f t="shared" si="150"/>
        <v>#REF!</v>
      </c>
      <c r="AS244" s="530" t="e">
        <f t="shared" si="152"/>
        <v>#REF!</v>
      </c>
      <c r="AT244" s="530"/>
      <c r="AU244" s="530"/>
      <c r="AV244" s="530" t="e">
        <f t="shared" si="134"/>
        <v>#REF!</v>
      </c>
      <c r="AW244" s="530" t="e">
        <f>AI244*#REF!+AI243*#REF!+AI242*#REF!</f>
        <v>#REF!</v>
      </c>
      <c r="AX244" s="456"/>
      <c r="AY244" s="583">
        <f t="shared" si="147"/>
        <v>1.4863693639159479</v>
      </c>
      <c r="AZ244" s="530">
        <f t="shared" si="135"/>
        <v>0</v>
      </c>
      <c r="BA244" s="530">
        <f>BA243*[1]mProject!V249</f>
        <v>0</v>
      </c>
      <c r="BB244" s="530">
        <f t="shared" si="151"/>
        <v>17781316.823329829</v>
      </c>
      <c r="BC244" s="456"/>
      <c r="BD244" s="590">
        <f>((BB244/100)*(i_CFD.ObliRate/12))*[1]i.Finance!$O$64</f>
        <v>59826.722228495157</v>
      </c>
      <c r="BE244" s="590">
        <f>(AZ244/100*[1]i.Finance!$O$61)*[1]i.Finance!$O$64</f>
        <v>0</v>
      </c>
      <c r="BF244" s="590">
        <f>(AZ244/100*[1]i.Finance!$O$65)</f>
        <v>0</v>
      </c>
      <c r="BG244" s="591">
        <f t="shared" si="136"/>
        <v>59826.722228495157</v>
      </c>
      <c r="BH244" s="456"/>
      <c r="BI244" s="590">
        <f>-PV([1]i.Finance!$O$63/12,[1]i.Finance!$O$62*12,mCFD!BG244)</f>
        <v>10233961.918709608</v>
      </c>
      <c r="BJ244" s="590">
        <f>BI244*[1]i.Finance!$O$58</f>
        <v>8033660.1061870428</v>
      </c>
      <c r="BK244" s="590"/>
      <c r="BL244" s="590"/>
      <c r="BP244" s="530"/>
      <c r="BQ244" s="530"/>
      <c r="BR244" s="530" t="e">
        <f t="shared" si="137"/>
        <v>#NAME?</v>
      </c>
      <c r="BS244" s="530" t="e">
        <f t="shared" si="138"/>
        <v>#NAME?</v>
      </c>
      <c r="BT244" s="530" t="e">
        <f t="shared" si="139"/>
        <v>#NAME?</v>
      </c>
      <c r="BU244" s="530"/>
    </row>
    <row r="245" spans="1:73" ht="16" hidden="1" outlineLevel="2">
      <c r="A245" s="366"/>
      <c r="B245" s="562"/>
      <c r="C245" s="366"/>
      <c r="D245" s="454"/>
      <c r="E245" s="533">
        <f t="shared" si="148"/>
        <v>239</v>
      </c>
      <c r="F245" s="533">
        <f t="shared" si="140"/>
        <v>80</v>
      </c>
      <c r="G245" s="533">
        <f t="shared" si="141"/>
        <v>20</v>
      </c>
      <c r="H245" s="541">
        <f t="shared" si="154"/>
        <v>51074</v>
      </c>
      <c r="I245" s="542">
        <f t="shared" si="120"/>
        <v>2039</v>
      </c>
      <c r="K245" s="533">
        <f>[1]mProject!KB249</f>
        <v>0</v>
      </c>
      <c r="L245" s="533">
        <f t="shared" si="121"/>
        <v>950</v>
      </c>
      <c r="M245" s="533">
        <f t="shared" si="122"/>
        <v>295000</v>
      </c>
      <c r="N245" s="533">
        <f t="shared" si="123"/>
        <v>0</v>
      </c>
      <c r="O245" s="533">
        <f t="shared" si="142"/>
        <v>280250000</v>
      </c>
      <c r="P245" s="533">
        <f>[1]mProject!W249</f>
        <v>422002.15047611308</v>
      </c>
      <c r="Q245" s="533">
        <f t="shared" si="124"/>
        <v>0</v>
      </c>
      <c r="R245" s="533">
        <f t="shared" si="143"/>
        <v>296355280.38883054</v>
      </c>
      <c r="T245" s="533">
        <v>0</v>
      </c>
      <c r="U245" s="533">
        <f t="shared" si="125"/>
        <v>0</v>
      </c>
      <c r="V245" s="533">
        <f>IF(T245=0,0,$V$7*(1+#REF!)^#REF!)</f>
        <v>0</v>
      </c>
      <c r="W245" s="533">
        <f t="shared" si="144"/>
        <v>0</v>
      </c>
      <c r="X245" s="533">
        <f t="shared" si="126"/>
        <v>0</v>
      </c>
      <c r="Y245" s="533">
        <f t="shared" si="127"/>
        <v>0</v>
      </c>
      <c r="AA245" s="533">
        <v>0</v>
      </c>
      <c r="AB245" s="533">
        <f t="shared" si="128"/>
        <v>0</v>
      </c>
      <c r="AC245" s="533">
        <f>IF(AA245=0,0,$V$7*(1+#REF!)^#REF!)</f>
        <v>0</v>
      </c>
      <c r="AD245" s="533">
        <f t="shared" si="145"/>
        <v>0</v>
      </c>
      <c r="AE245" s="533">
        <f t="shared" si="129"/>
        <v>0</v>
      </c>
      <c r="AF245" s="533">
        <f t="shared" si="130"/>
        <v>0</v>
      </c>
      <c r="AH245" s="533">
        <f t="shared" si="131"/>
        <v>0</v>
      </c>
      <c r="AI245" s="533">
        <f t="shared" si="146"/>
        <v>950</v>
      </c>
      <c r="AJ245" s="533">
        <f t="shared" si="156"/>
        <v>0</v>
      </c>
      <c r="AK245" s="533">
        <f>AJ245*[1]mProject!V249</f>
        <v>0</v>
      </c>
      <c r="AL245" s="533">
        <f t="shared" si="132"/>
        <v>0</v>
      </c>
      <c r="AM245" s="533">
        <f t="shared" si="133"/>
        <v>0</v>
      </c>
      <c r="AN245" s="456"/>
      <c r="AO245" s="575" t="e">
        <f t="shared" si="149"/>
        <v>#REF!</v>
      </c>
      <c r="AP245" s="575" t="e">
        <f t="shared" si="153"/>
        <v>#REF!</v>
      </c>
      <c r="AQ245" s="575" t="e">
        <f t="shared" si="155"/>
        <v>#REF!</v>
      </c>
      <c r="AR245" s="576" t="e">
        <f t="shared" si="150"/>
        <v>#REF!</v>
      </c>
      <c r="AS245" s="533" t="e">
        <f t="shared" si="152"/>
        <v>#REF!</v>
      </c>
      <c r="AT245" s="533"/>
      <c r="AU245" s="533"/>
      <c r="AV245" s="533" t="e">
        <f t="shared" si="134"/>
        <v>#REF!</v>
      </c>
      <c r="AW245" s="533" t="e">
        <f>AI245*#REF!+AI244*#REF!+AI243*#REF!</f>
        <v>#REF!</v>
      </c>
      <c r="AX245" s="456"/>
      <c r="AY245" s="584">
        <f t="shared" si="147"/>
        <v>1.4888466461891412</v>
      </c>
      <c r="AZ245" s="533">
        <f t="shared" si="135"/>
        <v>0</v>
      </c>
      <c r="BA245" s="533">
        <f>BA244*[1]mProject!V250</f>
        <v>0</v>
      </c>
      <c r="BB245" s="533">
        <f t="shared" si="151"/>
        <v>17781316.823329829</v>
      </c>
      <c r="BC245" s="456"/>
      <c r="BD245" s="586">
        <f>((BB245/100)*(i_CFD.ObliRate/12))*[1]i.Finance!$O$64</f>
        <v>59826.722228495157</v>
      </c>
      <c r="BE245" s="586">
        <f>(AZ245/100*[1]i.Finance!$O$61)*[1]i.Finance!$O$64</f>
        <v>0</v>
      </c>
      <c r="BF245" s="586">
        <f>(AZ245/100*[1]i.Finance!$O$65)</f>
        <v>0</v>
      </c>
      <c r="BG245" s="587">
        <f t="shared" si="136"/>
        <v>59826.722228495157</v>
      </c>
      <c r="BH245" s="456"/>
      <c r="BI245" s="586">
        <f>-PV([1]i.Finance!$O$63/12,[1]i.Finance!$O$62*12,mCFD!BG245)</f>
        <v>10233961.918709608</v>
      </c>
      <c r="BJ245" s="586">
        <f>BI245*[1]i.Finance!$O$58</f>
        <v>8033660.1061870428</v>
      </c>
      <c r="BK245" s="586"/>
      <c r="BL245" s="586"/>
      <c r="BP245" s="533"/>
      <c r="BQ245" s="533"/>
      <c r="BR245" s="533" t="e">
        <f t="shared" si="137"/>
        <v>#NAME?</v>
      </c>
      <c r="BS245" s="533" t="e">
        <f t="shared" si="138"/>
        <v>#NAME?</v>
      </c>
      <c r="BT245" s="533" t="e">
        <f t="shared" si="139"/>
        <v>#NAME?</v>
      </c>
      <c r="BU245" s="533"/>
    </row>
    <row r="246" spans="1:73" ht="17" hidden="1" outlineLevel="2" thickBot="1">
      <c r="A246" s="366"/>
      <c r="B246" s="562"/>
      <c r="C246" s="366"/>
      <c r="D246" s="454"/>
      <c r="E246" s="564">
        <f t="shared" si="148"/>
        <v>240</v>
      </c>
      <c r="F246" s="564">
        <f t="shared" si="140"/>
        <v>80</v>
      </c>
      <c r="G246" s="564">
        <f t="shared" si="141"/>
        <v>20</v>
      </c>
      <c r="H246" s="565">
        <f t="shared" si="154"/>
        <v>51104</v>
      </c>
      <c r="I246" s="566">
        <f t="shared" si="120"/>
        <v>2039</v>
      </c>
      <c r="K246" s="564">
        <f>[1]mProject!KB250</f>
        <v>0</v>
      </c>
      <c r="L246" s="564">
        <f t="shared" si="121"/>
        <v>950</v>
      </c>
      <c r="M246" s="564">
        <f t="shared" si="122"/>
        <v>295000</v>
      </c>
      <c r="N246" s="564">
        <f t="shared" si="123"/>
        <v>0</v>
      </c>
      <c r="O246" s="564">
        <f t="shared" si="142"/>
        <v>280250000</v>
      </c>
      <c r="P246" s="564">
        <f>[1]mProject!W250</f>
        <v>422705.48739357328</v>
      </c>
      <c r="Q246" s="564">
        <f t="shared" si="124"/>
        <v>0</v>
      </c>
      <c r="R246" s="564">
        <f t="shared" si="143"/>
        <v>296355280.38883054</v>
      </c>
      <c r="T246" s="564">
        <v>0</v>
      </c>
      <c r="U246" s="564">
        <f t="shared" si="125"/>
        <v>0</v>
      </c>
      <c r="V246" s="564">
        <f>IF(T246=0,0,$V$7*(1+#REF!)^#REF!)</f>
        <v>0</v>
      </c>
      <c r="W246" s="564">
        <f t="shared" si="144"/>
        <v>0</v>
      </c>
      <c r="X246" s="564">
        <f t="shared" si="126"/>
        <v>0</v>
      </c>
      <c r="Y246" s="564">
        <f t="shared" si="127"/>
        <v>0</v>
      </c>
      <c r="AA246" s="564">
        <v>0</v>
      </c>
      <c r="AB246" s="564">
        <f t="shared" si="128"/>
        <v>0</v>
      </c>
      <c r="AC246" s="564">
        <f>IF(AA246=0,0,$V$7*(1+#REF!)^#REF!)</f>
        <v>0</v>
      </c>
      <c r="AD246" s="564">
        <f t="shared" si="145"/>
        <v>0</v>
      </c>
      <c r="AE246" s="564">
        <f t="shared" si="129"/>
        <v>0</v>
      </c>
      <c r="AF246" s="564">
        <f t="shared" si="130"/>
        <v>0</v>
      </c>
      <c r="AH246" s="564">
        <f t="shared" si="131"/>
        <v>0</v>
      </c>
      <c r="AI246" s="564">
        <f t="shared" si="146"/>
        <v>950</v>
      </c>
      <c r="AJ246" s="564">
        <f t="shared" si="156"/>
        <v>0</v>
      </c>
      <c r="AK246" s="564">
        <f>AJ246*[1]mProject!V250</f>
        <v>0</v>
      </c>
      <c r="AL246" s="564">
        <f t="shared" si="132"/>
        <v>0</v>
      </c>
      <c r="AM246" s="564">
        <f t="shared" si="133"/>
        <v>0</v>
      </c>
      <c r="AN246" s="456"/>
      <c r="AO246" s="581" t="e">
        <f t="shared" si="149"/>
        <v>#REF!</v>
      </c>
      <c r="AP246" s="581" t="e">
        <f t="shared" si="153"/>
        <v>#REF!</v>
      </c>
      <c r="AQ246" s="581" t="e">
        <f t="shared" si="155"/>
        <v>#REF!</v>
      </c>
      <c r="AR246" s="582" t="e">
        <f t="shared" si="150"/>
        <v>#REF!</v>
      </c>
      <c r="AS246" s="564" t="e">
        <f t="shared" si="152"/>
        <v>#REF!</v>
      </c>
      <c r="AT246" s="564"/>
      <c r="AU246" s="564"/>
      <c r="AV246" s="564" t="e">
        <f t="shared" si="134"/>
        <v>#REF!</v>
      </c>
      <c r="AW246" s="564" t="e">
        <f>AI246*#REF!+AI245*#REF!+AI244*#REF!</f>
        <v>#REF!</v>
      </c>
      <c r="AX246" s="456"/>
      <c r="AY246" s="592">
        <f t="shared" si="147"/>
        <v>1.4913280572661232</v>
      </c>
      <c r="AZ246" s="564">
        <f t="shared" si="135"/>
        <v>0</v>
      </c>
      <c r="BA246" s="564">
        <f>BA245*[1]mProject!V251</f>
        <v>0</v>
      </c>
      <c r="BB246" s="564">
        <f t="shared" si="151"/>
        <v>17781316.823329829</v>
      </c>
      <c r="BC246" s="456"/>
      <c r="BD246" s="593">
        <f>((BB246/100)*(i_CFD.ObliRate/12))*[1]i.Finance!$O$64</f>
        <v>59826.722228495157</v>
      </c>
      <c r="BE246" s="593">
        <f>(AZ246/100*[1]i.Finance!$O$61)*[1]i.Finance!$O$64</f>
        <v>0</v>
      </c>
      <c r="BF246" s="593">
        <f>(AZ246/100*[1]i.Finance!$O$65)</f>
        <v>0</v>
      </c>
      <c r="BG246" s="594">
        <f t="shared" si="136"/>
        <v>59826.722228495157</v>
      </c>
      <c r="BH246" s="456"/>
      <c r="BI246" s="593">
        <f>-PV([1]i.Finance!$O$63/12,[1]i.Finance!$O$62*12,mCFD!BG246)</f>
        <v>10233961.918709608</v>
      </c>
      <c r="BJ246" s="593">
        <f>BI246*[1]i.Finance!$O$58</f>
        <v>8033660.1061870428</v>
      </c>
      <c r="BK246" s="593"/>
      <c r="BL246" s="593"/>
      <c r="BP246" s="564"/>
      <c r="BQ246" s="564"/>
      <c r="BR246" s="564" t="e">
        <f t="shared" si="137"/>
        <v>#NAME?</v>
      </c>
      <c r="BS246" s="564" t="e">
        <f t="shared" si="138"/>
        <v>#NAME?</v>
      </c>
      <c r="BT246" s="564" t="e">
        <f t="shared" si="139"/>
        <v>#NAME?</v>
      </c>
      <c r="BU246" s="564"/>
    </row>
    <row r="247" spans="1:73" ht="16" hidden="1" outlineLevel="2">
      <c r="A247" s="366"/>
      <c r="B247" s="562"/>
      <c r="C247" s="366"/>
      <c r="D247" s="454"/>
      <c r="E247" s="530">
        <f t="shared" si="148"/>
        <v>241</v>
      </c>
      <c r="F247" s="530">
        <f t="shared" si="140"/>
        <v>81</v>
      </c>
      <c r="G247" s="530">
        <f t="shared" si="141"/>
        <v>21</v>
      </c>
      <c r="H247" s="571">
        <f t="shared" si="154"/>
        <v>51135</v>
      </c>
      <c r="I247" s="532">
        <f t="shared" si="120"/>
        <v>2039</v>
      </c>
      <c r="K247" s="530">
        <f>[1]mProject!KB251</f>
        <v>0</v>
      </c>
      <c r="L247" s="530">
        <f t="shared" si="121"/>
        <v>950</v>
      </c>
      <c r="M247" s="530">
        <f t="shared" si="122"/>
        <v>295000</v>
      </c>
      <c r="N247" s="530">
        <f t="shared" si="123"/>
        <v>0</v>
      </c>
      <c r="O247" s="530">
        <f t="shared" si="142"/>
        <v>280250000</v>
      </c>
      <c r="P247" s="530">
        <f>[1]mProject!W251</f>
        <v>423409.99653922924</v>
      </c>
      <c r="Q247" s="530">
        <f t="shared" si="124"/>
        <v>0</v>
      </c>
      <c r="R247" s="530">
        <f t="shared" si="143"/>
        <v>296355280.38883054</v>
      </c>
      <c r="T247" s="530">
        <v>0</v>
      </c>
      <c r="U247" s="530">
        <f t="shared" si="125"/>
        <v>0</v>
      </c>
      <c r="V247" s="530">
        <f>IF(T247=0,0,$V$7*(1+#REF!)^#REF!)</f>
        <v>0</v>
      </c>
      <c r="W247" s="530">
        <f t="shared" si="144"/>
        <v>0</v>
      </c>
      <c r="X247" s="530">
        <f t="shared" si="126"/>
        <v>0</v>
      </c>
      <c r="Y247" s="530">
        <f t="shared" si="127"/>
        <v>0</v>
      </c>
      <c r="AA247" s="530">
        <v>0</v>
      </c>
      <c r="AB247" s="530">
        <f t="shared" si="128"/>
        <v>0</v>
      </c>
      <c r="AC247" s="530">
        <f>IF(AA247=0,0,$V$7*(1+#REF!)^#REF!)</f>
        <v>0</v>
      </c>
      <c r="AD247" s="530">
        <f t="shared" si="145"/>
        <v>0</v>
      </c>
      <c r="AE247" s="530">
        <f t="shared" si="129"/>
        <v>0</v>
      </c>
      <c r="AF247" s="530">
        <f t="shared" si="130"/>
        <v>0</v>
      </c>
      <c r="AH247" s="530">
        <f t="shared" si="131"/>
        <v>0</v>
      </c>
      <c r="AI247" s="530">
        <f t="shared" si="146"/>
        <v>950</v>
      </c>
      <c r="AJ247" s="530">
        <f t="shared" si="156"/>
        <v>0</v>
      </c>
      <c r="AK247" s="530">
        <f>AJ247*[1]mProject!V251</f>
        <v>0</v>
      </c>
      <c r="AL247" s="530">
        <f t="shared" si="132"/>
        <v>0</v>
      </c>
      <c r="AM247" s="530">
        <f t="shared" si="133"/>
        <v>0</v>
      </c>
      <c r="AN247" s="456"/>
      <c r="AO247" s="572" t="e">
        <f t="shared" si="149"/>
        <v>#REF!</v>
      </c>
      <c r="AP247" s="572" t="e">
        <f t="shared" si="153"/>
        <v>#REF!</v>
      </c>
      <c r="AQ247" s="572" t="e">
        <f t="shared" si="155"/>
        <v>#REF!</v>
      </c>
      <c r="AR247" s="573" t="e">
        <f t="shared" si="150"/>
        <v>#REF!</v>
      </c>
      <c r="AS247" s="530" t="e">
        <f t="shared" si="152"/>
        <v>#REF!</v>
      </c>
      <c r="AT247" s="530"/>
      <c r="AU247" s="530"/>
      <c r="AV247" s="530" t="e">
        <f t="shared" si="134"/>
        <v>#REF!</v>
      </c>
      <c r="AW247" s="530" t="e">
        <f>AI247*#REF!+AI246*#REF!+AI245*#REF!</f>
        <v>#REF!</v>
      </c>
      <c r="AX247" s="456"/>
      <c r="AY247" s="583">
        <f t="shared" si="147"/>
        <v>1.4938136040282335</v>
      </c>
      <c r="AZ247" s="530">
        <f t="shared" si="135"/>
        <v>0</v>
      </c>
      <c r="BA247" s="530">
        <f>BA246*[1]mProject!V252</f>
        <v>0</v>
      </c>
      <c r="BB247" s="530">
        <f t="shared" si="151"/>
        <v>17781316.823329829</v>
      </c>
      <c r="BC247" s="456"/>
      <c r="BD247" s="590">
        <f>((BB247/100)*(i_CFD.ObliRate/12))*[1]i.Finance!$O$64</f>
        <v>59826.722228495157</v>
      </c>
      <c r="BE247" s="590">
        <f>(AZ247/100*[1]i.Finance!$O$61)*[1]i.Finance!$O$64</f>
        <v>0</v>
      </c>
      <c r="BF247" s="590">
        <f>(AZ247/100*[1]i.Finance!$O$65)</f>
        <v>0</v>
      </c>
      <c r="BG247" s="591">
        <f t="shared" si="136"/>
        <v>59826.722228495157</v>
      </c>
      <c r="BH247" s="456"/>
      <c r="BI247" s="590">
        <f>-PV([1]i.Finance!$O$63/12,[1]i.Finance!$O$62*12,mCFD!BG247)</f>
        <v>10233961.918709608</v>
      </c>
      <c r="BJ247" s="590">
        <f>BI247*[1]i.Finance!$O$58</f>
        <v>8033660.1061870428</v>
      </c>
      <c r="BK247" s="590"/>
      <c r="BL247" s="590"/>
      <c r="BP247" s="530"/>
      <c r="BQ247" s="530"/>
      <c r="BR247" s="530" t="e">
        <f t="shared" si="137"/>
        <v>#NAME?</v>
      </c>
      <c r="BS247" s="530" t="e">
        <f t="shared" si="138"/>
        <v>#NAME?</v>
      </c>
      <c r="BT247" s="530" t="e">
        <f t="shared" si="139"/>
        <v>#NAME?</v>
      </c>
      <c r="BU247" s="530"/>
    </row>
    <row r="248" spans="1:73" ht="16" hidden="1" outlineLevel="2">
      <c r="A248" s="366"/>
      <c r="B248" s="562"/>
      <c r="C248" s="366"/>
      <c r="D248" s="454"/>
      <c r="E248" s="533">
        <f t="shared" si="148"/>
        <v>242</v>
      </c>
      <c r="F248" s="533">
        <f t="shared" si="140"/>
        <v>81</v>
      </c>
      <c r="G248" s="533">
        <f t="shared" si="141"/>
        <v>21</v>
      </c>
      <c r="H248" s="541">
        <f t="shared" si="154"/>
        <v>51166</v>
      </c>
      <c r="I248" s="542">
        <f t="shared" si="120"/>
        <v>2040</v>
      </c>
      <c r="K248" s="533">
        <f>[1]mProject!KB252</f>
        <v>0</v>
      </c>
      <c r="L248" s="533">
        <f t="shared" si="121"/>
        <v>950</v>
      </c>
      <c r="M248" s="533">
        <f t="shared" si="122"/>
        <v>295000</v>
      </c>
      <c r="N248" s="533">
        <f t="shared" si="123"/>
        <v>0</v>
      </c>
      <c r="O248" s="533">
        <f t="shared" si="142"/>
        <v>280250000</v>
      </c>
      <c r="P248" s="533">
        <f>[1]mProject!W252</f>
        <v>424115.67986679461</v>
      </c>
      <c r="Q248" s="533">
        <f t="shared" si="124"/>
        <v>0</v>
      </c>
      <c r="R248" s="533">
        <f t="shared" si="143"/>
        <v>296355280.38883054</v>
      </c>
      <c r="T248" s="533">
        <v>0</v>
      </c>
      <c r="U248" s="533">
        <f t="shared" si="125"/>
        <v>0</v>
      </c>
      <c r="V248" s="533">
        <f>IF(T248=0,0,$V$7*(1+#REF!)^#REF!)</f>
        <v>0</v>
      </c>
      <c r="W248" s="533">
        <f t="shared" si="144"/>
        <v>0</v>
      </c>
      <c r="X248" s="533">
        <f t="shared" si="126"/>
        <v>0</v>
      </c>
      <c r="Y248" s="533">
        <f t="shared" si="127"/>
        <v>0</v>
      </c>
      <c r="AA248" s="533">
        <v>0</v>
      </c>
      <c r="AB248" s="533">
        <f t="shared" si="128"/>
        <v>0</v>
      </c>
      <c r="AC248" s="533">
        <f>IF(AA248=0,0,$V$7*(1+#REF!)^#REF!)</f>
        <v>0</v>
      </c>
      <c r="AD248" s="533">
        <f t="shared" si="145"/>
        <v>0</v>
      </c>
      <c r="AE248" s="533">
        <f t="shared" si="129"/>
        <v>0</v>
      </c>
      <c r="AF248" s="533">
        <f t="shared" si="130"/>
        <v>0</v>
      </c>
      <c r="AH248" s="533">
        <f t="shared" si="131"/>
        <v>0</v>
      </c>
      <c r="AI248" s="533">
        <f t="shared" si="146"/>
        <v>950</v>
      </c>
      <c r="AJ248" s="533">
        <f t="shared" si="156"/>
        <v>0</v>
      </c>
      <c r="AK248" s="533">
        <f>AJ248*[1]mProject!V252</f>
        <v>0</v>
      </c>
      <c r="AL248" s="533">
        <f t="shared" si="132"/>
        <v>0</v>
      </c>
      <c r="AM248" s="533">
        <f t="shared" si="133"/>
        <v>0</v>
      </c>
      <c r="AN248" s="456"/>
      <c r="AO248" s="575" t="e">
        <f t="shared" si="149"/>
        <v>#REF!</v>
      </c>
      <c r="AP248" s="575" t="e">
        <f t="shared" si="153"/>
        <v>#REF!</v>
      </c>
      <c r="AQ248" s="575" t="e">
        <f t="shared" si="155"/>
        <v>#REF!</v>
      </c>
      <c r="AR248" s="576" t="e">
        <f t="shared" si="150"/>
        <v>#REF!</v>
      </c>
      <c r="AS248" s="533" t="e">
        <f t="shared" si="152"/>
        <v>#REF!</v>
      </c>
      <c r="AT248" s="533"/>
      <c r="AU248" s="533"/>
      <c r="AV248" s="533" t="e">
        <f t="shared" si="134"/>
        <v>#REF!</v>
      </c>
      <c r="AW248" s="533" t="e">
        <f>AI248*#REF!+AI247*#REF!+AI246*#REF!</f>
        <v>#REF!</v>
      </c>
      <c r="AX248" s="456"/>
      <c r="AY248" s="584">
        <f t="shared" si="147"/>
        <v>1.4963032933682805</v>
      </c>
      <c r="AZ248" s="533">
        <f t="shared" si="135"/>
        <v>0</v>
      </c>
      <c r="BA248" s="533">
        <f>BA247*[1]mProject!V253</f>
        <v>0</v>
      </c>
      <c r="BB248" s="533">
        <f t="shared" si="151"/>
        <v>17781316.823329829</v>
      </c>
      <c r="BC248" s="456"/>
      <c r="BD248" s="586">
        <f>((BB248/100)*(i_CFD.ObliRate/12))*[1]i.Finance!$O$64</f>
        <v>59826.722228495157</v>
      </c>
      <c r="BE248" s="586">
        <f>(AZ248/100*[1]i.Finance!$O$61)*[1]i.Finance!$O$64</f>
        <v>0</v>
      </c>
      <c r="BF248" s="586">
        <f>(AZ248/100*[1]i.Finance!$O$65)</f>
        <v>0</v>
      </c>
      <c r="BG248" s="587">
        <f t="shared" si="136"/>
        <v>59826.722228495157</v>
      </c>
      <c r="BH248" s="456"/>
      <c r="BI248" s="586">
        <f>-PV([1]i.Finance!$O$63/12,[1]i.Finance!$O$62*12,mCFD!BG248)</f>
        <v>10233961.918709608</v>
      </c>
      <c r="BJ248" s="586">
        <f>BI248*[1]i.Finance!$O$58</f>
        <v>8033660.1061870428</v>
      </c>
      <c r="BK248" s="586"/>
      <c r="BL248" s="586"/>
      <c r="BP248" s="533"/>
      <c r="BQ248" s="533"/>
      <c r="BR248" s="533" t="e">
        <f t="shared" si="137"/>
        <v>#NAME?</v>
      </c>
      <c r="BS248" s="533" t="e">
        <f t="shared" si="138"/>
        <v>#NAME?</v>
      </c>
      <c r="BT248" s="533" t="e">
        <f t="shared" si="139"/>
        <v>#NAME?</v>
      </c>
      <c r="BU248" s="533"/>
    </row>
    <row r="249" spans="1:73" ht="16" hidden="1" outlineLevel="2">
      <c r="A249" s="366"/>
      <c r="B249" s="562"/>
      <c r="C249" s="366"/>
      <c r="D249" s="454"/>
      <c r="E249" s="547">
        <f t="shared" si="148"/>
        <v>243</v>
      </c>
      <c r="F249" s="547">
        <f t="shared" si="140"/>
        <v>81</v>
      </c>
      <c r="G249" s="547">
        <f t="shared" si="141"/>
        <v>21</v>
      </c>
      <c r="H249" s="548">
        <f t="shared" si="154"/>
        <v>51195</v>
      </c>
      <c r="I249" s="549">
        <f t="shared" si="120"/>
        <v>2040</v>
      </c>
      <c r="K249" s="547">
        <f>[1]mProject!KB253</f>
        <v>0</v>
      </c>
      <c r="L249" s="547">
        <f t="shared" si="121"/>
        <v>950</v>
      </c>
      <c r="M249" s="547">
        <f t="shared" si="122"/>
        <v>295000</v>
      </c>
      <c r="N249" s="547">
        <f t="shared" si="123"/>
        <v>0</v>
      </c>
      <c r="O249" s="547">
        <f t="shared" si="142"/>
        <v>280250000</v>
      </c>
      <c r="P249" s="547">
        <f>[1]mProject!W253</f>
        <v>424822.53933323931</v>
      </c>
      <c r="Q249" s="547">
        <f t="shared" si="124"/>
        <v>0</v>
      </c>
      <c r="R249" s="547">
        <f t="shared" si="143"/>
        <v>296355280.38883054</v>
      </c>
      <c r="T249" s="547">
        <v>0</v>
      </c>
      <c r="U249" s="547">
        <f t="shared" si="125"/>
        <v>0</v>
      </c>
      <c r="V249" s="547">
        <f>IF(T249=0,0,$V$7*(1+#REF!)^#REF!)</f>
        <v>0</v>
      </c>
      <c r="W249" s="547">
        <f t="shared" si="144"/>
        <v>0</v>
      </c>
      <c r="X249" s="547">
        <f t="shared" si="126"/>
        <v>0</v>
      </c>
      <c r="Y249" s="547">
        <f t="shared" si="127"/>
        <v>0</v>
      </c>
      <c r="AA249" s="547">
        <v>0</v>
      </c>
      <c r="AB249" s="547">
        <f t="shared" si="128"/>
        <v>0</v>
      </c>
      <c r="AC249" s="547">
        <f>IF(AA249=0,0,$V$7*(1+#REF!)^#REF!)</f>
        <v>0</v>
      </c>
      <c r="AD249" s="547">
        <f t="shared" si="145"/>
        <v>0</v>
      </c>
      <c r="AE249" s="547">
        <f t="shared" si="129"/>
        <v>0</v>
      </c>
      <c r="AF249" s="547">
        <f t="shared" si="130"/>
        <v>0</v>
      </c>
      <c r="AH249" s="547">
        <f t="shared" si="131"/>
        <v>0</v>
      </c>
      <c r="AI249" s="547">
        <f t="shared" si="146"/>
        <v>950</v>
      </c>
      <c r="AJ249" s="547">
        <f t="shared" si="156"/>
        <v>0</v>
      </c>
      <c r="AK249" s="547">
        <f>AJ249*[1]mProject!V253</f>
        <v>0</v>
      </c>
      <c r="AL249" s="547">
        <f t="shared" si="132"/>
        <v>0</v>
      </c>
      <c r="AM249" s="547">
        <f t="shared" si="133"/>
        <v>0</v>
      </c>
      <c r="AN249" s="456"/>
      <c r="AO249" s="577" t="e">
        <f t="shared" si="149"/>
        <v>#REF!</v>
      </c>
      <c r="AP249" s="577" t="e">
        <f t="shared" si="153"/>
        <v>#REF!</v>
      </c>
      <c r="AQ249" s="577" t="e">
        <f t="shared" si="155"/>
        <v>#REF!</v>
      </c>
      <c r="AR249" s="578" t="e">
        <f t="shared" si="150"/>
        <v>#REF!</v>
      </c>
      <c r="AS249" s="547" t="e">
        <f t="shared" si="152"/>
        <v>#REF!</v>
      </c>
      <c r="AT249" s="547"/>
      <c r="AU249" s="547"/>
      <c r="AV249" s="547" t="e">
        <f t="shared" si="134"/>
        <v>#REF!</v>
      </c>
      <c r="AW249" s="547" t="e">
        <f>AI249*#REF!+AI248*#REF!+AI247*#REF!</f>
        <v>#REF!</v>
      </c>
      <c r="AX249" s="456"/>
      <c r="AY249" s="585">
        <f t="shared" si="147"/>
        <v>1.4987971321905611</v>
      </c>
      <c r="AZ249" s="547">
        <f t="shared" si="135"/>
        <v>0</v>
      </c>
      <c r="BA249" s="547">
        <f>BA248*[1]mProject!V254</f>
        <v>0</v>
      </c>
      <c r="BB249" s="547">
        <f t="shared" si="151"/>
        <v>17781316.823329829</v>
      </c>
      <c r="BC249" s="456"/>
      <c r="BD249" s="588">
        <f>((BB249/100)*(i_CFD.ObliRate/12))*[1]i.Finance!$O$64</f>
        <v>59826.722228495157</v>
      </c>
      <c r="BE249" s="588">
        <f>(AZ249/100*[1]i.Finance!$O$61)*[1]i.Finance!$O$64</f>
        <v>0</v>
      </c>
      <c r="BF249" s="588">
        <f>(AZ249/100*[1]i.Finance!$O$65)</f>
        <v>0</v>
      </c>
      <c r="BG249" s="589">
        <f t="shared" si="136"/>
        <v>59826.722228495157</v>
      </c>
      <c r="BH249" s="456"/>
      <c r="BI249" s="588">
        <f>-PV([1]i.Finance!$O$63/12,[1]i.Finance!$O$62*12,mCFD!BG249)</f>
        <v>10233961.918709608</v>
      </c>
      <c r="BJ249" s="588">
        <f>BI249*[1]i.Finance!$O$58</f>
        <v>8033660.1061870428</v>
      </c>
      <c r="BK249" s="588"/>
      <c r="BL249" s="588"/>
      <c r="BP249" s="547"/>
      <c r="BQ249" s="547"/>
      <c r="BR249" s="547" t="e">
        <f t="shared" si="137"/>
        <v>#NAME?</v>
      </c>
      <c r="BS249" s="547" t="e">
        <f t="shared" si="138"/>
        <v>#NAME?</v>
      </c>
      <c r="BT249" s="547" t="e">
        <f t="shared" si="139"/>
        <v>#NAME?</v>
      </c>
      <c r="BU249" s="547"/>
    </row>
    <row r="250" spans="1:73" ht="16" hidden="1" outlineLevel="2">
      <c r="A250" s="366"/>
      <c r="B250" s="562"/>
      <c r="C250" s="366"/>
      <c r="D250" s="454"/>
      <c r="E250" s="530">
        <f t="shared" si="148"/>
        <v>244</v>
      </c>
      <c r="F250" s="530">
        <f t="shared" si="140"/>
        <v>82</v>
      </c>
      <c r="G250" s="530">
        <f t="shared" si="141"/>
        <v>21</v>
      </c>
      <c r="H250" s="554">
        <f t="shared" si="154"/>
        <v>51226</v>
      </c>
      <c r="I250" s="555">
        <f t="shared" si="120"/>
        <v>2040</v>
      </c>
      <c r="K250" s="530">
        <f>[1]mProject!KB254</f>
        <v>0</v>
      </c>
      <c r="L250" s="530">
        <f t="shared" si="121"/>
        <v>950</v>
      </c>
      <c r="M250" s="530">
        <f t="shared" si="122"/>
        <v>295000</v>
      </c>
      <c r="N250" s="530">
        <f t="shared" si="123"/>
        <v>0</v>
      </c>
      <c r="O250" s="530">
        <f t="shared" si="142"/>
        <v>280250000</v>
      </c>
      <c r="P250" s="530">
        <f>[1]mProject!W254</f>
        <v>425530.57689879474</v>
      </c>
      <c r="Q250" s="530">
        <f t="shared" si="124"/>
        <v>0</v>
      </c>
      <c r="R250" s="530">
        <f t="shared" si="143"/>
        <v>296355280.38883054</v>
      </c>
      <c r="T250" s="530">
        <v>0</v>
      </c>
      <c r="U250" s="530">
        <f t="shared" si="125"/>
        <v>0</v>
      </c>
      <c r="V250" s="530">
        <f>IF(T250=0,0,$V$7*(1+#REF!)^#REF!)</f>
        <v>0</v>
      </c>
      <c r="W250" s="530">
        <f t="shared" si="144"/>
        <v>0</v>
      </c>
      <c r="X250" s="530">
        <f t="shared" si="126"/>
        <v>0</v>
      </c>
      <c r="Y250" s="530">
        <f t="shared" si="127"/>
        <v>0</v>
      </c>
      <c r="AA250" s="530">
        <v>0</v>
      </c>
      <c r="AB250" s="530">
        <f t="shared" si="128"/>
        <v>0</v>
      </c>
      <c r="AC250" s="530">
        <f>IF(AA250=0,0,$V$7*(1+#REF!)^#REF!)</f>
        <v>0</v>
      </c>
      <c r="AD250" s="530">
        <f t="shared" si="145"/>
        <v>0</v>
      </c>
      <c r="AE250" s="530">
        <f t="shared" si="129"/>
        <v>0</v>
      </c>
      <c r="AF250" s="530">
        <f t="shared" si="130"/>
        <v>0</v>
      </c>
      <c r="AH250" s="530">
        <f t="shared" si="131"/>
        <v>0</v>
      </c>
      <c r="AI250" s="530">
        <f t="shared" si="146"/>
        <v>950</v>
      </c>
      <c r="AJ250" s="530">
        <f t="shared" si="156"/>
        <v>0</v>
      </c>
      <c r="AK250" s="530">
        <f>AJ250*[1]mProject!V254</f>
        <v>0</v>
      </c>
      <c r="AL250" s="530">
        <f t="shared" si="132"/>
        <v>0</v>
      </c>
      <c r="AM250" s="530">
        <f t="shared" si="133"/>
        <v>0</v>
      </c>
      <c r="AN250" s="456"/>
      <c r="AO250" s="572" t="e">
        <f t="shared" si="149"/>
        <v>#REF!</v>
      </c>
      <c r="AP250" s="572" t="e">
        <f t="shared" si="153"/>
        <v>#REF!</v>
      </c>
      <c r="AQ250" s="572" t="e">
        <f t="shared" si="155"/>
        <v>#REF!</v>
      </c>
      <c r="AR250" s="573" t="e">
        <f t="shared" si="150"/>
        <v>#REF!</v>
      </c>
      <c r="AS250" s="530" t="e">
        <f t="shared" si="152"/>
        <v>#REF!</v>
      </c>
      <c r="AT250" s="530"/>
      <c r="AU250" s="530"/>
      <c r="AV250" s="530" t="e">
        <f t="shared" si="134"/>
        <v>#REF!</v>
      </c>
      <c r="AW250" s="530" t="e">
        <f>AI250*#REF!+AI249*#REF!+AI248*#REF!</f>
        <v>#REF!</v>
      </c>
      <c r="AX250" s="456"/>
      <c r="AY250" s="583">
        <f t="shared" si="147"/>
        <v>1.5012951274108788</v>
      </c>
      <c r="AZ250" s="530">
        <f t="shared" si="135"/>
        <v>0</v>
      </c>
      <c r="BA250" s="530">
        <f>BA249*[1]mProject!V255</f>
        <v>0</v>
      </c>
      <c r="BB250" s="530">
        <f t="shared" si="151"/>
        <v>17781316.823329829</v>
      </c>
      <c r="BC250" s="456"/>
      <c r="BD250" s="590">
        <f>((BB250/100)*(i_CFD.ObliRate/12))*[1]i.Finance!$O$64</f>
        <v>59826.722228495157</v>
      </c>
      <c r="BE250" s="590">
        <f>(AZ250/100*[1]i.Finance!$O$61)*[1]i.Finance!$O$64</f>
        <v>0</v>
      </c>
      <c r="BF250" s="590">
        <f>(AZ250/100*[1]i.Finance!$O$65)</f>
        <v>0</v>
      </c>
      <c r="BG250" s="591">
        <f t="shared" si="136"/>
        <v>59826.722228495157</v>
      </c>
      <c r="BH250" s="456"/>
      <c r="BI250" s="590">
        <f>-PV([1]i.Finance!$O$63/12,[1]i.Finance!$O$62*12,mCFD!BG250)</f>
        <v>10233961.918709608</v>
      </c>
      <c r="BJ250" s="590">
        <f>BI250*[1]i.Finance!$O$58</f>
        <v>8033660.1061870428</v>
      </c>
      <c r="BK250" s="590"/>
      <c r="BL250" s="590"/>
      <c r="BP250" s="530"/>
      <c r="BQ250" s="530"/>
      <c r="BR250" s="530" t="e">
        <f t="shared" si="137"/>
        <v>#NAME?</v>
      </c>
      <c r="BS250" s="530" t="e">
        <f t="shared" si="138"/>
        <v>#NAME?</v>
      </c>
      <c r="BT250" s="530" t="e">
        <f t="shared" si="139"/>
        <v>#NAME?</v>
      </c>
      <c r="BU250" s="530"/>
    </row>
    <row r="251" spans="1:73" ht="16" hidden="1" outlineLevel="2">
      <c r="A251" s="366"/>
      <c r="B251" s="562"/>
      <c r="C251" s="366"/>
      <c r="D251" s="454"/>
      <c r="E251" s="533">
        <f t="shared" si="148"/>
        <v>245</v>
      </c>
      <c r="F251" s="533">
        <f t="shared" si="140"/>
        <v>82</v>
      </c>
      <c r="G251" s="533">
        <f t="shared" si="141"/>
        <v>21</v>
      </c>
      <c r="H251" s="541">
        <f t="shared" si="154"/>
        <v>51256</v>
      </c>
      <c r="I251" s="542">
        <f t="shared" si="120"/>
        <v>2040</v>
      </c>
      <c r="K251" s="533">
        <f>[1]mProject!KB255</f>
        <v>0</v>
      </c>
      <c r="L251" s="533">
        <f t="shared" si="121"/>
        <v>950</v>
      </c>
      <c r="M251" s="533">
        <f t="shared" si="122"/>
        <v>295000</v>
      </c>
      <c r="N251" s="533">
        <f t="shared" si="123"/>
        <v>0</v>
      </c>
      <c r="O251" s="533">
        <f t="shared" si="142"/>
        <v>280250000</v>
      </c>
      <c r="P251" s="533">
        <f>[1]mProject!W255</f>
        <v>426239.79452695942</v>
      </c>
      <c r="Q251" s="533">
        <f t="shared" si="124"/>
        <v>0</v>
      </c>
      <c r="R251" s="533">
        <f t="shared" si="143"/>
        <v>296355280.38883054</v>
      </c>
      <c r="T251" s="533">
        <v>0</v>
      </c>
      <c r="U251" s="533">
        <f t="shared" si="125"/>
        <v>0</v>
      </c>
      <c r="V251" s="533">
        <f>IF(T251=0,0,$V$7*(1+#REF!)^#REF!)</f>
        <v>0</v>
      </c>
      <c r="W251" s="533">
        <f t="shared" si="144"/>
        <v>0</v>
      </c>
      <c r="X251" s="533">
        <f t="shared" si="126"/>
        <v>0</v>
      </c>
      <c r="Y251" s="533">
        <f t="shared" si="127"/>
        <v>0</v>
      </c>
      <c r="AA251" s="533">
        <v>0</v>
      </c>
      <c r="AB251" s="533">
        <f t="shared" si="128"/>
        <v>0</v>
      </c>
      <c r="AC251" s="533">
        <f>IF(AA251=0,0,$V$7*(1+#REF!)^#REF!)</f>
        <v>0</v>
      </c>
      <c r="AD251" s="533">
        <f t="shared" si="145"/>
        <v>0</v>
      </c>
      <c r="AE251" s="533">
        <f t="shared" si="129"/>
        <v>0</v>
      </c>
      <c r="AF251" s="533">
        <f t="shared" si="130"/>
        <v>0</v>
      </c>
      <c r="AH251" s="533">
        <f t="shared" si="131"/>
        <v>0</v>
      </c>
      <c r="AI251" s="533">
        <f t="shared" si="146"/>
        <v>950</v>
      </c>
      <c r="AJ251" s="533">
        <f t="shared" si="156"/>
        <v>0</v>
      </c>
      <c r="AK251" s="533">
        <f>AJ251*[1]mProject!V255</f>
        <v>0</v>
      </c>
      <c r="AL251" s="533">
        <f t="shared" si="132"/>
        <v>0</v>
      </c>
      <c r="AM251" s="533">
        <f t="shared" si="133"/>
        <v>0</v>
      </c>
      <c r="AN251" s="456"/>
      <c r="AO251" s="575" t="e">
        <f t="shared" si="149"/>
        <v>#REF!</v>
      </c>
      <c r="AP251" s="575" t="e">
        <f t="shared" si="153"/>
        <v>#REF!</v>
      </c>
      <c r="AQ251" s="575" t="e">
        <f t="shared" si="155"/>
        <v>#REF!</v>
      </c>
      <c r="AR251" s="576" t="e">
        <f t="shared" si="150"/>
        <v>#REF!</v>
      </c>
      <c r="AS251" s="533" t="e">
        <f t="shared" si="152"/>
        <v>#REF!</v>
      </c>
      <c r="AT251" s="533"/>
      <c r="AU251" s="533"/>
      <c r="AV251" s="533" t="e">
        <f t="shared" si="134"/>
        <v>#REF!</v>
      </c>
      <c r="AW251" s="533" t="e">
        <f>AI251*#REF!+AI250*#REF!+AI249*#REF!</f>
        <v>#REF!</v>
      </c>
      <c r="AX251" s="456"/>
      <c r="AY251" s="584">
        <f t="shared" si="147"/>
        <v>1.5037972859565636</v>
      </c>
      <c r="AZ251" s="533">
        <f t="shared" si="135"/>
        <v>0</v>
      </c>
      <c r="BA251" s="533">
        <f>BA250*[1]mProject!V256</f>
        <v>0</v>
      </c>
      <c r="BB251" s="533">
        <f t="shared" si="151"/>
        <v>17781316.823329829</v>
      </c>
      <c r="BC251" s="456"/>
      <c r="BD251" s="586">
        <f>((BB251/100)*(i_CFD.ObliRate/12))*[1]i.Finance!$O$64</f>
        <v>59826.722228495157</v>
      </c>
      <c r="BE251" s="586">
        <f>(AZ251/100*[1]i.Finance!$O$61)*[1]i.Finance!$O$64</f>
        <v>0</v>
      </c>
      <c r="BF251" s="586">
        <f>(AZ251/100*[1]i.Finance!$O$65)</f>
        <v>0</v>
      </c>
      <c r="BG251" s="587">
        <f t="shared" si="136"/>
        <v>59826.722228495157</v>
      </c>
      <c r="BH251" s="456"/>
      <c r="BI251" s="586">
        <f>-PV([1]i.Finance!$O$63/12,[1]i.Finance!$O$62*12,mCFD!BG251)</f>
        <v>10233961.918709608</v>
      </c>
      <c r="BJ251" s="586">
        <f>BI251*[1]i.Finance!$O$58</f>
        <v>8033660.1061870428</v>
      </c>
      <c r="BK251" s="586"/>
      <c r="BL251" s="586"/>
      <c r="BP251" s="533"/>
      <c r="BQ251" s="533"/>
      <c r="BR251" s="533" t="e">
        <f t="shared" si="137"/>
        <v>#NAME?</v>
      </c>
      <c r="BS251" s="533" t="e">
        <f t="shared" si="138"/>
        <v>#NAME?</v>
      </c>
      <c r="BT251" s="533" t="e">
        <f t="shared" si="139"/>
        <v>#NAME?</v>
      </c>
      <c r="BU251" s="533"/>
    </row>
    <row r="252" spans="1:73" ht="16" hidden="1" outlineLevel="2">
      <c r="A252" s="366"/>
      <c r="B252" s="562"/>
      <c r="C252" s="366"/>
      <c r="D252" s="454"/>
      <c r="E252" s="547">
        <f t="shared" si="148"/>
        <v>246</v>
      </c>
      <c r="F252" s="547">
        <f t="shared" si="140"/>
        <v>82</v>
      </c>
      <c r="G252" s="547">
        <f t="shared" si="141"/>
        <v>21</v>
      </c>
      <c r="H252" s="548">
        <f t="shared" si="154"/>
        <v>51287</v>
      </c>
      <c r="I252" s="549">
        <f t="shared" si="120"/>
        <v>2040</v>
      </c>
      <c r="K252" s="547">
        <f>[1]mProject!KB256</f>
        <v>0</v>
      </c>
      <c r="L252" s="547">
        <f t="shared" si="121"/>
        <v>950</v>
      </c>
      <c r="M252" s="547">
        <f t="shared" si="122"/>
        <v>295000</v>
      </c>
      <c r="N252" s="547">
        <f t="shared" si="123"/>
        <v>0</v>
      </c>
      <c r="O252" s="547">
        <f t="shared" si="142"/>
        <v>280250000</v>
      </c>
      <c r="P252" s="547">
        <f>[1]mProject!W256</f>
        <v>426950.19418450439</v>
      </c>
      <c r="Q252" s="547">
        <f t="shared" si="124"/>
        <v>0</v>
      </c>
      <c r="R252" s="547">
        <f t="shared" si="143"/>
        <v>296355280.38883054</v>
      </c>
      <c r="T252" s="547">
        <v>0</v>
      </c>
      <c r="U252" s="547">
        <f t="shared" si="125"/>
        <v>0</v>
      </c>
      <c r="V252" s="547">
        <f>IF(T252=0,0,$V$7*(1+#REF!)^#REF!)</f>
        <v>0</v>
      </c>
      <c r="W252" s="547">
        <f t="shared" si="144"/>
        <v>0</v>
      </c>
      <c r="X252" s="547">
        <f t="shared" si="126"/>
        <v>0</v>
      </c>
      <c r="Y252" s="547">
        <f t="shared" si="127"/>
        <v>0</v>
      </c>
      <c r="AA252" s="547">
        <v>0</v>
      </c>
      <c r="AB252" s="547">
        <f t="shared" si="128"/>
        <v>0</v>
      </c>
      <c r="AC252" s="547">
        <f>IF(AA252=0,0,$V$7*(1+#REF!)^#REF!)</f>
        <v>0</v>
      </c>
      <c r="AD252" s="547">
        <f t="shared" si="145"/>
        <v>0</v>
      </c>
      <c r="AE252" s="547">
        <f t="shared" si="129"/>
        <v>0</v>
      </c>
      <c r="AF252" s="547">
        <f t="shared" si="130"/>
        <v>0</v>
      </c>
      <c r="AH252" s="547">
        <f t="shared" si="131"/>
        <v>0</v>
      </c>
      <c r="AI252" s="547">
        <f t="shared" si="146"/>
        <v>950</v>
      </c>
      <c r="AJ252" s="547">
        <f t="shared" si="156"/>
        <v>0</v>
      </c>
      <c r="AK252" s="547">
        <f>AJ252*[1]mProject!V256</f>
        <v>0</v>
      </c>
      <c r="AL252" s="547">
        <f t="shared" si="132"/>
        <v>0</v>
      </c>
      <c r="AM252" s="547">
        <f t="shared" si="133"/>
        <v>0</v>
      </c>
      <c r="AN252" s="456"/>
      <c r="AO252" s="577" t="e">
        <f t="shared" si="149"/>
        <v>#REF!</v>
      </c>
      <c r="AP252" s="577" t="e">
        <f t="shared" si="153"/>
        <v>#REF!</v>
      </c>
      <c r="AQ252" s="577" t="e">
        <f t="shared" si="155"/>
        <v>#REF!</v>
      </c>
      <c r="AR252" s="578" t="e">
        <f t="shared" si="150"/>
        <v>#REF!</v>
      </c>
      <c r="AS252" s="547" t="e">
        <f t="shared" si="152"/>
        <v>#REF!</v>
      </c>
      <c r="AT252" s="547"/>
      <c r="AU252" s="547"/>
      <c r="AV252" s="547" t="e">
        <f t="shared" si="134"/>
        <v>#REF!</v>
      </c>
      <c r="AW252" s="547" t="e">
        <f>AI252*#REF!+AI251*#REF!+AI250*#REF!</f>
        <v>#REF!</v>
      </c>
      <c r="AX252" s="456"/>
      <c r="AY252" s="585">
        <f t="shared" si="147"/>
        <v>1.5063036147664912</v>
      </c>
      <c r="AZ252" s="547">
        <f t="shared" si="135"/>
        <v>0</v>
      </c>
      <c r="BA252" s="547">
        <f>BA251*[1]mProject!V257</f>
        <v>0</v>
      </c>
      <c r="BB252" s="547">
        <f t="shared" si="151"/>
        <v>17781316.823329829</v>
      </c>
      <c r="BC252" s="456"/>
      <c r="BD252" s="588">
        <f>((BB252/100)*(i_CFD.ObliRate/12))*[1]i.Finance!$O$64</f>
        <v>59826.722228495157</v>
      </c>
      <c r="BE252" s="588">
        <f>(AZ252/100*[1]i.Finance!$O$61)*[1]i.Finance!$O$64</f>
        <v>0</v>
      </c>
      <c r="BF252" s="588">
        <f>(AZ252/100*[1]i.Finance!$O$65)</f>
        <v>0</v>
      </c>
      <c r="BG252" s="589">
        <f t="shared" si="136"/>
        <v>59826.722228495157</v>
      </c>
      <c r="BH252" s="456"/>
      <c r="BI252" s="588">
        <f>-PV([1]i.Finance!$O$63/12,[1]i.Finance!$O$62*12,mCFD!BG252)</f>
        <v>10233961.918709608</v>
      </c>
      <c r="BJ252" s="588">
        <f>BI252*[1]i.Finance!$O$58</f>
        <v>8033660.1061870428</v>
      </c>
      <c r="BK252" s="588"/>
      <c r="BL252" s="588"/>
      <c r="BP252" s="547"/>
      <c r="BQ252" s="547"/>
      <c r="BR252" s="547" t="e">
        <f t="shared" si="137"/>
        <v>#NAME?</v>
      </c>
      <c r="BS252" s="547" t="e">
        <f t="shared" si="138"/>
        <v>#NAME?</v>
      </c>
      <c r="BT252" s="547" t="e">
        <f t="shared" si="139"/>
        <v>#NAME?</v>
      </c>
      <c r="BU252" s="547"/>
    </row>
    <row r="253" spans="1:73" ht="16" hidden="1" outlineLevel="2">
      <c r="A253" s="366"/>
      <c r="B253" s="562"/>
      <c r="C253" s="366"/>
      <c r="D253" s="454"/>
      <c r="E253" s="530">
        <f t="shared" si="148"/>
        <v>247</v>
      </c>
      <c r="F253" s="530">
        <f t="shared" si="140"/>
        <v>83</v>
      </c>
      <c r="G253" s="530">
        <f t="shared" si="141"/>
        <v>21</v>
      </c>
      <c r="H253" s="554">
        <f t="shared" si="154"/>
        <v>51317</v>
      </c>
      <c r="I253" s="555">
        <f t="shared" si="120"/>
        <v>2040</v>
      </c>
      <c r="K253" s="530">
        <f>[1]mProject!KB257</f>
        <v>0</v>
      </c>
      <c r="L253" s="530">
        <f t="shared" si="121"/>
        <v>950</v>
      </c>
      <c r="M253" s="530">
        <f t="shared" si="122"/>
        <v>295000</v>
      </c>
      <c r="N253" s="530">
        <f t="shared" si="123"/>
        <v>0</v>
      </c>
      <c r="O253" s="530">
        <f t="shared" si="142"/>
        <v>280250000</v>
      </c>
      <c r="P253" s="530">
        <f>[1]mProject!W257</f>
        <v>427661.77784147859</v>
      </c>
      <c r="Q253" s="530">
        <f t="shared" si="124"/>
        <v>0</v>
      </c>
      <c r="R253" s="530">
        <f t="shared" si="143"/>
        <v>296355280.38883054</v>
      </c>
      <c r="T253" s="530">
        <v>0</v>
      </c>
      <c r="U253" s="530">
        <f t="shared" si="125"/>
        <v>0</v>
      </c>
      <c r="V253" s="530">
        <f>IF(T253=0,0,$V$7*(1+#REF!)^#REF!)</f>
        <v>0</v>
      </c>
      <c r="W253" s="530">
        <f t="shared" si="144"/>
        <v>0</v>
      </c>
      <c r="X253" s="530">
        <f t="shared" si="126"/>
        <v>0</v>
      </c>
      <c r="Y253" s="530">
        <f t="shared" si="127"/>
        <v>0</v>
      </c>
      <c r="AA253" s="530">
        <v>0</v>
      </c>
      <c r="AB253" s="530">
        <f t="shared" si="128"/>
        <v>0</v>
      </c>
      <c r="AC253" s="530">
        <f>IF(AA253=0,0,$V$7*(1+#REF!)^#REF!)</f>
        <v>0</v>
      </c>
      <c r="AD253" s="530">
        <f t="shared" si="145"/>
        <v>0</v>
      </c>
      <c r="AE253" s="530">
        <f t="shared" si="129"/>
        <v>0</v>
      </c>
      <c r="AF253" s="530">
        <f t="shared" si="130"/>
        <v>0</v>
      </c>
      <c r="AH253" s="530">
        <f t="shared" si="131"/>
        <v>0</v>
      </c>
      <c r="AI253" s="530">
        <f t="shared" si="146"/>
        <v>950</v>
      </c>
      <c r="AJ253" s="530">
        <f t="shared" si="156"/>
        <v>0</v>
      </c>
      <c r="AK253" s="530">
        <f>AJ253*[1]mProject!V257</f>
        <v>0</v>
      </c>
      <c r="AL253" s="530">
        <f t="shared" si="132"/>
        <v>0</v>
      </c>
      <c r="AM253" s="530">
        <f t="shared" si="133"/>
        <v>0</v>
      </c>
      <c r="AN253" s="456"/>
      <c r="AO253" s="572" t="e">
        <f t="shared" si="149"/>
        <v>#REF!</v>
      </c>
      <c r="AP253" s="572" t="e">
        <f t="shared" si="153"/>
        <v>#REF!</v>
      </c>
      <c r="AQ253" s="572" t="e">
        <f t="shared" si="155"/>
        <v>#REF!</v>
      </c>
      <c r="AR253" s="573" t="e">
        <f t="shared" si="150"/>
        <v>#REF!</v>
      </c>
      <c r="AS253" s="530" t="e">
        <f t="shared" si="152"/>
        <v>#REF!</v>
      </c>
      <c r="AT253" s="530"/>
      <c r="AU253" s="530"/>
      <c r="AV253" s="530" t="e">
        <f t="shared" si="134"/>
        <v>#REF!</v>
      </c>
      <c r="AW253" s="530" t="e">
        <f>AI253*#REF!+AI252*#REF!+AI251*#REF!</f>
        <v>#REF!</v>
      </c>
      <c r="AX253" s="456"/>
      <c r="AY253" s="583">
        <f t="shared" si="147"/>
        <v>1.5088141207911021</v>
      </c>
      <c r="AZ253" s="530">
        <f t="shared" si="135"/>
        <v>0</v>
      </c>
      <c r="BA253" s="530">
        <f>BA252*[1]mProject!V258</f>
        <v>0</v>
      </c>
      <c r="BB253" s="530">
        <f t="shared" si="151"/>
        <v>17781316.823329829</v>
      </c>
      <c r="BC253" s="456"/>
      <c r="BD253" s="590">
        <f>((BB253/100)*(i_CFD.ObliRate/12))*[1]i.Finance!$O$64</f>
        <v>59826.722228495157</v>
      </c>
      <c r="BE253" s="590">
        <f>(AZ253/100*[1]i.Finance!$O$61)*[1]i.Finance!$O$64</f>
        <v>0</v>
      </c>
      <c r="BF253" s="590">
        <f>(AZ253/100*[1]i.Finance!$O$65)</f>
        <v>0</v>
      </c>
      <c r="BG253" s="591">
        <f t="shared" si="136"/>
        <v>59826.722228495157</v>
      </c>
      <c r="BH253" s="456"/>
      <c r="BI253" s="590">
        <f>-PV([1]i.Finance!$O$63/12,[1]i.Finance!$O$62*12,mCFD!BG253)</f>
        <v>10233961.918709608</v>
      </c>
      <c r="BJ253" s="590">
        <f>BI253*[1]i.Finance!$O$58</f>
        <v>8033660.1061870428</v>
      </c>
      <c r="BK253" s="590"/>
      <c r="BL253" s="590"/>
      <c r="BP253" s="530"/>
      <c r="BQ253" s="530"/>
      <c r="BR253" s="530" t="e">
        <f t="shared" si="137"/>
        <v>#NAME?</v>
      </c>
      <c r="BS253" s="530" t="e">
        <f t="shared" si="138"/>
        <v>#NAME?</v>
      </c>
      <c r="BT253" s="530" t="e">
        <f t="shared" si="139"/>
        <v>#NAME?</v>
      </c>
      <c r="BU253" s="530"/>
    </row>
    <row r="254" spans="1:73" ht="16" hidden="1" outlineLevel="2">
      <c r="A254" s="366"/>
      <c r="B254" s="562"/>
      <c r="C254" s="366"/>
      <c r="D254" s="454"/>
      <c r="E254" s="533">
        <f t="shared" si="148"/>
        <v>248</v>
      </c>
      <c r="F254" s="533">
        <f t="shared" si="140"/>
        <v>83</v>
      </c>
      <c r="G254" s="533">
        <f t="shared" si="141"/>
        <v>21</v>
      </c>
      <c r="H254" s="541">
        <f t="shared" si="154"/>
        <v>51348</v>
      </c>
      <c r="I254" s="542">
        <f t="shared" si="120"/>
        <v>2040</v>
      </c>
      <c r="K254" s="533">
        <f>[1]mProject!KB258</f>
        <v>0</v>
      </c>
      <c r="L254" s="533">
        <f t="shared" si="121"/>
        <v>950</v>
      </c>
      <c r="M254" s="533">
        <f t="shared" si="122"/>
        <v>295000</v>
      </c>
      <c r="N254" s="533">
        <f t="shared" si="123"/>
        <v>0</v>
      </c>
      <c r="O254" s="533">
        <f t="shared" si="142"/>
        <v>280250000</v>
      </c>
      <c r="P254" s="533">
        <f>[1]mProject!W258</f>
        <v>428374.54747121438</v>
      </c>
      <c r="Q254" s="533">
        <f t="shared" si="124"/>
        <v>0</v>
      </c>
      <c r="R254" s="533">
        <f t="shared" si="143"/>
        <v>296355280.38883054</v>
      </c>
      <c r="T254" s="533">
        <v>0</v>
      </c>
      <c r="U254" s="533">
        <f t="shared" si="125"/>
        <v>0</v>
      </c>
      <c r="V254" s="533">
        <f>IF(T254=0,0,$V$7*(1+#REF!)^#REF!)</f>
        <v>0</v>
      </c>
      <c r="W254" s="533">
        <f t="shared" si="144"/>
        <v>0</v>
      </c>
      <c r="X254" s="533">
        <f t="shared" si="126"/>
        <v>0</v>
      </c>
      <c r="Y254" s="533">
        <f t="shared" si="127"/>
        <v>0</v>
      </c>
      <c r="AA254" s="533">
        <v>0</v>
      </c>
      <c r="AB254" s="533">
        <f t="shared" si="128"/>
        <v>0</v>
      </c>
      <c r="AC254" s="533">
        <f>IF(AA254=0,0,$V$7*(1+#REF!)^#REF!)</f>
        <v>0</v>
      </c>
      <c r="AD254" s="533">
        <f t="shared" si="145"/>
        <v>0</v>
      </c>
      <c r="AE254" s="533">
        <f t="shared" si="129"/>
        <v>0</v>
      </c>
      <c r="AF254" s="533">
        <f t="shared" si="130"/>
        <v>0</v>
      </c>
      <c r="AH254" s="533">
        <f t="shared" si="131"/>
        <v>0</v>
      </c>
      <c r="AI254" s="533">
        <f t="shared" si="146"/>
        <v>950</v>
      </c>
      <c r="AJ254" s="533">
        <f t="shared" si="156"/>
        <v>0</v>
      </c>
      <c r="AK254" s="533">
        <f>AJ254*[1]mProject!V258</f>
        <v>0</v>
      </c>
      <c r="AL254" s="533">
        <f t="shared" si="132"/>
        <v>0</v>
      </c>
      <c r="AM254" s="533">
        <f t="shared" si="133"/>
        <v>0</v>
      </c>
      <c r="AN254" s="456"/>
      <c r="AO254" s="575" t="e">
        <f t="shared" si="149"/>
        <v>#REF!</v>
      </c>
      <c r="AP254" s="575" t="e">
        <f t="shared" si="153"/>
        <v>#REF!</v>
      </c>
      <c r="AQ254" s="575" t="e">
        <f t="shared" si="155"/>
        <v>#REF!</v>
      </c>
      <c r="AR254" s="576" t="e">
        <f t="shared" si="150"/>
        <v>#REF!</v>
      </c>
      <c r="AS254" s="533" t="e">
        <f t="shared" si="152"/>
        <v>#REF!</v>
      </c>
      <c r="AT254" s="533"/>
      <c r="AU254" s="533"/>
      <c r="AV254" s="533" t="e">
        <f t="shared" si="134"/>
        <v>#REF!</v>
      </c>
      <c r="AW254" s="533" t="e">
        <f>AI254*#REF!+AI253*#REF!+AI252*#REF!</f>
        <v>#REF!</v>
      </c>
      <c r="AX254" s="456"/>
      <c r="AY254" s="584">
        <f t="shared" si="147"/>
        <v>1.5113288109924208</v>
      </c>
      <c r="AZ254" s="533">
        <f t="shared" si="135"/>
        <v>0</v>
      </c>
      <c r="BA254" s="533">
        <f>BA253*[1]mProject!V259</f>
        <v>0</v>
      </c>
      <c r="BB254" s="533">
        <f t="shared" si="151"/>
        <v>17781316.823329829</v>
      </c>
      <c r="BC254" s="456"/>
      <c r="BD254" s="586">
        <f>((BB254/100)*(i_CFD.ObliRate/12))*[1]i.Finance!$O$64</f>
        <v>59826.722228495157</v>
      </c>
      <c r="BE254" s="586">
        <f>(AZ254/100*[1]i.Finance!$O$61)*[1]i.Finance!$O$64</f>
        <v>0</v>
      </c>
      <c r="BF254" s="586">
        <f>(AZ254/100*[1]i.Finance!$O$65)</f>
        <v>0</v>
      </c>
      <c r="BG254" s="587">
        <f t="shared" si="136"/>
        <v>59826.722228495157</v>
      </c>
      <c r="BH254" s="456"/>
      <c r="BI254" s="586">
        <f>-PV([1]i.Finance!$O$63/12,[1]i.Finance!$O$62*12,mCFD!BG254)</f>
        <v>10233961.918709608</v>
      </c>
      <c r="BJ254" s="586">
        <f>BI254*[1]i.Finance!$O$58</f>
        <v>8033660.1061870428</v>
      </c>
      <c r="BK254" s="586"/>
      <c r="BL254" s="586"/>
      <c r="BP254" s="533"/>
      <c r="BQ254" s="533"/>
      <c r="BR254" s="533" t="e">
        <f t="shared" si="137"/>
        <v>#NAME?</v>
      </c>
      <c r="BS254" s="533" t="e">
        <f t="shared" si="138"/>
        <v>#NAME?</v>
      </c>
      <c r="BT254" s="533" t="e">
        <f t="shared" si="139"/>
        <v>#NAME?</v>
      </c>
      <c r="BU254" s="533"/>
    </row>
    <row r="255" spans="1:73" ht="16" hidden="1" outlineLevel="2">
      <c r="A255" s="366"/>
      <c r="B255" s="562"/>
      <c r="C255" s="366"/>
      <c r="D255" s="454"/>
      <c r="E255" s="547">
        <f t="shared" si="148"/>
        <v>249</v>
      </c>
      <c r="F255" s="547">
        <f t="shared" si="140"/>
        <v>83</v>
      </c>
      <c r="G255" s="547">
        <f t="shared" si="141"/>
        <v>21</v>
      </c>
      <c r="H255" s="548">
        <f t="shared" si="154"/>
        <v>51379</v>
      </c>
      <c r="I255" s="549">
        <f t="shared" si="120"/>
        <v>2040</v>
      </c>
      <c r="K255" s="547">
        <f>[1]mProject!KB259</f>
        <v>0</v>
      </c>
      <c r="L255" s="547">
        <f t="shared" si="121"/>
        <v>950</v>
      </c>
      <c r="M255" s="547">
        <f t="shared" si="122"/>
        <v>295000</v>
      </c>
      <c r="N255" s="547">
        <f t="shared" si="123"/>
        <v>0</v>
      </c>
      <c r="O255" s="547">
        <f t="shared" si="142"/>
        <v>280250000</v>
      </c>
      <c r="P255" s="547">
        <f>[1]mProject!W259</f>
        <v>429088.5050503331</v>
      </c>
      <c r="Q255" s="547">
        <f t="shared" si="124"/>
        <v>0</v>
      </c>
      <c r="R255" s="547">
        <f t="shared" si="143"/>
        <v>296355280.38883054</v>
      </c>
      <c r="T255" s="547">
        <v>0</v>
      </c>
      <c r="U255" s="547">
        <f t="shared" si="125"/>
        <v>0</v>
      </c>
      <c r="V255" s="547">
        <f>IF(T255=0,0,$V$7*(1+#REF!)^#REF!)</f>
        <v>0</v>
      </c>
      <c r="W255" s="547">
        <f t="shared" si="144"/>
        <v>0</v>
      </c>
      <c r="X255" s="547">
        <f t="shared" si="126"/>
        <v>0</v>
      </c>
      <c r="Y255" s="547">
        <f t="shared" si="127"/>
        <v>0</v>
      </c>
      <c r="AA255" s="547">
        <v>0</v>
      </c>
      <c r="AB255" s="547">
        <f t="shared" si="128"/>
        <v>0</v>
      </c>
      <c r="AC255" s="547">
        <f>IF(AA255=0,0,$V$7*(1+#REF!)^#REF!)</f>
        <v>0</v>
      </c>
      <c r="AD255" s="547">
        <f t="shared" si="145"/>
        <v>0</v>
      </c>
      <c r="AE255" s="547">
        <f t="shared" si="129"/>
        <v>0</v>
      </c>
      <c r="AF255" s="547">
        <f t="shared" si="130"/>
        <v>0</v>
      </c>
      <c r="AH255" s="547">
        <f t="shared" si="131"/>
        <v>0</v>
      </c>
      <c r="AI255" s="547">
        <f t="shared" si="146"/>
        <v>950</v>
      </c>
      <c r="AJ255" s="547">
        <f t="shared" si="156"/>
        <v>0</v>
      </c>
      <c r="AK255" s="547">
        <f>AJ255*[1]mProject!V259</f>
        <v>0</v>
      </c>
      <c r="AL255" s="547">
        <f t="shared" si="132"/>
        <v>0</v>
      </c>
      <c r="AM255" s="547">
        <f t="shared" si="133"/>
        <v>0</v>
      </c>
      <c r="AN255" s="456"/>
      <c r="AO255" s="577" t="e">
        <f t="shared" si="149"/>
        <v>#REF!</v>
      </c>
      <c r="AP255" s="577" t="e">
        <f t="shared" si="153"/>
        <v>#REF!</v>
      </c>
      <c r="AQ255" s="577" t="e">
        <f t="shared" si="155"/>
        <v>#REF!</v>
      </c>
      <c r="AR255" s="578" t="e">
        <f t="shared" si="150"/>
        <v>#REF!</v>
      </c>
      <c r="AS255" s="547" t="e">
        <f t="shared" si="152"/>
        <v>#REF!</v>
      </c>
      <c r="AT255" s="547"/>
      <c r="AU255" s="547"/>
      <c r="AV255" s="547" t="e">
        <f t="shared" si="134"/>
        <v>#REF!</v>
      </c>
      <c r="AW255" s="547" t="e">
        <f>AI255*#REF!+AI254*#REF!+AI253*#REF!</f>
        <v>#REF!</v>
      </c>
      <c r="AX255" s="456"/>
      <c r="AY255" s="585">
        <f t="shared" si="147"/>
        <v>1.5138476923440749</v>
      </c>
      <c r="AZ255" s="547">
        <f t="shared" si="135"/>
        <v>0</v>
      </c>
      <c r="BA255" s="547">
        <f>BA254*[1]mProject!V260</f>
        <v>0</v>
      </c>
      <c r="BB255" s="547">
        <f t="shared" si="151"/>
        <v>17781316.823329829</v>
      </c>
      <c r="BC255" s="456"/>
      <c r="BD255" s="588">
        <f>((BB255/100)*(i_CFD.ObliRate/12))*[1]i.Finance!$O$64</f>
        <v>59826.722228495157</v>
      </c>
      <c r="BE255" s="588">
        <f>(AZ255/100*[1]i.Finance!$O$61)*[1]i.Finance!$O$64</f>
        <v>0</v>
      </c>
      <c r="BF255" s="588">
        <f>(AZ255/100*[1]i.Finance!$O$65)</f>
        <v>0</v>
      </c>
      <c r="BG255" s="589">
        <f t="shared" si="136"/>
        <v>59826.722228495157</v>
      </c>
      <c r="BH255" s="456"/>
      <c r="BI255" s="588">
        <f>-PV([1]i.Finance!$O$63/12,[1]i.Finance!$O$62*12,mCFD!BG255)</f>
        <v>10233961.918709608</v>
      </c>
      <c r="BJ255" s="588">
        <f>BI255*[1]i.Finance!$O$58</f>
        <v>8033660.1061870428</v>
      </c>
      <c r="BK255" s="588"/>
      <c r="BL255" s="588"/>
      <c r="BP255" s="547"/>
      <c r="BQ255" s="547"/>
      <c r="BR255" s="547" t="e">
        <f t="shared" si="137"/>
        <v>#NAME?</v>
      </c>
      <c r="BS255" s="547" t="e">
        <f t="shared" si="138"/>
        <v>#NAME?</v>
      </c>
      <c r="BT255" s="547" t="e">
        <f t="shared" si="139"/>
        <v>#NAME?</v>
      </c>
      <c r="BU255" s="547"/>
    </row>
    <row r="256" spans="1:73" ht="16" hidden="1" outlineLevel="2">
      <c r="A256" s="366"/>
      <c r="B256" s="562"/>
      <c r="C256" s="366"/>
      <c r="D256" s="454"/>
      <c r="E256" s="530">
        <f t="shared" si="148"/>
        <v>250</v>
      </c>
      <c r="F256" s="530">
        <f t="shared" si="140"/>
        <v>84</v>
      </c>
      <c r="G256" s="530">
        <f t="shared" si="141"/>
        <v>21</v>
      </c>
      <c r="H256" s="554">
        <f t="shared" si="154"/>
        <v>51409</v>
      </c>
      <c r="I256" s="555">
        <f t="shared" si="120"/>
        <v>2040</v>
      </c>
      <c r="K256" s="530">
        <f>[1]mProject!KB260</f>
        <v>0</v>
      </c>
      <c r="L256" s="530">
        <f t="shared" si="121"/>
        <v>950</v>
      </c>
      <c r="M256" s="530">
        <f t="shared" si="122"/>
        <v>295000</v>
      </c>
      <c r="N256" s="530">
        <f t="shared" si="123"/>
        <v>0</v>
      </c>
      <c r="O256" s="530">
        <f t="shared" si="142"/>
        <v>280250000</v>
      </c>
      <c r="P256" s="530">
        <f>[1]mProject!W260</f>
        <v>429803.65255875036</v>
      </c>
      <c r="Q256" s="530">
        <f t="shared" si="124"/>
        <v>0</v>
      </c>
      <c r="R256" s="530">
        <f t="shared" si="143"/>
        <v>296355280.38883054</v>
      </c>
      <c r="T256" s="530">
        <v>0</v>
      </c>
      <c r="U256" s="530">
        <f t="shared" si="125"/>
        <v>0</v>
      </c>
      <c r="V256" s="530">
        <f>IF(T256=0,0,$V$7*(1+#REF!)^#REF!)</f>
        <v>0</v>
      </c>
      <c r="W256" s="530">
        <f t="shared" si="144"/>
        <v>0</v>
      </c>
      <c r="X256" s="530">
        <f t="shared" si="126"/>
        <v>0</v>
      </c>
      <c r="Y256" s="530">
        <f t="shared" si="127"/>
        <v>0</v>
      </c>
      <c r="AA256" s="530">
        <v>0</v>
      </c>
      <c r="AB256" s="530">
        <f t="shared" si="128"/>
        <v>0</v>
      </c>
      <c r="AC256" s="530">
        <f>IF(AA256=0,0,$V$7*(1+#REF!)^#REF!)</f>
        <v>0</v>
      </c>
      <c r="AD256" s="530">
        <f t="shared" si="145"/>
        <v>0</v>
      </c>
      <c r="AE256" s="530">
        <f t="shared" si="129"/>
        <v>0</v>
      </c>
      <c r="AF256" s="530">
        <f t="shared" si="130"/>
        <v>0</v>
      </c>
      <c r="AH256" s="530">
        <f t="shared" si="131"/>
        <v>0</v>
      </c>
      <c r="AI256" s="530">
        <f t="shared" si="146"/>
        <v>950</v>
      </c>
      <c r="AJ256" s="530">
        <f t="shared" si="156"/>
        <v>0</v>
      </c>
      <c r="AK256" s="530">
        <f>AJ256*[1]mProject!V260</f>
        <v>0</v>
      </c>
      <c r="AL256" s="530">
        <f t="shared" si="132"/>
        <v>0</v>
      </c>
      <c r="AM256" s="530">
        <f t="shared" si="133"/>
        <v>0</v>
      </c>
      <c r="AN256" s="456"/>
      <c r="AO256" s="572" t="e">
        <f t="shared" si="149"/>
        <v>#REF!</v>
      </c>
      <c r="AP256" s="572" t="e">
        <f t="shared" si="153"/>
        <v>#REF!</v>
      </c>
      <c r="AQ256" s="572" t="e">
        <f t="shared" si="155"/>
        <v>#REF!</v>
      </c>
      <c r="AR256" s="573" t="e">
        <f t="shared" si="150"/>
        <v>#REF!</v>
      </c>
      <c r="AS256" s="530" t="e">
        <f t="shared" si="152"/>
        <v>#REF!</v>
      </c>
      <c r="AT256" s="530"/>
      <c r="AU256" s="530"/>
      <c r="AV256" s="530" t="e">
        <f t="shared" si="134"/>
        <v>#REF!</v>
      </c>
      <c r="AW256" s="530" t="e">
        <f>AI256*#REF!+AI255*#REF!+AI254*#REF!</f>
        <v>#REF!</v>
      </c>
      <c r="AX256" s="456"/>
      <c r="AY256" s="583">
        <f t="shared" si="147"/>
        <v>1.5163707718313151</v>
      </c>
      <c r="AZ256" s="530">
        <f t="shared" si="135"/>
        <v>0</v>
      </c>
      <c r="BA256" s="530">
        <f>BA255*[1]mProject!V261</f>
        <v>0</v>
      </c>
      <c r="BB256" s="530">
        <f t="shared" si="151"/>
        <v>17781316.823329829</v>
      </c>
      <c r="BC256" s="456"/>
      <c r="BD256" s="590">
        <f>((BB256/100)*(i_CFD.ObliRate/12))*[1]i.Finance!$O$64</f>
        <v>59826.722228495157</v>
      </c>
      <c r="BE256" s="590">
        <f>(AZ256/100*[1]i.Finance!$O$61)*[1]i.Finance!$O$64</f>
        <v>0</v>
      </c>
      <c r="BF256" s="590">
        <f>(AZ256/100*[1]i.Finance!$O$65)</f>
        <v>0</v>
      </c>
      <c r="BG256" s="591">
        <f t="shared" si="136"/>
        <v>59826.722228495157</v>
      </c>
      <c r="BH256" s="456"/>
      <c r="BI256" s="590">
        <f>-PV([1]i.Finance!$O$63/12,[1]i.Finance!$O$62*12,mCFD!BG256)</f>
        <v>10233961.918709608</v>
      </c>
      <c r="BJ256" s="590">
        <f>BI256*[1]i.Finance!$O$58</f>
        <v>8033660.1061870428</v>
      </c>
      <c r="BK256" s="590"/>
      <c r="BL256" s="590"/>
      <c r="BP256" s="530"/>
      <c r="BQ256" s="530"/>
      <c r="BR256" s="530" t="e">
        <f t="shared" si="137"/>
        <v>#NAME?</v>
      </c>
      <c r="BS256" s="530" t="e">
        <f t="shared" si="138"/>
        <v>#NAME?</v>
      </c>
      <c r="BT256" s="530" t="e">
        <f t="shared" si="139"/>
        <v>#NAME?</v>
      </c>
      <c r="BU256" s="530"/>
    </row>
    <row r="257" spans="1:73" ht="16" hidden="1" outlineLevel="2">
      <c r="A257" s="366"/>
      <c r="B257" s="562"/>
      <c r="C257" s="366"/>
      <c r="D257" s="454"/>
      <c r="E257" s="533">
        <f t="shared" si="148"/>
        <v>251</v>
      </c>
      <c r="F257" s="533">
        <f t="shared" si="140"/>
        <v>84</v>
      </c>
      <c r="G257" s="533">
        <f t="shared" si="141"/>
        <v>21</v>
      </c>
      <c r="H257" s="541">
        <f t="shared" si="154"/>
        <v>51440</v>
      </c>
      <c r="I257" s="542">
        <f t="shared" si="120"/>
        <v>2040</v>
      </c>
      <c r="K257" s="533">
        <f>[1]mProject!KB261</f>
        <v>0</v>
      </c>
      <c r="L257" s="533">
        <f t="shared" si="121"/>
        <v>950</v>
      </c>
      <c r="M257" s="533">
        <f t="shared" si="122"/>
        <v>295000</v>
      </c>
      <c r="N257" s="533">
        <f t="shared" si="123"/>
        <v>0</v>
      </c>
      <c r="O257" s="533">
        <f t="shared" si="142"/>
        <v>280250000</v>
      </c>
      <c r="P257" s="533">
        <f>[1]mProject!W261</f>
        <v>430519.9919796816</v>
      </c>
      <c r="Q257" s="533">
        <f t="shared" si="124"/>
        <v>0</v>
      </c>
      <c r="R257" s="533">
        <f t="shared" si="143"/>
        <v>296355280.38883054</v>
      </c>
      <c r="T257" s="533">
        <v>0</v>
      </c>
      <c r="U257" s="533">
        <f t="shared" si="125"/>
        <v>0</v>
      </c>
      <c r="V257" s="533">
        <f>IF(T257=0,0,$V$7*(1+#REF!)^#REF!)</f>
        <v>0</v>
      </c>
      <c r="W257" s="533">
        <f t="shared" si="144"/>
        <v>0</v>
      </c>
      <c r="X257" s="533">
        <f t="shared" si="126"/>
        <v>0</v>
      </c>
      <c r="Y257" s="533">
        <f t="shared" si="127"/>
        <v>0</v>
      </c>
      <c r="AA257" s="533">
        <v>0</v>
      </c>
      <c r="AB257" s="533">
        <f t="shared" si="128"/>
        <v>0</v>
      </c>
      <c r="AC257" s="533">
        <f>IF(AA257=0,0,$V$7*(1+#REF!)^#REF!)</f>
        <v>0</v>
      </c>
      <c r="AD257" s="533">
        <f t="shared" si="145"/>
        <v>0</v>
      </c>
      <c r="AE257" s="533">
        <f t="shared" si="129"/>
        <v>0</v>
      </c>
      <c r="AF257" s="533">
        <f t="shared" si="130"/>
        <v>0</v>
      </c>
      <c r="AH257" s="533">
        <f t="shared" si="131"/>
        <v>0</v>
      </c>
      <c r="AI257" s="533">
        <f t="shared" si="146"/>
        <v>950</v>
      </c>
      <c r="AJ257" s="533">
        <f t="shared" si="156"/>
        <v>0</v>
      </c>
      <c r="AK257" s="533">
        <f>AJ257*[1]mProject!V261</f>
        <v>0</v>
      </c>
      <c r="AL257" s="533">
        <f t="shared" si="132"/>
        <v>0</v>
      </c>
      <c r="AM257" s="533">
        <f t="shared" si="133"/>
        <v>0</v>
      </c>
      <c r="AN257" s="456"/>
      <c r="AO257" s="575" t="e">
        <f t="shared" si="149"/>
        <v>#REF!</v>
      </c>
      <c r="AP257" s="575" t="e">
        <f t="shared" si="153"/>
        <v>#REF!</v>
      </c>
      <c r="AQ257" s="575" t="e">
        <f t="shared" si="155"/>
        <v>#REF!</v>
      </c>
      <c r="AR257" s="576" t="e">
        <f t="shared" si="150"/>
        <v>#REF!</v>
      </c>
      <c r="AS257" s="533" t="e">
        <f t="shared" si="152"/>
        <v>#REF!</v>
      </c>
      <c r="AT257" s="533"/>
      <c r="AU257" s="533"/>
      <c r="AV257" s="533" t="e">
        <f t="shared" si="134"/>
        <v>#REF!</v>
      </c>
      <c r="AW257" s="533" t="e">
        <f>AI257*#REF!+AI256*#REF!+AI255*#REF!</f>
        <v>#REF!</v>
      </c>
      <c r="AX257" s="456"/>
      <c r="AY257" s="584">
        <f t="shared" si="147"/>
        <v>1.5188980564510339</v>
      </c>
      <c r="AZ257" s="533">
        <f t="shared" si="135"/>
        <v>0</v>
      </c>
      <c r="BA257" s="533">
        <f>BA256*[1]mProject!V262</f>
        <v>0</v>
      </c>
      <c r="BB257" s="533">
        <f t="shared" si="151"/>
        <v>17781316.823329829</v>
      </c>
      <c r="BC257" s="456"/>
      <c r="BD257" s="586">
        <f>((BB257/100)*(i_CFD.ObliRate/12))*[1]i.Finance!$O$64</f>
        <v>59826.722228495157</v>
      </c>
      <c r="BE257" s="586">
        <f>(AZ257/100*[1]i.Finance!$O$61)*[1]i.Finance!$O$64</f>
        <v>0</v>
      </c>
      <c r="BF257" s="586">
        <f>(AZ257/100*[1]i.Finance!$O$65)</f>
        <v>0</v>
      </c>
      <c r="BG257" s="587">
        <f t="shared" si="136"/>
        <v>59826.722228495157</v>
      </c>
      <c r="BH257" s="456"/>
      <c r="BI257" s="586">
        <f>-PV([1]i.Finance!$O$63/12,[1]i.Finance!$O$62*12,mCFD!BG257)</f>
        <v>10233961.918709608</v>
      </c>
      <c r="BJ257" s="586">
        <f>BI257*[1]i.Finance!$O$58</f>
        <v>8033660.1061870428</v>
      </c>
      <c r="BK257" s="586"/>
      <c r="BL257" s="586"/>
      <c r="BP257" s="533"/>
      <c r="BQ257" s="533"/>
      <c r="BR257" s="533" t="e">
        <f t="shared" si="137"/>
        <v>#NAME?</v>
      </c>
      <c r="BS257" s="533" t="e">
        <f t="shared" si="138"/>
        <v>#NAME?</v>
      </c>
      <c r="BT257" s="533" t="e">
        <f t="shared" si="139"/>
        <v>#NAME?</v>
      </c>
      <c r="BU257" s="533"/>
    </row>
    <row r="258" spans="1:73" ht="17" hidden="1" outlineLevel="2" thickBot="1">
      <c r="A258" s="366"/>
      <c r="B258" s="562"/>
      <c r="C258" s="366"/>
      <c r="D258" s="454"/>
      <c r="E258" s="564">
        <f t="shared" si="148"/>
        <v>252</v>
      </c>
      <c r="F258" s="564">
        <f t="shared" si="140"/>
        <v>84</v>
      </c>
      <c r="G258" s="564">
        <f t="shared" si="141"/>
        <v>21</v>
      </c>
      <c r="H258" s="565">
        <f t="shared" si="154"/>
        <v>51470</v>
      </c>
      <c r="I258" s="566">
        <f t="shared" si="120"/>
        <v>2040</v>
      </c>
      <c r="K258" s="564">
        <f>[1]mProject!KB262</f>
        <v>0</v>
      </c>
      <c r="L258" s="564">
        <f t="shared" si="121"/>
        <v>950</v>
      </c>
      <c r="M258" s="564">
        <f t="shared" si="122"/>
        <v>295000</v>
      </c>
      <c r="N258" s="564">
        <f t="shared" si="123"/>
        <v>0</v>
      </c>
      <c r="O258" s="564">
        <f t="shared" si="142"/>
        <v>280250000</v>
      </c>
      <c r="P258" s="564">
        <f>[1]mProject!W262</f>
        <v>431237.52529964776</v>
      </c>
      <c r="Q258" s="564">
        <f t="shared" si="124"/>
        <v>0</v>
      </c>
      <c r="R258" s="564">
        <f t="shared" si="143"/>
        <v>296355280.38883054</v>
      </c>
      <c r="T258" s="564">
        <v>0</v>
      </c>
      <c r="U258" s="564">
        <f t="shared" si="125"/>
        <v>0</v>
      </c>
      <c r="V258" s="564">
        <f>IF(T258=0,0,$V$7*(1+#REF!)^#REF!)</f>
        <v>0</v>
      </c>
      <c r="W258" s="564">
        <f t="shared" si="144"/>
        <v>0</v>
      </c>
      <c r="X258" s="564">
        <f t="shared" si="126"/>
        <v>0</v>
      </c>
      <c r="Y258" s="564">
        <f t="shared" si="127"/>
        <v>0</v>
      </c>
      <c r="AA258" s="564">
        <v>0</v>
      </c>
      <c r="AB258" s="564">
        <f t="shared" si="128"/>
        <v>0</v>
      </c>
      <c r="AC258" s="564">
        <f>IF(AA258=0,0,$V$7*(1+#REF!)^#REF!)</f>
        <v>0</v>
      </c>
      <c r="AD258" s="564">
        <f t="shared" si="145"/>
        <v>0</v>
      </c>
      <c r="AE258" s="564">
        <f t="shared" si="129"/>
        <v>0</v>
      </c>
      <c r="AF258" s="564">
        <f t="shared" si="130"/>
        <v>0</v>
      </c>
      <c r="AH258" s="564">
        <f t="shared" si="131"/>
        <v>0</v>
      </c>
      <c r="AI258" s="564">
        <f t="shared" si="146"/>
        <v>950</v>
      </c>
      <c r="AJ258" s="564">
        <f t="shared" si="156"/>
        <v>0</v>
      </c>
      <c r="AK258" s="564">
        <f>AJ258*[1]mProject!V262</f>
        <v>0</v>
      </c>
      <c r="AL258" s="564">
        <f t="shared" si="132"/>
        <v>0</v>
      </c>
      <c r="AM258" s="564">
        <f t="shared" si="133"/>
        <v>0</v>
      </c>
      <c r="AN258" s="456"/>
      <c r="AO258" s="581" t="e">
        <f t="shared" si="149"/>
        <v>#REF!</v>
      </c>
      <c r="AP258" s="581" t="e">
        <f t="shared" si="153"/>
        <v>#REF!</v>
      </c>
      <c r="AQ258" s="581" t="e">
        <f t="shared" si="155"/>
        <v>#REF!</v>
      </c>
      <c r="AR258" s="582" t="e">
        <f t="shared" si="150"/>
        <v>#REF!</v>
      </c>
      <c r="AS258" s="564" t="e">
        <f t="shared" si="152"/>
        <v>#REF!</v>
      </c>
      <c r="AT258" s="564"/>
      <c r="AU258" s="564"/>
      <c r="AV258" s="564" t="e">
        <f t="shared" si="134"/>
        <v>#REF!</v>
      </c>
      <c r="AW258" s="564" t="e">
        <f>AI258*#REF!+AI257*#REF!+AI256*#REF!</f>
        <v>#REF!</v>
      </c>
      <c r="AX258" s="456"/>
      <c r="AY258" s="592">
        <f t="shared" si="147"/>
        <v>1.5214295532117856</v>
      </c>
      <c r="AZ258" s="564">
        <f t="shared" si="135"/>
        <v>0</v>
      </c>
      <c r="BA258" s="564">
        <f>BA257*[1]mProject!V263</f>
        <v>0</v>
      </c>
      <c r="BB258" s="564">
        <f t="shared" si="151"/>
        <v>17781316.823329829</v>
      </c>
      <c r="BC258" s="456"/>
      <c r="BD258" s="593">
        <f>((BB258/100)*(i_CFD.ObliRate/12))*[1]i.Finance!$O$64</f>
        <v>59826.722228495157</v>
      </c>
      <c r="BE258" s="593">
        <f>(AZ258/100*[1]i.Finance!$O$61)*[1]i.Finance!$O$64</f>
        <v>0</v>
      </c>
      <c r="BF258" s="593">
        <f>(AZ258/100*[1]i.Finance!$O$65)</f>
        <v>0</v>
      </c>
      <c r="BG258" s="594">
        <f t="shared" si="136"/>
        <v>59826.722228495157</v>
      </c>
      <c r="BH258" s="456"/>
      <c r="BI258" s="593">
        <f>-PV([1]i.Finance!$O$63/12,[1]i.Finance!$O$62*12,mCFD!BG258)</f>
        <v>10233961.918709608</v>
      </c>
      <c r="BJ258" s="593">
        <f>BI258*[1]i.Finance!$O$58</f>
        <v>8033660.1061870428</v>
      </c>
      <c r="BK258" s="593"/>
      <c r="BL258" s="593"/>
      <c r="BP258" s="564"/>
      <c r="BQ258" s="564"/>
      <c r="BR258" s="564" t="e">
        <f t="shared" si="137"/>
        <v>#NAME?</v>
      </c>
      <c r="BS258" s="564" t="e">
        <f t="shared" si="138"/>
        <v>#NAME?</v>
      </c>
      <c r="BT258" s="564" t="e">
        <f t="shared" si="139"/>
        <v>#NAME?</v>
      </c>
      <c r="BU258" s="564"/>
    </row>
    <row r="259" spans="1:73" ht="16" hidden="1" outlineLevel="2">
      <c r="A259" s="366"/>
      <c r="B259" s="562"/>
      <c r="C259" s="366"/>
      <c r="D259" s="454"/>
      <c r="E259" s="530">
        <f t="shared" si="148"/>
        <v>253</v>
      </c>
      <c r="F259" s="530">
        <f t="shared" si="140"/>
        <v>85</v>
      </c>
      <c r="G259" s="530">
        <f t="shared" si="141"/>
        <v>22</v>
      </c>
      <c r="H259" s="571">
        <f t="shared" si="154"/>
        <v>51501</v>
      </c>
      <c r="I259" s="532">
        <f t="shared" si="120"/>
        <v>2040</v>
      </c>
      <c r="K259" s="530">
        <f>[1]mProject!KB263</f>
        <v>0</v>
      </c>
      <c r="L259" s="530">
        <f t="shared" si="121"/>
        <v>950</v>
      </c>
      <c r="M259" s="530">
        <f t="shared" si="122"/>
        <v>295000</v>
      </c>
      <c r="N259" s="530">
        <f t="shared" si="123"/>
        <v>0</v>
      </c>
      <c r="O259" s="530">
        <f t="shared" si="142"/>
        <v>280250000</v>
      </c>
      <c r="P259" s="530">
        <f>[1]mProject!W263</f>
        <v>431956.25450848055</v>
      </c>
      <c r="Q259" s="530">
        <f t="shared" si="124"/>
        <v>0</v>
      </c>
      <c r="R259" s="530">
        <f t="shared" si="143"/>
        <v>296355280.38883054</v>
      </c>
      <c r="T259" s="530">
        <v>0</v>
      </c>
      <c r="U259" s="530">
        <f t="shared" si="125"/>
        <v>0</v>
      </c>
      <c r="V259" s="530">
        <f>IF(T259=0,0,$V$7*(1+#REF!)^#REF!)</f>
        <v>0</v>
      </c>
      <c r="W259" s="530">
        <f t="shared" si="144"/>
        <v>0</v>
      </c>
      <c r="X259" s="530">
        <f t="shared" si="126"/>
        <v>0</v>
      </c>
      <c r="Y259" s="530">
        <f t="shared" si="127"/>
        <v>0</v>
      </c>
      <c r="AA259" s="530">
        <v>0</v>
      </c>
      <c r="AB259" s="530">
        <f t="shared" si="128"/>
        <v>0</v>
      </c>
      <c r="AC259" s="530">
        <f>IF(AA259=0,0,$V$7*(1+#REF!)^#REF!)</f>
        <v>0</v>
      </c>
      <c r="AD259" s="530">
        <f t="shared" si="145"/>
        <v>0</v>
      </c>
      <c r="AE259" s="530">
        <f t="shared" si="129"/>
        <v>0</v>
      </c>
      <c r="AF259" s="530">
        <f t="shared" si="130"/>
        <v>0</v>
      </c>
      <c r="AH259" s="530">
        <f t="shared" si="131"/>
        <v>0</v>
      </c>
      <c r="AI259" s="530">
        <f t="shared" si="146"/>
        <v>950</v>
      </c>
      <c r="AJ259" s="530">
        <f t="shared" si="156"/>
        <v>0</v>
      </c>
      <c r="AK259" s="530">
        <f>AJ259*[1]mProject!V263</f>
        <v>0</v>
      </c>
      <c r="AL259" s="530">
        <f t="shared" si="132"/>
        <v>0</v>
      </c>
      <c r="AM259" s="530">
        <f t="shared" si="133"/>
        <v>0</v>
      </c>
      <c r="AN259" s="456"/>
      <c r="AO259" s="572" t="e">
        <f t="shared" si="149"/>
        <v>#REF!</v>
      </c>
      <c r="AP259" s="572" t="e">
        <f t="shared" si="153"/>
        <v>#REF!</v>
      </c>
      <c r="AQ259" s="572" t="e">
        <f t="shared" si="155"/>
        <v>#REF!</v>
      </c>
      <c r="AR259" s="573" t="e">
        <f t="shared" si="150"/>
        <v>#REF!</v>
      </c>
      <c r="AS259" s="530" t="e">
        <f t="shared" si="152"/>
        <v>#REF!</v>
      </c>
      <c r="AT259" s="530"/>
      <c r="AU259" s="530"/>
      <c r="AV259" s="530" t="e">
        <f t="shared" si="134"/>
        <v>#REF!</v>
      </c>
      <c r="AW259" s="530" t="e">
        <f>AI259*#REF!+AI258*#REF!+AI257*#REF!</f>
        <v>#REF!</v>
      </c>
      <c r="AX259" s="456"/>
      <c r="AY259" s="583">
        <f t="shared" si="147"/>
        <v>1.5239652691338053</v>
      </c>
      <c r="AZ259" s="530">
        <f t="shared" si="135"/>
        <v>0</v>
      </c>
      <c r="BA259" s="530">
        <f>BA258*[1]mProject!V264</f>
        <v>0</v>
      </c>
      <c r="BB259" s="530">
        <f t="shared" si="151"/>
        <v>17781316.823329829</v>
      </c>
      <c r="BC259" s="456"/>
      <c r="BD259" s="590">
        <f>((BB259/100)*(i_CFD.ObliRate/12))*[1]i.Finance!$O$64</f>
        <v>59826.722228495157</v>
      </c>
      <c r="BE259" s="590">
        <f>(AZ259/100*[1]i.Finance!$O$61)*[1]i.Finance!$O$64</f>
        <v>0</v>
      </c>
      <c r="BF259" s="590">
        <f>(AZ259/100*[1]i.Finance!$O$65)</f>
        <v>0</v>
      </c>
      <c r="BG259" s="591">
        <f t="shared" si="136"/>
        <v>59826.722228495157</v>
      </c>
      <c r="BH259" s="456"/>
      <c r="BI259" s="590">
        <f>-PV([1]i.Finance!$O$63/12,[1]i.Finance!$O$62*12,mCFD!BG259)</f>
        <v>10233961.918709608</v>
      </c>
      <c r="BJ259" s="590">
        <f>BI259*[1]i.Finance!$O$58</f>
        <v>8033660.1061870428</v>
      </c>
      <c r="BK259" s="590"/>
      <c r="BL259" s="590"/>
      <c r="BP259" s="530"/>
      <c r="BQ259" s="530"/>
      <c r="BR259" s="530" t="e">
        <f t="shared" si="137"/>
        <v>#NAME?</v>
      </c>
      <c r="BS259" s="530" t="e">
        <f t="shared" si="138"/>
        <v>#NAME?</v>
      </c>
      <c r="BT259" s="530" t="e">
        <f t="shared" si="139"/>
        <v>#NAME?</v>
      </c>
      <c r="BU259" s="530"/>
    </row>
    <row r="260" spans="1:73" ht="16" hidden="1" outlineLevel="2">
      <c r="A260" s="366"/>
      <c r="B260" s="562"/>
      <c r="C260" s="366"/>
      <c r="D260" s="454"/>
      <c r="E260" s="533">
        <f t="shared" si="148"/>
        <v>254</v>
      </c>
      <c r="F260" s="533">
        <f t="shared" si="140"/>
        <v>85</v>
      </c>
      <c r="G260" s="533">
        <f t="shared" si="141"/>
        <v>22</v>
      </c>
      <c r="H260" s="541">
        <f t="shared" si="154"/>
        <v>51532</v>
      </c>
      <c r="I260" s="542">
        <f t="shared" si="120"/>
        <v>2041</v>
      </c>
      <c r="K260" s="533">
        <f>[1]mProject!KB264</f>
        <v>0</v>
      </c>
      <c r="L260" s="533">
        <f t="shared" si="121"/>
        <v>950</v>
      </c>
      <c r="M260" s="533">
        <f t="shared" si="122"/>
        <v>295000</v>
      </c>
      <c r="N260" s="533">
        <f t="shared" si="123"/>
        <v>0</v>
      </c>
      <c r="O260" s="533">
        <f t="shared" si="142"/>
        <v>280250000</v>
      </c>
      <c r="P260" s="533">
        <f>[1]mProject!W264</f>
        <v>432676.181599328</v>
      </c>
      <c r="Q260" s="533">
        <f t="shared" si="124"/>
        <v>0</v>
      </c>
      <c r="R260" s="533">
        <f t="shared" si="143"/>
        <v>296355280.38883054</v>
      </c>
      <c r="T260" s="533">
        <v>0</v>
      </c>
      <c r="U260" s="533">
        <f t="shared" si="125"/>
        <v>0</v>
      </c>
      <c r="V260" s="533">
        <f>IF(T260=0,0,$V$7*(1+#REF!)^#REF!)</f>
        <v>0</v>
      </c>
      <c r="W260" s="533">
        <f t="shared" si="144"/>
        <v>0</v>
      </c>
      <c r="X260" s="533">
        <f t="shared" si="126"/>
        <v>0</v>
      </c>
      <c r="Y260" s="533">
        <f t="shared" si="127"/>
        <v>0</v>
      </c>
      <c r="AA260" s="533">
        <v>0</v>
      </c>
      <c r="AB260" s="533">
        <f t="shared" si="128"/>
        <v>0</v>
      </c>
      <c r="AC260" s="533">
        <f>IF(AA260=0,0,$V$7*(1+#REF!)^#REF!)</f>
        <v>0</v>
      </c>
      <c r="AD260" s="533">
        <f t="shared" si="145"/>
        <v>0</v>
      </c>
      <c r="AE260" s="533">
        <f t="shared" si="129"/>
        <v>0</v>
      </c>
      <c r="AF260" s="533">
        <f t="shared" si="130"/>
        <v>0</v>
      </c>
      <c r="AH260" s="533">
        <f t="shared" si="131"/>
        <v>0</v>
      </c>
      <c r="AI260" s="533">
        <f t="shared" si="146"/>
        <v>950</v>
      </c>
      <c r="AJ260" s="533">
        <f t="shared" si="156"/>
        <v>0</v>
      </c>
      <c r="AK260" s="533">
        <f>AJ260*[1]mProject!V264</f>
        <v>0</v>
      </c>
      <c r="AL260" s="533">
        <f t="shared" si="132"/>
        <v>0</v>
      </c>
      <c r="AM260" s="533">
        <f t="shared" si="133"/>
        <v>0</v>
      </c>
      <c r="AN260" s="456"/>
      <c r="AO260" s="575" t="e">
        <f t="shared" si="149"/>
        <v>#REF!</v>
      </c>
      <c r="AP260" s="575" t="e">
        <f t="shared" si="153"/>
        <v>#REF!</v>
      </c>
      <c r="AQ260" s="575" t="e">
        <f t="shared" si="155"/>
        <v>#REF!</v>
      </c>
      <c r="AR260" s="576" t="e">
        <f t="shared" si="150"/>
        <v>#REF!</v>
      </c>
      <c r="AS260" s="533" t="e">
        <f t="shared" si="152"/>
        <v>#REF!</v>
      </c>
      <c r="AT260" s="533"/>
      <c r="AU260" s="533"/>
      <c r="AV260" s="533" t="e">
        <f t="shared" si="134"/>
        <v>#REF!</v>
      </c>
      <c r="AW260" s="533" t="e">
        <f>AI260*#REF!+AI259*#REF!+AI258*#REF!</f>
        <v>#REF!</v>
      </c>
      <c r="AX260" s="456"/>
      <c r="AY260" s="584">
        <f t="shared" si="147"/>
        <v>1.5265052112490283</v>
      </c>
      <c r="AZ260" s="533">
        <f t="shared" si="135"/>
        <v>0</v>
      </c>
      <c r="BA260" s="533">
        <f>BA259*[1]mProject!V265</f>
        <v>0</v>
      </c>
      <c r="BB260" s="533">
        <f t="shared" si="151"/>
        <v>17781316.823329829</v>
      </c>
      <c r="BC260" s="456"/>
      <c r="BD260" s="586">
        <f>((BB260/100)*(i_CFD.ObliRate/12))*[1]i.Finance!$O$64</f>
        <v>59826.722228495157</v>
      </c>
      <c r="BE260" s="586">
        <f>(AZ260/100*[1]i.Finance!$O$61)*[1]i.Finance!$O$64</f>
        <v>0</v>
      </c>
      <c r="BF260" s="586">
        <f>(AZ260/100*[1]i.Finance!$O$65)</f>
        <v>0</v>
      </c>
      <c r="BG260" s="587">
        <f t="shared" si="136"/>
        <v>59826.722228495157</v>
      </c>
      <c r="BH260" s="456"/>
      <c r="BI260" s="586">
        <f>-PV([1]i.Finance!$O$63/12,[1]i.Finance!$O$62*12,mCFD!BG260)</f>
        <v>10233961.918709608</v>
      </c>
      <c r="BJ260" s="586">
        <f>BI260*[1]i.Finance!$O$58</f>
        <v>8033660.1061870428</v>
      </c>
      <c r="BK260" s="586"/>
      <c r="BL260" s="586"/>
      <c r="BP260" s="533"/>
      <c r="BQ260" s="533"/>
      <c r="BR260" s="533" t="e">
        <f t="shared" si="137"/>
        <v>#NAME?</v>
      </c>
      <c r="BS260" s="533" t="e">
        <f t="shared" si="138"/>
        <v>#NAME?</v>
      </c>
      <c r="BT260" s="533" t="e">
        <f t="shared" si="139"/>
        <v>#NAME?</v>
      </c>
      <c r="BU260" s="533"/>
    </row>
    <row r="261" spans="1:73" ht="16" hidden="1" outlineLevel="2">
      <c r="A261" s="366"/>
      <c r="B261" s="562"/>
      <c r="C261" s="366"/>
      <c r="D261" s="454"/>
      <c r="E261" s="547">
        <f t="shared" si="148"/>
        <v>255</v>
      </c>
      <c r="F261" s="547">
        <f t="shared" si="140"/>
        <v>85</v>
      </c>
      <c r="G261" s="547">
        <f t="shared" si="141"/>
        <v>22</v>
      </c>
      <c r="H261" s="548">
        <f t="shared" si="154"/>
        <v>51560</v>
      </c>
      <c r="I261" s="549">
        <f t="shared" si="120"/>
        <v>2041</v>
      </c>
      <c r="K261" s="547">
        <f>[1]mProject!KB265</f>
        <v>0</v>
      </c>
      <c r="L261" s="547">
        <f t="shared" si="121"/>
        <v>950</v>
      </c>
      <c r="M261" s="547">
        <f t="shared" si="122"/>
        <v>295000</v>
      </c>
      <c r="N261" s="547">
        <f t="shared" si="123"/>
        <v>0</v>
      </c>
      <c r="O261" s="547">
        <f t="shared" si="142"/>
        <v>280250000</v>
      </c>
      <c r="P261" s="547">
        <f>[1]mProject!W265</f>
        <v>433397.30856866023</v>
      </c>
      <c r="Q261" s="547">
        <f t="shared" si="124"/>
        <v>0</v>
      </c>
      <c r="R261" s="547">
        <f t="shared" si="143"/>
        <v>296355280.38883054</v>
      </c>
      <c r="T261" s="547">
        <v>0</v>
      </c>
      <c r="U261" s="547">
        <f t="shared" si="125"/>
        <v>0</v>
      </c>
      <c r="V261" s="547">
        <f>IF(T261=0,0,$V$7*(1+#REF!)^#REF!)</f>
        <v>0</v>
      </c>
      <c r="W261" s="547">
        <f t="shared" si="144"/>
        <v>0</v>
      </c>
      <c r="X261" s="547">
        <f t="shared" si="126"/>
        <v>0</v>
      </c>
      <c r="Y261" s="547">
        <f t="shared" si="127"/>
        <v>0</v>
      </c>
      <c r="AA261" s="547">
        <v>0</v>
      </c>
      <c r="AB261" s="547">
        <f t="shared" si="128"/>
        <v>0</v>
      </c>
      <c r="AC261" s="547">
        <f>IF(AA261=0,0,$V$7*(1+#REF!)^#REF!)</f>
        <v>0</v>
      </c>
      <c r="AD261" s="547">
        <f t="shared" si="145"/>
        <v>0</v>
      </c>
      <c r="AE261" s="547">
        <f t="shared" si="129"/>
        <v>0</v>
      </c>
      <c r="AF261" s="547">
        <f t="shared" si="130"/>
        <v>0</v>
      </c>
      <c r="AH261" s="547">
        <f t="shared" si="131"/>
        <v>0</v>
      </c>
      <c r="AI261" s="547">
        <f t="shared" si="146"/>
        <v>950</v>
      </c>
      <c r="AJ261" s="547">
        <f t="shared" si="156"/>
        <v>0</v>
      </c>
      <c r="AK261" s="547">
        <f>AJ261*[1]mProject!V265</f>
        <v>0</v>
      </c>
      <c r="AL261" s="547">
        <f t="shared" si="132"/>
        <v>0</v>
      </c>
      <c r="AM261" s="547">
        <f t="shared" si="133"/>
        <v>0</v>
      </c>
      <c r="AN261" s="456"/>
      <c r="AO261" s="577" t="e">
        <f t="shared" si="149"/>
        <v>#REF!</v>
      </c>
      <c r="AP261" s="577" t="e">
        <f t="shared" si="153"/>
        <v>#REF!</v>
      </c>
      <c r="AQ261" s="577" t="e">
        <f t="shared" si="155"/>
        <v>#REF!</v>
      </c>
      <c r="AR261" s="578" t="e">
        <f t="shared" si="150"/>
        <v>#REF!</v>
      </c>
      <c r="AS261" s="547" t="e">
        <f t="shared" si="152"/>
        <v>#REF!</v>
      </c>
      <c r="AT261" s="547"/>
      <c r="AU261" s="547"/>
      <c r="AV261" s="547" t="e">
        <f t="shared" si="134"/>
        <v>#REF!</v>
      </c>
      <c r="AW261" s="547" t="e">
        <f>AI261*#REF!+AI260*#REF!+AI259*#REF!</f>
        <v>#REF!</v>
      </c>
      <c r="AX261" s="456"/>
      <c r="AY261" s="585">
        <f t="shared" si="147"/>
        <v>1.5290493866011101</v>
      </c>
      <c r="AZ261" s="547">
        <f t="shared" si="135"/>
        <v>0</v>
      </c>
      <c r="BA261" s="547">
        <f>BA260*[1]mProject!V266</f>
        <v>0</v>
      </c>
      <c r="BB261" s="547">
        <f t="shared" si="151"/>
        <v>17781316.823329829</v>
      </c>
      <c r="BC261" s="456"/>
      <c r="BD261" s="588">
        <f>((BB261/100)*(i_CFD.ObliRate/12))*[1]i.Finance!$O$64</f>
        <v>59826.722228495157</v>
      </c>
      <c r="BE261" s="588">
        <f>(AZ261/100*[1]i.Finance!$O$61)*[1]i.Finance!$O$64</f>
        <v>0</v>
      </c>
      <c r="BF261" s="588">
        <f>(AZ261/100*[1]i.Finance!$O$65)</f>
        <v>0</v>
      </c>
      <c r="BG261" s="589">
        <f t="shared" si="136"/>
        <v>59826.722228495157</v>
      </c>
      <c r="BH261" s="456"/>
      <c r="BI261" s="588">
        <f>-PV([1]i.Finance!$O$63/12,[1]i.Finance!$O$62*12,mCFD!BG261)</f>
        <v>10233961.918709608</v>
      </c>
      <c r="BJ261" s="588">
        <f>BI261*[1]i.Finance!$O$58</f>
        <v>8033660.1061870428</v>
      </c>
      <c r="BK261" s="588"/>
      <c r="BL261" s="588"/>
      <c r="BP261" s="547"/>
      <c r="BQ261" s="547"/>
      <c r="BR261" s="547" t="e">
        <f t="shared" si="137"/>
        <v>#NAME?</v>
      </c>
      <c r="BS261" s="547" t="e">
        <f t="shared" si="138"/>
        <v>#NAME?</v>
      </c>
      <c r="BT261" s="547" t="e">
        <f t="shared" si="139"/>
        <v>#NAME?</v>
      </c>
      <c r="BU261" s="547"/>
    </row>
    <row r="262" spans="1:73" ht="16" hidden="1" outlineLevel="2">
      <c r="A262" s="366"/>
      <c r="B262" s="562"/>
      <c r="C262" s="366"/>
      <c r="D262" s="454"/>
      <c r="E262" s="530">
        <f t="shared" si="148"/>
        <v>256</v>
      </c>
      <c r="F262" s="530">
        <f t="shared" si="140"/>
        <v>86</v>
      </c>
      <c r="G262" s="530">
        <f t="shared" si="141"/>
        <v>22</v>
      </c>
      <c r="H262" s="554">
        <f t="shared" si="154"/>
        <v>51591</v>
      </c>
      <c r="I262" s="555">
        <f t="shared" si="120"/>
        <v>2041</v>
      </c>
      <c r="K262" s="530">
        <f>[1]mProject!KB266</f>
        <v>0</v>
      </c>
      <c r="L262" s="530">
        <f t="shared" si="121"/>
        <v>950</v>
      </c>
      <c r="M262" s="530">
        <f t="shared" si="122"/>
        <v>295000</v>
      </c>
      <c r="N262" s="530">
        <f t="shared" si="123"/>
        <v>0</v>
      </c>
      <c r="O262" s="530">
        <f t="shared" si="142"/>
        <v>280250000</v>
      </c>
      <c r="P262" s="530">
        <f>[1]mProject!W266</f>
        <v>434119.63741627469</v>
      </c>
      <c r="Q262" s="530">
        <f t="shared" si="124"/>
        <v>0</v>
      </c>
      <c r="R262" s="530">
        <f t="shared" si="143"/>
        <v>296355280.38883054</v>
      </c>
      <c r="T262" s="530">
        <v>0</v>
      </c>
      <c r="U262" s="530">
        <f t="shared" si="125"/>
        <v>0</v>
      </c>
      <c r="V262" s="530">
        <f>IF(T262=0,0,$V$7*(1+#REF!)^#REF!)</f>
        <v>0</v>
      </c>
      <c r="W262" s="530">
        <f t="shared" si="144"/>
        <v>0</v>
      </c>
      <c r="X262" s="530">
        <f t="shared" si="126"/>
        <v>0</v>
      </c>
      <c r="Y262" s="530">
        <f t="shared" si="127"/>
        <v>0</v>
      </c>
      <c r="AA262" s="530">
        <v>0</v>
      </c>
      <c r="AB262" s="530">
        <f t="shared" si="128"/>
        <v>0</v>
      </c>
      <c r="AC262" s="530">
        <f>IF(AA262=0,0,$V$7*(1+#REF!)^#REF!)</f>
        <v>0</v>
      </c>
      <c r="AD262" s="530">
        <f t="shared" si="145"/>
        <v>0</v>
      </c>
      <c r="AE262" s="530">
        <f t="shared" si="129"/>
        <v>0</v>
      </c>
      <c r="AF262" s="530">
        <f t="shared" si="130"/>
        <v>0</v>
      </c>
      <c r="AH262" s="530">
        <f t="shared" si="131"/>
        <v>0</v>
      </c>
      <c r="AI262" s="530">
        <f t="shared" si="146"/>
        <v>950</v>
      </c>
      <c r="AJ262" s="530">
        <f t="shared" si="156"/>
        <v>0</v>
      </c>
      <c r="AK262" s="530">
        <f>AJ262*[1]mProject!V266</f>
        <v>0</v>
      </c>
      <c r="AL262" s="530">
        <f t="shared" si="132"/>
        <v>0</v>
      </c>
      <c r="AM262" s="530">
        <f t="shared" si="133"/>
        <v>0</v>
      </c>
      <c r="AN262" s="456"/>
      <c r="AO262" s="572" t="e">
        <f t="shared" si="149"/>
        <v>#REF!</v>
      </c>
      <c r="AP262" s="572" t="e">
        <f t="shared" si="153"/>
        <v>#REF!</v>
      </c>
      <c r="AQ262" s="572" t="e">
        <f t="shared" si="155"/>
        <v>#REF!</v>
      </c>
      <c r="AR262" s="573" t="e">
        <f t="shared" si="150"/>
        <v>#REF!</v>
      </c>
      <c r="AS262" s="530" t="e">
        <f t="shared" si="152"/>
        <v>#REF!</v>
      </c>
      <c r="AT262" s="530"/>
      <c r="AU262" s="530"/>
      <c r="AV262" s="530" t="e">
        <f t="shared" si="134"/>
        <v>#REF!</v>
      </c>
      <c r="AW262" s="530" t="e">
        <f>AI262*#REF!+AI261*#REF!+AI260*#REF!</f>
        <v>#REF!</v>
      </c>
      <c r="AX262" s="456"/>
      <c r="AY262" s="583">
        <f t="shared" si="147"/>
        <v>1.5315978022454453</v>
      </c>
      <c r="AZ262" s="530">
        <f t="shared" si="135"/>
        <v>0</v>
      </c>
      <c r="BA262" s="530">
        <f>BA261*[1]mProject!V267</f>
        <v>0</v>
      </c>
      <c r="BB262" s="530">
        <f t="shared" si="151"/>
        <v>17781316.823329829</v>
      </c>
      <c r="BC262" s="456"/>
      <c r="BD262" s="590">
        <f>((BB262/100)*(i_CFD.ObliRate/12))*[1]i.Finance!$O$64</f>
        <v>59826.722228495157</v>
      </c>
      <c r="BE262" s="590">
        <f>(AZ262/100*[1]i.Finance!$O$61)*[1]i.Finance!$O$64</f>
        <v>0</v>
      </c>
      <c r="BF262" s="590">
        <f>(AZ262/100*[1]i.Finance!$O$65)</f>
        <v>0</v>
      </c>
      <c r="BG262" s="591">
        <f t="shared" si="136"/>
        <v>59826.722228495157</v>
      </c>
      <c r="BH262" s="456"/>
      <c r="BI262" s="590">
        <f>-PV([1]i.Finance!$O$63/12,[1]i.Finance!$O$62*12,mCFD!BG262)</f>
        <v>10233961.918709608</v>
      </c>
      <c r="BJ262" s="590">
        <f>BI262*[1]i.Finance!$O$58</f>
        <v>8033660.1061870428</v>
      </c>
      <c r="BK262" s="590"/>
      <c r="BL262" s="590"/>
      <c r="BP262" s="530"/>
      <c r="BQ262" s="530"/>
      <c r="BR262" s="530" t="e">
        <f t="shared" si="137"/>
        <v>#NAME?</v>
      </c>
      <c r="BS262" s="530" t="e">
        <f t="shared" si="138"/>
        <v>#NAME?</v>
      </c>
      <c r="BT262" s="530" t="e">
        <f t="shared" si="139"/>
        <v>#NAME?</v>
      </c>
      <c r="BU262" s="530"/>
    </row>
    <row r="263" spans="1:73" ht="16" hidden="1" outlineLevel="2">
      <c r="A263" s="366"/>
      <c r="B263" s="562"/>
      <c r="C263" s="366"/>
      <c r="D263" s="454"/>
      <c r="E263" s="533">
        <f t="shared" si="148"/>
        <v>257</v>
      </c>
      <c r="F263" s="533">
        <f t="shared" si="140"/>
        <v>86</v>
      </c>
      <c r="G263" s="533">
        <f t="shared" si="141"/>
        <v>22</v>
      </c>
      <c r="H263" s="541">
        <f t="shared" si="154"/>
        <v>51621</v>
      </c>
      <c r="I263" s="542">
        <f t="shared" ref="I263:I326" si="157">YEAR(H263)</f>
        <v>2041</v>
      </c>
      <c r="K263" s="533">
        <f>[1]mProject!KB267</f>
        <v>0</v>
      </c>
      <c r="L263" s="533">
        <f t="shared" ref="L263:L326" si="158">+K263+L262</f>
        <v>950</v>
      </c>
      <c r="M263" s="533">
        <f t="shared" ref="M263:M326" si="159">M262</f>
        <v>295000</v>
      </c>
      <c r="N263" s="533">
        <f t="shared" ref="N263:N326" si="160">M263*K263</f>
        <v>0</v>
      </c>
      <c r="O263" s="533">
        <f t="shared" si="142"/>
        <v>280250000</v>
      </c>
      <c r="P263" s="533">
        <f>[1]mProject!W267</f>
        <v>434843.17014530185</v>
      </c>
      <c r="Q263" s="533">
        <f t="shared" ref="Q263:Q326" si="161">P263*K263</f>
        <v>0</v>
      </c>
      <c r="R263" s="533">
        <f t="shared" si="143"/>
        <v>296355280.38883054</v>
      </c>
      <c r="T263" s="533">
        <v>0</v>
      </c>
      <c r="U263" s="533">
        <f t="shared" ref="U263:U326" si="162">+T263+U262</f>
        <v>0</v>
      </c>
      <c r="V263" s="533">
        <f>IF(T263=0,0,$V$7*(1+#REF!)^#REF!)</f>
        <v>0</v>
      </c>
      <c r="W263" s="533">
        <f t="shared" si="144"/>
        <v>0</v>
      </c>
      <c r="X263" s="533">
        <f t="shared" ref="X263:X326" si="163">W263*T263</f>
        <v>0</v>
      </c>
      <c r="Y263" s="533">
        <f t="shared" ref="Y263:Y326" si="164">T263*V263</f>
        <v>0</v>
      </c>
      <c r="AA263" s="533">
        <v>0</v>
      </c>
      <c r="AB263" s="533">
        <f t="shared" ref="AB263:AB326" si="165">+AA263+AB262</f>
        <v>0</v>
      </c>
      <c r="AC263" s="533">
        <f>IF(AA263=0,0,$V$7*(1+#REF!)^#REF!)</f>
        <v>0</v>
      </c>
      <c r="AD263" s="533">
        <f t="shared" si="145"/>
        <v>0</v>
      </c>
      <c r="AE263" s="533">
        <f t="shared" ref="AE263:AE326" si="166">AD263*AA263</f>
        <v>0</v>
      </c>
      <c r="AF263" s="533">
        <f t="shared" ref="AF263:AF326" si="167">AA263*AC263</f>
        <v>0</v>
      </c>
      <c r="AH263" s="533">
        <f t="shared" ref="AH263:AH326" si="168">+K263+T263+AA263</f>
        <v>0</v>
      </c>
      <c r="AI263" s="533">
        <f t="shared" si="146"/>
        <v>950</v>
      </c>
      <c r="AJ263" s="533">
        <f t="shared" si="156"/>
        <v>0</v>
      </c>
      <c r="AK263" s="533">
        <f>AJ263*[1]mProject!V267</f>
        <v>0</v>
      </c>
      <c r="AL263" s="533">
        <f t="shared" ref="AL263:AL326" si="169">N263+X263+AE263</f>
        <v>0</v>
      </c>
      <c r="AM263" s="533">
        <f t="shared" ref="AM263:AM326" si="170">Q263</f>
        <v>0</v>
      </c>
      <c r="AN263" s="456"/>
      <c r="AO263" s="575" t="e">
        <f t="shared" si="149"/>
        <v>#REF!</v>
      </c>
      <c r="AP263" s="575" t="e">
        <f t="shared" si="153"/>
        <v>#REF!</v>
      </c>
      <c r="AQ263" s="575" t="e">
        <f t="shared" si="155"/>
        <v>#REF!</v>
      </c>
      <c r="AR263" s="576" t="e">
        <f t="shared" si="150"/>
        <v>#REF!</v>
      </c>
      <c r="AS263" s="533" t="e">
        <f t="shared" si="152"/>
        <v>#REF!</v>
      </c>
      <c r="AT263" s="533"/>
      <c r="AU263" s="533"/>
      <c r="AV263" s="533" t="e">
        <f t="shared" ref="AV263:AV326" si="171">SUM(AS263:AU263)</f>
        <v>#REF!</v>
      </c>
      <c r="AW263" s="533" t="e">
        <f>AI263*#REF!+AI262*#REF!+AI261*#REF!</f>
        <v>#REF!</v>
      </c>
      <c r="AX263" s="456"/>
      <c r="AY263" s="584">
        <f t="shared" si="147"/>
        <v>1.5341504652491877</v>
      </c>
      <c r="AZ263" s="533">
        <f t="shared" ref="AZ263:AZ326" si="172">(Q263*i_CFD.FullCashRatio*i_CFD.ResiAssesRatio)+(AU263*i_CFD.FullCashRatio*i_CFD.CommeAssesRatio)*AY263</f>
        <v>0</v>
      </c>
      <c r="BA263" s="533">
        <f>BA262*[1]mProject!V268</f>
        <v>0</v>
      </c>
      <c r="BB263" s="533">
        <f t="shared" si="151"/>
        <v>17781316.823329829</v>
      </c>
      <c r="BC263" s="456"/>
      <c r="BD263" s="586">
        <f>((BB263/100)*(i_CFD.ObliRate/12))*[1]i.Finance!$O$64</f>
        <v>59826.722228495157</v>
      </c>
      <c r="BE263" s="586">
        <f>(AZ263/100*[1]i.Finance!$O$61)*[1]i.Finance!$O$64</f>
        <v>0</v>
      </c>
      <c r="BF263" s="586">
        <f>(AZ263/100*[1]i.Finance!$O$65)</f>
        <v>0</v>
      </c>
      <c r="BG263" s="587">
        <f t="shared" ref="BG263:BG326" si="173">BD263+BF263</f>
        <v>59826.722228495157</v>
      </c>
      <c r="BH263" s="456"/>
      <c r="BI263" s="586">
        <f>-PV([1]i.Finance!$O$63/12,[1]i.Finance!$O$62*12,mCFD!BG263)</f>
        <v>10233961.918709608</v>
      </c>
      <c r="BJ263" s="586">
        <f>BI263*[1]i.Finance!$O$58</f>
        <v>8033660.1061870428</v>
      </c>
      <c r="BK263" s="586"/>
      <c r="BL263" s="586"/>
      <c r="BP263" s="533"/>
      <c r="BQ263" s="533"/>
      <c r="BR263" s="533" t="e">
        <f t="shared" ref="BR263:BR326" si="174">LOOKUP(H263,cv_Dates,cv_Lots.Sold)*$BR$5</f>
        <v>#NAME?</v>
      </c>
      <c r="BS263" s="533" t="e">
        <f t="shared" ref="BS263:BS326" si="175">BR263*-$BS$5</f>
        <v>#NAME?</v>
      </c>
      <c r="BT263" s="533" t="e">
        <f t="shared" ref="BT263:BT326" si="176">BR263+BS263</f>
        <v>#NAME?</v>
      </c>
      <c r="BU263" s="533"/>
    </row>
    <row r="264" spans="1:73" ht="16" hidden="1" outlineLevel="2">
      <c r="A264" s="366"/>
      <c r="B264" s="562"/>
      <c r="C264" s="366"/>
      <c r="D264" s="454"/>
      <c r="E264" s="547">
        <f t="shared" si="148"/>
        <v>258</v>
      </c>
      <c r="F264" s="547">
        <f t="shared" ref="F264:F327" si="177">INT(INT(E264+2)/3)</f>
        <v>86</v>
      </c>
      <c r="G264" s="547">
        <f t="shared" ref="G264:G327" si="178">MIN(INT(YEARFRAC(H$7,EDATE(H264,12),3)))</f>
        <v>22</v>
      </c>
      <c r="H264" s="548">
        <f t="shared" si="154"/>
        <v>51652</v>
      </c>
      <c r="I264" s="549">
        <f t="shared" si="157"/>
        <v>2041</v>
      </c>
      <c r="K264" s="547">
        <f>[1]mProject!KB268</f>
        <v>0</v>
      </c>
      <c r="L264" s="547">
        <f t="shared" si="158"/>
        <v>950</v>
      </c>
      <c r="M264" s="547">
        <f t="shared" si="159"/>
        <v>295000</v>
      </c>
      <c r="N264" s="547">
        <f t="shared" si="160"/>
        <v>0</v>
      </c>
      <c r="O264" s="547">
        <f t="shared" ref="O264:O327" si="179">O263+N264</f>
        <v>280250000</v>
      </c>
      <c r="P264" s="547">
        <f>[1]mProject!W268</f>
        <v>435567.90876221069</v>
      </c>
      <c r="Q264" s="547">
        <f t="shared" si="161"/>
        <v>0</v>
      </c>
      <c r="R264" s="547">
        <f t="shared" ref="R264:R327" si="180">R263+Q264</f>
        <v>296355280.38883054</v>
      </c>
      <c r="T264" s="547">
        <v>0</v>
      </c>
      <c r="U264" s="547">
        <f t="shared" si="162"/>
        <v>0</v>
      </c>
      <c r="V264" s="547">
        <f>IF(T264=0,0,$V$7*(1+#REF!)^#REF!)</f>
        <v>0</v>
      </c>
      <c r="W264" s="547">
        <f t="shared" ref="W264:W327" si="181">IF(T264=0,0,$V$7)</f>
        <v>0</v>
      </c>
      <c r="X264" s="547">
        <f t="shared" si="163"/>
        <v>0</v>
      </c>
      <c r="Y264" s="547">
        <f t="shared" si="164"/>
        <v>0</v>
      </c>
      <c r="AA264" s="547">
        <v>0</v>
      </c>
      <c r="AB264" s="547">
        <f t="shared" si="165"/>
        <v>0</v>
      </c>
      <c r="AC264" s="547">
        <f>IF(AA264=0,0,$V$7*(1+#REF!)^#REF!)</f>
        <v>0</v>
      </c>
      <c r="AD264" s="547">
        <f t="shared" ref="AD264:AD327" si="182">IF(AA264=0,0,$V$7)</f>
        <v>0</v>
      </c>
      <c r="AE264" s="547">
        <f t="shared" si="166"/>
        <v>0</v>
      </c>
      <c r="AF264" s="547">
        <f t="shared" si="167"/>
        <v>0</v>
      </c>
      <c r="AH264" s="547">
        <f t="shared" si="168"/>
        <v>0</v>
      </c>
      <c r="AI264" s="547">
        <f t="shared" ref="AI264:AI327" si="183">+AH264+AI263</f>
        <v>950</v>
      </c>
      <c r="AJ264" s="547">
        <f t="shared" si="156"/>
        <v>0</v>
      </c>
      <c r="AK264" s="547">
        <f>AJ264*[1]mProject!V268</f>
        <v>0</v>
      </c>
      <c r="AL264" s="547">
        <f t="shared" si="169"/>
        <v>0</v>
      </c>
      <c r="AM264" s="547">
        <f t="shared" si="170"/>
        <v>0</v>
      </c>
      <c r="AN264" s="456"/>
      <c r="AO264" s="577" t="e">
        <f t="shared" si="149"/>
        <v>#REF!</v>
      </c>
      <c r="AP264" s="577" t="e">
        <f t="shared" si="153"/>
        <v>#REF!</v>
      </c>
      <c r="AQ264" s="577" t="e">
        <f t="shared" si="155"/>
        <v>#REF!</v>
      </c>
      <c r="AR264" s="578" t="e">
        <f t="shared" si="150"/>
        <v>#REF!</v>
      </c>
      <c r="AS264" s="547" t="e">
        <f t="shared" si="152"/>
        <v>#REF!</v>
      </c>
      <c r="AT264" s="547"/>
      <c r="AU264" s="547"/>
      <c r="AV264" s="547" t="e">
        <f t="shared" si="171"/>
        <v>#REF!</v>
      </c>
      <c r="AW264" s="547" t="e">
        <f>AI264*#REF!+AI263*#REF!+AI262*#REF!</f>
        <v>#REF!</v>
      </c>
      <c r="AX264" s="456"/>
      <c r="AY264" s="585">
        <f t="shared" ref="AY264:AY327" si="184">AY263*(1+i_CFD.AV.Inflation/12)</f>
        <v>1.5367073826912698</v>
      </c>
      <c r="AZ264" s="547">
        <f t="shared" si="172"/>
        <v>0</v>
      </c>
      <c r="BA264" s="547">
        <f>BA263*[1]mProject!V269</f>
        <v>0</v>
      </c>
      <c r="BB264" s="547">
        <f t="shared" si="151"/>
        <v>17781316.823329829</v>
      </c>
      <c r="BC264" s="456"/>
      <c r="BD264" s="588">
        <f>((BB264/100)*(i_CFD.ObliRate/12))*[1]i.Finance!$O$64</f>
        <v>59826.722228495157</v>
      </c>
      <c r="BE264" s="588">
        <f>(AZ264/100*[1]i.Finance!$O$61)*[1]i.Finance!$O$64</f>
        <v>0</v>
      </c>
      <c r="BF264" s="588">
        <f>(AZ264/100*[1]i.Finance!$O$65)</f>
        <v>0</v>
      </c>
      <c r="BG264" s="589">
        <f t="shared" si="173"/>
        <v>59826.722228495157</v>
      </c>
      <c r="BH264" s="456"/>
      <c r="BI264" s="588">
        <f>-PV([1]i.Finance!$O$63/12,[1]i.Finance!$O$62*12,mCFD!BG264)</f>
        <v>10233961.918709608</v>
      </c>
      <c r="BJ264" s="588">
        <f>BI264*[1]i.Finance!$O$58</f>
        <v>8033660.1061870428</v>
      </c>
      <c r="BK264" s="588"/>
      <c r="BL264" s="588"/>
      <c r="BP264" s="547"/>
      <c r="BQ264" s="547"/>
      <c r="BR264" s="547" t="e">
        <f t="shared" si="174"/>
        <v>#NAME?</v>
      </c>
      <c r="BS264" s="547" t="e">
        <f t="shared" si="175"/>
        <v>#NAME?</v>
      </c>
      <c r="BT264" s="547" t="e">
        <f t="shared" si="176"/>
        <v>#NAME?</v>
      </c>
      <c r="BU264" s="547"/>
    </row>
    <row r="265" spans="1:73" ht="16" hidden="1" outlineLevel="2">
      <c r="A265" s="366"/>
      <c r="B265" s="562"/>
      <c r="C265" s="366"/>
      <c r="D265" s="454"/>
      <c r="E265" s="530">
        <f t="shared" ref="E265:E328" si="185">E264+1</f>
        <v>259</v>
      </c>
      <c r="F265" s="530">
        <f t="shared" si="177"/>
        <v>87</v>
      </c>
      <c r="G265" s="530">
        <f t="shared" si="178"/>
        <v>22</v>
      </c>
      <c r="H265" s="554">
        <f t="shared" si="154"/>
        <v>51682</v>
      </c>
      <c r="I265" s="555">
        <f t="shared" si="157"/>
        <v>2041</v>
      </c>
      <c r="K265" s="530">
        <f>[1]mProject!KB269</f>
        <v>0</v>
      </c>
      <c r="L265" s="530">
        <f t="shared" si="158"/>
        <v>950</v>
      </c>
      <c r="M265" s="530">
        <f t="shared" si="159"/>
        <v>295000</v>
      </c>
      <c r="N265" s="530">
        <f t="shared" si="160"/>
        <v>0</v>
      </c>
      <c r="O265" s="530">
        <f t="shared" si="179"/>
        <v>280250000</v>
      </c>
      <c r="P265" s="530">
        <f>[1]mProject!W269</f>
        <v>436293.85527681437</v>
      </c>
      <c r="Q265" s="530">
        <f t="shared" si="161"/>
        <v>0</v>
      </c>
      <c r="R265" s="530">
        <f t="shared" si="180"/>
        <v>296355280.38883054</v>
      </c>
      <c r="T265" s="530">
        <v>0</v>
      </c>
      <c r="U265" s="530">
        <f t="shared" si="162"/>
        <v>0</v>
      </c>
      <c r="V265" s="530">
        <f>IF(T265=0,0,$V$7*(1+#REF!)^#REF!)</f>
        <v>0</v>
      </c>
      <c r="W265" s="530">
        <f t="shared" si="181"/>
        <v>0</v>
      </c>
      <c r="X265" s="530">
        <f t="shared" si="163"/>
        <v>0</v>
      </c>
      <c r="Y265" s="530">
        <f t="shared" si="164"/>
        <v>0</v>
      </c>
      <c r="AA265" s="530">
        <v>0</v>
      </c>
      <c r="AB265" s="530">
        <f t="shared" si="165"/>
        <v>0</v>
      </c>
      <c r="AC265" s="530">
        <f>IF(AA265=0,0,$V$7*(1+#REF!)^#REF!)</f>
        <v>0</v>
      </c>
      <c r="AD265" s="530">
        <f t="shared" si="182"/>
        <v>0</v>
      </c>
      <c r="AE265" s="530">
        <f t="shared" si="166"/>
        <v>0</v>
      </c>
      <c r="AF265" s="530">
        <f t="shared" si="167"/>
        <v>0</v>
      </c>
      <c r="AH265" s="530">
        <f t="shared" si="168"/>
        <v>0</v>
      </c>
      <c r="AI265" s="530">
        <f t="shared" si="183"/>
        <v>950</v>
      </c>
      <c r="AJ265" s="530">
        <f t="shared" si="156"/>
        <v>0</v>
      </c>
      <c r="AK265" s="530">
        <f>AJ265*[1]mProject!V269</f>
        <v>0</v>
      </c>
      <c r="AL265" s="530">
        <f t="shared" si="169"/>
        <v>0</v>
      </c>
      <c r="AM265" s="530">
        <f t="shared" si="170"/>
        <v>0</v>
      </c>
      <c r="AN265" s="456"/>
      <c r="AO265" s="572" t="e">
        <f t="shared" si="149"/>
        <v>#REF!</v>
      </c>
      <c r="AP265" s="572" t="e">
        <f t="shared" si="153"/>
        <v>#REF!</v>
      </c>
      <c r="AQ265" s="572" t="e">
        <f t="shared" si="155"/>
        <v>#REF!</v>
      </c>
      <c r="AR265" s="573" t="e">
        <f t="shared" si="150"/>
        <v>#REF!</v>
      </c>
      <c r="AS265" s="530" t="e">
        <f t="shared" si="152"/>
        <v>#REF!</v>
      </c>
      <c r="AT265" s="530"/>
      <c r="AU265" s="530"/>
      <c r="AV265" s="530" t="e">
        <f t="shared" si="171"/>
        <v>#REF!</v>
      </c>
      <c r="AW265" s="530" t="e">
        <f>AI265*#REF!+AI264*#REF!+AI263*#REF!</f>
        <v>#REF!</v>
      </c>
      <c r="AX265" s="456"/>
      <c r="AY265" s="583">
        <f t="shared" si="184"/>
        <v>1.539268561662422</v>
      </c>
      <c r="AZ265" s="530">
        <f t="shared" si="172"/>
        <v>0</v>
      </c>
      <c r="BA265" s="530">
        <f>BA264*[1]mProject!V270</f>
        <v>0</v>
      </c>
      <c r="BB265" s="530">
        <f t="shared" si="151"/>
        <v>17781316.823329829</v>
      </c>
      <c r="BC265" s="456"/>
      <c r="BD265" s="590">
        <f>((BB265/100)*(i_CFD.ObliRate/12))*[1]i.Finance!$O$64</f>
        <v>59826.722228495157</v>
      </c>
      <c r="BE265" s="590">
        <f>(AZ265/100*[1]i.Finance!$O$61)*[1]i.Finance!$O$64</f>
        <v>0</v>
      </c>
      <c r="BF265" s="590">
        <f>(AZ265/100*[1]i.Finance!$O$65)</f>
        <v>0</v>
      </c>
      <c r="BG265" s="591">
        <f t="shared" si="173"/>
        <v>59826.722228495157</v>
      </c>
      <c r="BH265" s="456"/>
      <c r="BI265" s="590">
        <f>-PV([1]i.Finance!$O$63/12,[1]i.Finance!$O$62*12,mCFD!BG265)</f>
        <v>10233961.918709608</v>
      </c>
      <c r="BJ265" s="590">
        <f>BI265*[1]i.Finance!$O$58</f>
        <v>8033660.1061870428</v>
      </c>
      <c r="BK265" s="590"/>
      <c r="BL265" s="590"/>
      <c r="BP265" s="530"/>
      <c r="BQ265" s="530"/>
      <c r="BR265" s="530" t="e">
        <f t="shared" si="174"/>
        <v>#NAME?</v>
      </c>
      <c r="BS265" s="530" t="e">
        <f t="shared" si="175"/>
        <v>#NAME?</v>
      </c>
      <c r="BT265" s="530" t="e">
        <f t="shared" si="176"/>
        <v>#NAME?</v>
      </c>
      <c r="BU265" s="530"/>
    </row>
    <row r="266" spans="1:73" ht="16" hidden="1" outlineLevel="2">
      <c r="A266" s="366"/>
      <c r="B266" s="562"/>
      <c r="C266" s="366"/>
      <c r="D266" s="454"/>
      <c r="E266" s="533">
        <f t="shared" si="185"/>
        <v>260</v>
      </c>
      <c r="F266" s="533">
        <f t="shared" si="177"/>
        <v>87</v>
      </c>
      <c r="G266" s="533">
        <f t="shared" si="178"/>
        <v>22</v>
      </c>
      <c r="H266" s="541">
        <f t="shared" si="154"/>
        <v>51713</v>
      </c>
      <c r="I266" s="542">
        <f t="shared" si="157"/>
        <v>2041</v>
      </c>
      <c r="K266" s="533">
        <f>[1]mProject!KB270</f>
        <v>0</v>
      </c>
      <c r="L266" s="533">
        <f t="shared" si="158"/>
        <v>950</v>
      </c>
      <c r="M266" s="533">
        <f t="shared" si="159"/>
        <v>295000</v>
      </c>
      <c r="N266" s="533">
        <f t="shared" si="160"/>
        <v>0</v>
      </c>
      <c r="O266" s="533">
        <f t="shared" si="179"/>
        <v>280250000</v>
      </c>
      <c r="P266" s="533">
        <f>[1]mProject!W270</f>
        <v>437021.01170227572</v>
      </c>
      <c r="Q266" s="533">
        <f t="shared" si="161"/>
        <v>0</v>
      </c>
      <c r="R266" s="533">
        <f t="shared" si="180"/>
        <v>296355280.38883054</v>
      </c>
      <c r="T266" s="533">
        <v>0</v>
      </c>
      <c r="U266" s="533">
        <f t="shared" si="162"/>
        <v>0</v>
      </c>
      <c r="V266" s="533">
        <f>IF(T266=0,0,$V$7*(1+#REF!)^#REF!)</f>
        <v>0</v>
      </c>
      <c r="W266" s="533">
        <f t="shared" si="181"/>
        <v>0</v>
      </c>
      <c r="X266" s="533">
        <f t="shared" si="163"/>
        <v>0</v>
      </c>
      <c r="Y266" s="533">
        <f t="shared" si="164"/>
        <v>0</v>
      </c>
      <c r="AA266" s="533">
        <v>0</v>
      </c>
      <c r="AB266" s="533">
        <f t="shared" si="165"/>
        <v>0</v>
      </c>
      <c r="AC266" s="533">
        <f>IF(AA266=0,0,$V$7*(1+#REF!)^#REF!)</f>
        <v>0</v>
      </c>
      <c r="AD266" s="533">
        <f t="shared" si="182"/>
        <v>0</v>
      </c>
      <c r="AE266" s="533">
        <f t="shared" si="166"/>
        <v>0</v>
      </c>
      <c r="AF266" s="533">
        <f t="shared" si="167"/>
        <v>0</v>
      </c>
      <c r="AH266" s="533">
        <f t="shared" si="168"/>
        <v>0</v>
      </c>
      <c r="AI266" s="533">
        <f t="shared" si="183"/>
        <v>950</v>
      </c>
      <c r="AJ266" s="533">
        <f t="shared" si="156"/>
        <v>0</v>
      </c>
      <c r="AK266" s="533">
        <f>AJ266*[1]mProject!V270</f>
        <v>0</v>
      </c>
      <c r="AL266" s="533">
        <f t="shared" si="169"/>
        <v>0</v>
      </c>
      <c r="AM266" s="533">
        <f t="shared" si="170"/>
        <v>0</v>
      </c>
      <c r="AN266" s="456"/>
      <c r="AO266" s="575" t="e">
        <f t="shared" si="149"/>
        <v>#REF!</v>
      </c>
      <c r="AP266" s="575" t="e">
        <f t="shared" si="153"/>
        <v>#REF!</v>
      </c>
      <c r="AQ266" s="575" t="e">
        <f t="shared" si="155"/>
        <v>#REF!</v>
      </c>
      <c r="AR266" s="576" t="e">
        <f t="shared" si="150"/>
        <v>#REF!</v>
      </c>
      <c r="AS266" s="533" t="e">
        <f t="shared" si="152"/>
        <v>#REF!</v>
      </c>
      <c r="AT266" s="533"/>
      <c r="AU266" s="533"/>
      <c r="AV266" s="533" t="e">
        <f t="shared" si="171"/>
        <v>#REF!</v>
      </c>
      <c r="AW266" s="533" t="e">
        <f>AI266*#REF!+AI265*#REF!+AI264*#REF!</f>
        <v>#REF!</v>
      </c>
      <c r="AX266" s="456"/>
      <c r="AY266" s="584">
        <f t="shared" si="184"/>
        <v>1.5418340092651928</v>
      </c>
      <c r="AZ266" s="533">
        <f t="shared" si="172"/>
        <v>0</v>
      </c>
      <c r="BA266" s="533">
        <f>BA265*[1]mProject!V271</f>
        <v>0</v>
      </c>
      <c r="BB266" s="533">
        <f t="shared" si="151"/>
        <v>17781316.823329829</v>
      </c>
      <c r="BC266" s="456"/>
      <c r="BD266" s="586">
        <f>((BB266/100)*(i_CFD.ObliRate/12))*[1]i.Finance!$O$64</f>
        <v>59826.722228495157</v>
      </c>
      <c r="BE266" s="586">
        <f>(AZ266/100*[1]i.Finance!$O$61)*[1]i.Finance!$O$64</f>
        <v>0</v>
      </c>
      <c r="BF266" s="586">
        <f>(AZ266/100*[1]i.Finance!$O$65)</f>
        <v>0</v>
      </c>
      <c r="BG266" s="587">
        <f t="shared" si="173"/>
        <v>59826.722228495157</v>
      </c>
      <c r="BH266" s="456"/>
      <c r="BI266" s="586">
        <f>-PV([1]i.Finance!$O$63/12,[1]i.Finance!$O$62*12,mCFD!BG266)</f>
        <v>10233961.918709608</v>
      </c>
      <c r="BJ266" s="586">
        <f>BI266*[1]i.Finance!$O$58</f>
        <v>8033660.1061870428</v>
      </c>
      <c r="BK266" s="586"/>
      <c r="BL266" s="586"/>
      <c r="BP266" s="533"/>
      <c r="BQ266" s="533"/>
      <c r="BR266" s="533" t="e">
        <f t="shared" si="174"/>
        <v>#NAME?</v>
      </c>
      <c r="BS266" s="533" t="e">
        <f t="shared" si="175"/>
        <v>#NAME?</v>
      </c>
      <c r="BT266" s="533" t="e">
        <f t="shared" si="176"/>
        <v>#NAME?</v>
      </c>
      <c r="BU266" s="533"/>
    </row>
    <row r="267" spans="1:73" ht="16" hidden="1" outlineLevel="2">
      <c r="A267" s="366"/>
      <c r="B267" s="562"/>
      <c r="C267" s="366"/>
      <c r="D267" s="454"/>
      <c r="E267" s="547">
        <f t="shared" si="185"/>
        <v>261</v>
      </c>
      <c r="F267" s="547">
        <f t="shared" si="177"/>
        <v>87</v>
      </c>
      <c r="G267" s="547">
        <f t="shared" si="178"/>
        <v>22</v>
      </c>
      <c r="H267" s="548">
        <f t="shared" si="154"/>
        <v>51744</v>
      </c>
      <c r="I267" s="549">
        <f t="shared" si="157"/>
        <v>2041</v>
      </c>
      <c r="K267" s="547">
        <f>[1]mProject!KB271</f>
        <v>0</v>
      </c>
      <c r="L267" s="547">
        <f t="shared" si="158"/>
        <v>950</v>
      </c>
      <c r="M267" s="547">
        <f t="shared" si="159"/>
        <v>295000</v>
      </c>
      <c r="N267" s="547">
        <f t="shared" si="160"/>
        <v>0</v>
      </c>
      <c r="O267" s="547">
        <f t="shared" si="179"/>
        <v>280250000</v>
      </c>
      <c r="P267" s="547">
        <f>[1]mProject!W271</f>
        <v>437749.38005511288</v>
      </c>
      <c r="Q267" s="547">
        <f t="shared" si="161"/>
        <v>0</v>
      </c>
      <c r="R267" s="547">
        <f t="shared" si="180"/>
        <v>296355280.38883054</v>
      </c>
      <c r="T267" s="547">
        <v>0</v>
      </c>
      <c r="U267" s="547">
        <f t="shared" si="162"/>
        <v>0</v>
      </c>
      <c r="V267" s="547">
        <f>IF(T267=0,0,$V$7*(1+#REF!)^#REF!)</f>
        <v>0</v>
      </c>
      <c r="W267" s="547">
        <f t="shared" si="181"/>
        <v>0</v>
      </c>
      <c r="X267" s="547">
        <f t="shared" si="163"/>
        <v>0</v>
      </c>
      <c r="Y267" s="547">
        <f t="shared" si="164"/>
        <v>0</v>
      </c>
      <c r="AA267" s="547">
        <v>0</v>
      </c>
      <c r="AB267" s="547">
        <f t="shared" si="165"/>
        <v>0</v>
      </c>
      <c r="AC267" s="547">
        <f>IF(AA267=0,0,$V$7*(1+#REF!)^#REF!)</f>
        <v>0</v>
      </c>
      <c r="AD267" s="547">
        <f t="shared" si="182"/>
        <v>0</v>
      </c>
      <c r="AE267" s="547">
        <f t="shared" si="166"/>
        <v>0</v>
      </c>
      <c r="AF267" s="547">
        <f t="shared" si="167"/>
        <v>0</v>
      </c>
      <c r="AH267" s="547">
        <f t="shared" si="168"/>
        <v>0</v>
      </c>
      <c r="AI267" s="547">
        <f t="shared" si="183"/>
        <v>950</v>
      </c>
      <c r="AJ267" s="547">
        <f t="shared" si="156"/>
        <v>0</v>
      </c>
      <c r="AK267" s="547">
        <f>AJ267*[1]mProject!V271</f>
        <v>0</v>
      </c>
      <c r="AL267" s="547">
        <f t="shared" si="169"/>
        <v>0</v>
      </c>
      <c r="AM267" s="547">
        <f t="shared" si="170"/>
        <v>0</v>
      </c>
      <c r="AN267" s="456"/>
      <c r="AO267" s="577" t="e">
        <f t="shared" si="149"/>
        <v>#REF!</v>
      </c>
      <c r="AP267" s="577" t="e">
        <f t="shared" si="153"/>
        <v>#REF!</v>
      </c>
      <c r="AQ267" s="577" t="e">
        <f t="shared" si="155"/>
        <v>#REF!</v>
      </c>
      <c r="AR267" s="578" t="e">
        <f t="shared" si="150"/>
        <v>#REF!</v>
      </c>
      <c r="AS267" s="547" t="e">
        <f t="shared" si="152"/>
        <v>#REF!</v>
      </c>
      <c r="AT267" s="547"/>
      <c r="AU267" s="547"/>
      <c r="AV267" s="547" t="e">
        <f t="shared" si="171"/>
        <v>#REF!</v>
      </c>
      <c r="AW267" s="547" t="e">
        <f>AI267*#REF!+AI266*#REF!+AI265*#REF!</f>
        <v>#REF!</v>
      </c>
      <c r="AX267" s="456"/>
      <c r="AY267" s="585">
        <f t="shared" si="184"/>
        <v>1.5444037326139681</v>
      </c>
      <c r="AZ267" s="547">
        <f t="shared" si="172"/>
        <v>0</v>
      </c>
      <c r="BA267" s="547">
        <f>BA266*[1]mProject!V272</f>
        <v>0</v>
      </c>
      <c r="BB267" s="547">
        <f t="shared" si="151"/>
        <v>17781316.823329829</v>
      </c>
      <c r="BC267" s="456"/>
      <c r="BD267" s="588">
        <f>((BB267/100)*(i_CFD.ObliRate/12))*[1]i.Finance!$O$64</f>
        <v>59826.722228495157</v>
      </c>
      <c r="BE267" s="588">
        <f>(AZ267/100*[1]i.Finance!$O$61)*[1]i.Finance!$O$64</f>
        <v>0</v>
      </c>
      <c r="BF267" s="588">
        <f>(AZ267/100*[1]i.Finance!$O$65)</f>
        <v>0</v>
      </c>
      <c r="BG267" s="589">
        <f t="shared" si="173"/>
        <v>59826.722228495157</v>
      </c>
      <c r="BH267" s="456"/>
      <c r="BI267" s="588">
        <f>-PV([1]i.Finance!$O$63/12,[1]i.Finance!$O$62*12,mCFD!BG267)</f>
        <v>10233961.918709608</v>
      </c>
      <c r="BJ267" s="588">
        <f>BI267*[1]i.Finance!$O$58</f>
        <v>8033660.1061870428</v>
      </c>
      <c r="BK267" s="588"/>
      <c r="BL267" s="588"/>
      <c r="BP267" s="547"/>
      <c r="BQ267" s="547"/>
      <c r="BR267" s="547" t="e">
        <f t="shared" si="174"/>
        <v>#NAME?</v>
      </c>
      <c r="BS267" s="547" t="e">
        <f t="shared" si="175"/>
        <v>#NAME?</v>
      </c>
      <c r="BT267" s="547" t="e">
        <f t="shared" si="176"/>
        <v>#NAME?</v>
      </c>
      <c r="BU267" s="547"/>
    </row>
    <row r="268" spans="1:73" ht="16" hidden="1" outlineLevel="2">
      <c r="A268" s="366"/>
      <c r="B268" s="562"/>
      <c r="C268" s="366"/>
      <c r="D268" s="454"/>
      <c r="E268" s="530">
        <f t="shared" si="185"/>
        <v>262</v>
      </c>
      <c r="F268" s="530">
        <f t="shared" si="177"/>
        <v>88</v>
      </c>
      <c r="G268" s="530">
        <f t="shared" si="178"/>
        <v>22</v>
      </c>
      <c r="H268" s="554">
        <f t="shared" si="154"/>
        <v>51774</v>
      </c>
      <c r="I268" s="555">
        <f t="shared" si="157"/>
        <v>2041</v>
      </c>
      <c r="K268" s="530">
        <f>[1]mProject!KB272</f>
        <v>0</v>
      </c>
      <c r="L268" s="530">
        <f t="shared" si="158"/>
        <v>950</v>
      </c>
      <c r="M268" s="530">
        <f t="shared" si="159"/>
        <v>295000</v>
      </c>
      <c r="N268" s="530">
        <f t="shared" si="160"/>
        <v>0</v>
      </c>
      <c r="O268" s="530">
        <f t="shared" si="179"/>
        <v>280250000</v>
      </c>
      <c r="P268" s="530">
        <f>[1]mProject!W272</f>
        <v>438478.96235520474</v>
      </c>
      <c r="Q268" s="530">
        <f t="shared" si="161"/>
        <v>0</v>
      </c>
      <c r="R268" s="530">
        <f t="shared" si="180"/>
        <v>296355280.38883054</v>
      </c>
      <c r="T268" s="530">
        <v>0</v>
      </c>
      <c r="U268" s="530">
        <f t="shared" si="162"/>
        <v>0</v>
      </c>
      <c r="V268" s="530">
        <f>IF(T268=0,0,$V$7*(1+#REF!)^#REF!)</f>
        <v>0</v>
      </c>
      <c r="W268" s="530">
        <f t="shared" si="181"/>
        <v>0</v>
      </c>
      <c r="X268" s="530">
        <f t="shared" si="163"/>
        <v>0</v>
      </c>
      <c r="Y268" s="530">
        <f t="shared" si="164"/>
        <v>0</v>
      </c>
      <c r="AA268" s="530">
        <v>0</v>
      </c>
      <c r="AB268" s="530">
        <f t="shared" si="165"/>
        <v>0</v>
      </c>
      <c r="AC268" s="530">
        <f>IF(AA268=0,0,$V$7*(1+#REF!)^#REF!)</f>
        <v>0</v>
      </c>
      <c r="AD268" s="530">
        <f t="shared" si="182"/>
        <v>0</v>
      </c>
      <c r="AE268" s="530">
        <f t="shared" si="166"/>
        <v>0</v>
      </c>
      <c r="AF268" s="530">
        <f t="shared" si="167"/>
        <v>0</v>
      </c>
      <c r="AH268" s="530">
        <f t="shared" si="168"/>
        <v>0</v>
      </c>
      <c r="AI268" s="530">
        <f t="shared" si="183"/>
        <v>950</v>
      </c>
      <c r="AJ268" s="530">
        <f t="shared" si="156"/>
        <v>0</v>
      </c>
      <c r="AK268" s="530">
        <f>AJ268*[1]mProject!V272</f>
        <v>0</v>
      </c>
      <c r="AL268" s="530">
        <f t="shared" si="169"/>
        <v>0</v>
      </c>
      <c r="AM268" s="530">
        <f t="shared" si="170"/>
        <v>0</v>
      </c>
      <c r="AN268" s="456"/>
      <c r="AO268" s="572" t="e">
        <f t="shared" si="149"/>
        <v>#REF!</v>
      </c>
      <c r="AP268" s="572" t="e">
        <f t="shared" si="153"/>
        <v>#REF!</v>
      </c>
      <c r="AQ268" s="572" t="e">
        <f t="shared" si="155"/>
        <v>#REF!</v>
      </c>
      <c r="AR268" s="573" t="e">
        <f t="shared" si="150"/>
        <v>#REF!</v>
      </c>
      <c r="AS268" s="530" t="e">
        <f t="shared" si="152"/>
        <v>#REF!</v>
      </c>
      <c r="AT268" s="530"/>
      <c r="AU268" s="530"/>
      <c r="AV268" s="530" t="e">
        <f t="shared" si="171"/>
        <v>#REF!</v>
      </c>
      <c r="AW268" s="530" t="e">
        <f>AI268*#REF!+AI267*#REF!+AI266*#REF!</f>
        <v>#REF!</v>
      </c>
      <c r="AX268" s="456"/>
      <c r="AY268" s="583">
        <f t="shared" si="184"/>
        <v>1.5469777388349915</v>
      </c>
      <c r="AZ268" s="530">
        <f t="shared" si="172"/>
        <v>0</v>
      </c>
      <c r="BA268" s="530">
        <f>BA267*[1]mProject!V273</f>
        <v>0</v>
      </c>
      <c r="BB268" s="530">
        <f t="shared" si="151"/>
        <v>17781316.823329829</v>
      </c>
      <c r="BC268" s="456"/>
      <c r="BD268" s="590">
        <f>((BB268/100)*(i_CFD.ObliRate/12))*[1]i.Finance!$O$64</f>
        <v>59826.722228495157</v>
      </c>
      <c r="BE268" s="590">
        <f>(AZ268/100*[1]i.Finance!$O$61)*[1]i.Finance!$O$64</f>
        <v>0</v>
      </c>
      <c r="BF268" s="590">
        <f>(AZ268/100*[1]i.Finance!$O$65)</f>
        <v>0</v>
      </c>
      <c r="BG268" s="591">
        <f t="shared" si="173"/>
        <v>59826.722228495157</v>
      </c>
      <c r="BH268" s="456"/>
      <c r="BI268" s="590">
        <f>-PV([1]i.Finance!$O$63/12,[1]i.Finance!$O$62*12,mCFD!BG268)</f>
        <v>10233961.918709608</v>
      </c>
      <c r="BJ268" s="590">
        <f>BI268*[1]i.Finance!$O$58</f>
        <v>8033660.1061870428</v>
      </c>
      <c r="BK268" s="590"/>
      <c r="BL268" s="590"/>
      <c r="BP268" s="530"/>
      <c r="BQ268" s="530"/>
      <c r="BR268" s="530" t="e">
        <f t="shared" si="174"/>
        <v>#NAME?</v>
      </c>
      <c r="BS268" s="530" t="e">
        <f t="shared" si="175"/>
        <v>#NAME?</v>
      </c>
      <c r="BT268" s="530" t="e">
        <f t="shared" si="176"/>
        <v>#NAME?</v>
      </c>
      <c r="BU268" s="530"/>
    </row>
    <row r="269" spans="1:73" ht="16" hidden="1" outlineLevel="2">
      <c r="A269" s="366"/>
      <c r="B269" s="562"/>
      <c r="C269" s="366"/>
      <c r="D269" s="454"/>
      <c r="E269" s="533">
        <f t="shared" si="185"/>
        <v>263</v>
      </c>
      <c r="F269" s="533">
        <f t="shared" si="177"/>
        <v>88</v>
      </c>
      <c r="G269" s="533">
        <f t="shared" si="178"/>
        <v>22</v>
      </c>
      <c r="H269" s="541">
        <f t="shared" si="154"/>
        <v>51805</v>
      </c>
      <c r="I269" s="542">
        <f t="shared" si="157"/>
        <v>2041</v>
      </c>
      <c r="K269" s="533">
        <f>[1]mProject!KB273</f>
        <v>0</v>
      </c>
      <c r="L269" s="533">
        <f t="shared" si="158"/>
        <v>950</v>
      </c>
      <c r="M269" s="533">
        <f t="shared" si="159"/>
        <v>295000</v>
      </c>
      <c r="N269" s="533">
        <f t="shared" si="160"/>
        <v>0</v>
      </c>
      <c r="O269" s="533">
        <f t="shared" si="179"/>
        <v>280250000</v>
      </c>
      <c r="P269" s="533">
        <f>[1]mProject!W273</f>
        <v>439209.76062579674</v>
      </c>
      <c r="Q269" s="533">
        <f t="shared" si="161"/>
        <v>0</v>
      </c>
      <c r="R269" s="533">
        <f t="shared" si="180"/>
        <v>296355280.38883054</v>
      </c>
      <c r="T269" s="533">
        <v>0</v>
      </c>
      <c r="U269" s="533">
        <f t="shared" si="162"/>
        <v>0</v>
      </c>
      <c r="V269" s="533">
        <f>IF(T269=0,0,$V$7*(1+#REF!)^#REF!)</f>
        <v>0</v>
      </c>
      <c r="W269" s="533">
        <f t="shared" si="181"/>
        <v>0</v>
      </c>
      <c r="X269" s="533">
        <f t="shared" si="163"/>
        <v>0</v>
      </c>
      <c r="Y269" s="533">
        <f t="shared" si="164"/>
        <v>0</v>
      </c>
      <c r="AA269" s="533">
        <v>0</v>
      </c>
      <c r="AB269" s="533">
        <f t="shared" si="165"/>
        <v>0</v>
      </c>
      <c r="AC269" s="533">
        <f>IF(AA269=0,0,$V$7*(1+#REF!)^#REF!)</f>
        <v>0</v>
      </c>
      <c r="AD269" s="533">
        <f t="shared" si="182"/>
        <v>0</v>
      </c>
      <c r="AE269" s="533">
        <f t="shared" si="166"/>
        <v>0</v>
      </c>
      <c r="AF269" s="533">
        <f t="shared" si="167"/>
        <v>0</v>
      </c>
      <c r="AH269" s="533">
        <f t="shared" si="168"/>
        <v>0</v>
      </c>
      <c r="AI269" s="533">
        <f t="shared" si="183"/>
        <v>950</v>
      </c>
      <c r="AJ269" s="533">
        <f t="shared" si="156"/>
        <v>0</v>
      </c>
      <c r="AK269" s="533">
        <f>AJ269*[1]mProject!V273</f>
        <v>0</v>
      </c>
      <c r="AL269" s="533">
        <f t="shared" si="169"/>
        <v>0</v>
      </c>
      <c r="AM269" s="533">
        <f t="shared" si="170"/>
        <v>0</v>
      </c>
      <c r="AN269" s="456"/>
      <c r="AO269" s="575" t="e">
        <f t="shared" si="149"/>
        <v>#REF!</v>
      </c>
      <c r="AP269" s="575" t="e">
        <f t="shared" si="153"/>
        <v>#REF!</v>
      </c>
      <c r="AQ269" s="575" t="e">
        <f t="shared" si="155"/>
        <v>#REF!</v>
      </c>
      <c r="AR269" s="576" t="e">
        <f t="shared" si="150"/>
        <v>#REF!</v>
      </c>
      <c r="AS269" s="533" t="e">
        <f t="shared" si="152"/>
        <v>#REF!</v>
      </c>
      <c r="AT269" s="533"/>
      <c r="AU269" s="533"/>
      <c r="AV269" s="533" t="e">
        <f t="shared" si="171"/>
        <v>#REF!</v>
      </c>
      <c r="AW269" s="533" t="e">
        <f>AI269*#REF!+AI268*#REF!+AI267*#REF!</f>
        <v>#REF!</v>
      </c>
      <c r="AX269" s="456"/>
      <c r="AY269" s="584">
        <f t="shared" si="184"/>
        <v>1.5495560350663831</v>
      </c>
      <c r="AZ269" s="533">
        <f t="shared" si="172"/>
        <v>0</v>
      </c>
      <c r="BA269" s="533">
        <f>BA268*[1]mProject!V274</f>
        <v>0</v>
      </c>
      <c r="BB269" s="533">
        <f t="shared" si="151"/>
        <v>17781316.823329829</v>
      </c>
      <c r="BC269" s="456"/>
      <c r="BD269" s="586">
        <f>((BB269/100)*(i_CFD.ObliRate/12))*[1]i.Finance!$O$64</f>
        <v>59826.722228495157</v>
      </c>
      <c r="BE269" s="586">
        <f>(AZ269/100*[1]i.Finance!$O$61)*[1]i.Finance!$O$64</f>
        <v>0</v>
      </c>
      <c r="BF269" s="586">
        <f>(AZ269/100*[1]i.Finance!$O$65)</f>
        <v>0</v>
      </c>
      <c r="BG269" s="587">
        <f t="shared" si="173"/>
        <v>59826.722228495157</v>
      </c>
      <c r="BH269" s="456"/>
      <c r="BI269" s="586">
        <f>-PV([1]i.Finance!$O$63/12,[1]i.Finance!$O$62*12,mCFD!BG269)</f>
        <v>10233961.918709608</v>
      </c>
      <c r="BJ269" s="586">
        <f>BI269*[1]i.Finance!$O$58</f>
        <v>8033660.1061870428</v>
      </c>
      <c r="BK269" s="586"/>
      <c r="BL269" s="586"/>
      <c r="BP269" s="533"/>
      <c r="BQ269" s="533"/>
      <c r="BR269" s="533" t="e">
        <f t="shared" si="174"/>
        <v>#NAME?</v>
      </c>
      <c r="BS269" s="533" t="e">
        <f t="shared" si="175"/>
        <v>#NAME?</v>
      </c>
      <c r="BT269" s="533" t="e">
        <f t="shared" si="176"/>
        <v>#NAME?</v>
      </c>
      <c r="BU269" s="533"/>
    </row>
    <row r="270" spans="1:73" ht="17" hidden="1" outlineLevel="2" thickBot="1">
      <c r="A270" s="366"/>
      <c r="B270" s="562"/>
      <c r="C270" s="366"/>
      <c r="D270" s="454"/>
      <c r="E270" s="564">
        <f t="shared" si="185"/>
        <v>264</v>
      </c>
      <c r="F270" s="564">
        <f t="shared" si="177"/>
        <v>88</v>
      </c>
      <c r="G270" s="564">
        <f t="shared" si="178"/>
        <v>22</v>
      </c>
      <c r="H270" s="565">
        <f t="shared" si="154"/>
        <v>51835</v>
      </c>
      <c r="I270" s="566">
        <f t="shared" si="157"/>
        <v>2041</v>
      </c>
      <c r="K270" s="564">
        <f>[1]mProject!KB274</f>
        <v>0</v>
      </c>
      <c r="L270" s="564">
        <f t="shared" si="158"/>
        <v>950</v>
      </c>
      <c r="M270" s="564">
        <f t="shared" si="159"/>
        <v>295000</v>
      </c>
      <c r="N270" s="564">
        <f t="shared" si="160"/>
        <v>0</v>
      </c>
      <c r="O270" s="564">
        <f t="shared" si="179"/>
        <v>280250000</v>
      </c>
      <c r="P270" s="564">
        <f>[1]mProject!W274</f>
        <v>439941.77689350641</v>
      </c>
      <c r="Q270" s="564">
        <f t="shared" si="161"/>
        <v>0</v>
      </c>
      <c r="R270" s="564">
        <f t="shared" si="180"/>
        <v>296355280.38883054</v>
      </c>
      <c r="T270" s="564">
        <v>0</v>
      </c>
      <c r="U270" s="564">
        <f t="shared" si="162"/>
        <v>0</v>
      </c>
      <c r="V270" s="564">
        <f>IF(T270=0,0,$V$7*(1+#REF!)^#REF!)</f>
        <v>0</v>
      </c>
      <c r="W270" s="564">
        <f t="shared" si="181"/>
        <v>0</v>
      </c>
      <c r="X270" s="564">
        <f t="shared" si="163"/>
        <v>0</v>
      </c>
      <c r="Y270" s="564">
        <f t="shared" si="164"/>
        <v>0</v>
      </c>
      <c r="AA270" s="564">
        <v>0</v>
      </c>
      <c r="AB270" s="564">
        <f t="shared" si="165"/>
        <v>0</v>
      </c>
      <c r="AC270" s="564">
        <f>IF(AA270=0,0,$V$7*(1+#REF!)^#REF!)</f>
        <v>0</v>
      </c>
      <c r="AD270" s="564">
        <f t="shared" si="182"/>
        <v>0</v>
      </c>
      <c r="AE270" s="564">
        <f t="shared" si="166"/>
        <v>0</v>
      </c>
      <c r="AF270" s="564">
        <f t="shared" si="167"/>
        <v>0</v>
      </c>
      <c r="AH270" s="564">
        <f t="shared" si="168"/>
        <v>0</v>
      </c>
      <c r="AI270" s="564">
        <f t="shared" si="183"/>
        <v>950</v>
      </c>
      <c r="AJ270" s="564">
        <f t="shared" si="156"/>
        <v>0</v>
      </c>
      <c r="AK270" s="564">
        <f>AJ270*[1]mProject!V274</f>
        <v>0</v>
      </c>
      <c r="AL270" s="564">
        <f t="shared" si="169"/>
        <v>0</v>
      </c>
      <c r="AM270" s="564">
        <f t="shared" si="170"/>
        <v>0</v>
      </c>
      <c r="AN270" s="456"/>
      <c r="AO270" s="581" t="e">
        <f t="shared" si="149"/>
        <v>#REF!</v>
      </c>
      <c r="AP270" s="581" t="e">
        <f t="shared" si="153"/>
        <v>#REF!</v>
      </c>
      <c r="AQ270" s="581" t="e">
        <f t="shared" si="155"/>
        <v>#REF!</v>
      </c>
      <c r="AR270" s="582" t="e">
        <f t="shared" si="150"/>
        <v>#REF!</v>
      </c>
      <c r="AS270" s="564" t="e">
        <f t="shared" si="152"/>
        <v>#REF!</v>
      </c>
      <c r="AT270" s="564"/>
      <c r="AU270" s="564"/>
      <c r="AV270" s="564" t="e">
        <f t="shared" si="171"/>
        <v>#REF!</v>
      </c>
      <c r="AW270" s="564" t="e">
        <f>AI270*#REF!+AI269*#REF!+AI268*#REF!</f>
        <v>#REF!</v>
      </c>
      <c r="AX270" s="456"/>
      <c r="AY270" s="592">
        <f t="shared" si="184"/>
        <v>1.5521386284581604</v>
      </c>
      <c r="AZ270" s="564">
        <f t="shared" si="172"/>
        <v>0</v>
      </c>
      <c r="BA270" s="564">
        <f>BA269*[1]mProject!V275</f>
        <v>0</v>
      </c>
      <c r="BB270" s="564">
        <f t="shared" si="151"/>
        <v>17781316.823329829</v>
      </c>
      <c r="BC270" s="456"/>
      <c r="BD270" s="593">
        <f>((BB270/100)*(i_CFD.ObliRate/12))*[1]i.Finance!$O$64</f>
        <v>59826.722228495157</v>
      </c>
      <c r="BE270" s="593">
        <f>(AZ270/100*[1]i.Finance!$O$61)*[1]i.Finance!$O$64</f>
        <v>0</v>
      </c>
      <c r="BF270" s="593">
        <f>(AZ270/100*[1]i.Finance!$O$65)</f>
        <v>0</v>
      </c>
      <c r="BG270" s="594">
        <f t="shared" si="173"/>
        <v>59826.722228495157</v>
      </c>
      <c r="BH270" s="456"/>
      <c r="BI270" s="593">
        <f>-PV([1]i.Finance!$O$63/12,[1]i.Finance!$O$62*12,mCFD!BG270)</f>
        <v>10233961.918709608</v>
      </c>
      <c r="BJ270" s="593">
        <f>BI270*[1]i.Finance!$O$58</f>
        <v>8033660.1061870428</v>
      </c>
      <c r="BK270" s="593"/>
      <c r="BL270" s="593"/>
      <c r="BP270" s="564"/>
      <c r="BQ270" s="564"/>
      <c r="BR270" s="564" t="e">
        <f t="shared" si="174"/>
        <v>#NAME?</v>
      </c>
      <c r="BS270" s="564" t="e">
        <f t="shared" si="175"/>
        <v>#NAME?</v>
      </c>
      <c r="BT270" s="564" t="e">
        <f t="shared" si="176"/>
        <v>#NAME?</v>
      </c>
      <c r="BU270" s="564"/>
    </row>
    <row r="271" spans="1:73" ht="16" hidden="1" outlineLevel="2">
      <c r="A271" s="366"/>
      <c r="B271" s="562"/>
      <c r="C271" s="366"/>
      <c r="D271" s="454"/>
      <c r="E271" s="530">
        <f t="shared" si="185"/>
        <v>265</v>
      </c>
      <c r="F271" s="530">
        <f t="shared" si="177"/>
        <v>89</v>
      </c>
      <c r="G271" s="530">
        <f t="shared" si="178"/>
        <v>23</v>
      </c>
      <c r="H271" s="571">
        <f t="shared" si="154"/>
        <v>51866</v>
      </c>
      <c r="I271" s="532">
        <f t="shared" si="157"/>
        <v>2041</v>
      </c>
      <c r="K271" s="530">
        <f>[1]mProject!KB275</f>
        <v>0</v>
      </c>
      <c r="L271" s="530">
        <f t="shared" si="158"/>
        <v>950</v>
      </c>
      <c r="M271" s="530">
        <f t="shared" si="159"/>
        <v>295000</v>
      </c>
      <c r="N271" s="530">
        <f t="shared" si="160"/>
        <v>0</v>
      </c>
      <c r="O271" s="530">
        <f t="shared" si="179"/>
        <v>280250000</v>
      </c>
      <c r="P271" s="530">
        <f>[1]mProject!W275</f>
        <v>440675.01318832894</v>
      </c>
      <c r="Q271" s="530">
        <f t="shared" si="161"/>
        <v>0</v>
      </c>
      <c r="R271" s="530">
        <f t="shared" si="180"/>
        <v>296355280.38883054</v>
      </c>
      <c r="T271" s="530">
        <v>0</v>
      </c>
      <c r="U271" s="530">
        <f t="shared" si="162"/>
        <v>0</v>
      </c>
      <c r="V271" s="530">
        <f>IF(T271=0,0,$V$7*(1+#REF!)^#REF!)</f>
        <v>0</v>
      </c>
      <c r="W271" s="530">
        <f t="shared" si="181"/>
        <v>0</v>
      </c>
      <c r="X271" s="530">
        <f t="shared" si="163"/>
        <v>0</v>
      </c>
      <c r="Y271" s="530">
        <f t="shared" si="164"/>
        <v>0</v>
      </c>
      <c r="AA271" s="530">
        <v>0</v>
      </c>
      <c r="AB271" s="530">
        <f t="shared" si="165"/>
        <v>0</v>
      </c>
      <c r="AC271" s="530">
        <f>IF(AA271=0,0,$V$7*(1+#REF!)^#REF!)</f>
        <v>0</v>
      </c>
      <c r="AD271" s="530">
        <f t="shared" si="182"/>
        <v>0</v>
      </c>
      <c r="AE271" s="530">
        <f t="shared" si="166"/>
        <v>0</v>
      </c>
      <c r="AF271" s="530">
        <f t="shared" si="167"/>
        <v>0</v>
      </c>
      <c r="AH271" s="530">
        <f t="shared" si="168"/>
        <v>0</v>
      </c>
      <c r="AI271" s="530">
        <f t="shared" si="183"/>
        <v>950</v>
      </c>
      <c r="AJ271" s="530">
        <f t="shared" si="156"/>
        <v>0</v>
      </c>
      <c r="AK271" s="530">
        <f>AJ271*[1]mProject!V275</f>
        <v>0</v>
      </c>
      <c r="AL271" s="530">
        <f t="shared" si="169"/>
        <v>0</v>
      </c>
      <c r="AM271" s="530">
        <f t="shared" si="170"/>
        <v>0</v>
      </c>
      <c r="AN271" s="456"/>
      <c r="AO271" s="572" t="e">
        <f t="shared" si="149"/>
        <v>#REF!</v>
      </c>
      <c r="AP271" s="572" t="e">
        <f t="shared" si="153"/>
        <v>#REF!</v>
      </c>
      <c r="AQ271" s="572" t="e">
        <f t="shared" si="155"/>
        <v>#REF!</v>
      </c>
      <c r="AR271" s="573" t="e">
        <f t="shared" si="150"/>
        <v>#REF!</v>
      </c>
      <c r="AS271" s="530" t="e">
        <f t="shared" si="152"/>
        <v>#REF!</v>
      </c>
      <c r="AT271" s="530"/>
      <c r="AU271" s="530"/>
      <c r="AV271" s="530" t="e">
        <f t="shared" si="171"/>
        <v>#REF!</v>
      </c>
      <c r="AW271" s="530" t="e">
        <f>AI271*#REF!+AI270*#REF!+AI269*#REF!</f>
        <v>#REF!</v>
      </c>
      <c r="AX271" s="456"/>
      <c r="AY271" s="583">
        <f t="shared" si="184"/>
        <v>1.5547255261722575</v>
      </c>
      <c r="AZ271" s="530">
        <f t="shared" si="172"/>
        <v>0</v>
      </c>
      <c r="BA271" s="530">
        <f>BA270*[1]mProject!V276</f>
        <v>0</v>
      </c>
      <c r="BB271" s="530">
        <f t="shared" si="151"/>
        <v>17781316.823329829</v>
      </c>
      <c r="BC271" s="456"/>
      <c r="BD271" s="590">
        <f>((BB271/100)*(i_CFD.ObliRate/12))*[1]i.Finance!$O$64</f>
        <v>59826.722228495157</v>
      </c>
      <c r="BE271" s="590">
        <f>(AZ271/100*[1]i.Finance!$O$61)*[1]i.Finance!$O$64</f>
        <v>0</v>
      </c>
      <c r="BF271" s="590">
        <f>(AZ271/100*[1]i.Finance!$O$65)</f>
        <v>0</v>
      </c>
      <c r="BG271" s="591">
        <f t="shared" si="173"/>
        <v>59826.722228495157</v>
      </c>
      <c r="BH271" s="456"/>
      <c r="BI271" s="590">
        <f>-PV([1]i.Finance!$O$63/12,[1]i.Finance!$O$62*12,mCFD!BG271)</f>
        <v>10233961.918709608</v>
      </c>
      <c r="BJ271" s="590">
        <f>BI271*[1]i.Finance!$O$58</f>
        <v>8033660.1061870428</v>
      </c>
      <c r="BK271" s="590"/>
      <c r="BL271" s="590"/>
      <c r="BP271" s="530"/>
      <c r="BQ271" s="530"/>
      <c r="BR271" s="530" t="e">
        <f t="shared" si="174"/>
        <v>#NAME?</v>
      </c>
      <c r="BS271" s="530" t="e">
        <f t="shared" si="175"/>
        <v>#NAME?</v>
      </c>
      <c r="BT271" s="530" t="e">
        <f t="shared" si="176"/>
        <v>#NAME?</v>
      </c>
      <c r="BU271" s="530"/>
    </row>
    <row r="272" spans="1:73" ht="16" hidden="1" outlineLevel="2">
      <c r="A272" s="366"/>
      <c r="B272" s="562"/>
      <c r="C272" s="366"/>
      <c r="D272" s="454"/>
      <c r="E272" s="533">
        <f t="shared" si="185"/>
        <v>266</v>
      </c>
      <c r="F272" s="533">
        <f t="shared" si="177"/>
        <v>89</v>
      </c>
      <c r="G272" s="533">
        <f t="shared" si="178"/>
        <v>23</v>
      </c>
      <c r="H272" s="541">
        <f t="shared" si="154"/>
        <v>51897</v>
      </c>
      <c r="I272" s="542">
        <f t="shared" si="157"/>
        <v>2042</v>
      </c>
      <c r="K272" s="533">
        <f>[1]mProject!KB276</f>
        <v>0</v>
      </c>
      <c r="L272" s="533">
        <f t="shared" si="158"/>
        <v>950</v>
      </c>
      <c r="M272" s="533">
        <f t="shared" si="159"/>
        <v>295000</v>
      </c>
      <c r="N272" s="533">
        <f t="shared" si="160"/>
        <v>0</v>
      </c>
      <c r="O272" s="533">
        <f t="shared" si="179"/>
        <v>280250000</v>
      </c>
      <c r="P272" s="533">
        <f>[1]mProject!W276</f>
        <v>441409.47154364287</v>
      </c>
      <c r="Q272" s="533">
        <f t="shared" si="161"/>
        <v>0</v>
      </c>
      <c r="R272" s="533">
        <f t="shared" si="180"/>
        <v>296355280.38883054</v>
      </c>
      <c r="T272" s="533">
        <v>0</v>
      </c>
      <c r="U272" s="533">
        <f t="shared" si="162"/>
        <v>0</v>
      </c>
      <c r="V272" s="533">
        <f>IF(T272=0,0,$V$7*(1+#REF!)^#REF!)</f>
        <v>0</v>
      </c>
      <c r="W272" s="533">
        <f t="shared" si="181"/>
        <v>0</v>
      </c>
      <c r="X272" s="533">
        <f t="shared" si="163"/>
        <v>0</v>
      </c>
      <c r="Y272" s="533">
        <f t="shared" si="164"/>
        <v>0</v>
      </c>
      <c r="AA272" s="533">
        <v>0</v>
      </c>
      <c r="AB272" s="533">
        <f t="shared" si="165"/>
        <v>0</v>
      </c>
      <c r="AC272" s="533">
        <f>IF(AA272=0,0,$V$7*(1+#REF!)^#REF!)</f>
        <v>0</v>
      </c>
      <c r="AD272" s="533">
        <f t="shared" si="182"/>
        <v>0</v>
      </c>
      <c r="AE272" s="533">
        <f t="shared" si="166"/>
        <v>0</v>
      </c>
      <c r="AF272" s="533">
        <f t="shared" si="167"/>
        <v>0</v>
      </c>
      <c r="AH272" s="533">
        <f t="shared" si="168"/>
        <v>0</v>
      </c>
      <c r="AI272" s="533">
        <f t="shared" si="183"/>
        <v>950</v>
      </c>
      <c r="AJ272" s="533">
        <f t="shared" si="156"/>
        <v>0</v>
      </c>
      <c r="AK272" s="533">
        <f>AJ272*[1]mProject!V276</f>
        <v>0</v>
      </c>
      <c r="AL272" s="533">
        <f t="shared" si="169"/>
        <v>0</v>
      </c>
      <c r="AM272" s="533">
        <f t="shared" si="170"/>
        <v>0</v>
      </c>
      <c r="AN272" s="456"/>
      <c r="AO272" s="575" t="e">
        <f t="shared" si="149"/>
        <v>#REF!</v>
      </c>
      <c r="AP272" s="575" t="e">
        <f t="shared" si="153"/>
        <v>#REF!</v>
      </c>
      <c r="AQ272" s="575" t="e">
        <f t="shared" si="155"/>
        <v>#REF!</v>
      </c>
      <c r="AR272" s="576" t="e">
        <f t="shared" si="150"/>
        <v>#REF!</v>
      </c>
      <c r="AS272" s="533" t="e">
        <f t="shared" si="152"/>
        <v>#REF!</v>
      </c>
      <c r="AT272" s="533"/>
      <c r="AU272" s="533"/>
      <c r="AV272" s="533" t="e">
        <f t="shared" si="171"/>
        <v>#REF!</v>
      </c>
      <c r="AW272" s="533" t="e">
        <f>AI272*#REF!+AI271*#REF!+AI270*#REF!</f>
        <v>#REF!</v>
      </c>
      <c r="AX272" s="456"/>
      <c r="AY272" s="584">
        <f t="shared" si="184"/>
        <v>1.5573167353825446</v>
      </c>
      <c r="AZ272" s="533">
        <f t="shared" si="172"/>
        <v>0</v>
      </c>
      <c r="BA272" s="533">
        <f>BA271*[1]mProject!V277</f>
        <v>0</v>
      </c>
      <c r="BB272" s="533">
        <f t="shared" si="151"/>
        <v>17781316.823329829</v>
      </c>
      <c r="BC272" s="456"/>
      <c r="BD272" s="586">
        <f>((BB272/100)*(i_CFD.ObliRate/12))*[1]i.Finance!$O$64</f>
        <v>59826.722228495157</v>
      </c>
      <c r="BE272" s="586">
        <f>(AZ272/100*[1]i.Finance!$O$61)*[1]i.Finance!$O$64</f>
        <v>0</v>
      </c>
      <c r="BF272" s="586">
        <f>(AZ272/100*[1]i.Finance!$O$65)</f>
        <v>0</v>
      </c>
      <c r="BG272" s="587">
        <f t="shared" si="173"/>
        <v>59826.722228495157</v>
      </c>
      <c r="BH272" s="456"/>
      <c r="BI272" s="586">
        <f>-PV([1]i.Finance!$O$63/12,[1]i.Finance!$O$62*12,mCFD!BG272)</f>
        <v>10233961.918709608</v>
      </c>
      <c r="BJ272" s="586">
        <f>BI272*[1]i.Finance!$O$58</f>
        <v>8033660.1061870428</v>
      </c>
      <c r="BK272" s="586"/>
      <c r="BL272" s="586"/>
      <c r="BP272" s="533"/>
      <c r="BQ272" s="533"/>
      <c r="BR272" s="533" t="e">
        <f t="shared" si="174"/>
        <v>#NAME?</v>
      </c>
      <c r="BS272" s="533" t="e">
        <f t="shared" si="175"/>
        <v>#NAME?</v>
      </c>
      <c r="BT272" s="533" t="e">
        <f t="shared" si="176"/>
        <v>#NAME?</v>
      </c>
      <c r="BU272" s="533"/>
    </row>
    <row r="273" spans="1:73" ht="16" hidden="1" outlineLevel="2">
      <c r="A273" s="366"/>
      <c r="B273" s="562"/>
      <c r="C273" s="366"/>
      <c r="D273" s="454"/>
      <c r="E273" s="547">
        <f t="shared" si="185"/>
        <v>267</v>
      </c>
      <c r="F273" s="547">
        <f t="shared" si="177"/>
        <v>89</v>
      </c>
      <c r="G273" s="547">
        <f t="shared" si="178"/>
        <v>23</v>
      </c>
      <c r="H273" s="548">
        <f t="shared" si="154"/>
        <v>51925</v>
      </c>
      <c r="I273" s="549">
        <f t="shared" si="157"/>
        <v>2042</v>
      </c>
      <c r="K273" s="547">
        <f>[1]mProject!KB277</f>
        <v>0</v>
      </c>
      <c r="L273" s="547">
        <f t="shared" si="158"/>
        <v>950</v>
      </c>
      <c r="M273" s="547">
        <f t="shared" si="159"/>
        <v>295000</v>
      </c>
      <c r="N273" s="547">
        <f t="shared" si="160"/>
        <v>0</v>
      </c>
      <c r="O273" s="547">
        <f t="shared" si="179"/>
        <v>280250000</v>
      </c>
      <c r="P273" s="547">
        <f>[1]mProject!W277</f>
        <v>442145.15399621561</v>
      </c>
      <c r="Q273" s="547">
        <f t="shared" si="161"/>
        <v>0</v>
      </c>
      <c r="R273" s="547">
        <f t="shared" si="180"/>
        <v>296355280.38883054</v>
      </c>
      <c r="T273" s="547">
        <v>0</v>
      </c>
      <c r="U273" s="547">
        <f t="shared" si="162"/>
        <v>0</v>
      </c>
      <c r="V273" s="547">
        <f>IF(T273=0,0,$V$7*(1+#REF!)^#REF!)</f>
        <v>0</v>
      </c>
      <c r="W273" s="547">
        <f t="shared" si="181"/>
        <v>0</v>
      </c>
      <c r="X273" s="547">
        <f t="shared" si="163"/>
        <v>0</v>
      </c>
      <c r="Y273" s="547">
        <f t="shared" si="164"/>
        <v>0</v>
      </c>
      <c r="AA273" s="547">
        <v>0</v>
      </c>
      <c r="AB273" s="547">
        <f t="shared" si="165"/>
        <v>0</v>
      </c>
      <c r="AC273" s="547">
        <f>IF(AA273=0,0,$V$7*(1+#REF!)^#REF!)</f>
        <v>0</v>
      </c>
      <c r="AD273" s="547">
        <f t="shared" si="182"/>
        <v>0</v>
      </c>
      <c r="AE273" s="547">
        <f t="shared" si="166"/>
        <v>0</v>
      </c>
      <c r="AF273" s="547">
        <f t="shared" si="167"/>
        <v>0</v>
      </c>
      <c r="AH273" s="547">
        <f t="shared" si="168"/>
        <v>0</v>
      </c>
      <c r="AI273" s="547">
        <f t="shared" si="183"/>
        <v>950</v>
      </c>
      <c r="AJ273" s="547">
        <f t="shared" si="156"/>
        <v>0</v>
      </c>
      <c r="AK273" s="547">
        <f>AJ273*[1]mProject!V277</f>
        <v>0</v>
      </c>
      <c r="AL273" s="547">
        <f t="shared" si="169"/>
        <v>0</v>
      </c>
      <c r="AM273" s="547">
        <f t="shared" si="170"/>
        <v>0</v>
      </c>
      <c r="AN273" s="456"/>
      <c r="AO273" s="577" t="e">
        <f t="shared" si="149"/>
        <v>#REF!</v>
      </c>
      <c r="AP273" s="577" t="e">
        <f t="shared" si="153"/>
        <v>#REF!</v>
      </c>
      <c r="AQ273" s="577" t="e">
        <f t="shared" si="155"/>
        <v>#REF!</v>
      </c>
      <c r="AR273" s="578" t="e">
        <f t="shared" si="150"/>
        <v>#REF!</v>
      </c>
      <c r="AS273" s="547" t="e">
        <f t="shared" si="152"/>
        <v>#REF!</v>
      </c>
      <c r="AT273" s="547"/>
      <c r="AU273" s="547"/>
      <c r="AV273" s="547" t="e">
        <f t="shared" si="171"/>
        <v>#REF!</v>
      </c>
      <c r="AW273" s="547" t="e">
        <f>AI273*#REF!+AI272*#REF!+AI271*#REF!</f>
        <v>#REF!</v>
      </c>
      <c r="AX273" s="456"/>
      <c r="AY273" s="585">
        <f t="shared" si="184"/>
        <v>1.5599122632748488</v>
      </c>
      <c r="AZ273" s="547">
        <f t="shared" si="172"/>
        <v>0</v>
      </c>
      <c r="BA273" s="547">
        <f>BA272*[1]mProject!V278</f>
        <v>0</v>
      </c>
      <c r="BB273" s="547">
        <f t="shared" si="151"/>
        <v>17781316.823329829</v>
      </c>
      <c r="BC273" s="456"/>
      <c r="BD273" s="588">
        <f>((BB273/100)*(i_CFD.ObliRate/12))*[1]i.Finance!$O$64</f>
        <v>59826.722228495157</v>
      </c>
      <c r="BE273" s="588">
        <f>(AZ273/100*[1]i.Finance!$O$61)*[1]i.Finance!$O$64</f>
        <v>0</v>
      </c>
      <c r="BF273" s="588">
        <f>(AZ273/100*[1]i.Finance!$O$65)</f>
        <v>0</v>
      </c>
      <c r="BG273" s="589">
        <f t="shared" si="173"/>
        <v>59826.722228495157</v>
      </c>
      <c r="BH273" s="456"/>
      <c r="BI273" s="588">
        <f>-PV([1]i.Finance!$O$63/12,[1]i.Finance!$O$62*12,mCFD!BG273)</f>
        <v>10233961.918709608</v>
      </c>
      <c r="BJ273" s="588">
        <f>BI273*[1]i.Finance!$O$58</f>
        <v>8033660.1061870428</v>
      </c>
      <c r="BK273" s="588"/>
      <c r="BL273" s="588"/>
      <c r="BP273" s="547"/>
      <c r="BQ273" s="547"/>
      <c r="BR273" s="547" t="e">
        <f t="shared" si="174"/>
        <v>#NAME?</v>
      </c>
      <c r="BS273" s="547" t="e">
        <f t="shared" si="175"/>
        <v>#NAME?</v>
      </c>
      <c r="BT273" s="547" t="e">
        <f t="shared" si="176"/>
        <v>#NAME?</v>
      </c>
      <c r="BU273" s="547"/>
    </row>
    <row r="274" spans="1:73" ht="16" hidden="1" outlineLevel="2">
      <c r="A274" s="366"/>
      <c r="B274" s="562"/>
      <c r="C274" s="366"/>
      <c r="D274" s="454"/>
      <c r="E274" s="530">
        <f t="shared" si="185"/>
        <v>268</v>
      </c>
      <c r="F274" s="530">
        <f t="shared" si="177"/>
        <v>90</v>
      </c>
      <c r="G274" s="530">
        <f t="shared" si="178"/>
        <v>23</v>
      </c>
      <c r="H274" s="554">
        <f t="shared" si="154"/>
        <v>51956</v>
      </c>
      <c r="I274" s="555">
        <f t="shared" si="157"/>
        <v>2042</v>
      </c>
      <c r="K274" s="530">
        <f>[1]mProject!KB278</f>
        <v>0</v>
      </c>
      <c r="L274" s="530">
        <f t="shared" si="158"/>
        <v>950</v>
      </c>
      <c r="M274" s="530">
        <f t="shared" si="159"/>
        <v>295000</v>
      </c>
      <c r="N274" s="530">
        <f t="shared" si="160"/>
        <v>0</v>
      </c>
      <c r="O274" s="530">
        <f t="shared" si="179"/>
        <v>280250000</v>
      </c>
      <c r="P274" s="530">
        <f>[1]mProject!W278</f>
        <v>442882.06258620933</v>
      </c>
      <c r="Q274" s="530">
        <f t="shared" si="161"/>
        <v>0</v>
      </c>
      <c r="R274" s="530">
        <f t="shared" si="180"/>
        <v>296355280.38883054</v>
      </c>
      <c r="T274" s="530">
        <v>0</v>
      </c>
      <c r="U274" s="530">
        <f t="shared" si="162"/>
        <v>0</v>
      </c>
      <c r="V274" s="530">
        <f>IF(T274=0,0,$V$7*(1+#REF!)^#REF!)</f>
        <v>0</v>
      </c>
      <c r="W274" s="530">
        <f t="shared" si="181"/>
        <v>0</v>
      </c>
      <c r="X274" s="530">
        <f t="shared" si="163"/>
        <v>0</v>
      </c>
      <c r="Y274" s="530">
        <f t="shared" si="164"/>
        <v>0</v>
      </c>
      <c r="AA274" s="530">
        <v>0</v>
      </c>
      <c r="AB274" s="530">
        <f t="shared" si="165"/>
        <v>0</v>
      </c>
      <c r="AC274" s="530">
        <f>IF(AA274=0,0,$V$7*(1+#REF!)^#REF!)</f>
        <v>0</v>
      </c>
      <c r="AD274" s="530">
        <f t="shared" si="182"/>
        <v>0</v>
      </c>
      <c r="AE274" s="530">
        <f t="shared" si="166"/>
        <v>0</v>
      </c>
      <c r="AF274" s="530">
        <f t="shared" si="167"/>
        <v>0</v>
      </c>
      <c r="AH274" s="530">
        <f t="shared" si="168"/>
        <v>0</v>
      </c>
      <c r="AI274" s="530">
        <f t="shared" si="183"/>
        <v>950</v>
      </c>
      <c r="AJ274" s="530">
        <f t="shared" si="156"/>
        <v>0</v>
      </c>
      <c r="AK274" s="530">
        <f>AJ274*[1]mProject!V278</f>
        <v>0</v>
      </c>
      <c r="AL274" s="530">
        <f t="shared" si="169"/>
        <v>0</v>
      </c>
      <c r="AM274" s="530">
        <f t="shared" si="170"/>
        <v>0</v>
      </c>
      <c r="AN274" s="456"/>
      <c r="AO274" s="572" t="e">
        <f t="shared" si="149"/>
        <v>#REF!</v>
      </c>
      <c r="AP274" s="572" t="e">
        <f t="shared" si="153"/>
        <v>#REF!</v>
      </c>
      <c r="AQ274" s="572" t="e">
        <f t="shared" si="155"/>
        <v>#REF!</v>
      </c>
      <c r="AR274" s="573" t="e">
        <f t="shared" si="150"/>
        <v>#REF!</v>
      </c>
      <c r="AS274" s="530" t="e">
        <f t="shared" si="152"/>
        <v>#REF!</v>
      </c>
      <c r="AT274" s="530"/>
      <c r="AU274" s="530"/>
      <c r="AV274" s="530" t="e">
        <f t="shared" si="171"/>
        <v>#REF!</v>
      </c>
      <c r="AW274" s="530" t="e">
        <f>AI274*#REF!+AI273*#REF!+AI272*#REF!</f>
        <v>#REF!</v>
      </c>
      <c r="AX274" s="456"/>
      <c r="AY274" s="583">
        <f t="shared" si="184"/>
        <v>1.5625121170469736</v>
      </c>
      <c r="AZ274" s="530">
        <f t="shared" si="172"/>
        <v>0</v>
      </c>
      <c r="BA274" s="530">
        <f>BA273*[1]mProject!V279</f>
        <v>0</v>
      </c>
      <c r="BB274" s="530">
        <f t="shared" si="151"/>
        <v>17781316.823329829</v>
      </c>
      <c r="BC274" s="456"/>
      <c r="BD274" s="590">
        <f>((BB274/100)*(i_CFD.ObliRate/12))*[1]i.Finance!$O$64</f>
        <v>59826.722228495157</v>
      </c>
      <c r="BE274" s="590">
        <f>(AZ274/100*[1]i.Finance!$O$61)*[1]i.Finance!$O$64</f>
        <v>0</v>
      </c>
      <c r="BF274" s="590">
        <f>(AZ274/100*[1]i.Finance!$O$65)</f>
        <v>0</v>
      </c>
      <c r="BG274" s="591">
        <f t="shared" si="173"/>
        <v>59826.722228495157</v>
      </c>
      <c r="BH274" s="456"/>
      <c r="BI274" s="590">
        <f>-PV([1]i.Finance!$O$63/12,[1]i.Finance!$O$62*12,mCFD!BG274)</f>
        <v>10233961.918709608</v>
      </c>
      <c r="BJ274" s="590">
        <f>BI274*[1]i.Finance!$O$58</f>
        <v>8033660.1061870428</v>
      </c>
      <c r="BK274" s="590"/>
      <c r="BL274" s="590"/>
      <c r="BP274" s="530"/>
      <c r="BQ274" s="530"/>
      <c r="BR274" s="530" t="e">
        <f t="shared" si="174"/>
        <v>#NAME?</v>
      </c>
      <c r="BS274" s="530" t="e">
        <f t="shared" si="175"/>
        <v>#NAME?</v>
      </c>
      <c r="BT274" s="530" t="e">
        <f t="shared" si="176"/>
        <v>#NAME?</v>
      </c>
      <c r="BU274" s="530"/>
    </row>
    <row r="275" spans="1:73" ht="16" hidden="1" outlineLevel="2">
      <c r="A275" s="366"/>
      <c r="B275" s="562"/>
      <c r="C275" s="366"/>
      <c r="D275" s="454"/>
      <c r="E275" s="533">
        <f t="shared" si="185"/>
        <v>269</v>
      </c>
      <c r="F275" s="533">
        <f t="shared" si="177"/>
        <v>90</v>
      </c>
      <c r="G275" s="533">
        <f t="shared" si="178"/>
        <v>23</v>
      </c>
      <c r="H275" s="541">
        <f t="shared" si="154"/>
        <v>51986</v>
      </c>
      <c r="I275" s="542">
        <f t="shared" si="157"/>
        <v>2042</v>
      </c>
      <c r="K275" s="533">
        <f>[1]mProject!KB279</f>
        <v>0</v>
      </c>
      <c r="L275" s="533">
        <f t="shared" si="158"/>
        <v>950</v>
      </c>
      <c r="M275" s="533">
        <f t="shared" si="159"/>
        <v>295000</v>
      </c>
      <c r="N275" s="533">
        <f t="shared" si="160"/>
        <v>0</v>
      </c>
      <c r="O275" s="533">
        <f t="shared" si="179"/>
        <v>280250000</v>
      </c>
      <c r="P275" s="533">
        <f>[1]mProject!W279</f>
        <v>443620.19935718639</v>
      </c>
      <c r="Q275" s="533">
        <f t="shared" si="161"/>
        <v>0</v>
      </c>
      <c r="R275" s="533">
        <f t="shared" si="180"/>
        <v>296355280.38883054</v>
      </c>
      <c r="T275" s="533">
        <v>0</v>
      </c>
      <c r="U275" s="533">
        <f t="shared" si="162"/>
        <v>0</v>
      </c>
      <c r="V275" s="533">
        <f>IF(T275=0,0,$V$7*(1+#REF!)^#REF!)</f>
        <v>0</v>
      </c>
      <c r="W275" s="533">
        <f t="shared" si="181"/>
        <v>0</v>
      </c>
      <c r="X275" s="533">
        <f t="shared" si="163"/>
        <v>0</v>
      </c>
      <c r="Y275" s="533">
        <f t="shared" si="164"/>
        <v>0</v>
      </c>
      <c r="AA275" s="533">
        <v>0</v>
      </c>
      <c r="AB275" s="533">
        <f t="shared" si="165"/>
        <v>0</v>
      </c>
      <c r="AC275" s="533">
        <f>IF(AA275=0,0,$V$7*(1+#REF!)^#REF!)</f>
        <v>0</v>
      </c>
      <c r="AD275" s="533">
        <f t="shared" si="182"/>
        <v>0</v>
      </c>
      <c r="AE275" s="533">
        <f t="shared" si="166"/>
        <v>0</v>
      </c>
      <c r="AF275" s="533">
        <f t="shared" si="167"/>
        <v>0</v>
      </c>
      <c r="AH275" s="533">
        <f t="shared" si="168"/>
        <v>0</v>
      </c>
      <c r="AI275" s="533">
        <f t="shared" si="183"/>
        <v>950</v>
      </c>
      <c r="AJ275" s="533">
        <f t="shared" si="156"/>
        <v>0</v>
      </c>
      <c r="AK275" s="533">
        <f>AJ275*[1]mProject!V279</f>
        <v>0</v>
      </c>
      <c r="AL275" s="533">
        <f t="shared" si="169"/>
        <v>0</v>
      </c>
      <c r="AM275" s="533">
        <f t="shared" si="170"/>
        <v>0</v>
      </c>
      <c r="AN275" s="456"/>
      <c r="AO275" s="575" t="e">
        <f t="shared" ref="AO275:AO338" si="186">$L275*AO$6</f>
        <v>#REF!</v>
      </c>
      <c r="AP275" s="575" t="e">
        <f t="shared" si="153"/>
        <v>#REF!</v>
      </c>
      <c r="AQ275" s="575" t="e">
        <f t="shared" si="155"/>
        <v>#REF!</v>
      </c>
      <c r="AR275" s="576" t="e">
        <f t="shared" ref="AR275:AR338" si="187">SUM(AO275:AQ275)</f>
        <v>#REF!</v>
      </c>
      <c r="AS275" s="533" t="e">
        <f t="shared" si="152"/>
        <v>#REF!</v>
      </c>
      <c r="AT275" s="533"/>
      <c r="AU275" s="533"/>
      <c r="AV275" s="533" t="e">
        <f t="shared" si="171"/>
        <v>#REF!</v>
      </c>
      <c r="AW275" s="533" t="e">
        <f>AI275*#REF!+AI274*#REF!+AI273*#REF!</f>
        <v>#REF!</v>
      </c>
      <c r="AX275" s="456"/>
      <c r="AY275" s="584">
        <f t="shared" si="184"/>
        <v>1.5651163039087186</v>
      </c>
      <c r="AZ275" s="533">
        <f t="shared" si="172"/>
        <v>0</v>
      </c>
      <c r="BA275" s="533">
        <f>BA274*[1]mProject!V280</f>
        <v>0</v>
      </c>
      <c r="BB275" s="533">
        <f t="shared" ref="BB275:BB338" si="188">BB274+AZ275+BA275</f>
        <v>17781316.823329829</v>
      </c>
      <c r="BC275" s="456"/>
      <c r="BD275" s="586">
        <f>((BB275/100)*(i_CFD.ObliRate/12))*[1]i.Finance!$O$64</f>
        <v>59826.722228495157</v>
      </c>
      <c r="BE275" s="586">
        <f>(AZ275/100*[1]i.Finance!$O$61)*[1]i.Finance!$O$64</f>
        <v>0</v>
      </c>
      <c r="BF275" s="586">
        <f>(AZ275/100*[1]i.Finance!$O$65)</f>
        <v>0</v>
      </c>
      <c r="BG275" s="587">
        <f t="shared" si="173"/>
        <v>59826.722228495157</v>
      </c>
      <c r="BH275" s="456"/>
      <c r="BI275" s="586">
        <f>-PV([1]i.Finance!$O$63/12,[1]i.Finance!$O$62*12,mCFD!BG275)</f>
        <v>10233961.918709608</v>
      </c>
      <c r="BJ275" s="586">
        <f>BI275*[1]i.Finance!$O$58</f>
        <v>8033660.1061870428</v>
      </c>
      <c r="BK275" s="586"/>
      <c r="BL275" s="586"/>
      <c r="BP275" s="533"/>
      <c r="BQ275" s="533"/>
      <c r="BR275" s="533" t="e">
        <f t="shared" si="174"/>
        <v>#NAME?</v>
      </c>
      <c r="BS275" s="533" t="e">
        <f t="shared" si="175"/>
        <v>#NAME?</v>
      </c>
      <c r="BT275" s="533" t="e">
        <f t="shared" si="176"/>
        <v>#NAME?</v>
      </c>
      <c r="BU275" s="533"/>
    </row>
    <row r="276" spans="1:73" ht="16" hidden="1" outlineLevel="2">
      <c r="A276" s="366"/>
      <c r="B276" s="562"/>
      <c r="C276" s="366"/>
      <c r="D276" s="454"/>
      <c r="E276" s="547">
        <f t="shared" si="185"/>
        <v>270</v>
      </c>
      <c r="F276" s="547">
        <f t="shared" si="177"/>
        <v>90</v>
      </c>
      <c r="G276" s="547">
        <f t="shared" si="178"/>
        <v>23</v>
      </c>
      <c r="H276" s="548">
        <f t="shared" si="154"/>
        <v>52017</v>
      </c>
      <c r="I276" s="549">
        <f t="shared" si="157"/>
        <v>2042</v>
      </c>
      <c r="K276" s="547">
        <f>[1]mProject!KB280</f>
        <v>0</v>
      </c>
      <c r="L276" s="547">
        <f t="shared" si="158"/>
        <v>950</v>
      </c>
      <c r="M276" s="547">
        <f t="shared" si="159"/>
        <v>295000</v>
      </c>
      <c r="N276" s="547">
        <f t="shared" si="160"/>
        <v>0</v>
      </c>
      <c r="O276" s="547">
        <f t="shared" si="179"/>
        <v>280250000</v>
      </c>
      <c r="P276" s="547">
        <f>[1]mProject!W280</f>
        <v>444359.56635611504</v>
      </c>
      <c r="Q276" s="547">
        <f t="shared" si="161"/>
        <v>0</v>
      </c>
      <c r="R276" s="547">
        <f t="shared" si="180"/>
        <v>296355280.38883054</v>
      </c>
      <c r="T276" s="547">
        <v>0</v>
      </c>
      <c r="U276" s="547">
        <f t="shared" si="162"/>
        <v>0</v>
      </c>
      <c r="V276" s="547">
        <f>IF(T276=0,0,$V$7*(1+#REF!)^#REF!)</f>
        <v>0</v>
      </c>
      <c r="W276" s="547">
        <f t="shared" si="181"/>
        <v>0</v>
      </c>
      <c r="X276" s="547">
        <f t="shared" si="163"/>
        <v>0</v>
      </c>
      <c r="Y276" s="547">
        <f t="shared" si="164"/>
        <v>0</v>
      </c>
      <c r="AA276" s="547">
        <v>0</v>
      </c>
      <c r="AB276" s="547">
        <f t="shared" si="165"/>
        <v>0</v>
      </c>
      <c r="AC276" s="547">
        <f>IF(AA276=0,0,$V$7*(1+#REF!)^#REF!)</f>
        <v>0</v>
      </c>
      <c r="AD276" s="547">
        <f t="shared" si="182"/>
        <v>0</v>
      </c>
      <c r="AE276" s="547">
        <f t="shared" si="166"/>
        <v>0</v>
      </c>
      <c r="AF276" s="547">
        <f t="shared" si="167"/>
        <v>0</v>
      </c>
      <c r="AH276" s="547">
        <f t="shared" si="168"/>
        <v>0</v>
      </c>
      <c r="AI276" s="547">
        <f t="shared" si="183"/>
        <v>950</v>
      </c>
      <c r="AJ276" s="547">
        <f t="shared" si="156"/>
        <v>0</v>
      </c>
      <c r="AK276" s="547">
        <f>AJ276*[1]mProject!V280</f>
        <v>0</v>
      </c>
      <c r="AL276" s="547">
        <f t="shared" si="169"/>
        <v>0</v>
      </c>
      <c r="AM276" s="547">
        <f t="shared" si="170"/>
        <v>0</v>
      </c>
      <c r="AN276" s="456"/>
      <c r="AO276" s="577" t="e">
        <f t="shared" si="186"/>
        <v>#REF!</v>
      </c>
      <c r="AP276" s="577" t="e">
        <f t="shared" si="153"/>
        <v>#REF!</v>
      </c>
      <c r="AQ276" s="577" t="e">
        <f t="shared" si="155"/>
        <v>#REF!</v>
      </c>
      <c r="AR276" s="578" t="e">
        <f t="shared" si="187"/>
        <v>#REF!</v>
      </c>
      <c r="AS276" s="547" t="e">
        <f t="shared" si="152"/>
        <v>#REF!</v>
      </c>
      <c r="AT276" s="547"/>
      <c r="AU276" s="547"/>
      <c r="AV276" s="547" t="e">
        <f t="shared" si="171"/>
        <v>#REF!</v>
      </c>
      <c r="AW276" s="547" t="e">
        <f>AI276*#REF!+AI275*#REF!+AI274*#REF!</f>
        <v>#REF!</v>
      </c>
      <c r="AX276" s="456"/>
      <c r="AY276" s="585">
        <f t="shared" si="184"/>
        <v>1.5677248310818999</v>
      </c>
      <c r="AZ276" s="547">
        <f t="shared" si="172"/>
        <v>0</v>
      </c>
      <c r="BA276" s="547">
        <f>BA275*[1]mProject!V281</f>
        <v>0</v>
      </c>
      <c r="BB276" s="547">
        <f t="shared" si="188"/>
        <v>17781316.823329829</v>
      </c>
      <c r="BC276" s="456"/>
      <c r="BD276" s="588">
        <f>((BB276/100)*(i_CFD.ObliRate/12))*[1]i.Finance!$O$64</f>
        <v>59826.722228495157</v>
      </c>
      <c r="BE276" s="588">
        <f>(AZ276/100*[1]i.Finance!$O$61)*[1]i.Finance!$O$64</f>
        <v>0</v>
      </c>
      <c r="BF276" s="588">
        <f>(AZ276/100*[1]i.Finance!$O$65)</f>
        <v>0</v>
      </c>
      <c r="BG276" s="589">
        <f t="shared" si="173"/>
        <v>59826.722228495157</v>
      </c>
      <c r="BH276" s="456"/>
      <c r="BI276" s="588">
        <f>-PV([1]i.Finance!$O$63/12,[1]i.Finance!$O$62*12,mCFD!BG276)</f>
        <v>10233961.918709608</v>
      </c>
      <c r="BJ276" s="588">
        <f>BI276*[1]i.Finance!$O$58</f>
        <v>8033660.1061870428</v>
      </c>
      <c r="BK276" s="588"/>
      <c r="BL276" s="588"/>
      <c r="BP276" s="547"/>
      <c r="BQ276" s="547"/>
      <c r="BR276" s="547" t="e">
        <f t="shared" si="174"/>
        <v>#NAME?</v>
      </c>
      <c r="BS276" s="547" t="e">
        <f t="shared" si="175"/>
        <v>#NAME?</v>
      </c>
      <c r="BT276" s="547" t="e">
        <f t="shared" si="176"/>
        <v>#NAME?</v>
      </c>
      <c r="BU276" s="547"/>
    </row>
    <row r="277" spans="1:73" ht="16" hidden="1" outlineLevel="2">
      <c r="A277" s="366"/>
      <c r="B277" s="562"/>
      <c r="C277" s="366"/>
      <c r="D277" s="454"/>
      <c r="E277" s="530">
        <f t="shared" si="185"/>
        <v>271</v>
      </c>
      <c r="F277" s="530">
        <f t="shared" si="177"/>
        <v>91</v>
      </c>
      <c r="G277" s="530">
        <f t="shared" si="178"/>
        <v>23</v>
      </c>
      <c r="H277" s="554">
        <f t="shared" si="154"/>
        <v>52047</v>
      </c>
      <c r="I277" s="555">
        <f t="shared" si="157"/>
        <v>2042</v>
      </c>
      <c r="K277" s="530">
        <f>[1]mProject!KB281</f>
        <v>0</v>
      </c>
      <c r="L277" s="530">
        <f t="shared" si="158"/>
        <v>950</v>
      </c>
      <c r="M277" s="530">
        <f t="shared" si="159"/>
        <v>295000</v>
      </c>
      <c r="N277" s="530">
        <f t="shared" si="160"/>
        <v>0</v>
      </c>
      <c r="O277" s="530">
        <f t="shared" si="179"/>
        <v>280250000</v>
      </c>
      <c r="P277" s="530">
        <f>[1]mProject!W281</f>
        <v>445100.16563337523</v>
      </c>
      <c r="Q277" s="530">
        <f t="shared" si="161"/>
        <v>0</v>
      </c>
      <c r="R277" s="530">
        <f t="shared" si="180"/>
        <v>296355280.38883054</v>
      </c>
      <c r="T277" s="530">
        <v>0</v>
      </c>
      <c r="U277" s="530">
        <f t="shared" si="162"/>
        <v>0</v>
      </c>
      <c r="V277" s="530">
        <f>IF(T277=0,0,$V$7*(1+#REF!)^#REF!)</f>
        <v>0</v>
      </c>
      <c r="W277" s="530">
        <f t="shared" si="181"/>
        <v>0</v>
      </c>
      <c r="X277" s="530">
        <f t="shared" si="163"/>
        <v>0</v>
      </c>
      <c r="Y277" s="530">
        <f t="shared" si="164"/>
        <v>0</v>
      </c>
      <c r="AA277" s="530">
        <v>0</v>
      </c>
      <c r="AB277" s="530">
        <f t="shared" si="165"/>
        <v>0</v>
      </c>
      <c r="AC277" s="530">
        <f>IF(AA277=0,0,$V$7*(1+#REF!)^#REF!)</f>
        <v>0</v>
      </c>
      <c r="AD277" s="530">
        <f t="shared" si="182"/>
        <v>0</v>
      </c>
      <c r="AE277" s="530">
        <f t="shared" si="166"/>
        <v>0</v>
      </c>
      <c r="AF277" s="530">
        <f t="shared" si="167"/>
        <v>0</v>
      </c>
      <c r="AH277" s="530">
        <f t="shared" si="168"/>
        <v>0</v>
      </c>
      <c r="AI277" s="530">
        <f t="shared" si="183"/>
        <v>950</v>
      </c>
      <c r="AJ277" s="530">
        <f t="shared" si="156"/>
        <v>0</v>
      </c>
      <c r="AK277" s="530">
        <f>AJ277*[1]mProject!V281</f>
        <v>0</v>
      </c>
      <c r="AL277" s="530">
        <f t="shared" si="169"/>
        <v>0</v>
      </c>
      <c r="AM277" s="530">
        <f t="shared" si="170"/>
        <v>0</v>
      </c>
      <c r="AN277" s="456"/>
      <c r="AO277" s="572" t="e">
        <f t="shared" si="186"/>
        <v>#REF!</v>
      </c>
      <c r="AP277" s="572" t="e">
        <f t="shared" si="153"/>
        <v>#REF!</v>
      </c>
      <c r="AQ277" s="572" t="e">
        <f t="shared" si="155"/>
        <v>#REF!</v>
      </c>
      <c r="AR277" s="573" t="e">
        <f t="shared" si="187"/>
        <v>#REF!</v>
      </c>
      <c r="AS277" s="530" t="e">
        <f t="shared" si="152"/>
        <v>#REF!</v>
      </c>
      <c r="AT277" s="530"/>
      <c r="AU277" s="530"/>
      <c r="AV277" s="530" t="e">
        <f t="shared" si="171"/>
        <v>#REF!</v>
      </c>
      <c r="AW277" s="530" t="e">
        <f>AI277*#REF!+AI276*#REF!+AI275*#REF!</f>
        <v>#REF!</v>
      </c>
      <c r="AX277" s="456"/>
      <c r="AY277" s="583">
        <f t="shared" si="184"/>
        <v>1.5703377058003698</v>
      </c>
      <c r="AZ277" s="530">
        <f t="shared" si="172"/>
        <v>0</v>
      </c>
      <c r="BA277" s="530">
        <f>BA276*[1]mProject!V282</f>
        <v>0</v>
      </c>
      <c r="BB277" s="530">
        <f t="shared" si="188"/>
        <v>17781316.823329829</v>
      </c>
      <c r="BC277" s="456"/>
      <c r="BD277" s="590">
        <f>((BB277/100)*(i_CFD.ObliRate/12))*[1]i.Finance!$O$64</f>
        <v>59826.722228495157</v>
      </c>
      <c r="BE277" s="590">
        <f>(AZ277/100*[1]i.Finance!$O$61)*[1]i.Finance!$O$64</f>
        <v>0</v>
      </c>
      <c r="BF277" s="590">
        <f>(AZ277/100*[1]i.Finance!$O$65)</f>
        <v>0</v>
      </c>
      <c r="BG277" s="591">
        <f t="shared" si="173"/>
        <v>59826.722228495157</v>
      </c>
      <c r="BH277" s="456"/>
      <c r="BI277" s="590">
        <f>-PV([1]i.Finance!$O$63/12,[1]i.Finance!$O$62*12,mCFD!BG277)</f>
        <v>10233961.918709608</v>
      </c>
      <c r="BJ277" s="590">
        <f>BI277*[1]i.Finance!$O$58</f>
        <v>8033660.1061870428</v>
      </c>
      <c r="BK277" s="590"/>
      <c r="BL277" s="590"/>
      <c r="BP277" s="530"/>
      <c r="BQ277" s="530"/>
      <c r="BR277" s="530" t="e">
        <f t="shared" si="174"/>
        <v>#NAME?</v>
      </c>
      <c r="BS277" s="530" t="e">
        <f t="shared" si="175"/>
        <v>#NAME?</v>
      </c>
      <c r="BT277" s="530" t="e">
        <f t="shared" si="176"/>
        <v>#NAME?</v>
      </c>
      <c r="BU277" s="530"/>
    </row>
    <row r="278" spans="1:73" ht="16" hidden="1" outlineLevel="2">
      <c r="A278" s="366"/>
      <c r="B278" s="562"/>
      <c r="C278" s="366"/>
      <c r="D278" s="454"/>
      <c r="E278" s="533">
        <f t="shared" si="185"/>
        <v>272</v>
      </c>
      <c r="F278" s="533">
        <f t="shared" si="177"/>
        <v>91</v>
      </c>
      <c r="G278" s="533">
        <f t="shared" si="178"/>
        <v>23</v>
      </c>
      <c r="H278" s="541">
        <f t="shared" si="154"/>
        <v>52078</v>
      </c>
      <c r="I278" s="542">
        <f t="shared" si="157"/>
        <v>2042</v>
      </c>
      <c r="K278" s="533">
        <f>[1]mProject!KB282</f>
        <v>0</v>
      </c>
      <c r="L278" s="533">
        <f t="shared" si="158"/>
        <v>950</v>
      </c>
      <c r="M278" s="533">
        <f t="shared" si="159"/>
        <v>295000</v>
      </c>
      <c r="N278" s="533">
        <f t="shared" si="160"/>
        <v>0</v>
      </c>
      <c r="O278" s="533">
        <f t="shared" si="179"/>
        <v>280250000</v>
      </c>
      <c r="P278" s="533">
        <f>[1]mProject!W282</f>
        <v>445841.9992427642</v>
      </c>
      <c r="Q278" s="533">
        <f t="shared" si="161"/>
        <v>0</v>
      </c>
      <c r="R278" s="533">
        <f t="shared" si="180"/>
        <v>296355280.38883054</v>
      </c>
      <c r="T278" s="533">
        <v>0</v>
      </c>
      <c r="U278" s="533">
        <f t="shared" si="162"/>
        <v>0</v>
      </c>
      <c r="V278" s="533">
        <f>IF(T278=0,0,$V$7*(1+#REF!)^#REF!)</f>
        <v>0</v>
      </c>
      <c r="W278" s="533">
        <f t="shared" si="181"/>
        <v>0</v>
      </c>
      <c r="X278" s="533">
        <f t="shared" si="163"/>
        <v>0</v>
      </c>
      <c r="Y278" s="533">
        <f t="shared" si="164"/>
        <v>0</v>
      </c>
      <c r="AA278" s="533">
        <v>0</v>
      </c>
      <c r="AB278" s="533">
        <f t="shared" si="165"/>
        <v>0</v>
      </c>
      <c r="AC278" s="533">
        <f>IF(AA278=0,0,$V$7*(1+#REF!)^#REF!)</f>
        <v>0</v>
      </c>
      <c r="AD278" s="533">
        <f t="shared" si="182"/>
        <v>0</v>
      </c>
      <c r="AE278" s="533">
        <f t="shared" si="166"/>
        <v>0</v>
      </c>
      <c r="AF278" s="533">
        <f t="shared" si="167"/>
        <v>0</v>
      </c>
      <c r="AH278" s="533">
        <f t="shared" si="168"/>
        <v>0</v>
      </c>
      <c r="AI278" s="533">
        <f t="shared" si="183"/>
        <v>950</v>
      </c>
      <c r="AJ278" s="533">
        <f t="shared" si="156"/>
        <v>0</v>
      </c>
      <c r="AK278" s="533">
        <f>AJ278*[1]mProject!V282</f>
        <v>0</v>
      </c>
      <c r="AL278" s="533">
        <f t="shared" si="169"/>
        <v>0</v>
      </c>
      <c r="AM278" s="533">
        <f t="shared" si="170"/>
        <v>0</v>
      </c>
      <c r="AN278" s="456"/>
      <c r="AO278" s="575" t="e">
        <f t="shared" si="186"/>
        <v>#REF!</v>
      </c>
      <c r="AP278" s="575" t="e">
        <f t="shared" si="153"/>
        <v>#REF!</v>
      </c>
      <c r="AQ278" s="575" t="e">
        <f t="shared" si="155"/>
        <v>#REF!</v>
      </c>
      <c r="AR278" s="576" t="e">
        <f t="shared" si="187"/>
        <v>#REF!</v>
      </c>
      <c r="AS278" s="533" t="e">
        <f t="shared" si="152"/>
        <v>#REF!</v>
      </c>
      <c r="AT278" s="533"/>
      <c r="AU278" s="533"/>
      <c r="AV278" s="533" t="e">
        <f t="shared" si="171"/>
        <v>#REF!</v>
      </c>
      <c r="AW278" s="533" t="e">
        <f>AI278*#REF!+AI277*#REF!+AI276*#REF!</f>
        <v>#REF!</v>
      </c>
      <c r="AX278" s="456"/>
      <c r="AY278" s="584">
        <f t="shared" si="184"/>
        <v>1.5729549353100372</v>
      </c>
      <c r="AZ278" s="533">
        <f t="shared" si="172"/>
        <v>0</v>
      </c>
      <c r="BA278" s="533">
        <f>BA277*[1]mProject!V283</f>
        <v>0</v>
      </c>
      <c r="BB278" s="533">
        <f t="shared" si="188"/>
        <v>17781316.823329829</v>
      </c>
      <c r="BC278" s="456"/>
      <c r="BD278" s="586">
        <f>((BB278/100)*(i_CFD.ObliRate/12))*[1]i.Finance!$O$64</f>
        <v>59826.722228495157</v>
      </c>
      <c r="BE278" s="586">
        <f>(AZ278/100*[1]i.Finance!$O$61)*[1]i.Finance!$O$64</f>
        <v>0</v>
      </c>
      <c r="BF278" s="586">
        <f>(AZ278/100*[1]i.Finance!$O$65)</f>
        <v>0</v>
      </c>
      <c r="BG278" s="587">
        <f t="shared" si="173"/>
        <v>59826.722228495157</v>
      </c>
      <c r="BH278" s="456"/>
      <c r="BI278" s="586">
        <f>-PV([1]i.Finance!$O$63/12,[1]i.Finance!$O$62*12,mCFD!BG278)</f>
        <v>10233961.918709608</v>
      </c>
      <c r="BJ278" s="586">
        <f>BI278*[1]i.Finance!$O$58</f>
        <v>8033660.1061870428</v>
      </c>
      <c r="BK278" s="586"/>
      <c r="BL278" s="586"/>
      <c r="BP278" s="533"/>
      <c r="BQ278" s="533"/>
      <c r="BR278" s="533" t="e">
        <f t="shared" si="174"/>
        <v>#NAME?</v>
      </c>
      <c r="BS278" s="533" t="e">
        <f t="shared" si="175"/>
        <v>#NAME?</v>
      </c>
      <c r="BT278" s="533" t="e">
        <f t="shared" si="176"/>
        <v>#NAME?</v>
      </c>
      <c r="BU278" s="533"/>
    </row>
    <row r="279" spans="1:73" ht="16" hidden="1" outlineLevel="2">
      <c r="A279" s="366"/>
      <c r="B279" s="562"/>
      <c r="C279" s="366"/>
      <c r="D279" s="454"/>
      <c r="E279" s="547">
        <f t="shared" si="185"/>
        <v>273</v>
      </c>
      <c r="F279" s="547">
        <f t="shared" si="177"/>
        <v>91</v>
      </c>
      <c r="G279" s="547">
        <f t="shared" si="178"/>
        <v>23</v>
      </c>
      <c r="H279" s="548">
        <f t="shared" si="154"/>
        <v>52109</v>
      </c>
      <c r="I279" s="549">
        <f t="shared" si="157"/>
        <v>2042</v>
      </c>
      <c r="K279" s="547">
        <f>[1]mProject!KB283</f>
        <v>0</v>
      </c>
      <c r="L279" s="547">
        <f t="shared" si="158"/>
        <v>950</v>
      </c>
      <c r="M279" s="547">
        <f t="shared" si="159"/>
        <v>295000</v>
      </c>
      <c r="N279" s="547">
        <f t="shared" si="160"/>
        <v>0</v>
      </c>
      <c r="O279" s="547">
        <f t="shared" si="179"/>
        <v>280250000</v>
      </c>
      <c r="P279" s="547">
        <f>[1]mProject!W283</f>
        <v>446585.06924150215</v>
      </c>
      <c r="Q279" s="547">
        <f t="shared" si="161"/>
        <v>0</v>
      </c>
      <c r="R279" s="547">
        <f t="shared" si="180"/>
        <v>296355280.38883054</v>
      </c>
      <c r="T279" s="547">
        <v>0</v>
      </c>
      <c r="U279" s="547">
        <f t="shared" si="162"/>
        <v>0</v>
      </c>
      <c r="V279" s="547">
        <f>IF(T279=0,0,$V$7*(1+#REF!)^#REF!)</f>
        <v>0</v>
      </c>
      <c r="W279" s="547">
        <f t="shared" si="181"/>
        <v>0</v>
      </c>
      <c r="X279" s="547">
        <f t="shared" si="163"/>
        <v>0</v>
      </c>
      <c r="Y279" s="547">
        <f t="shared" si="164"/>
        <v>0</v>
      </c>
      <c r="AA279" s="547">
        <v>0</v>
      </c>
      <c r="AB279" s="547">
        <f t="shared" si="165"/>
        <v>0</v>
      </c>
      <c r="AC279" s="547">
        <f>IF(AA279=0,0,$V$7*(1+#REF!)^#REF!)</f>
        <v>0</v>
      </c>
      <c r="AD279" s="547">
        <f t="shared" si="182"/>
        <v>0</v>
      </c>
      <c r="AE279" s="547">
        <f t="shared" si="166"/>
        <v>0</v>
      </c>
      <c r="AF279" s="547">
        <f t="shared" si="167"/>
        <v>0</v>
      </c>
      <c r="AH279" s="547">
        <f t="shared" si="168"/>
        <v>0</v>
      </c>
      <c r="AI279" s="547">
        <f t="shared" si="183"/>
        <v>950</v>
      </c>
      <c r="AJ279" s="547">
        <f t="shared" si="156"/>
        <v>0</v>
      </c>
      <c r="AK279" s="547">
        <f>AJ279*[1]mProject!V283</f>
        <v>0</v>
      </c>
      <c r="AL279" s="547">
        <f t="shared" si="169"/>
        <v>0</v>
      </c>
      <c r="AM279" s="547">
        <f t="shared" si="170"/>
        <v>0</v>
      </c>
      <c r="AN279" s="456"/>
      <c r="AO279" s="577" t="e">
        <f t="shared" si="186"/>
        <v>#REF!</v>
      </c>
      <c r="AP279" s="577" t="e">
        <f t="shared" si="153"/>
        <v>#REF!</v>
      </c>
      <c r="AQ279" s="577" t="e">
        <f t="shared" si="155"/>
        <v>#REF!</v>
      </c>
      <c r="AR279" s="578" t="e">
        <f t="shared" si="187"/>
        <v>#REF!</v>
      </c>
      <c r="AS279" s="547" t="e">
        <f t="shared" si="152"/>
        <v>#REF!</v>
      </c>
      <c r="AT279" s="547"/>
      <c r="AU279" s="547"/>
      <c r="AV279" s="547" t="e">
        <f t="shared" si="171"/>
        <v>#REF!</v>
      </c>
      <c r="AW279" s="547" t="e">
        <f>AI279*#REF!+AI278*#REF!+AI277*#REF!</f>
        <v>#REF!</v>
      </c>
      <c r="AX279" s="456"/>
      <c r="AY279" s="585">
        <f t="shared" si="184"/>
        <v>1.5755765268688873</v>
      </c>
      <c r="AZ279" s="547">
        <f t="shared" si="172"/>
        <v>0</v>
      </c>
      <c r="BA279" s="547">
        <f>BA278*[1]mProject!V284</f>
        <v>0</v>
      </c>
      <c r="BB279" s="547">
        <f t="shared" si="188"/>
        <v>17781316.823329829</v>
      </c>
      <c r="BC279" s="456"/>
      <c r="BD279" s="588">
        <f>((BB279/100)*(i_CFD.ObliRate/12))*[1]i.Finance!$O$64</f>
        <v>59826.722228495157</v>
      </c>
      <c r="BE279" s="588">
        <f>(AZ279/100*[1]i.Finance!$O$61)*[1]i.Finance!$O$64</f>
        <v>0</v>
      </c>
      <c r="BF279" s="588">
        <f>(AZ279/100*[1]i.Finance!$O$65)</f>
        <v>0</v>
      </c>
      <c r="BG279" s="589">
        <f t="shared" si="173"/>
        <v>59826.722228495157</v>
      </c>
      <c r="BH279" s="456"/>
      <c r="BI279" s="588">
        <f>-PV([1]i.Finance!$O$63/12,[1]i.Finance!$O$62*12,mCFD!BG279)</f>
        <v>10233961.918709608</v>
      </c>
      <c r="BJ279" s="588">
        <f>BI279*[1]i.Finance!$O$58</f>
        <v>8033660.1061870428</v>
      </c>
      <c r="BK279" s="588"/>
      <c r="BL279" s="588"/>
      <c r="BP279" s="547"/>
      <c r="BQ279" s="547"/>
      <c r="BR279" s="547" t="e">
        <f t="shared" si="174"/>
        <v>#NAME?</v>
      </c>
      <c r="BS279" s="547" t="e">
        <f t="shared" si="175"/>
        <v>#NAME?</v>
      </c>
      <c r="BT279" s="547" t="e">
        <f t="shared" si="176"/>
        <v>#NAME?</v>
      </c>
      <c r="BU279" s="547"/>
    </row>
    <row r="280" spans="1:73" ht="16" hidden="1" outlineLevel="2">
      <c r="A280" s="366"/>
      <c r="B280" s="562"/>
      <c r="C280" s="366"/>
      <c r="D280" s="454"/>
      <c r="E280" s="530">
        <f t="shared" si="185"/>
        <v>274</v>
      </c>
      <c r="F280" s="530">
        <f t="shared" si="177"/>
        <v>92</v>
      </c>
      <c r="G280" s="530">
        <f t="shared" si="178"/>
        <v>23</v>
      </c>
      <c r="H280" s="554">
        <f t="shared" si="154"/>
        <v>52139</v>
      </c>
      <c r="I280" s="555">
        <f t="shared" si="157"/>
        <v>2042</v>
      </c>
      <c r="K280" s="530">
        <f>[1]mProject!KB284</f>
        <v>0</v>
      </c>
      <c r="L280" s="530">
        <f t="shared" si="158"/>
        <v>950</v>
      </c>
      <c r="M280" s="530">
        <f t="shared" si="159"/>
        <v>295000</v>
      </c>
      <c r="N280" s="530">
        <f t="shared" si="160"/>
        <v>0</v>
      </c>
      <c r="O280" s="530">
        <f t="shared" si="179"/>
        <v>280250000</v>
      </c>
      <c r="P280" s="530">
        <f>[1]mProject!W284</f>
        <v>447329.37769023801</v>
      </c>
      <c r="Q280" s="530">
        <f t="shared" si="161"/>
        <v>0</v>
      </c>
      <c r="R280" s="530">
        <f t="shared" si="180"/>
        <v>296355280.38883054</v>
      </c>
      <c r="T280" s="530">
        <v>0</v>
      </c>
      <c r="U280" s="530">
        <f t="shared" si="162"/>
        <v>0</v>
      </c>
      <c r="V280" s="530">
        <f>IF(T280=0,0,$V$7*(1+#REF!)^#REF!)</f>
        <v>0</v>
      </c>
      <c r="W280" s="530">
        <f t="shared" si="181"/>
        <v>0</v>
      </c>
      <c r="X280" s="530">
        <f t="shared" si="163"/>
        <v>0</v>
      </c>
      <c r="Y280" s="530">
        <f t="shared" si="164"/>
        <v>0</v>
      </c>
      <c r="AA280" s="530">
        <v>0</v>
      </c>
      <c r="AB280" s="530">
        <f t="shared" si="165"/>
        <v>0</v>
      </c>
      <c r="AC280" s="530">
        <f>IF(AA280=0,0,$V$7*(1+#REF!)^#REF!)</f>
        <v>0</v>
      </c>
      <c r="AD280" s="530">
        <f t="shared" si="182"/>
        <v>0</v>
      </c>
      <c r="AE280" s="530">
        <f t="shared" si="166"/>
        <v>0</v>
      </c>
      <c r="AF280" s="530">
        <f t="shared" si="167"/>
        <v>0</v>
      </c>
      <c r="AH280" s="530">
        <f t="shared" si="168"/>
        <v>0</v>
      </c>
      <c r="AI280" s="530">
        <f t="shared" si="183"/>
        <v>950</v>
      </c>
      <c r="AJ280" s="530">
        <f t="shared" si="156"/>
        <v>0</v>
      </c>
      <c r="AK280" s="530">
        <f>AJ280*[1]mProject!V284</f>
        <v>0</v>
      </c>
      <c r="AL280" s="530">
        <f t="shared" si="169"/>
        <v>0</v>
      </c>
      <c r="AM280" s="530">
        <f t="shared" si="170"/>
        <v>0</v>
      </c>
      <c r="AN280" s="456"/>
      <c r="AO280" s="572" t="e">
        <f t="shared" si="186"/>
        <v>#REF!</v>
      </c>
      <c r="AP280" s="572" t="e">
        <f t="shared" si="153"/>
        <v>#REF!</v>
      </c>
      <c r="AQ280" s="572" t="e">
        <f t="shared" si="155"/>
        <v>#REF!</v>
      </c>
      <c r="AR280" s="573" t="e">
        <f t="shared" si="187"/>
        <v>#REF!</v>
      </c>
      <c r="AS280" s="530" t="e">
        <f t="shared" si="152"/>
        <v>#REF!</v>
      </c>
      <c r="AT280" s="530"/>
      <c r="AU280" s="530"/>
      <c r="AV280" s="530" t="e">
        <f t="shared" si="171"/>
        <v>#REF!</v>
      </c>
      <c r="AW280" s="530" t="e">
        <f>AI280*#REF!+AI279*#REF!+AI278*#REF!</f>
        <v>#REF!</v>
      </c>
      <c r="AX280" s="456"/>
      <c r="AY280" s="583">
        <f t="shared" si="184"/>
        <v>1.5782024877470022</v>
      </c>
      <c r="AZ280" s="530">
        <f t="shared" si="172"/>
        <v>0</v>
      </c>
      <c r="BA280" s="530">
        <f>BA279*[1]mProject!V285</f>
        <v>0</v>
      </c>
      <c r="BB280" s="530">
        <f t="shared" si="188"/>
        <v>17781316.823329829</v>
      </c>
      <c r="BC280" s="456"/>
      <c r="BD280" s="590">
        <f>((BB280/100)*(i_CFD.ObliRate/12))*[1]i.Finance!$O$64</f>
        <v>59826.722228495157</v>
      </c>
      <c r="BE280" s="590">
        <f>(AZ280/100*[1]i.Finance!$O$61)*[1]i.Finance!$O$64</f>
        <v>0</v>
      </c>
      <c r="BF280" s="590">
        <f>(AZ280/100*[1]i.Finance!$O$65)</f>
        <v>0</v>
      </c>
      <c r="BG280" s="591">
        <f t="shared" si="173"/>
        <v>59826.722228495157</v>
      </c>
      <c r="BH280" s="456"/>
      <c r="BI280" s="590">
        <f>-PV([1]i.Finance!$O$63/12,[1]i.Finance!$O$62*12,mCFD!BG280)</f>
        <v>10233961.918709608</v>
      </c>
      <c r="BJ280" s="590">
        <f>BI280*[1]i.Finance!$O$58</f>
        <v>8033660.1061870428</v>
      </c>
      <c r="BK280" s="590"/>
      <c r="BL280" s="590"/>
      <c r="BP280" s="530"/>
      <c r="BQ280" s="530"/>
      <c r="BR280" s="530" t="e">
        <f t="shared" si="174"/>
        <v>#NAME?</v>
      </c>
      <c r="BS280" s="530" t="e">
        <f t="shared" si="175"/>
        <v>#NAME?</v>
      </c>
      <c r="BT280" s="530" t="e">
        <f t="shared" si="176"/>
        <v>#NAME?</v>
      </c>
      <c r="BU280" s="530"/>
    </row>
    <row r="281" spans="1:73" ht="16" hidden="1" outlineLevel="2">
      <c r="A281" s="366"/>
      <c r="B281" s="562"/>
      <c r="C281" s="366"/>
      <c r="D281" s="454"/>
      <c r="E281" s="533">
        <f t="shared" si="185"/>
        <v>275</v>
      </c>
      <c r="F281" s="533">
        <f t="shared" si="177"/>
        <v>92</v>
      </c>
      <c r="G281" s="533">
        <f t="shared" si="178"/>
        <v>23</v>
      </c>
      <c r="H281" s="541">
        <f t="shared" si="154"/>
        <v>52170</v>
      </c>
      <c r="I281" s="542">
        <f t="shared" si="157"/>
        <v>2042</v>
      </c>
      <c r="K281" s="533">
        <f>[1]mProject!KB285</f>
        <v>0</v>
      </c>
      <c r="L281" s="533">
        <f t="shared" si="158"/>
        <v>950</v>
      </c>
      <c r="M281" s="533">
        <f t="shared" si="159"/>
        <v>295000</v>
      </c>
      <c r="N281" s="533">
        <f t="shared" si="160"/>
        <v>0</v>
      </c>
      <c r="O281" s="533">
        <f t="shared" si="179"/>
        <v>280250000</v>
      </c>
      <c r="P281" s="533">
        <f>[1]mProject!W285</f>
        <v>448074.92665305507</v>
      </c>
      <c r="Q281" s="533">
        <f t="shared" si="161"/>
        <v>0</v>
      </c>
      <c r="R281" s="533">
        <f t="shared" si="180"/>
        <v>296355280.38883054</v>
      </c>
      <c r="T281" s="533">
        <v>0</v>
      </c>
      <c r="U281" s="533">
        <f t="shared" si="162"/>
        <v>0</v>
      </c>
      <c r="V281" s="533">
        <f>IF(T281=0,0,$V$7*(1+#REF!)^#REF!)</f>
        <v>0</v>
      </c>
      <c r="W281" s="533">
        <f t="shared" si="181"/>
        <v>0</v>
      </c>
      <c r="X281" s="533">
        <f t="shared" si="163"/>
        <v>0</v>
      </c>
      <c r="Y281" s="533">
        <f t="shared" si="164"/>
        <v>0</v>
      </c>
      <c r="AA281" s="533">
        <v>0</v>
      </c>
      <c r="AB281" s="533">
        <f t="shared" si="165"/>
        <v>0</v>
      </c>
      <c r="AC281" s="533">
        <f>IF(AA281=0,0,$V$7*(1+#REF!)^#REF!)</f>
        <v>0</v>
      </c>
      <c r="AD281" s="533">
        <f t="shared" si="182"/>
        <v>0</v>
      </c>
      <c r="AE281" s="533">
        <f t="shared" si="166"/>
        <v>0</v>
      </c>
      <c r="AF281" s="533">
        <f t="shared" si="167"/>
        <v>0</v>
      </c>
      <c r="AH281" s="533">
        <f t="shared" si="168"/>
        <v>0</v>
      </c>
      <c r="AI281" s="533">
        <f t="shared" si="183"/>
        <v>950</v>
      </c>
      <c r="AJ281" s="533">
        <f t="shared" si="156"/>
        <v>0</v>
      </c>
      <c r="AK281" s="533">
        <f>AJ281*[1]mProject!V285</f>
        <v>0</v>
      </c>
      <c r="AL281" s="533">
        <f t="shared" si="169"/>
        <v>0</v>
      </c>
      <c r="AM281" s="533">
        <f t="shared" si="170"/>
        <v>0</v>
      </c>
      <c r="AN281" s="456"/>
      <c r="AO281" s="575" t="e">
        <f t="shared" si="186"/>
        <v>#REF!</v>
      </c>
      <c r="AP281" s="575" t="e">
        <f t="shared" si="153"/>
        <v>#REF!</v>
      </c>
      <c r="AQ281" s="575" t="e">
        <f t="shared" si="155"/>
        <v>#REF!</v>
      </c>
      <c r="AR281" s="576" t="e">
        <f t="shared" si="187"/>
        <v>#REF!</v>
      </c>
      <c r="AS281" s="533" t="e">
        <f t="shared" si="152"/>
        <v>#REF!</v>
      </c>
      <c r="AT281" s="533"/>
      <c r="AU281" s="533"/>
      <c r="AV281" s="533" t="e">
        <f t="shared" si="171"/>
        <v>#REF!</v>
      </c>
      <c r="AW281" s="533" t="e">
        <f>AI281*#REF!+AI280*#REF!+AI279*#REF!</f>
        <v>#REF!</v>
      </c>
      <c r="AX281" s="456"/>
      <c r="AY281" s="584">
        <f t="shared" si="184"/>
        <v>1.5808328252265806</v>
      </c>
      <c r="AZ281" s="533">
        <f t="shared" si="172"/>
        <v>0</v>
      </c>
      <c r="BA281" s="533">
        <f>BA280*[1]mProject!V286</f>
        <v>0</v>
      </c>
      <c r="BB281" s="533">
        <f t="shared" si="188"/>
        <v>17781316.823329829</v>
      </c>
      <c r="BC281" s="456"/>
      <c r="BD281" s="586">
        <f>((BB281/100)*(i_CFD.ObliRate/12))*[1]i.Finance!$O$64</f>
        <v>59826.722228495157</v>
      </c>
      <c r="BE281" s="586">
        <f>(AZ281/100*[1]i.Finance!$O$61)*[1]i.Finance!$O$64</f>
        <v>0</v>
      </c>
      <c r="BF281" s="586">
        <f>(AZ281/100*[1]i.Finance!$O$65)</f>
        <v>0</v>
      </c>
      <c r="BG281" s="587">
        <f t="shared" si="173"/>
        <v>59826.722228495157</v>
      </c>
      <c r="BH281" s="456"/>
      <c r="BI281" s="586">
        <f>-PV([1]i.Finance!$O$63/12,[1]i.Finance!$O$62*12,mCFD!BG281)</f>
        <v>10233961.918709608</v>
      </c>
      <c r="BJ281" s="586">
        <f>BI281*[1]i.Finance!$O$58</f>
        <v>8033660.1061870428</v>
      </c>
      <c r="BK281" s="586"/>
      <c r="BL281" s="586"/>
      <c r="BP281" s="533"/>
      <c r="BQ281" s="533"/>
      <c r="BR281" s="533" t="e">
        <f t="shared" si="174"/>
        <v>#NAME?</v>
      </c>
      <c r="BS281" s="533" t="e">
        <f t="shared" si="175"/>
        <v>#NAME?</v>
      </c>
      <c r="BT281" s="533" t="e">
        <f t="shared" si="176"/>
        <v>#NAME?</v>
      </c>
      <c r="BU281" s="533"/>
    </row>
    <row r="282" spans="1:73" ht="17" hidden="1" outlineLevel="2" thickBot="1">
      <c r="A282" s="366"/>
      <c r="B282" s="562"/>
      <c r="C282" s="366"/>
      <c r="D282" s="454"/>
      <c r="E282" s="564">
        <f t="shared" si="185"/>
        <v>276</v>
      </c>
      <c r="F282" s="564">
        <f t="shared" si="177"/>
        <v>92</v>
      </c>
      <c r="G282" s="564">
        <f t="shared" si="178"/>
        <v>23</v>
      </c>
      <c r="H282" s="565">
        <f t="shared" si="154"/>
        <v>52200</v>
      </c>
      <c r="I282" s="566">
        <f t="shared" si="157"/>
        <v>2042</v>
      </c>
      <c r="K282" s="564">
        <f>[1]mProject!KB286</f>
        <v>0</v>
      </c>
      <c r="L282" s="564">
        <f t="shared" si="158"/>
        <v>950</v>
      </c>
      <c r="M282" s="564">
        <f t="shared" si="159"/>
        <v>295000</v>
      </c>
      <c r="N282" s="564">
        <f t="shared" si="160"/>
        <v>0</v>
      </c>
      <c r="O282" s="564">
        <f t="shared" si="179"/>
        <v>280250000</v>
      </c>
      <c r="P282" s="564">
        <f>[1]mProject!W286</f>
        <v>448821.71819747682</v>
      </c>
      <c r="Q282" s="564">
        <f t="shared" si="161"/>
        <v>0</v>
      </c>
      <c r="R282" s="564">
        <f t="shared" si="180"/>
        <v>296355280.38883054</v>
      </c>
      <c r="T282" s="564">
        <v>0</v>
      </c>
      <c r="U282" s="564">
        <f t="shared" si="162"/>
        <v>0</v>
      </c>
      <c r="V282" s="564">
        <f>IF(T282=0,0,$V$7*(1+#REF!)^#REF!)</f>
        <v>0</v>
      </c>
      <c r="W282" s="564">
        <f t="shared" si="181"/>
        <v>0</v>
      </c>
      <c r="X282" s="564">
        <f t="shared" si="163"/>
        <v>0</v>
      </c>
      <c r="Y282" s="564">
        <f t="shared" si="164"/>
        <v>0</v>
      </c>
      <c r="AA282" s="564">
        <v>0</v>
      </c>
      <c r="AB282" s="564">
        <f t="shared" si="165"/>
        <v>0</v>
      </c>
      <c r="AC282" s="564">
        <f>IF(AA282=0,0,$V$7*(1+#REF!)^#REF!)</f>
        <v>0</v>
      </c>
      <c r="AD282" s="564">
        <f t="shared" si="182"/>
        <v>0</v>
      </c>
      <c r="AE282" s="564">
        <f t="shared" si="166"/>
        <v>0</v>
      </c>
      <c r="AF282" s="564">
        <f t="shared" si="167"/>
        <v>0</v>
      </c>
      <c r="AH282" s="564">
        <f t="shared" si="168"/>
        <v>0</v>
      </c>
      <c r="AI282" s="564">
        <f t="shared" si="183"/>
        <v>950</v>
      </c>
      <c r="AJ282" s="564">
        <f t="shared" si="156"/>
        <v>0</v>
      </c>
      <c r="AK282" s="564">
        <f>AJ282*[1]mProject!V286</f>
        <v>0</v>
      </c>
      <c r="AL282" s="564">
        <f t="shared" si="169"/>
        <v>0</v>
      </c>
      <c r="AM282" s="564">
        <f t="shared" si="170"/>
        <v>0</v>
      </c>
      <c r="AN282" s="456"/>
      <c r="AO282" s="581" t="e">
        <f t="shared" si="186"/>
        <v>#REF!</v>
      </c>
      <c r="AP282" s="581" t="e">
        <f t="shared" si="153"/>
        <v>#REF!</v>
      </c>
      <c r="AQ282" s="581" t="e">
        <f t="shared" si="155"/>
        <v>#REF!</v>
      </c>
      <c r="AR282" s="582" t="e">
        <f t="shared" si="187"/>
        <v>#REF!</v>
      </c>
      <c r="AS282" s="564" t="e">
        <f t="shared" si="152"/>
        <v>#REF!</v>
      </c>
      <c r="AT282" s="564"/>
      <c r="AU282" s="564"/>
      <c r="AV282" s="564" t="e">
        <f t="shared" si="171"/>
        <v>#REF!</v>
      </c>
      <c r="AW282" s="564" t="e">
        <f>AI282*#REF!+AI281*#REF!+AI280*#REF!</f>
        <v>#REF!</v>
      </c>
      <c r="AX282" s="456"/>
      <c r="AY282" s="592">
        <f t="shared" si="184"/>
        <v>1.5834675466019583</v>
      </c>
      <c r="AZ282" s="564">
        <f t="shared" si="172"/>
        <v>0</v>
      </c>
      <c r="BA282" s="564">
        <f>BA281*[1]mProject!V287</f>
        <v>0</v>
      </c>
      <c r="BB282" s="564">
        <f t="shared" si="188"/>
        <v>17781316.823329829</v>
      </c>
      <c r="BC282" s="456"/>
      <c r="BD282" s="593">
        <f>((BB282/100)*(i_CFD.ObliRate/12))*[1]i.Finance!$O$64</f>
        <v>59826.722228495157</v>
      </c>
      <c r="BE282" s="593">
        <f>(AZ282/100*[1]i.Finance!$O$61)*[1]i.Finance!$O$64</f>
        <v>0</v>
      </c>
      <c r="BF282" s="593">
        <f>(AZ282/100*[1]i.Finance!$O$65)</f>
        <v>0</v>
      </c>
      <c r="BG282" s="594">
        <f t="shared" si="173"/>
        <v>59826.722228495157</v>
      </c>
      <c r="BH282" s="456"/>
      <c r="BI282" s="593">
        <f>-PV([1]i.Finance!$O$63/12,[1]i.Finance!$O$62*12,mCFD!BG282)</f>
        <v>10233961.918709608</v>
      </c>
      <c r="BJ282" s="593">
        <f>BI282*[1]i.Finance!$O$58</f>
        <v>8033660.1061870428</v>
      </c>
      <c r="BK282" s="593"/>
      <c r="BL282" s="593"/>
      <c r="BP282" s="564"/>
      <c r="BQ282" s="564"/>
      <c r="BR282" s="564" t="e">
        <f t="shared" si="174"/>
        <v>#NAME?</v>
      </c>
      <c r="BS282" s="564" t="e">
        <f t="shared" si="175"/>
        <v>#NAME?</v>
      </c>
      <c r="BT282" s="564" t="e">
        <f t="shared" si="176"/>
        <v>#NAME?</v>
      </c>
      <c r="BU282" s="564"/>
    </row>
    <row r="283" spans="1:73" ht="16" hidden="1" outlineLevel="2">
      <c r="A283" s="366"/>
      <c r="B283" s="562"/>
      <c r="C283" s="366"/>
      <c r="D283" s="454"/>
      <c r="E283" s="530">
        <f t="shared" si="185"/>
        <v>277</v>
      </c>
      <c r="F283" s="530">
        <f t="shared" si="177"/>
        <v>93</v>
      </c>
      <c r="G283" s="530">
        <f t="shared" si="178"/>
        <v>24</v>
      </c>
      <c r="H283" s="571">
        <f t="shared" si="154"/>
        <v>52231</v>
      </c>
      <c r="I283" s="532">
        <f t="shared" si="157"/>
        <v>2042</v>
      </c>
      <c r="K283" s="530">
        <f>[1]mProject!KB287</f>
        <v>0</v>
      </c>
      <c r="L283" s="530">
        <f t="shared" si="158"/>
        <v>950</v>
      </c>
      <c r="M283" s="530">
        <f t="shared" si="159"/>
        <v>295000</v>
      </c>
      <c r="N283" s="530">
        <f t="shared" si="160"/>
        <v>0</v>
      </c>
      <c r="O283" s="530">
        <f t="shared" si="179"/>
        <v>280250000</v>
      </c>
      <c r="P283" s="530">
        <f>[1]mProject!W287</f>
        <v>449569.75439447263</v>
      </c>
      <c r="Q283" s="530">
        <f t="shared" si="161"/>
        <v>0</v>
      </c>
      <c r="R283" s="530">
        <f t="shared" si="180"/>
        <v>296355280.38883054</v>
      </c>
      <c r="T283" s="530">
        <v>0</v>
      </c>
      <c r="U283" s="530">
        <f t="shared" si="162"/>
        <v>0</v>
      </c>
      <c r="V283" s="530">
        <f>IF(T283=0,0,$V$7*(1+#REF!)^#REF!)</f>
        <v>0</v>
      </c>
      <c r="W283" s="530">
        <f t="shared" si="181"/>
        <v>0</v>
      </c>
      <c r="X283" s="530">
        <f t="shared" si="163"/>
        <v>0</v>
      </c>
      <c r="Y283" s="530">
        <f t="shared" si="164"/>
        <v>0</v>
      </c>
      <c r="AA283" s="530">
        <v>0</v>
      </c>
      <c r="AB283" s="530">
        <f t="shared" si="165"/>
        <v>0</v>
      </c>
      <c r="AC283" s="530">
        <f>IF(AA283=0,0,$V$7*(1+#REF!)^#REF!)</f>
        <v>0</v>
      </c>
      <c r="AD283" s="530">
        <f t="shared" si="182"/>
        <v>0</v>
      </c>
      <c r="AE283" s="530">
        <f t="shared" si="166"/>
        <v>0</v>
      </c>
      <c r="AF283" s="530">
        <f t="shared" si="167"/>
        <v>0</v>
      </c>
      <c r="AH283" s="530">
        <f t="shared" si="168"/>
        <v>0</v>
      </c>
      <c r="AI283" s="530">
        <f t="shared" si="183"/>
        <v>950</v>
      </c>
      <c r="AJ283" s="530">
        <f t="shared" si="156"/>
        <v>0</v>
      </c>
      <c r="AK283" s="530">
        <f>AJ283*[1]mProject!V287</f>
        <v>0</v>
      </c>
      <c r="AL283" s="530">
        <f t="shared" si="169"/>
        <v>0</v>
      </c>
      <c r="AM283" s="530">
        <f t="shared" si="170"/>
        <v>0</v>
      </c>
      <c r="AN283" s="456"/>
      <c r="AO283" s="572" t="e">
        <f t="shared" si="186"/>
        <v>#REF!</v>
      </c>
      <c r="AP283" s="572" t="e">
        <f t="shared" si="153"/>
        <v>#REF!</v>
      </c>
      <c r="AQ283" s="572" t="e">
        <f t="shared" si="155"/>
        <v>#REF!</v>
      </c>
      <c r="AR283" s="573" t="e">
        <f t="shared" si="187"/>
        <v>#REF!</v>
      </c>
      <c r="AS283" s="530" t="e">
        <f t="shared" si="152"/>
        <v>#REF!</v>
      </c>
      <c r="AT283" s="530"/>
      <c r="AU283" s="530"/>
      <c r="AV283" s="530" t="e">
        <f t="shared" si="171"/>
        <v>#REF!</v>
      </c>
      <c r="AW283" s="530" t="e">
        <f>AI283*#REF!+AI282*#REF!+AI281*#REF!</f>
        <v>#REF!</v>
      </c>
      <c r="AX283" s="456"/>
      <c r="AY283" s="583">
        <f t="shared" si="184"/>
        <v>1.5861066591796282</v>
      </c>
      <c r="AZ283" s="530">
        <f t="shared" si="172"/>
        <v>0</v>
      </c>
      <c r="BA283" s="530">
        <f>BA282*[1]mProject!V288</f>
        <v>0</v>
      </c>
      <c r="BB283" s="530">
        <f t="shared" si="188"/>
        <v>17781316.823329829</v>
      </c>
      <c r="BC283" s="456"/>
      <c r="BD283" s="590">
        <f>((BB283/100)*(i_CFD.ObliRate/12))*[1]i.Finance!$O$64</f>
        <v>59826.722228495157</v>
      </c>
      <c r="BE283" s="590">
        <f>(AZ283/100*[1]i.Finance!$O$61)*[1]i.Finance!$O$64</f>
        <v>0</v>
      </c>
      <c r="BF283" s="590">
        <f>(AZ283/100*[1]i.Finance!$O$65)</f>
        <v>0</v>
      </c>
      <c r="BG283" s="591">
        <f t="shared" si="173"/>
        <v>59826.722228495157</v>
      </c>
      <c r="BH283" s="456"/>
      <c r="BI283" s="590">
        <f>-PV([1]i.Finance!$O$63/12,[1]i.Finance!$O$62*12,mCFD!BG283)</f>
        <v>10233961.918709608</v>
      </c>
      <c r="BJ283" s="590">
        <f>BI283*[1]i.Finance!$O$58</f>
        <v>8033660.1061870428</v>
      </c>
      <c r="BK283" s="590"/>
      <c r="BL283" s="590"/>
      <c r="BP283" s="530"/>
      <c r="BQ283" s="530"/>
      <c r="BR283" s="530" t="e">
        <f t="shared" si="174"/>
        <v>#NAME?</v>
      </c>
      <c r="BS283" s="530" t="e">
        <f t="shared" si="175"/>
        <v>#NAME?</v>
      </c>
      <c r="BT283" s="530" t="e">
        <f t="shared" si="176"/>
        <v>#NAME?</v>
      </c>
      <c r="BU283" s="530"/>
    </row>
    <row r="284" spans="1:73" ht="16" hidden="1" outlineLevel="2">
      <c r="A284" s="366"/>
      <c r="B284" s="562"/>
      <c r="C284" s="366"/>
      <c r="D284" s="454"/>
      <c r="E284" s="533">
        <f t="shared" si="185"/>
        <v>278</v>
      </c>
      <c r="F284" s="533">
        <f t="shared" si="177"/>
        <v>93</v>
      </c>
      <c r="G284" s="533">
        <f t="shared" si="178"/>
        <v>24</v>
      </c>
      <c r="H284" s="541">
        <f t="shared" si="154"/>
        <v>52262</v>
      </c>
      <c r="I284" s="542">
        <f t="shared" si="157"/>
        <v>2043</v>
      </c>
      <c r="K284" s="533">
        <f>[1]mProject!KB288</f>
        <v>0</v>
      </c>
      <c r="L284" s="533">
        <f t="shared" si="158"/>
        <v>950</v>
      </c>
      <c r="M284" s="533">
        <f t="shared" si="159"/>
        <v>295000</v>
      </c>
      <c r="N284" s="533">
        <f t="shared" si="160"/>
        <v>0</v>
      </c>
      <c r="O284" s="533">
        <f t="shared" si="179"/>
        <v>280250000</v>
      </c>
      <c r="P284" s="533">
        <f>[1]mProject!W288</f>
        <v>450319.03731846344</v>
      </c>
      <c r="Q284" s="533">
        <f t="shared" si="161"/>
        <v>0</v>
      </c>
      <c r="R284" s="533">
        <f t="shared" si="180"/>
        <v>296355280.38883054</v>
      </c>
      <c r="T284" s="533">
        <v>0</v>
      </c>
      <c r="U284" s="533">
        <f t="shared" si="162"/>
        <v>0</v>
      </c>
      <c r="V284" s="533">
        <f>IF(T284=0,0,$V$7*(1+#REF!)^#REF!)</f>
        <v>0</v>
      </c>
      <c r="W284" s="533">
        <f t="shared" si="181"/>
        <v>0</v>
      </c>
      <c r="X284" s="533">
        <f t="shared" si="163"/>
        <v>0</v>
      </c>
      <c r="Y284" s="533">
        <f t="shared" si="164"/>
        <v>0</v>
      </c>
      <c r="AA284" s="533">
        <v>0</v>
      </c>
      <c r="AB284" s="533">
        <f t="shared" si="165"/>
        <v>0</v>
      </c>
      <c r="AC284" s="533">
        <f>IF(AA284=0,0,$V$7*(1+#REF!)^#REF!)</f>
        <v>0</v>
      </c>
      <c r="AD284" s="533">
        <f t="shared" si="182"/>
        <v>0</v>
      </c>
      <c r="AE284" s="533">
        <f t="shared" si="166"/>
        <v>0</v>
      </c>
      <c r="AF284" s="533">
        <f t="shared" si="167"/>
        <v>0</v>
      </c>
      <c r="AH284" s="533">
        <f t="shared" si="168"/>
        <v>0</v>
      </c>
      <c r="AI284" s="533">
        <f t="shared" si="183"/>
        <v>950</v>
      </c>
      <c r="AJ284" s="533">
        <f t="shared" si="156"/>
        <v>0</v>
      </c>
      <c r="AK284" s="533">
        <f>AJ284*[1]mProject!V288</f>
        <v>0</v>
      </c>
      <c r="AL284" s="533">
        <f t="shared" si="169"/>
        <v>0</v>
      </c>
      <c r="AM284" s="533">
        <f t="shared" si="170"/>
        <v>0</v>
      </c>
      <c r="AN284" s="456"/>
      <c r="AO284" s="575" t="e">
        <f t="shared" si="186"/>
        <v>#REF!</v>
      </c>
      <c r="AP284" s="575" t="e">
        <f t="shared" si="153"/>
        <v>#REF!</v>
      </c>
      <c r="AQ284" s="575" t="e">
        <f t="shared" si="155"/>
        <v>#REF!</v>
      </c>
      <c r="AR284" s="576" t="e">
        <f t="shared" si="187"/>
        <v>#REF!</v>
      </c>
      <c r="AS284" s="533" t="e">
        <f t="shared" ref="AS284:AS347" si="189">AR284*P284</f>
        <v>#REF!</v>
      </c>
      <c r="AT284" s="533"/>
      <c r="AU284" s="533"/>
      <c r="AV284" s="533" t="e">
        <f t="shared" si="171"/>
        <v>#REF!</v>
      </c>
      <c r="AW284" s="533" t="e">
        <f>AI284*#REF!+AI283*#REF!+AI282*#REF!</f>
        <v>#REF!</v>
      </c>
      <c r="AX284" s="456"/>
      <c r="AY284" s="584">
        <f t="shared" si="184"/>
        <v>1.5887501702782609</v>
      </c>
      <c r="AZ284" s="533">
        <f t="shared" si="172"/>
        <v>0</v>
      </c>
      <c r="BA284" s="533">
        <f>BA283*[1]mProject!V289</f>
        <v>0</v>
      </c>
      <c r="BB284" s="533">
        <f t="shared" si="188"/>
        <v>17781316.823329829</v>
      </c>
      <c r="BC284" s="456"/>
      <c r="BD284" s="586">
        <f>((BB284/100)*(i_CFD.ObliRate/12))*[1]i.Finance!$O$64</f>
        <v>59826.722228495157</v>
      </c>
      <c r="BE284" s="586">
        <f>(AZ284/100*[1]i.Finance!$O$61)*[1]i.Finance!$O$64</f>
        <v>0</v>
      </c>
      <c r="BF284" s="586">
        <f>(AZ284/100*[1]i.Finance!$O$65)</f>
        <v>0</v>
      </c>
      <c r="BG284" s="587">
        <f t="shared" si="173"/>
        <v>59826.722228495157</v>
      </c>
      <c r="BH284" s="456"/>
      <c r="BI284" s="586">
        <f>-PV([1]i.Finance!$O$63/12,[1]i.Finance!$O$62*12,mCFD!BG284)</f>
        <v>10233961.918709608</v>
      </c>
      <c r="BJ284" s="586">
        <f>BI284*[1]i.Finance!$O$58</f>
        <v>8033660.1061870428</v>
      </c>
      <c r="BK284" s="586"/>
      <c r="BL284" s="586"/>
      <c r="BP284" s="533"/>
      <c r="BQ284" s="533"/>
      <c r="BR284" s="533" t="e">
        <f t="shared" si="174"/>
        <v>#NAME?</v>
      </c>
      <c r="BS284" s="533" t="e">
        <f t="shared" si="175"/>
        <v>#NAME?</v>
      </c>
      <c r="BT284" s="533" t="e">
        <f t="shared" si="176"/>
        <v>#NAME?</v>
      </c>
      <c r="BU284" s="533"/>
    </row>
    <row r="285" spans="1:73" ht="16" hidden="1" outlineLevel="2">
      <c r="A285" s="366"/>
      <c r="B285" s="562"/>
      <c r="C285" s="366"/>
      <c r="D285" s="454"/>
      <c r="E285" s="547">
        <f t="shared" si="185"/>
        <v>279</v>
      </c>
      <c r="F285" s="547">
        <f t="shared" si="177"/>
        <v>93</v>
      </c>
      <c r="G285" s="547">
        <f t="shared" si="178"/>
        <v>24</v>
      </c>
      <c r="H285" s="548">
        <f t="shared" si="154"/>
        <v>52290</v>
      </c>
      <c r="I285" s="549">
        <f t="shared" si="157"/>
        <v>2043</v>
      </c>
      <c r="K285" s="547">
        <f>[1]mProject!KB289</f>
        <v>0</v>
      </c>
      <c r="L285" s="547">
        <f t="shared" si="158"/>
        <v>950</v>
      </c>
      <c r="M285" s="547">
        <f t="shared" si="159"/>
        <v>295000</v>
      </c>
      <c r="N285" s="547">
        <f t="shared" si="160"/>
        <v>0</v>
      </c>
      <c r="O285" s="547">
        <f t="shared" si="179"/>
        <v>280250000</v>
      </c>
      <c r="P285" s="547">
        <f>[1]mProject!W289</f>
        <v>451069.56904732756</v>
      </c>
      <c r="Q285" s="547">
        <f t="shared" si="161"/>
        <v>0</v>
      </c>
      <c r="R285" s="547">
        <f t="shared" si="180"/>
        <v>296355280.38883054</v>
      </c>
      <c r="T285" s="547">
        <v>0</v>
      </c>
      <c r="U285" s="547">
        <f t="shared" si="162"/>
        <v>0</v>
      </c>
      <c r="V285" s="547">
        <f>IF(T285=0,0,$V$7*(1+#REF!)^#REF!)</f>
        <v>0</v>
      </c>
      <c r="W285" s="547">
        <f t="shared" si="181"/>
        <v>0</v>
      </c>
      <c r="X285" s="547">
        <f t="shared" si="163"/>
        <v>0</v>
      </c>
      <c r="Y285" s="547">
        <f t="shared" si="164"/>
        <v>0</v>
      </c>
      <c r="AA285" s="547">
        <v>0</v>
      </c>
      <c r="AB285" s="547">
        <f t="shared" si="165"/>
        <v>0</v>
      </c>
      <c r="AC285" s="547">
        <f>IF(AA285=0,0,$V$7*(1+#REF!)^#REF!)</f>
        <v>0</v>
      </c>
      <c r="AD285" s="547">
        <f t="shared" si="182"/>
        <v>0</v>
      </c>
      <c r="AE285" s="547">
        <f t="shared" si="166"/>
        <v>0</v>
      </c>
      <c r="AF285" s="547">
        <f t="shared" si="167"/>
        <v>0</v>
      </c>
      <c r="AH285" s="547">
        <f t="shared" si="168"/>
        <v>0</v>
      </c>
      <c r="AI285" s="547">
        <f t="shared" si="183"/>
        <v>950</v>
      </c>
      <c r="AJ285" s="547">
        <f t="shared" si="156"/>
        <v>0</v>
      </c>
      <c r="AK285" s="547">
        <f>AJ285*[1]mProject!V289</f>
        <v>0</v>
      </c>
      <c r="AL285" s="547">
        <f t="shared" si="169"/>
        <v>0</v>
      </c>
      <c r="AM285" s="547">
        <f t="shared" si="170"/>
        <v>0</v>
      </c>
      <c r="AN285" s="456"/>
      <c r="AO285" s="577" t="e">
        <f t="shared" si="186"/>
        <v>#REF!</v>
      </c>
      <c r="AP285" s="577" t="e">
        <f t="shared" si="153"/>
        <v>#REF!</v>
      </c>
      <c r="AQ285" s="577" t="e">
        <f t="shared" si="155"/>
        <v>#REF!</v>
      </c>
      <c r="AR285" s="578" t="e">
        <f t="shared" si="187"/>
        <v>#REF!</v>
      </c>
      <c r="AS285" s="547" t="e">
        <f t="shared" si="189"/>
        <v>#REF!</v>
      </c>
      <c r="AT285" s="547"/>
      <c r="AU285" s="547"/>
      <c r="AV285" s="547" t="e">
        <f t="shared" si="171"/>
        <v>#REF!</v>
      </c>
      <c r="AW285" s="547" t="e">
        <f>AI285*#REF!+AI284*#REF!+AI283*#REF!</f>
        <v>#REF!</v>
      </c>
      <c r="AX285" s="456"/>
      <c r="AY285" s="585">
        <f t="shared" si="184"/>
        <v>1.5913980872287248</v>
      </c>
      <c r="AZ285" s="547">
        <f t="shared" si="172"/>
        <v>0</v>
      </c>
      <c r="BA285" s="547">
        <f>BA284*[1]mProject!V290</f>
        <v>0</v>
      </c>
      <c r="BB285" s="547">
        <f t="shared" si="188"/>
        <v>17781316.823329829</v>
      </c>
      <c r="BC285" s="456"/>
      <c r="BD285" s="588">
        <f>((BB285/100)*(i_CFD.ObliRate/12))*[1]i.Finance!$O$64</f>
        <v>59826.722228495157</v>
      </c>
      <c r="BE285" s="588">
        <f>(AZ285/100*[1]i.Finance!$O$61)*[1]i.Finance!$O$64</f>
        <v>0</v>
      </c>
      <c r="BF285" s="588">
        <f>(AZ285/100*[1]i.Finance!$O$65)</f>
        <v>0</v>
      </c>
      <c r="BG285" s="589">
        <f t="shared" si="173"/>
        <v>59826.722228495157</v>
      </c>
      <c r="BH285" s="456"/>
      <c r="BI285" s="588">
        <f>-PV([1]i.Finance!$O$63/12,[1]i.Finance!$O$62*12,mCFD!BG285)</f>
        <v>10233961.918709608</v>
      </c>
      <c r="BJ285" s="588">
        <f>BI285*[1]i.Finance!$O$58</f>
        <v>8033660.1061870428</v>
      </c>
      <c r="BK285" s="588"/>
      <c r="BL285" s="588"/>
      <c r="BP285" s="547"/>
      <c r="BQ285" s="547"/>
      <c r="BR285" s="547" t="e">
        <f t="shared" si="174"/>
        <v>#NAME?</v>
      </c>
      <c r="BS285" s="547" t="e">
        <f t="shared" si="175"/>
        <v>#NAME?</v>
      </c>
      <c r="BT285" s="547" t="e">
        <f t="shared" si="176"/>
        <v>#NAME?</v>
      </c>
      <c r="BU285" s="547"/>
    </row>
    <row r="286" spans="1:73" ht="16" hidden="1" outlineLevel="2">
      <c r="A286" s="366"/>
      <c r="B286" s="562"/>
      <c r="C286" s="366"/>
      <c r="D286" s="454"/>
      <c r="E286" s="530">
        <f t="shared" si="185"/>
        <v>280</v>
      </c>
      <c r="F286" s="530">
        <f t="shared" si="177"/>
        <v>94</v>
      </c>
      <c r="G286" s="530">
        <f t="shared" si="178"/>
        <v>24</v>
      </c>
      <c r="H286" s="554">
        <f t="shared" si="154"/>
        <v>52321</v>
      </c>
      <c r="I286" s="555">
        <f t="shared" si="157"/>
        <v>2043</v>
      </c>
      <c r="K286" s="530">
        <f>[1]mProject!KB290</f>
        <v>0</v>
      </c>
      <c r="L286" s="530">
        <f t="shared" si="158"/>
        <v>950</v>
      </c>
      <c r="M286" s="530">
        <f t="shared" si="159"/>
        <v>295000</v>
      </c>
      <c r="N286" s="530">
        <f t="shared" si="160"/>
        <v>0</v>
      </c>
      <c r="O286" s="530">
        <f t="shared" si="179"/>
        <v>280250000</v>
      </c>
      <c r="P286" s="530">
        <f>[1]mProject!W290</f>
        <v>451821.35166240647</v>
      </c>
      <c r="Q286" s="530">
        <f t="shared" si="161"/>
        <v>0</v>
      </c>
      <c r="R286" s="530">
        <f t="shared" si="180"/>
        <v>296355280.38883054</v>
      </c>
      <c r="T286" s="530">
        <v>0</v>
      </c>
      <c r="U286" s="530">
        <f t="shared" si="162"/>
        <v>0</v>
      </c>
      <c r="V286" s="530">
        <f>IF(T286=0,0,$V$7*(1+#REF!)^#REF!)</f>
        <v>0</v>
      </c>
      <c r="W286" s="530">
        <f t="shared" si="181"/>
        <v>0</v>
      </c>
      <c r="X286" s="530">
        <f t="shared" si="163"/>
        <v>0</v>
      </c>
      <c r="Y286" s="530">
        <f t="shared" si="164"/>
        <v>0</v>
      </c>
      <c r="AA286" s="530">
        <v>0</v>
      </c>
      <c r="AB286" s="530">
        <f t="shared" si="165"/>
        <v>0</v>
      </c>
      <c r="AC286" s="530">
        <f>IF(AA286=0,0,$V$7*(1+#REF!)^#REF!)</f>
        <v>0</v>
      </c>
      <c r="AD286" s="530">
        <f t="shared" si="182"/>
        <v>0</v>
      </c>
      <c r="AE286" s="530">
        <f t="shared" si="166"/>
        <v>0</v>
      </c>
      <c r="AF286" s="530">
        <f t="shared" si="167"/>
        <v>0</v>
      </c>
      <c r="AH286" s="530">
        <f t="shared" si="168"/>
        <v>0</v>
      </c>
      <c r="AI286" s="530">
        <f t="shared" si="183"/>
        <v>950</v>
      </c>
      <c r="AJ286" s="530">
        <f t="shared" si="156"/>
        <v>0</v>
      </c>
      <c r="AK286" s="530">
        <f>AJ286*[1]mProject!V290</f>
        <v>0</v>
      </c>
      <c r="AL286" s="530">
        <f t="shared" si="169"/>
        <v>0</v>
      </c>
      <c r="AM286" s="530">
        <f t="shared" si="170"/>
        <v>0</v>
      </c>
      <c r="AN286" s="456"/>
      <c r="AO286" s="572" t="e">
        <f t="shared" si="186"/>
        <v>#REF!</v>
      </c>
      <c r="AP286" s="572" t="e">
        <f t="shared" si="153"/>
        <v>#REF!</v>
      </c>
      <c r="AQ286" s="572" t="e">
        <f t="shared" si="155"/>
        <v>#REF!</v>
      </c>
      <c r="AR286" s="573" t="e">
        <f t="shared" si="187"/>
        <v>#REF!</v>
      </c>
      <c r="AS286" s="530" t="e">
        <f t="shared" si="189"/>
        <v>#REF!</v>
      </c>
      <c r="AT286" s="530"/>
      <c r="AU286" s="530"/>
      <c r="AV286" s="530" t="e">
        <f t="shared" si="171"/>
        <v>#REF!</v>
      </c>
      <c r="AW286" s="530" t="e">
        <f>AI286*#REF!+AI285*#REF!+AI284*#REF!</f>
        <v>#REF!</v>
      </c>
      <c r="AX286" s="456"/>
      <c r="AY286" s="583">
        <f t="shared" si="184"/>
        <v>1.5940504173741061</v>
      </c>
      <c r="AZ286" s="530">
        <f t="shared" si="172"/>
        <v>0</v>
      </c>
      <c r="BA286" s="530">
        <f>BA285*[1]mProject!V291</f>
        <v>0</v>
      </c>
      <c r="BB286" s="530">
        <f t="shared" si="188"/>
        <v>17781316.823329829</v>
      </c>
      <c r="BC286" s="456"/>
      <c r="BD286" s="590">
        <f>((BB286/100)*(i_CFD.ObliRate/12))*[1]i.Finance!$O$64</f>
        <v>59826.722228495157</v>
      </c>
      <c r="BE286" s="590">
        <f>(AZ286/100*[1]i.Finance!$O$61)*[1]i.Finance!$O$64</f>
        <v>0</v>
      </c>
      <c r="BF286" s="590">
        <f>(AZ286/100*[1]i.Finance!$O$65)</f>
        <v>0</v>
      </c>
      <c r="BG286" s="591">
        <f t="shared" si="173"/>
        <v>59826.722228495157</v>
      </c>
      <c r="BH286" s="456"/>
      <c r="BI286" s="590">
        <f>-PV([1]i.Finance!$O$63/12,[1]i.Finance!$O$62*12,mCFD!BG286)</f>
        <v>10233961.918709608</v>
      </c>
      <c r="BJ286" s="590">
        <f>BI286*[1]i.Finance!$O$58</f>
        <v>8033660.1061870428</v>
      </c>
      <c r="BK286" s="590"/>
      <c r="BL286" s="590"/>
      <c r="BP286" s="530"/>
      <c r="BQ286" s="530"/>
      <c r="BR286" s="530" t="e">
        <f t="shared" si="174"/>
        <v>#NAME?</v>
      </c>
      <c r="BS286" s="530" t="e">
        <f t="shared" si="175"/>
        <v>#NAME?</v>
      </c>
      <c r="BT286" s="530" t="e">
        <f t="shared" si="176"/>
        <v>#NAME?</v>
      </c>
      <c r="BU286" s="530"/>
    </row>
    <row r="287" spans="1:73" ht="16" hidden="1" outlineLevel="2">
      <c r="A287" s="366"/>
      <c r="B287" s="562"/>
      <c r="C287" s="366"/>
      <c r="D287" s="454"/>
      <c r="E287" s="533">
        <f t="shared" si="185"/>
        <v>281</v>
      </c>
      <c r="F287" s="533">
        <f t="shared" si="177"/>
        <v>94</v>
      </c>
      <c r="G287" s="533">
        <f t="shared" si="178"/>
        <v>24</v>
      </c>
      <c r="H287" s="541">
        <f t="shared" si="154"/>
        <v>52351</v>
      </c>
      <c r="I287" s="542">
        <f t="shared" si="157"/>
        <v>2043</v>
      </c>
      <c r="K287" s="533">
        <f>[1]mProject!KB291</f>
        <v>0</v>
      </c>
      <c r="L287" s="533">
        <f t="shared" si="158"/>
        <v>950</v>
      </c>
      <c r="M287" s="533">
        <f t="shared" si="159"/>
        <v>295000</v>
      </c>
      <c r="N287" s="533">
        <f t="shared" si="160"/>
        <v>0</v>
      </c>
      <c r="O287" s="533">
        <f t="shared" si="179"/>
        <v>280250000</v>
      </c>
      <c r="P287" s="533">
        <f>[1]mProject!W291</f>
        <v>452574.38724851049</v>
      </c>
      <c r="Q287" s="533">
        <f t="shared" si="161"/>
        <v>0</v>
      </c>
      <c r="R287" s="533">
        <f t="shared" si="180"/>
        <v>296355280.38883054</v>
      </c>
      <c r="T287" s="533">
        <v>0</v>
      </c>
      <c r="U287" s="533">
        <f t="shared" si="162"/>
        <v>0</v>
      </c>
      <c r="V287" s="533">
        <f>IF(T287=0,0,$V$7*(1+#REF!)^#REF!)</f>
        <v>0</v>
      </c>
      <c r="W287" s="533">
        <f t="shared" si="181"/>
        <v>0</v>
      </c>
      <c r="X287" s="533">
        <f t="shared" si="163"/>
        <v>0</v>
      </c>
      <c r="Y287" s="533">
        <f t="shared" si="164"/>
        <v>0</v>
      </c>
      <c r="AA287" s="533">
        <v>0</v>
      </c>
      <c r="AB287" s="533">
        <f t="shared" si="165"/>
        <v>0</v>
      </c>
      <c r="AC287" s="533">
        <f>IF(AA287=0,0,$V$7*(1+#REF!)^#REF!)</f>
        <v>0</v>
      </c>
      <c r="AD287" s="533">
        <f t="shared" si="182"/>
        <v>0</v>
      </c>
      <c r="AE287" s="533">
        <f t="shared" si="166"/>
        <v>0</v>
      </c>
      <c r="AF287" s="533">
        <f t="shared" si="167"/>
        <v>0</v>
      </c>
      <c r="AH287" s="533">
        <f t="shared" si="168"/>
        <v>0</v>
      </c>
      <c r="AI287" s="533">
        <f t="shared" si="183"/>
        <v>950</v>
      </c>
      <c r="AJ287" s="533">
        <f t="shared" si="156"/>
        <v>0</v>
      </c>
      <c r="AK287" s="533">
        <f>AJ287*[1]mProject!V291</f>
        <v>0</v>
      </c>
      <c r="AL287" s="533">
        <f t="shared" si="169"/>
        <v>0</v>
      </c>
      <c r="AM287" s="533">
        <f t="shared" si="170"/>
        <v>0</v>
      </c>
      <c r="AN287" s="456"/>
      <c r="AO287" s="575" t="e">
        <f t="shared" si="186"/>
        <v>#REF!</v>
      </c>
      <c r="AP287" s="575" t="e">
        <f t="shared" ref="AP287:AP350" si="190">$L275*AP$6</f>
        <v>#REF!</v>
      </c>
      <c r="AQ287" s="575" t="e">
        <f t="shared" si="155"/>
        <v>#REF!</v>
      </c>
      <c r="AR287" s="576" t="e">
        <f t="shared" si="187"/>
        <v>#REF!</v>
      </c>
      <c r="AS287" s="533" t="e">
        <f t="shared" si="189"/>
        <v>#REF!</v>
      </c>
      <c r="AT287" s="533"/>
      <c r="AU287" s="533"/>
      <c r="AV287" s="533" t="e">
        <f t="shared" si="171"/>
        <v>#REF!</v>
      </c>
      <c r="AW287" s="533" t="e">
        <f>AI287*#REF!+AI286*#REF!+AI285*#REF!</f>
        <v>#REF!</v>
      </c>
      <c r="AX287" s="456"/>
      <c r="AY287" s="584">
        <f t="shared" si="184"/>
        <v>1.5967071680697298</v>
      </c>
      <c r="AZ287" s="533">
        <f t="shared" si="172"/>
        <v>0</v>
      </c>
      <c r="BA287" s="533">
        <f>BA286*[1]mProject!V292</f>
        <v>0</v>
      </c>
      <c r="BB287" s="533">
        <f t="shared" si="188"/>
        <v>17781316.823329829</v>
      </c>
      <c r="BC287" s="456"/>
      <c r="BD287" s="586">
        <f>((BB287/100)*(i_CFD.ObliRate/12))*[1]i.Finance!$O$64</f>
        <v>59826.722228495157</v>
      </c>
      <c r="BE287" s="586">
        <f>(AZ287/100*[1]i.Finance!$O$61)*[1]i.Finance!$O$64</f>
        <v>0</v>
      </c>
      <c r="BF287" s="586">
        <f>(AZ287/100*[1]i.Finance!$O$65)</f>
        <v>0</v>
      </c>
      <c r="BG287" s="587">
        <f t="shared" si="173"/>
        <v>59826.722228495157</v>
      </c>
      <c r="BH287" s="456"/>
      <c r="BI287" s="586">
        <f>-PV([1]i.Finance!$O$63/12,[1]i.Finance!$O$62*12,mCFD!BG287)</f>
        <v>10233961.918709608</v>
      </c>
      <c r="BJ287" s="586">
        <f>BI287*[1]i.Finance!$O$58</f>
        <v>8033660.1061870428</v>
      </c>
      <c r="BK287" s="586"/>
      <c r="BL287" s="586"/>
      <c r="BP287" s="533"/>
      <c r="BQ287" s="533"/>
      <c r="BR287" s="533" t="e">
        <f t="shared" si="174"/>
        <v>#NAME?</v>
      </c>
      <c r="BS287" s="533" t="e">
        <f t="shared" si="175"/>
        <v>#NAME?</v>
      </c>
      <c r="BT287" s="533" t="e">
        <f t="shared" si="176"/>
        <v>#NAME?</v>
      </c>
      <c r="BU287" s="533"/>
    </row>
    <row r="288" spans="1:73" ht="16" hidden="1" outlineLevel="2">
      <c r="A288" s="366"/>
      <c r="B288" s="562"/>
      <c r="C288" s="366"/>
      <c r="D288" s="454"/>
      <c r="E288" s="547">
        <f t="shared" si="185"/>
        <v>282</v>
      </c>
      <c r="F288" s="547">
        <f t="shared" si="177"/>
        <v>94</v>
      </c>
      <c r="G288" s="547">
        <f t="shared" si="178"/>
        <v>24</v>
      </c>
      <c r="H288" s="548">
        <f t="shared" si="154"/>
        <v>52382</v>
      </c>
      <c r="I288" s="549">
        <f t="shared" si="157"/>
        <v>2043</v>
      </c>
      <c r="K288" s="547">
        <f>[1]mProject!KB292</f>
        <v>0</v>
      </c>
      <c r="L288" s="547">
        <f t="shared" si="158"/>
        <v>950</v>
      </c>
      <c r="M288" s="547">
        <f t="shared" si="159"/>
        <v>295000</v>
      </c>
      <c r="N288" s="547">
        <f t="shared" si="160"/>
        <v>0</v>
      </c>
      <c r="O288" s="547">
        <f t="shared" si="179"/>
        <v>280250000</v>
      </c>
      <c r="P288" s="547">
        <f>[1]mProject!W292</f>
        <v>453328.6778939247</v>
      </c>
      <c r="Q288" s="547">
        <f t="shared" si="161"/>
        <v>0</v>
      </c>
      <c r="R288" s="547">
        <f t="shared" si="180"/>
        <v>296355280.38883054</v>
      </c>
      <c r="T288" s="547">
        <v>0</v>
      </c>
      <c r="U288" s="547">
        <f t="shared" si="162"/>
        <v>0</v>
      </c>
      <c r="V288" s="547">
        <f>IF(T288=0,0,$V$7*(1+#REF!)^#REF!)</f>
        <v>0</v>
      </c>
      <c r="W288" s="547">
        <f t="shared" si="181"/>
        <v>0</v>
      </c>
      <c r="X288" s="547">
        <f t="shared" si="163"/>
        <v>0</v>
      </c>
      <c r="Y288" s="547">
        <f t="shared" si="164"/>
        <v>0</v>
      </c>
      <c r="AA288" s="547">
        <v>0</v>
      </c>
      <c r="AB288" s="547">
        <f t="shared" si="165"/>
        <v>0</v>
      </c>
      <c r="AC288" s="547">
        <f>IF(AA288=0,0,$V$7*(1+#REF!)^#REF!)</f>
        <v>0</v>
      </c>
      <c r="AD288" s="547">
        <f t="shared" si="182"/>
        <v>0</v>
      </c>
      <c r="AE288" s="547">
        <f t="shared" si="166"/>
        <v>0</v>
      </c>
      <c r="AF288" s="547">
        <f t="shared" si="167"/>
        <v>0</v>
      </c>
      <c r="AH288" s="547">
        <f t="shared" si="168"/>
        <v>0</v>
      </c>
      <c r="AI288" s="547">
        <f t="shared" si="183"/>
        <v>950</v>
      </c>
      <c r="AJ288" s="547">
        <f t="shared" si="156"/>
        <v>0</v>
      </c>
      <c r="AK288" s="547">
        <f>AJ288*[1]mProject!V292</f>
        <v>0</v>
      </c>
      <c r="AL288" s="547">
        <f t="shared" si="169"/>
        <v>0</v>
      </c>
      <c r="AM288" s="547">
        <f t="shared" si="170"/>
        <v>0</v>
      </c>
      <c r="AN288" s="456"/>
      <c r="AO288" s="577" t="e">
        <f t="shared" si="186"/>
        <v>#REF!</v>
      </c>
      <c r="AP288" s="577" t="e">
        <f t="shared" si="190"/>
        <v>#REF!</v>
      </c>
      <c r="AQ288" s="577" t="e">
        <f t="shared" si="155"/>
        <v>#REF!</v>
      </c>
      <c r="AR288" s="578" t="e">
        <f t="shared" si="187"/>
        <v>#REF!</v>
      </c>
      <c r="AS288" s="547" t="e">
        <f t="shared" si="189"/>
        <v>#REF!</v>
      </c>
      <c r="AT288" s="547"/>
      <c r="AU288" s="547"/>
      <c r="AV288" s="547" t="e">
        <f t="shared" si="171"/>
        <v>#REF!</v>
      </c>
      <c r="AW288" s="547" t="e">
        <f>AI288*#REF!+AI287*#REF!+AI286*#REF!</f>
        <v>#REF!</v>
      </c>
      <c r="AX288" s="456"/>
      <c r="AY288" s="585">
        <f t="shared" si="184"/>
        <v>1.5993683466831794</v>
      </c>
      <c r="AZ288" s="547">
        <f t="shared" si="172"/>
        <v>0</v>
      </c>
      <c r="BA288" s="547">
        <f>BA287*[1]mProject!V293</f>
        <v>0</v>
      </c>
      <c r="BB288" s="547">
        <f t="shared" si="188"/>
        <v>17781316.823329829</v>
      </c>
      <c r="BC288" s="456"/>
      <c r="BD288" s="588">
        <f>((BB288/100)*(i_CFD.ObliRate/12))*[1]i.Finance!$O$64</f>
        <v>59826.722228495157</v>
      </c>
      <c r="BE288" s="588">
        <f>(AZ288/100*[1]i.Finance!$O$61)*[1]i.Finance!$O$64</f>
        <v>0</v>
      </c>
      <c r="BF288" s="588">
        <f>(AZ288/100*[1]i.Finance!$O$65)</f>
        <v>0</v>
      </c>
      <c r="BG288" s="589">
        <f t="shared" si="173"/>
        <v>59826.722228495157</v>
      </c>
      <c r="BH288" s="456"/>
      <c r="BI288" s="588">
        <f>-PV([1]i.Finance!$O$63/12,[1]i.Finance!$O$62*12,mCFD!BG288)</f>
        <v>10233961.918709608</v>
      </c>
      <c r="BJ288" s="588">
        <f>BI288*[1]i.Finance!$O$58</f>
        <v>8033660.1061870428</v>
      </c>
      <c r="BK288" s="588"/>
      <c r="BL288" s="588"/>
      <c r="BP288" s="547"/>
      <c r="BQ288" s="547"/>
      <c r="BR288" s="547" t="e">
        <f t="shared" si="174"/>
        <v>#NAME?</v>
      </c>
      <c r="BS288" s="547" t="e">
        <f t="shared" si="175"/>
        <v>#NAME?</v>
      </c>
      <c r="BT288" s="547" t="e">
        <f t="shared" si="176"/>
        <v>#NAME?</v>
      </c>
      <c r="BU288" s="547"/>
    </row>
    <row r="289" spans="1:73" ht="16" hidden="1" outlineLevel="2">
      <c r="A289" s="366"/>
      <c r="B289" s="562"/>
      <c r="C289" s="366"/>
      <c r="D289" s="454"/>
      <c r="E289" s="530">
        <f t="shared" si="185"/>
        <v>283</v>
      </c>
      <c r="F289" s="530">
        <f t="shared" si="177"/>
        <v>95</v>
      </c>
      <c r="G289" s="530">
        <f t="shared" si="178"/>
        <v>24</v>
      </c>
      <c r="H289" s="554">
        <f t="shared" ref="H289:H352" si="191">EOMONTH(H288,1)</f>
        <v>52412</v>
      </c>
      <c r="I289" s="555">
        <f t="shared" si="157"/>
        <v>2043</v>
      </c>
      <c r="K289" s="530">
        <f>[1]mProject!KB293</f>
        <v>0</v>
      </c>
      <c r="L289" s="530">
        <f t="shared" si="158"/>
        <v>950</v>
      </c>
      <c r="M289" s="530">
        <f t="shared" si="159"/>
        <v>295000</v>
      </c>
      <c r="N289" s="530">
        <f t="shared" si="160"/>
        <v>0</v>
      </c>
      <c r="O289" s="530">
        <f t="shared" si="179"/>
        <v>280250000</v>
      </c>
      <c r="P289" s="530">
        <f>[1]mProject!W293</f>
        <v>454084.22569041461</v>
      </c>
      <c r="Q289" s="530">
        <f t="shared" si="161"/>
        <v>0</v>
      </c>
      <c r="R289" s="530">
        <f t="shared" si="180"/>
        <v>296355280.38883054</v>
      </c>
      <c r="T289" s="530">
        <v>0</v>
      </c>
      <c r="U289" s="530">
        <f t="shared" si="162"/>
        <v>0</v>
      </c>
      <c r="V289" s="530">
        <f>IF(T289=0,0,$V$7*(1+#REF!)^#REF!)</f>
        <v>0</v>
      </c>
      <c r="W289" s="530">
        <f t="shared" si="181"/>
        <v>0</v>
      </c>
      <c r="X289" s="530">
        <f t="shared" si="163"/>
        <v>0</v>
      </c>
      <c r="Y289" s="530">
        <f t="shared" si="164"/>
        <v>0</v>
      </c>
      <c r="AA289" s="530">
        <v>0</v>
      </c>
      <c r="AB289" s="530">
        <f t="shared" si="165"/>
        <v>0</v>
      </c>
      <c r="AC289" s="530">
        <f>IF(AA289=0,0,$V$7*(1+#REF!)^#REF!)</f>
        <v>0</v>
      </c>
      <c r="AD289" s="530">
        <f t="shared" si="182"/>
        <v>0</v>
      </c>
      <c r="AE289" s="530">
        <f t="shared" si="166"/>
        <v>0</v>
      </c>
      <c r="AF289" s="530">
        <f t="shared" si="167"/>
        <v>0</v>
      </c>
      <c r="AH289" s="530">
        <f t="shared" si="168"/>
        <v>0</v>
      </c>
      <c r="AI289" s="530">
        <f t="shared" si="183"/>
        <v>950</v>
      </c>
      <c r="AJ289" s="530">
        <f t="shared" si="156"/>
        <v>0</v>
      </c>
      <c r="AK289" s="530">
        <f>AJ289*[1]mProject!V293</f>
        <v>0</v>
      </c>
      <c r="AL289" s="530">
        <f t="shared" si="169"/>
        <v>0</v>
      </c>
      <c r="AM289" s="530">
        <f t="shared" si="170"/>
        <v>0</v>
      </c>
      <c r="AN289" s="456"/>
      <c r="AO289" s="572" t="e">
        <f t="shared" si="186"/>
        <v>#REF!</v>
      </c>
      <c r="AP289" s="572" t="e">
        <f t="shared" si="190"/>
        <v>#REF!</v>
      </c>
      <c r="AQ289" s="572" t="e">
        <f t="shared" si="155"/>
        <v>#REF!</v>
      </c>
      <c r="AR289" s="573" t="e">
        <f t="shared" si="187"/>
        <v>#REF!</v>
      </c>
      <c r="AS289" s="530" t="e">
        <f t="shared" si="189"/>
        <v>#REF!</v>
      </c>
      <c r="AT289" s="530"/>
      <c r="AU289" s="530"/>
      <c r="AV289" s="530" t="e">
        <f t="shared" si="171"/>
        <v>#REF!</v>
      </c>
      <c r="AW289" s="530" t="e">
        <f>AI289*#REF!+AI288*#REF!+AI287*#REF!</f>
        <v>#REF!</v>
      </c>
      <c r="AX289" s="456"/>
      <c r="AY289" s="583">
        <f t="shared" si="184"/>
        <v>1.6020339605943181</v>
      </c>
      <c r="AZ289" s="530">
        <f t="shared" si="172"/>
        <v>0</v>
      </c>
      <c r="BA289" s="530">
        <f>BA288*[1]mProject!V294</f>
        <v>0</v>
      </c>
      <c r="BB289" s="530">
        <f t="shared" si="188"/>
        <v>17781316.823329829</v>
      </c>
      <c r="BC289" s="456"/>
      <c r="BD289" s="590">
        <f>((BB289/100)*(i_CFD.ObliRate/12))*[1]i.Finance!$O$64</f>
        <v>59826.722228495157</v>
      </c>
      <c r="BE289" s="590">
        <f>(AZ289/100*[1]i.Finance!$O$61)*[1]i.Finance!$O$64</f>
        <v>0</v>
      </c>
      <c r="BF289" s="590">
        <f>(AZ289/100*[1]i.Finance!$O$65)</f>
        <v>0</v>
      </c>
      <c r="BG289" s="591">
        <f t="shared" si="173"/>
        <v>59826.722228495157</v>
      </c>
      <c r="BH289" s="456"/>
      <c r="BI289" s="590">
        <f>-PV([1]i.Finance!$O$63/12,[1]i.Finance!$O$62*12,mCFD!BG289)</f>
        <v>10233961.918709608</v>
      </c>
      <c r="BJ289" s="590">
        <f>BI289*[1]i.Finance!$O$58</f>
        <v>8033660.1061870428</v>
      </c>
      <c r="BK289" s="590"/>
      <c r="BL289" s="590"/>
      <c r="BP289" s="530"/>
      <c r="BQ289" s="530"/>
      <c r="BR289" s="530" t="e">
        <f t="shared" si="174"/>
        <v>#NAME?</v>
      </c>
      <c r="BS289" s="530" t="e">
        <f t="shared" si="175"/>
        <v>#NAME?</v>
      </c>
      <c r="BT289" s="530" t="e">
        <f t="shared" si="176"/>
        <v>#NAME?</v>
      </c>
      <c r="BU289" s="530"/>
    </row>
    <row r="290" spans="1:73" ht="16" hidden="1" outlineLevel="2">
      <c r="A290" s="366"/>
      <c r="B290" s="562"/>
      <c r="C290" s="366"/>
      <c r="D290" s="454"/>
      <c r="E290" s="533">
        <f t="shared" si="185"/>
        <v>284</v>
      </c>
      <c r="F290" s="533">
        <f t="shared" si="177"/>
        <v>95</v>
      </c>
      <c r="G290" s="533">
        <f t="shared" si="178"/>
        <v>24</v>
      </c>
      <c r="H290" s="541">
        <f t="shared" si="191"/>
        <v>52443</v>
      </c>
      <c r="I290" s="542">
        <f t="shared" si="157"/>
        <v>2043</v>
      </c>
      <c r="K290" s="533">
        <f>[1]mProject!KB294</f>
        <v>0</v>
      </c>
      <c r="L290" s="533">
        <f t="shared" si="158"/>
        <v>950</v>
      </c>
      <c r="M290" s="533">
        <f t="shared" si="159"/>
        <v>295000</v>
      </c>
      <c r="N290" s="533">
        <f t="shared" si="160"/>
        <v>0</v>
      </c>
      <c r="O290" s="533">
        <f t="shared" si="179"/>
        <v>280250000</v>
      </c>
      <c r="P290" s="533">
        <f>[1]mProject!W294</f>
        <v>454841.03273323196</v>
      </c>
      <c r="Q290" s="533">
        <f t="shared" si="161"/>
        <v>0</v>
      </c>
      <c r="R290" s="533">
        <f t="shared" si="180"/>
        <v>296355280.38883054</v>
      </c>
      <c r="T290" s="533">
        <v>0</v>
      </c>
      <c r="U290" s="533">
        <f t="shared" si="162"/>
        <v>0</v>
      </c>
      <c r="V290" s="533">
        <f>IF(T290=0,0,$V$7*(1+#REF!)^#REF!)</f>
        <v>0</v>
      </c>
      <c r="W290" s="533">
        <f t="shared" si="181"/>
        <v>0</v>
      </c>
      <c r="X290" s="533">
        <f t="shared" si="163"/>
        <v>0</v>
      </c>
      <c r="Y290" s="533">
        <f t="shared" si="164"/>
        <v>0</v>
      </c>
      <c r="AA290" s="533">
        <v>0</v>
      </c>
      <c r="AB290" s="533">
        <f t="shared" si="165"/>
        <v>0</v>
      </c>
      <c r="AC290" s="533">
        <f>IF(AA290=0,0,$V$7*(1+#REF!)^#REF!)</f>
        <v>0</v>
      </c>
      <c r="AD290" s="533">
        <f t="shared" si="182"/>
        <v>0</v>
      </c>
      <c r="AE290" s="533">
        <f t="shared" si="166"/>
        <v>0</v>
      </c>
      <c r="AF290" s="533">
        <f t="shared" si="167"/>
        <v>0</v>
      </c>
      <c r="AH290" s="533">
        <f t="shared" si="168"/>
        <v>0</v>
      </c>
      <c r="AI290" s="533">
        <f t="shared" si="183"/>
        <v>950</v>
      </c>
      <c r="AJ290" s="533">
        <f t="shared" si="156"/>
        <v>0</v>
      </c>
      <c r="AK290" s="533">
        <f>AJ290*[1]mProject!V294</f>
        <v>0</v>
      </c>
      <c r="AL290" s="533">
        <f t="shared" si="169"/>
        <v>0</v>
      </c>
      <c r="AM290" s="533">
        <f t="shared" si="170"/>
        <v>0</v>
      </c>
      <c r="AN290" s="456"/>
      <c r="AO290" s="575" t="e">
        <f t="shared" si="186"/>
        <v>#REF!</v>
      </c>
      <c r="AP290" s="575" t="e">
        <f t="shared" si="190"/>
        <v>#REF!</v>
      </c>
      <c r="AQ290" s="575" t="e">
        <f t="shared" si="155"/>
        <v>#REF!</v>
      </c>
      <c r="AR290" s="576" t="e">
        <f t="shared" si="187"/>
        <v>#REF!</v>
      </c>
      <c r="AS290" s="533" t="e">
        <f t="shared" si="189"/>
        <v>#REF!</v>
      </c>
      <c r="AT290" s="533"/>
      <c r="AU290" s="533"/>
      <c r="AV290" s="533" t="e">
        <f t="shared" si="171"/>
        <v>#REF!</v>
      </c>
      <c r="AW290" s="533" t="e">
        <f>AI290*#REF!+AI289*#REF!+AI288*#REF!</f>
        <v>#REF!</v>
      </c>
      <c r="AX290" s="456"/>
      <c r="AY290" s="584">
        <f t="shared" si="184"/>
        <v>1.6047040171953086</v>
      </c>
      <c r="AZ290" s="533">
        <f t="shared" si="172"/>
        <v>0</v>
      </c>
      <c r="BA290" s="533">
        <f>BA289*[1]mProject!V295</f>
        <v>0</v>
      </c>
      <c r="BB290" s="533">
        <f t="shared" si="188"/>
        <v>17781316.823329829</v>
      </c>
      <c r="BC290" s="456"/>
      <c r="BD290" s="586">
        <f>((BB290/100)*(i_CFD.ObliRate/12))*[1]i.Finance!$O$64</f>
        <v>59826.722228495157</v>
      </c>
      <c r="BE290" s="586">
        <f>(AZ290/100*[1]i.Finance!$O$61)*[1]i.Finance!$O$64</f>
        <v>0</v>
      </c>
      <c r="BF290" s="586">
        <f>(AZ290/100*[1]i.Finance!$O$65)</f>
        <v>0</v>
      </c>
      <c r="BG290" s="587">
        <f t="shared" si="173"/>
        <v>59826.722228495157</v>
      </c>
      <c r="BH290" s="456"/>
      <c r="BI290" s="586">
        <f>-PV([1]i.Finance!$O$63/12,[1]i.Finance!$O$62*12,mCFD!BG290)</f>
        <v>10233961.918709608</v>
      </c>
      <c r="BJ290" s="586">
        <f>BI290*[1]i.Finance!$O$58</f>
        <v>8033660.1061870428</v>
      </c>
      <c r="BK290" s="586"/>
      <c r="BL290" s="586"/>
      <c r="BP290" s="533"/>
      <c r="BQ290" s="533"/>
      <c r="BR290" s="533" t="e">
        <f t="shared" si="174"/>
        <v>#NAME?</v>
      </c>
      <c r="BS290" s="533" t="e">
        <f t="shared" si="175"/>
        <v>#NAME?</v>
      </c>
      <c r="BT290" s="533" t="e">
        <f t="shared" si="176"/>
        <v>#NAME?</v>
      </c>
      <c r="BU290" s="533"/>
    </row>
    <row r="291" spans="1:73" ht="16" hidden="1" outlineLevel="2">
      <c r="A291" s="366"/>
      <c r="B291" s="562"/>
      <c r="C291" s="366"/>
      <c r="D291" s="454"/>
      <c r="E291" s="547">
        <f t="shared" si="185"/>
        <v>285</v>
      </c>
      <c r="F291" s="547">
        <f t="shared" si="177"/>
        <v>95</v>
      </c>
      <c r="G291" s="547">
        <f t="shared" si="178"/>
        <v>24</v>
      </c>
      <c r="H291" s="548">
        <f t="shared" si="191"/>
        <v>52474</v>
      </c>
      <c r="I291" s="549">
        <f t="shared" si="157"/>
        <v>2043</v>
      </c>
      <c r="K291" s="547">
        <f>[1]mProject!KB295</f>
        <v>0</v>
      </c>
      <c r="L291" s="547">
        <f t="shared" si="158"/>
        <v>950</v>
      </c>
      <c r="M291" s="547">
        <f t="shared" si="159"/>
        <v>295000</v>
      </c>
      <c r="N291" s="547">
        <f t="shared" si="160"/>
        <v>0</v>
      </c>
      <c r="O291" s="547">
        <f t="shared" si="179"/>
        <v>280250000</v>
      </c>
      <c r="P291" s="547">
        <f>[1]mProject!W295</f>
        <v>455599.10112112068</v>
      </c>
      <c r="Q291" s="547">
        <f t="shared" si="161"/>
        <v>0</v>
      </c>
      <c r="R291" s="547">
        <f t="shared" si="180"/>
        <v>296355280.38883054</v>
      </c>
      <c r="T291" s="547">
        <v>0</v>
      </c>
      <c r="U291" s="547">
        <f t="shared" si="162"/>
        <v>0</v>
      </c>
      <c r="V291" s="547">
        <f>IF(T291=0,0,$V$7*(1+#REF!)^#REF!)</f>
        <v>0</v>
      </c>
      <c r="W291" s="547">
        <f t="shared" si="181"/>
        <v>0</v>
      </c>
      <c r="X291" s="547">
        <f t="shared" si="163"/>
        <v>0</v>
      </c>
      <c r="Y291" s="547">
        <f t="shared" si="164"/>
        <v>0</v>
      </c>
      <c r="AA291" s="547">
        <v>0</v>
      </c>
      <c r="AB291" s="547">
        <f t="shared" si="165"/>
        <v>0</v>
      </c>
      <c r="AC291" s="547">
        <f>IF(AA291=0,0,$V$7*(1+#REF!)^#REF!)</f>
        <v>0</v>
      </c>
      <c r="AD291" s="547">
        <f t="shared" si="182"/>
        <v>0</v>
      </c>
      <c r="AE291" s="547">
        <f t="shared" si="166"/>
        <v>0</v>
      </c>
      <c r="AF291" s="547">
        <f t="shared" si="167"/>
        <v>0</v>
      </c>
      <c r="AH291" s="547">
        <f t="shared" si="168"/>
        <v>0</v>
      </c>
      <c r="AI291" s="547">
        <f t="shared" si="183"/>
        <v>950</v>
      </c>
      <c r="AJ291" s="547">
        <f t="shared" si="156"/>
        <v>0</v>
      </c>
      <c r="AK291" s="547">
        <f>AJ291*[1]mProject!V295</f>
        <v>0</v>
      </c>
      <c r="AL291" s="547">
        <f t="shared" si="169"/>
        <v>0</v>
      </c>
      <c r="AM291" s="547">
        <f t="shared" si="170"/>
        <v>0</v>
      </c>
      <c r="AN291" s="456"/>
      <c r="AO291" s="577" t="e">
        <f t="shared" si="186"/>
        <v>#REF!</v>
      </c>
      <c r="AP291" s="577" t="e">
        <f t="shared" si="190"/>
        <v>#REF!</v>
      </c>
      <c r="AQ291" s="577" t="e">
        <f t="shared" si="155"/>
        <v>#REF!</v>
      </c>
      <c r="AR291" s="578" t="e">
        <f t="shared" si="187"/>
        <v>#REF!</v>
      </c>
      <c r="AS291" s="547" t="e">
        <f t="shared" si="189"/>
        <v>#REF!</v>
      </c>
      <c r="AT291" s="547"/>
      <c r="AU291" s="547"/>
      <c r="AV291" s="547" t="e">
        <f t="shared" si="171"/>
        <v>#REF!</v>
      </c>
      <c r="AW291" s="547" t="e">
        <f>AI291*#REF!+AI290*#REF!+AI289*#REF!</f>
        <v>#REF!</v>
      </c>
      <c r="AX291" s="456"/>
      <c r="AY291" s="585">
        <f t="shared" si="184"/>
        <v>1.6073785238906342</v>
      </c>
      <c r="AZ291" s="547">
        <f t="shared" si="172"/>
        <v>0</v>
      </c>
      <c r="BA291" s="547">
        <f>BA290*[1]mProject!V296</f>
        <v>0</v>
      </c>
      <c r="BB291" s="547">
        <f t="shared" si="188"/>
        <v>17781316.823329829</v>
      </c>
      <c r="BC291" s="456"/>
      <c r="BD291" s="588">
        <f>((BB291/100)*(i_CFD.ObliRate/12))*[1]i.Finance!$O$64</f>
        <v>59826.722228495157</v>
      </c>
      <c r="BE291" s="588">
        <f>(AZ291/100*[1]i.Finance!$O$61)*[1]i.Finance!$O$64</f>
        <v>0</v>
      </c>
      <c r="BF291" s="588">
        <f>(AZ291/100*[1]i.Finance!$O$65)</f>
        <v>0</v>
      </c>
      <c r="BG291" s="589">
        <f t="shared" si="173"/>
        <v>59826.722228495157</v>
      </c>
      <c r="BH291" s="456"/>
      <c r="BI291" s="588">
        <f>-PV([1]i.Finance!$O$63/12,[1]i.Finance!$O$62*12,mCFD!BG291)</f>
        <v>10233961.918709608</v>
      </c>
      <c r="BJ291" s="588">
        <f>BI291*[1]i.Finance!$O$58</f>
        <v>8033660.1061870428</v>
      </c>
      <c r="BK291" s="588"/>
      <c r="BL291" s="588"/>
      <c r="BP291" s="547"/>
      <c r="BQ291" s="547"/>
      <c r="BR291" s="547" t="e">
        <f t="shared" si="174"/>
        <v>#NAME?</v>
      </c>
      <c r="BS291" s="547" t="e">
        <f t="shared" si="175"/>
        <v>#NAME?</v>
      </c>
      <c r="BT291" s="547" t="e">
        <f t="shared" si="176"/>
        <v>#NAME?</v>
      </c>
      <c r="BU291" s="547"/>
    </row>
    <row r="292" spans="1:73" ht="16" hidden="1" outlineLevel="2">
      <c r="A292" s="366"/>
      <c r="B292" s="562"/>
      <c r="C292" s="366"/>
      <c r="D292" s="454"/>
      <c r="E292" s="530">
        <f t="shared" si="185"/>
        <v>286</v>
      </c>
      <c r="F292" s="530">
        <f t="shared" si="177"/>
        <v>96</v>
      </c>
      <c r="G292" s="530">
        <f t="shared" si="178"/>
        <v>24</v>
      </c>
      <c r="H292" s="554">
        <f t="shared" si="191"/>
        <v>52504</v>
      </c>
      <c r="I292" s="555">
        <f t="shared" si="157"/>
        <v>2043</v>
      </c>
      <c r="K292" s="530">
        <f>[1]mProject!KB296</f>
        <v>0</v>
      </c>
      <c r="L292" s="530">
        <f t="shared" si="158"/>
        <v>950</v>
      </c>
      <c r="M292" s="530">
        <f t="shared" si="159"/>
        <v>295000</v>
      </c>
      <c r="N292" s="530">
        <f t="shared" si="160"/>
        <v>0</v>
      </c>
      <c r="O292" s="530">
        <f t="shared" si="179"/>
        <v>280250000</v>
      </c>
      <c r="P292" s="530">
        <f>[1]mProject!W296</f>
        <v>456358.43295632256</v>
      </c>
      <c r="Q292" s="530">
        <f t="shared" si="161"/>
        <v>0</v>
      </c>
      <c r="R292" s="530">
        <f t="shared" si="180"/>
        <v>296355280.38883054</v>
      </c>
      <c r="T292" s="530">
        <v>0</v>
      </c>
      <c r="U292" s="530">
        <f t="shared" si="162"/>
        <v>0</v>
      </c>
      <c r="V292" s="530">
        <f>IF(T292=0,0,$V$7*(1+#REF!)^#REF!)</f>
        <v>0</v>
      </c>
      <c r="W292" s="530">
        <f t="shared" si="181"/>
        <v>0</v>
      </c>
      <c r="X292" s="530">
        <f t="shared" si="163"/>
        <v>0</v>
      </c>
      <c r="Y292" s="530">
        <f t="shared" si="164"/>
        <v>0</v>
      </c>
      <c r="AA292" s="530">
        <v>0</v>
      </c>
      <c r="AB292" s="530">
        <f t="shared" si="165"/>
        <v>0</v>
      </c>
      <c r="AC292" s="530">
        <f>IF(AA292=0,0,$V$7*(1+#REF!)^#REF!)</f>
        <v>0</v>
      </c>
      <c r="AD292" s="530">
        <f t="shared" si="182"/>
        <v>0</v>
      </c>
      <c r="AE292" s="530">
        <f t="shared" si="166"/>
        <v>0</v>
      </c>
      <c r="AF292" s="530">
        <f t="shared" si="167"/>
        <v>0</v>
      </c>
      <c r="AH292" s="530">
        <f t="shared" si="168"/>
        <v>0</v>
      </c>
      <c r="AI292" s="530">
        <f t="shared" si="183"/>
        <v>950</v>
      </c>
      <c r="AJ292" s="530">
        <f t="shared" si="156"/>
        <v>0</v>
      </c>
      <c r="AK292" s="530">
        <f>AJ292*[1]mProject!V296</f>
        <v>0</v>
      </c>
      <c r="AL292" s="530">
        <f t="shared" si="169"/>
        <v>0</v>
      </c>
      <c r="AM292" s="530">
        <f t="shared" si="170"/>
        <v>0</v>
      </c>
      <c r="AN292" s="456"/>
      <c r="AO292" s="572" t="e">
        <f t="shared" si="186"/>
        <v>#REF!</v>
      </c>
      <c r="AP292" s="572" t="e">
        <f t="shared" si="190"/>
        <v>#REF!</v>
      </c>
      <c r="AQ292" s="572" t="e">
        <f t="shared" si="155"/>
        <v>#REF!</v>
      </c>
      <c r="AR292" s="573" t="e">
        <f t="shared" si="187"/>
        <v>#REF!</v>
      </c>
      <c r="AS292" s="530" t="e">
        <f t="shared" si="189"/>
        <v>#REF!</v>
      </c>
      <c r="AT292" s="530"/>
      <c r="AU292" s="530"/>
      <c r="AV292" s="530" t="e">
        <f t="shared" si="171"/>
        <v>#REF!</v>
      </c>
      <c r="AW292" s="530" t="e">
        <f>AI292*#REF!+AI291*#REF!+AI290*#REF!</f>
        <v>#REF!</v>
      </c>
      <c r="AX292" s="456"/>
      <c r="AY292" s="583">
        <f t="shared" si="184"/>
        <v>1.6100574880971186</v>
      </c>
      <c r="AZ292" s="530">
        <f t="shared" si="172"/>
        <v>0</v>
      </c>
      <c r="BA292" s="530">
        <f>BA291*[1]mProject!V297</f>
        <v>0</v>
      </c>
      <c r="BB292" s="530">
        <f t="shared" si="188"/>
        <v>17781316.823329829</v>
      </c>
      <c r="BC292" s="456"/>
      <c r="BD292" s="590">
        <f>((BB292/100)*(i_CFD.ObliRate/12))*[1]i.Finance!$O$64</f>
        <v>59826.722228495157</v>
      </c>
      <c r="BE292" s="590">
        <f>(AZ292/100*[1]i.Finance!$O$61)*[1]i.Finance!$O$64</f>
        <v>0</v>
      </c>
      <c r="BF292" s="590">
        <f>(AZ292/100*[1]i.Finance!$O$65)</f>
        <v>0</v>
      </c>
      <c r="BG292" s="591">
        <f t="shared" si="173"/>
        <v>59826.722228495157</v>
      </c>
      <c r="BH292" s="456"/>
      <c r="BI292" s="590">
        <f>-PV([1]i.Finance!$O$63/12,[1]i.Finance!$O$62*12,mCFD!BG292)</f>
        <v>10233961.918709608</v>
      </c>
      <c r="BJ292" s="590">
        <f>BI292*[1]i.Finance!$O$58</f>
        <v>8033660.1061870428</v>
      </c>
      <c r="BK292" s="590"/>
      <c r="BL292" s="590"/>
      <c r="BP292" s="530"/>
      <c r="BQ292" s="530"/>
      <c r="BR292" s="530" t="e">
        <f t="shared" si="174"/>
        <v>#NAME?</v>
      </c>
      <c r="BS292" s="530" t="e">
        <f t="shared" si="175"/>
        <v>#NAME?</v>
      </c>
      <c r="BT292" s="530" t="e">
        <f t="shared" si="176"/>
        <v>#NAME?</v>
      </c>
      <c r="BU292" s="530"/>
    </row>
    <row r="293" spans="1:73" ht="16" hidden="1" outlineLevel="2">
      <c r="A293" s="366"/>
      <c r="B293" s="562"/>
      <c r="C293" s="366"/>
      <c r="D293" s="454"/>
      <c r="E293" s="533">
        <f t="shared" si="185"/>
        <v>287</v>
      </c>
      <c r="F293" s="533">
        <f t="shared" si="177"/>
        <v>96</v>
      </c>
      <c r="G293" s="533">
        <f t="shared" si="178"/>
        <v>24</v>
      </c>
      <c r="H293" s="541">
        <f t="shared" si="191"/>
        <v>52535</v>
      </c>
      <c r="I293" s="542">
        <f t="shared" si="157"/>
        <v>2043</v>
      </c>
      <c r="K293" s="533">
        <f>[1]mProject!KB297</f>
        <v>0</v>
      </c>
      <c r="L293" s="533">
        <f t="shared" si="158"/>
        <v>950</v>
      </c>
      <c r="M293" s="533">
        <f t="shared" si="159"/>
        <v>295000</v>
      </c>
      <c r="N293" s="533">
        <f t="shared" si="160"/>
        <v>0</v>
      </c>
      <c r="O293" s="533">
        <f t="shared" si="179"/>
        <v>280250000</v>
      </c>
      <c r="P293" s="533">
        <f>[1]mProject!W297</f>
        <v>457119.03034458309</v>
      </c>
      <c r="Q293" s="533">
        <f t="shared" si="161"/>
        <v>0</v>
      </c>
      <c r="R293" s="533">
        <f t="shared" si="180"/>
        <v>296355280.38883054</v>
      </c>
      <c r="T293" s="533">
        <v>0</v>
      </c>
      <c r="U293" s="533">
        <f t="shared" si="162"/>
        <v>0</v>
      </c>
      <c r="V293" s="533">
        <f>IF(T293=0,0,$V$7*(1+#REF!)^#REF!)</f>
        <v>0</v>
      </c>
      <c r="W293" s="533">
        <f t="shared" si="181"/>
        <v>0</v>
      </c>
      <c r="X293" s="533">
        <f t="shared" si="163"/>
        <v>0</v>
      </c>
      <c r="Y293" s="533">
        <f t="shared" si="164"/>
        <v>0</v>
      </c>
      <c r="AA293" s="533">
        <v>0</v>
      </c>
      <c r="AB293" s="533">
        <f t="shared" si="165"/>
        <v>0</v>
      </c>
      <c r="AC293" s="533">
        <f>IF(AA293=0,0,$V$7*(1+#REF!)^#REF!)</f>
        <v>0</v>
      </c>
      <c r="AD293" s="533">
        <f t="shared" si="182"/>
        <v>0</v>
      </c>
      <c r="AE293" s="533">
        <f t="shared" si="166"/>
        <v>0</v>
      </c>
      <c r="AF293" s="533">
        <f t="shared" si="167"/>
        <v>0</v>
      </c>
      <c r="AH293" s="533">
        <f t="shared" si="168"/>
        <v>0</v>
      </c>
      <c r="AI293" s="533">
        <f t="shared" si="183"/>
        <v>950</v>
      </c>
      <c r="AJ293" s="533">
        <f t="shared" si="156"/>
        <v>0</v>
      </c>
      <c r="AK293" s="533">
        <f>AJ293*[1]mProject!V297</f>
        <v>0</v>
      </c>
      <c r="AL293" s="533">
        <f t="shared" si="169"/>
        <v>0</v>
      </c>
      <c r="AM293" s="533">
        <f t="shared" si="170"/>
        <v>0</v>
      </c>
      <c r="AN293" s="456"/>
      <c r="AO293" s="575" t="e">
        <f t="shared" si="186"/>
        <v>#REF!</v>
      </c>
      <c r="AP293" s="575" t="e">
        <f t="shared" si="190"/>
        <v>#REF!</v>
      </c>
      <c r="AQ293" s="575" t="e">
        <f t="shared" si="155"/>
        <v>#REF!</v>
      </c>
      <c r="AR293" s="576" t="e">
        <f t="shared" si="187"/>
        <v>#REF!</v>
      </c>
      <c r="AS293" s="533" t="e">
        <f t="shared" si="189"/>
        <v>#REF!</v>
      </c>
      <c r="AT293" s="533"/>
      <c r="AU293" s="533"/>
      <c r="AV293" s="533" t="e">
        <f t="shared" si="171"/>
        <v>#REF!</v>
      </c>
      <c r="AW293" s="533" t="e">
        <f>AI293*#REF!+AI292*#REF!+AI291*#REF!</f>
        <v>#REF!</v>
      </c>
      <c r="AX293" s="456"/>
      <c r="AY293" s="584">
        <f t="shared" si="184"/>
        <v>1.6127409172439471</v>
      </c>
      <c r="AZ293" s="533">
        <f t="shared" si="172"/>
        <v>0</v>
      </c>
      <c r="BA293" s="533">
        <f>BA292*[1]mProject!V298</f>
        <v>0</v>
      </c>
      <c r="BB293" s="533">
        <f t="shared" si="188"/>
        <v>17781316.823329829</v>
      </c>
      <c r="BC293" s="456"/>
      <c r="BD293" s="586">
        <f>((BB293/100)*(i_CFD.ObliRate/12))*[1]i.Finance!$O$64</f>
        <v>59826.722228495157</v>
      </c>
      <c r="BE293" s="586">
        <f>(AZ293/100*[1]i.Finance!$O$61)*[1]i.Finance!$O$64</f>
        <v>0</v>
      </c>
      <c r="BF293" s="586">
        <f>(AZ293/100*[1]i.Finance!$O$65)</f>
        <v>0</v>
      </c>
      <c r="BG293" s="587">
        <f t="shared" si="173"/>
        <v>59826.722228495157</v>
      </c>
      <c r="BH293" s="456"/>
      <c r="BI293" s="586">
        <f>-PV([1]i.Finance!$O$63/12,[1]i.Finance!$O$62*12,mCFD!BG293)</f>
        <v>10233961.918709608</v>
      </c>
      <c r="BJ293" s="586">
        <f>BI293*[1]i.Finance!$O$58</f>
        <v>8033660.1061870428</v>
      </c>
      <c r="BK293" s="586"/>
      <c r="BL293" s="586"/>
      <c r="BP293" s="533"/>
      <c r="BQ293" s="533"/>
      <c r="BR293" s="533" t="e">
        <f t="shared" si="174"/>
        <v>#NAME?</v>
      </c>
      <c r="BS293" s="533" t="e">
        <f t="shared" si="175"/>
        <v>#NAME?</v>
      </c>
      <c r="BT293" s="533" t="e">
        <f t="shared" si="176"/>
        <v>#NAME?</v>
      </c>
      <c r="BU293" s="533"/>
    </row>
    <row r="294" spans="1:73" ht="17" hidden="1" outlineLevel="2" thickBot="1">
      <c r="A294" s="366"/>
      <c r="B294" s="562"/>
      <c r="C294" s="366"/>
      <c r="D294" s="454"/>
      <c r="E294" s="564">
        <f t="shared" si="185"/>
        <v>288</v>
      </c>
      <c r="F294" s="564">
        <f t="shared" si="177"/>
        <v>96</v>
      </c>
      <c r="G294" s="564">
        <f t="shared" si="178"/>
        <v>24</v>
      </c>
      <c r="H294" s="565">
        <f t="shared" si="191"/>
        <v>52565</v>
      </c>
      <c r="I294" s="566">
        <f t="shared" si="157"/>
        <v>2043</v>
      </c>
      <c r="K294" s="564">
        <f>[1]mProject!KB298</f>
        <v>0</v>
      </c>
      <c r="L294" s="564">
        <f t="shared" si="158"/>
        <v>950</v>
      </c>
      <c r="M294" s="564">
        <f t="shared" si="159"/>
        <v>295000</v>
      </c>
      <c r="N294" s="564">
        <f t="shared" si="160"/>
        <v>0</v>
      </c>
      <c r="O294" s="564">
        <f t="shared" si="179"/>
        <v>280250000</v>
      </c>
      <c r="P294" s="564">
        <f>[1]mProject!W298</f>
        <v>457880.89539515739</v>
      </c>
      <c r="Q294" s="564">
        <f t="shared" si="161"/>
        <v>0</v>
      </c>
      <c r="R294" s="564">
        <f t="shared" si="180"/>
        <v>296355280.38883054</v>
      </c>
      <c r="T294" s="564">
        <v>0</v>
      </c>
      <c r="U294" s="564">
        <f t="shared" si="162"/>
        <v>0</v>
      </c>
      <c r="V294" s="564">
        <f>IF(T294=0,0,$V$7*(1+#REF!)^#REF!)</f>
        <v>0</v>
      </c>
      <c r="W294" s="564">
        <f t="shared" si="181"/>
        <v>0</v>
      </c>
      <c r="X294" s="564">
        <f t="shared" si="163"/>
        <v>0</v>
      </c>
      <c r="Y294" s="564">
        <f t="shared" si="164"/>
        <v>0</v>
      </c>
      <c r="AA294" s="564">
        <v>0</v>
      </c>
      <c r="AB294" s="564">
        <f t="shared" si="165"/>
        <v>0</v>
      </c>
      <c r="AC294" s="564">
        <f>IF(AA294=0,0,$V$7*(1+#REF!)^#REF!)</f>
        <v>0</v>
      </c>
      <c r="AD294" s="564">
        <f t="shared" si="182"/>
        <v>0</v>
      </c>
      <c r="AE294" s="564">
        <f t="shared" si="166"/>
        <v>0</v>
      </c>
      <c r="AF294" s="564">
        <f t="shared" si="167"/>
        <v>0</v>
      </c>
      <c r="AH294" s="564">
        <f t="shared" si="168"/>
        <v>0</v>
      </c>
      <c r="AI294" s="564">
        <f t="shared" si="183"/>
        <v>950</v>
      </c>
      <c r="AJ294" s="564">
        <f t="shared" si="156"/>
        <v>0</v>
      </c>
      <c r="AK294" s="564">
        <f>AJ294*[1]mProject!V298</f>
        <v>0</v>
      </c>
      <c r="AL294" s="564">
        <f t="shared" si="169"/>
        <v>0</v>
      </c>
      <c r="AM294" s="564">
        <f t="shared" si="170"/>
        <v>0</v>
      </c>
      <c r="AN294" s="456"/>
      <c r="AO294" s="581" t="e">
        <f t="shared" si="186"/>
        <v>#REF!</v>
      </c>
      <c r="AP294" s="581" t="e">
        <f t="shared" si="190"/>
        <v>#REF!</v>
      </c>
      <c r="AQ294" s="581" t="e">
        <f t="shared" si="155"/>
        <v>#REF!</v>
      </c>
      <c r="AR294" s="582" t="e">
        <f t="shared" si="187"/>
        <v>#REF!</v>
      </c>
      <c r="AS294" s="564" t="e">
        <f t="shared" si="189"/>
        <v>#REF!</v>
      </c>
      <c r="AT294" s="564"/>
      <c r="AU294" s="564"/>
      <c r="AV294" s="564" t="e">
        <f t="shared" si="171"/>
        <v>#REF!</v>
      </c>
      <c r="AW294" s="564" t="e">
        <f>AI294*#REF!+AI293*#REF!+AI292*#REF!</f>
        <v>#REF!</v>
      </c>
      <c r="AX294" s="456"/>
      <c r="AY294" s="592">
        <f t="shared" si="184"/>
        <v>1.6154288187726871</v>
      </c>
      <c r="AZ294" s="564">
        <f t="shared" si="172"/>
        <v>0</v>
      </c>
      <c r="BA294" s="564">
        <f>BA293*[1]mProject!V299</f>
        <v>0</v>
      </c>
      <c r="BB294" s="564">
        <f t="shared" si="188"/>
        <v>17781316.823329829</v>
      </c>
      <c r="BC294" s="456"/>
      <c r="BD294" s="593">
        <f>((BB294/100)*(i_CFD.ObliRate/12))*[1]i.Finance!$O$64</f>
        <v>59826.722228495157</v>
      </c>
      <c r="BE294" s="593">
        <f>(AZ294/100*[1]i.Finance!$O$61)*[1]i.Finance!$O$64</f>
        <v>0</v>
      </c>
      <c r="BF294" s="593">
        <f>(AZ294/100*[1]i.Finance!$O$65)</f>
        <v>0</v>
      </c>
      <c r="BG294" s="594">
        <f t="shared" si="173"/>
        <v>59826.722228495157</v>
      </c>
      <c r="BH294" s="456"/>
      <c r="BI294" s="593">
        <f>-PV([1]i.Finance!$O$63/12,[1]i.Finance!$O$62*12,mCFD!BG294)</f>
        <v>10233961.918709608</v>
      </c>
      <c r="BJ294" s="593">
        <f>BI294*[1]i.Finance!$O$58</f>
        <v>8033660.1061870428</v>
      </c>
      <c r="BK294" s="593"/>
      <c r="BL294" s="593"/>
      <c r="BP294" s="564"/>
      <c r="BQ294" s="564"/>
      <c r="BR294" s="564" t="e">
        <f t="shared" si="174"/>
        <v>#NAME?</v>
      </c>
      <c r="BS294" s="564" t="e">
        <f t="shared" si="175"/>
        <v>#NAME?</v>
      </c>
      <c r="BT294" s="564" t="e">
        <f t="shared" si="176"/>
        <v>#NAME?</v>
      </c>
      <c r="BU294" s="564"/>
    </row>
    <row r="295" spans="1:73" ht="16" hidden="1" outlineLevel="2">
      <c r="A295" s="366"/>
      <c r="B295" s="562"/>
      <c r="C295" s="366"/>
      <c r="D295" s="454"/>
      <c r="E295" s="530">
        <f t="shared" si="185"/>
        <v>289</v>
      </c>
      <c r="F295" s="530">
        <f t="shared" si="177"/>
        <v>97</v>
      </c>
      <c r="G295" s="530">
        <f t="shared" si="178"/>
        <v>25</v>
      </c>
      <c r="H295" s="571">
        <f t="shared" si="191"/>
        <v>52596</v>
      </c>
      <c r="I295" s="532">
        <f t="shared" si="157"/>
        <v>2043</v>
      </c>
      <c r="K295" s="530">
        <f>[1]mProject!KB299</f>
        <v>0</v>
      </c>
      <c r="L295" s="530">
        <f t="shared" si="158"/>
        <v>950</v>
      </c>
      <c r="M295" s="530">
        <f t="shared" si="159"/>
        <v>295000</v>
      </c>
      <c r="N295" s="530">
        <f t="shared" si="160"/>
        <v>0</v>
      </c>
      <c r="O295" s="530">
        <f t="shared" si="179"/>
        <v>280250000</v>
      </c>
      <c r="P295" s="530">
        <f>[1]mProject!W299</f>
        <v>458644.03022081603</v>
      </c>
      <c r="Q295" s="530">
        <f t="shared" si="161"/>
        <v>0</v>
      </c>
      <c r="R295" s="530">
        <f t="shared" si="180"/>
        <v>296355280.38883054</v>
      </c>
      <c r="T295" s="530">
        <v>0</v>
      </c>
      <c r="U295" s="530">
        <f t="shared" si="162"/>
        <v>0</v>
      </c>
      <c r="V295" s="530">
        <f>IF(T295=0,0,$V$7*(1+#REF!)^#REF!)</f>
        <v>0</v>
      </c>
      <c r="W295" s="530">
        <f t="shared" si="181"/>
        <v>0</v>
      </c>
      <c r="X295" s="530">
        <f t="shared" si="163"/>
        <v>0</v>
      </c>
      <c r="Y295" s="530">
        <f t="shared" si="164"/>
        <v>0</v>
      </c>
      <c r="AA295" s="530">
        <v>0</v>
      </c>
      <c r="AB295" s="530">
        <f t="shared" si="165"/>
        <v>0</v>
      </c>
      <c r="AC295" s="530">
        <f>IF(AA295=0,0,$V$7*(1+#REF!)^#REF!)</f>
        <v>0</v>
      </c>
      <c r="AD295" s="530">
        <f t="shared" si="182"/>
        <v>0</v>
      </c>
      <c r="AE295" s="530">
        <f t="shared" si="166"/>
        <v>0</v>
      </c>
      <c r="AF295" s="530">
        <f t="shared" si="167"/>
        <v>0</v>
      </c>
      <c r="AH295" s="530">
        <f t="shared" si="168"/>
        <v>0</v>
      </c>
      <c r="AI295" s="530">
        <f t="shared" si="183"/>
        <v>950</v>
      </c>
      <c r="AJ295" s="530">
        <f t="shared" si="156"/>
        <v>0</v>
      </c>
      <c r="AK295" s="530">
        <f>AJ295*[1]mProject!V299</f>
        <v>0</v>
      </c>
      <c r="AL295" s="530">
        <f t="shared" si="169"/>
        <v>0</v>
      </c>
      <c r="AM295" s="530">
        <f t="shared" si="170"/>
        <v>0</v>
      </c>
      <c r="AN295" s="456"/>
      <c r="AO295" s="572" t="e">
        <f t="shared" si="186"/>
        <v>#REF!</v>
      </c>
      <c r="AP295" s="572" t="e">
        <f t="shared" si="190"/>
        <v>#REF!</v>
      </c>
      <c r="AQ295" s="572" t="e">
        <f t="shared" si="155"/>
        <v>#REF!</v>
      </c>
      <c r="AR295" s="573" t="e">
        <f t="shared" si="187"/>
        <v>#REF!</v>
      </c>
      <c r="AS295" s="530" t="e">
        <f t="shared" si="189"/>
        <v>#REF!</v>
      </c>
      <c r="AT295" s="530"/>
      <c r="AU295" s="530"/>
      <c r="AV295" s="530" t="e">
        <f t="shared" si="171"/>
        <v>#REF!</v>
      </c>
      <c r="AW295" s="530" t="e">
        <f>AI295*#REF!+AI294*#REF!+AI293*#REF!</f>
        <v>#REF!</v>
      </c>
      <c r="AX295" s="456"/>
      <c r="AY295" s="583">
        <f t="shared" si="184"/>
        <v>1.6181212001373082</v>
      </c>
      <c r="AZ295" s="530">
        <f t="shared" si="172"/>
        <v>0</v>
      </c>
      <c r="BA295" s="530">
        <f>BA294*[1]mProject!V300</f>
        <v>0</v>
      </c>
      <c r="BB295" s="530">
        <f t="shared" si="188"/>
        <v>17781316.823329829</v>
      </c>
      <c r="BC295" s="456"/>
      <c r="BD295" s="590">
        <f>((BB295/100)*(i_CFD.ObliRate/12))*[1]i.Finance!$O$64</f>
        <v>59826.722228495157</v>
      </c>
      <c r="BE295" s="590">
        <f>(AZ295/100*[1]i.Finance!$O$61)*[1]i.Finance!$O$64</f>
        <v>0</v>
      </c>
      <c r="BF295" s="590">
        <f>(AZ295/100*[1]i.Finance!$O$65)</f>
        <v>0</v>
      </c>
      <c r="BG295" s="591">
        <f t="shared" si="173"/>
        <v>59826.722228495157</v>
      </c>
      <c r="BH295" s="456"/>
      <c r="BI295" s="590">
        <f>-PV([1]i.Finance!$O$63/12,[1]i.Finance!$O$62*12,mCFD!BG295)</f>
        <v>10233961.918709608</v>
      </c>
      <c r="BJ295" s="590">
        <f>BI295*[1]i.Finance!$O$58</f>
        <v>8033660.1061870428</v>
      </c>
      <c r="BK295" s="590"/>
      <c r="BL295" s="590"/>
      <c r="BP295" s="530"/>
      <c r="BQ295" s="530"/>
      <c r="BR295" s="530" t="e">
        <f t="shared" si="174"/>
        <v>#NAME?</v>
      </c>
      <c r="BS295" s="530" t="e">
        <f t="shared" si="175"/>
        <v>#NAME?</v>
      </c>
      <c r="BT295" s="530" t="e">
        <f t="shared" si="176"/>
        <v>#NAME?</v>
      </c>
      <c r="BU295" s="530"/>
    </row>
    <row r="296" spans="1:73" ht="16" hidden="1" outlineLevel="2">
      <c r="A296" s="366"/>
      <c r="B296" s="562"/>
      <c r="C296" s="366"/>
      <c r="D296" s="454"/>
      <c r="E296" s="533">
        <f t="shared" si="185"/>
        <v>290</v>
      </c>
      <c r="F296" s="533">
        <f t="shared" si="177"/>
        <v>97</v>
      </c>
      <c r="G296" s="533">
        <f t="shared" si="178"/>
        <v>25</v>
      </c>
      <c r="H296" s="541">
        <f t="shared" si="191"/>
        <v>52627</v>
      </c>
      <c r="I296" s="542">
        <f t="shared" si="157"/>
        <v>2044</v>
      </c>
      <c r="K296" s="533">
        <f>[1]mProject!KB300</f>
        <v>0</v>
      </c>
      <c r="L296" s="533">
        <f t="shared" si="158"/>
        <v>950</v>
      </c>
      <c r="M296" s="533">
        <f t="shared" si="159"/>
        <v>295000</v>
      </c>
      <c r="N296" s="533">
        <f t="shared" si="160"/>
        <v>0</v>
      </c>
      <c r="O296" s="533">
        <f t="shared" si="179"/>
        <v>280250000</v>
      </c>
      <c r="P296" s="533">
        <f>[1]mProject!W300</f>
        <v>459408.43693785073</v>
      </c>
      <c r="Q296" s="533">
        <f t="shared" si="161"/>
        <v>0</v>
      </c>
      <c r="R296" s="533">
        <f t="shared" si="180"/>
        <v>296355280.38883054</v>
      </c>
      <c r="T296" s="533">
        <v>0</v>
      </c>
      <c r="U296" s="533">
        <f t="shared" si="162"/>
        <v>0</v>
      </c>
      <c r="V296" s="533">
        <f>IF(T296=0,0,$V$7*(1+#REF!)^#REF!)</f>
        <v>0</v>
      </c>
      <c r="W296" s="533">
        <f t="shared" si="181"/>
        <v>0</v>
      </c>
      <c r="X296" s="533">
        <f t="shared" si="163"/>
        <v>0</v>
      </c>
      <c r="Y296" s="533">
        <f t="shared" si="164"/>
        <v>0</v>
      </c>
      <c r="AA296" s="533">
        <v>0</v>
      </c>
      <c r="AB296" s="533">
        <f t="shared" si="165"/>
        <v>0</v>
      </c>
      <c r="AC296" s="533">
        <f>IF(AA296=0,0,$V$7*(1+#REF!)^#REF!)</f>
        <v>0</v>
      </c>
      <c r="AD296" s="533">
        <f t="shared" si="182"/>
        <v>0</v>
      </c>
      <c r="AE296" s="533">
        <f t="shared" si="166"/>
        <v>0</v>
      </c>
      <c r="AF296" s="533">
        <f t="shared" si="167"/>
        <v>0</v>
      </c>
      <c r="AH296" s="533">
        <f t="shared" si="168"/>
        <v>0</v>
      </c>
      <c r="AI296" s="533">
        <f t="shared" si="183"/>
        <v>950</v>
      </c>
      <c r="AJ296" s="533">
        <f t="shared" si="156"/>
        <v>0</v>
      </c>
      <c r="AK296" s="533">
        <f>AJ296*[1]mProject!V300</f>
        <v>0</v>
      </c>
      <c r="AL296" s="533">
        <f t="shared" si="169"/>
        <v>0</v>
      </c>
      <c r="AM296" s="533">
        <f t="shared" si="170"/>
        <v>0</v>
      </c>
      <c r="AN296" s="456"/>
      <c r="AO296" s="575" t="e">
        <f t="shared" si="186"/>
        <v>#REF!</v>
      </c>
      <c r="AP296" s="575" t="e">
        <f t="shared" si="190"/>
        <v>#REF!</v>
      </c>
      <c r="AQ296" s="575" t="e">
        <f t="shared" si="155"/>
        <v>#REF!</v>
      </c>
      <c r="AR296" s="576" t="e">
        <f t="shared" si="187"/>
        <v>#REF!</v>
      </c>
      <c r="AS296" s="533" t="e">
        <f t="shared" si="189"/>
        <v>#REF!</v>
      </c>
      <c r="AT296" s="533"/>
      <c r="AU296" s="533"/>
      <c r="AV296" s="533" t="e">
        <f t="shared" si="171"/>
        <v>#REF!</v>
      </c>
      <c r="AW296" s="533" t="e">
        <f>AI296*#REF!+AI295*#REF!+AI294*#REF!</f>
        <v>#REF!</v>
      </c>
      <c r="AX296" s="456"/>
      <c r="AY296" s="584">
        <f t="shared" si="184"/>
        <v>1.6208180688042038</v>
      </c>
      <c r="AZ296" s="533">
        <f t="shared" si="172"/>
        <v>0</v>
      </c>
      <c r="BA296" s="533">
        <f>BA295*[1]mProject!V301</f>
        <v>0</v>
      </c>
      <c r="BB296" s="533">
        <f t="shared" si="188"/>
        <v>17781316.823329829</v>
      </c>
      <c r="BC296" s="456"/>
      <c r="BD296" s="586">
        <f>((BB296/100)*(i_CFD.ObliRate/12))*[1]i.Finance!$O$64</f>
        <v>59826.722228495157</v>
      </c>
      <c r="BE296" s="586">
        <f>(AZ296/100*[1]i.Finance!$O$61)*[1]i.Finance!$O$64</f>
        <v>0</v>
      </c>
      <c r="BF296" s="586">
        <f>(AZ296/100*[1]i.Finance!$O$65)</f>
        <v>0</v>
      </c>
      <c r="BG296" s="587">
        <f t="shared" si="173"/>
        <v>59826.722228495157</v>
      </c>
      <c r="BH296" s="456"/>
      <c r="BI296" s="586">
        <f>-PV([1]i.Finance!$O$63/12,[1]i.Finance!$O$62*12,mCFD!BG296)</f>
        <v>10233961.918709608</v>
      </c>
      <c r="BJ296" s="586">
        <f>BI296*[1]i.Finance!$O$58</f>
        <v>8033660.1061870428</v>
      </c>
      <c r="BK296" s="586"/>
      <c r="BL296" s="586"/>
      <c r="BP296" s="533"/>
      <c r="BQ296" s="533"/>
      <c r="BR296" s="533" t="e">
        <f t="shared" si="174"/>
        <v>#NAME?</v>
      </c>
      <c r="BS296" s="533" t="e">
        <f t="shared" si="175"/>
        <v>#NAME?</v>
      </c>
      <c r="BT296" s="533" t="e">
        <f t="shared" si="176"/>
        <v>#NAME?</v>
      </c>
      <c r="BU296" s="533"/>
    </row>
    <row r="297" spans="1:73" ht="16" hidden="1" outlineLevel="2">
      <c r="A297" s="366"/>
      <c r="B297" s="562"/>
      <c r="C297" s="366"/>
      <c r="D297" s="454"/>
      <c r="E297" s="547">
        <f t="shared" si="185"/>
        <v>291</v>
      </c>
      <c r="F297" s="547">
        <f t="shared" si="177"/>
        <v>97</v>
      </c>
      <c r="G297" s="547">
        <f t="shared" si="178"/>
        <v>25</v>
      </c>
      <c r="H297" s="548">
        <f t="shared" si="191"/>
        <v>52656</v>
      </c>
      <c r="I297" s="549">
        <f t="shared" si="157"/>
        <v>2044</v>
      </c>
      <c r="K297" s="547">
        <f>[1]mProject!KB301</f>
        <v>0</v>
      </c>
      <c r="L297" s="547">
        <f t="shared" si="158"/>
        <v>950</v>
      </c>
      <c r="M297" s="547">
        <f t="shared" si="159"/>
        <v>295000</v>
      </c>
      <c r="N297" s="547">
        <f t="shared" si="160"/>
        <v>0</v>
      </c>
      <c r="O297" s="547">
        <f t="shared" si="179"/>
        <v>280250000</v>
      </c>
      <c r="P297" s="547">
        <f>[1]mProject!W301</f>
        <v>460174.11766608048</v>
      </c>
      <c r="Q297" s="547">
        <f t="shared" si="161"/>
        <v>0</v>
      </c>
      <c r="R297" s="547">
        <f t="shared" si="180"/>
        <v>296355280.38883054</v>
      </c>
      <c r="T297" s="547">
        <v>0</v>
      </c>
      <c r="U297" s="547">
        <f t="shared" si="162"/>
        <v>0</v>
      </c>
      <c r="V297" s="547">
        <f>IF(T297=0,0,$V$7*(1+#REF!)^#REF!)</f>
        <v>0</v>
      </c>
      <c r="W297" s="547">
        <f t="shared" si="181"/>
        <v>0</v>
      </c>
      <c r="X297" s="547">
        <f t="shared" si="163"/>
        <v>0</v>
      </c>
      <c r="Y297" s="547">
        <f t="shared" si="164"/>
        <v>0</v>
      </c>
      <c r="AA297" s="547">
        <v>0</v>
      </c>
      <c r="AB297" s="547">
        <f t="shared" si="165"/>
        <v>0</v>
      </c>
      <c r="AC297" s="547">
        <f>IF(AA297=0,0,$V$7*(1+#REF!)^#REF!)</f>
        <v>0</v>
      </c>
      <c r="AD297" s="547">
        <f t="shared" si="182"/>
        <v>0</v>
      </c>
      <c r="AE297" s="547">
        <f t="shared" si="166"/>
        <v>0</v>
      </c>
      <c r="AF297" s="547">
        <f t="shared" si="167"/>
        <v>0</v>
      </c>
      <c r="AH297" s="547">
        <f t="shared" si="168"/>
        <v>0</v>
      </c>
      <c r="AI297" s="547">
        <f t="shared" si="183"/>
        <v>950</v>
      </c>
      <c r="AJ297" s="547">
        <f t="shared" si="156"/>
        <v>0</v>
      </c>
      <c r="AK297" s="547">
        <f>AJ297*[1]mProject!V301</f>
        <v>0</v>
      </c>
      <c r="AL297" s="547">
        <f t="shared" si="169"/>
        <v>0</v>
      </c>
      <c r="AM297" s="547">
        <f t="shared" si="170"/>
        <v>0</v>
      </c>
      <c r="AN297" s="456"/>
      <c r="AO297" s="577" t="e">
        <f t="shared" si="186"/>
        <v>#REF!</v>
      </c>
      <c r="AP297" s="577" t="e">
        <f t="shared" si="190"/>
        <v>#REF!</v>
      </c>
      <c r="AQ297" s="577" t="e">
        <f t="shared" si="155"/>
        <v>#REF!</v>
      </c>
      <c r="AR297" s="578" t="e">
        <f t="shared" si="187"/>
        <v>#REF!</v>
      </c>
      <c r="AS297" s="547" t="e">
        <f t="shared" si="189"/>
        <v>#REF!</v>
      </c>
      <c r="AT297" s="547"/>
      <c r="AU297" s="547"/>
      <c r="AV297" s="547" t="e">
        <f t="shared" si="171"/>
        <v>#REF!</v>
      </c>
      <c r="AW297" s="547" t="e">
        <f>AI297*#REF!+AI296*#REF!+AI295*#REF!</f>
        <v>#REF!</v>
      </c>
      <c r="AX297" s="456"/>
      <c r="AY297" s="585">
        <f t="shared" si="184"/>
        <v>1.6235194322522108</v>
      </c>
      <c r="AZ297" s="547">
        <f t="shared" si="172"/>
        <v>0</v>
      </c>
      <c r="BA297" s="547">
        <f>BA296*[1]mProject!V302</f>
        <v>0</v>
      </c>
      <c r="BB297" s="547">
        <f t="shared" si="188"/>
        <v>17781316.823329829</v>
      </c>
      <c r="BC297" s="456"/>
      <c r="BD297" s="588">
        <f>((BB297/100)*(i_CFD.ObliRate/12))*[1]i.Finance!$O$64</f>
        <v>59826.722228495157</v>
      </c>
      <c r="BE297" s="588">
        <f>(AZ297/100*[1]i.Finance!$O$61)*[1]i.Finance!$O$64</f>
        <v>0</v>
      </c>
      <c r="BF297" s="588">
        <f>(AZ297/100*[1]i.Finance!$O$65)</f>
        <v>0</v>
      </c>
      <c r="BG297" s="589">
        <f t="shared" si="173"/>
        <v>59826.722228495157</v>
      </c>
      <c r="BH297" s="456"/>
      <c r="BI297" s="588">
        <f>-PV([1]i.Finance!$O$63/12,[1]i.Finance!$O$62*12,mCFD!BG297)</f>
        <v>10233961.918709608</v>
      </c>
      <c r="BJ297" s="588">
        <f>BI297*[1]i.Finance!$O$58</f>
        <v>8033660.1061870428</v>
      </c>
      <c r="BK297" s="588"/>
      <c r="BL297" s="588"/>
      <c r="BP297" s="547"/>
      <c r="BQ297" s="547"/>
      <c r="BR297" s="547" t="e">
        <f t="shared" si="174"/>
        <v>#NAME?</v>
      </c>
      <c r="BS297" s="547" t="e">
        <f t="shared" si="175"/>
        <v>#NAME?</v>
      </c>
      <c r="BT297" s="547" t="e">
        <f t="shared" si="176"/>
        <v>#NAME?</v>
      </c>
      <c r="BU297" s="547"/>
    </row>
    <row r="298" spans="1:73" ht="16" hidden="1" outlineLevel="2">
      <c r="A298" s="366"/>
      <c r="B298" s="562"/>
      <c r="C298" s="366"/>
      <c r="D298" s="454"/>
      <c r="E298" s="530">
        <f t="shared" si="185"/>
        <v>292</v>
      </c>
      <c r="F298" s="530">
        <f t="shared" si="177"/>
        <v>98</v>
      </c>
      <c r="G298" s="530">
        <f t="shared" si="178"/>
        <v>25</v>
      </c>
      <c r="H298" s="554">
        <f t="shared" si="191"/>
        <v>52687</v>
      </c>
      <c r="I298" s="555">
        <f t="shared" si="157"/>
        <v>2044</v>
      </c>
      <c r="K298" s="530">
        <f>[1]mProject!KB302</f>
        <v>0</v>
      </c>
      <c r="L298" s="530">
        <f t="shared" si="158"/>
        <v>950</v>
      </c>
      <c r="M298" s="530">
        <f t="shared" si="159"/>
        <v>295000</v>
      </c>
      <c r="N298" s="530">
        <f t="shared" si="160"/>
        <v>0</v>
      </c>
      <c r="O298" s="530">
        <f t="shared" si="179"/>
        <v>280250000</v>
      </c>
      <c r="P298" s="530">
        <f>[1]mProject!W302</f>
        <v>460941.07452885731</v>
      </c>
      <c r="Q298" s="530">
        <f t="shared" si="161"/>
        <v>0</v>
      </c>
      <c r="R298" s="530">
        <f t="shared" si="180"/>
        <v>296355280.38883054</v>
      </c>
      <c r="T298" s="530">
        <v>0</v>
      </c>
      <c r="U298" s="530">
        <f t="shared" si="162"/>
        <v>0</v>
      </c>
      <c r="V298" s="530">
        <f>IF(T298=0,0,$V$7*(1+#REF!)^#REF!)</f>
        <v>0</v>
      </c>
      <c r="W298" s="530">
        <f t="shared" si="181"/>
        <v>0</v>
      </c>
      <c r="X298" s="530">
        <f t="shared" si="163"/>
        <v>0</v>
      </c>
      <c r="Y298" s="530">
        <f t="shared" si="164"/>
        <v>0</v>
      </c>
      <c r="AA298" s="530">
        <v>0</v>
      </c>
      <c r="AB298" s="530">
        <f t="shared" si="165"/>
        <v>0</v>
      </c>
      <c r="AC298" s="530">
        <f>IF(AA298=0,0,$V$7*(1+#REF!)^#REF!)</f>
        <v>0</v>
      </c>
      <c r="AD298" s="530">
        <f t="shared" si="182"/>
        <v>0</v>
      </c>
      <c r="AE298" s="530">
        <f t="shared" si="166"/>
        <v>0</v>
      </c>
      <c r="AF298" s="530">
        <f t="shared" si="167"/>
        <v>0</v>
      </c>
      <c r="AH298" s="530">
        <f t="shared" si="168"/>
        <v>0</v>
      </c>
      <c r="AI298" s="530">
        <f t="shared" si="183"/>
        <v>950</v>
      </c>
      <c r="AJ298" s="530">
        <f t="shared" si="156"/>
        <v>0</v>
      </c>
      <c r="AK298" s="530">
        <f>AJ298*[1]mProject!V302</f>
        <v>0</v>
      </c>
      <c r="AL298" s="530">
        <f t="shared" si="169"/>
        <v>0</v>
      </c>
      <c r="AM298" s="530">
        <f t="shared" si="170"/>
        <v>0</v>
      </c>
      <c r="AN298" s="456"/>
      <c r="AO298" s="572" t="e">
        <f t="shared" si="186"/>
        <v>#REF!</v>
      </c>
      <c r="AP298" s="572" t="e">
        <f t="shared" si="190"/>
        <v>#REF!</v>
      </c>
      <c r="AQ298" s="572" t="e">
        <f t="shared" si="155"/>
        <v>#REF!</v>
      </c>
      <c r="AR298" s="573" t="e">
        <f t="shared" si="187"/>
        <v>#REF!</v>
      </c>
      <c r="AS298" s="530" t="e">
        <f t="shared" si="189"/>
        <v>#REF!</v>
      </c>
      <c r="AT298" s="530"/>
      <c r="AU298" s="530"/>
      <c r="AV298" s="530" t="e">
        <f t="shared" si="171"/>
        <v>#REF!</v>
      </c>
      <c r="AW298" s="530" t="e">
        <f>AI298*#REF!+AI297*#REF!+AI296*#REF!</f>
        <v>#REF!</v>
      </c>
      <c r="AX298" s="456"/>
      <c r="AY298" s="583">
        <f t="shared" si="184"/>
        <v>1.6262252979726313</v>
      </c>
      <c r="AZ298" s="530">
        <f t="shared" si="172"/>
        <v>0</v>
      </c>
      <c r="BA298" s="530">
        <f>BA297*[1]mProject!V303</f>
        <v>0</v>
      </c>
      <c r="BB298" s="530">
        <f t="shared" si="188"/>
        <v>17781316.823329829</v>
      </c>
      <c r="BC298" s="456"/>
      <c r="BD298" s="590">
        <f>((BB298/100)*(i_CFD.ObliRate/12))*[1]i.Finance!$O$64</f>
        <v>59826.722228495157</v>
      </c>
      <c r="BE298" s="590">
        <f>(AZ298/100*[1]i.Finance!$O$61)*[1]i.Finance!$O$64</f>
        <v>0</v>
      </c>
      <c r="BF298" s="590">
        <f>(AZ298/100*[1]i.Finance!$O$65)</f>
        <v>0</v>
      </c>
      <c r="BG298" s="591">
        <f t="shared" si="173"/>
        <v>59826.722228495157</v>
      </c>
      <c r="BH298" s="456"/>
      <c r="BI298" s="590">
        <f>-PV([1]i.Finance!$O$63/12,[1]i.Finance!$O$62*12,mCFD!BG298)</f>
        <v>10233961.918709608</v>
      </c>
      <c r="BJ298" s="590">
        <f>BI298*[1]i.Finance!$O$58</f>
        <v>8033660.1061870428</v>
      </c>
      <c r="BK298" s="590"/>
      <c r="BL298" s="590"/>
      <c r="BP298" s="530"/>
      <c r="BQ298" s="530"/>
      <c r="BR298" s="530" t="e">
        <f t="shared" si="174"/>
        <v>#NAME?</v>
      </c>
      <c r="BS298" s="530" t="e">
        <f t="shared" si="175"/>
        <v>#NAME?</v>
      </c>
      <c r="BT298" s="530" t="e">
        <f t="shared" si="176"/>
        <v>#NAME?</v>
      </c>
      <c r="BU298" s="530"/>
    </row>
    <row r="299" spans="1:73" ht="16" hidden="1" outlineLevel="2">
      <c r="A299" s="366"/>
      <c r="B299" s="562"/>
      <c r="C299" s="366"/>
      <c r="D299" s="454"/>
      <c r="E299" s="533">
        <f t="shared" si="185"/>
        <v>293</v>
      </c>
      <c r="F299" s="533">
        <f t="shared" si="177"/>
        <v>98</v>
      </c>
      <c r="G299" s="533">
        <f t="shared" si="178"/>
        <v>25</v>
      </c>
      <c r="H299" s="541">
        <f t="shared" si="191"/>
        <v>52717</v>
      </c>
      <c r="I299" s="542">
        <f t="shared" si="157"/>
        <v>2044</v>
      </c>
      <c r="K299" s="533">
        <f>[1]mProject!KB303</f>
        <v>0</v>
      </c>
      <c r="L299" s="533">
        <f t="shared" si="158"/>
        <v>950</v>
      </c>
      <c r="M299" s="533">
        <f t="shared" si="159"/>
        <v>295000</v>
      </c>
      <c r="N299" s="533">
        <f t="shared" si="160"/>
        <v>0</v>
      </c>
      <c r="O299" s="533">
        <f t="shared" si="179"/>
        <v>280250000</v>
      </c>
      <c r="P299" s="533">
        <f>[1]mProject!W303</f>
        <v>461709.30965307209</v>
      </c>
      <c r="Q299" s="533">
        <f t="shared" si="161"/>
        <v>0</v>
      </c>
      <c r="R299" s="533">
        <f t="shared" si="180"/>
        <v>296355280.38883054</v>
      </c>
      <c r="T299" s="533">
        <v>0</v>
      </c>
      <c r="U299" s="533">
        <f t="shared" si="162"/>
        <v>0</v>
      </c>
      <c r="V299" s="533">
        <f>IF(T299=0,0,$V$7*(1+#REF!)^#REF!)</f>
        <v>0</v>
      </c>
      <c r="W299" s="533">
        <f t="shared" si="181"/>
        <v>0</v>
      </c>
      <c r="X299" s="533">
        <f t="shared" si="163"/>
        <v>0</v>
      </c>
      <c r="Y299" s="533">
        <f t="shared" si="164"/>
        <v>0</v>
      </c>
      <c r="AA299" s="533">
        <v>0</v>
      </c>
      <c r="AB299" s="533">
        <f t="shared" si="165"/>
        <v>0</v>
      </c>
      <c r="AC299" s="533">
        <f>IF(AA299=0,0,$V$7*(1+#REF!)^#REF!)</f>
        <v>0</v>
      </c>
      <c r="AD299" s="533">
        <f t="shared" si="182"/>
        <v>0</v>
      </c>
      <c r="AE299" s="533">
        <f t="shared" si="166"/>
        <v>0</v>
      </c>
      <c r="AF299" s="533">
        <f t="shared" si="167"/>
        <v>0</v>
      </c>
      <c r="AH299" s="533">
        <f t="shared" si="168"/>
        <v>0</v>
      </c>
      <c r="AI299" s="533">
        <f t="shared" si="183"/>
        <v>950</v>
      </c>
      <c r="AJ299" s="533">
        <f t="shared" si="156"/>
        <v>0</v>
      </c>
      <c r="AK299" s="533">
        <f>AJ299*[1]mProject!V303</f>
        <v>0</v>
      </c>
      <c r="AL299" s="533">
        <f t="shared" si="169"/>
        <v>0</v>
      </c>
      <c r="AM299" s="533">
        <f t="shared" si="170"/>
        <v>0</v>
      </c>
      <c r="AN299" s="456"/>
      <c r="AO299" s="575" t="e">
        <f t="shared" si="186"/>
        <v>#REF!</v>
      </c>
      <c r="AP299" s="575" t="e">
        <f t="shared" si="190"/>
        <v>#REF!</v>
      </c>
      <c r="AQ299" s="575" t="e">
        <f t="shared" ref="AQ299:AQ362" si="192">$L275*AQ$6</f>
        <v>#REF!</v>
      </c>
      <c r="AR299" s="576" t="e">
        <f t="shared" si="187"/>
        <v>#REF!</v>
      </c>
      <c r="AS299" s="533" t="e">
        <f t="shared" si="189"/>
        <v>#REF!</v>
      </c>
      <c r="AT299" s="533"/>
      <c r="AU299" s="533"/>
      <c r="AV299" s="533" t="e">
        <f t="shared" si="171"/>
        <v>#REF!</v>
      </c>
      <c r="AW299" s="533" t="e">
        <f>AI299*#REF!+AI298*#REF!+AI297*#REF!</f>
        <v>#REF!</v>
      </c>
      <c r="AX299" s="456"/>
      <c r="AY299" s="584">
        <f t="shared" si="184"/>
        <v>1.6289356734692524</v>
      </c>
      <c r="AZ299" s="533">
        <f t="shared" si="172"/>
        <v>0</v>
      </c>
      <c r="BA299" s="533">
        <f>BA298*[1]mProject!V304</f>
        <v>0</v>
      </c>
      <c r="BB299" s="533">
        <f t="shared" si="188"/>
        <v>17781316.823329829</v>
      </c>
      <c r="BC299" s="456"/>
      <c r="BD299" s="586">
        <f>((BB299/100)*(i_CFD.ObliRate/12))*[1]i.Finance!$O$64</f>
        <v>59826.722228495157</v>
      </c>
      <c r="BE299" s="586">
        <f>(AZ299/100*[1]i.Finance!$O$61)*[1]i.Finance!$O$64</f>
        <v>0</v>
      </c>
      <c r="BF299" s="586">
        <f>(AZ299/100*[1]i.Finance!$O$65)</f>
        <v>0</v>
      </c>
      <c r="BG299" s="587">
        <f t="shared" si="173"/>
        <v>59826.722228495157</v>
      </c>
      <c r="BH299" s="456"/>
      <c r="BI299" s="586">
        <f>-PV([1]i.Finance!$O$63/12,[1]i.Finance!$O$62*12,mCFD!BG299)</f>
        <v>10233961.918709608</v>
      </c>
      <c r="BJ299" s="586">
        <f>BI299*[1]i.Finance!$O$58</f>
        <v>8033660.1061870428</v>
      </c>
      <c r="BK299" s="586"/>
      <c r="BL299" s="586"/>
      <c r="BP299" s="533"/>
      <c r="BQ299" s="533"/>
      <c r="BR299" s="533" t="e">
        <f t="shared" si="174"/>
        <v>#NAME?</v>
      </c>
      <c r="BS299" s="533" t="e">
        <f t="shared" si="175"/>
        <v>#NAME?</v>
      </c>
      <c r="BT299" s="533" t="e">
        <f t="shared" si="176"/>
        <v>#NAME?</v>
      </c>
      <c r="BU299" s="533"/>
    </row>
    <row r="300" spans="1:73" ht="16" hidden="1" outlineLevel="2">
      <c r="A300" s="366"/>
      <c r="B300" s="562"/>
      <c r="C300" s="366"/>
      <c r="D300" s="454"/>
      <c r="E300" s="547">
        <f t="shared" si="185"/>
        <v>294</v>
      </c>
      <c r="F300" s="547">
        <f t="shared" si="177"/>
        <v>98</v>
      </c>
      <c r="G300" s="547">
        <f t="shared" si="178"/>
        <v>25</v>
      </c>
      <c r="H300" s="548">
        <f t="shared" si="191"/>
        <v>52748</v>
      </c>
      <c r="I300" s="549">
        <f t="shared" si="157"/>
        <v>2044</v>
      </c>
      <c r="K300" s="547">
        <f>[1]mProject!KB304</f>
        <v>0</v>
      </c>
      <c r="L300" s="547">
        <f t="shared" si="158"/>
        <v>950</v>
      </c>
      <c r="M300" s="547">
        <f t="shared" si="159"/>
        <v>295000</v>
      </c>
      <c r="N300" s="547">
        <f t="shared" si="160"/>
        <v>0</v>
      </c>
      <c r="O300" s="547">
        <f t="shared" si="179"/>
        <v>280250000</v>
      </c>
      <c r="P300" s="547">
        <f>[1]mProject!W304</f>
        <v>462478.82516916055</v>
      </c>
      <c r="Q300" s="547">
        <f t="shared" si="161"/>
        <v>0</v>
      </c>
      <c r="R300" s="547">
        <f t="shared" si="180"/>
        <v>296355280.38883054</v>
      </c>
      <c r="T300" s="547">
        <v>0</v>
      </c>
      <c r="U300" s="547">
        <f t="shared" si="162"/>
        <v>0</v>
      </c>
      <c r="V300" s="547">
        <f>IF(T300=0,0,$V$7*(1+#REF!)^#REF!)</f>
        <v>0</v>
      </c>
      <c r="W300" s="547">
        <f t="shared" si="181"/>
        <v>0</v>
      </c>
      <c r="X300" s="547">
        <f t="shared" si="163"/>
        <v>0</v>
      </c>
      <c r="Y300" s="547">
        <f t="shared" si="164"/>
        <v>0</v>
      </c>
      <c r="AA300" s="547">
        <v>0</v>
      </c>
      <c r="AB300" s="547">
        <f t="shared" si="165"/>
        <v>0</v>
      </c>
      <c r="AC300" s="547">
        <f>IF(AA300=0,0,$V$7*(1+#REF!)^#REF!)</f>
        <v>0</v>
      </c>
      <c r="AD300" s="547">
        <f t="shared" si="182"/>
        <v>0</v>
      </c>
      <c r="AE300" s="547">
        <f t="shared" si="166"/>
        <v>0</v>
      </c>
      <c r="AF300" s="547">
        <f t="shared" si="167"/>
        <v>0</v>
      </c>
      <c r="AH300" s="547">
        <f t="shared" si="168"/>
        <v>0</v>
      </c>
      <c r="AI300" s="547">
        <f t="shared" si="183"/>
        <v>950</v>
      </c>
      <c r="AJ300" s="547">
        <f t="shared" si="156"/>
        <v>0</v>
      </c>
      <c r="AK300" s="547">
        <f>AJ300*[1]mProject!V304</f>
        <v>0</v>
      </c>
      <c r="AL300" s="547">
        <f t="shared" si="169"/>
        <v>0</v>
      </c>
      <c r="AM300" s="547">
        <f t="shared" si="170"/>
        <v>0</v>
      </c>
      <c r="AN300" s="456"/>
      <c r="AO300" s="577" t="e">
        <f t="shared" si="186"/>
        <v>#REF!</v>
      </c>
      <c r="AP300" s="577" t="e">
        <f t="shared" si="190"/>
        <v>#REF!</v>
      </c>
      <c r="AQ300" s="577" t="e">
        <f t="shared" si="192"/>
        <v>#REF!</v>
      </c>
      <c r="AR300" s="578" t="e">
        <f t="shared" si="187"/>
        <v>#REF!</v>
      </c>
      <c r="AS300" s="547" t="e">
        <f t="shared" si="189"/>
        <v>#REF!</v>
      </c>
      <c r="AT300" s="547"/>
      <c r="AU300" s="547"/>
      <c r="AV300" s="547" t="e">
        <f t="shared" si="171"/>
        <v>#REF!</v>
      </c>
      <c r="AW300" s="547" t="e">
        <f>AI300*#REF!+AI299*#REF!+AI298*#REF!</f>
        <v>#REF!</v>
      </c>
      <c r="AX300" s="456"/>
      <c r="AY300" s="585">
        <f t="shared" si="184"/>
        <v>1.6316505662583678</v>
      </c>
      <c r="AZ300" s="547">
        <f t="shared" si="172"/>
        <v>0</v>
      </c>
      <c r="BA300" s="547">
        <f>BA299*[1]mProject!V305</f>
        <v>0</v>
      </c>
      <c r="BB300" s="547">
        <f t="shared" si="188"/>
        <v>17781316.823329829</v>
      </c>
      <c r="BC300" s="456"/>
      <c r="BD300" s="588">
        <f>((BB300/100)*(i_CFD.ObliRate/12))*[1]i.Finance!$O$64</f>
        <v>59826.722228495157</v>
      </c>
      <c r="BE300" s="588">
        <f>(AZ300/100*[1]i.Finance!$O$61)*[1]i.Finance!$O$64</f>
        <v>0</v>
      </c>
      <c r="BF300" s="588">
        <f>(AZ300/100*[1]i.Finance!$O$65)</f>
        <v>0</v>
      </c>
      <c r="BG300" s="589">
        <f t="shared" si="173"/>
        <v>59826.722228495157</v>
      </c>
      <c r="BH300" s="456"/>
      <c r="BI300" s="588">
        <f>-PV([1]i.Finance!$O$63/12,[1]i.Finance!$O$62*12,mCFD!BG300)</f>
        <v>10233961.918709608</v>
      </c>
      <c r="BJ300" s="588">
        <f>BI300*[1]i.Finance!$O$58</f>
        <v>8033660.1061870428</v>
      </c>
      <c r="BK300" s="588"/>
      <c r="BL300" s="588"/>
      <c r="BP300" s="547"/>
      <c r="BQ300" s="547"/>
      <c r="BR300" s="547" t="e">
        <f t="shared" si="174"/>
        <v>#NAME?</v>
      </c>
      <c r="BS300" s="547" t="e">
        <f t="shared" si="175"/>
        <v>#NAME?</v>
      </c>
      <c r="BT300" s="547" t="e">
        <f t="shared" si="176"/>
        <v>#NAME?</v>
      </c>
      <c r="BU300" s="547"/>
    </row>
    <row r="301" spans="1:73" ht="16" hidden="1" outlineLevel="2">
      <c r="A301" s="366"/>
      <c r="B301" s="562"/>
      <c r="C301" s="366"/>
      <c r="D301" s="454"/>
      <c r="E301" s="530">
        <f t="shared" si="185"/>
        <v>295</v>
      </c>
      <c r="F301" s="530">
        <f t="shared" si="177"/>
        <v>99</v>
      </c>
      <c r="G301" s="530">
        <f t="shared" si="178"/>
        <v>25</v>
      </c>
      <c r="H301" s="554">
        <f t="shared" si="191"/>
        <v>52778</v>
      </c>
      <c r="I301" s="555">
        <f t="shared" si="157"/>
        <v>2044</v>
      </c>
      <c r="K301" s="530">
        <f>[1]mProject!KB305</f>
        <v>0</v>
      </c>
      <c r="L301" s="530">
        <f t="shared" si="158"/>
        <v>950</v>
      </c>
      <c r="M301" s="530">
        <f t="shared" si="159"/>
        <v>295000</v>
      </c>
      <c r="N301" s="530">
        <f t="shared" si="160"/>
        <v>0</v>
      </c>
      <c r="O301" s="530">
        <f t="shared" si="179"/>
        <v>280250000</v>
      </c>
      <c r="P301" s="530">
        <f>[1]mProject!W305</f>
        <v>463249.6232111092</v>
      </c>
      <c r="Q301" s="530">
        <f t="shared" si="161"/>
        <v>0</v>
      </c>
      <c r="R301" s="530">
        <f t="shared" si="180"/>
        <v>296355280.38883054</v>
      </c>
      <c r="T301" s="530">
        <v>0</v>
      </c>
      <c r="U301" s="530">
        <f t="shared" si="162"/>
        <v>0</v>
      </c>
      <c r="V301" s="530">
        <f>IF(T301=0,0,$V$7*(1+#REF!)^#REF!)</f>
        <v>0</v>
      </c>
      <c r="W301" s="530">
        <f t="shared" si="181"/>
        <v>0</v>
      </c>
      <c r="X301" s="530">
        <f t="shared" si="163"/>
        <v>0</v>
      </c>
      <c r="Y301" s="530">
        <f t="shared" si="164"/>
        <v>0</v>
      </c>
      <c r="AA301" s="530">
        <v>0</v>
      </c>
      <c r="AB301" s="530">
        <f t="shared" si="165"/>
        <v>0</v>
      </c>
      <c r="AC301" s="530">
        <f>IF(AA301=0,0,$V$7*(1+#REF!)^#REF!)</f>
        <v>0</v>
      </c>
      <c r="AD301" s="530">
        <f t="shared" si="182"/>
        <v>0</v>
      </c>
      <c r="AE301" s="530">
        <f t="shared" si="166"/>
        <v>0</v>
      </c>
      <c r="AF301" s="530">
        <f t="shared" si="167"/>
        <v>0</v>
      </c>
      <c r="AH301" s="530">
        <f t="shared" si="168"/>
        <v>0</v>
      </c>
      <c r="AI301" s="530">
        <f t="shared" si="183"/>
        <v>950</v>
      </c>
      <c r="AJ301" s="530">
        <f t="shared" si="156"/>
        <v>0</v>
      </c>
      <c r="AK301" s="530">
        <f>AJ301*[1]mProject!V305</f>
        <v>0</v>
      </c>
      <c r="AL301" s="530">
        <f t="shared" si="169"/>
        <v>0</v>
      </c>
      <c r="AM301" s="530">
        <f t="shared" si="170"/>
        <v>0</v>
      </c>
      <c r="AN301" s="456"/>
      <c r="AO301" s="572" t="e">
        <f t="shared" si="186"/>
        <v>#REF!</v>
      </c>
      <c r="AP301" s="572" t="e">
        <f t="shared" si="190"/>
        <v>#REF!</v>
      </c>
      <c r="AQ301" s="572" t="e">
        <f t="shared" si="192"/>
        <v>#REF!</v>
      </c>
      <c r="AR301" s="573" t="e">
        <f t="shared" si="187"/>
        <v>#REF!</v>
      </c>
      <c r="AS301" s="530" t="e">
        <f t="shared" si="189"/>
        <v>#REF!</v>
      </c>
      <c r="AT301" s="530"/>
      <c r="AU301" s="530"/>
      <c r="AV301" s="530" t="e">
        <f t="shared" si="171"/>
        <v>#REF!</v>
      </c>
      <c r="AW301" s="530" t="e">
        <f>AI301*#REF!+AI300*#REF!+AI299*#REF!</f>
        <v>#REF!</v>
      </c>
      <c r="AX301" s="456"/>
      <c r="AY301" s="583">
        <f t="shared" si="184"/>
        <v>1.6343699838687984</v>
      </c>
      <c r="AZ301" s="530">
        <f t="shared" si="172"/>
        <v>0</v>
      </c>
      <c r="BA301" s="530">
        <f>BA300*[1]mProject!V306</f>
        <v>0</v>
      </c>
      <c r="BB301" s="530">
        <f t="shared" si="188"/>
        <v>17781316.823329829</v>
      </c>
      <c r="BC301" s="456"/>
      <c r="BD301" s="590">
        <f>((BB301/100)*(i_CFD.ObliRate/12))*[1]i.Finance!$O$64</f>
        <v>59826.722228495157</v>
      </c>
      <c r="BE301" s="590">
        <f>(AZ301/100*[1]i.Finance!$O$61)*[1]i.Finance!$O$64</f>
        <v>0</v>
      </c>
      <c r="BF301" s="590">
        <f>(AZ301/100*[1]i.Finance!$O$65)</f>
        <v>0</v>
      </c>
      <c r="BG301" s="591">
        <f t="shared" si="173"/>
        <v>59826.722228495157</v>
      </c>
      <c r="BH301" s="456"/>
      <c r="BI301" s="590">
        <f>-PV([1]i.Finance!$O$63/12,[1]i.Finance!$O$62*12,mCFD!BG301)</f>
        <v>10233961.918709608</v>
      </c>
      <c r="BJ301" s="590">
        <f>BI301*[1]i.Finance!$O$58</f>
        <v>8033660.1061870428</v>
      </c>
      <c r="BK301" s="590"/>
      <c r="BL301" s="590"/>
      <c r="BP301" s="530"/>
      <c r="BQ301" s="530"/>
      <c r="BR301" s="530" t="e">
        <f t="shared" si="174"/>
        <v>#NAME?</v>
      </c>
      <c r="BS301" s="530" t="e">
        <f t="shared" si="175"/>
        <v>#NAME?</v>
      </c>
      <c r="BT301" s="530" t="e">
        <f t="shared" si="176"/>
        <v>#NAME?</v>
      </c>
      <c r="BU301" s="530"/>
    </row>
    <row r="302" spans="1:73" ht="16" hidden="1" outlineLevel="2">
      <c r="A302" s="366"/>
      <c r="B302" s="562"/>
      <c r="C302" s="366"/>
      <c r="D302" s="454"/>
      <c r="E302" s="533">
        <f t="shared" si="185"/>
        <v>296</v>
      </c>
      <c r="F302" s="533">
        <f t="shared" si="177"/>
        <v>99</v>
      </c>
      <c r="G302" s="533">
        <f t="shared" si="178"/>
        <v>25</v>
      </c>
      <c r="H302" s="541">
        <f t="shared" si="191"/>
        <v>52809</v>
      </c>
      <c r="I302" s="542">
        <f t="shared" si="157"/>
        <v>2044</v>
      </c>
      <c r="K302" s="533">
        <f>[1]mProject!KB306</f>
        <v>0</v>
      </c>
      <c r="L302" s="533">
        <f t="shared" si="158"/>
        <v>950</v>
      </c>
      <c r="M302" s="533">
        <f t="shared" si="159"/>
        <v>295000</v>
      </c>
      <c r="N302" s="533">
        <f t="shared" si="160"/>
        <v>0</v>
      </c>
      <c r="O302" s="533">
        <f t="shared" si="179"/>
        <v>280250000</v>
      </c>
      <c r="P302" s="533">
        <f>[1]mProject!W306</f>
        <v>464021.70591646107</v>
      </c>
      <c r="Q302" s="533">
        <f t="shared" si="161"/>
        <v>0</v>
      </c>
      <c r="R302" s="533">
        <f t="shared" si="180"/>
        <v>296355280.38883054</v>
      </c>
      <c r="T302" s="533">
        <v>0</v>
      </c>
      <c r="U302" s="533">
        <f t="shared" si="162"/>
        <v>0</v>
      </c>
      <c r="V302" s="533">
        <f>IF(T302=0,0,$V$7*(1+#REF!)^#REF!)</f>
        <v>0</v>
      </c>
      <c r="W302" s="533">
        <f t="shared" si="181"/>
        <v>0</v>
      </c>
      <c r="X302" s="533">
        <f t="shared" si="163"/>
        <v>0</v>
      </c>
      <c r="Y302" s="533">
        <f t="shared" si="164"/>
        <v>0</v>
      </c>
      <c r="AA302" s="533">
        <v>0</v>
      </c>
      <c r="AB302" s="533">
        <f t="shared" si="165"/>
        <v>0</v>
      </c>
      <c r="AC302" s="533">
        <f>IF(AA302=0,0,$V$7*(1+#REF!)^#REF!)</f>
        <v>0</v>
      </c>
      <c r="AD302" s="533">
        <f t="shared" si="182"/>
        <v>0</v>
      </c>
      <c r="AE302" s="533">
        <f t="shared" si="166"/>
        <v>0</v>
      </c>
      <c r="AF302" s="533">
        <f t="shared" si="167"/>
        <v>0</v>
      </c>
      <c r="AH302" s="533">
        <f t="shared" si="168"/>
        <v>0</v>
      </c>
      <c r="AI302" s="533">
        <f t="shared" si="183"/>
        <v>950</v>
      </c>
      <c r="AJ302" s="533">
        <f t="shared" si="156"/>
        <v>0</v>
      </c>
      <c r="AK302" s="533">
        <f>AJ302*[1]mProject!V306</f>
        <v>0</v>
      </c>
      <c r="AL302" s="533">
        <f t="shared" si="169"/>
        <v>0</v>
      </c>
      <c r="AM302" s="533">
        <f t="shared" si="170"/>
        <v>0</v>
      </c>
      <c r="AN302" s="456"/>
      <c r="AO302" s="575" t="e">
        <f t="shared" si="186"/>
        <v>#REF!</v>
      </c>
      <c r="AP302" s="575" t="e">
        <f t="shared" si="190"/>
        <v>#REF!</v>
      </c>
      <c r="AQ302" s="575" t="e">
        <f t="shared" si="192"/>
        <v>#REF!</v>
      </c>
      <c r="AR302" s="576" t="e">
        <f t="shared" si="187"/>
        <v>#REF!</v>
      </c>
      <c r="AS302" s="533" t="e">
        <f t="shared" si="189"/>
        <v>#REF!</v>
      </c>
      <c r="AT302" s="533"/>
      <c r="AU302" s="533"/>
      <c r="AV302" s="533" t="e">
        <f t="shared" si="171"/>
        <v>#REF!</v>
      </c>
      <c r="AW302" s="533" t="e">
        <f>AI302*#REF!+AI301*#REF!+AI300*#REF!</f>
        <v>#REF!</v>
      </c>
      <c r="AX302" s="456"/>
      <c r="AY302" s="584">
        <f t="shared" si="184"/>
        <v>1.637093933841913</v>
      </c>
      <c r="AZ302" s="533">
        <f t="shared" si="172"/>
        <v>0</v>
      </c>
      <c r="BA302" s="533">
        <f>BA301*[1]mProject!V307</f>
        <v>0</v>
      </c>
      <c r="BB302" s="533">
        <f t="shared" si="188"/>
        <v>17781316.823329829</v>
      </c>
      <c r="BC302" s="456"/>
      <c r="BD302" s="586">
        <f>((BB302/100)*(i_CFD.ObliRate/12))*[1]i.Finance!$O$64</f>
        <v>59826.722228495157</v>
      </c>
      <c r="BE302" s="586">
        <f>(AZ302/100*[1]i.Finance!$O$61)*[1]i.Finance!$O$64</f>
        <v>0</v>
      </c>
      <c r="BF302" s="586">
        <f>(AZ302/100*[1]i.Finance!$O$65)</f>
        <v>0</v>
      </c>
      <c r="BG302" s="587">
        <f t="shared" si="173"/>
        <v>59826.722228495157</v>
      </c>
      <c r="BH302" s="456"/>
      <c r="BI302" s="586">
        <f>-PV([1]i.Finance!$O$63/12,[1]i.Finance!$O$62*12,mCFD!BG302)</f>
        <v>10233961.918709608</v>
      </c>
      <c r="BJ302" s="586">
        <f>BI302*[1]i.Finance!$O$58</f>
        <v>8033660.1061870428</v>
      </c>
      <c r="BK302" s="586"/>
      <c r="BL302" s="586"/>
      <c r="BP302" s="533"/>
      <c r="BQ302" s="533"/>
      <c r="BR302" s="533" t="e">
        <f t="shared" si="174"/>
        <v>#NAME?</v>
      </c>
      <c r="BS302" s="533" t="e">
        <f t="shared" si="175"/>
        <v>#NAME?</v>
      </c>
      <c r="BT302" s="533" t="e">
        <f t="shared" si="176"/>
        <v>#NAME?</v>
      </c>
      <c r="BU302" s="533"/>
    </row>
    <row r="303" spans="1:73" ht="16" hidden="1" outlineLevel="2">
      <c r="A303" s="366"/>
      <c r="B303" s="562"/>
      <c r="C303" s="366"/>
      <c r="D303" s="454"/>
      <c r="E303" s="547">
        <f t="shared" si="185"/>
        <v>297</v>
      </c>
      <c r="F303" s="547">
        <f t="shared" si="177"/>
        <v>99</v>
      </c>
      <c r="G303" s="547">
        <f t="shared" si="178"/>
        <v>25</v>
      </c>
      <c r="H303" s="548">
        <f t="shared" si="191"/>
        <v>52840</v>
      </c>
      <c r="I303" s="549">
        <f t="shared" si="157"/>
        <v>2044</v>
      </c>
      <c r="K303" s="547">
        <f>[1]mProject!KB307</f>
        <v>0</v>
      </c>
      <c r="L303" s="547">
        <f t="shared" si="158"/>
        <v>950</v>
      </c>
      <c r="M303" s="547">
        <f t="shared" si="159"/>
        <v>295000</v>
      </c>
      <c r="N303" s="547">
        <f t="shared" si="160"/>
        <v>0</v>
      </c>
      <c r="O303" s="547">
        <f t="shared" si="179"/>
        <v>280250000</v>
      </c>
      <c r="P303" s="547">
        <f>[1]mProject!W307</f>
        <v>464795.07542632188</v>
      </c>
      <c r="Q303" s="547">
        <f t="shared" si="161"/>
        <v>0</v>
      </c>
      <c r="R303" s="547">
        <f t="shared" si="180"/>
        <v>296355280.38883054</v>
      </c>
      <c r="T303" s="547">
        <v>0</v>
      </c>
      <c r="U303" s="547">
        <f t="shared" si="162"/>
        <v>0</v>
      </c>
      <c r="V303" s="547">
        <f>IF(T303=0,0,$V$7*(1+#REF!)^#REF!)</f>
        <v>0</v>
      </c>
      <c r="W303" s="547">
        <f t="shared" si="181"/>
        <v>0</v>
      </c>
      <c r="X303" s="547">
        <f t="shared" si="163"/>
        <v>0</v>
      </c>
      <c r="Y303" s="547">
        <f t="shared" si="164"/>
        <v>0</v>
      </c>
      <c r="AA303" s="547">
        <v>0</v>
      </c>
      <c r="AB303" s="547">
        <f t="shared" si="165"/>
        <v>0</v>
      </c>
      <c r="AC303" s="547">
        <f>IF(AA303=0,0,$V$7*(1+#REF!)^#REF!)</f>
        <v>0</v>
      </c>
      <c r="AD303" s="547">
        <f t="shared" si="182"/>
        <v>0</v>
      </c>
      <c r="AE303" s="547">
        <f t="shared" si="166"/>
        <v>0</v>
      </c>
      <c r="AF303" s="547">
        <f t="shared" si="167"/>
        <v>0</v>
      </c>
      <c r="AH303" s="547">
        <f t="shared" si="168"/>
        <v>0</v>
      </c>
      <c r="AI303" s="547">
        <f t="shared" si="183"/>
        <v>950</v>
      </c>
      <c r="AJ303" s="547">
        <f t="shared" si="156"/>
        <v>0</v>
      </c>
      <c r="AK303" s="547">
        <f>AJ303*[1]mProject!V307</f>
        <v>0</v>
      </c>
      <c r="AL303" s="547">
        <f t="shared" si="169"/>
        <v>0</v>
      </c>
      <c r="AM303" s="547">
        <f t="shared" si="170"/>
        <v>0</v>
      </c>
      <c r="AN303" s="456"/>
      <c r="AO303" s="577" t="e">
        <f t="shared" si="186"/>
        <v>#REF!</v>
      </c>
      <c r="AP303" s="577" t="e">
        <f t="shared" si="190"/>
        <v>#REF!</v>
      </c>
      <c r="AQ303" s="577" t="e">
        <f t="shared" si="192"/>
        <v>#REF!</v>
      </c>
      <c r="AR303" s="578" t="e">
        <f t="shared" si="187"/>
        <v>#REF!</v>
      </c>
      <c r="AS303" s="547" t="e">
        <f t="shared" si="189"/>
        <v>#REF!</v>
      </c>
      <c r="AT303" s="547"/>
      <c r="AU303" s="547"/>
      <c r="AV303" s="547" t="e">
        <f t="shared" si="171"/>
        <v>#REF!</v>
      </c>
      <c r="AW303" s="547" t="e">
        <f>AI303*#REF!+AI302*#REF!+AI301*#REF!</f>
        <v>#REF!</v>
      </c>
      <c r="AX303" s="456"/>
      <c r="AY303" s="585">
        <f t="shared" si="184"/>
        <v>1.6398224237316497</v>
      </c>
      <c r="AZ303" s="547">
        <f t="shared" si="172"/>
        <v>0</v>
      </c>
      <c r="BA303" s="547">
        <f>BA302*[1]mProject!V308</f>
        <v>0</v>
      </c>
      <c r="BB303" s="547">
        <f t="shared" si="188"/>
        <v>17781316.823329829</v>
      </c>
      <c r="BC303" s="456"/>
      <c r="BD303" s="588">
        <f>((BB303/100)*(i_CFD.ObliRate/12))*[1]i.Finance!$O$64</f>
        <v>59826.722228495157</v>
      </c>
      <c r="BE303" s="588">
        <f>(AZ303/100*[1]i.Finance!$O$61)*[1]i.Finance!$O$64</f>
        <v>0</v>
      </c>
      <c r="BF303" s="588">
        <f>(AZ303/100*[1]i.Finance!$O$65)</f>
        <v>0</v>
      </c>
      <c r="BG303" s="589">
        <f t="shared" si="173"/>
        <v>59826.722228495157</v>
      </c>
      <c r="BH303" s="456"/>
      <c r="BI303" s="588">
        <f>-PV([1]i.Finance!$O$63/12,[1]i.Finance!$O$62*12,mCFD!BG303)</f>
        <v>10233961.918709608</v>
      </c>
      <c r="BJ303" s="588">
        <f>BI303*[1]i.Finance!$O$58</f>
        <v>8033660.1061870428</v>
      </c>
      <c r="BK303" s="588"/>
      <c r="BL303" s="588"/>
      <c r="BP303" s="547"/>
      <c r="BQ303" s="547"/>
      <c r="BR303" s="547" t="e">
        <f t="shared" si="174"/>
        <v>#NAME?</v>
      </c>
      <c r="BS303" s="547" t="e">
        <f t="shared" si="175"/>
        <v>#NAME?</v>
      </c>
      <c r="BT303" s="547" t="e">
        <f t="shared" si="176"/>
        <v>#NAME?</v>
      </c>
      <c r="BU303" s="547"/>
    </row>
    <row r="304" spans="1:73" ht="16" hidden="1" outlineLevel="2">
      <c r="A304" s="366"/>
      <c r="B304" s="562"/>
      <c r="C304" s="366"/>
      <c r="D304" s="454"/>
      <c r="E304" s="530">
        <f t="shared" si="185"/>
        <v>298</v>
      </c>
      <c r="F304" s="530">
        <f t="shared" si="177"/>
        <v>100</v>
      </c>
      <c r="G304" s="530">
        <f t="shared" si="178"/>
        <v>25</v>
      </c>
      <c r="H304" s="554">
        <f t="shared" si="191"/>
        <v>52870</v>
      </c>
      <c r="I304" s="555">
        <f t="shared" si="157"/>
        <v>2044</v>
      </c>
      <c r="K304" s="530">
        <f>[1]mProject!KB308</f>
        <v>0</v>
      </c>
      <c r="L304" s="530">
        <f t="shared" si="158"/>
        <v>950</v>
      </c>
      <c r="M304" s="530">
        <f t="shared" si="159"/>
        <v>295000</v>
      </c>
      <c r="N304" s="530">
        <f t="shared" si="160"/>
        <v>0</v>
      </c>
      <c r="O304" s="530">
        <f t="shared" si="179"/>
        <v>280250000</v>
      </c>
      <c r="P304" s="530">
        <f>[1]mProject!W308</f>
        <v>465569.73388536577</v>
      </c>
      <c r="Q304" s="530">
        <f t="shared" si="161"/>
        <v>0</v>
      </c>
      <c r="R304" s="530">
        <f t="shared" si="180"/>
        <v>296355280.38883054</v>
      </c>
      <c r="T304" s="530">
        <v>0</v>
      </c>
      <c r="U304" s="530">
        <f t="shared" si="162"/>
        <v>0</v>
      </c>
      <c r="V304" s="530">
        <f>IF(T304=0,0,$V$7*(1+#REF!)^#REF!)</f>
        <v>0</v>
      </c>
      <c r="W304" s="530">
        <f t="shared" si="181"/>
        <v>0</v>
      </c>
      <c r="X304" s="530">
        <f t="shared" si="163"/>
        <v>0</v>
      </c>
      <c r="Y304" s="530">
        <f t="shared" si="164"/>
        <v>0</v>
      </c>
      <c r="AA304" s="530">
        <v>0</v>
      </c>
      <c r="AB304" s="530">
        <f t="shared" si="165"/>
        <v>0</v>
      </c>
      <c r="AC304" s="530">
        <f>IF(AA304=0,0,$V$7*(1+#REF!)^#REF!)</f>
        <v>0</v>
      </c>
      <c r="AD304" s="530">
        <f t="shared" si="182"/>
        <v>0</v>
      </c>
      <c r="AE304" s="530">
        <f t="shared" si="166"/>
        <v>0</v>
      </c>
      <c r="AF304" s="530">
        <f t="shared" si="167"/>
        <v>0</v>
      </c>
      <c r="AH304" s="530">
        <f t="shared" si="168"/>
        <v>0</v>
      </c>
      <c r="AI304" s="530">
        <f t="shared" si="183"/>
        <v>950</v>
      </c>
      <c r="AJ304" s="530">
        <f t="shared" ref="AJ304:AJ366" si="193">AJ303</f>
        <v>0</v>
      </c>
      <c r="AK304" s="530">
        <f>AJ304*[1]mProject!V308</f>
        <v>0</v>
      </c>
      <c r="AL304" s="530">
        <f t="shared" si="169"/>
        <v>0</v>
      </c>
      <c r="AM304" s="530">
        <f t="shared" si="170"/>
        <v>0</v>
      </c>
      <c r="AN304" s="456"/>
      <c r="AO304" s="572" t="e">
        <f t="shared" si="186"/>
        <v>#REF!</v>
      </c>
      <c r="AP304" s="572" t="e">
        <f t="shared" si="190"/>
        <v>#REF!</v>
      </c>
      <c r="AQ304" s="572" t="e">
        <f t="shared" si="192"/>
        <v>#REF!</v>
      </c>
      <c r="AR304" s="573" t="e">
        <f t="shared" si="187"/>
        <v>#REF!</v>
      </c>
      <c r="AS304" s="530" t="e">
        <f t="shared" si="189"/>
        <v>#REF!</v>
      </c>
      <c r="AT304" s="530"/>
      <c r="AU304" s="530"/>
      <c r="AV304" s="530" t="e">
        <f t="shared" si="171"/>
        <v>#REF!</v>
      </c>
      <c r="AW304" s="530" t="e">
        <f>AI304*#REF!+AI303*#REF!+AI302*#REF!</f>
        <v>#REF!</v>
      </c>
      <c r="AX304" s="456"/>
      <c r="AY304" s="583">
        <f t="shared" si="184"/>
        <v>1.6425554611045359</v>
      </c>
      <c r="AZ304" s="530">
        <f t="shared" si="172"/>
        <v>0</v>
      </c>
      <c r="BA304" s="530">
        <f>BA303*[1]mProject!V309</f>
        <v>0</v>
      </c>
      <c r="BB304" s="530">
        <f t="shared" si="188"/>
        <v>17781316.823329829</v>
      </c>
      <c r="BC304" s="456"/>
      <c r="BD304" s="590">
        <f>((BB304/100)*(i_CFD.ObliRate/12))*[1]i.Finance!$O$64</f>
        <v>59826.722228495157</v>
      </c>
      <c r="BE304" s="590">
        <f>(AZ304/100*[1]i.Finance!$O$61)*[1]i.Finance!$O$64</f>
        <v>0</v>
      </c>
      <c r="BF304" s="590">
        <f>(AZ304/100*[1]i.Finance!$O$65)</f>
        <v>0</v>
      </c>
      <c r="BG304" s="591">
        <f t="shared" si="173"/>
        <v>59826.722228495157</v>
      </c>
      <c r="BH304" s="456"/>
      <c r="BI304" s="590">
        <f>-PV([1]i.Finance!$O$63/12,[1]i.Finance!$O$62*12,mCFD!BG304)</f>
        <v>10233961.918709608</v>
      </c>
      <c r="BJ304" s="590">
        <f>BI304*[1]i.Finance!$O$58</f>
        <v>8033660.1061870428</v>
      </c>
      <c r="BK304" s="590"/>
      <c r="BL304" s="590"/>
      <c r="BP304" s="530"/>
      <c r="BQ304" s="530"/>
      <c r="BR304" s="530" t="e">
        <f t="shared" si="174"/>
        <v>#NAME?</v>
      </c>
      <c r="BS304" s="530" t="e">
        <f t="shared" si="175"/>
        <v>#NAME?</v>
      </c>
      <c r="BT304" s="530" t="e">
        <f t="shared" si="176"/>
        <v>#NAME?</v>
      </c>
      <c r="BU304" s="530"/>
    </row>
    <row r="305" spans="1:73" ht="16" hidden="1" outlineLevel="2">
      <c r="A305" s="366"/>
      <c r="B305" s="562"/>
      <c r="C305" s="366"/>
      <c r="D305" s="454"/>
      <c r="E305" s="533">
        <f t="shared" si="185"/>
        <v>299</v>
      </c>
      <c r="F305" s="533">
        <f t="shared" si="177"/>
        <v>100</v>
      </c>
      <c r="G305" s="533">
        <f t="shared" si="178"/>
        <v>25</v>
      </c>
      <c r="H305" s="541">
        <f t="shared" si="191"/>
        <v>52901</v>
      </c>
      <c r="I305" s="542">
        <f t="shared" si="157"/>
        <v>2044</v>
      </c>
      <c r="K305" s="533">
        <f>[1]mProject!KB309</f>
        <v>0</v>
      </c>
      <c r="L305" s="533">
        <f t="shared" si="158"/>
        <v>950</v>
      </c>
      <c r="M305" s="533">
        <f t="shared" si="159"/>
        <v>295000</v>
      </c>
      <c r="N305" s="533">
        <f t="shared" si="160"/>
        <v>0</v>
      </c>
      <c r="O305" s="533">
        <f t="shared" si="179"/>
        <v>280250000</v>
      </c>
      <c r="P305" s="533">
        <f>[1]mProject!W309</f>
        <v>466345.68344184139</v>
      </c>
      <c r="Q305" s="533">
        <f t="shared" si="161"/>
        <v>0</v>
      </c>
      <c r="R305" s="533">
        <f t="shared" si="180"/>
        <v>296355280.38883054</v>
      </c>
      <c r="T305" s="533">
        <v>0</v>
      </c>
      <c r="U305" s="533">
        <f t="shared" si="162"/>
        <v>0</v>
      </c>
      <c r="V305" s="533">
        <f>IF(T305=0,0,$V$7*(1+#REF!)^#REF!)</f>
        <v>0</v>
      </c>
      <c r="W305" s="533">
        <f t="shared" si="181"/>
        <v>0</v>
      </c>
      <c r="X305" s="533">
        <f t="shared" si="163"/>
        <v>0</v>
      </c>
      <c r="Y305" s="533">
        <f t="shared" si="164"/>
        <v>0</v>
      </c>
      <c r="AA305" s="533">
        <v>0</v>
      </c>
      <c r="AB305" s="533">
        <f t="shared" si="165"/>
        <v>0</v>
      </c>
      <c r="AC305" s="533">
        <f>IF(AA305=0,0,$V$7*(1+#REF!)^#REF!)</f>
        <v>0</v>
      </c>
      <c r="AD305" s="533">
        <f t="shared" si="182"/>
        <v>0</v>
      </c>
      <c r="AE305" s="533">
        <f t="shared" si="166"/>
        <v>0</v>
      </c>
      <c r="AF305" s="533">
        <f t="shared" si="167"/>
        <v>0</v>
      </c>
      <c r="AH305" s="533">
        <f t="shared" si="168"/>
        <v>0</v>
      </c>
      <c r="AI305" s="533">
        <f t="shared" si="183"/>
        <v>950</v>
      </c>
      <c r="AJ305" s="533">
        <f t="shared" si="193"/>
        <v>0</v>
      </c>
      <c r="AK305" s="533">
        <f>AJ305*[1]mProject!V309</f>
        <v>0</v>
      </c>
      <c r="AL305" s="533">
        <f t="shared" si="169"/>
        <v>0</v>
      </c>
      <c r="AM305" s="533">
        <f t="shared" si="170"/>
        <v>0</v>
      </c>
      <c r="AN305" s="456"/>
      <c r="AO305" s="575" t="e">
        <f t="shared" si="186"/>
        <v>#REF!</v>
      </c>
      <c r="AP305" s="575" t="e">
        <f t="shared" si="190"/>
        <v>#REF!</v>
      </c>
      <c r="AQ305" s="575" t="e">
        <f t="shared" si="192"/>
        <v>#REF!</v>
      </c>
      <c r="AR305" s="576" t="e">
        <f t="shared" si="187"/>
        <v>#REF!</v>
      </c>
      <c r="AS305" s="533" t="e">
        <f t="shared" si="189"/>
        <v>#REF!</v>
      </c>
      <c r="AT305" s="533"/>
      <c r="AU305" s="533"/>
      <c r="AV305" s="533" t="e">
        <f t="shared" si="171"/>
        <v>#REF!</v>
      </c>
      <c r="AW305" s="533" t="e">
        <f>AI305*#REF!+AI304*#REF!+AI303*#REF!</f>
        <v>#REF!</v>
      </c>
      <c r="AX305" s="456"/>
      <c r="AY305" s="584">
        <f t="shared" si="184"/>
        <v>1.6452930535397101</v>
      </c>
      <c r="AZ305" s="533">
        <f t="shared" si="172"/>
        <v>0</v>
      </c>
      <c r="BA305" s="533">
        <f>BA304*[1]mProject!V310</f>
        <v>0</v>
      </c>
      <c r="BB305" s="533">
        <f t="shared" si="188"/>
        <v>17781316.823329829</v>
      </c>
      <c r="BC305" s="456"/>
      <c r="BD305" s="586">
        <f>((BB305/100)*(i_CFD.ObliRate/12))*[1]i.Finance!$O$64</f>
        <v>59826.722228495157</v>
      </c>
      <c r="BE305" s="586">
        <f>(AZ305/100*[1]i.Finance!$O$61)*[1]i.Finance!$O$64</f>
        <v>0</v>
      </c>
      <c r="BF305" s="586">
        <f>(AZ305/100*[1]i.Finance!$O$65)</f>
        <v>0</v>
      </c>
      <c r="BG305" s="587">
        <f t="shared" si="173"/>
        <v>59826.722228495157</v>
      </c>
      <c r="BH305" s="456"/>
      <c r="BI305" s="586">
        <f>-PV([1]i.Finance!$O$63/12,[1]i.Finance!$O$62*12,mCFD!BG305)</f>
        <v>10233961.918709608</v>
      </c>
      <c r="BJ305" s="586">
        <f>BI305*[1]i.Finance!$O$58</f>
        <v>8033660.1061870428</v>
      </c>
      <c r="BK305" s="586"/>
      <c r="BL305" s="586"/>
      <c r="BP305" s="533"/>
      <c r="BQ305" s="533"/>
      <c r="BR305" s="533" t="e">
        <f t="shared" si="174"/>
        <v>#NAME?</v>
      </c>
      <c r="BS305" s="533" t="e">
        <f t="shared" si="175"/>
        <v>#NAME?</v>
      </c>
      <c r="BT305" s="533" t="e">
        <f t="shared" si="176"/>
        <v>#NAME?</v>
      </c>
      <c r="BU305" s="533"/>
    </row>
    <row r="306" spans="1:73" ht="17" hidden="1" outlineLevel="2" thickBot="1">
      <c r="A306" s="366"/>
      <c r="B306" s="562"/>
      <c r="C306" s="366"/>
      <c r="D306" s="454"/>
      <c r="E306" s="564">
        <f t="shared" si="185"/>
        <v>300</v>
      </c>
      <c r="F306" s="564">
        <f t="shared" si="177"/>
        <v>100</v>
      </c>
      <c r="G306" s="564">
        <f t="shared" si="178"/>
        <v>25</v>
      </c>
      <c r="H306" s="565">
        <f t="shared" si="191"/>
        <v>52931</v>
      </c>
      <c r="I306" s="566">
        <f t="shared" si="157"/>
        <v>2044</v>
      </c>
      <c r="K306" s="564">
        <f>[1]mProject!KB310</f>
        <v>0</v>
      </c>
      <c r="L306" s="564">
        <f t="shared" si="158"/>
        <v>950</v>
      </c>
      <c r="M306" s="564">
        <f t="shared" si="159"/>
        <v>295000</v>
      </c>
      <c r="N306" s="564">
        <f t="shared" si="160"/>
        <v>0</v>
      </c>
      <c r="O306" s="564">
        <f t="shared" si="179"/>
        <v>280250000</v>
      </c>
      <c r="P306" s="564">
        <f>[1]mProject!W310</f>
        <v>467122.92624757782</v>
      </c>
      <c r="Q306" s="564">
        <f t="shared" si="161"/>
        <v>0</v>
      </c>
      <c r="R306" s="564">
        <f t="shared" si="180"/>
        <v>296355280.38883054</v>
      </c>
      <c r="T306" s="564">
        <v>0</v>
      </c>
      <c r="U306" s="564">
        <f t="shared" si="162"/>
        <v>0</v>
      </c>
      <c r="V306" s="564">
        <f>IF(T306=0,0,$V$7*(1+#REF!)^#REF!)</f>
        <v>0</v>
      </c>
      <c r="W306" s="564">
        <f t="shared" si="181"/>
        <v>0</v>
      </c>
      <c r="X306" s="564">
        <f t="shared" si="163"/>
        <v>0</v>
      </c>
      <c r="Y306" s="564">
        <f t="shared" si="164"/>
        <v>0</v>
      </c>
      <c r="AA306" s="564">
        <v>0</v>
      </c>
      <c r="AB306" s="564">
        <f t="shared" si="165"/>
        <v>0</v>
      </c>
      <c r="AC306" s="564">
        <f>IF(AA306=0,0,$V$7*(1+#REF!)^#REF!)</f>
        <v>0</v>
      </c>
      <c r="AD306" s="564">
        <f t="shared" si="182"/>
        <v>0</v>
      </c>
      <c r="AE306" s="564">
        <f t="shared" si="166"/>
        <v>0</v>
      </c>
      <c r="AF306" s="564">
        <f t="shared" si="167"/>
        <v>0</v>
      </c>
      <c r="AH306" s="564">
        <f t="shared" si="168"/>
        <v>0</v>
      </c>
      <c r="AI306" s="564">
        <f t="shared" si="183"/>
        <v>950</v>
      </c>
      <c r="AJ306" s="564">
        <f t="shared" si="193"/>
        <v>0</v>
      </c>
      <c r="AK306" s="564">
        <f>AJ306*[1]mProject!V310</f>
        <v>0</v>
      </c>
      <c r="AL306" s="564">
        <f t="shared" si="169"/>
        <v>0</v>
      </c>
      <c r="AM306" s="564">
        <f t="shared" si="170"/>
        <v>0</v>
      </c>
      <c r="AN306" s="456"/>
      <c r="AO306" s="581" t="e">
        <f t="shared" si="186"/>
        <v>#REF!</v>
      </c>
      <c r="AP306" s="581" t="e">
        <f t="shared" si="190"/>
        <v>#REF!</v>
      </c>
      <c r="AQ306" s="581" t="e">
        <f t="shared" si="192"/>
        <v>#REF!</v>
      </c>
      <c r="AR306" s="582" t="e">
        <f t="shared" si="187"/>
        <v>#REF!</v>
      </c>
      <c r="AS306" s="564" t="e">
        <f t="shared" si="189"/>
        <v>#REF!</v>
      </c>
      <c r="AT306" s="564"/>
      <c r="AU306" s="564"/>
      <c r="AV306" s="564" t="e">
        <f t="shared" si="171"/>
        <v>#REF!</v>
      </c>
      <c r="AW306" s="564" t="e">
        <f>AI306*#REF!+AI305*#REF!+AI304*#REF!</f>
        <v>#REF!</v>
      </c>
      <c r="AX306" s="456"/>
      <c r="AY306" s="592">
        <f t="shared" si="184"/>
        <v>1.6480352086289429</v>
      </c>
      <c r="AZ306" s="564">
        <f t="shared" si="172"/>
        <v>0</v>
      </c>
      <c r="BA306" s="564">
        <f>BA305*[1]mProject!V311</f>
        <v>0</v>
      </c>
      <c r="BB306" s="564">
        <f t="shared" si="188"/>
        <v>17781316.823329829</v>
      </c>
      <c r="BC306" s="456"/>
      <c r="BD306" s="593">
        <f>((BB306/100)*(i_CFD.ObliRate/12))*[1]i.Finance!$O$64</f>
        <v>59826.722228495157</v>
      </c>
      <c r="BE306" s="593">
        <f>(AZ306/100*[1]i.Finance!$O$61)*[1]i.Finance!$O$64</f>
        <v>0</v>
      </c>
      <c r="BF306" s="593">
        <f>(AZ306/100*[1]i.Finance!$O$65)</f>
        <v>0</v>
      </c>
      <c r="BG306" s="594">
        <f t="shared" si="173"/>
        <v>59826.722228495157</v>
      </c>
      <c r="BH306" s="456"/>
      <c r="BI306" s="593">
        <f>-PV([1]i.Finance!$O$63/12,[1]i.Finance!$O$62*12,mCFD!BG306)</f>
        <v>10233961.918709608</v>
      </c>
      <c r="BJ306" s="593">
        <f>BI306*[1]i.Finance!$O$58</f>
        <v>8033660.1061870428</v>
      </c>
      <c r="BK306" s="593"/>
      <c r="BL306" s="593"/>
      <c r="BP306" s="564"/>
      <c r="BQ306" s="564"/>
      <c r="BR306" s="564" t="e">
        <f t="shared" si="174"/>
        <v>#NAME?</v>
      </c>
      <c r="BS306" s="564" t="e">
        <f t="shared" si="175"/>
        <v>#NAME?</v>
      </c>
      <c r="BT306" s="564" t="e">
        <f t="shared" si="176"/>
        <v>#NAME?</v>
      </c>
      <c r="BU306" s="564"/>
    </row>
    <row r="307" spans="1:73" ht="16" hidden="1" outlineLevel="2">
      <c r="A307" s="366"/>
      <c r="B307" s="562"/>
      <c r="C307" s="366"/>
      <c r="D307" s="454"/>
      <c r="E307" s="530">
        <f t="shared" si="185"/>
        <v>301</v>
      </c>
      <c r="F307" s="530">
        <f t="shared" si="177"/>
        <v>101</v>
      </c>
      <c r="G307" s="530">
        <f t="shared" si="178"/>
        <v>26</v>
      </c>
      <c r="H307" s="571">
        <f t="shared" si="191"/>
        <v>52962</v>
      </c>
      <c r="I307" s="532">
        <f t="shared" si="157"/>
        <v>2044</v>
      </c>
      <c r="K307" s="530">
        <f>[1]mProject!KB311</f>
        <v>0</v>
      </c>
      <c r="L307" s="530">
        <f t="shared" si="158"/>
        <v>950</v>
      </c>
      <c r="M307" s="530">
        <f t="shared" si="159"/>
        <v>295000</v>
      </c>
      <c r="N307" s="530">
        <f t="shared" si="160"/>
        <v>0</v>
      </c>
      <c r="O307" s="530">
        <f t="shared" si="179"/>
        <v>280250000</v>
      </c>
      <c r="P307" s="530">
        <f>[1]mProject!W311</f>
        <v>467901.46445799049</v>
      </c>
      <c r="Q307" s="530">
        <f t="shared" si="161"/>
        <v>0</v>
      </c>
      <c r="R307" s="530">
        <f t="shared" si="180"/>
        <v>296355280.38883054</v>
      </c>
      <c r="T307" s="530">
        <v>0</v>
      </c>
      <c r="U307" s="530">
        <f t="shared" si="162"/>
        <v>0</v>
      </c>
      <c r="V307" s="530">
        <f>IF(T307=0,0,$V$7*(1+#REF!)^#REF!)</f>
        <v>0</v>
      </c>
      <c r="W307" s="530">
        <f t="shared" si="181"/>
        <v>0</v>
      </c>
      <c r="X307" s="530">
        <f t="shared" si="163"/>
        <v>0</v>
      </c>
      <c r="Y307" s="530">
        <f t="shared" si="164"/>
        <v>0</v>
      </c>
      <c r="AA307" s="530">
        <v>0</v>
      </c>
      <c r="AB307" s="530">
        <f t="shared" si="165"/>
        <v>0</v>
      </c>
      <c r="AC307" s="530">
        <f>IF(AA307=0,0,$V$7*(1+#REF!)^#REF!)</f>
        <v>0</v>
      </c>
      <c r="AD307" s="530">
        <f t="shared" si="182"/>
        <v>0</v>
      </c>
      <c r="AE307" s="530">
        <f t="shared" si="166"/>
        <v>0</v>
      </c>
      <c r="AF307" s="530">
        <f t="shared" si="167"/>
        <v>0</v>
      </c>
      <c r="AH307" s="530">
        <f t="shared" si="168"/>
        <v>0</v>
      </c>
      <c r="AI307" s="530">
        <f t="shared" si="183"/>
        <v>950</v>
      </c>
      <c r="AJ307" s="530">
        <f t="shared" si="193"/>
        <v>0</v>
      </c>
      <c r="AK307" s="530">
        <f>AJ307*[1]mProject!V311</f>
        <v>0</v>
      </c>
      <c r="AL307" s="530">
        <f t="shared" si="169"/>
        <v>0</v>
      </c>
      <c r="AM307" s="530">
        <f t="shared" si="170"/>
        <v>0</v>
      </c>
      <c r="AN307" s="456"/>
      <c r="AO307" s="572" t="e">
        <f t="shared" si="186"/>
        <v>#REF!</v>
      </c>
      <c r="AP307" s="572" t="e">
        <f t="shared" si="190"/>
        <v>#REF!</v>
      </c>
      <c r="AQ307" s="572" t="e">
        <f t="shared" si="192"/>
        <v>#REF!</v>
      </c>
      <c r="AR307" s="573" t="e">
        <f t="shared" si="187"/>
        <v>#REF!</v>
      </c>
      <c r="AS307" s="530" t="e">
        <f t="shared" si="189"/>
        <v>#REF!</v>
      </c>
      <c r="AT307" s="530"/>
      <c r="AU307" s="530"/>
      <c r="AV307" s="530" t="e">
        <f t="shared" si="171"/>
        <v>#REF!</v>
      </c>
      <c r="AW307" s="530" t="e">
        <f>AI307*#REF!+AI306*#REF!+AI305*#REF!</f>
        <v>#REF!</v>
      </c>
      <c r="AX307" s="456"/>
      <c r="AY307" s="583">
        <f t="shared" si="184"/>
        <v>1.6507819339766578</v>
      </c>
      <c r="AZ307" s="530">
        <f t="shared" si="172"/>
        <v>0</v>
      </c>
      <c r="BA307" s="530">
        <f>BA306*[1]mProject!V312</f>
        <v>0</v>
      </c>
      <c r="BB307" s="530">
        <f t="shared" si="188"/>
        <v>17781316.823329829</v>
      </c>
      <c r="BC307" s="456"/>
      <c r="BD307" s="590">
        <f>((BB307/100)*(i_CFD.ObliRate/12))*[1]i.Finance!$O$64</f>
        <v>59826.722228495157</v>
      </c>
      <c r="BE307" s="590">
        <f>(AZ307/100*[1]i.Finance!$O$61)*[1]i.Finance!$O$64</f>
        <v>0</v>
      </c>
      <c r="BF307" s="590">
        <f>(AZ307/100*[1]i.Finance!$O$65)</f>
        <v>0</v>
      </c>
      <c r="BG307" s="591">
        <f t="shared" si="173"/>
        <v>59826.722228495157</v>
      </c>
      <c r="BH307" s="456"/>
      <c r="BI307" s="590">
        <f>-PV([1]i.Finance!$O$63/12,[1]i.Finance!$O$62*12,mCFD!BG307)</f>
        <v>10233961.918709608</v>
      </c>
      <c r="BJ307" s="590">
        <f>BI307*[1]i.Finance!$O$58</f>
        <v>8033660.1061870428</v>
      </c>
      <c r="BK307" s="590"/>
      <c r="BL307" s="590"/>
      <c r="BP307" s="530"/>
      <c r="BQ307" s="530"/>
      <c r="BR307" s="530" t="e">
        <f t="shared" si="174"/>
        <v>#NAME?</v>
      </c>
      <c r="BS307" s="530" t="e">
        <f t="shared" si="175"/>
        <v>#NAME?</v>
      </c>
      <c r="BT307" s="530" t="e">
        <f t="shared" si="176"/>
        <v>#NAME?</v>
      </c>
      <c r="BU307" s="530"/>
    </row>
    <row r="308" spans="1:73" ht="16" hidden="1" outlineLevel="2">
      <c r="A308" s="366"/>
      <c r="B308" s="562"/>
      <c r="C308" s="366"/>
      <c r="D308" s="454"/>
      <c r="E308" s="533">
        <f t="shared" si="185"/>
        <v>302</v>
      </c>
      <c r="F308" s="533">
        <f t="shared" si="177"/>
        <v>101</v>
      </c>
      <c r="G308" s="533">
        <f t="shared" si="178"/>
        <v>26</v>
      </c>
      <c r="H308" s="541">
        <f t="shared" si="191"/>
        <v>52993</v>
      </c>
      <c r="I308" s="542">
        <f t="shared" si="157"/>
        <v>2045</v>
      </c>
      <c r="K308" s="533">
        <f>[1]mProject!KB312</f>
        <v>0</v>
      </c>
      <c r="L308" s="533">
        <f t="shared" si="158"/>
        <v>950</v>
      </c>
      <c r="M308" s="533">
        <f t="shared" si="159"/>
        <v>295000</v>
      </c>
      <c r="N308" s="533">
        <f t="shared" si="160"/>
        <v>0</v>
      </c>
      <c r="O308" s="533">
        <f t="shared" si="179"/>
        <v>280250000</v>
      </c>
      <c r="P308" s="533">
        <f>[1]mProject!W312</f>
        <v>468681.30023208715</v>
      </c>
      <c r="Q308" s="533">
        <f t="shared" si="161"/>
        <v>0</v>
      </c>
      <c r="R308" s="533">
        <f t="shared" si="180"/>
        <v>296355280.38883054</v>
      </c>
      <c r="T308" s="533">
        <v>0</v>
      </c>
      <c r="U308" s="533">
        <f t="shared" si="162"/>
        <v>0</v>
      </c>
      <c r="V308" s="533">
        <f>IF(T308=0,0,$V$7*(1+#REF!)^#REF!)</f>
        <v>0</v>
      </c>
      <c r="W308" s="533">
        <f t="shared" si="181"/>
        <v>0</v>
      </c>
      <c r="X308" s="533">
        <f t="shared" si="163"/>
        <v>0</v>
      </c>
      <c r="Y308" s="533">
        <f t="shared" si="164"/>
        <v>0</v>
      </c>
      <c r="AA308" s="533">
        <v>0</v>
      </c>
      <c r="AB308" s="533">
        <f t="shared" si="165"/>
        <v>0</v>
      </c>
      <c r="AC308" s="533">
        <f>IF(AA308=0,0,$V$7*(1+#REF!)^#REF!)</f>
        <v>0</v>
      </c>
      <c r="AD308" s="533">
        <f t="shared" si="182"/>
        <v>0</v>
      </c>
      <c r="AE308" s="533">
        <f t="shared" si="166"/>
        <v>0</v>
      </c>
      <c r="AF308" s="533">
        <f t="shared" si="167"/>
        <v>0</v>
      </c>
      <c r="AH308" s="533">
        <f t="shared" si="168"/>
        <v>0</v>
      </c>
      <c r="AI308" s="533">
        <f t="shared" si="183"/>
        <v>950</v>
      </c>
      <c r="AJ308" s="533">
        <f t="shared" si="193"/>
        <v>0</v>
      </c>
      <c r="AK308" s="533">
        <f>AJ308*[1]mProject!V312</f>
        <v>0</v>
      </c>
      <c r="AL308" s="533">
        <f t="shared" si="169"/>
        <v>0</v>
      </c>
      <c r="AM308" s="533">
        <f t="shared" si="170"/>
        <v>0</v>
      </c>
      <c r="AN308" s="456"/>
      <c r="AO308" s="575" t="e">
        <f t="shared" si="186"/>
        <v>#REF!</v>
      </c>
      <c r="AP308" s="575" t="e">
        <f t="shared" si="190"/>
        <v>#REF!</v>
      </c>
      <c r="AQ308" s="575" t="e">
        <f t="shared" si="192"/>
        <v>#REF!</v>
      </c>
      <c r="AR308" s="576" t="e">
        <f t="shared" si="187"/>
        <v>#REF!</v>
      </c>
      <c r="AS308" s="533" t="e">
        <f t="shared" si="189"/>
        <v>#REF!</v>
      </c>
      <c r="AT308" s="533"/>
      <c r="AU308" s="533"/>
      <c r="AV308" s="533" t="e">
        <f t="shared" si="171"/>
        <v>#REF!</v>
      </c>
      <c r="AW308" s="533" t="e">
        <f>AI308*#REF!+AI307*#REF!+AI306*#REF!</f>
        <v>#REF!</v>
      </c>
      <c r="AX308" s="456"/>
      <c r="AY308" s="584">
        <f t="shared" si="184"/>
        <v>1.6535332371999523</v>
      </c>
      <c r="AZ308" s="533">
        <f t="shared" si="172"/>
        <v>0</v>
      </c>
      <c r="BA308" s="533">
        <f>BA307*[1]mProject!V313</f>
        <v>0</v>
      </c>
      <c r="BB308" s="533">
        <f t="shared" si="188"/>
        <v>17781316.823329829</v>
      </c>
      <c r="BC308" s="456"/>
      <c r="BD308" s="586">
        <f>((BB308/100)*(i_CFD.ObliRate/12))*[1]i.Finance!$O$64</f>
        <v>59826.722228495157</v>
      </c>
      <c r="BE308" s="586">
        <f>(AZ308/100*[1]i.Finance!$O$61)*[1]i.Finance!$O$64</f>
        <v>0</v>
      </c>
      <c r="BF308" s="586">
        <f>(AZ308/100*[1]i.Finance!$O$65)</f>
        <v>0</v>
      </c>
      <c r="BG308" s="587">
        <f t="shared" si="173"/>
        <v>59826.722228495157</v>
      </c>
      <c r="BH308" s="456"/>
      <c r="BI308" s="586">
        <f>-PV([1]i.Finance!$O$63/12,[1]i.Finance!$O$62*12,mCFD!BG308)</f>
        <v>10233961.918709608</v>
      </c>
      <c r="BJ308" s="586">
        <f>BI308*[1]i.Finance!$O$58</f>
        <v>8033660.1061870428</v>
      </c>
      <c r="BK308" s="586"/>
      <c r="BL308" s="586"/>
      <c r="BP308" s="533"/>
      <c r="BQ308" s="533"/>
      <c r="BR308" s="533" t="e">
        <f t="shared" si="174"/>
        <v>#NAME?</v>
      </c>
      <c r="BS308" s="533" t="e">
        <f t="shared" si="175"/>
        <v>#NAME?</v>
      </c>
      <c r="BT308" s="533" t="e">
        <f t="shared" si="176"/>
        <v>#NAME?</v>
      </c>
      <c r="BU308" s="533"/>
    </row>
    <row r="309" spans="1:73" ht="16" hidden="1" outlineLevel="2">
      <c r="A309" s="366"/>
      <c r="B309" s="562"/>
      <c r="C309" s="366"/>
      <c r="D309" s="454"/>
      <c r="E309" s="547">
        <f t="shared" si="185"/>
        <v>303</v>
      </c>
      <c r="F309" s="547">
        <f t="shared" si="177"/>
        <v>101</v>
      </c>
      <c r="G309" s="547">
        <f t="shared" si="178"/>
        <v>26</v>
      </c>
      <c r="H309" s="548">
        <f t="shared" si="191"/>
        <v>53021</v>
      </c>
      <c r="I309" s="549">
        <f t="shared" si="157"/>
        <v>2045</v>
      </c>
      <c r="K309" s="547">
        <f>[1]mProject!KB313</f>
        <v>0</v>
      </c>
      <c r="L309" s="547">
        <f t="shared" si="158"/>
        <v>950</v>
      </c>
      <c r="M309" s="547">
        <f t="shared" si="159"/>
        <v>295000</v>
      </c>
      <c r="N309" s="547">
        <f t="shared" si="160"/>
        <v>0</v>
      </c>
      <c r="O309" s="547">
        <f t="shared" si="179"/>
        <v>280250000</v>
      </c>
      <c r="P309" s="547">
        <f>[1]mProject!W313</f>
        <v>469462.43573247397</v>
      </c>
      <c r="Q309" s="547">
        <f t="shared" si="161"/>
        <v>0</v>
      </c>
      <c r="R309" s="547">
        <f t="shared" si="180"/>
        <v>296355280.38883054</v>
      </c>
      <c r="T309" s="547">
        <v>0</v>
      </c>
      <c r="U309" s="547">
        <f t="shared" si="162"/>
        <v>0</v>
      </c>
      <c r="V309" s="547">
        <f>IF(T309=0,0,$V$7*(1+#REF!)^#REF!)</f>
        <v>0</v>
      </c>
      <c r="W309" s="547">
        <f t="shared" si="181"/>
        <v>0</v>
      </c>
      <c r="X309" s="547">
        <f t="shared" si="163"/>
        <v>0</v>
      </c>
      <c r="Y309" s="547">
        <f t="shared" si="164"/>
        <v>0</v>
      </c>
      <c r="AA309" s="547">
        <v>0</v>
      </c>
      <c r="AB309" s="547">
        <f t="shared" si="165"/>
        <v>0</v>
      </c>
      <c r="AC309" s="547">
        <f>IF(AA309=0,0,$V$7*(1+#REF!)^#REF!)</f>
        <v>0</v>
      </c>
      <c r="AD309" s="547">
        <f t="shared" si="182"/>
        <v>0</v>
      </c>
      <c r="AE309" s="547">
        <f t="shared" si="166"/>
        <v>0</v>
      </c>
      <c r="AF309" s="547">
        <f t="shared" si="167"/>
        <v>0</v>
      </c>
      <c r="AH309" s="547">
        <f t="shared" si="168"/>
        <v>0</v>
      </c>
      <c r="AI309" s="547">
        <f t="shared" si="183"/>
        <v>950</v>
      </c>
      <c r="AJ309" s="547">
        <f t="shared" si="193"/>
        <v>0</v>
      </c>
      <c r="AK309" s="547">
        <f>AJ309*[1]mProject!V313</f>
        <v>0</v>
      </c>
      <c r="AL309" s="547">
        <f t="shared" si="169"/>
        <v>0</v>
      </c>
      <c r="AM309" s="547">
        <f t="shared" si="170"/>
        <v>0</v>
      </c>
      <c r="AN309" s="456"/>
      <c r="AO309" s="577" t="e">
        <f t="shared" si="186"/>
        <v>#REF!</v>
      </c>
      <c r="AP309" s="577" t="e">
        <f t="shared" si="190"/>
        <v>#REF!</v>
      </c>
      <c r="AQ309" s="577" t="e">
        <f t="shared" si="192"/>
        <v>#REF!</v>
      </c>
      <c r="AR309" s="578" t="e">
        <f t="shared" si="187"/>
        <v>#REF!</v>
      </c>
      <c r="AS309" s="547" t="e">
        <f t="shared" si="189"/>
        <v>#REF!</v>
      </c>
      <c r="AT309" s="547"/>
      <c r="AU309" s="547"/>
      <c r="AV309" s="547" t="e">
        <f t="shared" si="171"/>
        <v>#REF!</v>
      </c>
      <c r="AW309" s="547" t="e">
        <f>AI309*#REF!+AI308*#REF!+AI307*#REF!</f>
        <v>#REF!</v>
      </c>
      <c r="AX309" s="456"/>
      <c r="AY309" s="585">
        <f t="shared" si="184"/>
        <v>1.656289125928619</v>
      </c>
      <c r="AZ309" s="547">
        <f t="shared" si="172"/>
        <v>0</v>
      </c>
      <c r="BA309" s="547">
        <f>BA308*[1]mProject!V314</f>
        <v>0</v>
      </c>
      <c r="BB309" s="547">
        <f t="shared" si="188"/>
        <v>17781316.823329829</v>
      </c>
      <c r="BC309" s="456"/>
      <c r="BD309" s="588">
        <f>((BB309/100)*(i_CFD.ObliRate/12))*[1]i.Finance!$O$64</f>
        <v>59826.722228495157</v>
      </c>
      <c r="BE309" s="588">
        <f>(AZ309/100*[1]i.Finance!$O$61)*[1]i.Finance!$O$64</f>
        <v>0</v>
      </c>
      <c r="BF309" s="588">
        <f>(AZ309/100*[1]i.Finance!$O$65)</f>
        <v>0</v>
      </c>
      <c r="BG309" s="589">
        <f t="shared" si="173"/>
        <v>59826.722228495157</v>
      </c>
      <c r="BH309" s="456"/>
      <c r="BI309" s="588">
        <f>-PV([1]i.Finance!$O$63/12,[1]i.Finance!$O$62*12,mCFD!BG309)</f>
        <v>10233961.918709608</v>
      </c>
      <c r="BJ309" s="588">
        <f>BI309*[1]i.Finance!$O$58</f>
        <v>8033660.1061870428</v>
      </c>
      <c r="BK309" s="588"/>
      <c r="BL309" s="588"/>
      <c r="BP309" s="547"/>
      <c r="BQ309" s="547"/>
      <c r="BR309" s="547" t="e">
        <f t="shared" si="174"/>
        <v>#NAME?</v>
      </c>
      <c r="BS309" s="547" t="e">
        <f t="shared" si="175"/>
        <v>#NAME?</v>
      </c>
      <c r="BT309" s="547" t="e">
        <f t="shared" si="176"/>
        <v>#NAME?</v>
      </c>
      <c r="BU309" s="547"/>
    </row>
    <row r="310" spans="1:73" ht="16" hidden="1" outlineLevel="2">
      <c r="A310" s="366"/>
      <c r="B310" s="562"/>
      <c r="C310" s="366"/>
      <c r="D310" s="454"/>
      <c r="E310" s="530">
        <f t="shared" si="185"/>
        <v>304</v>
      </c>
      <c r="F310" s="530">
        <f t="shared" si="177"/>
        <v>102</v>
      </c>
      <c r="G310" s="530">
        <f t="shared" si="178"/>
        <v>26</v>
      </c>
      <c r="H310" s="554">
        <f t="shared" si="191"/>
        <v>53052</v>
      </c>
      <c r="I310" s="555">
        <f t="shared" si="157"/>
        <v>2045</v>
      </c>
      <c r="K310" s="530">
        <f>[1]mProject!KB314</f>
        <v>0</v>
      </c>
      <c r="L310" s="530">
        <f t="shared" si="158"/>
        <v>950</v>
      </c>
      <c r="M310" s="530">
        <f t="shared" si="159"/>
        <v>295000</v>
      </c>
      <c r="N310" s="530">
        <f t="shared" si="160"/>
        <v>0</v>
      </c>
      <c r="O310" s="530">
        <f t="shared" si="179"/>
        <v>280250000</v>
      </c>
      <c r="P310" s="530">
        <f>[1]mProject!W314</f>
        <v>470244.87312536145</v>
      </c>
      <c r="Q310" s="530">
        <f t="shared" si="161"/>
        <v>0</v>
      </c>
      <c r="R310" s="530">
        <f t="shared" si="180"/>
        <v>296355280.38883054</v>
      </c>
      <c r="T310" s="530">
        <v>0</v>
      </c>
      <c r="U310" s="530">
        <f t="shared" si="162"/>
        <v>0</v>
      </c>
      <c r="V310" s="530">
        <f>IF(T310=0,0,$V$7*(1+#REF!)^#REF!)</f>
        <v>0</v>
      </c>
      <c r="W310" s="530">
        <f t="shared" si="181"/>
        <v>0</v>
      </c>
      <c r="X310" s="530">
        <f t="shared" si="163"/>
        <v>0</v>
      </c>
      <c r="Y310" s="530">
        <f t="shared" si="164"/>
        <v>0</v>
      </c>
      <c r="AA310" s="530">
        <v>0</v>
      </c>
      <c r="AB310" s="530">
        <f t="shared" si="165"/>
        <v>0</v>
      </c>
      <c r="AC310" s="530">
        <f>IF(AA310=0,0,$V$7*(1+#REF!)^#REF!)</f>
        <v>0</v>
      </c>
      <c r="AD310" s="530">
        <f t="shared" si="182"/>
        <v>0</v>
      </c>
      <c r="AE310" s="530">
        <f t="shared" si="166"/>
        <v>0</v>
      </c>
      <c r="AF310" s="530">
        <f t="shared" si="167"/>
        <v>0</v>
      </c>
      <c r="AH310" s="530">
        <f t="shared" si="168"/>
        <v>0</v>
      </c>
      <c r="AI310" s="530">
        <f t="shared" si="183"/>
        <v>950</v>
      </c>
      <c r="AJ310" s="530">
        <f t="shared" si="193"/>
        <v>0</v>
      </c>
      <c r="AK310" s="530">
        <f>AJ310*[1]mProject!V314</f>
        <v>0</v>
      </c>
      <c r="AL310" s="530">
        <f t="shared" si="169"/>
        <v>0</v>
      </c>
      <c r="AM310" s="530">
        <f t="shared" si="170"/>
        <v>0</v>
      </c>
      <c r="AN310" s="456"/>
      <c r="AO310" s="572" t="e">
        <f t="shared" si="186"/>
        <v>#REF!</v>
      </c>
      <c r="AP310" s="572" t="e">
        <f t="shared" si="190"/>
        <v>#REF!</v>
      </c>
      <c r="AQ310" s="572" t="e">
        <f t="shared" si="192"/>
        <v>#REF!</v>
      </c>
      <c r="AR310" s="573" t="e">
        <f t="shared" si="187"/>
        <v>#REF!</v>
      </c>
      <c r="AS310" s="530" t="e">
        <f t="shared" si="189"/>
        <v>#REF!</v>
      </c>
      <c r="AT310" s="530"/>
      <c r="AU310" s="530"/>
      <c r="AV310" s="530" t="e">
        <f t="shared" si="171"/>
        <v>#REF!</v>
      </c>
      <c r="AW310" s="530" t="e">
        <f>AI310*#REF!+AI309*#REF!+AI308*#REF!</f>
        <v>#REF!</v>
      </c>
      <c r="AX310" s="456"/>
      <c r="AY310" s="583">
        <f t="shared" si="184"/>
        <v>1.6590496078051669</v>
      </c>
      <c r="AZ310" s="530">
        <f t="shared" si="172"/>
        <v>0</v>
      </c>
      <c r="BA310" s="530">
        <f>BA309*[1]mProject!V315</f>
        <v>0</v>
      </c>
      <c r="BB310" s="530">
        <f t="shared" si="188"/>
        <v>17781316.823329829</v>
      </c>
      <c r="BC310" s="456"/>
      <c r="BD310" s="590">
        <f>((BB310/100)*(i_CFD.ObliRate/12))*[1]i.Finance!$O$64</f>
        <v>59826.722228495157</v>
      </c>
      <c r="BE310" s="590">
        <f>(AZ310/100*[1]i.Finance!$O$61)*[1]i.Finance!$O$64</f>
        <v>0</v>
      </c>
      <c r="BF310" s="590">
        <f>(AZ310/100*[1]i.Finance!$O$65)</f>
        <v>0</v>
      </c>
      <c r="BG310" s="591">
        <f t="shared" si="173"/>
        <v>59826.722228495157</v>
      </c>
      <c r="BH310" s="456"/>
      <c r="BI310" s="590">
        <f>-PV([1]i.Finance!$O$63/12,[1]i.Finance!$O$62*12,mCFD!BG310)</f>
        <v>10233961.918709608</v>
      </c>
      <c r="BJ310" s="590">
        <f>BI310*[1]i.Finance!$O$58</f>
        <v>8033660.1061870428</v>
      </c>
      <c r="BK310" s="590"/>
      <c r="BL310" s="590"/>
      <c r="BP310" s="530"/>
      <c r="BQ310" s="530"/>
      <c r="BR310" s="530" t="e">
        <f t="shared" si="174"/>
        <v>#NAME?</v>
      </c>
      <c r="BS310" s="530" t="e">
        <f t="shared" si="175"/>
        <v>#NAME?</v>
      </c>
      <c r="BT310" s="530" t="e">
        <f t="shared" si="176"/>
        <v>#NAME?</v>
      </c>
      <c r="BU310" s="530"/>
    </row>
    <row r="311" spans="1:73" ht="16" hidden="1" outlineLevel="2">
      <c r="A311" s="366"/>
      <c r="B311" s="562"/>
      <c r="C311" s="366"/>
      <c r="D311" s="454"/>
      <c r="E311" s="533">
        <f t="shared" si="185"/>
        <v>305</v>
      </c>
      <c r="F311" s="533">
        <f t="shared" si="177"/>
        <v>102</v>
      </c>
      <c r="G311" s="533">
        <f t="shared" si="178"/>
        <v>26</v>
      </c>
      <c r="H311" s="541">
        <f t="shared" si="191"/>
        <v>53082</v>
      </c>
      <c r="I311" s="542">
        <f t="shared" si="157"/>
        <v>2045</v>
      </c>
      <c r="K311" s="533">
        <f>[1]mProject!KB315</f>
        <v>0</v>
      </c>
      <c r="L311" s="533">
        <f t="shared" si="158"/>
        <v>950</v>
      </c>
      <c r="M311" s="533">
        <f t="shared" si="159"/>
        <v>295000</v>
      </c>
      <c r="N311" s="533">
        <f t="shared" si="160"/>
        <v>0</v>
      </c>
      <c r="O311" s="533">
        <f t="shared" si="179"/>
        <v>280250000</v>
      </c>
      <c r="P311" s="533">
        <f>[1]mProject!W315</f>
        <v>471028.61458057043</v>
      </c>
      <c r="Q311" s="533">
        <f t="shared" si="161"/>
        <v>0</v>
      </c>
      <c r="R311" s="533">
        <f t="shared" si="180"/>
        <v>296355280.38883054</v>
      </c>
      <c r="T311" s="533">
        <v>0</v>
      </c>
      <c r="U311" s="533">
        <f t="shared" si="162"/>
        <v>0</v>
      </c>
      <c r="V311" s="533">
        <f>IF(T311=0,0,$V$7*(1+#REF!)^#REF!)</f>
        <v>0</v>
      </c>
      <c r="W311" s="533">
        <f t="shared" si="181"/>
        <v>0</v>
      </c>
      <c r="X311" s="533">
        <f t="shared" si="163"/>
        <v>0</v>
      </c>
      <c r="Y311" s="533">
        <f t="shared" si="164"/>
        <v>0</v>
      </c>
      <c r="AA311" s="533">
        <v>0</v>
      </c>
      <c r="AB311" s="533">
        <f t="shared" si="165"/>
        <v>0</v>
      </c>
      <c r="AC311" s="533">
        <f>IF(AA311=0,0,$V$7*(1+#REF!)^#REF!)</f>
        <v>0</v>
      </c>
      <c r="AD311" s="533">
        <f t="shared" si="182"/>
        <v>0</v>
      </c>
      <c r="AE311" s="533">
        <f t="shared" si="166"/>
        <v>0</v>
      </c>
      <c r="AF311" s="533">
        <f t="shared" si="167"/>
        <v>0</v>
      </c>
      <c r="AH311" s="533">
        <f t="shared" si="168"/>
        <v>0</v>
      </c>
      <c r="AI311" s="533">
        <f t="shared" si="183"/>
        <v>950</v>
      </c>
      <c r="AJ311" s="533">
        <f t="shared" si="193"/>
        <v>0</v>
      </c>
      <c r="AK311" s="533">
        <f>AJ311*[1]mProject!V315</f>
        <v>0</v>
      </c>
      <c r="AL311" s="533">
        <f t="shared" si="169"/>
        <v>0</v>
      </c>
      <c r="AM311" s="533">
        <f t="shared" si="170"/>
        <v>0</v>
      </c>
      <c r="AN311" s="456"/>
      <c r="AO311" s="575" t="e">
        <f t="shared" si="186"/>
        <v>#REF!</v>
      </c>
      <c r="AP311" s="575" t="e">
        <f t="shared" si="190"/>
        <v>#REF!</v>
      </c>
      <c r="AQ311" s="575" t="e">
        <f t="shared" si="192"/>
        <v>#REF!</v>
      </c>
      <c r="AR311" s="576" t="e">
        <f t="shared" si="187"/>
        <v>#REF!</v>
      </c>
      <c r="AS311" s="533" t="e">
        <f t="shared" si="189"/>
        <v>#REF!</v>
      </c>
      <c r="AT311" s="533"/>
      <c r="AU311" s="533"/>
      <c r="AV311" s="533" t="e">
        <f t="shared" si="171"/>
        <v>#REF!</v>
      </c>
      <c r="AW311" s="533" t="e">
        <f>AI311*#REF!+AI310*#REF!+AI309*#REF!</f>
        <v>#REF!</v>
      </c>
      <c r="AX311" s="456"/>
      <c r="AY311" s="584">
        <f t="shared" si="184"/>
        <v>1.6618146904848421</v>
      </c>
      <c r="AZ311" s="533">
        <f t="shared" si="172"/>
        <v>0</v>
      </c>
      <c r="BA311" s="533">
        <f>BA310*[1]mProject!V316</f>
        <v>0</v>
      </c>
      <c r="BB311" s="533">
        <f t="shared" si="188"/>
        <v>17781316.823329829</v>
      </c>
      <c r="BC311" s="456"/>
      <c r="BD311" s="586">
        <f>((BB311/100)*(i_CFD.ObliRate/12))*[1]i.Finance!$O$64</f>
        <v>59826.722228495157</v>
      </c>
      <c r="BE311" s="586">
        <f>(AZ311/100*[1]i.Finance!$O$61)*[1]i.Finance!$O$64</f>
        <v>0</v>
      </c>
      <c r="BF311" s="586">
        <f>(AZ311/100*[1]i.Finance!$O$65)</f>
        <v>0</v>
      </c>
      <c r="BG311" s="587">
        <f t="shared" si="173"/>
        <v>59826.722228495157</v>
      </c>
      <c r="BH311" s="456"/>
      <c r="BI311" s="586">
        <f>-PV([1]i.Finance!$O$63/12,[1]i.Finance!$O$62*12,mCFD!BG311)</f>
        <v>10233961.918709608</v>
      </c>
      <c r="BJ311" s="586">
        <f>BI311*[1]i.Finance!$O$58</f>
        <v>8033660.1061870428</v>
      </c>
      <c r="BK311" s="586"/>
      <c r="BL311" s="586"/>
      <c r="BP311" s="533"/>
      <c r="BQ311" s="533"/>
      <c r="BR311" s="533" t="e">
        <f t="shared" si="174"/>
        <v>#NAME?</v>
      </c>
      <c r="BS311" s="533" t="e">
        <f t="shared" si="175"/>
        <v>#NAME?</v>
      </c>
      <c r="BT311" s="533" t="e">
        <f t="shared" si="176"/>
        <v>#NAME?</v>
      </c>
      <c r="BU311" s="533"/>
    </row>
    <row r="312" spans="1:73" ht="16" hidden="1" outlineLevel="2">
      <c r="A312" s="366"/>
      <c r="B312" s="562"/>
      <c r="C312" s="366"/>
      <c r="D312" s="454"/>
      <c r="E312" s="547">
        <f t="shared" si="185"/>
        <v>306</v>
      </c>
      <c r="F312" s="547">
        <f t="shared" si="177"/>
        <v>102</v>
      </c>
      <c r="G312" s="547">
        <f t="shared" si="178"/>
        <v>26</v>
      </c>
      <c r="H312" s="548">
        <f t="shared" si="191"/>
        <v>53113</v>
      </c>
      <c r="I312" s="549">
        <f t="shared" si="157"/>
        <v>2045</v>
      </c>
      <c r="K312" s="547">
        <f>[1]mProject!KB316</f>
        <v>0</v>
      </c>
      <c r="L312" s="547">
        <f t="shared" si="158"/>
        <v>950</v>
      </c>
      <c r="M312" s="547">
        <f t="shared" si="159"/>
        <v>295000</v>
      </c>
      <c r="N312" s="547">
        <f t="shared" si="160"/>
        <v>0</v>
      </c>
      <c r="O312" s="547">
        <f t="shared" si="179"/>
        <v>280250000</v>
      </c>
      <c r="P312" s="547">
        <f>[1]mProject!W316</f>
        <v>471813.66227153805</v>
      </c>
      <c r="Q312" s="547">
        <f t="shared" si="161"/>
        <v>0</v>
      </c>
      <c r="R312" s="547">
        <f t="shared" si="180"/>
        <v>296355280.38883054</v>
      </c>
      <c r="T312" s="547">
        <v>0</v>
      </c>
      <c r="U312" s="547">
        <f t="shared" si="162"/>
        <v>0</v>
      </c>
      <c r="V312" s="547">
        <f>IF(T312=0,0,$V$7*(1+#REF!)^#REF!)</f>
        <v>0</v>
      </c>
      <c r="W312" s="547">
        <f t="shared" si="181"/>
        <v>0</v>
      </c>
      <c r="X312" s="547">
        <f t="shared" si="163"/>
        <v>0</v>
      </c>
      <c r="Y312" s="547">
        <f t="shared" si="164"/>
        <v>0</v>
      </c>
      <c r="AA312" s="547">
        <v>0</v>
      </c>
      <c r="AB312" s="547">
        <f t="shared" si="165"/>
        <v>0</v>
      </c>
      <c r="AC312" s="547">
        <f>IF(AA312=0,0,$V$7*(1+#REF!)^#REF!)</f>
        <v>0</v>
      </c>
      <c r="AD312" s="547">
        <f t="shared" si="182"/>
        <v>0</v>
      </c>
      <c r="AE312" s="547">
        <f t="shared" si="166"/>
        <v>0</v>
      </c>
      <c r="AF312" s="547">
        <f t="shared" si="167"/>
        <v>0</v>
      </c>
      <c r="AH312" s="547">
        <f t="shared" si="168"/>
        <v>0</v>
      </c>
      <c r="AI312" s="547">
        <f t="shared" si="183"/>
        <v>950</v>
      </c>
      <c r="AJ312" s="547">
        <f t="shared" si="193"/>
        <v>0</v>
      </c>
      <c r="AK312" s="547">
        <f>AJ312*[1]mProject!V316</f>
        <v>0</v>
      </c>
      <c r="AL312" s="547">
        <f t="shared" si="169"/>
        <v>0</v>
      </c>
      <c r="AM312" s="547">
        <f t="shared" si="170"/>
        <v>0</v>
      </c>
      <c r="AN312" s="456"/>
      <c r="AO312" s="577" t="e">
        <f t="shared" si="186"/>
        <v>#REF!</v>
      </c>
      <c r="AP312" s="577" t="e">
        <f t="shared" si="190"/>
        <v>#REF!</v>
      </c>
      <c r="AQ312" s="577" t="e">
        <f t="shared" si="192"/>
        <v>#REF!</v>
      </c>
      <c r="AR312" s="578" t="e">
        <f t="shared" si="187"/>
        <v>#REF!</v>
      </c>
      <c r="AS312" s="547" t="e">
        <f t="shared" si="189"/>
        <v>#REF!</v>
      </c>
      <c r="AT312" s="547"/>
      <c r="AU312" s="547"/>
      <c r="AV312" s="547" t="e">
        <f t="shared" si="171"/>
        <v>#REF!</v>
      </c>
      <c r="AW312" s="547" t="e">
        <f>AI312*#REF!+AI311*#REF!+AI310*#REF!</f>
        <v>#REF!</v>
      </c>
      <c r="AX312" s="456"/>
      <c r="AY312" s="585">
        <f t="shared" si="184"/>
        <v>1.6645843816356503</v>
      </c>
      <c r="AZ312" s="547">
        <f t="shared" si="172"/>
        <v>0</v>
      </c>
      <c r="BA312" s="547">
        <f>BA311*[1]mProject!V317</f>
        <v>0</v>
      </c>
      <c r="BB312" s="547">
        <f t="shared" si="188"/>
        <v>17781316.823329829</v>
      </c>
      <c r="BC312" s="456"/>
      <c r="BD312" s="588">
        <f>((BB312/100)*(i_CFD.ObliRate/12))*[1]i.Finance!$O$64</f>
        <v>59826.722228495157</v>
      </c>
      <c r="BE312" s="588">
        <f>(AZ312/100*[1]i.Finance!$O$61)*[1]i.Finance!$O$64</f>
        <v>0</v>
      </c>
      <c r="BF312" s="588">
        <f>(AZ312/100*[1]i.Finance!$O$65)</f>
        <v>0</v>
      </c>
      <c r="BG312" s="589">
        <f t="shared" si="173"/>
        <v>59826.722228495157</v>
      </c>
      <c r="BH312" s="456"/>
      <c r="BI312" s="588">
        <f>-PV([1]i.Finance!$O$63/12,[1]i.Finance!$O$62*12,mCFD!BG312)</f>
        <v>10233961.918709608</v>
      </c>
      <c r="BJ312" s="588">
        <f>BI312*[1]i.Finance!$O$58</f>
        <v>8033660.1061870428</v>
      </c>
      <c r="BK312" s="588"/>
      <c r="BL312" s="588"/>
      <c r="BP312" s="547"/>
      <c r="BQ312" s="547"/>
      <c r="BR312" s="547" t="e">
        <f t="shared" si="174"/>
        <v>#NAME?</v>
      </c>
      <c r="BS312" s="547" t="e">
        <f t="shared" si="175"/>
        <v>#NAME?</v>
      </c>
      <c r="BT312" s="547" t="e">
        <f t="shared" si="176"/>
        <v>#NAME?</v>
      </c>
      <c r="BU312" s="547"/>
    </row>
    <row r="313" spans="1:73" ht="16" hidden="1" outlineLevel="2">
      <c r="A313" s="366"/>
      <c r="B313" s="562"/>
      <c r="C313" s="366"/>
      <c r="D313" s="454"/>
      <c r="E313" s="530">
        <f t="shared" si="185"/>
        <v>307</v>
      </c>
      <c r="F313" s="530">
        <f t="shared" si="177"/>
        <v>103</v>
      </c>
      <c r="G313" s="530">
        <f t="shared" si="178"/>
        <v>26</v>
      </c>
      <c r="H313" s="554">
        <f t="shared" si="191"/>
        <v>53143</v>
      </c>
      <c r="I313" s="555">
        <f t="shared" si="157"/>
        <v>2045</v>
      </c>
      <c r="K313" s="530">
        <f>[1]mProject!KB317</f>
        <v>0</v>
      </c>
      <c r="L313" s="530">
        <f t="shared" si="158"/>
        <v>950</v>
      </c>
      <c r="M313" s="530">
        <f t="shared" si="159"/>
        <v>295000</v>
      </c>
      <c r="N313" s="530">
        <f t="shared" si="160"/>
        <v>0</v>
      </c>
      <c r="O313" s="530">
        <f t="shared" si="179"/>
        <v>280250000</v>
      </c>
      <c r="P313" s="530">
        <f>[1]mProject!W317</f>
        <v>472600.01837532397</v>
      </c>
      <c r="Q313" s="530">
        <f t="shared" si="161"/>
        <v>0</v>
      </c>
      <c r="R313" s="530">
        <f t="shared" si="180"/>
        <v>296355280.38883054</v>
      </c>
      <c r="T313" s="530">
        <v>0</v>
      </c>
      <c r="U313" s="530">
        <f t="shared" si="162"/>
        <v>0</v>
      </c>
      <c r="V313" s="530">
        <f>IF(T313=0,0,$V$7*(1+#REF!)^#REF!)</f>
        <v>0</v>
      </c>
      <c r="W313" s="530">
        <f t="shared" si="181"/>
        <v>0</v>
      </c>
      <c r="X313" s="530">
        <f t="shared" si="163"/>
        <v>0</v>
      </c>
      <c r="Y313" s="530">
        <f t="shared" si="164"/>
        <v>0</v>
      </c>
      <c r="AA313" s="530">
        <v>0</v>
      </c>
      <c r="AB313" s="530">
        <f t="shared" si="165"/>
        <v>0</v>
      </c>
      <c r="AC313" s="530">
        <f>IF(AA313=0,0,$V$7*(1+#REF!)^#REF!)</f>
        <v>0</v>
      </c>
      <c r="AD313" s="530">
        <f t="shared" si="182"/>
        <v>0</v>
      </c>
      <c r="AE313" s="530">
        <f t="shared" si="166"/>
        <v>0</v>
      </c>
      <c r="AF313" s="530">
        <f t="shared" si="167"/>
        <v>0</v>
      </c>
      <c r="AH313" s="530">
        <f t="shared" si="168"/>
        <v>0</v>
      </c>
      <c r="AI313" s="530">
        <f t="shared" si="183"/>
        <v>950</v>
      </c>
      <c r="AJ313" s="530">
        <f t="shared" si="193"/>
        <v>0</v>
      </c>
      <c r="AK313" s="530">
        <f>AJ313*[1]mProject!V317</f>
        <v>0</v>
      </c>
      <c r="AL313" s="530">
        <f t="shared" si="169"/>
        <v>0</v>
      </c>
      <c r="AM313" s="530">
        <f t="shared" si="170"/>
        <v>0</v>
      </c>
      <c r="AN313" s="456"/>
      <c r="AO313" s="572" t="e">
        <f t="shared" si="186"/>
        <v>#REF!</v>
      </c>
      <c r="AP313" s="572" t="e">
        <f t="shared" si="190"/>
        <v>#REF!</v>
      </c>
      <c r="AQ313" s="572" t="e">
        <f t="shared" si="192"/>
        <v>#REF!</v>
      </c>
      <c r="AR313" s="573" t="e">
        <f t="shared" si="187"/>
        <v>#REF!</v>
      </c>
      <c r="AS313" s="530" t="e">
        <f t="shared" si="189"/>
        <v>#REF!</v>
      </c>
      <c r="AT313" s="530"/>
      <c r="AU313" s="530"/>
      <c r="AV313" s="530" t="e">
        <f t="shared" si="171"/>
        <v>#REF!</v>
      </c>
      <c r="AW313" s="530" t="e">
        <f>AI313*#REF!+AI312*#REF!+AI311*#REF!</f>
        <v>#REF!</v>
      </c>
      <c r="AX313" s="456"/>
      <c r="AY313" s="583">
        <f t="shared" si="184"/>
        <v>1.6673586889383765</v>
      </c>
      <c r="AZ313" s="530">
        <f t="shared" si="172"/>
        <v>0</v>
      </c>
      <c r="BA313" s="530">
        <f>BA312*[1]mProject!V318</f>
        <v>0</v>
      </c>
      <c r="BB313" s="530">
        <f t="shared" si="188"/>
        <v>17781316.823329829</v>
      </c>
      <c r="BC313" s="456"/>
      <c r="BD313" s="590">
        <f>((BB313/100)*(i_CFD.ObliRate/12))*[1]i.Finance!$O$64</f>
        <v>59826.722228495157</v>
      </c>
      <c r="BE313" s="590">
        <f>(AZ313/100*[1]i.Finance!$O$61)*[1]i.Finance!$O$64</f>
        <v>0</v>
      </c>
      <c r="BF313" s="590">
        <f>(AZ313/100*[1]i.Finance!$O$65)</f>
        <v>0</v>
      </c>
      <c r="BG313" s="591">
        <f t="shared" si="173"/>
        <v>59826.722228495157</v>
      </c>
      <c r="BH313" s="456"/>
      <c r="BI313" s="590">
        <f>-PV([1]i.Finance!$O$63/12,[1]i.Finance!$O$62*12,mCFD!BG313)</f>
        <v>10233961.918709608</v>
      </c>
      <c r="BJ313" s="590">
        <f>BI313*[1]i.Finance!$O$58</f>
        <v>8033660.1061870428</v>
      </c>
      <c r="BK313" s="590"/>
      <c r="BL313" s="590"/>
      <c r="BP313" s="530"/>
      <c r="BQ313" s="530"/>
      <c r="BR313" s="530" t="e">
        <f t="shared" si="174"/>
        <v>#NAME?</v>
      </c>
      <c r="BS313" s="530" t="e">
        <f t="shared" si="175"/>
        <v>#NAME?</v>
      </c>
      <c r="BT313" s="530" t="e">
        <f t="shared" si="176"/>
        <v>#NAME?</v>
      </c>
      <c r="BU313" s="530"/>
    </row>
    <row r="314" spans="1:73" ht="16" hidden="1" outlineLevel="2">
      <c r="A314" s="366"/>
      <c r="B314" s="562"/>
      <c r="C314" s="366"/>
      <c r="D314" s="454"/>
      <c r="E314" s="533">
        <f t="shared" si="185"/>
        <v>308</v>
      </c>
      <c r="F314" s="533">
        <f t="shared" si="177"/>
        <v>103</v>
      </c>
      <c r="G314" s="533">
        <f t="shared" si="178"/>
        <v>26</v>
      </c>
      <c r="H314" s="541">
        <f t="shared" si="191"/>
        <v>53174</v>
      </c>
      <c r="I314" s="542">
        <f t="shared" si="157"/>
        <v>2045</v>
      </c>
      <c r="K314" s="533">
        <f>[1]mProject!KB318</f>
        <v>0</v>
      </c>
      <c r="L314" s="533">
        <f t="shared" si="158"/>
        <v>950</v>
      </c>
      <c r="M314" s="533">
        <f t="shared" si="159"/>
        <v>295000</v>
      </c>
      <c r="N314" s="533">
        <f t="shared" si="160"/>
        <v>0</v>
      </c>
      <c r="O314" s="533">
        <f t="shared" si="179"/>
        <v>280250000</v>
      </c>
      <c r="P314" s="533">
        <f>[1]mProject!W318</f>
        <v>473387.68507261621</v>
      </c>
      <c r="Q314" s="533">
        <f t="shared" si="161"/>
        <v>0</v>
      </c>
      <c r="R314" s="533">
        <f t="shared" si="180"/>
        <v>296355280.38883054</v>
      </c>
      <c r="T314" s="533">
        <v>0</v>
      </c>
      <c r="U314" s="533">
        <f t="shared" si="162"/>
        <v>0</v>
      </c>
      <c r="V314" s="533">
        <f>IF(T314=0,0,$V$7*(1+#REF!)^#REF!)</f>
        <v>0</v>
      </c>
      <c r="W314" s="533">
        <f t="shared" si="181"/>
        <v>0</v>
      </c>
      <c r="X314" s="533">
        <f t="shared" si="163"/>
        <v>0</v>
      </c>
      <c r="Y314" s="533">
        <f t="shared" si="164"/>
        <v>0</v>
      </c>
      <c r="AA314" s="533">
        <v>0</v>
      </c>
      <c r="AB314" s="533">
        <f t="shared" si="165"/>
        <v>0</v>
      </c>
      <c r="AC314" s="533">
        <f>IF(AA314=0,0,$V$7*(1+#REF!)^#REF!)</f>
        <v>0</v>
      </c>
      <c r="AD314" s="533">
        <f t="shared" si="182"/>
        <v>0</v>
      </c>
      <c r="AE314" s="533">
        <f t="shared" si="166"/>
        <v>0</v>
      </c>
      <c r="AF314" s="533">
        <f t="shared" si="167"/>
        <v>0</v>
      </c>
      <c r="AH314" s="533">
        <f t="shared" si="168"/>
        <v>0</v>
      </c>
      <c r="AI314" s="533">
        <f t="shared" si="183"/>
        <v>950</v>
      </c>
      <c r="AJ314" s="533">
        <f t="shared" si="193"/>
        <v>0</v>
      </c>
      <c r="AK314" s="533">
        <f>AJ314*[1]mProject!V318</f>
        <v>0</v>
      </c>
      <c r="AL314" s="533">
        <f t="shared" si="169"/>
        <v>0</v>
      </c>
      <c r="AM314" s="533">
        <f t="shared" si="170"/>
        <v>0</v>
      </c>
      <c r="AN314" s="456"/>
      <c r="AO314" s="575" t="e">
        <f t="shared" si="186"/>
        <v>#REF!</v>
      </c>
      <c r="AP314" s="575" t="e">
        <f t="shared" si="190"/>
        <v>#REF!</v>
      </c>
      <c r="AQ314" s="575" t="e">
        <f t="shared" si="192"/>
        <v>#REF!</v>
      </c>
      <c r="AR314" s="576" t="e">
        <f t="shared" si="187"/>
        <v>#REF!</v>
      </c>
      <c r="AS314" s="533" t="e">
        <f t="shared" si="189"/>
        <v>#REF!</v>
      </c>
      <c r="AT314" s="533"/>
      <c r="AU314" s="533"/>
      <c r="AV314" s="533" t="e">
        <f t="shared" si="171"/>
        <v>#REF!</v>
      </c>
      <c r="AW314" s="533" t="e">
        <f>AI314*#REF!+AI313*#REF!+AI312*#REF!</f>
        <v>#REF!</v>
      </c>
      <c r="AX314" s="456"/>
      <c r="AY314" s="584">
        <f t="shared" si="184"/>
        <v>1.6701376200866072</v>
      </c>
      <c r="AZ314" s="533">
        <f t="shared" si="172"/>
        <v>0</v>
      </c>
      <c r="BA314" s="533">
        <f>BA313*[1]mProject!V319</f>
        <v>0</v>
      </c>
      <c r="BB314" s="533">
        <f t="shared" si="188"/>
        <v>17781316.823329829</v>
      </c>
      <c r="BC314" s="456"/>
      <c r="BD314" s="586">
        <f>((BB314/100)*(i_CFD.ObliRate/12))*[1]i.Finance!$O$64</f>
        <v>59826.722228495157</v>
      </c>
      <c r="BE314" s="586">
        <f>(AZ314/100*[1]i.Finance!$O$61)*[1]i.Finance!$O$64</f>
        <v>0</v>
      </c>
      <c r="BF314" s="586">
        <f>(AZ314/100*[1]i.Finance!$O$65)</f>
        <v>0</v>
      </c>
      <c r="BG314" s="587">
        <f t="shared" si="173"/>
        <v>59826.722228495157</v>
      </c>
      <c r="BH314" s="456"/>
      <c r="BI314" s="586">
        <f>-PV([1]i.Finance!$O$63/12,[1]i.Finance!$O$62*12,mCFD!BG314)</f>
        <v>10233961.918709608</v>
      </c>
      <c r="BJ314" s="586">
        <f>BI314*[1]i.Finance!$O$58</f>
        <v>8033660.1061870428</v>
      </c>
      <c r="BK314" s="586"/>
      <c r="BL314" s="586"/>
      <c r="BP314" s="533"/>
      <c r="BQ314" s="533"/>
      <c r="BR314" s="533" t="e">
        <f t="shared" si="174"/>
        <v>#NAME?</v>
      </c>
      <c r="BS314" s="533" t="e">
        <f t="shared" si="175"/>
        <v>#NAME?</v>
      </c>
      <c r="BT314" s="533" t="e">
        <f t="shared" si="176"/>
        <v>#NAME?</v>
      </c>
      <c r="BU314" s="533"/>
    </row>
    <row r="315" spans="1:73" ht="16" hidden="1" outlineLevel="2">
      <c r="A315" s="366"/>
      <c r="B315" s="562"/>
      <c r="C315" s="366"/>
      <c r="D315" s="454"/>
      <c r="E315" s="547">
        <f t="shared" si="185"/>
        <v>309</v>
      </c>
      <c r="F315" s="547">
        <f t="shared" si="177"/>
        <v>103</v>
      </c>
      <c r="G315" s="547">
        <f t="shared" si="178"/>
        <v>26</v>
      </c>
      <c r="H315" s="548">
        <f t="shared" si="191"/>
        <v>53205</v>
      </c>
      <c r="I315" s="549">
        <f t="shared" si="157"/>
        <v>2045</v>
      </c>
      <c r="K315" s="547">
        <f>[1]mProject!KB319</f>
        <v>0</v>
      </c>
      <c r="L315" s="547">
        <f t="shared" si="158"/>
        <v>950</v>
      </c>
      <c r="M315" s="547">
        <f t="shared" si="159"/>
        <v>295000</v>
      </c>
      <c r="N315" s="547">
        <f t="shared" si="160"/>
        <v>0</v>
      </c>
      <c r="O315" s="547">
        <f t="shared" si="179"/>
        <v>280250000</v>
      </c>
      <c r="P315" s="547">
        <f>[1]mProject!W319</f>
        <v>474176.66454773728</v>
      </c>
      <c r="Q315" s="547">
        <f t="shared" si="161"/>
        <v>0</v>
      </c>
      <c r="R315" s="547">
        <f t="shared" si="180"/>
        <v>296355280.38883054</v>
      </c>
      <c r="T315" s="547">
        <v>0</v>
      </c>
      <c r="U315" s="547">
        <f t="shared" si="162"/>
        <v>0</v>
      </c>
      <c r="V315" s="547">
        <f>IF(T315=0,0,$V$7*(1+#REF!)^#REF!)</f>
        <v>0</v>
      </c>
      <c r="W315" s="547">
        <f t="shared" si="181"/>
        <v>0</v>
      </c>
      <c r="X315" s="547">
        <f t="shared" si="163"/>
        <v>0</v>
      </c>
      <c r="Y315" s="547">
        <f t="shared" si="164"/>
        <v>0</v>
      </c>
      <c r="AA315" s="547">
        <v>0</v>
      </c>
      <c r="AB315" s="547">
        <f t="shared" si="165"/>
        <v>0</v>
      </c>
      <c r="AC315" s="547">
        <f>IF(AA315=0,0,$V$7*(1+#REF!)^#REF!)</f>
        <v>0</v>
      </c>
      <c r="AD315" s="547">
        <f t="shared" si="182"/>
        <v>0</v>
      </c>
      <c r="AE315" s="547">
        <f t="shared" si="166"/>
        <v>0</v>
      </c>
      <c r="AF315" s="547">
        <f t="shared" si="167"/>
        <v>0</v>
      </c>
      <c r="AH315" s="547">
        <f t="shared" si="168"/>
        <v>0</v>
      </c>
      <c r="AI315" s="547">
        <f t="shared" si="183"/>
        <v>950</v>
      </c>
      <c r="AJ315" s="547">
        <f t="shared" si="193"/>
        <v>0</v>
      </c>
      <c r="AK315" s="547">
        <f>AJ315*[1]mProject!V319</f>
        <v>0</v>
      </c>
      <c r="AL315" s="547">
        <f t="shared" si="169"/>
        <v>0</v>
      </c>
      <c r="AM315" s="547">
        <f t="shared" si="170"/>
        <v>0</v>
      </c>
      <c r="AN315" s="456"/>
      <c r="AO315" s="577" t="e">
        <f t="shared" si="186"/>
        <v>#REF!</v>
      </c>
      <c r="AP315" s="577" t="e">
        <f t="shared" si="190"/>
        <v>#REF!</v>
      </c>
      <c r="AQ315" s="577" t="e">
        <f t="shared" si="192"/>
        <v>#REF!</v>
      </c>
      <c r="AR315" s="578" t="e">
        <f t="shared" si="187"/>
        <v>#REF!</v>
      </c>
      <c r="AS315" s="547" t="e">
        <f t="shared" si="189"/>
        <v>#REF!</v>
      </c>
      <c r="AT315" s="547"/>
      <c r="AU315" s="547"/>
      <c r="AV315" s="547" t="e">
        <f t="shared" si="171"/>
        <v>#REF!</v>
      </c>
      <c r="AW315" s="547" t="e">
        <f>AI315*#REF!+AI314*#REF!+AI313*#REF!</f>
        <v>#REF!</v>
      </c>
      <c r="AX315" s="456"/>
      <c r="AY315" s="585">
        <f t="shared" si="184"/>
        <v>1.6729211827867516</v>
      </c>
      <c r="AZ315" s="547">
        <f t="shared" si="172"/>
        <v>0</v>
      </c>
      <c r="BA315" s="547">
        <f>BA314*[1]mProject!V320</f>
        <v>0</v>
      </c>
      <c r="BB315" s="547">
        <f t="shared" si="188"/>
        <v>17781316.823329829</v>
      </c>
      <c r="BC315" s="456"/>
      <c r="BD315" s="588">
        <f>((BB315/100)*(i_CFD.ObliRate/12))*[1]i.Finance!$O$64</f>
        <v>59826.722228495157</v>
      </c>
      <c r="BE315" s="588">
        <f>(AZ315/100*[1]i.Finance!$O$61)*[1]i.Finance!$O$64</f>
        <v>0</v>
      </c>
      <c r="BF315" s="588">
        <f>(AZ315/100*[1]i.Finance!$O$65)</f>
        <v>0</v>
      </c>
      <c r="BG315" s="589">
        <f t="shared" si="173"/>
        <v>59826.722228495157</v>
      </c>
      <c r="BH315" s="456"/>
      <c r="BI315" s="588">
        <f>-PV([1]i.Finance!$O$63/12,[1]i.Finance!$O$62*12,mCFD!BG315)</f>
        <v>10233961.918709608</v>
      </c>
      <c r="BJ315" s="588">
        <f>BI315*[1]i.Finance!$O$58</f>
        <v>8033660.1061870428</v>
      </c>
      <c r="BK315" s="588"/>
      <c r="BL315" s="588"/>
      <c r="BP315" s="547"/>
      <c r="BQ315" s="547"/>
      <c r="BR315" s="547" t="e">
        <f t="shared" si="174"/>
        <v>#NAME?</v>
      </c>
      <c r="BS315" s="547" t="e">
        <f t="shared" si="175"/>
        <v>#NAME?</v>
      </c>
      <c r="BT315" s="547" t="e">
        <f t="shared" si="176"/>
        <v>#NAME?</v>
      </c>
      <c r="BU315" s="547"/>
    </row>
    <row r="316" spans="1:73" ht="16" hidden="1" outlineLevel="2">
      <c r="A316" s="366"/>
      <c r="B316" s="562"/>
      <c r="C316" s="366"/>
      <c r="D316" s="454"/>
      <c r="E316" s="530">
        <f t="shared" si="185"/>
        <v>310</v>
      </c>
      <c r="F316" s="530">
        <f t="shared" si="177"/>
        <v>104</v>
      </c>
      <c r="G316" s="530">
        <f t="shared" si="178"/>
        <v>26</v>
      </c>
      <c r="H316" s="554">
        <f t="shared" si="191"/>
        <v>53235</v>
      </c>
      <c r="I316" s="555">
        <f t="shared" si="157"/>
        <v>2045</v>
      </c>
      <c r="K316" s="530">
        <f>[1]mProject!KB320</f>
        <v>0</v>
      </c>
      <c r="L316" s="530">
        <f t="shared" si="158"/>
        <v>950</v>
      </c>
      <c r="M316" s="530">
        <f t="shared" si="159"/>
        <v>295000</v>
      </c>
      <c r="N316" s="530">
        <f t="shared" si="160"/>
        <v>0</v>
      </c>
      <c r="O316" s="530">
        <f t="shared" si="179"/>
        <v>280250000</v>
      </c>
      <c r="P316" s="530">
        <f>[1]mProject!W320</f>
        <v>474966.95898865018</v>
      </c>
      <c r="Q316" s="530">
        <f t="shared" si="161"/>
        <v>0</v>
      </c>
      <c r="R316" s="530">
        <f t="shared" si="180"/>
        <v>296355280.38883054</v>
      </c>
      <c r="T316" s="530">
        <v>0</v>
      </c>
      <c r="U316" s="530">
        <f t="shared" si="162"/>
        <v>0</v>
      </c>
      <c r="V316" s="530">
        <f>IF(T316=0,0,$V$7*(1+#REF!)^#REF!)</f>
        <v>0</v>
      </c>
      <c r="W316" s="530">
        <f t="shared" si="181"/>
        <v>0</v>
      </c>
      <c r="X316" s="530">
        <f t="shared" si="163"/>
        <v>0</v>
      </c>
      <c r="Y316" s="530">
        <f t="shared" si="164"/>
        <v>0</v>
      </c>
      <c r="AA316" s="530">
        <v>0</v>
      </c>
      <c r="AB316" s="530">
        <f t="shared" si="165"/>
        <v>0</v>
      </c>
      <c r="AC316" s="530">
        <f>IF(AA316=0,0,$V$7*(1+#REF!)^#REF!)</f>
        <v>0</v>
      </c>
      <c r="AD316" s="530">
        <f t="shared" si="182"/>
        <v>0</v>
      </c>
      <c r="AE316" s="530">
        <f t="shared" si="166"/>
        <v>0</v>
      </c>
      <c r="AF316" s="530">
        <f t="shared" si="167"/>
        <v>0</v>
      </c>
      <c r="AH316" s="530">
        <f t="shared" si="168"/>
        <v>0</v>
      </c>
      <c r="AI316" s="530">
        <f t="shared" si="183"/>
        <v>950</v>
      </c>
      <c r="AJ316" s="530">
        <f t="shared" si="193"/>
        <v>0</v>
      </c>
      <c r="AK316" s="530">
        <f>AJ316*[1]mProject!V320</f>
        <v>0</v>
      </c>
      <c r="AL316" s="530">
        <f t="shared" si="169"/>
        <v>0</v>
      </c>
      <c r="AM316" s="530">
        <f t="shared" si="170"/>
        <v>0</v>
      </c>
      <c r="AN316" s="456"/>
      <c r="AO316" s="572" t="e">
        <f t="shared" si="186"/>
        <v>#REF!</v>
      </c>
      <c r="AP316" s="572" t="e">
        <f t="shared" si="190"/>
        <v>#REF!</v>
      </c>
      <c r="AQ316" s="572" t="e">
        <f t="shared" si="192"/>
        <v>#REF!</v>
      </c>
      <c r="AR316" s="573" t="e">
        <f t="shared" si="187"/>
        <v>#REF!</v>
      </c>
      <c r="AS316" s="530" t="e">
        <f t="shared" si="189"/>
        <v>#REF!</v>
      </c>
      <c r="AT316" s="530"/>
      <c r="AU316" s="530"/>
      <c r="AV316" s="530" t="e">
        <f t="shared" si="171"/>
        <v>#REF!</v>
      </c>
      <c r="AW316" s="530" t="e">
        <f>AI316*#REF!+AI315*#REF!+AI314*#REF!</f>
        <v>#REF!</v>
      </c>
      <c r="AX316" s="456"/>
      <c r="AY316" s="583">
        <f t="shared" si="184"/>
        <v>1.6757093847580629</v>
      </c>
      <c r="AZ316" s="530">
        <f t="shared" si="172"/>
        <v>0</v>
      </c>
      <c r="BA316" s="530">
        <f>BA315*[1]mProject!V321</f>
        <v>0</v>
      </c>
      <c r="BB316" s="530">
        <f t="shared" si="188"/>
        <v>17781316.823329829</v>
      </c>
      <c r="BC316" s="456"/>
      <c r="BD316" s="590">
        <f>((BB316/100)*(i_CFD.ObliRate/12))*[1]i.Finance!$O$64</f>
        <v>59826.722228495157</v>
      </c>
      <c r="BE316" s="590">
        <f>(AZ316/100*[1]i.Finance!$O$61)*[1]i.Finance!$O$64</f>
        <v>0</v>
      </c>
      <c r="BF316" s="590">
        <f>(AZ316/100*[1]i.Finance!$O$65)</f>
        <v>0</v>
      </c>
      <c r="BG316" s="591">
        <f t="shared" si="173"/>
        <v>59826.722228495157</v>
      </c>
      <c r="BH316" s="456"/>
      <c r="BI316" s="590">
        <f>-PV([1]i.Finance!$O$63/12,[1]i.Finance!$O$62*12,mCFD!BG316)</f>
        <v>10233961.918709608</v>
      </c>
      <c r="BJ316" s="590">
        <f>BI316*[1]i.Finance!$O$58</f>
        <v>8033660.1061870428</v>
      </c>
      <c r="BK316" s="590"/>
      <c r="BL316" s="590"/>
      <c r="BP316" s="530"/>
      <c r="BQ316" s="530"/>
      <c r="BR316" s="530" t="e">
        <f t="shared" si="174"/>
        <v>#NAME?</v>
      </c>
      <c r="BS316" s="530" t="e">
        <f t="shared" si="175"/>
        <v>#NAME?</v>
      </c>
      <c r="BT316" s="530" t="e">
        <f t="shared" si="176"/>
        <v>#NAME?</v>
      </c>
      <c r="BU316" s="530"/>
    </row>
    <row r="317" spans="1:73" ht="16" hidden="1" outlineLevel="2">
      <c r="A317" s="366"/>
      <c r="B317" s="562"/>
      <c r="C317" s="366"/>
      <c r="D317" s="454"/>
      <c r="E317" s="533">
        <f t="shared" si="185"/>
        <v>311</v>
      </c>
      <c r="F317" s="533">
        <f t="shared" si="177"/>
        <v>104</v>
      </c>
      <c r="G317" s="533">
        <f t="shared" si="178"/>
        <v>26</v>
      </c>
      <c r="H317" s="541">
        <f t="shared" si="191"/>
        <v>53266</v>
      </c>
      <c r="I317" s="542">
        <f t="shared" si="157"/>
        <v>2045</v>
      </c>
      <c r="K317" s="533">
        <f>[1]mProject!KB321</f>
        <v>0</v>
      </c>
      <c r="L317" s="533">
        <f t="shared" si="158"/>
        <v>950</v>
      </c>
      <c r="M317" s="533">
        <f t="shared" si="159"/>
        <v>295000</v>
      </c>
      <c r="N317" s="533">
        <f t="shared" si="160"/>
        <v>0</v>
      </c>
      <c r="O317" s="533">
        <f t="shared" si="179"/>
        <v>280250000</v>
      </c>
      <c r="P317" s="533">
        <f>[1]mProject!W321</f>
        <v>475758.5705869646</v>
      </c>
      <c r="Q317" s="533">
        <f t="shared" si="161"/>
        <v>0</v>
      </c>
      <c r="R317" s="533">
        <f t="shared" si="180"/>
        <v>296355280.38883054</v>
      </c>
      <c r="T317" s="533">
        <v>0</v>
      </c>
      <c r="U317" s="533">
        <f t="shared" si="162"/>
        <v>0</v>
      </c>
      <c r="V317" s="533">
        <f>IF(T317=0,0,$V$7*(1+#REF!)^#REF!)</f>
        <v>0</v>
      </c>
      <c r="W317" s="533">
        <f t="shared" si="181"/>
        <v>0</v>
      </c>
      <c r="X317" s="533">
        <f t="shared" si="163"/>
        <v>0</v>
      </c>
      <c r="Y317" s="533">
        <f t="shared" si="164"/>
        <v>0</v>
      </c>
      <c r="AA317" s="533">
        <v>0</v>
      </c>
      <c r="AB317" s="533">
        <f t="shared" si="165"/>
        <v>0</v>
      </c>
      <c r="AC317" s="533">
        <f>IF(AA317=0,0,$V$7*(1+#REF!)^#REF!)</f>
        <v>0</v>
      </c>
      <c r="AD317" s="533">
        <f t="shared" si="182"/>
        <v>0</v>
      </c>
      <c r="AE317" s="533">
        <f t="shared" si="166"/>
        <v>0</v>
      </c>
      <c r="AF317" s="533">
        <f t="shared" si="167"/>
        <v>0</v>
      </c>
      <c r="AH317" s="533">
        <f t="shared" si="168"/>
        <v>0</v>
      </c>
      <c r="AI317" s="533">
        <f t="shared" si="183"/>
        <v>950</v>
      </c>
      <c r="AJ317" s="533">
        <f t="shared" si="193"/>
        <v>0</v>
      </c>
      <c r="AK317" s="533">
        <f>AJ317*[1]mProject!V321</f>
        <v>0</v>
      </c>
      <c r="AL317" s="533">
        <f t="shared" si="169"/>
        <v>0</v>
      </c>
      <c r="AM317" s="533">
        <f t="shared" si="170"/>
        <v>0</v>
      </c>
      <c r="AN317" s="456"/>
      <c r="AO317" s="575" t="e">
        <f t="shared" si="186"/>
        <v>#REF!</v>
      </c>
      <c r="AP317" s="575" t="e">
        <f t="shared" si="190"/>
        <v>#REF!</v>
      </c>
      <c r="AQ317" s="575" t="e">
        <f t="shared" si="192"/>
        <v>#REF!</v>
      </c>
      <c r="AR317" s="576" t="e">
        <f t="shared" si="187"/>
        <v>#REF!</v>
      </c>
      <c r="AS317" s="533" t="e">
        <f t="shared" si="189"/>
        <v>#REF!</v>
      </c>
      <c r="AT317" s="533"/>
      <c r="AU317" s="533"/>
      <c r="AV317" s="533" t="e">
        <f t="shared" si="171"/>
        <v>#REF!</v>
      </c>
      <c r="AW317" s="533" t="e">
        <f>AI317*#REF!+AI316*#REF!+AI315*#REF!</f>
        <v>#REF!</v>
      </c>
      <c r="AX317" s="456"/>
      <c r="AY317" s="584">
        <f t="shared" si="184"/>
        <v>1.6785022337326596</v>
      </c>
      <c r="AZ317" s="533">
        <f t="shared" si="172"/>
        <v>0</v>
      </c>
      <c r="BA317" s="533">
        <f>BA316*[1]mProject!V322</f>
        <v>0</v>
      </c>
      <c r="BB317" s="533">
        <f t="shared" si="188"/>
        <v>17781316.823329829</v>
      </c>
      <c r="BC317" s="456"/>
      <c r="BD317" s="586">
        <f>((BB317/100)*(i_CFD.ObliRate/12))*[1]i.Finance!$O$64</f>
        <v>59826.722228495157</v>
      </c>
      <c r="BE317" s="586">
        <f>(AZ317/100*[1]i.Finance!$O$61)*[1]i.Finance!$O$64</f>
        <v>0</v>
      </c>
      <c r="BF317" s="586">
        <f>(AZ317/100*[1]i.Finance!$O$65)</f>
        <v>0</v>
      </c>
      <c r="BG317" s="587">
        <f t="shared" si="173"/>
        <v>59826.722228495157</v>
      </c>
      <c r="BH317" s="456"/>
      <c r="BI317" s="586">
        <f>-PV([1]i.Finance!$O$63/12,[1]i.Finance!$O$62*12,mCFD!BG317)</f>
        <v>10233961.918709608</v>
      </c>
      <c r="BJ317" s="586">
        <f>BI317*[1]i.Finance!$O$58</f>
        <v>8033660.1061870428</v>
      </c>
      <c r="BK317" s="586"/>
      <c r="BL317" s="586"/>
      <c r="BP317" s="533"/>
      <c r="BQ317" s="533"/>
      <c r="BR317" s="533" t="e">
        <f t="shared" si="174"/>
        <v>#NAME?</v>
      </c>
      <c r="BS317" s="533" t="e">
        <f t="shared" si="175"/>
        <v>#NAME?</v>
      </c>
      <c r="BT317" s="533" t="e">
        <f t="shared" si="176"/>
        <v>#NAME?</v>
      </c>
      <c r="BU317" s="533"/>
    </row>
    <row r="318" spans="1:73" ht="17" hidden="1" outlineLevel="2" thickBot="1">
      <c r="A318" s="366"/>
      <c r="B318" s="562"/>
      <c r="C318" s="366"/>
      <c r="D318" s="454"/>
      <c r="E318" s="564">
        <f t="shared" si="185"/>
        <v>312</v>
      </c>
      <c r="F318" s="564">
        <f t="shared" si="177"/>
        <v>104</v>
      </c>
      <c r="G318" s="564">
        <f t="shared" si="178"/>
        <v>26</v>
      </c>
      <c r="H318" s="565">
        <f t="shared" si="191"/>
        <v>53296</v>
      </c>
      <c r="I318" s="566">
        <f t="shared" si="157"/>
        <v>2045</v>
      </c>
      <c r="K318" s="564">
        <f>[1]mProject!KB322</f>
        <v>0</v>
      </c>
      <c r="L318" s="564">
        <f t="shared" si="158"/>
        <v>950</v>
      </c>
      <c r="M318" s="564">
        <f t="shared" si="159"/>
        <v>295000</v>
      </c>
      <c r="N318" s="564">
        <f t="shared" si="160"/>
        <v>0</v>
      </c>
      <c r="O318" s="564">
        <f t="shared" si="179"/>
        <v>280250000</v>
      </c>
      <c r="P318" s="564">
        <f>[1]mProject!W322</f>
        <v>476551.50153794291</v>
      </c>
      <c r="Q318" s="564">
        <f t="shared" si="161"/>
        <v>0</v>
      </c>
      <c r="R318" s="564">
        <f t="shared" si="180"/>
        <v>296355280.38883054</v>
      </c>
      <c r="T318" s="564">
        <v>0</v>
      </c>
      <c r="U318" s="564">
        <f t="shared" si="162"/>
        <v>0</v>
      </c>
      <c r="V318" s="564">
        <f>IF(T318=0,0,$V$7*(1+#REF!)^#REF!)</f>
        <v>0</v>
      </c>
      <c r="W318" s="564">
        <f t="shared" si="181"/>
        <v>0</v>
      </c>
      <c r="X318" s="564">
        <f t="shared" si="163"/>
        <v>0</v>
      </c>
      <c r="Y318" s="564">
        <f t="shared" si="164"/>
        <v>0</v>
      </c>
      <c r="AA318" s="564">
        <v>0</v>
      </c>
      <c r="AB318" s="564">
        <f t="shared" si="165"/>
        <v>0</v>
      </c>
      <c r="AC318" s="564">
        <f>IF(AA318=0,0,$V$7*(1+#REF!)^#REF!)</f>
        <v>0</v>
      </c>
      <c r="AD318" s="564">
        <f t="shared" si="182"/>
        <v>0</v>
      </c>
      <c r="AE318" s="564">
        <f t="shared" si="166"/>
        <v>0</v>
      </c>
      <c r="AF318" s="564">
        <f t="shared" si="167"/>
        <v>0</v>
      </c>
      <c r="AH318" s="564">
        <f t="shared" si="168"/>
        <v>0</v>
      </c>
      <c r="AI318" s="564">
        <f t="shared" si="183"/>
        <v>950</v>
      </c>
      <c r="AJ318" s="564">
        <f t="shared" si="193"/>
        <v>0</v>
      </c>
      <c r="AK318" s="564">
        <f>AJ318*[1]mProject!V322</f>
        <v>0</v>
      </c>
      <c r="AL318" s="564">
        <f t="shared" si="169"/>
        <v>0</v>
      </c>
      <c r="AM318" s="564">
        <f t="shared" si="170"/>
        <v>0</v>
      </c>
      <c r="AN318" s="456"/>
      <c r="AO318" s="581" t="e">
        <f t="shared" si="186"/>
        <v>#REF!</v>
      </c>
      <c r="AP318" s="581" t="e">
        <f t="shared" si="190"/>
        <v>#REF!</v>
      </c>
      <c r="AQ318" s="581" t="e">
        <f t="shared" si="192"/>
        <v>#REF!</v>
      </c>
      <c r="AR318" s="582" t="e">
        <f t="shared" si="187"/>
        <v>#REF!</v>
      </c>
      <c r="AS318" s="564" t="e">
        <f t="shared" si="189"/>
        <v>#REF!</v>
      </c>
      <c r="AT318" s="564"/>
      <c r="AU318" s="564"/>
      <c r="AV318" s="564" t="e">
        <f t="shared" si="171"/>
        <v>#REF!</v>
      </c>
      <c r="AW318" s="564" t="e">
        <f>AI318*#REF!+AI317*#REF!+AI316*#REF!</f>
        <v>#REF!</v>
      </c>
      <c r="AX318" s="456"/>
      <c r="AY318" s="592">
        <f t="shared" si="184"/>
        <v>1.6812997374555474</v>
      </c>
      <c r="AZ318" s="564">
        <f t="shared" si="172"/>
        <v>0</v>
      </c>
      <c r="BA318" s="564">
        <f>BA317*[1]mProject!V323</f>
        <v>0</v>
      </c>
      <c r="BB318" s="564">
        <f t="shared" si="188"/>
        <v>17781316.823329829</v>
      </c>
      <c r="BC318" s="456"/>
      <c r="BD318" s="593">
        <f>((BB318/100)*(i_CFD.ObliRate/12))*[1]i.Finance!$O$64</f>
        <v>59826.722228495157</v>
      </c>
      <c r="BE318" s="593">
        <f>(AZ318/100*[1]i.Finance!$O$61)*[1]i.Finance!$O$64</f>
        <v>0</v>
      </c>
      <c r="BF318" s="593">
        <f>(AZ318/100*[1]i.Finance!$O$65)</f>
        <v>0</v>
      </c>
      <c r="BG318" s="594">
        <f t="shared" si="173"/>
        <v>59826.722228495157</v>
      </c>
      <c r="BH318" s="456"/>
      <c r="BI318" s="593">
        <f>-PV([1]i.Finance!$O$63/12,[1]i.Finance!$O$62*12,mCFD!BG318)</f>
        <v>10233961.918709608</v>
      </c>
      <c r="BJ318" s="593">
        <f>BI318*[1]i.Finance!$O$58</f>
        <v>8033660.1061870428</v>
      </c>
      <c r="BK318" s="593"/>
      <c r="BL318" s="593"/>
      <c r="BP318" s="564"/>
      <c r="BQ318" s="564"/>
      <c r="BR318" s="564" t="e">
        <f t="shared" si="174"/>
        <v>#NAME?</v>
      </c>
      <c r="BS318" s="564" t="e">
        <f t="shared" si="175"/>
        <v>#NAME?</v>
      </c>
      <c r="BT318" s="564" t="e">
        <f t="shared" si="176"/>
        <v>#NAME?</v>
      </c>
      <c r="BU318" s="564"/>
    </row>
    <row r="319" spans="1:73" ht="16" hidden="1" outlineLevel="2">
      <c r="A319" s="366"/>
      <c r="B319" s="562"/>
      <c r="C319" s="366"/>
      <c r="D319" s="454"/>
      <c r="E319" s="530">
        <f t="shared" si="185"/>
        <v>313</v>
      </c>
      <c r="F319" s="530">
        <f t="shared" si="177"/>
        <v>105</v>
      </c>
      <c r="G319" s="530">
        <f t="shared" si="178"/>
        <v>27</v>
      </c>
      <c r="H319" s="571">
        <f t="shared" si="191"/>
        <v>53327</v>
      </c>
      <c r="I319" s="532">
        <f t="shared" si="157"/>
        <v>2045</v>
      </c>
      <c r="K319" s="530">
        <f>[1]mProject!KB323</f>
        <v>0</v>
      </c>
      <c r="L319" s="530">
        <f t="shared" si="158"/>
        <v>950</v>
      </c>
      <c r="M319" s="530">
        <f t="shared" si="159"/>
        <v>295000</v>
      </c>
      <c r="N319" s="530">
        <f t="shared" si="160"/>
        <v>0</v>
      </c>
      <c r="O319" s="530">
        <f t="shared" si="179"/>
        <v>280250000</v>
      </c>
      <c r="P319" s="530">
        <f>[1]mProject!W323</f>
        <v>477345.75404050614</v>
      </c>
      <c r="Q319" s="530">
        <f t="shared" si="161"/>
        <v>0</v>
      </c>
      <c r="R319" s="530">
        <f t="shared" si="180"/>
        <v>296355280.38883054</v>
      </c>
      <c r="T319" s="530">
        <v>0</v>
      </c>
      <c r="U319" s="530">
        <f t="shared" si="162"/>
        <v>0</v>
      </c>
      <c r="V319" s="530">
        <f>IF(T319=0,0,$V$7*(1+#REF!)^#REF!)</f>
        <v>0</v>
      </c>
      <c r="W319" s="530">
        <f t="shared" si="181"/>
        <v>0</v>
      </c>
      <c r="X319" s="530">
        <f t="shared" si="163"/>
        <v>0</v>
      </c>
      <c r="Y319" s="530">
        <f t="shared" si="164"/>
        <v>0</v>
      </c>
      <c r="AA319" s="530">
        <v>0</v>
      </c>
      <c r="AB319" s="530">
        <f t="shared" si="165"/>
        <v>0</v>
      </c>
      <c r="AC319" s="530">
        <f>IF(AA319=0,0,$V$7*(1+#REF!)^#REF!)</f>
        <v>0</v>
      </c>
      <c r="AD319" s="530">
        <f t="shared" si="182"/>
        <v>0</v>
      </c>
      <c r="AE319" s="530">
        <f t="shared" si="166"/>
        <v>0</v>
      </c>
      <c r="AF319" s="530">
        <f t="shared" si="167"/>
        <v>0</v>
      </c>
      <c r="AH319" s="530">
        <f t="shared" si="168"/>
        <v>0</v>
      </c>
      <c r="AI319" s="530">
        <f t="shared" si="183"/>
        <v>950</v>
      </c>
      <c r="AJ319" s="530">
        <f t="shared" si="193"/>
        <v>0</v>
      </c>
      <c r="AK319" s="530">
        <f>AJ319*[1]mProject!V323</f>
        <v>0</v>
      </c>
      <c r="AL319" s="530">
        <f t="shared" si="169"/>
        <v>0</v>
      </c>
      <c r="AM319" s="530">
        <f t="shared" si="170"/>
        <v>0</v>
      </c>
      <c r="AN319" s="456"/>
      <c r="AO319" s="572" t="e">
        <f t="shared" si="186"/>
        <v>#REF!</v>
      </c>
      <c r="AP319" s="572" t="e">
        <f t="shared" si="190"/>
        <v>#REF!</v>
      </c>
      <c r="AQ319" s="572" t="e">
        <f t="shared" si="192"/>
        <v>#REF!</v>
      </c>
      <c r="AR319" s="573" t="e">
        <f t="shared" si="187"/>
        <v>#REF!</v>
      </c>
      <c r="AS319" s="530" t="e">
        <f t="shared" si="189"/>
        <v>#REF!</v>
      </c>
      <c r="AT319" s="530"/>
      <c r="AU319" s="530"/>
      <c r="AV319" s="530" t="e">
        <f t="shared" si="171"/>
        <v>#REF!</v>
      </c>
      <c r="AW319" s="530" t="e">
        <f>AI319*#REF!+AI318*#REF!+AI317*#REF!</f>
        <v>#REF!</v>
      </c>
      <c r="AX319" s="456"/>
      <c r="AY319" s="583">
        <f t="shared" si="184"/>
        <v>1.6841019036846401</v>
      </c>
      <c r="AZ319" s="530">
        <f t="shared" si="172"/>
        <v>0</v>
      </c>
      <c r="BA319" s="530">
        <f>BA318*[1]mProject!V324</f>
        <v>0</v>
      </c>
      <c r="BB319" s="530">
        <f t="shared" si="188"/>
        <v>17781316.823329829</v>
      </c>
      <c r="BC319" s="456"/>
      <c r="BD319" s="590">
        <f>((BB319/100)*(i_CFD.ObliRate/12))*[1]i.Finance!$O$64</f>
        <v>59826.722228495157</v>
      </c>
      <c r="BE319" s="590">
        <f>(AZ319/100*[1]i.Finance!$O$61)*[1]i.Finance!$O$64</f>
        <v>0</v>
      </c>
      <c r="BF319" s="590">
        <f>(AZ319/100*[1]i.Finance!$O$65)</f>
        <v>0</v>
      </c>
      <c r="BG319" s="591">
        <f t="shared" si="173"/>
        <v>59826.722228495157</v>
      </c>
      <c r="BH319" s="456"/>
      <c r="BI319" s="590">
        <f>-PV([1]i.Finance!$O$63/12,[1]i.Finance!$O$62*12,mCFD!BG319)</f>
        <v>10233961.918709608</v>
      </c>
      <c r="BJ319" s="590">
        <f>BI319*[1]i.Finance!$O$58</f>
        <v>8033660.1061870428</v>
      </c>
      <c r="BK319" s="590"/>
      <c r="BL319" s="590"/>
      <c r="BP319" s="530"/>
      <c r="BQ319" s="530"/>
      <c r="BR319" s="530" t="e">
        <f t="shared" si="174"/>
        <v>#NAME?</v>
      </c>
      <c r="BS319" s="530" t="e">
        <f t="shared" si="175"/>
        <v>#NAME?</v>
      </c>
      <c r="BT319" s="530" t="e">
        <f t="shared" si="176"/>
        <v>#NAME?</v>
      </c>
      <c r="BU319" s="530"/>
    </row>
    <row r="320" spans="1:73" ht="16" hidden="1" outlineLevel="2">
      <c r="A320" s="366"/>
      <c r="B320" s="562"/>
      <c r="C320" s="366"/>
      <c r="D320" s="454"/>
      <c r="E320" s="533">
        <f t="shared" si="185"/>
        <v>314</v>
      </c>
      <c r="F320" s="533">
        <f t="shared" si="177"/>
        <v>105</v>
      </c>
      <c r="G320" s="533">
        <f t="shared" si="178"/>
        <v>27</v>
      </c>
      <c r="H320" s="541">
        <f t="shared" si="191"/>
        <v>53358</v>
      </c>
      <c r="I320" s="542">
        <f t="shared" si="157"/>
        <v>2046</v>
      </c>
      <c r="K320" s="533">
        <f>[1]mProject!KB324</f>
        <v>0</v>
      </c>
      <c r="L320" s="533">
        <f t="shared" si="158"/>
        <v>950</v>
      </c>
      <c r="M320" s="533">
        <f t="shared" si="159"/>
        <v>295000</v>
      </c>
      <c r="N320" s="533">
        <f t="shared" si="160"/>
        <v>0</v>
      </c>
      <c r="O320" s="533">
        <f t="shared" si="179"/>
        <v>280250000</v>
      </c>
      <c r="P320" s="533">
        <f>[1]mProject!W324</f>
        <v>478141.33029724035</v>
      </c>
      <c r="Q320" s="533">
        <f t="shared" si="161"/>
        <v>0</v>
      </c>
      <c r="R320" s="533">
        <f t="shared" si="180"/>
        <v>296355280.38883054</v>
      </c>
      <c r="T320" s="533">
        <v>0</v>
      </c>
      <c r="U320" s="533">
        <f t="shared" si="162"/>
        <v>0</v>
      </c>
      <c r="V320" s="533">
        <f>IF(T320=0,0,$V$7*(1+#REF!)^#REF!)</f>
        <v>0</v>
      </c>
      <c r="W320" s="533">
        <f t="shared" si="181"/>
        <v>0</v>
      </c>
      <c r="X320" s="533">
        <f t="shared" si="163"/>
        <v>0</v>
      </c>
      <c r="Y320" s="533">
        <f t="shared" si="164"/>
        <v>0</v>
      </c>
      <c r="AA320" s="533">
        <v>0</v>
      </c>
      <c r="AB320" s="533">
        <f t="shared" si="165"/>
        <v>0</v>
      </c>
      <c r="AC320" s="533">
        <f>IF(AA320=0,0,$V$7*(1+#REF!)^#REF!)</f>
        <v>0</v>
      </c>
      <c r="AD320" s="533">
        <f t="shared" si="182"/>
        <v>0</v>
      </c>
      <c r="AE320" s="533">
        <f t="shared" si="166"/>
        <v>0</v>
      </c>
      <c r="AF320" s="533">
        <f t="shared" si="167"/>
        <v>0</v>
      </c>
      <c r="AH320" s="533">
        <f t="shared" si="168"/>
        <v>0</v>
      </c>
      <c r="AI320" s="533">
        <f t="shared" si="183"/>
        <v>950</v>
      </c>
      <c r="AJ320" s="533">
        <f t="shared" si="193"/>
        <v>0</v>
      </c>
      <c r="AK320" s="533">
        <f>AJ320*[1]mProject!V324</f>
        <v>0</v>
      </c>
      <c r="AL320" s="533">
        <f t="shared" si="169"/>
        <v>0</v>
      </c>
      <c r="AM320" s="533">
        <f t="shared" si="170"/>
        <v>0</v>
      </c>
      <c r="AN320" s="456"/>
      <c r="AO320" s="575" t="e">
        <f t="shared" si="186"/>
        <v>#REF!</v>
      </c>
      <c r="AP320" s="575" t="e">
        <f t="shared" si="190"/>
        <v>#REF!</v>
      </c>
      <c r="AQ320" s="575" t="e">
        <f t="shared" si="192"/>
        <v>#REF!</v>
      </c>
      <c r="AR320" s="576" t="e">
        <f t="shared" si="187"/>
        <v>#REF!</v>
      </c>
      <c r="AS320" s="533" t="e">
        <f t="shared" si="189"/>
        <v>#REF!</v>
      </c>
      <c r="AT320" s="533"/>
      <c r="AU320" s="533"/>
      <c r="AV320" s="533" t="e">
        <f t="shared" si="171"/>
        <v>#REF!</v>
      </c>
      <c r="AW320" s="533" t="e">
        <f>AI320*#REF!+AI319*#REF!+AI318*#REF!</f>
        <v>#REF!</v>
      </c>
      <c r="AX320" s="456"/>
      <c r="AY320" s="584">
        <f t="shared" si="184"/>
        <v>1.6869087401907812</v>
      </c>
      <c r="AZ320" s="533">
        <f t="shared" si="172"/>
        <v>0</v>
      </c>
      <c r="BA320" s="533">
        <f>BA319*[1]mProject!V325</f>
        <v>0</v>
      </c>
      <c r="BB320" s="533">
        <f t="shared" si="188"/>
        <v>17781316.823329829</v>
      </c>
      <c r="BC320" s="456"/>
      <c r="BD320" s="586">
        <f>((BB320/100)*(i_CFD.ObliRate/12))*[1]i.Finance!$O$64</f>
        <v>59826.722228495157</v>
      </c>
      <c r="BE320" s="586">
        <f>(AZ320/100*[1]i.Finance!$O$61)*[1]i.Finance!$O$64</f>
        <v>0</v>
      </c>
      <c r="BF320" s="586">
        <f>(AZ320/100*[1]i.Finance!$O$65)</f>
        <v>0</v>
      </c>
      <c r="BG320" s="587">
        <f t="shared" si="173"/>
        <v>59826.722228495157</v>
      </c>
      <c r="BH320" s="456"/>
      <c r="BI320" s="586">
        <f>-PV([1]i.Finance!$O$63/12,[1]i.Finance!$O$62*12,mCFD!BG320)</f>
        <v>10233961.918709608</v>
      </c>
      <c r="BJ320" s="586">
        <f>BI320*[1]i.Finance!$O$58</f>
        <v>8033660.1061870428</v>
      </c>
      <c r="BK320" s="586"/>
      <c r="BL320" s="586"/>
      <c r="BP320" s="533"/>
      <c r="BQ320" s="533"/>
      <c r="BR320" s="533" t="e">
        <f t="shared" si="174"/>
        <v>#NAME?</v>
      </c>
      <c r="BS320" s="533" t="e">
        <f t="shared" si="175"/>
        <v>#NAME?</v>
      </c>
      <c r="BT320" s="533" t="e">
        <f t="shared" si="176"/>
        <v>#NAME?</v>
      </c>
      <c r="BU320" s="533"/>
    </row>
    <row r="321" spans="1:73" ht="16" hidden="1" outlineLevel="2">
      <c r="A321" s="366"/>
      <c r="B321" s="562"/>
      <c r="C321" s="366"/>
      <c r="D321" s="454"/>
      <c r="E321" s="547">
        <f t="shared" si="185"/>
        <v>315</v>
      </c>
      <c r="F321" s="547">
        <f t="shared" si="177"/>
        <v>105</v>
      </c>
      <c r="G321" s="547">
        <f t="shared" si="178"/>
        <v>27</v>
      </c>
      <c r="H321" s="548">
        <f t="shared" si="191"/>
        <v>53386</v>
      </c>
      <c r="I321" s="549">
        <f t="shared" si="157"/>
        <v>2046</v>
      </c>
      <c r="K321" s="547">
        <f>[1]mProject!KB325</f>
        <v>0</v>
      </c>
      <c r="L321" s="547">
        <f t="shared" si="158"/>
        <v>950</v>
      </c>
      <c r="M321" s="547">
        <f t="shared" si="159"/>
        <v>295000</v>
      </c>
      <c r="N321" s="547">
        <f t="shared" si="160"/>
        <v>0</v>
      </c>
      <c r="O321" s="547">
        <f t="shared" si="179"/>
        <v>280250000</v>
      </c>
      <c r="P321" s="547">
        <f>[1]mProject!W325</f>
        <v>478938.23251440242</v>
      </c>
      <c r="Q321" s="547">
        <f t="shared" si="161"/>
        <v>0</v>
      </c>
      <c r="R321" s="547">
        <f t="shared" si="180"/>
        <v>296355280.38883054</v>
      </c>
      <c r="T321" s="547">
        <v>0</v>
      </c>
      <c r="U321" s="547">
        <f t="shared" si="162"/>
        <v>0</v>
      </c>
      <c r="V321" s="547">
        <f>IF(T321=0,0,$V$7*(1+#REF!)^#REF!)</f>
        <v>0</v>
      </c>
      <c r="W321" s="547">
        <f t="shared" si="181"/>
        <v>0</v>
      </c>
      <c r="X321" s="547">
        <f t="shared" si="163"/>
        <v>0</v>
      </c>
      <c r="Y321" s="547">
        <f t="shared" si="164"/>
        <v>0</v>
      </c>
      <c r="AA321" s="547">
        <v>0</v>
      </c>
      <c r="AB321" s="547">
        <f t="shared" si="165"/>
        <v>0</v>
      </c>
      <c r="AC321" s="547">
        <f>IF(AA321=0,0,$V$7*(1+#REF!)^#REF!)</f>
        <v>0</v>
      </c>
      <c r="AD321" s="547">
        <f t="shared" si="182"/>
        <v>0</v>
      </c>
      <c r="AE321" s="547">
        <f t="shared" si="166"/>
        <v>0</v>
      </c>
      <c r="AF321" s="547">
        <f t="shared" si="167"/>
        <v>0</v>
      </c>
      <c r="AH321" s="547">
        <f t="shared" si="168"/>
        <v>0</v>
      </c>
      <c r="AI321" s="547">
        <f t="shared" si="183"/>
        <v>950</v>
      </c>
      <c r="AJ321" s="547">
        <f t="shared" si="193"/>
        <v>0</v>
      </c>
      <c r="AK321" s="547">
        <f>AJ321*[1]mProject!V325</f>
        <v>0</v>
      </c>
      <c r="AL321" s="547">
        <f t="shared" si="169"/>
        <v>0</v>
      </c>
      <c r="AM321" s="547">
        <f t="shared" si="170"/>
        <v>0</v>
      </c>
      <c r="AN321" s="456"/>
      <c r="AO321" s="577" t="e">
        <f t="shared" si="186"/>
        <v>#REF!</v>
      </c>
      <c r="AP321" s="577" t="e">
        <f t="shared" si="190"/>
        <v>#REF!</v>
      </c>
      <c r="AQ321" s="577" t="e">
        <f t="shared" si="192"/>
        <v>#REF!</v>
      </c>
      <c r="AR321" s="578" t="e">
        <f t="shared" si="187"/>
        <v>#REF!</v>
      </c>
      <c r="AS321" s="547" t="e">
        <f t="shared" si="189"/>
        <v>#REF!</v>
      </c>
      <c r="AT321" s="547"/>
      <c r="AU321" s="547"/>
      <c r="AV321" s="547" t="e">
        <f t="shared" si="171"/>
        <v>#REF!</v>
      </c>
      <c r="AW321" s="547" t="e">
        <f>AI321*#REF!+AI320*#REF!+AI319*#REF!</f>
        <v>#REF!</v>
      </c>
      <c r="AX321" s="456"/>
      <c r="AY321" s="585">
        <f t="shared" si="184"/>
        <v>1.6897202547577659</v>
      </c>
      <c r="AZ321" s="547">
        <f t="shared" si="172"/>
        <v>0</v>
      </c>
      <c r="BA321" s="547">
        <f>BA320*[1]mProject!V326</f>
        <v>0</v>
      </c>
      <c r="BB321" s="547">
        <f t="shared" si="188"/>
        <v>17781316.823329829</v>
      </c>
      <c r="BC321" s="456"/>
      <c r="BD321" s="588">
        <f>((BB321/100)*(i_CFD.ObliRate/12))*[1]i.Finance!$O$64</f>
        <v>59826.722228495157</v>
      </c>
      <c r="BE321" s="588">
        <f>(AZ321/100*[1]i.Finance!$O$61)*[1]i.Finance!$O$64</f>
        <v>0</v>
      </c>
      <c r="BF321" s="588">
        <f>(AZ321/100*[1]i.Finance!$O$65)</f>
        <v>0</v>
      </c>
      <c r="BG321" s="589">
        <f t="shared" si="173"/>
        <v>59826.722228495157</v>
      </c>
      <c r="BH321" s="456"/>
      <c r="BI321" s="588">
        <f>-PV([1]i.Finance!$O$63/12,[1]i.Finance!$O$62*12,mCFD!BG321)</f>
        <v>10233961.918709608</v>
      </c>
      <c r="BJ321" s="588">
        <f>BI321*[1]i.Finance!$O$58</f>
        <v>8033660.1061870428</v>
      </c>
      <c r="BK321" s="588"/>
      <c r="BL321" s="588"/>
      <c r="BP321" s="547"/>
      <c r="BQ321" s="547"/>
      <c r="BR321" s="547" t="e">
        <f t="shared" si="174"/>
        <v>#NAME?</v>
      </c>
      <c r="BS321" s="547" t="e">
        <f t="shared" si="175"/>
        <v>#NAME?</v>
      </c>
      <c r="BT321" s="547" t="e">
        <f t="shared" si="176"/>
        <v>#NAME?</v>
      </c>
      <c r="BU321" s="547"/>
    </row>
    <row r="322" spans="1:73" ht="16" hidden="1" outlineLevel="2">
      <c r="A322" s="366"/>
      <c r="B322" s="562"/>
      <c r="C322" s="366"/>
      <c r="D322" s="454"/>
      <c r="E322" s="530">
        <f t="shared" si="185"/>
        <v>316</v>
      </c>
      <c r="F322" s="530">
        <f t="shared" si="177"/>
        <v>106</v>
      </c>
      <c r="G322" s="530">
        <f t="shared" si="178"/>
        <v>27</v>
      </c>
      <c r="H322" s="554">
        <f t="shared" si="191"/>
        <v>53417</v>
      </c>
      <c r="I322" s="555">
        <f t="shared" si="157"/>
        <v>2046</v>
      </c>
      <c r="K322" s="530">
        <f>[1]mProject!KB326</f>
        <v>0</v>
      </c>
      <c r="L322" s="530">
        <f t="shared" si="158"/>
        <v>950</v>
      </c>
      <c r="M322" s="530">
        <f t="shared" si="159"/>
        <v>295000</v>
      </c>
      <c r="N322" s="530">
        <f t="shared" si="160"/>
        <v>0</v>
      </c>
      <c r="O322" s="530">
        <f t="shared" si="179"/>
        <v>280250000</v>
      </c>
      <c r="P322" s="530">
        <f>[1]mProject!W326</f>
        <v>479736.46290192642</v>
      </c>
      <c r="Q322" s="530">
        <f t="shared" si="161"/>
        <v>0</v>
      </c>
      <c r="R322" s="530">
        <f t="shared" si="180"/>
        <v>296355280.38883054</v>
      </c>
      <c r="T322" s="530">
        <v>0</v>
      </c>
      <c r="U322" s="530">
        <f t="shared" si="162"/>
        <v>0</v>
      </c>
      <c r="V322" s="530">
        <f>IF(T322=0,0,$V$7*(1+#REF!)^#REF!)</f>
        <v>0</v>
      </c>
      <c r="W322" s="530">
        <f t="shared" si="181"/>
        <v>0</v>
      </c>
      <c r="X322" s="530">
        <f t="shared" si="163"/>
        <v>0</v>
      </c>
      <c r="Y322" s="530">
        <f t="shared" si="164"/>
        <v>0</v>
      </c>
      <c r="AA322" s="530">
        <v>0</v>
      </c>
      <c r="AB322" s="530">
        <f t="shared" si="165"/>
        <v>0</v>
      </c>
      <c r="AC322" s="530">
        <f>IF(AA322=0,0,$V$7*(1+#REF!)^#REF!)</f>
        <v>0</v>
      </c>
      <c r="AD322" s="530">
        <f t="shared" si="182"/>
        <v>0</v>
      </c>
      <c r="AE322" s="530">
        <f t="shared" si="166"/>
        <v>0</v>
      </c>
      <c r="AF322" s="530">
        <f t="shared" si="167"/>
        <v>0</v>
      </c>
      <c r="AH322" s="530">
        <f t="shared" si="168"/>
        <v>0</v>
      </c>
      <c r="AI322" s="530">
        <f t="shared" si="183"/>
        <v>950</v>
      </c>
      <c r="AJ322" s="530">
        <f t="shared" si="193"/>
        <v>0</v>
      </c>
      <c r="AK322" s="530">
        <f>AJ322*[1]mProject!V326</f>
        <v>0</v>
      </c>
      <c r="AL322" s="530">
        <f t="shared" si="169"/>
        <v>0</v>
      </c>
      <c r="AM322" s="530">
        <f t="shared" si="170"/>
        <v>0</v>
      </c>
      <c r="AN322" s="456"/>
      <c r="AO322" s="572" t="e">
        <f t="shared" si="186"/>
        <v>#REF!</v>
      </c>
      <c r="AP322" s="572" t="e">
        <f t="shared" si="190"/>
        <v>#REF!</v>
      </c>
      <c r="AQ322" s="572" t="e">
        <f t="shared" si="192"/>
        <v>#REF!</v>
      </c>
      <c r="AR322" s="573" t="e">
        <f t="shared" si="187"/>
        <v>#REF!</v>
      </c>
      <c r="AS322" s="530" t="e">
        <f t="shared" si="189"/>
        <v>#REF!</v>
      </c>
      <c r="AT322" s="530"/>
      <c r="AU322" s="530"/>
      <c r="AV322" s="530" t="e">
        <f t="shared" si="171"/>
        <v>#REF!</v>
      </c>
      <c r="AW322" s="530" t="e">
        <f>AI322*#REF!+AI321*#REF!+AI320*#REF!</f>
        <v>#REF!</v>
      </c>
      <c r="AX322" s="456"/>
      <c r="AY322" s="583">
        <f t="shared" si="184"/>
        <v>1.6925364551823623</v>
      </c>
      <c r="AZ322" s="530">
        <f t="shared" si="172"/>
        <v>0</v>
      </c>
      <c r="BA322" s="530">
        <f>BA321*[1]mProject!V327</f>
        <v>0</v>
      </c>
      <c r="BB322" s="530">
        <f t="shared" si="188"/>
        <v>17781316.823329829</v>
      </c>
      <c r="BC322" s="456"/>
      <c r="BD322" s="590">
        <f>((BB322/100)*(i_CFD.ObliRate/12))*[1]i.Finance!$O$64</f>
        <v>59826.722228495157</v>
      </c>
      <c r="BE322" s="590">
        <f>(AZ322/100*[1]i.Finance!$O$61)*[1]i.Finance!$O$64</f>
        <v>0</v>
      </c>
      <c r="BF322" s="590">
        <f>(AZ322/100*[1]i.Finance!$O$65)</f>
        <v>0</v>
      </c>
      <c r="BG322" s="591">
        <f t="shared" si="173"/>
        <v>59826.722228495157</v>
      </c>
      <c r="BH322" s="456"/>
      <c r="BI322" s="590">
        <f>-PV([1]i.Finance!$O$63/12,[1]i.Finance!$O$62*12,mCFD!BG322)</f>
        <v>10233961.918709608</v>
      </c>
      <c r="BJ322" s="590">
        <f>BI322*[1]i.Finance!$O$58</f>
        <v>8033660.1061870428</v>
      </c>
      <c r="BK322" s="590"/>
      <c r="BL322" s="590"/>
      <c r="BP322" s="530"/>
      <c r="BQ322" s="530"/>
      <c r="BR322" s="530" t="e">
        <f t="shared" si="174"/>
        <v>#NAME?</v>
      </c>
      <c r="BS322" s="530" t="e">
        <f t="shared" si="175"/>
        <v>#NAME?</v>
      </c>
      <c r="BT322" s="530" t="e">
        <f t="shared" si="176"/>
        <v>#NAME?</v>
      </c>
      <c r="BU322" s="530"/>
    </row>
    <row r="323" spans="1:73" ht="16" hidden="1" outlineLevel="2">
      <c r="A323" s="366"/>
      <c r="B323" s="562"/>
      <c r="C323" s="366"/>
      <c r="D323" s="454"/>
      <c r="E323" s="533">
        <f t="shared" si="185"/>
        <v>317</v>
      </c>
      <c r="F323" s="533">
        <f t="shared" si="177"/>
        <v>106</v>
      </c>
      <c r="G323" s="533">
        <f t="shared" si="178"/>
        <v>27</v>
      </c>
      <c r="H323" s="541">
        <f t="shared" si="191"/>
        <v>53447</v>
      </c>
      <c r="I323" s="542">
        <f t="shared" si="157"/>
        <v>2046</v>
      </c>
      <c r="K323" s="533">
        <f>[1]mProject!KB327</f>
        <v>0</v>
      </c>
      <c r="L323" s="533">
        <f t="shared" si="158"/>
        <v>950</v>
      </c>
      <c r="M323" s="533">
        <f t="shared" si="159"/>
        <v>295000</v>
      </c>
      <c r="N323" s="533">
        <f t="shared" si="160"/>
        <v>0</v>
      </c>
      <c r="O323" s="533">
        <f t="shared" si="179"/>
        <v>280250000</v>
      </c>
      <c r="P323" s="533">
        <f>[1]mProject!W327</f>
        <v>480536.02367342968</v>
      </c>
      <c r="Q323" s="533">
        <f t="shared" si="161"/>
        <v>0</v>
      </c>
      <c r="R323" s="533">
        <f t="shared" si="180"/>
        <v>296355280.38883054</v>
      </c>
      <c r="T323" s="533">
        <v>0</v>
      </c>
      <c r="U323" s="533">
        <f t="shared" si="162"/>
        <v>0</v>
      </c>
      <c r="V323" s="533">
        <f>IF(T323=0,0,$V$7*(1+#REF!)^#REF!)</f>
        <v>0</v>
      </c>
      <c r="W323" s="533">
        <f t="shared" si="181"/>
        <v>0</v>
      </c>
      <c r="X323" s="533">
        <f t="shared" si="163"/>
        <v>0</v>
      </c>
      <c r="Y323" s="533">
        <f t="shared" si="164"/>
        <v>0</v>
      </c>
      <c r="AA323" s="533">
        <v>0</v>
      </c>
      <c r="AB323" s="533">
        <f t="shared" si="165"/>
        <v>0</v>
      </c>
      <c r="AC323" s="533">
        <f>IF(AA323=0,0,$V$7*(1+#REF!)^#REF!)</f>
        <v>0</v>
      </c>
      <c r="AD323" s="533">
        <f t="shared" si="182"/>
        <v>0</v>
      </c>
      <c r="AE323" s="533">
        <f t="shared" si="166"/>
        <v>0</v>
      </c>
      <c r="AF323" s="533">
        <f t="shared" si="167"/>
        <v>0</v>
      </c>
      <c r="AH323" s="533">
        <f t="shared" si="168"/>
        <v>0</v>
      </c>
      <c r="AI323" s="533">
        <f t="shared" si="183"/>
        <v>950</v>
      </c>
      <c r="AJ323" s="533">
        <f t="shared" si="193"/>
        <v>0</v>
      </c>
      <c r="AK323" s="533">
        <f>AJ323*[1]mProject!V327</f>
        <v>0</v>
      </c>
      <c r="AL323" s="533">
        <f t="shared" si="169"/>
        <v>0</v>
      </c>
      <c r="AM323" s="533">
        <f t="shared" si="170"/>
        <v>0</v>
      </c>
      <c r="AN323" s="456"/>
      <c r="AO323" s="575" t="e">
        <f t="shared" si="186"/>
        <v>#REF!</v>
      </c>
      <c r="AP323" s="575" t="e">
        <f t="shared" si="190"/>
        <v>#REF!</v>
      </c>
      <c r="AQ323" s="575" t="e">
        <f t="shared" si="192"/>
        <v>#REF!</v>
      </c>
      <c r="AR323" s="576" t="e">
        <f t="shared" si="187"/>
        <v>#REF!</v>
      </c>
      <c r="AS323" s="533" t="e">
        <f t="shared" si="189"/>
        <v>#REF!</v>
      </c>
      <c r="AT323" s="533"/>
      <c r="AU323" s="533"/>
      <c r="AV323" s="533" t="e">
        <f t="shared" si="171"/>
        <v>#REF!</v>
      </c>
      <c r="AW323" s="533" t="e">
        <f>AI323*#REF!+AI322*#REF!+AI321*#REF!</f>
        <v>#REF!</v>
      </c>
      <c r="AX323" s="456"/>
      <c r="AY323" s="584">
        <f t="shared" si="184"/>
        <v>1.695357349274333</v>
      </c>
      <c r="AZ323" s="533">
        <f t="shared" si="172"/>
        <v>0</v>
      </c>
      <c r="BA323" s="533">
        <f>BA322*[1]mProject!V328</f>
        <v>0</v>
      </c>
      <c r="BB323" s="533">
        <f t="shared" si="188"/>
        <v>17781316.823329829</v>
      </c>
      <c r="BC323" s="456"/>
      <c r="BD323" s="586">
        <f>((BB323/100)*(i_CFD.ObliRate/12))*[1]i.Finance!$O$64</f>
        <v>59826.722228495157</v>
      </c>
      <c r="BE323" s="586">
        <f>(AZ323/100*[1]i.Finance!$O$61)*[1]i.Finance!$O$64</f>
        <v>0</v>
      </c>
      <c r="BF323" s="586">
        <f>(AZ323/100*[1]i.Finance!$O$65)</f>
        <v>0</v>
      </c>
      <c r="BG323" s="587">
        <f t="shared" si="173"/>
        <v>59826.722228495157</v>
      </c>
      <c r="BH323" s="456"/>
      <c r="BI323" s="586">
        <f>-PV([1]i.Finance!$O$63/12,[1]i.Finance!$O$62*12,mCFD!BG323)</f>
        <v>10233961.918709608</v>
      </c>
      <c r="BJ323" s="586">
        <f>BI323*[1]i.Finance!$O$58</f>
        <v>8033660.1061870428</v>
      </c>
      <c r="BK323" s="586"/>
      <c r="BL323" s="586"/>
      <c r="BP323" s="533"/>
      <c r="BQ323" s="533"/>
      <c r="BR323" s="533" t="e">
        <f t="shared" si="174"/>
        <v>#NAME?</v>
      </c>
      <c r="BS323" s="533" t="e">
        <f t="shared" si="175"/>
        <v>#NAME?</v>
      </c>
      <c r="BT323" s="533" t="e">
        <f t="shared" si="176"/>
        <v>#NAME?</v>
      </c>
      <c r="BU323" s="533"/>
    </row>
    <row r="324" spans="1:73" ht="16" hidden="1" outlineLevel="2">
      <c r="A324" s="366"/>
      <c r="B324" s="562"/>
      <c r="C324" s="366"/>
      <c r="D324" s="454"/>
      <c r="E324" s="547">
        <f t="shared" si="185"/>
        <v>318</v>
      </c>
      <c r="F324" s="547">
        <f t="shared" si="177"/>
        <v>106</v>
      </c>
      <c r="G324" s="547">
        <f t="shared" si="178"/>
        <v>27</v>
      </c>
      <c r="H324" s="548">
        <f t="shared" si="191"/>
        <v>53478</v>
      </c>
      <c r="I324" s="549">
        <f t="shared" si="157"/>
        <v>2046</v>
      </c>
      <c r="K324" s="547">
        <f>[1]mProject!KB328</f>
        <v>0</v>
      </c>
      <c r="L324" s="547">
        <f t="shared" si="158"/>
        <v>950</v>
      </c>
      <c r="M324" s="547">
        <f t="shared" si="159"/>
        <v>295000</v>
      </c>
      <c r="N324" s="547">
        <f t="shared" si="160"/>
        <v>0</v>
      </c>
      <c r="O324" s="547">
        <f t="shared" si="179"/>
        <v>280250000</v>
      </c>
      <c r="P324" s="547">
        <f>[1]mProject!W328</f>
        <v>481336.91704621876</v>
      </c>
      <c r="Q324" s="547">
        <f t="shared" si="161"/>
        <v>0</v>
      </c>
      <c r="R324" s="547">
        <f t="shared" si="180"/>
        <v>296355280.38883054</v>
      </c>
      <c r="T324" s="547">
        <v>0</v>
      </c>
      <c r="U324" s="547">
        <f t="shared" si="162"/>
        <v>0</v>
      </c>
      <c r="V324" s="547">
        <f>IF(T324=0,0,$V$7*(1+#REF!)^#REF!)</f>
        <v>0</v>
      </c>
      <c r="W324" s="547">
        <f t="shared" si="181"/>
        <v>0</v>
      </c>
      <c r="X324" s="547">
        <f t="shared" si="163"/>
        <v>0</v>
      </c>
      <c r="Y324" s="547">
        <f t="shared" si="164"/>
        <v>0</v>
      </c>
      <c r="AA324" s="547">
        <v>0</v>
      </c>
      <c r="AB324" s="547">
        <f t="shared" si="165"/>
        <v>0</v>
      </c>
      <c r="AC324" s="547">
        <f>IF(AA324=0,0,$V$7*(1+#REF!)^#REF!)</f>
        <v>0</v>
      </c>
      <c r="AD324" s="547">
        <f t="shared" si="182"/>
        <v>0</v>
      </c>
      <c r="AE324" s="547">
        <f t="shared" si="166"/>
        <v>0</v>
      </c>
      <c r="AF324" s="547">
        <f t="shared" si="167"/>
        <v>0</v>
      </c>
      <c r="AH324" s="547">
        <f t="shared" si="168"/>
        <v>0</v>
      </c>
      <c r="AI324" s="547">
        <f t="shared" si="183"/>
        <v>950</v>
      </c>
      <c r="AJ324" s="547">
        <f t="shared" si="193"/>
        <v>0</v>
      </c>
      <c r="AK324" s="547">
        <f>AJ324*[1]mProject!V328</f>
        <v>0</v>
      </c>
      <c r="AL324" s="547">
        <f t="shared" si="169"/>
        <v>0</v>
      </c>
      <c r="AM324" s="547">
        <f t="shared" si="170"/>
        <v>0</v>
      </c>
      <c r="AN324" s="456"/>
      <c r="AO324" s="577" t="e">
        <f t="shared" si="186"/>
        <v>#REF!</v>
      </c>
      <c r="AP324" s="577" t="e">
        <f t="shared" si="190"/>
        <v>#REF!</v>
      </c>
      <c r="AQ324" s="577" t="e">
        <f t="shared" si="192"/>
        <v>#REF!</v>
      </c>
      <c r="AR324" s="578" t="e">
        <f t="shared" si="187"/>
        <v>#REF!</v>
      </c>
      <c r="AS324" s="547" t="e">
        <f t="shared" si="189"/>
        <v>#REF!</v>
      </c>
      <c r="AT324" s="547"/>
      <c r="AU324" s="547"/>
      <c r="AV324" s="547" t="e">
        <f t="shared" si="171"/>
        <v>#REF!</v>
      </c>
      <c r="AW324" s="547" t="e">
        <f>AI324*#REF!+AI323*#REF!+AI322*#REF!</f>
        <v>#REF!</v>
      </c>
      <c r="AX324" s="456"/>
      <c r="AY324" s="585">
        <f t="shared" si="184"/>
        <v>1.6981829448564569</v>
      </c>
      <c r="AZ324" s="547">
        <f t="shared" si="172"/>
        <v>0</v>
      </c>
      <c r="BA324" s="547">
        <f>BA323*[1]mProject!V329</f>
        <v>0</v>
      </c>
      <c r="BB324" s="547">
        <f t="shared" si="188"/>
        <v>17781316.823329829</v>
      </c>
      <c r="BC324" s="456"/>
      <c r="BD324" s="588">
        <f>((BB324/100)*(i_CFD.ObliRate/12))*[1]i.Finance!$O$64</f>
        <v>59826.722228495157</v>
      </c>
      <c r="BE324" s="588">
        <f>(AZ324/100*[1]i.Finance!$O$61)*[1]i.Finance!$O$64</f>
        <v>0</v>
      </c>
      <c r="BF324" s="588">
        <f>(AZ324/100*[1]i.Finance!$O$65)</f>
        <v>0</v>
      </c>
      <c r="BG324" s="589">
        <f t="shared" si="173"/>
        <v>59826.722228495157</v>
      </c>
      <c r="BH324" s="456"/>
      <c r="BI324" s="588">
        <f>-PV([1]i.Finance!$O$63/12,[1]i.Finance!$O$62*12,mCFD!BG324)</f>
        <v>10233961.918709608</v>
      </c>
      <c r="BJ324" s="588">
        <f>BI324*[1]i.Finance!$O$58</f>
        <v>8033660.1061870428</v>
      </c>
      <c r="BK324" s="588"/>
      <c r="BL324" s="588"/>
      <c r="BP324" s="547"/>
      <c r="BQ324" s="547"/>
      <c r="BR324" s="547" t="e">
        <f t="shared" si="174"/>
        <v>#NAME?</v>
      </c>
      <c r="BS324" s="547" t="e">
        <f t="shared" si="175"/>
        <v>#NAME?</v>
      </c>
      <c r="BT324" s="547" t="e">
        <f t="shared" si="176"/>
        <v>#NAME?</v>
      </c>
      <c r="BU324" s="547"/>
    </row>
    <row r="325" spans="1:73" ht="16" hidden="1" outlineLevel="2">
      <c r="A325" s="366"/>
      <c r="B325" s="562"/>
      <c r="C325" s="366"/>
      <c r="D325" s="454"/>
      <c r="E325" s="530">
        <f t="shared" si="185"/>
        <v>319</v>
      </c>
      <c r="F325" s="530">
        <f t="shared" si="177"/>
        <v>107</v>
      </c>
      <c r="G325" s="530">
        <f t="shared" si="178"/>
        <v>27</v>
      </c>
      <c r="H325" s="554">
        <f t="shared" si="191"/>
        <v>53508</v>
      </c>
      <c r="I325" s="555">
        <f t="shared" si="157"/>
        <v>2046</v>
      </c>
      <c r="K325" s="530">
        <f>[1]mProject!KB329</f>
        <v>0</v>
      </c>
      <c r="L325" s="530">
        <f t="shared" si="158"/>
        <v>950</v>
      </c>
      <c r="M325" s="530">
        <f t="shared" si="159"/>
        <v>295000</v>
      </c>
      <c r="N325" s="530">
        <f t="shared" si="160"/>
        <v>0</v>
      </c>
      <c r="O325" s="530">
        <f t="shared" si="179"/>
        <v>280250000</v>
      </c>
      <c r="P325" s="530">
        <f>[1]mProject!W329</f>
        <v>482139.1452412958</v>
      </c>
      <c r="Q325" s="530">
        <f t="shared" si="161"/>
        <v>0</v>
      </c>
      <c r="R325" s="530">
        <f t="shared" si="180"/>
        <v>296355280.38883054</v>
      </c>
      <c r="T325" s="530">
        <v>0</v>
      </c>
      <c r="U325" s="530">
        <f t="shared" si="162"/>
        <v>0</v>
      </c>
      <c r="V325" s="530">
        <f>IF(T325=0,0,$V$7*(1+#REF!)^#REF!)</f>
        <v>0</v>
      </c>
      <c r="W325" s="530">
        <f t="shared" si="181"/>
        <v>0</v>
      </c>
      <c r="X325" s="530">
        <f t="shared" si="163"/>
        <v>0</v>
      </c>
      <c r="Y325" s="530">
        <f t="shared" si="164"/>
        <v>0</v>
      </c>
      <c r="AA325" s="530">
        <v>0</v>
      </c>
      <c r="AB325" s="530">
        <f t="shared" si="165"/>
        <v>0</v>
      </c>
      <c r="AC325" s="530">
        <f>IF(AA325=0,0,$V$7*(1+#REF!)^#REF!)</f>
        <v>0</v>
      </c>
      <c r="AD325" s="530">
        <f t="shared" si="182"/>
        <v>0</v>
      </c>
      <c r="AE325" s="530">
        <f t="shared" si="166"/>
        <v>0</v>
      </c>
      <c r="AF325" s="530">
        <f t="shared" si="167"/>
        <v>0</v>
      </c>
      <c r="AH325" s="530">
        <f t="shared" si="168"/>
        <v>0</v>
      </c>
      <c r="AI325" s="530">
        <f t="shared" si="183"/>
        <v>950</v>
      </c>
      <c r="AJ325" s="530">
        <f t="shared" si="193"/>
        <v>0</v>
      </c>
      <c r="AK325" s="530">
        <f>AJ325*[1]mProject!V329</f>
        <v>0</v>
      </c>
      <c r="AL325" s="530">
        <f t="shared" si="169"/>
        <v>0</v>
      </c>
      <c r="AM325" s="530">
        <f t="shared" si="170"/>
        <v>0</v>
      </c>
      <c r="AN325" s="456"/>
      <c r="AO325" s="572" t="e">
        <f t="shared" si="186"/>
        <v>#REF!</v>
      </c>
      <c r="AP325" s="572" t="e">
        <f t="shared" si="190"/>
        <v>#REF!</v>
      </c>
      <c r="AQ325" s="572" t="e">
        <f t="shared" si="192"/>
        <v>#REF!</v>
      </c>
      <c r="AR325" s="573" t="e">
        <f t="shared" si="187"/>
        <v>#REF!</v>
      </c>
      <c r="AS325" s="530" t="e">
        <f t="shared" si="189"/>
        <v>#REF!</v>
      </c>
      <c r="AT325" s="530"/>
      <c r="AU325" s="530"/>
      <c r="AV325" s="530" t="e">
        <f t="shared" si="171"/>
        <v>#REF!</v>
      </c>
      <c r="AW325" s="530" t="e">
        <f>AI325*#REF!+AI324*#REF!+AI323*#REF!</f>
        <v>#REF!</v>
      </c>
      <c r="AX325" s="456"/>
      <c r="AY325" s="583">
        <f t="shared" si="184"/>
        <v>1.7010132497645511</v>
      </c>
      <c r="AZ325" s="530">
        <f t="shared" si="172"/>
        <v>0</v>
      </c>
      <c r="BA325" s="530">
        <f>BA324*[1]mProject!V330</f>
        <v>0</v>
      </c>
      <c r="BB325" s="530">
        <f t="shared" si="188"/>
        <v>17781316.823329829</v>
      </c>
      <c r="BC325" s="456"/>
      <c r="BD325" s="590">
        <f>((BB325/100)*(i_CFD.ObliRate/12))*[1]i.Finance!$O$64</f>
        <v>59826.722228495157</v>
      </c>
      <c r="BE325" s="590">
        <f>(AZ325/100*[1]i.Finance!$O$61)*[1]i.Finance!$O$64</f>
        <v>0</v>
      </c>
      <c r="BF325" s="590">
        <f>(AZ325/100*[1]i.Finance!$O$65)</f>
        <v>0</v>
      </c>
      <c r="BG325" s="591">
        <f t="shared" si="173"/>
        <v>59826.722228495157</v>
      </c>
      <c r="BH325" s="456"/>
      <c r="BI325" s="590">
        <f>-PV([1]i.Finance!$O$63/12,[1]i.Finance!$O$62*12,mCFD!BG325)</f>
        <v>10233961.918709608</v>
      </c>
      <c r="BJ325" s="590">
        <f>BI325*[1]i.Finance!$O$58</f>
        <v>8033660.1061870428</v>
      </c>
      <c r="BK325" s="590"/>
      <c r="BL325" s="590"/>
      <c r="BP325" s="530"/>
      <c r="BQ325" s="530"/>
      <c r="BR325" s="530" t="e">
        <f t="shared" si="174"/>
        <v>#NAME?</v>
      </c>
      <c r="BS325" s="530" t="e">
        <f t="shared" si="175"/>
        <v>#NAME?</v>
      </c>
      <c r="BT325" s="530" t="e">
        <f t="shared" si="176"/>
        <v>#NAME?</v>
      </c>
      <c r="BU325" s="530"/>
    </row>
    <row r="326" spans="1:73" ht="16" hidden="1" outlineLevel="2">
      <c r="A326" s="366"/>
      <c r="B326" s="562"/>
      <c r="C326" s="366"/>
      <c r="D326" s="454"/>
      <c r="E326" s="533">
        <f t="shared" si="185"/>
        <v>320</v>
      </c>
      <c r="F326" s="533">
        <f t="shared" si="177"/>
        <v>107</v>
      </c>
      <c r="G326" s="533">
        <f t="shared" si="178"/>
        <v>27</v>
      </c>
      <c r="H326" s="541">
        <f t="shared" si="191"/>
        <v>53539</v>
      </c>
      <c r="I326" s="542">
        <f t="shared" si="157"/>
        <v>2046</v>
      </c>
      <c r="K326" s="533">
        <f>[1]mProject!KB330</f>
        <v>0</v>
      </c>
      <c r="L326" s="533">
        <f t="shared" si="158"/>
        <v>950</v>
      </c>
      <c r="M326" s="533">
        <f t="shared" si="159"/>
        <v>295000</v>
      </c>
      <c r="N326" s="533">
        <f t="shared" si="160"/>
        <v>0</v>
      </c>
      <c r="O326" s="533">
        <f t="shared" si="179"/>
        <v>280250000</v>
      </c>
      <c r="P326" s="533">
        <f>[1]mProject!W330</f>
        <v>482942.71048336464</v>
      </c>
      <c r="Q326" s="533">
        <f t="shared" si="161"/>
        <v>0</v>
      </c>
      <c r="R326" s="533">
        <f t="shared" si="180"/>
        <v>296355280.38883054</v>
      </c>
      <c r="T326" s="533">
        <v>0</v>
      </c>
      <c r="U326" s="533">
        <f t="shared" si="162"/>
        <v>0</v>
      </c>
      <c r="V326" s="533">
        <f>IF(T326=0,0,$V$7*(1+#REF!)^#REF!)</f>
        <v>0</v>
      </c>
      <c r="W326" s="533">
        <f t="shared" si="181"/>
        <v>0</v>
      </c>
      <c r="X326" s="533">
        <f t="shared" si="163"/>
        <v>0</v>
      </c>
      <c r="Y326" s="533">
        <f t="shared" si="164"/>
        <v>0</v>
      </c>
      <c r="AA326" s="533">
        <v>0</v>
      </c>
      <c r="AB326" s="533">
        <f t="shared" si="165"/>
        <v>0</v>
      </c>
      <c r="AC326" s="533">
        <f>IF(AA326=0,0,$V$7*(1+#REF!)^#REF!)</f>
        <v>0</v>
      </c>
      <c r="AD326" s="533">
        <f t="shared" si="182"/>
        <v>0</v>
      </c>
      <c r="AE326" s="533">
        <f t="shared" si="166"/>
        <v>0</v>
      </c>
      <c r="AF326" s="533">
        <f t="shared" si="167"/>
        <v>0</v>
      </c>
      <c r="AH326" s="533">
        <f t="shared" si="168"/>
        <v>0</v>
      </c>
      <c r="AI326" s="533">
        <f t="shared" si="183"/>
        <v>950</v>
      </c>
      <c r="AJ326" s="533">
        <f t="shared" si="193"/>
        <v>0</v>
      </c>
      <c r="AK326" s="533">
        <f>AJ326*[1]mProject!V330</f>
        <v>0</v>
      </c>
      <c r="AL326" s="533">
        <f t="shared" si="169"/>
        <v>0</v>
      </c>
      <c r="AM326" s="533">
        <f t="shared" si="170"/>
        <v>0</v>
      </c>
      <c r="AN326" s="456"/>
      <c r="AO326" s="575" t="e">
        <f t="shared" si="186"/>
        <v>#REF!</v>
      </c>
      <c r="AP326" s="575" t="e">
        <f t="shared" si="190"/>
        <v>#REF!</v>
      </c>
      <c r="AQ326" s="575" t="e">
        <f t="shared" si="192"/>
        <v>#REF!</v>
      </c>
      <c r="AR326" s="576" t="e">
        <f t="shared" si="187"/>
        <v>#REF!</v>
      </c>
      <c r="AS326" s="533" t="e">
        <f t="shared" si="189"/>
        <v>#REF!</v>
      </c>
      <c r="AT326" s="533"/>
      <c r="AU326" s="533"/>
      <c r="AV326" s="533" t="e">
        <f t="shared" si="171"/>
        <v>#REF!</v>
      </c>
      <c r="AW326" s="533" t="e">
        <f>AI326*#REF!+AI325*#REF!+AI324*#REF!</f>
        <v>#REF!</v>
      </c>
      <c r="AX326" s="456"/>
      <c r="AY326" s="584">
        <f t="shared" si="184"/>
        <v>1.7038482718474921</v>
      </c>
      <c r="AZ326" s="533">
        <f t="shared" si="172"/>
        <v>0</v>
      </c>
      <c r="BA326" s="533">
        <f>BA325*[1]mProject!V331</f>
        <v>0</v>
      </c>
      <c r="BB326" s="533">
        <f t="shared" si="188"/>
        <v>17781316.823329829</v>
      </c>
      <c r="BC326" s="456"/>
      <c r="BD326" s="586">
        <f>((BB326/100)*(i_CFD.ObliRate/12))*[1]i.Finance!$O$64</f>
        <v>59826.722228495157</v>
      </c>
      <c r="BE326" s="586">
        <f>(AZ326/100*[1]i.Finance!$O$61)*[1]i.Finance!$O$64</f>
        <v>0</v>
      </c>
      <c r="BF326" s="586">
        <f>(AZ326/100*[1]i.Finance!$O$65)</f>
        <v>0</v>
      </c>
      <c r="BG326" s="587">
        <f t="shared" si="173"/>
        <v>59826.722228495157</v>
      </c>
      <c r="BH326" s="456"/>
      <c r="BI326" s="586">
        <f>-PV([1]i.Finance!$O$63/12,[1]i.Finance!$O$62*12,mCFD!BG326)</f>
        <v>10233961.918709608</v>
      </c>
      <c r="BJ326" s="586">
        <f>BI326*[1]i.Finance!$O$58</f>
        <v>8033660.1061870428</v>
      </c>
      <c r="BK326" s="586"/>
      <c r="BL326" s="586"/>
      <c r="BP326" s="533"/>
      <c r="BQ326" s="533"/>
      <c r="BR326" s="533" t="e">
        <f t="shared" si="174"/>
        <v>#NAME?</v>
      </c>
      <c r="BS326" s="533" t="e">
        <f t="shared" si="175"/>
        <v>#NAME?</v>
      </c>
      <c r="BT326" s="533" t="e">
        <f t="shared" si="176"/>
        <v>#NAME?</v>
      </c>
      <c r="BU326" s="533"/>
    </row>
    <row r="327" spans="1:73" ht="16" hidden="1" outlineLevel="2">
      <c r="A327" s="366"/>
      <c r="B327" s="562"/>
      <c r="C327" s="366"/>
      <c r="D327" s="454"/>
      <c r="E327" s="547">
        <f t="shared" si="185"/>
        <v>321</v>
      </c>
      <c r="F327" s="547">
        <f t="shared" si="177"/>
        <v>107</v>
      </c>
      <c r="G327" s="547">
        <f t="shared" si="178"/>
        <v>27</v>
      </c>
      <c r="H327" s="548">
        <f t="shared" si="191"/>
        <v>53570</v>
      </c>
      <c r="I327" s="549">
        <f t="shared" ref="I327:I366" si="194">YEAR(H327)</f>
        <v>2046</v>
      </c>
      <c r="K327" s="547">
        <f>[1]mProject!KB331</f>
        <v>0</v>
      </c>
      <c r="L327" s="547">
        <f t="shared" ref="L327:L366" si="195">+K327+L326</f>
        <v>950</v>
      </c>
      <c r="M327" s="547">
        <f t="shared" ref="M327:M366" si="196">M326</f>
        <v>295000</v>
      </c>
      <c r="N327" s="547">
        <f t="shared" ref="N327:N366" si="197">M327*K327</f>
        <v>0</v>
      </c>
      <c r="O327" s="547">
        <f t="shared" si="179"/>
        <v>280250000</v>
      </c>
      <c r="P327" s="547">
        <f>[1]mProject!W331</f>
        <v>483747.61500083696</v>
      </c>
      <c r="Q327" s="547">
        <f t="shared" ref="Q327:Q366" si="198">P327*K327</f>
        <v>0</v>
      </c>
      <c r="R327" s="547">
        <f t="shared" si="180"/>
        <v>296355280.38883054</v>
      </c>
      <c r="T327" s="547">
        <v>0</v>
      </c>
      <c r="U327" s="547">
        <f t="shared" ref="U327:U366" si="199">+T327+U326</f>
        <v>0</v>
      </c>
      <c r="V327" s="547">
        <f>IF(T327=0,0,$V$7*(1+#REF!)^#REF!)</f>
        <v>0</v>
      </c>
      <c r="W327" s="547">
        <f t="shared" si="181"/>
        <v>0</v>
      </c>
      <c r="X327" s="547">
        <f t="shared" ref="X327:X366" si="200">W327*T327</f>
        <v>0</v>
      </c>
      <c r="Y327" s="547">
        <f t="shared" ref="Y327:Y366" si="201">T327*V327</f>
        <v>0</v>
      </c>
      <c r="AA327" s="547">
        <v>0</v>
      </c>
      <c r="AB327" s="547">
        <f t="shared" ref="AB327:AB366" si="202">+AA327+AB326</f>
        <v>0</v>
      </c>
      <c r="AC327" s="547">
        <f>IF(AA327=0,0,$V$7*(1+#REF!)^#REF!)</f>
        <v>0</v>
      </c>
      <c r="AD327" s="547">
        <f t="shared" si="182"/>
        <v>0</v>
      </c>
      <c r="AE327" s="547">
        <f t="shared" ref="AE327:AE366" si="203">AD327*AA327</f>
        <v>0</v>
      </c>
      <c r="AF327" s="547">
        <f t="shared" ref="AF327:AF366" si="204">AA327*AC327</f>
        <v>0</v>
      </c>
      <c r="AH327" s="547">
        <f t="shared" ref="AH327:AH366" si="205">+K327+T327+AA327</f>
        <v>0</v>
      </c>
      <c r="AI327" s="547">
        <f t="shared" si="183"/>
        <v>950</v>
      </c>
      <c r="AJ327" s="547">
        <f t="shared" si="193"/>
        <v>0</v>
      </c>
      <c r="AK327" s="547">
        <f>AJ327*[1]mProject!V331</f>
        <v>0</v>
      </c>
      <c r="AL327" s="547">
        <f t="shared" ref="AL327:AL366" si="206">N327+X327+AE327</f>
        <v>0</v>
      </c>
      <c r="AM327" s="547">
        <f t="shared" ref="AM327:AM366" si="207">Q327</f>
        <v>0</v>
      </c>
      <c r="AN327" s="456"/>
      <c r="AO327" s="577" t="e">
        <f t="shared" si="186"/>
        <v>#REF!</v>
      </c>
      <c r="AP327" s="577" t="e">
        <f t="shared" si="190"/>
        <v>#REF!</v>
      </c>
      <c r="AQ327" s="577" t="e">
        <f t="shared" si="192"/>
        <v>#REF!</v>
      </c>
      <c r="AR327" s="578" t="e">
        <f t="shared" si="187"/>
        <v>#REF!</v>
      </c>
      <c r="AS327" s="547" t="e">
        <f t="shared" si="189"/>
        <v>#REF!</v>
      </c>
      <c r="AT327" s="547"/>
      <c r="AU327" s="547"/>
      <c r="AV327" s="547" t="e">
        <f t="shared" ref="AV327:AV366" si="208">SUM(AS327:AU327)</f>
        <v>#REF!</v>
      </c>
      <c r="AW327" s="547" t="e">
        <f>AI327*#REF!+AI326*#REF!+AI325*#REF!</f>
        <v>#REF!</v>
      </c>
      <c r="AX327" s="456"/>
      <c r="AY327" s="585">
        <f t="shared" si="184"/>
        <v>1.706688018967238</v>
      </c>
      <c r="AZ327" s="547">
        <f t="shared" ref="AZ327:AZ366" si="209">(Q327*i_CFD.FullCashRatio*i_CFD.ResiAssesRatio)+(AU327*i_CFD.FullCashRatio*i_CFD.CommeAssesRatio)*AY327</f>
        <v>0</v>
      </c>
      <c r="BA327" s="547">
        <f>BA326*[1]mProject!V332</f>
        <v>0</v>
      </c>
      <c r="BB327" s="547">
        <f t="shared" si="188"/>
        <v>17781316.823329829</v>
      </c>
      <c r="BC327" s="456"/>
      <c r="BD327" s="588">
        <f>((BB327/100)*(i_CFD.ObliRate/12))*[1]i.Finance!$O$64</f>
        <v>59826.722228495157</v>
      </c>
      <c r="BE327" s="588">
        <f>(AZ327/100*[1]i.Finance!$O$61)*[1]i.Finance!$O$64</f>
        <v>0</v>
      </c>
      <c r="BF327" s="588">
        <f>(AZ327/100*[1]i.Finance!$O$65)</f>
        <v>0</v>
      </c>
      <c r="BG327" s="589">
        <f t="shared" ref="BG327:BG366" si="210">BD327+BF327</f>
        <v>59826.722228495157</v>
      </c>
      <c r="BH327" s="456"/>
      <c r="BI327" s="588">
        <f>-PV([1]i.Finance!$O$63/12,[1]i.Finance!$O$62*12,mCFD!BG327)</f>
        <v>10233961.918709608</v>
      </c>
      <c r="BJ327" s="588">
        <f>BI327*[1]i.Finance!$O$58</f>
        <v>8033660.1061870428</v>
      </c>
      <c r="BK327" s="588"/>
      <c r="BL327" s="588"/>
      <c r="BP327" s="547"/>
      <c r="BQ327" s="547"/>
      <c r="BR327" s="547" t="e">
        <f t="shared" ref="BR327:BR366" si="211">LOOKUP(H327,cv_Dates,cv_Lots.Sold)*$BR$5</f>
        <v>#NAME?</v>
      </c>
      <c r="BS327" s="547" t="e">
        <f t="shared" ref="BS327:BS366" si="212">BR327*-$BS$5</f>
        <v>#NAME?</v>
      </c>
      <c r="BT327" s="547" t="e">
        <f t="shared" ref="BT327:BT366" si="213">BR327+BS327</f>
        <v>#NAME?</v>
      </c>
      <c r="BU327" s="547"/>
    </row>
    <row r="328" spans="1:73" ht="16" hidden="1" outlineLevel="2">
      <c r="A328" s="366"/>
      <c r="B328" s="562"/>
      <c r="C328" s="366"/>
      <c r="D328" s="454"/>
      <c r="E328" s="530">
        <f t="shared" si="185"/>
        <v>322</v>
      </c>
      <c r="F328" s="530">
        <f t="shared" ref="F328:F366" si="214">INT(INT(E328+2)/3)</f>
        <v>108</v>
      </c>
      <c r="G328" s="530">
        <f t="shared" ref="G328:G366" si="215">MIN(INT(YEARFRAC(H$7,EDATE(H328,12),3)))</f>
        <v>27</v>
      </c>
      <c r="H328" s="554">
        <f t="shared" si="191"/>
        <v>53600</v>
      </c>
      <c r="I328" s="555">
        <f t="shared" si="194"/>
        <v>2046</v>
      </c>
      <c r="K328" s="530">
        <f>[1]mProject!KB332</f>
        <v>0</v>
      </c>
      <c r="L328" s="530">
        <f t="shared" si="195"/>
        <v>950</v>
      </c>
      <c r="M328" s="530">
        <f t="shared" si="196"/>
        <v>295000</v>
      </c>
      <c r="N328" s="530">
        <f t="shared" si="197"/>
        <v>0</v>
      </c>
      <c r="O328" s="530">
        <f t="shared" ref="O328:O366" si="216">O327+N328</f>
        <v>280250000</v>
      </c>
      <c r="P328" s="530">
        <f>[1]mProject!W332</f>
        <v>484553.86102583836</v>
      </c>
      <c r="Q328" s="530">
        <f t="shared" si="198"/>
        <v>0</v>
      </c>
      <c r="R328" s="530">
        <f t="shared" ref="R328:R366" si="217">R327+Q328</f>
        <v>296355280.38883054</v>
      </c>
      <c r="T328" s="530">
        <v>0</v>
      </c>
      <c r="U328" s="530">
        <f t="shared" si="199"/>
        <v>0</v>
      </c>
      <c r="V328" s="530">
        <f>IF(T328=0,0,$V$7*(1+#REF!)^#REF!)</f>
        <v>0</v>
      </c>
      <c r="W328" s="530">
        <f t="shared" ref="W328:W366" si="218">IF(T328=0,0,$V$7)</f>
        <v>0</v>
      </c>
      <c r="X328" s="530">
        <f t="shared" si="200"/>
        <v>0</v>
      </c>
      <c r="Y328" s="530">
        <f t="shared" si="201"/>
        <v>0</v>
      </c>
      <c r="AA328" s="530">
        <v>0</v>
      </c>
      <c r="AB328" s="530">
        <f t="shared" si="202"/>
        <v>0</v>
      </c>
      <c r="AC328" s="530">
        <f>IF(AA328=0,0,$V$7*(1+#REF!)^#REF!)</f>
        <v>0</v>
      </c>
      <c r="AD328" s="530">
        <f t="shared" ref="AD328:AD366" si="219">IF(AA328=0,0,$V$7)</f>
        <v>0</v>
      </c>
      <c r="AE328" s="530">
        <f t="shared" si="203"/>
        <v>0</v>
      </c>
      <c r="AF328" s="530">
        <f t="shared" si="204"/>
        <v>0</v>
      </c>
      <c r="AH328" s="530">
        <f t="shared" si="205"/>
        <v>0</v>
      </c>
      <c r="AI328" s="530">
        <f t="shared" ref="AI328:AI366" si="220">+AH328+AI327</f>
        <v>950</v>
      </c>
      <c r="AJ328" s="530">
        <f t="shared" si="193"/>
        <v>0</v>
      </c>
      <c r="AK328" s="530">
        <f>AJ328*[1]mProject!V332</f>
        <v>0</v>
      </c>
      <c r="AL328" s="530">
        <f t="shared" si="206"/>
        <v>0</v>
      </c>
      <c r="AM328" s="530">
        <f t="shared" si="207"/>
        <v>0</v>
      </c>
      <c r="AN328" s="456"/>
      <c r="AO328" s="572" t="e">
        <f t="shared" si="186"/>
        <v>#REF!</v>
      </c>
      <c r="AP328" s="572" t="e">
        <f t="shared" si="190"/>
        <v>#REF!</v>
      </c>
      <c r="AQ328" s="572" t="e">
        <f t="shared" si="192"/>
        <v>#REF!</v>
      </c>
      <c r="AR328" s="573" t="e">
        <f t="shared" si="187"/>
        <v>#REF!</v>
      </c>
      <c r="AS328" s="530" t="e">
        <f t="shared" si="189"/>
        <v>#REF!</v>
      </c>
      <c r="AT328" s="530"/>
      <c r="AU328" s="530"/>
      <c r="AV328" s="530" t="e">
        <f t="shared" si="208"/>
        <v>#REF!</v>
      </c>
      <c r="AW328" s="530" t="e">
        <f>AI328*#REF!+AI327*#REF!+AI326*#REF!</f>
        <v>#REF!</v>
      </c>
      <c r="AX328" s="456"/>
      <c r="AY328" s="583">
        <f t="shared" ref="AY328:AY366" si="221">AY327*(1+i_CFD.AV.Inflation/12)</f>
        <v>1.7095324989988501</v>
      </c>
      <c r="AZ328" s="530">
        <f t="shared" si="209"/>
        <v>0</v>
      </c>
      <c r="BA328" s="530">
        <f>BA327*[1]mProject!V333</f>
        <v>0</v>
      </c>
      <c r="BB328" s="530">
        <f t="shared" si="188"/>
        <v>17781316.823329829</v>
      </c>
      <c r="BC328" s="456"/>
      <c r="BD328" s="590">
        <f>((BB328/100)*(i_CFD.ObliRate/12))*[1]i.Finance!$O$64</f>
        <v>59826.722228495157</v>
      </c>
      <c r="BE328" s="590">
        <f>(AZ328/100*[1]i.Finance!$O$61)*[1]i.Finance!$O$64</f>
        <v>0</v>
      </c>
      <c r="BF328" s="590">
        <f>(AZ328/100*[1]i.Finance!$O$65)</f>
        <v>0</v>
      </c>
      <c r="BG328" s="591">
        <f t="shared" si="210"/>
        <v>59826.722228495157</v>
      </c>
      <c r="BH328" s="456"/>
      <c r="BI328" s="590">
        <f>-PV([1]i.Finance!$O$63/12,[1]i.Finance!$O$62*12,mCFD!BG328)</f>
        <v>10233961.918709608</v>
      </c>
      <c r="BJ328" s="590">
        <f>BI328*[1]i.Finance!$O$58</f>
        <v>8033660.1061870428</v>
      </c>
      <c r="BK328" s="590"/>
      <c r="BL328" s="590"/>
      <c r="BP328" s="530"/>
      <c r="BQ328" s="530"/>
      <c r="BR328" s="530" t="e">
        <f t="shared" si="211"/>
        <v>#NAME?</v>
      </c>
      <c r="BS328" s="530" t="e">
        <f t="shared" si="212"/>
        <v>#NAME?</v>
      </c>
      <c r="BT328" s="530" t="e">
        <f t="shared" si="213"/>
        <v>#NAME?</v>
      </c>
      <c r="BU328" s="530"/>
    </row>
    <row r="329" spans="1:73" ht="16" hidden="1" outlineLevel="2">
      <c r="A329" s="366"/>
      <c r="B329" s="562"/>
      <c r="C329" s="366"/>
      <c r="D329" s="454"/>
      <c r="E329" s="533">
        <f t="shared" ref="E329:E366" si="222">E328+1</f>
        <v>323</v>
      </c>
      <c r="F329" s="533">
        <f t="shared" si="214"/>
        <v>108</v>
      </c>
      <c r="G329" s="533">
        <f t="shared" si="215"/>
        <v>27</v>
      </c>
      <c r="H329" s="541">
        <f t="shared" si="191"/>
        <v>53631</v>
      </c>
      <c r="I329" s="542">
        <f t="shared" si="194"/>
        <v>2046</v>
      </c>
      <c r="K329" s="533">
        <f>[1]mProject!KB333</f>
        <v>0</v>
      </c>
      <c r="L329" s="533">
        <f t="shared" si="195"/>
        <v>950</v>
      </c>
      <c r="M329" s="533">
        <f t="shared" si="196"/>
        <v>295000</v>
      </c>
      <c r="N329" s="533">
        <f t="shared" si="197"/>
        <v>0</v>
      </c>
      <c r="O329" s="533">
        <f t="shared" si="216"/>
        <v>280250000</v>
      </c>
      <c r="P329" s="533">
        <f>[1]mProject!W333</f>
        <v>485361.45079421479</v>
      </c>
      <c r="Q329" s="533">
        <f t="shared" si="198"/>
        <v>0</v>
      </c>
      <c r="R329" s="533">
        <f t="shared" si="217"/>
        <v>296355280.38883054</v>
      </c>
      <c r="T329" s="533">
        <v>0</v>
      </c>
      <c r="U329" s="533">
        <f t="shared" si="199"/>
        <v>0</v>
      </c>
      <c r="V329" s="533">
        <f>IF(T329=0,0,$V$7*(1+#REF!)^#REF!)</f>
        <v>0</v>
      </c>
      <c r="W329" s="533">
        <f t="shared" si="218"/>
        <v>0</v>
      </c>
      <c r="X329" s="533">
        <f t="shared" si="200"/>
        <v>0</v>
      </c>
      <c r="Y329" s="533">
        <f t="shared" si="201"/>
        <v>0</v>
      </c>
      <c r="AA329" s="533">
        <v>0</v>
      </c>
      <c r="AB329" s="533">
        <f t="shared" si="202"/>
        <v>0</v>
      </c>
      <c r="AC329" s="533">
        <f>IF(AA329=0,0,$V$7*(1+#REF!)^#REF!)</f>
        <v>0</v>
      </c>
      <c r="AD329" s="533">
        <f t="shared" si="219"/>
        <v>0</v>
      </c>
      <c r="AE329" s="533">
        <f t="shared" si="203"/>
        <v>0</v>
      </c>
      <c r="AF329" s="533">
        <f t="shared" si="204"/>
        <v>0</v>
      </c>
      <c r="AH329" s="533">
        <f t="shared" si="205"/>
        <v>0</v>
      </c>
      <c r="AI329" s="533">
        <f t="shared" si="220"/>
        <v>950</v>
      </c>
      <c r="AJ329" s="533">
        <f t="shared" si="193"/>
        <v>0</v>
      </c>
      <c r="AK329" s="533">
        <f>AJ329*[1]mProject!V333</f>
        <v>0</v>
      </c>
      <c r="AL329" s="533">
        <f t="shared" si="206"/>
        <v>0</v>
      </c>
      <c r="AM329" s="533">
        <f t="shared" si="207"/>
        <v>0</v>
      </c>
      <c r="AN329" s="456"/>
      <c r="AO329" s="575" t="e">
        <f t="shared" si="186"/>
        <v>#REF!</v>
      </c>
      <c r="AP329" s="575" t="e">
        <f t="shared" si="190"/>
        <v>#REF!</v>
      </c>
      <c r="AQ329" s="575" t="e">
        <f t="shared" si="192"/>
        <v>#REF!</v>
      </c>
      <c r="AR329" s="576" t="e">
        <f t="shared" si="187"/>
        <v>#REF!</v>
      </c>
      <c r="AS329" s="533" t="e">
        <f t="shared" si="189"/>
        <v>#REF!</v>
      </c>
      <c r="AT329" s="533"/>
      <c r="AU329" s="533"/>
      <c r="AV329" s="533" t="e">
        <f t="shared" si="208"/>
        <v>#REF!</v>
      </c>
      <c r="AW329" s="533" t="e">
        <f>AI329*#REF!+AI328*#REF!+AI327*#REF!</f>
        <v>#REF!</v>
      </c>
      <c r="AX329" s="456"/>
      <c r="AY329" s="584">
        <f t="shared" si="221"/>
        <v>1.7123817198305149</v>
      </c>
      <c r="AZ329" s="533">
        <f t="shared" si="209"/>
        <v>0</v>
      </c>
      <c r="BA329" s="533">
        <f>BA328*[1]mProject!V334</f>
        <v>0</v>
      </c>
      <c r="BB329" s="533">
        <f t="shared" si="188"/>
        <v>17781316.823329829</v>
      </c>
      <c r="BC329" s="456"/>
      <c r="BD329" s="586">
        <f>((BB329/100)*(i_CFD.ObliRate/12))*[1]i.Finance!$O$64</f>
        <v>59826.722228495157</v>
      </c>
      <c r="BE329" s="586">
        <f>(AZ329/100*[1]i.Finance!$O$61)*[1]i.Finance!$O$64</f>
        <v>0</v>
      </c>
      <c r="BF329" s="586">
        <f>(AZ329/100*[1]i.Finance!$O$65)</f>
        <v>0</v>
      </c>
      <c r="BG329" s="587">
        <f t="shared" si="210"/>
        <v>59826.722228495157</v>
      </c>
      <c r="BH329" s="456"/>
      <c r="BI329" s="586">
        <f>-PV([1]i.Finance!$O$63/12,[1]i.Finance!$O$62*12,mCFD!BG329)</f>
        <v>10233961.918709608</v>
      </c>
      <c r="BJ329" s="586">
        <f>BI329*[1]i.Finance!$O$58</f>
        <v>8033660.1061870428</v>
      </c>
      <c r="BK329" s="586"/>
      <c r="BL329" s="586"/>
      <c r="BP329" s="533"/>
      <c r="BQ329" s="533"/>
      <c r="BR329" s="533" t="e">
        <f t="shared" si="211"/>
        <v>#NAME?</v>
      </c>
      <c r="BS329" s="533" t="e">
        <f t="shared" si="212"/>
        <v>#NAME?</v>
      </c>
      <c r="BT329" s="533" t="e">
        <f t="shared" si="213"/>
        <v>#NAME?</v>
      </c>
      <c r="BU329" s="533"/>
    </row>
    <row r="330" spans="1:73" ht="17" hidden="1" outlineLevel="2" thickBot="1">
      <c r="A330" s="366"/>
      <c r="B330" s="562"/>
      <c r="C330" s="366"/>
      <c r="D330" s="454"/>
      <c r="E330" s="564">
        <f t="shared" si="222"/>
        <v>324</v>
      </c>
      <c r="F330" s="564">
        <f t="shared" si="214"/>
        <v>108</v>
      </c>
      <c r="G330" s="564">
        <f t="shared" si="215"/>
        <v>27</v>
      </c>
      <c r="H330" s="565">
        <f t="shared" si="191"/>
        <v>53661</v>
      </c>
      <c r="I330" s="566">
        <f t="shared" si="194"/>
        <v>2046</v>
      </c>
      <c r="K330" s="564">
        <f>[1]mProject!KB334</f>
        <v>0</v>
      </c>
      <c r="L330" s="564">
        <f t="shared" si="195"/>
        <v>950</v>
      </c>
      <c r="M330" s="564">
        <f t="shared" si="196"/>
        <v>295000</v>
      </c>
      <c r="N330" s="564">
        <f t="shared" si="197"/>
        <v>0</v>
      </c>
      <c r="O330" s="564">
        <f t="shared" si="216"/>
        <v>280250000</v>
      </c>
      <c r="P330" s="564">
        <f>[1]mProject!W334</f>
        <v>486170.38654553849</v>
      </c>
      <c r="Q330" s="564">
        <f t="shared" si="198"/>
        <v>0</v>
      </c>
      <c r="R330" s="564">
        <f t="shared" si="217"/>
        <v>296355280.38883054</v>
      </c>
      <c r="T330" s="564">
        <v>0</v>
      </c>
      <c r="U330" s="564">
        <f t="shared" si="199"/>
        <v>0</v>
      </c>
      <c r="V330" s="564">
        <f>IF(T330=0,0,$V$7*(1+#REF!)^#REF!)</f>
        <v>0</v>
      </c>
      <c r="W330" s="564">
        <f t="shared" si="218"/>
        <v>0</v>
      </c>
      <c r="X330" s="564">
        <f t="shared" si="200"/>
        <v>0</v>
      </c>
      <c r="Y330" s="564">
        <f t="shared" si="201"/>
        <v>0</v>
      </c>
      <c r="AA330" s="564">
        <v>0</v>
      </c>
      <c r="AB330" s="564">
        <f t="shared" si="202"/>
        <v>0</v>
      </c>
      <c r="AC330" s="564">
        <f>IF(AA330=0,0,$V$7*(1+#REF!)^#REF!)</f>
        <v>0</v>
      </c>
      <c r="AD330" s="564">
        <f t="shared" si="219"/>
        <v>0</v>
      </c>
      <c r="AE330" s="564">
        <f t="shared" si="203"/>
        <v>0</v>
      </c>
      <c r="AF330" s="564">
        <f t="shared" si="204"/>
        <v>0</v>
      </c>
      <c r="AH330" s="564">
        <f t="shared" si="205"/>
        <v>0</v>
      </c>
      <c r="AI330" s="564">
        <f t="shared" si="220"/>
        <v>950</v>
      </c>
      <c r="AJ330" s="564">
        <f t="shared" si="193"/>
        <v>0</v>
      </c>
      <c r="AK330" s="564">
        <f>AJ330*[1]mProject!V334</f>
        <v>0</v>
      </c>
      <c r="AL330" s="564">
        <f t="shared" si="206"/>
        <v>0</v>
      </c>
      <c r="AM330" s="564">
        <f t="shared" si="207"/>
        <v>0</v>
      </c>
      <c r="AN330" s="456"/>
      <c r="AO330" s="581" t="e">
        <f t="shared" si="186"/>
        <v>#REF!</v>
      </c>
      <c r="AP330" s="581" t="e">
        <f t="shared" si="190"/>
        <v>#REF!</v>
      </c>
      <c r="AQ330" s="581" t="e">
        <f t="shared" si="192"/>
        <v>#REF!</v>
      </c>
      <c r="AR330" s="582" t="e">
        <f t="shared" si="187"/>
        <v>#REF!</v>
      </c>
      <c r="AS330" s="564" t="e">
        <f t="shared" si="189"/>
        <v>#REF!</v>
      </c>
      <c r="AT330" s="564"/>
      <c r="AU330" s="564"/>
      <c r="AV330" s="564" t="e">
        <f t="shared" si="208"/>
        <v>#REF!</v>
      </c>
      <c r="AW330" s="564" t="e">
        <f>AI330*#REF!+AI329*#REF!+AI328*#REF!</f>
        <v>#REF!</v>
      </c>
      <c r="AX330" s="456"/>
      <c r="AY330" s="592">
        <f t="shared" si="221"/>
        <v>1.7152356893635659</v>
      </c>
      <c r="AZ330" s="564">
        <f t="shared" si="209"/>
        <v>0</v>
      </c>
      <c r="BA330" s="564">
        <f>BA329*[1]mProject!V335</f>
        <v>0</v>
      </c>
      <c r="BB330" s="564">
        <f t="shared" si="188"/>
        <v>17781316.823329829</v>
      </c>
      <c r="BC330" s="456"/>
      <c r="BD330" s="593">
        <f>((BB330/100)*(i_CFD.ObliRate/12))*[1]i.Finance!$O$64</f>
        <v>59826.722228495157</v>
      </c>
      <c r="BE330" s="593">
        <f>(AZ330/100*[1]i.Finance!$O$61)*[1]i.Finance!$O$64</f>
        <v>0</v>
      </c>
      <c r="BF330" s="593">
        <f>(AZ330/100*[1]i.Finance!$O$65)</f>
        <v>0</v>
      </c>
      <c r="BG330" s="594">
        <f t="shared" si="210"/>
        <v>59826.722228495157</v>
      </c>
      <c r="BH330" s="456"/>
      <c r="BI330" s="593">
        <f>-PV([1]i.Finance!$O$63/12,[1]i.Finance!$O$62*12,mCFD!BG330)</f>
        <v>10233961.918709608</v>
      </c>
      <c r="BJ330" s="593">
        <f>BI330*[1]i.Finance!$O$58</f>
        <v>8033660.1061870428</v>
      </c>
      <c r="BK330" s="593"/>
      <c r="BL330" s="593"/>
      <c r="BP330" s="564"/>
      <c r="BQ330" s="564"/>
      <c r="BR330" s="564" t="e">
        <f t="shared" si="211"/>
        <v>#NAME?</v>
      </c>
      <c r="BS330" s="564" t="e">
        <f t="shared" si="212"/>
        <v>#NAME?</v>
      </c>
      <c r="BT330" s="564" t="e">
        <f t="shared" si="213"/>
        <v>#NAME?</v>
      </c>
      <c r="BU330" s="564"/>
    </row>
    <row r="331" spans="1:73" ht="16" hidden="1" outlineLevel="2">
      <c r="A331" s="366"/>
      <c r="B331" s="562"/>
      <c r="C331" s="366"/>
      <c r="D331" s="454"/>
      <c r="E331" s="530">
        <f t="shared" si="222"/>
        <v>325</v>
      </c>
      <c r="F331" s="530">
        <f t="shared" si="214"/>
        <v>109</v>
      </c>
      <c r="G331" s="530">
        <f t="shared" si="215"/>
        <v>28</v>
      </c>
      <c r="H331" s="571">
        <f t="shared" si="191"/>
        <v>53692</v>
      </c>
      <c r="I331" s="532">
        <f t="shared" si="194"/>
        <v>2046</v>
      </c>
      <c r="K331" s="530">
        <f>[1]mProject!KB335</f>
        <v>0</v>
      </c>
      <c r="L331" s="530">
        <f t="shared" si="195"/>
        <v>950</v>
      </c>
      <c r="M331" s="530">
        <f t="shared" si="196"/>
        <v>295000</v>
      </c>
      <c r="N331" s="530">
        <f t="shared" si="197"/>
        <v>0</v>
      </c>
      <c r="O331" s="530">
        <f t="shared" si="216"/>
        <v>280250000</v>
      </c>
      <c r="P331" s="530">
        <f>[1]mProject!W335</f>
        <v>486980.67052311439</v>
      </c>
      <c r="Q331" s="530">
        <f t="shared" si="198"/>
        <v>0</v>
      </c>
      <c r="R331" s="530">
        <f t="shared" si="217"/>
        <v>296355280.38883054</v>
      </c>
      <c r="T331" s="530">
        <v>0</v>
      </c>
      <c r="U331" s="530">
        <f t="shared" si="199"/>
        <v>0</v>
      </c>
      <c r="V331" s="530">
        <f>IF(T331=0,0,$V$7*(1+#REF!)^#REF!)</f>
        <v>0</v>
      </c>
      <c r="W331" s="530">
        <f t="shared" si="218"/>
        <v>0</v>
      </c>
      <c r="X331" s="530">
        <f t="shared" si="200"/>
        <v>0</v>
      </c>
      <c r="Y331" s="530">
        <f t="shared" si="201"/>
        <v>0</v>
      </c>
      <c r="AA331" s="530">
        <v>0</v>
      </c>
      <c r="AB331" s="530">
        <f t="shared" si="202"/>
        <v>0</v>
      </c>
      <c r="AC331" s="530">
        <f>IF(AA331=0,0,$V$7*(1+#REF!)^#REF!)</f>
        <v>0</v>
      </c>
      <c r="AD331" s="530">
        <f t="shared" si="219"/>
        <v>0</v>
      </c>
      <c r="AE331" s="530">
        <f t="shared" si="203"/>
        <v>0</v>
      </c>
      <c r="AF331" s="530">
        <f t="shared" si="204"/>
        <v>0</v>
      </c>
      <c r="AH331" s="530">
        <f t="shared" si="205"/>
        <v>0</v>
      </c>
      <c r="AI331" s="530">
        <f t="shared" si="220"/>
        <v>950</v>
      </c>
      <c r="AJ331" s="530">
        <f t="shared" si="193"/>
        <v>0</v>
      </c>
      <c r="AK331" s="530">
        <f>AJ331*[1]mProject!V335</f>
        <v>0</v>
      </c>
      <c r="AL331" s="530">
        <f t="shared" si="206"/>
        <v>0</v>
      </c>
      <c r="AM331" s="530">
        <f t="shared" si="207"/>
        <v>0</v>
      </c>
      <c r="AN331" s="456"/>
      <c r="AO331" s="572" t="e">
        <f t="shared" si="186"/>
        <v>#REF!</v>
      </c>
      <c r="AP331" s="572" t="e">
        <f t="shared" si="190"/>
        <v>#REF!</v>
      </c>
      <c r="AQ331" s="572" t="e">
        <f t="shared" si="192"/>
        <v>#REF!</v>
      </c>
      <c r="AR331" s="573" t="e">
        <f t="shared" si="187"/>
        <v>#REF!</v>
      </c>
      <c r="AS331" s="530" t="e">
        <f t="shared" si="189"/>
        <v>#REF!</v>
      </c>
      <c r="AT331" s="530"/>
      <c r="AU331" s="530"/>
      <c r="AV331" s="530" t="e">
        <f t="shared" si="208"/>
        <v>#REF!</v>
      </c>
      <c r="AW331" s="530" t="e">
        <f>AI331*#REF!+AI330*#REF!+AI329*#REF!</f>
        <v>#REF!</v>
      </c>
      <c r="AX331" s="456"/>
      <c r="AY331" s="583">
        <f t="shared" si="221"/>
        <v>1.7180944155125053</v>
      </c>
      <c r="AZ331" s="530">
        <f t="shared" si="209"/>
        <v>0</v>
      </c>
      <c r="BA331" s="530">
        <f>BA330*[1]mProject!V336</f>
        <v>0</v>
      </c>
      <c r="BB331" s="530">
        <f t="shared" si="188"/>
        <v>17781316.823329829</v>
      </c>
      <c r="BC331" s="456"/>
      <c r="BD331" s="590">
        <f>((BB331/100)*(i_CFD.ObliRate/12))*[1]i.Finance!$O$64</f>
        <v>59826.722228495157</v>
      </c>
      <c r="BE331" s="590">
        <f>(AZ331/100*[1]i.Finance!$O$61)*[1]i.Finance!$O$64</f>
        <v>0</v>
      </c>
      <c r="BF331" s="590">
        <f>(AZ331/100*[1]i.Finance!$O$65)</f>
        <v>0</v>
      </c>
      <c r="BG331" s="591">
        <f t="shared" si="210"/>
        <v>59826.722228495157</v>
      </c>
      <c r="BH331" s="456"/>
      <c r="BI331" s="590">
        <f>-PV([1]i.Finance!$O$63/12,[1]i.Finance!$O$62*12,mCFD!BG331)</f>
        <v>10233961.918709608</v>
      </c>
      <c r="BJ331" s="590">
        <f>BI331*[1]i.Finance!$O$58</f>
        <v>8033660.1061870428</v>
      </c>
      <c r="BK331" s="590"/>
      <c r="BL331" s="590"/>
      <c r="BP331" s="530"/>
      <c r="BQ331" s="530"/>
      <c r="BR331" s="530" t="e">
        <f t="shared" si="211"/>
        <v>#NAME?</v>
      </c>
      <c r="BS331" s="530" t="e">
        <f t="shared" si="212"/>
        <v>#NAME?</v>
      </c>
      <c r="BT331" s="530" t="e">
        <f t="shared" si="213"/>
        <v>#NAME?</v>
      </c>
      <c r="BU331" s="530"/>
    </row>
    <row r="332" spans="1:73" ht="16" hidden="1" outlineLevel="2">
      <c r="A332" s="366"/>
      <c r="B332" s="562"/>
      <c r="C332" s="366"/>
      <c r="D332" s="454"/>
      <c r="E332" s="533">
        <f t="shared" si="222"/>
        <v>326</v>
      </c>
      <c r="F332" s="533">
        <f t="shared" si="214"/>
        <v>109</v>
      </c>
      <c r="G332" s="533">
        <f t="shared" si="215"/>
        <v>28</v>
      </c>
      <c r="H332" s="541">
        <f t="shared" si="191"/>
        <v>53723</v>
      </c>
      <c r="I332" s="542">
        <f t="shared" si="194"/>
        <v>2047</v>
      </c>
      <c r="K332" s="533">
        <f>[1]mProject!KB336</f>
        <v>0</v>
      </c>
      <c r="L332" s="533">
        <f t="shared" si="195"/>
        <v>950</v>
      </c>
      <c r="M332" s="533">
        <f t="shared" si="196"/>
        <v>295000</v>
      </c>
      <c r="N332" s="533">
        <f t="shared" si="197"/>
        <v>0</v>
      </c>
      <c r="O332" s="533">
        <f t="shared" si="216"/>
        <v>280250000</v>
      </c>
      <c r="P332" s="533">
        <f>[1]mProject!W336</f>
        <v>487792.30497398629</v>
      </c>
      <c r="Q332" s="533">
        <f t="shared" si="198"/>
        <v>0</v>
      </c>
      <c r="R332" s="533">
        <f t="shared" si="217"/>
        <v>296355280.38883054</v>
      </c>
      <c r="T332" s="533">
        <v>0</v>
      </c>
      <c r="U332" s="533">
        <f t="shared" si="199"/>
        <v>0</v>
      </c>
      <c r="V332" s="533">
        <f>IF(T332=0,0,$V$7*(1+#REF!)^#REF!)</f>
        <v>0</v>
      </c>
      <c r="W332" s="533">
        <f t="shared" si="218"/>
        <v>0</v>
      </c>
      <c r="X332" s="533">
        <f t="shared" si="200"/>
        <v>0</v>
      </c>
      <c r="Y332" s="533">
        <f t="shared" si="201"/>
        <v>0</v>
      </c>
      <c r="AA332" s="533">
        <v>0</v>
      </c>
      <c r="AB332" s="533">
        <f t="shared" si="202"/>
        <v>0</v>
      </c>
      <c r="AC332" s="533">
        <f>IF(AA332=0,0,$V$7*(1+#REF!)^#REF!)</f>
        <v>0</v>
      </c>
      <c r="AD332" s="533">
        <f t="shared" si="219"/>
        <v>0</v>
      </c>
      <c r="AE332" s="533">
        <f t="shared" si="203"/>
        <v>0</v>
      </c>
      <c r="AF332" s="533">
        <f t="shared" si="204"/>
        <v>0</v>
      </c>
      <c r="AH332" s="533">
        <f t="shared" si="205"/>
        <v>0</v>
      </c>
      <c r="AI332" s="533">
        <f t="shared" si="220"/>
        <v>950</v>
      </c>
      <c r="AJ332" s="533">
        <f t="shared" si="193"/>
        <v>0</v>
      </c>
      <c r="AK332" s="533">
        <f>AJ332*[1]mProject!V336</f>
        <v>0</v>
      </c>
      <c r="AL332" s="533">
        <f t="shared" si="206"/>
        <v>0</v>
      </c>
      <c r="AM332" s="533">
        <f t="shared" si="207"/>
        <v>0</v>
      </c>
      <c r="AN332" s="456"/>
      <c r="AO332" s="575" t="e">
        <f t="shared" si="186"/>
        <v>#REF!</v>
      </c>
      <c r="AP332" s="575" t="e">
        <f t="shared" si="190"/>
        <v>#REF!</v>
      </c>
      <c r="AQ332" s="575" t="e">
        <f t="shared" si="192"/>
        <v>#REF!</v>
      </c>
      <c r="AR332" s="576" t="e">
        <f t="shared" si="187"/>
        <v>#REF!</v>
      </c>
      <c r="AS332" s="533" t="e">
        <f t="shared" si="189"/>
        <v>#REF!</v>
      </c>
      <c r="AT332" s="533"/>
      <c r="AU332" s="533"/>
      <c r="AV332" s="533" t="e">
        <f t="shared" si="208"/>
        <v>#REF!</v>
      </c>
      <c r="AW332" s="533" t="e">
        <f>AI332*#REF!+AI331*#REF!+AI330*#REF!</f>
        <v>#REF!</v>
      </c>
      <c r="AX332" s="456"/>
      <c r="AY332" s="584">
        <f t="shared" si="221"/>
        <v>1.7209579062050262</v>
      </c>
      <c r="AZ332" s="533">
        <f t="shared" si="209"/>
        <v>0</v>
      </c>
      <c r="BA332" s="533">
        <f>BA331*[1]mProject!V337</f>
        <v>0</v>
      </c>
      <c r="BB332" s="533">
        <f t="shared" si="188"/>
        <v>17781316.823329829</v>
      </c>
      <c r="BC332" s="456"/>
      <c r="BD332" s="586">
        <f>((BB332/100)*(i_CFD.ObliRate/12))*[1]i.Finance!$O$64</f>
        <v>59826.722228495157</v>
      </c>
      <c r="BE332" s="586">
        <f>(AZ332/100*[1]i.Finance!$O$61)*[1]i.Finance!$O$64</f>
        <v>0</v>
      </c>
      <c r="BF332" s="586">
        <f>(AZ332/100*[1]i.Finance!$O$65)</f>
        <v>0</v>
      </c>
      <c r="BG332" s="587">
        <f t="shared" si="210"/>
        <v>59826.722228495157</v>
      </c>
      <c r="BH332" s="456"/>
      <c r="BI332" s="586">
        <f>-PV([1]i.Finance!$O$63/12,[1]i.Finance!$O$62*12,mCFD!BG332)</f>
        <v>10233961.918709608</v>
      </c>
      <c r="BJ332" s="586">
        <f>BI332*[1]i.Finance!$O$58</f>
        <v>8033660.1061870428</v>
      </c>
      <c r="BK332" s="586"/>
      <c r="BL332" s="586"/>
      <c r="BP332" s="533"/>
      <c r="BQ332" s="533"/>
      <c r="BR332" s="533" t="e">
        <f t="shared" si="211"/>
        <v>#NAME?</v>
      </c>
      <c r="BS332" s="533" t="e">
        <f t="shared" si="212"/>
        <v>#NAME?</v>
      </c>
      <c r="BT332" s="533" t="e">
        <f t="shared" si="213"/>
        <v>#NAME?</v>
      </c>
      <c r="BU332" s="533"/>
    </row>
    <row r="333" spans="1:73" ht="16" hidden="1" outlineLevel="2">
      <c r="A333" s="366"/>
      <c r="B333" s="562"/>
      <c r="C333" s="366"/>
      <c r="D333" s="454"/>
      <c r="E333" s="547">
        <f t="shared" si="222"/>
        <v>327</v>
      </c>
      <c r="F333" s="547">
        <f t="shared" si="214"/>
        <v>109</v>
      </c>
      <c r="G333" s="547">
        <f t="shared" si="215"/>
        <v>28</v>
      </c>
      <c r="H333" s="548">
        <f t="shared" si="191"/>
        <v>53751</v>
      </c>
      <c r="I333" s="549">
        <f t="shared" si="194"/>
        <v>2047</v>
      </c>
      <c r="K333" s="547">
        <f>[1]mProject!KB337</f>
        <v>0</v>
      </c>
      <c r="L333" s="547">
        <f t="shared" si="195"/>
        <v>950</v>
      </c>
      <c r="M333" s="547">
        <f t="shared" si="196"/>
        <v>295000</v>
      </c>
      <c r="N333" s="547">
        <f t="shared" si="197"/>
        <v>0</v>
      </c>
      <c r="O333" s="547">
        <f t="shared" si="216"/>
        <v>280250000</v>
      </c>
      <c r="P333" s="547">
        <f>[1]mProject!W337</f>
        <v>488605.29214894294</v>
      </c>
      <c r="Q333" s="547">
        <f t="shared" si="198"/>
        <v>0</v>
      </c>
      <c r="R333" s="547">
        <f t="shared" si="217"/>
        <v>296355280.38883054</v>
      </c>
      <c r="T333" s="547">
        <v>0</v>
      </c>
      <c r="U333" s="547">
        <f t="shared" si="199"/>
        <v>0</v>
      </c>
      <c r="V333" s="547">
        <f>IF(T333=0,0,$V$7*(1+#REF!)^#REF!)</f>
        <v>0</v>
      </c>
      <c r="W333" s="547">
        <f t="shared" si="218"/>
        <v>0</v>
      </c>
      <c r="X333" s="547">
        <f t="shared" si="200"/>
        <v>0</v>
      </c>
      <c r="Y333" s="547">
        <f t="shared" si="201"/>
        <v>0</v>
      </c>
      <c r="AA333" s="547">
        <v>0</v>
      </c>
      <c r="AB333" s="547">
        <f t="shared" si="202"/>
        <v>0</v>
      </c>
      <c r="AC333" s="547">
        <f>IF(AA333=0,0,$V$7*(1+#REF!)^#REF!)</f>
        <v>0</v>
      </c>
      <c r="AD333" s="547">
        <f t="shared" si="219"/>
        <v>0</v>
      </c>
      <c r="AE333" s="547">
        <f t="shared" si="203"/>
        <v>0</v>
      </c>
      <c r="AF333" s="547">
        <f t="shared" si="204"/>
        <v>0</v>
      </c>
      <c r="AH333" s="547">
        <f t="shared" si="205"/>
        <v>0</v>
      </c>
      <c r="AI333" s="547">
        <f t="shared" si="220"/>
        <v>950</v>
      </c>
      <c r="AJ333" s="547">
        <f t="shared" si="193"/>
        <v>0</v>
      </c>
      <c r="AK333" s="547">
        <f>AJ333*[1]mProject!V337</f>
        <v>0</v>
      </c>
      <c r="AL333" s="547">
        <f t="shared" si="206"/>
        <v>0</v>
      </c>
      <c r="AM333" s="547">
        <f t="shared" si="207"/>
        <v>0</v>
      </c>
      <c r="AN333" s="456"/>
      <c r="AO333" s="577" t="e">
        <f t="shared" si="186"/>
        <v>#REF!</v>
      </c>
      <c r="AP333" s="577" t="e">
        <f t="shared" si="190"/>
        <v>#REF!</v>
      </c>
      <c r="AQ333" s="577" t="e">
        <f t="shared" si="192"/>
        <v>#REF!</v>
      </c>
      <c r="AR333" s="578" t="e">
        <f t="shared" si="187"/>
        <v>#REF!</v>
      </c>
      <c r="AS333" s="547" t="e">
        <f t="shared" si="189"/>
        <v>#REF!</v>
      </c>
      <c r="AT333" s="547"/>
      <c r="AU333" s="547"/>
      <c r="AV333" s="547" t="e">
        <f t="shared" si="208"/>
        <v>#REF!</v>
      </c>
      <c r="AW333" s="547" t="e">
        <f>AI333*#REF!+AI332*#REF!+AI331*#REF!</f>
        <v>#REF!</v>
      </c>
      <c r="AX333" s="456"/>
      <c r="AY333" s="585">
        <f t="shared" si="221"/>
        <v>1.7238261693820347</v>
      </c>
      <c r="AZ333" s="547">
        <f t="shared" si="209"/>
        <v>0</v>
      </c>
      <c r="BA333" s="547">
        <f>BA332*[1]mProject!V338</f>
        <v>0</v>
      </c>
      <c r="BB333" s="547">
        <f t="shared" si="188"/>
        <v>17781316.823329829</v>
      </c>
      <c r="BC333" s="456"/>
      <c r="BD333" s="588">
        <f>((BB333/100)*(i_CFD.ObliRate/12))*[1]i.Finance!$O$64</f>
        <v>59826.722228495157</v>
      </c>
      <c r="BE333" s="588">
        <f>(AZ333/100*[1]i.Finance!$O$61)*[1]i.Finance!$O$64</f>
        <v>0</v>
      </c>
      <c r="BF333" s="588">
        <f>(AZ333/100*[1]i.Finance!$O$65)</f>
        <v>0</v>
      </c>
      <c r="BG333" s="589">
        <f t="shared" si="210"/>
        <v>59826.722228495157</v>
      </c>
      <c r="BH333" s="456"/>
      <c r="BI333" s="588">
        <f>-PV([1]i.Finance!$O$63/12,[1]i.Finance!$O$62*12,mCFD!BG333)</f>
        <v>10233961.918709608</v>
      </c>
      <c r="BJ333" s="588">
        <f>BI333*[1]i.Finance!$O$58</f>
        <v>8033660.1061870428</v>
      </c>
      <c r="BK333" s="588"/>
      <c r="BL333" s="588"/>
      <c r="BP333" s="547"/>
      <c r="BQ333" s="547"/>
      <c r="BR333" s="547" t="e">
        <f t="shared" si="211"/>
        <v>#NAME?</v>
      </c>
      <c r="BS333" s="547" t="e">
        <f t="shared" si="212"/>
        <v>#NAME?</v>
      </c>
      <c r="BT333" s="547" t="e">
        <f t="shared" si="213"/>
        <v>#NAME?</v>
      </c>
      <c r="BU333" s="547"/>
    </row>
    <row r="334" spans="1:73" ht="16" hidden="1" outlineLevel="2">
      <c r="A334" s="366"/>
      <c r="B334" s="562"/>
      <c r="C334" s="366"/>
      <c r="D334" s="454"/>
      <c r="E334" s="530">
        <f t="shared" si="222"/>
        <v>328</v>
      </c>
      <c r="F334" s="530">
        <f t="shared" si="214"/>
        <v>110</v>
      </c>
      <c r="G334" s="530">
        <f t="shared" si="215"/>
        <v>28</v>
      </c>
      <c r="H334" s="554">
        <f t="shared" si="191"/>
        <v>53782</v>
      </c>
      <c r="I334" s="555">
        <f t="shared" si="194"/>
        <v>2047</v>
      </c>
      <c r="K334" s="530">
        <f>[1]mProject!KB338</f>
        <v>0</v>
      </c>
      <c r="L334" s="530">
        <f t="shared" si="195"/>
        <v>950</v>
      </c>
      <c r="M334" s="530">
        <f t="shared" si="196"/>
        <v>295000</v>
      </c>
      <c r="N334" s="530">
        <f t="shared" si="197"/>
        <v>0</v>
      </c>
      <c r="O334" s="530">
        <f t="shared" si="216"/>
        <v>280250000</v>
      </c>
      <c r="P334" s="530">
        <f>[1]mProject!W338</f>
        <v>489419.63430252456</v>
      </c>
      <c r="Q334" s="530">
        <f t="shared" si="198"/>
        <v>0</v>
      </c>
      <c r="R334" s="530">
        <f t="shared" si="217"/>
        <v>296355280.38883054</v>
      </c>
      <c r="T334" s="530">
        <v>0</v>
      </c>
      <c r="U334" s="530">
        <f t="shared" si="199"/>
        <v>0</v>
      </c>
      <c r="V334" s="530">
        <f>IF(T334=0,0,$V$7*(1+#REF!)^#REF!)</f>
        <v>0</v>
      </c>
      <c r="W334" s="530">
        <f t="shared" si="218"/>
        <v>0</v>
      </c>
      <c r="X334" s="530">
        <f t="shared" si="200"/>
        <v>0</v>
      </c>
      <c r="Y334" s="530">
        <f t="shared" si="201"/>
        <v>0</v>
      </c>
      <c r="AA334" s="530">
        <v>0</v>
      </c>
      <c r="AB334" s="530">
        <f t="shared" si="202"/>
        <v>0</v>
      </c>
      <c r="AC334" s="530">
        <f>IF(AA334=0,0,$V$7*(1+#REF!)^#REF!)</f>
        <v>0</v>
      </c>
      <c r="AD334" s="530">
        <f t="shared" si="219"/>
        <v>0</v>
      </c>
      <c r="AE334" s="530">
        <f t="shared" si="203"/>
        <v>0</v>
      </c>
      <c r="AF334" s="530">
        <f t="shared" si="204"/>
        <v>0</v>
      </c>
      <c r="AH334" s="530">
        <f t="shared" si="205"/>
        <v>0</v>
      </c>
      <c r="AI334" s="530">
        <f t="shared" si="220"/>
        <v>950</v>
      </c>
      <c r="AJ334" s="530">
        <f t="shared" si="193"/>
        <v>0</v>
      </c>
      <c r="AK334" s="530">
        <f>AJ334*[1]mProject!V338</f>
        <v>0</v>
      </c>
      <c r="AL334" s="530">
        <f t="shared" si="206"/>
        <v>0</v>
      </c>
      <c r="AM334" s="530">
        <f t="shared" si="207"/>
        <v>0</v>
      </c>
      <c r="AN334" s="456"/>
      <c r="AO334" s="572" t="e">
        <f t="shared" si="186"/>
        <v>#REF!</v>
      </c>
      <c r="AP334" s="572" t="e">
        <f t="shared" si="190"/>
        <v>#REF!</v>
      </c>
      <c r="AQ334" s="572" t="e">
        <f t="shared" si="192"/>
        <v>#REF!</v>
      </c>
      <c r="AR334" s="573" t="e">
        <f t="shared" si="187"/>
        <v>#REF!</v>
      </c>
      <c r="AS334" s="530" t="e">
        <f t="shared" si="189"/>
        <v>#REF!</v>
      </c>
      <c r="AT334" s="530"/>
      <c r="AU334" s="530"/>
      <c r="AV334" s="530" t="e">
        <f t="shared" si="208"/>
        <v>#REF!</v>
      </c>
      <c r="AW334" s="530" t="e">
        <f>AI334*#REF!+AI333*#REF!+AI332*#REF!</f>
        <v>#REF!</v>
      </c>
      <c r="AX334" s="456"/>
      <c r="AY334" s="583">
        <f t="shared" si="221"/>
        <v>1.7266992129976715</v>
      </c>
      <c r="AZ334" s="530">
        <f t="shared" si="209"/>
        <v>0</v>
      </c>
      <c r="BA334" s="530">
        <f>BA333*[1]mProject!V339</f>
        <v>0</v>
      </c>
      <c r="BB334" s="530">
        <f t="shared" si="188"/>
        <v>17781316.823329829</v>
      </c>
      <c r="BC334" s="456"/>
      <c r="BD334" s="590">
        <f>((BB334/100)*(i_CFD.ObliRate/12))*[1]i.Finance!$O$64</f>
        <v>59826.722228495157</v>
      </c>
      <c r="BE334" s="590">
        <f>(AZ334/100*[1]i.Finance!$O$61)*[1]i.Finance!$O$64</f>
        <v>0</v>
      </c>
      <c r="BF334" s="590">
        <f>(AZ334/100*[1]i.Finance!$O$65)</f>
        <v>0</v>
      </c>
      <c r="BG334" s="591">
        <f t="shared" si="210"/>
        <v>59826.722228495157</v>
      </c>
      <c r="BH334" s="456"/>
      <c r="BI334" s="590">
        <f>-PV([1]i.Finance!$O$63/12,[1]i.Finance!$O$62*12,mCFD!BG334)</f>
        <v>10233961.918709608</v>
      </c>
      <c r="BJ334" s="590">
        <f>BI334*[1]i.Finance!$O$58</f>
        <v>8033660.1061870428</v>
      </c>
      <c r="BK334" s="590"/>
      <c r="BL334" s="590"/>
      <c r="BP334" s="530"/>
      <c r="BQ334" s="530"/>
      <c r="BR334" s="530" t="e">
        <f t="shared" si="211"/>
        <v>#NAME?</v>
      </c>
      <c r="BS334" s="530" t="e">
        <f t="shared" si="212"/>
        <v>#NAME?</v>
      </c>
      <c r="BT334" s="530" t="e">
        <f t="shared" si="213"/>
        <v>#NAME?</v>
      </c>
      <c r="BU334" s="530"/>
    </row>
    <row r="335" spans="1:73" ht="16" hidden="1" outlineLevel="2">
      <c r="A335" s="366"/>
      <c r="B335" s="562"/>
      <c r="C335" s="366"/>
      <c r="D335" s="454"/>
      <c r="E335" s="533">
        <f t="shared" si="222"/>
        <v>329</v>
      </c>
      <c r="F335" s="533">
        <f t="shared" si="214"/>
        <v>110</v>
      </c>
      <c r="G335" s="533">
        <f t="shared" si="215"/>
        <v>28</v>
      </c>
      <c r="H335" s="541">
        <f t="shared" si="191"/>
        <v>53812</v>
      </c>
      <c r="I335" s="542">
        <f t="shared" si="194"/>
        <v>2047</v>
      </c>
      <c r="K335" s="533">
        <f>[1]mProject!KB339</f>
        <v>0</v>
      </c>
      <c r="L335" s="533">
        <f t="shared" si="195"/>
        <v>950</v>
      </c>
      <c r="M335" s="533">
        <f t="shared" si="196"/>
        <v>295000</v>
      </c>
      <c r="N335" s="533">
        <f t="shared" si="197"/>
        <v>0</v>
      </c>
      <c r="O335" s="533">
        <f t="shared" si="216"/>
        <v>280250000</v>
      </c>
      <c r="P335" s="533">
        <f>[1]mProject!W339</f>
        <v>490235.33369302878</v>
      </c>
      <c r="Q335" s="533">
        <f t="shared" si="198"/>
        <v>0</v>
      </c>
      <c r="R335" s="533">
        <f t="shared" si="217"/>
        <v>296355280.38883054</v>
      </c>
      <c r="T335" s="533">
        <v>0</v>
      </c>
      <c r="U335" s="533">
        <f t="shared" si="199"/>
        <v>0</v>
      </c>
      <c r="V335" s="533">
        <f>IF(T335=0,0,$V$7*(1+#REF!)^#REF!)</f>
        <v>0</v>
      </c>
      <c r="W335" s="533">
        <f t="shared" si="218"/>
        <v>0</v>
      </c>
      <c r="X335" s="533">
        <f t="shared" si="200"/>
        <v>0</v>
      </c>
      <c r="Y335" s="533">
        <f t="shared" si="201"/>
        <v>0</v>
      </c>
      <c r="AA335" s="533">
        <v>0</v>
      </c>
      <c r="AB335" s="533">
        <f t="shared" si="202"/>
        <v>0</v>
      </c>
      <c r="AC335" s="533">
        <f>IF(AA335=0,0,$V$7*(1+#REF!)^#REF!)</f>
        <v>0</v>
      </c>
      <c r="AD335" s="533">
        <f t="shared" si="219"/>
        <v>0</v>
      </c>
      <c r="AE335" s="533">
        <f t="shared" si="203"/>
        <v>0</v>
      </c>
      <c r="AF335" s="533">
        <f t="shared" si="204"/>
        <v>0</v>
      </c>
      <c r="AH335" s="533">
        <f t="shared" si="205"/>
        <v>0</v>
      </c>
      <c r="AI335" s="533">
        <f t="shared" si="220"/>
        <v>950</v>
      </c>
      <c r="AJ335" s="533">
        <f t="shared" si="193"/>
        <v>0</v>
      </c>
      <c r="AK335" s="533">
        <f>AJ335*[1]mProject!V339</f>
        <v>0</v>
      </c>
      <c r="AL335" s="533">
        <f t="shared" si="206"/>
        <v>0</v>
      </c>
      <c r="AM335" s="533">
        <f t="shared" si="207"/>
        <v>0</v>
      </c>
      <c r="AN335" s="456"/>
      <c r="AO335" s="575" t="e">
        <f t="shared" si="186"/>
        <v>#REF!</v>
      </c>
      <c r="AP335" s="575" t="e">
        <f t="shared" si="190"/>
        <v>#REF!</v>
      </c>
      <c r="AQ335" s="575" t="e">
        <f t="shared" si="192"/>
        <v>#REF!</v>
      </c>
      <c r="AR335" s="576" t="e">
        <f t="shared" si="187"/>
        <v>#REF!</v>
      </c>
      <c r="AS335" s="533" t="e">
        <f t="shared" si="189"/>
        <v>#REF!</v>
      </c>
      <c r="AT335" s="533"/>
      <c r="AU335" s="533"/>
      <c r="AV335" s="533" t="e">
        <f t="shared" si="208"/>
        <v>#REF!</v>
      </c>
      <c r="AW335" s="533" t="e">
        <f>AI335*#REF!+AI334*#REF!+AI333*#REF!</f>
        <v>#REF!</v>
      </c>
      <c r="AX335" s="456"/>
      <c r="AY335" s="584">
        <f t="shared" si="221"/>
        <v>1.7295770450193344</v>
      </c>
      <c r="AZ335" s="533">
        <f t="shared" si="209"/>
        <v>0</v>
      </c>
      <c r="BA335" s="533">
        <f>BA334*[1]mProject!V340</f>
        <v>0</v>
      </c>
      <c r="BB335" s="533">
        <f t="shared" si="188"/>
        <v>17781316.823329829</v>
      </c>
      <c r="BC335" s="456"/>
      <c r="BD335" s="586">
        <f>((BB335/100)*(i_CFD.ObliRate/12))*[1]i.Finance!$O$64</f>
        <v>59826.722228495157</v>
      </c>
      <c r="BE335" s="586">
        <f>(AZ335/100*[1]i.Finance!$O$61)*[1]i.Finance!$O$64</f>
        <v>0</v>
      </c>
      <c r="BF335" s="586">
        <f>(AZ335/100*[1]i.Finance!$O$65)</f>
        <v>0</v>
      </c>
      <c r="BG335" s="587">
        <f t="shared" si="210"/>
        <v>59826.722228495157</v>
      </c>
      <c r="BH335" s="456"/>
      <c r="BI335" s="586">
        <f>-PV([1]i.Finance!$O$63/12,[1]i.Finance!$O$62*12,mCFD!BG335)</f>
        <v>10233961.918709608</v>
      </c>
      <c r="BJ335" s="586">
        <f>BI335*[1]i.Finance!$O$58</f>
        <v>8033660.1061870428</v>
      </c>
      <c r="BK335" s="586"/>
      <c r="BL335" s="586"/>
      <c r="BP335" s="533"/>
      <c r="BQ335" s="533"/>
      <c r="BR335" s="533" t="e">
        <f t="shared" si="211"/>
        <v>#NAME?</v>
      </c>
      <c r="BS335" s="533" t="e">
        <f t="shared" si="212"/>
        <v>#NAME?</v>
      </c>
      <c r="BT335" s="533" t="e">
        <f t="shared" si="213"/>
        <v>#NAME?</v>
      </c>
      <c r="BU335" s="533"/>
    </row>
    <row r="336" spans="1:73" ht="16" hidden="1" outlineLevel="2">
      <c r="A336" s="366"/>
      <c r="B336" s="562"/>
      <c r="C336" s="366"/>
      <c r="D336" s="454"/>
      <c r="E336" s="547">
        <f t="shared" si="222"/>
        <v>330</v>
      </c>
      <c r="F336" s="547">
        <f t="shared" si="214"/>
        <v>110</v>
      </c>
      <c r="G336" s="547">
        <f t="shared" si="215"/>
        <v>28</v>
      </c>
      <c r="H336" s="548">
        <f t="shared" si="191"/>
        <v>53843</v>
      </c>
      <c r="I336" s="549">
        <f t="shared" si="194"/>
        <v>2047</v>
      </c>
      <c r="K336" s="547">
        <f>[1]mProject!KB340</f>
        <v>0</v>
      </c>
      <c r="L336" s="547">
        <f t="shared" si="195"/>
        <v>950</v>
      </c>
      <c r="M336" s="547">
        <f t="shared" si="196"/>
        <v>295000</v>
      </c>
      <c r="N336" s="547">
        <f t="shared" si="197"/>
        <v>0</v>
      </c>
      <c r="O336" s="547">
        <f t="shared" si="216"/>
        <v>280250000</v>
      </c>
      <c r="P336" s="547">
        <f>[1]mProject!W340</f>
        <v>491052.39258251718</v>
      </c>
      <c r="Q336" s="547">
        <f t="shared" si="198"/>
        <v>0</v>
      </c>
      <c r="R336" s="547">
        <f t="shared" si="217"/>
        <v>296355280.38883054</v>
      </c>
      <c r="T336" s="547">
        <v>0</v>
      </c>
      <c r="U336" s="547">
        <f t="shared" si="199"/>
        <v>0</v>
      </c>
      <c r="V336" s="547">
        <f>IF(T336=0,0,$V$7*(1+#REF!)^#REF!)</f>
        <v>0</v>
      </c>
      <c r="W336" s="547">
        <f t="shared" si="218"/>
        <v>0</v>
      </c>
      <c r="X336" s="547">
        <f t="shared" si="200"/>
        <v>0</v>
      </c>
      <c r="Y336" s="547">
        <f t="shared" si="201"/>
        <v>0</v>
      </c>
      <c r="AA336" s="547">
        <v>0</v>
      </c>
      <c r="AB336" s="547">
        <f t="shared" si="202"/>
        <v>0</v>
      </c>
      <c r="AC336" s="547">
        <f>IF(AA336=0,0,$V$7*(1+#REF!)^#REF!)</f>
        <v>0</v>
      </c>
      <c r="AD336" s="547">
        <f t="shared" si="219"/>
        <v>0</v>
      </c>
      <c r="AE336" s="547">
        <f t="shared" si="203"/>
        <v>0</v>
      </c>
      <c r="AF336" s="547">
        <f t="shared" si="204"/>
        <v>0</v>
      </c>
      <c r="AH336" s="547">
        <f t="shared" si="205"/>
        <v>0</v>
      </c>
      <c r="AI336" s="547">
        <f t="shared" si="220"/>
        <v>950</v>
      </c>
      <c r="AJ336" s="547">
        <f t="shared" si="193"/>
        <v>0</v>
      </c>
      <c r="AK336" s="547">
        <f>AJ336*[1]mProject!V340</f>
        <v>0</v>
      </c>
      <c r="AL336" s="547">
        <f t="shared" si="206"/>
        <v>0</v>
      </c>
      <c r="AM336" s="547">
        <f t="shared" si="207"/>
        <v>0</v>
      </c>
      <c r="AN336" s="456"/>
      <c r="AO336" s="577" t="e">
        <f t="shared" si="186"/>
        <v>#REF!</v>
      </c>
      <c r="AP336" s="577" t="e">
        <f t="shared" si="190"/>
        <v>#REF!</v>
      </c>
      <c r="AQ336" s="577" t="e">
        <f t="shared" si="192"/>
        <v>#REF!</v>
      </c>
      <c r="AR336" s="578" t="e">
        <f t="shared" si="187"/>
        <v>#REF!</v>
      </c>
      <c r="AS336" s="547" t="e">
        <f t="shared" si="189"/>
        <v>#REF!</v>
      </c>
      <c r="AT336" s="547"/>
      <c r="AU336" s="547"/>
      <c r="AV336" s="547" t="e">
        <f t="shared" si="208"/>
        <v>#REF!</v>
      </c>
      <c r="AW336" s="547" t="e">
        <f>AI336*#REF!+AI335*#REF!+AI334*#REF!</f>
        <v>#REF!</v>
      </c>
      <c r="AX336" s="456"/>
      <c r="AY336" s="585">
        <f t="shared" si="221"/>
        <v>1.7324596734277</v>
      </c>
      <c r="AZ336" s="547">
        <f t="shared" si="209"/>
        <v>0</v>
      </c>
      <c r="BA336" s="547">
        <f>BA335*[1]mProject!V341</f>
        <v>0</v>
      </c>
      <c r="BB336" s="547">
        <f t="shared" si="188"/>
        <v>17781316.823329829</v>
      </c>
      <c r="BC336" s="456"/>
      <c r="BD336" s="588">
        <f>((BB336/100)*(i_CFD.ObliRate/12))*[1]i.Finance!$O$64</f>
        <v>59826.722228495157</v>
      </c>
      <c r="BE336" s="588">
        <f>(AZ336/100*[1]i.Finance!$O$61)*[1]i.Finance!$O$64</f>
        <v>0</v>
      </c>
      <c r="BF336" s="588">
        <f>(AZ336/100*[1]i.Finance!$O$65)</f>
        <v>0</v>
      </c>
      <c r="BG336" s="589">
        <f t="shared" si="210"/>
        <v>59826.722228495157</v>
      </c>
      <c r="BH336" s="456"/>
      <c r="BI336" s="588">
        <f>-PV([1]i.Finance!$O$63/12,[1]i.Finance!$O$62*12,mCFD!BG336)</f>
        <v>10233961.918709608</v>
      </c>
      <c r="BJ336" s="588">
        <f>BI336*[1]i.Finance!$O$58</f>
        <v>8033660.1061870428</v>
      </c>
      <c r="BK336" s="588"/>
      <c r="BL336" s="588"/>
      <c r="BP336" s="547"/>
      <c r="BQ336" s="547"/>
      <c r="BR336" s="547" t="e">
        <f t="shared" si="211"/>
        <v>#NAME?</v>
      </c>
      <c r="BS336" s="547" t="e">
        <f t="shared" si="212"/>
        <v>#NAME?</v>
      </c>
      <c r="BT336" s="547" t="e">
        <f t="shared" si="213"/>
        <v>#NAME?</v>
      </c>
      <c r="BU336" s="547"/>
    </row>
    <row r="337" spans="1:73" ht="16" hidden="1" outlineLevel="2">
      <c r="A337" s="366"/>
      <c r="B337" s="562"/>
      <c r="C337" s="366"/>
      <c r="D337" s="454"/>
      <c r="E337" s="530">
        <f t="shared" si="222"/>
        <v>331</v>
      </c>
      <c r="F337" s="530">
        <f t="shared" si="214"/>
        <v>111</v>
      </c>
      <c r="G337" s="530">
        <f t="shared" si="215"/>
        <v>28</v>
      </c>
      <c r="H337" s="554">
        <f t="shared" si="191"/>
        <v>53873</v>
      </c>
      <c r="I337" s="555">
        <f t="shared" si="194"/>
        <v>2047</v>
      </c>
      <c r="K337" s="530">
        <f>[1]mProject!KB341</f>
        <v>0</v>
      </c>
      <c r="L337" s="530">
        <f t="shared" si="195"/>
        <v>950</v>
      </c>
      <c r="M337" s="530">
        <f t="shared" si="196"/>
        <v>295000</v>
      </c>
      <c r="N337" s="530">
        <f t="shared" si="197"/>
        <v>0</v>
      </c>
      <c r="O337" s="530">
        <f t="shared" si="216"/>
        <v>280250000</v>
      </c>
      <c r="P337" s="530">
        <f>[1]mProject!W341</f>
        <v>491870.81323682138</v>
      </c>
      <c r="Q337" s="530">
        <f t="shared" si="198"/>
        <v>0</v>
      </c>
      <c r="R337" s="530">
        <f t="shared" si="217"/>
        <v>296355280.38883054</v>
      </c>
      <c r="T337" s="530">
        <v>0</v>
      </c>
      <c r="U337" s="530">
        <f t="shared" si="199"/>
        <v>0</v>
      </c>
      <c r="V337" s="530">
        <f>IF(T337=0,0,$V$7*(1+#REF!)^#REF!)</f>
        <v>0</v>
      </c>
      <c r="W337" s="530">
        <f t="shared" si="218"/>
        <v>0</v>
      </c>
      <c r="X337" s="530">
        <f t="shared" si="200"/>
        <v>0</v>
      </c>
      <c r="Y337" s="530">
        <f t="shared" si="201"/>
        <v>0</v>
      </c>
      <c r="AA337" s="530">
        <v>0</v>
      </c>
      <c r="AB337" s="530">
        <f t="shared" si="202"/>
        <v>0</v>
      </c>
      <c r="AC337" s="530">
        <f>IF(AA337=0,0,$V$7*(1+#REF!)^#REF!)</f>
        <v>0</v>
      </c>
      <c r="AD337" s="530">
        <f t="shared" si="219"/>
        <v>0</v>
      </c>
      <c r="AE337" s="530">
        <f t="shared" si="203"/>
        <v>0</v>
      </c>
      <c r="AF337" s="530">
        <f t="shared" si="204"/>
        <v>0</v>
      </c>
      <c r="AH337" s="530">
        <f t="shared" si="205"/>
        <v>0</v>
      </c>
      <c r="AI337" s="530">
        <f t="shared" si="220"/>
        <v>950</v>
      </c>
      <c r="AJ337" s="530">
        <f t="shared" si="193"/>
        <v>0</v>
      </c>
      <c r="AK337" s="530">
        <f>AJ337*[1]mProject!V341</f>
        <v>0</v>
      </c>
      <c r="AL337" s="530">
        <f t="shared" si="206"/>
        <v>0</v>
      </c>
      <c r="AM337" s="530">
        <f t="shared" si="207"/>
        <v>0</v>
      </c>
      <c r="AN337" s="456"/>
      <c r="AO337" s="572" t="e">
        <f t="shared" si="186"/>
        <v>#REF!</v>
      </c>
      <c r="AP337" s="572" t="e">
        <f t="shared" si="190"/>
        <v>#REF!</v>
      </c>
      <c r="AQ337" s="572" t="e">
        <f t="shared" si="192"/>
        <v>#REF!</v>
      </c>
      <c r="AR337" s="573" t="e">
        <f t="shared" si="187"/>
        <v>#REF!</v>
      </c>
      <c r="AS337" s="530" t="e">
        <f t="shared" si="189"/>
        <v>#REF!</v>
      </c>
      <c r="AT337" s="530"/>
      <c r="AU337" s="530"/>
      <c r="AV337" s="530" t="e">
        <f t="shared" si="208"/>
        <v>#REF!</v>
      </c>
      <c r="AW337" s="530" t="e">
        <f>AI337*#REF!+AI336*#REF!+AI335*#REF!</f>
        <v>#REF!</v>
      </c>
      <c r="AX337" s="456"/>
      <c r="AY337" s="583">
        <f t="shared" si="221"/>
        <v>1.7353471062167463</v>
      </c>
      <c r="AZ337" s="530">
        <f t="shared" si="209"/>
        <v>0</v>
      </c>
      <c r="BA337" s="530">
        <f>BA336*[1]mProject!V342</f>
        <v>0</v>
      </c>
      <c r="BB337" s="530">
        <f t="shared" si="188"/>
        <v>17781316.823329829</v>
      </c>
      <c r="BC337" s="456"/>
      <c r="BD337" s="590">
        <f>((BB337/100)*(i_CFD.ObliRate/12))*[1]i.Finance!$O$64</f>
        <v>59826.722228495157</v>
      </c>
      <c r="BE337" s="590">
        <f>(AZ337/100*[1]i.Finance!$O$61)*[1]i.Finance!$O$64</f>
        <v>0</v>
      </c>
      <c r="BF337" s="590">
        <f>(AZ337/100*[1]i.Finance!$O$65)</f>
        <v>0</v>
      </c>
      <c r="BG337" s="591">
        <f t="shared" si="210"/>
        <v>59826.722228495157</v>
      </c>
      <c r="BH337" s="456"/>
      <c r="BI337" s="590">
        <f>-PV([1]i.Finance!$O$63/12,[1]i.Finance!$O$62*12,mCFD!BG337)</f>
        <v>10233961.918709608</v>
      </c>
      <c r="BJ337" s="590">
        <f>BI337*[1]i.Finance!$O$58</f>
        <v>8033660.1061870428</v>
      </c>
      <c r="BK337" s="590"/>
      <c r="BL337" s="590"/>
      <c r="BP337" s="530"/>
      <c r="BQ337" s="530"/>
      <c r="BR337" s="530" t="e">
        <f t="shared" si="211"/>
        <v>#NAME?</v>
      </c>
      <c r="BS337" s="530" t="e">
        <f t="shared" si="212"/>
        <v>#NAME?</v>
      </c>
      <c r="BT337" s="530" t="e">
        <f t="shared" si="213"/>
        <v>#NAME?</v>
      </c>
      <c r="BU337" s="530"/>
    </row>
    <row r="338" spans="1:73" ht="16" hidden="1" outlineLevel="2">
      <c r="A338" s="366"/>
      <c r="B338" s="562"/>
      <c r="C338" s="366"/>
      <c r="D338" s="454"/>
      <c r="E338" s="533">
        <f t="shared" si="222"/>
        <v>332</v>
      </c>
      <c r="F338" s="533">
        <f t="shared" si="214"/>
        <v>111</v>
      </c>
      <c r="G338" s="533">
        <f t="shared" si="215"/>
        <v>28</v>
      </c>
      <c r="H338" s="541">
        <f t="shared" si="191"/>
        <v>53904</v>
      </c>
      <c r="I338" s="542">
        <f t="shared" si="194"/>
        <v>2047</v>
      </c>
      <c r="K338" s="533">
        <f>[1]mProject!KB342</f>
        <v>0</v>
      </c>
      <c r="L338" s="533">
        <f t="shared" si="195"/>
        <v>950</v>
      </c>
      <c r="M338" s="533">
        <f t="shared" si="196"/>
        <v>295000</v>
      </c>
      <c r="N338" s="533">
        <f t="shared" si="197"/>
        <v>0</v>
      </c>
      <c r="O338" s="533">
        <f t="shared" si="216"/>
        <v>280250000</v>
      </c>
      <c r="P338" s="533">
        <f>[1]mProject!W342</f>
        <v>492690.59792554943</v>
      </c>
      <c r="Q338" s="533">
        <f t="shared" si="198"/>
        <v>0</v>
      </c>
      <c r="R338" s="533">
        <f t="shared" si="217"/>
        <v>296355280.38883054</v>
      </c>
      <c r="T338" s="533">
        <v>0</v>
      </c>
      <c r="U338" s="533">
        <f t="shared" si="199"/>
        <v>0</v>
      </c>
      <c r="V338" s="533">
        <f>IF(T338=0,0,$V$7*(1+#REF!)^#REF!)</f>
        <v>0</v>
      </c>
      <c r="W338" s="533">
        <f t="shared" si="218"/>
        <v>0</v>
      </c>
      <c r="X338" s="533">
        <f t="shared" si="200"/>
        <v>0</v>
      </c>
      <c r="Y338" s="533">
        <f t="shared" si="201"/>
        <v>0</v>
      </c>
      <c r="AA338" s="533">
        <v>0</v>
      </c>
      <c r="AB338" s="533">
        <f t="shared" si="202"/>
        <v>0</v>
      </c>
      <c r="AC338" s="533">
        <f>IF(AA338=0,0,$V$7*(1+#REF!)^#REF!)</f>
        <v>0</v>
      </c>
      <c r="AD338" s="533">
        <f t="shared" si="219"/>
        <v>0</v>
      </c>
      <c r="AE338" s="533">
        <f t="shared" si="203"/>
        <v>0</v>
      </c>
      <c r="AF338" s="533">
        <f t="shared" si="204"/>
        <v>0</v>
      </c>
      <c r="AH338" s="533">
        <f t="shared" si="205"/>
        <v>0</v>
      </c>
      <c r="AI338" s="533">
        <f t="shared" si="220"/>
        <v>950</v>
      </c>
      <c r="AJ338" s="533">
        <f t="shared" si="193"/>
        <v>0</v>
      </c>
      <c r="AK338" s="533">
        <f>AJ338*[1]mProject!V342</f>
        <v>0</v>
      </c>
      <c r="AL338" s="533">
        <f t="shared" si="206"/>
        <v>0</v>
      </c>
      <c r="AM338" s="533">
        <f t="shared" si="207"/>
        <v>0</v>
      </c>
      <c r="AN338" s="456"/>
      <c r="AO338" s="575" t="e">
        <f t="shared" si="186"/>
        <v>#REF!</v>
      </c>
      <c r="AP338" s="575" t="e">
        <f t="shared" si="190"/>
        <v>#REF!</v>
      </c>
      <c r="AQ338" s="575" t="e">
        <f t="shared" si="192"/>
        <v>#REF!</v>
      </c>
      <c r="AR338" s="576" t="e">
        <f t="shared" si="187"/>
        <v>#REF!</v>
      </c>
      <c r="AS338" s="533" t="e">
        <f t="shared" si="189"/>
        <v>#REF!</v>
      </c>
      <c r="AT338" s="533"/>
      <c r="AU338" s="533"/>
      <c r="AV338" s="533" t="e">
        <f t="shared" si="208"/>
        <v>#REF!</v>
      </c>
      <c r="AW338" s="533" t="e">
        <f>AI338*#REF!+AI337*#REF!+AI336*#REF!</f>
        <v>#REF!</v>
      </c>
      <c r="AX338" s="456"/>
      <c r="AY338" s="584">
        <f t="shared" si="221"/>
        <v>1.7382393513937742</v>
      </c>
      <c r="AZ338" s="533">
        <f t="shared" si="209"/>
        <v>0</v>
      </c>
      <c r="BA338" s="533">
        <f>BA337*[1]mProject!V343</f>
        <v>0</v>
      </c>
      <c r="BB338" s="533">
        <f t="shared" si="188"/>
        <v>17781316.823329829</v>
      </c>
      <c r="BC338" s="456"/>
      <c r="BD338" s="586">
        <f>((BB338/100)*(i_CFD.ObliRate/12))*[1]i.Finance!$O$64</f>
        <v>59826.722228495157</v>
      </c>
      <c r="BE338" s="586">
        <f>(AZ338/100*[1]i.Finance!$O$61)*[1]i.Finance!$O$64</f>
        <v>0</v>
      </c>
      <c r="BF338" s="586">
        <f>(AZ338/100*[1]i.Finance!$O$65)</f>
        <v>0</v>
      </c>
      <c r="BG338" s="587">
        <f t="shared" si="210"/>
        <v>59826.722228495157</v>
      </c>
      <c r="BH338" s="456"/>
      <c r="BI338" s="586">
        <f>-PV([1]i.Finance!$O$63/12,[1]i.Finance!$O$62*12,mCFD!BG338)</f>
        <v>10233961.918709608</v>
      </c>
      <c r="BJ338" s="586">
        <f>BI338*[1]i.Finance!$O$58</f>
        <v>8033660.1061870428</v>
      </c>
      <c r="BK338" s="586"/>
      <c r="BL338" s="586"/>
      <c r="BP338" s="533"/>
      <c r="BQ338" s="533"/>
      <c r="BR338" s="533" t="e">
        <f t="shared" si="211"/>
        <v>#NAME?</v>
      </c>
      <c r="BS338" s="533" t="e">
        <f t="shared" si="212"/>
        <v>#NAME?</v>
      </c>
      <c r="BT338" s="533" t="e">
        <f t="shared" si="213"/>
        <v>#NAME?</v>
      </c>
      <c r="BU338" s="533"/>
    </row>
    <row r="339" spans="1:73" ht="16" hidden="1" outlineLevel="2">
      <c r="A339" s="366"/>
      <c r="B339" s="562"/>
      <c r="C339" s="366"/>
      <c r="D339" s="454"/>
      <c r="E339" s="547">
        <f t="shared" si="222"/>
        <v>333</v>
      </c>
      <c r="F339" s="547">
        <f t="shared" si="214"/>
        <v>111</v>
      </c>
      <c r="G339" s="547">
        <f t="shared" si="215"/>
        <v>28</v>
      </c>
      <c r="H339" s="548">
        <f t="shared" si="191"/>
        <v>53935</v>
      </c>
      <c r="I339" s="549">
        <f t="shared" si="194"/>
        <v>2047</v>
      </c>
      <c r="K339" s="547">
        <f>[1]mProject!KB343</f>
        <v>0</v>
      </c>
      <c r="L339" s="547">
        <f t="shared" si="195"/>
        <v>950</v>
      </c>
      <c r="M339" s="547">
        <f t="shared" si="196"/>
        <v>295000</v>
      </c>
      <c r="N339" s="547">
        <f t="shared" si="197"/>
        <v>0</v>
      </c>
      <c r="O339" s="547">
        <f t="shared" si="216"/>
        <v>280250000</v>
      </c>
      <c r="P339" s="547">
        <f>[1]mProject!W343</f>
        <v>493511.74892209203</v>
      </c>
      <c r="Q339" s="547">
        <f t="shared" si="198"/>
        <v>0</v>
      </c>
      <c r="R339" s="547">
        <f t="shared" si="217"/>
        <v>296355280.38883054</v>
      </c>
      <c r="T339" s="547">
        <v>0</v>
      </c>
      <c r="U339" s="547">
        <f t="shared" si="199"/>
        <v>0</v>
      </c>
      <c r="V339" s="547">
        <f>IF(T339=0,0,$V$7*(1+#REF!)^#REF!)</f>
        <v>0</v>
      </c>
      <c r="W339" s="547">
        <f t="shared" si="218"/>
        <v>0</v>
      </c>
      <c r="X339" s="547">
        <f t="shared" si="200"/>
        <v>0</v>
      </c>
      <c r="Y339" s="547">
        <f t="shared" si="201"/>
        <v>0</v>
      </c>
      <c r="AA339" s="547">
        <v>0</v>
      </c>
      <c r="AB339" s="547">
        <f t="shared" si="202"/>
        <v>0</v>
      </c>
      <c r="AC339" s="547">
        <f>IF(AA339=0,0,$V$7*(1+#REF!)^#REF!)</f>
        <v>0</v>
      </c>
      <c r="AD339" s="547">
        <f t="shared" si="219"/>
        <v>0</v>
      </c>
      <c r="AE339" s="547">
        <f t="shared" si="203"/>
        <v>0</v>
      </c>
      <c r="AF339" s="547">
        <f t="shared" si="204"/>
        <v>0</v>
      </c>
      <c r="AH339" s="547">
        <f t="shared" si="205"/>
        <v>0</v>
      </c>
      <c r="AI339" s="547">
        <f t="shared" si="220"/>
        <v>950</v>
      </c>
      <c r="AJ339" s="547">
        <f t="shared" si="193"/>
        <v>0</v>
      </c>
      <c r="AK339" s="547">
        <f>AJ339*[1]mProject!V343</f>
        <v>0</v>
      </c>
      <c r="AL339" s="547">
        <f t="shared" si="206"/>
        <v>0</v>
      </c>
      <c r="AM339" s="547">
        <f t="shared" si="207"/>
        <v>0</v>
      </c>
      <c r="AN339" s="456"/>
      <c r="AO339" s="577" t="e">
        <f t="shared" ref="AO339:AO366" si="223">$L339*AO$6</f>
        <v>#REF!</v>
      </c>
      <c r="AP339" s="577" t="e">
        <f t="shared" si="190"/>
        <v>#REF!</v>
      </c>
      <c r="AQ339" s="577" t="e">
        <f t="shared" si="192"/>
        <v>#REF!</v>
      </c>
      <c r="AR339" s="578" t="e">
        <f t="shared" ref="AR339:AR366" si="224">SUM(AO339:AQ339)</f>
        <v>#REF!</v>
      </c>
      <c r="AS339" s="547" t="e">
        <f t="shared" si="189"/>
        <v>#REF!</v>
      </c>
      <c r="AT339" s="547"/>
      <c r="AU339" s="547"/>
      <c r="AV339" s="547" t="e">
        <f t="shared" si="208"/>
        <v>#REF!</v>
      </c>
      <c r="AW339" s="547" t="e">
        <f>AI339*#REF!+AI338*#REF!+AI337*#REF!</f>
        <v>#REF!</v>
      </c>
      <c r="AX339" s="456"/>
      <c r="AY339" s="585">
        <f t="shared" si="221"/>
        <v>1.7411364169794306</v>
      </c>
      <c r="AZ339" s="547">
        <f t="shared" si="209"/>
        <v>0</v>
      </c>
      <c r="BA339" s="547">
        <f>BA338*[1]mProject!V344</f>
        <v>0</v>
      </c>
      <c r="BB339" s="547">
        <f t="shared" ref="BB339:BB366" si="225">BB338+AZ339+BA339</f>
        <v>17781316.823329829</v>
      </c>
      <c r="BC339" s="456"/>
      <c r="BD339" s="588">
        <f>((BB339/100)*(i_CFD.ObliRate/12))*[1]i.Finance!$O$64</f>
        <v>59826.722228495157</v>
      </c>
      <c r="BE339" s="588">
        <f>(AZ339/100*[1]i.Finance!$O$61)*[1]i.Finance!$O$64</f>
        <v>0</v>
      </c>
      <c r="BF339" s="588">
        <f>(AZ339/100*[1]i.Finance!$O$65)</f>
        <v>0</v>
      </c>
      <c r="BG339" s="589">
        <f t="shared" si="210"/>
        <v>59826.722228495157</v>
      </c>
      <c r="BH339" s="456"/>
      <c r="BI339" s="588">
        <f>-PV([1]i.Finance!$O$63/12,[1]i.Finance!$O$62*12,mCFD!BG339)</f>
        <v>10233961.918709608</v>
      </c>
      <c r="BJ339" s="588">
        <f>BI339*[1]i.Finance!$O$58</f>
        <v>8033660.1061870428</v>
      </c>
      <c r="BK339" s="588"/>
      <c r="BL339" s="588"/>
      <c r="BP339" s="547"/>
      <c r="BQ339" s="547"/>
      <c r="BR339" s="547" t="e">
        <f t="shared" si="211"/>
        <v>#NAME?</v>
      </c>
      <c r="BS339" s="547" t="e">
        <f t="shared" si="212"/>
        <v>#NAME?</v>
      </c>
      <c r="BT339" s="547" t="e">
        <f t="shared" si="213"/>
        <v>#NAME?</v>
      </c>
      <c r="BU339" s="547"/>
    </row>
    <row r="340" spans="1:73" ht="16" hidden="1" outlineLevel="2">
      <c r="A340" s="366"/>
      <c r="B340" s="562"/>
      <c r="C340" s="366"/>
      <c r="D340" s="454"/>
      <c r="E340" s="530">
        <f t="shared" si="222"/>
        <v>334</v>
      </c>
      <c r="F340" s="530">
        <f t="shared" si="214"/>
        <v>112</v>
      </c>
      <c r="G340" s="530">
        <f t="shared" si="215"/>
        <v>28</v>
      </c>
      <c r="H340" s="554">
        <f t="shared" si="191"/>
        <v>53965</v>
      </c>
      <c r="I340" s="555">
        <f t="shared" si="194"/>
        <v>2047</v>
      </c>
      <c r="K340" s="530">
        <f>[1]mProject!KB344</f>
        <v>0</v>
      </c>
      <c r="L340" s="530">
        <f t="shared" si="195"/>
        <v>950</v>
      </c>
      <c r="M340" s="530">
        <f t="shared" si="196"/>
        <v>295000</v>
      </c>
      <c r="N340" s="530">
        <f t="shared" si="197"/>
        <v>0</v>
      </c>
      <c r="O340" s="530">
        <f t="shared" si="216"/>
        <v>280250000</v>
      </c>
      <c r="P340" s="530">
        <f>[1]mProject!W344</f>
        <v>494334.26850362885</v>
      </c>
      <c r="Q340" s="530">
        <f t="shared" si="198"/>
        <v>0</v>
      </c>
      <c r="R340" s="530">
        <f t="shared" si="217"/>
        <v>296355280.38883054</v>
      </c>
      <c r="T340" s="530">
        <v>0</v>
      </c>
      <c r="U340" s="530">
        <f t="shared" si="199"/>
        <v>0</v>
      </c>
      <c r="V340" s="530">
        <f>IF(T340=0,0,$V$7*(1+#REF!)^#REF!)</f>
        <v>0</v>
      </c>
      <c r="W340" s="530">
        <f t="shared" si="218"/>
        <v>0</v>
      </c>
      <c r="X340" s="530">
        <f t="shared" si="200"/>
        <v>0</v>
      </c>
      <c r="Y340" s="530">
        <f t="shared" si="201"/>
        <v>0</v>
      </c>
      <c r="AA340" s="530">
        <v>0</v>
      </c>
      <c r="AB340" s="530">
        <f t="shared" si="202"/>
        <v>0</v>
      </c>
      <c r="AC340" s="530">
        <f>IF(AA340=0,0,$V$7*(1+#REF!)^#REF!)</f>
        <v>0</v>
      </c>
      <c r="AD340" s="530">
        <f t="shared" si="219"/>
        <v>0</v>
      </c>
      <c r="AE340" s="530">
        <f t="shared" si="203"/>
        <v>0</v>
      </c>
      <c r="AF340" s="530">
        <f t="shared" si="204"/>
        <v>0</v>
      </c>
      <c r="AH340" s="530">
        <f t="shared" si="205"/>
        <v>0</v>
      </c>
      <c r="AI340" s="530">
        <f t="shared" si="220"/>
        <v>950</v>
      </c>
      <c r="AJ340" s="530">
        <f t="shared" si="193"/>
        <v>0</v>
      </c>
      <c r="AK340" s="530">
        <f>AJ340*[1]mProject!V344</f>
        <v>0</v>
      </c>
      <c r="AL340" s="530">
        <f t="shared" si="206"/>
        <v>0</v>
      </c>
      <c r="AM340" s="530">
        <f t="shared" si="207"/>
        <v>0</v>
      </c>
      <c r="AN340" s="456"/>
      <c r="AO340" s="572" t="e">
        <f t="shared" si="223"/>
        <v>#REF!</v>
      </c>
      <c r="AP340" s="572" t="e">
        <f t="shared" si="190"/>
        <v>#REF!</v>
      </c>
      <c r="AQ340" s="572" t="e">
        <f t="shared" si="192"/>
        <v>#REF!</v>
      </c>
      <c r="AR340" s="573" t="e">
        <f t="shared" si="224"/>
        <v>#REF!</v>
      </c>
      <c r="AS340" s="530" t="e">
        <f t="shared" si="189"/>
        <v>#REF!</v>
      </c>
      <c r="AT340" s="530"/>
      <c r="AU340" s="530"/>
      <c r="AV340" s="530" t="e">
        <f t="shared" si="208"/>
        <v>#REF!</v>
      </c>
      <c r="AW340" s="530" t="e">
        <f>AI340*#REF!+AI339*#REF!+AI338*#REF!</f>
        <v>#REF!</v>
      </c>
      <c r="AX340" s="456"/>
      <c r="AY340" s="583">
        <f t="shared" si="221"/>
        <v>1.7440383110077298</v>
      </c>
      <c r="AZ340" s="530">
        <f t="shared" si="209"/>
        <v>0</v>
      </c>
      <c r="BA340" s="530">
        <f>BA339*[1]mProject!V345</f>
        <v>0</v>
      </c>
      <c r="BB340" s="530">
        <f t="shared" si="225"/>
        <v>17781316.823329829</v>
      </c>
      <c r="BC340" s="456"/>
      <c r="BD340" s="590">
        <f>((BB340/100)*(i_CFD.ObliRate/12))*[1]i.Finance!$O$64</f>
        <v>59826.722228495157</v>
      </c>
      <c r="BE340" s="590">
        <f>(AZ340/100*[1]i.Finance!$O$61)*[1]i.Finance!$O$64</f>
        <v>0</v>
      </c>
      <c r="BF340" s="590">
        <f>(AZ340/100*[1]i.Finance!$O$65)</f>
        <v>0</v>
      </c>
      <c r="BG340" s="591">
        <f t="shared" si="210"/>
        <v>59826.722228495157</v>
      </c>
      <c r="BH340" s="456"/>
      <c r="BI340" s="590">
        <f>-PV([1]i.Finance!$O$63/12,[1]i.Finance!$O$62*12,mCFD!BG340)</f>
        <v>10233961.918709608</v>
      </c>
      <c r="BJ340" s="590">
        <f>BI340*[1]i.Finance!$O$58</f>
        <v>8033660.1061870428</v>
      </c>
      <c r="BK340" s="590"/>
      <c r="BL340" s="590"/>
      <c r="BP340" s="530"/>
      <c r="BQ340" s="530"/>
      <c r="BR340" s="530" t="e">
        <f t="shared" si="211"/>
        <v>#NAME?</v>
      </c>
      <c r="BS340" s="530" t="e">
        <f t="shared" si="212"/>
        <v>#NAME?</v>
      </c>
      <c r="BT340" s="530" t="e">
        <f t="shared" si="213"/>
        <v>#NAME?</v>
      </c>
      <c r="BU340" s="530"/>
    </row>
    <row r="341" spans="1:73" ht="16" hidden="1" outlineLevel="2">
      <c r="A341" s="366"/>
      <c r="B341" s="562"/>
      <c r="C341" s="366"/>
      <c r="D341" s="454"/>
      <c r="E341" s="533">
        <f t="shared" si="222"/>
        <v>335</v>
      </c>
      <c r="F341" s="533">
        <f t="shared" si="214"/>
        <v>112</v>
      </c>
      <c r="G341" s="533">
        <f t="shared" si="215"/>
        <v>28</v>
      </c>
      <c r="H341" s="541">
        <f t="shared" si="191"/>
        <v>53996</v>
      </c>
      <c r="I341" s="542">
        <f t="shared" si="194"/>
        <v>2047</v>
      </c>
      <c r="K341" s="533">
        <f>[1]mProject!KB345</f>
        <v>0</v>
      </c>
      <c r="L341" s="533">
        <f t="shared" si="195"/>
        <v>950</v>
      </c>
      <c r="M341" s="533">
        <f t="shared" si="196"/>
        <v>295000</v>
      </c>
      <c r="N341" s="533">
        <f t="shared" si="197"/>
        <v>0</v>
      </c>
      <c r="O341" s="533">
        <f t="shared" si="216"/>
        <v>280250000</v>
      </c>
      <c r="P341" s="533">
        <f>[1]mProject!W345</f>
        <v>495158.15895113489</v>
      </c>
      <c r="Q341" s="533">
        <f t="shared" si="198"/>
        <v>0</v>
      </c>
      <c r="R341" s="533">
        <f t="shared" si="217"/>
        <v>296355280.38883054</v>
      </c>
      <c r="T341" s="533">
        <v>0</v>
      </c>
      <c r="U341" s="533">
        <f t="shared" si="199"/>
        <v>0</v>
      </c>
      <c r="V341" s="533">
        <f>IF(T341=0,0,$V$7*(1+#REF!)^#REF!)</f>
        <v>0</v>
      </c>
      <c r="W341" s="533">
        <f t="shared" si="218"/>
        <v>0</v>
      </c>
      <c r="X341" s="533">
        <f t="shared" si="200"/>
        <v>0</v>
      </c>
      <c r="Y341" s="533">
        <f t="shared" si="201"/>
        <v>0</v>
      </c>
      <c r="AA341" s="533">
        <v>0</v>
      </c>
      <c r="AB341" s="533">
        <f t="shared" si="202"/>
        <v>0</v>
      </c>
      <c r="AC341" s="533">
        <f>IF(AA341=0,0,$V$7*(1+#REF!)^#REF!)</f>
        <v>0</v>
      </c>
      <c r="AD341" s="533">
        <f t="shared" si="219"/>
        <v>0</v>
      </c>
      <c r="AE341" s="533">
        <f t="shared" si="203"/>
        <v>0</v>
      </c>
      <c r="AF341" s="533">
        <f t="shared" si="204"/>
        <v>0</v>
      </c>
      <c r="AH341" s="533">
        <f t="shared" si="205"/>
        <v>0</v>
      </c>
      <c r="AI341" s="533">
        <f t="shared" si="220"/>
        <v>950</v>
      </c>
      <c r="AJ341" s="533">
        <f t="shared" si="193"/>
        <v>0</v>
      </c>
      <c r="AK341" s="533">
        <f>AJ341*[1]mProject!V345</f>
        <v>0</v>
      </c>
      <c r="AL341" s="533">
        <f t="shared" si="206"/>
        <v>0</v>
      </c>
      <c r="AM341" s="533">
        <f t="shared" si="207"/>
        <v>0</v>
      </c>
      <c r="AN341" s="456"/>
      <c r="AO341" s="575" t="e">
        <f t="shared" si="223"/>
        <v>#REF!</v>
      </c>
      <c r="AP341" s="575" t="e">
        <f t="shared" si="190"/>
        <v>#REF!</v>
      </c>
      <c r="AQ341" s="575" t="e">
        <f t="shared" si="192"/>
        <v>#REF!</v>
      </c>
      <c r="AR341" s="576" t="e">
        <f t="shared" si="224"/>
        <v>#REF!</v>
      </c>
      <c r="AS341" s="533" t="e">
        <f t="shared" si="189"/>
        <v>#REF!</v>
      </c>
      <c r="AT341" s="533"/>
      <c r="AU341" s="533"/>
      <c r="AV341" s="533" t="e">
        <f t="shared" si="208"/>
        <v>#REF!</v>
      </c>
      <c r="AW341" s="533" t="e">
        <f>AI341*#REF!+AI340*#REF!+AI339*#REF!</f>
        <v>#REF!</v>
      </c>
      <c r="AX341" s="456"/>
      <c r="AY341" s="584">
        <f t="shared" si="221"/>
        <v>1.7469450415260761</v>
      </c>
      <c r="AZ341" s="533">
        <f t="shared" si="209"/>
        <v>0</v>
      </c>
      <c r="BA341" s="533">
        <f>BA340*[1]mProject!V346</f>
        <v>0</v>
      </c>
      <c r="BB341" s="533">
        <f t="shared" si="225"/>
        <v>17781316.823329829</v>
      </c>
      <c r="BC341" s="456"/>
      <c r="BD341" s="586">
        <f>((BB341/100)*(i_CFD.ObliRate/12))*[1]i.Finance!$O$64</f>
        <v>59826.722228495157</v>
      </c>
      <c r="BE341" s="586">
        <f>(AZ341/100*[1]i.Finance!$O$61)*[1]i.Finance!$O$64</f>
        <v>0</v>
      </c>
      <c r="BF341" s="586">
        <f>(AZ341/100*[1]i.Finance!$O$65)</f>
        <v>0</v>
      </c>
      <c r="BG341" s="587">
        <f t="shared" si="210"/>
        <v>59826.722228495157</v>
      </c>
      <c r="BH341" s="456"/>
      <c r="BI341" s="586">
        <f>-PV([1]i.Finance!$O$63/12,[1]i.Finance!$O$62*12,mCFD!BG341)</f>
        <v>10233961.918709608</v>
      </c>
      <c r="BJ341" s="586">
        <f>BI341*[1]i.Finance!$O$58</f>
        <v>8033660.1061870428</v>
      </c>
      <c r="BK341" s="586"/>
      <c r="BL341" s="586"/>
      <c r="BP341" s="533"/>
      <c r="BQ341" s="533"/>
      <c r="BR341" s="533" t="e">
        <f t="shared" si="211"/>
        <v>#NAME?</v>
      </c>
      <c r="BS341" s="533" t="e">
        <f t="shared" si="212"/>
        <v>#NAME?</v>
      </c>
      <c r="BT341" s="533" t="e">
        <f t="shared" si="213"/>
        <v>#NAME?</v>
      </c>
      <c r="BU341" s="533"/>
    </row>
    <row r="342" spans="1:73" ht="17" hidden="1" outlineLevel="2" thickBot="1">
      <c r="A342" s="366"/>
      <c r="B342" s="562"/>
      <c r="C342" s="366"/>
      <c r="D342" s="454"/>
      <c r="E342" s="564">
        <f t="shared" si="222"/>
        <v>336</v>
      </c>
      <c r="F342" s="564">
        <f t="shared" si="214"/>
        <v>112</v>
      </c>
      <c r="G342" s="564">
        <f t="shared" si="215"/>
        <v>28</v>
      </c>
      <c r="H342" s="565">
        <f t="shared" si="191"/>
        <v>54026</v>
      </c>
      <c r="I342" s="566">
        <f t="shared" si="194"/>
        <v>2047</v>
      </c>
      <c r="K342" s="564">
        <f>[1]mProject!KB346</f>
        <v>0</v>
      </c>
      <c r="L342" s="564">
        <f t="shared" si="195"/>
        <v>950</v>
      </c>
      <c r="M342" s="564">
        <f t="shared" si="196"/>
        <v>295000</v>
      </c>
      <c r="N342" s="564">
        <f t="shared" si="197"/>
        <v>0</v>
      </c>
      <c r="O342" s="564">
        <f t="shared" si="216"/>
        <v>280250000</v>
      </c>
      <c r="P342" s="564">
        <f>[1]mProject!W346</f>
        <v>495983.4225493868</v>
      </c>
      <c r="Q342" s="564">
        <f t="shared" si="198"/>
        <v>0</v>
      </c>
      <c r="R342" s="564">
        <f t="shared" si="217"/>
        <v>296355280.38883054</v>
      </c>
      <c r="T342" s="564">
        <v>0</v>
      </c>
      <c r="U342" s="564">
        <f t="shared" si="199"/>
        <v>0</v>
      </c>
      <c r="V342" s="564">
        <f>IF(T342=0,0,$V$7*(1+#REF!)^#REF!)</f>
        <v>0</v>
      </c>
      <c r="W342" s="564">
        <f t="shared" si="218"/>
        <v>0</v>
      </c>
      <c r="X342" s="564">
        <f t="shared" si="200"/>
        <v>0</v>
      </c>
      <c r="Y342" s="564">
        <f t="shared" si="201"/>
        <v>0</v>
      </c>
      <c r="AA342" s="564">
        <v>0</v>
      </c>
      <c r="AB342" s="564">
        <f t="shared" si="202"/>
        <v>0</v>
      </c>
      <c r="AC342" s="564">
        <f>IF(AA342=0,0,$V$7*(1+#REF!)^#REF!)</f>
        <v>0</v>
      </c>
      <c r="AD342" s="564">
        <f t="shared" si="219"/>
        <v>0</v>
      </c>
      <c r="AE342" s="564">
        <f t="shared" si="203"/>
        <v>0</v>
      </c>
      <c r="AF342" s="564">
        <f t="shared" si="204"/>
        <v>0</v>
      </c>
      <c r="AH342" s="564">
        <f t="shared" si="205"/>
        <v>0</v>
      </c>
      <c r="AI342" s="564">
        <f t="shared" si="220"/>
        <v>950</v>
      </c>
      <c r="AJ342" s="564">
        <f t="shared" si="193"/>
        <v>0</v>
      </c>
      <c r="AK342" s="564">
        <f>AJ342*[1]mProject!V346</f>
        <v>0</v>
      </c>
      <c r="AL342" s="564">
        <f t="shared" si="206"/>
        <v>0</v>
      </c>
      <c r="AM342" s="564">
        <f t="shared" si="207"/>
        <v>0</v>
      </c>
      <c r="AN342" s="456"/>
      <c r="AO342" s="581" t="e">
        <f t="shared" si="223"/>
        <v>#REF!</v>
      </c>
      <c r="AP342" s="581" t="e">
        <f t="shared" si="190"/>
        <v>#REF!</v>
      </c>
      <c r="AQ342" s="581" t="e">
        <f t="shared" si="192"/>
        <v>#REF!</v>
      </c>
      <c r="AR342" s="582" t="e">
        <f t="shared" si="224"/>
        <v>#REF!</v>
      </c>
      <c r="AS342" s="564" t="e">
        <f t="shared" si="189"/>
        <v>#REF!</v>
      </c>
      <c r="AT342" s="564"/>
      <c r="AU342" s="564"/>
      <c r="AV342" s="564" t="e">
        <f t="shared" si="208"/>
        <v>#REF!</v>
      </c>
      <c r="AW342" s="564" t="e">
        <f>AI342*#REF!+AI341*#REF!+AI340*#REF!</f>
        <v>#REF!</v>
      </c>
      <c r="AX342" s="456"/>
      <c r="AY342" s="592">
        <f t="shared" si="221"/>
        <v>1.7498566165952862</v>
      </c>
      <c r="AZ342" s="564">
        <f t="shared" si="209"/>
        <v>0</v>
      </c>
      <c r="BA342" s="564">
        <f>BA341*[1]mProject!V347</f>
        <v>0</v>
      </c>
      <c r="BB342" s="564">
        <f t="shared" si="225"/>
        <v>17781316.823329829</v>
      </c>
      <c r="BC342" s="456"/>
      <c r="BD342" s="593">
        <f>((BB342/100)*(i_CFD.ObliRate/12))*[1]i.Finance!$O$64</f>
        <v>59826.722228495157</v>
      </c>
      <c r="BE342" s="593">
        <f>(AZ342/100*[1]i.Finance!$O$61)*[1]i.Finance!$O$64</f>
        <v>0</v>
      </c>
      <c r="BF342" s="593">
        <f>(AZ342/100*[1]i.Finance!$O$65)</f>
        <v>0</v>
      </c>
      <c r="BG342" s="594">
        <f t="shared" si="210"/>
        <v>59826.722228495157</v>
      </c>
      <c r="BH342" s="456"/>
      <c r="BI342" s="593">
        <f>-PV([1]i.Finance!$O$63/12,[1]i.Finance!$O$62*12,mCFD!BG342)</f>
        <v>10233961.918709608</v>
      </c>
      <c r="BJ342" s="593">
        <f>BI342*[1]i.Finance!$O$58</f>
        <v>8033660.1061870428</v>
      </c>
      <c r="BK342" s="593"/>
      <c r="BL342" s="593"/>
      <c r="BP342" s="564"/>
      <c r="BQ342" s="564"/>
      <c r="BR342" s="564" t="e">
        <f t="shared" si="211"/>
        <v>#NAME?</v>
      </c>
      <c r="BS342" s="564" t="e">
        <f t="shared" si="212"/>
        <v>#NAME?</v>
      </c>
      <c r="BT342" s="564" t="e">
        <f t="shared" si="213"/>
        <v>#NAME?</v>
      </c>
      <c r="BU342" s="564"/>
    </row>
    <row r="343" spans="1:73" ht="16" hidden="1" outlineLevel="2">
      <c r="A343" s="366"/>
      <c r="B343" s="562"/>
      <c r="C343" s="366"/>
      <c r="D343" s="454"/>
      <c r="E343" s="530">
        <f t="shared" si="222"/>
        <v>337</v>
      </c>
      <c r="F343" s="530">
        <f t="shared" si="214"/>
        <v>113</v>
      </c>
      <c r="G343" s="530">
        <f t="shared" si="215"/>
        <v>29</v>
      </c>
      <c r="H343" s="571">
        <f t="shared" si="191"/>
        <v>54057</v>
      </c>
      <c r="I343" s="532">
        <f t="shared" si="194"/>
        <v>2047</v>
      </c>
      <c r="K343" s="530">
        <f>[1]mProject!KB347</f>
        <v>0</v>
      </c>
      <c r="L343" s="530">
        <f t="shared" si="195"/>
        <v>950</v>
      </c>
      <c r="M343" s="530">
        <f t="shared" si="196"/>
        <v>295000</v>
      </c>
      <c r="N343" s="530">
        <f t="shared" si="197"/>
        <v>0</v>
      </c>
      <c r="O343" s="530">
        <f t="shared" si="216"/>
        <v>280250000</v>
      </c>
      <c r="P343" s="530">
        <f>[1]mProject!W347</f>
        <v>496810.06158696912</v>
      </c>
      <c r="Q343" s="530">
        <f t="shared" si="198"/>
        <v>0</v>
      </c>
      <c r="R343" s="530">
        <f t="shared" si="217"/>
        <v>296355280.38883054</v>
      </c>
      <c r="T343" s="530">
        <v>0</v>
      </c>
      <c r="U343" s="530">
        <f t="shared" si="199"/>
        <v>0</v>
      </c>
      <c r="V343" s="530">
        <f>IF(T343=0,0,$V$7*(1+#REF!)^#REF!)</f>
        <v>0</v>
      </c>
      <c r="W343" s="530">
        <f t="shared" si="218"/>
        <v>0</v>
      </c>
      <c r="X343" s="530">
        <f t="shared" si="200"/>
        <v>0</v>
      </c>
      <c r="Y343" s="530">
        <f t="shared" si="201"/>
        <v>0</v>
      </c>
      <c r="AA343" s="530">
        <v>0</v>
      </c>
      <c r="AB343" s="530">
        <f t="shared" si="202"/>
        <v>0</v>
      </c>
      <c r="AC343" s="530">
        <f>IF(AA343=0,0,$V$7*(1+#REF!)^#REF!)</f>
        <v>0</v>
      </c>
      <c r="AD343" s="530">
        <f t="shared" si="219"/>
        <v>0</v>
      </c>
      <c r="AE343" s="530">
        <f t="shared" si="203"/>
        <v>0</v>
      </c>
      <c r="AF343" s="530">
        <f t="shared" si="204"/>
        <v>0</v>
      </c>
      <c r="AH343" s="530">
        <f t="shared" si="205"/>
        <v>0</v>
      </c>
      <c r="AI343" s="530">
        <f t="shared" si="220"/>
        <v>950</v>
      </c>
      <c r="AJ343" s="530">
        <f t="shared" si="193"/>
        <v>0</v>
      </c>
      <c r="AK343" s="530">
        <f>AJ343*[1]mProject!V347</f>
        <v>0</v>
      </c>
      <c r="AL343" s="530">
        <f t="shared" si="206"/>
        <v>0</v>
      </c>
      <c r="AM343" s="530">
        <f t="shared" si="207"/>
        <v>0</v>
      </c>
      <c r="AN343" s="456"/>
      <c r="AO343" s="572" t="e">
        <f t="shared" si="223"/>
        <v>#REF!</v>
      </c>
      <c r="AP343" s="572" t="e">
        <f t="shared" si="190"/>
        <v>#REF!</v>
      </c>
      <c r="AQ343" s="572" t="e">
        <f t="shared" si="192"/>
        <v>#REF!</v>
      </c>
      <c r="AR343" s="573" t="e">
        <f t="shared" si="224"/>
        <v>#REF!</v>
      </c>
      <c r="AS343" s="530" t="e">
        <f t="shared" si="189"/>
        <v>#REF!</v>
      </c>
      <c r="AT343" s="530"/>
      <c r="AU343" s="530"/>
      <c r="AV343" s="530" t="e">
        <f t="shared" si="208"/>
        <v>#REF!</v>
      </c>
      <c r="AW343" s="530" t="e">
        <f>AI343*#REF!+AI342*#REF!+AI341*#REF!</f>
        <v>#REF!</v>
      </c>
      <c r="AX343" s="456"/>
      <c r="AY343" s="583">
        <f t="shared" si="221"/>
        <v>1.7527730442896119</v>
      </c>
      <c r="AZ343" s="530">
        <f t="shared" si="209"/>
        <v>0</v>
      </c>
      <c r="BA343" s="530">
        <f>BA342*[1]mProject!V348</f>
        <v>0</v>
      </c>
      <c r="BB343" s="530">
        <f t="shared" si="225"/>
        <v>17781316.823329829</v>
      </c>
      <c r="BC343" s="456"/>
      <c r="BD343" s="590">
        <f>((BB343/100)*(i_CFD.ObliRate/12))*[1]i.Finance!$O$64</f>
        <v>59826.722228495157</v>
      </c>
      <c r="BE343" s="590">
        <f>(AZ343/100*[1]i.Finance!$O$61)*[1]i.Finance!$O$64</f>
        <v>0</v>
      </c>
      <c r="BF343" s="590">
        <f>(AZ343/100*[1]i.Finance!$O$65)</f>
        <v>0</v>
      </c>
      <c r="BG343" s="591">
        <f t="shared" si="210"/>
        <v>59826.722228495157</v>
      </c>
      <c r="BH343" s="456"/>
      <c r="BI343" s="590">
        <f>-PV([1]i.Finance!$O$63/12,[1]i.Finance!$O$62*12,mCFD!BG343)</f>
        <v>10233961.918709608</v>
      </c>
      <c r="BJ343" s="590">
        <f>BI343*[1]i.Finance!$O$58</f>
        <v>8033660.1061870428</v>
      </c>
      <c r="BK343" s="590"/>
      <c r="BL343" s="590"/>
      <c r="BP343" s="530"/>
      <c r="BQ343" s="530"/>
      <c r="BR343" s="530" t="e">
        <f t="shared" si="211"/>
        <v>#NAME?</v>
      </c>
      <c r="BS343" s="530" t="e">
        <f t="shared" si="212"/>
        <v>#NAME?</v>
      </c>
      <c r="BT343" s="530" t="e">
        <f t="shared" si="213"/>
        <v>#NAME?</v>
      </c>
      <c r="BU343" s="530"/>
    </row>
    <row r="344" spans="1:73" ht="16" hidden="1" outlineLevel="2">
      <c r="A344" s="366"/>
      <c r="B344" s="562"/>
      <c r="C344" s="366"/>
      <c r="D344" s="454"/>
      <c r="E344" s="533">
        <f t="shared" si="222"/>
        <v>338</v>
      </c>
      <c r="F344" s="533">
        <f t="shared" si="214"/>
        <v>113</v>
      </c>
      <c r="G344" s="533">
        <f t="shared" si="215"/>
        <v>29</v>
      </c>
      <c r="H344" s="541">
        <f t="shared" si="191"/>
        <v>54088</v>
      </c>
      <c r="I344" s="542">
        <f t="shared" si="194"/>
        <v>2048</v>
      </c>
      <c r="K344" s="533">
        <f>[1]mProject!KB348</f>
        <v>0</v>
      </c>
      <c r="L344" s="533">
        <f t="shared" si="195"/>
        <v>950</v>
      </c>
      <c r="M344" s="533">
        <f t="shared" si="196"/>
        <v>295000</v>
      </c>
      <c r="N344" s="533">
        <f t="shared" si="197"/>
        <v>0</v>
      </c>
      <c r="O344" s="533">
        <f t="shared" si="216"/>
        <v>280250000</v>
      </c>
      <c r="P344" s="533">
        <f>[1]mProject!W348</f>
        <v>497638.07835628075</v>
      </c>
      <c r="Q344" s="533">
        <f t="shared" si="198"/>
        <v>0</v>
      </c>
      <c r="R344" s="533">
        <f t="shared" si="217"/>
        <v>296355280.38883054</v>
      </c>
      <c r="T344" s="533">
        <v>0</v>
      </c>
      <c r="U344" s="533">
        <f t="shared" si="199"/>
        <v>0</v>
      </c>
      <c r="V344" s="533">
        <f>IF(T344=0,0,$V$7*(1+#REF!)^#REF!)</f>
        <v>0</v>
      </c>
      <c r="W344" s="533">
        <f t="shared" si="218"/>
        <v>0</v>
      </c>
      <c r="X344" s="533">
        <f t="shared" si="200"/>
        <v>0</v>
      </c>
      <c r="Y344" s="533">
        <f t="shared" si="201"/>
        <v>0</v>
      </c>
      <c r="AA344" s="533">
        <v>0</v>
      </c>
      <c r="AB344" s="533">
        <f t="shared" si="202"/>
        <v>0</v>
      </c>
      <c r="AC344" s="533">
        <f>IF(AA344=0,0,$V$7*(1+#REF!)^#REF!)</f>
        <v>0</v>
      </c>
      <c r="AD344" s="533">
        <f t="shared" si="219"/>
        <v>0</v>
      </c>
      <c r="AE344" s="533">
        <f t="shared" si="203"/>
        <v>0</v>
      </c>
      <c r="AF344" s="533">
        <f t="shared" si="204"/>
        <v>0</v>
      </c>
      <c r="AH344" s="533">
        <f t="shared" si="205"/>
        <v>0</v>
      </c>
      <c r="AI344" s="533">
        <f t="shared" si="220"/>
        <v>950</v>
      </c>
      <c r="AJ344" s="533">
        <f t="shared" si="193"/>
        <v>0</v>
      </c>
      <c r="AK344" s="533">
        <f>AJ344*[1]mProject!V348</f>
        <v>0</v>
      </c>
      <c r="AL344" s="533">
        <f t="shared" si="206"/>
        <v>0</v>
      </c>
      <c r="AM344" s="533">
        <f t="shared" si="207"/>
        <v>0</v>
      </c>
      <c r="AN344" s="456"/>
      <c r="AO344" s="575" t="e">
        <f t="shared" si="223"/>
        <v>#REF!</v>
      </c>
      <c r="AP344" s="575" t="e">
        <f t="shared" si="190"/>
        <v>#REF!</v>
      </c>
      <c r="AQ344" s="575" t="e">
        <f t="shared" si="192"/>
        <v>#REF!</v>
      </c>
      <c r="AR344" s="576" t="e">
        <f t="shared" si="224"/>
        <v>#REF!</v>
      </c>
      <c r="AS344" s="533" t="e">
        <f t="shared" si="189"/>
        <v>#REF!</v>
      </c>
      <c r="AT344" s="533"/>
      <c r="AU344" s="533"/>
      <c r="AV344" s="533" t="e">
        <f t="shared" si="208"/>
        <v>#REF!</v>
      </c>
      <c r="AW344" s="533" t="e">
        <f>AI344*#REF!+AI343*#REF!+AI342*#REF!</f>
        <v>#REF!</v>
      </c>
      <c r="AX344" s="456"/>
      <c r="AY344" s="584">
        <f t="shared" si="221"/>
        <v>1.7556943326967613</v>
      </c>
      <c r="AZ344" s="533">
        <f t="shared" si="209"/>
        <v>0</v>
      </c>
      <c r="BA344" s="533">
        <f>BA343*[1]mProject!V349</f>
        <v>0</v>
      </c>
      <c r="BB344" s="533">
        <f t="shared" si="225"/>
        <v>17781316.823329829</v>
      </c>
      <c r="BC344" s="456"/>
      <c r="BD344" s="586">
        <f>((BB344/100)*(i_CFD.ObliRate/12))*[1]i.Finance!$O$64</f>
        <v>59826.722228495157</v>
      </c>
      <c r="BE344" s="586">
        <f>(AZ344/100*[1]i.Finance!$O$61)*[1]i.Finance!$O$64</f>
        <v>0</v>
      </c>
      <c r="BF344" s="586">
        <f>(AZ344/100*[1]i.Finance!$O$65)</f>
        <v>0</v>
      </c>
      <c r="BG344" s="587">
        <f t="shared" si="210"/>
        <v>59826.722228495157</v>
      </c>
      <c r="BH344" s="456"/>
      <c r="BI344" s="586">
        <f>-PV([1]i.Finance!$O$63/12,[1]i.Finance!$O$62*12,mCFD!BG344)</f>
        <v>10233961.918709608</v>
      </c>
      <c r="BJ344" s="586">
        <f>BI344*[1]i.Finance!$O$58</f>
        <v>8033660.1061870428</v>
      </c>
      <c r="BK344" s="586"/>
      <c r="BL344" s="586"/>
      <c r="BP344" s="533"/>
      <c r="BQ344" s="533"/>
      <c r="BR344" s="533" t="e">
        <f t="shared" si="211"/>
        <v>#NAME?</v>
      </c>
      <c r="BS344" s="533" t="e">
        <f t="shared" si="212"/>
        <v>#NAME?</v>
      </c>
      <c r="BT344" s="533" t="e">
        <f t="shared" si="213"/>
        <v>#NAME?</v>
      </c>
      <c r="BU344" s="533"/>
    </row>
    <row r="345" spans="1:73" ht="16" hidden="1" outlineLevel="2">
      <c r="A345" s="366"/>
      <c r="B345" s="562"/>
      <c r="C345" s="366"/>
      <c r="D345" s="454"/>
      <c r="E345" s="547">
        <f t="shared" si="222"/>
        <v>339</v>
      </c>
      <c r="F345" s="547">
        <f t="shared" si="214"/>
        <v>113</v>
      </c>
      <c r="G345" s="547">
        <f t="shared" si="215"/>
        <v>29</v>
      </c>
      <c r="H345" s="548">
        <f t="shared" si="191"/>
        <v>54117</v>
      </c>
      <c r="I345" s="549">
        <f t="shared" si="194"/>
        <v>2048</v>
      </c>
      <c r="K345" s="547">
        <f>[1]mProject!KB349</f>
        <v>0</v>
      </c>
      <c r="L345" s="547">
        <f t="shared" si="195"/>
        <v>950</v>
      </c>
      <c r="M345" s="547">
        <f t="shared" si="196"/>
        <v>295000</v>
      </c>
      <c r="N345" s="547">
        <f t="shared" si="197"/>
        <v>0</v>
      </c>
      <c r="O345" s="547">
        <f t="shared" si="216"/>
        <v>280250000</v>
      </c>
      <c r="P345" s="547">
        <f>[1]mProject!W349</f>
        <v>498467.47515354125</v>
      </c>
      <c r="Q345" s="547">
        <f t="shared" si="198"/>
        <v>0</v>
      </c>
      <c r="R345" s="547">
        <f t="shared" si="217"/>
        <v>296355280.38883054</v>
      </c>
      <c r="T345" s="547">
        <v>0</v>
      </c>
      <c r="U345" s="547">
        <f t="shared" si="199"/>
        <v>0</v>
      </c>
      <c r="V345" s="547">
        <f>IF(T345=0,0,$V$7*(1+#REF!)^#REF!)</f>
        <v>0</v>
      </c>
      <c r="W345" s="547">
        <f t="shared" si="218"/>
        <v>0</v>
      </c>
      <c r="X345" s="547">
        <f t="shared" si="200"/>
        <v>0</v>
      </c>
      <c r="Y345" s="547">
        <f t="shared" si="201"/>
        <v>0</v>
      </c>
      <c r="AA345" s="547">
        <v>0</v>
      </c>
      <c r="AB345" s="547">
        <f t="shared" si="202"/>
        <v>0</v>
      </c>
      <c r="AC345" s="547">
        <f>IF(AA345=0,0,$V$7*(1+#REF!)^#REF!)</f>
        <v>0</v>
      </c>
      <c r="AD345" s="547">
        <f t="shared" si="219"/>
        <v>0</v>
      </c>
      <c r="AE345" s="547">
        <f t="shared" si="203"/>
        <v>0</v>
      </c>
      <c r="AF345" s="547">
        <f t="shared" si="204"/>
        <v>0</v>
      </c>
      <c r="AH345" s="547">
        <f t="shared" si="205"/>
        <v>0</v>
      </c>
      <c r="AI345" s="547">
        <f t="shared" si="220"/>
        <v>950</v>
      </c>
      <c r="AJ345" s="547">
        <f t="shared" si="193"/>
        <v>0</v>
      </c>
      <c r="AK345" s="547">
        <f>AJ345*[1]mProject!V349</f>
        <v>0</v>
      </c>
      <c r="AL345" s="547">
        <f t="shared" si="206"/>
        <v>0</v>
      </c>
      <c r="AM345" s="547">
        <f t="shared" si="207"/>
        <v>0</v>
      </c>
      <c r="AN345" s="456"/>
      <c r="AO345" s="577" t="e">
        <f t="shared" si="223"/>
        <v>#REF!</v>
      </c>
      <c r="AP345" s="577" t="e">
        <f t="shared" si="190"/>
        <v>#REF!</v>
      </c>
      <c r="AQ345" s="577" t="e">
        <f t="shared" si="192"/>
        <v>#REF!</v>
      </c>
      <c r="AR345" s="578" t="e">
        <f t="shared" si="224"/>
        <v>#REF!</v>
      </c>
      <c r="AS345" s="547" t="e">
        <f t="shared" si="189"/>
        <v>#REF!</v>
      </c>
      <c r="AT345" s="547"/>
      <c r="AU345" s="547"/>
      <c r="AV345" s="547" t="e">
        <f t="shared" si="208"/>
        <v>#REF!</v>
      </c>
      <c r="AW345" s="547" t="e">
        <f>AI345*#REF!+AI344*#REF!+AI343*#REF!</f>
        <v>#REF!</v>
      </c>
      <c r="AX345" s="456"/>
      <c r="AY345" s="585">
        <f t="shared" si="221"/>
        <v>1.7586204899179227</v>
      </c>
      <c r="AZ345" s="547">
        <f t="shared" si="209"/>
        <v>0</v>
      </c>
      <c r="BA345" s="547">
        <f>BA344*[1]mProject!V350</f>
        <v>0</v>
      </c>
      <c r="BB345" s="547">
        <f t="shared" si="225"/>
        <v>17781316.823329829</v>
      </c>
      <c r="BC345" s="456"/>
      <c r="BD345" s="588">
        <f>((BB345/100)*(i_CFD.ObliRate/12))*[1]i.Finance!$O$64</f>
        <v>59826.722228495157</v>
      </c>
      <c r="BE345" s="588">
        <f>(AZ345/100*[1]i.Finance!$O$61)*[1]i.Finance!$O$64</f>
        <v>0</v>
      </c>
      <c r="BF345" s="588">
        <f>(AZ345/100*[1]i.Finance!$O$65)</f>
        <v>0</v>
      </c>
      <c r="BG345" s="589">
        <f t="shared" si="210"/>
        <v>59826.722228495157</v>
      </c>
      <c r="BH345" s="456"/>
      <c r="BI345" s="588">
        <f>-PV([1]i.Finance!$O$63/12,[1]i.Finance!$O$62*12,mCFD!BG345)</f>
        <v>10233961.918709608</v>
      </c>
      <c r="BJ345" s="588">
        <f>BI345*[1]i.Finance!$O$58</f>
        <v>8033660.1061870428</v>
      </c>
      <c r="BK345" s="588"/>
      <c r="BL345" s="588"/>
      <c r="BP345" s="547"/>
      <c r="BQ345" s="547"/>
      <c r="BR345" s="547" t="e">
        <f t="shared" si="211"/>
        <v>#NAME?</v>
      </c>
      <c r="BS345" s="547" t="e">
        <f t="shared" si="212"/>
        <v>#NAME?</v>
      </c>
      <c r="BT345" s="547" t="e">
        <f t="shared" si="213"/>
        <v>#NAME?</v>
      </c>
      <c r="BU345" s="547"/>
    </row>
    <row r="346" spans="1:73" ht="16" hidden="1" outlineLevel="2">
      <c r="A346" s="366"/>
      <c r="B346" s="562"/>
      <c r="C346" s="366"/>
      <c r="D346" s="454"/>
      <c r="E346" s="530">
        <f t="shared" si="222"/>
        <v>340</v>
      </c>
      <c r="F346" s="530">
        <f t="shared" si="214"/>
        <v>114</v>
      </c>
      <c r="G346" s="530">
        <f t="shared" si="215"/>
        <v>29</v>
      </c>
      <c r="H346" s="554">
        <f t="shared" si="191"/>
        <v>54148</v>
      </c>
      <c r="I346" s="555">
        <f t="shared" si="194"/>
        <v>2048</v>
      </c>
      <c r="K346" s="530">
        <f>[1]mProject!KB350</f>
        <v>0</v>
      </c>
      <c r="L346" s="530">
        <f t="shared" si="195"/>
        <v>950</v>
      </c>
      <c r="M346" s="530">
        <f t="shared" si="196"/>
        <v>295000</v>
      </c>
      <c r="N346" s="530">
        <f t="shared" si="197"/>
        <v>0</v>
      </c>
      <c r="O346" s="530">
        <f t="shared" si="216"/>
        <v>280250000</v>
      </c>
      <c r="P346" s="530">
        <f>[1]mProject!W350</f>
        <v>499298.25427879719</v>
      </c>
      <c r="Q346" s="530">
        <f t="shared" si="198"/>
        <v>0</v>
      </c>
      <c r="R346" s="530">
        <f t="shared" si="217"/>
        <v>296355280.38883054</v>
      </c>
      <c r="T346" s="530">
        <v>0</v>
      </c>
      <c r="U346" s="530">
        <f t="shared" si="199"/>
        <v>0</v>
      </c>
      <c r="V346" s="530">
        <f>IF(T346=0,0,$V$7*(1+#REF!)^#REF!)</f>
        <v>0</v>
      </c>
      <c r="W346" s="530">
        <f t="shared" si="218"/>
        <v>0</v>
      </c>
      <c r="X346" s="530">
        <f t="shared" si="200"/>
        <v>0</v>
      </c>
      <c r="Y346" s="530">
        <f t="shared" si="201"/>
        <v>0</v>
      </c>
      <c r="AA346" s="530">
        <v>0</v>
      </c>
      <c r="AB346" s="530">
        <f t="shared" si="202"/>
        <v>0</v>
      </c>
      <c r="AC346" s="530">
        <f>IF(AA346=0,0,$V$7*(1+#REF!)^#REF!)</f>
        <v>0</v>
      </c>
      <c r="AD346" s="530">
        <f t="shared" si="219"/>
        <v>0</v>
      </c>
      <c r="AE346" s="530">
        <f t="shared" si="203"/>
        <v>0</v>
      </c>
      <c r="AF346" s="530">
        <f t="shared" si="204"/>
        <v>0</v>
      </c>
      <c r="AH346" s="530">
        <f t="shared" si="205"/>
        <v>0</v>
      </c>
      <c r="AI346" s="530">
        <f t="shared" si="220"/>
        <v>950</v>
      </c>
      <c r="AJ346" s="530">
        <f t="shared" si="193"/>
        <v>0</v>
      </c>
      <c r="AK346" s="530">
        <f>AJ346*[1]mProject!V350</f>
        <v>0</v>
      </c>
      <c r="AL346" s="530">
        <f t="shared" si="206"/>
        <v>0</v>
      </c>
      <c r="AM346" s="530">
        <f t="shared" si="207"/>
        <v>0</v>
      </c>
      <c r="AN346" s="456"/>
      <c r="AO346" s="572" t="e">
        <f t="shared" si="223"/>
        <v>#REF!</v>
      </c>
      <c r="AP346" s="572" t="e">
        <f t="shared" si="190"/>
        <v>#REF!</v>
      </c>
      <c r="AQ346" s="572" t="e">
        <f t="shared" si="192"/>
        <v>#REF!</v>
      </c>
      <c r="AR346" s="573" t="e">
        <f t="shared" si="224"/>
        <v>#REF!</v>
      </c>
      <c r="AS346" s="530" t="e">
        <f t="shared" si="189"/>
        <v>#REF!</v>
      </c>
      <c r="AT346" s="530"/>
      <c r="AU346" s="530"/>
      <c r="AV346" s="530" t="e">
        <f t="shared" si="208"/>
        <v>#REF!</v>
      </c>
      <c r="AW346" s="530" t="e">
        <f>AI346*#REF!+AI345*#REF!+AI344*#REF!</f>
        <v>#REF!</v>
      </c>
      <c r="AX346" s="456"/>
      <c r="AY346" s="583">
        <f t="shared" si="221"/>
        <v>1.7615515240677859</v>
      </c>
      <c r="AZ346" s="530">
        <f t="shared" si="209"/>
        <v>0</v>
      </c>
      <c r="BA346" s="530">
        <f>BA345*[1]mProject!V351</f>
        <v>0</v>
      </c>
      <c r="BB346" s="530">
        <f t="shared" si="225"/>
        <v>17781316.823329829</v>
      </c>
      <c r="BC346" s="456"/>
      <c r="BD346" s="590">
        <f>((BB346/100)*(i_CFD.ObliRate/12))*[1]i.Finance!$O$64</f>
        <v>59826.722228495157</v>
      </c>
      <c r="BE346" s="590">
        <f>(AZ346/100*[1]i.Finance!$O$61)*[1]i.Finance!$O$64</f>
        <v>0</v>
      </c>
      <c r="BF346" s="590">
        <f>(AZ346/100*[1]i.Finance!$O$65)</f>
        <v>0</v>
      </c>
      <c r="BG346" s="591">
        <f t="shared" si="210"/>
        <v>59826.722228495157</v>
      </c>
      <c r="BH346" s="456"/>
      <c r="BI346" s="590">
        <f>-PV([1]i.Finance!$O$63/12,[1]i.Finance!$O$62*12,mCFD!BG346)</f>
        <v>10233961.918709608</v>
      </c>
      <c r="BJ346" s="590">
        <f>BI346*[1]i.Finance!$O$58</f>
        <v>8033660.1061870428</v>
      </c>
      <c r="BK346" s="590"/>
      <c r="BL346" s="590"/>
      <c r="BP346" s="530"/>
      <c r="BQ346" s="530"/>
      <c r="BR346" s="530" t="e">
        <f t="shared" si="211"/>
        <v>#NAME?</v>
      </c>
      <c r="BS346" s="530" t="e">
        <f t="shared" si="212"/>
        <v>#NAME?</v>
      </c>
      <c r="BT346" s="530" t="e">
        <f t="shared" si="213"/>
        <v>#NAME?</v>
      </c>
      <c r="BU346" s="530"/>
    </row>
    <row r="347" spans="1:73" ht="16" hidden="1" outlineLevel="2">
      <c r="A347" s="366"/>
      <c r="B347" s="562"/>
      <c r="C347" s="366"/>
      <c r="D347" s="454"/>
      <c r="E347" s="533">
        <f t="shared" si="222"/>
        <v>341</v>
      </c>
      <c r="F347" s="533">
        <f t="shared" si="214"/>
        <v>114</v>
      </c>
      <c r="G347" s="533">
        <f t="shared" si="215"/>
        <v>29</v>
      </c>
      <c r="H347" s="541">
        <f t="shared" si="191"/>
        <v>54178</v>
      </c>
      <c r="I347" s="542">
        <f t="shared" si="194"/>
        <v>2048</v>
      </c>
      <c r="K347" s="533">
        <f>[1]mProject!KB351</f>
        <v>0</v>
      </c>
      <c r="L347" s="533">
        <f t="shared" si="195"/>
        <v>950</v>
      </c>
      <c r="M347" s="533">
        <f t="shared" si="196"/>
        <v>295000</v>
      </c>
      <c r="N347" s="533">
        <f t="shared" si="197"/>
        <v>0</v>
      </c>
      <c r="O347" s="533">
        <f t="shared" si="216"/>
        <v>280250000</v>
      </c>
      <c r="P347" s="533">
        <f>[1]mProject!W351</f>
        <v>500130.41803592857</v>
      </c>
      <c r="Q347" s="533">
        <f t="shared" si="198"/>
        <v>0</v>
      </c>
      <c r="R347" s="533">
        <f t="shared" si="217"/>
        <v>296355280.38883054</v>
      </c>
      <c r="T347" s="533">
        <v>0</v>
      </c>
      <c r="U347" s="533">
        <f t="shared" si="199"/>
        <v>0</v>
      </c>
      <c r="V347" s="533">
        <f>IF(T347=0,0,$V$7*(1+#REF!)^#REF!)</f>
        <v>0</v>
      </c>
      <c r="W347" s="533">
        <f t="shared" si="218"/>
        <v>0</v>
      </c>
      <c r="X347" s="533">
        <f t="shared" si="200"/>
        <v>0</v>
      </c>
      <c r="Y347" s="533">
        <f t="shared" si="201"/>
        <v>0</v>
      </c>
      <c r="AA347" s="533">
        <v>0</v>
      </c>
      <c r="AB347" s="533">
        <f t="shared" si="202"/>
        <v>0</v>
      </c>
      <c r="AC347" s="533">
        <f>IF(AA347=0,0,$V$7*(1+#REF!)^#REF!)</f>
        <v>0</v>
      </c>
      <c r="AD347" s="533">
        <f t="shared" si="219"/>
        <v>0</v>
      </c>
      <c r="AE347" s="533">
        <f t="shared" si="203"/>
        <v>0</v>
      </c>
      <c r="AF347" s="533">
        <f t="shared" si="204"/>
        <v>0</v>
      </c>
      <c r="AH347" s="533">
        <f t="shared" si="205"/>
        <v>0</v>
      </c>
      <c r="AI347" s="533">
        <f t="shared" si="220"/>
        <v>950</v>
      </c>
      <c r="AJ347" s="533">
        <f t="shared" si="193"/>
        <v>0</v>
      </c>
      <c r="AK347" s="533">
        <f>AJ347*[1]mProject!V351</f>
        <v>0</v>
      </c>
      <c r="AL347" s="533">
        <f t="shared" si="206"/>
        <v>0</v>
      </c>
      <c r="AM347" s="533">
        <f t="shared" si="207"/>
        <v>0</v>
      </c>
      <c r="AN347" s="456"/>
      <c r="AO347" s="575" t="e">
        <f t="shared" si="223"/>
        <v>#REF!</v>
      </c>
      <c r="AP347" s="575" t="e">
        <f t="shared" si="190"/>
        <v>#REF!</v>
      </c>
      <c r="AQ347" s="575" t="e">
        <f t="shared" si="192"/>
        <v>#REF!</v>
      </c>
      <c r="AR347" s="576" t="e">
        <f t="shared" si="224"/>
        <v>#REF!</v>
      </c>
      <c r="AS347" s="533" t="e">
        <f t="shared" si="189"/>
        <v>#REF!</v>
      </c>
      <c r="AT347" s="533"/>
      <c r="AU347" s="533"/>
      <c r="AV347" s="533" t="e">
        <f t="shared" si="208"/>
        <v>#REF!</v>
      </c>
      <c r="AW347" s="533" t="e">
        <f>AI347*#REF!+AI346*#REF!+AI345*#REF!</f>
        <v>#REF!</v>
      </c>
      <c r="AX347" s="456"/>
      <c r="AY347" s="584">
        <f t="shared" si="221"/>
        <v>1.7644874432745656</v>
      </c>
      <c r="AZ347" s="533">
        <f t="shared" si="209"/>
        <v>0</v>
      </c>
      <c r="BA347" s="533">
        <f>BA346*[1]mProject!V352</f>
        <v>0</v>
      </c>
      <c r="BB347" s="533">
        <f t="shared" si="225"/>
        <v>17781316.823329829</v>
      </c>
      <c r="BC347" s="456"/>
      <c r="BD347" s="586">
        <f>((BB347/100)*(i_CFD.ObliRate/12))*[1]i.Finance!$O$64</f>
        <v>59826.722228495157</v>
      </c>
      <c r="BE347" s="586">
        <f>(AZ347/100*[1]i.Finance!$O$61)*[1]i.Finance!$O$64</f>
        <v>0</v>
      </c>
      <c r="BF347" s="586">
        <f>(AZ347/100*[1]i.Finance!$O$65)</f>
        <v>0</v>
      </c>
      <c r="BG347" s="587">
        <f t="shared" si="210"/>
        <v>59826.722228495157</v>
      </c>
      <c r="BH347" s="456"/>
      <c r="BI347" s="586">
        <f>-PV([1]i.Finance!$O$63/12,[1]i.Finance!$O$62*12,mCFD!BG347)</f>
        <v>10233961.918709608</v>
      </c>
      <c r="BJ347" s="586">
        <f>BI347*[1]i.Finance!$O$58</f>
        <v>8033660.1061870428</v>
      </c>
      <c r="BK347" s="586"/>
      <c r="BL347" s="586"/>
      <c r="BP347" s="533"/>
      <c r="BQ347" s="533"/>
      <c r="BR347" s="533" t="e">
        <f t="shared" si="211"/>
        <v>#NAME?</v>
      </c>
      <c r="BS347" s="533" t="e">
        <f t="shared" si="212"/>
        <v>#NAME?</v>
      </c>
      <c r="BT347" s="533" t="e">
        <f t="shared" si="213"/>
        <v>#NAME?</v>
      </c>
      <c r="BU347" s="533"/>
    </row>
    <row r="348" spans="1:73" ht="16" hidden="1" outlineLevel="2">
      <c r="A348" s="366"/>
      <c r="B348" s="562"/>
      <c r="C348" s="366"/>
      <c r="D348" s="454"/>
      <c r="E348" s="547">
        <f t="shared" si="222"/>
        <v>342</v>
      </c>
      <c r="F348" s="547">
        <f t="shared" si="214"/>
        <v>114</v>
      </c>
      <c r="G348" s="547">
        <f t="shared" si="215"/>
        <v>29</v>
      </c>
      <c r="H348" s="548">
        <f t="shared" si="191"/>
        <v>54209</v>
      </c>
      <c r="I348" s="549">
        <f t="shared" si="194"/>
        <v>2048</v>
      </c>
      <c r="K348" s="547">
        <f>[1]mProject!KB352</f>
        <v>0</v>
      </c>
      <c r="L348" s="547">
        <f t="shared" si="195"/>
        <v>950</v>
      </c>
      <c r="M348" s="547">
        <f t="shared" si="196"/>
        <v>295000</v>
      </c>
      <c r="N348" s="547">
        <f t="shared" si="197"/>
        <v>0</v>
      </c>
      <c r="O348" s="547">
        <f t="shared" si="216"/>
        <v>280250000</v>
      </c>
      <c r="P348" s="547">
        <f>[1]mProject!W352</f>
        <v>500963.96873265511</v>
      </c>
      <c r="Q348" s="547">
        <f t="shared" si="198"/>
        <v>0</v>
      </c>
      <c r="R348" s="547">
        <f t="shared" si="217"/>
        <v>296355280.38883054</v>
      </c>
      <c r="T348" s="547">
        <v>0</v>
      </c>
      <c r="U348" s="547">
        <f t="shared" si="199"/>
        <v>0</v>
      </c>
      <c r="V348" s="547">
        <f>IF(T348=0,0,$V$7*(1+#REF!)^#REF!)</f>
        <v>0</v>
      </c>
      <c r="W348" s="547">
        <f t="shared" si="218"/>
        <v>0</v>
      </c>
      <c r="X348" s="547">
        <f t="shared" si="200"/>
        <v>0</v>
      </c>
      <c r="Y348" s="547">
        <f t="shared" si="201"/>
        <v>0</v>
      </c>
      <c r="AA348" s="547">
        <v>0</v>
      </c>
      <c r="AB348" s="547">
        <f t="shared" si="202"/>
        <v>0</v>
      </c>
      <c r="AC348" s="547">
        <f>IF(AA348=0,0,$V$7*(1+#REF!)^#REF!)</f>
        <v>0</v>
      </c>
      <c r="AD348" s="547">
        <f t="shared" si="219"/>
        <v>0</v>
      </c>
      <c r="AE348" s="547">
        <f t="shared" si="203"/>
        <v>0</v>
      </c>
      <c r="AF348" s="547">
        <f t="shared" si="204"/>
        <v>0</v>
      </c>
      <c r="AH348" s="547">
        <f t="shared" si="205"/>
        <v>0</v>
      </c>
      <c r="AI348" s="547">
        <f t="shared" si="220"/>
        <v>950</v>
      </c>
      <c r="AJ348" s="547">
        <f t="shared" si="193"/>
        <v>0</v>
      </c>
      <c r="AK348" s="547">
        <f>AJ348*[1]mProject!V352</f>
        <v>0</v>
      </c>
      <c r="AL348" s="547">
        <f t="shared" si="206"/>
        <v>0</v>
      </c>
      <c r="AM348" s="547">
        <f t="shared" si="207"/>
        <v>0</v>
      </c>
      <c r="AN348" s="456"/>
      <c r="AO348" s="577" t="e">
        <f t="shared" si="223"/>
        <v>#REF!</v>
      </c>
      <c r="AP348" s="577" t="e">
        <f t="shared" si="190"/>
        <v>#REF!</v>
      </c>
      <c r="AQ348" s="577" t="e">
        <f t="shared" si="192"/>
        <v>#REF!</v>
      </c>
      <c r="AR348" s="578" t="e">
        <f t="shared" si="224"/>
        <v>#REF!</v>
      </c>
      <c r="AS348" s="547" t="e">
        <f t="shared" ref="AS348:AS366" si="226">AR348*P348</f>
        <v>#REF!</v>
      </c>
      <c r="AT348" s="547"/>
      <c r="AU348" s="547"/>
      <c r="AV348" s="547" t="e">
        <f t="shared" si="208"/>
        <v>#REF!</v>
      </c>
      <c r="AW348" s="547" t="e">
        <f>AI348*#REF!+AI347*#REF!+AI346*#REF!</f>
        <v>#REF!</v>
      </c>
      <c r="AX348" s="456"/>
      <c r="AY348" s="585">
        <f t="shared" si="221"/>
        <v>1.7674282556800234</v>
      </c>
      <c r="AZ348" s="547">
        <f t="shared" si="209"/>
        <v>0</v>
      </c>
      <c r="BA348" s="547">
        <f>BA347*[1]mProject!V353</f>
        <v>0</v>
      </c>
      <c r="BB348" s="547">
        <f t="shared" si="225"/>
        <v>17781316.823329829</v>
      </c>
      <c r="BC348" s="456"/>
      <c r="BD348" s="588">
        <f>((BB348/100)*(i_CFD.ObliRate/12))*[1]i.Finance!$O$64</f>
        <v>59826.722228495157</v>
      </c>
      <c r="BE348" s="588">
        <f>(AZ348/100*[1]i.Finance!$O$61)*[1]i.Finance!$O$64</f>
        <v>0</v>
      </c>
      <c r="BF348" s="588">
        <f>(AZ348/100*[1]i.Finance!$O$65)</f>
        <v>0</v>
      </c>
      <c r="BG348" s="589">
        <f t="shared" si="210"/>
        <v>59826.722228495157</v>
      </c>
      <c r="BH348" s="456"/>
      <c r="BI348" s="588">
        <f>-PV([1]i.Finance!$O$63/12,[1]i.Finance!$O$62*12,mCFD!BG348)</f>
        <v>10233961.918709608</v>
      </c>
      <c r="BJ348" s="588">
        <f>BI348*[1]i.Finance!$O$58</f>
        <v>8033660.1061870428</v>
      </c>
      <c r="BK348" s="588"/>
      <c r="BL348" s="588"/>
      <c r="BP348" s="547"/>
      <c r="BQ348" s="547"/>
      <c r="BR348" s="547" t="e">
        <f t="shared" si="211"/>
        <v>#NAME?</v>
      </c>
      <c r="BS348" s="547" t="e">
        <f t="shared" si="212"/>
        <v>#NAME?</v>
      </c>
      <c r="BT348" s="547" t="e">
        <f t="shared" si="213"/>
        <v>#NAME?</v>
      </c>
      <c r="BU348" s="547"/>
    </row>
    <row r="349" spans="1:73" ht="16" hidden="1" outlineLevel="2">
      <c r="A349" s="366"/>
      <c r="B349" s="562"/>
      <c r="C349" s="366"/>
      <c r="D349" s="454"/>
      <c r="E349" s="530">
        <f t="shared" si="222"/>
        <v>343</v>
      </c>
      <c r="F349" s="530">
        <f t="shared" si="214"/>
        <v>115</v>
      </c>
      <c r="G349" s="530">
        <f t="shared" si="215"/>
        <v>29</v>
      </c>
      <c r="H349" s="554">
        <f t="shared" si="191"/>
        <v>54239</v>
      </c>
      <c r="I349" s="555">
        <f t="shared" si="194"/>
        <v>2048</v>
      </c>
      <c r="K349" s="530">
        <f>[1]mProject!KB353</f>
        <v>0</v>
      </c>
      <c r="L349" s="530">
        <f t="shared" si="195"/>
        <v>950</v>
      </c>
      <c r="M349" s="530">
        <f t="shared" si="196"/>
        <v>295000</v>
      </c>
      <c r="N349" s="530">
        <f t="shared" si="197"/>
        <v>0</v>
      </c>
      <c r="O349" s="530">
        <f t="shared" si="216"/>
        <v>280250000</v>
      </c>
      <c r="P349" s="530">
        <f>[1]mProject!W353</f>
        <v>501798.9086805429</v>
      </c>
      <c r="Q349" s="530">
        <f t="shared" si="198"/>
        <v>0</v>
      </c>
      <c r="R349" s="530">
        <f t="shared" si="217"/>
        <v>296355280.38883054</v>
      </c>
      <c r="T349" s="530">
        <v>0</v>
      </c>
      <c r="U349" s="530">
        <f t="shared" si="199"/>
        <v>0</v>
      </c>
      <c r="V349" s="530">
        <f>IF(T349=0,0,$V$7*(1+#REF!)^#REF!)</f>
        <v>0</v>
      </c>
      <c r="W349" s="530">
        <f t="shared" si="218"/>
        <v>0</v>
      </c>
      <c r="X349" s="530">
        <f t="shared" si="200"/>
        <v>0</v>
      </c>
      <c r="Y349" s="530">
        <f t="shared" si="201"/>
        <v>0</v>
      </c>
      <c r="AA349" s="530">
        <v>0</v>
      </c>
      <c r="AB349" s="530">
        <f t="shared" si="202"/>
        <v>0</v>
      </c>
      <c r="AC349" s="530">
        <f>IF(AA349=0,0,$V$7*(1+#REF!)^#REF!)</f>
        <v>0</v>
      </c>
      <c r="AD349" s="530">
        <f t="shared" si="219"/>
        <v>0</v>
      </c>
      <c r="AE349" s="530">
        <f t="shared" si="203"/>
        <v>0</v>
      </c>
      <c r="AF349" s="530">
        <f t="shared" si="204"/>
        <v>0</v>
      </c>
      <c r="AH349" s="530">
        <f t="shared" si="205"/>
        <v>0</v>
      </c>
      <c r="AI349" s="530">
        <f t="shared" si="220"/>
        <v>950</v>
      </c>
      <c r="AJ349" s="530">
        <f t="shared" si="193"/>
        <v>0</v>
      </c>
      <c r="AK349" s="530">
        <f>AJ349*[1]mProject!V353</f>
        <v>0</v>
      </c>
      <c r="AL349" s="530">
        <f t="shared" si="206"/>
        <v>0</v>
      </c>
      <c r="AM349" s="530">
        <f t="shared" si="207"/>
        <v>0</v>
      </c>
      <c r="AN349" s="456"/>
      <c r="AO349" s="572" t="e">
        <f t="shared" si="223"/>
        <v>#REF!</v>
      </c>
      <c r="AP349" s="572" t="e">
        <f t="shared" si="190"/>
        <v>#REF!</v>
      </c>
      <c r="AQ349" s="572" t="e">
        <f t="shared" si="192"/>
        <v>#REF!</v>
      </c>
      <c r="AR349" s="573" t="e">
        <f t="shared" si="224"/>
        <v>#REF!</v>
      </c>
      <c r="AS349" s="530" t="e">
        <f t="shared" si="226"/>
        <v>#REF!</v>
      </c>
      <c r="AT349" s="530"/>
      <c r="AU349" s="530"/>
      <c r="AV349" s="530" t="e">
        <f t="shared" si="208"/>
        <v>#REF!</v>
      </c>
      <c r="AW349" s="530" t="e">
        <f>AI349*#REF!+AI348*#REF!+AI347*#REF!</f>
        <v>#REF!</v>
      </c>
      <c r="AX349" s="456"/>
      <c r="AY349" s="583">
        <f t="shared" si="221"/>
        <v>1.7703739694394902</v>
      </c>
      <c r="AZ349" s="530">
        <f t="shared" si="209"/>
        <v>0</v>
      </c>
      <c r="BA349" s="530">
        <f>BA348*[1]mProject!V354</f>
        <v>0</v>
      </c>
      <c r="BB349" s="530">
        <f t="shared" si="225"/>
        <v>17781316.823329829</v>
      </c>
      <c r="BC349" s="456"/>
      <c r="BD349" s="590">
        <f>((BB349/100)*(i_CFD.ObliRate/12))*[1]i.Finance!$O$64</f>
        <v>59826.722228495157</v>
      </c>
      <c r="BE349" s="590">
        <f>(AZ349/100*[1]i.Finance!$O$61)*[1]i.Finance!$O$64</f>
        <v>0</v>
      </c>
      <c r="BF349" s="590">
        <f>(AZ349/100*[1]i.Finance!$O$65)</f>
        <v>0</v>
      </c>
      <c r="BG349" s="591">
        <f t="shared" si="210"/>
        <v>59826.722228495157</v>
      </c>
      <c r="BH349" s="456"/>
      <c r="BI349" s="590">
        <f>-PV([1]i.Finance!$O$63/12,[1]i.Finance!$O$62*12,mCFD!BG349)</f>
        <v>10233961.918709608</v>
      </c>
      <c r="BJ349" s="590">
        <f>BI349*[1]i.Finance!$O$58</f>
        <v>8033660.1061870428</v>
      </c>
      <c r="BK349" s="590"/>
      <c r="BL349" s="590"/>
      <c r="BP349" s="530"/>
      <c r="BQ349" s="530"/>
      <c r="BR349" s="530" t="e">
        <f t="shared" si="211"/>
        <v>#NAME?</v>
      </c>
      <c r="BS349" s="530" t="e">
        <f t="shared" si="212"/>
        <v>#NAME?</v>
      </c>
      <c r="BT349" s="530" t="e">
        <f t="shared" si="213"/>
        <v>#NAME?</v>
      </c>
      <c r="BU349" s="530"/>
    </row>
    <row r="350" spans="1:73" ht="16" hidden="1" outlineLevel="2">
      <c r="A350" s="366"/>
      <c r="B350" s="562"/>
      <c r="C350" s="366"/>
      <c r="D350" s="454"/>
      <c r="E350" s="533">
        <f t="shared" si="222"/>
        <v>344</v>
      </c>
      <c r="F350" s="533">
        <f t="shared" si="214"/>
        <v>115</v>
      </c>
      <c r="G350" s="533">
        <f t="shared" si="215"/>
        <v>29</v>
      </c>
      <c r="H350" s="541">
        <f t="shared" si="191"/>
        <v>54270</v>
      </c>
      <c r="I350" s="542">
        <f t="shared" si="194"/>
        <v>2048</v>
      </c>
      <c r="K350" s="533">
        <f>[1]mProject!KB354</f>
        <v>0</v>
      </c>
      <c r="L350" s="533">
        <f t="shared" si="195"/>
        <v>950</v>
      </c>
      <c r="M350" s="533">
        <f t="shared" si="196"/>
        <v>295000</v>
      </c>
      <c r="N350" s="533">
        <f t="shared" si="197"/>
        <v>0</v>
      </c>
      <c r="O350" s="533">
        <f t="shared" si="216"/>
        <v>280250000</v>
      </c>
      <c r="P350" s="533">
        <f>[1]mProject!W354</f>
        <v>502635.2401950105</v>
      </c>
      <c r="Q350" s="533">
        <f t="shared" si="198"/>
        <v>0</v>
      </c>
      <c r="R350" s="533">
        <f t="shared" si="217"/>
        <v>296355280.38883054</v>
      </c>
      <c r="T350" s="533">
        <v>0</v>
      </c>
      <c r="U350" s="533">
        <f t="shared" si="199"/>
        <v>0</v>
      </c>
      <c r="V350" s="533">
        <f>IF(T350=0,0,$V$7*(1+#REF!)^#REF!)</f>
        <v>0</v>
      </c>
      <c r="W350" s="533">
        <f t="shared" si="218"/>
        <v>0</v>
      </c>
      <c r="X350" s="533">
        <f t="shared" si="200"/>
        <v>0</v>
      </c>
      <c r="Y350" s="533">
        <f t="shared" si="201"/>
        <v>0</v>
      </c>
      <c r="AA350" s="533">
        <v>0</v>
      </c>
      <c r="AB350" s="533">
        <f t="shared" si="202"/>
        <v>0</v>
      </c>
      <c r="AC350" s="533">
        <f>IF(AA350=0,0,$V$7*(1+#REF!)^#REF!)</f>
        <v>0</v>
      </c>
      <c r="AD350" s="533">
        <f t="shared" si="219"/>
        <v>0</v>
      </c>
      <c r="AE350" s="533">
        <f t="shared" si="203"/>
        <v>0</v>
      </c>
      <c r="AF350" s="533">
        <f t="shared" si="204"/>
        <v>0</v>
      </c>
      <c r="AH350" s="533">
        <f t="shared" si="205"/>
        <v>0</v>
      </c>
      <c r="AI350" s="533">
        <f t="shared" si="220"/>
        <v>950</v>
      </c>
      <c r="AJ350" s="533">
        <f t="shared" si="193"/>
        <v>0</v>
      </c>
      <c r="AK350" s="533">
        <f>AJ350*[1]mProject!V354</f>
        <v>0</v>
      </c>
      <c r="AL350" s="533">
        <f t="shared" si="206"/>
        <v>0</v>
      </c>
      <c r="AM350" s="533">
        <f t="shared" si="207"/>
        <v>0</v>
      </c>
      <c r="AN350" s="456"/>
      <c r="AO350" s="575" t="e">
        <f t="shared" si="223"/>
        <v>#REF!</v>
      </c>
      <c r="AP350" s="575" t="e">
        <f t="shared" si="190"/>
        <v>#REF!</v>
      </c>
      <c r="AQ350" s="575" t="e">
        <f t="shared" si="192"/>
        <v>#REF!</v>
      </c>
      <c r="AR350" s="576" t="e">
        <f t="shared" si="224"/>
        <v>#REF!</v>
      </c>
      <c r="AS350" s="533" t="e">
        <f t="shared" si="226"/>
        <v>#REF!</v>
      </c>
      <c r="AT350" s="533"/>
      <c r="AU350" s="533"/>
      <c r="AV350" s="533" t="e">
        <f t="shared" si="208"/>
        <v>#REF!</v>
      </c>
      <c r="AW350" s="533" t="e">
        <f>AI350*#REF!+AI349*#REF!+AI348*#REF!</f>
        <v>#REF!</v>
      </c>
      <c r="AX350" s="456"/>
      <c r="AY350" s="584">
        <f t="shared" si="221"/>
        <v>1.7733245927218895</v>
      </c>
      <c r="AZ350" s="533">
        <f t="shared" si="209"/>
        <v>0</v>
      </c>
      <c r="BA350" s="533">
        <f>BA349*[1]mProject!V355</f>
        <v>0</v>
      </c>
      <c r="BB350" s="533">
        <f t="shared" si="225"/>
        <v>17781316.823329829</v>
      </c>
      <c r="BC350" s="456"/>
      <c r="BD350" s="586">
        <f>((BB350/100)*(i_CFD.ObliRate/12))*[1]i.Finance!$O$64</f>
        <v>59826.722228495157</v>
      </c>
      <c r="BE350" s="586">
        <f>(AZ350/100*[1]i.Finance!$O$61)*[1]i.Finance!$O$64</f>
        <v>0</v>
      </c>
      <c r="BF350" s="586">
        <f>(AZ350/100*[1]i.Finance!$O$65)</f>
        <v>0</v>
      </c>
      <c r="BG350" s="587">
        <f t="shared" si="210"/>
        <v>59826.722228495157</v>
      </c>
      <c r="BH350" s="456"/>
      <c r="BI350" s="586">
        <f>-PV([1]i.Finance!$O$63/12,[1]i.Finance!$O$62*12,mCFD!BG350)</f>
        <v>10233961.918709608</v>
      </c>
      <c r="BJ350" s="586">
        <f>BI350*[1]i.Finance!$O$58</f>
        <v>8033660.1061870428</v>
      </c>
      <c r="BK350" s="586"/>
      <c r="BL350" s="586"/>
      <c r="BP350" s="533"/>
      <c r="BQ350" s="533"/>
      <c r="BR350" s="533" t="e">
        <f t="shared" si="211"/>
        <v>#NAME?</v>
      </c>
      <c r="BS350" s="533" t="e">
        <f t="shared" si="212"/>
        <v>#NAME?</v>
      </c>
      <c r="BT350" s="533" t="e">
        <f t="shared" si="213"/>
        <v>#NAME?</v>
      </c>
      <c r="BU350" s="533"/>
    </row>
    <row r="351" spans="1:73" ht="16" hidden="1" outlineLevel="2">
      <c r="A351" s="366"/>
      <c r="B351" s="562"/>
      <c r="C351" s="366"/>
      <c r="D351" s="454"/>
      <c r="E351" s="547">
        <f t="shared" si="222"/>
        <v>345</v>
      </c>
      <c r="F351" s="547">
        <f t="shared" si="214"/>
        <v>115</v>
      </c>
      <c r="G351" s="547">
        <f t="shared" si="215"/>
        <v>29</v>
      </c>
      <c r="H351" s="548">
        <f t="shared" si="191"/>
        <v>54301</v>
      </c>
      <c r="I351" s="549">
        <f t="shared" si="194"/>
        <v>2048</v>
      </c>
      <c r="K351" s="547">
        <f>[1]mProject!KB355</f>
        <v>0</v>
      </c>
      <c r="L351" s="547">
        <f t="shared" si="195"/>
        <v>950</v>
      </c>
      <c r="M351" s="547">
        <f t="shared" si="196"/>
        <v>295000</v>
      </c>
      <c r="N351" s="547">
        <f t="shared" si="197"/>
        <v>0</v>
      </c>
      <c r="O351" s="547">
        <f t="shared" si="216"/>
        <v>280250000</v>
      </c>
      <c r="P351" s="547">
        <f>[1]mProject!W355</f>
        <v>503472.96559533552</v>
      </c>
      <c r="Q351" s="547">
        <f t="shared" si="198"/>
        <v>0</v>
      </c>
      <c r="R351" s="547">
        <f t="shared" si="217"/>
        <v>296355280.38883054</v>
      </c>
      <c r="T351" s="547">
        <v>0</v>
      </c>
      <c r="U351" s="547">
        <f t="shared" si="199"/>
        <v>0</v>
      </c>
      <c r="V351" s="547">
        <f>IF(T351=0,0,$V$7*(1+#REF!)^#REF!)</f>
        <v>0</v>
      </c>
      <c r="W351" s="547">
        <f t="shared" si="218"/>
        <v>0</v>
      </c>
      <c r="X351" s="547">
        <f t="shared" si="200"/>
        <v>0</v>
      </c>
      <c r="Y351" s="547">
        <f t="shared" si="201"/>
        <v>0</v>
      </c>
      <c r="AA351" s="547">
        <v>0</v>
      </c>
      <c r="AB351" s="547">
        <f t="shared" si="202"/>
        <v>0</v>
      </c>
      <c r="AC351" s="547">
        <f>IF(AA351=0,0,$V$7*(1+#REF!)^#REF!)</f>
        <v>0</v>
      </c>
      <c r="AD351" s="547">
        <f t="shared" si="219"/>
        <v>0</v>
      </c>
      <c r="AE351" s="547">
        <f t="shared" si="203"/>
        <v>0</v>
      </c>
      <c r="AF351" s="547">
        <f t="shared" si="204"/>
        <v>0</v>
      </c>
      <c r="AH351" s="547">
        <f t="shared" si="205"/>
        <v>0</v>
      </c>
      <c r="AI351" s="547">
        <f t="shared" si="220"/>
        <v>950</v>
      </c>
      <c r="AJ351" s="547">
        <f t="shared" si="193"/>
        <v>0</v>
      </c>
      <c r="AK351" s="547">
        <f>AJ351*[1]mProject!V355</f>
        <v>0</v>
      </c>
      <c r="AL351" s="547">
        <f t="shared" si="206"/>
        <v>0</v>
      </c>
      <c r="AM351" s="547">
        <f t="shared" si="207"/>
        <v>0</v>
      </c>
      <c r="AN351" s="456"/>
      <c r="AO351" s="577" t="e">
        <f t="shared" si="223"/>
        <v>#REF!</v>
      </c>
      <c r="AP351" s="577" t="e">
        <f t="shared" ref="AP351:AP366" si="227">$L339*AP$6</f>
        <v>#REF!</v>
      </c>
      <c r="AQ351" s="577" t="e">
        <f t="shared" si="192"/>
        <v>#REF!</v>
      </c>
      <c r="AR351" s="578" t="e">
        <f t="shared" si="224"/>
        <v>#REF!</v>
      </c>
      <c r="AS351" s="547" t="e">
        <f t="shared" si="226"/>
        <v>#REF!</v>
      </c>
      <c r="AT351" s="547"/>
      <c r="AU351" s="547"/>
      <c r="AV351" s="547" t="e">
        <f t="shared" si="208"/>
        <v>#REF!</v>
      </c>
      <c r="AW351" s="547" t="e">
        <f>AI351*#REF!+AI350*#REF!+AI349*#REF!</f>
        <v>#REF!</v>
      </c>
      <c r="AX351" s="456"/>
      <c r="AY351" s="585">
        <f t="shared" si="221"/>
        <v>1.7762801337097593</v>
      </c>
      <c r="AZ351" s="547">
        <f t="shared" si="209"/>
        <v>0</v>
      </c>
      <c r="BA351" s="547">
        <f>BA350*[1]mProject!V356</f>
        <v>0</v>
      </c>
      <c r="BB351" s="547">
        <f t="shared" si="225"/>
        <v>17781316.823329829</v>
      </c>
      <c r="BC351" s="456"/>
      <c r="BD351" s="588">
        <f>((BB351/100)*(i_CFD.ObliRate/12))*[1]i.Finance!$O$64</f>
        <v>59826.722228495157</v>
      </c>
      <c r="BE351" s="588">
        <f>(AZ351/100*[1]i.Finance!$O$61)*[1]i.Finance!$O$64</f>
        <v>0</v>
      </c>
      <c r="BF351" s="588">
        <f>(AZ351/100*[1]i.Finance!$O$65)</f>
        <v>0</v>
      </c>
      <c r="BG351" s="589">
        <f t="shared" si="210"/>
        <v>59826.722228495157</v>
      </c>
      <c r="BH351" s="456"/>
      <c r="BI351" s="588">
        <f>-PV([1]i.Finance!$O$63/12,[1]i.Finance!$O$62*12,mCFD!BG351)</f>
        <v>10233961.918709608</v>
      </c>
      <c r="BJ351" s="588">
        <f>BI351*[1]i.Finance!$O$58</f>
        <v>8033660.1061870428</v>
      </c>
      <c r="BK351" s="588"/>
      <c r="BL351" s="588"/>
      <c r="BP351" s="547"/>
      <c r="BQ351" s="547"/>
      <c r="BR351" s="547" t="e">
        <f t="shared" si="211"/>
        <v>#NAME?</v>
      </c>
      <c r="BS351" s="547" t="e">
        <f t="shared" si="212"/>
        <v>#NAME?</v>
      </c>
      <c r="BT351" s="547" t="e">
        <f t="shared" si="213"/>
        <v>#NAME?</v>
      </c>
      <c r="BU351" s="547"/>
    </row>
    <row r="352" spans="1:73" ht="16" hidden="1" outlineLevel="2">
      <c r="A352" s="366"/>
      <c r="B352" s="562"/>
      <c r="C352" s="366"/>
      <c r="D352" s="454"/>
      <c r="E352" s="530">
        <f t="shared" si="222"/>
        <v>346</v>
      </c>
      <c r="F352" s="530">
        <f t="shared" si="214"/>
        <v>116</v>
      </c>
      <c r="G352" s="530">
        <f t="shared" si="215"/>
        <v>29</v>
      </c>
      <c r="H352" s="554">
        <f t="shared" si="191"/>
        <v>54331</v>
      </c>
      <c r="I352" s="555">
        <f t="shared" si="194"/>
        <v>2048</v>
      </c>
      <c r="K352" s="530">
        <f>[1]mProject!KB356</f>
        <v>0</v>
      </c>
      <c r="L352" s="530">
        <f t="shared" si="195"/>
        <v>950</v>
      </c>
      <c r="M352" s="530">
        <f t="shared" si="196"/>
        <v>295000</v>
      </c>
      <c r="N352" s="530">
        <f t="shared" si="197"/>
        <v>0</v>
      </c>
      <c r="O352" s="530">
        <f t="shared" si="216"/>
        <v>280250000</v>
      </c>
      <c r="P352" s="530">
        <f>[1]mProject!W356</f>
        <v>504312.0872046611</v>
      </c>
      <c r="Q352" s="530">
        <f t="shared" si="198"/>
        <v>0</v>
      </c>
      <c r="R352" s="530">
        <f t="shared" si="217"/>
        <v>296355280.38883054</v>
      </c>
      <c r="T352" s="530">
        <v>0</v>
      </c>
      <c r="U352" s="530">
        <f t="shared" si="199"/>
        <v>0</v>
      </c>
      <c r="V352" s="530">
        <f>IF(T352=0,0,$V$7*(1+#REF!)^#REF!)</f>
        <v>0</v>
      </c>
      <c r="W352" s="530">
        <f t="shared" si="218"/>
        <v>0</v>
      </c>
      <c r="X352" s="530">
        <f t="shared" si="200"/>
        <v>0</v>
      </c>
      <c r="Y352" s="530">
        <f t="shared" si="201"/>
        <v>0</v>
      </c>
      <c r="AA352" s="530">
        <v>0</v>
      </c>
      <c r="AB352" s="530">
        <f t="shared" si="202"/>
        <v>0</v>
      </c>
      <c r="AC352" s="530">
        <f>IF(AA352=0,0,$V$7*(1+#REF!)^#REF!)</f>
        <v>0</v>
      </c>
      <c r="AD352" s="530">
        <f t="shared" si="219"/>
        <v>0</v>
      </c>
      <c r="AE352" s="530">
        <f t="shared" si="203"/>
        <v>0</v>
      </c>
      <c r="AF352" s="530">
        <f t="shared" si="204"/>
        <v>0</v>
      </c>
      <c r="AH352" s="530">
        <f t="shared" si="205"/>
        <v>0</v>
      </c>
      <c r="AI352" s="530">
        <f t="shared" si="220"/>
        <v>950</v>
      </c>
      <c r="AJ352" s="530">
        <f t="shared" si="193"/>
        <v>0</v>
      </c>
      <c r="AK352" s="530">
        <f>AJ352*[1]mProject!V356</f>
        <v>0</v>
      </c>
      <c r="AL352" s="530">
        <f t="shared" si="206"/>
        <v>0</v>
      </c>
      <c r="AM352" s="530">
        <f t="shared" si="207"/>
        <v>0</v>
      </c>
      <c r="AN352" s="456"/>
      <c r="AO352" s="572" t="e">
        <f t="shared" si="223"/>
        <v>#REF!</v>
      </c>
      <c r="AP352" s="572" t="e">
        <f t="shared" si="227"/>
        <v>#REF!</v>
      </c>
      <c r="AQ352" s="572" t="e">
        <f t="shared" si="192"/>
        <v>#REF!</v>
      </c>
      <c r="AR352" s="573" t="e">
        <f t="shared" si="224"/>
        <v>#REF!</v>
      </c>
      <c r="AS352" s="530" t="e">
        <f t="shared" si="226"/>
        <v>#REF!</v>
      </c>
      <c r="AT352" s="530"/>
      <c r="AU352" s="530"/>
      <c r="AV352" s="530" t="e">
        <f t="shared" si="208"/>
        <v>#REF!</v>
      </c>
      <c r="AW352" s="530" t="e">
        <f>AI352*#REF!+AI351*#REF!+AI350*#REF!</f>
        <v>#REF!</v>
      </c>
      <c r="AX352" s="456"/>
      <c r="AY352" s="583">
        <f t="shared" si="221"/>
        <v>1.7792406005992756</v>
      </c>
      <c r="AZ352" s="530">
        <f t="shared" si="209"/>
        <v>0</v>
      </c>
      <c r="BA352" s="530">
        <f>BA351*[1]mProject!V357</f>
        <v>0</v>
      </c>
      <c r="BB352" s="530">
        <f t="shared" si="225"/>
        <v>17781316.823329829</v>
      </c>
      <c r="BC352" s="456"/>
      <c r="BD352" s="590">
        <f>((BB352/100)*(i_CFD.ObliRate/12))*[1]i.Finance!$O$64</f>
        <v>59826.722228495157</v>
      </c>
      <c r="BE352" s="590">
        <f>(AZ352/100*[1]i.Finance!$O$61)*[1]i.Finance!$O$64</f>
        <v>0</v>
      </c>
      <c r="BF352" s="590">
        <f>(AZ352/100*[1]i.Finance!$O$65)</f>
        <v>0</v>
      </c>
      <c r="BG352" s="591">
        <f t="shared" si="210"/>
        <v>59826.722228495157</v>
      </c>
      <c r="BH352" s="456"/>
      <c r="BI352" s="590">
        <f>-PV([1]i.Finance!$O$63/12,[1]i.Finance!$O$62*12,mCFD!BG352)</f>
        <v>10233961.918709608</v>
      </c>
      <c r="BJ352" s="590">
        <f>BI352*[1]i.Finance!$O$58</f>
        <v>8033660.1061870428</v>
      </c>
      <c r="BK352" s="590"/>
      <c r="BL352" s="590"/>
      <c r="BP352" s="530"/>
      <c r="BQ352" s="530"/>
      <c r="BR352" s="530" t="e">
        <f t="shared" si="211"/>
        <v>#NAME?</v>
      </c>
      <c r="BS352" s="530" t="e">
        <f t="shared" si="212"/>
        <v>#NAME?</v>
      </c>
      <c r="BT352" s="530" t="e">
        <f t="shared" si="213"/>
        <v>#NAME?</v>
      </c>
      <c r="BU352" s="530"/>
    </row>
    <row r="353" spans="1:73" ht="16" hidden="1" outlineLevel="2">
      <c r="A353" s="366"/>
      <c r="B353" s="562"/>
      <c r="C353" s="366"/>
      <c r="D353" s="454"/>
      <c r="E353" s="533">
        <f t="shared" si="222"/>
        <v>347</v>
      </c>
      <c r="F353" s="533">
        <f t="shared" si="214"/>
        <v>116</v>
      </c>
      <c r="G353" s="533">
        <f t="shared" si="215"/>
        <v>29</v>
      </c>
      <c r="H353" s="541">
        <f t="shared" ref="H353:H366" si="228">EOMONTH(H352,1)</f>
        <v>54362</v>
      </c>
      <c r="I353" s="542">
        <f t="shared" si="194"/>
        <v>2048</v>
      </c>
      <c r="K353" s="533">
        <f>[1]mProject!KB357</f>
        <v>0</v>
      </c>
      <c r="L353" s="533">
        <f t="shared" si="195"/>
        <v>950</v>
      </c>
      <c r="M353" s="533">
        <f t="shared" si="196"/>
        <v>295000</v>
      </c>
      <c r="N353" s="533">
        <f t="shared" si="197"/>
        <v>0</v>
      </c>
      <c r="O353" s="533">
        <f t="shared" si="216"/>
        <v>280250000</v>
      </c>
      <c r="P353" s="533">
        <f>[1]mProject!W357</f>
        <v>505152.60735000222</v>
      </c>
      <c r="Q353" s="533">
        <f t="shared" si="198"/>
        <v>0</v>
      </c>
      <c r="R353" s="533">
        <f t="shared" si="217"/>
        <v>296355280.38883054</v>
      </c>
      <c r="T353" s="533">
        <v>0</v>
      </c>
      <c r="U353" s="533">
        <f t="shared" si="199"/>
        <v>0</v>
      </c>
      <c r="V353" s="533">
        <f>IF(T353=0,0,$V$7*(1+#REF!)^#REF!)</f>
        <v>0</v>
      </c>
      <c r="W353" s="533">
        <f t="shared" si="218"/>
        <v>0</v>
      </c>
      <c r="X353" s="533">
        <f t="shared" si="200"/>
        <v>0</v>
      </c>
      <c r="Y353" s="533">
        <f t="shared" si="201"/>
        <v>0</v>
      </c>
      <c r="AA353" s="533">
        <v>0</v>
      </c>
      <c r="AB353" s="533">
        <f t="shared" si="202"/>
        <v>0</v>
      </c>
      <c r="AC353" s="533">
        <f>IF(AA353=0,0,$V$7*(1+#REF!)^#REF!)</f>
        <v>0</v>
      </c>
      <c r="AD353" s="533">
        <f t="shared" si="219"/>
        <v>0</v>
      </c>
      <c r="AE353" s="533">
        <f t="shared" si="203"/>
        <v>0</v>
      </c>
      <c r="AF353" s="533">
        <f t="shared" si="204"/>
        <v>0</v>
      </c>
      <c r="AH353" s="533">
        <f t="shared" si="205"/>
        <v>0</v>
      </c>
      <c r="AI353" s="533">
        <f t="shared" si="220"/>
        <v>950</v>
      </c>
      <c r="AJ353" s="533">
        <f t="shared" si="193"/>
        <v>0</v>
      </c>
      <c r="AK353" s="533">
        <f>AJ353*[1]mProject!V357</f>
        <v>0</v>
      </c>
      <c r="AL353" s="533">
        <f t="shared" si="206"/>
        <v>0</v>
      </c>
      <c r="AM353" s="533">
        <f t="shared" si="207"/>
        <v>0</v>
      </c>
      <c r="AN353" s="456"/>
      <c r="AO353" s="575" t="e">
        <f t="shared" si="223"/>
        <v>#REF!</v>
      </c>
      <c r="AP353" s="575" t="e">
        <f t="shared" si="227"/>
        <v>#REF!</v>
      </c>
      <c r="AQ353" s="575" t="e">
        <f t="shared" si="192"/>
        <v>#REF!</v>
      </c>
      <c r="AR353" s="576" t="e">
        <f t="shared" si="224"/>
        <v>#REF!</v>
      </c>
      <c r="AS353" s="533" t="e">
        <f t="shared" si="226"/>
        <v>#REF!</v>
      </c>
      <c r="AT353" s="533"/>
      <c r="AU353" s="533"/>
      <c r="AV353" s="533" t="e">
        <f t="shared" si="208"/>
        <v>#REF!</v>
      </c>
      <c r="AW353" s="533" t="e">
        <f>AI353*#REF!+AI352*#REF!+AI351*#REF!</f>
        <v>#REF!</v>
      </c>
      <c r="AX353" s="456"/>
      <c r="AY353" s="584">
        <f t="shared" si="221"/>
        <v>1.7822060016002745</v>
      </c>
      <c r="AZ353" s="533">
        <f t="shared" si="209"/>
        <v>0</v>
      </c>
      <c r="BA353" s="533">
        <f>BA352*[1]mProject!V358</f>
        <v>0</v>
      </c>
      <c r="BB353" s="533">
        <f t="shared" si="225"/>
        <v>17781316.823329829</v>
      </c>
      <c r="BC353" s="456"/>
      <c r="BD353" s="586">
        <f>((BB353/100)*(i_CFD.ObliRate/12))*[1]i.Finance!$O$64</f>
        <v>59826.722228495157</v>
      </c>
      <c r="BE353" s="586">
        <f>(AZ353/100*[1]i.Finance!$O$61)*[1]i.Finance!$O$64</f>
        <v>0</v>
      </c>
      <c r="BF353" s="586">
        <f>(AZ353/100*[1]i.Finance!$O$65)</f>
        <v>0</v>
      </c>
      <c r="BG353" s="587">
        <f t="shared" si="210"/>
        <v>59826.722228495157</v>
      </c>
      <c r="BH353" s="456"/>
      <c r="BI353" s="586">
        <f>-PV([1]i.Finance!$O$63/12,[1]i.Finance!$O$62*12,mCFD!BG353)</f>
        <v>10233961.918709608</v>
      </c>
      <c r="BJ353" s="586">
        <f>BI353*[1]i.Finance!$O$58</f>
        <v>8033660.1061870428</v>
      </c>
      <c r="BK353" s="586"/>
      <c r="BL353" s="586"/>
      <c r="BP353" s="533"/>
      <c r="BQ353" s="533"/>
      <c r="BR353" s="533" t="e">
        <f t="shared" si="211"/>
        <v>#NAME?</v>
      </c>
      <c r="BS353" s="533" t="e">
        <f t="shared" si="212"/>
        <v>#NAME?</v>
      </c>
      <c r="BT353" s="533" t="e">
        <f t="shared" si="213"/>
        <v>#NAME?</v>
      </c>
      <c r="BU353" s="533"/>
    </row>
    <row r="354" spans="1:73" ht="17" hidden="1" outlineLevel="2" thickBot="1">
      <c r="A354" s="366"/>
      <c r="B354" s="562"/>
      <c r="C354" s="366"/>
      <c r="D354" s="454"/>
      <c r="E354" s="564">
        <f t="shared" si="222"/>
        <v>348</v>
      </c>
      <c r="F354" s="564">
        <f t="shared" si="214"/>
        <v>116</v>
      </c>
      <c r="G354" s="564">
        <f t="shared" si="215"/>
        <v>29</v>
      </c>
      <c r="H354" s="565">
        <f t="shared" si="228"/>
        <v>54392</v>
      </c>
      <c r="I354" s="566">
        <f t="shared" si="194"/>
        <v>2048</v>
      </c>
      <c r="K354" s="564">
        <f>[1]mProject!KB358</f>
        <v>0</v>
      </c>
      <c r="L354" s="564">
        <f t="shared" si="195"/>
        <v>950</v>
      </c>
      <c r="M354" s="564">
        <f t="shared" si="196"/>
        <v>295000</v>
      </c>
      <c r="N354" s="564">
        <f t="shared" si="197"/>
        <v>0</v>
      </c>
      <c r="O354" s="564">
        <f t="shared" si="216"/>
        <v>280250000</v>
      </c>
      <c r="P354" s="564">
        <f>[1]mProject!W358</f>
        <v>505994.52836225223</v>
      </c>
      <c r="Q354" s="564">
        <f t="shared" si="198"/>
        <v>0</v>
      </c>
      <c r="R354" s="564">
        <f t="shared" si="217"/>
        <v>296355280.38883054</v>
      </c>
      <c r="T354" s="564">
        <v>0</v>
      </c>
      <c r="U354" s="564">
        <f t="shared" si="199"/>
        <v>0</v>
      </c>
      <c r="V354" s="564">
        <f>IF(T354=0,0,$V$7*(1+#REF!)^#REF!)</f>
        <v>0</v>
      </c>
      <c r="W354" s="564">
        <f t="shared" si="218"/>
        <v>0</v>
      </c>
      <c r="X354" s="564">
        <f t="shared" si="200"/>
        <v>0</v>
      </c>
      <c r="Y354" s="564">
        <f t="shared" si="201"/>
        <v>0</v>
      </c>
      <c r="AA354" s="564">
        <v>0</v>
      </c>
      <c r="AB354" s="564">
        <f t="shared" si="202"/>
        <v>0</v>
      </c>
      <c r="AC354" s="564">
        <f>IF(AA354=0,0,$V$7*(1+#REF!)^#REF!)</f>
        <v>0</v>
      </c>
      <c r="AD354" s="564">
        <f t="shared" si="219"/>
        <v>0</v>
      </c>
      <c r="AE354" s="564">
        <f t="shared" si="203"/>
        <v>0</v>
      </c>
      <c r="AF354" s="564">
        <f t="shared" si="204"/>
        <v>0</v>
      </c>
      <c r="AH354" s="564">
        <f t="shared" si="205"/>
        <v>0</v>
      </c>
      <c r="AI354" s="564">
        <f t="shared" si="220"/>
        <v>950</v>
      </c>
      <c r="AJ354" s="564">
        <f t="shared" si="193"/>
        <v>0</v>
      </c>
      <c r="AK354" s="564">
        <f>AJ354*[1]mProject!V358</f>
        <v>0</v>
      </c>
      <c r="AL354" s="564">
        <f t="shared" si="206"/>
        <v>0</v>
      </c>
      <c r="AM354" s="564">
        <f t="shared" si="207"/>
        <v>0</v>
      </c>
      <c r="AN354" s="456"/>
      <c r="AO354" s="581" t="e">
        <f t="shared" si="223"/>
        <v>#REF!</v>
      </c>
      <c r="AP354" s="581" t="e">
        <f t="shared" si="227"/>
        <v>#REF!</v>
      </c>
      <c r="AQ354" s="581" t="e">
        <f t="shared" si="192"/>
        <v>#REF!</v>
      </c>
      <c r="AR354" s="582" t="e">
        <f t="shared" si="224"/>
        <v>#REF!</v>
      </c>
      <c r="AS354" s="564" t="e">
        <f t="shared" si="226"/>
        <v>#REF!</v>
      </c>
      <c r="AT354" s="564"/>
      <c r="AU354" s="564"/>
      <c r="AV354" s="564" t="e">
        <f t="shared" si="208"/>
        <v>#REF!</v>
      </c>
      <c r="AW354" s="564" t="e">
        <f>AI354*#REF!+AI353*#REF!+AI352*#REF!</f>
        <v>#REF!</v>
      </c>
      <c r="AX354" s="456"/>
      <c r="AY354" s="592">
        <f t="shared" si="221"/>
        <v>1.785176344936275</v>
      </c>
      <c r="AZ354" s="564">
        <f t="shared" si="209"/>
        <v>0</v>
      </c>
      <c r="BA354" s="564">
        <f>BA353*[1]mProject!V359</f>
        <v>0</v>
      </c>
      <c r="BB354" s="564">
        <f t="shared" si="225"/>
        <v>17781316.823329829</v>
      </c>
      <c r="BC354" s="456"/>
      <c r="BD354" s="593">
        <f>((BB354/100)*(i_CFD.ObliRate/12))*[1]i.Finance!$O$64</f>
        <v>59826.722228495157</v>
      </c>
      <c r="BE354" s="593">
        <f>(AZ354/100*[1]i.Finance!$O$61)*[1]i.Finance!$O$64</f>
        <v>0</v>
      </c>
      <c r="BF354" s="593">
        <f>(AZ354/100*[1]i.Finance!$O$65)</f>
        <v>0</v>
      </c>
      <c r="BG354" s="594">
        <f t="shared" si="210"/>
        <v>59826.722228495157</v>
      </c>
      <c r="BH354" s="456"/>
      <c r="BI354" s="593">
        <f>-PV([1]i.Finance!$O$63/12,[1]i.Finance!$O$62*12,mCFD!BG354)</f>
        <v>10233961.918709608</v>
      </c>
      <c r="BJ354" s="593">
        <f>BI354*[1]i.Finance!$O$58</f>
        <v>8033660.1061870428</v>
      </c>
      <c r="BK354" s="593"/>
      <c r="BL354" s="593"/>
      <c r="BP354" s="564"/>
      <c r="BQ354" s="564"/>
      <c r="BR354" s="564" t="e">
        <f t="shared" si="211"/>
        <v>#NAME?</v>
      </c>
      <c r="BS354" s="564" t="e">
        <f t="shared" si="212"/>
        <v>#NAME?</v>
      </c>
      <c r="BT354" s="564" t="e">
        <f t="shared" si="213"/>
        <v>#NAME?</v>
      </c>
      <c r="BU354" s="564"/>
    </row>
    <row r="355" spans="1:73" ht="16" outlineLevel="1" collapsed="1">
      <c r="A355" s="366"/>
      <c r="B355" s="562"/>
      <c r="C355" s="366"/>
      <c r="D355" s="454"/>
      <c r="E355" s="530">
        <f t="shared" si="222"/>
        <v>349</v>
      </c>
      <c r="F355" s="530">
        <f t="shared" si="214"/>
        <v>117</v>
      </c>
      <c r="G355" s="530">
        <f t="shared" si="215"/>
        <v>30</v>
      </c>
      <c r="H355" s="571">
        <f t="shared" si="228"/>
        <v>54423</v>
      </c>
      <c r="I355" s="532">
        <f t="shared" si="194"/>
        <v>2048</v>
      </c>
      <c r="K355" s="530">
        <f>[1]mProject!KB359</f>
        <v>0</v>
      </c>
      <c r="L355" s="530">
        <f t="shared" si="195"/>
        <v>950</v>
      </c>
      <c r="M355" s="530">
        <f t="shared" si="196"/>
        <v>295000</v>
      </c>
      <c r="N355" s="530">
        <f t="shared" si="197"/>
        <v>0</v>
      </c>
      <c r="O355" s="530">
        <f t="shared" si="216"/>
        <v>280250000</v>
      </c>
      <c r="P355" s="530">
        <f>[1]mProject!W359</f>
        <v>506837.85257618933</v>
      </c>
      <c r="Q355" s="530">
        <f t="shared" si="198"/>
        <v>0</v>
      </c>
      <c r="R355" s="530">
        <f t="shared" si="217"/>
        <v>296355280.38883054</v>
      </c>
      <c r="T355" s="530">
        <v>0</v>
      </c>
      <c r="U355" s="530">
        <f t="shared" si="199"/>
        <v>0</v>
      </c>
      <c r="V355" s="530">
        <f>IF(T355=0,0,$V$7*(1+#REF!)^#REF!)</f>
        <v>0</v>
      </c>
      <c r="W355" s="530">
        <f t="shared" si="218"/>
        <v>0</v>
      </c>
      <c r="X355" s="530">
        <f t="shared" si="200"/>
        <v>0</v>
      </c>
      <c r="Y355" s="530">
        <f t="shared" si="201"/>
        <v>0</v>
      </c>
      <c r="AA355" s="530">
        <v>0</v>
      </c>
      <c r="AB355" s="530">
        <f t="shared" si="202"/>
        <v>0</v>
      </c>
      <c r="AC355" s="530">
        <f>IF(AA355=0,0,$V$7*(1+#REF!)^#REF!)</f>
        <v>0</v>
      </c>
      <c r="AD355" s="530">
        <f t="shared" si="219"/>
        <v>0</v>
      </c>
      <c r="AE355" s="530">
        <f t="shared" si="203"/>
        <v>0</v>
      </c>
      <c r="AF355" s="530">
        <f t="shared" si="204"/>
        <v>0</v>
      </c>
      <c r="AH355" s="530">
        <f t="shared" si="205"/>
        <v>0</v>
      </c>
      <c r="AI355" s="530">
        <f t="shared" si="220"/>
        <v>950</v>
      </c>
      <c r="AJ355" s="530">
        <f t="shared" si="193"/>
        <v>0</v>
      </c>
      <c r="AK355" s="530">
        <f>AJ355*[1]mProject!V359</f>
        <v>0</v>
      </c>
      <c r="AL355" s="530">
        <f t="shared" si="206"/>
        <v>0</v>
      </c>
      <c r="AM355" s="530">
        <f t="shared" si="207"/>
        <v>0</v>
      </c>
      <c r="AN355" s="456"/>
      <c r="AO355" s="572" t="e">
        <f t="shared" si="223"/>
        <v>#REF!</v>
      </c>
      <c r="AP355" s="572" t="e">
        <f t="shared" si="227"/>
        <v>#REF!</v>
      </c>
      <c r="AQ355" s="572" t="e">
        <f t="shared" si="192"/>
        <v>#REF!</v>
      </c>
      <c r="AR355" s="573" t="e">
        <f t="shared" si="224"/>
        <v>#REF!</v>
      </c>
      <c r="AS355" s="530" t="e">
        <f t="shared" si="226"/>
        <v>#REF!</v>
      </c>
      <c r="AT355" s="530"/>
      <c r="AU355" s="530"/>
      <c r="AV355" s="530" t="e">
        <f t="shared" si="208"/>
        <v>#REF!</v>
      </c>
      <c r="AW355" s="530" t="e">
        <f>AI355*#REF!+AI354*#REF!+AI353*#REF!</f>
        <v>#REF!</v>
      </c>
      <c r="AX355" s="456"/>
      <c r="AY355" s="583">
        <f t="shared" si="221"/>
        <v>1.7881516388445022</v>
      </c>
      <c r="AZ355" s="530">
        <f t="shared" si="209"/>
        <v>0</v>
      </c>
      <c r="BA355" s="530">
        <f>BA354*[1]mProject!V360</f>
        <v>0</v>
      </c>
      <c r="BB355" s="530">
        <f t="shared" si="225"/>
        <v>17781316.823329829</v>
      </c>
      <c r="BC355" s="456"/>
      <c r="BD355" s="590">
        <f>((BB355/100)*(i_CFD.ObliRate/12))*[1]i.Finance!$O$64</f>
        <v>59826.722228495157</v>
      </c>
      <c r="BE355" s="590">
        <f>(AZ355/100*[1]i.Finance!$O$61)*[1]i.Finance!$O$64</f>
        <v>0</v>
      </c>
      <c r="BF355" s="590">
        <f>(AZ355/100*[1]i.Finance!$O$65)</f>
        <v>0</v>
      </c>
      <c r="BG355" s="591">
        <f t="shared" si="210"/>
        <v>59826.722228495157</v>
      </c>
      <c r="BH355" s="456"/>
      <c r="BI355" s="590">
        <f>-PV([1]i.Finance!$O$63/12,[1]i.Finance!$O$62*12,mCFD!BG355)</f>
        <v>10233961.918709608</v>
      </c>
      <c r="BJ355" s="590">
        <f>BI355*[1]i.Finance!$O$58</f>
        <v>8033660.1061870428</v>
      </c>
      <c r="BK355" s="590"/>
      <c r="BL355" s="590"/>
      <c r="BP355" s="530"/>
      <c r="BQ355" s="530"/>
      <c r="BR355" s="530" t="e">
        <f t="shared" si="211"/>
        <v>#NAME?</v>
      </c>
      <c r="BS355" s="530" t="e">
        <f t="shared" si="212"/>
        <v>#NAME?</v>
      </c>
      <c r="BT355" s="530" t="e">
        <f t="shared" si="213"/>
        <v>#NAME?</v>
      </c>
      <c r="BU355" s="530"/>
    </row>
    <row r="356" spans="1:73" ht="16" outlineLevel="1">
      <c r="A356" s="366"/>
      <c r="B356" s="562"/>
      <c r="C356" s="366"/>
      <c r="D356" s="454"/>
      <c r="E356" s="533">
        <f t="shared" si="222"/>
        <v>350</v>
      </c>
      <c r="F356" s="533">
        <f t="shared" si="214"/>
        <v>117</v>
      </c>
      <c r="G356" s="533">
        <f t="shared" si="215"/>
        <v>30</v>
      </c>
      <c r="H356" s="541">
        <f t="shared" si="228"/>
        <v>54454</v>
      </c>
      <c r="I356" s="542">
        <f t="shared" si="194"/>
        <v>2049</v>
      </c>
      <c r="K356" s="533">
        <f>[1]mProject!KB360</f>
        <v>0</v>
      </c>
      <c r="L356" s="533">
        <f t="shared" si="195"/>
        <v>950</v>
      </c>
      <c r="M356" s="533">
        <f t="shared" si="196"/>
        <v>295000</v>
      </c>
      <c r="N356" s="533">
        <f t="shared" si="197"/>
        <v>0</v>
      </c>
      <c r="O356" s="533">
        <f t="shared" si="216"/>
        <v>280250000</v>
      </c>
      <c r="P356" s="533">
        <f>[1]mProject!W360</f>
        <v>507682.58233048301</v>
      </c>
      <c r="Q356" s="533">
        <f t="shared" si="198"/>
        <v>0</v>
      </c>
      <c r="R356" s="533">
        <f t="shared" si="217"/>
        <v>296355280.38883054</v>
      </c>
      <c r="T356" s="533">
        <v>0</v>
      </c>
      <c r="U356" s="533">
        <f t="shared" si="199"/>
        <v>0</v>
      </c>
      <c r="V356" s="533">
        <f>IF(T356=0,0,$V$7*(1+#REF!)^#REF!)</f>
        <v>0</v>
      </c>
      <c r="W356" s="533">
        <f t="shared" si="218"/>
        <v>0</v>
      </c>
      <c r="X356" s="533">
        <f t="shared" si="200"/>
        <v>0</v>
      </c>
      <c r="Y356" s="533">
        <f t="shared" si="201"/>
        <v>0</v>
      </c>
      <c r="AA356" s="533">
        <v>0</v>
      </c>
      <c r="AB356" s="533">
        <f t="shared" si="202"/>
        <v>0</v>
      </c>
      <c r="AC356" s="533">
        <f>IF(AA356=0,0,$V$7*(1+#REF!)^#REF!)</f>
        <v>0</v>
      </c>
      <c r="AD356" s="533">
        <f t="shared" si="219"/>
        <v>0</v>
      </c>
      <c r="AE356" s="533">
        <f t="shared" si="203"/>
        <v>0</v>
      </c>
      <c r="AF356" s="533">
        <f t="shared" si="204"/>
        <v>0</v>
      </c>
      <c r="AH356" s="533">
        <f t="shared" si="205"/>
        <v>0</v>
      </c>
      <c r="AI356" s="533">
        <f t="shared" si="220"/>
        <v>950</v>
      </c>
      <c r="AJ356" s="533">
        <f t="shared" si="193"/>
        <v>0</v>
      </c>
      <c r="AK356" s="533">
        <f>AJ356*[1]mProject!V360</f>
        <v>0</v>
      </c>
      <c r="AL356" s="533">
        <f t="shared" si="206"/>
        <v>0</v>
      </c>
      <c r="AM356" s="533">
        <f t="shared" si="207"/>
        <v>0</v>
      </c>
      <c r="AN356" s="456"/>
      <c r="AO356" s="575" t="e">
        <f t="shared" si="223"/>
        <v>#REF!</v>
      </c>
      <c r="AP356" s="575" t="e">
        <f t="shared" si="227"/>
        <v>#REF!</v>
      </c>
      <c r="AQ356" s="575" t="e">
        <f t="shared" si="192"/>
        <v>#REF!</v>
      </c>
      <c r="AR356" s="576" t="e">
        <f t="shared" si="224"/>
        <v>#REF!</v>
      </c>
      <c r="AS356" s="533" t="e">
        <f t="shared" si="226"/>
        <v>#REF!</v>
      </c>
      <c r="AT356" s="533"/>
      <c r="AU356" s="533"/>
      <c r="AV356" s="533" t="e">
        <f t="shared" si="208"/>
        <v>#REF!</v>
      </c>
      <c r="AW356" s="533" t="e">
        <f>AI356*#REF!+AI355*#REF!+AI354*#REF!</f>
        <v>#REF!</v>
      </c>
      <c r="AX356" s="456"/>
      <c r="AY356" s="584">
        <f t="shared" si="221"/>
        <v>1.7911318915759098</v>
      </c>
      <c r="AZ356" s="533">
        <f t="shared" si="209"/>
        <v>0</v>
      </c>
      <c r="BA356" s="533">
        <f>BA355*[1]mProject!V361</f>
        <v>0</v>
      </c>
      <c r="BB356" s="533">
        <f t="shared" si="225"/>
        <v>17781316.823329829</v>
      </c>
      <c r="BC356" s="456"/>
      <c r="BD356" s="586">
        <f>((BB356/100)*(i_CFD.ObliRate/12))*[1]i.Finance!$O$64</f>
        <v>59826.722228495157</v>
      </c>
      <c r="BE356" s="586">
        <f>(AZ356/100*[1]i.Finance!$O$61)*[1]i.Finance!$O$64</f>
        <v>0</v>
      </c>
      <c r="BF356" s="586">
        <f>(AZ356/100*[1]i.Finance!$O$65)</f>
        <v>0</v>
      </c>
      <c r="BG356" s="587">
        <f t="shared" si="210"/>
        <v>59826.722228495157</v>
      </c>
      <c r="BH356" s="456"/>
      <c r="BI356" s="586">
        <f>-PV([1]i.Finance!$O$63/12,[1]i.Finance!$O$62*12,mCFD!BG356)</f>
        <v>10233961.918709608</v>
      </c>
      <c r="BJ356" s="586">
        <f>BI356*[1]i.Finance!$O$58</f>
        <v>8033660.1061870428</v>
      </c>
      <c r="BK356" s="586"/>
      <c r="BL356" s="586"/>
      <c r="BP356" s="533"/>
      <c r="BQ356" s="533"/>
      <c r="BR356" s="533" t="e">
        <f t="shared" si="211"/>
        <v>#NAME?</v>
      </c>
      <c r="BS356" s="533" t="e">
        <f t="shared" si="212"/>
        <v>#NAME?</v>
      </c>
      <c r="BT356" s="533" t="e">
        <f t="shared" si="213"/>
        <v>#NAME?</v>
      </c>
      <c r="BU356" s="533"/>
    </row>
    <row r="357" spans="1:73" ht="16" outlineLevel="1">
      <c r="A357" s="366"/>
      <c r="B357" s="562"/>
      <c r="C357" s="366"/>
      <c r="D357" s="454"/>
      <c r="E357" s="547">
        <f t="shared" si="222"/>
        <v>351</v>
      </c>
      <c r="F357" s="547">
        <f t="shared" si="214"/>
        <v>117</v>
      </c>
      <c r="G357" s="547">
        <f t="shared" si="215"/>
        <v>30</v>
      </c>
      <c r="H357" s="548">
        <f t="shared" si="228"/>
        <v>54482</v>
      </c>
      <c r="I357" s="549">
        <f t="shared" si="194"/>
        <v>2049</v>
      </c>
      <c r="K357" s="547">
        <f>[1]mProject!KB361</f>
        <v>0</v>
      </c>
      <c r="L357" s="547">
        <f t="shared" si="195"/>
        <v>950</v>
      </c>
      <c r="M357" s="547">
        <f t="shared" si="196"/>
        <v>295000</v>
      </c>
      <c r="N357" s="547">
        <f t="shared" si="197"/>
        <v>0</v>
      </c>
      <c r="O357" s="547">
        <f t="shared" si="216"/>
        <v>280250000</v>
      </c>
      <c r="P357" s="547">
        <f>[1]mProject!W361</f>
        <v>508528.71996770048</v>
      </c>
      <c r="Q357" s="547">
        <f t="shared" si="198"/>
        <v>0</v>
      </c>
      <c r="R357" s="547">
        <f t="shared" si="217"/>
        <v>296355280.38883054</v>
      </c>
      <c r="T357" s="547">
        <v>0</v>
      </c>
      <c r="U357" s="547">
        <f t="shared" si="199"/>
        <v>0</v>
      </c>
      <c r="V357" s="547">
        <f>IF(T357=0,0,$V$7*(1+#REF!)^#REF!)</f>
        <v>0</v>
      </c>
      <c r="W357" s="547">
        <f t="shared" si="218"/>
        <v>0</v>
      </c>
      <c r="X357" s="547">
        <f t="shared" si="200"/>
        <v>0</v>
      </c>
      <c r="Y357" s="547">
        <f t="shared" si="201"/>
        <v>0</v>
      </c>
      <c r="AA357" s="547">
        <v>0</v>
      </c>
      <c r="AB357" s="547">
        <f t="shared" si="202"/>
        <v>0</v>
      </c>
      <c r="AC357" s="547">
        <f>IF(AA357=0,0,$V$7*(1+#REF!)^#REF!)</f>
        <v>0</v>
      </c>
      <c r="AD357" s="547">
        <f t="shared" si="219"/>
        <v>0</v>
      </c>
      <c r="AE357" s="547">
        <f t="shared" si="203"/>
        <v>0</v>
      </c>
      <c r="AF357" s="547">
        <f t="shared" si="204"/>
        <v>0</v>
      </c>
      <c r="AH357" s="547">
        <f t="shared" si="205"/>
        <v>0</v>
      </c>
      <c r="AI357" s="547">
        <f t="shared" si="220"/>
        <v>950</v>
      </c>
      <c r="AJ357" s="547">
        <f t="shared" si="193"/>
        <v>0</v>
      </c>
      <c r="AK357" s="547">
        <f>AJ357*[1]mProject!V361</f>
        <v>0</v>
      </c>
      <c r="AL357" s="547">
        <f t="shared" si="206"/>
        <v>0</v>
      </c>
      <c r="AM357" s="547">
        <f t="shared" si="207"/>
        <v>0</v>
      </c>
      <c r="AN357" s="456"/>
      <c r="AO357" s="577" t="e">
        <f t="shared" si="223"/>
        <v>#REF!</v>
      </c>
      <c r="AP357" s="577" t="e">
        <f t="shared" si="227"/>
        <v>#REF!</v>
      </c>
      <c r="AQ357" s="577" t="e">
        <f t="shared" si="192"/>
        <v>#REF!</v>
      </c>
      <c r="AR357" s="578" t="e">
        <f t="shared" si="224"/>
        <v>#REF!</v>
      </c>
      <c r="AS357" s="547" t="e">
        <f t="shared" si="226"/>
        <v>#REF!</v>
      </c>
      <c r="AT357" s="547"/>
      <c r="AU357" s="547"/>
      <c r="AV357" s="547" t="e">
        <f t="shared" si="208"/>
        <v>#REF!</v>
      </c>
      <c r="AW357" s="547" t="e">
        <f>AI357*#REF!+AI356*#REF!+AI355*#REF!</f>
        <v>#REF!</v>
      </c>
      <c r="AX357" s="456"/>
      <c r="AY357" s="585">
        <f t="shared" si="221"/>
        <v>1.794117111395203</v>
      </c>
      <c r="AZ357" s="547">
        <f t="shared" si="209"/>
        <v>0</v>
      </c>
      <c r="BA357" s="547">
        <f>BA356*[1]mProject!V362</f>
        <v>0</v>
      </c>
      <c r="BB357" s="547">
        <f t="shared" si="225"/>
        <v>17781316.823329829</v>
      </c>
      <c r="BC357" s="456"/>
      <c r="BD357" s="588">
        <f>((BB357/100)*(i_CFD.ObliRate/12))*[1]i.Finance!$O$64</f>
        <v>59826.722228495157</v>
      </c>
      <c r="BE357" s="588">
        <f>(AZ357/100*[1]i.Finance!$O$61)*[1]i.Finance!$O$64</f>
        <v>0</v>
      </c>
      <c r="BF357" s="588">
        <f>(AZ357/100*[1]i.Finance!$O$65)</f>
        <v>0</v>
      </c>
      <c r="BG357" s="589">
        <f t="shared" si="210"/>
        <v>59826.722228495157</v>
      </c>
      <c r="BH357" s="456"/>
      <c r="BI357" s="588">
        <f>-PV([1]i.Finance!$O$63/12,[1]i.Finance!$O$62*12,mCFD!BG357)</f>
        <v>10233961.918709608</v>
      </c>
      <c r="BJ357" s="588">
        <f>BI357*[1]i.Finance!$O$58</f>
        <v>8033660.1061870428</v>
      </c>
      <c r="BK357" s="588"/>
      <c r="BL357" s="588"/>
      <c r="BP357" s="547"/>
      <c r="BQ357" s="547"/>
      <c r="BR357" s="547" t="e">
        <f t="shared" si="211"/>
        <v>#NAME?</v>
      </c>
      <c r="BS357" s="547" t="e">
        <f t="shared" si="212"/>
        <v>#NAME?</v>
      </c>
      <c r="BT357" s="547" t="e">
        <f t="shared" si="213"/>
        <v>#NAME?</v>
      </c>
      <c r="BU357" s="547"/>
    </row>
    <row r="358" spans="1:73" ht="16" outlineLevel="1">
      <c r="A358" s="366"/>
      <c r="B358" s="562"/>
      <c r="C358" s="366"/>
      <c r="D358" s="454"/>
      <c r="E358" s="530">
        <f t="shared" si="222"/>
        <v>352</v>
      </c>
      <c r="F358" s="530">
        <f t="shared" si="214"/>
        <v>118</v>
      </c>
      <c r="G358" s="530">
        <f t="shared" si="215"/>
        <v>30</v>
      </c>
      <c r="H358" s="554">
        <f t="shared" si="228"/>
        <v>54513</v>
      </c>
      <c r="I358" s="555">
        <f t="shared" si="194"/>
        <v>2049</v>
      </c>
      <c r="K358" s="530">
        <f>[1]mProject!KB362</f>
        <v>0</v>
      </c>
      <c r="L358" s="530">
        <f t="shared" si="195"/>
        <v>950</v>
      </c>
      <c r="M358" s="530">
        <f t="shared" si="196"/>
        <v>295000</v>
      </c>
      <c r="N358" s="530">
        <f t="shared" si="197"/>
        <v>0</v>
      </c>
      <c r="O358" s="530">
        <f t="shared" si="216"/>
        <v>280250000</v>
      </c>
      <c r="P358" s="530">
        <f>[1]mProject!W362</f>
        <v>509376.26783431333</v>
      </c>
      <c r="Q358" s="530">
        <f t="shared" si="198"/>
        <v>0</v>
      </c>
      <c r="R358" s="530">
        <f t="shared" si="217"/>
        <v>296355280.38883054</v>
      </c>
      <c r="T358" s="530">
        <v>0</v>
      </c>
      <c r="U358" s="530">
        <f t="shared" si="199"/>
        <v>0</v>
      </c>
      <c r="V358" s="530">
        <f>IF(T358=0,0,$V$7*(1+#REF!)^#REF!)</f>
        <v>0</v>
      </c>
      <c r="W358" s="530">
        <f t="shared" si="218"/>
        <v>0</v>
      </c>
      <c r="X358" s="530">
        <f t="shared" si="200"/>
        <v>0</v>
      </c>
      <c r="Y358" s="530">
        <f t="shared" si="201"/>
        <v>0</v>
      </c>
      <c r="AA358" s="530">
        <v>0</v>
      </c>
      <c r="AB358" s="530">
        <f t="shared" si="202"/>
        <v>0</v>
      </c>
      <c r="AC358" s="530">
        <f>IF(AA358=0,0,$V$7*(1+#REF!)^#REF!)</f>
        <v>0</v>
      </c>
      <c r="AD358" s="530">
        <f t="shared" si="219"/>
        <v>0</v>
      </c>
      <c r="AE358" s="530">
        <f t="shared" si="203"/>
        <v>0</v>
      </c>
      <c r="AF358" s="530">
        <f t="shared" si="204"/>
        <v>0</v>
      </c>
      <c r="AH358" s="530">
        <f t="shared" si="205"/>
        <v>0</v>
      </c>
      <c r="AI358" s="530">
        <f t="shared" si="220"/>
        <v>950</v>
      </c>
      <c r="AJ358" s="530">
        <f t="shared" si="193"/>
        <v>0</v>
      </c>
      <c r="AK358" s="530">
        <f>AJ358*[1]mProject!V362</f>
        <v>0</v>
      </c>
      <c r="AL358" s="530">
        <f t="shared" si="206"/>
        <v>0</v>
      </c>
      <c r="AM358" s="530">
        <f t="shared" si="207"/>
        <v>0</v>
      </c>
      <c r="AN358" s="456"/>
      <c r="AO358" s="572" t="e">
        <f t="shared" si="223"/>
        <v>#REF!</v>
      </c>
      <c r="AP358" s="572" t="e">
        <f t="shared" si="227"/>
        <v>#REF!</v>
      </c>
      <c r="AQ358" s="572" t="e">
        <f t="shared" si="192"/>
        <v>#REF!</v>
      </c>
      <c r="AR358" s="573" t="e">
        <f t="shared" si="224"/>
        <v>#REF!</v>
      </c>
      <c r="AS358" s="530" t="e">
        <f t="shared" si="226"/>
        <v>#REF!</v>
      </c>
      <c r="AT358" s="530"/>
      <c r="AU358" s="530"/>
      <c r="AV358" s="530" t="e">
        <f t="shared" si="208"/>
        <v>#REF!</v>
      </c>
      <c r="AW358" s="530" t="e">
        <f>AI358*#REF!+AI357*#REF!+AI356*#REF!</f>
        <v>#REF!</v>
      </c>
      <c r="AX358" s="456"/>
      <c r="AY358" s="583">
        <f t="shared" si="221"/>
        <v>1.7971073065808618</v>
      </c>
      <c r="AZ358" s="530">
        <f t="shared" si="209"/>
        <v>0</v>
      </c>
      <c r="BA358" s="530">
        <f>BA357*[1]mProject!V363</f>
        <v>0</v>
      </c>
      <c r="BB358" s="530">
        <f t="shared" si="225"/>
        <v>17781316.823329829</v>
      </c>
      <c r="BC358" s="456"/>
      <c r="BD358" s="590">
        <f>((BB358/100)*(i_CFD.ObliRate/12))*[1]i.Finance!$O$64</f>
        <v>59826.722228495157</v>
      </c>
      <c r="BE358" s="590">
        <f>(AZ358/100*[1]i.Finance!$O$61)*[1]i.Finance!$O$64</f>
        <v>0</v>
      </c>
      <c r="BF358" s="590">
        <f>(AZ358/100*[1]i.Finance!$O$65)</f>
        <v>0</v>
      </c>
      <c r="BG358" s="591">
        <f t="shared" si="210"/>
        <v>59826.722228495157</v>
      </c>
      <c r="BH358" s="456"/>
      <c r="BI358" s="590">
        <f>-PV([1]i.Finance!$O$63/12,[1]i.Finance!$O$62*12,mCFD!BG358)</f>
        <v>10233961.918709608</v>
      </c>
      <c r="BJ358" s="590">
        <f>BI358*[1]i.Finance!$O$58</f>
        <v>8033660.1061870428</v>
      </c>
      <c r="BK358" s="590"/>
      <c r="BL358" s="590"/>
      <c r="BP358" s="530"/>
      <c r="BQ358" s="530"/>
      <c r="BR358" s="530" t="e">
        <f t="shared" si="211"/>
        <v>#NAME?</v>
      </c>
      <c r="BS358" s="530" t="e">
        <f t="shared" si="212"/>
        <v>#NAME?</v>
      </c>
      <c r="BT358" s="530" t="e">
        <f t="shared" si="213"/>
        <v>#NAME?</v>
      </c>
      <c r="BU358" s="530"/>
    </row>
    <row r="359" spans="1:73" ht="16" outlineLevel="1">
      <c r="A359" s="366"/>
      <c r="B359" s="562"/>
      <c r="C359" s="366"/>
      <c r="D359" s="454"/>
      <c r="E359" s="533">
        <f t="shared" si="222"/>
        <v>353</v>
      </c>
      <c r="F359" s="533">
        <f t="shared" si="214"/>
        <v>118</v>
      </c>
      <c r="G359" s="533">
        <f t="shared" si="215"/>
        <v>30</v>
      </c>
      <c r="H359" s="541">
        <f t="shared" si="228"/>
        <v>54543</v>
      </c>
      <c r="I359" s="542">
        <f t="shared" si="194"/>
        <v>2049</v>
      </c>
      <c r="K359" s="533">
        <f>[1]mProject!KB363</f>
        <v>0</v>
      </c>
      <c r="L359" s="533">
        <f t="shared" si="195"/>
        <v>950</v>
      </c>
      <c r="M359" s="533">
        <f t="shared" si="196"/>
        <v>295000</v>
      </c>
      <c r="N359" s="533">
        <f t="shared" si="197"/>
        <v>0</v>
      </c>
      <c r="O359" s="533">
        <f t="shared" si="216"/>
        <v>280250000</v>
      </c>
      <c r="P359" s="533">
        <f>[1]mProject!W363</f>
        <v>510225.22828070389</v>
      </c>
      <c r="Q359" s="533">
        <f t="shared" si="198"/>
        <v>0</v>
      </c>
      <c r="R359" s="533">
        <f t="shared" si="217"/>
        <v>296355280.38883054</v>
      </c>
      <c r="T359" s="533">
        <v>0</v>
      </c>
      <c r="U359" s="533">
        <f t="shared" si="199"/>
        <v>0</v>
      </c>
      <c r="V359" s="533">
        <f>IF(T359=0,0,$V$7*(1+#REF!)^#REF!)</f>
        <v>0</v>
      </c>
      <c r="W359" s="533">
        <f t="shared" si="218"/>
        <v>0</v>
      </c>
      <c r="X359" s="533">
        <f t="shared" si="200"/>
        <v>0</v>
      </c>
      <c r="Y359" s="533">
        <f t="shared" si="201"/>
        <v>0</v>
      </c>
      <c r="AA359" s="533">
        <v>0</v>
      </c>
      <c r="AB359" s="533">
        <f t="shared" si="202"/>
        <v>0</v>
      </c>
      <c r="AC359" s="533">
        <f>IF(AA359=0,0,$V$7*(1+#REF!)^#REF!)</f>
        <v>0</v>
      </c>
      <c r="AD359" s="533">
        <f t="shared" si="219"/>
        <v>0</v>
      </c>
      <c r="AE359" s="533">
        <f t="shared" si="203"/>
        <v>0</v>
      </c>
      <c r="AF359" s="533">
        <f t="shared" si="204"/>
        <v>0</v>
      </c>
      <c r="AH359" s="533">
        <f t="shared" si="205"/>
        <v>0</v>
      </c>
      <c r="AI359" s="533">
        <f t="shared" si="220"/>
        <v>950</v>
      </c>
      <c r="AJ359" s="533">
        <f t="shared" si="193"/>
        <v>0</v>
      </c>
      <c r="AK359" s="533">
        <f>AJ359*[1]mProject!V363</f>
        <v>0</v>
      </c>
      <c r="AL359" s="533">
        <f t="shared" si="206"/>
        <v>0</v>
      </c>
      <c r="AM359" s="533">
        <f t="shared" si="207"/>
        <v>0</v>
      </c>
      <c r="AN359" s="456"/>
      <c r="AO359" s="575" t="e">
        <f t="shared" si="223"/>
        <v>#REF!</v>
      </c>
      <c r="AP359" s="575" t="e">
        <f t="shared" si="227"/>
        <v>#REF!</v>
      </c>
      <c r="AQ359" s="575" t="e">
        <f t="shared" si="192"/>
        <v>#REF!</v>
      </c>
      <c r="AR359" s="576" t="e">
        <f t="shared" si="224"/>
        <v>#REF!</v>
      </c>
      <c r="AS359" s="533" t="e">
        <f t="shared" si="226"/>
        <v>#REF!</v>
      </c>
      <c r="AT359" s="533"/>
      <c r="AU359" s="533"/>
      <c r="AV359" s="533" t="e">
        <f t="shared" si="208"/>
        <v>#REF!</v>
      </c>
      <c r="AW359" s="533" t="e">
        <f>AI359*#REF!+AI358*#REF!+AI357*#REF!</f>
        <v>#REF!</v>
      </c>
      <c r="AX359" s="456"/>
      <c r="AY359" s="584">
        <f t="shared" si="221"/>
        <v>1.8001024854251633</v>
      </c>
      <c r="AZ359" s="533">
        <f t="shared" si="209"/>
        <v>0</v>
      </c>
      <c r="BA359" s="533">
        <f>BA358*[1]mProject!V364</f>
        <v>0</v>
      </c>
      <c r="BB359" s="533">
        <f t="shared" si="225"/>
        <v>17781316.823329829</v>
      </c>
      <c r="BC359" s="456"/>
      <c r="BD359" s="586">
        <f>((BB359/100)*(i_CFD.ObliRate/12))*[1]i.Finance!$O$64</f>
        <v>59826.722228495157</v>
      </c>
      <c r="BE359" s="586">
        <f>(AZ359/100*[1]i.Finance!$O$61)*[1]i.Finance!$O$64</f>
        <v>0</v>
      </c>
      <c r="BF359" s="586">
        <f>(AZ359/100*[1]i.Finance!$O$65)</f>
        <v>0</v>
      </c>
      <c r="BG359" s="587">
        <f t="shared" si="210"/>
        <v>59826.722228495157</v>
      </c>
      <c r="BH359" s="456"/>
      <c r="BI359" s="586">
        <f>-PV([1]i.Finance!$O$63/12,[1]i.Finance!$O$62*12,mCFD!BG359)</f>
        <v>10233961.918709608</v>
      </c>
      <c r="BJ359" s="586">
        <f>BI359*[1]i.Finance!$O$58</f>
        <v>8033660.1061870428</v>
      </c>
      <c r="BK359" s="586"/>
      <c r="BL359" s="586"/>
      <c r="BP359" s="533"/>
      <c r="BQ359" s="533"/>
      <c r="BR359" s="533" t="e">
        <f t="shared" si="211"/>
        <v>#NAME?</v>
      </c>
      <c r="BS359" s="533" t="e">
        <f t="shared" si="212"/>
        <v>#NAME?</v>
      </c>
      <c r="BT359" s="533" t="e">
        <f t="shared" si="213"/>
        <v>#NAME?</v>
      </c>
      <c r="BU359" s="533"/>
    </row>
    <row r="360" spans="1:73" ht="16" outlineLevel="1">
      <c r="A360" s="366"/>
      <c r="B360" s="562"/>
      <c r="C360" s="366"/>
      <c r="D360" s="454"/>
      <c r="E360" s="547">
        <f t="shared" si="222"/>
        <v>354</v>
      </c>
      <c r="F360" s="547">
        <f t="shared" si="214"/>
        <v>118</v>
      </c>
      <c r="G360" s="547">
        <f t="shared" si="215"/>
        <v>30</v>
      </c>
      <c r="H360" s="548">
        <f t="shared" si="228"/>
        <v>54574</v>
      </c>
      <c r="I360" s="549">
        <f t="shared" si="194"/>
        <v>2049</v>
      </c>
      <c r="K360" s="547">
        <f>[1]mProject!KB364</f>
        <v>0</v>
      </c>
      <c r="L360" s="547">
        <f t="shared" si="195"/>
        <v>950</v>
      </c>
      <c r="M360" s="547">
        <f t="shared" si="196"/>
        <v>295000</v>
      </c>
      <c r="N360" s="547">
        <f t="shared" si="197"/>
        <v>0</v>
      </c>
      <c r="O360" s="547">
        <f t="shared" si="216"/>
        <v>280250000</v>
      </c>
      <c r="P360" s="547">
        <f>[1]mProject!W364</f>
        <v>511075.60366117174</v>
      </c>
      <c r="Q360" s="547">
        <f t="shared" si="198"/>
        <v>0</v>
      </c>
      <c r="R360" s="547">
        <f t="shared" si="217"/>
        <v>296355280.38883054</v>
      </c>
      <c r="T360" s="547">
        <v>0</v>
      </c>
      <c r="U360" s="547">
        <f t="shared" si="199"/>
        <v>0</v>
      </c>
      <c r="V360" s="547">
        <f>IF(T360=0,0,$V$7*(1+#REF!)^#REF!)</f>
        <v>0</v>
      </c>
      <c r="W360" s="547">
        <f t="shared" si="218"/>
        <v>0</v>
      </c>
      <c r="X360" s="547">
        <f t="shared" si="200"/>
        <v>0</v>
      </c>
      <c r="Y360" s="547">
        <f t="shared" si="201"/>
        <v>0</v>
      </c>
      <c r="AA360" s="547">
        <v>0</v>
      </c>
      <c r="AB360" s="547">
        <f t="shared" si="202"/>
        <v>0</v>
      </c>
      <c r="AC360" s="547">
        <f>IF(AA360=0,0,$V$7*(1+#REF!)^#REF!)</f>
        <v>0</v>
      </c>
      <c r="AD360" s="547">
        <f t="shared" si="219"/>
        <v>0</v>
      </c>
      <c r="AE360" s="547">
        <f t="shared" si="203"/>
        <v>0</v>
      </c>
      <c r="AF360" s="547">
        <f t="shared" si="204"/>
        <v>0</v>
      </c>
      <c r="AH360" s="547">
        <f t="shared" si="205"/>
        <v>0</v>
      </c>
      <c r="AI360" s="547">
        <f t="shared" si="220"/>
        <v>950</v>
      </c>
      <c r="AJ360" s="547">
        <f t="shared" si="193"/>
        <v>0</v>
      </c>
      <c r="AK360" s="547">
        <f>AJ360*[1]mProject!V364</f>
        <v>0</v>
      </c>
      <c r="AL360" s="547">
        <f t="shared" si="206"/>
        <v>0</v>
      </c>
      <c r="AM360" s="547">
        <f t="shared" si="207"/>
        <v>0</v>
      </c>
      <c r="AN360" s="456"/>
      <c r="AO360" s="577" t="e">
        <f t="shared" si="223"/>
        <v>#REF!</v>
      </c>
      <c r="AP360" s="577" t="e">
        <f t="shared" si="227"/>
        <v>#REF!</v>
      </c>
      <c r="AQ360" s="577" t="e">
        <f t="shared" si="192"/>
        <v>#REF!</v>
      </c>
      <c r="AR360" s="578" t="e">
        <f t="shared" si="224"/>
        <v>#REF!</v>
      </c>
      <c r="AS360" s="547" t="e">
        <f t="shared" si="226"/>
        <v>#REF!</v>
      </c>
      <c r="AT360" s="547"/>
      <c r="AU360" s="547"/>
      <c r="AV360" s="547" t="e">
        <f t="shared" si="208"/>
        <v>#REF!</v>
      </c>
      <c r="AW360" s="547" t="e">
        <f>AI360*#REF!+AI359*#REF!+AI358*#REF!</f>
        <v>#REF!</v>
      </c>
      <c r="AX360" s="456"/>
      <c r="AY360" s="585">
        <f t="shared" si="221"/>
        <v>1.8031026562342052</v>
      </c>
      <c r="AZ360" s="547">
        <f t="shared" si="209"/>
        <v>0</v>
      </c>
      <c r="BA360" s="547">
        <f>BA359*[1]mProject!V365</f>
        <v>0</v>
      </c>
      <c r="BB360" s="547">
        <f t="shared" si="225"/>
        <v>17781316.823329829</v>
      </c>
      <c r="BC360" s="456"/>
      <c r="BD360" s="588">
        <f>((BB360/100)*(i_CFD.ObliRate/12))*[1]i.Finance!$O$64</f>
        <v>59826.722228495157</v>
      </c>
      <c r="BE360" s="588">
        <f>(AZ360/100*[1]i.Finance!$O$61)*[1]i.Finance!$O$64</f>
        <v>0</v>
      </c>
      <c r="BF360" s="588">
        <f>(AZ360/100*[1]i.Finance!$O$65)</f>
        <v>0</v>
      </c>
      <c r="BG360" s="589">
        <f t="shared" si="210"/>
        <v>59826.722228495157</v>
      </c>
      <c r="BH360" s="456"/>
      <c r="BI360" s="588">
        <f>-PV([1]i.Finance!$O$63/12,[1]i.Finance!$O$62*12,mCFD!BG360)</f>
        <v>10233961.918709608</v>
      </c>
      <c r="BJ360" s="588">
        <f>BI360*[1]i.Finance!$O$58</f>
        <v>8033660.1061870428</v>
      </c>
      <c r="BK360" s="588"/>
      <c r="BL360" s="588"/>
      <c r="BP360" s="547"/>
      <c r="BQ360" s="547"/>
      <c r="BR360" s="547" t="e">
        <f t="shared" si="211"/>
        <v>#NAME?</v>
      </c>
      <c r="BS360" s="547" t="e">
        <f t="shared" si="212"/>
        <v>#NAME?</v>
      </c>
      <c r="BT360" s="547" t="e">
        <f t="shared" si="213"/>
        <v>#NAME?</v>
      </c>
      <c r="BU360" s="547"/>
    </row>
    <row r="361" spans="1:73" ht="16" outlineLevel="1">
      <c r="A361" s="366"/>
      <c r="B361" s="562"/>
      <c r="C361" s="366"/>
      <c r="D361" s="454"/>
      <c r="E361" s="530">
        <f t="shared" si="222"/>
        <v>355</v>
      </c>
      <c r="F361" s="530">
        <f t="shared" si="214"/>
        <v>119</v>
      </c>
      <c r="G361" s="530">
        <f t="shared" si="215"/>
        <v>30</v>
      </c>
      <c r="H361" s="554">
        <f t="shared" si="228"/>
        <v>54604</v>
      </c>
      <c r="I361" s="555">
        <f t="shared" si="194"/>
        <v>2049</v>
      </c>
      <c r="K361" s="530">
        <f>[1]mProject!KB365</f>
        <v>0</v>
      </c>
      <c r="L361" s="530">
        <f t="shared" si="195"/>
        <v>950</v>
      </c>
      <c r="M361" s="530">
        <f t="shared" si="196"/>
        <v>295000</v>
      </c>
      <c r="N361" s="530">
        <f t="shared" si="197"/>
        <v>0</v>
      </c>
      <c r="O361" s="530">
        <f t="shared" si="216"/>
        <v>280250000</v>
      </c>
      <c r="P361" s="530">
        <f>[1]mProject!W365</f>
        <v>511927.39633394039</v>
      </c>
      <c r="Q361" s="530">
        <f t="shared" si="198"/>
        <v>0</v>
      </c>
      <c r="R361" s="530">
        <f t="shared" si="217"/>
        <v>296355280.38883054</v>
      </c>
      <c r="T361" s="530">
        <v>0</v>
      </c>
      <c r="U361" s="530">
        <f t="shared" si="199"/>
        <v>0</v>
      </c>
      <c r="V361" s="530">
        <f>IF(T361=0,0,$V$7*(1+#REF!)^#REF!)</f>
        <v>0</v>
      </c>
      <c r="W361" s="530">
        <f t="shared" si="218"/>
        <v>0</v>
      </c>
      <c r="X361" s="530">
        <f t="shared" si="200"/>
        <v>0</v>
      </c>
      <c r="Y361" s="530">
        <f t="shared" si="201"/>
        <v>0</v>
      </c>
      <c r="AA361" s="530">
        <v>0</v>
      </c>
      <c r="AB361" s="530">
        <f t="shared" si="202"/>
        <v>0</v>
      </c>
      <c r="AC361" s="530">
        <f>IF(AA361=0,0,$V$7*(1+#REF!)^#REF!)</f>
        <v>0</v>
      </c>
      <c r="AD361" s="530">
        <f t="shared" si="219"/>
        <v>0</v>
      </c>
      <c r="AE361" s="530">
        <f t="shared" si="203"/>
        <v>0</v>
      </c>
      <c r="AF361" s="530">
        <f t="shared" si="204"/>
        <v>0</v>
      </c>
      <c r="AH361" s="530">
        <f t="shared" si="205"/>
        <v>0</v>
      </c>
      <c r="AI361" s="530">
        <f t="shared" si="220"/>
        <v>950</v>
      </c>
      <c r="AJ361" s="530">
        <f t="shared" si="193"/>
        <v>0</v>
      </c>
      <c r="AK361" s="530">
        <f>AJ361*[1]mProject!V365</f>
        <v>0</v>
      </c>
      <c r="AL361" s="530">
        <f t="shared" si="206"/>
        <v>0</v>
      </c>
      <c r="AM361" s="530">
        <f t="shared" si="207"/>
        <v>0</v>
      </c>
      <c r="AN361" s="456"/>
      <c r="AO361" s="572" t="e">
        <f t="shared" si="223"/>
        <v>#REF!</v>
      </c>
      <c r="AP361" s="572" t="e">
        <f t="shared" si="227"/>
        <v>#REF!</v>
      </c>
      <c r="AQ361" s="572" t="e">
        <f t="shared" si="192"/>
        <v>#REF!</v>
      </c>
      <c r="AR361" s="573" t="e">
        <f t="shared" si="224"/>
        <v>#REF!</v>
      </c>
      <c r="AS361" s="530" t="e">
        <f t="shared" si="226"/>
        <v>#REF!</v>
      </c>
      <c r="AT361" s="530"/>
      <c r="AU361" s="530"/>
      <c r="AV361" s="530" t="e">
        <f t="shared" si="208"/>
        <v>#REF!</v>
      </c>
      <c r="AW361" s="530" t="e">
        <f>AI361*#REF!+AI360*#REF!+AI359*#REF!</f>
        <v>#REF!</v>
      </c>
      <c r="AX361" s="456"/>
      <c r="AY361" s="583">
        <f t="shared" si="221"/>
        <v>1.806107827327929</v>
      </c>
      <c r="AZ361" s="530">
        <f t="shared" si="209"/>
        <v>0</v>
      </c>
      <c r="BA361" s="530">
        <f>BA360*[1]mProject!V366</f>
        <v>0</v>
      </c>
      <c r="BB361" s="530">
        <f t="shared" si="225"/>
        <v>17781316.823329829</v>
      </c>
      <c r="BC361" s="456"/>
      <c r="BD361" s="590">
        <f>((BB361/100)*(i_CFD.ObliRate/12))*[1]i.Finance!$O$64</f>
        <v>59826.722228495157</v>
      </c>
      <c r="BE361" s="590">
        <f>(AZ361/100*[1]i.Finance!$O$61)*[1]i.Finance!$O$64</f>
        <v>0</v>
      </c>
      <c r="BF361" s="590">
        <f>(AZ361/100*[1]i.Finance!$O$65)</f>
        <v>0</v>
      </c>
      <c r="BG361" s="591">
        <f t="shared" si="210"/>
        <v>59826.722228495157</v>
      </c>
      <c r="BH361" s="456"/>
      <c r="BI361" s="590">
        <f>-PV([1]i.Finance!$O$63/12,[1]i.Finance!$O$62*12,mCFD!BG361)</f>
        <v>10233961.918709608</v>
      </c>
      <c r="BJ361" s="590">
        <f>BI361*[1]i.Finance!$O$58</f>
        <v>8033660.1061870428</v>
      </c>
      <c r="BK361" s="590"/>
      <c r="BL361" s="590"/>
      <c r="BP361" s="530"/>
      <c r="BQ361" s="530"/>
      <c r="BR361" s="530" t="e">
        <f t="shared" si="211"/>
        <v>#NAME?</v>
      </c>
      <c r="BS361" s="530" t="e">
        <f t="shared" si="212"/>
        <v>#NAME?</v>
      </c>
      <c r="BT361" s="530" t="e">
        <f t="shared" si="213"/>
        <v>#NAME?</v>
      </c>
      <c r="BU361" s="530"/>
    </row>
    <row r="362" spans="1:73" ht="16" outlineLevel="1">
      <c r="A362" s="366"/>
      <c r="B362" s="562"/>
      <c r="C362" s="366"/>
      <c r="D362" s="454"/>
      <c r="E362" s="533">
        <f t="shared" si="222"/>
        <v>356</v>
      </c>
      <c r="F362" s="533">
        <f t="shared" si="214"/>
        <v>119</v>
      </c>
      <c r="G362" s="533">
        <f t="shared" si="215"/>
        <v>30</v>
      </c>
      <c r="H362" s="541">
        <f t="shared" si="228"/>
        <v>54635</v>
      </c>
      <c r="I362" s="542">
        <f t="shared" si="194"/>
        <v>2049</v>
      </c>
      <c r="K362" s="533">
        <f>[1]mProject!KB366</f>
        <v>0</v>
      </c>
      <c r="L362" s="533">
        <f t="shared" si="195"/>
        <v>950</v>
      </c>
      <c r="M362" s="533">
        <f t="shared" si="196"/>
        <v>295000</v>
      </c>
      <c r="N362" s="533">
        <f t="shared" si="197"/>
        <v>0</v>
      </c>
      <c r="O362" s="533">
        <f t="shared" si="216"/>
        <v>280250000</v>
      </c>
      <c r="P362" s="533">
        <f>[1]mProject!W366</f>
        <v>512780.60866116366</v>
      </c>
      <c r="Q362" s="533">
        <f t="shared" si="198"/>
        <v>0</v>
      </c>
      <c r="R362" s="533">
        <f t="shared" si="217"/>
        <v>296355280.38883054</v>
      </c>
      <c r="T362" s="533">
        <v>0</v>
      </c>
      <c r="U362" s="533">
        <f t="shared" si="199"/>
        <v>0</v>
      </c>
      <c r="V362" s="533">
        <f>IF(T362=0,0,$V$7*(1+#REF!)^#REF!)</f>
        <v>0</v>
      </c>
      <c r="W362" s="533">
        <f t="shared" si="218"/>
        <v>0</v>
      </c>
      <c r="X362" s="533">
        <f t="shared" si="200"/>
        <v>0</v>
      </c>
      <c r="Y362" s="533">
        <f t="shared" si="201"/>
        <v>0</v>
      </c>
      <c r="AA362" s="533">
        <v>0</v>
      </c>
      <c r="AB362" s="533">
        <f t="shared" si="202"/>
        <v>0</v>
      </c>
      <c r="AC362" s="533">
        <f>IF(AA362=0,0,$V$7*(1+#REF!)^#REF!)</f>
        <v>0</v>
      </c>
      <c r="AD362" s="533">
        <f t="shared" si="219"/>
        <v>0</v>
      </c>
      <c r="AE362" s="533">
        <f t="shared" si="203"/>
        <v>0</v>
      </c>
      <c r="AF362" s="533">
        <f t="shared" si="204"/>
        <v>0</v>
      </c>
      <c r="AH362" s="533">
        <f t="shared" si="205"/>
        <v>0</v>
      </c>
      <c r="AI362" s="533">
        <f t="shared" si="220"/>
        <v>950</v>
      </c>
      <c r="AJ362" s="533">
        <f t="shared" si="193"/>
        <v>0</v>
      </c>
      <c r="AK362" s="533">
        <f>AJ362*[1]mProject!V366</f>
        <v>0</v>
      </c>
      <c r="AL362" s="533">
        <f t="shared" si="206"/>
        <v>0</v>
      </c>
      <c r="AM362" s="533">
        <f t="shared" si="207"/>
        <v>0</v>
      </c>
      <c r="AN362" s="456"/>
      <c r="AO362" s="575" t="e">
        <f t="shared" si="223"/>
        <v>#REF!</v>
      </c>
      <c r="AP362" s="575" t="e">
        <f t="shared" si="227"/>
        <v>#REF!</v>
      </c>
      <c r="AQ362" s="575" t="e">
        <f t="shared" si="192"/>
        <v>#REF!</v>
      </c>
      <c r="AR362" s="576" t="e">
        <f t="shared" si="224"/>
        <v>#REF!</v>
      </c>
      <c r="AS362" s="533" t="e">
        <f t="shared" si="226"/>
        <v>#REF!</v>
      </c>
      <c r="AT362" s="533"/>
      <c r="AU362" s="533"/>
      <c r="AV362" s="533" t="e">
        <f t="shared" si="208"/>
        <v>#REF!</v>
      </c>
      <c r="AW362" s="533" t="e">
        <f>AI362*#REF!+AI361*#REF!+AI360*#REF!</f>
        <v>#REF!</v>
      </c>
      <c r="AX362" s="456"/>
      <c r="AY362" s="584">
        <f t="shared" si="221"/>
        <v>1.8091180070401423</v>
      </c>
      <c r="AZ362" s="533">
        <f t="shared" si="209"/>
        <v>0</v>
      </c>
      <c r="BA362" s="533">
        <f>BA361*[1]mProject!V367</f>
        <v>0</v>
      </c>
      <c r="BB362" s="533">
        <f t="shared" si="225"/>
        <v>17781316.823329829</v>
      </c>
      <c r="BC362" s="456"/>
      <c r="BD362" s="586">
        <f>((BB362/100)*(i_CFD.ObliRate/12))*[1]i.Finance!$O$64</f>
        <v>59826.722228495157</v>
      </c>
      <c r="BE362" s="586">
        <f>(AZ362/100*[1]i.Finance!$O$61)*[1]i.Finance!$O$64</f>
        <v>0</v>
      </c>
      <c r="BF362" s="586">
        <f>(AZ362/100*[1]i.Finance!$O$65)</f>
        <v>0</v>
      </c>
      <c r="BG362" s="587">
        <f t="shared" si="210"/>
        <v>59826.722228495157</v>
      </c>
      <c r="BH362" s="456"/>
      <c r="BI362" s="586">
        <f>-PV([1]i.Finance!$O$63/12,[1]i.Finance!$O$62*12,mCFD!BG362)</f>
        <v>10233961.918709608</v>
      </c>
      <c r="BJ362" s="586">
        <f>BI362*[1]i.Finance!$O$58</f>
        <v>8033660.1061870428</v>
      </c>
      <c r="BK362" s="586"/>
      <c r="BL362" s="586"/>
      <c r="BP362" s="533"/>
      <c r="BQ362" s="533"/>
      <c r="BR362" s="533" t="e">
        <f t="shared" si="211"/>
        <v>#NAME?</v>
      </c>
      <c r="BS362" s="533" t="e">
        <f t="shared" si="212"/>
        <v>#NAME?</v>
      </c>
      <c r="BT362" s="533" t="e">
        <f t="shared" si="213"/>
        <v>#NAME?</v>
      </c>
      <c r="BU362" s="533"/>
    </row>
    <row r="363" spans="1:73" ht="16" outlineLevel="1">
      <c r="A363" s="366"/>
      <c r="B363" s="562"/>
      <c r="C363" s="366"/>
      <c r="D363" s="454"/>
      <c r="E363" s="547">
        <f t="shared" si="222"/>
        <v>357</v>
      </c>
      <c r="F363" s="547">
        <f t="shared" si="214"/>
        <v>119</v>
      </c>
      <c r="G363" s="547">
        <f t="shared" si="215"/>
        <v>30</v>
      </c>
      <c r="H363" s="548">
        <f t="shared" si="228"/>
        <v>54666</v>
      </c>
      <c r="I363" s="549">
        <f t="shared" si="194"/>
        <v>2049</v>
      </c>
      <c r="K363" s="547">
        <f>[1]mProject!KB367</f>
        <v>0</v>
      </c>
      <c r="L363" s="547">
        <f t="shared" si="195"/>
        <v>950</v>
      </c>
      <c r="M363" s="547">
        <f t="shared" si="196"/>
        <v>295000</v>
      </c>
      <c r="N363" s="547">
        <f t="shared" si="197"/>
        <v>0</v>
      </c>
      <c r="O363" s="547">
        <f t="shared" si="216"/>
        <v>280250000</v>
      </c>
      <c r="P363" s="547">
        <f>[1]mProject!W367</f>
        <v>513635.24300893227</v>
      </c>
      <c r="Q363" s="547">
        <f t="shared" si="198"/>
        <v>0</v>
      </c>
      <c r="R363" s="547">
        <f t="shared" si="217"/>
        <v>296355280.38883054</v>
      </c>
      <c r="T363" s="547">
        <v>0</v>
      </c>
      <c r="U363" s="547">
        <f t="shared" si="199"/>
        <v>0</v>
      </c>
      <c r="V363" s="547">
        <f>IF(T363=0,0,$V$7*(1+#REF!)^#REF!)</f>
        <v>0</v>
      </c>
      <c r="W363" s="547">
        <f t="shared" si="218"/>
        <v>0</v>
      </c>
      <c r="X363" s="547">
        <f t="shared" si="200"/>
        <v>0</v>
      </c>
      <c r="Y363" s="547">
        <f t="shared" si="201"/>
        <v>0</v>
      </c>
      <c r="AA363" s="547">
        <v>0</v>
      </c>
      <c r="AB363" s="547">
        <f t="shared" si="202"/>
        <v>0</v>
      </c>
      <c r="AC363" s="547">
        <f>IF(AA363=0,0,$V$7*(1+#REF!)^#REF!)</f>
        <v>0</v>
      </c>
      <c r="AD363" s="547">
        <f t="shared" si="219"/>
        <v>0</v>
      </c>
      <c r="AE363" s="547">
        <f t="shared" si="203"/>
        <v>0</v>
      </c>
      <c r="AF363" s="547">
        <f t="shared" si="204"/>
        <v>0</v>
      </c>
      <c r="AH363" s="547">
        <f t="shared" si="205"/>
        <v>0</v>
      </c>
      <c r="AI363" s="547">
        <f t="shared" si="220"/>
        <v>950</v>
      </c>
      <c r="AJ363" s="547">
        <f t="shared" si="193"/>
        <v>0</v>
      </c>
      <c r="AK363" s="547">
        <f>AJ363*[1]mProject!V367</f>
        <v>0</v>
      </c>
      <c r="AL363" s="547">
        <f t="shared" si="206"/>
        <v>0</v>
      </c>
      <c r="AM363" s="547">
        <f t="shared" si="207"/>
        <v>0</v>
      </c>
      <c r="AN363" s="456"/>
      <c r="AO363" s="577" t="e">
        <f t="shared" si="223"/>
        <v>#REF!</v>
      </c>
      <c r="AP363" s="577" t="e">
        <f t="shared" si="227"/>
        <v>#REF!</v>
      </c>
      <c r="AQ363" s="577" t="e">
        <f t="shared" ref="AQ363:AQ366" si="229">$L339*AQ$6</f>
        <v>#REF!</v>
      </c>
      <c r="AR363" s="578" t="e">
        <f t="shared" si="224"/>
        <v>#REF!</v>
      </c>
      <c r="AS363" s="547" t="e">
        <f t="shared" si="226"/>
        <v>#REF!</v>
      </c>
      <c r="AT363" s="547"/>
      <c r="AU363" s="547"/>
      <c r="AV363" s="547" t="e">
        <f t="shared" si="208"/>
        <v>#REF!</v>
      </c>
      <c r="AW363" s="547" t="e">
        <f>AI363*#REF!+AI362*#REF!+AI361*#REF!</f>
        <v>#REF!</v>
      </c>
      <c r="AX363" s="456"/>
      <c r="AY363" s="585">
        <f t="shared" si="221"/>
        <v>1.8121332037185425</v>
      </c>
      <c r="AZ363" s="547">
        <f t="shared" si="209"/>
        <v>0</v>
      </c>
      <c r="BA363" s="547">
        <f>BA362*[1]mProject!V368</f>
        <v>0</v>
      </c>
      <c r="BB363" s="547">
        <f t="shared" si="225"/>
        <v>17781316.823329829</v>
      </c>
      <c r="BC363" s="456"/>
      <c r="BD363" s="588">
        <f>((BB363/100)*(i_CFD.ObliRate/12))*[1]i.Finance!$O$64</f>
        <v>59826.722228495157</v>
      </c>
      <c r="BE363" s="588">
        <f>(AZ363/100*[1]i.Finance!$O$61)*[1]i.Finance!$O$64</f>
        <v>0</v>
      </c>
      <c r="BF363" s="588">
        <f>(AZ363/100*[1]i.Finance!$O$65)</f>
        <v>0</v>
      </c>
      <c r="BG363" s="589">
        <f t="shared" si="210"/>
        <v>59826.722228495157</v>
      </c>
      <c r="BH363" s="456"/>
      <c r="BI363" s="588">
        <f>-PV([1]i.Finance!$O$63/12,[1]i.Finance!$O$62*12,mCFD!BG363)</f>
        <v>10233961.918709608</v>
      </c>
      <c r="BJ363" s="588">
        <f>BI363*[1]i.Finance!$O$58</f>
        <v>8033660.1061870428</v>
      </c>
      <c r="BK363" s="588"/>
      <c r="BL363" s="588"/>
      <c r="BP363" s="547"/>
      <c r="BQ363" s="547"/>
      <c r="BR363" s="547" t="e">
        <f t="shared" si="211"/>
        <v>#NAME?</v>
      </c>
      <c r="BS363" s="547" t="e">
        <f t="shared" si="212"/>
        <v>#NAME?</v>
      </c>
      <c r="BT363" s="547" t="e">
        <f t="shared" si="213"/>
        <v>#NAME?</v>
      </c>
      <c r="BU363" s="547"/>
    </row>
    <row r="364" spans="1:73" ht="16" outlineLevel="1">
      <c r="A364" s="366"/>
      <c r="B364" s="562"/>
      <c r="C364" s="366"/>
      <c r="D364" s="454"/>
      <c r="E364" s="530">
        <f t="shared" si="222"/>
        <v>358</v>
      </c>
      <c r="F364" s="530">
        <f t="shared" si="214"/>
        <v>120</v>
      </c>
      <c r="G364" s="530">
        <f t="shared" si="215"/>
        <v>30</v>
      </c>
      <c r="H364" s="554">
        <f t="shared" si="228"/>
        <v>54696</v>
      </c>
      <c r="I364" s="555">
        <f t="shared" si="194"/>
        <v>2049</v>
      </c>
      <c r="K364" s="530">
        <f>[1]mProject!KB368</f>
        <v>0</v>
      </c>
      <c r="L364" s="530">
        <f t="shared" si="195"/>
        <v>950</v>
      </c>
      <c r="M364" s="530">
        <f t="shared" si="196"/>
        <v>295000</v>
      </c>
      <c r="N364" s="530">
        <f t="shared" si="197"/>
        <v>0</v>
      </c>
      <c r="O364" s="530">
        <f t="shared" si="216"/>
        <v>280250000</v>
      </c>
      <c r="P364" s="530">
        <f>[1]mProject!W368</f>
        <v>514491.30174728052</v>
      </c>
      <c r="Q364" s="530">
        <f t="shared" si="198"/>
        <v>0</v>
      </c>
      <c r="R364" s="530">
        <f t="shared" si="217"/>
        <v>296355280.38883054</v>
      </c>
      <c r="T364" s="530">
        <v>0</v>
      </c>
      <c r="U364" s="530">
        <f t="shared" si="199"/>
        <v>0</v>
      </c>
      <c r="V364" s="530">
        <f>IF(T364=0,0,$V$7*(1+#REF!)^#REF!)</f>
        <v>0</v>
      </c>
      <c r="W364" s="530">
        <f t="shared" si="218"/>
        <v>0</v>
      </c>
      <c r="X364" s="530">
        <f t="shared" si="200"/>
        <v>0</v>
      </c>
      <c r="Y364" s="530">
        <f t="shared" si="201"/>
        <v>0</v>
      </c>
      <c r="AA364" s="530">
        <v>0</v>
      </c>
      <c r="AB364" s="530">
        <f t="shared" si="202"/>
        <v>0</v>
      </c>
      <c r="AC364" s="530">
        <f>IF(AA364=0,0,$V$7*(1+#REF!)^#REF!)</f>
        <v>0</v>
      </c>
      <c r="AD364" s="530">
        <f t="shared" si="219"/>
        <v>0</v>
      </c>
      <c r="AE364" s="530">
        <f t="shared" si="203"/>
        <v>0</v>
      </c>
      <c r="AF364" s="530">
        <f t="shared" si="204"/>
        <v>0</v>
      </c>
      <c r="AH364" s="530">
        <f t="shared" si="205"/>
        <v>0</v>
      </c>
      <c r="AI364" s="530">
        <f t="shared" si="220"/>
        <v>950</v>
      </c>
      <c r="AJ364" s="530">
        <f t="shared" si="193"/>
        <v>0</v>
      </c>
      <c r="AK364" s="530">
        <f>AJ364*[1]mProject!V368</f>
        <v>0</v>
      </c>
      <c r="AL364" s="530">
        <f t="shared" si="206"/>
        <v>0</v>
      </c>
      <c r="AM364" s="530">
        <f t="shared" si="207"/>
        <v>0</v>
      </c>
      <c r="AN364" s="456"/>
      <c r="AO364" s="572" t="e">
        <f t="shared" si="223"/>
        <v>#REF!</v>
      </c>
      <c r="AP364" s="572" t="e">
        <f t="shared" si="227"/>
        <v>#REF!</v>
      </c>
      <c r="AQ364" s="572" t="e">
        <f t="shared" si="229"/>
        <v>#REF!</v>
      </c>
      <c r="AR364" s="573" t="e">
        <f t="shared" si="224"/>
        <v>#REF!</v>
      </c>
      <c r="AS364" s="530" t="e">
        <f t="shared" si="226"/>
        <v>#REF!</v>
      </c>
      <c r="AT364" s="530"/>
      <c r="AU364" s="530"/>
      <c r="AV364" s="530" t="e">
        <f t="shared" si="208"/>
        <v>#REF!</v>
      </c>
      <c r="AW364" s="530" t="e">
        <f>AI364*#REF!+AI363*#REF!+AI362*#REF!</f>
        <v>#REF!</v>
      </c>
      <c r="AX364" s="456"/>
      <c r="AY364" s="583">
        <f t="shared" si="221"/>
        <v>1.8151534257247401</v>
      </c>
      <c r="AZ364" s="530">
        <f t="shared" si="209"/>
        <v>0</v>
      </c>
      <c r="BA364" s="530">
        <f>BA363*[1]mProject!V369</f>
        <v>0</v>
      </c>
      <c r="BB364" s="530">
        <f t="shared" si="225"/>
        <v>17781316.823329829</v>
      </c>
      <c r="BC364" s="456"/>
      <c r="BD364" s="590">
        <f>((BB364/100)*(i_CFD.ObliRate/12))*[1]i.Finance!$O$64</f>
        <v>59826.722228495157</v>
      </c>
      <c r="BE364" s="590">
        <f>(AZ364/100*[1]i.Finance!$O$61)*[1]i.Finance!$O$64</f>
        <v>0</v>
      </c>
      <c r="BF364" s="590">
        <f>(AZ364/100*[1]i.Finance!$O$65)</f>
        <v>0</v>
      </c>
      <c r="BG364" s="591">
        <f t="shared" si="210"/>
        <v>59826.722228495157</v>
      </c>
      <c r="BH364" s="456"/>
      <c r="BI364" s="590">
        <f>-PV([1]i.Finance!$O$63/12,[1]i.Finance!$O$62*12,mCFD!BG364)</f>
        <v>10233961.918709608</v>
      </c>
      <c r="BJ364" s="590">
        <f>BI364*[1]i.Finance!$O$58</f>
        <v>8033660.1061870428</v>
      </c>
      <c r="BK364" s="590"/>
      <c r="BL364" s="590"/>
      <c r="BP364" s="530"/>
      <c r="BQ364" s="530"/>
      <c r="BR364" s="530" t="e">
        <f t="shared" si="211"/>
        <v>#NAME?</v>
      </c>
      <c r="BS364" s="530" t="e">
        <f t="shared" si="212"/>
        <v>#NAME?</v>
      </c>
      <c r="BT364" s="530" t="e">
        <f t="shared" si="213"/>
        <v>#NAME?</v>
      </c>
      <c r="BU364" s="530"/>
    </row>
    <row r="365" spans="1:73" ht="16" outlineLevel="1">
      <c r="A365" s="366"/>
      <c r="B365" s="562"/>
      <c r="C365" s="366"/>
      <c r="D365" s="454"/>
      <c r="E365" s="533">
        <f t="shared" si="222"/>
        <v>359</v>
      </c>
      <c r="F365" s="533">
        <f t="shared" si="214"/>
        <v>120</v>
      </c>
      <c r="G365" s="533">
        <f t="shared" si="215"/>
        <v>30</v>
      </c>
      <c r="H365" s="541">
        <f t="shared" si="228"/>
        <v>54727</v>
      </c>
      <c r="I365" s="542">
        <f t="shared" si="194"/>
        <v>2049</v>
      </c>
      <c r="K365" s="533">
        <f>[1]mProject!KB369</f>
        <v>0</v>
      </c>
      <c r="L365" s="533">
        <f t="shared" si="195"/>
        <v>950</v>
      </c>
      <c r="M365" s="533">
        <f t="shared" si="196"/>
        <v>295000</v>
      </c>
      <c r="N365" s="533">
        <f t="shared" si="197"/>
        <v>0</v>
      </c>
      <c r="O365" s="533">
        <f t="shared" si="216"/>
        <v>280250000</v>
      </c>
      <c r="P365" s="533">
        <f>[1]mProject!W369</f>
        <v>515348.78725019266</v>
      </c>
      <c r="Q365" s="533">
        <f t="shared" si="198"/>
        <v>0</v>
      </c>
      <c r="R365" s="533">
        <f t="shared" si="217"/>
        <v>296355280.38883054</v>
      </c>
      <c r="T365" s="533">
        <v>0</v>
      </c>
      <c r="U365" s="533">
        <f t="shared" si="199"/>
        <v>0</v>
      </c>
      <c r="V365" s="533">
        <f>IF(T365=0,0,$V$7*(1+#REF!)^#REF!)</f>
        <v>0</v>
      </c>
      <c r="W365" s="533">
        <f t="shared" si="218"/>
        <v>0</v>
      </c>
      <c r="X365" s="533">
        <f t="shared" si="200"/>
        <v>0</v>
      </c>
      <c r="Y365" s="533">
        <f t="shared" si="201"/>
        <v>0</v>
      </c>
      <c r="AA365" s="533">
        <v>0</v>
      </c>
      <c r="AB365" s="533">
        <f t="shared" si="202"/>
        <v>0</v>
      </c>
      <c r="AC365" s="533">
        <f>IF(AA365=0,0,$V$7*(1+#REF!)^#REF!)</f>
        <v>0</v>
      </c>
      <c r="AD365" s="533">
        <f t="shared" si="219"/>
        <v>0</v>
      </c>
      <c r="AE365" s="533">
        <f t="shared" si="203"/>
        <v>0</v>
      </c>
      <c r="AF365" s="533">
        <f t="shared" si="204"/>
        <v>0</v>
      </c>
      <c r="AH365" s="533">
        <f t="shared" si="205"/>
        <v>0</v>
      </c>
      <c r="AI365" s="533">
        <f t="shared" si="220"/>
        <v>950</v>
      </c>
      <c r="AJ365" s="533">
        <f t="shared" si="193"/>
        <v>0</v>
      </c>
      <c r="AK365" s="533">
        <f>AJ365*[1]mProject!V369</f>
        <v>0</v>
      </c>
      <c r="AL365" s="533">
        <f t="shared" si="206"/>
        <v>0</v>
      </c>
      <c r="AM365" s="533">
        <f t="shared" si="207"/>
        <v>0</v>
      </c>
      <c r="AN365" s="456"/>
      <c r="AO365" s="575" t="e">
        <f t="shared" si="223"/>
        <v>#REF!</v>
      </c>
      <c r="AP365" s="575" t="e">
        <f t="shared" si="227"/>
        <v>#REF!</v>
      </c>
      <c r="AQ365" s="575" t="e">
        <f t="shared" si="229"/>
        <v>#REF!</v>
      </c>
      <c r="AR365" s="576" t="e">
        <f t="shared" si="224"/>
        <v>#REF!</v>
      </c>
      <c r="AS365" s="533" t="e">
        <f t="shared" si="226"/>
        <v>#REF!</v>
      </c>
      <c r="AT365" s="533"/>
      <c r="AU365" s="533"/>
      <c r="AV365" s="533" t="e">
        <f t="shared" si="208"/>
        <v>#REF!</v>
      </c>
      <c r="AW365" s="533" t="e">
        <f>AI365*#REF!+AI364*#REF!+AI363*#REF!</f>
        <v>#REF!</v>
      </c>
      <c r="AX365" s="456"/>
      <c r="AY365" s="584">
        <f t="shared" si="221"/>
        <v>1.8181786814342815</v>
      </c>
      <c r="AZ365" s="533">
        <f t="shared" si="209"/>
        <v>0</v>
      </c>
      <c r="BA365" s="533">
        <f>BA364*[1]mProject!V370</f>
        <v>0</v>
      </c>
      <c r="BB365" s="533">
        <f t="shared" si="225"/>
        <v>17781316.823329829</v>
      </c>
      <c r="BC365" s="456"/>
      <c r="BD365" s="586">
        <f>((BB365/100)*(i_CFD.ObliRate/12))*[1]i.Finance!$O$64</f>
        <v>59826.722228495157</v>
      </c>
      <c r="BE365" s="586">
        <f>(AZ365/100*[1]i.Finance!$O$61)*[1]i.Finance!$O$64</f>
        <v>0</v>
      </c>
      <c r="BF365" s="586">
        <f>(AZ365/100*[1]i.Finance!$O$65)</f>
        <v>0</v>
      </c>
      <c r="BG365" s="587">
        <f t="shared" si="210"/>
        <v>59826.722228495157</v>
      </c>
      <c r="BH365" s="456"/>
      <c r="BI365" s="586">
        <f>-PV([1]i.Finance!$O$63/12,[1]i.Finance!$O$62*12,mCFD!BG365)</f>
        <v>10233961.918709608</v>
      </c>
      <c r="BJ365" s="586">
        <f>BI365*[1]i.Finance!$O$58</f>
        <v>8033660.1061870428</v>
      </c>
      <c r="BK365" s="586"/>
      <c r="BL365" s="586"/>
      <c r="BP365" s="533"/>
      <c r="BQ365" s="533"/>
      <c r="BR365" s="533" t="e">
        <f t="shared" si="211"/>
        <v>#NAME?</v>
      </c>
      <c r="BS365" s="533" t="e">
        <f t="shared" si="212"/>
        <v>#NAME?</v>
      </c>
      <c r="BT365" s="533" t="e">
        <f t="shared" si="213"/>
        <v>#NAME?</v>
      </c>
      <c r="BU365" s="533"/>
    </row>
    <row r="366" spans="1:73" ht="17" outlineLevel="1" thickBot="1">
      <c r="A366" s="366"/>
      <c r="B366" s="562"/>
      <c r="C366" s="366"/>
      <c r="D366" s="454"/>
      <c r="E366" s="564">
        <f t="shared" si="222"/>
        <v>360</v>
      </c>
      <c r="F366" s="564">
        <f t="shared" si="214"/>
        <v>120</v>
      </c>
      <c r="G366" s="564">
        <f t="shared" si="215"/>
        <v>30</v>
      </c>
      <c r="H366" s="565">
        <f t="shared" si="228"/>
        <v>54757</v>
      </c>
      <c r="I366" s="566">
        <f t="shared" si="194"/>
        <v>2049</v>
      </c>
      <c r="K366" s="564">
        <f>[1]mProject!KB370</f>
        <v>0</v>
      </c>
      <c r="L366" s="564">
        <f t="shared" si="195"/>
        <v>950</v>
      </c>
      <c r="M366" s="564">
        <f t="shared" si="196"/>
        <v>295000</v>
      </c>
      <c r="N366" s="564">
        <f t="shared" si="197"/>
        <v>0</v>
      </c>
      <c r="O366" s="564">
        <f t="shared" si="216"/>
        <v>280250000</v>
      </c>
      <c r="P366" s="564">
        <f>[1]mProject!W370</f>
        <v>516207.70189560967</v>
      </c>
      <c r="Q366" s="564">
        <f t="shared" si="198"/>
        <v>0</v>
      </c>
      <c r="R366" s="564">
        <f t="shared" si="217"/>
        <v>296355280.38883054</v>
      </c>
      <c r="T366" s="564">
        <v>0</v>
      </c>
      <c r="U366" s="564">
        <f t="shared" si="199"/>
        <v>0</v>
      </c>
      <c r="V366" s="564">
        <f>IF(T366=0,0,$V$7*(1+#REF!)^#REF!)</f>
        <v>0</v>
      </c>
      <c r="W366" s="564">
        <f t="shared" si="218"/>
        <v>0</v>
      </c>
      <c r="X366" s="564">
        <f t="shared" si="200"/>
        <v>0</v>
      </c>
      <c r="Y366" s="564">
        <f t="shared" si="201"/>
        <v>0</v>
      </c>
      <c r="AA366" s="564">
        <v>0</v>
      </c>
      <c r="AB366" s="564">
        <f t="shared" si="202"/>
        <v>0</v>
      </c>
      <c r="AC366" s="564">
        <f>IF(AA366=0,0,$V$7*(1+#REF!)^#REF!)</f>
        <v>0</v>
      </c>
      <c r="AD366" s="564">
        <f t="shared" si="219"/>
        <v>0</v>
      </c>
      <c r="AE366" s="564">
        <f t="shared" si="203"/>
        <v>0</v>
      </c>
      <c r="AF366" s="564">
        <f t="shared" si="204"/>
        <v>0</v>
      </c>
      <c r="AH366" s="564">
        <f t="shared" si="205"/>
        <v>0</v>
      </c>
      <c r="AI366" s="564">
        <f t="shared" si="220"/>
        <v>950</v>
      </c>
      <c r="AJ366" s="564">
        <f t="shared" si="193"/>
        <v>0</v>
      </c>
      <c r="AK366" s="564">
        <f>AJ366*[1]mProject!V370</f>
        <v>0</v>
      </c>
      <c r="AL366" s="564">
        <f t="shared" si="206"/>
        <v>0</v>
      </c>
      <c r="AM366" s="564">
        <f t="shared" si="207"/>
        <v>0</v>
      </c>
      <c r="AO366" s="581" t="e">
        <f t="shared" si="223"/>
        <v>#REF!</v>
      </c>
      <c r="AP366" s="581" t="e">
        <f t="shared" si="227"/>
        <v>#REF!</v>
      </c>
      <c r="AQ366" s="581" t="e">
        <f t="shared" si="229"/>
        <v>#REF!</v>
      </c>
      <c r="AR366" s="582" t="e">
        <f t="shared" si="224"/>
        <v>#REF!</v>
      </c>
      <c r="AS366" s="564" t="e">
        <f t="shared" si="226"/>
        <v>#REF!</v>
      </c>
      <c r="AT366" s="564"/>
      <c r="AU366" s="564"/>
      <c r="AV366" s="564" t="e">
        <f t="shared" si="208"/>
        <v>#REF!</v>
      </c>
      <c r="AW366" s="564" t="e">
        <f>AI366*#REF!+AI365*#REF!+AI364*#REF!</f>
        <v>#REF!</v>
      </c>
      <c r="AY366" s="592">
        <f t="shared" si="221"/>
        <v>1.8212089792366721</v>
      </c>
      <c r="AZ366" s="564">
        <f t="shared" si="209"/>
        <v>0</v>
      </c>
      <c r="BA366" s="564">
        <f>BA365*[1]mProject!V371</f>
        <v>0</v>
      </c>
      <c r="BB366" s="564">
        <f t="shared" si="225"/>
        <v>17781316.823329829</v>
      </c>
      <c r="BD366" s="593">
        <f>((BB366/100)*(i_CFD.ObliRate/12))*[1]i.Finance!$O$64</f>
        <v>59826.722228495157</v>
      </c>
      <c r="BE366" s="593">
        <f>(AZ366/100*[1]i.Finance!$O$61)*[1]i.Finance!$O$64</f>
        <v>0</v>
      </c>
      <c r="BF366" s="593">
        <f>(AZ366/100*[1]i.Finance!$O$65)</f>
        <v>0</v>
      </c>
      <c r="BG366" s="594">
        <f t="shared" si="210"/>
        <v>59826.722228495157</v>
      </c>
      <c r="BI366" s="593">
        <f>-PV([1]i.Finance!$O$63/12,[1]i.Finance!$O$62*12,mCFD!BG366)</f>
        <v>10233961.918709608</v>
      </c>
      <c r="BJ366" s="593">
        <f>BI366*[1]i.Finance!$O$58</f>
        <v>8033660.1061870428</v>
      </c>
      <c r="BK366" s="593"/>
      <c r="BL366" s="593"/>
      <c r="BP366" s="564"/>
      <c r="BQ366" s="564"/>
      <c r="BR366" s="564" t="e">
        <f t="shared" si="211"/>
        <v>#NAME?</v>
      </c>
      <c r="BS366" s="564" t="e">
        <f t="shared" si="212"/>
        <v>#NAME?</v>
      </c>
      <c r="BT366" s="564" t="e">
        <f t="shared" si="213"/>
        <v>#NAME?</v>
      </c>
      <c r="BU366" s="564"/>
    </row>
    <row r="367" spans="1:73" ht="16" outlineLevel="1">
      <c r="A367" s="366"/>
      <c r="B367" s="562"/>
      <c r="C367" s="366"/>
      <c r="D367" s="454"/>
      <c r="E367" s="596"/>
      <c r="F367" s="596"/>
      <c r="G367" s="596"/>
      <c r="H367" s="596"/>
      <c r="I367" s="596"/>
      <c r="K367" s="456"/>
      <c r="L367" s="456"/>
      <c r="M367" s="456"/>
      <c r="N367" s="456"/>
      <c r="O367" s="456"/>
      <c r="P367" s="456"/>
      <c r="Q367" s="596">
        <f>SUM(Q7:Q366)</f>
        <v>296355280.38883054</v>
      </c>
      <c r="R367" s="457"/>
      <c r="T367" s="456"/>
      <c r="U367" s="456"/>
      <c r="V367" s="456"/>
      <c r="W367" s="456"/>
      <c r="X367" s="456"/>
      <c r="Y367" s="456"/>
      <c r="AA367" s="456"/>
      <c r="AB367" s="456"/>
      <c r="AC367" s="456"/>
      <c r="AD367" s="456"/>
      <c r="AE367" s="456"/>
      <c r="AF367" s="456"/>
      <c r="AH367" s="596">
        <f>SUM(AH7:AH366)</f>
        <v>950</v>
      </c>
      <c r="AI367" s="596">
        <f>MAX(AI7:AI31)</f>
        <v>0</v>
      </c>
      <c r="AJ367" s="596">
        <f>AVERAGE(AJ7:AJ31)</f>
        <v>0</v>
      </c>
      <c r="AK367" s="596">
        <f>AVERAGE(AK7:AK31)</f>
        <v>0</v>
      </c>
      <c r="AL367" s="596"/>
      <c r="AM367" s="596"/>
      <c r="AN367" s="456"/>
      <c r="AO367" s="597"/>
      <c r="AP367" s="485"/>
      <c r="AQ367" s="491"/>
      <c r="AR367" s="459"/>
      <c r="AS367" s="456"/>
      <c r="AT367" s="456"/>
      <c r="AU367" s="456"/>
      <c r="AV367" s="456"/>
      <c r="AW367" s="456"/>
      <c r="AX367" s="456"/>
      <c r="AY367" s="460"/>
      <c r="AZ367" s="460"/>
      <c r="BA367" s="456"/>
      <c r="BB367" s="456"/>
      <c r="BC367" s="456"/>
      <c r="BD367" s="596"/>
      <c r="BE367" s="596"/>
      <c r="BF367" s="596"/>
      <c r="BG367" s="596"/>
      <c r="BH367" s="456"/>
      <c r="BI367" s="596"/>
      <c r="BJ367" s="596"/>
      <c r="BK367" s="596"/>
      <c r="BL367" s="596"/>
      <c r="BP367" s="596">
        <f>SUM(BP7:BP366)</f>
        <v>0</v>
      </c>
      <c r="BQ367" s="596">
        <f>MAX(BQ7:BQ31)</f>
        <v>0</v>
      </c>
      <c r="BR367" s="596" t="e">
        <f>SUM(BR7:BR366)</f>
        <v>#NAME?</v>
      </c>
      <c r="BS367" s="596" t="e">
        <f>SUM(BS7:BS366)</f>
        <v>#NAME?</v>
      </c>
      <c r="BT367" s="596" t="e">
        <f>SUM(BT7:BT366)</f>
        <v>#NAME?</v>
      </c>
      <c r="BU367" s="596">
        <f>SUM(BU7:BU366)</f>
        <v>0</v>
      </c>
    </row>
    <row r="368" spans="1:73" ht="16" outlineLevel="1">
      <c r="A368" s="366"/>
      <c r="B368" s="562"/>
      <c r="C368" s="366"/>
      <c r="D368" s="454"/>
      <c r="E368" s="598"/>
      <c r="F368" s="598"/>
      <c r="G368" s="598"/>
      <c r="H368" s="455"/>
      <c r="I368" s="455"/>
      <c r="K368" s="456"/>
      <c r="L368" s="456"/>
      <c r="M368" s="456"/>
      <c r="N368" s="456"/>
      <c r="O368" s="456"/>
      <c r="P368" s="456"/>
      <c r="Q368" s="457"/>
      <c r="R368" s="457"/>
      <c r="T368" s="456"/>
      <c r="U368" s="456"/>
      <c r="V368" s="456"/>
      <c r="W368" s="456"/>
      <c r="X368" s="456"/>
      <c r="Y368" s="456"/>
      <c r="AA368" s="456"/>
      <c r="AB368" s="456"/>
      <c r="AC368" s="456"/>
      <c r="AD368" s="456"/>
      <c r="AE368" s="456"/>
      <c r="AF368" s="456"/>
      <c r="AH368" s="456"/>
      <c r="AI368" s="456"/>
      <c r="AJ368" s="456"/>
      <c r="AK368" s="456"/>
      <c r="AL368" s="456"/>
      <c r="AM368" s="456"/>
      <c r="AN368" s="456"/>
      <c r="AO368" s="597"/>
      <c r="AP368" s="485"/>
      <c r="AQ368" s="491"/>
      <c r="AR368" s="459"/>
      <c r="AS368" s="456"/>
      <c r="AT368" s="456"/>
      <c r="AU368" s="456"/>
      <c r="AV368" s="456"/>
      <c r="AW368" s="456"/>
      <c r="AX368" s="456"/>
      <c r="AY368" s="460"/>
      <c r="AZ368" s="460"/>
      <c r="BA368" s="456"/>
      <c r="BB368" s="456"/>
      <c r="BC368" s="456"/>
      <c r="BD368" s="456"/>
      <c r="BE368" s="456"/>
      <c r="BF368" s="456"/>
      <c r="BG368" s="456"/>
      <c r="BH368" s="456"/>
      <c r="BI368" s="456"/>
      <c r="BJ368" s="456"/>
      <c r="BK368" s="456"/>
      <c r="BL368" s="456"/>
      <c r="BP368" s="456"/>
      <c r="BQ368" s="456"/>
      <c r="BR368" s="456"/>
      <c r="BS368" s="456"/>
      <c r="BT368" s="456"/>
      <c r="BU368" s="456"/>
    </row>
    <row r="369" spans="1:73" ht="16" outlineLevel="1">
      <c r="A369" s="366"/>
      <c r="B369" s="562"/>
      <c r="C369" s="366"/>
      <c r="D369" s="454"/>
      <c r="E369" s="598"/>
      <c r="F369" s="598"/>
      <c r="G369" s="598"/>
      <c r="H369" s="455"/>
      <c r="I369" s="599"/>
      <c r="K369" s="456"/>
      <c r="L369" s="456"/>
      <c r="M369" s="456"/>
      <c r="N369" s="456"/>
      <c r="O369" s="456"/>
      <c r="P369" s="456"/>
      <c r="Q369" s="457"/>
      <c r="R369" s="457"/>
      <c r="T369" s="456"/>
      <c r="U369" s="456"/>
      <c r="V369" s="456"/>
      <c r="W369" s="456"/>
      <c r="X369" s="456"/>
      <c r="Y369" s="456"/>
      <c r="AA369" s="456"/>
      <c r="AB369" s="456"/>
      <c r="AC369" s="456"/>
      <c r="AD369" s="456"/>
      <c r="AE369" s="456"/>
      <c r="AF369" s="456"/>
      <c r="AH369" s="600" t="s">
        <v>359</v>
      </c>
      <c r="AI369" s="600"/>
      <c r="AJ369" s="456"/>
      <c r="AK369" s="599" t="s">
        <v>163</v>
      </c>
      <c r="AM369" s="599" t="s">
        <v>78</v>
      </c>
      <c r="AN369" s="599"/>
      <c r="AO369" s="597"/>
      <c r="AP369" s="485"/>
      <c r="AQ369" s="491"/>
      <c r="AR369" s="601"/>
      <c r="AS369" s="602"/>
      <c r="AT369" s="599"/>
      <c r="AU369" s="603" t="s">
        <v>322</v>
      </c>
      <c r="AV369" s="456"/>
      <c r="AW369" s="456"/>
      <c r="AX369" s="456"/>
      <c r="AY369" s="460"/>
      <c r="AZ369" s="599"/>
      <c r="BA369" s="599"/>
      <c r="BB369" s="599"/>
      <c r="BC369" s="456"/>
      <c r="BD369" s="600" t="str">
        <f>BD4</f>
        <v>Debt Serviuce</v>
      </c>
      <c r="BE369" s="600"/>
      <c r="BF369" s="600"/>
      <c r="BG369" s="600"/>
      <c r="BH369" s="456"/>
      <c r="BI369" s="599" t="str">
        <f>BI3</f>
        <v>Potential</v>
      </c>
      <c r="BJ369" s="599"/>
      <c r="BK369" s="599" t="s">
        <v>288</v>
      </c>
      <c r="BL369" s="599"/>
      <c r="BP369" s="600" t="s">
        <v>359</v>
      </c>
      <c r="BQ369" s="600"/>
      <c r="BR369" s="456"/>
      <c r="BS369" s="599" t="s">
        <v>163</v>
      </c>
      <c r="BT369" s="599" t="s">
        <v>78</v>
      </c>
      <c r="BU369" s="456"/>
    </row>
    <row r="370" spans="1:73" ht="16" outlineLevel="1">
      <c r="A370" s="366"/>
      <c r="B370" s="562"/>
      <c r="C370" s="366"/>
      <c r="D370" s="454"/>
      <c r="E370" s="598"/>
      <c r="F370" s="598"/>
      <c r="G370" s="598"/>
      <c r="H370" s="455"/>
      <c r="I370" s="604"/>
      <c r="K370" s="456"/>
      <c r="L370" s="456"/>
      <c r="M370" s="456"/>
      <c r="N370" s="456"/>
      <c r="O370" s="456"/>
      <c r="P370" s="456"/>
      <c r="Q370" s="457"/>
      <c r="R370" s="457"/>
      <c r="T370" s="456"/>
      <c r="U370" s="456"/>
      <c r="V370" s="456"/>
      <c r="W370" s="456"/>
      <c r="X370" s="456"/>
      <c r="Y370" s="456"/>
      <c r="AA370" s="456"/>
      <c r="AB370" s="456"/>
      <c r="AC370" s="456"/>
      <c r="AD370" s="456"/>
      <c r="AE370" s="456"/>
      <c r="AF370" s="456"/>
      <c r="AH370" s="605" t="s">
        <v>360</v>
      </c>
      <c r="AI370" s="605"/>
      <c r="AJ370" s="456"/>
      <c r="AK370" s="604" t="s">
        <v>5</v>
      </c>
      <c r="AM370" s="604" t="s">
        <v>361</v>
      </c>
      <c r="AN370" s="604"/>
      <c r="AO370" s="597"/>
      <c r="AP370" s="485"/>
      <c r="AQ370" s="491"/>
      <c r="AR370" s="606"/>
      <c r="AS370" s="604" t="s">
        <v>362</v>
      </c>
      <c r="AT370" s="604" t="s">
        <v>362</v>
      </c>
      <c r="AU370" s="607" t="s">
        <v>320</v>
      </c>
      <c r="AV370" s="456"/>
      <c r="AW370" s="456"/>
      <c r="AX370" s="456"/>
      <c r="AY370" s="460"/>
      <c r="AZ370" s="604"/>
      <c r="BA370" s="604"/>
      <c r="BB370" s="604"/>
      <c r="BC370" s="456"/>
      <c r="BD370" s="604" t="s">
        <v>322</v>
      </c>
      <c r="BE370" s="604" t="s">
        <v>349</v>
      </c>
      <c r="BF370" s="604" t="str">
        <f>BF5</f>
        <v>O&amp;M</v>
      </c>
      <c r="BG370" s="604" t="s">
        <v>78</v>
      </c>
      <c r="BH370" s="456"/>
      <c r="BI370" s="604" t="str">
        <f>BI4</f>
        <v>Cumulative</v>
      </c>
      <c r="BJ370" s="604" t="str">
        <f>BJ4</f>
        <v>Cumulative</v>
      </c>
      <c r="BK370" s="604" t="s">
        <v>330</v>
      </c>
      <c r="BL370" s="604" t="s">
        <v>349</v>
      </c>
      <c r="BP370" s="605" t="s">
        <v>360</v>
      </c>
      <c r="BQ370" s="605"/>
      <c r="BR370" s="456"/>
      <c r="BS370" s="604" t="s">
        <v>5</v>
      </c>
      <c r="BT370" s="604" t="s">
        <v>361</v>
      </c>
      <c r="BU370" s="456"/>
    </row>
    <row r="371" spans="1:73" ht="16" outlineLevel="1">
      <c r="A371" s="366"/>
      <c r="B371" s="562"/>
      <c r="C371" s="366"/>
      <c r="D371" s="454"/>
      <c r="I371" s="608" t="str">
        <f>I6</f>
        <v>YR</v>
      </c>
      <c r="K371" s="609" t="str">
        <f>K5</f>
        <v>Sales</v>
      </c>
      <c r="L371" s="609"/>
      <c r="M371" s="609" t="s">
        <v>363</v>
      </c>
      <c r="N371" s="609"/>
      <c r="O371" s="609"/>
      <c r="P371" s="609"/>
      <c r="Q371" s="609"/>
      <c r="R371" s="609"/>
      <c r="AH371" s="610" t="s">
        <v>40</v>
      </c>
      <c r="AI371" s="610" t="str">
        <f>AI5</f>
        <v>Cume</v>
      </c>
      <c r="AK371" s="608" t="str">
        <f>AK5</f>
        <v>Inflated</v>
      </c>
      <c r="AM371" s="608" t="str">
        <f>AM5</f>
        <v>Inflated</v>
      </c>
      <c r="AN371" s="608"/>
      <c r="AO371" s="485"/>
      <c r="AP371" s="485"/>
      <c r="AQ371" s="485"/>
      <c r="AR371" s="611"/>
      <c r="AS371" s="608" t="s">
        <v>320</v>
      </c>
      <c r="AT371" s="608" t="s">
        <v>320</v>
      </c>
      <c r="AU371" s="612" t="s">
        <v>364</v>
      </c>
      <c r="AY371" s="613"/>
      <c r="AZ371" s="608"/>
      <c r="BA371" s="608"/>
      <c r="BB371" s="608"/>
      <c r="BD371" s="608" t="s">
        <v>365</v>
      </c>
      <c r="BE371" s="608" t="str">
        <f>BD371</f>
        <v>Debt Srvc</v>
      </c>
      <c r="BF371" s="608" t="s">
        <v>366</v>
      </c>
      <c r="BG371" s="608" t="str">
        <f>BG5</f>
        <v>Payments</v>
      </c>
      <c r="BH371" s="456"/>
      <c r="BI371" s="608" t="str">
        <f>BI5</f>
        <v>Bonding</v>
      </c>
      <c r="BJ371" s="608" t="str">
        <f>BJ5</f>
        <v>Proceeds</v>
      </c>
      <c r="BK371" s="608" t="s">
        <v>352</v>
      </c>
      <c r="BL371" s="608" t="s">
        <v>225</v>
      </c>
      <c r="BP371" s="610" t="s">
        <v>40</v>
      </c>
      <c r="BQ371" s="610" t="str">
        <f>BQ5</f>
        <v>Cume</v>
      </c>
      <c r="BS371" s="608">
        <f>BS5</f>
        <v>0.21499999999999997</v>
      </c>
      <c r="BT371" s="608" t="str">
        <f>BT5</f>
        <v>Proceeds</v>
      </c>
      <c r="BU371" s="456"/>
    </row>
    <row r="372" spans="1:73" ht="16">
      <c r="D372" s="454"/>
      <c r="G372" s="542">
        <v>0</v>
      </c>
      <c r="I372" s="542">
        <f>MIN(I7:I366)</f>
        <v>2020</v>
      </c>
      <c r="K372" s="533">
        <f t="shared" ref="K372:K402" si="230">SUMIF($I$7:$I$366,$I372,K$7:K$366)</f>
        <v>0</v>
      </c>
      <c r="L372" s="533"/>
      <c r="M372" s="533">
        <f t="shared" ref="M372:M402" si="231">AVERAGEIF($I$7:$I$366,$I372,M$7:M$366)</f>
        <v>295000</v>
      </c>
      <c r="N372" s="533">
        <f t="shared" ref="N372:N402" si="232">SUMIF($I$7:$I$366,$I372,N$7:N$366)</f>
        <v>0</v>
      </c>
      <c r="O372" s="533">
        <f>N372</f>
        <v>0</v>
      </c>
      <c r="P372" s="533">
        <f t="shared" ref="P372:P402" si="233">AVERAGEIF($I$7:$I$366,$I372,P$7:P$366)</f>
        <v>295000</v>
      </c>
      <c r="Q372" s="533">
        <f t="shared" ref="Q372:Q402" si="234">SUMIF($I$7:$I$366,$I372,Q$7:Q$366)</f>
        <v>0</v>
      </c>
      <c r="R372" s="533">
        <f>Q372-N372</f>
        <v>0</v>
      </c>
      <c r="AH372" s="533">
        <f>SUMIF($I$7:$I$366,$I372,AH$7:AH$366)</f>
        <v>0</v>
      </c>
      <c r="AI372" s="533">
        <f>SUMIF($I$7:$I$366,$I372,AI$7:AI$366)</f>
        <v>0</v>
      </c>
      <c r="AK372" s="533">
        <f t="shared" ref="AK372:AK402" si="235">AVERAGEIF($I$7:$I$366,$I372,$AK$7:$AK$366)</f>
        <v>0</v>
      </c>
      <c r="AM372" s="533">
        <f t="shared" ref="AM372:AM402" si="236">SUMIF($I$7:$I$366,$I372,AM$7:AM$366)</f>
        <v>0</v>
      </c>
      <c r="AO372" s="614"/>
      <c r="AP372" s="614"/>
      <c r="AQ372" s="485"/>
      <c r="AR372" s="530"/>
      <c r="AS372" s="533">
        <f t="shared" ref="AS372:AS402" si="237">SUMIF($I$7:$I$366,$I372,AL$7:AL$366)</f>
        <v>0</v>
      </c>
      <c r="AT372" s="530"/>
      <c r="AU372" s="530"/>
      <c r="AY372" s="613"/>
      <c r="AZ372" s="533">
        <f t="shared" ref="AZ372:BA402" si="238">SUMIF($I$7:$I$366,$I372,AZ$7:AZ$366)</f>
        <v>0</v>
      </c>
      <c r="BA372" s="533">
        <f t="shared" si="238"/>
        <v>0</v>
      </c>
      <c r="BB372" s="533">
        <f>AZ372</f>
        <v>0</v>
      </c>
      <c r="BD372" s="533">
        <f t="shared" ref="BD372:BG387" si="239">SUMIF($I$7:$I$366,$I372,BD$7:BD$366)</f>
        <v>0</v>
      </c>
      <c r="BE372" s="533">
        <f t="shared" si="239"/>
        <v>0</v>
      </c>
      <c r="BF372" s="533">
        <f t="shared" si="239"/>
        <v>0</v>
      </c>
      <c r="BG372" s="533">
        <f t="shared" si="239"/>
        <v>0</v>
      </c>
      <c r="BH372" s="456"/>
      <c r="BI372" s="533">
        <f>-PV([1]i.Finance!$O$63/12,[1]i.Finance!$O$62*12,mCFD!BD372)</f>
        <v>0</v>
      </c>
      <c r="BJ372" s="533">
        <f>SUMIF($I$7:$I$366,$I372,BJ$7:BJ$366)</f>
        <v>0</v>
      </c>
      <c r="BK372" s="533">
        <f>PV([1]i.Finance!$O$63,[1]i.Finance!$O$62,-BE372)</f>
        <v>0</v>
      </c>
      <c r="BL372" s="533">
        <f>BK372*[1]i.Finance!$O$70</f>
        <v>0</v>
      </c>
      <c r="BP372" s="533">
        <f>SUMIF($I$7:$I$366,$I372,BP$7:BP$366)</f>
        <v>0</v>
      </c>
      <c r="BQ372" s="533">
        <f>SUMIF($I$7:$I$366,$I372,BQ$7:BQ$366)</f>
        <v>0</v>
      </c>
      <c r="BS372" s="533">
        <f t="shared" ref="BS372:BS402" si="240">AVERAGEIF($I$7:$I$366,$I372,$AK$7:$AK$366)</f>
        <v>0</v>
      </c>
      <c r="BT372" s="533" t="e">
        <f t="shared" ref="BT372:BT402" si="241">SUMIF($I$7:$I$366,$I372,BT$7:BT$366)</f>
        <v>#NAME?</v>
      </c>
      <c r="BU372" s="456"/>
    </row>
    <row r="373" spans="1:73" ht="16">
      <c r="D373" s="454"/>
      <c r="G373" s="542">
        <f>G372+1</f>
        <v>1</v>
      </c>
      <c r="I373" s="542">
        <f>[1]mProject!L375</f>
        <v>2020</v>
      </c>
      <c r="K373" s="533">
        <f t="shared" si="230"/>
        <v>0</v>
      </c>
      <c r="L373" s="533"/>
      <c r="M373" s="533">
        <f t="shared" si="231"/>
        <v>295000</v>
      </c>
      <c r="N373" s="533">
        <f t="shared" si="232"/>
        <v>0</v>
      </c>
      <c r="O373" s="533">
        <f>N373</f>
        <v>0</v>
      </c>
      <c r="P373" s="533">
        <f t="shared" si="233"/>
        <v>295000</v>
      </c>
      <c r="Q373" s="533">
        <f t="shared" si="234"/>
        <v>0</v>
      </c>
      <c r="R373" s="533">
        <f>Q373-N373</f>
        <v>0</v>
      </c>
      <c r="AH373" s="533">
        <f>SUMIF($I$7:$I$366,$I373,AH$7:AH$366)</f>
        <v>0</v>
      </c>
      <c r="AI373" s="533">
        <f>SUMIF($I$7:$I$366,$I373,AI$7:AI$366)</f>
        <v>0</v>
      </c>
      <c r="AK373" s="533">
        <f t="shared" si="235"/>
        <v>0</v>
      </c>
      <c r="AM373" s="533">
        <f t="shared" si="236"/>
        <v>0</v>
      </c>
      <c r="AO373" s="614"/>
      <c r="AP373" s="614"/>
      <c r="AQ373" s="485"/>
      <c r="AR373" s="530"/>
      <c r="AS373" s="533">
        <f t="shared" si="237"/>
        <v>0</v>
      </c>
      <c r="AT373" s="530"/>
      <c r="AU373" s="530"/>
      <c r="AY373" s="613"/>
      <c r="AZ373" s="533">
        <f t="shared" si="238"/>
        <v>0</v>
      </c>
      <c r="BA373" s="533">
        <f t="shared" si="238"/>
        <v>0</v>
      </c>
      <c r="BB373" s="533">
        <f>AZ373</f>
        <v>0</v>
      </c>
      <c r="BD373" s="533">
        <f t="shared" si="239"/>
        <v>0</v>
      </c>
      <c r="BE373" s="533">
        <f t="shared" si="239"/>
        <v>0</v>
      </c>
      <c r="BF373" s="533">
        <f t="shared" si="239"/>
        <v>0</v>
      </c>
      <c r="BG373" s="533">
        <f t="shared" si="239"/>
        <v>0</v>
      </c>
      <c r="BH373" s="456"/>
      <c r="BI373" s="533">
        <f>-PV([1]i.Finance!$O$63/12,[1]i.Finance!$O$62*12,mCFD!BD373)</f>
        <v>0</v>
      </c>
      <c r="BJ373" s="533">
        <f>SUMIF($I$7:$I$366,$I373,BJ$7:BJ$366)</f>
        <v>0</v>
      </c>
      <c r="BK373" s="533">
        <f>PV([1]i.Finance!$O$63,[1]i.Finance!$O$62,-BE373)</f>
        <v>0</v>
      </c>
      <c r="BL373" s="533">
        <f>BK373*[1]i.Finance!$O$70</f>
        <v>0</v>
      </c>
      <c r="BP373" s="533">
        <f>SUMIF($I$7:$I$366,$I373,BP$7:BP$366)</f>
        <v>0</v>
      </c>
      <c r="BQ373" s="533">
        <f>SUMIF($I$7:$I$366,$I373,BQ$7:BQ$366)</f>
        <v>0</v>
      </c>
      <c r="BS373" s="533">
        <f t="shared" si="240"/>
        <v>0</v>
      </c>
      <c r="BT373" s="533" t="e">
        <f t="shared" si="241"/>
        <v>#NAME?</v>
      </c>
      <c r="BU373" s="456"/>
    </row>
    <row r="374" spans="1:73" ht="13">
      <c r="G374" s="542">
        <f t="shared" ref="G374:G402" si="242">G373+1</f>
        <v>2</v>
      </c>
      <c r="I374" s="542">
        <f>[1]mProject!L376</f>
        <v>2021</v>
      </c>
      <c r="K374" s="533">
        <f t="shared" si="230"/>
        <v>0</v>
      </c>
      <c r="L374" s="533"/>
      <c r="M374" s="533">
        <f t="shared" si="231"/>
        <v>295000</v>
      </c>
      <c r="N374" s="533">
        <f t="shared" si="232"/>
        <v>0</v>
      </c>
      <c r="O374" s="533">
        <f t="shared" ref="O374:O402" si="243">O373+N374</f>
        <v>0</v>
      </c>
      <c r="P374" s="533">
        <f t="shared" si="233"/>
        <v>295000</v>
      </c>
      <c r="Q374" s="533">
        <f t="shared" si="234"/>
        <v>0</v>
      </c>
      <c r="R374" s="533">
        <f t="shared" ref="R374:R402" si="244">Q374+R373</f>
        <v>0</v>
      </c>
      <c r="AH374" s="533">
        <f t="shared" ref="AH374:AH402" si="245">SUMIF($I$7:$I$366,$I374,AH$7:AH$366)</f>
        <v>0</v>
      </c>
      <c r="AI374" s="533">
        <f t="shared" ref="AI374:AI402" si="246">AI373+AH374</f>
        <v>0</v>
      </c>
      <c r="AK374" s="533">
        <f t="shared" si="235"/>
        <v>0</v>
      </c>
      <c r="AM374" s="533">
        <f t="shared" si="236"/>
        <v>0</v>
      </c>
      <c r="AO374" s="614"/>
      <c r="AP374" s="614"/>
      <c r="AQ374" s="485"/>
      <c r="AR374" s="533">
        <f>AR373+(AH374*i_CFD.TaxRoll1+AH373*i_CFD.TaxRoll2)</f>
        <v>0</v>
      </c>
      <c r="AS374" s="533">
        <f t="shared" si="237"/>
        <v>0</v>
      </c>
      <c r="AT374" s="533">
        <f>(AM374*i_CFD.TaxRoll1+AM373*i_CFD.TaxRoll2)</f>
        <v>0</v>
      </c>
      <c r="AU374" s="533">
        <f t="shared" ref="AU374:AU402" si="247">AU373+AT374</f>
        <v>0</v>
      </c>
      <c r="AY374" s="613"/>
      <c r="AZ374" s="533">
        <f t="shared" si="238"/>
        <v>0</v>
      </c>
      <c r="BA374" s="533">
        <f t="shared" si="238"/>
        <v>0</v>
      </c>
      <c r="BB374" s="533">
        <f>AZ374</f>
        <v>0</v>
      </c>
      <c r="BD374" s="533">
        <f>BB374/100*[1]i.Finance!$O$61*[1]i.Finance!$O$64</f>
        <v>0</v>
      </c>
      <c r="BE374" s="533">
        <f t="shared" si="239"/>
        <v>0</v>
      </c>
      <c r="BF374" s="533">
        <f t="shared" si="239"/>
        <v>0</v>
      </c>
      <c r="BG374" s="533">
        <f t="shared" si="239"/>
        <v>0</v>
      </c>
      <c r="BH374" s="456"/>
      <c r="BI374" s="533">
        <f>-PV([1]i.Finance!$O$63,[1]i.Finance!$O$62,mCFD!BD374)</f>
        <v>0</v>
      </c>
      <c r="BJ374" s="533">
        <f t="shared" ref="BJ374:BJ402" si="248">SUMIF($I$7:$I$366,$I374,BJ$7:BJ$366)</f>
        <v>0</v>
      </c>
      <c r="BK374" s="533">
        <f>PV([1]i.Finance!$O$63,[1]i.Finance!$O$62,-BE374)</f>
        <v>0</v>
      </c>
      <c r="BL374" s="533">
        <f>BK374*[1]i.Finance!$O$70</f>
        <v>0</v>
      </c>
      <c r="BP374" s="533">
        <f t="shared" ref="BP374:BP402" si="249">SUMIF($I$7:$I$366,$I374,BP$7:BP$366)</f>
        <v>0</v>
      </c>
      <c r="BQ374" s="533">
        <f t="shared" ref="BQ374:BQ402" si="250">BQ373+BP374</f>
        <v>0</v>
      </c>
      <c r="BS374" s="533">
        <f t="shared" si="240"/>
        <v>0</v>
      </c>
      <c r="BT374" s="533" t="e">
        <f>SUMIF($I$7:$I$366,$I374,BT$7:BT$366)</f>
        <v>#NAME?</v>
      </c>
      <c r="BU374" s="456"/>
    </row>
    <row r="375" spans="1:73" ht="13">
      <c r="G375" s="542">
        <f t="shared" si="242"/>
        <v>3</v>
      </c>
      <c r="I375" s="542">
        <f>[1]mProject!L377</f>
        <v>2022</v>
      </c>
      <c r="K375" s="533">
        <f t="shared" si="230"/>
        <v>200</v>
      </c>
      <c r="L375" s="533"/>
      <c r="M375" s="533">
        <f t="shared" si="231"/>
        <v>295000</v>
      </c>
      <c r="N375" s="533">
        <f t="shared" si="232"/>
        <v>59000000</v>
      </c>
      <c r="O375" s="533">
        <f t="shared" si="243"/>
        <v>59000000</v>
      </c>
      <c r="P375" s="533">
        <f t="shared" si="233"/>
        <v>298215.44504598132</v>
      </c>
      <c r="Q375" s="533">
        <f t="shared" si="234"/>
        <v>59742190.422146633</v>
      </c>
      <c r="R375" s="533">
        <f t="shared" si="244"/>
        <v>59742190.422146633</v>
      </c>
      <c r="AH375" s="533">
        <f t="shared" si="245"/>
        <v>200</v>
      </c>
      <c r="AI375" s="533">
        <f t="shared" si="246"/>
        <v>200</v>
      </c>
      <c r="AK375" s="533">
        <f t="shared" si="235"/>
        <v>248925.79342561099</v>
      </c>
      <c r="AM375" s="533">
        <f t="shared" si="236"/>
        <v>59742190.422146633</v>
      </c>
      <c r="AO375" s="614"/>
      <c r="AP375" s="614"/>
      <c r="AQ375" s="485"/>
      <c r="AR375" s="533">
        <f t="shared" ref="AR375:AR402" si="251">AR374+(AH375*i_CFD.TaxRoll1+AH374*i_CFD.TaxRoll2+AH373*i_CFD.TaxRoll3)</f>
        <v>50</v>
      </c>
      <c r="AS375" s="533">
        <f t="shared" si="237"/>
        <v>59000000</v>
      </c>
      <c r="AT375" s="533">
        <f t="shared" ref="AT375:AT402" si="252">(AM375*i_CFD.TaxRoll1+AM374*i_CFD.TaxRoll2+AM373*i_CFD.TaxRoll3)</f>
        <v>14935547.605536658</v>
      </c>
      <c r="AU375" s="533">
        <f t="shared" si="247"/>
        <v>14935547.605536658</v>
      </c>
      <c r="AY375" s="613"/>
      <c r="AZ375" s="533">
        <f t="shared" si="238"/>
        <v>3584531.4253287986</v>
      </c>
      <c r="BA375" s="533">
        <f t="shared" si="238"/>
        <v>0</v>
      </c>
      <c r="BB375" s="533">
        <f t="shared" ref="BB375:BB402" si="253">BB374+AZ375</f>
        <v>3584531.4253287986</v>
      </c>
      <c r="BD375" s="533">
        <f>BB375/100*[1]i.Finance!$O$61*[1]i.Finance!$O$64</f>
        <v>144725.45629765023</v>
      </c>
      <c r="BE375" s="533">
        <f t="shared" si="239"/>
        <v>144725.45629765023</v>
      </c>
      <c r="BF375" s="533">
        <f t="shared" si="239"/>
        <v>10753.594275986394</v>
      </c>
      <c r="BG375" s="533">
        <f t="shared" si="239"/>
        <v>76920.402639897366</v>
      </c>
      <c r="BH375" s="456"/>
      <c r="BI375" s="533">
        <f>-PV([1]i.Finance!$O$63,[1]i.Finance!$O$62,mCFD!BD375)</f>
        <v>2039752.5583546157</v>
      </c>
      <c r="BJ375" s="533">
        <f t="shared" si="248"/>
        <v>10329036.039779235</v>
      </c>
      <c r="BK375" s="533">
        <f>PV([1]i.Finance!$O$63,[1]i.Finance!$O$62,-BE375)</f>
        <v>2039752.5583546157</v>
      </c>
      <c r="BL375" s="533">
        <f>BK375*[1]i.Finance!$O$70</f>
        <v>1917367.4048533386</v>
      </c>
      <c r="BP375" s="533">
        <f t="shared" si="249"/>
        <v>0</v>
      </c>
      <c r="BQ375" s="533">
        <f t="shared" si="250"/>
        <v>0</v>
      </c>
      <c r="BS375" s="533">
        <f t="shared" si="240"/>
        <v>248925.79342561099</v>
      </c>
      <c r="BT375" s="533" t="e">
        <f t="shared" si="241"/>
        <v>#NAME?</v>
      </c>
      <c r="BU375" s="456"/>
    </row>
    <row r="376" spans="1:73" ht="13">
      <c r="G376" s="542">
        <f t="shared" si="242"/>
        <v>4</v>
      </c>
      <c r="I376" s="542">
        <f>[1]mProject!L378</f>
        <v>2023</v>
      </c>
      <c r="K376" s="533">
        <f t="shared" si="230"/>
        <v>200</v>
      </c>
      <c r="L376" s="533"/>
      <c r="M376" s="533">
        <f t="shared" si="231"/>
        <v>295000</v>
      </c>
      <c r="N376" s="533">
        <f t="shared" si="232"/>
        <v>59000000</v>
      </c>
      <c r="O376" s="533">
        <f t="shared" si="243"/>
        <v>118000000</v>
      </c>
      <c r="P376" s="533">
        <f t="shared" si="233"/>
        <v>304234.73165850685</v>
      </c>
      <c r="Q376" s="533">
        <f t="shared" si="234"/>
        <v>60799319.459105641</v>
      </c>
      <c r="R376" s="533">
        <f t="shared" si="244"/>
        <v>120541509.88125227</v>
      </c>
      <c r="AH376" s="533">
        <f t="shared" si="245"/>
        <v>200</v>
      </c>
      <c r="AI376" s="533">
        <f t="shared" si="246"/>
        <v>400</v>
      </c>
      <c r="AK376" s="533">
        <f t="shared" si="235"/>
        <v>278648.98538556526</v>
      </c>
      <c r="AM376" s="533">
        <f t="shared" si="236"/>
        <v>60799319.459105641</v>
      </c>
      <c r="AO376" s="614"/>
      <c r="AP376" s="614"/>
      <c r="AQ376" s="485"/>
      <c r="AR376" s="533">
        <f t="shared" si="251"/>
        <v>200</v>
      </c>
      <c r="AS376" s="533">
        <f t="shared" si="237"/>
        <v>59000000</v>
      </c>
      <c r="AT376" s="533">
        <f t="shared" si="252"/>
        <v>45070925.075849727</v>
      </c>
      <c r="AU376" s="533">
        <f t="shared" si="247"/>
        <v>60006472.681386381</v>
      </c>
      <c r="AY376" s="613"/>
      <c r="AZ376" s="533">
        <f t="shared" si="238"/>
        <v>3647959.1675463393</v>
      </c>
      <c r="BA376" s="533">
        <f t="shared" si="238"/>
        <v>0</v>
      </c>
      <c r="BB376" s="533">
        <f t="shared" si="253"/>
        <v>7232490.5928751379</v>
      </c>
      <c r="BD376" s="533">
        <f>BB376/100*[1]i.Finance!$O$61*[1]i.Finance!$O$64</f>
        <v>292011.80768733373</v>
      </c>
      <c r="BE376" s="533">
        <f t="shared" si="239"/>
        <v>147286.3513896834</v>
      </c>
      <c r="BF376" s="533">
        <f t="shared" si="239"/>
        <v>10943.877502639019</v>
      </c>
      <c r="BG376" s="533">
        <f t="shared" si="239"/>
        <v>240979.8619882543</v>
      </c>
      <c r="BH376" s="456"/>
      <c r="BI376" s="533">
        <f>-PV([1]i.Finance!$O$63,[1]i.Finance!$O$62,mCFD!BD376)</f>
        <v>4115598.2301758043</v>
      </c>
      <c r="BJ376" s="533">
        <f t="shared" si="248"/>
        <v>32359290.824183151</v>
      </c>
      <c r="BK376" s="533">
        <f>PV([1]i.Finance!$O$63,[1]i.Finance!$O$62,-BE376)</f>
        <v>2075845.6718211873</v>
      </c>
      <c r="BL376" s="533">
        <f>BK376*[1]i.Finance!$O$70</f>
        <v>1951294.931511916</v>
      </c>
      <c r="BP376" s="533">
        <f t="shared" si="249"/>
        <v>0</v>
      </c>
      <c r="BQ376" s="533">
        <f t="shared" si="250"/>
        <v>0</v>
      </c>
      <c r="BS376" s="533">
        <f t="shared" si="240"/>
        <v>278648.98538556526</v>
      </c>
      <c r="BT376" s="533" t="e">
        <f t="shared" si="241"/>
        <v>#NAME?</v>
      </c>
      <c r="BU376" s="456"/>
    </row>
    <row r="377" spans="1:73" ht="13">
      <c r="G377" s="542">
        <f t="shared" si="242"/>
        <v>5</v>
      </c>
      <c r="I377" s="542">
        <f>[1]mProject!L379</f>
        <v>2024</v>
      </c>
      <c r="K377" s="533">
        <f t="shared" si="230"/>
        <v>169</v>
      </c>
      <c r="L377" s="533"/>
      <c r="M377" s="533">
        <f t="shared" si="231"/>
        <v>295000</v>
      </c>
      <c r="N377" s="533">
        <f t="shared" si="232"/>
        <v>49855000</v>
      </c>
      <c r="O377" s="533">
        <f t="shared" si="243"/>
        <v>167855000</v>
      </c>
      <c r="P377" s="533">
        <f t="shared" si="233"/>
        <v>310375.51369296847</v>
      </c>
      <c r="Q377" s="533">
        <f t="shared" si="234"/>
        <v>52561631.330304891</v>
      </c>
      <c r="R377" s="533">
        <f t="shared" si="244"/>
        <v>173103141.21155715</v>
      </c>
      <c r="AH377" s="533">
        <f t="shared" si="245"/>
        <v>169</v>
      </c>
      <c r="AI377" s="533">
        <f t="shared" si="246"/>
        <v>569</v>
      </c>
      <c r="AK377" s="533">
        <f t="shared" si="235"/>
        <v>259076.02134420315</v>
      </c>
      <c r="AM377" s="533">
        <f t="shared" si="236"/>
        <v>52561631.330304891</v>
      </c>
      <c r="AO377" s="614"/>
      <c r="AP377" s="614"/>
      <c r="AQ377" s="485"/>
      <c r="AR377" s="533">
        <f t="shared" si="251"/>
        <v>392.25</v>
      </c>
      <c r="AS377" s="533">
        <f t="shared" si="237"/>
        <v>49855000</v>
      </c>
      <c r="AT377" s="533">
        <f t="shared" si="252"/>
        <v>58475615.167665705</v>
      </c>
      <c r="AU377" s="533">
        <f t="shared" si="247"/>
        <v>118482087.84905209</v>
      </c>
      <c r="AY377" s="613"/>
      <c r="AZ377" s="533">
        <f t="shared" si="238"/>
        <v>3153697.8798182933</v>
      </c>
      <c r="BA377" s="533">
        <f t="shared" si="238"/>
        <v>0</v>
      </c>
      <c r="BB377" s="533">
        <f t="shared" si="253"/>
        <v>10386188.472693432</v>
      </c>
      <c r="BD377" s="533">
        <f>BB377/100*[1]i.Finance!$O$61*[1]i.Finance!$O$64</f>
        <v>419342.35958499735</v>
      </c>
      <c r="BE377" s="533">
        <f t="shared" si="239"/>
        <v>127330.55189766358</v>
      </c>
      <c r="BF377" s="533">
        <f t="shared" si="239"/>
        <v>9461.0936394548789</v>
      </c>
      <c r="BG377" s="533">
        <f t="shared" si="239"/>
        <v>357133.86130733648</v>
      </c>
      <c r="BH377" s="456"/>
      <c r="BI377" s="533">
        <f>-PV([1]i.Finance!$O$63,[1]i.Finance!$O$62,mCFD!BD377)</f>
        <v>5910187.9701853609</v>
      </c>
      <c r="BJ377" s="533">
        <f t="shared" si="248"/>
        <v>47956698.065379739</v>
      </c>
      <c r="BK377" s="533">
        <f>PV([1]i.Finance!$O$63,[1]i.Finance!$O$62,-BE377)</f>
        <v>1794589.7400095558</v>
      </c>
      <c r="BL377" s="533">
        <f>BK377*[1]i.Finance!$O$70</f>
        <v>1686914.3556089823</v>
      </c>
      <c r="BP377" s="533">
        <f t="shared" si="249"/>
        <v>0</v>
      </c>
      <c r="BQ377" s="533">
        <f t="shared" si="250"/>
        <v>0</v>
      </c>
      <c r="BS377" s="533">
        <f t="shared" si="240"/>
        <v>259076.02134420315</v>
      </c>
      <c r="BT377" s="533" t="e">
        <f t="shared" si="241"/>
        <v>#NAME?</v>
      </c>
      <c r="BU377" s="456"/>
    </row>
    <row r="378" spans="1:73" ht="13">
      <c r="G378" s="542">
        <f t="shared" si="242"/>
        <v>6</v>
      </c>
      <c r="I378" s="542">
        <f>[1]mProject!L380</f>
        <v>2025</v>
      </c>
      <c r="K378" s="533">
        <f t="shared" si="230"/>
        <v>109</v>
      </c>
      <c r="L378" s="533"/>
      <c r="M378" s="533">
        <f t="shared" si="231"/>
        <v>295000</v>
      </c>
      <c r="N378" s="533">
        <f t="shared" si="232"/>
        <v>32155000</v>
      </c>
      <c r="O378" s="533">
        <f t="shared" si="243"/>
        <v>200010000</v>
      </c>
      <c r="P378" s="533">
        <f t="shared" si="233"/>
        <v>316640.24345617619</v>
      </c>
      <c r="Q378" s="533">
        <f t="shared" si="234"/>
        <v>34501347.151023954</v>
      </c>
      <c r="R378" s="533">
        <f t="shared" si="244"/>
        <v>207604488.3625811</v>
      </c>
      <c r="AH378" s="533">
        <f t="shared" si="245"/>
        <v>109</v>
      </c>
      <c r="AI378" s="533">
        <f t="shared" si="246"/>
        <v>678</v>
      </c>
      <c r="AK378" s="533">
        <f t="shared" si="235"/>
        <v>316640.24345617596</v>
      </c>
      <c r="AM378" s="533">
        <f t="shared" si="236"/>
        <v>34501347.151023954</v>
      </c>
      <c r="AO378" s="614"/>
      <c r="AP378" s="614"/>
      <c r="AQ378" s="485"/>
      <c r="AR378" s="533">
        <f t="shared" si="251"/>
        <v>554</v>
      </c>
      <c r="AS378" s="533">
        <f t="shared" si="237"/>
        <v>32155000</v>
      </c>
      <c r="AT378" s="533">
        <f t="shared" si="252"/>
        <v>50105982.317684844</v>
      </c>
      <c r="AU378" s="533">
        <f t="shared" si="247"/>
        <v>168588070.16673693</v>
      </c>
      <c r="AY378" s="613"/>
      <c r="AZ378" s="533">
        <f t="shared" si="238"/>
        <v>2070080.8290614369</v>
      </c>
      <c r="BA378" s="533">
        <f t="shared" si="238"/>
        <v>0</v>
      </c>
      <c r="BB378" s="533">
        <f t="shared" si="253"/>
        <v>12456269.30175487</v>
      </c>
      <c r="BD378" s="533">
        <f>BB378/100*[1]i.Finance!$O$61*[1]i.Finance!$O$64</f>
        <v>502921.87305835279</v>
      </c>
      <c r="BE378" s="533">
        <f t="shared" si="239"/>
        <v>83579.513473355517</v>
      </c>
      <c r="BF378" s="533">
        <f t="shared" si="239"/>
        <v>6210.2424871843104</v>
      </c>
      <c r="BG378" s="533">
        <f t="shared" si="239"/>
        <v>472200.39116984606</v>
      </c>
      <c r="BH378" s="456"/>
      <c r="BI378" s="533">
        <f>-PV([1]i.Finance!$O$63,[1]i.Finance!$O$62,mCFD!BD378)</f>
        <v>7088152.9999358226</v>
      </c>
      <c r="BJ378" s="533">
        <f t="shared" si="248"/>
        <v>63408077.584104806</v>
      </c>
      <c r="BK378" s="533">
        <f>PV([1]i.Finance!$O$63,[1]i.Finance!$O$62,-BE378)</f>
        <v>1177965.0297504638</v>
      </c>
      <c r="BL378" s="533">
        <f>BK378*[1]i.Finance!$O$70</f>
        <v>1107287.1279654359</v>
      </c>
      <c r="BP378" s="533">
        <f t="shared" si="249"/>
        <v>0</v>
      </c>
      <c r="BQ378" s="533">
        <f t="shared" si="250"/>
        <v>0</v>
      </c>
      <c r="BS378" s="533">
        <f t="shared" si="240"/>
        <v>316640.24345617596</v>
      </c>
      <c r="BT378" s="533" t="e">
        <f t="shared" si="241"/>
        <v>#NAME?</v>
      </c>
      <c r="BU378" s="456"/>
    </row>
    <row r="379" spans="1:73" ht="13">
      <c r="G379" s="542">
        <f t="shared" si="242"/>
        <v>7</v>
      </c>
      <c r="I379" s="542">
        <f>[1]mProject!L381</f>
        <v>2026</v>
      </c>
      <c r="K379" s="533">
        <f t="shared" si="230"/>
        <v>136</v>
      </c>
      <c r="L379" s="533"/>
      <c r="M379" s="533">
        <f t="shared" si="231"/>
        <v>295000</v>
      </c>
      <c r="N379" s="533">
        <f t="shared" si="232"/>
        <v>40120000</v>
      </c>
      <c r="O379" s="533">
        <f t="shared" si="243"/>
        <v>240130000</v>
      </c>
      <c r="P379" s="533">
        <f t="shared" si="233"/>
        <v>323031.42275317293</v>
      </c>
      <c r="Q379" s="533">
        <f t="shared" si="234"/>
        <v>43953743.120471351</v>
      </c>
      <c r="R379" s="533">
        <f t="shared" si="244"/>
        <v>251558231.48305246</v>
      </c>
      <c r="AH379" s="533">
        <f t="shared" si="245"/>
        <v>136</v>
      </c>
      <c r="AI379" s="533">
        <f t="shared" si="246"/>
        <v>814</v>
      </c>
      <c r="AK379" s="533">
        <f t="shared" si="235"/>
        <v>323031.42275317264</v>
      </c>
      <c r="AM379" s="533">
        <f t="shared" si="236"/>
        <v>43953743.120471351</v>
      </c>
      <c r="AO379" s="614"/>
      <c r="AP379" s="614"/>
      <c r="AQ379" s="485"/>
      <c r="AR379" s="533">
        <f t="shared" si="251"/>
        <v>684.75</v>
      </c>
      <c r="AS379" s="533">
        <f t="shared" si="237"/>
        <v>40120000</v>
      </c>
      <c r="AT379" s="533">
        <f t="shared" si="252"/>
        <v>41379517.188206039</v>
      </c>
      <c r="AU379" s="533">
        <f t="shared" si="247"/>
        <v>209967587.35494298</v>
      </c>
      <c r="AY379" s="613"/>
      <c r="AZ379" s="533">
        <f t="shared" si="238"/>
        <v>2637224.5872282814</v>
      </c>
      <c r="BA379" s="533">
        <f t="shared" si="238"/>
        <v>0</v>
      </c>
      <c r="BB379" s="533">
        <f t="shared" si="253"/>
        <v>15093493.888983151</v>
      </c>
      <c r="BD379" s="533">
        <f>BB379/100*[1]i.Finance!$O$61*[1]i.Finance!$O$64</f>
        <v>609399.81576769461</v>
      </c>
      <c r="BE379" s="533">
        <f t="shared" si="239"/>
        <v>106477.94270934183</v>
      </c>
      <c r="BF379" s="533">
        <f t="shared" si="239"/>
        <v>7911.6737616848432</v>
      </c>
      <c r="BG379" s="533">
        <f t="shared" si="239"/>
        <v>565736.15694225009</v>
      </c>
      <c r="BH379" s="456"/>
      <c r="BI379" s="533">
        <f>-PV([1]i.Finance!$O$63,[1]i.Finance!$O$62,mCFD!BD379)</f>
        <v>8588847.2219877765</v>
      </c>
      <c r="BJ379" s="533">
        <f t="shared" si="248"/>
        <v>75968260.091136992</v>
      </c>
      <c r="BK379" s="533">
        <f>PV([1]i.Finance!$O$63,[1]i.Finance!$O$62,-BE379)</f>
        <v>1500694.2220519534</v>
      </c>
      <c r="BL379" s="533">
        <f>BK379*[1]i.Finance!$O$70</f>
        <v>1410652.5687288363</v>
      </c>
      <c r="BP379" s="533">
        <f t="shared" si="249"/>
        <v>0</v>
      </c>
      <c r="BQ379" s="533">
        <f t="shared" si="250"/>
        <v>0</v>
      </c>
      <c r="BS379" s="533">
        <f t="shared" si="240"/>
        <v>323031.42275317264</v>
      </c>
      <c r="BT379" s="533" t="e">
        <f t="shared" si="241"/>
        <v>#NAME?</v>
      </c>
      <c r="BU379" s="456"/>
    </row>
    <row r="380" spans="1:73" ht="13">
      <c r="G380" s="542">
        <f t="shared" si="242"/>
        <v>8</v>
      </c>
      <c r="I380" s="542">
        <f>[1]mProject!L382</f>
        <v>2027</v>
      </c>
      <c r="K380" s="533">
        <f t="shared" si="230"/>
        <v>136</v>
      </c>
      <c r="L380" s="533"/>
      <c r="M380" s="533">
        <f t="shared" si="231"/>
        <v>295000</v>
      </c>
      <c r="N380" s="533">
        <f t="shared" si="232"/>
        <v>40120000</v>
      </c>
      <c r="O380" s="533">
        <f t="shared" si="243"/>
        <v>280250000</v>
      </c>
      <c r="P380" s="533">
        <f t="shared" si="233"/>
        <v>329827.06865480181</v>
      </c>
      <c r="Q380" s="533">
        <f t="shared" si="234"/>
        <v>44797048.905777924</v>
      </c>
      <c r="R380" s="533">
        <f t="shared" si="244"/>
        <v>296355280.38883036</v>
      </c>
      <c r="AH380" s="533">
        <f t="shared" si="245"/>
        <v>136</v>
      </c>
      <c r="AI380" s="533">
        <f t="shared" si="246"/>
        <v>950</v>
      </c>
      <c r="AK380" s="533">
        <f t="shared" si="235"/>
        <v>329827.06865480158</v>
      </c>
      <c r="AM380" s="533">
        <f t="shared" si="236"/>
        <v>44797048.905777924</v>
      </c>
      <c r="AO380" s="614"/>
      <c r="AP380" s="614"/>
      <c r="AQ380" s="485"/>
      <c r="AR380" s="533">
        <f t="shared" si="251"/>
        <v>814</v>
      </c>
      <c r="AS380" s="533">
        <f t="shared" si="237"/>
        <v>40120000</v>
      </c>
      <c r="AT380" s="533">
        <f t="shared" si="252"/>
        <v>41801470.574436143</v>
      </c>
      <c r="AU380" s="533">
        <f t="shared" si="247"/>
        <v>251769057.92937911</v>
      </c>
      <c r="AY380" s="613"/>
      <c r="AZ380" s="533">
        <f t="shared" si="238"/>
        <v>2687822.9343466759</v>
      </c>
      <c r="BA380" s="533">
        <f t="shared" si="238"/>
        <v>0</v>
      </c>
      <c r="BB380" s="533">
        <f t="shared" si="253"/>
        <v>17781316.823329829</v>
      </c>
      <c r="BD380" s="533">
        <f>BB380/100*[1]i.Finance!$O$61*[1]i.Finance!$O$64</f>
        <v>717920.66674194182</v>
      </c>
      <c r="BE380" s="533">
        <f t="shared" si="239"/>
        <v>108520.85097424702</v>
      </c>
      <c r="BF380" s="533">
        <f t="shared" si="239"/>
        <v>8063.4688030400257</v>
      </c>
      <c r="BG380" s="533">
        <f t="shared" si="239"/>
        <v>738557.98973760242</v>
      </c>
      <c r="BH380" s="456"/>
      <c r="BI380" s="533">
        <f>-PV([1]i.Finance!$O$63,[1]i.Finance!$O$62,mCFD!BD380)</f>
        <v>10118334.07987882</v>
      </c>
      <c r="BJ380" s="533">
        <f t="shared" si="248"/>
        <v>99175145.106556833</v>
      </c>
      <c r="BK380" s="533">
        <f>PV([1]i.Finance!$O$63,[1]i.Finance!$O$62,-BE380)</f>
        <v>1529486.8578910418</v>
      </c>
      <c r="BL380" s="533">
        <f>BK380*[1]i.Finance!$O$70</f>
        <v>1437717.6464175791</v>
      </c>
      <c r="BP380" s="533">
        <f t="shared" si="249"/>
        <v>0</v>
      </c>
      <c r="BQ380" s="533">
        <f t="shared" si="250"/>
        <v>0</v>
      </c>
      <c r="BS380" s="533">
        <f t="shared" si="240"/>
        <v>329827.06865480158</v>
      </c>
      <c r="BT380" s="533" t="e">
        <f t="shared" si="241"/>
        <v>#NAME?</v>
      </c>
      <c r="BU380" s="456"/>
    </row>
    <row r="381" spans="1:73" ht="13">
      <c r="G381" s="542">
        <f t="shared" si="242"/>
        <v>9</v>
      </c>
      <c r="I381" s="542">
        <f>[1]mProject!L383</f>
        <v>2028</v>
      </c>
      <c r="K381" s="533">
        <f t="shared" si="230"/>
        <v>0</v>
      </c>
      <c r="L381" s="533"/>
      <c r="M381" s="533">
        <f t="shared" si="231"/>
        <v>295000</v>
      </c>
      <c r="N381" s="533">
        <f t="shared" si="232"/>
        <v>0</v>
      </c>
      <c r="O381" s="533">
        <f t="shared" si="243"/>
        <v>280250000</v>
      </c>
      <c r="P381" s="533">
        <f t="shared" si="233"/>
        <v>336763.72965903307</v>
      </c>
      <c r="Q381" s="533">
        <f t="shared" si="234"/>
        <v>0</v>
      </c>
      <c r="R381" s="533">
        <f t="shared" si="244"/>
        <v>296355280.38883036</v>
      </c>
      <c r="AH381" s="533">
        <f t="shared" si="245"/>
        <v>0</v>
      </c>
      <c r="AI381" s="533">
        <f t="shared" si="246"/>
        <v>950</v>
      </c>
      <c r="AK381" s="533">
        <f t="shared" si="235"/>
        <v>0</v>
      </c>
      <c r="AM381" s="533">
        <f t="shared" si="236"/>
        <v>0</v>
      </c>
      <c r="AO381" s="614"/>
      <c r="AP381" s="614"/>
      <c r="AQ381" s="485"/>
      <c r="AR381" s="533">
        <f t="shared" si="251"/>
        <v>916</v>
      </c>
      <c r="AS381" s="533">
        <f t="shared" si="237"/>
        <v>0</v>
      </c>
      <c r="AT381" s="533">
        <f t="shared" si="252"/>
        <v>33386960.233006798</v>
      </c>
      <c r="AU381" s="533">
        <f t="shared" si="247"/>
        <v>285156018.16238588</v>
      </c>
      <c r="AY381" s="613"/>
      <c r="AZ381" s="533">
        <f t="shared" si="238"/>
        <v>0</v>
      </c>
      <c r="BA381" s="533">
        <f t="shared" si="238"/>
        <v>0</v>
      </c>
      <c r="BB381" s="533">
        <f t="shared" si="253"/>
        <v>17781316.823329829</v>
      </c>
      <c r="BD381" s="533">
        <f>BB381/100*[1]i.Finance!$O$61*[1]i.Finance!$O$64</f>
        <v>717920.66674194182</v>
      </c>
      <c r="BE381" s="533">
        <f t="shared" si="239"/>
        <v>0</v>
      </c>
      <c r="BF381" s="533">
        <f t="shared" si="239"/>
        <v>0</v>
      </c>
      <c r="BG381" s="533">
        <f t="shared" si="239"/>
        <v>717920.66674194194</v>
      </c>
      <c r="BH381" s="456"/>
      <c r="BI381" s="533">
        <f>-PV([1]i.Finance!$O$63,[1]i.Finance!$O$62,mCFD!BD381)</f>
        <v>10118334.07987882</v>
      </c>
      <c r="BJ381" s="533">
        <f t="shared" si="248"/>
        <v>96403921.274244532</v>
      </c>
      <c r="BK381" s="533">
        <f>PV([1]i.Finance!$O$63,[1]i.Finance!$O$62,-BE381)</f>
        <v>0</v>
      </c>
      <c r="BL381" s="533">
        <f>BK381*[1]i.Finance!$O$70</f>
        <v>0</v>
      </c>
      <c r="BP381" s="533">
        <f t="shared" si="249"/>
        <v>0</v>
      </c>
      <c r="BQ381" s="533">
        <f t="shared" si="250"/>
        <v>0</v>
      </c>
      <c r="BS381" s="533">
        <f t="shared" si="240"/>
        <v>0</v>
      </c>
      <c r="BT381" s="533" t="e">
        <f t="shared" si="241"/>
        <v>#NAME?</v>
      </c>
      <c r="BU381" s="456"/>
    </row>
    <row r="382" spans="1:73" ht="13">
      <c r="G382" s="542">
        <f t="shared" si="242"/>
        <v>10</v>
      </c>
      <c r="I382" s="542">
        <f>[1]mProject!L384</f>
        <v>2029</v>
      </c>
      <c r="K382" s="533">
        <f t="shared" si="230"/>
        <v>0</v>
      </c>
      <c r="L382" s="533"/>
      <c r="M382" s="533">
        <f t="shared" si="231"/>
        <v>295000</v>
      </c>
      <c r="N382" s="533">
        <f t="shared" si="232"/>
        <v>0</v>
      </c>
      <c r="O382" s="533">
        <f t="shared" si="243"/>
        <v>280250000</v>
      </c>
      <c r="P382" s="533">
        <f t="shared" si="233"/>
        <v>343561.08855910011</v>
      </c>
      <c r="Q382" s="533">
        <f t="shared" si="234"/>
        <v>0</v>
      </c>
      <c r="R382" s="533">
        <f t="shared" si="244"/>
        <v>296355280.38883036</v>
      </c>
      <c r="AH382" s="533">
        <f t="shared" si="245"/>
        <v>0</v>
      </c>
      <c r="AI382" s="533">
        <f t="shared" si="246"/>
        <v>950</v>
      </c>
      <c r="AK382" s="533">
        <f t="shared" si="235"/>
        <v>0</v>
      </c>
      <c r="AM382" s="533">
        <f t="shared" si="236"/>
        <v>0</v>
      </c>
      <c r="AO382" s="614"/>
      <c r="AP382" s="614"/>
      <c r="AQ382" s="485"/>
      <c r="AR382" s="533">
        <f t="shared" si="251"/>
        <v>950</v>
      </c>
      <c r="AS382" s="533">
        <f t="shared" si="237"/>
        <v>0</v>
      </c>
      <c r="AT382" s="533">
        <f t="shared" si="252"/>
        <v>11199262.226444481</v>
      </c>
      <c r="AU382" s="533">
        <f t="shared" si="247"/>
        <v>296355280.38883036</v>
      </c>
      <c r="AY382" s="613"/>
      <c r="AZ382" s="533">
        <f t="shared" si="238"/>
        <v>0</v>
      </c>
      <c r="BA382" s="533">
        <f t="shared" si="238"/>
        <v>0</v>
      </c>
      <c r="BB382" s="533">
        <f t="shared" si="253"/>
        <v>17781316.823329829</v>
      </c>
      <c r="BD382" s="533">
        <f>BB382/100*[1]i.Finance!$O$61*[1]i.Finance!$O$64</f>
        <v>717920.66674194182</v>
      </c>
      <c r="BE382" s="533">
        <f t="shared" si="239"/>
        <v>0</v>
      </c>
      <c r="BF382" s="533">
        <f t="shared" si="239"/>
        <v>0</v>
      </c>
      <c r="BG382" s="533">
        <f t="shared" si="239"/>
        <v>717920.66674194194</v>
      </c>
      <c r="BH382" s="456"/>
      <c r="BI382" s="533">
        <f>-PV([1]i.Finance!$O$63,[1]i.Finance!$O$62,mCFD!BD382)</f>
        <v>10118334.07987882</v>
      </c>
      <c r="BJ382" s="533">
        <f t="shared" si="248"/>
        <v>96403921.274244532</v>
      </c>
      <c r="BK382" s="533">
        <f>PV([1]i.Finance!$O$63,[1]i.Finance!$O$62,-BE382)</f>
        <v>0</v>
      </c>
      <c r="BL382" s="533">
        <f>BK382*[1]i.Finance!$O$70</f>
        <v>0</v>
      </c>
      <c r="BP382" s="533">
        <f t="shared" si="249"/>
        <v>0</v>
      </c>
      <c r="BQ382" s="533">
        <f t="shared" si="250"/>
        <v>0</v>
      </c>
      <c r="BS382" s="533">
        <f t="shared" si="240"/>
        <v>0</v>
      </c>
      <c r="BT382" s="533" t="e">
        <f t="shared" si="241"/>
        <v>#NAME?</v>
      </c>
      <c r="BU382" s="456"/>
    </row>
    <row r="383" spans="1:73" ht="13">
      <c r="G383" s="542">
        <f t="shared" si="242"/>
        <v>11</v>
      </c>
      <c r="I383" s="542">
        <f>[1]mProject!L385</f>
        <v>2030</v>
      </c>
      <c r="K383" s="533">
        <f t="shared" si="230"/>
        <v>0</v>
      </c>
      <c r="L383" s="533"/>
      <c r="M383" s="533">
        <f t="shared" si="231"/>
        <v>295000</v>
      </c>
      <c r="N383" s="533">
        <f t="shared" si="232"/>
        <v>0</v>
      </c>
      <c r="O383" s="533">
        <f t="shared" si="243"/>
        <v>280250000</v>
      </c>
      <c r="P383" s="533">
        <f t="shared" si="233"/>
        <v>350495.64776890079</v>
      </c>
      <c r="Q383" s="533">
        <f t="shared" si="234"/>
        <v>0</v>
      </c>
      <c r="R383" s="533">
        <f t="shared" si="244"/>
        <v>296355280.38883036</v>
      </c>
      <c r="AH383" s="533">
        <f t="shared" si="245"/>
        <v>0</v>
      </c>
      <c r="AI383" s="533">
        <f t="shared" si="246"/>
        <v>950</v>
      </c>
      <c r="AK383" s="533">
        <f t="shared" si="235"/>
        <v>0</v>
      </c>
      <c r="AM383" s="533">
        <f t="shared" si="236"/>
        <v>0</v>
      </c>
      <c r="AO383" s="614"/>
      <c r="AP383" s="614"/>
      <c r="AQ383" s="485"/>
      <c r="AR383" s="533">
        <f t="shared" si="251"/>
        <v>950</v>
      </c>
      <c r="AS383" s="533">
        <f t="shared" si="237"/>
        <v>0</v>
      </c>
      <c r="AT383" s="533">
        <f t="shared" si="252"/>
        <v>0</v>
      </c>
      <c r="AU383" s="533">
        <f t="shared" si="247"/>
        <v>296355280.38883036</v>
      </c>
      <c r="AY383" s="613"/>
      <c r="AZ383" s="533">
        <f t="shared" si="238"/>
        <v>0</v>
      </c>
      <c r="BA383" s="533">
        <f t="shared" si="238"/>
        <v>0</v>
      </c>
      <c r="BB383" s="533">
        <f t="shared" si="253"/>
        <v>17781316.823329829</v>
      </c>
      <c r="BD383" s="533">
        <f>BB383/100*[1]i.Finance!$O$61*[1]i.Finance!$O$64</f>
        <v>717920.66674194182</v>
      </c>
      <c r="BE383" s="533">
        <f t="shared" si="239"/>
        <v>0</v>
      </c>
      <c r="BF383" s="533">
        <f t="shared" si="239"/>
        <v>0</v>
      </c>
      <c r="BG383" s="533">
        <f t="shared" si="239"/>
        <v>717920.66674194194</v>
      </c>
      <c r="BH383" s="456"/>
      <c r="BI383" s="533">
        <f>-PV([1]i.Finance!$O$63,[1]i.Finance!$O$62,mCFD!BD383)</f>
        <v>10118334.07987882</v>
      </c>
      <c r="BJ383" s="533">
        <f t="shared" si="248"/>
        <v>96403921.274244532</v>
      </c>
      <c r="BK383" s="533">
        <f>PV([1]i.Finance!$O$63,[1]i.Finance!$O$62,-BE383)</f>
        <v>0</v>
      </c>
      <c r="BL383" s="533">
        <f>BK383*[1]i.Finance!$O$70</f>
        <v>0</v>
      </c>
      <c r="BP383" s="533">
        <f t="shared" si="249"/>
        <v>0</v>
      </c>
      <c r="BQ383" s="533">
        <f t="shared" si="250"/>
        <v>0</v>
      </c>
      <c r="BS383" s="533">
        <f t="shared" si="240"/>
        <v>0</v>
      </c>
      <c r="BT383" s="533" t="e">
        <f t="shared" si="241"/>
        <v>#NAME?</v>
      </c>
      <c r="BU383" s="456"/>
    </row>
    <row r="384" spans="1:73" ht="13">
      <c r="G384" s="542">
        <f t="shared" si="242"/>
        <v>12</v>
      </c>
      <c r="I384" s="542">
        <f>[1]mProject!L386</f>
        <v>2031</v>
      </c>
      <c r="K384" s="533">
        <f t="shared" si="230"/>
        <v>0</v>
      </c>
      <c r="L384" s="533"/>
      <c r="M384" s="533">
        <f t="shared" si="231"/>
        <v>295000</v>
      </c>
      <c r="N384" s="533">
        <f t="shared" si="232"/>
        <v>0</v>
      </c>
      <c r="O384" s="533">
        <f t="shared" si="243"/>
        <v>280250000</v>
      </c>
      <c r="P384" s="533">
        <f t="shared" si="233"/>
        <v>357570.17658828665</v>
      </c>
      <c r="Q384" s="533">
        <f t="shared" si="234"/>
        <v>0</v>
      </c>
      <c r="R384" s="533">
        <f t="shared" si="244"/>
        <v>296355280.38883036</v>
      </c>
      <c r="AH384" s="533">
        <f t="shared" si="245"/>
        <v>0</v>
      </c>
      <c r="AI384" s="533">
        <f t="shared" si="246"/>
        <v>950</v>
      </c>
      <c r="AK384" s="533">
        <f t="shared" si="235"/>
        <v>0</v>
      </c>
      <c r="AM384" s="533">
        <f t="shared" si="236"/>
        <v>0</v>
      </c>
      <c r="AO384" s="614"/>
      <c r="AP384" s="614"/>
      <c r="AQ384" s="485"/>
      <c r="AR384" s="533">
        <f t="shared" si="251"/>
        <v>950</v>
      </c>
      <c r="AS384" s="533">
        <f t="shared" si="237"/>
        <v>0</v>
      </c>
      <c r="AT384" s="533">
        <f t="shared" si="252"/>
        <v>0</v>
      </c>
      <c r="AU384" s="533">
        <f t="shared" si="247"/>
        <v>296355280.38883036</v>
      </c>
      <c r="AY384" s="613"/>
      <c r="AZ384" s="533">
        <f t="shared" si="238"/>
        <v>0</v>
      </c>
      <c r="BA384" s="533">
        <f t="shared" si="238"/>
        <v>0</v>
      </c>
      <c r="BB384" s="533">
        <f t="shared" si="253"/>
        <v>17781316.823329829</v>
      </c>
      <c r="BD384" s="533">
        <f>BB384/100*[1]i.Finance!$O$61*[1]i.Finance!$O$64</f>
        <v>717920.66674194182</v>
      </c>
      <c r="BE384" s="533">
        <f t="shared" si="239"/>
        <v>0</v>
      </c>
      <c r="BF384" s="533">
        <f t="shared" si="239"/>
        <v>0</v>
      </c>
      <c r="BG384" s="533">
        <f t="shared" si="239"/>
        <v>717920.66674194194</v>
      </c>
      <c r="BH384" s="456"/>
      <c r="BI384" s="533">
        <f>-PV([1]i.Finance!$O$63,[1]i.Finance!$O$62,mCFD!BD384)</f>
        <v>10118334.07987882</v>
      </c>
      <c r="BJ384" s="533">
        <f t="shared" si="248"/>
        <v>96403921.274244532</v>
      </c>
      <c r="BK384" s="533">
        <f>PV([1]i.Finance!$O$63,[1]i.Finance!$O$62,-BE384)</f>
        <v>0</v>
      </c>
      <c r="BL384" s="533">
        <f>BK384*[1]i.Finance!$O$70</f>
        <v>0</v>
      </c>
      <c r="BP384" s="533">
        <f t="shared" si="249"/>
        <v>0</v>
      </c>
      <c r="BQ384" s="533">
        <f t="shared" si="250"/>
        <v>0</v>
      </c>
      <c r="BS384" s="533">
        <f t="shared" si="240"/>
        <v>0</v>
      </c>
      <c r="BT384" s="533" t="e">
        <f t="shared" si="241"/>
        <v>#NAME?</v>
      </c>
      <c r="BU384" s="456"/>
    </row>
    <row r="385" spans="7:73" ht="13">
      <c r="G385" s="542">
        <f t="shared" si="242"/>
        <v>13</v>
      </c>
      <c r="I385" s="542">
        <f>[1]mProject!L387</f>
        <v>2032</v>
      </c>
      <c r="K385" s="533">
        <f t="shared" si="230"/>
        <v>0</v>
      </c>
      <c r="L385" s="533"/>
      <c r="M385" s="533">
        <f t="shared" si="231"/>
        <v>295000</v>
      </c>
      <c r="N385" s="533">
        <f t="shared" si="232"/>
        <v>0</v>
      </c>
      <c r="O385" s="533">
        <f t="shared" si="243"/>
        <v>280250000</v>
      </c>
      <c r="P385" s="533">
        <f t="shared" si="233"/>
        <v>364787.50021364208</v>
      </c>
      <c r="Q385" s="533">
        <f t="shared" si="234"/>
        <v>0</v>
      </c>
      <c r="R385" s="533">
        <f t="shared" si="244"/>
        <v>296355280.38883036</v>
      </c>
      <c r="AH385" s="533">
        <f t="shared" si="245"/>
        <v>0</v>
      </c>
      <c r="AI385" s="533">
        <f t="shared" si="246"/>
        <v>950</v>
      </c>
      <c r="AK385" s="533">
        <f t="shared" si="235"/>
        <v>0</v>
      </c>
      <c r="AM385" s="533">
        <f t="shared" si="236"/>
        <v>0</v>
      </c>
      <c r="AO385" s="614"/>
      <c r="AP385" s="614"/>
      <c r="AQ385" s="485"/>
      <c r="AR385" s="533">
        <f t="shared" si="251"/>
        <v>950</v>
      </c>
      <c r="AS385" s="533">
        <f t="shared" si="237"/>
        <v>0</v>
      </c>
      <c r="AT385" s="533">
        <f t="shared" si="252"/>
        <v>0</v>
      </c>
      <c r="AU385" s="533">
        <f t="shared" si="247"/>
        <v>296355280.38883036</v>
      </c>
      <c r="AY385" s="613"/>
      <c r="AZ385" s="533">
        <f t="shared" si="238"/>
        <v>0</v>
      </c>
      <c r="BA385" s="533">
        <f t="shared" si="238"/>
        <v>0</v>
      </c>
      <c r="BB385" s="533">
        <f t="shared" si="253"/>
        <v>17781316.823329829</v>
      </c>
      <c r="BD385" s="533">
        <f>BB385/100*[1]i.Finance!$O$61*[1]i.Finance!$O$64</f>
        <v>717920.66674194182</v>
      </c>
      <c r="BE385" s="533">
        <f t="shared" si="239"/>
        <v>0</v>
      </c>
      <c r="BF385" s="533">
        <f t="shared" si="239"/>
        <v>0</v>
      </c>
      <c r="BG385" s="533">
        <f t="shared" si="239"/>
        <v>717920.66674194194</v>
      </c>
      <c r="BH385" s="456"/>
      <c r="BI385" s="533">
        <f>-PV([1]i.Finance!$O$63,[1]i.Finance!$O$62,mCFD!BD385)</f>
        <v>10118334.07987882</v>
      </c>
      <c r="BJ385" s="533">
        <f t="shared" si="248"/>
        <v>96403921.274244532</v>
      </c>
      <c r="BK385" s="533">
        <f>PV([1]i.Finance!$O$63,[1]i.Finance!$O$62,-BE385)</f>
        <v>0</v>
      </c>
      <c r="BL385" s="533">
        <f>BK385*[1]i.Finance!$O$70</f>
        <v>0</v>
      </c>
      <c r="BP385" s="533">
        <f t="shared" si="249"/>
        <v>0</v>
      </c>
      <c r="BQ385" s="533">
        <f t="shared" si="250"/>
        <v>0</v>
      </c>
      <c r="BS385" s="533">
        <f t="shared" si="240"/>
        <v>0</v>
      </c>
      <c r="BT385" s="533" t="e">
        <f t="shared" si="241"/>
        <v>#NAME?</v>
      </c>
      <c r="BU385" s="456"/>
    </row>
    <row r="386" spans="7:73" ht="13">
      <c r="G386" s="542">
        <f t="shared" si="242"/>
        <v>14</v>
      </c>
      <c r="I386" s="542">
        <f>[1]mProject!L388</f>
        <v>2033</v>
      </c>
      <c r="K386" s="533">
        <f t="shared" si="230"/>
        <v>0</v>
      </c>
      <c r="L386" s="533"/>
      <c r="M386" s="533">
        <f t="shared" si="231"/>
        <v>295000</v>
      </c>
      <c r="N386" s="533">
        <f t="shared" si="232"/>
        <v>0</v>
      </c>
      <c r="O386" s="533">
        <f t="shared" si="243"/>
        <v>280250000</v>
      </c>
      <c r="P386" s="533">
        <f t="shared" si="233"/>
        <v>372150.50086612004</v>
      </c>
      <c r="Q386" s="533">
        <f t="shared" si="234"/>
        <v>0</v>
      </c>
      <c r="R386" s="533">
        <f t="shared" si="244"/>
        <v>296355280.38883036</v>
      </c>
      <c r="AH386" s="533">
        <f t="shared" si="245"/>
        <v>0</v>
      </c>
      <c r="AI386" s="533">
        <f t="shared" si="246"/>
        <v>950</v>
      </c>
      <c r="AK386" s="533">
        <f t="shared" si="235"/>
        <v>0</v>
      </c>
      <c r="AM386" s="533">
        <f t="shared" si="236"/>
        <v>0</v>
      </c>
      <c r="AO386" s="614"/>
      <c r="AP386" s="614"/>
      <c r="AQ386" s="485"/>
      <c r="AR386" s="533">
        <f t="shared" si="251"/>
        <v>950</v>
      </c>
      <c r="AS386" s="533">
        <f t="shared" si="237"/>
        <v>0</v>
      </c>
      <c r="AT386" s="533">
        <f t="shared" si="252"/>
        <v>0</v>
      </c>
      <c r="AU386" s="533">
        <f t="shared" si="247"/>
        <v>296355280.38883036</v>
      </c>
      <c r="AY386" s="613"/>
      <c r="AZ386" s="533">
        <f t="shared" si="238"/>
        <v>0</v>
      </c>
      <c r="BA386" s="533">
        <f t="shared" si="238"/>
        <v>0</v>
      </c>
      <c r="BB386" s="533">
        <f t="shared" si="253"/>
        <v>17781316.823329829</v>
      </c>
      <c r="BD386" s="533">
        <f>BB386/100*[1]i.Finance!$O$61*[1]i.Finance!$O$64</f>
        <v>717920.66674194182</v>
      </c>
      <c r="BE386" s="533">
        <f t="shared" si="239"/>
        <v>0</v>
      </c>
      <c r="BF386" s="533">
        <f t="shared" si="239"/>
        <v>0</v>
      </c>
      <c r="BG386" s="533">
        <f t="shared" si="239"/>
        <v>717920.66674194194</v>
      </c>
      <c r="BH386" s="456"/>
      <c r="BI386" s="533">
        <f>-PV([1]i.Finance!$O$63,[1]i.Finance!$O$62,mCFD!BD386)</f>
        <v>10118334.07987882</v>
      </c>
      <c r="BJ386" s="533">
        <f t="shared" si="248"/>
        <v>96403921.274244532</v>
      </c>
      <c r="BK386" s="533">
        <f>PV([1]i.Finance!$O$63,[1]i.Finance!$O$62,-BE386)</f>
        <v>0</v>
      </c>
      <c r="BL386" s="533">
        <f>BK386*[1]i.Finance!$O$70</f>
        <v>0</v>
      </c>
      <c r="BP386" s="533">
        <f t="shared" si="249"/>
        <v>0</v>
      </c>
      <c r="BQ386" s="533">
        <f t="shared" si="250"/>
        <v>0</v>
      </c>
      <c r="BS386" s="533">
        <f t="shared" si="240"/>
        <v>0</v>
      </c>
      <c r="BT386" s="533" t="e">
        <f t="shared" si="241"/>
        <v>#NAME?</v>
      </c>
      <c r="BU386" s="456"/>
    </row>
    <row r="387" spans="7:73" ht="13">
      <c r="G387" s="542">
        <f t="shared" si="242"/>
        <v>15</v>
      </c>
      <c r="I387" s="542">
        <f>[1]mProject!L389</f>
        <v>2034</v>
      </c>
      <c r="K387" s="533">
        <f t="shared" si="230"/>
        <v>0</v>
      </c>
      <c r="L387" s="533"/>
      <c r="M387" s="533">
        <f t="shared" si="231"/>
        <v>295000</v>
      </c>
      <c r="N387" s="533">
        <f t="shared" si="232"/>
        <v>0</v>
      </c>
      <c r="O387" s="533">
        <f t="shared" si="243"/>
        <v>280250000</v>
      </c>
      <c r="P387" s="533">
        <f t="shared" si="233"/>
        <v>379662.11894265091</v>
      </c>
      <c r="Q387" s="533">
        <f t="shared" si="234"/>
        <v>0</v>
      </c>
      <c r="R387" s="533">
        <f t="shared" si="244"/>
        <v>296355280.38883036</v>
      </c>
      <c r="AH387" s="533">
        <f t="shared" si="245"/>
        <v>0</v>
      </c>
      <c r="AI387" s="533">
        <f t="shared" si="246"/>
        <v>950</v>
      </c>
      <c r="AK387" s="533">
        <f t="shared" si="235"/>
        <v>0</v>
      </c>
      <c r="AM387" s="533">
        <f t="shared" si="236"/>
        <v>0</v>
      </c>
      <c r="AO387" s="614"/>
      <c r="AP387" s="614"/>
      <c r="AQ387" s="485"/>
      <c r="AR387" s="533">
        <f t="shared" si="251"/>
        <v>950</v>
      </c>
      <c r="AS387" s="533">
        <f t="shared" si="237"/>
        <v>0</v>
      </c>
      <c r="AT387" s="533">
        <f t="shared" si="252"/>
        <v>0</v>
      </c>
      <c r="AU387" s="533">
        <f t="shared" si="247"/>
        <v>296355280.38883036</v>
      </c>
      <c r="AY387" s="613"/>
      <c r="AZ387" s="533">
        <f t="shared" si="238"/>
        <v>0</v>
      </c>
      <c r="BA387" s="533">
        <f t="shared" si="238"/>
        <v>0</v>
      </c>
      <c r="BB387" s="533">
        <f t="shared" si="253"/>
        <v>17781316.823329829</v>
      </c>
      <c r="BD387" s="533">
        <f>BB387/100*[1]i.Finance!$O$61*[1]i.Finance!$O$64</f>
        <v>717920.66674194182</v>
      </c>
      <c r="BE387" s="533">
        <f t="shared" si="239"/>
        <v>0</v>
      </c>
      <c r="BF387" s="533">
        <f t="shared" si="239"/>
        <v>0</v>
      </c>
      <c r="BG387" s="533">
        <f t="shared" si="239"/>
        <v>717920.66674194194</v>
      </c>
      <c r="BH387" s="456"/>
      <c r="BI387" s="533">
        <f>-PV([1]i.Finance!$O$63,[1]i.Finance!$O$62,mCFD!BD387)</f>
        <v>10118334.07987882</v>
      </c>
      <c r="BJ387" s="533">
        <f t="shared" si="248"/>
        <v>96403921.274244532</v>
      </c>
      <c r="BK387" s="533">
        <f>PV([1]i.Finance!$O$63,[1]i.Finance!$O$62,-BE387)</f>
        <v>0</v>
      </c>
      <c r="BL387" s="533">
        <f>BK387*[1]i.Finance!$O$70</f>
        <v>0</v>
      </c>
      <c r="BP387" s="533">
        <f t="shared" si="249"/>
        <v>0</v>
      </c>
      <c r="BQ387" s="533">
        <f t="shared" si="250"/>
        <v>0</v>
      </c>
      <c r="BS387" s="533">
        <f t="shared" si="240"/>
        <v>0</v>
      </c>
      <c r="BT387" s="533" t="e">
        <f t="shared" si="241"/>
        <v>#NAME?</v>
      </c>
      <c r="BU387" s="456"/>
    </row>
    <row r="388" spans="7:73" ht="13">
      <c r="G388" s="542">
        <f t="shared" si="242"/>
        <v>16</v>
      </c>
      <c r="I388" s="542">
        <f>[1]mProject!L390</f>
        <v>2035</v>
      </c>
      <c r="K388" s="533">
        <f t="shared" si="230"/>
        <v>0</v>
      </c>
      <c r="L388" s="533"/>
      <c r="M388" s="533">
        <f t="shared" si="231"/>
        <v>295000</v>
      </c>
      <c r="N388" s="533">
        <f t="shared" si="232"/>
        <v>0</v>
      </c>
      <c r="O388" s="533">
        <f t="shared" si="243"/>
        <v>280250000</v>
      </c>
      <c r="P388" s="533">
        <f t="shared" si="233"/>
        <v>387325.35419018194</v>
      </c>
      <c r="Q388" s="533">
        <f t="shared" si="234"/>
        <v>0</v>
      </c>
      <c r="R388" s="533">
        <f t="shared" si="244"/>
        <v>296355280.38883036</v>
      </c>
      <c r="AH388" s="533">
        <f t="shared" si="245"/>
        <v>0</v>
      </c>
      <c r="AI388" s="533">
        <f t="shared" si="246"/>
        <v>950</v>
      </c>
      <c r="AK388" s="533">
        <f t="shared" si="235"/>
        <v>0</v>
      </c>
      <c r="AM388" s="533">
        <f t="shared" si="236"/>
        <v>0</v>
      </c>
      <c r="AO388" s="614"/>
      <c r="AP388" s="614"/>
      <c r="AQ388" s="485"/>
      <c r="AR388" s="533">
        <f t="shared" si="251"/>
        <v>950</v>
      </c>
      <c r="AS388" s="533">
        <f t="shared" si="237"/>
        <v>0</v>
      </c>
      <c r="AT388" s="533">
        <f t="shared" si="252"/>
        <v>0</v>
      </c>
      <c r="AU388" s="533">
        <f t="shared" si="247"/>
        <v>296355280.38883036</v>
      </c>
      <c r="AY388" s="613"/>
      <c r="AZ388" s="533">
        <f t="shared" si="238"/>
        <v>0</v>
      </c>
      <c r="BA388" s="533">
        <f t="shared" si="238"/>
        <v>0</v>
      </c>
      <c r="BB388" s="533">
        <f t="shared" si="253"/>
        <v>17781316.823329829</v>
      </c>
      <c r="BD388" s="533">
        <f>BB388/100*[1]i.Finance!$O$61*[1]i.Finance!$O$64</f>
        <v>717920.66674194182</v>
      </c>
      <c r="BE388" s="533">
        <f t="shared" ref="BE388:BG402" si="254">SUMIF($I$7:$I$366,$I388,BE$7:BE$366)</f>
        <v>0</v>
      </c>
      <c r="BF388" s="533">
        <f t="shared" si="254"/>
        <v>0</v>
      </c>
      <c r="BG388" s="533">
        <f t="shared" si="254"/>
        <v>717920.66674194194</v>
      </c>
      <c r="BH388" s="456"/>
      <c r="BI388" s="533">
        <f>-PV([1]i.Finance!$O$63,[1]i.Finance!$O$62,mCFD!BD388)</f>
        <v>10118334.07987882</v>
      </c>
      <c r="BJ388" s="533">
        <f t="shared" si="248"/>
        <v>96403921.274244532</v>
      </c>
      <c r="BK388" s="533">
        <f>PV([1]i.Finance!$O$63,[1]i.Finance!$O$62,-BE388)</f>
        <v>0</v>
      </c>
      <c r="BL388" s="533">
        <f>BK388*[1]i.Finance!$O$70</f>
        <v>0</v>
      </c>
      <c r="BP388" s="533">
        <f t="shared" si="249"/>
        <v>0</v>
      </c>
      <c r="BQ388" s="533">
        <f t="shared" si="250"/>
        <v>0</v>
      </c>
      <c r="BS388" s="533">
        <f t="shared" si="240"/>
        <v>0</v>
      </c>
      <c r="BT388" s="533" t="e">
        <f t="shared" si="241"/>
        <v>#NAME?</v>
      </c>
      <c r="BU388" s="456"/>
    </row>
    <row r="389" spans="7:73" ht="13">
      <c r="G389" s="542">
        <f t="shared" si="242"/>
        <v>17</v>
      </c>
      <c r="I389" s="542">
        <f>[1]mProject!L391</f>
        <v>2036</v>
      </c>
      <c r="K389" s="533">
        <f t="shared" si="230"/>
        <v>0</v>
      </c>
      <c r="L389" s="533"/>
      <c r="M389" s="533">
        <f t="shared" si="231"/>
        <v>295000</v>
      </c>
      <c r="N389" s="533">
        <f t="shared" si="232"/>
        <v>0</v>
      </c>
      <c r="O389" s="533">
        <f t="shared" si="243"/>
        <v>280250000</v>
      </c>
      <c r="P389" s="533">
        <f t="shared" si="233"/>
        <v>395143.26690362021</v>
      </c>
      <c r="Q389" s="533">
        <f t="shared" si="234"/>
        <v>0</v>
      </c>
      <c r="R389" s="533">
        <f t="shared" si="244"/>
        <v>296355280.38883036</v>
      </c>
      <c r="AH389" s="533">
        <f t="shared" si="245"/>
        <v>0</v>
      </c>
      <c r="AI389" s="533">
        <f t="shared" si="246"/>
        <v>950</v>
      </c>
      <c r="AK389" s="533">
        <f t="shared" si="235"/>
        <v>0</v>
      </c>
      <c r="AM389" s="533">
        <f t="shared" si="236"/>
        <v>0</v>
      </c>
      <c r="AO389" s="614"/>
      <c r="AP389" s="614"/>
      <c r="AQ389" s="485"/>
      <c r="AR389" s="533">
        <f t="shared" si="251"/>
        <v>950</v>
      </c>
      <c r="AS389" s="533">
        <f t="shared" si="237"/>
        <v>0</v>
      </c>
      <c r="AT389" s="533">
        <f t="shared" si="252"/>
        <v>0</v>
      </c>
      <c r="AU389" s="533">
        <f t="shared" si="247"/>
        <v>296355280.38883036</v>
      </c>
      <c r="AY389" s="613"/>
      <c r="AZ389" s="533">
        <f t="shared" si="238"/>
        <v>0</v>
      </c>
      <c r="BA389" s="533">
        <f t="shared" si="238"/>
        <v>0</v>
      </c>
      <c r="BB389" s="533">
        <f t="shared" si="253"/>
        <v>17781316.823329829</v>
      </c>
      <c r="BD389" s="533">
        <f>BB389/100*[1]i.Finance!$O$61*[1]i.Finance!$O$64</f>
        <v>717920.66674194182</v>
      </c>
      <c r="BE389" s="533">
        <f t="shared" si="254"/>
        <v>0</v>
      </c>
      <c r="BF389" s="533">
        <f t="shared" si="254"/>
        <v>0</v>
      </c>
      <c r="BG389" s="533">
        <f t="shared" si="254"/>
        <v>717920.66674194194</v>
      </c>
      <c r="BH389" s="456"/>
      <c r="BI389" s="533">
        <f>-PV([1]i.Finance!$O$63,[1]i.Finance!$O$62,mCFD!BD389)</f>
        <v>10118334.07987882</v>
      </c>
      <c r="BJ389" s="533">
        <f t="shared" si="248"/>
        <v>96403921.274244532</v>
      </c>
      <c r="BK389" s="533">
        <f>PV([1]i.Finance!$O$63,[1]i.Finance!$O$62,-BE389)</f>
        <v>0</v>
      </c>
      <c r="BL389" s="533">
        <f>BK389*[1]i.Finance!$O$70</f>
        <v>0</v>
      </c>
      <c r="BP389" s="533">
        <f t="shared" si="249"/>
        <v>0</v>
      </c>
      <c r="BQ389" s="533">
        <f t="shared" si="250"/>
        <v>0</v>
      </c>
      <c r="BS389" s="533">
        <f t="shared" si="240"/>
        <v>0</v>
      </c>
      <c r="BT389" s="533" t="e">
        <f t="shared" si="241"/>
        <v>#NAME?</v>
      </c>
      <c r="BU389" s="456"/>
    </row>
    <row r="390" spans="7:73" ht="13">
      <c r="G390" s="542">
        <f t="shared" si="242"/>
        <v>18</v>
      </c>
      <c r="I390" s="542">
        <f>[1]mProject!L392</f>
        <v>2037</v>
      </c>
      <c r="K390" s="533">
        <f t="shared" si="230"/>
        <v>0</v>
      </c>
      <c r="L390" s="533"/>
      <c r="M390" s="533">
        <f t="shared" si="231"/>
        <v>295000</v>
      </c>
      <c r="N390" s="533">
        <f t="shared" si="232"/>
        <v>0</v>
      </c>
      <c r="O390" s="533">
        <f t="shared" si="243"/>
        <v>280250000</v>
      </c>
      <c r="P390" s="533">
        <f t="shared" si="233"/>
        <v>403118.97914795339</v>
      </c>
      <c r="Q390" s="533">
        <f t="shared" si="234"/>
        <v>0</v>
      </c>
      <c r="R390" s="533">
        <f t="shared" si="244"/>
        <v>296355280.38883036</v>
      </c>
      <c r="AH390" s="533">
        <f t="shared" si="245"/>
        <v>0</v>
      </c>
      <c r="AI390" s="533">
        <f t="shared" si="246"/>
        <v>950</v>
      </c>
      <c r="AK390" s="533">
        <f t="shared" si="235"/>
        <v>0</v>
      </c>
      <c r="AM390" s="533">
        <f t="shared" si="236"/>
        <v>0</v>
      </c>
      <c r="AO390" s="614"/>
      <c r="AP390" s="614"/>
      <c r="AQ390" s="485"/>
      <c r="AR390" s="533">
        <f t="shared" si="251"/>
        <v>950</v>
      </c>
      <c r="AS390" s="533">
        <f t="shared" si="237"/>
        <v>0</v>
      </c>
      <c r="AT390" s="533">
        <f t="shared" si="252"/>
        <v>0</v>
      </c>
      <c r="AU390" s="533">
        <f t="shared" si="247"/>
        <v>296355280.38883036</v>
      </c>
      <c r="AY390" s="613"/>
      <c r="AZ390" s="533">
        <f t="shared" si="238"/>
        <v>0</v>
      </c>
      <c r="BA390" s="533">
        <f t="shared" si="238"/>
        <v>0</v>
      </c>
      <c r="BB390" s="533">
        <f t="shared" si="253"/>
        <v>17781316.823329829</v>
      </c>
      <c r="BD390" s="533">
        <f>BB390/100*[1]i.Finance!$O$61*[1]i.Finance!$O$64</f>
        <v>717920.66674194182</v>
      </c>
      <c r="BE390" s="533">
        <f t="shared" si="254"/>
        <v>0</v>
      </c>
      <c r="BF390" s="533">
        <f t="shared" si="254"/>
        <v>0</v>
      </c>
      <c r="BG390" s="533">
        <f t="shared" si="254"/>
        <v>717920.66674194194</v>
      </c>
      <c r="BH390" s="456"/>
      <c r="BI390" s="533">
        <f>-PV([1]i.Finance!$O$63,[1]i.Finance!$O$62,mCFD!BD390)</f>
        <v>10118334.07987882</v>
      </c>
      <c r="BJ390" s="533">
        <f t="shared" si="248"/>
        <v>96403921.274244532</v>
      </c>
      <c r="BK390" s="533">
        <f>PV([1]i.Finance!$O$63,[1]i.Finance!$O$62,-BE390)</f>
        <v>0</v>
      </c>
      <c r="BL390" s="533">
        <f>BK390*[1]i.Finance!$O$70</f>
        <v>0</v>
      </c>
      <c r="BP390" s="533">
        <f t="shared" si="249"/>
        <v>0</v>
      </c>
      <c r="BQ390" s="533">
        <f t="shared" si="250"/>
        <v>0</v>
      </c>
      <c r="BS390" s="533">
        <f t="shared" si="240"/>
        <v>0</v>
      </c>
      <c r="BT390" s="533" t="e">
        <f t="shared" si="241"/>
        <v>#NAME?</v>
      </c>
      <c r="BU390" s="456"/>
    </row>
    <row r="391" spans="7:73" ht="13">
      <c r="G391" s="542">
        <f t="shared" si="242"/>
        <v>19</v>
      </c>
      <c r="I391" s="542">
        <f>[1]mProject!L393</f>
        <v>2038</v>
      </c>
      <c r="K391" s="533">
        <f t="shared" si="230"/>
        <v>0</v>
      </c>
      <c r="L391" s="533"/>
      <c r="M391" s="533">
        <f t="shared" si="231"/>
        <v>295000</v>
      </c>
      <c r="N391" s="533">
        <f t="shared" si="232"/>
        <v>0</v>
      </c>
      <c r="O391" s="533">
        <f t="shared" si="243"/>
        <v>280250000</v>
      </c>
      <c r="P391" s="533">
        <f t="shared" si="233"/>
        <v>411255.6760050396</v>
      </c>
      <c r="Q391" s="533">
        <f t="shared" si="234"/>
        <v>0</v>
      </c>
      <c r="R391" s="533">
        <f t="shared" si="244"/>
        <v>296355280.38883036</v>
      </c>
      <c r="AH391" s="533">
        <f t="shared" si="245"/>
        <v>0</v>
      </c>
      <c r="AI391" s="533">
        <f t="shared" si="246"/>
        <v>950</v>
      </c>
      <c r="AK391" s="533">
        <f t="shared" si="235"/>
        <v>0</v>
      </c>
      <c r="AM391" s="533">
        <f t="shared" si="236"/>
        <v>0</v>
      </c>
      <c r="AO391" s="614"/>
      <c r="AP391" s="614"/>
      <c r="AQ391" s="485"/>
      <c r="AR391" s="533">
        <f t="shared" si="251"/>
        <v>950</v>
      </c>
      <c r="AS391" s="533">
        <f t="shared" si="237"/>
        <v>0</v>
      </c>
      <c r="AT391" s="533">
        <f t="shared" si="252"/>
        <v>0</v>
      </c>
      <c r="AU391" s="533">
        <f t="shared" si="247"/>
        <v>296355280.38883036</v>
      </c>
      <c r="AY391" s="613"/>
      <c r="AZ391" s="533">
        <f t="shared" si="238"/>
        <v>0</v>
      </c>
      <c r="BA391" s="533">
        <f t="shared" si="238"/>
        <v>0</v>
      </c>
      <c r="BB391" s="533">
        <f t="shared" si="253"/>
        <v>17781316.823329829</v>
      </c>
      <c r="BD391" s="533">
        <f>BB391/100*[1]i.Finance!$O$61*[1]i.Finance!$O$64</f>
        <v>717920.66674194182</v>
      </c>
      <c r="BE391" s="533">
        <f t="shared" si="254"/>
        <v>0</v>
      </c>
      <c r="BF391" s="533">
        <f t="shared" si="254"/>
        <v>0</v>
      </c>
      <c r="BG391" s="533">
        <f t="shared" si="254"/>
        <v>717920.66674194194</v>
      </c>
      <c r="BH391" s="456"/>
      <c r="BI391" s="533">
        <f>-PV([1]i.Finance!$O$63,[1]i.Finance!$O$62,mCFD!BD391)</f>
        <v>10118334.07987882</v>
      </c>
      <c r="BJ391" s="533">
        <f t="shared" si="248"/>
        <v>96403921.274244532</v>
      </c>
      <c r="BK391" s="533">
        <f>PV([1]i.Finance!$O$63,[1]i.Finance!$O$62,-BE391)</f>
        <v>0</v>
      </c>
      <c r="BL391" s="533">
        <f>BK391*[1]i.Finance!$O$70</f>
        <v>0</v>
      </c>
      <c r="BP391" s="533">
        <f t="shared" si="249"/>
        <v>0</v>
      </c>
      <c r="BQ391" s="533">
        <f t="shared" si="250"/>
        <v>0</v>
      </c>
      <c r="BS391" s="533">
        <f t="shared" si="240"/>
        <v>0</v>
      </c>
      <c r="BT391" s="533" t="e">
        <f t="shared" si="241"/>
        <v>#NAME?</v>
      </c>
      <c r="BU391" s="456"/>
    </row>
    <row r="392" spans="7:73" ht="13">
      <c r="G392" s="542">
        <f t="shared" si="242"/>
        <v>20</v>
      </c>
      <c r="I392" s="542">
        <f>[1]mProject!L394</f>
        <v>2039</v>
      </c>
      <c r="K392" s="533">
        <f t="shared" si="230"/>
        <v>0</v>
      </c>
      <c r="L392" s="533"/>
      <c r="M392" s="533">
        <f t="shared" si="231"/>
        <v>295000</v>
      </c>
      <c r="N392" s="533">
        <f t="shared" si="232"/>
        <v>0</v>
      </c>
      <c r="O392" s="533">
        <f t="shared" si="243"/>
        <v>280250000</v>
      </c>
      <c r="P392" s="533">
        <f t="shared" si="233"/>
        <v>419556.60684556171</v>
      </c>
      <c r="Q392" s="533">
        <f t="shared" si="234"/>
        <v>0</v>
      </c>
      <c r="R392" s="533">
        <f t="shared" si="244"/>
        <v>296355280.38883036</v>
      </c>
      <c r="AH392" s="533">
        <f t="shared" si="245"/>
        <v>0</v>
      </c>
      <c r="AI392" s="533">
        <f t="shared" si="246"/>
        <v>950</v>
      </c>
      <c r="AK392" s="533">
        <f t="shared" si="235"/>
        <v>0</v>
      </c>
      <c r="AM392" s="533">
        <f t="shared" si="236"/>
        <v>0</v>
      </c>
      <c r="AO392" s="614"/>
      <c r="AP392" s="614"/>
      <c r="AQ392" s="485"/>
      <c r="AR392" s="533">
        <f t="shared" si="251"/>
        <v>950</v>
      </c>
      <c r="AS392" s="533">
        <f t="shared" si="237"/>
        <v>0</v>
      </c>
      <c r="AT392" s="533">
        <f t="shared" si="252"/>
        <v>0</v>
      </c>
      <c r="AU392" s="533">
        <f t="shared" si="247"/>
        <v>296355280.38883036</v>
      </c>
      <c r="AY392" s="613"/>
      <c r="AZ392" s="533">
        <f t="shared" si="238"/>
        <v>0</v>
      </c>
      <c r="BA392" s="533">
        <f t="shared" si="238"/>
        <v>0</v>
      </c>
      <c r="BB392" s="533">
        <f t="shared" si="253"/>
        <v>17781316.823329829</v>
      </c>
      <c r="BD392" s="533">
        <f>BB392/100*[1]i.Finance!$O$61*[1]i.Finance!$O$64</f>
        <v>717920.66674194182</v>
      </c>
      <c r="BE392" s="533">
        <f t="shared" si="254"/>
        <v>0</v>
      </c>
      <c r="BF392" s="533">
        <f t="shared" si="254"/>
        <v>0</v>
      </c>
      <c r="BG392" s="533">
        <f t="shared" si="254"/>
        <v>717920.66674194194</v>
      </c>
      <c r="BH392" s="456"/>
      <c r="BI392" s="533">
        <f>-PV([1]i.Finance!$O$63,[1]i.Finance!$O$62,mCFD!BD392)</f>
        <v>10118334.07987882</v>
      </c>
      <c r="BJ392" s="533">
        <f t="shared" si="248"/>
        <v>96403921.274244532</v>
      </c>
      <c r="BK392" s="533">
        <f>PV([1]i.Finance!$O$63,[1]i.Finance!$O$62,-BE392)</f>
        <v>0</v>
      </c>
      <c r="BL392" s="533">
        <f>BK392*[1]i.Finance!$O$70</f>
        <v>0</v>
      </c>
      <c r="BP392" s="533">
        <f t="shared" si="249"/>
        <v>0</v>
      </c>
      <c r="BQ392" s="533">
        <f t="shared" si="250"/>
        <v>0</v>
      </c>
      <c r="BS392" s="533">
        <f t="shared" si="240"/>
        <v>0</v>
      </c>
      <c r="BT392" s="533" t="e">
        <f t="shared" si="241"/>
        <v>#NAME?</v>
      </c>
      <c r="BU392" s="456"/>
    </row>
    <row r="393" spans="7:73" ht="13">
      <c r="G393" s="542">
        <f t="shared" si="242"/>
        <v>21</v>
      </c>
      <c r="I393" s="542">
        <f>[1]mProject!L395</f>
        <v>2040</v>
      </c>
      <c r="K393" s="533">
        <f t="shared" si="230"/>
        <v>0</v>
      </c>
      <c r="L393" s="533"/>
      <c r="M393" s="533">
        <f t="shared" si="231"/>
        <v>295000</v>
      </c>
      <c r="N393" s="533">
        <f t="shared" si="232"/>
        <v>0</v>
      </c>
      <c r="O393" s="533">
        <f t="shared" si="243"/>
        <v>280250000</v>
      </c>
      <c r="P393" s="533">
        <f t="shared" si="233"/>
        <v>428025.08662665659</v>
      </c>
      <c r="Q393" s="533">
        <f t="shared" si="234"/>
        <v>0</v>
      </c>
      <c r="R393" s="533">
        <f t="shared" si="244"/>
        <v>296355280.38883036</v>
      </c>
      <c r="AH393" s="533">
        <f t="shared" si="245"/>
        <v>0</v>
      </c>
      <c r="AI393" s="533">
        <f t="shared" si="246"/>
        <v>950</v>
      </c>
      <c r="AK393" s="533">
        <f t="shared" si="235"/>
        <v>0</v>
      </c>
      <c r="AM393" s="533">
        <f t="shared" si="236"/>
        <v>0</v>
      </c>
      <c r="AO393" s="614"/>
      <c r="AP393" s="614"/>
      <c r="AQ393" s="485"/>
      <c r="AR393" s="533">
        <f t="shared" si="251"/>
        <v>950</v>
      </c>
      <c r="AS393" s="533">
        <f t="shared" si="237"/>
        <v>0</v>
      </c>
      <c r="AT393" s="533">
        <f t="shared" si="252"/>
        <v>0</v>
      </c>
      <c r="AU393" s="533">
        <f t="shared" si="247"/>
        <v>296355280.38883036</v>
      </c>
      <c r="AY393" s="613"/>
      <c r="AZ393" s="533">
        <f t="shared" si="238"/>
        <v>0</v>
      </c>
      <c r="BA393" s="533">
        <f t="shared" si="238"/>
        <v>0</v>
      </c>
      <c r="BB393" s="533">
        <f t="shared" si="253"/>
        <v>17781316.823329829</v>
      </c>
      <c r="BD393" s="533">
        <f>BB393/100*[1]i.Finance!$O$61*[1]i.Finance!$O$64</f>
        <v>717920.66674194182</v>
      </c>
      <c r="BE393" s="533">
        <f t="shared" si="254"/>
        <v>0</v>
      </c>
      <c r="BF393" s="533">
        <f t="shared" si="254"/>
        <v>0</v>
      </c>
      <c r="BG393" s="533">
        <f t="shared" si="254"/>
        <v>717920.66674194194</v>
      </c>
      <c r="BH393" s="456"/>
      <c r="BI393" s="533">
        <f>-PV([1]i.Finance!$O$63,[1]i.Finance!$O$62,mCFD!BD393)</f>
        <v>10118334.07987882</v>
      </c>
      <c r="BJ393" s="533">
        <f t="shared" si="248"/>
        <v>96403921.274244532</v>
      </c>
      <c r="BK393" s="533">
        <f>PV([1]i.Finance!$O$63,[1]i.Finance!$O$62,-BE393)</f>
        <v>0</v>
      </c>
      <c r="BL393" s="533">
        <f>BK393*[1]i.Finance!$O$70</f>
        <v>0</v>
      </c>
      <c r="BP393" s="533">
        <f t="shared" si="249"/>
        <v>0</v>
      </c>
      <c r="BQ393" s="533">
        <f t="shared" si="250"/>
        <v>0</v>
      </c>
      <c r="BS393" s="533">
        <f t="shared" si="240"/>
        <v>0</v>
      </c>
      <c r="BT393" s="533" t="e">
        <f t="shared" si="241"/>
        <v>#NAME?</v>
      </c>
      <c r="BU393" s="456"/>
    </row>
    <row r="394" spans="7:73" ht="13">
      <c r="G394" s="542">
        <f t="shared" si="242"/>
        <v>22</v>
      </c>
      <c r="I394" s="542">
        <f>[1]mProject!L396</f>
        <v>2041</v>
      </c>
      <c r="K394" s="533">
        <f t="shared" si="230"/>
        <v>0</v>
      </c>
      <c r="L394" s="533"/>
      <c r="M394" s="533">
        <f t="shared" si="231"/>
        <v>295000</v>
      </c>
      <c r="N394" s="533">
        <f t="shared" si="232"/>
        <v>0</v>
      </c>
      <c r="O394" s="533">
        <f t="shared" si="243"/>
        <v>280250000</v>
      </c>
      <c r="P394" s="533">
        <f t="shared" si="233"/>
        <v>436664.49721573456</v>
      </c>
      <c r="Q394" s="533">
        <f t="shared" si="234"/>
        <v>0</v>
      </c>
      <c r="R394" s="533">
        <f t="shared" si="244"/>
        <v>296355280.38883036</v>
      </c>
      <c r="AH394" s="533">
        <f t="shared" si="245"/>
        <v>0</v>
      </c>
      <c r="AI394" s="533">
        <f t="shared" si="246"/>
        <v>950</v>
      </c>
      <c r="AK394" s="533">
        <f t="shared" si="235"/>
        <v>0</v>
      </c>
      <c r="AM394" s="533">
        <f t="shared" si="236"/>
        <v>0</v>
      </c>
      <c r="AO394" s="614"/>
      <c r="AP394" s="614"/>
      <c r="AQ394" s="485"/>
      <c r="AR394" s="533">
        <f t="shared" si="251"/>
        <v>950</v>
      </c>
      <c r="AS394" s="533">
        <f t="shared" si="237"/>
        <v>0</v>
      </c>
      <c r="AT394" s="533">
        <f t="shared" si="252"/>
        <v>0</v>
      </c>
      <c r="AU394" s="533">
        <f t="shared" si="247"/>
        <v>296355280.38883036</v>
      </c>
      <c r="AY394" s="613"/>
      <c r="AZ394" s="533">
        <f t="shared" si="238"/>
        <v>0</v>
      </c>
      <c r="BA394" s="533">
        <f t="shared" si="238"/>
        <v>0</v>
      </c>
      <c r="BB394" s="533">
        <f t="shared" si="253"/>
        <v>17781316.823329829</v>
      </c>
      <c r="BD394" s="533">
        <f>BB394/100*[1]i.Finance!$O$61*[1]i.Finance!$O$64</f>
        <v>717920.66674194182</v>
      </c>
      <c r="BE394" s="533">
        <f t="shared" si="254"/>
        <v>0</v>
      </c>
      <c r="BF394" s="533">
        <f t="shared" si="254"/>
        <v>0</v>
      </c>
      <c r="BG394" s="533">
        <f t="shared" si="254"/>
        <v>717920.66674194194</v>
      </c>
      <c r="BH394" s="456"/>
      <c r="BI394" s="533">
        <f>-PV([1]i.Finance!$O$63,[1]i.Finance!$O$62,mCFD!BD394)</f>
        <v>10118334.07987882</v>
      </c>
      <c r="BJ394" s="533">
        <f t="shared" si="248"/>
        <v>96403921.274244532</v>
      </c>
      <c r="BK394" s="533">
        <f>PV([1]i.Finance!$O$63,[1]i.Finance!$O$62,-BE394)</f>
        <v>0</v>
      </c>
      <c r="BL394" s="533">
        <f>BK394*[1]i.Finance!$O$70</f>
        <v>0</v>
      </c>
      <c r="BP394" s="533">
        <f t="shared" si="249"/>
        <v>0</v>
      </c>
      <c r="BQ394" s="533">
        <f t="shared" si="250"/>
        <v>0</v>
      </c>
      <c r="BS394" s="533">
        <f t="shared" si="240"/>
        <v>0</v>
      </c>
      <c r="BT394" s="533" t="e">
        <f t="shared" si="241"/>
        <v>#NAME?</v>
      </c>
      <c r="BU394" s="456"/>
    </row>
    <row r="395" spans="7:73" ht="13">
      <c r="G395" s="542">
        <f t="shared" si="242"/>
        <v>23</v>
      </c>
      <c r="I395" s="542">
        <f>[1]mProject!L397</f>
        <v>2042</v>
      </c>
      <c r="K395" s="533">
        <f t="shared" si="230"/>
        <v>0</v>
      </c>
      <c r="L395" s="533"/>
      <c r="M395" s="533">
        <f t="shared" si="231"/>
        <v>295000</v>
      </c>
      <c r="N395" s="533">
        <f t="shared" si="232"/>
        <v>0</v>
      </c>
      <c r="O395" s="533">
        <f t="shared" si="243"/>
        <v>280250000</v>
      </c>
      <c r="P395" s="533">
        <f t="shared" si="233"/>
        <v>445478.28874102118</v>
      </c>
      <c r="Q395" s="533">
        <f t="shared" si="234"/>
        <v>0</v>
      </c>
      <c r="R395" s="533">
        <f t="shared" si="244"/>
        <v>296355280.38883036</v>
      </c>
      <c r="AH395" s="533">
        <f t="shared" si="245"/>
        <v>0</v>
      </c>
      <c r="AI395" s="533">
        <f t="shared" si="246"/>
        <v>950</v>
      </c>
      <c r="AK395" s="533">
        <f t="shared" si="235"/>
        <v>0</v>
      </c>
      <c r="AM395" s="533">
        <f t="shared" si="236"/>
        <v>0</v>
      </c>
      <c r="AO395" s="614"/>
      <c r="AP395" s="614"/>
      <c r="AQ395" s="485"/>
      <c r="AR395" s="533">
        <f t="shared" si="251"/>
        <v>950</v>
      </c>
      <c r="AS395" s="533">
        <f t="shared" si="237"/>
        <v>0</v>
      </c>
      <c r="AT395" s="533">
        <f t="shared" si="252"/>
        <v>0</v>
      </c>
      <c r="AU395" s="533">
        <f t="shared" si="247"/>
        <v>296355280.38883036</v>
      </c>
      <c r="AY395" s="613"/>
      <c r="AZ395" s="533">
        <f t="shared" si="238"/>
        <v>0</v>
      </c>
      <c r="BA395" s="533">
        <f t="shared" si="238"/>
        <v>0</v>
      </c>
      <c r="BB395" s="533">
        <f t="shared" si="253"/>
        <v>17781316.823329829</v>
      </c>
      <c r="BD395" s="533">
        <f>BB395/100*[1]i.Finance!$O$61*[1]i.Finance!$O$64</f>
        <v>717920.66674194182</v>
      </c>
      <c r="BE395" s="533">
        <f t="shared" si="254"/>
        <v>0</v>
      </c>
      <c r="BF395" s="533">
        <f t="shared" si="254"/>
        <v>0</v>
      </c>
      <c r="BG395" s="533">
        <f t="shared" si="254"/>
        <v>717920.66674194194</v>
      </c>
      <c r="BH395" s="456"/>
      <c r="BI395" s="533">
        <f>-PV([1]i.Finance!$O$63,[1]i.Finance!$O$62,mCFD!BD395)</f>
        <v>10118334.07987882</v>
      </c>
      <c r="BJ395" s="533">
        <f t="shared" si="248"/>
        <v>96403921.274244532</v>
      </c>
      <c r="BK395" s="533">
        <f>PV([1]i.Finance!$O$63,[1]i.Finance!$O$62,-BE395)</f>
        <v>0</v>
      </c>
      <c r="BL395" s="533">
        <f>BK395*[1]i.Finance!$O$70</f>
        <v>0</v>
      </c>
      <c r="BP395" s="533">
        <f t="shared" si="249"/>
        <v>0</v>
      </c>
      <c r="BQ395" s="533">
        <f t="shared" si="250"/>
        <v>0</v>
      </c>
      <c r="BS395" s="533">
        <f t="shared" si="240"/>
        <v>0</v>
      </c>
      <c r="BT395" s="533" t="e">
        <f t="shared" si="241"/>
        <v>#NAME?</v>
      </c>
      <c r="BU395" s="456"/>
    </row>
    <row r="396" spans="7:73" ht="13">
      <c r="G396" s="542">
        <f t="shared" si="242"/>
        <v>24</v>
      </c>
      <c r="I396" s="542">
        <f>[1]mProject!L398</f>
        <v>2043</v>
      </c>
      <c r="K396" s="533">
        <f t="shared" si="230"/>
        <v>0</v>
      </c>
      <c r="L396" s="533"/>
      <c r="M396" s="533">
        <f t="shared" si="231"/>
        <v>295000</v>
      </c>
      <c r="N396" s="533">
        <f t="shared" si="232"/>
        <v>0</v>
      </c>
      <c r="O396" s="533">
        <f t="shared" si="243"/>
        <v>280250000</v>
      </c>
      <c r="P396" s="533">
        <f t="shared" si="233"/>
        <v>454469.98096935655</v>
      </c>
      <c r="Q396" s="533">
        <f t="shared" si="234"/>
        <v>0</v>
      </c>
      <c r="R396" s="533">
        <f t="shared" si="244"/>
        <v>296355280.38883036</v>
      </c>
      <c r="AH396" s="533">
        <f t="shared" si="245"/>
        <v>0</v>
      </c>
      <c r="AI396" s="533">
        <f t="shared" si="246"/>
        <v>950</v>
      </c>
      <c r="AK396" s="533">
        <f t="shared" si="235"/>
        <v>0</v>
      </c>
      <c r="AM396" s="533">
        <f t="shared" si="236"/>
        <v>0</v>
      </c>
      <c r="AO396" s="614"/>
      <c r="AP396" s="614"/>
      <c r="AQ396" s="485"/>
      <c r="AR396" s="533">
        <f t="shared" si="251"/>
        <v>950</v>
      </c>
      <c r="AS396" s="533">
        <f t="shared" si="237"/>
        <v>0</v>
      </c>
      <c r="AT396" s="533">
        <f t="shared" si="252"/>
        <v>0</v>
      </c>
      <c r="AU396" s="533">
        <f t="shared" si="247"/>
        <v>296355280.38883036</v>
      </c>
      <c r="AY396" s="613"/>
      <c r="AZ396" s="533">
        <f t="shared" si="238"/>
        <v>0</v>
      </c>
      <c r="BA396" s="533">
        <f t="shared" si="238"/>
        <v>0</v>
      </c>
      <c r="BB396" s="533">
        <f t="shared" si="253"/>
        <v>17781316.823329829</v>
      </c>
      <c r="BD396" s="533">
        <f>BB396/100*[1]i.Finance!$O$61*[1]i.Finance!$O$64</f>
        <v>717920.66674194182</v>
      </c>
      <c r="BE396" s="533">
        <f t="shared" si="254"/>
        <v>0</v>
      </c>
      <c r="BF396" s="533">
        <f t="shared" si="254"/>
        <v>0</v>
      </c>
      <c r="BG396" s="533">
        <f t="shared" si="254"/>
        <v>717920.66674194194</v>
      </c>
      <c r="BH396" s="456"/>
      <c r="BI396" s="533">
        <f>-PV([1]i.Finance!$O$63,[1]i.Finance!$O$62,mCFD!BD396)</f>
        <v>10118334.07987882</v>
      </c>
      <c r="BJ396" s="533">
        <f t="shared" si="248"/>
        <v>96403921.274244532</v>
      </c>
      <c r="BK396" s="533">
        <f>PV([1]i.Finance!$O$63,[1]i.Finance!$O$62,-BE396)</f>
        <v>0</v>
      </c>
      <c r="BL396" s="533">
        <f>BK396*[1]i.Finance!$O$70</f>
        <v>0</v>
      </c>
      <c r="BP396" s="533">
        <f t="shared" si="249"/>
        <v>0</v>
      </c>
      <c r="BQ396" s="533">
        <f t="shared" si="250"/>
        <v>0</v>
      </c>
      <c r="BS396" s="533">
        <f t="shared" si="240"/>
        <v>0</v>
      </c>
      <c r="BT396" s="533" t="e">
        <f t="shared" si="241"/>
        <v>#NAME?</v>
      </c>
      <c r="BU396" s="456"/>
    </row>
    <row r="397" spans="7:73" ht="13">
      <c r="G397" s="542">
        <f t="shared" si="242"/>
        <v>25</v>
      </c>
      <c r="I397" s="542">
        <f>[1]mProject!L399</f>
        <v>2044</v>
      </c>
      <c r="K397" s="533">
        <f t="shared" si="230"/>
        <v>0</v>
      </c>
      <c r="L397" s="533"/>
      <c r="M397" s="533">
        <f t="shared" si="231"/>
        <v>295000</v>
      </c>
      <c r="N397" s="533">
        <f t="shared" si="232"/>
        <v>0</v>
      </c>
      <c r="O397" s="533">
        <f t="shared" si="243"/>
        <v>280250000</v>
      </c>
      <c r="P397" s="533">
        <f t="shared" si="233"/>
        <v>463643.16471180739</v>
      </c>
      <c r="Q397" s="533">
        <f t="shared" si="234"/>
        <v>0</v>
      </c>
      <c r="R397" s="533">
        <f t="shared" si="244"/>
        <v>296355280.38883036</v>
      </c>
      <c r="AH397" s="533">
        <f t="shared" si="245"/>
        <v>0</v>
      </c>
      <c r="AI397" s="533">
        <f t="shared" si="246"/>
        <v>950</v>
      </c>
      <c r="AK397" s="533">
        <f t="shared" si="235"/>
        <v>0</v>
      </c>
      <c r="AM397" s="533">
        <f t="shared" si="236"/>
        <v>0</v>
      </c>
      <c r="AO397" s="614"/>
      <c r="AP397" s="614"/>
      <c r="AQ397" s="485"/>
      <c r="AR397" s="533">
        <f t="shared" si="251"/>
        <v>950</v>
      </c>
      <c r="AS397" s="533">
        <f t="shared" si="237"/>
        <v>0</v>
      </c>
      <c r="AT397" s="533">
        <f t="shared" si="252"/>
        <v>0</v>
      </c>
      <c r="AU397" s="533">
        <f t="shared" si="247"/>
        <v>296355280.38883036</v>
      </c>
      <c r="AY397" s="613"/>
      <c r="AZ397" s="533">
        <f t="shared" si="238"/>
        <v>0</v>
      </c>
      <c r="BA397" s="533">
        <f t="shared" si="238"/>
        <v>0</v>
      </c>
      <c r="BB397" s="533">
        <f t="shared" si="253"/>
        <v>17781316.823329829</v>
      </c>
      <c r="BD397" s="533">
        <f>BB397/100*[1]i.Finance!$O$61*[1]i.Finance!$O$64</f>
        <v>717920.66674194182</v>
      </c>
      <c r="BE397" s="533">
        <f t="shared" si="254"/>
        <v>0</v>
      </c>
      <c r="BF397" s="533">
        <f t="shared" si="254"/>
        <v>0</v>
      </c>
      <c r="BG397" s="533">
        <f t="shared" si="254"/>
        <v>717920.66674194194</v>
      </c>
      <c r="BH397" s="456"/>
      <c r="BI397" s="533">
        <f>-PV([1]i.Finance!$O$63,[1]i.Finance!$O$62,mCFD!BD397)</f>
        <v>10118334.07987882</v>
      </c>
      <c r="BJ397" s="533">
        <f t="shared" si="248"/>
        <v>96403921.274244532</v>
      </c>
      <c r="BK397" s="533">
        <f>PV([1]i.Finance!$O$63,[1]i.Finance!$O$62,-BE397)</f>
        <v>0</v>
      </c>
      <c r="BL397" s="533">
        <f>BK397*[1]i.Finance!$O$70</f>
        <v>0</v>
      </c>
      <c r="BP397" s="533">
        <f t="shared" si="249"/>
        <v>0</v>
      </c>
      <c r="BQ397" s="533">
        <f t="shared" si="250"/>
        <v>0</v>
      </c>
      <c r="BS397" s="533">
        <f t="shared" si="240"/>
        <v>0</v>
      </c>
      <c r="BT397" s="533" t="e">
        <f t="shared" si="241"/>
        <v>#NAME?</v>
      </c>
      <c r="BU397" s="456"/>
    </row>
    <row r="398" spans="7:73" ht="13">
      <c r="G398" s="542">
        <f t="shared" si="242"/>
        <v>26</v>
      </c>
      <c r="I398" s="542">
        <f>[1]mProject!L400</f>
        <v>2045</v>
      </c>
      <c r="K398" s="533">
        <f t="shared" si="230"/>
        <v>0</v>
      </c>
      <c r="L398" s="533"/>
      <c r="M398" s="533">
        <f t="shared" si="231"/>
        <v>295000</v>
      </c>
      <c r="N398" s="533">
        <f t="shared" si="232"/>
        <v>0</v>
      </c>
      <c r="O398" s="533">
        <f t="shared" si="243"/>
        <v>280250000</v>
      </c>
      <c r="P398" s="533">
        <f t="shared" si="233"/>
        <v>473001.50325764768</v>
      </c>
      <c r="Q398" s="533">
        <f t="shared" si="234"/>
        <v>0</v>
      </c>
      <c r="R398" s="533">
        <f t="shared" si="244"/>
        <v>296355280.38883036</v>
      </c>
      <c r="AH398" s="533">
        <f t="shared" si="245"/>
        <v>0</v>
      </c>
      <c r="AI398" s="533">
        <f t="shared" si="246"/>
        <v>950</v>
      </c>
      <c r="AK398" s="533">
        <f t="shared" si="235"/>
        <v>0</v>
      </c>
      <c r="AM398" s="533">
        <f t="shared" si="236"/>
        <v>0</v>
      </c>
      <c r="AO398" s="614"/>
      <c r="AP398" s="614"/>
      <c r="AQ398" s="485"/>
      <c r="AR398" s="533">
        <f t="shared" si="251"/>
        <v>950</v>
      </c>
      <c r="AS398" s="533">
        <f t="shared" si="237"/>
        <v>0</v>
      </c>
      <c r="AT398" s="533">
        <f t="shared" si="252"/>
        <v>0</v>
      </c>
      <c r="AU398" s="533">
        <f t="shared" si="247"/>
        <v>296355280.38883036</v>
      </c>
      <c r="AY398" s="613"/>
      <c r="AZ398" s="533">
        <f t="shared" si="238"/>
        <v>0</v>
      </c>
      <c r="BA398" s="533">
        <f t="shared" si="238"/>
        <v>0</v>
      </c>
      <c r="BB398" s="533">
        <f t="shared" si="253"/>
        <v>17781316.823329829</v>
      </c>
      <c r="BD398" s="533">
        <f>BB398/100*[1]i.Finance!$O$61*[1]i.Finance!$O$64</f>
        <v>717920.66674194182</v>
      </c>
      <c r="BE398" s="533">
        <f t="shared" si="254"/>
        <v>0</v>
      </c>
      <c r="BF398" s="533">
        <f t="shared" si="254"/>
        <v>0</v>
      </c>
      <c r="BG398" s="533">
        <f t="shared" si="254"/>
        <v>717920.66674194194</v>
      </c>
      <c r="BH398" s="456"/>
      <c r="BI398" s="533">
        <f>-PV([1]i.Finance!$O$63,[1]i.Finance!$O$62,mCFD!BD398)</f>
        <v>10118334.07987882</v>
      </c>
      <c r="BJ398" s="533">
        <f t="shared" si="248"/>
        <v>96403921.274244532</v>
      </c>
      <c r="BK398" s="533">
        <f>PV([1]i.Finance!$O$63,[1]i.Finance!$O$62,-BE398)</f>
        <v>0</v>
      </c>
      <c r="BL398" s="533">
        <f>BK398*[1]i.Finance!$O$70</f>
        <v>0</v>
      </c>
      <c r="BP398" s="533">
        <f t="shared" si="249"/>
        <v>0</v>
      </c>
      <c r="BQ398" s="533">
        <f t="shared" si="250"/>
        <v>0</v>
      </c>
      <c r="BS398" s="533">
        <f t="shared" si="240"/>
        <v>0</v>
      </c>
      <c r="BT398" s="533" t="e">
        <f t="shared" si="241"/>
        <v>#NAME?</v>
      </c>
      <c r="BU398" s="456"/>
    </row>
    <row r="399" spans="7:73" ht="13">
      <c r="G399" s="542">
        <f t="shared" si="242"/>
        <v>27</v>
      </c>
      <c r="I399" s="542">
        <f>[1]mProject!L401</f>
        <v>2046</v>
      </c>
      <c r="K399" s="533">
        <f t="shared" si="230"/>
        <v>0</v>
      </c>
      <c r="L399" s="533"/>
      <c r="M399" s="533">
        <f t="shared" si="231"/>
        <v>295000</v>
      </c>
      <c r="N399" s="533">
        <f t="shared" si="232"/>
        <v>0</v>
      </c>
      <c r="O399" s="533">
        <f t="shared" si="243"/>
        <v>280250000</v>
      </c>
      <c r="P399" s="533">
        <f t="shared" si="233"/>
        <v>482548.73383728514</v>
      </c>
      <c r="Q399" s="533">
        <f t="shared" si="234"/>
        <v>0</v>
      </c>
      <c r="R399" s="533">
        <f t="shared" si="244"/>
        <v>296355280.38883036</v>
      </c>
      <c r="AH399" s="533">
        <f t="shared" si="245"/>
        <v>0</v>
      </c>
      <c r="AI399" s="533">
        <f t="shared" si="246"/>
        <v>950</v>
      </c>
      <c r="AK399" s="533">
        <f t="shared" si="235"/>
        <v>0</v>
      </c>
      <c r="AM399" s="533">
        <f t="shared" si="236"/>
        <v>0</v>
      </c>
      <c r="AO399" s="614"/>
      <c r="AP399" s="614"/>
      <c r="AQ399" s="485"/>
      <c r="AR399" s="533">
        <f t="shared" si="251"/>
        <v>950</v>
      </c>
      <c r="AS399" s="533">
        <f t="shared" si="237"/>
        <v>0</v>
      </c>
      <c r="AT399" s="533">
        <f t="shared" si="252"/>
        <v>0</v>
      </c>
      <c r="AU399" s="533">
        <f t="shared" si="247"/>
        <v>296355280.38883036</v>
      </c>
      <c r="AY399" s="613"/>
      <c r="AZ399" s="533">
        <f t="shared" si="238"/>
        <v>0</v>
      </c>
      <c r="BA399" s="533">
        <f t="shared" si="238"/>
        <v>0</v>
      </c>
      <c r="BB399" s="533">
        <f t="shared" si="253"/>
        <v>17781316.823329829</v>
      </c>
      <c r="BD399" s="533">
        <f>BB399/100*[1]i.Finance!$O$61*[1]i.Finance!$O$64</f>
        <v>717920.66674194182</v>
      </c>
      <c r="BE399" s="533">
        <f t="shared" si="254"/>
        <v>0</v>
      </c>
      <c r="BF399" s="533">
        <f t="shared" si="254"/>
        <v>0</v>
      </c>
      <c r="BG399" s="533">
        <f t="shared" si="254"/>
        <v>717920.66674194194</v>
      </c>
      <c r="BH399" s="456"/>
      <c r="BI399" s="533">
        <f>-PV([1]i.Finance!$O$63,[1]i.Finance!$O$62,mCFD!BD399)</f>
        <v>10118334.07987882</v>
      </c>
      <c r="BJ399" s="533">
        <f t="shared" si="248"/>
        <v>96403921.274244532</v>
      </c>
      <c r="BK399" s="533">
        <f>PV([1]i.Finance!$O$63,[1]i.Finance!$O$62,-BE399)</f>
        <v>0</v>
      </c>
      <c r="BL399" s="533">
        <f>BK399*[1]i.Finance!$O$70</f>
        <v>0</v>
      </c>
      <c r="BP399" s="533">
        <f t="shared" si="249"/>
        <v>0</v>
      </c>
      <c r="BQ399" s="533">
        <f t="shared" si="250"/>
        <v>0</v>
      </c>
      <c r="BS399" s="533">
        <f t="shared" si="240"/>
        <v>0</v>
      </c>
      <c r="BT399" s="533" t="e">
        <f t="shared" si="241"/>
        <v>#NAME?</v>
      </c>
      <c r="BU399" s="456"/>
    </row>
    <row r="400" spans="7:73" ht="13">
      <c r="G400" s="542">
        <f t="shared" si="242"/>
        <v>28</v>
      </c>
      <c r="I400" s="542">
        <f>[1]mProject!L402</f>
        <v>2047</v>
      </c>
      <c r="K400" s="533">
        <f t="shared" si="230"/>
        <v>0</v>
      </c>
      <c r="L400" s="533"/>
      <c r="M400" s="533">
        <f t="shared" si="231"/>
        <v>295000</v>
      </c>
      <c r="N400" s="533">
        <f t="shared" si="232"/>
        <v>0</v>
      </c>
      <c r="O400" s="533">
        <f t="shared" si="243"/>
        <v>280250000</v>
      </c>
      <c r="P400" s="533">
        <f t="shared" si="233"/>
        <v>492288.66911471525</v>
      </c>
      <c r="Q400" s="533">
        <f t="shared" si="234"/>
        <v>0</v>
      </c>
      <c r="R400" s="533">
        <f t="shared" si="244"/>
        <v>296355280.38883036</v>
      </c>
      <c r="AH400" s="533">
        <f t="shared" si="245"/>
        <v>0</v>
      </c>
      <c r="AI400" s="533">
        <f t="shared" si="246"/>
        <v>950</v>
      </c>
      <c r="AK400" s="533">
        <f t="shared" si="235"/>
        <v>0</v>
      </c>
      <c r="AM400" s="533">
        <f t="shared" si="236"/>
        <v>0</v>
      </c>
      <c r="AO400" s="614"/>
      <c r="AP400" s="614"/>
      <c r="AQ400" s="485"/>
      <c r="AR400" s="533">
        <f t="shared" si="251"/>
        <v>950</v>
      </c>
      <c r="AS400" s="533">
        <f t="shared" si="237"/>
        <v>0</v>
      </c>
      <c r="AT400" s="533">
        <f t="shared" si="252"/>
        <v>0</v>
      </c>
      <c r="AU400" s="533">
        <f t="shared" si="247"/>
        <v>296355280.38883036</v>
      </c>
      <c r="AY400" s="613"/>
      <c r="AZ400" s="533">
        <f t="shared" si="238"/>
        <v>0</v>
      </c>
      <c r="BA400" s="533">
        <f t="shared" si="238"/>
        <v>0</v>
      </c>
      <c r="BB400" s="533">
        <f t="shared" si="253"/>
        <v>17781316.823329829</v>
      </c>
      <c r="BD400" s="533">
        <f>BB400/100*[1]i.Finance!$O$61*[1]i.Finance!$O$64</f>
        <v>717920.66674194182</v>
      </c>
      <c r="BE400" s="533">
        <f t="shared" si="254"/>
        <v>0</v>
      </c>
      <c r="BF400" s="533">
        <f t="shared" si="254"/>
        <v>0</v>
      </c>
      <c r="BG400" s="533">
        <f t="shared" si="254"/>
        <v>717920.66674194194</v>
      </c>
      <c r="BH400" s="456"/>
      <c r="BI400" s="533">
        <f>-PV([1]i.Finance!$O$63,[1]i.Finance!$O$62,mCFD!BD400)</f>
        <v>10118334.07987882</v>
      </c>
      <c r="BJ400" s="533">
        <f t="shared" si="248"/>
        <v>96403921.274244532</v>
      </c>
      <c r="BK400" s="533">
        <f>PV([1]i.Finance!$O$63,[1]i.Finance!$O$62,-BE400)</f>
        <v>0</v>
      </c>
      <c r="BL400" s="533">
        <f>BK400*[1]i.Finance!$O$70</f>
        <v>0</v>
      </c>
      <c r="BP400" s="533">
        <f t="shared" si="249"/>
        <v>0</v>
      </c>
      <c r="BQ400" s="533">
        <f t="shared" si="250"/>
        <v>0</v>
      </c>
      <c r="BS400" s="533">
        <f t="shared" si="240"/>
        <v>0</v>
      </c>
      <c r="BT400" s="533" t="e">
        <f t="shared" si="241"/>
        <v>#NAME?</v>
      </c>
      <c r="BU400" s="456"/>
    </row>
    <row r="401" spans="7:73" ht="13">
      <c r="G401" s="542">
        <f t="shared" si="242"/>
        <v>29</v>
      </c>
      <c r="I401" s="542">
        <f>[1]mProject!L403</f>
        <v>2048</v>
      </c>
      <c r="K401" s="533">
        <f t="shared" si="230"/>
        <v>0</v>
      </c>
      <c r="L401" s="533"/>
      <c r="M401" s="533">
        <f t="shared" si="231"/>
        <v>295000</v>
      </c>
      <c r="N401" s="533">
        <f t="shared" si="232"/>
        <v>0</v>
      </c>
      <c r="O401" s="533">
        <f t="shared" si="243"/>
        <v>280250000</v>
      </c>
      <c r="P401" s="533">
        <f t="shared" si="233"/>
        <v>502225.19871009974</v>
      </c>
      <c r="Q401" s="533">
        <f t="shared" si="234"/>
        <v>0</v>
      </c>
      <c r="R401" s="533">
        <f t="shared" si="244"/>
        <v>296355280.38883036</v>
      </c>
      <c r="AH401" s="533">
        <f t="shared" si="245"/>
        <v>0</v>
      </c>
      <c r="AI401" s="533">
        <f t="shared" si="246"/>
        <v>950</v>
      </c>
      <c r="AK401" s="533">
        <f t="shared" si="235"/>
        <v>0</v>
      </c>
      <c r="AM401" s="533">
        <f t="shared" si="236"/>
        <v>0</v>
      </c>
      <c r="AO401" s="614"/>
      <c r="AP401" s="614"/>
      <c r="AQ401" s="485"/>
      <c r="AR401" s="533">
        <f t="shared" si="251"/>
        <v>950</v>
      </c>
      <c r="AS401" s="533">
        <f t="shared" si="237"/>
        <v>0</v>
      </c>
      <c r="AT401" s="533">
        <f t="shared" si="252"/>
        <v>0</v>
      </c>
      <c r="AU401" s="533">
        <f t="shared" si="247"/>
        <v>296355280.38883036</v>
      </c>
      <c r="AY401" s="613"/>
      <c r="AZ401" s="533">
        <f t="shared" si="238"/>
        <v>0</v>
      </c>
      <c r="BA401" s="533">
        <f t="shared" si="238"/>
        <v>0</v>
      </c>
      <c r="BB401" s="533">
        <f t="shared" si="253"/>
        <v>17781316.823329829</v>
      </c>
      <c r="BD401" s="533">
        <f>BB401/100*[1]i.Finance!$O$61*[1]i.Finance!$O$64</f>
        <v>717920.66674194182</v>
      </c>
      <c r="BE401" s="533">
        <f t="shared" si="254"/>
        <v>0</v>
      </c>
      <c r="BF401" s="533">
        <f t="shared" si="254"/>
        <v>0</v>
      </c>
      <c r="BG401" s="533">
        <f t="shared" si="254"/>
        <v>717920.66674194194</v>
      </c>
      <c r="BH401" s="456"/>
      <c r="BI401" s="533">
        <f>-PV([1]i.Finance!$O$63,[1]i.Finance!$O$62,mCFD!BD401)</f>
        <v>10118334.07987882</v>
      </c>
      <c r="BJ401" s="533">
        <f t="shared" si="248"/>
        <v>96403921.274244532</v>
      </c>
      <c r="BK401" s="533">
        <f>PV([1]i.Finance!$O$63,[1]i.Finance!$O$62,-BE401)</f>
        <v>0</v>
      </c>
      <c r="BL401" s="533">
        <f>BK401*[1]i.Finance!$O$70</f>
        <v>0</v>
      </c>
      <c r="BP401" s="533">
        <f t="shared" si="249"/>
        <v>0</v>
      </c>
      <c r="BQ401" s="533">
        <f t="shared" si="250"/>
        <v>0</v>
      </c>
      <c r="BS401" s="533">
        <f t="shared" si="240"/>
        <v>0</v>
      </c>
      <c r="BT401" s="533" t="e">
        <f t="shared" si="241"/>
        <v>#NAME?</v>
      </c>
      <c r="BU401" s="456"/>
    </row>
    <row r="402" spans="7:73" ht="13">
      <c r="G402" s="542">
        <f t="shared" si="242"/>
        <v>30</v>
      </c>
      <c r="I402" s="542">
        <f>[1]mProject!L404</f>
        <v>2049</v>
      </c>
      <c r="K402" s="533">
        <f t="shared" si="230"/>
        <v>0</v>
      </c>
      <c r="L402" s="533"/>
      <c r="M402" s="533">
        <f t="shared" si="231"/>
        <v>295000</v>
      </c>
      <c r="N402" s="533">
        <f t="shared" si="232"/>
        <v>0</v>
      </c>
      <c r="O402" s="533">
        <f t="shared" si="243"/>
        <v>280250000</v>
      </c>
      <c r="P402" s="533">
        <f t="shared" si="233"/>
        <v>511934.49463377189</v>
      </c>
      <c r="Q402" s="533">
        <f t="shared" si="234"/>
        <v>0</v>
      </c>
      <c r="R402" s="533">
        <f t="shared" si="244"/>
        <v>296355280.38883036</v>
      </c>
      <c r="AH402" s="533">
        <f t="shared" si="245"/>
        <v>0</v>
      </c>
      <c r="AI402" s="533">
        <f t="shared" si="246"/>
        <v>950</v>
      </c>
      <c r="AK402" s="533">
        <f t="shared" si="235"/>
        <v>0</v>
      </c>
      <c r="AM402" s="533">
        <f t="shared" si="236"/>
        <v>0</v>
      </c>
      <c r="AO402" s="614"/>
      <c r="AP402" s="614"/>
      <c r="AQ402" s="485"/>
      <c r="AR402" s="533">
        <f t="shared" si="251"/>
        <v>950</v>
      </c>
      <c r="AS402" s="533">
        <f t="shared" si="237"/>
        <v>0</v>
      </c>
      <c r="AT402" s="533">
        <f t="shared" si="252"/>
        <v>0</v>
      </c>
      <c r="AU402" s="533">
        <f t="shared" si="247"/>
        <v>296355280.38883036</v>
      </c>
      <c r="AY402" s="613"/>
      <c r="AZ402" s="533">
        <f t="shared" si="238"/>
        <v>0</v>
      </c>
      <c r="BA402" s="533">
        <f t="shared" si="238"/>
        <v>0</v>
      </c>
      <c r="BB402" s="533">
        <f t="shared" si="253"/>
        <v>17781316.823329829</v>
      </c>
      <c r="BD402" s="533">
        <f>BB402/100*[1]i.Finance!$O$61*[1]i.Finance!$O$64</f>
        <v>717920.66674194182</v>
      </c>
      <c r="BE402" s="533">
        <f t="shared" si="254"/>
        <v>0</v>
      </c>
      <c r="BF402" s="533">
        <f t="shared" si="254"/>
        <v>0</v>
      </c>
      <c r="BG402" s="533">
        <f t="shared" si="254"/>
        <v>658093.94451344677</v>
      </c>
      <c r="BH402" s="456"/>
      <c r="BI402" s="533">
        <f>-PV([1]i.Finance!$O$63,[1]i.Finance!$O$62,mCFD!BD402)</f>
        <v>10118334.07987882</v>
      </c>
      <c r="BJ402" s="533">
        <f t="shared" si="248"/>
        <v>88370261.168057486</v>
      </c>
      <c r="BK402" s="533">
        <f>PV([1]i.Finance!$O$63,[1]i.Finance!$O$62,-BE402)</f>
        <v>0</v>
      </c>
      <c r="BL402" s="533">
        <f>BK402*[1]i.Finance!$O$70</f>
        <v>0</v>
      </c>
      <c r="BP402" s="533">
        <f t="shared" si="249"/>
        <v>0</v>
      </c>
      <c r="BQ402" s="533">
        <f t="shared" si="250"/>
        <v>0</v>
      </c>
      <c r="BS402" s="533">
        <f t="shared" si="240"/>
        <v>0</v>
      </c>
      <c r="BT402" s="533" t="e">
        <f t="shared" si="241"/>
        <v>#NAME?</v>
      </c>
      <c r="BU402" s="456"/>
    </row>
    <row r="403" spans="7:73" ht="13">
      <c r="I403" s="615"/>
      <c r="J403" s="616"/>
      <c r="K403" s="615">
        <f>SUM(K373:K402)</f>
        <v>950</v>
      </c>
      <c r="L403" s="615"/>
      <c r="M403" s="615"/>
      <c r="N403" s="615">
        <f>SUM(N373:N402)</f>
        <v>280250000</v>
      </c>
      <c r="O403" s="615"/>
      <c r="P403" s="615"/>
      <c r="Q403" s="615">
        <f>SUM(Q373:Q402)</f>
        <v>296355280.38883036</v>
      </c>
      <c r="R403" s="615"/>
      <c r="S403" s="616"/>
      <c r="T403" s="616"/>
      <c r="U403" s="616"/>
      <c r="V403" s="616"/>
      <c r="W403" s="616"/>
      <c r="X403" s="616"/>
      <c r="Y403" s="616"/>
      <c r="Z403" s="616"/>
      <c r="AA403" s="616"/>
      <c r="AB403" s="616"/>
      <c r="AC403" s="616"/>
      <c r="AD403" s="616"/>
      <c r="AE403" s="616"/>
      <c r="AF403" s="616"/>
      <c r="AG403" s="616"/>
      <c r="AH403" s="615">
        <f>SUM(AH373:AH402)</f>
        <v>950</v>
      </c>
      <c r="AI403" s="615">
        <f>SUM(AI373:AI402)</f>
        <v>24511</v>
      </c>
      <c r="AJ403" s="616"/>
      <c r="AK403" s="615"/>
      <c r="AL403" s="616"/>
      <c r="AM403" s="615">
        <f>SUM(AM373:AM402)</f>
        <v>296355280.38883036</v>
      </c>
      <c r="AN403" s="616"/>
      <c r="AO403" s="617"/>
      <c r="AP403" s="617"/>
      <c r="AQ403" s="618"/>
      <c r="AR403" s="615"/>
      <c r="AS403" s="615">
        <f>SUM(AS373:AS402)</f>
        <v>280250000</v>
      </c>
      <c r="AT403" s="615"/>
      <c r="AU403" s="615"/>
      <c r="AV403" s="616"/>
      <c r="AW403" s="619"/>
      <c r="AX403" s="616"/>
      <c r="AY403" s="620"/>
      <c r="AZ403" s="615">
        <f>SUM(AZ373:AZ402)</f>
        <v>17781316.823329829</v>
      </c>
      <c r="BA403" s="615">
        <f>SUM(BA373:BA402)</f>
        <v>0</v>
      </c>
      <c r="BB403" s="615"/>
      <c r="BC403" s="616"/>
      <c r="BD403" s="615"/>
      <c r="BE403" s="615">
        <f>SUM(BE373:BE402)</f>
        <v>717920.66674194159</v>
      </c>
      <c r="BF403" s="615">
        <f>SUM(BF373:BF402)</f>
        <v>53343.950469989468</v>
      </c>
      <c r="BG403" s="615">
        <f>SUM(BG373:BG402)</f>
        <v>18185956.609879408</v>
      </c>
      <c r="BH403" s="621"/>
      <c r="BI403" s="615">
        <f>BE403/100*[1]i.Finance!$O$61*[1]i.Finance!$O$64</f>
        <v>28986.046919705892</v>
      </c>
      <c r="BJ403" s="615">
        <f>SUM(BJ373:BJ402)</f>
        <v>2442049115.6383328</v>
      </c>
      <c r="BK403" s="615">
        <f>SUM(BK373:BK402)</f>
        <v>10118334.079878818</v>
      </c>
      <c r="BL403" s="615">
        <f>SUM(BL373:BL402)</f>
        <v>9511234.0350860879</v>
      </c>
      <c r="BP403" s="615">
        <f>SUM(BP373:BP402)</f>
        <v>0</v>
      </c>
      <c r="BQ403" s="615">
        <f>SUM(BQ373:BQ402)</f>
        <v>0</v>
      </c>
      <c r="BR403" s="616"/>
      <c r="BS403" s="615"/>
      <c r="BT403" s="615" t="e">
        <f>SUM(BT373:BT402)</f>
        <v>#NAME?</v>
      </c>
      <c r="BU403" s="456"/>
    </row>
  </sheetData>
  <mergeCells count="10">
    <mergeCell ref="AS4:AU4"/>
    <mergeCell ref="AO5:AQ5"/>
    <mergeCell ref="AO3:AQ3"/>
    <mergeCell ref="V4:W4"/>
    <mergeCell ref="X4:Y4"/>
    <mergeCell ref="AC4:AD4"/>
    <mergeCell ref="AE4:AF4"/>
    <mergeCell ref="AJ4:AK4"/>
    <mergeCell ref="AL4:AM4"/>
    <mergeCell ref="AO4:AQ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446E-7A25-4B59-977D-18B3EB79F05A}">
  <sheetPr codeName="Sheet5">
    <tabColor rgb="FF7030A0"/>
  </sheetPr>
  <dimension ref="A1:Z34"/>
  <sheetViews>
    <sheetView showGridLines="0" tabSelected="1" workbookViewId="0">
      <selection activeCell="AI11" sqref="AI11"/>
    </sheetView>
  </sheetViews>
  <sheetFormatPr baseColWidth="10" defaultColWidth="8.83203125" defaultRowHeight="14"/>
  <cols>
    <col min="1" max="2" width="5" customWidth="1"/>
    <col min="3" max="15" width="7.5" customWidth="1"/>
    <col min="16" max="21" width="5" customWidth="1"/>
    <col min="22" max="23" width="8" customWidth="1"/>
  </cols>
  <sheetData>
    <row r="1" spans="1:26" ht="30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30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 customHeight="1">
      <c r="A3" s="12"/>
      <c r="B3" s="12"/>
      <c r="C3" s="12"/>
      <c r="D3" s="12"/>
      <c r="F3" s="12"/>
      <c r="G3" s="12"/>
      <c r="H3" s="12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0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3.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3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3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3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3.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3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0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0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0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0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0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0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0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0" customHeight="1"/>
    <row r="22" spans="1:26" ht="30" customHeight="1"/>
    <row r="23" spans="1:26" ht="30" customHeight="1"/>
    <row r="24" spans="1:26" ht="30" customHeight="1"/>
    <row r="25" spans="1:26" ht="30" customHeight="1"/>
    <row r="26" spans="1:26" ht="30" customHeight="1"/>
    <row r="27" spans="1:26" ht="30" customHeight="1"/>
    <row r="28" spans="1:26" ht="30" customHeight="1"/>
    <row r="29" spans="1:26" ht="30" customHeight="1"/>
    <row r="30" spans="1:26" ht="30" customHeight="1"/>
    <row r="31" spans="1:26" ht="30" customHeight="1"/>
    <row r="32" spans="1:26" ht="30" customHeight="1"/>
    <row r="33" ht="30" customHeight="1"/>
    <row r="34" ht="30" customHeight="1"/>
  </sheetData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36</vt:i4>
      </vt:variant>
    </vt:vector>
  </HeadingPairs>
  <TitlesOfParts>
    <vt:vector size="50" baseType="lpstr">
      <vt:lpstr>Dashboard</vt:lpstr>
      <vt:lpstr>iGeneral</vt:lpstr>
      <vt:lpstr>iLandAcquisition</vt:lpstr>
      <vt:lpstr>iMPC</vt:lpstr>
      <vt:lpstr>iV1</vt:lpstr>
      <vt:lpstr>V2</vt:lpstr>
      <vt:lpstr>V3</vt:lpstr>
      <vt:lpstr>V4</vt:lpstr>
      <vt:lpstr>Budget</vt:lpstr>
      <vt:lpstr>CALCS</vt:lpstr>
      <vt:lpstr>DATA</vt:lpstr>
      <vt:lpstr>i.Finance</vt:lpstr>
      <vt:lpstr>mCFD</vt:lpstr>
      <vt:lpstr>&gt;Interface</vt:lpstr>
      <vt:lpstr>cv_CFD.CumeDebtSrvc.Annual</vt:lpstr>
      <vt:lpstr>dvl_DevCostCat</vt:lpstr>
      <vt:lpstr>i_CFD.AV.Inflation</vt:lpstr>
      <vt:lpstr>i_CFD.CommeAssesRatio</vt:lpstr>
      <vt:lpstr>i_CFD.FullCashRatio</vt:lpstr>
      <vt:lpstr>i_CFD.LimValRatio</vt:lpstr>
      <vt:lpstr>i_CFD.ObliRate</vt:lpstr>
      <vt:lpstr>i_CFD.ResiAssesRatio</vt:lpstr>
      <vt:lpstr>i_CFD.SA.COI</vt:lpstr>
      <vt:lpstr>i_CFD.SA.IntRate</vt:lpstr>
      <vt:lpstr>i_CFD.SA.Max</vt:lpstr>
      <vt:lpstr>i_CFD.SA.ResFund</vt:lpstr>
      <vt:lpstr>i_CFD.SA.TermYrs</vt:lpstr>
      <vt:lpstr>i_CFD.SA.UnderFee</vt:lpstr>
      <vt:lpstr>i_CFD.SA.YrsCapInt</vt:lpstr>
      <vt:lpstr>i_CFD.TaxRoll1</vt:lpstr>
      <vt:lpstr>i_CFD.TaxRoll2</vt:lpstr>
      <vt:lpstr>i_CFD.TaxRoll3</vt:lpstr>
      <vt:lpstr>i_Cost.Closing</vt:lpstr>
      <vt:lpstr>i_Cost.Commissions</vt:lpstr>
      <vt:lpstr>i_Cost.Legal</vt:lpstr>
      <vt:lpstr>i_Cost.Other</vt:lpstr>
      <vt:lpstr>i_Cost.Subd</vt:lpstr>
      <vt:lpstr>i_Date.Start</vt:lpstr>
      <vt:lpstr>i_Fee.Dispo</vt:lpstr>
      <vt:lpstr>i_HomeSale.MonthsOffset</vt:lpstr>
      <vt:lpstr>i_HousePrice</vt:lpstr>
      <vt:lpstr>i_HousePrice.Start</vt:lpstr>
      <vt:lpstr>i_Name.Project</vt:lpstr>
      <vt:lpstr>i_Price.FinLot</vt:lpstr>
      <vt:lpstr>i_Velocity.HomeSales</vt:lpstr>
      <vt:lpstr>Dashboard!lst_LotProducts</vt:lpstr>
      <vt:lpstr>lst_LotProducts</vt:lpstr>
      <vt:lpstr>lst_LUcodes</vt:lpstr>
      <vt:lpstr>Dashboard!lst_ProductDUA</vt:lpstr>
      <vt:lpstr>lst_ProductDUA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Layouts for land dev application</dc:title>
  <dc:creator>Gregg Wolin</dc:creator>
  <cp:lastModifiedBy>Gregg Wolin</cp:lastModifiedBy>
  <dcterms:created xsi:type="dcterms:W3CDTF">2022-03-17T21:59:27Z</dcterms:created>
  <dcterms:modified xsi:type="dcterms:W3CDTF">2025-08-15T21:36:52Z</dcterms:modified>
</cp:coreProperties>
</file>