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5Models/2Excel/Model Templates and Parts/"/>
    </mc:Choice>
  </mc:AlternateContent>
  <xr:revisionPtr revIDLastSave="1201" documentId="13_ncr:1_{8E3B6B2D-FB89-4A52-B3D0-F538C042B1BA}" xr6:coauthVersionLast="47" xr6:coauthVersionMax="47" xr10:uidLastSave="{8C7A3D07-3DA8-5D41-879D-29D268B544E2}"/>
  <bookViews>
    <workbookView xWindow="3780" yWindow="2280" windowWidth="31680" windowHeight="22800" tabRatio="850" xr2:uid="{00000000-000D-0000-FFFF-FFFF00000000}"/>
  </bookViews>
  <sheets>
    <sheet name="Inputs" sheetId="74" r:id="rId1"/>
    <sheet name="R_Inputs" sheetId="77" state="hidden" r:id="rId2"/>
    <sheet name="M_Onedeal" sheetId="75" r:id="rId3"/>
    <sheet name="R_Onedeal" sheetId="82" r:id="rId4"/>
    <sheet name="R_MultDeal" sheetId="84" r:id="rId5"/>
    <sheet name="R_SingleFund" sheetId="85" r:id="rId6"/>
    <sheet name="M_MultDeal" sheetId="80" state="hidden" r:id="rId7"/>
    <sheet name="M_Singlefund" sheetId="88" state="hidden" r:id="rId8"/>
  </sheets>
  <definedNames>
    <definedName name="_Order1" hidden="1">255</definedName>
    <definedName name="_Order2" hidden="1">255</definedName>
    <definedName name="array_lotfactor">M_MultDeal!$E$10:$E$117</definedName>
    <definedName name="c_equity_init">Inputs!$E$168</definedName>
    <definedName name="c_equity_perlot">Inputs!$E$169</definedName>
    <definedName name="c_equity_tot">Inputs!$E$167</definedName>
    <definedName name="c_hurdle1_hnw">Inputs!$E$224</definedName>
    <definedName name="c_hurdle1_inst">Inputs!$E$218</definedName>
    <definedName name="c_hurdle2_hnw">Inputs!$E$225</definedName>
    <definedName name="c_hurdle2_inst">Inputs!$E$219</definedName>
    <definedName name="c_improvecosts">Inputs!$E$155</definedName>
    <definedName name="c_improvemonth">Inputs!$E$157</definedName>
    <definedName name="c_initialseniordebt">Inputs!$E$163</definedName>
    <definedName name="c_invsplit1_hnw">Inputs!$E$226</definedName>
    <definedName name="c_invsplit1_inst">Inputs!$E$220</definedName>
    <definedName name="c_invsplit2_hnw">Inputs!$E$227</definedName>
    <definedName name="c_invsplit2_inst">Inputs!$E$221</definedName>
    <definedName name="c_invsplit3_hnw">Inputs!$E$228</definedName>
    <definedName name="c_invsplit3_inst">Inputs!$E$222</definedName>
    <definedName name="c_lastsalemonth">Inputs!$E$158</definedName>
    <definedName name="c_lotfactor">Inputs!$E$216</definedName>
    <definedName name="c_lotyears">Inputs!$E$214</definedName>
    <definedName name="c_maxlots">Inputs!$E$170</definedName>
    <definedName name="c_maxterm">Inputs!$E$159</definedName>
    <definedName name="c_monthfactor">Inputs!$E$216</definedName>
    <definedName name="c_offset">Inputs!$E$215</definedName>
    <definedName name="c_optionpmt">Inputs!$E$160</definedName>
    <definedName name="c_releaseprice">Inputs!$E$165</definedName>
    <definedName name="c_seniordebt">Inputs!$E$162</definedName>
    <definedName name="c_seniorfee">Inputs!$E$164</definedName>
    <definedName name="c_seniorintreserve">M_Onedeal!$W$77</definedName>
    <definedName name="c_totalcosts">Inputs!$E$156</definedName>
    <definedName name="c_toteqinfusion">M_MultDeal!$BF$118</definedName>
    <definedName name="cfs_from">M_MultDeal!$L$9:$AJ$117</definedName>
    <definedName name="cfs_to">M_MultDeal!$AL$9:$BJ$117</definedName>
    <definedName name="col_income" localSheetId="1">R_Inputs!$F$1:$N$1</definedName>
    <definedName name="col_income" localSheetId="4">R_MultDeal!#REF!</definedName>
    <definedName name="col_income" localSheetId="5">R_SingleFund!#REF!</definedName>
    <definedName name="funds_to">M_Singlefund!$G$8:$G$116</definedName>
    <definedName name="i_amfee">Inputs!$E$191</definedName>
    <definedName name="i_company">Inputs!$E$5</definedName>
    <definedName name="i_costvector">Inputs!$E$17:$E$34</definedName>
    <definedName name="i_equity">Inputs!$E$168</definedName>
    <definedName name="i_gpdiscrate">Inputs!$E$209</definedName>
    <definedName name="i_gpmgtfee">Inputs!$E$148</definedName>
    <definedName name="i_gpmgtfeepcta">Inputs!$E$149</definedName>
    <definedName name="i_gpmgtfeepctb">Inputs!$E$150</definedName>
    <definedName name="i_gpnamea">Inputs!$E$146</definedName>
    <definedName name="i_gpnameb">Inputs!$E$147</definedName>
    <definedName name="i_gppromotepcta">Inputs!$E$207</definedName>
    <definedName name="i_gppromotepctb">Inputs!$E$208</definedName>
    <definedName name="i_hurdle1_hnw">Inputs!$E$201</definedName>
    <definedName name="i_hurdle1_inst">Inputs!$E$194</definedName>
    <definedName name="i_hurdle2_hnw">Inputs!$E$202</definedName>
    <definedName name="i_hurdle2_inst">Inputs!$E$195</definedName>
    <definedName name="i_institutional">Inputs!$I$193</definedName>
    <definedName name="i_landcost">Inputs!$E$8</definedName>
    <definedName name="i_lotimprovecost">Inputs!$E$10</definedName>
    <definedName name="i_lotsalesprice">Inputs!$E$11</definedName>
    <definedName name="i_lotstotal">Inputs!$E$9</definedName>
    <definedName name="i_maxequity">Inputs!$E$188</definedName>
    <definedName name="i_maxoptionpct">Inputs!$E$13</definedName>
    <definedName name="i_optionpct">Inputs!$E$12</definedName>
    <definedName name="i_optionrefund">Inputs!$E$85:$E$132</definedName>
    <definedName name="i_othercosts">Inputs!$E$14</definedName>
    <definedName name="i_partner">Inputs!$H$10</definedName>
    <definedName name="i_pctequity_hnw">Inputs!$E$200</definedName>
    <definedName name="i_pctequity_inst">Inputs!$E$193</definedName>
    <definedName name="i_prime">Inputs!$E$138</definedName>
    <definedName name="i_primecap">Inputs!$E$141</definedName>
    <definedName name="i_primeincrease">Inputs!$E$140</definedName>
    <definedName name="i_primespread">Inputs!$E$139</definedName>
    <definedName name="i_promotecatchup">Inputs!$E$190</definedName>
    <definedName name="i_releaseprice">Inputs!$E$143</definedName>
    <definedName name="i_scendesc">Inputs!$E$6</definedName>
    <definedName name="i_senior360">Inputs!$E$142</definedName>
    <definedName name="i_seniordrawovertime">Inputs!$E$137</definedName>
    <definedName name="i_seniorfee">Inputs!$E$136</definedName>
    <definedName name="i_seniorintreserve">Inputs!$E$144</definedName>
    <definedName name="i_seniorpct">Inputs!$E$135</definedName>
    <definedName name="i_soldvector">Inputs!$E$36:$E$83</definedName>
    <definedName name="i_split1_hnw">Inputs!$E$203</definedName>
    <definedName name="i_split1_inst">Inputs!$E$196</definedName>
    <definedName name="i_split2_hnw">Inputs!$E$204</definedName>
    <definedName name="i_split2_inst">Inputs!$E$197</definedName>
    <definedName name="i_split3_hnw">Inputs!$E$205</definedName>
    <definedName name="i_split3_inst">Inputs!$E$198</definedName>
    <definedName name="i_transfee">Inputs!$E$15</definedName>
    <definedName name="p_lotspermonth">#REF!</definedName>
    <definedName name="p_lotsperyear">Inputs!$E$183:$E$186</definedName>
    <definedName name="_xlnm.Print_Area" localSheetId="0">Inputs!$C$3:$J$150</definedName>
    <definedName name="_xlnm.Print_Area" localSheetId="2">M_Onedeal!$D$8:$AS$76</definedName>
    <definedName name="_xlnm.Print_Area" localSheetId="1">R_Inputs!$D$2:$N$56</definedName>
    <definedName name="_xlnm.Print_Area" localSheetId="4">R_MultDeal!$B$5:$M$42</definedName>
    <definedName name="_xlnm.Print_Area" localSheetId="3">R_Onedeal!$C$5:$K$40</definedName>
    <definedName name="_xlnm.Print_Area" localSheetId="5">R_SingleFund!$B$5:$N$47</definedName>
    <definedName name="_xlnm.Print_Titles" localSheetId="6">M_MultDeal!$G:$J,M_MultDeal!$6:$8</definedName>
    <definedName name="_xlnm.Print_Titles" localSheetId="2">M_Onedeal!$B:$C,M_Onedeal!$6:$7</definedName>
    <definedName name="_xlnm.Print_Titles" localSheetId="4">R_MultDeal!$1:$4</definedName>
    <definedName name="_xlnm.Print_Titles" localSheetId="3">R_Onedeal!$2:$4</definedName>
    <definedName name="_xlnm.Print_Titles" localSheetId="5">R_SingleFund!$1:$4</definedName>
  </definedName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3" i="82" l="1"/>
  <c r="D196" i="74" l="1"/>
  <c r="D197" i="74"/>
  <c r="D198" i="74"/>
  <c r="D203" i="74"/>
  <c r="D204" i="74"/>
  <c r="D205" i="74"/>
  <c r="D207" i="74"/>
  <c r="D208" i="74"/>
  <c r="E218" i="74"/>
  <c r="E219" i="74"/>
  <c r="E220" i="74"/>
  <c r="E221" i="74"/>
  <c r="E222" i="74"/>
  <c r="E224" i="74"/>
  <c r="E225" i="74"/>
  <c r="E226" i="74"/>
  <c r="E227" i="74"/>
  <c r="E228" i="74"/>
  <c r="E173" i="74"/>
  <c r="D173" i="74"/>
  <c r="AL13" i="82"/>
  <c r="AM11" i="82"/>
  <c r="AM13" i="82"/>
  <c r="AH13" i="82"/>
  <c r="AM14" i="82"/>
  <c r="AN14" i="82"/>
  <c r="AM15" i="82"/>
  <c r="AN15" i="82"/>
  <c r="AM16" i="82"/>
  <c r="AN16" i="82"/>
  <c r="AM17" i="82"/>
  <c r="AN17" i="82"/>
  <c r="AM18" i="82"/>
  <c r="AN18" i="82"/>
  <c r="AM19" i="82"/>
  <c r="AN19" i="82"/>
  <c r="AM20" i="82"/>
  <c r="AN20" i="82"/>
  <c r="AM21" i="82"/>
  <c r="AN21" i="82"/>
  <c r="AM22" i="82"/>
  <c r="AN22" i="82"/>
  <c r="AM23" i="82"/>
  <c r="AN23" i="82"/>
  <c r="AM24" i="82"/>
  <c r="AN24" i="82"/>
  <c r="AM25" i="82"/>
  <c r="AN25" i="82"/>
  <c r="AM26" i="82"/>
  <c r="AN26" i="82"/>
  <c r="AM27" i="82"/>
  <c r="AN27" i="82"/>
  <c r="AM28" i="82"/>
  <c r="AN28" i="82"/>
  <c r="AM29" i="82"/>
  <c r="AN29" i="82"/>
  <c r="AM30" i="82"/>
  <c r="AN30" i="82"/>
  <c r="AM31" i="82"/>
  <c r="AN31" i="82"/>
  <c r="AM32" i="82"/>
  <c r="AN32" i="82"/>
  <c r="AM33" i="82"/>
  <c r="AN33" i="82"/>
  <c r="AM34" i="82"/>
  <c r="AN34" i="82"/>
  <c r="AM35" i="82"/>
  <c r="AN35" i="82"/>
  <c r="AM36" i="82"/>
  <c r="AN36" i="82"/>
  <c r="AM37" i="82"/>
  <c r="AN37" i="82"/>
  <c r="AM38" i="82"/>
  <c r="AN38" i="82"/>
  <c r="AM39" i="82"/>
  <c r="AN39" i="82"/>
  <c r="AM40" i="82"/>
  <c r="AN40" i="82"/>
  <c r="AM41" i="82"/>
  <c r="AN41" i="82"/>
  <c r="AM42" i="82"/>
  <c r="AN42" i="82"/>
  <c r="AM43" i="82"/>
  <c r="AN43" i="82"/>
  <c r="AM44" i="82"/>
  <c r="AN44" i="82"/>
  <c r="AM45" i="82"/>
  <c r="AN45" i="82"/>
  <c r="AM46" i="82"/>
  <c r="AN46" i="82"/>
  <c r="AM47" i="82"/>
  <c r="AN47" i="82"/>
  <c r="AM48" i="82"/>
  <c r="AN48" i="82"/>
  <c r="AM49" i="82"/>
  <c r="AN49" i="82"/>
  <c r="AG50" i="82"/>
  <c r="AH50" i="82"/>
  <c r="AI50" i="82"/>
  <c r="AJ50" i="82"/>
  <c r="AM50" i="82"/>
  <c r="AN50" i="82"/>
  <c r="AF50" i="82"/>
  <c r="AJ8" i="82"/>
  <c r="AF8" i="82"/>
  <c r="AJ7" i="82"/>
  <c r="AF5" i="82"/>
  <c r="V13" i="82"/>
  <c r="AI13" i="82" s="1"/>
  <c r="U13" i="82"/>
  <c r="S13" i="82"/>
  <c r="AF13" i="82" s="1"/>
  <c r="F83" i="74" l="1"/>
  <c r="B54" i="74"/>
  <c r="B55" i="74"/>
  <c r="B56" i="74"/>
  <c r="B57" i="74"/>
  <c r="B58" i="74"/>
  <c r="B59" i="74"/>
  <c r="B60" i="74"/>
  <c r="B61" i="74"/>
  <c r="B62" i="74"/>
  <c r="B63" i="74"/>
  <c r="B64" i="74"/>
  <c r="B65" i="74"/>
  <c r="B66" i="74"/>
  <c r="B67" i="74"/>
  <c r="B68" i="74"/>
  <c r="B69" i="74"/>
  <c r="B70" i="74"/>
  <c r="B71" i="74"/>
  <c r="B72" i="74"/>
  <c r="B73" i="74"/>
  <c r="B74" i="74"/>
  <c r="B75" i="74"/>
  <c r="B76" i="74"/>
  <c r="B77" i="74"/>
  <c r="B78" i="74"/>
  <c r="B79" i="74"/>
  <c r="B80" i="74"/>
  <c r="B81" i="74"/>
  <c r="B82" i="74"/>
  <c r="B83" i="74"/>
  <c r="S8" i="82" l="1"/>
  <c r="S5" i="82"/>
  <c r="E35" i="74" l="1"/>
  <c r="F12" i="74"/>
  <c r="F9" i="74"/>
  <c r="B37" i="74"/>
  <c r="B36" i="74"/>
  <c r="D150" i="74" l="1"/>
  <c r="D149" i="74"/>
  <c r="E160" i="74" l="1"/>
  <c r="AN8" i="75" s="1"/>
  <c r="H116" i="88"/>
  <c r="BJ116" i="88" s="1"/>
  <c r="H115" i="88"/>
  <c r="BJ115" i="88" s="1"/>
  <c r="H114" i="88"/>
  <c r="BJ114" i="88" s="1"/>
  <c r="H113" i="88"/>
  <c r="BH113" i="88" s="1"/>
  <c r="H112" i="88"/>
  <c r="BJ112" i="88" s="1"/>
  <c r="H111" i="88"/>
  <c r="BH111" i="88" s="1"/>
  <c r="H110" i="88"/>
  <c r="BJ110" i="88" s="1"/>
  <c r="H109" i="88"/>
  <c r="BH109" i="88" s="1"/>
  <c r="H108" i="88"/>
  <c r="BH108" i="88" s="1"/>
  <c r="H107" i="88"/>
  <c r="BH107" i="88" s="1"/>
  <c r="H106" i="88"/>
  <c r="BH106" i="88" s="1"/>
  <c r="H105" i="88"/>
  <c r="BH105" i="88" s="1"/>
  <c r="H104" i="88"/>
  <c r="BJ104" i="88" s="1"/>
  <c r="H103" i="88"/>
  <c r="BJ103" i="88" s="1"/>
  <c r="H102" i="88"/>
  <c r="BJ102" i="88" s="1"/>
  <c r="H101" i="88"/>
  <c r="BH101" i="88" s="1"/>
  <c r="H100" i="88"/>
  <c r="BJ100" i="88" s="1"/>
  <c r="H99" i="88"/>
  <c r="BH99" i="88" s="1"/>
  <c r="H98" i="88"/>
  <c r="BJ98" i="88" s="1"/>
  <c r="H97" i="88"/>
  <c r="BJ97" i="88" s="1"/>
  <c r="H96" i="88"/>
  <c r="BJ96" i="88" s="1"/>
  <c r="H95" i="88"/>
  <c r="BH95" i="88" s="1"/>
  <c r="H94" i="88"/>
  <c r="BH94" i="88" s="1"/>
  <c r="H93" i="88"/>
  <c r="BJ93" i="88" s="1"/>
  <c r="H92" i="88"/>
  <c r="BH92" i="88" s="1"/>
  <c r="H91" i="88"/>
  <c r="BH91" i="88" s="1"/>
  <c r="H90" i="88"/>
  <c r="BJ90" i="88" s="1"/>
  <c r="H89" i="88"/>
  <c r="BH89" i="88" s="1"/>
  <c r="H88" i="88"/>
  <c r="BH88" i="88" s="1"/>
  <c r="H87" i="88"/>
  <c r="BJ87" i="88" s="1"/>
  <c r="H86" i="88"/>
  <c r="BJ86" i="88" s="1"/>
  <c r="H85" i="88"/>
  <c r="BJ85" i="88" s="1"/>
  <c r="H84" i="88"/>
  <c r="BJ84" i="88" s="1"/>
  <c r="H83" i="88"/>
  <c r="BH83" i="88" s="1"/>
  <c r="H82" i="88"/>
  <c r="BJ82" i="88" s="1"/>
  <c r="H81" i="88"/>
  <c r="BJ81" i="88" s="1"/>
  <c r="H80" i="88"/>
  <c r="BH80" i="88" s="1"/>
  <c r="H79" i="88"/>
  <c r="BJ79" i="88" s="1"/>
  <c r="H78" i="88"/>
  <c r="BJ78" i="88" s="1"/>
  <c r="H77" i="88"/>
  <c r="BH77" i="88" s="1"/>
  <c r="H76" i="88"/>
  <c r="BJ76" i="88" s="1"/>
  <c r="H75" i="88"/>
  <c r="BJ75" i="88" s="1"/>
  <c r="H74" i="88"/>
  <c r="BH74" i="88" s="1"/>
  <c r="H73" i="88"/>
  <c r="BJ73" i="88" s="1"/>
  <c r="H72" i="88"/>
  <c r="BJ72" i="88" s="1"/>
  <c r="H71" i="88"/>
  <c r="BJ71" i="88" s="1"/>
  <c r="H70" i="88"/>
  <c r="BJ70" i="88" s="1"/>
  <c r="H69" i="88"/>
  <c r="BH69" i="88" s="1"/>
  <c r="H68" i="88"/>
  <c r="BH68" i="88" s="1"/>
  <c r="H67" i="88"/>
  <c r="BH67" i="88" s="1"/>
  <c r="H66" i="88"/>
  <c r="BH66" i="88" s="1"/>
  <c r="H65" i="88"/>
  <c r="BJ65" i="88" s="1"/>
  <c r="H64" i="88"/>
  <c r="BJ64" i="88" s="1"/>
  <c r="H63" i="88"/>
  <c r="BJ63" i="88" s="1"/>
  <c r="H62" i="88"/>
  <c r="BJ62" i="88" s="1"/>
  <c r="H61" i="88"/>
  <c r="BH61" i="88" s="1"/>
  <c r="H60" i="88"/>
  <c r="BH60" i="88" s="1"/>
  <c r="H59" i="88"/>
  <c r="BJ59" i="88" s="1"/>
  <c r="H58" i="88"/>
  <c r="BH58" i="88" s="1"/>
  <c r="H57" i="88"/>
  <c r="BJ57" i="88" s="1"/>
  <c r="H56" i="88"/>
  <c r="BH56" i="88" s="1"/>
  <c r="H55" i="88"/>
  <c r="BH55" i="88" s="1"/>
  <c r="H54" i="88"/>
  <c r="BJ54" i="88" s="1"/>
  <c r="H53" i="88"/>
  <c r="BH53" i="88" s="1"/>
  <c r="H52" i="88"/>
  <c r="BH52" i="88" s="1"/>
  <c r="H51" i="88"/>
  <c r="BJ51" i="88" s="1"/>
  <c r="H50" i="88"/>
  <c r="BJ50" i="88" s="1"/>
  <c r="H49" i="88"/>
  <c r="BJ49" i="88" s="1"/>
  <c r="H48" i="88"/>
  <c r="BH48" i="88" s="1"/>
  <c r="H47" i="88"/>
  <c r="BJ47" i="88" s="1"/>
  <c r="H46" i="88"/>
  <c r="BJ46" i="88" s="1"/>
  <c r="H45" i="88"/>
  <c r="BH45" i="88" s="1"/>
  <c r="H44" i="88"/>
  <c r="BH44" i="88" s="1"/>
  <c r="H43" i="88"/>
  <c r="BJ43" i="88" s="1"/>
  <c r="H42" i="88"/>
  <c r="BJ42" i="88" s="1"/>
  <c r="H41" i="88"/>
  <c r="BJ41" i="88" s="1"/>
  <c r="H40" i="88"/>
  <c r="BJ40" i="88" s="1"/>
  <c r="H39" i="88"/>
  <c r="BH39" i="88" s="1"/>
  <c r="H38" i="88"/>
  <c r="BJ38" i="88" s="1"/>
  <c r="H37" i="88"/>
  <c r="BJ37" i="88" s="1"/>
  <c r="H36" i="88"/>
  <c r="BJ36" i="88" s="1"/>
  <c r="H35" i="88"/>
  <c r="BH35" i="88" s="1"/>
  <c r="H34" i="88"/>
  <c r="BJ34" i="88" s="1"/>
  <c r="H33" i="88"/>
  <c r="BH33" i="88" s="1"/>
  <c r="H32" i="88"/>
  <c r="BH32" i="88" s="1"/>
  <c r="H31" i="88"/>
  <c r="BJ31" i="88" s="1"/>
  <c r="H30" i="88"/>
  <c r="BH30" i="88" s="1"/>
  <c r="H29" i="88"/>
  <c r="BH29" i="88" s="1"/>
  <c r="H28" i="88"/>
  <c r="BH28" i="88" s="1"/>
  <c r="H27" i="88"/>
  <c r="BH27" i="88" s="1"/>
  <c r="H26" i="88"/>
  <c r="BH26" i="88" s="1"/>
  <c r="H25" i="88"/>
  <c r="BH25" i="88" s="1"/>
  <c r="H24" i="88"/>
  <c r="BJ24" i="88" s="1"/>
  <c r="H23" i="88"/>
  <c r="BH23" i="88" s="1"/>
  <c r="H22" i="88"/>
  <c r="H21" i="88"/>
  <c r="BJ21" i="88" s="1"/>
  <c r="H20" i="88"/>
  <c r="BJ20" i="88" s="1"/>
  <c r="H19" i="88"/>
  <c r="BJ19" i="88" s="1"/>
  <c r="H18" i="88"/>
  <c r="BJ18" i="88" s="1"/>
  <c r="H17" i="88"/>
  <c r="BJ17" i="88" s="1"/>
  <c r="H16" i="88"/>
  <c r="BJ16" i="88" s="1"/>
  <c r="H15" i="88"/>
  <c r="BJ15" i="88" s="1"/>
  <c r="H14" i="88"/>
  <c r="BH14" i="88" s="1"/>
  <c r="H13" i="88"/>
  <c r="BJ13" i="88" s="1"/>
  <c r="H12" i="88"/>
  <c r="BJ12" i="88" s="1"/>
  <c r="H11" i="88"/>
  <c r="BJ11" i="88" s="1"/>
  <c r="H10" i="88"/>
  <c r="BH10" i="88" s="1"/>
  <c r="H9" i="88"/>
  <c r="BH9" i="88" s="1"/>
  <c r="G10" i="80"/>
  <c r="G11" i="80" s="1"/>
  <c r="G12" i="80" s="1"/>
  <c r="G13" i="80" s="1"/>
  <c r="G14" i="80"/>
  <c r="H10" i="80"/>
  <c r="B10" i="80"/>
  <c r="E155" i="74"/>
  <c r="E174" i="74" s="1"/>
  <c r="C10" i="80"/>
  <c r="B9" i="75"/>
  <c r="F9" i="75"/>
  <c r="B10" i="75"/>
  <c r="I13" i="80"/>
  <c r="J13" i="80"/>
  <c r="I12" i="80"/>
  <c r="J12" i="80"/>
  <c r="I11" i="80"/>
  <c r="J11" i="80"/>
  <c r="I10" i="80"/>
  <c r="J10" i="80"/>
  <c r="O9" i="80"/>
  <c r="H11" i="80"/>
  <c r="H12" i="80"/>
  <c r="H13" i="80"/>
  <c r="H121" i="80"/>
  <c r="H122" i="80"/>
  <c r="AO118" i="80"/>
  <c r="C72" i="75"/>
  <c r="C73" i="75" s="1"/>
  <c r="C74" i="75"/>
  <c r="C9" i="75"/>
  <c r="C10" i="75"/>
  <c r="B9" i="88"/>
  <c r="G9" i="88"/>
  <c r="B10" i="88"/>
  <c r="C9" i="88"/>
  <c r="C120" i="88"/>
  <c r="C121" i="88" s="1"/>
  <c r="C122" i="88" s="1"/>
  <c r="C123" i="88" s="1"/>
  <c r="C124" i="88" s="1"/>
  <c r="C125" i="88" s="1"/>
  <c r="C126" i="88" s="1"/>
  <c r="C127" i="88" s="1"/>
  <c r="D4" i="85"/>
  <c r="E4" i="85"/>
  <c r="E8" i="75"/>
  <c r="I8" i="75" s="1"/>
  <c r="E9" i="75" s="1"/>
  <c r="T9" i="75"/>
  <c r="U9" i="75" s="1"/>
  <c r="V9" i="75" s="1"/>
  <c r="T10" i="75"/>
  <c r="U10" i="75" s="1"/>
  <c r="V10" i="75" s="1"/>
  <c r="F4" i="82"/>
  <c r="G4" i="82" s="1"/>
  <c r="D4" i="84"/>
  <c r="E4" i="84"/>
  <c r="BA122" i="80"/>
  <c r="BA121" i="80"/>
  <c r="D28" i="84" s="1"/>
  <c r="AN122" i="80"/>
  <c r="AN121" i="80"/>
  <c r="D8" i="84" s="1"/>
  <c r="AL122" i="80"/>
  <c r="AL121" i="80"/>
  <c r="D6" i="84" s="1"/>
  <c r="T105" i="88"/>
  <c r="L9" i="88"/>
  <c r="X9" i="88"/>
  <c r="Z9" i="88" s="1"/>
  <c r="V9" i="88"/>
  <c r="T10" i="88"/>
  <c r="T11" i="88"/>
  <c r="T12" i="88"/>
  <c r="T13" i="88"/>
  <c r="T14" i="88"/>
  <c r="T15" i="88"/>
  <c r="T16" i="88"/>
  <c r="T17" i="88"/>
  <c r="T18" i="88"/>
  <c r="T19" i="88"/>
  <c r="T20" i="88"/>
  <c r="T21" i="88"/>
  <c r="T22" i="88"/>
  <c r="T23" i="88"/>
  <c r="T24" i="88"/>
  <c r="T25" i="88"/>
  <c r="T26" i="88"/>
  <c r="T27" i="88"/>
  <c r="T28" i="88"/>
  <c r="T29" i="88"/>
  <c r="T30" i="88"/>
  <c r="T31" i="88"/>
  <c r="T32" i="88"/>
  <c r="T33" i="88"/>
  <c r="T34" i="88"/>
  <c r="T35" i="88"/>
  <c r="T36" i="88"/>
  <c r="T37" i="88"/>
  <c r="T38" i="88"/>
  <c r="T39" i="88"/>
  <c r="T40" i="88"/>
  <c r="T41" i="88"/>
  <c r="T42" i="88"/>
  <c r="T43" i="88"/>
  <c r="T44" i="88"/>
  <c r="T45" i="88"/>
  <c r="T46" i="88"/>
  <c r="T47" i="88"/>
  <c r="T48" i="88"/>
  <c r="T49" i="88"/>
  <c r="T50" i="88"/>
  <c r="T51" i="88"/>
  <c r="T52" i="88"/>
  <c r="T53" i="88"/>
  <c r="T54" i="88"/>
  <c r="T55" i="88"/>
  <c r="T56" i="88"/>
  <c r="T57" i="88"/>
  <c r="T58" i="88"/>
  <c r="T59" i="88"/>
  <c r="T60" i="88"/>
  <c r="T61" i="88"/>
  <c r="T62" i="88"/>
  <c r="T63" i="88"/>
  <c r="T64" i="88"/>
  <c r="T65" i="88"/>
  <c r="T66" i="88"/>
  <c r="T67" i="88"/>
  <c r="T68" i="88"/>
  <c r="T69" i="88"/>
  <c r="T70" i="88"/>
  <c r="T71" i="88"/>
  <c r="T72" i="88"/>
  <c r="T73" i="88"/>
  <c r="T74" i="88"/>
  <c r="T75" i="88"/>
  <c r="T76" i="88"/>
  <c r="T77" i="88"/>
  <c r="T78" i="88"/>
  <c r="T79" i="88"/>
  <c r="T80" i="88"/>
  <c r="T81" i="88"/>
  <c r="T82" i="88"/>
  <c r="T83" i="88"/>
  <c r="T84" i="88"/>
  <c r="T85" i="88"/>
  <c r="T86" i="88"/>
  <c r="T87" i="88"/>
  <c r="T88" i="88"/>
  <c r="T89" i="88"/>
  <c r="T90" i="88"/>
  <c r="T91" i="88"/>
  <c r="T92" i="88"/>
  <c r="T93" i="88"/>
  <c r="T94" i="88"/>
  <c r="T95" i="88"/>
  <c r="T96" i="88"/>
  <c r="T97" i="88"/>
  <c r="T98" i="88"/>
  <c r="T99" i="88"/>
  <c r="T100" i="88"/>
  <c r="T101" i="88"/>
  <c r="T102" i="88"/>
  <c r="T103" i="88"/>
  <c r="T104" i="88"/>
  <c r="AO105" i="88"/>
  <c r="AG9" i="88"/>
  <c r="AS9" i="88"/>
  <c r="AU9" i="88" s="1"/>
  <c r="AQ9" i="88"/>
  <c r="AO10" i="88"/>
  <c r="AO11" i="88"/>
  <c r="AO12" i="88"/>
  <c r="AO13" i="88"/>
  <c r="AO14" i="88"/>
  <c r="AO15" i="88"/>
  <c r="AO16" i="88"/>
  <c r="AO17" i="88"/>
  <c r="AO18" i="88"/>
  <c r="AO19" i="88"/>
  <c r="AO20" i="88"/>
  <c r="AO21" i="88"/>
  <c r="AO22" i="88"/>
  <c r="AO23" i="88"/>
  <c r="AO24" i="88"/>
  <c r="AO25" i="88"/>
  <c r="AO26" i="88"/>
  <c r="AO27" i="88"/>
  <c r="AO28" i="88"/>
  <c r="AO29" i="88"/>
  <c r="AO30" i="88"/>
  <c r="AO31" i="88"/>
  <c r="AO32" i="88"/>
  <c r="AO33" i="88"/>
  <c r="AO34" i="88"/>
  <c r="AO35" i="88"/>
  <c r="AO36" i="88"/>
  <c r="AO37" i="88"/>
  <c r="AO38" i="88"/>
  <c r="AO39" i="88"/>
  <c r="AO40" i="88"/>
  <c r="AO41" i="88"/>
  <c r="AO42" i="88"/>
  <c r="AO43" i="88"/>
  <c r="AO44" i="88"/>
  <c r="AO45" i="88"/>
  <c r="AO46" i="88"/>
  <c r="AO47" i="88"/>
  <c r="AO48" i="88"/>
  <c r="AO49" i="88"/>
  <c r="AO50" i="88"/>
  <c r="AO51" i="88"/>
  <c r="AO52" i="88"/>
  <c r="AO53" i="88"/>
  <c r="AO54" i="88"/>
  <c r="AO55" i="88"/>
  <c r="AO56" i="88"/>
  <c r="AO57" i="88"/>
  <c r="AO58" i="88"/>
  <c r="AO59" i="88"/>
  <c r="AO60" i="88"/>
  <c r="AO61" i="88"/>
  <c r="AO62" i="88"/>
  <c r="AO63" i="88"/>
  <c r="AO64" i="88"/>
  <c r="AO65" i="88"/>
  <c r="AO66" i="88"/>
  <c r="AO67" i="88"/>
  <c r="AO68" i="88"/>
  <c r="AO69" i="88"/>
  <c r="AO70" i="88"/>
  <c r="AO71" i="88"/>
  <c r="AO72" i="88"/>
  <c r="AO73" i="88"/>
  <c r="AO74" i="88"/>
  <c r="AO75" i="88"/>
  <c r="AO76" i="88"/>
  <c r="AO77" i="88"/>
  <c r="AO78" i="88"/>
  <c r="AO79" i="88"/>
  <c r="AO80" i="88"/>
  <c r="AO81" i="88"/>
  <c r="AO82" i="88"/>
  <c r="AO83" i="88"/>
  <c r="AO84" i="88"/>
  <c r="AO85" i="88"/>
  <c r="AO86" i="88"/>
  <c r="AO87" i="88"/>
  <c r="AO88" i="88"/>
  <c r="AO89" i="88"/>
  <c r="AO90" i="88"/>
  <c r="AO91" i="88"/>
  <c r="AO92" i="88"/>
  <c r="AO93" i="88"/>
  <c r="AO94" i="88"/>
  <c r="AO95" i="88"/>
  <c r="AO96" i="88"/>
  <c r="AO97" i="88"/>
  <c r="AO98" i="88"/>
  <c r="AO99" i="88"/>
  <c r="AO100" i="88"/>
  <c r="AO101" i="88"/>
  <c r="AO102" i="88"/>
  <c r="AO103" i="88"/>
  <c r="AO104" i="88"/>
  <c r="T106" i="88"/>
  <c r="AO106" i="88"/>
  <c r="T107" i="88"/>
  <c r="AO107" i="88"/>
  <c r="T108" i="88"/>
  <c r="AO108" i="88"/>
  <c r="T109" i="88"/>
  <c r="AO109" i="88"/>
  <c r="T110" i="88"/>
  <c r="AO110" i="88"/>
  <c r="T111" i="88"/>
  <c r="AO111" i="88"/>
  <c r="T112" i="88"/>
  <c r="AO112" i="88"/>
  <c r="T113" i="88"/>
  <c r="AO113" i="88"/>
  <c r="T114" i="88"/>
  <c r="AO114" i="88"/>
  <c r="T115" i="88"/>
  <c r="AO115" i="88"/>
  <c r="T116" i="88"/>
  <c r="AO116" i="88"/>
  <c r="B11" i="80"/>
  <c r="B12" i="80"/>
  <c r="B13" i="80"/>
  <c r="H7" i="82"/>
  <c r="E47" i="77"/>
  <c r="B8" i="77"/>
  <c r="J7" i="77"/>
  <c r="K7" i="77" s="1"/>
  <c r="E8" i="77"/>
  <c r="E9" i="77"/>
  <c r="E7" i="77"/>
  <c r="F8" i="77"/>
  <c r="E12" i="77"/>
  <c r="C2" i="82"/>
  <c r="B2" i="84"/>
  <c r="L41" i="84"/>
  <c r="BA120" i="80"/>
  <c r="C28" i="84" s="1"/>
  <c r="AV3" i="80"/>
  <c r="D35" i="84" s="1"/>
  <c r="BB3" i="80"/>
  <c r="BB4" i="80" s="1"/>
  <c r="BB5" i="80" s="1"/>
  <c r="BE3" i="80"/>
  <c r="BE4" i="80" s="1"/>
  <c r="BE5" i="80" s="1"/>
  <c r="AD9" i="80"/>
  <c r="AC9" i="80"/>
  <c r="BD118" i="80"/>
  <c r="BE118" i="80"/>
  <c r="BE2" i="80" s="1"/>
  <c r="BB118" i="80"/>
  <c r="BB2" i="80" s="1"/>
  <c r="AB9" i="80"/>
  <c r="AE9" i="80"/>
  <c r="AV118" i="80"/>
  <c r="AV2" i="80" s="1"/>
  <c r="B41" i="84"/>
  <c r="B32" i="84"/>
  <c r="B31" i="84"/>
  <c r="AO9" i="88"/>
  <c r="T9" i="88"/>
  <c r="S10" i="88" s="1"/>
  <c r="BC118" i="80"/>
  <c r="C32" i="82"/>
  <c r="C31" i="82"/>
  <c r="B2" i="85"/>
  <c r="N56" i="77"/>
  <c r="N7" i="77"/>
  <c r="N8" i="77"/>
  <c r="N9" i="77"/>
  <c r="N10" i="77"/>
  <c r="N11" i="77"/>
  <c r="N12" i="77"/>
  <c r="N13" i="77"/>
  <c r="N14" i="77"/>
  <c r="N29" i="77"/>
  <c r="N32" i="77"/>
  <c r="N37" i="77"/>
  <c r="O38" i="77"/>
  <c r="O39" i="77" s="1"/>
  <c r="O40" i="77" s="1"/>
  <c r="N40" i="77" s="1"/>
  <c r="N38" i="77"/>
  <c r="AJ9" i="80"/>
  <c r="AP10" i="75"/>
  <c r="AP9" i="75"/>
  <c r="AO10" i="75"/>
  <c r="AN10" i="75"/>
  <c r="AO9" i="75"/>
  <c r="AN9" i="75"/>
  <c r="AI9" i="80"/>
  <c r="AH9" i="80"/>
  <c r="AF9" i="80"/>
  <c r="AA9" i="80"/>
  <c r="Z9" i="80"/>
  <c r="Y9" i="80"/>
  <c r="X9" i="80"/>
  <c r="W9" i="80"/>
  <c r="V9" i="80"/>
  <c r="U9" i="80"/>
  <c r="T9" i="80"/>
  <c r="S9" i="80"/>
  <c r="R9" i="80"/>
  <c r="Q9" i="80"/>
  <c r="N9" i="80"/>
  <c r="L9" i="80"/>
  <c r="F10" i="74"/>
  <c r="L10" i="74"/>
  <c r="L11" i="74" s="1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B38" i="74"/>
  <c r="B39" i="74"/>
  <c r="B40" i="74"/>
  <c r="B41" i="74"/>
  <c r="B42" i="74"/>
  <c r="B43" i="74"/>
  <c r="B44" i="74"/>
  <c r="B45" i="74"/>
  <c r="B46" i="74"/>
  <c r="B47" i="74"/>
  <c r="B48" i="74"/>
  <c r="B49" i="74"/>
  <c r="B50" i="74"/>
  <c r="B51" i="74"/>
  <c r="B53" i="74"/>
  <c r="L55" i="74"/>
  <c r="L57" i="74"/>
  <c r="L59" i="74"/>
  <c r="L60" i="74"/>
  <c r="L61" i="74"/>
  <c r="L62" i="74"/>
  <c r="L63" i="74"/>
  <c r="L64" i="74"/>
  <c r="L65" i="74"/>
  <c r="L66" i="74"/>
  <c r="L67" i="74"/>
  <c r="L68" i="74"/>
  <c r="L69" i="74"/>
  <c r="L70" i="74"/>
  <c r="L71" i="74"/>
  <c r="L72" i="74"/>
  <c r="L73" i="74"/>
  <c r="L74" i="74"/>
  <c r="L75" i="74"/>
  <c r="L76" i="74"/>
  <c r="L77" i="74"/>
  <c r="L78" i="74"/>
  <c r="L79" i="74"/>
  <c r="L80" i="74"/>
  <c r="L81" i="74"/>
  <c r="L82" i="74"/>
  <c r="L83" i="74"/>
  <c r="F131" i="74"/>
  <c r="F132" i="74"/>
  <c r="F136" i="74"/>
  <c r="BF118" i="80"/>
  <c r="BG118" i="80"/>
  <c r="AN9" i="88"/>
  <c r="S9" i="88"/>
  <c r="J9" i="80"/>
  <c r="AG9" i="80"/>
  <c r="AM118" i="80"/>
  <c r="AP118" i="80"/>
  <c r="AQ118" i="80"/>
  <c r="AR118" i="80"/>
  <c r="AS118" i="80"/>
  <c r="AT118" i="80"/>
  <c r="AU118" i="80"/>
  <c r="AW118" i="80"/>
  <c r="AX118" i="80"/>
  <c r="AY118" i="80"/>
  <c r="AZ118" i="80"/>
  <c r="BH118" i="80"/>
  <c r="BI118" i="80"/>
  <c r="BJ118" i="80"/>
  <c r="AL120" i="80"/>
  <c r="C6" i="84" s="1"/>
  <c r="AN120" i="80"/>
  <c r="C8" i="84" s="1"/>
  <c r="AQ7" i="75"/>
  <c r="AR7" i="75"/>
  <c r="BH7" i="88"/>
  <c r="BI7" i="88"/>
  <c r="BJ7" i="88"/>
  <c r="BK7" i="88"/>
  <c r="E8" i="88"/>
  <c r="D9" i="88"/>
  <c r="E9" i="88"/>
  <c r="D10" i="88"/>
  <c r="E10" i="88"/>
  <c r="D2" i="77"/>
  <c r="D55" i="77"/>
  <c r="F17" i="77"/>
  <c r="M10" i="77"/>
  <c r="E15" i="77"/>
  <c r="E20" i="77"/>
  <c r="A21" i="77"/>
  <c r="E21" i="77"/>
  <c r="A22" i="77"/>
  <c r="A23" i="77" s="1"/>
  <c r="E23" i="77" s="1"/>
  <c r="E22" i="77"/>
  <c r="A24" i="77"/>
  <c r="A25" i="77" s="1"/>
  <c r="M28" i="77"/>
  <c r="M30" i="77"/>
  <c r="M31" i="77"/>
  <c r="M33" i="77"/>
  <c r="M34" i="77"/>
  <c r="E41" i="77"/>
  <c r="E42" i="77"/>
  <c r="E43" i="77"/>
  <c r="D44" i="77"/>
  <c r="E44" i="77"/>
  <c r="D45" i="77"/>
  <c r="E45" i="77"/>
  <c r="C61" i="82"/>
  <c r="K40" i="82"/>
  <c r="L9" i="85"/>
  <c r="B11" i="85"/>
  <c r="B12" i="85"/>
  <c r="B13" i="85"/>
  <c r="B14" i="85"/>
  <c r="B15" i="85"/>
  <c r="B16" i="85"/>
  <c r="B22" i="85"/>
  <c r="B23" i="85"/>
  <c r="B24" i="85"/>
  <c r="B25" i="85"/>
  <c r="B26" i="85"/>
  <c r="B27" i="85"/>
  <c r="B40" i="85"/>
  <c r="B44" i="85"/>
  <c r="BH103" i="88" l="1"/>
  <c r="BJ60" i="88"/>
  <c r="BH64" i="88"/>
  <c r="BH19" i="88"/>
  <c r="BH36" i="88"/>
  <c r="BH12" i="88"/>
  <c r="BJ92" i="88"/>
  <c r="BH100" i="88"/>
  <c r="BH116" i="88"/>
  <c r="BJ44" i="88"/>
  <c r="BJ52" i="88"/>
  <c r="BJ108" i="88"/>
  <c r="BH16" i="88"/>
  <c r="BH112" i="88"/>
  <c r="BH17" i="88"/>
  <c r="BH57" i="88"/>
  <c r="BH11" i="88"/>
  <c r="BH41" i="88"/>
  <c r="BJ89" i="88"/>
  <c r="I9" i="88"/>
  <c r="BJ105" i="88"/>
  <c r="BH104" i="88"/>
  <c r="BJ9" i="88"/>
  <c r="BH96" i="88"/>
  <c r="BJ25" i="88"/>
  <c r="BH71" i="88"/>
  <c r="BH87" i="88"/>
  <c r="BJ39" i="88"/>
  <c r="BJ61" i="88"/>
  <c r="BH21" i="88"/>
  <c r="BH37" i="88"/>
  <c r="BJ29" i="88"/>
  <c r="BH65" i="88"/>
  <c r="BJ33" i="88"/>
  <c r="BJ45" i="88"/>
  <c r="BH90" i="88"/>
  <c r="BJ88" i="88"/>
  <c r="BJ58" i="88"/>
  <c r="BH42" i="88"/>
  <c r="BH15" i="88"/>
  <c r="BH40" i="88"/>
  <c r="BH81" i="88"/>
  <c r="BJ10" i="88"/>
  <c r="BH49" i="88"/>
  <c r="BJ48" i="88"/>
  <c r="BJ106" i="88"/>
  <c r="BH46" i="88"/>
  <c r="BH97" i="88"/>
  <c r="BJ32" i="88"/>
  <c r="BJ74" i="88"/>
  <c r="BJ26" i="88"/>
  <c r="BH79" i="88"/>
  <c r="BH76" i="88"/>
  <c r="BJ68" i="88"/>
  <c r="BJ113" i="88"/>
  <c r="BJ28" i="88"/>
  <c r="BH34" i="88"/>
  <c r="BH78" i="88"/>
  <c r="BH73" i="88"/>
  <c r="BH114" i="88"/>
  <c r="BJ94" i="88"/>
  <c r="BH31" i="88"/>
  <c r="BH47" i="88"/>
  <c r="BH72" i="88"/>
  <c r="BJ80" i="88"/>
  <c r="BJ56" i="88"/>
  <c r="BH24" i="88"/>
  <c r="BJ53" i="88"/>
  <c r="BJ111" i="88"/>
  <c r="BJ14" i="88"/>
  <c r="BH63" i="88"/>
  <c r="BJ30" i="88"/>
  <c r="BH62" i="88"/>
  <c r="BH18" i="88"/>
  <c r="BJ83" i="88"/>
  <c r="BH93" i="88"/>
  <c r="BJ67" i="88"/>
  <c r="BH85" i="88"/>
  <c r="BH110" i="88"/>
  <c r="BJ66" i="88"/>
  <c r="BH51" i="88"/>
  <c r="BH84" i="88"/>
  <c r="BH50" i="88"/>
  <c r="BH82" i="88"/>
  <c r="BJ35" i="88"/>
  <c r="BH59" i="88"/>
  <c r="BH20" i="88"/>
  <c r="BH43" i="88"/>
  <c r="BH98" i="88"/>
  <c r="BH75" i="88"/>
  <c r="BH13" i="88"/>
  <c r="BJ77" i="88"/>
  <c r="BH115" i="88"/>
  <c r="BJ27" i="88"/>
  <c r="BJ101" i="88"/>
  <c r="BJ109" i="88"/>
  <c r="H117" i="88"/>
  <c r="BJ55" i="88"/>
  <c r="BJ69" i="88"/>
  <c r="BJ99" i="88"/>
  <c r="BJ107" i="88"/>
  <c r="BJ23" i="88"/>
  <c r="BJ91" i="88"/>
  <c r="BJ95" i="88"/>
  <c r="AF9" i="88"/>
  <c r="AK9" i="88" s="1"/>
  <c r="BH22" i="88"/>
  <c r="BH54" i="88"/>
  <c r="BH70" i="88"/>
  <c r="BH102" i="88"/>
  <c r="BJ22" i="88"/>
  <c r="BB6" i="80"/>
  <c r="F36" i="84" s="1"/>
  <c r="D36" i="84"/>
  <c r="AV4" i="80"/>
  <c r="AV5" i="80" s="1"/>
  <c r="BH38" i="88"/>
  <c r="BH86" i="88"/>
  <c r="AO117" i="88"/>
  <c r="G9" i="75"/>
  <c r="R8" i="75"/>
  <c r="W13" i="82" s="1"/>
  <c r="AJ13" i="82" s="1"/>
  <c r="T117" i="88"/>
  <c r="S11" i="88"/>
  <c r="S12" i="88" s="1"/>
  <c r="S13" i="88" s="1"/>
  <c r="S14" i="88" s="1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K9" i="88"/>
  <c r="P9" i="88" s="1"/>
  <c r="AN10" i="88"/>
  <c r="AN11" i="88" s="1"/>
  <c r="AN12" i="88" s="1"/>
  <c r="AN13" i="88" s="1"/>
  <c r="AN14" i="88" s="1"/>
  <c r="AN15" i="88" s="1"/>
  <c r="AN16" i="88" s="1"/>
  <c r="AN17" i="88" s="1"/>
  <c r="AN18" i="88" s="1"/>
  <c r="AN19" i="88" s="1"/>
  <c r="AN20" i="88" s="1"/>
  <c r="AN21" i="88" s="1"/>
  <c r="AN22" i="88" s="1"/>
  <c r="AN23" i="88" s="1"/>
  <c r="AN24" i="88" s="1"/>
  <c r="AN25" i="88" s="1"/>
  <c r="AN26" i="88" s="1"/>
  <c r="AN27" i="88" s="1"/>
  <c r="AN28" i="88" s="1"/>
  <c r="AN29" i="88" s="1"/>
  <c r="AN30" i="88" s="1"/>
  <c r="AN31" i="88" s="1"/>
  <c r="AN32" i="88" s="1"/>
  <c r="B52" i="74"/>
  <c r="H9" i="75"/>
  <c r="I7" i="77"/>
  <c r="P10" i="75"/>
  <c r="Q10" i="75" s="1"/>
  <c r="S15" i="82" s="1"/>
  <c r="AF15" i="82" s="1"/>
  <c r="E10" i="77"/>
  <c r="E13" i="77" s="1"/>
  <c r="E71" i="75"/>
  <c r="F9" i="77"/>
  <c r="P9" i="75"/>
  <c r="F10" i="77"/>
  <c r="F12" i="77" s="1"/>
  <c r="F13" i="77" s="1"/>
  <c r="N18" i="77" s="1"/>
  <c r="L12" i="74"/>
  <c r="E24" i="77"/>
  <c r="E25" i="77"/>
  <c r="A26" i="77"/>
  <c r="J8" i="77"/>
  <c r="I8" i="77" s="1"/>
  <c r="B9" i="77"/>
  <c r="N39" i="77"/>
  <c r="BE6" i="80"/>
  <c r="F37" i="84" s="1"/>
  <c r="AV6" i="80"/>
  <c r="F35" i="84" s="1"/>
  <c r="D37" i="84"/>
  <c r="H4" i="82"/>
  <c r="E28" i="84"/>
  <c r="E8" i="84"/>
  <c r="E6" i="84"/>
  <c r="F4" i="84"/>
  <c r="F4" i="85"/>
  <c r="H123" i="80"/>
  <c r="C10" i="88"/>
  <c r="B11" i="88"/>
  <c r="G10" i="88"/>
  <c r="G15" i="80"/>
  <c r="I14" i="80"/>
  <c r="H14" i="80"/>
  <c r="J14" i="80"/>
  <c r="C75" i="75"/>
  <c r="B11" i="75"/>
  <c r="F10" i="75"/>
  <c r="N8" i="75"/>
  <c r="T13" i="82" s="1"/>
  <c r="AG13" i="82" s="1"/>
  <c r="BJ5" i="88" l="1"/>
  <c r="BH117" i="88"/>
  <c r="AI9" i="88"/>
  <c r="AM9" i="88" s="1"/>
  <c r="AP9" i="88" s="1"/>
  <c r="AW9" i="88" s="1"/>
  <c r="AX9" i="88" s="1"/>
  <c r="BH5" i="88"/>
  <c r="BJ117" i="88"/>
  <c r="L9" i="75"/>
  <c r="AJ9" i="75" s="1"/>
  <c r="AQ9" i="75" s="1"/>
  <c r="U14" i="82"/>
  <c r="AH14" i="82" s="1"/>
  <c r="S119" i="88"/>
  <c r="E9" i="82"/>
  <c r="AA10" i="75"/>
  <c r="AK15" i="82" s="1"/>
  <c r="AN119" i="88"/>
  <c r="N9" i="88"/>
  <c r="M9" i="88" s="1"/>
  <c r="O9" i="88" s="1"/>
  <c r="L10" i="88" s="1"/>
  <c r="I9" i="75"/>
  <c r="M9" i="75" s="1"/>
  <c r="T14" i="82" s="1"/>
  <c r="AG14" i="82" s="1"/>
  <c r="L54" i="74"/>
  <c r="K8" i="77"/>
  <c r="Q9" i="75"/>
  <c r="S14" i="82" s="1"/>
  <c r="AF14" i="82" s="1"/>
  <c r="AA9" i="75"/>
  <c r="AK14" i="82" s="1"/>
  <c r="F11" i="75"/>
  <c r="B12" i="75"/>
  <c r="C11" i="75"/>
  <c r="P11" i="75"/>
  <c r="AO11" i="75"/>
  <c r="AN11" i="75"/>
  <c r="AP11" i="75"/>
  <c r="B14" i="80"/>
  <c r="H124" i="80"/>
  <c r="AL123" i="80"/>
  <c r="F6" i="84" s="1"/>
  <c r="AN123" i="80"/>
  <c r="F8" i="84" s="1"/>
  <c r="BA123" i="80"/>
  <c r="F28" i="84" s="1"/>
  <c r="S120" i="88"/>
  <c r="S33" i="88"/>
  <c r="S34" i="88" s="1"/>
  <c r="S35" i="88" s="1"/>
  <c r="S36" i="88" s="1"/>
  <c r="S37" i="88" s="1"/>
  <c r="S38" i="88" s="1"/>
  <c r="S39" i="88" s="1"/>
  <c r="S40" i="88" s="1"/>
  <c r="S41" i="88" s="1"/>
  <c r="S42" i="88" s="1"/>
  <c r="S43" i="88" s="1"/>
  <c r="S44" i="88" s="1"/>
  <c r="C11" i="88"/>
  <c r="G11" i="88"/>
  <c r="B12" i="88"/>
  <c r="D11" i="88"/>
  <c r="E11" i="88"/>
  <c r="I10" i="88"/>
  <c r="K10" i="88"/>
  <c r="AF10" i="88"/>
  <c r="I4" i="82"/>
  <c r="F15" i="77"/>
  <c r="F16" i="77" s="1"/>
  <c r="I15" i="80"/>
  <c r="J15" i="80"/>
  <c r="H15" i="80"/>
  <c r="G16" i="80"/>
  <c r="G4" i="85"/>
  <c r="AN120" i="88"/>
  <c r="AN33" i="88"/>
  <c r="AN34" i="88" s="1"/>
  <c r="AN35" i="88" s="1"/>
  <c r="AN36" i="88" s="1"/>
  <c r="AN37" i="88" s="1"/>
  <c r="AN38" i="88" s="1"/>
  <c r="AN39" i="88" s="1"/>
  <c r="AN40" i="88" s="1"/>
  <c r="AN41" i="88" s="1"/>
  <c r="AN42" i="88" s="1"/>
  <c r="AN43" i="88" s="1"/>
  <c r="AN44" i="88" s="1"/>
  <c r="J9" i="77"/>
  <c r="I9" i="77" s="1"/>
  <c r="B10" i="77"/>
  <c r="A27" i="77"/>
  <c r="E26" i="77"/>
  <c r="G4" i="84"/>
  <c r="G10" i="75"/>
  <c r="BB9" i="88" l="1"/>
  <c r="AH9" i="88"/>
  <c r="AJ9" i="88" s="1"/>
  <c r="AG10" i="88" s="1"/>
  <c r="AI10" i="88" s="1"/>
  <c r="AR9" i="88"/>
  <c r="AT9" i="88" s="1"/>
  <c r="AQ10" i="88" s="1"/>
  <c r="AY9" i="88"/>
  <c r="BF9" i="88" s="1"/>
  <c r="AR9" i="75"/>
  <c r="W9" i="88"/>
  <c r="Y9" i="88" s="1"/>
  <c r="V10" i="88" s="1"/>
  <c r="R9" i="88"/>
  <c r="U9" i="88" s="1"/>
  <c r="AB9" i="88" s="1"/>
  <c r="AC9" i="88" s="1"/>
  <c r="E10" i="75"/>
  <c r="H10" i="75" s="1"/>
  <c r="L56" i="74"/>
  <c r="G11" i="75"/>
  <c r="G17" i="80"/>
  <c r="J16" i="80"/>
  <c r="H16" i="80"/>
  <c r="I16" i="80"/>
  <c r="Q11" i="75"/>
  <c r="S16" i="82" s="1"/>
  <c r="AF16" i="82" s="1"/>
  <c r="AA11" i="75"/>
  <c r="AK16" i="82" s="1"/>
  <c r="C12" i="88"/>
  <c r="G12" i="88"/>
  <c r="B13" i="88"/>
  <c r="D12" i="88"/>
  <c r="E12" i="88"/>
  <c r="T11" i="75"/>
  <c r="U11" i="75" s="1"/>
  <c r="V11" i="75" s="1"/>
  <c r="B15" i="80"/>
  <c r="H4" i="84"/>
  <c r="E27" i="77"/>
  <c r="A28" i="77"/>
  <c r="B11" i="77"/>
  <c r="J10" i="77"/>
  <c r="I10" i="77" s="1"/>
  <c r="AN121" i="88"/>
  <c r="AN45" i="88"/>
  <c r="AN46" i="88" s="1"/>
  <c r="AN47" i="88" s="1"/>
  <c r="AN48" i="88" s="1"/>
  <c r="AN49" i="88" s="1"/>
  <c r="AN50" i="88" s="1"/>
  <c r="AN51" i="88" s="1"/>
  <c r="AN52" i="88" s="1"/>
  <c r="AN53" i="88" s="1"/>
  <c r="AN54" i="88" s="1"/>
  <c r="AN55" i="88" s="1"/>
  <c r="AN56" i="88" s="1"/>
  <c r="AK10" i="88"/>
  <c r="I11" i="88"/>
  <c r="K11" i="88"/>
  <c r="AF11" i="88"/>
  <c r="F12" i="75"/>
  <c r="B13" i="75"/>
  <c r="P12" i="75"/>
  <c r="C12" i="75"/>
  <c r="AP12" i="75"/>
  <c r="AO12" i="75"/>
  <c r="AN12" i="75"/>
  <c r="H125" i="80"/>
  <c r="BA124" i="80"/>
  <c r="G28" i="84" s="1"/>
  <c r="AN124" i="80"/>
  <c r="G8" i="84" s="1"/>
  <c r="AL124" i="80"/>
  <c r="G6" i="84" s="1"/>
  <c r="K9" i="77"/>
  <c r="H4" i="85"/>
  <c r="O9" i="75"/>
  <c r="V14" i="82" s="1"/>
  <c r="AI14" i="82" s="1"/>
  <c r="P10" i="88"/>
  <c r="N9" i="75"/>
  <c r="S45" i="88"/>
  <c r="S46" i="88" s="1"/>
  <c r="S47" i="88" s="1"/>
  <c r="S48" i="88" s="1"/>
  <c r="S49" i="88" s="1"/>
  <c r="S50" i="88" s="1"/>
  <c r="S51" i="88" s="1"/>
  <c r="S52" i="88" s="1"/>
  <c r="S53" i="88" s="1"/>
  <c r="S54" i="88" s="1"/>
  <c r="S55" i="88" s="1"/>
  <c r="S56" i="88" s="1"/>
  <c r="S121" i="88"/>
  <c r="N10" i="88"/>
  <c r="I10" i="75" l="1"/>
  <c r="M10" i="75" s="1"/>
  <c r="U15" i="82"/>
  <c r="AH15" i="82" s="1"/>
  <c r="L10" i="75"/>
  <c r="AJ10" i="75" s="1"/>
  <c r="AD9" i="88"/>
  <c r="BE9" i="88" s="1"/>
  <c r="BG9" i="88" s="1"/>
  <c r="AM10" i="88"/>
  <c r="AP10" i="88" s="1"/>
  <c r="AS10" i="88" s="1"/>
  <c r="AR10" i="88" s="1"/>
  <c r="L58" i="74"/>
  <c r="I4" i="84"/>
  <c r="I4" i="85"/>
  <c r="BA9" i="88"/>
  <c r="AK11" i="88"/>
  <c r="AH10" i="88"/>
  <c r="A29" i="77"/>
  <c r="E28" i="77"/>
  <c r="G18" i="80"/>
  <c r="J17" i="80"/>
  <c r="I17" i="80"/>
  <c r="H17" i="80"/>
  <c r="K10" i="77"/>
  <c r="P11" i="88"/>
  <c r="G13" i="88"/>
  <c r="B14" i="88"/>
  <c r="C13" i="88"/>
  <c r="D13" i="88"/>
  <c r="E13" i="88"/>
  <c r="AA12" i="75"/>
  <c r="AK17" i="82" s="1"/>
  <c r="Q12" i="75"/>
  <c r="S17" i="82" s="1"/>
  <c r="AF17" i="82" s="1"/>
  <c r="B16" i="80"/>
  <c r="H126" i="80"/>
  <c r="BA125" i="80"/>
  <c r="H28" i="84" s="1"/>
  <c r="AN125" i="80"/>
  <c r="H8" i="84" s="1"/>
  <c r="AL125" i="80"/>
  <c r="H6" i="84" s="1"/>
  <c r="R9" i="75"/>
  <c r="W14" i="82" s="1"/>
  <c r="AJ14" i="82" s="1"/>
  <c r="J11" i="77"/>
  <c r="I11" i="77" s="1"/>
  <c r="B12" i="77"/>
  <c r="I12" i="88"/>
  <c r="K12" i="88"/>
  <c r="AF12" i="88"/>
  <c r="M10" i="88"/>
  <c r="S57" i="88"/>
  <c r="S58" i="88" s="1"/>
  <c r="S59" i="88" s="1"/>
  <c r="S60" i="88" s="1"/>
  <c r="S61" i="88" s="1"/>
  <c r="S62" i="88" s="1"/>
  <c r="S63" i="88" s="1"/>
  <c r="S64" i="88" s="1"/>
  <c r="S65" i="88" s="1"/>
  <c r="S66" i="88" s="1"/>
  <c r="S67" i="88" s="1"/>
  <c r="S68" i="88" s="1"/>
  <c r="S122" i="88"/>
  <c r="R10" i="88"/>
  <c r="AN57" i="88"/>
  <c r="AN58" i="88" s="1"/>
  <c r="AN59" i="88" s="1"/>
  <c r="AN60" i="88" s="1"/>
  <c r="AN61" i="88" s="1"/>
  <c r="AN62" i="88" s="1"/>
  <c r="AN63" i="88" s="1"/>
  <c r="AN64" i="88" s="1"/>
  <c r="AN65" i="88" s="1"/>
  <c r="AN66" i="88" s="1"/>
  <c r="AN67" i="88" s="1"/>
  <c r="AN68" i="88" s="1"/>
  <c r="AN122" i="88"/>
  <c r="G12" i="75"/>
  <c r="T12" i="75"/>
  <c r="U12" i="75" s="1"/>
  <c r="V12" i="75" s="1"/>
  <c r="B14" i="75"/>
  <c r="F13" i="75"/>
  <c r="P13" i="75"/>
  <c r="C13" i="75"/>
  <c r="T13" i="75" s="1"/>
  <c r="U13" i="75" s="1"/>
  <c r="V13" i="75" s="1"/>
  <c r="AP13" i="75"/>
  <c r="AO13" i="75"/>
  <c r="AN13" i="75"/>
  <c r="E11" i="75" l="1"/>
  <c r="H11" i="75" s="1"/>
  <c r="O10" i="75"/>
  <c r="T15" i="82"/>
  <c r="AG15" i="82" s="1"/>
  <c r="K11" i="77"/>
  <c r="N10" i="75"/>
  <c r="G19" i="80"/>
  <c r="H18" i="80"/>
  <c r="I18" i="80"/>
  <c r="J18" i="80"/>
  <c r="AT10" i="88"/>
  <c r="B13" i="77"/>
  <c r="J12" i="77"/>
  <c r="I12" i="77" s="1"/>
  <c r="H127" i="80"/>
  <c r="AL126" i="80"/>
  <c r="I6" i="84" s="1"/>
  <c r="AN126" i="80"/>
  <c r="I8" i="84" s="1"/>
  <c r="BA126" i="80"/>
  <c r="I28" i="84" s="1"/>
  <c r="BK9" i="88"/>
  <c r="BI9" i="88"/>
  <c r="E29" i="77"/>
  <c r="A30" i="77"/>
  <c r="S69" i="88"/>
  <c r="S70" i="88" s="1"/>
  <c r="S71" i="88" s="1"/>
  <c r="S72" i="88" s="1"/>
  <c r="S73" i="88" s="1"/>
  <c r="S74" i="88" s="1"/>
  <c r="S75" i="88" s="1"/>
  <c r="S76" i="88" s="1"/>
  <c r="S77" i="88" s="1"/>
  <c r="S78" i="88" s="1"/>
  <c r="S79" i="88" s="1"/>
  <c r="S80" i="88" s="1"/>
  <c r="S123" i="88"/>
  <c r="G13" i="75"/>
  <c r="O10" i="88"/>
  <c r="AK12" i="88"/>
  <c r="B17" i="80"/>
  <c r="J4" i="85"/>
  <c r="AJ10" i="88"/>
  <c r="AU10" i="88"/>
  <c r="J4" i="84"/>
  <c r="AN123" i="88"/>
  <c r="AN69" i="88"/>
  <c r="AN70" i="88" s="1"/>
  <c r="AN71" i="88" s="1"/>
  <c r="AN72" i="88" s="1"/>
  <c r="AN73" i="88" s="1"/>
  <c r="AN74" i="88" s="1"/>
  <c r="AN75" i="88" s="1"/>
  <c r="AN76" i="88" s="1"/>
  <c r="AN77" i="88" s="1"/>
  <c r="AN78" i="88" s="1"/>
  <c r="AN79" i="88" s="1"/>
  <c r="AN80" i="88" s="1"/>
  <c r="P12" i="88"/>
  <c r="AB9" i="75"/>
  <c r="G14" i="88"/>
  <c r="C14" i="88"/>
  <c r="B15" i="88"/>
  <c r="D14" i="88"/>
  <c r="E14" i="88"/>
  <c r="F14" i="75"/>
  <c r="B15" i="75"/>
  <c r="C14" i="75"/>
  <c r="P14" i="75"/>
  <c r="AP14" i="75"/>
  <c r="AO14" i="75"/>
  <c r="AN14" i="75"/>
  <c r="AQ10" i="75"/>
  <c r="AR10" i="75"/>
  <c r="Q13" i="75"/>
  <c r="S18" i="82" s="1"/>
  <c r="AF18" i="82" s="1"/>
  <c r="AA13" i="75"/>
  <c r="AK18" i="82" s="1"/>
  <c r="U10" i="88"/>
  <c r="I13" i="88"/>
  <c r="K13" i="88"/>
  <c r="AF13" i="88"/>
  <c r="BC9" i="88"/>
  <c r="I11" i="75" l="1"/>
  <c r="E12" i="75" s="1"/>
  <c r="U16" i="82"/>
  <c r="AH16" i="82" s="1"/>
  <c r="R10" i="75"/>
  <c r="V15" i="82"/>
  <c r="AI15" i="82" s="1"/>
  <c r="K12" i="77"/>
  <c r="G20" i="80"/>
  <c r="I19" i="80"/>
  <c r="J19" i="80"/>
  <c r="H19" i="80"/>
  <c r="AK13" i="88"/>
  <c r="P13" i="88"/>
  <c r="AA14" i="75"/>
  <c r="AK19" i="82" s="1"/>
  <c r="Q14" i="75"/>
  <c r="S19" i="82" s="1"/>
  <c r="AF19" i="82" s="1"/>
  <c r="I14" i="88"/>
  <c r="K14" i="88"/>
  <c r="AF14" i="88"/>
  <c r="AQ11" i="88"/>
  <c r="G14" i="75"/>
  <c r="A31" i="77"/>
  <c r="E30" i="77"/>
  <c r="B16" i="88"/>
  <c r="G15" i="88"/>
  <c r="C15" i="88"/>
  <c r="D15" i="88"/>
  <c r="E15" i="88"/>
  <c r="AN124" i="88"/>
  <c r="AN81" i="88"/>
  <c r="AN82" i="88" s="1"/>
  <c r="AN83" i="88" s="1"/>
  <c r="AN84" i="88" s="1"/>
  <c r="AN85" i="88" s="1"/>
  <c r="AN86" i="88" s="1"/>
  <c r="AN87" i="88" s="1"/>
  <c r="AN88" i="88" s="1"/>
  <c r="AN89" i="88" s="1"/>
  <c r="AN90" i="88" s="1"/>
  <c r="AN91" i="88" s="1"/>
  <c r="AN92" i="88" s="1"/>
  <c r="K4" i="84"/>
  <c r="AG11" i="88"/>
  <c r="AI11" i="88" s="1"/>
  <c r="S81" i="88"/>
  <c r="S82" i="88" s="1"/>
  <c r="S83" i="88" s="1"/>
  <c r="S84" i="88" s="1"/>
  <c r="S85" i="88" s="1"/>
  <c r="S86" i="88" s="1"/>
  <c r="S87" i="88" s="1"/>
  <c r="S88" i="88" s="1"/>
  <c r="S89" i="88" s="1"/>
  <c r="S90" i="88" s="1"/>
  <c r="S91" i="88" s="1"/>
  <c r="S92" i="88" s="1"/>
  <c r="S124" i="88"/>
  <c r="BD9" i="88"/>
  <c r="F15" i="75"/>
  <c r="B16" i="75"/>
  <c r="C15" i="75"/>
  <c r="P15" i="75"/>
  <c r="AO15" i="75"/>
  <c r="AP15" i="75"/>
  <c r="AN15" i="75"/>
  <c r="X10" i="88"/>
  <c r="B18" i="80"/>
  <c r="L11" i="88"/>
  <c r="N11" i="88" s="1"/>
  <c r="T14" i="75"/>
  <c r="U14" i="75" s="1"/>
  <c r="V14" i="75" s="1"/>
  <c r="L11" i="75"/>
  <c r="K4" i="85"/>
  <c r="AW10" i="88"/>
  <c r="H128" i="80"/>
  <c r="AN127" i="80"/>
  <c r="J8" i="84" s="1"/>
  <c r="BA127" i="80"/>
  <c r="J28" i="84" s="1"/>
  <c r="AL127" i="80"/>
  <c r="J6" i="84" s="1"/>
  <c r="J13" i="77"/>
  <c r="I13" i="77" s="1"/>
  <c r="B14" i="77"/>
  <c r="M11" i="75" l="1"/>
  <c r="T16" i="82" s="1"/>
  <c r="AG16" i="82" s="1"/>
  <c r="W15" i="82"/>
  <c r="AJ15" i="82" s="1"/>
  <c r="AB10" i="75"/>
  <c r="K13" i="77"/>
  <c r="M11" i="88"/>
  <c r="R11" i="88"/>
  <c r="AJ11" i="75"/>
  <c r="G21" i="80"/>
  <c r="I20" i="80"/>
  <c r="J20" i="80"/>
  <c r="H20" i="80"/>
  <c r="AH11" i="88"/>
  <c r="AM11" i="88"/>
  <c r="AN125" i="88"/>
  <c r="AN93" i="88"/>
  <c r="AN94" i="88" s="1"/>
  <c r="AN95" i="88" s="1"/>
  <c r="AN96" i="88" s="1"/>
  <c r="AN97" i="88" s="1"/>
  <c r="AN98" i="88" s="1"/>
  <c r="AN99" i="88" s="1"/>
  <c r="AN100" i="88" s="1"/>
  <c r="AN101" i="88" s="1"/>
  <c r="AN102" i="88" s="1"/>
  <c r="AN103" i="88" s="1"/>
  <c r="AN104" i="88" s="1"/>
  <c r="I15" i="88"/>
  <c r="K15" i="88"/>
  <c r="AF15" i="88"/>
  <c r="F16" i="75"/>
  <c r="B17" i="75"/>
  <c r="C16" i="75"/>
  <c r="P16" i="75"/>
  <c r="AO16" i="75"/>
  <c r="AN16" i="75"/>
  <c r="AP16" i="75"/>
  <c r="AX10" i="88"/>
  <c r="S93" i="88"/>
  <c r="S94" i="88" s="1"/>
  <c r="S95" i="88" s="1"/>
  <c r="S96" i="88" s="1"/>
  <c r="S97" i="88" s="1"/>
  <c r="S98" i="88" s="1"/>
  <c r="S99" i="88" s="1"/>
  <c r="S100" i="88" s="1"/>
  <c r="S101" i="88" s="1"/>
  <c r="S102" i="88" s="1"/>
  <c r="S103" i="88" s="1"/>
  <c r="S104" i="88" s="1"/>
  <c r="S125" i="88"/>
  <c r="G16" i="88"/>
  <c r="B17" i="88"/>
  <c r="C16" i="88"/>
  <c r="D16" i="88"/>
  <c r="E16" i="88"/>
  <c r="Z10" i="88"/>
  <c r="W10" i="88"/>
  <c r="G15" i="75"/>
  <c r="Q15" i="75"/>
  <c r="S20" i="82" s="1"/>
  <c r="AF20" i="82" s="1"/>
  <c r="AA15" i="75"/>
  <c r="AK20" i="82" s="1"/>
  <c r="H12" i="75"/>
  <c r="J14" i="77"/>
  <c r="I14" i="77" s="1"/>
  <c r="B15" i="77"/>
  <c r="BA128" i="80"/>
  <c r="K28" i="84" s="1"/>
  <c r="AN128" i="80"/>
  <c r="K8" i="84" s="1"/>
  <c r="AL128" i="80"/>
  <c r="K6" i="84" s="1"/>
  <c r="T15" i="75"/>
  <c r="U15" i="75" s="1"/>
  <c r="V15" i="75" s="1"/>
  <c r="E31" i="77"/>
  <c r="A32" i="77"/>
  <c r="B19" i="80"/>
  <c r="O11" i="75" l="1"/>
  <c r="V16" i="82" s="1"/>
  <c r="AI16" i="82" s="1"/>
  <c r="N11" i="75"/>
  <c r="M12" i="75" s="1"/>
  <c r="I12" i="75"/>
  <c r="U17" i="82"/>
  <c r="AH17" i="82" s="1"/>
  <c r="K14" i="77"/>
  <c r="F17" i="75"/>
  <c r="C17" i="75"/>
  <c r="B18" i="75"/>
  <c r="P17" i="75"/>
  <c r="AP17" i="75"/>
  <c r="AO17" i="75"/>
  <c r="AN17" i="75"/>
  <c r="AJ11" i="88"/>
  <c r="U11" i="88"/>
  <c r="AB10" i="88"/>
  <c r="I16" i="88"/>
  <c r="K16" i="88"/>
  <c r="AF16" i="88"/>
  <c r="AQ11" i="75"/>
  <c r="AR11" i="75"/>
  <c r="R11" i="75"/>
  <c r="W16" i="82" s="1"/>
  <c r="AJ16" i="82" s="1"/>
  <c r="G17" i="88"/>
  <c r="B18" i="88"/>
  <c r="C17" i="88"/>
  <c r="D17" i="88"/>
  <c r="E17" i="88"/>
  <c r="B16" i="77"/>
  <c r="J15" i="77"/>
  <c r="I15" i="77" s="1"/>
  <c r="L12" i="75"/>
  <c r="AP11" i="88"/>
  <c r="O11" i="88"/>
  <c r="E13" i="75"/>
  <c r="B20" i="80"/>
  <c r="Y10" i="88"/>
  <c r="BB10" i="88"/>
  <c r="A33" i="77"/>
  <c r="E32" i="77"/>
  <c r="G16" i="75"/>
  <c r="S105" i="88"/>
  <c r="S106" i="88" s="1"/>
  <c r="S107" i="88" s="1"/>
  <c r="S108" i="88" s="1"/>
  <c r="S109" i="88" s="1"/>
  <c r="S110" i="88" s="1"/>
  <c r="S111" i="88" s="1"/>
  <c r="S112" i="88" s="1"/>
  <c r="S113" i="88" s="1"/>
  <c r="S114" i="88" s="1"/>
  <c r="S115" i="88" s="1"/>
  <c r="S116" i="88" s="1"/>
  <c r="S127" i="88" s="1"/>
  <c r="S126" i="88"/>
  <c r="AY10" i="88"/>
  <c r="AA16" i="75"/>
  <c r="AK21" i="82" s="1"/>
  <c r="Q16" i="75"/>
  <c r="S21" i="82" s="1"/>
  <c r="AF21" i="82" s="1"/>
  <c r="AN126" i="88"/>
  <c r="AN105" i="88"/>
  <c r="AN106" i="88" s="1"/>
  <c r="AN107" i="88" s="1"/>
  <c r="AN108" i="88" s="1"/>
  <c r="AN109" i="88" s="1"/>
  <c r="AN110" i="88" s="1"/>
  <c r="AN111" i="88" s="1"/>
  <c r="AN112" i="88" s="1"/>
  <c r="AN113" i="88" s="1"/>
  <c r="AN114" i="88" s="1"/>
  <c r="AN115" i="88" s="1"/>
  <c r="AN116" i="88" s="1"/>
  <c r="AN127" i="88" s="1"/>
  <c r="T16" i="75"/>
  <c r="U16" i="75" s="1"/>
  <c r="V16" i="75" s="1"/>
  <c r="G22" i="80"/>
  <c r="H21" i="80"/>
  <c r="I21" i="80"/>
  <c r="J21" i="80"/>
  <c r="N12" i="75" l="1"/>
  <c r="T17" i="82"/>
  <c r="AG17" i="82" s="1"/>
  <c r="O12" i="75"/>
  <c r="V17" i="82" s="1"/>
  <c r="AI17" i="82" s="1"/>
  <c r="AJ12" i="75"/>
  <c r="B21" i="80"/>
  <c r="K15" i="77"/>
  <c r="AG12" i="88"/>
  <c r="AI12" i="88" s="1"/>
  <c r="B19" i="75"/>
  <c r="F18" i="75"/>
  <c r="C18" i="75"/>
  <c r="P18" i="75"/>
  <c r="AP18" i="75"/>
  <c r="AO18" i="75"/>
  <c r="AN18" i="75"/>
  <c r="V11" i="88"/>
  <c r="X11" i="88" s="1"/>
  <c r="G17" i="75"/>
  <c r="T17" i="75"/>
  <c r="U17" i="75" s="1"/>
  <c r="V17" i="75" s="1"/>
  <c r="AS11" i="88"/>
  <c r="G23" i="80"/>
  <c r="I22" i="80"/>
  <c r="H22" i="80"/>
  <c r="J22" i="80"/>
  <c r="E33" i="77"/>
  <c r="A34" i="77"/>
  <c r="J16" i="77"/>
  <c r="I16" i="77" s="1"/>
  <c r="B17" i="77"/>
  <c r="AB11" i="75"/>
  <c r="AC10" i="88"/>
  <c r="H13" i="75"/>
  <c r="U18" i="82" s="1"/>
  <c r="AH18" i="82" s="1"/>
  <c r="BF10" i="88"/>
  <c r="C18" i="88"/>
  <c r="B19" i="88"/>
  <c r="G18" i="88"/>
  <c r="D18" i="88"/>
  <c r="E18" i="88"/>
  <c r="L12" i="88"/>
  <c r="N12" i="88" s="1"/>
  <c r="I17" i="88"/>
  <c r="K17" i="88"/>
  <c r="AF17" i="88"/>
  <c r="AA17" i="75"/>
  <c r="AK22" i="82" s="1"/>
  <c r="Q17" i="75"/>
  <c r="S22" i="82" s="1"/>
  <c r="AF22" i="82" s="1"/>
  <c r="K16" i="77" l="1"/>
  <c r="Z11" i="88"/>
  <c r="AB11" i="88" s="1"/>
  <c r="W11" i="88"/>
  <c r="M12" i="88"/>
  <c r="R12" i="88"/>
  <c r="L13" i="75"/>
  <c r="BA10" i="88"/>
  <c r="I18" i="88"/>
  <c r="K18" i="88"/>
  <c r="AF18" i="88"/>
  <c r="AU11" i="88"/>
  <c r="AW11" i="88" s="1"/>
  <c r="AR11" i="88"/>
  <c r="C19" i="88"/>
  <c r="G19" i="88"/>
  <c r="B20" i="88"/>
  <c r="D19" i="88"/>
  <c r="E19" i="88"/>
  <c r="T18" i="75"/>
  <c r="U18" i="75" s="1"/>
  <c r="V18" i="75" s="1"/>
  <c r="B22" i="80"/>
  <c r="AQ12" i="75"/>
  <c r="AR12" i="75"/>
  <c r="G18" i="75"/>
  <c r="F19" i="75"/>
  <c r="B20" i="75"/>
  <c r="C19" i="75"/>
  <c r="T19" i="75" s="1"/>
  <c r="U19" i="75" s="1"/>
  <c r="V19" i="75" s="1"/>
  <c r="P19" i="75"/>
  <c r="AN19" i="75"/>
  <c r="AP19" i="75"/>
  <c r="AO19" i="75"/>
  <c r="R12" i="75"/>
  <c r="W17" i="82" s="1"/>
  <c r="AJ17" i="82" s="1"/>
  <c r="Q18" i="75"/>
  <c r="S23" i="82" s="1"/>
  <c r="AF23" i="82" s="1"/>
  <c r="AA18" i="75"/>
  <c r="AK23" i="82" s="1"/>
  <c r="E34" i="77"/>
  <c r="A35" i="77"/>
  <c r="G24" i="80"/>
  <c r="I23" i="80"/>
  <c r="J23" i="80"/>
  <c r="H23" i="80"/>
  <c r="AH12" i="88"/>
  <c r="AM12" i="88"/>
  <c r="I13" i="75"/>
  <c r="AD10" i="88"/>
  <c r="J17" i="77"/>
  <c r="I17" i="77" s="1"/>
  <c r="B18" i="77"/>
  <c r="AJ12" i="88" l="1"/>
  <c r="G25" i="80"/>
  <c r="J24" i="80"/>
  <c r="I24" i="80"/>
  <c r="H24" i="80"/>
  <c r="AB12" i="75"/>
  <c r="G19" i="75"/>
  <c r="AA19" i="75"/>
  <c r="AK24" i="82" s="1"/>
  <c r="Q19" i="75"/>
  <c r="S24" i="82" s="1"/>
  <c r="AF24" i="82" s="1"/>
  <c r="AC11" i="88"/>
  <c r="B23" i="80"/>
  <c r="B19" i="77"/>
  <c r="J18" i="77"/>
  <c r="I18" i="77" s="1"/>
  <c r="A36" i="77"/>
  <c r="E35" i="77"/>
  <c r="K17" i="77"/>
  <c r="C20" i="88"/>
  <c r="B21" i="88"/>
  <c r="G20" i="88"/>
  <c r="D20" i="88"/>
  <c r="E20" i="88"/>
  <c r="AJ13" i="75"/>
  <c r="U12" i="88"/>
  <c r="Y11" i="88"/>
  <c r="AX11" i="88"/>
  <c r="AY11" i="88" s="1"/>
  <c r="BF11" i="88" s="1"/>
  <c r="I19" i="88"/>
  <c r="K19" i="88"/>
  <c r="AF19" i="88"/>
  <c r="AT11" i="88"/>
  <c r="BC10" i="88"/>
  <c r="BE10" i="88"/>
  <c r="F20" i="75"/>
  <c r="B21" i="75"/>
  <c r="C20" i="75"/>
  <c r="T20" i="75" s="1"/>
  <c r="P20" i="75"/>
  <c r="AP20" i="75"/>
  <c r="AN20" i="75"/>
  <c r="AO20" i="75"/>
  <c r="O12" i="88"/>
  <c r="E14" i="75"/>
  <c r="M13" i="75"/>
  <c r="AP12" i="88"/>
  <c r="O13" i="75" l="1"/>
  <c r="V18" i="82" s="1"/>
  <c r="AI18" i="82" s="1"/>
  <c r="T18" i="82"/>
  <c r="AG18" i="82" s="1"/>
  <c r="H14" i="75"/>
  <c r="I20" i="88"/>
  <c r="AF20" i="88"/>
  <c r="K20" i="88"/>
  <c r="E36" i="77"/>
  <c r="A37" i="77"/>
  <c r="E37" i="77" s="1"/>
  <c r="BB11" i="88"/>
  <c r="G21" i="88"/>
  <c r="C21" i="88"/>
  <c r="B22" i="88"/>
  <c r="D21" i="88"/>
  <c r="E21" i="88"/>
  <c r="BA11" i="88"/>
  <c r="U20" i="75"/>
  <c r="T71" i="75"/>
  <c r="V12" i="88"/>
  <c r="J19" i="77"/>
  <c r="I19" i="77" s="1"/>
  <c r="B20" i="77"/>
  <c r="Q20" i="75"/>
  <c r="S25" i="82" s="1"/>
  <c r="AF25" i="82" s="1"/>
  <c r="AA20" i="75"/>
  <c r="AK25" i="82" s="1"/>
  <c r="L13" i="88"/>
  <c r="N13" i="88" s="1"/>
  <c r="B22" i="75"/>
  <c r="F21" i="75"/>
  <c r="P21" i="75"/>
  <c r="C21" i="75"/>
  <c r="T21" i="75" s="1"/>
  <c r="U21" i="75" s="1"/>
  <c r="V21" i="75" s="1"/>
  <c r="AP21" i="75"/>
  <c r="AN21" i="75"/>
  <c r="AO21" i="75"/>
  <c r="BD10" i="88"/>
  <c r="AR13" i="75"/>
  <c r="AQ13" i="75"/>
  <c r="K18" i="77"/>
  <c r="B24" i="80"/>
  <c r="AQ12" i="88"/>
  <c r="AS12" i="88" s="1"/>
  <c r="AG13" i="88"/>
  <c r="AI13" i="88" s="1"/>
  <c r="G20" i="75"/>
  <c r="BG10" i="88"/>
  <c r="N13" i="75"/>
  <c r="AN71" i="75"/>
  <c r="AD11" i="88"/>
  <c r="G26" i="80"/>
  <c r="J25" i="80"/>
  <c r="H25" i="80"/>
  <c r="I25" i="80"/>
  <c r="I14" i="75" l="1"/>
  <c r="U19" i="82"/>
  <c r="AH19" i="82" s="1"/>
  <c r="R13" i="75"/>
  <c r="W18" i="82" s="1"/>
  <c r="AJ18" i="82" s="1"/>
  <c r="E21" i="82"/>
  <c r="C22" i="88"/>
  <c r="B23" i="88"/>
  <c r="G22" i="88"/>
  <c r="D22" i="88"/>
  <c r="E22" i="88"/>
  <c r="X12" i="88"/>
  <c r="AA21" i="75"/>
  <c r="AK26" i="82" s="1"/>
  <c r="Q21" i="75"/>
  <c r="S26" i="82" s="1"/>
  <c r="AF26" i="82" s="1"/>
  <c r="BK10" i="88"/>
  <c r="BI10" i="88"/>
  <c r="F22" i="75"/>
  <c r="B23" i="75"/>
  <c r="P22" i="75"/>
  <c r="C22" i="75"/>
  <c r="T22" i="75" s="1"/>
  <c r="U22" i="75" s="1"/>
  <c r="V22" i="75" s="1"/>
  <c r="AP22" i="75"/>
  <c r="AN22" i="75"/>
  <c r="AO22" i="75"/>
  <c r="J20" i="77"/>
  <c r="I20" i="77" s="1"/>
  <c r="B21" i="77"/>
  <c r="I21" i="88"/>
  <c r="K21" i="88"/>
  <c r="AF21" i="88"/>
  <c r="BE11" i="88"/>
  <c r="K19" i="77"/>
  <c r="BC11" i="88"/>
  <c r="BD11" i="88" s="1"/>
  <c r="L14" i="75"/>
  <c r="M13" i="88"/>
  <c r="R13" i="88"/>
  <c r="AU12" i="88"/>
  <c r="AR12" i="88"/>
  <c r="U71" i="75"/>
  <c r="V20" i="75"/>
  <c r="E15" i="75"/>
  <c r="G27" i="80"/>
  <c r="H26" i="80"/>
  <c r="I26" i="80"/>
  <c r="J26" i="80"/>
  <c r="AH13" i="88"/>
  <c r="AM13" i="88"/>
  <c r="B25" i="80"/>
  <c r="M14" i="75"/>
  <c r="T19" i="82" s="1"/>
  <c r="AG19" i="82" s="1"/>
  <c r="G21" i="75"/>
  <c r="AB13" i="75" l="1"/>
  <c r="N14" i="75"/>
  <c r="C23" i="88"/>
  <c r="B24" i="88"/>
  <c r="G23" i="88"/>
  <c r="D23" i="88"/>
  <c r="E23" i="88"/>
  <c r="V71" i="75"/>
  <c r="K20" i="77"/>
  <c r="F23" i="75"/>
  <c r="B24" i="75"/>
  <c r="C23" i="75"/>
  <c r="T23" i="75" s="1"/>
  <c r="U23" i="75" s="1"/>
  <c r="V23" i="75" s="1"/>
  <c r="P23" i="75"/>
  <c r="AN23" i="75"/>
  <c r="AP23" i="75"/>
  <c r="AO23" i="75"/>
  <c r="H15" i="75"/>
  <c r="U20" i="82" s="1"/>
  <c r="AH20" i="82" s="1"/>
  <c r="B26" i="80"/>
  <c r="U13" i="88"/>
  <c r="BG11" i="88"/>
  <c r="Z12" i="88"/>
  <c r="W12" i="88"/>
  <c r="AT12" i="88"/>
  <c r="G28" i="80"/>
  <c r="I27" i="80"/>
  <c r="J27" i="80"/>
  <c r="H27" i="80"/>
  <c r="I22" i="88"/>
  <c r="K22" i="88"/>
  <c r="AF22" i="88"/>
  <c r="G22" i="75"/>
  <c r="AP13" i="88"/>
  <c r="O14" i="75"/>
  <c r="V19" i="82" s="1"/>
  <c r="AI19" i="82" s="1"/>
  <c r="AJ14" i="75"/>
  <c r="J21" i="77"/>
  <c r="I21" i="77" s="1"/>
  <c r="B22" i="77"/>
  <c r="O13" i="88"/>
  <c r="Q22" i="75"/>
  <c r="S27" i="82" s="1"/>
  <c r="AF27" i="82" s="1"/>
  <c r="AA22" i="75"/>
  <c r="AK27" i="82" s="1"/>
  <c r="AJ13" i="88"/>
  <c r="AW12" i="88"/>
  <c r="E22" i="82" l="1"/>
  <c r="AG14" i="88"/>
  <c r="AI14" i="88" s="1"/>
  <c r="AK14" i="88" s="1"/>
  <c r="L14" i="88"/>
  <c r="N14" i="88" s="1"/>
  <c r="P14" i="88" s="1"/>
  <c r="K21" i="77"/>
  <c r="AR14" i="75"/>
  <c r="AQ14" i="75"/>
  <c r="Q23" i="75"/>
  <c r="S28" i="82" s="1"/>
  <c r="AF28" i="82" s="1"/>
  <c r="AA23" i="75"/>
  <c r="AK28" i="82" s="1"/>
  <c r="J22" i="77"/>
  <c r="I22" i="77" s="1"/>
  <c r="B23" i="77"/>
  <c r="AQ13" i="88"/>
  <c r="R14" i="75"/>
  <c r="W19" i="82" s="1"/>
  <c r="AJ19" i="82" s="1"/>
  <c r="B27" i="80"/>
  <c r="G23" i="75"/>
  <c r="BI11" i="88"/>
  <c r="BK11" i="88"/>
  <c r="F24" i="75"/>
  <c r="B25" i="75"/>
  <c r="C24" i="75"/>
  <c r="T24" i="75" s="1"/>
  <c r="U24" i="75" s="1"/>
  <c r="V24" i="75" s="1"/>
  <c r="P24" i="75"/>
  <c r="AN24" i="75"/>
  <c r="AP24" i="75"/>
  <c r="AO24" i="75"/>
  <c r="AX12" i="88"/>
  <c r="AB12" i="88"/>
  <c r="I23" i="88"/>
  <c r="K23" i="88"/>
  <c r="AF23" i="88"/>
  <c r="G29" i="80"/>
  <c r="I28" i="80"/>
  <c r="J28" i="80"/>
  <c r="H28" i="80"/>
  <c r="B28" i="80" s="1"/>
  <c r="Y12" i="88"/>
  <c r="L15" i="75"/>
  <c r="G24" i="88"/>
  <c r="C24" i="88"/>
  <c r="B25" i="88"/>
  <c r="E24" i="88"/>
  <c r="D24" i="88"/>
  <c r="I15" i="75"/>
  <c r="M14" i="88" l="1"/>
  <c r="R14" i="88"/>
  <c r="AH14" i="88"/>
  <c r="AJ14" i="88" s="1"/>
  <c r="AM14" i="88"/>
  <c r="AJ15" i="75"/>
  <c r="AA24" i="75"/>
  <c r="AK29" i="82" s="1"/>
  <c r="Q24" i="75"/>
  <c r="S29" i="82" s="1"/>
  <c r="AF29" i="82" s="1"/>
  <c r="AS13" i="88"/>
  <c r="G25" i="88"/>
  <c r="C25" i="88"/>
  <c r="B26" i="88"/>
  <c r="D25" i="88"/>
  <c r="E25" i="88"/>
  <c r="E16" i="75"/>
  <c r="M15" i="75"/>
  <c r="V13" i="88"/>
  <c r="B24" i="77"/>
  <c r="J23" i="77"/>
  <c r="I23" i="77" s="1"/>
  <c r="AC12" i="88"/>
  <c r="H29" i="80"/>
  <c r="B29" i="80" s="1"/>
  <c r="I29" i="80"/>
  <c r="J29" i="80"/>
  <c r="G30" i="80"/>
  <c r="K22" i="77"/>
  <c r="BB12" i="88"/>
  <c r="G24" i="75"/>
  <c r="AB14" i="75"/>
  <c r="C25" i="75"/>
  <c r="T25" i="75" s="1"/>
  <c r="U25" i="75" s="1"/>
  <c r="V25" i="75" s="1"/>
  <c r="F25" i="75"/>
  <c r="B26" i="75"/>
  <c r="P25" i="75"/>
  <c r="AP25" i="75"/>
  <c r="AN25" i="75"/>
  <c r="AO25" i="75"/>
  <c r="AY12" i="88"/>
  <c r="I24" i="88"/>
  <c r="K24" i="88"/>
  <c r="AF24" i="88"/>
  <c r="O15" i="75" l="1"/>
  <c r="V20" i="82" s="1"/>
  <c r="AI20" i="82" s="1"/>
  <c r="T20" i="82"/>
  <c r="AG20" i="82" s="1"/>
  <c r="K23" i="77"/>
  <c r="G31" i="80"/>
  <c r="I30" i="80"/>
  <c r="H30" i="80"/>
  <c r="B30" i="80" s="1"/>
  <c r="J30" i="80"/>
  <c r="AQ15" i="75"/>
  <c r="AR15" i="75"/>
  <c r="AP14" i="88"/>
  <c r="AA25" i="75"/>
  <c r="AK30" i="82" s="1"/>
  <c r="Q25" i="75"/>
  <c r="S30" i="82" s="1"/>
  <c r="AF30" i="82" s="1"/>
  <c r="B27" i="75"/>
  <c r="F26" i="75"/>
  <c r="C26" i="75"/>
  <c r="T26" i="75" s="1"/>
  <c r="U26" i="75" s="1"/>
  <c r="V26" i="75" s="1"/>
  <c r="P26" i="75"/>
  <c r="AP26" i="75"/>
  <c r="AN26" i="75"/>
  <c r="AO26" i="75"/>
  <c r="U14" i="88"/>
  <c r="I25" i="88"/>
  <c r="K25" i="88"/>
  <c r="AF25" i="88"/>
  <c r="H16" i="75"/>
  <c r="J24" i="77"/>
  <c r="I24" i="77" s="1"/>
  <c r="B25" i="77"/>
  <c r="G25" i="75"/>
  <c r="AG15" i="88"/>
  <c r="AI15" i="88" s="1"/>
  <c r="AK15" i="88" s="1"/>
  <c r="BA12" i="88"/>
  <c r="X13" i="88"/>
  <c r="B27" i="88"/>
  <c r="G26" i="88"/>
  <c r="C26" i="88"/>
  <c r="D26" i="88"/>
  <c r="E26" i="88"/>
  <c r="O14" i="88"/>
  <c r="AU13" i="88"/>
  <c r="AR13" i="88"/>
  <c r="BF12" i="88"/>
  <c r="AD12" i="88"/>
  <c r="N15" i="75"/>
  <c r="I16" i="75" l="1"/>
  <c r="U21" i="82"/>
  <c r="AH21" i="82" s="1"/>
  <c r="R15" i="75"/>
  <c r="W20" i="82" s="1"/>
  <c r="AJ20" i="82" s="1"/>
  <c r="AH15" i="88"/>
  <c r="AJ15" i="88" s="1"/>
  <c r="AM15" i="88"/>
  <c r="AP15" i="88" s="1"/>
  <c r="J25" i="77"/>
  <c r="I25" i="77" s="1"/>
  <c r="B26" i="77"/>
  <c r="C27" i="88"/>
  <c r="B28" i="88"/>
  <c r="G27" i="88"/>
  <c r="D27" i="88"/>
  <c r="E27" i="88"/>
  <c r="Q26" i="75"/>
  <c r="S31" i="82" s="1"/>
  <c r="AF31" i="82" s="1"/>
  <c r="AA26" i="75"/>
  <c r="AK31" i="82" s="1"/>
  <c r="Z13" i="88"/>
  <c r="W13" i="88"/>
  <c r="G26" i="75"/>
  <c r="L16" i="75"/>
  <c r="G32" i="80"/>
  <c r="I31" i="80"/>
  <c r="J31" i="80"/>
  <c r="H31" i="80"/>
  <c r="B31" i="80" s="1"/>
  <c r="L15" i="88"/>
  <c r="N15" i="88" s="1"/>
  <c r="P15" i="88" s="1"/>
  <c r="AW13" i="88"/>
  <c r="F27" i="75"/>
  <c r="B28" i="75"/>
  <c r="C27" i="75"/>
  <c r="T27" i="75" s="1"/>
  <c r="U27" i="75" s="1"/>
  <c r="V27" i="75" s="1"/>
  <c r="P27" i="75"/>
  <c r="AN27" i="75"/>
  <c r="AO27" i="75"/>
  <c r="AP27" i="75"/>
  <c r="BC12" i="88"/>
  <c r="M16" i="75"/>
  <c r="T21" i="82" s="1"/>
  <c r="AG21" i="82" s="1"/>
  <c r="E17" i="75"/>
  <c r="AT13" i="88"/>
  <c r="BE12" i="88"/>
  <c r="BG12" i="88" s="1"/>
  <c r="I26" i="88"/>
  <c r="K26" i="88"/>
  <c r="AF26" i="88"/>
  <c r="K24" i="77"/>
  <c r="AB15" i="75" l="1"/>
  <c r="K25" i="77"/>
  <c r="M15" i="88"/>
  <c r="O15" i="88" s="1"/>
  <c r="R15" i="88"/>
  <c r="U15" i="88" s="1"/>
  <c r="BD12" i="88"/>
  <c r="AA27" i="75"/>
  <c r="AK32" i="82" s="1"/>
  <c r="Q27" i="75"/>
  <c r="S32" i="82" s="1"/>
  <c r="AF32" i="82" s="1"/>
  <c r="G33" i="80"/>
  <c r="J32" i="80"/>
  <c r="I32" i="80"/>
  <c r="H32" i="80"/>
  <c r="B32" i="80" s="1"/>
  <c r="Y13" i="88"/>
  <c r="B27" i="77"/>
  <c r="J26" i="77"/>
  <c r="I26" i="77" s="1"/>
  <c r="H17" i="75"/>
  <c r="AX13" i="88"/>
  <c r="G27" i="75"/>
  <c r="AQ14" i="88"/>
  <c r="F28" i="75"/>
  <c r="B29" i="75"/>
  <c r="C28" i="75"/>
  <c r="T28" i="75" s="1"/>
  <c r="U28" i="75" s="1"/>
  <c r="V28" i="75" s="1"/>
  <c r="P28" i="75"/>
  <c r="AP28" i="75"/>
  <c r="AN28" i="75"/>
  <c r="AO28" i="75"/>
  <c r="AB13" i="88"/>
  <c r="I27" i="88"/>
  <c r="K27" i="88"/>
  <c r="AF27" i="88"/>
  <c r="AG16" i="88"/>
  <c r="AI16" i="88" s="1"/>
  <c r="AK16" i="88" s="1"/>
  <c r="BI12" i="88"/>
  <c r="BK12" i="88"/>
  <c r="O16" i="75"/>
  <c r="V21" i="82" s="1"/>
  <c r="AI21" i="82" s="1"/>
  <c r="AJ16" i="75"/>
  <c r="N16" i="75"/>
  <c r="G28" i="88"/>
  <c r="C28" i="88"/>
  <c r="B29" i="88"/>
  <c r="D28" i="88"/>
  <c r="E28" i="88"/>
  <c r="I17" i="75" l="1"/>
  <c r="E18" i="75" s="1"/>
  <c r="U22" i="82"/>
  <c r="AH22" i="82" s="1"/>
  <c r="AH16" i="88"/>
  <c r="AJ16" i="88" s="1"/>
  <c r="AM16" i="88"/>
  <c r="AP16" i="88" s="1"/>
  <c r="B30" i="75"/>
  <c r="F29" i="75"/>
  <c r="C29" i="75"/>
  <c r="T29" i="75" s="1"/>
  <c r="U29" i="75" s="1"/>
  <c r="V29" i="75" s="1"/>
  <c r="P29" i="75"/>
  <c r="AP29" i="75"/>
  <c r="AN29" i="75"/>
  <c r="AO29" i="75"/>
  <c r="V14" i="88"/>
  <c r="X14" i="88" s="1"/>
  <c r="BB13" i="88"/>
  <c r="M17" i="75"/>
  <c r="T22" i="82" s="1"/>
  <c r="AG22" i="82" s="1"/>
  <c r="G28" i="75"/>
  <c r="L17" i="75"/>
  <c r="AQ16" i="75"/>
  <c r="AR16" i="75"/>
  <c r="AC13" i="88"/>
  <c r="K26" i="77"/>
  <c r="G29" i="88"/>
  <c r="C29" i="88"/>
  <c r="B30" i="88"/>
  <c r="D29" i="88"/>
  <c r="E29" i="88"/>
  <c r="R16" i="75"/>
  <c r="W21" i="82" s="1"/>
  <c r="AJ21" i="82" s="1"/>
  <c r="AA28" i="75"/>
  <c r="AK33" i="82" s="1"/>
  <c r="Q28" i="75"/>
  <c r="S33" i="82" s="1"/>
  <c r="AF33" i="82" s="1"/>
  <c r="AY13" i="88"/>
  <c r="I28" i="88"/>
  <c r="K28" i="88"/>
  <c r="AF28" i="88"/>
  <c r="AS14" i="88"/>
  <c r="J27" i="77"/>
  <c r="I27" i="77" s="1"/>
  <c r="B28" i="77"/>
  <c r="G34" i="80"/>
  <c r="J33" i="80"/>
  <c r="H33" i="80"/>
  <c r="B33" i="80" s="1"/>
  <c r="I33" i="80"/>
  <c r="L16" i="88"/>
  <c r="N16" i="88" s="1"/>
  <c r="P16" i="88" s="1"/>
  <c r="M16" i="88" l="1"/>
  <c r="O16" i="88" s="1"/>
  <c r="R16" i="88"/>
  <c r="U16" i="88" s="1"/>
  <c r="Z14" i="88"/>
  <c r="W14" i="88"/>
  <c r="BA13" i="88"/>
  <c r="BC13" i="88" s="1"/>
  <c r="I29" i="88"/>
  <c r="K29" i="88"/>
  <c r="AF29" i="88"/>
  <c r="J28" i="77"/>
  <c r="I28" i="77" s="1"/>
  <c r="B29" i="77"/>
  <c r="N17" i="75"/>
  <c r="G35" i="80"/>
  <c r="H34" i="80"/>
  <c r="B34" i="80" s="1"/>
  <c r="I34" i="80"/>
  <c r="J34" i="80"/>
  <c r="K27" i="77"/>
  <c r="BF13" i="88"/>
  <c r="AB16" i="75"/>
  <c r="Q29" i="75"/>
  <c r="S34" i="82" s="1"/>
  <c r="AF34" i="82" s="1"/>
  <c r="AA29" i="75"/>
  <c r="AK34" i="82" s="1"/>
  <c r="H18" i="75"/>
  <c r="U23" i="82" s="1"/>
  <c r="AH23" i="82" s="1"/>
  <c r="AG17" i="88"/>
  <c r="AI17" i="88" s="1"/>
  <c r="AK17" i="88" s="1"/>
  <c r="AU14" i="88"/>
  <c r="AW14" i="88" s="1"/>
  <c r="AR14" i="88"/>
  <c r="AT14" i="88" s="1"/>
  <c r="B31" i="88"/>
  <c r="G30" i="88"/>
  <c r="C30" i="88"/>
  <c r="D30" i="88"/>
  <c r="E30" i="88"/>
  <c r="AD13" i="88"/>
  <c r="O17" i="75"/>
  <c r="V22" i="82" s="1"/>
  <c r="AI22" i="82" s="1"/>
  <c r="AJ17" i="75"/>
  <c r="G29" i="75"/>
  <c r="F30" i="75"/>
  <c r="B31" i="75"/>
  <c r="C30" i="75"/>
  <c r="T30" i="75" s="1"/>
  <c r="U30" i="75" s="1"/>
  <c r="V30" i="75" s="1"/>
  <c r="P30" i="75"/>
  <c r="AP30" i="75"/>
  <c r="AN30" i="75"/>
  <c r="AO30" i="75"/>
  <c r="R17" i="75" l="1"/>
  <c r="W22" i="82" s="1"/>
  <c r="AJ22" i="82" s="1"/>
  <c r="AR17" i="75"/>
  <c r="AQ17" i="75"/>
  <c r="C31" i="88"/>
  <c r="B32" i="88"/>
  <c r="G31" i="88"/>
  <c r="D31" i="88"/>
  <c r="E31" i="88"/>
  <c r="AH17" i="88"/>
  <c r="AJ17" i="88" s="1"/>
  <c r="AM17" i="88"/>
  <c r="AP17" i="88" s="1"/>
  <c r="L18" i="75"/>
  <c r="G30" i="75"/>
  <c r="AQ15" i="88"/>
  <c r="AS15" i="88" s="1"/>
  <c r="BD13" i="88"/>
  <c r="F31" i="75"/>
  <c r="B32" i="75"/>
  <c r="P31" i="75"/>
  <c r="C31" i="75"/>
  <c r="T31" i="75" s="1"/>
  <c r="U31" i="75" s="1"/>
  <c r="V31" i="75" s="1"/>
  <c r="AP31" i="75"/>
  <c r="AO31" i="75"/>
  <c r="AN31" i="75"/>
  <c r="Q30" i="75"/>
  <c r="S35" i="82" s="1"/>
  <c r="AF35" i="82" s="1"/>
  <c r="AA30" i="75"/>
  <c r="AK35" i="82" s="1"/>
  <c r="BE13" i="88"/>
  <c r="BG13" i="88" s="1"/>
  <c r="I18" i="75"/>
  <c r="M18" i="75" s="1"/>
  <c r="T23" i="82" s="1"/>
  <c r="AG23" i="82" s="1"/>
  <c r="G36" i="80"/>
  <c r="I35" i="80"/>
  <c r="J35" i="80"/>
  <c r="H35" i="80"/>
  <c r="B35" i="80" s="1"/>
  <c r="L17" i="88"/>
  <c r="N17" i="88" s="1"/>
  <c r="P17" i="88" s="1"/>
  <c r="AX14" i="88"/>
  <c r="BB14" i="88" s="1"/>
  <c r="AB14" i="88"/>
  <c r="Y14" i="88"/>
  <c r="K28" i="77"/>
  <c r="I30" i="88"/>
  <c r="K30" i="88"/>
  <c r="AF30" i="88"/>
  <c r="J29" i="77"/>
  <c r="I29" i="77" s="1"/>
  <c r="B30" i="77"/>
  <c r="N18" i="75" l="1"/>
  <c r="AU15" i="88"/>
  <c r="AW15" i="88" s="1"/>
  <c r="AR15" i="88"/>
  <c r="AT15" i="88" s="1"/>
  <c r="K29" i="77"/>
  <c r="BK13" i="88"/>
  <c r="BI13" i="88"/>
  <c r="AG18" i="88"/>
  <c r="AI18" i="88" s="1"/>
  <c r="AK18" i="88" s="1"/>
  <c r="I31" i="88"/>
  <c r="K31" i="88"/>
  <c r="AF31" i="88"/>
  <c r="J30" i="77"/>
  <c r="I30" i="77" s="1"/>
  <c r="B31" i="77"/>
  <c r="AY14" i="88"/>
  <c r="BF14" i="88" s="1"/>
  <c r="E19" i="75"/>
  <c r="Q31" i="75"/>
  <c r="S36" i="82" s="1"/>
  <c r="AF36" i="82" s="1"/>
  <c r="AA31" i="75"/>
  <c r="AK36" i="82" s="1"/>
  <c r="G32" i="88"/>
  <c r="C32" i="88"/>
  <c r="B33" i="88"/>
  <c r="E32" i="88"/>
  <c r="D32" i="88"/>
  <c r="V15" i="88"/>
  <c r="X15" i="88" s="1"/>
  <c r="AC14" i="88"/>
  <c r="BA14" i="88" s="1"/>
  <c r="BC14" i="88" s="1"/>
  <c r="BD14" i="88" s="1"/>
  <c r="M17" i="88"/>
  <c r="O17" i="88" s="1"/>
  <c r="R17" i="88"/>
  <c r="U17" i="88" s="1"/>
  <c r="AB17" i="75"/>
  <c r="G37" i="80"/>
  <c r="I36" i="80"/>
  <c r="J36" i="80"/>
  <c r="H36" i="80"/>
  <c r="B36" i="80" s="1"/>
  <c r="F32" i="75"/>
  <c r="B33" i="75"/>
  <c r="C32" i="75"/>
  <c r="T32" i="75" s="1"/>
  <c r="P32" i="75"/>
  <c r="AP32" i="75"/>
  <c r="AO32" i="75"/>
  <c r="AN32" i="75"/>
  <c r="G31" i="75"/>
  <c r="O18" i="75"/>
  <c r="V23" i="82" s="1"/>
  <c r="AI23" i="82" s="1"/>
  <c r="AJ18" i="75"/>
  <c r="AH18" i="88" l="1"/>
  <c r="AJ18" i="88" s="1"/>
  <c r="AM18" i="88"/>
  <c r="AP18" i="88" s="1"/>
  <c r="Z15" i="88"/>
  <c r="AB15" i="88" s="1"/>
  <c r="W15" i="88"/>
  <c r="Y15" i="88" s="1"/>
  <c r="G32" i="75"/>
  <c r="AN72" i="75"/>
  <c r="I32" i="88"/>
  <c r="K32" i="88"/>
  <c r="AF32" i="88"/>
  <c r="R18" i="75"/>
  <c r="W23" i="82" s="1"/>
  <c r="AJ23" i="82" s="1"/>
  <c r="B34" i="75"/>
  <c r="F33" i="75"/>
  <c r="C33" i="75"/>
  <c r="T33" i="75" s="1"/>
  <c r="U33" i="75" s="1"/>
  <c r="V33" i="75" s="1"/>
  <c r="P33" i="75"/>
  <c r="AO33" i="75"/>
  <c r="AP33" i="75"/>
  <c r="AN33" i="75"/>
  <c r="L18" i="88"/>
  <c r="N18" i="88" s="1"/>
  <c r="P18" i="88" s="1"/>
  <c r="H19" i="75"/>
  <c r="U24" i="82" s="1"/>
  <c r="AH24" i="82" s="1"/>
  <c r="AX15" i="88"/>
  <c r="BB15" i="88" s="1"/>
  <c r="Q32" i="75"/>
  <c r="S37" i="82" s="1"/>
  <c r="AF37" i="82" s="1"/>
  <c r="AA32" i="75"/>
  <c r="AK37" i="82" s="1"/>
  <c r="H37" i="80"/>
  <c r="B37" i="80" s="1"/>
  <c r="G38" i="80"/>
  <c r="J37" i="80"/>
  <c r="I37" i="80"/>
  <c r="AD14" i="88"/>
  <c r="BE14" i="88" s="1"/>
  <c r="BG14" i="88" s="1"/>
  <c r="G33" i="88"/>
  <c r="C33" i="88"/>
  <c r="B34" i="88"/>
  <c r="D33" i="88"/>
  <c r="E33" i="88"/>
  <c r="B32" i="77"/>
  <c r="J31" i="77"/>
  <c r="I31" i="77" s="1"/>
  <c r="AQ18" i="75"/>
  <c r="AR18" i="75"/>
  <c r="T72" i="75"/>
  <c r="U32" i="75"/>
  <c r="K30" i="77"/>
  <c r="AQ16" i="88"/>
  <c r="AS16" i="88" s="1"/>
  <c r="F21" i="82" l="1"/>
  <c r="L19" i="75"/>
  <c r="B35" i="75"/>
  <c r="F34" i="75"/>
  <c r="C34" i="75"/>
  <c r="T34" i="75" s="1"/>
  <c r="U34" i="75" s="1"/>
  <c r="V34" i="75" s="1"/>
  <c r="P34" i="75"/>
  <c r="AO34" i="75"/>
  <c r="AP34" i="75"/>
  <c r="AN34" i="75"/>
  <c r="AC15" i="88"/>
  <c r="BA15" i="88" s="1"/>
  <c r="BC15" i="88" s="1"/>
  <c r="BD15" i="88" s="1"/>
  <c r="G34" i="88"/>
  <c r="C34" i="88"/>
  <c r="B35" i="88"/>
  <c r="D34" i="88"/>
  <c r="E34" i="88"/>
  <c r="AY15" i="88"/>
  <c r="BF15" i="88" s="1"/>
  <c r="G33" i="75"/>
  <c r="I19" i="75"/>
  <c r="AB18" i="75"/>
  <c r="BK14" i="88"/>
  <c r="BI14" i="88"/>
  <c r="AU16" i="88"/>
  <c r="AR16" i="88"/>
  <c r="AT16" i="88" s="1"/>
  <c r="K31" i="77"/>
  <c r="I33" i="88"/>
  <c r="K33" i="88"/>
  <c r="AF33" i="88"/>
  <c r="U72" i="75"/>
  <c r="V32" i="75"/>
  <c r="M18" i="88"/>
  <c r="O18" i="88" s="1"/>
  <c r="R18" i="88"/>
  <c r="U18" i="88" s="1"/>
  <c r="AG19" i="88"/>
  <c r="AI19" i="88" s="1"/>
  <c r="AK19" i="88" s="1"/>
  <c r="V16" i="88"/>
  <c r="X16" i="88" s="1"/>
  <c r="J32" i="77"/>
  <c r="I32" i="77" s="1"/>
  <c r="B33" i="77"/>
  <c r="G39" i="80"/>
  <c r="I38" i="80"/>
  <c r="H38" i="80"/>
  <c r="B38" i="80" s="1"/>
  <c r="J38" i="80"/>
  <c r="Q33" i="75"/>
  <c r="S38" i="82" s="1"/>
  <c r="AF38" i="82" s="1"/>
  <c r="AA33" i="75"/>
  <c r="AK38" i="82" s="1"/>
  <c r="AD15" i="88" l="1"/>
  <c r="BE15" i="88" s="1"/>
  <c r="BG15" i="88" s="1"/>
  <c r="K32" i="77"/>
  <c r="Z16" i="88"/>
  <c r="AB16" i="88" s="1"/>
  <c r="W16" i="88"/>
  <c r="Y16" i="88" s="1"/>
  <c r="C35" i="88"/>
  <c r="B36" i="88"/>
  <c r="G35" i="88"/>
  <c r="D35" i="88"/>
  <c r="E35" i="88"/>
  <c r="AQ17" i="88"/>
  <c r="AS17" i="88" s="1"/>
  <c r="F35" i="75"/>
  <c r="B36" i="75"/>
  <c r="C35" i="75"/>
  <c r="T35" i="75" s="1"/>
  <c r="U35" i="75" s="1"/>
  <c r="V35" i="75" s="1"/>
  <c r="P35" i="75"/>
  <c r="AO35" i="75"/>
  <c r="AN35" i="75"/>
  <c r="AP35" i="75"/>
  <c r="E20" i="75"/>
  <c r="M19" i="75"/>
  <c r="AJ19" i="75"/>
  <c r="AH19" i="88"/>
  <c r="AJ19" i="88" s="1"/>
  <c r="AM19" i="88"/>
  <c r="AP19" i="88" s="1"/>
  <c r="G34" i="75"/>
  <c r="L19" i="88"/>
  <c r="N19" i="88" s="1"/>
  <c r="P19" i="88" s="1"/>
  <c r="I34" i="88"/>
  <c r="K34" i="88"/>
  <c r="AF34" i="88"/>
  <c r="V72" i="75"/>
  <c r="Q34" i="75"/>
  <c r="S39" i="82" s="1"/>
  <c r="AF39" i="82" s="1"/>
  <c r="AA34" i="75"/>
  <c r="AK39" i="82" s="1"/>
  <c r="I39" i="80"/>
  <c r="G40" i="80"/>
  <c r="J39" i="80"/>
  <c r="H39" i="80"/>
  <c r="B39" i="80" s="1"/>
  <c r="J33" i="77"/>
  <c r="I33" i="77" s="1"/>
  <c r="B34" i="77"/>
  <c r="AW16" i="88"/>
  <c r="O19" i="75" l="1"/>
  <c r="V24" i="82" s="1"/>
  <c r="AI24" i="82" s="1"/>
  <c r="T24" i="82"/>
  <c r="AG24" i="82" s="1"/>
  <c r="F22" i="82"/>
  <c r="AU17" i="88"/>
  <c r="AW17" i="88" s="1"/>
  <c r="AR17" i="88"/>
  <c r="AT17" i="88" s="1"/>
  <c r="Q35" i="75"/>
  <c r="S40" i="82" s="1"/>
  <c r="AF40" i="82" s="1"/>
  <c r="AA35" i="75"/>
  <c r="AK40" i="82" s="1"/>
  <c r="AG20" i="88"/>
  <c r="AI20" i="88" s="1"/>
  <c r="AK20" i="88" s="1"/>
  <c r="F36" i="75"/>
  <c r="B37" i="75"/>
  <c r="C36" i="75"/>
  <c r="T36" i="75" s="1"/>
  <c r="U36" i="75" s="1"/>
  <c r="V36" i="75" s="1"/>
  <c r="P36" i="75"/>
  <c r="AP36" i="75"/>
  <c r="AO36" i="75"/>
  <c r="AN36" i="75"/>
  <c r="AQ19" i="75"/>
  <c r="AR19" i="75"/>
  <c r="AC16" i="88"/>
  <c r="BA16" i="88" s="1"/>
  <c r="M19" i="88"/>
  <c r="O19" i="88" s="1"/>
  <c r="R19" i="88"/>
  <c r="U19" i="88" s="1"/>
  <c r="BK15" i="88"/>
  <c r="BI15" i="88"/>
  <c r="G35" i="75"/>
  <c r="N19" i="75"/>
  <c r="I35" i="88"/>
  <c r="K35" i="88"/>
  <c r="AF35" i="88"/>
  <c r="B35" i="77"/>
  <c r="J34" i="77"/>
  <c r="I34" i="77" s="1"/>
  <c r="H20" i="75"/>
  <c r="U25" i="82" s="1"/>
  <c r="AH25" i="82" s="1"/>
  <c r="G41" i="80"/>
  <c r="J40" i="80"/>
  <c r="I40" i="80"/>
  <c r="H40" i="80"/>
  <c r="B40" i="80" s="1"/>
  <c r="R19" i="75"/>
  <c r="W24" i="82" s="1"/>
  <c r="AJ24" i="82" s="1"/>
  <c r="V17" i="88"/>
  <c r="X17" i="88" s="1"/>
  <c r="AX16" i="88"/>
  <c r="BB16" i="88" s="1"/>
  <c r="K33" i="77"/>
  <c r="G36" i="88"/>
  <c r="C36" i="88"/>
  <c r="B37" i="88"/>
  <c r="E36" i="88"/>
  <c r="D36" i="88"/>
  <c r="BC16" i="88" l="1"/>
  <c r="BD16" i="88" s="1"/>
  <c r="AY16" i="88"/>
  <c r="BF16" i="88" s="1"/>
  <c r="K34" i="77"/>
  <c r="Z17" i="88"/>
  <c r="AB17" i="88" s="1"/>
  <c r="W17" i="88"/>
  <c r="Y17" i="88" s="1"/>
  <c r="Q36" i="75"/>
  <c r="S41" i="82" s="1"/>
  <c r="AF41" i="82" s="1"/>
  <c r="AA36" i="75"/>
  <c r="AK41" i="82" s="1"/>
  <c r="G37" i="88"/>
  <c r="C37" i="88"/>
  <c r="B38" i="88"/>
  <c r="D37" i="88"/>
  <c r="E37" i="88"/>
  <c r="G42" i="80"/>
  <c r="J41" i="80"/>
  <c r="I41" i="80"/>
  <c r="H41" i="80"/>
  <c r="B41" i="80" s="1"/>
  <c r="B38" i="75"/>
  <c r="F37" i="75"/>
  <c r="P37" i="75"/>
  <c r="C37" i="75"/>
  <c r="T37" i="75" s="1"/>
  <c r="U37" i="75" s="1"/>
  <c r="V37" i="75" s="1"/>
  <c r="AP37" i="75"/>
  <c r="AO37" i="75"/>
  <c r="AN37" i="75"/>
  <c r="L20" i="75"/>
  <c r="L20" i="88"/>
  <c r="N20" i="88" s="1"/>
  <c r="P20" i="88" s="1"/>
  <c r="AX17" i="88"/>
  <c r="BB17" i="88" s="1"/>
  <c r="AQ18" i="88"/>
  <c r="AS18" i="88" s="1"/>
  <c r="AH20" i="88"/>
  <c r="AJ20" i="88" s="1"/>
  <c r="AM20" i="88"/>
  <c r="AP20" i="88" s="1"/>
  <c r="I36" i="88"/>
  <c r="AF36" i="88"/>
  <c r="K36" i="88"/>
  <c r="AB19" i="75"/>
  <c r="I20" i="75"/>
  <c r="M20" i="75" s="1"/>
  <c r="T25" i="82" s="1"/>
  <c r="AG25" i="82" s="1"/>
  <c r="AD16" i="88"/>
  <c r="BE16" i="88" s="1"/>
  <c r="BG16" i="88" s="1"/>
  <c r="J35" i="77"/>
  <c r="I35" i="77" s="1"/>
  <c r="B36" i="77"/>
  <c r="G36" i="75"/>
  <c r="AY17" i="88" l="1"/>
  <c r="BF17" i="88" s="1"/>
  <c r="K35" i="77"/>
  <c r="BK16" i="88"/>
  <c r="BI16" i="88"/>
  <c r="B39" i="75"/>
  <c r="C38" i="75"/>
  <c r="T38" i="75" s="1"/>
  <c r="U38" i="75" s="1"/>
  <c r="V38" i="75" s="1"/>
  <c r="F38" i="75"/>
  <c r="P38" i="75"/>
  <c r="AP38" i="75"/>
  <c r="AO38" i="75"/>
  <c r="AN38" i="75"/>
  <c r="G43" i="80"/>
  <c r="H42" i="80"/>
  <c r="B42" i="80" s="1"/>
  <c r="I42" i="80"/>
  <c r="J42" i="80"/>
  <c r="M20" i="88"/>
  <c r="O20" i="88" s="1"/>
  <c r="R20" i="88"/>
  <c r="U20" i="88" s="1"/>
  <c r="G37" i="75"/>
  <c r="E21" i="75"/>
  <c r="I71" i="75"/>
  <c r="N20" i="75"/>
  <c r="AC17" i="88"/>
  <c r="BA17" i="88" s="1"/>
  <c r="BC17" i="88" s="1"/>
  <c r="BD17" i="88" s="1"/>
  <c r="V18" i="88"/>
  <c r="X18" i="88" s="1"/>
  <c r="B37" i="77"/>
  <c r="J36" i="77"/>
  <c r="I36" i="77" s="1"/>
  <c r="C38" i="88"/>
  <c r="B39" i="88"/>
  <c r="G38" i="88"/>
  <c r="D38" i="88"/>
  <c r="E38" i="88"/>
  <c r="I37" i="88"/>
  <c r="K37" i="88"/>
  <c r="AF37" i="88"/>
  <c r="AU18" i="88"/>
  <c r="AW18" i="88" s="1"/>
  <c r="AR18" i="88"/>
  <c r="AT18" i="88" s="1"/>
  <c r="AG21" i="88"/>
  <c r="AI21" i="88" s="1"/>
  <c r="AK21" i="88" s="1"/>
  <c r="AJ119" i="88"/>
  <c r="O20" i="75"/>
  <c r="V25" i="82" s="1"/>
  <c r="AI25" i="82" s="1"/>
  <c r="AJ20" i="75"/>
  <c r="Q37" i="75"/>
  <c r="S42" i="82" s="1"/>
  <c r="AF42" i="82" s="1"/>
  <c r="AA37" i="75"/>
  <c r="AK42" i="82" s="1"/>
  <c r="E11" i="82" l="1"/>
  <c r="AD17" i="88"/>
  <c r="BE17" i="88" s="1"/>
  <c r="BG17" i="88" s="1"/>
  <c r="BI17" i="88" s="1"/>
  <c r="K36" i="77"/>
  <c r="Z18" i="88"/>
  <c r="AB18" i="88" s="1"/>
  <c r="W18" i="88"/>
  <c r="Y18" i="88" s="1"/>
  <c r="BK17" i="88"/>
  <c r="G38" i="75"/>
  <c r="G44" i="80"/>
  <c r="I43" i="80"/>
  <c r="J43" i="80"/>
  <c r="H43" i="80"/>
  <c r="B43" i="80" s="1"/>
  <c r="AR20" i="75"/>
  <c r="AQ20" i="75"/>
  <c r="F39" i="75"/>
  <c r="C39" i="75"/>
  <c r="T39" i="75" s="1"/>
  <c r="U39" i="75" s="1"/>
  <c r="V39" i="75" s="1"/>
  <c r="P39" i="75"/>
  <c r="B40" i="75"/>
  <c r="AO39" i="75"/>
  <c r="AP39" i="75"/>
  <c r="AN39" i="75"/>
  <c r="AH21" i="88"/>
  <c r="AJ21" i="88" s="1"/>
  <c r="AM21" i="88"/>
  <c r="AP21" i="88" s="1"/>
  <c r="R20" i="75"/>
  <c r="W25" i="82" s="1"/>
  <c r="AJ25" i="82" s="1"/>
  <c r="AX18" i="88"/>
  <c r="BB18" i="88" s="1"/>
  <c r="J37" i="77"/>
  <c r="I37" i="77" s="1"/>
  <c r="B38" i="77"/>
  <c r="N71" i="75"/>
  <c r="AQ19" i="88"/>
  <c r="AS19" i="88" s="1"/>
  <c r="L21" i="88"/>
  <c r="N21" i="88" s="1"/>
  <c r="P21" i="88" s="1"/>
  <c r="O119" i="88"/>
  <c r="I38" i="88"/>
  <c r="K38" i="88"/>
  <c r="AF38" i="88"/>
  <c r="C39" i="88"/>
  <c r="B40" i="88"/>
  <c r="G39" i="88"/>
  <c r="D39" i="88"/>
  <c r="E39" i="88"/>
  <c r="E72" i="75"/>
  <c r="H21" i="75"/>
  <c r="Q38" i="75"/>
  <c r="S43" i="82" s="1"/>
  <c r="AF43" i="82" s="1"/>
  <c r="AA38" i="75"/>
  <c r="AK43" i="82" s="1"/>
  <c r="I21" i="75" l="1"/>
  <c r="U26" i="82"/>
  <c r="AH26" i="82" s="1"/>
  <c r="F9" i="82"/>
  <c r="E22" i="75"/>
  <c r="M21" i="75"/>
  <c r="T26" i="82" s="1"/>
  <c r="AG26" i="82" s="1"/>
  <c r="AC18" i="88"/>
  <c r="BA18" i="88" s="1"/>
  <c r="BC18" i="88" s="1"/>
  <c r="BD18" i="88" s="1"/>
  <c r="AU19" i="88"/>
  <c r="AW19" i="88" s="1"/>
  <c r="AR19" i="88"/>
  <c r="AT19" i="88" s="1"/>
  <c r="AB20" i="75"/>
  <c r="M21" i="88"/>
  <c r="O21" i="88" s="1"/>
  <c r="R21" i="88"/>
  <c r="U21" i="88" s="1"/>
  <c r="AY18" i="88"/>
  <c r="BF18" i="88" s="1"/>
  <c r="J38" i="77"/>
  <c r="I38" i="77" s="1"/>
  <c r="B39" i="77"/>
  <c r="F40" i="75"/>
  <c r="B41" i="75"/>
  <c r="C40" i="75"/>
  <c r="T40" i="75" s="1"/>
  <c r="U40" i="75" s="1"/>
  <c r="V40" i="75" s="1"/>
  <c r="P40" i="75"/>
  <c r="AP40" i="75"/>
  <c r="AO40" i="75"/>
  <c r="AN40" i="75"/>
  <c r="I39" i="88"/>
  <c r="K39" i="88"/>
  <c r="AF39" i="88"/>
  <c r="K37" i="77"/>
  <c r="AG22" i="88"/>
  <c r="AI22" i="88" s="1"/>
  <c r="AK22" i="88" s="1"/>
  <c r="Q39" i="75"/>
  <c r="S44" i="82" s="1"/>
  <c r="AF44" i="82" s="1"/>
  <c r="AA39" i="75"/>
  <c r="AK44" i="82" s="1"/>
  <c r="G45" i="80"/>
  <c r="I44" i="80"/>
  <c r="J44" i="80"/>
  <c r="H44" i="80"/>
  <c r="B44" i="80" s="1"/>
  <c r="V19" i="88"/>
  <c r="X19" i="88" s="1"/>
  <c r="G39" i="75"/>
  <c r="L21" i="75"/>
  <c r="G40" i="88"/>
  <c r="C40" i="88"/>
  <c r="B41" i="88"/>
  <c r="D40" i="88"/>
  <c r="E40" i="88"/>
  <c r="K38" i="77" l="1"/>
  <c r="AH22" i="88"/>
  <c r="AJ22" i="88" s="1"/>
  <c r="AM22" i="88"/>
  <c r="AP22" i="88" s="1"/>
  <c r="Z19" i="88"/>
  <c r="W19" i="88"/>
  <c r="Y19" i="88" s="1"/>
  <c r="AD18" i="88"/>
  <c r="BE18" i="88" s="1"/>
  <c r="BG18" i="88" s="1"/>
  <c r="O21" i="75"/>
  <c r="V26" i="82" s="1"/>
  <c r="AI26" i="82" s="1"/>
  <c r="AJ21" i="75"/>
  <c r="F41" i="75"/>
  <c r="B42" i="75"/>
  <c r="C41" i="75"/>
  <c r="T41" i="75" s="1"/>
  <c r="U41" i="75" s="1"/>
  <c r="V41" i="75" s="1"/>
  <c r="P41" i="75"/>
  <c r="AO41" i="75"/>
  <c r="AN41" i="75"/>
  <c r="AP41" i="75"/>
  <c r="L22" i="88"/>
  <c r="N22" i="88" s="1"/>
  <c r="P22" i="88" s="1"/>
  <c r="AX19" i="88"/>
  <c r="BB19" i="88" s="1"/>
  <c r="N21" i="75"/>
  <c r="Q40" i="75"/>
  <c r="S45" i="82" s="1"/>
  <c r="AF45" i="82" s="1"/>
  <c r="AA40" i="75"/>
  <c r="AK45" i="82" s="1"/>
  <c r="G40" i="75"/>
  <c r="H45" i="80"/>
  <c r="B45" i="80" s="1"/>
  <c r="G46" i="80"/>
  <c r="I45" i="80"/>
  <c r="J45" i="80"/>
  <c r="B40" i="77"/>
  <c r="J39" i="77"/>
  <c r="I39" i="77" s="1"/>
  <c r="I40" i="88"/>
  <c r="K40" i="88"/>
  <c r="AF40" i="88"/>
  <c r="C41" i="88"/>
  <c r="G41" i="88"/>
  <c r="B42" i="88"/>
  <c r="D41" i="88"/>
  <c r="E41" i="88"/>
  <c r="AQ20" i="88"/>
  <c r="AS20" i="88" s="1"/>
  <c r="H22" i="75"/>
  <c r="U27" i="82" s="1"/>
  <c r="AH27" i="82" s="1"/>
  <c r="AY19" i="88" l="1"/>
  <c r="BF19" i="88" s="1"/>
  <c r="K39" i="77"/>
  <c r="AU20" i="88"/>
  <c r="AW20" i="88" s="1"/>
  <c r="AR20" i="88"/>
  <c r="AT20" i="88" s="1"/>
  <c r="M22" i="88"/>
  <c r="O22" i="88" s="1"/>
  <c r="R22" i="88"/>
  <c r="U22" i="88" s="1"/>
  <c r="Q41" i="75"/>
  <c r="S46" i="82" s="1"/>
  <c r="AF46" i="82" s="1"/>
  <c r="AA41" i="75"/>
  <c r="AK46" i="82" s="1"/>
  <c r="G47" i="80"/>
  <c r="I46" i="80"/>
  <c r="H46" i="80"/>
  <c r="B46" i="80" s="1"/>
  <c r="J46" i="80"/>
  <c r="V20" i="88"/>
  <c r="X20" i="88" s="1"/>
  <c r="R21" i="75"/>
  <c r="W26" i="82" s="1"/>
  <c r="AJ26" i="82" s="1"/>
  <c r="L22" i="75"/>
  <c r="B43" i="75"/>
  <c r="F42" i="75"/>
  <c r="C42" i="75"/>
  <c r="T42" i="75" s="1"/>
  <c r="U42" i="75" s="1"/>
  <c r="V42" i="75" s="1"/>
  <c r="P42" i="75"/>
  <c r="AP42" i="75"/>
  <c r="AO42" i="75"/>
  <c r="AN42" i="75"/>
  <c r="BK18" i="88"/>
  <c r="BI18" i="88"/>
  <c r="AQ21" i="75"/>
  <c r="AR21" i="75"/>
  <c r="C42" i="88"/>
  <c r="B43" i="88"/>
  <c r="G42" i="88"/>
  <c r="D42" i="88"/>
  <c r="E42" i="88"/>
  <c r="J40" i="77"/>
  <c r="I40" i="77" s="1"/>
  <c r="B41" i="77"/>
  <c r="I41" i="88"/>
  <c r="K41" i="88"/>
  <c r="AF41" i="88"/>
  <c r="AG23" i="88"/>
  <c r="AI23" i="88" s="1"/>
  <c r="AK23" i="88" s="1"/>
  <c r="G41" i="75"/>
  <c r="I22" i="75"/>
  <c r="M22" i="75" s="1"/>
  <c r="T27" i="82" s="1"/>
  <c r="AG27" i="82" s="1"/>
  <c r="AB19" i="88"/>
  <c r="K40" i="77" l="1"/>
  <c r="N22" i="75"/>
  <c r="AA42" i="75"/>
  <c r="AK47" i="82" s="1"/>
  <c r="Q42" i="75"/>
  <c r="S47" i="82" s="1"/>
  <c r="AF47" i="82" s="1"/>
  <c r="L23" i="88"/>
  <c r="N23" i="88" s="1"/>
  <c r="P23" i="88" s="1"/>
  <c r="Z20" i="88"/>
  <c r="AB20" i="88" s="1"/>
  <c r="W20" i="88"/>
  <c r="Y20" i="88" s="1"/>
  <c r="O22" i="75"/>
  <c r="V27" i="82" s="1"/>
  <c r="AI27" i="82" s="1"/>
  <c r="AJ22" i="75"/>
  <c r="AX20" i="88"/>
  <c r="BB20" i="88" s="1"/>
  <c r="C43" i="88"/>
  <c r="B44" i="88"/>
  <c r="G43" i="88"/>
  <c r="D43" i="88"/>
  <c r="E43" i="88"/>
  <c r="E23" i="75"/>
  <c r="AB21" i="75"/>
  <c r="AC19" i="88"/>
  <c r="BA19" i="88" s="1"/>
  <c r="BC19" i="88" s="1"/>
  <c r="BD19" i="88" s="1"/>
  <c r="I47" i="80"/>
  <c r="J47" i="80"/>
  <c r="H47" i="80"/>
  <c r="B47" i="80" s="1"/>
  <c r="G48" i="80"/>
  <c r="F43" i="75"/>
  <c r="B44" i="75"/>
  <c r="C43" i="75"/>
  <c r="T43" i="75" s="1"/>
  <c r="U43" i="75" s="1"/>
  <c r="V43" i="75" s="1"/>
  <c r="P43" i="75"/>
  <c r="AP43" i="75"/>
  <c r="AO43" i="75"/>
  <c r="AN43" i="75"/>
  <c r="AQ21" i="88"/>
  <c r="AS21" i="88" s="1"/>
  <c r="AT119" i="88"/>
  <c r="I42" i="88"/>
  <c r="K42" i="88"/>
  <c r="AF42" i="88"/>
  <c r="AH23" i="88"/>
  <c r="AJ23" i="88" s="1"/>
  <c r="AM23" i="88"/>
  <c r="AP23" i="88" s="1"/>
  <c r="G42" i="75"/>
  <c r="J41" i="77"/>
  <c r="I41" i="77" s="1"/>
  <c r="B42" i="77"/>
  <c r="AD19" i="88" l="1"/>
  <c r="BE19" i="88" s="1"/>
  <c r="BG19" i="88" s="1"/>
  <c r="BI19" i="88" s="1"/>
  <c r="AU21" i="88"/>
  <c r="AW21" i="88" s="1"/>
  <c r="AR21" i="88"/>
  <c r="AT21" i="88" s="1"/>
  <c r="M23" i="88"/>
  <c r="O23" i="88" s="1"/>
  <c r="R23" i="88"/>
  <c r="U23" i="88" s="1"/>
  <c r="B43" i="77"/>
  <c r="J42" i="77"/>
  <c r="I42" i="77" s="1"/>
  <c r="F44" i="75"/>
  <c r="B45" i="75"/>
  <c r="C44" i="75"/>
  <c r="T44" i="75" s="1"/>
  <c r="P44" i="75"/>
  <c r="AP44" i="75"/>
  <c r="AO44" i="75"/>
  <c r="AN44" i="75"/>
  <c r="I43" i="88"/>
  <c r="K43" i="88"/>
  <c r="AF43" i="88"/>
  <c r="R22" i="75"/>
  <c r="W27" i="82" s="1"/>
  <c r="AJ27" i="82" s="1"/>
  <c r="AR22" i="75"/>
  <c r="AQ22" i="75"/>
  <c r="K41" i="77"/>
  <c r="G44" i="88"/>
  <c r="C44" i="88"/>
  <c r="B45" i="88"/>
  <c r="D44" i="88"/>
  <c r="E44" i="88"/>
  <c r="AC20" i="88"/>
  <c r="BA20" i="88" s="1"/>
  <c r="BC20" i="88" s="1"/>
  <c r="BD20" i="88" s="1"/>
  <c r="Q43" i="75"/>
  <c r="S48" i="82" s="1"/>
  <c r="AF48" i="82" s="1"/>
  <c r="AA43" i="75"/>
  <c r="AK48" i="82" s="1"/>
  <c r="G49" i="80"/>
  <c r="J48" i="80"/>
  <c r="H48" i="80"/>
  <c r="B48" i="80" s="1"/>
  <c r="I48" i="80"/>
  <c r="V21" i="88"/>
  <c r="X21" i="88" s="1"/>
  <c r="Y119" i="88"/>
  <c r="H23" i="75"/>
  <c r="U28" i="82" s="1"/>
  <c r="AH28" i="82" s="1"/>
  <c r="AG24" i="88"/>
  <c r="AI24" i="88" s="1"/>
  <c r="AK24" i="88" s="1"/>
  <c r="BK19" i="88"/>
  <c r="G43" i="75"/>
  <c r="AY20" i="88"/>
  <c r="BF20" i="88" s="1"/>
  <c r="AD20" i="88" l="1"/>
  <c r="BE20" i="88" s="1"/>
  <c r="BD119" i="88"/>
  <c r="L24" i="88"/>
  <c r="N24" i="88" s="1"/>
  <c r="P24" i="88" s="1"/>
  <c r="AN73" i="75"/>
  <c r="B46" i="75"/>
  <c r="C45" i="75"/>
  <c r="T45" i="75" s="1"/>
  <c r="U45" i="75" s="1"/>
  <c r="V45" i="75" s="1"/>
  <c r="F45" i="75"/>
  <c r="P45" i="75"/>
  <c r="AP45" i="75"/>
  <c r="AO45" i="75"/>
  <c r="AN45" i="75"/>
  <c r="L23" i="75"/>
  <c r="Z21" i="88"/>
  <c r="AB21" i="88" s="1"/>
  <c r="W21" i="88"/>
  <c r="Y21" i="88" s="1"/>
  <c r="C45" i="88"/>
  <c r="B46" i="88"/>
  <c r="G45" i="88"/>
  <c r="D45" i="88"/>
  <c r="E45" i="88"/>
  <c r="J43" i="77"/>
  <c r="I43" i="77" s="1"/>
  <c r="B44" i="77"/>
  <c r="AX21" i="88"/>
  <c r="BB21" i="88" s="1"/>
  <c r="I23" i="75"/>
  <c r="AB22" i="75"/>
  <c r="K42" i="77"/>
  <c r="AH24" i="88"/>
  <c r="AJ24" i="88" s="1"/>
  <c r="AM24" i="88"/>
  <c r="AP24" i="88" s="1"/>
  <c r="BG20" i="88"/>
  <c r="G44" i="75"/>
  <c r="I44" i="88"/>
  <c r="K44" i="88"/>
  <c r="AF44" i="88"/>
  <c r="AA44" i="75"/>
  <c r="AK49" i="82" s="1"/>
  <c r="Q44" i="75"/>
  <c r="S49" i="82" s="1"/>
  <c r="AF49" i="82" s="1"/>
  <c r="AQ22" i="88"/>
  <c r="AS22" i="88" s="1"/>
  <c r="U44" i="75"/>
  <c r="T73" i="75"/>
  <c r="G50" i="80"/>
  <c r="J49" i="80"/>
  <c r="I49" i="80"/>
  <c r="H49" i="80"/>
  <c r="B49" i="80" s="1"/>
  <c r="G21" i="82" l="1"/>
  <c r="K43" i="77"/>
  <c r="AU22" i="88"/>
  <c r="AW22" i="88" s="1"/>
  <c r="AR22" i="88"/>
  <c r="AT22" i="88" s="1"/>
  <c r="BI20" i="88"/>
  <c r="BK20" i="88"/>
  <c r="J44" i="77"/>
  <c r="I44" i="77" s="1"/>
  <c r="B45" i="77"/>
  <c r="G51" i="80"/>
  <c r="H50" i="80"/>
  <c r="B50" i="80" s="1"/>
  <c r="I50" i="80"/>
  <c r="J50" i="80"/>
  <c r="E24" i="75"/>
  <c r="M23" i="75"/>
  <c r="V22" i="88"/>
  <c r="X22" i="88" s="1"/>
  <c r="Q45" i="75"/>
  <c r="AA45" i="75"/>
  <c r="AJ23" i="75"/>
  <c r="AG25" i="88"/>
  <c r="AI25" i="88" s="1"/>
  <c r="AK25" i="88" s="1"/>
  <c r="M24" i="88"/>
  <c r="O24" i="88" s="1"/>
  <c r="R24" i="88"/>
  <c r="U24" i="88" s="1"/>
  <c r="AC21" i="88"/>
  <c r="BA21" i="88" s="1"/>
  <c r="BC21" i="88" s="1"/>
  <c r="BD21" i="88" s="1"/>
  <c r="U73" i="75"/>
  <c r="V44" i="75"/>
  <c r="AY21" i="88"/>
  <c r="BF21" i="88" s="1"/>
  <c r="K45" i="88"/>
  <c r="AF45" i="88"/>
  <c r="I45" i="88"/>
  <c r="B47" i="75"/>
  <c r="F46" i="75"/>
  <c r="C46" i="75"/>
  <c r="T46" i="75" s="1"/>
  <c r="U46" i="75" s="1"/>
  <c r="V46" i="75" s="1"/>
  <c r="P46" i="75"/>
  <c r="AP46" i="75"/>
  <c r="AO46" i="75"/>
  <c r="AN46" i="75"/>
  <c r="G45" i="75"/>
  <c r="C46" i="88"/>
  <c r="B47" i="88"/>
  <c r="G46" i="88"/>
  <c r="D46" i="88"/>
  <c r="E46" i="88"/>
  <c r="O23" i="75" l="1"/>
  <c r="V28" i="82" s="1"/>
  <c r="AI28" i="82" s="1"/>
  <c r="T28" i="82"/>
  <c r="AG28" i="82" s="1"/>
  <c r="AD21" i="88"/>
  <c r="BE21" i="88" s="1"/>
  <c r="R23" i="75"/>
  <c r="W28" i="82" s="1"/>
  <c r="AJ28" i="82" s="1"/>
  <c r="Z22" i="88"/>
  <c r="AB22" i="88" s="1"/>
  <c r="W22" i="88"/>
  <c r="Y22" i="88" s="1"/>
  <c r="I46" i="88"/>
  <c r="K46" i="88"/>
  <c r="AF46" i="88"/>
  <c r="AQ23" i="75"/>
  <c r="AR23" i="75"/>
  <c r="H24" i="75"/>
  <c r="U29" i="82" s="1"/>
  <c r="AH29" i="82" s="1"/>
  <c r="C47" i="88"/>
  <c r="B48" i="88"/>
  <c r="G47" i="88"/>
  <c r="D47" i="88"/>
  <c r="E47" i="88"/>
  <c r="L25" i="88"/>
  <c r="N25" i="88" s="1"/>
  <c r="P25" i="88" s="1"/>
  <c r="AH25" i="88"/>
  <c r="AJ25" i="88" s="1"/>
  <c r="AM25" i="88"/>
  <c r="AP25" i="88" s="1"/>
  <c r="Q46" i="75"/>
  <c r="AA46" i="75"/>
  <c r="BG21" i="88"/>
  <c r="V73" i="75"/>
  <c r="AX22" i="88"/>
  <c r="BB22" i="88" s="1"/>
  <c r="G52" i="80"/>
  <c r="I51" i="80"/>
  <c r="J51" i="80"/>
  <c r="H51" i="80"/>
  <c r="B51" i="80" s="1"/>
  <c r="N23" i="75"/>
  <c r="J45" i="77"/>
  <c r="I45" i="77" s="1"/>
  <c r="B46" i="77"/>
  <c r="AQ23" i="88"/>
  <c r="AS23" i="88" s="1"/>
  <c r="G46" i="75"/>
  <c r="F47" i="75"/>
  <c r="B48" i="75"/>
  <c r="C47" i="75"/>
  <c r="T47" i="75" s="1"/>
  <c r="U47" i="75" s="1"/>
  <c r="V47" i="75" s="1"/>
  <c r="P47" i="75"/>
  <c r="AO47" i="75"/>
  <c r="AN47" i="75"/>
  <c r="AP47" i="75"/>
  <c r="K44" i="77"/>
  <c r="G22" i="82" l="1"/>
  <c r="AY22" i="88"/>
  <c r="BF22" i="88" s="1"/>
  <c r="AU23" i="88"/>
  <c r="AW23" i="88" s="1"/>
  <c r="AR23" i="88"/>
  <c r="AT23" i="88" s="1"/>
  <c r="V23" i="88"/>
  <c r="X23" i="88" s="1"/>
  <c r="Q47" i="75"/>
  <c r="AA47" i="75"/>
  <c r="I47" i="88"/>
  <c r="K47" i="88"/>
  <c r="AF47" i="88"/>
  <c r="M25" i="88"/>
  <c r="O25" i="88" s="1"/>
  <c r="R25" i="88"/>
  <c r="U25" i="88" s="1"/>
  <c r="G47" i="75"/>
  <c r="C48" i="88"/>
  <c r="B49" i="88"/>
  <c r="G48" i="88"/>
  <c r="D48" i="88"/>
  <c r="E48" i="88"/>
  <c r="AC22" i="88"/>
  <c r="BA22" i="88" s="1"/>
  <c r="BC22" i="88" s="1"/>
  <c r="BD22" i="88" s="1"/>
  <c r="F48" i="75"/>
  <c r="C48" i="75"/>
  <c r="T48" i="75" s="1"/>
  <c r="U48" i="75" s="1"/>
  <c r="V48" i="75" s="1"/>
  <c r="B49" i="75"/>
  <c r="P48" i="75"/>
  <c r="AP48" i="75"/>
  <c r="AO48" i="75"/>
  <c r="AN48" i="75"/>
  <c r="J46" i="77"/>
  <c r="I46" i="77" s="1"/>
  <c r="B47" i="77"/>
  <c r="G53" i="80"/>
  <c r="I52" i="80"/>
  <c r="J52" i="80"/>
  <c r="H52" i="80"/>
  <c r="B52" i="80" s="1"/>
  <c r="K45" i="77"/>
  <c r="BK21" i="88"/>
  <c r="BI21" i="88"/>
  <c r="AG26" i="88"/>
  <c r="AI26" i="88" s="1"/>
  <c r="AK26" i="88" s="1"/>
  <c r="L24" i="75"/>
  <c r="I24" i="75"/>
  <c r="M24" i="75" s="1"/>
  <c r="T29" i="82" s="1"/>
  <c r="AG29" i="82" s="1"/>
  <c r="AB23" i="75"/>
  <c r="N24" i="75" l="1"/>
  <c r="Z23" i="88"/>
  <c r="AB23" i="88" s="1"/>
  <c r="W23" i="88"/>
  <c r="Y23" i="88" s="1"/>
  <c r="AH26" i="88"/>
  <c r="AJ26" i="88" s="1"/>
  <c r="AM26" i="88"/>
  <c r="AP26" i="88" s="1"/>
  <c r="G54" i="80"/>
  <c r="H53" i="80"/>
  <c r="B53" i="80" s="1"/>
  <c r="I53" i="80"/>
  <c r="J53" i="80"/>
  <c r="AA48" i="75"/>
  <c r="Q48" i="75"/>
  <c r="B48" i="77"/>
  <c r="J47" i="77"/>
  <c r="I47" i="77" s="1"/>
  <c r="L26" i="88"/>
  <c r="N26" i="88" s="1"/>
  <c r="P26" i="88" s="1"/>
  <c r="K46" i="77"/>
  <c r="F49" i="75"/>
  <c r="B50" i="75"/>
  <c r="C49" i="75"/>
  <c r="T49" i="75" s="1"/>
  <c r="U49" i="75" s="1"/>
  <c r="V49" i="75" s="1"/>
  <c r="P49" i="75"/>
  <c r="AO49" i="75"/>
  <c r="AP49" i="75"/>
  <c r="AN49" i="75"/>
  <c r="AX23" i="88"/>
  <c r="BB23" i="88" s="1"/>
  <c r="I48" i="88"/>
  <c r="AF48" i="88"/>
  <c r="K48" i="88"/>
  <c r="E25" i="75"/>
  <c r="C49" i="88"/>
  <c r="B50" i="88"/>
  <c r="G49" i="88"/>
  <c r="D49" i="88"/>
  <c r="E49" i="88"/>
  <c r="AQ24" i="88"/>
  <c r="AS24" i="88" s="1"/>
  <c r="O24" i="75"/>
  <c r="V29" i="82" s="1"/>
  <c r="AI29" i="82" s="1"/>
  <c r="AJ24" i="75"/>
  <c r="AD22" i="88"/>
  <c r="BE22" i="88" s="1"/>
  <c r="BG22" i="88" s="1"/>
  <c r="G48" i="75"/>
  <c r="AU24" i="88" l="1"/>
  <c r="AW24" i="88" s="1"/>
  <c r="AR24" i="88"/>
  <c r="AT24" i="88" s="1"/>
  <c r="G49" i="75"/>
  <c r="B51" i="75"/>
  <c r="F50" i="75"/>
  <c r="C50" i="75"/>
  <c r="T50" i="75" s="1"/>
  <c r="U50" i="75" s="1"/>
  <c r="V50" i="75" s="1"/>
  <c r="P50" i="75"/>
  <c r="AO50" i="75"/>
  <c r="AP50" i="75"/>
  <c r="AN50" i="75"/>
  <c r="K47" i="77"/>
  <c r="AC23" i="88"/>
  <c r="BA23" i="88" s="1"/>
  <c r="BC23" i="88" s="1"/>
  <c r="BD23" i="88" s="1"/>
  <c r="J48" i="77"/>
  <c r="I48" i="77" s="1"/>
  <c r="B49" i="77"/>
  <c r="G55" i="80"/>
  <c r="I54" i="80"/>
  <c r="H54" i="80"/>
  <c r="B54" i="80" s="1"/>
  <c r="J54" i="80"/>
  <c r="V24" i="88"/>
  <c r="X24" i="88" s="1"/>
  <c r="C50" i="88"/>
  <c r="G50" i="88"/>
  <c r="B51" i="88"/>
  <c r="D50" i="88"/>
  <c r="E50" i="88"/>
  <c r="R24" i="75"/>
  <c r="W29" i="82" s="1"/>
  <c r="AJ29" i="82" s="1"/>
  <c r="BK22" i="88"/>
  <c r="BI22" i="88"/>
  <c r="H25" i="75"/>
  <c r="Q49" i="75"/>
  <c r="AA49" i="75"/>
  <c r="M26" i="88"/>
  <c r="O26" i="88" s="1"/>
  <c r="R26" i="88"/>
  <c r="U26" i="88" s="1"/>
  <c r="AG27" i="88"/>
  <c r="AI27" i="88" s="1"/>
  <c r="AK27" i="88" s="1"/>
  <c r="AR24" i="75"/>
  <c r="AQ24" i="75"/>
  <c r="I49" i="88"/>
  <c r="K49" i="88"/>
  <c r="AF49" i="88"/>
  <c r="AY23" i="88"/>
  <c r="BF23" i="88" s="1"/>
  <c r="I25" i="75" l="1"/>
  <c r="U30" i="82"/>
  <c r="AH30" i="82" s="1"/>
  <c r="AD23" i="88"/>
  <c r="BE23" i="88" s="1"/>
  <c r="BG23" i="88" s="1"/>
  <c r="E26" i="75"/>
  <c r="M25" i="75"/>
  <c r="T30" i="82" s="1"/>
  <c r="AG30" i="82" s="1"/>
  <c r="AH27" i="88"/>
  <c r="AJ27" i="88" s="1"/>
  <c r="AM27" i="88"/>
  <c r="AP27" i="88" s="1"/>
  <c r="I50" i="88"/>
  <c r="K50" i="88"/>
  <c r="AF50" i="88"/>
  <c r="AX24" i="88"/>
  <c r="BB24" i="88" s="1"/>
  <c r="G50" i="75"/>
  <c r="Q50" i="75"/>
  <c r="AA50" i="75"/>
  <c r="L25" i="75"/>
  <c r="AQ25" i="88"/>
  <c r="AS25" i="88" s="1"/>
  <c r="G56" i="80"/>
  <c r="I55" i="80"/>
  <c r="J55" i="80"/>
  <c r="H55" i="80"/>
  <c r="B55" i="80" s="1"/>
  <c r="C51" i="88"/>
  <c r="B52" i="88"/>
  <c r="G51" i="88"/>
  <c r="D51" i="88"/>
  <c r="E51" i="88"/>
  <c r="AB24" i="75"/>
  <c r="J49" i="77"/>
  <c r="I49" i="77" s="1"/>
  <c r="B50" i="77"/>
  <c r="F51" i="75"/>
  <c r="B52" i="75"/>
  <c r="C51" i="75"/>
  <c r="T51" i="75" s="1"/>
  <c r="U51" i="75" s="1"/>
  <c r="V51" i="75" s="1"/>
  <c r="P51" i="75"/>
  <c r="AP51" i="75"/>
  <c r="AO51" i="75"/>
  <c r="AN51" i="75"/>
  <c r="Z24" i="88"/>
  <c r="AB24" i="88" s="1"/>
  <c r="W24" i="88"/>
  <c r="Y24" i="88" s="1"/>
  <c r="L27" i="88"/>
  <c r="N27" i="88" s="1"/>
  <c r="P27" i="88" s="1"/>
  <c r="K48" i="77"/>
  <c r="BK23" i="88" l="1"/>
  <c r="BI23" i="88"/>
  <c r="AU25" i="88"/>
  <c r="AW25" i="88" s="1"/>
  <c r="AR25" i="88"/>
  <c r="AT25" i="88" s="1"/>
  <c r="M27" i="88"/>
  <c r="O27" i="88" s="1"/>
  <c r="R27" i="88"/>
  <c r="U27" i="88" s="1"/>
  <c r="AC24" i="88"/>
  <c r="BA24" i="88" s="1"/>
  <c r="BC24" i="88" s="1"/>
  <c r="BD24" i="88" s="1"/>
  <c r="K49" i="77"/>
  <c r="AY24" i="88"/>
  <c r="BF24" i="88" s="1"/>
  <c r="G51" i="75"/>
  <c r="V25" i="88"/>
  <c r="X25" i="88" s="1"/>
  <c r="AG28" i="88"/>
  <c r="AI28" i="88" s="1"/>
  <c r="AK28" i="88" s="1"/>
  <c r="B51" i="77"/>
  <c r="J50" i="77"/>
  <c r="I50" i="77" s="1"/>
  <c r="O25" i="75"/>
  <c r="V30" i="82" s="1"/>
  <c r="AI30" i="82" s="1"/>
  <c r="AJ25" i="75"/>
  <c r="Q51" i="75"/>
  <c r="AA51" i="75"/>
  <c r="I51" i="88"/>
  <c r="AF51" i="88"/>
  <c r="K51" i="88"/>
  <c r="G57" i="80"/>
  <c r="J56" i="80"/>
  <c r="I56" i="80"/>
  <c r="H56" i="80"/>
  <c r="B56" i="80" s="1"/>
  <c r="N25" i="75"/>
  <c r="F52" i="75"/>
  <c r="C52" i="75"/>
  <c r="T52" i="75" s="1"/>
  <c r="U52" i="75" s="1"/>
  <c r="V52" i="75" s="1"/>
  <c r="B53" i="75"/>
  <c r="P52" i="75"/>
  <c r="AP52" i="75"/>
  <c r="AO52" i="75"/>
  <c r="AN52" i="75"/>
  <c r="C52" i="88"/>
  <c r="B53" i="88"/>
  <c r="G52" i="88"/>
  <c r="D52" i="88"/>
  <c r="E52" i="88"/>
  <c r="H26" i="75"/>
  <c r="I26" i="75" l="1"/>
  <c r="U31" i="82"/>
  <c r="AH31" i="82" s="1"/>
  <c r="AD24" i="88"/>
  <c r="BE24" i="88" s="1"/>
  <c r="BG24" i="88" s="1"/>
  <c r="Q52" i="75"/>
  <c r="AA52" i="75"/>
  <c r="E27" i="75"/>
  <c r="R25" i="75"/>
  <c r="W30" i="82" s="1"/>
  <c r="AJ30" i="82" s="1"/>
  <c r="G52" i="75"/>
  <c r="B54" i="75"/>
  <c r="F53" i="75"/>
  <c r="C53" i="75"/>
  <c r="T53" i="75" s="1"/>
  <c r="U53" i="75" s="1"/>
  <c r="V53" i="75" s="1"/>
  <c r="P53" i="75"/>
  <c r="AP53" i="75"/>
  <c r="AO53" i="75"/>
  <c r="AN53" i="75"/>
  <c r="L28" i="88"/>
  <c r="N28" i="88" s="1"/>
  <c r="P28" i="88" s="1"/>
  <c r="G58" i="80"/>
  <c r="J57" i="80"/>
  <c r="I57" i="80"/>
  <c r="H57" i="80"/>
  <c r="B57" i="80" s="1"/>
  <c r="C53" i="88"/>
  <c r="G53" i="88"/>
  <c r="B54" i="88"/>
  <c r="D53" i="88"/>
  <c r="E53" i="88"/>
  <c r="M26" i="75"/>
  <c r="T31" i="82" s="1"/>
  <c r="AG31" i="82" s="1"/>
  <c r="J51" i="77"/>
  <c r="I51" i="77" s="1"/>
  <c r="B52" i="77"/>
  <c r="AX25" i="88"/>
  <c r="BB25" i="88" s="1"/>
  <c r="K50" i="77"/>
  <c r="I52" i="88"/>
  <c r="K52" i="88"/>
  <c r="AF52" i="88"/>
  <c r="AQ25" i="75"/>
  <c r="AR25" i="75"/>
  <c r="AH28" i="88"/>
  <c r="AJ28" i="88" s="1"/>
  <c r="AM28" i="88"/>
  <c r="AP28" i="88" s="1"/>
  <c r="Z25" i="88"/>
  <c r="W25" i="88"/>
  <c r="Y25" i="88" s="1"/>
  <c r="AQ26" i="88"/>
  <c r="AS26" i="88" s="1"/>
  <c r="L26" i="75"/>
  <c r="AY25" i="88" l="1"/>
  <c r="BF25" i="88" s="1"/>
  <c r="N26" i="75"/>
  <c r="AU26" i="88"/>
  <c r="AW26" i="88" s="1"/>
  <c r="AR26" i="88"/>
  <c r="AT26" i="88" s="1"/>
  <c r="M28" i="88"/>
  <c r="O28" i="88" s="1"/>
  <c r="R28" i="88"/>
  <c r="U28" i="88" s="1"/>
  <c r="J52" i="77"/>
  <c r="I52" i="77" s="1"/>
  <c r="B53" i="77"/>
  <c r="H27" i="75"/>
  <c r="U32" i="82" s="1"/>
  <c r="AH32" i="82" s="1"/>
  <c r="AG29" i="88"/>
  <c r="AI29" i="88" s="1"/>
  <c r="AK29" i="88" s="1"/>
  <c r="K51" i="77"/>
  <c r="I58" i="80"/>
  <c r="J58" i="80"/>
  <c r="G59" i="80"/>
  <c r="H58" i="80"/>
  <c r="B58" i="80" s="1"/>
  <c r="G53" i="75"/>
  <c r="B55" i="75"/>
  <c r="F54" i="75"/>
  <c r="C54" i="75"/>
  <c r="T54" i="75" s="1"/>
  <c r="U54" i="75" s="1"/>
  <c r="V54" i="75" s="1"/>
  <c r="P54" i="75"/>
  <c r="AP54" i="75"/>
  <c r="AO54" i="75"/>
  <c r="AN54" i="75"/>
  <c r="O26" i="75"/>
  <c r="V31" i="82" s="1"/>
  <c r="AI31" i="82" s="1"/>
  <c r="AJ26" i="75"/>
  <c r="G54" i="88"/>
  <c r="C54" i="88"/>
  <c r="B55" i="88"/>
  <c r="D54" i="88"/>
  <c r="E54" i="88"/>
  <c r="Q53" i="75"/>
  <c r="AA53" i="75"/>
  <c r="I53" i="88"/>
  <c r="K53" i="88"/>
  <c r="AF53" i="88"/>
  <c r="AB25" i="75"/>
  <c r="AB25" i="88"/>
  <c r="V26" i="88"/>
  <c r="X26" i="88" s="1"/>
  <c r="BK24" i="88"/>
  <c r="BI24" i="88"/>
  <c r="K52" i="77" l="1"/>
  <c r="AH29" i="88"/>
  <c r="AJ29" i="88" s="1"/>
  <c r="AM29" i="88"/>
  <c r="AP29" i="88" s="1"/>
  <c r="Z26" i="88"/>
  <c r="AB26" i="88" s="1"/>
  <c r="W26" i="88"/>
  <c r="Y26" i="88" s="1"/>
  <c r="G60" i="80"/>
  <c r="J59" i="80"/>
  <c r="I59" i="80"/>
  <c r="H59" i="80"/>
  <c r="B59" i="80" s="1"/>
  <c r="I54" i="88"/>
  <c r="K54" i="88"/>
  <c r="AF54" i="88"/>
  <c r="AX26" i="88"/>
  <c r="BB26" i="88" s="1"/>
  <c r="Q54" i="75"/>
  <c r="AA54" i="75"/>
  <c r="L27" i="75"/>
  <c r="AQ27" i="88"/>
  <c r="AS27" i="88" s="1"/>
  <c r="L29" i="88"/>
  <c r="N29" i="88" s="1"/>
  <c r="P29" i="88" s="1"/>
  <c r="AR26" i="75"/>
  <c r="AQ26" i="75"/>
  <c r="AC25" i="88"/>
  <c r="BA25" i="88" s="1"/>
  <c r="BC25" i="88" s="1"/>
  <c r="BD25" i="88" s="1"/>
  <c r="R26" i="75"/>
  <c r="W31" i="82" s="1"/>
  <c r="AJ31" i="82" s="1"/>
  <c r="G54" i="75"/>
  <c r="I27" i="75"/>
  <c r="C55" i="88"/>
  <c r="B56" i="88"/>
  <c r="G55" i="88"/>
  <c r="D55" i="88"/>
  <c r="E55" i="88"/>
  <c r="F55" i="75"/>
  <c r="B56" i="75"/>
  <c r="C55" i="75"/>
  <c r="T55" i="75" s="1"/>
  <c r="U55" i="75" s="1"/>
  <c r="V55" i="75" s="1"/>
  <c r="P55" i="75"/>
  <c r="AP55" i="75"/>
  <c r="AO55" i="75"/>
  <c r="AN55" i="75"/>
  <c r="J53" i="77"/>
  <c r="I53" i="77" s="1"/>
  <c r="B54" i="77"/>
  <c r="AD25" i="88" l="1"/>
  <c r="BE25" i="88" s="1"/>
  <c r="BG25" i="88" s="1"/>
  <c r="BI25" i="88" s="1"/>
  <c r="AY26" i="88"/>
  <c r="BF26" i="88" s="1"/>
  <c r="K53" i="77"/>
  <c r="AU27" i="88"/>
  <c r="AW27" i="88" s="1"/>
  <c r="AR27" i="88"/>
  <c r="AT27" i="88" s="1"/>
  <c r="M29" i="88"/>
  <c r="O29" i="88" s="1"/>
  <c r="R29" i="88"/>
  <c r="U29" i="88" s="1"/>
  <c r="AJ27" i="75"/>
  <c r="V27" i="88"/>
  <c r="X27" i="88" s="1"/>
  <c r="G55" i="75"/>
  <c r="AB26" i="75"/>
  <c r="BK25" i="88"/>
  <c r="I55" i="88"/>
  <c r="K55" i="88"/>
  <c r="AF55" i="88"/>
  <c r="E28" i="75"/>
  <c r="M27" i="75"/>
  <c r="T32" i="82" s="1"/>
  <c r="AG32" i="82" s="1"/>
  <c r="AG30" i="88"/>
  <c r="AI30" i="88" s="1"/>
  <c r="AK30" i="88" s="1"/>
  <c r="AC26" i="88"/>
  <c r="BA26" i="88" s="1"/>
  <c r="BC26" i="88" s="1"/>
  <c r="BD26" i="88" s="1"/>
  <c r="F56" i="75"/>
  <c r="B57" i="75"/>
  <c r="C56" i="75"/>
  <c r="T56" i="75" s="1"/>
  <c r="P56" i="75"/>
  <c r="AP56" i="75"/>
  <c r="AO56" i="75"/>
  <c r="AN56" i="75"/>
  <c r="J54" i="77"/>
  <c r="I54" i="77" s="1"/>
  <c r="Q55" i="75"/>
  <c r="AA55" i="75"/>
  <c r="C56" i="88"/>
  <c r="B57" i="88"/>
  <c r="G56" i="88"/>
  <c r="D56" i="88"/>
  <c r="E56" i="88"/>
  <c r="I60" i="80"/>
  <c r="G61" i="80"/>
  <c r="J60" i="80"/>
  <c r="H60" i="80"/>
  <c r="B60" i="80" s="1"/>
  <c r="AD26" i="88" l="1"/>
  <c r="BE26" i="88" s="1"/>
  <c r="BG26" i="88" s="1"/>
  <c r="BI26" i="88" s="1"/>
  <c r="K54" i="77"/>
  <c r="BK26" i="88"/>
  <c r="AH30" i="88"/>
  <c r="AJ30" i="88" s="1"/>
  <c r="AM30" i="88"/>
  <c r="AP30" i="88" s="1"/>
  <c r="J61" i="80"/>
  <c r="H61" i="80"/>
  <c r="B61" i="80" s="1"/>
  <c r="G62" i="80"/>
  <c r="I61" i="80"/>
  <c r="AN74" i="75"/>
  <c r="Z27" i="88"/>
  <c r="W27" i="88"/>
  <c r="Y27" i="88" s="1"/>
  <c r="I56" i="88"/>
  <c r="AF56" i="88"/>
  <c r="K56" i="88"/>
  <c r="C57" i="88"/>
  <c r="B58" i="88"/>
  <c r="G57" i="88"/>
  <c r="D57" i="88"/>
  <c r="E57" i="88"/>
  <c r="N27" i="75"/>
  <c r="L30" i="88"/>
  <c r="N30" i="88" s="1"/>
  <c r="P30" i="88" s="1"/>
  <c r="AX27" i="88"/>
  <c r="BB27" i="88" s="1"/>
  <c r="H28" i="75"/>
  <c r="AR27" i="75"/>
  <c r="AQ27" i="75"/>
  <c r="Q56" i="75"/>
  <c r="AA56" i="75"/>
  <c r="U56" i="75"/>
  <c r="V57" i="75" s="1"/>
  <c r="T74" i="75"/>
  <c r="O27" i="75"/>
  <c r="V32" i="82" s="1"/>
  <c r="AI32" i="82" s="1"/>
  <c r="AQ28" i="88"/>
  <c r="AS28" i="88" s="1"/>
  <c r="G56" i="75"/>
  <c r="C57" i="75"/>
  <c r="T57" i="75" s="1"/>
  <c r="U57" i="75" s="1"/>
  <c r="B58" i="75"/>
  <c r="P57" i="75"/>
  <c r="F57" i="75"/>
  <c r="AN57" i="75"/>
  <c r="AO57" i="75"/>
  <c r="AP57" i="75"/>
  <c r="I28" i="75" l="1"/>
  <c r="U33" i="82"/>
  <c r="AH33" i="82" s="1"/>
  <c r="H21" i="82"/>
  <c r="AY27" i="88"/>
  <c r="BF27" i="88" s="1"/>
  <c r="R27" i="75"/>
  <c r="W32" i="82" s="1"/>
  <c r="AJ32" i="82" s="1"/>
  <c r="G57" i="75"/>
  <c r="B59" i="88"/>
  <c r="G58" i="88"/>
  <c r="C58" i="88"/>
  <c r="D58" i="88"/>
  <c r="E58" i="88"/>
  <c r="AB27" i="88"/>
  <c r="I62" i="80"/>
  <c r="G63" i="80"/>
  <c r="H62" i="80"/>
  <c r="B62" i="80" s="1"/>
  <c r="J62" i="80"/>
  <c r="AG31" i="88"/>
  <c r="AI31" i="88" s="1"/>
  <c r="AK31" i="88" s="1"/>
  <c r="F58" i="75"/>
  <c r="B59" i="75"/>
  <c r="C58" i="75"/>
  <c r="T58" i="75" s="1"/>
  <c r="U58" i="75" s="1"/>
  <c r="P58" i="75"/>
  <c r="V58" i="75"/>
  <c r="AP58" i="75"/>
  <c r="AO58" i="75"/>
  <c r="AN58" i="75"/>
  <c r="E29" i="75"/>
  <c r="L28" i="75"/>
  <c r="V28" i="88"/>
  <c r="X28" i="88" s="1"/>
  <c r="AU28" i="88"/>
  <c r="AW28" i="88" s="1"/>
  <c r="AR28" i="88"/>
  <c r="AT28" i="88" s="1"/>
  <c r="M28" i="75"/>
  <c r="T33" i="82" s="1"/>
  <c r="AG33" i="82" s="1"/>
  <c r="U74" i="75"/>
  <c r="V56" i="75"/>
  <c r="M30" i="88"/>
  <c r="O30" i="88" s="1"/>
  <c r="R30" i="88"/>
  <c r="U30" i="88" s="1"/>
  <c r="AA57" i="75"/>
  <c r="Q57" i="75"/>
  <c r="I57" i="88"/>
  <c r="K57" i="88"/>
  <c r="AF57" i="88"/>
  <c r="N28" i="75" l="1"/>
  <c r="AX28" i="88"/>
  <c r="BB28" i="88" s="1"/>
  <c r="Z28" i="88"/>
  <c r="AB28" i="88" s="1"/>
  <c r="W28" i="88"/>
  <c r="Y28" i="88" s="1"/>
  <c r="AH31" i="88"/>
  <c r="AJ31" i="88" s="1"/>
  <c r="AM31" i="88"/>
  <c r="AP31" i="88" s="1"/>
  <c r="AC27" i="88"/>
  <c r="BA27" i="88" s="1"/>
  <c r="BC27" i="88" s="1"/>
  <c r="BD27" i="88" s="1"/>
  <c r="L31" i="88"/>
  <c r="N31" i="88" s="1"/>
  <c r="P31" i="88" s="1"/>
  <c r="I58" i="88"/>
  <c r="K58" i="88"/>
  <c r="AF58" i="88"/>
  <c r="G58" i="75"/>
  <c r="AB27" i="75"/>
  <c r="F59" i="75"/>
  <c r="B60" i="75"/>
  <c r="C59" i="75"/>
  <c r="T59" i="75" s="1"/>
  <c r="U59" i="75" s="1"/>
  <c r="P59" i="75"/>
  <c r="V59" i="75"/>
  <c r="AP59" i="75"/>
  <c r="AN59" i="75"/>
  <c r="AO59" i="75"/>
  <c r="C59" i="88"/>
  <c r="B60" i="88"/>
  <c r="G59" i="88"/>
  <c r="D59" i="88"/>
  <c r="E59" i="88"/>
  <c r="V74" i="75"/>
  <c r="AQ29" i="88"/>
  <c r="AS29" i="88" s="1"/>
  <c r="O28" i="75"/>
  <c r="V33" i="82" s="1"/>
  <c r="AI33" i="82" s="1"/>
  <c r="AJ28" i="75"/>
  <c r="I63" i="80"/>
  <c r="J63" i="80"/>
  <c r="G64" i="80"/>
  <c r="H63" i="80"/>
  <c r="B63" i="80" s="1"/>
  <c r="H29" i="75"/>
  <c r="AA58" i="75"/>
  <c r="Q58" i="75"/>
  <c r="I29" i="75" l="1"/>
  <c r="U34" i="82"/>
  <c r="AH34" i="82" s="1"/>
  <c r="H22" i="82"/>
  <c r="AY28" i="88"/>
  <c r="BF28" i="88" s="1"/>
  <c r="E30" i="75"/>
  <c r="M29" i="75"/>
  <c r="T34" i="82" s="1"/>
  <c r="AG34" i="82" s="1"/>
  <c r="AU29" i="88"/>
  <c r="AW29" i="88" s="1"/>
  <c r="AR29" i="88"/>
  <c r="AT29" i="88" s="1"/>
  <c r="AC28" i="88"/>
  <c r="BA28" i="88" s="1"/>
  <c r="BC28" i="88" s="1"/>
  <c r="BD28" i="88" s="1"/>
  <c r="I59" i="88"/>
  <c r="K59" i="88"/>
  <c r="AF59" i="88"/>
  <c r="AA59" i="75"/>
  <c r="Q59" i="75"/>
  <c r="G59" i="75"/>
  <c r="AD27" i="88"/>
  <c r="BE27" i="88" s="1"/>
  <c r="BG27" i="88" s="1"/>
  <c r="V29" i="88"/>
  <c r="X29" i="88" s="1"/>
  <c r="L29" i="75"/>
  <c r="M31" i="88"/>
  <c r="O31" i="88" s="1"/>
  <c r="R31" i="88"/>
  <c r="U31" i="88" s="1"/>
  <c r="C60" i="88"/>
  <c r="B61" i="88"/>
  <c r="G60" i="88"/>
  <c r="D60" i="88"/>
  <c r="E60" i="88"/>
  <c r="AR28" i="75"/>
  <c r="AQ28" i="75"/>
  <c r="B61" i="75"/>
  <c r="F60" i="75"/>
  <c r="C60" i="75"/>
  <c r="T60" i="75" s="1"/>
  <c r="U60" i="75" s="1"/>
  <c r="P60" i="75"/>
  <c r="V60" i="75"/>
  <c r="AP60" i="75"/>
  <c r="AO60" i="75"/>
  <c r="AN60" i="75"/>
  <c r="AG32" i="88"/>
  <c r="AI32" i="88" s="1"/>
  <c r="AK32" i="88" s="1"/>
  <c r="G65" i="80"/>
  <c r="I64" i="80"/>
  <c r="J64" i="80"/>
  <c r="H64" i="80"/>
  <c r="B64" i="80" s="1"/>
  <c r="R28" i="75"/>
  <c r="W33" i="82" s="1"/>
  <c r="AJ33" i="82" s="1"/>
  <c r="AD28" i="88" l="1"/>
  <c r="BE28" i="88" s="1"/>
  <c r="BG28" i="88" s="1"/>
  <c r="BK28" i="88" s="1"/>
  <c r="AH32" i="88"/>
  <c r="AJ32" i="88" s="1"/>
  <c r="AM32" i="88"/>
  <c r="AP32" i="88" s="1"/>
  <c r="L32" i="88"/>
  <c r="N32" i="88" s="1"/>
  <c r="P32" i="88" s="1"/>
  <c r="AX29" i="88"/>
  <c r="BB29" i="88" s="1"/>
  <c r="C61" i="88"/>
  <c r="B62" i="88"/>
  <c r="G61" i="88"/>
  <c r="D61" i="88"/>
  <c r="E61" i="88"/>
  <c r="AB28" i="75"/>
  <c r="BI27" i="88"/>
  <c r="BK27" i="88"/>
  <c r="N29" i="75"/>
  <c r="I60" i="88"/>
  <c r="K60" i="88"/>
  <c r="AF60" i="88"/>
  <c r="Q60" i="75"/>
  <c r="AA60" i="75"/>
  <c r="O29" i="75"/>
  <c r="V34" i="82" s="1"/>
  <c r="AI34" i="82" s="1"/>
  <c r="AJ29" i="75"/>
  <c r="G60" i="75"/>
  <c r="Z29" i="88"/>
  <c r="AB29" i="88" s="1"/>
  <c r="W29" i="88"/>
  <c r="Y29" i="88" s="1"/>
  <c r="C61" i="75"/>
  <c r="T61" i="75" s="1"/>
  <c r="U61" i="75" s="1"/>
  <c r="B62" i="75"/>
  <c r="F61" i="75"/>
  <c r="P61" i="75"/>
  <c r="V61" i="75"/>
  <c r="AP61" i="75"/>
  <c r="AN61" i="75"/>
  <c r="AO61" i="75"/>
  <c r="G66" i="80"/>
  <c r="J65" i="80"/>
  <c r="I65" i="80"/>
  <c r="H65" i="80"/>
  <c r="B65" i="80" s="1"/>
  <c r="AQ30" i="88"/>
  <c r="AS30" i="88" s="1"/>
  <c r="H30" i="75"/>
  <c r="U35" i="82" s="1"/>
  <c r="AH35" i="82" s="1"/>
  <c r="BI28" i="88" l="1"/>
  <c r="AY29" i="88"/>
  <c r="BF29" i="88" s="1"/>
  <c r="M32" i="88"/>
  <c r="O32" i="88" s="1"/>
  <c r="R32" i="88"/>
  <c r="U32" i="88" s="1"/>
  <c r="AC29" i="88"/>
  <c r="BA29" i="88" s="1"/>
  <c r="BC29" i="88" s="1"/>
  <c r="BD29" i="88" s="1"/>
  <c r="AU30" i="88"/>
  <c r="AR30" i="88"/>
  <c r="AT30" i="88" s="1"/>
  <c r="L30" i="75"/>
  <c r="I61" i="88"/>
  <c r="K61" i="88"/>
  <c r="AF61" i="88"/>
  <c r="G62" i="88"/>
  <c r="B63" i="88"/>
  <c r="C62" i="88"/>
  <c r="D62" i="88"/>
  <c r="E62" i="88"/>
  <c r="G61" i="75"/>
  <c r="AR29" i="75"/>
  <c r="AQ29" i="75"/>
  <c r="AG33" i="88"/>
  <c r="AI33" i="88" s="1"/>
  <c r="AK33" i="88" s="1"/>
  <c r="AJ120" i="88"/>
  <c r="F62" i="75"/>
  <c r="B63" i="75"/>
  <c r="C62" i="75"/>
  <c r="T62" i="75" s="1"/>
  <c r="U62" i="75" s="1"/>
  <c r="V62" i="75"/>
  <c r="P62" i="75"/>
  <c r="AP62" i="75"/>
  <c r="AO62" i="75"/>
  <c r="AN62" i="75"/>
  <c r="R29" i="75"/>
  <c r="W34" i="82" s="1"/>
  <c r="AJ34" i="82" s="1"/>
  <c r="AA61" i="75"/>
  <c r="Q61" i="75"/>
  <c r="I30" i="75"/>
  <c r="M30" i="75" s="1"/>
  <c r="T35" i="82" s="1"/>
  <c r="AG35" i="82" s="1"/>
  <c r="I66" i="80"/>
  <c r="J66" i="80"/>
  <c r="G67" i="80"/>
  <c r="H66" i="80"/>
  <c r="B66" i="80" s="1"/>
  <c r="V30" i="88"/>
  <c r="X30" i="88" s="1"/>
  <c r="AD29" i="88" l="1"/>
  <c r="BE29" i="88" s="1"/>
  <c r="BG29" i="88" s="1"/>
  <c r="BI29" i="88" s="1"/>
  <c r="Z30" i="88"/>
  <c r="AB30" i="88" s="1"/>
  <c r="W30" i="88"/>
  <c r="Y30" i="88" s="1"/>
  <c r="BK29" i="88"/>
  <c r="N30" i="75"/>
  <c r="AB29" i="75"/>
  <c r="AH33" i="88"/>
  <c r="AJ33" i="88" s="1"/>
  <c r="AM33" i="88"/>
  <c r="AP33" i="88" s="1"/>
  <c r="G62" i="75"/>
  <c r="G68" i="80"/>
  <c r="J67" i="80"/>
  <c r="I67" i="80"/>
  <c r="H67" i="80"/>
  <c r="B67" i="80" s="1"/>
  <c r="AQ31" i="88"/>
  <c r="AS31" i="88" s="1"/>
  <c r="AA62" i="75"/>
  <c r="Q62" i="75"/>
  <c r="I62" i="88"/>
  <c r="K62" i="88"/>
  <c r="AF62" i="88"/>
  <c r="F63" i="75"/>
  <c r="B64" i="75"/>
  <c r="C63" i="75"/>
  <c r="T63" i="75" s="1"/>
  <c r="U63" i="75" s="1"/>
  <c r="P63" i="75"/>
  <c r="V63" i="75"/>
  <c r="AN63" i="75"/>
  <c r="AO63" i="75"/>
  <c r="AP63" i="75"/>
  <c r="O30" i="75"/>
  <c r="V35" i="82" s="1"/>
  <c r="AI35" i="82" s="1"/>
  <c r="AJ30" i="75"/>
  <c r="E31" i="75"/>
  <c r="C63" i="88"/>
  <c r="B64" i="88"/>
  <c r="G63" i="88"/>
  <c r="D63" i="88"/>
  <c r="E63" i="88"/>
  <c r="AW30" i="88"/>
  <c r="L33" i="88"/>
  <c r="N33" i="88" s="1"/>
  <c r="P33" i="88" s="1"/>
  <c r="O120" i="88"/>
  <c r="AU31" i="88" l="1"/>
  <c r="AW31" i="88" s="1"/>
  <c r="AR31" i="88"/>
  <c r="AT31" i="88" s="1"/>
  <c r="F64" i="75"/>
  <c r="B65" i="75"/>
  <c r="C64" i="75"/>
  <c r="T64" i="75" s="1"/>
  <c r="U64" i="75" s="1"/>
  <c r="P64" i="75"/>
  <c r="V64" i="75"/>
  <c r="AP64" i="75"/>
  <c r="AO64" i="75"/>
  <c r="AN64" i="75"/>
  <c r="AG34" i="88"/>
  <c r="AI34" i="88" s="1"/>
  <c r="AK34" i="88" s="1"/>
  <c r="H31" i="75"/>
  <c r="U36" i="82" s="1"/>
  <c r="AH36" i="82" s="1"/>
  <c r="AC30" i="88"/>
  <c r="BA30" i="88" s="1"/>
  <c r="I63" i="88"/>
  <c r="K63" i="88"/>
  <c r="AF63" i="88"/>
  <c r="AR30" i="75"/>
  <c r="AQ30" i="75"/>
  <c r="M33" i="88"/>
  <c r="O33" i="88" s="1"/>
  <c r="R33" i="88"/>
  <c r="U33" i="88" s="1"/>
  <c r="AX30" i="88"/>
  <c r="BB30" i="88" s="1"/>
  <c r="C64" i="88"/>
  <c r="B65" i="88"/>
  <c r="G64" i="88"/>
  <c r="D64" i="88"/>
  <c r="E64" i="88"/>
  <c r="V31" i="88"/>
  <c r="X31" i="88" s="1"/>
  <c r="R30" i="75"/>
  <c r="W35" i="82" s="1"/>
  <c r="AJ35" i="82" s="1"/>
  <c r="I68" i="80"/>
  <c r="G69" i="80"/>
  <c r="H68" i="80"/>
  <c r="B68" i="80" s="1"/>
  <c r="J68" i="80"/>
  <c r="G63" i="75"/>
  <c r="AA63" i="75"/>
  <c r="Q63" i="75"/>
  <c r="AY30" i="88" l="1"/>
  <c r="BF30" i="88" s="1"/>
  <c r="Z31" i="88"/>
  <c r="AB31" i="88" s="1"/>
  <c r="W31" i="88"/>
  <c r="Y31" i="88" s="1"/>
  <c r="L31" i="75"/>
  <c r="AH34" i="88"/>
  <c r="AJ34" i="88" s="1"/>
  <c r="AM34" i="88"/>
  <c r="AP34" i="88" s="1"/>
  <c r="AX31" i="88"/>
  <c r="BB31" i="88" s="1"/>
  <c r="Q64" i="75"/>
  <c r="AA64" i="75"/>
  <c r="J69" i="80"/>
  <c r="H69" i="80"/>
  <c r="B69" i="80" s="1"/>
  <c r="G70" i="80"/>
  <c r="I69" i="80"/>
  <c r="AB30" i="75"/>
  <c r="G64" i="75"/>
  <c r="I64" i="88"/>
  <c r="AF64" i="88"/>
  <c r="K64" i="88"/>
  <c r="L34" i="88"/>
  <c r="N34" i="88" s="1"/>
  <c r="P34" i="88" s="1"/>
  <c r="I31" i="75"/>
  <c r="AQ32" i="88"/>
  <c r="AS32" i="88" s="1"/>
  <c r="BC30" i="88"/>
  <c r="BD30" i="88" s="1"/>
  <c r="C65" i="75"/>
  <c r="T65" i="75" s="1"/>
  <c r="U65" i="75" s="1"/>
  <c r="F65" i="75"/>
  <c r="B66" i="75"/>
  <c r="P65" i="75"/>
  <c r="V65" i="75"/>
  <c r="AN65" i="75"/>
  <c r="AO65" i="75"/>
  <c r="AP65" i="75"/>
  <c r="C65" i="88"/>
  <c r="B66" i="88"/>
  <c r="G65" i="88"/>
  <c r="D65" i="88"/>
  <c r="E65" i="88"/>
  <c r="AD30" i="88"/>
  <c r="BE30" i="88" s="1"/>
  <c r="BG30" i="88" l="1"/>
  <c r="M34" i="88"/>
  <c r="O34" i="88" s="1"/>
  <c r="R34" i="88"/>
  <c r="U34" i="88" s="1"/>
  <c r="AU32" i="88"/>
  <c r="AW32" i="88" s="1"/>
  <c r="AR32" i="88"/>
  <c r="AT32" i="88" s="1"/>
  <c r="AA65" i="75"/>
  <c r="Q65" i="75"/>
  <c r="AG35" i="88"/>
  <c r="AI35" i="88" s="1"/>
  <c r="AK35" i="88" s="1"/>
  <c r="F66" i="75"/>
  <c r="B67" i="75"/>
  <c r="C66" i="75"/>
  <c r="T66" i="75" s="1"/>
  <c r="U66" i="75" s="1"/>
  <c r="P66" i="75"/>
  <c r="V66" i="75"/>
  <c r="AO66" i="75"/>
  <c r="AP66" i="75"/>
  <c r="AN66" i="75"/>
  <c r="E32" i="75"/>
  <c r="M31" i="75"/>
  <c r="G65" i="75"/>
  <c r="BK30" i="88"/>
  <c r="BI30" i="88"/>
  <c r="AC31" i="88"/>
  <c r="BA31" i="88" s="1"/>
  <c r="BC31" i="88" s="1"/>
  <c r="BD31" i="88" s="1"/>
  <c r="I70" i="80"/>
  <c r="G71" i="80"/>
  <c r="H70" i="80"/>
  <c r="B70" i="80" s="1"/>
  <c r="J70" i="80"/>
  <c r="AY31" i="88"/>
  <c r="BF31" i="88" s="1"/>
  <c r="V32" i="88"/>
  <c r="X32" i="88" s="1"/>
  <c r="I65" i="88"/>
  <c r="K65" i="88"/>
  <c r="AF65" i="88"/>
  <c r="G66" i="88"/>
  <c r="C66" i="88"/>
  <c r="B67" i="88"/>
  <c r="D66" i="88"/>
  <c r="E66" i="88"/>
  <c r="AJ31" i="75"/>
  <c r="O31" i="75" l="1"/>
  <c r="V36" i="82" s="1"/>
  <c r="AI36" i="82" s="1"/>
  <c r="T36" i="82"/>
  <c r="AG36" i="82" s="1"/>
  <c r="AH35" i="88"/>
  <c r="AJ35" i="88" s="1"/>
  <c r="AM35" i="88"/>
  <c r="AP35" i="88" s="1"/>
  <c r="AD31" i="88"/>
  <c r="BE31" i="88" s="1"/>
  <c r="G66" i="75"/>
  <c r="AQ33" i="88"/>
  <c r="AS33" i="88" s="1"/>
  <c r="AT120" i="88"/>
  <c r="I71" i="80"/>
  <c r="J71" i="80"/>
  <c r="G72" i="80"/>
  <c r="H71" i="80"/>
  <c r="B71" i="80" s="1"/>
  <c r="AX32" i="88"/>
  <c r="BB32" i="88" s="1"/>
  <c r="AQ31" i="75"/>
  <c r="AR31" i="75"/>
  <c r="C67" i="88"/>
  <c r="B68" i="88"/>
  <c r="G67" i="88"/>
  <c r="D67" i="88"/>
  <c r="E67" i="88"/>
  <c r="N31" i="75"/>
  <c r="Q66" i="75"/>
  <c r="AA66" i="75"/>
  <c r="R31" i="75"/>
  <c r="W36" i="82" s="1"/>
  <c r="AJ36" i="82" s="1"/>
  <c r="I66" i="88"/>
  <c r="K66" i="88"/>
  <c r="AF66" i="88"/>
  <c r="F67" i="75"/>
  <c r="B68" i="75"/>
  <c r="C67" i="75"/>
  <c r="T67" i="75" s="1"/>
  <c r="U67" i="75" s="1"/>
  <c r="P67" i="75"/>
  <c r="V67" i="75"/>
  <c r="AP67" i="75"/>
  <c r="AN67" i="75"/>
  <c r="AO67" i="75"/>
  <c r="Z32" i="88"/>
  <c r="AB32" i="88" s="1"/>
  <c r="W32" i="88"/>
  <c r="Y32" i="88" s="1"/>
  <c r="H32" i="75"/>
  <c r="U37" i="82" s="1"/>
  <c r="AH37" i="82" s="1"/>
  <c r="BG31" i="88"/>
  <c r="L35" i="88"/>
  <c r="N35" i="88" s="1"/>
  <c r="P35" i="88" s="1"/>
  <c r="AY32" i="88" l="1"/>
  <c r="BF32" i="88" s="1"/>
  <c r="AU33" i="88"/>
  <c r="AW33" i="88" s="1"/>
  <c r="AR33" i="88"/>
  <c r="AT33" i="88" s="1"/>
  <c r="L32" i="75"/>
  <c r="M35" i="88"/>
  <c r="O35" i="88" s="1"/>
  <c r="R35" i="88"/>
  <c r="U35" i="88" s="1"/>
  <c r="AB31" i="75"/>
  <c r="I32" i="75"/>
  <c r="M32" i="75" s="1"/>
  <c r="T37" i="82" s="1"/>
  <c r="AG37" i="82" s="1"/>
  <c r="AA67" i="75"/>
  <c r="Q67" i="75"/>
  <c r="I67" i="88"/>
  <c r="K67" i="88"/>
  <c r="AF67" i="88"/>
  <c r="C68" i="88"/>
  <c r="B69" i="88"/>
  <c r="G68" i="88"/>
  <c r="E68" i="88"/>
  <c r="D68" i="88"/>
  <c r="G73" i="80"/>
  <c r="I72" i="80"/>
  <c r="J72" i="80"/>
  <c r="H72" i="80"/>
  <c r="B72" i="80" s="1"/>
  <c r="AC32" i="88"/>
  <c r="BA32" i="88" s="1"/>
  <c r="BC32" i="88" s="1"/>
  <c r="BD32" i="88" s="1"/>
  <c r="V33" i="88"/>
  <c r="X33" i="88" s="1"/>
  <c r="Y120" i="88"/>
  <c r="F68" i="75"/>
  <c r="F4" i="75" s="1"/>
  <c r="C68" i="75"/>
  <c r="P68" i="75"/>
  <c r="V68" i="75"/>
  <c r="AP68" i="75"/>
  <c r="AP69" i="75" s="1"/>
  <c r="AO68" i="75"/>
  <c r="AO69" i="75" s="1"/>
  <c r="AN68" i="75"/>
  <c r="AN75" i="75" s="1"/>
  <c r="G67" i="75"/>
  <c r="AG36" i="88"/>
  <c r="AI36" i="88" s="1"/>
  <c r="AK36" i="88" s="1"/>
  <c r="BI31" i="88"/>
  <c r="BK31" i="88"/>
  <c r="AD32" i="88" l="1"/>
  <c r="BE32" i="88" s="1"/>
  <c r="BG32" i="88" s="1"/>
  <c r="BK32" i="88" s="1"/>
  <c r="Z33" i="88"/>
  <c r="AB33" i="88" s="1"/>
  <c r="W33" i="88"/>
  <c r="Y33" i="88" s="1"/>
  <c r="AH36" i="88"/>
  <c r="AJ36" i="88" s="1"/>
  <c r="AM36" i="88"/>
  <c r="AP36" i="88" s="1"/>
  <c r="G74" i="80"/>
  <c r="J73" i="80"/>
  <c r="I73" i="80"/>
  <c r="H73" i="80"/>
  <c r="B73" i="80" s="1"/>
  <c r="BD120" i="88"/>
  <c r="V75" i="75"/>
  <c r="Q68" i="75"/>
  <c r="Q75" i="75" s="1"/>
  <c r="AA68" i="75"/>
  <c r="AA75" i="75" s="1"/>
  <c r="P69" i="75"/>
  <c r="N32" i="75"/>
  <c r="O32" i="75"/>
  <c r="AJ32" i="75"/>
  <c r="AJ72" i="75" s="1"/>
  <c r="T68" i="75"/>
  <c r="AP71" i="75"/>
  <c r="AO71" i="75"/>
  <c r="AO75" i="75"/>
  <c r="F71" i="75"/>
  <c r="F75" i="75"/>
  <c r="AP74" i="75"/>
  <c r="H72" i="75"/>
  <c r="F73" i="75"/>
  <c r="F72" i="75"/>
  <c r="AA72" i="75"/>
  <c r="AO72" i="75"/>
  <c r="M72" i="75"/>
  <c r="AO74" i="75"/>
  <c r="P75" i="75"/>
  <c r="P74" i="75"/>
  <c r="P71" i="75"/>
  <c r="AA73" i="75"/>
  <c r="AO73" i="75"/>
  <c r="Q74" i="75"/>
  <c r="Q73" i="75"/>
  <c r="L72" i="75"/>
  <c r="P72" i="75"/>
  <c r="Q72" i="75"/>
  <c r="AA74" i="75"/>
  <c r="F74" i="75"/>
  <c r="AP72" i="75"/>
  <c r="AP75" i="75"/>
  <c r="P73" i="75"/>
  <c r="AP73" i="75"/>
  <c r="AX33" i="88"/>
  <c r="BB33" i="88" s="1"/>
  <c r="L36" i="88"/>
  <c r="N36" i="88" s="1"/>
  <c r="P36" i="88" s="1"/>
  <c r="AQ34" i="88"/>
  <c r="AS34" i="88" s="1"/>
  <c r="C69" i="88"/>
  <c r="G69" i="88"/>
  <c r="B70" i="88"/>
  <c r="D69" i="88"/>
  <c r="E69" i="88"/>
  <c r="F69" i="75"/>
  <c r="G68" i="75"/>
  <c r="I68" i="88"/>
  <c r="K68" i="88"/>
  <c r="AF68" i="88"/>
  <c r="E33" i="75"/>
  <c r="I72" i="75"/>
  <c r="BI32" i="88" l="1"/>
  <c r="O72" i="75"/>
  <c r="V37" i="82"/>
  <c r="AI37" i="82" s="1"/>
  <c r="F11" i="82"/>
  <c r="G17" i="82"/>
  <c r="H23" i="82"/>
  <c r="F17" i="82"/>
  <c r="I17" i="82"/>
  <c r="I23" i="82"/>
  <c r="I22" i="82"/>
  <c r="F14" i="82"/>
  <c r="G23" i="82"/>
  <c r="H17" i="82"/>
  <c r="F15" i="82"/>
  <c r="F23" i="82"/>
  <c r="F10" i="82"/>
  <c r="F16" i="82"/>
  <c r="AP76" i="75"/>
  <c r="AC33" i="88"/>
  <c r="BA33" i="88" s="1"/>
  <c r="M36" i="88"/>
  <c r="O36" i="88" s="1"/>
  <c r="R36" i="88"/>
  <c r="U36" i="88" s="1"/>
  <c r="AG37" i="88"/>
  <c r="AI37" i="88" s="1"/>
  <c r="AK37" i="88" s="1"/>
  <c r="C70" i="88"/>
  <c r="B71" i="88"/>
  <c r="G70" i="88"/>
  <c r="D70" i="88"/>
  <c r="E70" i="88"/>
  <c r="U68" i="75"/>
  <c r="U75" i="75" s="1"/>
  <c r="T75" i="75"/>
  <c r="AA69" i="75"/>
  <c r="AA71" i="75"/>
  <c r="N72" i="75"/>
  <c r="I69" i="88"/>
  <c r="K69" i="88"/>
  <c r="AF69" i="88"/>
  <c r="Q69" i="75"/>
  <c r="Q71" i="75"/>
  <c r="Q76" i="75" s="1"/>
  <c r="V34" i="88"/>
  <c r="X34" i="88" s="1"/>
  <c r="AU34" i="88"/>
  <c r="AW34" i="88" s="1"/>
  <c r="AR34" i="88"/>
  <c r="AT34" i="88" s="1"/>
  <c r="F76" i="75"/>
  <c r="BC33" i="88"/>
  <c r="BD33" i="88" s="1"/>
  <c r="R32" i="75"/>
  <c r="W37" i="82" s="1"/>
  <c r="AJ37" i="82" s="1"/>
  <c r="E73" i="75"/>
  <c r="H33" i="75"/>
  <c r="I74" i="80"/>
  <c r="J74" i="80"/>
  <c r="G75" i="80"/>
  <c r="H74" i="80"/>
  <c r="B74" i="80" s="1"/>
  <c r="AY33" i="88"/>
  <c r="BF33" i="88" s="1"/>
  <c r="E17" i="82"/>
  <c r="P76" i="75"/>
  <c r="AO76" i="75"/>
  <c r="AR32" i="75"/>
  <c r="AQ32" i="75"/>
  <c r="I33" i="75" l="1"/>
  <c r="U38" i="82"/>
  <c r="AH38" i="82" s="1"/>
  <c r="K17" i="82"/>
  <c r="G9" i="82"/>
  <c r="I21" i="82"/>
  <c r="Z34" i="88"/>
  <c r="AB34" i="88" s="1"/>
  <c r="W34" i="88"/>
  <c r="Y34" i="88" s="1"/>
  <c r="G76" i="80"/>
  <c r="J75" i="80"/>
  <c r="H75" i="80"/>
  <c r="B75" i="80" s="1"/>
  <c r="I75" i="80"/>
  <c r="AQ35" i="88"/>
  <c r="AS35" i="88" s="1"/>
  <c r="AR72" i="75"/>
  <c r="AX34" i="88"/>
  <c r="BB34" i="88" s="1"/>
  <c r="AH37" i="88"/>
  <c r="AJ37" i="88" s="1"/>
  <c r="AM37" i="88"/>
  <c r="AP37" i="88" s="1"/>
  <c r="E34" i="75"/>
  <c r="C71" i="88"/>
  <c r="B72" i="88"/>
  <c r="G71" i="88"/>
  <c r="D71" i="88"/>
  <c r="E71" i="88"/>
  <c r="M33" i="75"/>
  <c r="T38" i="82" s="1"/>
  <c r="AG38" i="82" s="1"/>
  <c r="AB32" i="75"/>
  <c r="R72" i="75"/>
  <c r="E23" i="82"/>
  <c r="AA76" i="75"/>
  <c r="L37" i="88"/>
  <c r="N37" i="88" s="1"/>
  <c r="P37" i="88" s="1"/>
  <c r="L33" i="75"/>
  <c r="I70" i="88"/>
  <c r="K70" i="88"/>
  <c r="AF70" i="88"/>
  <c r="AQ72" i="75"/>
  <c r="AD33" i="88"/>
  <c r="BE33" i="88" s="1"/>
  <c r="BG33" i="88" s="1"/>
  <c r="F18" i="82" l="1"/>
  <c r="F31" i="82"/>
  <c r="F32" i="82"/>
  <c r="AY34" i="88"/>
  <c r="BF34" i="88" s="1"/>
  <c r="M37" i="88"/>
  <c r="O37" i="88" s="1"/>
  <c r="R37" i="88"/>
  <c r="U37" i="88" s="1"/>
  <c r="BK33" i="88"/>
  <c r="BI33" i="88"/>
  <c r="K23" i="82"/>
  <c r="N33" i="75"/>
  <c r="O33" i="75"/>
  <c r="V38" i="82" s="1"/>
  <c r="AI38" i="82" s="1"/>
  <c r="AJ33" i="75"/>
  <c r="H34" i="75"/>
  <c r="I76" i="80"/>
  <c r="G77" i="80"/>
  <c r="J76" i="80"/>
  <c r="H76" i="80"/>
  <c r="B76" i="80" s="1"/>
  <c r="AC34" i="88"/>
  <c r="BA34" i="88" s="1"/>
  <c r="BC34" i="88" s="1"/>
  <c r="BD34" i="88" s="1"/>
  <c r="AU35" i="88"/>
  <c r="AW35" i="88" s="1"/>
  <c r="AR35" i="88"/>
  <c r="AT35" i="88" s="1"/>
  <c r="V35" i="88"/>
  <c r="X35" i="88" s="1"/>
  <c r="AB72" i="75"/>
  <c r="I71" i="88"/>
  <c r="K71" i="88"/>
  <c r="AF71" i="88"/>
  <c r="AG38" i="88"/>
  <c r="AI38" i="88" s="1"/>
  <c r="AK38" i="88" s="1"/>
  <c r="C72" i="88"/>
  <c r="B73" i="88"/>
  <c r="G72" i="88"/>
  <c r="D72" i="88"/>
  <c r="E72" i="88"/>
  <c r="I34" i="75" l="1"/>
  <c r="U39" i="82"/>
  <c r="AH39" i="82" s="1"/>
  <c r="AD34" i="88"/>
  <c r="BE34" i="88" s="1"/>
  <c r="BG34" i="88" s="1"/>
  <c r="BI34" i="88"/>
  <c r="BK34" i="88"/>
  <c r="Z35" i="88"/>
  <c r="AB35" i="88" s="1"/>
  <c r="W35" i="88"/>
  <c r="Y35" i="88" s="1"/>
  <c r="L34" i="75"/>
  <c r="M34" i="75"/>
  <c r="AH38" i="88"/>
  <c r="AJ38" i="88" s="1"/>
  <c r="AM38" i="88"/>
  <c r="AP38" i="88" s="1"/>
  <c r="E35" i="75"/>
  <c r="R33" i="75"/>
  <c r="W38" i="82" s="1"/>
  <c r="AJ38" i="82" s="1"/>
  <c r="J77" i="80"/>
  <c r="H77" i="80"/>
  <c r="B77" i="80" s="1"/>
  <c r="I77" i="80"/>
  <c r="G78" i="80"/>
  <c r="AX35" i="88"/>
  <c r="BB35" i="88" s="1"/>
  <c r="AQ36" i="88"/>
  <c r="AS36" i="88" s="1"/>
  <c r="I72" i="88"/>
  <c r="AF72" i="88"/>
  <c r="K72" i="88"/>
  <c r="C73" i="88"/>
  <c r="B74" i="88"/>
  <c r="G73" i="88"/>
  <c r="D73" i="88"/>
  <c r="E73" i="88"/>
  <c r="AQ33" i="75"/>
  <c r="AR33" i="75"/>
  <c r="L38" i="88"/>
  <c r="N38" i="88" s="1"/>
  <c r="P38" i="88" s="1"/>
  <c r="N34" i="75" l="1"/>
  <c r="T39" i="82"/>
  <c r="AG39" i="82" s="1"/>
  <c r="I73" i="88"/>
  <c r="K73" i="88"/>
  <c r="AF73" i="88"/>
  <c r="AG39" i="88"/>
  <c r="AI39" i="88" s="1"/>
  <c r="AK39" i="88" s="1"/>
  <c r="AC35" i="88"/>
  <c r="BA35" i="88" s="1"/>
  <c r="BC35" i="88" s="1"/>
  <c r="BD35" i="88" s="1"/>
  <c r="G74" i="88"/>
  <c r="C74" i="88"/>
  <c r="B75" i="88"/>
  <c r="D74" i="88"/>
  <c r="E74" i="88"/>
  <c r="AU36" i="88"/>
  <c r="AR36" i="88"/>
  <c r="AT36" i="88" s="1"/>
  <c r="AB33" i="75"/>
  <c r="M38" i="88"/>
  <c r="O38" i="88" s="1"/>
  <c r="R38" i="88"/>
  <c r="U38" i="88" s="1"/>
  <c r="O34" i="75"/>
  <c r="V39" i="82" s="1"/>
  <c r="AI39" i="82" s="1"/>
  <c r="AJ34" i="75"/>
  <c r="V36" i="88"/>
  <c r="X36" i="88" s="1"/>
  <c r="AY35" i="88"/>
  <c r="BF35" i="88" s="1"/>
  <c r="H35" i="75"/>
  <c r="U40" i="82" s="1"/>
  <c r="AH40" i="82" s="1"/>
  <c r="I78" i="80"/>
  <c r="G79" i="80"/>
  <c r="J78" i="80"/>
  <c r="H78" i="80"/>
  <c r="B78" i="80" s="1"/>
  <c r="AD35" i="88" l="1"/>
  <c r="BE35" i="88" s="1"/>
  <c r="C75" i="88"/>
  <c r="B76" i="88"/>
  <c r="G75" i="88"/>
  <c r="D75" i="88"/>
  <c r="E75" i="88"/>
  <c r="L35" i="75"/>
  <c r="I35" i="75"/>
  <c r="I74" i="88"/>
  <c r="K74" i="88"/>
  <c r="AF74" i="88"/>
  <c r="AH39" i="88"/>
  <c r="AJ39" i="88" s="1"/>
  <c r="AM39" i="88"/>
  <c r="AP39" i="88" s="1"/>
  <c r="BG35" i="88"/>
  <c r="Z36" i="88"/>
  <c r="AB36" i="88" s="1"/>
  <c r="W36" i="88"/>
  <c r="Y36" i="88" s="1"/>
  <c r="L39" i="88"/>
  <c r="N39" i="88" s="1"/>
  <c r="P39" i="88" s="1"/>
  <c r="AW36" i="88"/>
  <c r="I79" i="80"/>
  <c r="J79" i="80"/>
  <c r="H79" i="80"/>
  <c r="B79" i="80" s="1"/>
  <c r="G80" i="80"/>
  <c r="AR34" i="75"/>
  <c r="AQ34" i="75"/>
  <c r="AQ37" i="88"/>
  <c r="AS37" i="88" s="1"/>
  <c r="R34" i="75"/>
  <c r="W39" i="82" s="1"/>
  <c r="AJ39" i="82" s="1"/>
  <c r="AC36" i="88" l="1"/>
  <c r="BA36" i="88" s="1"/>
  <c r="M39" i="88"/>
  <c r="O39" i="88" s="1"/>
  <c r="R39" i="88"/>
  <c r="U39" i="88" s="1"/>
  <c r="AU37" i="88"/>
  <c r="AR37" i="88"/>
  <c r="AT37" i="88" s="1"/>
  <c r="AG40" i="88"/>
  <c r="AI40" i="88" s="1"/>
  <c r="AK40" i="88" s="1"/>
  <c r="E36" i="75"/>
  <c r="M35" i="75"/>
  <c r="T40" i="82" s="1"/>
  <c r="AG40" i="82" s="1"/>
  <c r="AB34" i="75"/>
  <c r="V37" i="88"/>
  <c r="X37" i="88" s="1"/>
  <c r="I75" i="88"/>
  <c r="K75" i="88"/>
  <c r="AF75" i="88"/>
  <c r="C76" i="88"/>
  <c r="B77" i="88"/>
  <c r="G76" i="88"/>
  <c r="D76" i="88"/>
  <c r="E76" i="88"/>
  <c r="G81" i="80"/>
  <c r="I80" i="80"/>
  <c r="J80" i="80"/>
  <c r="H80" i="80"/>
  <c r="B80" i="80" s="1"/>
  <c r="AX36" i="88"/>
  <c r="BB36" i="88" s="1"/>
  <c r="BK35" i="88"/>
  <c r="BI35" i="88"/>
  <c r="AJ35" i="75"/>
  <c r="BC36" i="88" l="1"/>
  <c r="BD36" i="88" s="1"/>
  <c r="AY36" i="88"/>
  <c r="BF36" i="88" s="1"/>
  <c r="Z37" i="88"/>
  <c r="AB37" i="88" s="1"/>
  <c r="W37" i="88"/>
  <c r="Y37" i="88" s="1"/>
  <c r="AQ38" i="88"/>
  <c r="AS38" i="88" s="1"/>
  <c r="AH40" i="88"/>
  <c r="AJ40" i="88" s="1"/>
  <c r="AM40" i="88"/>
  <c r="AP40" i="88" s="1"/>
  <c r="N35" i="75"/>
  <c r="G82" i="80"/>
  <c r="J81" i="80"/>
  <c r="I81" i="80"/>
  <c r="H81" i="80"/>
  <c r="B81" i="80" s="1"/>
  <c r="L40" i="88"/>
  <c r="N40" i="88" s="1"/>
  <c r="P40" i="88" s="1"/>
  <c r="AR35" i="75"/>
  <c r="AQ35" i="75"/>
  <c r="C77" i="88"/>
  <c r="B78" i="88"/>
  <c r="G77" i="88"/>
  <c r="D77" i="88"/>
  <c r="E77" i="88"/>
  <c r="H36" i="75"/>
  <c r="AW37" i="88"/>
  <c r="O35" i="75"/>
  <c r="V40" i="82" s="1"/>
  <c r="AI40" i="82" s="1"/>
  <c r="I76" i="88"/>
  <c r="K76" i="88"/>
  <c r="AF76" i="88"/>
  <c r="AD36" i="88"/>
  <c r="BE36" i="88" s="1"/>
  <c r="BG36" i="88" s="1"/>
  <c r="I36" i="75" l="1"/>
  <c r="U41" i="82"/>
  <c r="AH41" i="82" s="1"/>
  <c r="BI36" i="88"/>
  <c r="BK36" i="88"/>
  <c r="AU38" i="88"/>
  <c r="AW38" i="88" s="1"/>
  <c r="AR38" i="88"/>
  <c r="AT38" i="88" s="1"/>
  <c r="M36" i="75"/>
  <c r="I82" i="80"/>
  <c r="J82" i="80"/>
  <c r="G83" i="80"/>
  <c r="H82" i="80"/>
  <c r="B82" i="80" s="1"/>
  <c r="AG41" i="88"/>
  <c r="AI41" i="88" s="1"/>
  <c r="AK41" i="88" s="1"/>
  <c r="AC37" i="88"/>
  <c r="BA37" i="88" s="1"/>
  <c r="M40" i="88"/>
  <c r="O40" i="88" s="1"/>
  <c r="R40" i="88"/>
  <c r="U40" i="88" s="1"/>
  <c r="V38" i="88"/>
  <c r="X38" i="88" s="1"/>
  <c r="E37" i="75"/>
  <c r="I77" i="88"/>
  <c r="K77" i="88"/>
  <c r="AF77" i="88"/>
  <c r="R35" i="75"/>
  <c r="W40" i="82" s="1"/>
  <c r="AJ40" i="82" s="1"/>
  <c r="AX37" i="88"/>
  <c r="BB37" i="88" s="1"/>
  <c r="G78" i="88"/>
  <c r="C78" i="88"/>
  <c r="B79" i="88"/>
  <c r="D78" i="88"/>
  <c r="E78" i="88"/>
  <c r="L36" i="75"/>
  <c r="N36" i="75" l="1"/>
  <c r="T41" i="82"/>
  <c r="AG41" i="82" s="1"/>
  <c r="AY37" i="88"/>
  <c r="BF37" i="88" s="1"/>
  <c r="BC37" i="88"/>
  <c r="BD37" i="88" s="1"/>
  <c r="Z38" i="88"/>
  <c r="AB38" i="88" s="1"/>
  <c r="W38" i="88"/>
  <c r="Y38" i="88" s="1"/>
  <c r="AH41" i="88"/>
  <c r="AJ41" i="88" s="1"/>
  <c r="AM41" i="88"/>
  <c r="AP41" i="88" s="1"/>
  <c r="G84" i="80"/>
  <c r="J83" i="80"/>
  <c r="H83" i="80"/>
  <c r="B83" i="80" s="1"/>
  <c r="I83" i="80"/>
  <c r="AQ39" i="88"/>
  <c r="AS39" i="88" s="1"/>
  <c r="AX38" i="88"/>
  <c r="BB38" i="88" s="1"/>
  <c r="L41" i="88"/>
  <c r="N41" i="88" s="1"/>
  <c r="P41" i="88" s="1"/>
  <c r="O36" i="75"/>
  <c r="V41" i="82" s="1"/>
  <c r="AI41" i="82" s="1"/>
  <c r="AJ36" i="75"/>
  <c r="I78" i="88"/>
  <c r="K78" i="88"/>
  <c r="AF78" i="88"/>
  <c r="AD37" i="88"/>
  <c r="BE37" i="88" s="1"/>
  <c r="BG37" i="88" s="1"/>
  <c r="H37" i="75"/>
  <c r="C79" i="88"/>
  <c r="B80" i="88"/>
  <c r="G79" i="88"/>
  <c r="D79" i="88"/>
  <c r="E79" i="88"/>
  <c r="AB35" i="75"/>
  <c r="I37" i="75" l="1"/>
  <c r="U42" i="82"/>
  <c r="AH42" i="82" s="1"/>
  <c r="AY38" i="88"/>
  <c r="BF38" i="88" s="1"/>
  <c r="AU39" i="88"/>
  <c r="AW39" i="88" s="1"/>
  <c r="AR39" i="88"/>
  <c r="AT39" i="88" s="1"/>
  <c r="BK37" i="88"/>
  <c r="BI37" i="88"/>
  <c r="E38" i="75"/>
  <c r="I84" i="80"/>
  <c r="G85" i="80"/>
  <c r="J84" i="80"/>
  <c r="H84" i="80"/>
  <c r="B84" i="80" s="1"/>
  <c r="V39" i="88"/>
  <c r="X39" i="88" s="1"/>
  <c r="C80" i="88"/>
  <c r="B81" i="88"/>
  <c r="G80" i="88"/>
  <c r="D80" i="88"/>
  <c r="E80" i="88"/>
  <c r="AR36" i="75"/>
  <c r="AQ36" i="75"/>
  <c r="R36" i="75"/>
  <c r="W41" i="82" s="1"/>
  <c r="AJ41" i="82" s="1"/>
  <c r="I79" i="88"/>
  <c r="K79" i="88"/>
  <c r="AF79" i="88"/>
  <c r="AC38" i="88"/>
  <c r="BA38" i="88" s="1"/>
  <c r="BC38" i="88" s="1"/>
  <c r="BD38" i="88" s="1"/>
  <c r="M41" i="88"/>
  <c r="O41" i="88" s="1"/>
  <c r="R41" i="88"/>
  <c r="U41" i="88" s="1"/>
  <c r="L37" i="75"/>
  <c r="AG42" i="88"/>
  <c r="AI42" i="88" s="1"/>
  <c r="AK42" i="88" s="1"/>
  <c r="M37" i="75"/>
  <c r="T42" i="82" s="1"/>
  <c r="AG42" i="82" s="1"/>
  <c r="AD38" i="88" l="1"/>
  <c r="BE38" i="88" s="1"/>
  <c r="BG38" i="88" s="1"/>
  <c r="BK38" i="88" s="1"/>
  <c r="BI38" i="88"/>
  <c r="Z39" i="88"/>
  <c r="AB39" i="88" s="1"/>
  <c r="W39" i="88"/>
  <c r="Y39" i="88" s="1"/>
  <c r="L42" i="88"/>
  <c r="N42" i="88" s="1"/>
  <c r="P42" i="88" s="1"/>
  <c r="C81" i="88"/>
  <c r="B82" i="88"/>
  <c r="G81" i="88"/>
  <c r="D81" i="88"/>
  <c r="E81" i="88"/>
  <c r="AH42" i="88"/>
  <c r="AJ42" i="88" s="1"/>
  <c r="AM42" i="88"/>
  <c r="AP42" i="88" s="1"/>
  <c r="I80" i="88"/>
  <c r="K80" i="88"/>
  <c r="AF80" i="88"/>
  <c r="J85" i="80"/>
  <c r="G86" i="80"/>
  <c r="H85" i="80"/>
  <c r="B85" i="80" s="1"/>
  <c r="I85" i="80"/>
  <c r="AX39" i="88"/>
  <c r="BB39" i="88" s="1"/>
  <c r="H38" i="75"/>
  <c r="U43" i="82" s="1"/>
  <c r="AH43" i="82" s="1"/>
  <c r="O37" i="75"/>
  <c r="V42" i="82" s="1"/>
  <c r="AI42" i="82" s="1"/>
  <c r="AJ37" i="75"/>
  <c r="AQ40" i="88"/>
  <c r="AS40" i="88" s="1"/>
  <c r="N37" i="75"/>
  <c r="AB36" i="75"/>
  <c r="AC39" i="88" l="1"/>
  <c r="BA39" i="88" s="1"/>
  <c r="BC39" i="88" s="1"/>
  <c r="BD39" i="88" s="1"/>
  <c r="AR37" i="75"/>
  <c r="AQ37" i="75"/>
  <c r="V40" i="88"/>
  <c r="X40" i="88" s="1"/>
  <c r="R37" i="75"/>
  <c r="W42" i="82" s="1"/>
  <c r="AJ42" i="82" s="1"/>
  <c r="L38" i="75"/>
  <c r="I81" i="88"/>
  <c r="K81" i="88"/>
  <c r="AF81" i="88"/>
  <c r="AU40" i="88"/>
  <c r="AR40" i="88"/>
  <c r="AT40" i="88" s="1"/>
  <c r="M42" i="88"/>
  <c r="O42" i="88" s="1"/>
  <c r="R42" i="88"/>
  <c r="U42" i="88" s="1"/>
  <c r="I86" i="80"/>
  <c r="G87" i="80"/>
  <c r="J86" i="80"/>
  <c r="H86" i="80"/>
  <c r="B86" i="80" s="1"/>
  <c r="C82" i="88"/>
  <c r="G82" i="88"/>
  <c r="B83" i="88"/>
  <c r="D82" i="88"/>
  <c r="E82" i="88"/>
  <c r="I38" i="75"/>
  <c r="AY39" i="88"/>
  <c r="BF39" i="88" s="1"/>
  <c r="AG43" i="88"/>
  <c r="AI43" i="88" s="1"/>
  <c r="AK43" i="88" s="1"/>
  <c r="Z40" i="88" l="1"/>
  <c r="AB40" i="88" s="1"/>
  <c r="W40" i="88"/>
  <c r="Y40" i="88" s="1"/>
  <c r="AB37" i="75"/>
  <c r="AH43" i="88"/>
  <c r="AJ43" i="88" s="1"/>
  <c r="AM43" i="88"/>
  <c r="AP43" i="88" s="1"/>
  <c r="E39" i="75"/>
  <c r="M38" i="75"/>
  <c r="I87" i="80"/>
  <c r="J87" i="80"/>
  <c r="G88" i="80"/>
  <c r="H87" i="80"/>
  <c r="B87" i="80" s="1"/>
  <c r="AW40" i="88"/>
  <c r="L43" i="88"/>
  <c r="N43" i="88" s="1"/>
  <c r="P43" i="88" s="1"/>
  <c r="C83" i="88"/>
  <c r="B84" i="88"/>
  <c r="G83" i="88"/>
  <c r="D83" i="88"/>
  <c r="E83" i="88"/>
  <c r="I82" i="88"/>
  <c r="K82" i="88"/>
  <c r="AF82" i="88"/>
  <c r="AQ41" i="88"/>
  <c r="AS41" i="88" s="1"/>
  <c r="AJ38" i="75"/>
  <c r="AD39" i="88"/>
  <c r="BE39" i="88" s="1"/>
  <c r="BG39" i="88" s="1"/>
  <c r="O38" i="75" l="1"/>
  <c r="V43" i="82" s="1"/>
  <c r="AI43" i="82" s="1"/>
  <c r="T43" i="82"/>
  <c r="AG43" i="82" s="1"/>
  <c r="M43" i="88"/>
  <c r="O43" i="88" s="1"/>
  <c r="R43" i="88"/>
  <c r="U43" i="88" s="1"/>
  <c r="BK39" i="88"/>
  <c r="BI39" i="88"/>
  <c r="I83" i="88"/>
  <c r="K83" i="88"/>
  <c r="AF83" i="88"/>
  <c r="C84" i="88"/>
  <c r="B85" i="88"/>
  <c r="G84" i="88"/>
  <c r="D84" i="88"/>
  <c r="E84" i="88"/>
  <c r="G89" i="80"/>
  <c r="I88" i="80"/>
  <c r="J88" i="80"/>
  <c r="H88" i="80"/>
  <c r="B88" i="80" s="1"/>
  <c r="AX40" i="88"/>
  <c r="BB40" i="88" s="1"/>
  <c r="AG44" i="88"/>
  <c r="AI44" i="88" s="1"/>
  <c r="AK44" i="88" s="1"/>
  <c r="H39" i="75"/>
  <c r="AC40" i="88"/>
  <c r="BA40" i="88" s="1"/>
  <c r="AR38" i="75"/>
  <c r="AQ38" i="75"/>
  <c r="R38" i="75"/>
  <c r="W43" i="82" s="1"/>
  <c r="AJ43" i="82" s="1"/>
  <c r="N38" i="75"/>
  <c r="V41" i="88"/>
  <c r="X41" i="88" s="1"/>
  <c r="AU41" i="88"/>
  <c r="AW41" i="88" s="1"/>
  <c r="AR41" i="88"/>
  <c r="AT41" i="88" s="1"/>
  <c r="I39" i="75" l="1"/>
  <c r="U44" i="82"/>
  <c r="AH44" i="82" s="1"/>
  <c r="AD40" i="88"/>
  <c r="BE40" i="88" s="1"/>
  <c r="AY40" i="88"/>
  <c r="BF40" i="88" s="1"/>
  <c r="AH44" i="88"/>
  <c r="AJ44" i="88" s="1"/>
  <c r="AM44" i="88"/>
  <c r="AP44" i="88" s="1"/>
  <c r="Z41" i="88"/>
  <c r="AB41" i="88" s="1"/>
  <c r="W41" i="88"/>
  <c r="Y41" i="88" s="1"/>
  <c r="AX41" i="88"/>
  <c r="BB41" i="88" s="1"/>
  <c r="L39" i="75"/>
  <c r="C85" i="88"/>
  <c r="B86" i="88"/>
  <c r="G85" i="88"/>
  <c r="D85" i="88"/>
  <c r="E85" i="88"/>
  <c r="AB38" i="75"/>
  <c r="BC40" i="88"/>
  <c r="BD40" i="88" s="1"/>
  <c r="AQ42" i="88"/>
  <c r="AS42" i="88" s="1"/>
  <c r="M39" i="75"/>
  <c r="T44" i="82" s="1"/>
  <c r="AG44" i="82" s="1"/>
  <c r="E40" i="75"/>
  <c r="I84" i="88"/>
  <c r="K84" i="88"/>
  <c r="AF84" i="88"/>
  <c r="G90" i="80"/>
  <c r="J89" i="80"/>
  <c r="H89" i="80"/>
  <c r="B89" i="80" s="1"/>
  <c r="I89" i="80"/>
  <c r="L44" i="88"/>
  <c r="N44" i="88" s="1"/>
  <c r="P44" i="88" s="1"/>
  <c r="BG40" i="88" l="1"/>
  <c r="N39" i="75"/>
  <c r="AC41" i="88"/>
  <c r="BA41" i="88" s="1"/>
  <c r="BC41" i="88" s="1"/>
  <c r="BD41" i="88" s="1"/>
  <c r="AU42" i="88"/>
  <c r="AW42" i="88" s="1"/>
  <c r="AR42" i="88"/>
  <c r="AT42" i="88" s="1"/>
  <c r="O39" i="75"/>
  <c r="V44" i="82" s="1"/>
  <c r="AI44" i="82" s="1"/>
  <c r="AJ39" i="75"/>
  <c r="AG45" i="88"/>
  <c r="AI45" i="88" s="1"/>
  <c r="AK45" i="88" s="1"/>
  <c r="AJ121" i="88"/>
  <c r="M44" i="88"/>
  <c r="O44" i="88" s="1"/>
  <c r="R44" i="88"/>
  <c r="U44" i="88" s="1"/>
  <c r="BK40" i="88"/>
  <c r="BI40" i="88"/>
  <c r="AY41" i="88"/>
  <c r="BF41" i="88" s="1"/>
  <c r="G86" i="88"/>
  <c r="C86" i="88"/>
  <c r="B87" i="88"/>
  <c r="D86" i="88"/>
  <c r="E86" i="88"/>
  <c r="I90" i="80"/>
  <c r="J90" i="80"/>
  <c r="G91" i="80"/>
  <c r="H90" i="80"/>
  <c r="B90" i="80" s="1"/>
  <c r="V42" i="88"/>
  <c r="X42" i="88" s="1"/>
  <c r="H40" i="75"/>
  <c r="I85" i="88"/>
  <c r="K85" i="88"/>
  <c r="AF85" i="88"/>
  <c r="I40" i="75" l="1"/>
  <c r="U45" i="82"/>
  <c r="AH45" i="82" s="1"/>
  <c r="M40" i="75"/>
  <c r="T45" i="82" s="1"/>
  <c r="AG45" i="82" s="1"/>
  <c r="AH45" i="88"/>
  <c r="AJ45" i="88" s="1"/>
  <c r="AM45" i="88"/>
  <c r="AP45" i="88" s="1"/>
  <c r="AX42" i="88"/>
  <c r="BB42" i="88" s="1"/>
  <c r="L40" i="75"/>
  <c r="AQ43" i="88"/>
  <c r="AS43" i="88" s="1"/>
  <c r="Z42" i="88"/>
  <c r="AB42" i="88" s="1"/>
  <c r="W42" i="88"/>
  <c r="Y42" i="88" s="1"/>
  <c r="C87" i="88"/>
  <c r="B88" i="88"/>
  <c r="G87" i="88"/>
  <c r="D87" i="88"/>
  <c r="E87" i="88"/>
  <c r="L45" i="88"/>
  <c r="N45" i="88" s="1"/>
  <c r="P45" i="88" s="1"/>
  <c r="O121" i="88"/>
  <c r="G92" i="80"/>
  <c r="J91" i="80"/>
  <c r="H91" i="80"/>
  <c r="B91" i="80" s="1"/>
  <c r="I91" i="80"/>
  <c r="I86" i="88"/>
  <c r="AF86" i="88"/>
  <c r="K86" i="88"/>
  <c r="E41" i="75"/>
  <c r="AQ39" i="75"/>
  <c r="AR39" i="75"/>
  <c r="R39" i="75"/>
  <c r="W44" i="82" s="1"/>
  <c r="AJ44" i="82" s="1"/>
  <c r="AD41" i="88"/>
  <c r="BE41" i="88" s="1"/>
  <c r="BG41" i="88" s="1"/>
  <c r="AY42" i="88" l="1"/>
  <c r="BF42" i="88" s="1"/>
  <c r="N40" i="75"/>
  <c r="M45" i="88"/>
  <c r="O45" i="88" s="1"/>
  <c r="R45" i="88"/>
  <c r="U45" i="88" s="1"/>
  <c r="AC42" i="88"/>
  <c r="BA42" i="88" s="1"/>
  <c r="BC42" i="88" s="1"/>
  <c r="BD42" i="88" s="1"/>
  <c r="H41" i="75"/>
  <c r="U46" i="82" s="1"/>
  <c r="AH46" i="82" s="1"/>
  <c r="I92" i="80"/>
  <c r="G93" i="80"/>
  <c r="J92" i="80"/>
  <c r="H92" i="80"/>
  <c r="B92" i="80" s="1"/>
  <c r="AU43" i="88"/>
  <c r="AW43" i="88" s="1"/>
  <c r="AR43" i="88"/>
  <c r="AT43" i="88" s="1"/>
  <c r="I87" i="88"/>
  <c r="K87" i="88"/>
  <c r="AF87" i="88"/>
  <c r="C88" i="88"/>
  <c r="B89" i="88"/>
  <c r="G88" i="88"/>
  <c r="D88" i="88"/>
  <c r="E88" i="88"/>
  <c r="AB39" i="75"/>
  <c r="BK41" i="88"/>
  <c r="BI41" i="88"/>
  <c r="AG46" i="88"/>
  <c r="AI46" i="88" s="1"/>
  <c r="AK46" i="88" s="1"/>
  <c r="V43" i="88"/>
  <c r="X43" i="88" s="1"/>
  <c r="O40" i="75"/>
  <c r="V45" i="82" s="1"/>
  <c r="AI45" i="82" s="1"/>
  <c r="AJ40" i="75"/>
  <c r="AD42" i="88" l="1"/>
  <c r="BE42" i="88" s="1"/>
  <c r="BG42" i="88" s="1"/>
  <c r="BI42" i="88" s="1"/>
  <c r="AX43" i="88"/>
  <c r="BB43" i="88" s="1"/>
  <c r="Z43" i="88"/>
  <c r="AB43" i="88" s="1"/>
  <c r="W43" i="88"/>
  <c r="Y43" i="88" s="1"/>
  <c r="AQ44" i="88"/>
  <c r="AS44" i="88" s="1"/>
  <c r="I88" i="88"/>
  <c r="K88" i="88"/>
  <c r="AF88" i="88"/>
  <c r="R40" i="75"/>
  <c r="W45" i="82" s="1"/>
  <c r="AJ45" i="82" s="1"/>
  <c r="C89" i="88"/>
  <c r="B90" i="88"/>
  <c r="G89" i="88"/>
  <c r="D89" i="88"/>
  <c r="E89" i="88"/>
  <c r="L41" i="75"/>
  <c r="AH46" i="88"/>
  <c r="AJ46" i="88" s="1"/>
  <c r="AM46" i="88"/>
  <c r="AP46" i="88" s="1"/>
  <c r="AR40" i="75"/>
  <c r="AQ40" i="75"/>
  <c r="J93" i="80"/>
  <c r="I93" i="80"/>
  <c r="H93" i="80"/>
  <c r="B93" i="80" s="1"/>
  <c r="G94" i="80"/>
  <c r="I41" i="75"/>
  <c r="L46" i="88"/>
  <c r="N46" i="88" s="1"/>
  <c r="P46" i="88" s="1"/>
  <c r="BK42" i="88" l="1"/>
  <c r="AY43" i="88"/>
  <c r="BF43" i="88" s="1"/>
  <c r="AC43" i="88"/>
  <c r="BA43" i="88" s="1"/>
  <c r="BC43" i="88" s="1"/>
  <c r="BD43" i="88" s="1"/>
  <c r="B91" i="88"/>
  <c r="G90" i="88"/>
  <c r="C90" i="88"/>
  <c r="D90" i="88"/>
  <c r="E90" i="88"/>
  <c r="V44" i="88"/>
  <c r="X44" i="88" s="1"/>
  <c r="AJ41" i="75"/>
  <c r="I89" i="88"/>
  <c r="K89" i="88"/>
  <c r="AF89" i="88"/>
  <c r="M46" i="88"/>
  <c r="O46" i="88" s="1"/>
  <c r="R46" i="88"/>
  <c r="U46" i="88" s="1"/>
  <c r="AB40" i="75"/>
  <c r="E42" i="75"/>
  <c r="M41" i="75"/>
  <c r="AG47" i="88"/>
  <c r="AI47" i="88" s="1"/>
  <c r="AK47" i="88" s="1"/>
  <c r="I94" i="80"/>
  <c r="G95" i="80"/>
  <c r="H94" i="80"/>
  <c r="B94" i="80" s="1"/>
  <c r="J94" i="80"/>
  <c r="AU44" i="88"/>
  <c r="AW44" i="88" s="1"/>
  <c r="AR44" i="88"/>
  <c r="AT44" i="88" s="1"/>
  <c r="O41" i="75" l="1"/>
  <c r="V46" i="82" s="1"/>
  <c r="AI46" i="82" s="1"/>
  <c r="T46" i="82"/>
  <c r="AG46" i="82" s="1"/>
  <c r="AX44" i="88"/>
  <c r="BB44" i="88" s="1"/>
  <c r="Z44" i="88"/>
  <c r="AB44" i="88" s="1"/>
  <c r="W44" i="88"/>
  <c r="Y44" i="88" s="1"/>
  <c r="AH47" i="88"/>
  <c r="AJ47" i="88" s="1"/>
  <c r="AM47" i="88"/>
  <c r="AP47" i="88" s="1"/>
  <c r="C91" i="88"/>
  <c r="B92" i="88"/>
  <c r="G91" i="88"/>
  <c r="D91" i="88"/>
  <c r="E91" i="88"/>
  <c r="H42" i="75"/>
  <c r="I90" i="88"/>
  <c r="K90" i="88"/>
  <c r="AF90" i="88"/>
  <c r="AQ45" i="88"/>
  <c r="AS45" i="88" s="1"/>
  <c r="AT121" i="88"/>
  <c r="AR41" i="75"/>
  <c r="AQ41" i="75"/>
  <c r="R41" i="75"/>
  <c r="W46" i="82" s="1"/>
  <c r="AJ46" i="82" s="1"/>
  <c r="L47" i="88"/>
  <c r="N47" i="88" s="1"/>
  <c r="P47" i="88" s="1"/>
  <c r="AD43" i="88"/>
  <c r="BE43" i="88" s="1"/>
  <c r="BG43" i="88" s="1"/>
  <c r="I95" i="80"/>
  <c r="J95" i="80"/>
  <c r="G96" i="80"/>
  <c r="H95" i="80"/>
  <c r="B95" i="80" s="1"/>
  <c r="N41" i="75"/>
  <c r="I42" i="75" l="1"/>
  <c r="U47" i="82"/>
  <c r="AH47" i="82" s="1"/>
  <c r="AU45" i="88"/>
  <c r="AW45" i="88" s="1"/>
  <c r="AR45" i="88"/>
  <c r="AT45" i="88" s="1"/>
  <c r="AC44" i="88"/>
  <c r="BA44" i="88" s="1"/>
  <c r="BC44" i="88" s="1"/>
  <c r="BD44" i="88" s="1"/>
  <c r="I91" i="88"/>
  <c r="K91" i="88"/>
  <c r="AF91" i="88"/>
  <c r="M47" i="88"/>
  <c r="O47" i="88" s="1"/>
  <c r="R47" i="88"/>
  <c r="U47" i="88" s="1"/>
  <c r="E43" i="75"/>
  <c r="V45" i="88"/>
  <c r="X45" i="88" s="1"/>
  <c r="Y121" i="88"/>
  <c r="AB41" i="75"/>
  <c r="C92" i="88"/>
  <c r="B93" i="88"/>
  <c r="G92" i="88"/>
  <c r="D92" i="88"/>
  <c r="E92" i="88"/>
  <c r="AY44" i="88"/>
  <c r="BF44" i="88" s="1"/>
  <c r="L42" i="75"/>
  <c r="G97" i="80"/>
  <c r="I96" i="80"/>
  <c r="J96" i="80"/>
  <c r="H96" i="80"/>
  <c r="B96" i="80" s="1"/>
  <c r="BK43" i="88"/>
  <c r="BI43" i="88"/>
  <c r="M42" i="75"/>
  <c r="T47" i="82" s="1"/>
  <c r="AG47" i="82" s="1"/>
  <c r="AG48" i="88"/>
  <c r="AI48" i="88" s="1"/>
  <c r="AK48" i="88" s="1"/>
  <c r="N42" i="75" l="1"/>
  <c r="AH48" i="88"/>
  <c r="AJ48" i="88" s="1"/>
  <c r="AM48" i="88"/>
  <c r="AP48" i="88" s="1"/>
  <c r="BD121" i="88"/>
  <c r="Z45" i="88"/>
  <c r="W45" i="88"/>
  <c r="Y45" i="88" s="1"/>
  <c r="AX45" i="88"/>
  <c r="BB45" i="88" s="1"/>
  <c r="O42" i="75"/>
  <c r="V47" i="82" s="1"/>
  <c r="AI47" i="82" s="1"/>
  <c r="AJ42" i="75"/>
  <c r="AD44" i="88"/>
  <c r="BE44" i="88" s="1"/>
  <c r="BG44" i="88" s="1"/>
  <c r="L48" i="88"/>
  <c r="N48" i="88" s="1"/>
  <c r="P48" i="88" s="1"/>
  <c r="G98" i="80"/>
  <c r="J97" i="80"/>
  <c r="I97" i="80"/>
  <c r="H97" i="80"/>
  <c r="B97" i="80" s="1"/>
  <c r="I92" i="88"/>
  <c r="K92" i="88"/>
  <c r="AF92" i="88"/>
  <c r="H43" i="75"/>
  <c r="U48" i="82" s="1"/>
  <c r="AH48" i="82" s="1"/>
  <c r="AQ46" i="88"/>
  <c r="AS46" i="88" s="1"/>
  <c r="C93" i="88"/>
  <c r="B94" i="88"/>
  <c r="G93" i="88"/>
  <c r="D93" i="88"/>
  <c r="E93" i="88"/>
  <c r="AY45" i="88" l="1"/>
  <c r="BF45" i="88" s="1"/>
  <c r="M48" i="88"/>
  <c r="O48" i="88" s="1"/>
  <c r="R48" i="88"/>
  <c r="U48" i="88" s="1"/>
  <c r="BI44" i="88"/>
  <c r="BK44" i="88"/>
  <c r="L43" i="75"/>
  <c r="I93" i="88"/>
  <c r="K93" i="88"/>
  <c r="AF93" i="88"/>
  <c r="I43" i="75"/>
  <c r="V46" i="88"/>
  <c r="X46" i="88" s="1"/>
  <c r="R42" i="75"/>
  <c r="W47" i="82" s="1"/>
  <c r="AJ47" i="82" s="1"/>
  <c r="G94" i="88"/>
  <c r="B95" i="88"/>
  <c r="C94" i="88"/>
  <c r="D94" i="88"/>
  <c r="E94" i="88"/>
  <c r="I98" i="80"/>
  <c r="J98" i="80"/>
  <c r="G99" i="80"/>
  <c r="H98" i="80"/>
  <c r="B98" i="80" s="1"/>
  <c r="AR42" i="75"/>
  <c r="AQ42" i="75"/>
  <c r="AB45" i="88"/>
  <c r="AG49" i="88"/>
  <c r="AI49" i="88" s="1"/>
  <c r="AK49" i="88" s="1"/>
  <c r="AU46" i="88"/>
  <c r="AW46" i="88" s="1"/>
  <c r="AR46" i="88"/>
  <c r="AT46" i="88" s="1"/>
  <c r="Z46" i="88" l="1"/>
  <c r="AB46" i="88" s="1"/>
  <c r="W46" i="88"/>
  <c r="Y46" i="88" s="1"/>
  <c r="AH49" i="88"/>
  <c r="AJ49" i="88" s="1"/>
  <c r="AM49" i="88"/>
  <c r="AP49" i="88" s="1"/>
  <c r="AJ43" i="75"/>
  <c r="AQ47" i="88"/>
  <c r="AS47" i="88" s="1"/>
  <c r="C95" i="88"/>
  <c r="B96" i="88"/>
  <c r="G95" i="88"/>
  <c r="D95" i="88"/>
  <c r="E95" i="88"/>
  <c r="I94" i="88"/>
  <c r="K94" i="88"/>
  <c r="AF94" i="88"/>
  <c r="G100" i="80"/>
  <c r="J99" i="80"/>
  <c r="H99" i="80"/>
  <c r="B99" i="80" s="1"/>
  <c r="I99" i="80"/>
  <c r="AC45" i="88"/>
  <c r="BA45" i="88" s="1"/>
  <c r="BC45" i="88" s="1"/>
  <c r="BD45" i="88" s="1"/>
  <c r="AX46" i="88"/>
  <c r="BB46" i="88" s="1"/>
  <c r="AB42" i="75"/>
  <c r="E44" i="75"/>
  <c r="M43" i="75"/>
  <c r="T48" i="82" s="1"/>
  <c r="AG48" i="82" s="1"/>
  <c r="L49" i="88"/>
  <c r="N49" i="88" s="1"/>
  <c r="P49" i="88" s="1"/>
  <c r="AY46" i="88" l="1"/>
  <c r="BF46" i="88" s="1"/>
  <c r="M49" i="88"/>
  <c r="O49" i="88" s="1"/>
  <c r="R49" i="88"/>
  <c r="U49" i="88" s="1"/>
  <c r="AU47" i="88"/>
  <c r="AW47" i="88" s="1"/>
  <c r="AR47" i="88"/>
  <c r="AT47" i="88" s="1"/>
  <c r="AD45" i="88"/>
  <c r="BE45" i="88" s="1"/>
  <c r="BG45" i="88" s="1"/>
  <c r="AG50" i="88"/>
  <c r="AI50" i="88" s="1"/>
  <c r="AK50" i="88" s="1"/>
  <c r="H44" i="75"/>
  <c r="U49" i="82" s="1"/>
  <c r="AH49" i="82" s="1"/>
  <c r="I95" i="88"/>
  <c r="K95" i="88"/>
  <c r="AF95" i="88"/>
  <c r="AC46" i="88"/>
  <c r="BA46" i="88" s="1"/>
  <c r="BC46" i="88" s="1"/>
  <c r="BD46" i="88" s="1"/>
  <c r="C96" i="88"/>
  <c r="B97" i="88"/>
  <c r="G96" i="88"/>
  <c r="E96" i="88"/>
  <c r="D96" i="88"/>
  <c r="AR43" i="75"/>
  <c r="AQ43" i="75"/>
  <c r="V47" i="88"/>
  <c r="X47" i="88" s="1"/>
  <c r="N43" i="75"/>
  <c r="I100" i="80"/>
  <c r="G101" i="80"/>
  <c r="J100" i="80"/>
  <c r="H100" i="80"/>
  <c r="B100" i="80" s="1"/>
  <c r="O43" i="75"/>
  <c r="V48" i="82" s="1"/>
  <c r="AI48" i="82" s="1"/>
  <c r="J101" i="80" l="1"/>
  <c r="H101" i="80"/>
  <c r="B101" i="80" s="1"/>
  <c r="G102" i="80"/>
  <c r="I101" i="80"/>
  <c r="BK45" i="88"/>
  <c r="BI45" i="88"/>
  <c r="L50" i="88"/>
  <c r="N50" i="88" s="1"/>
  <c r="P50" i="88" s="1"/>
  <c r="Z47" i="88"/>
  <c r="AB47" i="88" s="1"/>
  <c r="W47" i="88"/>
  <c r="Y47" i="88" s="1"/>
  <c r="R100" i="80"/>
  <c r="M100" i="80"/>
  <c r="V100" i="80"/>
  <c r="L100" i="80"/>
  <c r="T100" i="80"/>
  <c r="AD100" i="80"/>
  <c r="AC100" i="80"/>
  <c r="S100" i="80"/>
  <c r="Q100" i="80"/>
  <c r="P100" i="80"/>
  <c r="N100" i="80"/>
  <c r="U100" i="80"/>
  <c r="X100" i="80"/>
  <c r="AD46" i="88"/>
  <c r="BE46" i="88" s="1"/>
  <c r="BG46" i="88" s="1"/>
  <c r="AX47" i="88"/>
  <c r="BB47" i="88" s="1"/>
  <c r="C97" i="88"/>
  <c r="B98" i="88"/>
  <c r="G97" i="88"/>
  <c r="D97" i="88"/>
  <c r="E97" i="88"/>
  <c r="AH50" i="88"/>
  <c r="AJ50" i="88" s="1"/>
  <c r="AM50" i="88"/>
  <c r="AP50" i="88" s="1"/>
  <c r="L44" i="75"/>
  <c r="AQ48" i="88"/>
  <c r="AS48" i="88" s="1"/>
  <c r="R43" i="75"/>
  <c r="W48" i="82" s="1"/>
  <c r="AJ48" i="82" s="1"/>
  <c r="I96" i="88"/>
  <c r="K96" i="88"/>
  <c r="AF96" i="88"/>
  <c r="I44" i="75"/>
  <c r="M44" i="75" s="1"/>
  <c r="T49" i="82" s="1"/>
  <c r="AG49" i="82" s="1"/>
  <c r="M50" i="88" l="1"/>
  <c r="O50" i="88" s="1"/>
  <c r="R50" i="88"/>
  <c r="U50" i="88" s="1"/>
  <c r="AU48" i="88"/>
  <c r="AW48" i="88" s="1"/>
  <c r="AR48" i="88"/>
  <c r="AT48" i="88" s="1"/>
  <c r="AC47" i="88"/>
  <c r="BA47" i="88" s="1"/>
  <c r="BC47" i="88" s="1"/>
  <c r="BD47" i="88" s="1"/>
  <c r="E45" i="75"/>
  <c r="I73" i="75"/>
  <c r="AY47" i="88"/>
  <c r="BF47" i="88" s="1"/>
  <c r="V48" i="88"/>
  <c r="X48" i="88" s="1"/>
  <c r="AG51" i="88"/>
  <c r="AI51" i="88" s="1"/>
  <c r="AK51" i="88" s="1"/>
  <c r="AB43" i="75"/>
  <c r="X101" i="80"/>
  <c r="P101" i="80"/>
  <c r="AC101" i="80"/>
  <c r="M101" i="80"/>
  <c r="V101" i="80"/>
  <c r="L101" i="80"/>
  <c r="T101" i="80"/>
  <c r="S101" i="80"/>
  <c r="AD101" i="80"/>
  <c r="R101" i="80"/>
  <c r="Q101" i="80"/>
  <c r="N101" i="80"/>
  <c r="U101" i="80"/>
  <c r="O44" i="75"/>
  <c r="V49" i="82" s="1"/>
  <c r="AI49" i="82" s="1"/>
  <c r="AJ44" i="75"/>
  <c r="I97" i="88"/>
  <c r="K97" i="88"/>
  <c r="AF97" i="88"/>
  <c r="BK46" i="88"/>
  <c r="BI46" i="88"/>
  <c r="I102" i="80"/>
  <c r="G103" i="80"/>
  <c r="J102" i="80"/>
  <c r="H102" i="80"/>
  <c r="B102" i="80" s="1"/>
  <c r="G98" i="88"/>
  <c r="C98" i="88"/>
  <c r="B99" i="88"/>
  <c r="D98" i="88"/>
  <c r="E98" i="88"/>
  <c r="N44" i="75"/>
  <c r="G11" i="82" l="1"/>
  <c r="AH51" i="88"/>
  <c r="AJ51" i="88" s="1"/>
  <c r="AM51" i="88"/>
  <c r="AP51" i="88" s="1"/>
  <c r="C99" i="88"/>
  <c r="B100" i="88"/>
  <c r="G99" i="88"/>
  <c r="D99" i="88"/>
  <c r="E99" i="88"/>
  <c r="AX48" i="88"/>
  <c r="BB48" i="88" s="1"/>
  <c r="AQ49" i="88"/>
  <c r="AS49" i="88" s="1"/>
  <c r="R44" i="75"/>
  <c r="W49" i="82" s="1"/>
  <c r="AJ49" i="82" s="1"/>
  <c r="N73" i="75"/>
  <c r="E74" i="75"/>
  <c r="H45" i="75"/>
  <c r="I45" i="75" s="1"/>
  <c r="M45" i="75" s="1"/>
  <c r="Z48" i="88"/>
  <c r="AB48" i="88" s="1"/>
  <c r="W48" i="88"/>
  <c r="Y48" i="88" s="1"/>
  <c r="I103" i="80"/>
  <c r="J103" i="80"/>
  <c r="G104" i="80"/>
  <c r="H103" i="80"/>
  <c r="B103" i="80" s="1"/>
  <c r="AD47" i="88"/>
  <c r="BE47" i="88" s="1"/>
  <c r="BG47" i="88" s="1"/>
  <c r="I98" i="88"/>
  <c r="K98" i="88"/>
  <c r="AF98" i="88"/>
  <c r="AC102" i="80"/>
  <c r="V102" i="80"/>
  <c r="M102" i="80"/>
  <c r="X102" i="80"/>
  <c r="N102" i="80"/>
  <c r="L102" i="80"/>
  <c r="T102" i="80"/>
  <c r="S102" i="80"/>
  <c r="R102" i="80"/>
  <c r="Q102" i="80"/>
  <c r="P102" i="80"/>
  <c r="AD102" i="80"/>
  <c r="U102" i="80"/>
  <c r="AR44" i="75"/>
  <c r="AQ44" i="75"/>
  <c r="L51" i="88"/>
  <c r="N51" i="88" s="1"/>
  <c r="P51" i="88" s="1"/>
  <c r="H9" i="82" l="1"/>
  <c r="AY48" i="88"/>
  <c r="BF48" i="88" s="1"/>
  <c r="M51" i="88"/>
  <c r="O51" i="88" s="1"/>
  <c r="R51" i="88"/>
  <c r="U51" i="88" s="1"/>
  <c r="BK47" i="88"/>
  <c r="BI47" i="88"/>
  <c r="G105" i="80"/>
  <c r="I104" i="80"/>
  <c r="J104" i="80"/>
  <c r="H104" i="80"/>
  <c r="B104" i="80" s="1"/>
  <c r="V49" i="88"/>
  <c r="X49" i="88" s="1"/>
  <c r="AB44" i="75"/>
  <c r="AC48" i="88"/>
  <c r="BA48" i="88" s="1"/>
  <c r="BC48" i="88" s="1"/>
  <c r="BD48" i="88" s="1"/>
  <c r="C100" i="88"/>
  <c r="B101" i="88"/>
  <c r="G100" i="88"/>
  <c r="E100" i="88"/>
  <c r="D100" i="88"/>
  <c r="E46" i="75"/>
  <c r="AU49" i="88"/>
  <c r="AW49" i="88" s="1"/>
  <c r="AR49" i="88"/>
  <c r="AT49" i="88" s="1"/>
  <c r="AD103" i="80"/>
  <c r="AC103" i="80"/>
  <c r="U103" i="80"/>
  <c r="L103" i="80"/>
  <c r="T103" i="80"/>
  <c r="S103" i="80"/>
  <c r="P103" i="80"/>
  <c r="N103" i="80"/>
  <c r="X103" i="80"/>
  <c r="V103" i="80"/>
  <c r="R103" i="80"/>
  <c r="Q103" i="80"/>
  <c r="M103" i="80"/>
  <c r="AG52" i="88"/>
  <c r="AI52" i="88" s="1"/>
  <c r="AK52" i="88" s="1"/>
  <c r="L45" i="75"/>
  <c r="N45" i="75"/>
  <c r="I99" i="88"/>
  <c r="K99" i="88"/>
  <c r="AF99" i="88"/>
  <c r="AH52" i="88" l="1"/>
  <c r="AJ52" i="88" s="1"/>
  <c r="AM52" i="88"/>
  <c r="AP52" i="88" s="1"/>
  <c r="AX49" i="88"/>
  <c r="BB49" i="88" s="1"/>
  <c r="H46" i="75"/>
  <c r="I46" i="75" s="1"/>
  <c r="O45" i="75"/>
  <c r="AJ45" i="75"/>
  <c r="AQ50" i="88"/>
  <c r="AS50" i="88" s="1"/>
  <c r="I100" i="88"/>
  <c r="K100" i="88"/>
  <c r="AF100" i="88"/>
  <c r="C101" i="88"/>
  <c r="B102" i="88"/>
  <c r="G101" i="88"/>
  <c r="D101" i="88"/>
  <c r="E101" i="88"/>
  <c r="Z49" i="88"/>
  <c r="AB49" i="88" s="1"/>
  <c r="W49" i="88"/>
  <c r="Y49" i="88" s="1"/>
  <c r="AD104" i="80"/>
  <c r="AC104" i="80"/>
  <c r="S104" i="80"/>
  <c r="R104" i="80"/>
  <c r="Q104" i="80"/>
  <c r="V104" i="80"/>
  <c r="T104" i="80"/>
  <c r="P104" i="80"/>
  <c r="X104" i="80"/>
  <c r="U104" i="80"/>
  <c r="N104" i="80"/>
  <c r="M104" i="80"/>
  <c r="L104" i="80"/>
  <c r="AD48" i="88"/>
  <c r="BE48" i="88" s="1"/>
  <c r="BG48" i="88" s="1"/>
  <c r="G106" i="80"/>
  <c r="J105" i="80"/>
  <c r="I105" i="80"/>
  <c r="H105" i="80"/>
  <c r="B105" i="80" s="1"/>
  <c r="L52" i="88"/>
  <c r="N52" i="88" s="1"/>
  <c r="P52" i="88" s="1"/>
  <c r="M52" i="88" l="1"/>
  <c r="O52" i="88" s="1"/>
  <c r="R52" i="88"/>
  <c r="U52" i="88" s="1"/>
  <c r="AU50" i="88"/>
  <c r="AR50" i="88"/>
  <c r="AT50" i="88" s="1"/>
  <c r="AC49" i="88"/>
  <c r="BA49" i="88" s="1"/>
  <c r="BC49" i="88" s="1"/>
  <c r="BD49" i="88" s="1"/>
  <c r="BK48" i="88"/>
  <c r="BI48" i="88"/>
  <c r="AY49" i="88"/>
  <c r="BF49" i="88" s="1"/>
  <c r="E47" i="75"/>
  <c r="G107" i="80"/>
  <c r="I106" i="80"/>
  <c r="H106" i="80"/>
  <c r="B106" i="80" s="1"/>
  <c r="J106" i="80"/>
  <c r="I101" i="88"/>
  <c r="K101" i="88"/>
  <c r="AF101" i="88"/>
  <c r="AQ45" i="75"/>
  <c r="AR45" i="75"/>
  <c r="M46" i="75"/>
  <c r="C102" i="88"/>
  <c r="B103" i="88"/>
  <c r="G102" i="88"/>
  <c r="D102" i="88"/>
  <c r="E102" i="88"/>
  <c r="R45" i="75"/>
  <c r="V50" i="88"/>
  <c r="X50" i="88" s="1"/>
  <c r="AG53" i="88"/>
  <c r="AI53" i="88" s="1"/>
  <c r="L46" i="75"/>
  <c r="AC105" i="80"/>
  <c r="AD105" i="80"/>
  <c r="Q105" i="80"/>
  <c r="P105" i="80"/>
  <c r="X105" i="80"/>
  <c r="N105" i="80"/>
  <c r="N127" i="80" s="1"/>
  <c r="T105" i="80"/>
  <c r="S105" i="80"/>
  <c r="L105" i="80"/>
  <c r="U105" i="80"/>
  <c r="M105" i="80"/>
  <c r="R105" i="80"/>
  <c r="R127" i="80" s="1"/>
  <c r="V105" i="80"/>
  <c r="Z50" i="88" l="1"/>
  <c r="AB50" i="88" s="1"/>
  <c r="W50" i="88"/>
  <c r="Y50" i="88" s="1"/>
  <c r="I102" i="88"/>
  <c r="K102" i="88"/>
  <c r="AF102" i="88"/>
  <c r="C103" i="88"/>
  <c r="B104" i="88"/>
  <c r="G103" i="88"/>
  <c r="D103" i="88"/>
  <c r="E103" i="88"/>
  <c r="H47" i="75"/>
  <c r="O46" i="75"/>
  <c r="AJ46" i="75"/>
  <c r="AD49" i="88"/>
  <c r="BE49" i="88" s="1"/>
  <c r="BG49" i="88" s="1"/>
  <c r="AW50" i="88"/>
  <c r="AQ51" i="88"/>
  <c r="AS51" i="88" s="1"/>
  <c r="I107" i="80"/>
  <c r="G108" i="80"/>
  <c r="H107" i="80"/>
  <c r="B107" i="80" s="1"/>
  <c r="J107" i="80"/>
  <c r="N46" i="75"/>
  <c r="AH53" i="88"/>
  <c r="AJ53" i="88" s="1"/>
  <c r="AK53" i="88"/>
  <c r="AM53" i="88" s="1"/>
  <c r="AP53" i="88" s="1"/>
  <c r="AB45" i="75"/>
  <c r="O106" i="80"/>
  <c r="AF106" i="80"/>
  <c r="X106" i="80"/>
  <c r="P106" i="80"/>
  <c r="AB106" i="80"/>
  <c r="W106" i="80"/>
  <c r="N106" i="80"/>
  <c r="AD106" i="80"/>
  <c r="AG106" i="80"/>
  <c r="AJ106" i="80"/>
  <c r="V106" i="80"/>
  <c r="M106" i="80"/>
  <c r="AA106" i="80"/>
  <c r="L106" i="80"/>
  <c r="L128" i="80" s="1"/>
  <c r="Z106" i="80"/>
  <c r="AC106" i="80"/>
  <c r="AE106" i="80"/>
  <c r="U106" i="80"/>
  <c r="T106" i="80"/>
  <c r="S106" i="80"/>
  <c r="R106" i="80"/>
  <c r="Q106" i="80"/>
  <c r="AH106" i="80"/>
  <c r="Y106" i="80"/>
  <c r="AI106" i="80"/>
  <c r="L53" i="88"/>
  <c r="N53" i="88" s="1"/>
  <c r="M53" i="88" l="1"/>
  <c r="O53" i="88" s="1"/>
  <c r="P53" i="88"/>
  <c r="R53" i="88" s="1"/>
  <c r="U53" i="88" s="1"/>
  <c r="AU51" i="88"/>
  <c r="AR51" i="88"/>
  <c r="AT51" i="88" s="1"/>
  <c r="L47" i="75"/>
  <c r="V51" i="88"/>
  <c r="X51" i="88" s="1"/>
  <c r="AG54" i="88"/>
  <c r="AI54" i="88" s="1"/>
  <c r="I47" i="75"/>
  <c r="M47" i="75" s="1"/>
  <c r="N47" i="75" s="1"/>
  <c r="AK102" i="88"/>
  <c r="AC50" i="88"/>
  <c r="BA50" i="88" s="1"/>
  <c r="BK49" i="88"/>
  <c r="BI49" i="88"/>
  <c r="AR46" i="75"/>
  <c r="AQ46" i="75"/>
  <c r="I103" i="88"/>
  <c r="K103" i="88"/>
  <c r="AF103" i="88"/>
  <c r="G109" i="80"/>
  <c r="I108" i="80"/>
  <c r="H108" i="80"/>
  <c r="B108" i="80" s="1"/>
  <c r="J108" i="80"/>
  <c r="R46" i="75"/>
  <c r="C104" i="88"/>
  <c r="B105" i="88"/>
  <c r="G104" i="88"/>
  <c r="D104" i="88"/>
  <c r="E104" i="88"/>
  <c r="P102" i="88"/>
  <c r="AX50" i="88"/>
  <c r="BB50" i="88" s="1"/>
  <c r="O107" i="80"/>
  <c r="AB107" i="80"/>
  <c r="AF107" i="80"/>
  <c r="AI107" i="80"/>
  <c r="U107" i="80"/>
  <c r="L107" i="80"/>
  <c r="AH107" i="80"/>
  <c r="T107" i="80"/>
  <c r="AA107" i="80"/>
  <c r="S107" i="80"/>
  <c r="V107" i="80"/>
  <c r="R107" i="80"/>
  <c r="AG107" i="80"/>
  <c r="AJ107" i="80"/>
  <c r="P107" i="80"/>
  <c r="Z107" i="80"/>
  <c r="N107" i="80"/>
  <c r="AD107" i="80"/>
  <c r="Y107" i="80"/>
  <c r="X107" i="80"/>
  <c r="W107" i="80"/>
  <c r="AE107" i="80"/>
  <c r="Q107" i="80"/>
  <c r="M107" i="80"/>
  <c r="AC107" i="80"/>
  <c r="AY50" i="88" l="1"/>
  <c r="BF50" i="88" s="1"/>
  <c r="BC50" i="88"/>
  <c r="BD50" i="88" s="1"/>
  <c r="AQ52" i="88"/>
  <c r="AS52" i="88" s="1"/>
  <c r="AB46" i="75"/>
  <c r="Z51" i="88"/>
  <c r="AB51" i="88" s="1"/>
  <c r="W51" i="88"/>
  <c r="Y51" i="88" s="1"/>
  <c r="E48" i="75"/>
  <c r="C105" i="88"/>
  <c r="B106" i="88"/>
  <c r="G105" i="88"/>
  <c r="D105" i="88"/>
  <c r="E105" i="88"/>
  <c r="O108" i="80"/>
  <c r="AB108" i="80"/>
  <c r="Z108" i="80"/>
  <c r="R108" i="80"/>
  <c r="AF108" i="80"/>
  <c r="Y108" i="80"/>
  <c r="Q108" i="80"/>
  <c r="AE108" i="80"/>
  <c r="X108" i="80"/>
  <c r="P108" i="80"/>
  <c r="AD108" i="80"/>
  <c r="AH108" i="80"/>
  <c r="M108" i="80"/>
  <c r="AC108" i="80"/>
  <c r="AA108" i="80"/>
  <c r="L108" i="80"/>
  <c r="V108" i="80"/>
  <c r="AG108" i="80"/>
  <c r="U108" i="80"/>
  <c r="AJ108" i="80"/>
  <c r="AI108" i="80"/>
  <c r="W108" i="80"/>
  <c r="T108" i="80"/>
  <c r="S108" i="80"/>
  <c r="N108" i="80"/>
  <c r="H109" i="80"/>
  <c r="B109" i="80" s="1"/>
  <c r="I109" i="80"/>
  <c r="G110" i="80"/>
  <c r="J109" i="80"/>
  <c r="AH54" i="88"/>
  <c r="AJ54" i="88" s="1"/>
  <c r="AK54" i="88"/>
  <c r="AM54" i="88" s="1"/>
  <c r="AP54" i="88" s="1"/>
  <c r="AK103" i="88"/>
  <c r="AD50" i="88"/>
  <c r="BE50" i="88" s="1"/>
  <c r="BG50" i="88" s="1"/>
  <c r="O47" i="75"/>
  <c r="AJ47" i="75"/>
  <c r="I104" i="88"/>
  <c r="K104" i="88"/>
  <c r="AF104" i="88"/>
  <c r="P103" i="88"/>
  <c r="AW51" i="88"/>
  <c r="L54" i="88"/>
  <c r="N54" i="88" s="1"/>
  <c r="AC51" i="88" l="1"/>
  <c r="BA51" i="88" s="1"/>
  <c r="BK50" i="88"/>
  <c r="BI50" i="88"/>
  <c r="AU52" i="88"/>
  <c r="AR52" i="88"/>
  <c r="AT52" i="88" s="1"/>
  <c r="I110" i="80"/>
  <c r="G111" i="80"/>
  <c r="H110" i="80"/>
  <c r="B110" i="80" s="1"/>
  <c r="J110" i="80"/>
  <c r="O109" i="80"/>
  <c r="AB109" i="80"/>
  <c r="W109" i="80"/>
  <c r="N109" i="80"/>
  <c r="AE109" i="80"/>
  <c r="AJ109" i="80"/>
  <c r="V109" i="80"/>
  <c r="M109" i="80"/>
  <c r="AC109" i="80"/>
  <c r="AF109" i="80"/>
  <c r="AI109" i="80"/>
  <c r="U109" i="80"/>
  <c r="L109" i="80"/>
  <c r="T109" i="80"/>
  <c r="AD109" i="80"/>
  <c r="S109" i="80"/>
  <c r="AH109" i="80"/>
  <c r="Q109" i="80"/>
  <c r="AA109" i="80"/>
  <c r="P109" i="80"/>
  <c r="AG109" i="80"/>
  <c r="Z109" i="80"/>
  <c r="R109" i="80"/>
  <c r="Y109" i="80"/>
  <c r="X109" i="80"/>
  <c r="M54" i="88"/>
  <c r="O54" i="88" s="1"/>
  <c r="P54" i="88"/>
  <c r="R54" i="88" s="1"/>
  <c r="U54" i="88" s="1"/>
  <c r="P104" i="88"/>
  <c r="AX51" i="88"/>
  <c r="BB51" i="88" s="1"/>
  <c r="H48" i="75"/>
  <c r="AK104" i="88"/>
  <c r="AR47" i="75"/>
  <c r="AQ47" i="75"/>
  <c r="AG55" i="88"/>
  <c r="AI55" i="88" s="1"/>
  <c r="I105" i="88"/>
  <c r="K105" i="88"/>
  <c r="AF105" i="88"/>
  <c r="V52" i="88"/>
  <c r="X52" i="88" s="1"/>
  <c r="R47" i="75"/>
  <c r="G106" i="88"/>
  <c r="C106" i="88"/>
  <c r="B107" i="88"/>
  <c r="D106" i="88"/>
  <c r="E106" i="88"/>
  <c r="BC51" i="88" l="1"/>
  <c r="BD51" i="88" s="1"/>
  <c r="Z52" i="88"/>
  <c r="AB52" i="88" s="1"/>
  <c r="W52" i="88"/>
  <c r="Y52" i="88" s="1"/>
  <c r="I106" i="88"/>
  <c r="K106" i="88"/>
  <c r="AF106" i="88"/>
  <c r="AH55" i="88"/>
  <c r="AJ55" i="88" s="1"/>
  <c r="AK55" i="88"/>
  <c r="AM55" i="88" s="1"/>
  <c r="AP55" i="88" s="1"/>
  <c r="AK105" i="88"/>
  <c r="L48" i="75"/>
  <c r="AB47" i="75"/>
  <c r="C107" i="88"/>
  <c r="B108" i="88"/>
  <c r="G107" i="88"/>
  <c r="D107" i="88"/>
  <c r="E107" i="88"/>
  <c r="P105" i="88"/>
  <c r="AY51" i="88"/>
  <c r="BF51" i="88" s="1"/>
  <c r="I111" i="80"/>
  <c r="H111" i="80"/>
  <c r="B111" i="80" s="1"/>
  <c r="G112" i="80"/>
  <c r="J111" i="80"/>
  <c r="AQ53" i="88"/>
  <c r="AS53" i="88" s="1"/>
  <c r="I48" i="75"/>
  <c r="L55" i="88"/>
  <c r="N55" i="88" s="1"/>
  <c r="O110" i="80"/>
  <c r="AD110" i="80"/>
  <c r="AG110" i="80"/>
  <c r="AE110" i="80"/>
  <c r="AH110" i="80"/>
  <c r="T110" i="80"/>
  <c r="AC110" i="80"/>
  <c r="AA110" i="80"/>
  <c r="S110" i="80"/>
  <c r="Z110" i="80"/>
  <c r="R110" i="80"/>
  <c r="AF110" i="80"/>
  <c r="AI110" i="80"/>
  <c r="N110" i="80"/>
  <c r="Y110" i="80"/>
  <c r="M110" i="80"/>
  <c r="W110" i="80"/>
  <c r="V110" i="80"/>
  <c r="U110" i="80"/>
  <c r="Q110" i="80"/>
  <c r="P110" i="80"/>
  <c r="L110" i="80"/>
  <c r="AB110" i="80"/>
  <c r="X110" i="80"/>
  <c r="AJ110" i="80"/>
  <c r="AW52" i="88"/>
  <c r="AD51" i="88"/>
  <c r="BE51" i="88" s="1"/>
  <c r="M55" i="88" l="1"/>
  <c r="O55" i="88" s="1"/>
  <c r="P55" i="88"/>
  <c r="R55" i="88" s="1"/>
  <c r="U55" i="88" s="1"/>
  <c r="AU53" i="88"/>
  <c r="AR53" i="88"/>
  <c r="AT53" i="88" s="1"/>
  <c r="G113" i="80"/>
  <c r="I112" i="80"/>
  <c r="H112" i="80"/>
  <c r="B112" i="80" s="1"/>
  <c r="J112" i="80"/>
  <c r="E49" i="75"/>
  <c r="M48" i="75"/>
  <c r="O48" i="75" s="1"/>
  <c r="BG51" i="88"/>
  <c r="I107" i="88"/>
  <c r="K107" i="88"/>
  <c r="AF107" i="88"/>
  <c r="P106" i="88"/>
  <c r="C108" i="88"/>
  <c r="B109" i="88"/>
  <c r="G108" i="88"/>
  <c r="D108" i="88"/>
  <c r="E108" i="88"/>
  <c r="AC52" i="88"/>
  <c r="BA52" i="88" s="1"/>
  <c r="O111" i="80"/>
  <c r="AD111" i="80"/>
  <c r="AE111" i="80"/>
  <c r="AG111" i="80"/>
  <c r="AC111" i="80"/>
  <c r="Y111" i="80"/>
  <c r="Q111" i="80"/>
  <c r="X111" i="80"/>
  <c r="P111" i="80"/>
  <c r="W111" i="80"/>
  <c r="N111" i="80"/>
  <c r="U111" i="80"/>
  <c r="AF111" i="80"/>
  <c r="T111" i="80"/>
  <c r="AI111" i="80"/>
  <c r="R111" i="80"/>
  <c r="AH111" i="80"/>
  <c r="M111" i="80"/>
  <c r="AA111" i="80"/>
  <c r="Z111" i="80"/>
  <c r="V111" i="80"/>
  <c r="AB111" i="80"/>
  <c r="S111" i="80"/>
  <c r="L111" i="80"/>
  <c r="AJ111" i="80"/>
  <c r="V53" i="88"/>
  <c r="X53" i="88" s="1"/>
  <c r="AG56" i="88"/>
  <c r="AI56" i="88" s="1"/>
  <c r="AK106" i="88"/>
  <c r="AJ48" i="75"/>
  <c r="AX52" i="88"/>
  <c r="BB52" i="88" s="1"/>
  <c r="BC52" i="88" l="1"/>
  <c r="BD52" i="88" s="1"/>
  <c r="AD52" i="88"/>
  <c r="BE52" i="88" s="1"/>
  <c r="H49" i="75"/>
  <c r="P107" i="88"/>
  <c r="AQ54" i="88"/>
  <c r="AS54" i="88" s="1"/>
  <c r="O112" i="80"/>
  <c r="AE112" i="80"/>
  <c r="AC112" i="80"/>
  <c r="AD112" i="80"/>
  <c r="AG112" i="80"/>
  <c r="AJ112" i="80"/>
  <c r="V112" i="80"/>
  <c r="M112" i="80"/>
  <c r="AI112" i="80"/>
  <c r="U112" i="80"/>
  <c r="L112" i="80"/>
  <c r="AH112" i="80"/>
  <c r="T112" i="80"/>
  <c r="AA112" i="80"/>
  <c r="P112" i="80"/>
  <c r="Z112" i="80"/>
  <c r="N112" i="80"/>
  <c r="X112" i="80"/>
  <c r="W112" i="80"/>
  <c r="AB112" i="80"/>
  <c r="Y112" i="80"/>
  <c r="S112" i="80"/>
  <c r="R112" i="80"/>
  <c r="Q112" i="80"/>
  <c r="AF112" i="80"/>
  <c r="AH56" i="88"/>
  <c r="AJ56" i="88" s="1"/>
  <c r="AK56" i="88"/>
  <c r="AM56" i="88" s="1"/>
  <c r="AP56" i="88" s="1"/>
  <c r="Z53" i="88"/>
  <c r="AB53" i="88" s="1"/>
  <c r="W53" i="88"/>
  <c r="Y53" i="88" s="1"/>
  <c r="I108" i="88"/>
  <c r="AF108" i="88"/>
  <c r="K108" i="88"/>
  <c r="BK51" i="88"/>
  <c r="BI51" i="88"/>
  <c r="G114" i="80"/>
  <c r="I113" i="80"/>
  <c r="H113" i="80"/>
  <c r="B113" i="80" s="1"/>
  <c r="J113" i="80"/>
  <c r="AR48" i="75"/>
  <c r="AQ48" i="75"/>
  <c r="AK107" i="88"/>
  <c r="R48" i="75"/>
  <c r="AY52" i="88"/>
  <c r="BF52" i="88" s="1"/>
  <c r="C109" i="88"/>
  <c r="B110" i="88"/>
  <c r="G109" i="88"/>
  <c r="D109" i="88"/>
  <c r="E109" i="88"/>
  <c r="N48" i="75"/>
  <c r="AW53" i="88"/>
  <c r="L56" i="88"/>
  <c r="N56" i="88" s="1"/>
  <c r="BG52" i="88" l="1"/>
  <c r="BI52" i="88" s="1"/>
  <c r="AU54" i="88"/>
  <c r="AW54" i="88" s="1"/>
  <c r="AR54" i="88"/>
  <c r="AT54" i="88" s="1"/>
  <c r="M56" i="88"/>
  <c r="O56" i="88" s="1"/>
  <c r="P56" i="88"/>
  <c r="L49" i="75"/>
  <c r="AG57" i="88"/>
  <c r="AI57" i="88" s="1"/>
  <c r="AJ122" i="88"/>
  <c r="I49" i="75"/>
  <c r="M49" i="75" s="1"/>
  <c r="AB48" i="75"/>
  <c r="P108" i="88"/>
  <c r="BK52" i="88"/>
  <c r="AK108" i="88"/>
  <c r="O113" i="80"/>
  <c r="AC113" i="80"/>
  <c r="AF113" i="80"/>
  <c r="AA113" i="80"/>
  <c r="S113" i="80"/>
  <c r="AD113" i="80"/>
  <c r="AG113" i="80"/>
  <c r="Z113" i="80"/>
  <c r="R113" i="80"/>
  <c r="AB113" i="80"/>
  <c r="Y113" i="80"/>
  <c r="Q113" i="80"/>
  <c r="V113" i="80"/>
  <c r="AE113" i="80"/>
  <c r="U113" i="80"/>
  <c r="AJ113" i="80"/>
  <c r="P113" i="80"/>
  <c r="AI113" i="80"/>
  <c r="N113" i="80"/>
  <c r="M113" i="80"/>
  <c r="L113" i="80"/>
  <c r="AH113" i="80"/>
  <c r="X113" i="80"/>
  <c r="W113" i="80"/>
  <c r="T113" i="80"/>
  <c r="AC53" i="88"/>
  <c r="BA53" i="88" s="1"/>
  <c r="G115" i="80"/>
  <c r="I114" i="80"/>
  <c r="H114" i="80"/>
  <c r="B114" i="80" s="1"/>
  <c r="J114" i="80"/>
  <c r="V54" i="88"/>
  <c r="X54" i="88" s="1"/>
  <c r="I109" i="88"/>
  <c r="K109" i="88"/>
  <c r="AF109" i="88"/>
  <c r="AX53" i="88"/>
  <c r="BB53" i="88" s="1"/>
  <c r="G110" i="88"/>
  <c r="C110" i="88"/>
  <c r="B111" i="88"/>
  <c r="D110" i="88"/>
  <c r="E110" i="88"/>
  <c r="BC53" i="88" l="1"/>
  <c r="BD53" i="88" s="1"/>
  <c r="AD53" i="88"/>
  <c r="BE53" i="88" s="1"/>
  <c r="Z54" i="88"/>
  <c r="AB54" i="88" s="1"/>
  <c r="W54" i="88"/>
  <c r="Y54" i="88" s="1"/>
  <c r="O114" i="80"/>
  <c r="AF114" i="80"/>
  <c r="Y114" i="80"/>
  <c r="Q114" i="80"/>
  <c r="AB114" i="80"/>
  <c r="X114" i="80"/>
  <c r="P114" i="80"/>
  <c r="AD114" i="80"/>
  <c r="AG114" i="80"/>
  <c r="W114" i="80"/>
  <c r="N114" i="80"/>
  <c r="AC114" i="80"/>
  <c r="AE114" i="80"/>
  <c r="AI114" i="80"/>
  <c r="R114" i="80"/>
  <c r="AH114" i="80"/>
  <c r="M114" i="80"/>
  <c r="Z114" i="80"/>
  <c r="V114" i="80"/>
  <c r="U114" i="80"/>
  <c r="T114" i="80"/>
  <c r="S114" i="80"/>
  <c r="L114" i="80"/>
  <c r="AJ114" i="80"/>
  <c r="AA114" i="80"/>
  <c r="P109" i="88"/>
  <c r="C111" i="88"/>
  <c r="B112" i="88"/>
  <c r="G111" i="88"/>
  <c r="D111" i="88"/>
  <c r="E111" i="88"/>
  <c r="N49" i="75"/>
  <c r="L57" i="88"/>
  <c r="N57" i="88" s="1"/>
  <c r="O122" i="88"/>
  <c r="AX54" i="88"/>
  <c r="BB54" i="88" s="1"/>
  <c r="AY53" i="88"/>
  <c r="BF53" i="88" s="1"/>
  <c r="BG53" i="88" s="1"/>
  <c r="E50" i="75"/>
  <c r="O49" i="75"/>
  <c r="AJ49" i="75"/>
  <c r="AK109" i="88"/>
  <c r="AH57" i="88"/>
  <c r="AJ57" i="88" s="1"/>
  <c r="AK57" i="88"/>
  <c r="AM57" i="88" s="1"/>
  <c r="AP57" i="88" s="1"/>
  <c r="I115" i="80"/>
  <c r="G116" i="80"/>
  <c r="H115" i="80"/>
  <c r="B115" i="80" s="1"/>
  <c r="J115" i="80"/>
  <c r="AQ55" i="88"/>
  <c r="AS55" i="88" s="1"/>
  <c r="I110" i="88"/>
  <c r="K110" i="88"/>
  <c r="AF110" i="88"/>
  <c r="R56" i="88"/>
  <c r="U56" i="88" s="1"/>
  <c r="AU55" i="88" l="1"/>
  <c r="AW55" i="88" s="1"/>
  <c r="AR55" i="88"/>
  <c r="AT55" i="88" s="1"/>
  <c r="G117" i="80"/>
  <c r="I116" i="80"/>
  <c r="H116" i="80"/>
  <c r="B116" i="80" s="1"/>
  <c r="J116" i="80"/>
  <c r="O115" i="80"/>
  <c r="AB115" i="80"/>
  <c r="AF115" i="80"/>
  <c r="W115" i="80"/>
  <c r="N115" i="80"/>
  <c r="AJ115" i="80"/>
  <c r="V115" i="80"/>
  <c r="M115" i="80"/>
  <c r="AI115" i="80"/>
  <c r="U115" i="80"/>
  <c r="L115" i="80"/>
  <c r="Y115" i="80"/>
  <c r="X115" i="80"/>
  <c r="S115" i="80"/>
  <c r="R115" i="80"/>
  <c r="AH115" i="80"/>
  <c r="AD115" i="80"/>
  <c r="AG115" i="80"/>
  <c r="AA115" i="80"/>
  <c r="AE115" i="80"/>
  <c r="Z115" i="80"/>
  <c r="T115" i="80"/>
  <c r="AC115" i="80"/>
  <c r="Q115" i="80"/>
  <c r="P115" i="80"/>
  <c r="M57" i="88"/>
  <c r="O57" i="88" s="1"/>
  <c r="P57" i="88"/>
  <c r="R57" i="88" s="1"/>
  <c r="U57" i="88" s="1"/>
  <c r="BK53" i="88"/>
  <c r="BI53" i="88"/>
  <c r="AC54" i="88"/>
  <c r="BA54" i="88" s="1"/>
  <c r="BC54" i="88" s="1"/>
  <c r="BD54" i="88" s="1"/>
  <c r="AY54" i="88"/>
  <c r="BF54" i="88" s="1"/>
  <c r="V55" i="88"/>
  <c r="X55" i="88" s="1"/>
  <c r="R49" i="75"/>
  <c r="I111" i="88"/>
  <c r="K111" i="88"/>
  <c r="AF111" i="88"/>
  <c r="AR49" i="75"/>
  <c r="AQ49" i="75"/>
  <c r="AK110" i="88"/>
  <c r="P110" i="88"/>
  <c r="AG58" i="88"/>
  <c r="AI58" i="88" s="1"/>
  <c r="H50" i="75"/>
  <c r="I50" i="75" s="1"/>
  <c r="C112" i="88"/>
  <c r="B113" i="88"/>
  <c r="G112" i="88"/>
  <c r="D112" i="88"/>
  <c r="E112" i="88"/>
  <c r="AH58" i="88" l="1"/>
  <c r="AJ58" i="88" s="1"/>
  <c r="AK58" i="88"/>
  <c r="E51" i="75"/>
  <c r="M50" i="75"/>
  <c r="AX55" i="88"/>
  <c r="BB55" i="88" s="1"/>
  <c r="AB49" i="75"/>
  <c r="I117" i="80"/>
  <c r="H117" i="80"/>
  <c r="J117" i="80"/>
  <c r="O116" i="80"/>
  <c r="AB116" i="80"/>
  <c r="AI116" i="80"/>
  <c r="U116" i="80"/>
  <c r="L116" i="80"/>
  <c r="AF116" i="80"/>
  <c r="AH116" i="80"/>
  <c r="T116" i="80"/>
  <c r="AE116" i="80"/>
  <c r="AA116" i="80"/>
  <c r="S116" i="80"/>
  <c r="R116" i="80"/>
  <c r="Q116" i="80"/>
  <c r="AD116" i="80"/>
  <c r="Z116" i="80"/>
  <c r="N116" i="80"/>
  <c r="Y116" i="80"/>
  <c r="M116" i="80"/>
  <c r="AG116" i="80"/>
  <c r="AC116" i="80"/>
  <c r="AJ116" i="80"/>
  <c r="X116" i="80"/>
  <c r="V116" i="80"/>
  <c r="P116" i="80"/>
  <c r="W116" i="80"/>
  <c r="L50" i="75"/>
  <c r="I112" i="88"/>
  <c r="AF112" i="88"/>
  <c r="K112" i="88"/>
  <c r="C113" i="88"/>
  <c r="B114" i="88"/>
  <c r="G113" i="88"/>
  <c r="D113" i="88"/>
  <c r="E113" i="88"/>
  <c r="AK111" i="88"/>
  <c r="AD54" i="88"/>
  <c r="BE54" i="88" s="1"/>
  <c r="BG54" i="88" s="1"/>
  <c r="L58" i="88"/>
  <c r="N58" i="88" s="1"/>
  <c r="AQ56" i="88"/>
  <c r="AS56" i="88" s="1"/>
  <c r="P111" i="88"/>
  <c r="Z55" i="88"/>
  <c r="W55" i="88"/>
  <c r="Y55" i="88" s="1"/>
  <c r="AY55" i="88" l="1"/>
  <c r="BF55" i="88" s="1"/>
  <c r="BI54" i="88"/>
  <c r="BK54" i="88"/>
  <c r="H51" i="75"/>
  <c r="I113" i="88"/>
  <c r="K113" i="88"/>
  <c r="AF113" i="88"/>
  <c r="P112" i="88"/>
  <c r="AM58" i="88"/>
  <c r="AP58" i="88" s="1"/>
  <c r="O50" i="75"/>
  <c r="AJ50" i="75"/>
  <c r="G114" i="88"/>
  <c r="B115" i="88"/>
  <c r="C114" i="88"/>
  <c r="D114" i="88"/>
  <c r="E114" i="88"/>
  <c r="AU56" i="88"/>
  <c r="AW56" i="88" s="1"/>
  <c r="AR56" i="88"/>
  <c r="AT56" i="88" s="1"/>
  <c r="B117" i="80"/>
  <c r="B128" i="80" s="1"/>
  <c r="I120" i="80"/>
  <c r="AZ121" i="80"/>
  <c r="D26" i="84" s="1"/>
  <c r="AO120" i="80"/>
  <c r="I124" i="80"/>
  <c r="AX121" i="80"/>
  <c r="D23" i="84" s="1"/>
  <c r="AO122" i="80"/>
  <c r="AU121" i="80"/>
  <c r="AX122" i="80"/>
  <c r="E23" i="84" s="1"/>
  <c r="BE123" i="80"/>
  <c r="F33" i="84" s="1"/>
  <c r="BJ123" i="80"/>
  <c r="F10" i="84" s="1"/>
  <c r="BB123" i="80"/>
  <c r="F30" i="84" s="1"/>
  <c r="AS120" i="80"/>
  <c r="AV121" i="80"/>
  <c r="AP120" i="80"/>
  <c r="BH120" i="80"/>
  <c r="B121" i="80"/>
  <c r="AZ122" i="80"/>
  <c r="E26" i="84" s="1"/>
  <c r="AT122" i="80"/>
  <c r="E18" i="84" s="1"/>
  <c r="AM123" i="80"/>
  <c r="F7" i="84" s="1"/>
  <c r="BH122" i="80"/>
  <c r="E11" i="84" s="1"/>
  <c r="AY122" i="80"/>
  <c r="E25" i="84" s="1"/>
  <c r="AO121" i="80"/>
  <c r="I123" i="80"/>
  <c r="AS121" i="80"/>
  <c r="D17" i="84" s="1"/>
  <c r="BG122" i="80"/>
  <c r="AQ120" i="80"/>
  <c r="AP123" i="80"/>
  <c r="F15" i="84" s="1"/>
  <c r="AS122" i="80"/>
  <c r="E17" i="84" s="1"/>
  <c r="AS123" i="80"/>
  <c r="F17" i="84" s="1"/>
  <c r="B123" i="80"/>
  <c r="AQ122" i="80"/>
  <c r="E16" i="84" s="1"/>
  <c r="AU123" i="80"/>
  <c r="AW121" i="80"/>
  <c r="D24" i="84" s="1"/>
  <c r="AR120" i="80"/>
  <c r="AM120" i="80"/>
  <c r="AW123" i="80"/>
  <c r="F24" i="84" s="1"/>
  <c r="AR121" i="80"/>
  <c r="BE122" i="80"/>
  <c r="E33" i="84" s="1"/>
  <c r="BC122" i="80"/>
  <c r="E31" i="84" s="1"/>
  <c r="I122" i="80"/>
  <c r="AU120" i="80"/>
  <c r="BC123" i="80"/>
  <c r="F31" i="84" s="1"/>
  <c r="AQ123" i="80"/>
  <c r="F16" i="84" s="1"/>
  <c r="BB122" i="80"/>
  <c r="E30" i="84" s="1"/>
  <c r="BG121" i="80"/>
  <c r="AR122" i="80"/>
  <c r="BD120" i="80"/>
  <c r="AR123" i="80"/>
  <c r="AY121" i="80"/>
  <c r="D25" i="84" s="1"/>
  <c r="AX120" i="80"/>
  <c r="BE121" i="80"/>
  <c r="D33" i="84" s="1"/>
  <c r="AP121" i="80"/>
  <c r="D15" i="84" s="1"/>
  <c r="BF122" i="80"/>
  <c r="E12" i="84" s="1"/>
  <c r="AZ123" i="80"/>
  <c r="F26" i="84" s="1"/>
  <c r="BD123" i="80"/>
  <c r="F32" i="84" s="1"/>
  <c r="AY120" i="80"/>
  <c r="BG120" i="80"/>
  <c r="AY123" i="80"/>
  <c r="F25" i="84" s="1"/>
  <c r="AV120" i="80"/>
  <c r="BD121" i="80"/>
  <c r="D32" i="84" s="1"/>
  <c r="BF120" i="80"/>
  <c r="I121" i="80"/>
  <c r="BH123" i="80"/>
  <c r="F11" i="84" s="1"/>
  <c r="AW122" i="80"/>
  <c r="E24" i="84" s="1"/>
  <c r="AZ120" i="80"/>
  <c r="AT123" i="80"/>
  <c r="F18" i="84" s="1"/>
  <c r="AV122" i="80"/>
  <c r="AW120" i="80"/>
  <c r="AT121" i="80"/>
  <c r="D18" i="84" s="1"/>
  <c r="AX123" i="80"/>
  <c r="F23" i="84" s="1"/>
  <c r="AQ121" i="80"/>
  <c r="D16" i="84" s="1"/>
  <c r="BF123" i="80"/>
  <c r="F12" i="84" s="1"/>
  <c r="BJ120" i="80"/>
  <c r="BI123" i="80"/>
  <c r="BB121" i="80"/>
  <c r="D30" i="84" s="1"/>
  <c r="BI121" i="80"/>
  <c r="AM121" i="80"/>
  <c r="D7" i="84" s="1"/>
  <c r="BG123" i="80"/>
  <c r="BH121" i="80"/>
  <c r="D11" i="84" s="1"/>
  <c r="AT120" i="80"/>
  <c r="BF121" i="80"/>
  <c r="D12" i="84" s="1"/>
  <c r="BC120" i="80"/>
  <c r="BI120" i="80"/>
  <c r="AV123" i="80"/>
  <c r="AP122" i="80"/>
  <c r="E15" i="84" s="1"/>
  <c r="BD122" i="80"/>
  <c r="E32" i="84" s="1"/>
  <c r="B122" i="80"/>
  <c r="AT124" i="80"/>
  <c r="G18" i="84" s="1"/>
  <c r="AM124" i="80"/>
  <c r="G7" i="84" s="1"/>
  <c r="AR124" i="80"/>
  <c r="AU124" i="80"/>
  <c r="B124" i="80"/>
  <c r="BC124" i="80"/>
  <c r="G31" i="84" s="1"/>
  <c r="BE124" i="80"/>
  <c r="G33" i="84" s="1"/>
  <c r="AU122" i="80"/>
  <c r="BH124" i="80"/>
  <c r="G11" i="84" s="1"/>
  <c r="BJ124" i="80"/>
  <c r="G10" i="84" s="1"/>
  <c r="BC121" i="80"/>
  <c r="D31" i="84" s="1"/>
  <c r="AM122" i="80"/>
  <c r="E7" i="84" s="1"/>
  <c r="BD124" i="80"/>
  <c r="G32" i="84" s="1"/>
  <c r="BB124" i="80"/>
  <c r="G30" i="84" s="1"/>
  <c r="BF124" i="80"/>
  <c r="G12" i="84" s="1"/>
  <c r="BE120" i="80"/>
  <c r="BB120" i="80"/>
  <c r="AO124" i="80"/>
  <c r="BI124" i="80"/>
  <c r="BI122" i="80"/>
  <c r="AY124" i="80"/>
  <c r="G25" i="84" s="1"/>
  <c r="AP124" i="80"/>
  <c r="G15" i="84" s="1"/>
  <c r="BJ121" i="80"/>
  <c r="D10" i="84" s="1"/>
  <c r="AW124" i="80"/>
  <c r="G24" i="84" s="1"/>
  <c r="AO126" i="80"/>
  <c r="AV125" i="80"/>
  <c r="BG124" i="80"/>
  <c r="AR125" i="80"/>
  <c r="AX124" i="80"/>
  <c r="G23" i="84" s="1"/>
  <c r="BJ122" i="80"/>
  <c r="E10" i="84" s="1"/>
  <c r="AX125" i="80"/>
  <c r="H23" i="84" s="1"/>
  <c r="BF126" i="80"/>
  <c r="I12" i="84" s="1"/>
  <c r="BE125" i="80"/>
  <c r="H33" i="84" s="1"/>
  <c r="AS124" i="80"/>
  <c r="G17" i="84" s="1"/>
  <c r="AO123" i="80"/>
  <c r="AV126" i="80"/>
  <c r="AQ124" i="80"/>
  <c r="G16" i="84" s="1"/>
  <c r="AZ124" i="80"/>
  <c r="G26" i="84" s="1"/>
  <c r="AV124" i="80"/>
  <c r="BC128" i="80"/>
  <c r="K31" i="84" s="1"/>
  <c r="I126" i="80"/>
  <c r="AO125" i="80"/>
  <c r="BF125" i="80"/>
  <c r="H12" i="84" s="1"/>
  <c r="BD126" i="80"/>
  <c r="I32" i="84" s="1"/>
  <c r="AY125" i="80"/>
  <c r="H25" i="84" s="1"/>
  <c r="BH127" i="80"/>
  <c r="J11" i="84" s="1"/>
  <c r="BF127" i="80"/>
  <c r="J12" i="84" s="1"/>
  <c r="AU125" i="80"/>
  <c r="AQ125" i="80"/>
  <c r="H16" i="84" s="1"/>
  <c r="AZ126" i="80"/>
  <c r="I26" i="84" s="1"/>
  <c r="BJ125" i="80"/>
  <c r="H10" i="84" s="1"/>
  <c r="I125" i="80"/>
  <c r="BG125" i="80"/>
  <c r="B126" i="80"/>
  <c r="AU127" i="80"/>
  <c r="BJ128" i="80"/>
  <c r="K10" i="84" s="1"/>
  <c r="BD128" i="80"/>
  <c r="K32" i="84" s="1"/>
  <c r="BD125" i="80"/>
  <c r="H32" i="84" s="1"/>
  <c r="BH125" i="80"/>
  <c r="H11" i="84" s="1"/>
  <c r="AX126" i="80"/>
  <c r="I23" i="84" s="1"/>
  <c r="AR127" i="80"/>
  <c r="AX128" i="80"/>
  <c r="K23" i="84" s="1"/>
  <c r="BI126" i="80"/>
  <c r="AM126" i="80"/>
  <c r="I7" i="84" s="1"/>
  <c r="AP126" i="80"/>
  <c r="I15" i="84" s="1"/>
  <c r="BC126" i="80"/>
  <c r="I31" i="84" s="1"/>
  <c r="BB126" i="80"/>
  <c r="I30" i="84" s="1"/>
  <c r="AP125" i="80"/>
  <c r="H15" i="84" s="1"/>
  <c r="AR126" i="80"/>
  <c r="BB127" i="80"/>
  <c r="J30" i="84" s="1"/>
  <c r="AS125" i="80"/>
  <c r="H17" i="84" s="1"/>
  <c r="BE128" i="80"/>
  <c r="K33" i="84" s="1"/>
  <c r="BC125" i="80"/>
  <c r="H31" i="84" s="1"/>
  <c r="AM128" i="80"/>
  <c r="K7" i="84" s="1"/>
  <c r="AU126" i="80"/>
  <c r="AT126" i="80"/>
  <c r="I18" i="84" s="1"/>
  <c r="B125" i="80"/>
  <c r="BI125" i="80"/>
  <c r="BI127" i="80"/>
  <c r="BH126" i="80"/>
  <c r="I11" i="84" s="1"/>
  <c r="BG126" i="80"/>
  <c r="AQ126" i="80"/>
  <c r="I16" i="84" s="1"/>
  <c r="AS126" i="80"/>
  <c r="I17" i="84" s="1"/>
  <c r="BE126" i="80"/>
  <c r="I33" i="84" s="1"/>
  <c r="AY126" i="80"/>
  <c r="I25" i="84" s="1"/>
  <c r="BB125" i="80"/>
  <c r="H30" i="84" s="1"/>
  <c r="AW125" i="80"/>
  <c r="H24" i="84" s="1"/>
  <c r="AW126" i="80"/>
  <c r="I24" i="84" s="1"/>
  <c r="AT125" i="80"/>
  <c r="H18" i="84" s="1"/>
  <c r="BH128" i="80"/>
  <c r="K11" i="84" s="1"/>
  <c r="BJ126" i="80"/>
  <c r="I10" i="84" s="1"/>
  <c r="AZ125" i="80"/>
  <c r="H26" i="84" s="1"/>
  <c r="AM125" i="80"/>
  <c r="H7" i="84" s="1"/>
  <c r="B127" i="80"/>
  <c r="AR128" i="80"/>
  <c r="I127" i="80"/>
  <c r="AQ127" i="80"/>
  <c r="J16" i="84" s="1"/>
  <c r="AW127" i="80"/>
  <c r="J24" i="84" s="1"/>
  <c r="AO127" i="80"/>
  <c r="AW128" i="80"/>
  <c r="K24" i="84" s="1"/>
  <c r="AQ128" i="80"/>
  <c r="K16" i="84" s="1"/>
  <c r="AX127" i="80"/>
  <c r="J23" i="84" s="1"/>
  <c r="AM127" i="80"/>
  <c r="J7" i="84" s="1"/>
  <c r="AT127" i="80"/>
  <c r="J18" i="84" s="1"/>
  <c r="BG127" i="80"/>
  <c r="AP128" i="80"/>
  <c r="K15" i="84" s="1"/>
  <c r="AS128" i="80"/>
  <c r="K17" i="84" s="1"/>
  <c r="I128" i="80"/>
  <c r="AS127" i="80"/>
  <c r="J17" i="84" s="1"/>
  <c r="AZ127" i="80"/>
  <c r="J26" i="84" s="1"/>
  <c r="BC127" i="80"/>
  <c r="J31" i="84" s="1"/>
  <c r="AT128" i="80"/>
  <c r="K18" i="84" s="1"/>
  <c r="AP127" i="80"/>
  <c r="J15" i="84" s="1"/>
  <c r="AO128" i="80"/>
  <c r="BD127" i="80"/>
  <c r="J32" i="84" s="1"/>
  <c r="BF128" i="80"/>
  <c r="K12" i="84" s="1"/>
  <c r="BJ127" i="80"/>
  <c r="J10" i="84" s="1"/>
  <c r="AY128" i="80"/>
  <c r="K25" i="84" s="1"/>
  <c r="AV127" i="80"/>
  <c r="AZ128" i="80"/>
  <c r="K26" i="84" s="1"/>
  <c r="AY127" i="80"/>
  <c r="J25" i="84" s="1"/>
  <c r="BI128" i="80"/>
  <c r="BG128" i="80"/>
  <c r="BB128" i="80"/>
  <c r="K30" i="84" s="1"/>
  <c r="AV128" i="80"/>
  <c r="AU128" i="80"/>
  <c r="BE127" i="80"/>
  <c r="J33" i="84" s="1"/>
  <c r="O117" i="80"/>
  <c r="AB117" i="80"/>
  <c r="AH117" i="80"/>
  <c r="T117" i="80"/>
  <c r="AE117" i="80"/>
  <c r="AA117" i="80"/>
  <c r="AA128" i="80" s="1"/>
  <c r="S117" i="80"/>
  <c r="AC117" i="80"/>
  <c r="AC128" i="80" s="1"/>
  <c r="AF117" i="80"/>
  <c r="AF128" i="80" s="1"/>
  <c r="Z117" i="80"/>
  <c r="Z128" i="80" s="1"/>
  <c r="Q117" i="80"/>
  <c r="Q128" i="80" s="1"/>
  <c r="AG117" i="80"/>
  <c r="AG128" i="80" s="1"/>
  <c r="R117" i="80"/>
  <c r="R128" i="80" s="1"/>
  <c r="AI117" i="80"/>
  <c r="AI128" i="80" s="1"/>
  <c r="M117" i="80"/>
  <c r="M128" i="80" s="1"/>
  <c r="Y117" i="80"/>
  <c r="Y128" i="80" s="1"/>
  <c r="L117" i="80"/>
  <c r="W117" i="80"/>
  <c r="W128" i="80" s="1"/>
  <c r="AD117" i="80"/>
  <c r="AD128" i="80" s="1"/>
  <c r="V117" i="80"/>
  <c r="V128" i="80" s="1"/>
  <c r="U117" i="80"/>
  <c r="P117" i="80"/>
  <c r="N117" i="80"/>
  <c r="N128" i="80" s="1"/>
  <c r="AJ117" i="80"/>
  <c r="X117" i="80"/>
  <c r="X128" i="80" s="1"/>
  <c r="I118" i="80"/>
  <c r="AK112" i="88"/>
  <c r="AB55" i="88"/>
  <c r="AG59" i="88"/>
  <c r="AI59" i="88" s="1"/>
  <c r="M58" i="88"/>
  <c r="O58" i="88" s="1"/>
  <c r="P58" i="88"/>
  <c r="R58" i="88" s="1"/>
  <c r="U58" i="88" s="1"/>
  <c r="V56" i="88"/>
  <c r="X56" i="88" s="1"/>
  <c r="N50" i="75"/>
  <c r="E19" i="84" l="1"/>
  <c r="G19" i="84"/>
  <c r="J19" i="84"/>
  <c r="AR129" i="80"/>
  <c r="AJ128" i="80"/>
  <c r="AH128" i="80"/>
  <c r="AH59" i="88"/>
  <c r="AJ59" i="88" s="1"/>
  <c r="AK59" i="88"/>
  <c r="AX56" i="88"/>
  <c r="BB56" i="88" s="1"/>
  <c r="C31" i="84"/>
  <c r="L31" i="84" s="1"/>
  <c r="BC129" i="80"/>
  <c r="I114" i="88"/>
  <c r="AF114" i="88"/>
  <c r="K114" i="88"/>
  <c r="AC55" i="88"/>
  <c r="BA55" i="88" s="1"/>
  <c r="BC55" i="88" s="1"/>
  <c r="BD55" i="88" s="1"/>
  <c r="O128" i="80"/>
  <c r="I19" i="84"/>
  <c r="I27" i="84"/>
  <c r="C23" i="84"/>
  <c r="AX129" i="80"/>
  <c r="E27" i="84"/>
  <c r="E34" i="84" s="1"/>
  <c r="AO129" i="80"/>
  <c r="AQ57" i="88"/>
  <c r="AS57" i="88" s="1"/>
  <c r="AT122" i="88"/>
  <c r="T128" i="80"/>
  <c r="C18" i="84"/>
  <c r="L18" i="84" s="1"/>
  <c r="AT129" i="80"/>
  <c r="C26" i="84"/>
  <c r="L26" i="84" s="1"/>
  <c r="AZ129" i="80"/>
  <c r="AV129" i="80"/>
  <c r="C16" i="84"/>
  <c r="L16" i="84" s="1"/>
  <c r="AQ129" i="80"/>
  <c r="L51" i="75"/>
  <c r="BI129" i="80"/>
  <c r="AE128" i="80"/>
  <c r="G27" i="84"/>
  <c r="G34" i="84" s="1"/>
  <c r="C33" i="84"/>
  <c r="L33" i="84" s="1"/>
  <c r="BE129" i="80"/>
  <c r="F27" i="84"/>
  <c r="I129" i="80"/>
  <c r="R50" i="75"/>
  <c r="P113" i="88"/>
  <c r="I51" i="75"/>
  <c r="M51" i="75" s="1"/>
  <c r="C12" i="84"/>
  <c r="BF129" i="80"/>
  <c r="C11" i="84"/>
  <c r="L11" i="84" s="1"/>
  <c r="BH129" i="80"/>
  <c r="C115" i="88"/>
  <c r="B116" i="88"/>
  <c r="G115" i="88"/>
  <c r="D115" i="88"/>
  <c r="E115" i="88"/>
  <c r="L59" i="88"/>
  <c r="N59" i="88" s="1"/>
  <c r="AU129" i="80"/>
  <c r="U128" i="80"/>
  <c r="K19" i="84"/>
  <c r="J27" i="84"/>
  <c r="J34" i="84" s="1"/>
  <c r="H19" i="84"/>
  <c r="K27" i="84"/>
  <c r="BG129" i="80"/>
  <c r="BD129" i="80"/>
  <c r="C32" i="84"/>
  <c r="L32" i="84" s="1"/>
  <c r="S128" i="80"/>
  <c r="BB129" i="80"/>
  <c r="C30" i="84"/>
  <c r="L30" i="84" s="1"/>
  <c r="C15" i="84"/>
  <c r="L15" i="84" s="1"/>
  <c r="AP129" i="80"/>
  <c r="AR50" i="75"/>
  <c r="AQ50" i="75"/>
  <c r="AK113" i="88"/>
  <c r="Z56" i="88"/>
  <c r="AB56" i="88" s="1"/>
  <c r="W56" i="88"/>
  <c r="Y56" i="88" s="1"/>
  <c r="P128" i="80"/>
  <c r="H27" i="84"/>
  <c r="C10" i="84"/>
  <c r="L10" i="84" s="1"/>
  <c r="BJ129" i="80"/>
  <c r="AW129" i="80"/>
  <c r="C24" i="84"/>
  <c r="L24" i="84" s="1"/>
  <c r="C25" i="84"/>
  <c r="L25" i="84" s="1"/>
  <c r="AY129" i="80"/>
  <c r="C7" i="84"/>
  <c r="L7" i="84" s="1"/>
  <c r="M29" i="84" s="1"/>
  <c r="AM129" i="80"/>
  <c r="F19" i="84"/>
  <c r="D19" i="84"/>
  <c r="C17" i="84"/>
  <c r="AS129" i="80"/>
  <c r="D27" i="84"/>
  <c r="B120" i="80"/>
  <c r="B129" i="80" s="1"/>
  <c r="B118" i="80"/>
  <c r="F34" i="84" l="1"/>
  <c r="M30" i="84"/>
  <c r="I34" i="84"/>
  <c r="H34" i="84"/>
  <c r="D34" i="84"/>
  <c r="M25" i="84"/>
  <c r="M11" i="84"/>
  <c r="K34" i="84"/>
  <c r="M31" i="84"/>
  <c r="M24" i="84"/>
  <c r="M33" i="84"/>
  <c r="M15" i="84"/>
  <c r="AY56" i="88"/>
  <c r="BF56" i="88" s="1"/>
  <c r="N51" i="75"/>
  <c r="AU57" i="88"/>
  <c r="AW57" i="88" s="1"/>
  <c r="AR57" i="88"/>
  <c r="AT57" i="88" s="1"/>
  <c r="M59" i="88"/>
  <c r="O59" i="88" s="1"/>
  <c r="P59" i="88"/>
  <c r="R59" i="88" s="1"/>
  <c r="U59" i="88" s="1"/>
  <c r="V57" i="88"/>
  <c r="X57" i="88" s="1"/>
  <c r="Y122" i="88"/>
  <c r="M16" i="84"/>
  <c r="C27" i="84"/>
  <c r="L27" i="84" s="1"/>
  <c r="M27" i="84" s="1"/>
  <c r="L23" i="84"/>
  <c r="M23" i="84" s="1"/>
  <c r="AK114" i="88"/>
  <c r="L17" i="84"/>
  <c r="M17" i="84" s="1"/>
  <c r="C19" i="84"/>
  <c r="L19" i="84" s="1"/>
  <c r="M19" i="84" s="1"/>
  <c r="P114" i="88"/>
  <c r="AB50" i="75"/>
  <c r="M10" i="84"/>
  <c r="M32" i="84"/>
  <c r="AM59" i="88"/>
  <c r="AP59" i="88" s="1"/>
  <c r="L12" i="84"/>
  <c r="M12" i="84" s="1"/>
  <c r="I115" i="88"/>
  <c r="K115" i="88"/>
  <c r="AF115" i="88"/>
  <c r="AC56" i="88"/>
  <c r="BA56" i="88" s="1"/>
  <c r="BC56" i="88" s="1"/>
  <c r="BD56" i="88" s="1"/>
  <c r="E52" i="75"/>
  <c r="M26" i="84"/>
  <c r="AD55" i="88"/>
  <c r="BE55" i="88" s="1"/>
  <c r="BG55" i="88" s="1"/>
  <c r="AG60" i="88"/>
  <c r="AI60" i="88" s="1"/>
  <c r="C116" i="88"/>
  <c r="G116" i="88"/>
  <c r="D116" i="88"/>
  <c r="D117" i="88" s="1"/>
  <c r="E116" i="88"/>
  <c r="O51" i="75"/>
  <c r="AJ51" i="75"/>
  <c r="M18" i="84"/>
  <c r="BD122" i="88" l="1"/>
  <c r="AX57" i="88"/>
  <c r="BB57" i="88" s="1"/>
  <c r="C34" i="84"/>
  <c r="U122" i="88"/>
  <c r="AX120" i="88"/>
  <c r="D26" i="85" s="1"/>
  <c r="BC122" i="88"/>
  <c r="F32" i="85" s="1"/>
  <c r="I124" i="88"/>
  <c r="H8" i="85" s="1"/>
  <c r="AK122" i="88"/>
  <c r="T126" i="88"/>
  <c r="J12" i="85" s="1"/>
  <c r="AS122" i="88"/>
  <c r="F24" i="85" s="1"/>
  <c r="BJ119" i="88"/>
  <c r="G127" i="88"/>
  <c r="K6" i="85" s="1"/>
  <c r="AQ122" i="88"/>
  <c r="D127" i="88"/>
  <c r="AM120" i="88"/>
  <c r="H119" i="88"/>
  <c r="D124" i="88"/>
  <c r="BH120" i="88"/>
  <c r="D41" i="85" s="1"/>
  <c r="AO127" i="88"/>
  <c r="K23" i="85" s="1"/>
  <c r="AO125" i="88"/>
  <c r="I23" i="85" s="1"/>
  <c r="T121" i="88"/>
  <c r="E12" i="85" s="1"/>
  <c r="BG121" i="88"/>
  <c r="E33" i="85" s="1"/>
  <c r="AS121" i="88"/>
  <c r="E24" i="85" s="1"/>
  <c r="G124" i="88"/>
  <c r="H6" i="85" s="1"/>
  <c r="BC121" i="88"/>
  <c r="E32" i="85" s="1"/>
  <c r="AC121" i="88"/>
  <c r="E15" i="85" s="1"/>
  <c r="BK121" i="88"/>
  <c r="E46" i="85" s="1"/>
  <c r="BB121" i="88"/>
  <c r="E29" i="85" s="1"/>
  <c r="K122" i="88"/>
  <c r="P121" i="88"/>
  <c r="G122" i="88"/>
  <c r="F6" i="85" s="1"/>
  <c r="AK121" i="88"/>
  <c r="BB122" i="88"/>
  <c r="F29" i="85" s="1"/>
  <c r="BJ125" i="88"/>
  <c r="I45" i="85" s="1"/>
  <c r="AH122" i="88"/>
  <c r="AO126" i="88"/>
  <c r="J23" i="85" s="1"/>
  <c r="AH120" i="88"/>
  <c r="AW121" i="88"/>
  <c r="BK120" i="88"/>
  <c r="D46" i="85" s="1"/>
  <c r="AB121" i="88"/>
  <c r="AG121" i="88"/>
  <c r="K124" i="88"/>
  <c r="U121" i="88"/>
  <c r="BJ122" i="88"/>
  <c r="F45" i="85" s="1"/>
  <c r="G126" i="88"/>
  <c r="J6" i="85" s="1"/>
  <c r="G121" i="88"/>
  <c r="E6" i="85" s="1"/>
  <c r="BA121" i="88"/>
  <c r="E18" i="85" s="1"/>
  <c r="AF126" i="88"/>
  <c r="D122" i="88"/>
  <c r="N121" i="88"/>
  <c r="E11" i="85" s="1"/>
  <c r="L120" i="88"/>
  <c r="BI121" i="88"/>
  <c r="E42" i="85" s="1"/>
  <c r="G120" i="88"/>
  <c r="D6" i="85" s="1"/>
  <c r="N122" i="88"/>
  <c r="F11" i="85" s="1"/>
  <c r="AM122" i="88"/>
  <c r="AB120" i="88"/>
  <c r="P122" i="88"/>
  <c r="AO124" i="88"/>
  <c r="H23" i="85" s="1"/>
  <c r="AI120" i="88"/>
  <c r="D22" i="85" s="1"/>
  <c r="AF125" i="88"/>
  <c r="AD120" i="88"/>
  <c r="D16" i="85" s="1"/>
  <c r="K125" i="88"/>
  <c r="BC120" i="88"/>
  <c r="D32" i="85" s="1"/>
  <c r="I123" i="88"/>
  <c r="G8" i="85" s="1"/>
  <c r="I125" i="88"/>
  <c r="I8" i="85" s="1"/>
  <c r="H127" i="88"/>
  <c r="K7" i="85" s="1"/>
  <c r="AI121" i="88"/>
  <c r="E22" i="85" s="1"/>
  <c r="H121" i="88"/>
  <c r="E7" i="85" s="1"/>
  <c r="K123" i="88"/>
  <c r="AG122" i="88"/>
  <c r="G125" i="88"/>
  <c r="I6" i="85" s="1"/>
  <c r="P120" i="88"/>
  <c r="AW122" i="88"/>
  <c r="AO121" i="88"/>
  <c r="E23" i="85" s="1"/>
  <c r="BE120" i="88"/>
  <c r="D19" i="85" s="1"/>
  <c r="BJ127" i="88"/>
  <c r="K45" i="85" s="1"/>
  <c r="X122" i="88"/>
  <c r="F13" i="85" s="1"/>
  <c r="AR120" i="88"/>
  <c r="K121" i="88"/>
  <c r="AF120" i="88"/>
  <c r="AU121" i="88"/>
  <c r="E25" i="85" s="1"/>
  <c r="AW120" i="88"/>
  <c r="AG120" i="88"/>
  <c r="AO120" i="88"/>
  <c r="D23" i="85" s="1"/>
  <c r="W120" i="88"/>
  <c r="I121" i="88"/>
  <c r="E8" i="85" s="1"/>
  <c r="R120" i="88"/>
  <c r="BB120" i="88"/>
  <c r="D29" i="85" s="1"/>
  <c r="N120" i="88"/>
  <c r="D11" i="85" s="1"/>
  <c r="M122" i="88"/>
  <c r="L121" i="88"/>
  <c r="AQ121" i="88"/>
  <c r="H126" i="88"/>
  <c r="J7" i="85" s="1"/>
  <c r="AO122" i="88"/>
  <c r="F23" i="85" s="1"/>
  <c r="T123" i="88"/>
  <c r="G12" i="85" s="1"/>
  <c r="AC120" i="88"/>
  <c r="D15" i="85" s="1"/>
  <c r="BH126" i="88"/>
  <c r="J41" i="85" s="1"/>
  <c r="BG120" i="88"/>
  <c r="D33" i="85" s="1"/>
  <c r="BJ121" i="88"/>
  <c r="E45" i="85" s="1"/>
  <c r="AK120" i="88"/>
  <c r="I122" i="88"/>
  <c r="F8" i="85" s="1"/>
  <c r="BF122" i="88"/>
  <c r="F30" i="85" s="1"/>
  <c r="U120" i="88"/>
  <c r="Z122" i="88"/>
  <c r="F14" i="85" s="1"/>
  <c r="D120" i="88"/>
  <c r="AF122" i="88"/>
  <c r="H122" i="88"/>
  <c r="F7" i="85" s="1"/>
  <c r="H123" i="88"/>
  <c r="G7" i="85" s="1"/>
  <c r="T125" i="88"/>
  <c r="I12" i="85" s="1"/>
  <c r="BH124" i="88"/>
  <c r="H41" i="85" s="1"/>
  <c r="AR122" i="88"/>
  <c r="X120" i="88"/>
  <c r="D13" i="85" s="1"/>
  <c r="AI122" i="88"/>
  <c r="F22" i="85" s="1"/>
  <c r="I120" i="88"/>
  <c r="D8" i="85" s="1"/>
  <c r="AM121" i="88"/>
  <c r="G119" i="88"/>
  <c r="AP122" i="88"/>
  <c r="T127" i="88"/>
  <c r="K12" i="85" s="1"/>
  <c r="T122" i="88"/>
  <c r="F12" i="85" s="1"/>
  <c r="H125" i="88"/>
  <c r="I7" i="85" s="1"/>
  <c r="AO119" i="88"/>
  <c r="AF121" i="88"/>
  <c r="AY122" i="88"/>
  <c r="F27" i="85" s="1"/>
  <c r="T120" i="88"/>
  <c r="D12" i="85" s="1"/>
  <c r="H120" i="88"/>
  <c r="D7" i="85" s="1"/>
  <c r="BF121" i="88"/>
  <c r="E30" i="85" s="1"/>
  <c r="T119" i="88"/>
  <c r="AQ120" i="88"/>
  <c r="R121" i="88"/>
  <c r="AO123" i="88"/>
  <c r="G23" i="85" s="1"/>
  <c r="BH119" i="88"/>
  <c r="M120" i="88"/>
  <c r="BH127" i="88"/>
  <c r="K41" i="85" s="1"/>
  <c r="BH125" i="88"/>
  <c r="I41" i="85" s="1"/>
  <c r="BH121" i="88"/>
  <c r="E41" i="85" s="1"/>
  <c r="AC122" i="88"/>
  <c r="F15" i="85" s="1"/>
  <c r="Z120" i="88"/>
  <c r="D14" i="85" s="1"/>
  <c r="R122" i="88"/>
  <c r="BE121" i="88"/>
  <c r="E19" i="85" s="1"/>
  <c r="AX122" i="88"/>
  <c r="F26" i="85" s="1"/>
  <c r="AF124" i="88"/>
  <c r="BJ124" i="88"/>
  <c r="H45" i="85" s="1"/>
  <c r="H124" i="88"/>
  <c r="H7" i="85" s="1"/>
  <c r="BJ120" i="88"/>
  <c r="D45" i="85" s="1"/>
  <c r="AR121" i="88"/>
  <c r="AP120" i="88"/>
  <c r="AY120" i="88"/>
  <c r="D27" i="85" s="1"/>
  <c r="W122" i="88"/>
  <c r="W121" i="88"/>
  <c r="M121" i="88"/>
  <c r="K126" i="88"/>
  <c r="V122" i="88"/>
  <c r="BJ123" i="88"/>
  <c r="G45" i="85" s="1"/>
  <c r="V121" i="88"/>
  <c r="D121" i="88"/>
  <c r="AF123" i="88"/>
  <c r="BH122" i="88"/>
  <c r="F41" i="85" s="1"/>
  <c r="K120" i="88"/>
  <c r="AH121" i="88"/>
  <c r="AS120" i="88"/>
  <c r="D24" i="85" s="1"/>
  <c r="AY121" i="88"/>
  <c r="E27" i="85" s="1"/>
  <c r="AB122" i="88"/>
  <c r="Z121" i="88"/>
  <c r="E14" i="85" s="1"/>
  <c r="D123" i="88"/>
  <c r="L122" i="88"/>
  <c r="BF120" i="88"/>
  <c r="D30" i="85" s="1"/>
  <c r="T124" i="88"/>
  <c r="H12" i="85" s="1"/>
  <c r="BI120" i="88"/>
  <c r="D42" i="85" s="1"/>
  <c r="AU122" i="88"/>
  <c r="F25" i="85" s="1"/>
  <c r="D119" i="88"/>
  <c r="BH123" i="88"/>
  <c r="G41" i="85" s="1"/>
  <c r="V120" i="88"/>
  <c r="D126" i="88"/>
  <c r="X121" i="88"/>
  <c r="E13" i="85" s="1"/>
  <c r="BA120" i="88"/>
  <c r="D18" i="85" s="1"/>
  <c r="I126" i="88"/>
  <c r="J8" i="85" s="1"/>
  <c r="AU120" i="88"/>
  <c r="D25" i="85" s="1"/>
  <c r="BJ126" i="88"/>
  <c r="J45" i="85" s="1"/>
  <c r="AD121" i="88"/>
  <c r="E16" i="85" s="1"/>
  <c r="D125" i="88"/>
  <c r="G123" i="88"/>
  <c r="G6" i="85" s="1"/>
  <c r="AX121" i="88"/>
  <c r="E26" i="85" s="1"/>
  <c r="BA122" i="88"/>
  <c r="F18" i="85" s="1"/>
  <c r="AP121" i="88"/>
  <c r="AQ51" i="75"/>
  <c r="AR51" i="75"/>
  <c r="BK55" i="88"/>
  <c r="BI55" i="88"/>
  <c r="I116" i="88"/>
  <c r="AF116" i="88"/>
  <c r="AF127" i="88" s="1"/>
  <c r="K116" i="88"/>
  <c r="K127" i="88" s="1"/>
  <c r="G117" i="88"/>
  <c r="G2" i="88"/>
  <c r="R51" i="75"/>
  <c r="AK115" i="88"/>
  <c r="P115" i="88"/>
  <c r="AQ58" i="88"/>
  <c r="H52" i="75"/>
  <c r="I52" i="75" s="1"/>
  <c r="Z57" i="88"/>
  <c r="AB57" i="88" s="1"/>
  <c r="W57" i="88"/>
  <c r="Y57" i="88" s="1"/>
  <c r="AH60" i="88"/>
  <c r="AJ60" i="88" s="1"/>
  <c r="AK60" i="88"/>
  <c r="AM60" i="88" s="1"/>
  <c r="AP60" i="88" s="1"/>
  <c r="AD56" i="88"/>
  <c r="BE56" i="88" s="1"/>
  <c r="BG56" i="88" s="1"/>
  <c r="L60" i="88"/>
  <c r="N60" i="88" s="1"/>
  <c r="I37" i="85" l="1"/>
  <c r="E38" i="85"/>
  <c r="AY57" i="88"/>
  <c r="BF57" i="88" s="1"/>
  <c r="G37" i="85"/>
  <c r="F37" i="85"/>
  <c r="K37" i="85"/>
  <c r="F28" i="85"/>
  <c r="F31" i="85" s="1"/>
  <c r="G128" i="88"/>
  <c r="C6" i="85"/>
  <c r="L6" i="85" s="1"/>
  <c r="V58" i="88"/>
  <c r="X58" i="88" s="1"/>
  <c r="AS58" i="88"/>
  <c r="I119" i="88"/>
  <c r="I2" i="88"/>
  <c r="I117" i="88"/>
  <c r="BE122" i="88"/>
  <c r="F19" i="85" s="1"/>
  <c r="AG61" i="88"/>
  <c r="AI61" i="88" s="1"/>
  <c r="E37" i="85"/>
  <c r="C41" i="85"/>
  <c r="BH128" i="88"/>
  <c r="T128" i="88"/>
  <c r="C12" i="85"/>
  <c r="L12" i="85" s="1"/>
  <c r="H37" i="85"/>
  <c r="BJ128" i="88"/>
  <c r="C45" i="85"/>
  <c r="L45" i="85" s="1"/>
  <c r="E53" i="75"/>
  <c r="M52" i="75"/>
  <c r="D17" i="85"/>
  <c r="D20" i="85" s="1"/>
  <c r="D28" i="85"/>
  <c r="D31" i="85" s="1"/>
  <c r="BK56" i="88"/>
  <c r="BK122" i="88" s="1"/>
  <c r="F46" i="85" s="1"/>
  <c r="BI56" i="88"/>
  <c r="BI122" i="88" s="1"/>
  <c r="F42" i="85" s="1"/>
  <c r="AB51" i="75"/>
  <c r="D128" i="88"/>
  <c r="E28" i="85"/>
  <c r="E31" i="85" s="1"/>
  <c r="E17" i="85"/>
  <c r="E20" i="85" s="1"/>
  <c r="M60" i="88"/>
  <c r="P60" i="88"/>
  <c r="P116" i="88"/>
  <c r="K119" i="88"/>
  <c r="K128" i="88" s="1"/>
  <c r="K117" i="88"/>
  <c r="K2" i="88"/>
  <c r="C7" i="85"/>
  <c r="L7" i="85" s="1"/>
  <c r="H128" i="88"/>
  <c r="L52" i="75"/>
  <c r="I127" i="88"/>
  <c r="K8" i="85" s="1"/>
  <c r="AO128" i="88"/>
  <c r="C23" i="85"/>
  <c r="L23" i="85" s="1"/>
  <c r="D37" i="85"/>
  <c r="AC57" i="88"/>
  <c r="AD57" i="88" s="1"/>
  <c r="AK116" i="88"/>
  <c r="AK127" i="88" s="1"/>
  <c r="AF119" i="88"/>
  <c r="AF128" i="88" s="1"/>
  <c r="AF2" i="88"/>
  <c r="AF117" i="88"/>
  <c r="D38" i="85"/>
  <c r="G3" i="88"/>
  <c r="G4" i="88" s="1"/>
  <c r="G5" i="88"/>
  <c r="BG122" i="88"/>
  <c r="F33" i="85" s="1"/>
  <c r="J37" i="85"/>
  <c r="AD122" i="88"/>
  <c r="F16" i="85" s="1"/>
  <c r="F17" i="85" s="1"/>
  <c r="F38" i="85" l="1"/>
  <c r="F20" i="85"/>
  <c r="BE57" i="88"/>
  <c r="AH61" i="88"/>
  <c r="AK61" i="88"/>
  <c r="I5" i="88"/>
  <c r="I3" i="88"/>
  <c r="I4" i="88" s="1"/>
  <c r="AK119" i="88"/>
  <c r="Z58" i="88"/>
  <c r="AB58" i="88" s="1"/>
  <c r="W58" i="88"/>
  <c r="R60" i="88"/>
  <c r="C8" i="85"/>
  <c r="L8" i="85" s="1"/>
  <c r="I128" i="88"/>
  <c r="BA57" i="88"/>
  <c r="K3" i="88"/>
  <c r="K4" i="88" s="1"/>
  <c r="K5" i="88"/>
  <c r="N52" i="75"/>
  <c r="O60" i="88"/>
  <c r="H53" i="75"/>
  <c r="I53" i="75" s="1"/>
  <c r="AU58" i="88"/>
  <c r="AW58" i="88" s="1"/>
  <c r="AR58" i="88"/>
  <c r="AF5" i="88"/>
  <c r="AF3" i="88"/>
  <c r="AF4" i="88" s="1"/>
  <c r="O52" i="75"/>
  <c r="AJ52" i="75"/>
  <c r="P119" i="88"/>
  <c r="P127" i="88"/>
  <c r="C37" i="85"/>
  <c r="L37" i="85" s="1"/>
  <c r="L41" i="85"/>
  <c r="AC58" i="88" l="1"/>
  <c r="AX58" i="88"/>
  <c r="E54" i="75"/>
  <c r="AM61" i="88"/>
  <c r="L53" i="75"/>
  <c r="M53" i="75"/>
  <c r="AJ61" i="88"/>
  <c r="AR52" i="75"/>
  <c r="AQ52" i="75"/>
  <c r="Y58" i="88"/>
  <c r="R52" i="75"/>
  <c r="AT58" i="88"/>
  <c r="L61" i="88"/>
  <c r="BC57" i="88"/>
  <c r="BG57" i="88"/>
  <c r="U60" i="88"/>
  <c r="AQ59" i="88" l="1"/>
  <c r="AS59" i="88" s="1"/>
  <c r="AG62" i="88"/>
  <c r="AI62" i="88" s="1"/>
  <c r="BD57" i="88"/>
  <c r="O53" i="75"/>
  <c r="AJ53" i="75"/>
  <c r="BB58" i="88"/>
  <c r="H54" i="75"/>
  <c r="I54" i="75" s="1"/>
  <c r="AB52" i="75"/>
  <c r="AP61" i="88"/>
  <c r="AY58" i="88"/>
  <c r="BK57" i="88"/>
  <c r="BI57" i="88"/>
  <c r="V59" i="88"/>
  <c r="BA58" i="88"/>
  <c r="N61" i="88"/>
  <c r="N53" i="75"/>
  <c r="AD58" i="88"/>
  <c r="BC58" i="88" l="1"/>
  <c r="AH62" i="88"/>
  <c r="AK62" i="88"/>
  <c r="AM62" i="88" s="1"/>
  <c r="BE58" i="88"/>
  <c r="L54" i="75"/>
  <c r="AQ53" i="75"/>
  <c r="AR53" i="75"/>
  <c r="AU59" i="88"/>
  <c r="AW59" i="88" s="1"/>
  <c r="AR59" i="88"/>
  <c r="BF58" i="88"/>
  <c r="E55" i="75"/>
  <c r="M61" i="88"/>
  <c r="P61" i="88"/>
  <c r="R61" i="88" s="1"/>
  <c r="R53" i="75"/>
  <c r="M54" i="75"/>
  <c r="X59" i="88"/>
  <c r="AJ62" i="88" l="1"/>
  <c r="BG58" i="88"/>
  <c r="AT59" i="88"/>
  <c r="AX59" i="88"/>
  <c r="AY59" i="88" s="1"/>
  <c r="O54" i="75"/>
  <c r="AJ54" i="75"/>
  <c r="O61" i="88"/>
  <c r="AP62" i="88"/>
  <c r="N54" i="75"/>
  <c r="U61" i="88"/>
  <c r="H55" i="75"/>
  <c r="I55" i="75" s="1"/>
  <c r="Z59" i="88"/>
  <c r="W59" i="88"/>
  <c r="AB53" i="75"/>
  <c r="BD58" i="88"/>
  <c r="BF59" i="88" l="1"/>
  <c r="L62" i="88"/>
  <c r="N62" i="88" s="1"/>
  <c r="BK58" i="88"/>
  <c r="BI58" i="88"/>
  <c r="BB59" i="88"/>
  <c r="M55" i="75"/>
  <c r="L55" i="75"/>
  <c r="AB59" i="88"/>
  <c r="AQ54" i="75"/>
  <c r="AR54" i="75"/>
  <c r="AQ60" i="88"/>
  <c r="AS60" i="88" s="1"/>
  <c r="AG63" i="88"/>
  <c r="AI63" i="88" s="1"/>
  <c r="Y59" i="88"/>
  <c r="E56" i="75"/>
  <c r="R54" i="75"/>
  <c r="N55" i="75" l="1"/>
  <c r="H56" i="75"/>
  <c r="M62" i="88"/>
  <c r="P62" i="88"/>
  <c r="R62" i="88" s="1"/>
  <c r="V60" i="88"/>
  <c r="X60" i="88" s="1"/>
  <c r="AC59" i="88"/>
  <c r="AD59" i="88" s="1"/>
  <c r="O55" i="75"/>
  <c r="AJ55" i="75"/>
  <c r="AB54" i="75"/>
  <c r="AH63" i="88"/>
  <c r="AK63" i="88"/>
  <c r="AM63" i="88" s="1"/>
  <c r="AU60" i="88"/>
  <c r="AW60" i="88" s="1"/>
  <c r="AR60" i="88"/>
  <c r="BE59" i="88" l="1"/>
  <c r="U62" i="88"/>
  <c r="AT60" i="88"/>
  <c r="AJ63" i="88"/>
  <c r="AP63" i="88"/>
  <c r="AX60" i="88"/>
  <c r="BA59" i="88"/>
  <c r="AR55" i="75"/>
  <c r="AQ55" i="75"/>
  <c r="O62" i="88"/>
  <c r="R55" i="75"/>
  <c r="L56" i="75"/>
  <c r="Z60" i="88"/>
  <c r="AB60" i="88" s="1"/>
  <c r="W60" i="88"/>
  <c r="I56" i="75"/>
  <c r="AC60" i="88" l="1"/>
  <c r="L63" i="88"/>
  <c r="N63" i="88" s="1"/>
  <c r="BB60" i="88"/>
  <c r="AG64" i="88"/>
  <c r="AI64" i="88" s="1"/>
  <c r="BC59" i="88"/>
  <c r="Y60" i="88"/>
  <c r="AB55" i="75"/>
  <c r="AQ61" i="88"/>
  <c r="AS61" i="88" s="1"/>
  <c r="BG59" i="88"/>
  <c r="AJ56" i="75"/>
  <c r="E57" i="75"/>
  <c r="I74" i="75"/>
  <c r="M56" i="75"/>
  <c r="O56" i="75" s="1"/>
  <c r="AY60" i="88"/>
  <c r="H11" i="82" l="1"/>
  <c r="AH64" i="88"/>
  <c r="AJ64" i="88" s="1"/>
  <c r="AK64" i="88"/>
  <c r="AM64" i="88" s="1"/>
  <c r="AP64" i="88" s="1"/>
  <c r="AU61" i="88"/>
  <c r="AR61" i="88"/>
  <c r="BF60" i="88"/>
  <c r="AR56" i="75"/>
  <c r="AQ56" i="75"/>
  <c r="V61" i="88"/>
  <c r="X61" i="88" s="1"/>
  <c r="M63" i="88"/>
  <c r="P63" i="88"/>
  <c r="E75" i="75"/>
  <c r="H57" i="75"/>
  <c r="R56" i="75"/>
  <c r="N56" i="75"/>
  <c r="BK59" i="88"/>
  <c r="BI59" i="88"/>
  <c r="BD59" i="88"/>
  <c r="BA60" i="88"/>
  <c r="BC60" i="88" s="1"/>
  <c r="AD60" i="88"/>
  <c r="I9" i="82" l="1"/>
  <c r="Z61" i="88"/>
  <c r="AB61" i="88" s="1"/>
  <c r="W61" i="88"/>
  <c r="Y61" i="88" s="1"/>
  <c r="AT61" i="88"/>
  <c r="L57" i="75"/>
  <c r="AB56" i="75"/>
  <c r="O63" i="88"/>
  <c r="BD60" i="88"/>
  <c r="BE60" i="88"/>
  <c r="BG60" i="88" s="1"/>
  <c r="AG65" i="88"/>
  <c r="AI65" i="88" s="1"/>
  <c r="I57" i="75"/>
  <c r="M57" i="75" s="1"/>
  <c r="N57" i="75" s="1"/>
  <c r="N74" i="75"/>
  <c r="R63" i="88"/>
  <c r="AW61" i="88"/>
  <c r="BK60" i="88" l="1"/>
  <c r="BI60" i="88"/>
  <c r="AH65" i="88"/>
  <c r="AJ65" i="88" s="1"/>
  <c r="AK65" i="88"/>
  <c r="E58" i="75"/>
  <c r="AC61" i="88"/>
  <c r="BA61" i="88" s="1"/>
  <c r="O57" i="75"/>
  <c r="AJ57" i="75"/>
  <c r="V62" i="88"/>
  <c r="X62" i="88" s="1"/>
  <c r="AQ62" i="88"/>
  <c r="AS62" i="88" s="1"/>
  <c r="L64" i="88"/>
  <c r="N64" i="88" s="1"/>
  <c r="AX61" i="88"/>
  <c r="AY61" i="88" s="1"/>
  <c r="U63" i="88"/>
  <c r="AD61" i="88" l="1"/>
  <c r="BE61" i="88" s="1"/>
  <c r="AU62" i="88"/>
  <c r="AW62" i="88" s="1"/>
  <c r="AR62" i="88"/>
  <c r="AT62" i="88" s="1"/>
  <c r="AG66" i="88"/>
  <c r="AI66" i="88" s="1"/>
  <c r="R57" i="75"/>
  <c r="M64" i="88"/>
  <c r="O64" i="88" s="1"/>
  <c r="P64" i="88"/>
  <c r="R64" i="88" s="1"/>
  <c r="U64" i="88" s="1"/>
  <c r="H58" i="75"/>
  <c r="I58" i="75" s="1"/>
  <c r="Z62" i="88"/>
  <c r="AB62" i="88" s="1"/>
  <c r="W62" i="88"/>
  <c r="Y62" i="88" s="1"/>
  <c r="BB61" i="88"/>
  <c r="BF61" i="88"/>
  <c r="AR57" i="75"/>
  <c r="AQ57" i="75"/>
  <c r="AM65" i="88"/>
  <c r="AP65" i="88" s="1"/>
  <c r="BG61" i="88" l="1"/>
  <c r="L65" i="88"/>
  <c r="N65" i="88" s="1"/>
  <c r="AC62" i="88"/>
  <c r="BA62" i="88" s="1"/>
  <c r="AB57" i="75"/>
  <c r="AQ63" i="88"/>
  <c r="AS63" i="88" s="1"/>
  <c r="E59" i="75"/>
  <c r="M58" i="75"/>
  <c r="BC61" i="88"/>
  <c r="BD61" i="88" s="1"/>
  <c r="AX62" i="88"/>
  <c r="BB62" i="88" s="1"/>
  <c r="V63" i="88"/>
  <c r="X63" i="88" s="1"/>
  <c r="AH66" i="88"/>
  <c r="AJ66" i="88" s="1"/>
  <c r="AK66" i="88"/>
  <c r="AM66" i="88" s="1"/>
  <c r="AP66" i="88" s="1"/>
  <c r="BI61" i="88"/>
  <c r="BK61" i="88"/>
  <c r="L58" i="75"/>
  <c r="BC62" i="88" l="1"/>
  <c r="BD62" i="88" s="1"/>
  <c r="AU63" i="88"/>
  <c r="AW63" i="88" s="1"/>
  <c r="AR63" i="88"/>
  <c r="AT63" i="88" s="1"/>
  <c r="Z63" i="88"/>
  <c r="W63" i="88"/>
  <c r="Y63" i="88" s="1"/>
  <c r="AY62" i="88"/>
  <c r="BF62" i="88" s="1"/>
  <c r="H59" i="75"/>
  <c r="I59" i="75" s="1"/>
  <c r="AG67" i="88"/>
  <c r="AI67" i="88" s="1"/>
  <c r="AD62" i="88"/>
  <c r="BE62" i="88" s="1"/>
  <c r="N58" i="75"/>
  <c r="O58" i="75"/>
  <c r="AJ58" i="75"/>
  <c r="M65" i="88"/>
  <c r="O65" i="88" s="1"/>
  <c r="P65" i="88"/>
  <c r="R65" i="88" s="1"/>
  <c r="U65" i="88" s="1"/>
  <c r="BG62" i="88" l="1"/>
  <c r="AH67" i="88"/>
  <c r="AJ67" i="88" s="1"/>
  <c r="AK67" i="88"/>
  <c r="AM67" i="88" s="1"/>
  <c r="AP67" i="88" s="1"/>
  <c r="AX63" i="88"/>
  <c r="BB63" i="88" s="1"/>
  <c r="V64" i="88"/>
  <c r="X64" i="88" s="1"/>
  <c r="AQ58" i="75"/>
  <c r="AR58" i="75"/>
  <c r="L59" i="75"/>
  <c r="L66" i="88"/>
  <c r="N66" i="88" s="1"/>
  <c r="R58" i="75"/>
  <c r="E60" i="75"/>
  <c r="BK62" i="88"/>
  <c r="BI62" i="88"/>
  <c r="AQ64" i="88"/>
  <c r="AS64" i="88" s="1"/>
  <c r="M59" i="75"/>
  <c r="N59" i="75" s="1"/>
  <c r="AB63" i="88"/>
  <c r="AY63" i="88" l="1"/>
  <c r="BF63" i="88" s="1"/>
  <c r="AB58" i="75"/>
  <c r="O59" i="75"/>
  <c r="AJ59" i="75"/>
  <c r="M66" i="88"/>
  <c r="O66" i="88" s="1"/>
  <c r="P66" i="88"/>
  <c r="R66" i="88" s="1"/>
  <c r="U66" i="88" s="1"/>
  <c r="AC63" i="88"/>
  <c r="BA63" i="88" s="1"/>
  <c r="BC63" i="88" s="1"/>
  <c r="BD63" i="88" s="1"/>
  <c r="H60" i="75"/>
  <c r="AU64" i="88"/>
  <c r="AR64" i="88"/>
  <c r="AT64" i="88" s="1"/>
  <c r="Z64" i="88"/>
  <c r="AB64" i="88" s="1"/>
  <c r="W64" i="88"/>
  <c r="Y64" i="88" s="1"/>
  <c r="AG68" i="88"/>
  <c r="AI68" i="88" s="1"/>
  <c r="AD63" i="88" l="1"/>
  <c r="BE63" i="88" s="1"/>
  <c r="BG63" i="88" s="1"/>
  <c r="BI63" i="88" s="1"/>
  <c r="AC64" i="88"/>
  <c r="BA64" i="88" s="1"/>
  <c r="V65" i="88"/>
  <c r="X65" i="88" s="1"/>
  <c r="AH68" i="88"/>
  <c r="AJ68" i="88" s="1"/>
  <c r="AK68" i="88"/>
  <c r="L67" i="88"/>
  <c r="N67" i="88" s="1"/>
  <c r="AW64" i="88"/>
  <c r="L60" i="75"/>
  <c r="AQ65" i="88"/>
  <c r="AS65" i="88" s="1"/>
  <c r="AQ59" i="75"/>
  <c r="AR59" i="75"/>
  <c r="I60" i="75"/>
  <c r="R59" i="75"/>
  <c r="BK63" i="88" l="1"/>
  <c r="Z65" i="88"/>
  <c r="AB65" i="88" s="1"/>
  <c r="W65" i="88"/>
  <c r="Y65" i="88" s="1"/>
  <c r="AB59" i="75"/>
  <c r="AU65" i="88"/>
  <c r="AW65" i="88" s="1"/>
  <c r="AR65" i="88"/>
  <c r="AT65" i="88" s="1"/>
  <c r="AD64" i="88"/>
  <c r="BE64" i="88" s="1"/>
  <c r="M67" i="88"/>
  <c r="O67" i="88" s="1"/>
  <c r="P67" i="88"/>
  <c r="R67" i="88" s="1"/>
  <c r="U67" i="88" s="1"/>
  <c r="E61" i="75"/>
  <c r="M60" i="75"/>
  <c r="N60" i="75" s="1"/>
  <c r="AM68" i="88"/>
  <c r="AP68" i="88" s="1"/>
  <c r="AJ60" i="75"/>
  <c r="AX64" i="88"/>
  <c r="BB64" i="88" s="1"/>
  <c r="BC64" i="88" s="1"/>
  <c r="BD64" i="88" s="1"/>
  <c r="AG69" i="88"/>
  <c r="AI69" i="88" s="1"/>
  <c r="AJ123" i="88"/>
  <c r="AX65" i="88" l="1"/>
  <c r="BB65" i="88" s="1"/>
  <c r="O60" i="75"/>
  <c r="L68" i="88"/>
  <c r="N68" i="88" s="1"/>
  <c r="AR60" i="75"/>
  <c r="AQ60" i="75"/>
  <c r="AQ66" i="88"/>
  <c r="AS66" i="88" s="1"/>
  <c r="AC65" i="88"/>
  <c r="BA65" i="88" s="1"/>
  <c r="AH69" i="88"/>
  <c r="AK69" i="88"/>
  <c r="AM69" i="88" s="1"/>
  <c r="V66" i="88"/>
  <c r="X66" i="88" s="1"/>
  <c r="H61" i="75"/>
  <c r="I61" i="75" s="1"/>
  <c r="AY64" i="88"/>
  <c r="BF64" i="88" s="1"/>
  <c r="BG64" i="88" s="1"/>
  <c r="AY65" i="88" l="1"/>
  <c r="BF65" i="88" s="1"/>
  <c r="AD65" i="88"/>
  <c r="BE65" i="88" s="1"/>
  <c r="E62" i="75"/>
  <c r="M61" i="75"/>
  <c r="N61" i="75" s="1"/>
  <c r="M68" i="88"/>
  <c r="O68" i="88" s="1"/>
  <c r="P68" i="88"/>
  <c r="R68" i="88" s="1"/>
  <c r="U68" i="88" s="1"/>
  <c r="AP69" i="88"/>
  <c r="R60" i="75"/>
  <c r="AJ69" i="88"/>
  <c r="BC65" i="88"/>
  <c r="BD65" i="88" s="1"/>
  <c r="Z66" i="88"/>
  <c r="AB66" i="88" s="1"/>
  <c r="W66" i="88"/>
  <c r="Y66" i="88" s="1"/>
  <c r="L61" i="75"/>
  <c r="BK64" i="88"/>
  <c r="BI64" i="88"/>
  <c r="AU66" i="88"/>
  <c r="AW66" i="88" s="1"/>
  <c r="AR66" i="88"/>
  <c r="AT66" i="88" s="1"/>
  <c r="BG65" i="88" l="1"/>
  <c r="BK65" i="88" s="1"/>
  <c r="AQ67" i="88"/>
  <c r="AS67" i="88" s="1"/>
  <c r="AC66" i="88"/>
  <c r="BA66" i="88" s="1"/>
  <c r="V67" i="88"/>
  <c r="X67" i="88" s="1"/>
  <c r="L69" i="88"/>
  <c r="N69" i="88" s="1"/>
  <c r="O123" i="88"/>
  <c r="AB60" i="75"/>
  <c r="O61" i="75"/>
  <c r="AJ61" i="75"/>
  <c r="AG70" i="88"/>
  <c r="AI70" i="88" s="1"/>
  <c r="AX66" i="88"/>
  <c r="BB66" i="88" s="1"/>
  <c r="H62" i="75"/>
  <c r="BI65" i="88" l="1"/>
  <c r="AY66" i="88"/>
  <c r="BF66" i="88" s="1"/>
  <c r="M69" i="88"/>
  <c r="P69" i="88"/>
  <c r="R69" i="88" s="1"/>
  <c r="AD66" i="88"/>
  <c r="BE66" i="88" s="1"/>
  <c r="AU67" i="88"/>
  <c r="AW67" i="88" s="1"/>
  <c r="AR67" i="88"/>
  <c r="AT67" i="88" s="1"/>
  <c r="AR61" i="75"/>
  <c r="AQ61" i="75"/>
  <c r="L62" i="75"/>
  <c r="I62" i="75"/>
  <c r="R61" i="75"/>
  <c r="Z67" i="88"/>
  <c r="W67" i="88"/>
  <c r="Y67" i="88" s="1"/>
  <c r="BC66" i="88"/>
  <c r="BD66" i="88" s="1"/>
  <c r="AH70" i="88"/>
  <c r="AK70" i="88"/>
  <c r="AM70" i="88" s="1"/>
  <c r="BG66" i="88" l="1"/>
  <c r="BK66" i="88" s="1"/>
  <c r="U69" i="88"/>
  <c r="AB61" i="75"/>
  <c r="AX67" i="88"/>
  <c r="BB67" i="88" s="1"/>
  <c r="E63" i="75"/>
  <c r="M62" i="75"/>
  <c r="N62" i="75" s="1"/>
  <c r="AJ70" i="88"/>
  <c r="V68" i="88"/>
  <c r="X68" i="88" s="1"/>
  <c r="AJ62" i="75"/>
  <c r="AP70" i="88"/>
  <c r="AQ68" i="88"/>
  <c r="AS68" i="88" s="1"/>
  <c r="AB67" i="88"/>
  <c r="O69" i="88"/>
  <c r="BI66" i="88" l="1"/>
  <c r="L70" i="88"/>
  <c r="N70" i="88" s="1"/>
  <c r="AU68" i="88"/>
  <c r="AR68" i="88"/>
  <c r="AT68" i="88" s="1"/>
  <c r="Z68" i="88"/>
  <c r="AB68" i="88" s="1"/>
  <c r="W68" i="88"/>
  <c r="Y68" i="88" s="1"/>
  <c r="AY67" i="88"/>
  <c r="BF67" i="88" s="1"/>
  <c r="AC67" i="88"/>
  <c r="BA67" i="88" s="1"/>
  <c r="BC67" i="88" s="1"/>
  <c r="BD67" i="88" s="1"/>
  <c r="H63" i="75"/>
  <c r="O62" i="75"/>
  <c r="AG71" i="88"/>
  <c r="AI71" i="88" s="1"/>
  <c r="AR62" i="75"/>
  <c r="AQ62" i="75"/>
  <c r="AH71" i="88" l="1"/>
  <c r="AK71" i="88"/>
  <c r="AM71" i="88" s="1"/>
  <c r="AC68" i="88"/>
  <c r="BA68" i="88" s="1"/>
  <c r="R62" i="75"/>
  <c r="V69" i="88"/>
  <c r="X69" i="88" s="1"/>
  <c r="Y123" i="88"/>
  <c r="L63" i="75"/>
  <c r="I63" i="75"/>
  <c r="AW68" i="88"/>
  <c r="M70" i="88"/>
  <c r="P70" i="88"/>
  <c r="R70" i="88" s="1"/>
  <c r="AD67" i="88"/>
  <c r="BE67" i="88" s="1"/>
  <c r="BG67" i="88" s="1"/>
  <c r="AQ69" i="88"/>
  <c r="AT123" i="88"/>
  <c r="AD68" i="88" l="1"/>
  <c r="BE68" i="88" s="1"/>
  <c r="BI67" i="88"/>
  <c r="BK67" i="88"/>
  <c r="AP71" i="88"/>
  <c r="U70" i="88"/>
  <c r="AS69" i="88"/>
  <c r="AB62" i="75"/>
  <c r="AJ63" i="75"/>
  <c r="O70" i="88"/>
  <c r="AJ71" i="88"/>
  <c r="AX68" i="88"/>
  <c r="BB68" i="88" s="1"/>
  <c r="BC68" i="88" s="1"/>
  <c r="BD68" i="88" s="1"/>
  <c r="Z69" i="88"/>
  <c r="W69" i="88"/>
  <c r="E64" i="75"/>
  <c r="M63" i="75"/>
  <c r="N63" i="75" s="1"/>
  <c r="AY68" i="88" l="1"/>
  <c r="BF68" i="88" s="1"/>
  <c r="BG68" i="88" s="1"/>
  <c r="BI68" i="88" s="1"/>
  <c r="O63" i="75"/>
  <c r="R63" i="75" s="1"/>
  <c r="AB63" i="75" s="1"/>
  <c r="BK68" i="88"/>
  <c r="AG72" i="88"/>
  <c r="AI72" i="88" s="1"/>
  <c r="H64" i="75"/>
  <c r="BD123" i="88"/>
  <c r="AB69" i="88"/>
  <c r="Y69" i="88"/>
  <c r="L71" i="88"/>
  <c r="N71" i="88" s="1"/>
  <c r="AU69" i="88"/>
  <c r="AR69" i="88"/>
  <c r="AR63" i="75"/>
  <c r="AQ63" i="75"/>
  <c r="AH72" i="88" l="1"/>
  <c r="AK72" i="88"/>
  <c r="AM72" i="88" s="1"/>
  <c r="AC69" i="88"/>
  <c r="AD69" i="88" s="1"/>
  <c r="M71" i="88"/>
  <c r="P71" i="88"/>
  <c r="L64" i="75"/>
  <c r="V70" i="88"/>
  <c r="X70" i="88" s="1"/>
  <c r="I64" i="75"/>
  <c r="AW69" i="88"/>
  <c r="AT69" i="88"/>
  <c r="BE69" i="88" l="1"/>
  <c r="AP72" i="88"/>
  <c r="O71" i="88"/>
  <c r="AQ70" i="88"/>
  <c r="AS70" i="88" s="1"/>
  <c r="AX69" i="88"/>
  <c r="AJ64" i="75"/>
  <c r="BA69" i="88"/>
  <c r="AJ72" i="88"/>
  <c r="Z70" i="88"/>
  <c r="AB70" i="88" s="1"/>
  <c r="W70" i="88"/>
  <c r="E65" i="75"/>
  <c r="M64" i="75"/>
  <c r="N64" i="75" s="1"/>
  <c r="R71" i="88"/>
  <c r="AU70" i="88" l="1"/>
  <c r="AW70" i="88" s="1"/>
  <c r="AR70" i="88"/>
  <c r="L72" i="88"/>
  <c r="N72" i="88" s="1"/>
  <c r="BB69" i="88"/>
  <c r="H65" i="75"/>
  <c r="I65" i="75" s="1"/>
  <c r="M65" i="75" s="1"/>
  <c r="N65" i="75" s="1"/>
  <c r="AC70" i="88"/>
  <c r="AG73" i="88"/>
  <c r="AI73" i="88" s="1"/>
  <c r="U71" i="88"/>
  <c r="AR64" i="75"/>
  <c r="AQ64" i="75"/>
  <c r="Y70" i="88"/>
  <c r="O64" i="75"/>
  <c r="AY69" i="88"/>
  <c r="M72" i="88" l="1"/>
  <c r="P72" i="88"/>
  <c r="R72" i="88" s="1"/>
  <c r="AH73" i="88"/>
  <c r="AJ73" i="88" s="1"/>
  <c r="AK73" i="88"/>
  <c r="AM73" i="88" s="1"/>
  <c r="AP73" i="88" s="1"/>
  <c r="BC69" i="88"/>
  <c r="AT70" i="88"/>
  <c r="AX70" i="88"/>
  <c r="AY70" i="88" s="1"/>
  <c r="BA70" i="88"/>
  <c r="BF69" i="88"/>
  <c r="V71" i="88"/>
  <c r="X71" i="88" s="1"/>
  <c r="E66" i="75"/>
  <c r="AD70" i="88"/>
  <c r="R64" i="75"/>
  <c r="L65" i="75"/>
  <c r="BF70" i="88" l="1"/>
  <c r="U72" i="88"/>
  <c r="Z71" i="88"/>
  <c r="AB71" i="88" s="1"/>
  <c r="W71" i="88"/>
  <c r="BG69" i="88"/>
  <c r="BD69" i="88"/>
  <c r="BB70" i="88"/>
  <c r="O65" i="75"/>
  <c r="AJ65" i="75"/>
  <c r="AB64" i="75"/>
  <c r="H66" i="75"/>
  <c r="I66" i="75" s="1"/>
  <c r="AG74" i="88"/>
  <c r="AI74" i="88" s="1"/>
  <c r="BE70" i="88"/>
  <c r="AQ71" i="88"/>
  <c r="AS71" i="88" s="1"/>
  <c r="O72" i="88"/>
  <c r="BC70" i="88" l="1"/>
  <c r="BD70" i="88" s="1"/>
  <c r="AH74" i="88"/>
  <c r="AJ74" i="88" s="1"/>
  <c r="AK74" i="88"/>
  <c r="AM74" i="88" s="1"/>
  <c r="AP74" i="88" s="1"/>
  <c r="Y71" i="88"/>
  <c r="AC71" i="88"/>
  <c r="AD71" i="88" s="1"/>
  <c r="AU71" i="88"/>
  <c r="AR71" i="88"/>
  <c r="L66" i="75"/>
  <c r="AR65" i="75"/>
  <c r="AQ65" i="75"/>
  <c r="BK69" i="88"/>
  <c r="BI69" i="88"/>
  <c r="E67" i="75"/>
  <c r="M66" i="75"/>
  <c r="N66" i="75" s="1"/>
  <c r="R65" i="75"/>
  <c r="BG70" i="88"/>
  <c r="L73" i="88"/>
  <c r="N73" i="88" s="1"/>
  <c r="M73" i="88" l="1"/>
  <c r="O73" i="88" s="1"/>
  <c r="P73" i="88"/>
  <c r="R73" i="88" s="1"/>
  <c r="U73" i="88" s="1"/>
  <c r="BE71" i="88"/>
  <c r="AB65" i="75"/>
  <c r="O66" i="75"/>
  <c r="AJ66" i="75"/>
  <c r="AG75" i="88"/>
  <c r="AI75" i="88" s="1"/>
  <c r="H67" i="75"/>
  <c r="I67" i="75" s="1"/>
  <c r="AW71" i="88"/>
  <c r="BA71" i="88"/>
  <c r="BK70" i="88"/>
  <c r="BI70" i="88"/>
  <c r="AT71" i="88"/>
  <c r="V72" i="88"/>
  <c r="X72" i="88" s="1"/>
  <c r="E68" i="75" l="1"/>
  <c r="M67" i="75"/>
  <c r="N67" i="75" s="1"/>
  <c r="Z72" i="88"/>
  <c r="W72" i="88"/>
  <c r="AH75" i="88"/>
  <c r="AJ75" i="88" s="1"/>
  <c r="AK75" i="88"/>
  <c r="AM75" i="88" s="1"/>
  <c r="AP75" i="88" s="1"/>
  <c r="AX71" i="88"/>
  <c r="AY71" i="88" s="1"/>
  <c r="R66" i="75"/>
  <c r="L67" i="75"/>
  <c r="AQ72" i="88"/>
  <c r="AS72" i="88" s="1"/>
  <c r="AR66" i="75"/>
  <c r="AQ66" i="75"/>
  <c r="L74" i="88"/>
  <c r="N74" i="88" s="1"/>
  <c r="M74" i="88" l="1"/>
  <c r="O74" i="88" s="1"/>
  <c r="P74" i="88"/>
  <c r="AU72" i="88"/>
  <c r="AR72" i="88"/>
  <c r="BB71" i="88"/>
  <c r="AB66" i="75"/>
  <c r="Y72" i="88"/>
  <c r="BF71" i="88"/>
  <c r="O67" i="75"/>
  <c r="AJ67" i="75"/>
  <c r="AG76" i="88"/>
  <c r="AI76" i="88" s="1"/>
  <c r="AB72" i="88"/>
  <c r="H68" i="75"/>
  <c r="I68" i="75" s="1"/>
  <c r="M68" i="75" s="1"/>
  <c r="M69" i="75" l="1"/>
  <c r="M71" i="75"/>
  <c r="M73" i="75"/>
  <c r="M74" i="75"/>
  <c r="M75" i="75"/>
  <c r="N68" i="75"/>
  <c r="N75" i="75" s="1"/>
  <c r="AT72" i="88"/>
  <c r="L68" i="75"/>
  <c r="H69" i="75"/>
  <c r="H71" i="75"/>
  <c r="H73" i="75"/>
  <c r="H74" i="75"/>
  <c r="H75" i="75"/>
  <c r="AQ67" i="75"/>
  <c r="AR67" i="75"/>
  <c r="V73" i="88"/>
  <c r="X73" i="88" s="1"/>
  <c r="BC71" i="88"/>
  <c r="R74" i="88"/>
  <c r="U74" i="88" s="1"/>
  <c r="BG71" i="88"/>
  <c r="AC72" i="88"/>
  <c r="I75" i="75"/>
  <c r="R67" i="75"/>
  <c r="AH76" i="88"/>
  <c r="AJ76" i="88" s="1"/>
  <c r="AK76" i="88"/>
  <c r="AM76" i="88" s="1"/>
  <c r="AP76" i="88" s="1"/>
  <c r="AW72" i="88"/>
  <c r="L75" i="88"/>
  <c r="N75" i="88" s="1"/>
  <c r="I11" i="82" l="1"/>
  <c r="H10" i="82"/>
  <c r="H15" i="82"/>
  <c r="I10" i="82"/>
  <c r="G10" i="82"/>
  <c r="I15" i="82"/>
  <c r="G15" i="82"/>
  <c r="Z73" i="88"/>
  <c r="AB73" i="88" s="1"/>
  <c r="W73" i="88"/>
  <c r="Y73" i="88" s="1"/>
  <c r="AB67" i="75"/>
  <c r="BA72" i="88"/>
  <c r="AG77" i="88"/>
  <c r="AI77" i="88" s="1"/>
  <c r="AD72" i="88"/>
  <c r="BD71" i="88"/>
  <c r="AQ73" i="88"/>
  <c r="AS73" i="88" s="1"/>
  <c r="E10" i="82"/>
  <c r="H76" i="75"/>
  <c r="BK71" i="88"/>
  <c r="BI71" i="88"/>
  <c r="M75" i="88"/>
  <c r="O75" i="88" s="1"/>
  <c r="P75" i="88"/>
  <c r="E15" i="82"/>
  <c r="M76" i="75"/>
  <c r="AX72" i="88"/>
  <c r="O68" i="75"/>
  <c r="AJ68" i="75"/>
  <c r="L71" i="75"/>
  <c r="L69" i="75"/>
  <c r="S6" i="82" s="1"/>
  <c r="S7" i="82" s="1"/>
  <c r="L73" i="75"/>
  <c r="L74" i="75"/>
  <c r="L75" i="75"/>
  <c r="K15" i="82" l="1"/>
  <c r="K10" i="82"/>
  <c r="H14" i="82"/>
  <c r="I14" i="82"/>
  <c r="G14" i="82"/>
  <c r="AU73" i="88"/>
  <c r="AW73" i="88" s="1"/>
  <c r="AR73" i="88"/>
  <c r="AT73" i="88" s="1"/>
  <c r="AC73" i="88"/>
  <c r="BA73" i="88" s="1"/>
  <c r="BB72" i="88"/>
  <c r="E14" i="82"/>
  <c r="L76" i="75"/>
  <c r="L76" i="88"/>
  <c r="N76" i="88" s="1"/>
  <c r="BE72" i="88"/>
  <c r="AR68" i="75"/>
  <c r="AQ68" i="75"/>
  <c r="AJ71" i="75"/>
  <c r="AJ69" i="75"/>
  <c r="AJ73" i="75"/>
  <c r="AJ74" i="75"/>
  <c r="AJ75" i="75"/>
  <c r="V74" i="88"/>
  <c r="X74" i="88" s="1"/>
  <c r="AH77" i="88"/>
  <c r="AJ77" i="88" s="1"/>
  <c r="AK77" i="88"/>
  <c r="R68" i="75"/>
  <c r="O71" i="75"/>
  <c r="O69" i="75"/>
  <c r="O73" i="75"/>
  <c r="O74" i="75"/>
  <c r="O75" i="75"/>
  <c r="AY72" i="88"/>
  <c r="R75" i="88"/>
  <c r="U75" i="88" s="1"/>
  <c r="K14" i="82" l="1"/>
  <c r="H16" i="82"/>
  <c r="I16" i="82"/>
  <c r="G16" i="82"/>
  <c r="Z74" i="88"/>
  <c r="AB74" i="88" s="1"/>
  <c r="W74" i="88"/>
  <c r="Y74" i="88" s="1"/>
  <c r="AX73" i="88"/>
  <c r="BB73" i="88" s="1"/>
  <c r="BC73" i="88" s="1"/>
  <c r="AG78" i="88"/>
  <c r="AI78" i="88" s="1"/>
  <c r="AD73" i="88"/>
  <c r="BE73" i="88" s="1"/>
  <c r="M76" i="88"/>
  <c r="O76" i="88" s="1"/>
  <c r="P76" i="88"/>
  <c r="R76" i="88" s="1"/>
  <c r="U76" i="88" s="1"/>
  <c r="BF72" i="88"/>
  <c r="E16" i="82"/>
  <c r="O76" i="75"/>
  <c r="BC72" i="88"/>
  <c r="BD72" i="88" s="1"/>
  <c r="AB68" i="75"/>
  <c r="R2" i="75"/>
  <c r="R71" i="75"/>
  <c r="R69" i="75"/>
  <c r="R1" i="75" s="1"/>
  <c r="R73" i="75"/>
  <c r="R74" i="75"/>
  <c r="R75" i="75"/>
  <c r="AJ76" i="75"/>
  <c r="AQ71" i="75"/>
  <c r="AQ69" i="75"/>
  <c r="AQ5" i="75"/>
  <c r="AQ73" i="75"/>
  <c r="AQ74" i="75"/>
  <c r="AQ75" i="75"/>
  <c r="AQ74" i="88"/>
  <c r="AS74" i="88" s="1"/>
  <c r="AM77" i="88"/>
  <c r="AP77" i="88" s="1"/>
  <c r="AR69" i="75"/>
  <c r="AR5" i="75"/>
  <c r="AR71" i="75"/>
  <c r="AR73" i="75"/>
  <c r="AR74" i="75"/>
  <c r="AR75" i="75"/>
  <c r="F11" i="74" l="1"/>
  <c r="W7" i="82"/>
  <c r="K16" i="82"/>
  <c r="I32" i="82"/>
  <c r="G32" i="82"/>
  <c r="H31" i="82"/>
  <c r="H18" i="82"/>
  <c r="H32" i="82"/>
  <c r="I31" i="82"/>
  <c r="G31" i="82"/>
  <c r="I18" i="82"/>
  <c r="G18" i="82"/>
  <c r="BD73" i="88"/>
  <c r="AU74" i="88"/>
  <c r="AW74" i="88" s="1"/>
  <c r="AR74" i="88"/>
  <c r="AT74" i="88" s="1"/>
  <c r="E32" i="82"/>
  <c r="AR76" i="75"/>
  <c r="R5" i="75"/>
  <c r="F35" i="82"/>
  <c r="R3" i="75"/>
  <c r="R4" i="75" s="1"/>
  <c r="L77" i="88"/>
  <c r="N77" i="88" s="1"/>
  <c r="AY73" i="88"/>
  <c r="BF73" i="88" s="1"/>
  <c r="BG73" i="88" s="1"/>
  <c r="E18" i="82"/>
  <c r="R76" i="75"/>
  <c r="AB69" i="75"/>
  <c r="AB71" i="75"/>
  <c r="AB73" i="75"/>
  <c r="AB74" i="75"/>
  <c r="AB75" i="75"/>
  <c r="BG72" i="88"/>
  <c r="AH78" i="88"/>
  <c r="AJ78" i="88" s="1"/>
  <c r="AK78" i="88"/>
  <c r="AM78" i="88" s="1"/>
  <c r="AP78" i="88" s="1"/>
  <c r="AC74" i="88"/>
  <c r="BA74" i="88" s="1"/>
  <c r="V75" i="88"/>
  <c r="X75" i="88" s="1"/>
  <c r="E31" i="82"/>
  <c r="AQ76" i="75"/>
  <c r="G11" i="74" l="1"/>
  <c r="W8" i="82"/>
  <c r="K31" i="82"/>
  <c r="K32" i="82"/>
  <c r="AD74" i="88"/>
  <c r="BE74" i="88" s="1"/>
  <c r="AB76" i="75"/>
  <c r="Z75" i="88"/>
  <c r="AB75" i="88" s="1"/>
  <c r="W75" i="88"/>
  <c r="Y75" i="88" s="1"/>
  <c r="AG79" i="88"/>
  <c r="AI79" i="88" s="1"/>
  <c r="K18" i="82"/>
  <c r="AX74" i="88"/>
  <c r="BB74" i="88" s="1"/>
  <c r="BC74" i="88" s="1"/>
  <c r="BD74" i="88" s="1"/>
  <c r="BK72" i="88"/>
  <c r="BI72" i="88"/>
  <c r="M77" i="88"/>
  <c r="O77" i="88" s="1"/>
  <c r="P77" i="88"/>
  <c r="R77" i="88" s="1"/>
  <c r="U77" i="88" s="1"/>
  <c r="AQ75" i="88"/>
  <c r="AS75" i="88" s="1"/>
  <c r="K13" i="74"/>
  <c r="H35" i="82"/>
  <c r="BK73" i="88"/>
  <c r="BI73" i="88"/>
  <c r="AC75" i="88" l="1"/>
  <c r="BA75" i="88" s="1"/>
  <c r="AY74" i="88"/>
  <c r="BF74" i="88" s="1"/>
  <c r="BG74" i="88" s="1"/>
  <c r="AU75" i="88"/>
  <c r="AR75" i="88"/>
  <c r="AT75" i="88" s="1"/>
  <c r="L78" i="88"/>
  <c r="N78" i="88"/>
  <c r="V76" i="88"/>
  <c r="X76" i="88" s="1"/>
  <c r="AH79" i="88"/>
  <c r="AJ79" i="88" s="1"/>
  <c r="AK79" i="88"/>
  <c r="AM79" i="88" s="1"/>
  <c r="AP79" i="88" s="1"/>
  <c r="Z76" i="88" l="1"/>
  <c r="AB76" i="88" s="1"/>
  <c r="W76" i="88"/>
  <c r="Y76" i="88" s="1"/>
  <c r="BK74" i="88"/>
  <c r="BI74" i="88"/>
  <c r="AQ76" i="88"/>
  <c r="AS76" i="88" s="1"/>
  <c r="M78" i="88"/>
  <c r="O78" i="88" s="1"/>
  <c r="P78" i="88"/>
  <c r="R78" i="88" s="1"/>
  <c r="U78" i="88" s="1"/>
  <c r="AD75" i="88"/>
  <c r="BE75" i="88" s="1"/>
  <c r="AG80" i="88"/>
  <c r="AI80" i="88" s="1"/>
  <c r="AW75" i="88"/>
  <c r="AC76" i="88" l="1"/>
  <c r="BA76" i="88" s="1"/>
  <c r="L79" i="88"/>
  <c r="N79" i="88" s="1"/>
  <c r="V77" i="88"/>
  <c r="X77" i="88" s="1"/>
  <c r="AX75" i="88"/>
  <c r="BB75" i="88" s="1"/>
  <c r="BC75" i="88" s="1"/>
  <c r="BD75" i="88" s="1"/>
  <c r="AH80" i="88"/>
  <c r="AJ80" i="88" s="1"/>
  <c r="AK80" i="88"/>
  <c r="AM80" i="88" s="1"/>
  <c r="AP80" i="88" s="1"/>
  <c r="AU76" i="88"/>
  <c r="AR76" i="88"/>
  <c r="AT76" i="88" s="1"/>
  <c r="AY75" i="88" l="1"/>
  <c r="BF75" i="88" s="1"/>
  <c r="BG75" i="88" s="1"/>
  <c r="BI75" i="88" s="1"/>
  <c r="AI81" i="88"/>
  <c r="AG81" i="88"/>
  <c r="AJ124" i="88"/>
  <c r="M79" i="88"/>
  <c r="O79" i="88" s="1"/>
  <c r="P79" i="88"/>
  <c r="R79" i="88" s="1"/>
  <c r="U79" i="88" s="1"/>
  <c r="AW76" i="88"/>
  <c r="Z77" i="88"/>
  <c r="W77" i="88"/>
  <c r="Y77" i="88" s="1"/>
  <c r="AS77" i="88"/>
  <c r="AQ77" i="88"/>
  <c r="AD76" i="88"/>
  <c r="BE76" i="88" s="1"/>
  <c r="BK75" i="88" l="1"/>
  <c r="AH81" i="88"/>
  <c r="AK81" i="88"/>
  <c r="AM81" i="88" s="1"/>
  <c r="AU77" i="88"/>
  <c r="AW77" i="88" s="1"/>
  <c r="AR77" i="88"/>
  <c r="AT77" i="88" s="1"/>
  <c r="AB77" i="88"/>
  <c r="AX76" i="88"/>
  <c r="BB76" i="88" s="1"/>
  <c r="BC76" i="88" s="1"/>
  <c r="BD76" i="88" s="1"/>
  <c r="V78" i="88"/>
  <c r="X78" i="88" s="1"/>
  <c r="L80" i="88"/>
  <c r="N80" i="88" s="1"/>
  <c r="AY76" i="88" l="1"/>
  <c r="BF76" i="88" s="1"/>
  <c r="BG76" i="88" s="1"/>
  <c r="BK76" i="88" s="1"/>
  <c r="AX77" i="88"/>
  <c r="BB77" i="88" s="1"/>
  <c r="M80" i="88"/>
  <c r="O80" i="88" s="1"/>
  <c r="P80" i="88"/>
  <c r="R80" i="88" s="1"/>
  <c r="U80" i="88" s="1"/>
  <c r="AC77" i="88"/>
  <c r="BA77" i="88" s="1"/>
  <c r="AQ78" i="88"/>
  <c r="AS78" i="88" s="1"/>
  <c r="Z78" i="88"/>
  <c r="AB78" i="88" s="1"/>
  <c r="W78" i="88"/>
  <c r="Y78" i="88" s="1"/>
  <c r="AP81" i="88"/>
  <c r="AJ81" i="88"/>
  <c r="BI76" i="88" l="1"/>
  <c r="AY77" i="88"/>
  <c r="BF77" i="88" s="1"/>
  <c r="AU78" i="88"/>
  <c r="AW78" i="88" s="1"/>
  <c r="AR78" i="88"/>
  <c r="AT78" i="88" s="1"/>
  <c r="V79" i="88"/>
  <c r="X79" i="88" s="1"/>
  <c r="AC78" i="88"/>
  <c r="BA78" i="88" s="1"/>
  <c r="AG82" i="88"/>
  <c r="AI82" i="88"/>
  <c r="L81" i="88"/>
  <c r="N81" i="88"/>
  <c r="O124" i="88"/>
  <c r="AD77" i="88"/>
  <c r="BE77" i="88" s="1"/>
  <c r="BC77" i="88"/>
  <c r="BD77" i="88" s="1"/>
  <c r="BG77" i="88" l="1"/>
  <c r="BI77" i="88" s="1"/>
  <c r="Z79" i="88"/>
  <c r="AB79" i="88" s="1"/>
  <c r="W79" i="88"/>
  <c r="Y79" i="88" s="1"/>
  <c r="AX78" i="88"/>
  <c r="BB78" i="88" s="1"/>
  <c r="BC78" i="88" s="1"/>
  <c r="BD78" i="88" s="1"/>
  <c r="AH82" i="88"/>
  <c r="AK82" i="88"/>
  <c r="AM82" i="88" s="1"/>
  <c r="AD78" i="88"/>
  <c r="BE78" i="88" s="1"/>
  <c r="AQ79" i="88"/>
  <c r="AS79" i="88" s="1"/>
  <c r="M81" i="88"/>
  <c r="P81" i="88"/>
  <c r="R81" i="88" s="1"/>
  <c r="BK77" i="88" l="1"/>
  <c r="U81" i="88"/>
  <c r="AY78" i="88"/>
  <c r="BF78" i="88" s="1"/>
  <c r="BG78" i="88" s="1"/>
  <c r="AP82" i="88"/>
  <c r="AU79" i="88"/>
  <c r="AW79" i="88" s="1"/>
  <c r="AR79" i="88"/>
  <c r="AT79" i="88" s="1"/>
  <c r="AJ82" i="88"/>
  <c r="AC79" i="88"/>
  <c r="BA79" i="88" s="1"/>
  <c r="V80" i="88"/>
  <c r="X80" i="88" s="1"/>
  <c r="O81" i="88"/>
  <c r="Z80" i="88" l="1"/>
  <c r="AB80" i="88" s="1"/>
  <c r="W80" i="88"/>
  <c r="Y80" i="88" s="1"/>
  <c r="AX79" i="88"/>
  <c r="BB79" i="88" s="1"/>
  <c r="BC79" i="88" s="1"/>
  <c r="BD79" i="88" s="1"/>
  <c r="BK78" i="88"/>
  <c r="BI78" i="88"/>
  <c r="AG83" i="88"/>
  <c r="AI83" i="88" s="1"/>
  <c r="L82" i="88"/>
  <c r="N82" i="88" s="1"/>
  <c r="AD79" i="88"/>
  <c r="BE79" i="88" s="1"/>
  <c r="AQ80" i="88"/>
  <c r="AS80" i="88" s="1"/>
  <c r="AY79" i="88" l="1"/>
  <c r="BF79" i="88" s="1"/>
  <c r="BG79" i="88" s="1"/>
  <c r="BI79" i="88" s="1"/>
  <c r="AC80" i="88"/>
  <c r="BA80" i="88" s="1"/>
  <c r="AU80" i="88"/>
  <c r="AW80" i="88" s="1"/>
  <c r="AR80" i="88"/>
  <c r="AT80" i="88" s="1"/>
  <c r="V81" i="88"/>
  <c r="X81" i="88" s="1"/>
  <c r="Y124" i="88"/>
  <c r="M82" i="88"/>
  <c r="P82" i="88"/>
  <c r="R82" i="88" s="1"/>
  <c r="AH83" i="88"/>
  <c r="AK83" i="88"/>
  <c r="BK79" i="88" l="1"/>
  <c r="AX80" i="88"/>
  <c r="BB80" i="88" s="1"/>
  <c r="BC80" i="88" s="1"/>
  <c r="BD80" i="88" s="1"/>
  <c r="O82" i="88"/>
  <c r="AJ83" i="88"/>
  <c r="AM83" i="88"/>
  <c r="AQ81" i="88"/>
  <c r="AS81" i="88" s="1"/>
  <c r="AT124" i="88"/>
  <c r="U82" i="88"/>
  <c r="Z81" i="88"/>
  <c r="AB81" i="88" s="1"/>
  <c r="W81" i="88"/>
  <c r="AD80" i="88"/>
  <c r="BE80" i="88" s="1"/>
  <c r="AC81" i="88" l="1"/>
  <c r="AD81" i="88" s="1"/>
  <c r="AP83" i="88"/>
  <c r="Y81" i="88"/>
  <c r="AG84" i="88"/>
  <c r="AI84" i="88" s="1"/>
  <c r="AU81" i="88"/>
  <c r="AR81" i="88"/>
  <c r="L83" i="88"/>
  <c r="N83" i="88" s="1"/>
  <c r="BD124" i="88"/>
  <c r="AY80" i="88"/>
  <c r="BF80" i="88" s="1"/>
  <c r="BG80" i="88" s="1"/>
  <c r="BE81" i="88" l="1"/>
  <c r="V82" i="88"/>
  <c r="M83" i="88"/>
  <c r="P83" i="88"/>
  <c r="R83" i="88" s="1"/>
  <c r="BK80" i="88"/>
  <c r="BI80" i="88"/>
  <c r="AT81" i="88"/>
  <c r="AW81" i="88"/>
  <c r="AH84" i="88"/>
  <c r="AK84" i="88"/>
  <c r="BA81" i="88"/>
  <c r="AX81" i="88" l="1"/>
  <c r="O83" i="88"/>
  <c r="U83" i="88"/>
  <c r="AM84" i="88"/>
  <c r="AQ82" i="88"/>
  <c r="AS82" i="88" s="1"/>
  <c r="AJ84" i="88"/>
  <c r="X82" i="88"/>
  <c r="BB81" i="88" l="1"/>
  <c r="AU82" i="88"/>
  <c r="AW82" i="88" s="1"/>
  <c r="AR82" i="88"/>
  <c r="AY81" i="88"/>
  <c r="Z82" i="88"/>
  <c r="W82" i="88"/>
  <c r="AP84" i="88"/>
  <c r="AG85" i="88"/>
  <c r="AI85" i="88" s="1"/>
  <c r="L84" i="88"/>
  <c r="N84" i="88"/>
  <c r="AH85" i="88" l="1"/>
  <c r="AJ85" i="88" s="1"/>
  <c r="AK85" i="88"/>
  <c r="AM85" i="88" s="1"/>
  <c r="AP85" i="88" s="1"/>
  <c r="AX82" i="88"/>
  <c r="M84" i="88"/>
  <c r="P84" i="88"/>
  <c r="AT82" i="88"/>
  <c r="Y82" i="88"/>
  <c r="BC81" i="88"/>
  <c r="AB82" i="88"/>
  <c r="BF81" i="88"/>
  <c r="BD81" i="88" l="1"/>
  <c r="O84" i="88"/>
  <c r="AQ83" i="88"/>
  <c r="AS83" i="88" s="1"/>
  <c r="BB82" i="88"/>
  <c r="AG86" i="88"/>
  <c r="AI86" i="88"/>
  <c r="BG81" i="88"/>
  <c r="AC82" i="88"/>
  <c r="AD82" i="88" s="1"/>
  <c r="V83" i="88"/>
  <c r="X83" i="88" s="1"/>
  <c r="R84" i="88"/>
  <c r="AY82" i="88"/>
  <c r="Z83" i="88" l="1"/>
  <c r="AB83" i="88" s="1"/>
  <c r="W83" i="88"/>
  <c r="L85" i="88"/>
  <c r="N85" i="88" s="1"/>
  <c r="AH86" i="88"/>
  <c r="AJ86" i="88" s="1"/>
  <c r="AK86" i="88"/>
  <c r="AM86" i="88" s="1"/>
  <c r="AP86" i="88" s="1"/>
  <c r="BK81" i="88"/>
  <c r="BI81" i="88"/>
  <c r="BE82" i="88"/>
  <c r="BA82" i="88"/>
  <c r="AU83" i="88"/>
  <c r="AW83" i="88" s="1"/>
  <c r="AR83" i="88"/>
  <c r="U84" i="88"/>
  <c r="BF82" i="88"/>
  <c r="AX83" i="88" l="1"/>
  <c r="AC83" i="88"/>
  <c r="AD83" i="88" s="1"/>
  <c r="BE83" i="88" s="1"/>
  <c r="M85" i="88"/>
  <c r="O85" i="88" s="1"/>
  <c r="P85" i="88"/>
  <c r="R85" i="88" s="1"/>
  <c r="U85" i="88" s="1"/>
  <c r="Y83" i="88"/>
  <c r="BG82" i="88"/>
  <c r="AT83" i="88"/>
  <c r="BC82" i="88"/>
  <c r="AG87" i="88"/>
  <c r="AI87" i="88" s="1"/>
  <c r="BA83" i="88" l="1"/>
  <c r="AH87" i="88"/>
  <c r="AJ87" i="88" s="1"/>
  <c r="AK87" i="88"/>
  <c r="AM87" i="88" s="1"/>
  <c r="AP87" i="88" s="1"/>
  <c r="BB83" i="88"/>
  <c r="BD82" i="88"/>
  <c r="BK82" i="88"/>
  <c r="BI82" i="88"/>
  <c r="L86" i="88"/>
  <c r="N86" i="88" s="1"/>
  <c r="AY83" i="88"/>
  <c r="AQ84" i="88"/>
  <c r="AS84" i="88" s="1"/>
  <c r="V84" i="88"/>
  <c r="X84" i="88" s="1"/>
  <c r="Z84" i="88" l="1"/>
  <c r="AB84" i="88" s="1"/>
  <c r="W84" i="88"/>
  <c r="BC83" i="88"/>
  <c r="AG88" i="88"/>
  <c r="AI88" i="88" s="1"/>
  <c r="AU84" i="88"/>
  <c r="AW84" i="88" s="1"/>
  <c r="AR84" i="88"/>
  <c r="BF83" i="88"/>
  <c r="M86" i="88"/>
  <c r="O86" i="88" s="1"/>
  <c r="P86" i="88"/>
  <c r="R86" i="88" s="1"/>
  <c r="U86" i="88" s="1"/>
  <c r="AC84" i="88" l="1"/>
  <c r="AD84" i="88" s="1"/>
  <c r="BE84" i="88" s="1"/>
  <c r="N87" i="88"/>
  <c r="L87" i="88"/>
  <c r="AT84" i="88"/>
  <c r="AX84" i="88"/>
  <c r="AY84" i="88" s="1"/>
  <c r="BD83" i="88"/>
  <c r="Y84" i="88"/>
  <c r="BG83" i="88"/>
  <c r="AH88" i="88"/>
  <c r="AJ88" i="88" s="1"/>
  <c r="AK88" i="88"/>
  <c r="AM88" i="88" s="1"/>
  <c r="AP88" i="88" s="1"/>
  <c r="BF84" i="88" l="1"/>
  <c r="V85" i="88"/>
  <c r="X85" i="88" s="1"/>
  <c r="AQ85" i="88"/>
  <c r="AS85" i="88" s="1"/>
  <c r="BA84" i="88"/>
  <c r="AI89" i="88"/>
  <c r="AG89" i="88"/>
  <c r="BB84" i="88"/>
  <c r="BK83" i="88"/>
  <c r="BI83" i="88"/>
  <c r="M87" i="88"/>
  <c r="O87" i="88" s="1"/>
  <c r="P87" i="88"/>
  <c r="R87" i="88" s="1"/>
  <c r="U87" i="88" s="1"/>
  <c r="Z85" i="88" l="1"/>
  <c r="AB85" i="88" s="1"/>
  <c r="W85" i="88"/>
  <c r="Y85" i="88" s="1"/>
  <c r="BC84" i="88"/>
  <c r="BD84" i="88" s="1"/>
  <c r="AH89" i="88"/>
  <c r="AJ89" i="88" s="1"/>
  <c r="AK89" i="88"/>
  <c r="BG84" i="88"/>
  <c r="L88" i="88"/>
  <c r="N88" i="88" s="1"/>
  <c r="AU85" i="88"/>
  <c r="AR85" i="88"/>
  <c r="AT85" i="88" s="1"/>
  <c r="AC85" i="88" l="1"/>
  <c r="BA85" i="88" s="1"/>
  <c r="AQ86" i="88"/>
  <c r="AS86" i="88" s="1"/>
  <c r="BK84" i="88"/>
  <c r="BI84" i="88"/>
  <c r="AW85" i="88"/>
  <c r="V86" i="88"/>
  <c r="X86" i="88" s="1"/>
  <c r="AM89" i="88"/>
  <c r="AP89" i="88" s="1"/>
  <c r="M88" i="88"/>
  <c r="O88" i="88" s="1"/>
  <c r="P88" i="88"/>
  <c r="AG90" i="88"/>
  <c r="AI90" i="88" s="1"/>
  <c r="AD85" i="88" l="1"/>
  <c r="BE85" i="88" s="1"/>
  <c r="Z86" i="88"/>
  <c r="AB86" i="88" s="1"/>
  <c r="W86" i="88"/>
  <c r="Y86" i="88" s="1"/>
  <c r="AH90" i="88"/>
  <c r="AJ90" i="88" s="1"/>
  <c r="AK90" i="88"/>
  <c r="AM90" i="88" s="1"/>
  <c r="AP90" i="88" s="1"/>
  <c r="AX85" i="88"/>
  <c r="BB85" i="88" s="1"/>
  <c r="BC85" i="88" s="1"/>
  <c r="BD85" i="88" s="1"/>
  <c r="AU86" i="88"/>
  <c r="AW86" i="88" s="1"/>
  <c r="AR86" i="88"/>
  <c r="AT86" i="88" s="1"/>
  <c r="R88" i="88"/>
  <c r="U88" i="88" s="1"/>
  <c r="L89" i="88"/>
  <c r="N89" i="88" s="1"/>
  <c r="AY85" i="88" l="1"/>
  <c r="BF85" i="88" s="1"/>
  <c r="BG85" i="88" s="1"/>
  <c r="AQ87" i="88"/>
  <c r="AS87" i="88" s="1"/>
  <c r="AC86" i="88"/>
  <c r="BA86" i="88" s="1"/>
  <c r="AG91" i="88"/>
  <c r="AI91" i="88" s="1"/>
  <c r="BK85" i="88"/>
  <c r="BI85" i="88"/>
  <c r="AX86" i="88"/>
  <c r="BB86" i="88" s="1"/>
  <c r="V87" i="88"/>
  <c r="X87" i="88" s="1"/>
  <c r="M89" i="88"/>
  <c r="O89" i="88" s="1"/>
  <c r="P89" i="88"/>
  <c r="AY86" i="88" l="1"/>
  <c r="BF86" i="88" s="1"/>
  <c r="R89" i="88"/>
  <c r="U89" i="88" s="1"/>
  <c r="L90" i="88"/>
  <c r="N90" i="88" s="1"/>
  <c r="AH91" i="88"/>
  <c r="AJ91" i="88" s="1"/>
  <c r="AK91" i="88"/>
  <c r="AM91" i="88" s="1"/>
  <c r="AP91" i="88" s="1"/>
  <c r="BC86" i="88"/>
  <c r="BD86" i="88" s="1"/>
  <c r="AD86" i="88"/>
  <c r="BE86" i="88" s="1"/>
  <c r="BG86" i="88" s="1"/>
  <c r="AU87" i="88"/>
  <c r="AW87" i="88" s="1"/>
  <c r="AR87" i="88"/>
  <c r="AT87" i="88" s="1"/>
  <c r="Z87" i="88"/>
  <c r="W87" i="88"/>
  <c r="Y87" i="88" s="1"/>
  <c r="BK86" i="88" l="1"/>
  <c r="BI86" i="88"/>
  <c r="AX87" i="88"/>
  <c r="BB87" i="88" s="1"/>
  <c r="AG92" i="88"/>
  <c r="AI92" i="88" s="1"/>
  <c r="AB87" i="88"/>
  <c r="M90" i="88"/>
  <c r="O90" i="88" s="1"/>
  <c r="P90" i="88"/>
  <c r="AQ88" i="88"/>
  <c r="AS88" i="88" s="1"/>
  <c r="V88" i="88"/>
  <c r="X88" i="88" s="1"/>
  <c r="AY87" i="88" l="1"/>
  <c r="BF87" i="88" s="1"/>
  <c r="L91" i="88"/>
  <c r="N91" i="88" s="1"/>
  <c r="AU88" i="88"/>
  <c r="AR88" i="88"/>
  <c r="AT88" i="88" s="1"/>
  <c r="AH92" i="88"/>
  <c r="AJ92" i="88" s="1"/>
  <c r="AK92" i="88"/>
  <c r="AM92" i="88" s="1"/>
  <c r="AP92" i="88" s="1"/>
  <c r="AC87" i="88"/>
  <c r="BA87" i="88" s="1"/>
  <c r="BC87" i="88" s="1"/>
  <c r="BD87" i="88" s="1"/>
  <c r="Z88" i="88"/>
  <c r="AB88" i="88" s="1"/>
  <c r="W88" i="88"/>
  <c r="Y88" i="88" s="1"/>
  <c r="R90" i="88"/>
  <c r="U90" i="88" s="1"/>
  <c r="V89" i="88" l="1"/>
  <c r="X89" i="88" s="1"/>
  <c r="AG93" i="88"/>
  <c r="AI93" i="88"/>
  <c r="AJ125" i="88"/>
  <c r="AC88" i="88"/>
  <c r="BA88" i="88" s="1"/>
  <c r="AD87" i="88"/>
  <c r="BE87" i="88" s="1"/>
  <c r="BG87" i="88" s="1"/>
  <c r="AW88" i="88"/>
  <c r="M91" i="88"/>
  <c r="O91" i="88" s="1"/>
  <c r="P91" i="88"/>
  <c r="R91" i="88" s="1"/>
  <c r="U91" i="88" s="1"/>
  <c r="AQ89" i="88"/>
  <c r="AS89" i="88" s="1"/>
  <c r="AU89" i="88" l="1"/>
  <c r="AW89" i="88" s="1"/>
  <c r="AR89" i="88"/>
  <c r="AT89" i="88" s="1"/>
  <c r="AH93" i="88"/>
  <c r="AK93" i="88"/>
  <c r="AM93" i="88" s="1"/>
  <c r="L92" i="88"/>
  <c r="N92" i="88" s="1"/>
  <c r="AX88" i="88"/>
  <c r="BB88" i="88" s="1"/>
  <c r="BC88" i="88" s="1"/>
  <c r="BD88" i="88" s="1"/>
  <c r="BK87" i="88"/>
  <c r="BI87" i="88"/>
  <c r="AD88" i="88"/>
  <c r="BE88" i="88" s="1"/>
  <c r="Z89" i="88"/>
  <c r="W89" i="88"/>
  <c r="Y89" i="88" s="1"/>
  <c r="AY88" i="88" l="1"/>
  <c r="BF88" i="88" s="1"/>
  <c r="BG88" i="88" s="1"/>
  <c r="BK88" i="88" s="1"/>
  <c r="AJ93" i="88"/>
  <c r="AX89" i="88"/>
  <c r="BB89" i="88" s="1"/>
  <c r="AQ90" i="88"/>
  <c r="AS90" i="88" s="1"/>
  <c r="V90" i="88"/>
  <c r="X90" i="88" s="1"/>
  <c r="AP93" i="88"/>
  <c r="AB89" i="88"/>
  <c r="M92" i="88"/>
  <c r="O92" i="88" s="1"/>
  <c r="P92" i="88"/>
  <c r="R92" i="88" s="1"/>
  <c r="U92" i="88" s="1"/>
  <c r="BI88" i="88" l="1"/>
  <c r="AY89" i="88"/>
  <c r="BF89" i="88" s="1"/>
  <c r="Z90" i="88"/>
  <c r="AB90" i="88" s="1"/>
  <c r="W90" i="88"/>
  <c r="Y90" i="88" s="1"/>
  <c r="AC89" i="88"/>
  <c r="BA89" i="88" s="1"/>
  <c r="BC89" i="88" s="1"/>
  <c r="BD89" i="88" s="1"/>
  <c r="AU90" i="88"/>
  <c r="AR90" i="88"/>
  <c r="AT90" i="88" s="1"/>
  <c r="AG94" i="88"/>
  <c r="AI94" i="88" s="1"/>
  <c r="L93" i="88"/>
  <c r="N93" i="88" s="1"/>
  <c r="O125" i="88"/>
  <c r="AD89" i="88" l="1"/>
  <c r="BE89" i="88" s="1"/>
  <c r="BG89" i="88" s="1"/>
  <c r="AH94" i="88"/>
  <c r="AK94" i="88"/>
  <c r="AC90" i="88"/>
  <c r="BA90" i="88" s="1"/>
  <c r="M93" i="88"/>
  <c r="P93" i="88"/>
  <c r="V91" i="88"/>
  <c r="X91" i="88" s="1"/>
  <c r="AW90" i="88"/>
  <c r="AQ91" i="88"/>
  <c r="AS91" i="88" s="1"/>
  <c r="AD90" i="88" l="1"/>
  <c r="BE90" i="88" s="1"/>
  <c r="AU91" i="88"/>
  <c r="AW91" i="88" s="1"/>
  <c r="AR91" i="88"/>
  <c r="AT91" i="88" s="1"/>
  <c r="AX90" i="88"/>
  <c r="BB90" i="88" s="1"/>
  <c r="BC90" i="88" s="1"/>
  <c r="BD90" i="88" s="1"/>
  <c r="BK89" i="88"/>
  <c r="BI89" i="88"/>
  <c r="R93" i="88"/>
  <c r="AJ94" i="88"/>
  <c r="Z91" i="88"/>
  <c r="AB91" i="88" s="1"/>
  <c r="W91" i="88"/>
  <c r="Y91" i="88" s="1"/>
  <c r="O93" i="88"/>
  <c r="AM94" i="88"/>
  <c r="AY90" i="88" l="1"/>
  <c r="BF90" i="88" s="1"/>
  <c r="BG90" i="88" s="1"/>
  <c r="BI90" i="88" s="1"/>
  <c r="AC91" i="88"/>
  <c r="BA91" i="88" s="1"/>
  <c r="U93" i="88"/>
  <c r="V92" i="88"/>
  <c r="X92" i="88" s="1"/>
  <c r="BK90" i="88"/>
  <c r="AX91" i="88"/>
  <c r="BB91" i="88" s="1"/>
  <c r="L94" i="88"/>
  <c r="N94" i="88"/>
  <c r="AS92" i="88"/>
  <c r="AQ92" i="88"/>
  <c r="AG95" i="88"/>
  <c r="AI95" i="88" s="1"/>
  <c r="AP94" i="88"/>
  <c r="BC91" i="88" l="1"/>
  <c r="BD91" i="88" s="1"/>
  <c r="AY91" i="88"/>
  <c r="BF91" i="88" s="1"/>
  <c r="Z92" i="88"/>
  <c r="AB92" i="88" s="1"/>
  <c r="W92" i="88"/>
  <c r="Y92" i="88" s="1"/>
  <c r="M94" i="88"/>
  <c r="P94" i="88"/>
  <c r="AH95" i="88"/>
  <c r="AK95" i="88"/>
  <c r="AU92" i="88"/>
  <c r="AR92" i="88"/>
  <c r="AT92" i="88" s="1"/>
  <c r="AD91" i="88"/>
  <c r="BE91" i="88" s="1"/>
  <c r="BG91" i="88" l="1"/>
  <c r="AJ95" i="88"/>
  <c r="O94" i="88"/>
  <c r="AC92" i="88"/>
  <c r="BA92" i="88" s="1"/>
  <c r="BK91" i="88"/>
  <c r="BI91" i="88"/>
  <c r="AW92" i="88"/>
  <c r="AM95" i="88"/>
  <c r="V93" i="88"/>
  <c r="X93" i="88" s="1"/>
  <c r="Y125" i="88"/>
  <c r="AQ93" i="88"/>
  <c r="AS93" i="88" s="1"/>
  <c r="AT125" i="88"/>
  <c r="R94" i="88"/>
  <c r="AD92" i="88" l="1"/>
  <c r="BE92" i="88" s="1"/>
  <c r="AG96" i="88"/>
  <c r="AI96" i="88" s="1"/>
  <c r="U94" i="88"/>
  <c r="Z93" i="88"/>
  <c r="AB93" i="88" s="1"/>
  <c r="W93" i="88"/>
  <c r="L95" i="88"/>
  <c r="N95" i="88" s="1"/>
  <c r="AU93" i="88"/>
  <c r="AW93" i="88" s="1"/>
  <c r="AR93" i="88"/>
  <c r="AP95" i="88"/>
  <c r="AX92" i="88"/>
  <c r="BB92" i="88" s="1"/>
  <c r="BC92" i="88" s="1"/>
  <c r="BD92" i="88" s="1"/>
  <c r="AC93" i="88" l="1"/>
  <c r="AD93" i="88" s="1"/>
  <c r="AT93" i="88"/>
  <c r="AY92" i="88"/>
  <c r="BF92" i="88" s="1"/>
  <c r="BG92" i="88" s="1"/>
  <c r="BD125" i="88"/>
  <c r="Y93" i="88"/>
  <c r="AH96" i="88"/>
  <c r="AK96" i="88"/>
  <c r="AM96" i="88" s="1"/>
  <c r="AX93" i="88"/>
  <c r="M95" i="88"/>
  <c r="P95" i="88"/>
  <c r="R95" i="88" s="1"/>
  <c r="AP96" i="88" l="1"/>
  <c r="BE93" i="88"/>
  <c r="O95" i="88"/>
  <c r="AJ96" i="88"/>
  <c r="BK92" i="88"/>
  <c r="BI92" i="88"/>
  <c r="AQ94" i="88"/>
  <c r="AS94" i="88"/>
  <c r="BB93" i="88"/>
  <c r="V94" i="88"/>
  <c r="AY93" i="88"/>
  <c r="U95" i="88"/>
  <c r="BA93" i="88"/>
  <c r="BC93" i="88" l="1"/>
  <c r="L96" i="88"/>
  <c r="N96" i="88" s="1"/>
  <c r="AG97" i="88"/>
  <c r="AI97" i="88"/>
  <c r="AU94" i="88"/>
  <c r="AR94" i="88"/>
  <c r="BF93" i="88"/>
  <c r="X94" i="88"/>
  <c r="BG93" i="88" l="1"/>
  <c r="AH97" i="88"/>
  <c r="AJ97" i="88" s="1"/>
  <c r="AK97" i="88"/>
  <c r="M96" i="88"/>
  <c r="P96" i="88"/>
  <c r="R96" i="88" s="1"/>
  <c r="BD93" i="88"/>
  <c r="AW94" i="88"/>
  <c r="Z94" i="88"/>
  <c r="W94" i="88"/>
  <c r="AT94" i="88"/>
  <c r="U96" i="88" l="1"/>
  <c r="Y94" i="88"/>
  <c r="AG98" i="88"/>
  <c r="AI98" i="88" s="1"/>
  <c r="AX94" i="88"/>
  <c r="AY94" i="88" s="1"/>
  <c r="AQ95" i="88"/>
  <c r="AS95" i="88" s="1"/>
  <c r="BK93" i="88"/>
  <c r="BI93" i="88"/>
  <c r="O96" i="88"/>
  <c r="AB94" i="88"/>
  <c r="AM97" i="88"/>
  <c r="AP97" i="88" s="1"/>
  <c r="AH98" i="88" l="1"/>
  <c r="AJ98" i="88" s="1"/>
  <c r="AK98" i="88"/>
  <c r="AM98" i="88" s="1"/>
  <c r="AP98" i="88" s="1"/>
  <c r="AU95" i="88"/>
  <c r="AR95" i="88"/>
  <c r="BF94" i="88"/>
  <c r="BB94" i="88"/>
  <c r="V95" i="88"/>
  <c r="X95" i="88" s="1"/>
  <c r="AC94" i="88"/>
  <c r="L97" i="88"/>
  <c r="N97" i="88"/>
  <c r="Z95" i="88" l="1"/>
  <c r="AB95" i="88" s="1"/>
  <c r="W95" i="88"/>
  <c r="AT95" i="88"/>
  <c r="M97" i="88"/>
  <c r="O97" i="88" s="1"/>
  <c r="P97" i="88"/>
  <c r="R97" i="88" s="1"/>
  <c r="U97" i="88" s="1"/>
  <c r="BA94" i="88"/>
  <c r="AG99" i="88"/>
  <c r="AI99" i="88" s="1"/>
  <c r="AD94" i="88"/>
  <c r="AW95" i="88"/>
  <c r="L98" i="88" l="1"/>
  <c r="N98" i="88" s="1"/>
  <c r="AQ96" i="88"/>
  <c r="AS96" i="88"/>
  <c r="AC95" i="88"/>
  <c r="AD95" i="88" s="1"/>
  <c r="AX95" i="88"/>
  <c r="AY95" i="88" s="1"/>
  <c r="BE94" i="88"/>
  <c r="BC94" i="88"/>
  <c r="AH99" i="88"/>
  <c r="AJ99" i="88" s="1"/>
  <c r="AK99" i="88"/>
  <c r="AM99" i="88" s="1"/>
  <c r="AP99" i="88" s="1"/>
  <c r="Y95" i="88"/>
  <c r="BE95" i="88" l="1"/>
  <c r="AG100" i="88"/>
  <c r="AI100" i="88" s="1"/>
  <c r="BB95" i="88"/>
  <c r="BD94" i="88"/>
  <c r="BA95" i="88"/>
  <c r="M98" i="88"/>
  <c r="O98" i="88" s="1"/>
  <c r="P98" i="88"/>
  <c r="BF95" i="88"/>
  <c r="V96" i="88"/>
  <c r="X96" i="88" s="1"/>
  <c r="BG94" i="88"/>
  <c r="AU96" i="88"/>
  <c r="AW96" i="88" s="1"/>
  <c r="AR96" i="88"/>
  <c r="Z96" i="88" l="1"/>
  <c r="AB96" i="88" s="1"/>
  <c r="W96" i="88"/>
  <c r="AT96" i="88"/>
  <c r="BG95" i="88"/>
  <c r="L99" i="88"/>
  <c r="N99" i="88" s="1"/>
  <c r="AX96" i="88"/>
  <c r="AY96" i="88" s="1"/>
  <c r="BC95" i="88"/>
  <c r="BK94" i="88"/>
  <c r="BI94" i="88"/>
  <c r="AH100" i="88"/>
  <c r="AJ100" i="88" s="1"/>
  <c r="AK100" i="88"/>
  <c r="BD95" i="88"/>
  <c r="R98" i="88"/>
  <c r="U98" i="88" s="1"/>
  <c r="BF96" i="88" l="1"/>
  <c r="AC96" i="88"/>
  <c r="AD96" i="88" s="1"/>
  <c r="AM100" i="88"/>
  <c r="AP100" i="88" s="1"/>
  <c r="AG101" i="88"/>
  <c r="AI101" i="88"/>
  <c r="M99" i="88"/>
  <c r="O99" i="88" s="1"/>
  <c r="P99" i="88"/>
  <c r="R99" i="88" s="1"/>
  <c r="U99" i="88" s="1"/>
  <c r="BK95" i="88"/>
  <c r="BI95" i="88"/>
  <c r="Y96" i="88"/>
  <c r="BB96" i="88"/>
  <c r="AQ97" i="88"/>
  <c r="AS97" i="88" s="1"/>
  <c r="BE96" i="88" l="1"/>
  <c r="AU97" i="88"/>
  <c r="AW97" i="88" s="1"/>
  <c r="AR97" i="88"/>
  <c r="AT97" i="88" s="1"/>
  <c r="L100" i="88"/>
  <c r="N100" i="88" s="1"/>
  <c r="AH101" i="88"/>
  <c r="AJ101" i="88" s="1"/>
  <c r="AK101" i="88"/>
  <c r="BA96" i="88"/>
  <c r="BC96" i="88" s="1"/>
  <c r="BD96" i="88" s="1"/>
  <c r="V97" i="88"/>
  <c r="X97" i="88" s="1"/>
  <c r="BG96" i="88"/>
  <c r="Z97" i="88" l="1"/>
  <c r="AB97" i="88" s="1"/>
  <c r="W97" i="88"/>
  <c r="Y97" i="88" s="1"/>
  <c r="AX97" i="88"/>
  <c r="BB97" i="88" s="1"/>
  <c r="AQ98" i="88"/>
  <c r="AS98" i="88" s="1"/>
  <c r="AG102" i="88"/>
  <c r="AI102" i="88" s="1"/>
  <c r="BK96" i="88"/>
  <c r="BI96" i="88"/>
  <c r="AK117" i="88"/>
  <c r="AK123" i="88"/>
  <c r="AK124" i="88"/>
  <c r="AK125" i="88"/>
  <c r="AK126" i="88"/>
  <c r="AM101" i="88"/>
  <c r="AP101" i="88" s="1"/>
  <c r="M100" i="88"/>
  <c r="O100" i="88" s="1"/>
  <c r="P100" i="88"/>
  <c r="AY97" i="88" l="1"/>
  <c r="BF97" i="88" s="1"/>
  <c r="L101" i="88"/>
  <c r="N101" i="88" s="1"/>
  <c r="AU98" i="88"/>
  <c r="AR98" i="88"/>
  <c r="AT98" i="88" s="1"/>
  <c r="AC97" i="88"/>
  <c r="BA97" i="88" s="1"/>
  <c r="BC97" i="88" s="1"/>
  <c r="BD97" i="88" s="1"/>
  <c r="AK128" i="88"/>
  <c r="V98" i="88"/>
  <c r="X98" i="88" s="1"/>
  <c r="AH102" i="88"/>
  <c r="AJ102" i="88" s="1"/>
  <c r="AM102" i="88"/>
  <c r="AP102" i="88" s="1"/>
  <c r="R100" i="88"/>
  <c r="U100" i="88" s="1"/>
  <c r="Z98" i="88" l="1"/>
  <c r="AB98" i="88" s="1"/>
  <c r="W98" i="88"/>
  <c r="Y98" i="88" s="1"/>
  <c r="AD97" i="88"/>
  <c r="BE97" i="88" s="1"/>
  <c r="BG97" i="88" s="1"/>
  <c r="AQ99" i="88"/>
  <c r="AS99" i="88" s="1"/>
  <c r="AG103" i="88"/>
  <c r="AI103" i="88" s="1"/>
  <c r="M101" i="88"/>
  <c r="O101" i="88" s="1"/>
  <c r="P101" i="88"/>
  <c r="R101" i="88" s="1"/>
  <c r="U101" i="88" s="1"/>
  <c r="AW98" i="88"/>
  <c r="BK97" i="88" l="1"/>
  <c r="BI97" i="88"/>
  <c r="AH103" i="88"/>
  <c r="AJ103" i="88" s="1"/>
  <c r="AM103" i="88"/>
  <c r="AP103" i="88" s="1"/>
  <c r="L102" i="88"/>
  <c r="N102" i="88" s="1"/>
  <c r="AX98" i="88"/>
  <c r="BB98" i="88" s="1"/>
  <c r="AC98" i="88"/>
  <c r="BA98" i="88" s="1"/>
  <c r="V99" i="88"/>
  <c r="X99" i="88" s="1"/>
  <c r="P123" i="88"/>
  <c r="P117" i="88"/>
  <c r="P124" i="88"/>
  <c r="P125" i="88"/>
  <c r="P126" i="88"/>
  <c r="AU99" i="88"/>
  <c r="AW99" i="88" s="1"/>
  <c r="AR99" i="88"/>
  <c r="AT99" i="88" s="1"/>
  <c r="AD98" i="88" l="1"/>
  <c r="BE98" i="88" s="1"/>
  <c r="AY98" i="88"/>
  <c r="BF98" i="88" s="1"/>
  <c r="AG104" i="88"/>
  <c r="AI104" i="88" s="1"/>
  <c r="M102" i="88"/>
  <c r="O102" i="88" s="1"/>
  <c r="R102" i="88"/>
  <c r="U102" i="88" s="1"/>
  <c r="AX99" i="88"/>
  <c r="BB99" i="88" s="1"/>
  <c r="P128" i="88"/>
  <c r="BC98" i="88"/>
  <c r="BD98" i="88" s="1"/>
  <c r="AQ100" i="88"/>
  <c r="AS100" i="88" s="1"/>
  <c r="Z99" i="88"/>
  <c r="W99" i="88"/>
  <c r="Y99" i="88" s="1"/>
  <c r="BG98" i="88" l="1"/>
  <c r="BK98" i="88" s="1"/>
  <c r="AH104" i="88"/>
  <c r="AJ104" i="88" s="1"/>
  <c r="AM104" i="88"/>
  <c r="AP104" i="88" s="1"/>
  <c r="V100" i="88"/>
  <c r="X100" i="88" s="1"/>
  <c r="AY99" i="88"/>
  <c r="BF99" i="88" s="1"/>
  <c r="AU100" i="88"/>
  <c r="AR100" i="88"/>
  <c r="AT100" i="88" s="1"/>
  <c r="N103" i="88"/>
  <c r="L103" i="88"/>
  <c r="AB99" i="88"/>
  <c r="BI98" i="88" l="1"/>
  <c r="Z100" i="88"/>
  <c r="W100" i="88"/>
  <c r="Y100" i="88" s="1"/>
  <c r="AW100" i="88"/>
  <c r="AG105" i="88"/>
  <c r="AI105" i="88" s="1"/>
  <c r="AJ126" i="88"/>
  <c r="AQ101" i="88"/>
  <c r="AS101" i="88" s="1"/>
  <c r="AC99" i="88"/>
  <c r="BA99" i="88" s="1"/>
  <c r="BC99" i="88" s="1"/>
  <c r="BD99" i="88" s="1"/>
  <c r="M103" i="88"/>
  <c r="O103" i="88" s="1"/>
  <c r="R103" i="88"/>
  <c r="U103" i="88" s="1"/>
  <c r="V101" i="88" l="1"/>
  <c r="X101" i="88" s="1"/>
  <c r="AU101" i="88"/>
  <c r="AR101" i="88"/>
  <c r="AT101" i="88" s="1"/>
  <c r="L104" i="88"/>
  <c r="N104" i="88" s="1"/>
  <c r="AD99" i="88"/>
  <c r="BE99" i="88" s="1"/>
  <c r="BG99" i="88" s="1"/>
  <c r="AH105" i="88"/>
  <c r="AM105" i="88"/>
  <c r="AX100" i="88"/>
  <c r="BB100" i="88" s="1"/>
  <c r="AB100" i="88"/>
  <c r="AY100" i="88" l="1"/>
  <c r="BF100" i="88" s="1"/>
  <c r="AC100" i="88"/>
  <c r="BA100" i="88" s="1"/>
  <c r="BC100" i="88" s="1"/>
  <c r="BD100" i="88" s="1"/>
  <c r="AQ102" i="88"/>
  <c r="AS102" i="88" s="1"/>
  <c r="AJ105" i="88"/>
  <c r="BK99" i="88"/>
  <c r="BI99" i="88"/>
  <c r="Z101" i="88"/>
  <c r="AB101" i="88" s="1"/>
  <c r="W101" i="88"/>
  <c r="Y101" i="88" s="1"/>
  <c r="M104" i="88"/>
  <c r="O104" i="88" s="1"/>
  <c r="R104" i="88"/>
  <c r="U104" i="88" s="1"/>
  <c r="AP105" i="88"/>
  <c r="AW101" i="88"/>
  <c r="AD100" i="88" l="1"/>
  <c r="BE100" i="88" s="1"/>
  <c r="BG100" i="88" s="1"/>
  <c r="BK100" i="88" s="1"/>
  <c r="AG106" i="88"/>
  <c r="AI106" i="88" s="1"/>
  <c r="V102" i="88"/>
  <c r="X102" i="88" s="1"/>
  <c r="AX101" i="88"/>
  <c r="BB101" i="88" s="1"/>
  <c r="AC101" i="88"/>
  <c r="BA101" i="88" s="1"/>
  <c r="AU102" i="88"/>
  <c r="AW102" i="88" s="1"/>
  <c r="AR102" i="88"/>
  <c r="AT102" i="88" s="1"/>
  <c r="L105" i="88"/>
  <c r="N105" i="88" s="1"/>
  <c r="O126" i="88"/>
  <c r="BI100" i="88" l="1"/>
  <c r="AX102" i="88"/>
  <c r="BB102" i="88" s="1"/>
  <c r="Z102" i="88"/>
  <c r="AB102" i="88" s="1"/>
  <c r="W102" i="88"/>
  <c r="Y102" i="88" s="1"/>
  <c r="AQ103" i="88"/>
  <c r="AS103" i="88" s="1"/>
  <c r="M105" i="88"/>
  <c r="R105" i="88"/>
  <c r="AH106" i="88"/>
  <c r="AM106" i="88"/>
  <c r="BC101" i="88"/>
  <c r="BD101" i="88" s="1"/>
  <c r="AY101" i="88"/>
  <c r="BF101" i="88" s="1"/>
  <c r="AD101" i="88"/>
  <c r="BE101" i="88" s="1"/>
  <c r="BG101" i="88" l="1"/>
  <c r="BK101" i="88" s="1"/>
  <c r="BI101" i="88"/>
  <c r="AJ106" i="88"/>
  <c r="AU103" i="88"/>
  <c r="AR103" i="88"/>
  <c r="AT103" i="88" s="1"/>
  <c r="AC102" i="88"/>
  <c r="BA102" i="88" s="1"/>
  <c r="BC102" i="88" s="1"/>
  <c r="BD102" i="88" s="1"/>
  <c r="U105" i="88"/>
  <c r="V103" i="88"/>
  <c r="X103" i="88" s="1"/>
  <c r="AP106" i="88"/>
  <c r="O105" i="88"/>
  <c r="AY102" i="88"/>
  <c r="BF102" i="88" s="1"/>
  <c r="Z103" i="88" l="1"/>
  <c r="AB103" i="88" s="1"/>
  <c r="W103" i="88"/>
  <c r="Y103" i="88" s="1"/>
  <c r="AG107" i="88"/>
  <c r="AI107" i="88" s="1"/>
  <c r="L106" i="88"/>
  <c r="N106" i="88" s="1"/>
  <c r="AQ104" i="88"/>
  <c r="AS104" i="88" s="1"/>
  <c r="AD102" i="88"/>
  <c r="BE102" i="88" s="1"/>
  <c r="BG102" i="88" s="1"/>
  <c r="AW103" i="88"/>
  <c r="M106" i="88" l="1"/>
  <c r="R106" i="88"/>
  <c r="AU104" i="88"/>
  <c r="AW104" i="88" s="1"/>
  <c r="AR104" i="88"/>
  <c r="AT104" i="88" s="1"/>
  <c r="AH107" i="88"/>
  <c r="AM107" i="88"/>
  <c r="AX103" i="88"/>
  <c r="BB103" i="88" s="1"/>
  <c r="AC103" i="88"/>
  <c r="BA103" i="88" s="1"/>
  <c r="BK102" i="88"/>
  <c r="BI102" i="88"/>
  <c r="V104" i="88"/>
  <c r="X104" i="88" s="1"/>
  <c r="AD103" i="88" l="1"/>
  <c r="BE103" i="88" s="1"/>
  <c r="AY103" i="88"/>
  <c r="BF103" i="88" s="1"/>
  <c r="BC103" i="88"/>
  <c r="BD103" i="88" s="1"/>
  <c r="Z104" i="88"/>
  <c r="AB104" i="88" s="1"/>
  <c r="W104" i="88"/>
  <c r="Y104" i="88" s="1"/>
  <c r="AX104" i="88"/>
  <c r="BB104" i="88" s="1"/>
  <c r="U106" i="88"/>
  <c r="AJ107" i="88"/>
  <c r="AS105" i="88"/>
  <c r="AQ105" i="88"/>
  <c r="AT126" i="88"/>
  <c r="O106" i="88"/>
  <c r="AP107" i="88"/>
  <c r="BG103" i="88" l="1"/>
  <c r="BK103" i="88" s="1"/>
  <c r="L107" i="88"/>
  <c r="N107" i="88" s="1"/>
  <c r="AG108" i="88"/>
  <c r="AI108" i="88" s="1"/>
  <c r="AC104" i="88"/>
  <c r="BA104" i="88" s="1"/>
  <c r="BC104" i="88" s="1"/>
  <c r="BD104" i="88" s="1"/>
  <c r="V105" i="88"/>
  <c r="X105" i="88" s="1"/>
  <c r="Y126" i="88"/>
  <c r="AU105" i="88"/>
  <c r="AW105" i="88" s="1"/>
  <c r="AR105" i="88"/>
  <c r="AY104" i="88"/>
  <c r="BF104" i="88" s="1"/>
  <c r="BI103" i="88" l="1"/>
  <c r="AD104" i="88"/>
  <c r="BE104" i="88" s="1"/>
  <c r="BG104" i="88" s="1"/>
  <c r="BD126" i="88"/>
  <c r="AX105" i="88"/>
  <c r="AY105" i="88" s="1"/>
  <c r="AH108" i="88"/>
  <c r="AM108" i="88"/>
  <c r="M107" i="88"/>
  <c r="R107" i="88"/>
  <c r="AT105" i="88"/>
  <c r="Z105" i="88"/>
  <c r="AB105" i="88" s="1"/>
  <c r="W105" i="88"/>
  <c r="AC105" i="88" l="1"/>
  <c r="AD105" i="88" s="1"/>
  <c r="U107" i="88"/>
  <c r="AJ108" i="88"/>
  <c r="O107" i="88"/>
  <c r="AQ106" i="88"/>
  <c r="AS106" i="88" s="1"/>
  <c r="BF105" i="88"/>
  <c r="BB105" i="88"/>
  <c r="BK104" i="88"/>
  <c r="BI104" i="88"/>
  <c r="Y105" i="88"/>
  <c r="AP108" i="88"/>
  <c r="AG109" i="88" l="1"/>
  <c r="AI109" i="88" s="1"/>
  <c r="V106" i="88"/>
  <c r="X106" i="88" s="1"/>
  <c r="AU106" i="88"/>
  <c r="AR106" i="88"/>
  <c r="BE105" i="88"/>
  <c r="BG105" i="88" s="1"/>
  <c r="L108" i="88"/>
  <c r="N108" i="88" s="1"/>
  <c r="BA105" i="88"/>
  <c r="BK105" i="88" l="1"/>
  <c r="BI105" i="88"/>
  <c r="AH109" i="88"/>
  <c r="AJ109" i="88" s="1"/>
  <c r="AM109" i="88"/>
  <c r="AP109" i="88" s="1"/>
  <c r="BC105" i="88"/>
  <c r="M108" i="88"/>
  <c r="R108" i="88"/>
  <c r="AW106" i="88"/>
  <c r="AT106" i="88"/>
  <c r="Z106" i="88"/>
  <c r="AB106" i="88" s="1"/>
  <c r="W106" i="88"/>
  <c r="AC106" i="88" l="1"/>
  <c r="AD106" i="88" s="1"/>
  <c r="Y106" i="88"/>
  <c r="O108" i="88"/>
  <c r="AG110" i="88"/>
  <c r="AI110" i="88" s="1"/>
  <c r="BD105" i="88"/>
  <c r="AQ107" i="88"/>
  <c r="AS107" i="88"/>
  <c r="AX106" i="88"/>
  <c r="AY106" i="88" s="1"/>
  <c r="U108" i="88"/>
  <c r="BF106" i="88" l="1"/>
  <c r="BE106" i="88"/>
  <c r="V107" i="88"/>
  <c r="X107" i="88" s="1"/>
  <c r="AU107" i="88"/>
  <c r="AW107" i="88" s="1"/>
  <c r="AR107" i="88"/>
  <c r="AH110" i="88"/>
  <c r="AJ110" i="88" s="1"/>
  <c r="AM110" i="88"/>
  <c r="AP110" i="88" s="1"/>
  <c r="BB106" i="88"/>
  <c r="L109" i="88"/>
  <c r="N109" i="88" s="1"/>
  <c r="BA106" i="88"/>
  <c r="Z107" i="88" l="1"/>
  <c r="AB107" i="88" s="1"/>
  <c r="W107" i="88"/>
  <c r="BC106" i="88"/>
  <c r="AX107" i="88"/>
  <c r="AY107" i="88" s="1"/>
  <c r="AT107" i="88"/>
  <c r="M109" i="88"/>
  <c r="O109" i="88" s="1"/>
  <c r="R109" i="88"/>
  <c r="U109" i="88" s="1"/>
  <c r="BG106" i="88"/>
  <c r="AG111" i="88"/>
  <c r="AI111" i="88" s="1"/>
  <c r="AQ108" i="88" l="1"/>
  <c r="AS108" i="88" s="1"/>
  <c r="AH111" i="88"/>
  <c r="AJ111" i="88" s="1"/>
  <c r="AM111" i="88"/>
  <c r="AP111" i="88" s="1"/>
  <c r="L110" i="88"/>
  <c r="N110" i="88"/>
  <c r="BB107" i="88"/>
  <c r="AC107" i="88"/>
  <c r="BF107" i="88"/>
  <c r="Y107" i="88"/>
  <c r="BD106" i="88"/>
  <c r="BK106" i="88"/>
  <c r="BI106" i="88"/>
  <c r="AG112" i="88" l="1"/>
  <c r="AI112" i="88"/>
  <c r="V108" i="88"/>
  <c r="X108" i="88" s="1"/>
  <c r="M110" i="88"/>
  <c r="O110" i="88" s="1"/>
  <c r="R110" i="88"/>
  <c r="U110" i="88" s="1"/>
  <c r="AU108" i="88"/>
  <c r="AW108" i="88" s="1"/>
  <c r="AR108" i="88"/>
  <c r="BA107" i="88"/>
  <c r="BC107" i="88" s="1"/>
  <c r="AD107" i="88"/>
  <c r="Z108" i="88" l="1"/>
  <c r="AB108" i="88" s="1"/>
  <c r="W108" i="88"/>
  <c r="BD107" i="88"/>
  <c r="AX108" i="88"/>
  <c r="AY108" i="88" s="1"/>
  <c r="BF108" i="88" s="1"/>
  <c r="L111" i="88"/>
  <c r="N111" i="88" s="1"/>
  <c r="AH112" i="88"/>
  <c r="AJ112" i="88" s="1"/>
  <c r="AM112" i="88"/>
  <c r="AP112" i="88" s="1"/>
  <c r="BE107" i="88"/>
  <c r="BG107" i="88" s="1"/>
  <c r="AT108" i="88"/>
  <c r="AQ109" i="88" l="1"/>
  <c r="AS109" i="88" s="1"/>
  <c r="AG113" i="88"/>
  <c r="AI113" i="88" s="1"/>
  <c r="M111" i="88"/>
  <c r="O111" i="88" s="1"/>
  <c r="R111" i="88"/>
  <c r="U111" i="88" s="1"/>
  <c r="AC108" i="88"/>
  <c r="AD108" i="88" s="1"/>
  <c r="BE108" i="88" s="1"/>
  <c r="BG108" i="88" s="1"/>
  <c r="BK107" i="88"/>
  <c r="BI107" i="88"/>
  <c r="Y108" i="88"/>
  <c r="BB108" i="88"/>
  <c r="BK108" i="88" l="1"/>
  <c r="BI108" i="88"/>
  <c r="L112" i="88"/>
  <c r="N112" i="88" s="1"/>
  <c r="BA108" i="88"/>
  <c r="BC108" i="88" s="1"/>
  <c r="AH113" i="88"/>
  <c r="AJ113" i="88" s="1"/>
  <c r="AM113" i="88"/>
  <c r="AP113" i="88" s="1"/>
  <c r="V109" i="88"/>
  <c r="X109" i="88" s="1"/>
  <c r="AU109" i="88"/>
  <c r="AR109" i="88"/>
  <c r="AT109" i="88" s="1"/>
  <c r="BD108" i="88" l="1"/>
  <c r="M112" i="88"/>
  <c r="O112" i="88" s="1"/>
  <c r="R112" i="88"/>
  <c r="U112" i="88" s="1"/>
  <c r="Z109" i="88"/>
  <c r="W109" i="88"/>
  <c r="Y109" i="88" s="1"/>
  <c r="AQ110" i="88"/>
  <c r="AS110" i="88" s="1"/>
  <c r="AG114" i="88"/>
  <c r="AI114" i="88" s="1"/>
  <c r="AW109" i="88"/>
  <c r="AX109" i="88" l="1"/>
  <c r="BB109" i="88" s="1"/>
  <c r="AH114" i="88"/>
  <c r="AJ114" i="88" s="1"/>
  <c r="AM114" i="88"/>
  <c r="AP114" i="88" s="1"/>
  <c r="V110" i="88"/>
  <c r="X110" i="88" s="1"/>
  <c r="AU110" i="88"/>
  <c r="AR110" i="88"/>
  <c r="AT110" i="88" s="1"/>
  <c r="AB109" i="88"/>
  <c r="L113" i="88"/>
  <c r="N113" i="88" s="1"/>
  <c r="Z110" i="88" l="1"/>
  <c r="AB110" i="88" s="1"/>
  <c r="W110" i="88"/>
  <c r="Y110" i="88" s="1"/>
  <c r="M113" i="88"/>
  <c r="O113" i="88" s="1"/>
  <c r="R113" i="88"/>
  <c r="U113" i="88" s="1"/>
  <c r="AQ111" i="88"/>
  <c r="AS111" i="88" s="1"/>
  <c r="AG115" i="88"/>
  <c r="AI115" i="88" s="1"/>
  <c r="AY109" i="88"/>
  <c r="BF109" i="88" s="1"/>
  <c r="AC109" i="88"/>
  <c r="BA109" i="88" s="1"/>
  <c r="BC109" i="88" s="1"/>
  <c r="BD109" i="88" s="1"/>
  <c r="AW110" i="88"/>
  <c r="L114" i="88" l="1"/>
  <c r="N114" i="88" s="1"/>
  <c r="AC110" i="88"/>
  <c r="BA110" i="88" s="1"/>
  <c r="AU111" i="88"/>
  <c r="AW111" i="88" s="1"/>
  <c r="AR111" i="88"/>
  <c r="AT111" i="88" s="1"/>
  <c r="AH115" i="88"/>
  <c r="AJ115" i="88" s="1"/>
  <c r="AM115" i="88"/>
  <c r="AP115" i="88" s="1"/>
  <c r="V111" i="88"/>
  <c r="X111" i="88" s="1"/>
  <c r="AD109" i="88"/>
  <c r="BE109" i="88" s="1"/>
  <c r="BG109" i="88" s="1"/>
  <c r="AX110" i="88"/>
  <c r="BB110" i="88" s="1"/>
  <c r="BC110" i="88" l="1"/>
  <c r="BD110" i="88" s="1"/>
  <c r="Z111" i="88"/>
  <c r="AB111" i="88" s="1"/>
  <c r="W111" i="88"/>
  <c r="Y111" i="88" s="1"/>
  <c r="AY110" i="88"/>
  <c r="BF110" i="88" s="1"/>
  <c r="AX111" i="88"/>
  <c r="BB111" i="88" s="1"/>
  <c r="AD110" i="88"/>
  <c r="BE110" i="88" s="1"/>
  <c r="BK109" i="88"/>
  <c r="BI109" i="88"/>
  <c r="M114" i="88"/>
  <c r="O114" i="88" s="1"/>
  <c r="R114" i="88"/>
  <c r="U114" i="88" s="1"/>
  <c r="AG116" i="88"/>
  <c r="AI116" i="88" s="1"/>
  <c r="AQ112" i="88"/>
  <c r="AS112" i="88" s="1"/>
  <c r="AC111" i="88" l="1"/>
  <c r="BA111" i="88" s="1"/>
  <c r="BC111" i="88" s="1"/>
  <c r="BD111" i="88" s="1"/>
  <c r="AY111" i="88"/>
  <c r="BF111" i="88" s="1"/>
  <c r="AH116" i="88"/>
  <c r="AI119" i="88"/>
  <c r="AI117" i="88"/>
  <c r="AI3" i="88"/>
  <c r="AI4" i="88" s="1"/>
  <c r="AI5" i="88"/>
  <c r="AM116" i="88"/>
  <c r="AI123" i="88"/>
  <c r="G22" i="85" s="1"/>
  <c r="AI124" i="88"/>
  <c r="H22" i="85" s="1"/>
  <c r="AI125" i="88"/>
  <c r="I22" i="85" s="1"/>
  <c r="AI126" i="88"/>
  <c r="J22" i="85" s="1"/>
  <c r="AI127" i="88"/>
  <c r="K22" i="85" s="1"/>
  <c r="AG119" i="88"/>
  <c r="AG117" i="88"/>
  <c r="AG123" i="88"/>
  <c r="AG124" i="88"/>
  <c r="AG125" i="88"/>
  <c r="AG126" i="88"/>
  <c r="AG127" i="88"/>
  <c r="L115" i="88"/>
  <c r="N115" i="88" s="1"/>
  <c r="AU112" i="88"/>
  <c r="AW112" i="88" s="1"/>
  <c r="AR112" i="88"/>
  <c r="AT112" i="88" s="1"/>
  <c r="BG110" i="88"/>
  <c r="V112" i="88"/>
  <c r="X112" i="88" s="1"/>
  <c r="AH117" i="88" l="1"/>
  <c r="AH119" i="88"/>
  <c r="AH123" i="88"/>
  <c r="AH124" i="88"/>
  <c r="AH125" i="88"/>
  <c r="AH126" i="88"/>
  <c r="AH127" i="88"/>
  <c r="AJ116" i="88"/>
  <c r="AJ127" i="88" s="1"/>
  <c r="AQ113" i="88"/>
  <c r="AS113" i="88" s="1"/>
  <c r="Z112" i="88"/>
  <c r="AB112" i="88" s="1"/>
  <c r="W112" i="88"/>
  <c r="Y112" i="88" s="1"/>
  <c r="AP116" i="88"/>
  <c r="AM119" i="88"/>
  <c r="AM117" i="88"/>
  <c r="AM123" i="88"/>
  <c r="AM124" i="88"/>
  <c r="AM125" i="88"/>
  <c r="AM126" i="88"/>
  <c r="AM127" i="88"/>
  <c r="M115" i="88"/>
  <c r="O115" i="88" s="1"/>
  <c r="R115" i="88"/>
  <c r="U115" i="88" s="1"/>
  <c r="C22" i="85"/>
  <c r="AI128" i="88"/>
  <c r="AX112" i="88"/>
  <c r="BB112" i="88" s="1"/>
  <c r="AG128" i="88"/>
  <c r="BK110" i="88"/>
  <c r="BI110" i="88"/>
  <c r="AO5" i="88"/>
  <c r="AK5" i="88"/>
  <c r="AD111" i="88"/>
  <c r="BE111" i="88" s="1"/>
  <c r="BG111" i="88" s="1"/>
  <c r="AY112" i="88" l="1"/>
  <c r="BF112" i="88" s="1"/>
  <c r="AH128" i="88"/>
  <c r="L116" i="88"/>
  <c r="N116" i="88" s="1"/>
  <c r="AM128" i="88"/>
  <c r="BK111" i="88"/>
  <c r="BI111" i="88"/>
  <c r="AP119" i="88"/>
  <c r="AP117" i="88"/>
  <c r="AP123" i="88"/>
  <c r="AP124" i="88"/>
  <c r="AP125" i="88"/>
  <c r="AP126" i="88"/>
  <c r="AP127" i="88"/>
  <c r="AC112" i="88"/>
  <c r="BA112" i="88" s="1"/>
  <c r="BC112" i="88" s="1"/>
  <c r="BD112" i="88" s="1"/>
  <c r="L22" i="85"/>
  <c r="N23" i="85" s="1"/>
  <c r="V113" i="88"/>
  <c r="X113" i="88" s="1"/>
  <c r="AU113" i="88"/>
  <c r="AW113" i="88" s="1"/>
  <c r="AR113" i="88"/>
  <c r="AT113" i="88" s="1"/>
  <c r="AD112" i="88" l="1"/>
  <c r="BE112" i="88" s="1"/>
  <c r="BG112" i="88" s="1"/>
  <c r="BI112" i="88" s="1"/>
  <c r="Z113" i="88"/>
  <c r="W113" i="88"/>
  <c r="Y113" i="88" s="1"/>
  <c r="AP128" i="88"/>
  <c r="AX113" i="88"/>
  <c r="BB113" i="88" s="1"/>
  <c r="AQ114" i="88"/>
  <c r="AS114" i="88" s="1"/>
  <c r="M116" i="88"/>
  <c r="N119" i="88"/>
  <c r="N3" i="88"/>
  <c r="N4" i="88" s="1"/>
  <c r="N117" i="88"/>
  <c r="N5" i="88"/>
  <c r="R116" i="88"/>
  <c r="N123" i="88"/>
  <c r="G11" i="85" s="1"/>
  <c r="N124" i="88"/>
  <c r="H11" i="85" s="1"/>
  <c r="N125" i="88"/>
  <c r="I11" i="85" s="1"/>
  <c r="N126" i="88"/>
  <c r="J11" i="85" s="1"/>
  <c r="N127" i="88"/>
  <c r="K11" i="85" s="1"/>
  <c r="L117" i="88"/>
  <c r="L119" i="88"/>
  <c r="L123" i="88"/>
  <c r="L124" i="88"/>
  <c r="L125" i="88"/>
  <c r="L126" i="88"/>
  <c r="L127" i="88"/>
  <c r="BK112" i="88" l="1"/>
  <c r="M119" i="88"/>
  <c r="M117" i="88"/>
  <c r="M123" i="88"/>
  <c r="M124" i="88"/>
  <c r="M125" i="88"/>
  <c r="M126" i="88"/>
  <c r="M127" i="88"/>
  <c r="O116" i="88"/>
  <c r="O127" i="88" s="1"/>
  <c r="U116" i="88"/>
  <c r="R119" i="88"/>
  <c r="R117" i="88"/>
  <c r="R123" i="88"/>
  <c r="R124" i="88"/>
  <c r="R125" i="88"/>
  <c r="R126" i="88"/>
  <c r="R127" i="88"/>
  <c r="L128" i="88"/>
  <c r="V114" i="88"/>
  <c r="X114" i="88" s="1"/>
  <c r="N128" i="88"/>
  <c r="C11" i="85"/>
  <c r="T5" i="88"/>
  <c r="P5" i="88"/>
  <c r="AU114" i="88"/>
  <c r="AR114" i="88"/>
  <c r="AT114" i="88" s="1"/>
  <c r="AY113" i="88"/>
  <c r="BF113" i="88" s="1"/>
  <c r="AB113" i="88"/>
  <c r="AQ115" i="88" l="1"/>
  <c r="AS115" i="88" s="1"/>
  <c r="Z114" i="88"/>
  <c r="W114" i="88"/>
  <c r="Y114" i="88" s="1"/>
  <c r="AC113" i="88"/>
  <c r="BA113" i="88" s="1"/>
  <c r="BC113" i="88" s="1"/>
  <c r="BD113" i="88" s="1"/>
  <c r="L11" i="85"/>
  <c r="N12" i="85" s="1"/>
  <c r="AW114" i="88"/>
  <c r="R128" i="88"/>
  <c r="U117" i="88"/>
  <c r="U119" i="88"/>
  <c r="U123" i="88"/>
  <c r="U124" i="88"/>
  <c r="U125" i="88"/>
  <c r="U126" i="88"/>
  <c r="U127" i="88"/>
  <c r="M128" i="88"/>
  <c r="AU115" i="88" l="1"/>
  <c r="AW115" i="88" s="1"/>
  <c r="AR115" i="88"/>
  <c r="AT115" i="88" s="1"/>
  <c r="AX114" i="88"/>
  <c r="BB114" i="88" s="1"/>
  <c r="U128" i="88"/>
  <c r="V115" i="88"/>
  <c r="X115" i="88" s="1"/>
  <c r="AD113" i="88"/>
  <c r="BE113" i="88" s="1"/>
  <c r="BG113" i="88" s="1"/>
  <c r="AB114" i="88"/>
  <c r="AY114" i="88" l="1"/>
  <c r="BF114" i="88" s="1"/>
  <c r="AX115" i="88"/>
  <c r="BB115" i="88" s="1"/>
  <c r="Z115" i="88"/>
  <c r="W115" i="88"/>
  <c r="Y115" i="88" s="1"/>
  <c r="AQ116" i="88"/>
  <c r="AS116" i="88" s="1"/>
  <c r="AC114" i="88"/>
  <c r="BA114" i="88" s="1"/>
  <c r="BC114" i="88" s="1"/>
  <c r="BD114" i="88" s="1"/>
  <c r="BI113" i="88"/>
  <c r="BK113" i="88"/>
  <c r="AD114" i="88" l="1"/>
  <c r="BE114" i="88" s="1"/>
  <c r="BG114" i="88" s="1"/>
  <c r="BK114" i="88" s="1"/>
  <c r="V116" i="88"/>
  <c r="X116" i="88" s="1"/>
  <c r="AB115" i="88"/>
  <c r="AQ119" i="88"/>
  <c r="AQ117" i="88"/>
  <c r="AQ123" i="88"/>
  <c r="AQ124" i="88"/>
  <c r="AQ125" i="88"/>
  <c r="AQ126" i="88"/>
  <c r="AQ127" i="88"/>
  <c r="AU116" i="88"/>
  <c r="AW116" i="88" s="1"/>
  <c r="AS119" i="88"/>
  <c r="AS117" i="88"/>
  <c r="AS123" i="88"/>
  <c r="G24" i="85" s="1"/>
  <c r="AS124" i="88"/>
  <c r="H24" i="85" s="1"/>
  <c r="AS125" i="88"/>
  <c r="I24" i="85" s="1"/>
  <c r="AS126" i="88"/>
  <c r="J24" i="85" s="1"/>
  <c r="AS127" i="88"/>
  <c r="K24" i="85" s="1"/>
  <c r="AR116" i="88"/>
  <c r="AY115" i="88"/>
  <c r="BF115" i="88" s="1"/>
  <c r="BI114" i="88" l="1"/>
  <c r="AX116" i="88"/>
  <c r="AW119" i="88"/>
  <c r="AW117" i="88"/>
  <c r="AW123" i="88"/>
  <c r="AW124" i="88"/>
  <c r="AW125" i="88"/>
  <c r="AW126" i="88"/>
  <c r="AW127" i="88"/>
  <c r="Z116" i="88"/>
  <c r="AB116" i="88" s="1"/>
  <c r="X119" i="88"/>
  <c r="X117" i="88"/>
  <c r="X123" i="88"/>
  <c r="G13" i="85" s="1"/>
  <c r="X124" i="88"/>
  <c r="H13" i="85" s="1"/>
  <c r="X125" i="88"/>
  <c r="I13" i="85" s="1"/>
  <c r="X126" i="88"/>
  <c r="J13" i="85" s="1"/>
  <c r="X127" i="88"/>
  <c r="K13" i="85" s="1"/>
  <c r="W116" i="88"/>
  <c r="X5" i="88"/>
  <c r="AR119" i="88"/>
  <c r="AR117" i="88"/>
  <c r="AS5" i="88"/>
  <c r="AR123" i="88"/>
  <c r="AR124" i="88"/>
  <c r="AR125" i="88"/>
  <c r="AR126" i="88"/>
  <c r="AR127" i="88"/>
  <c r="AT116" i="88"/>
  <c r="AT127" i="88" s="1"/>
  <c r="AS128" i="88"/>
  <c r="C24" i="85"/>
  <c r="AQ128" i="88"/>
  <c r="V119" i="88"/>
  <c r="V117" i="88"/>
  <c r="V123" i="88"/>
  <c r="V124" i="88"/>
  <c r="V125" i="88"/>
  <c r="V126" i="88"/>
  <c r="V127" i="88"/>
  <c r="AU119" i="88"/>
  <c r="AU117" i="88"/>
  <c r="AU5" i="88" s="1"/>
  <c r="AU123" i="88"/>
  <c r="G25" i="85" s="1"/>
  <c r="AU124" i="88"/>
  <c r="H25" i="85" s="1"/>
  <c r="AU125" i="88"/>
  <c r="I25" i="85" s="1"/>
  <c r="AU126" i="88"/>
  <c r="J25" i="85" s="1"/>
  <c r="AU127" i="88"/>
  <c r="K25" i="85" s="1"/>
  <c r="AC115" i="88"/>
  <c r="BA115" i="88" s="1"/>
  <c r="BC115" i="88" s="1"/>
  <c r="BD115" i="88" s="1"/>
  <c r="AR128" i="88" l="1"/>
  <c r="AC116" i="88"/>
  <c r="AD116" i="88" s="1"/>
  <c r="BE116" i="88" s="1"/>
  <c r="AB119" i="88"/>
  <c r="AB117" i="88"/>
  <c r="AD5" i="88" s="1"/>
  <c r="AB123" i="88"/>
  <c r="AB124" i="88"/>
  <c r="AB125" i="88"/>
  <c r="AB126" i="88"/>
  <c r="AB127" i="88"/>
  <c r="C13" i="85"/>
  <c r="X128" i="88"/>
  <c r="AW128" i="88"/>
  <c r="AD115" i="88"/>
  <c r="BE115" i="88" s="1"/>
  <c r="BG115" i="88" s="1"/>
  <c r="V128" i="88"/>
  <c r="W119" i="88"/>
  <c r="W117" i="88"/>
  <c r="W123" i="88"/>
  <c r="W124" i="88"/>
  <c r="W125" i="88"/>
  <c r="W126" i="88"/>
  <c r="W127" i="88"/>
  <c r="Y116" i="88"/>
  <c r="Y127" i="88" s="1"/>
  <c r="Z119" i="88"/>
  <c r="Z117" i="88"/>
  <c r="Z5" i="88" s="1"/>
  <c r="Z123" i="88"/>
  <c r="G14" i="85" s="1"/>
  <c r="Z124" i="88"/>
  <c r="H14" i="85" s="1"/>
  <c r="Z125" i="88"/>
  <c r="I14" i="85" s="1"/>
  <c r="Z126" i="88"/>
  <c r="J14" i="85" s="1"/>
  <c r="Z127" i="88"/>
  <c r="K14" i="85" s="1"/>
  <c r="AX119" i="88"/>
  <c r="AX117" i="88"/>
  <c r="AX123" i="88"/>
  <c r="G26" i="85" s="1"/>
  <c r="AX124" i="88"/>
  <c r="H26" i="85" s="1"/>
  <c r="AX125" i="88"/>
  <c r="I26" i="85" s="1"/>
  <c r="AX126" i="88"/>
  <c r="J26" i="85" s="1"/>
  <c r="AX127" i="88"/>
  <c r="K26" i="85" s="1"/>
  <c r="BB116" i="88"/>
  <c r="AU128" i="88"/>
  <c r="C25" i="85"/>
  <c r="L25" i="85" s="1"/>
  <c r="AY116" i="88"/>
  <c r="L24" i="85"/>
  <c r="N25" i="85" l="1"/>
  <c r="BE117" i="88"/>
  <c r="BE119" i="88"/>
  <c r="BE123" i="88"/>
  <c r="G19" i="85" s="1"/>
  <c r="BE124" i="88"/>
  <c r="H19" i="85" s="1"/>
  <c r="BE125" i="88"/>
  <c r="I19" i="85" s="1"/>
  <c r="BE126" i="88"/>
  <c r="J19" i="85" s="1"/>
  <c r="BE127" i="88"/>
  <c r="K19" i="85" s="1"/>
  <c r="BK115" i="88"/>
  <c r="BI115" i="88"/>
  <c r="AD117" i="88"/>
  <c r="AD119" i="88"/>
  <c r="AD123" i="88"/>
  <c r="G16" i="85" s="1"/>
  <c r="AD124" i="88"/>
  <c r="H16" i="85" s="1"/>
  <c r="AD125" i="88"/>
  <c r="I16" i="85" s="1"/>
  <c r="AD126" i="88"/>
  <c r="J16" i="85" s="1"/>
  <c r="AD127" i="88"/>
  <c r="K16" i="85" s="1"/>
  <c r="AY117" i="88"/>
  <c r="AY5" i="88" s="1"/>
  <c r="AY119" i="88"/>
  <c r="AY123" i="88"/>
  <c r="G27" i="85" s="1"/>
  <c r="G28" i="85" s="1"/>
  <c r="AY124" i="88"/>
  <c r="H27" i="85" s="1"/>
  <c r="H28" i="85" s="1"/>
  <c r="AY125" i="88"/>
  <c r="I27" i="85" s="1"/>
  <c r="I28" i="85" s="1"/>
  <c r="AY126" i="88"/>
  <c r="J27" i="85" s="1"/>
  <c r="J28" i="85" s="1"/>
  <c r="AY127" i="88"/>
  <c r="K27" i="85" s="1"/>
  <c r="K28" i="85" s="1"/>
  <c r="BF116" i="88"/>
  <c r="AX128" i="88"/>
  <c r="C26" i="85"/>
  <c r="Z128" i="88"/>
  <c r="C14" i="85"/>
  <c r="L14" i="85" s="1"/>
  <c r="W128" i="88"/>
  <c r="L13" i="85"/>
  <c r="AB128" i="88"/>
  <c r="BB117" i="88"/>
  <c r="BB1" i="88" s="1"/>
  <c r="BB119" i="88"/>
  <c r="BB2" i="88"/>
  <c r="BB123" i="88"/>
  <c r="G29" i="85" s="1"/>
  <c r="BB124" i="88"/>
  <c r="H29" i="85" s="1"/>
  <c r="BB125" i="88"/>
  <c r="I29" i="85" s="1"/>
  <c r="BB126" i="88"/>
  <c r="J29" i="85" s="1"/>
  <c r="BB127" i="88"/>
  <c r="K29" i="85" s="1"/>
  <c r="AC117" i="88"/>
  <c r="AC119" i="88"/>
  <c r="AC123" i="88"/>
  <c r="G15" i="85" s="1"/>
  <c r="AC124" i="88"/>
  <c r="H15" i="85" s="1"/>
  <c r="AC125" i="88"/>
  <c r="I15" i="85" s="1"/>
  <c r="AC126" i="88"/>
  <c r="J15" i="85" s="1"/>
  <c r="AC127" i="88"/>
  <c r="K15" i="85" s="1"/>
  <c r="BA116" i="88"/>
  <c r="BC116" i="88" s="1"/>
  <c r="J17" i="85" l="1"/>
  <c r="H17" i="85"/>
  <c r="K17" i="85"/>
  <c r="I17" i="85"/>
  <c r="G17" i="85"/>
  <c r="L26" i="85"/>
  <c r="AY128" i="88"/>
  <c r="C27" i="85"/>
  <c r="L27" i="85" s="1"/>
  <c r="BE128" i="88"/>
  <c r="C19" i="85"/>
  <c r="L19" i="85" s="1"/>
  <c r="AD128" i="88"/>
  <c r="C16" i="85"/>
  <c r="L16" i="85" s="1"/>
  <c r="AC128" i="88"/>
  <c r="C15" i="85"/>
  <c r="L15" i="85" s="1"/>
  <c r="BA119" i="88"/>
  <c r="BA2" i="88"/>
  <c r="BA117" i="88"/>
  <c r="BA1" i="88" s="1"/>
  <c r="BA123" i="88"/>
  <c r="G18" i="85" s="1"/>
  <c r="G20" i="85" s="1"/>
  <c r="BA124" i="88"/>
  <c r="H18" i="85" s="1"/>
  <c r="BA125" i="88"/>
  <c r="I18" i="85" s="1"/>
  <c r="I20" i="85" s="1"/>
  <c r="BA126" i="88"/>
  <c r="J18" i="85" s="1"/>
  <c r="BA127" i="88"/>
  <c r="K18" i="85" s="1"/>
  <c r="K20" i="85" s="1"/>
  <c r="BG116" i="88"/>
  <c r="BF117" i="88"/>
  <c r="BF119" i="88"/>
  <c r="BF123" i="88"/>
  <c r="G30" i="85" s="1"/>
  <c r="G31" i="85" s="1"/>
  <c r="BF124" i="88"/>
  <c r="H30" i="85" s="1"/>
  <c r="H31" i="85" s="1"/>
  <c r="BF125" i="88"/>
  <c r="I30" i="85" s="1"/>
  <c r="I31" i="85" s="1"/>
  <c r="BF126" i="88"/>
  <c r="J30" i="85" s="1"/>
  <c r="J31" i="85" s="1"/>
  <c r="BF127" i="88"/>
  <c r="K30" i="85" s="1"/>
  <c r="K31" i="85" s="1"/>
  <c r="BB5" i="88"/>
  <c r="BB3" i="88"/>
  <c r="BB4" i="88" s="1"/>
  <c r="BB128" i="88"/>
  <c r="C29" i="85"/>
  <c r="L29" i="85" s="1"/>
  <c r="N14" i="85"/>
  <c r="BC119" i="88"/>
  <c r="BC117" i="88"/>
  <c r="BC1" i="88" s="1"/>
  <c r="BC123" i="88"/>
  <c r="G32" i="85" s="1"/>
  <c r="BC124" i="88"/>
  <c r="H32" i="85" s="1"/>
  <c r="BC125" i="88"/>
  <c r="I32" i="85" s="1"/>
  <c r="BC126" i="88"/>
  <c r="J32" i="85" s="1"/>
  <c r="BC127" i="88"/>
  <c r="K32" i="85" s="1"/>
  <c r="BD116" i="88"/>
  <c r="J20" i="85" l="1"/>
  <c r="C17" i="85"/>
  <c r="L17" i="85" s="1"/>
  <c r="N16" i="85"/>
  <c r="H20" i="85"/>
  <c r="C28" i="85"/>
  <c r="N27" i="85"/>
  <c r="BA3" i="88"/>
  <c r="BA4" i="88" s="1"/>
  <c r="AD2" i="88"/>
  <c r="BA5" i="88"/>
  <c r="BA128" i="88"/>
  <c r="C18" i="85"/>
  <c r="L18" i="85" s="1"/>
  <c r="N19" i="85" s="1"/>
  <c r="BK116" i="88"/>
  <c r="BI116" i="88"/>
  <c r="BG119" i="88"/>
  <c r="BG117" i="88"/>
  <c r="BG123" i="88"/>
  <c r="G33" i="85" s="1"/>
  <c r="BG124" i="88"/>
  <c r="H33" i="85" s="1"/>
  <c r="BG125" i="88"/>
  <c r="I33" i="85" s="1"/>
  <c r="BG126" i="88"/>
  <c r="J33" i="85" s="1"/>
  <c r="BG127" i="88"/>
  <c r="K33" i="85" s="1"/>
  <c r="BC128" i="88"/>
  <c r="C32" i="85"/>
  <c r="L32" i="85" s="1"/>
  <c r="BD127" i="88"/>
  <c r="BD5" i="88"/>
  <c r="BF128" i="88"/>
  <c r="C30" i="85"/>
  <c r="L30" i="85" s="1"/>
  <c r="N30" i="85" s="1"/>
  <c r="C20" i="85" l="1"/>
  <c r="BK117" i="88"/>
  <c r="BK119" i="88"/>
  <c r="BK5" i="88"/>
  <c r="BK123" i="88"/>
  <c r="G46" i="85" s="1"/>
  <c r="BK124" i="88"/>
  <c r="H46" i="85" s="1"/>
  <c r="BK125" i="88"/>
  <c r="I46" i="85" s="1"/>
  <c r="BK126" i="88"/>
  <c r="J46" i="85" s="1"/>
  <c r="BK127" i="88"/>
  <c r="K46" i="85" s="1"/>
  <c r="C31" i="85"/>
  <c r="L28" i="85"/>
  <c r="BG128" i="88"/>
  <c r="C33" i="85"/>
  <c r="L33" i="85" s="1"/>
  <c r="N33" i="85" s="1"/>
  <c r="BI119" i="88"/>
  <c r="BI117" i="88"/>
  <c r="BI5" i="88"/>
  <c r="BI123" i="88"/>
  <c r="G42" i="85" s="1"/>
  <c r="BI124" i="88"/>
  <c r="H42" i="85" s="1"/>
  <c r="BI125" i="88"/>
  <c r="I42" i="85" s="1"/>
  <c r="BI126" i="88"/>
  <c r="J42" i="85" s="1"/>
  <c r="BI127" i="88"/>
  <c r="K42" i="85" s="1"/>
  <c r="H38" i="85" l="1"/>
  <c r="K38" i="85"/>
  <c r="I38" i="85"/>
  <c r="J38" i="85"/>
  <c r="G38" i="85"/>
  <c r="C46" i="85"/>
  <c r="L46" i="85" s="1"/>
  <c r="BK128" i="88"/>
  <c r="C42" i="85"/>
  <c r="BI128" i="88"/>
  <c r="C38" i="85" l="1"/>
  <c r="L38" i="85" s="1"/>
  <c r="L42" i="85"/>
  <c r="L59" i="80" l="1"/>
  <c r="M59" i="80"/>
  <c r="N59" i="80"/>
  <c r="O59" i="80"/>
  <c r="P59" i="80"/>
  <c r="Q59" i="80"/>
  <c r="R59" i="80"/>
  <c r="S59" i="80"/>
  <c r="T59" i="80"/>
  <c r="U59" i="80"/>
  <c r="V59" i="80"/>
  <c r="W59" i="80"/>
  <c r="X59" i="80"/>
  <c r="Y59" i="80"/>
  <c r="Z59" i="80"/>
  <c r="AA59" i="80"/>
  <c r="AB59" i="80"/>
  <c r="AC59" i="80"/>
  <c r="AD59" i="80"/>
  <c r="AE59" i="80"/>
  <c r="AF59" i="80"/>
  <c r="AG59" i="80"/>
  <c r="AH59" i="80"/>
  <c r="AI59" i="80"/>
  <c r="AJ59" i="80"/>
  <c r="L60" i="80"/>
  <c r="M60" i="80"/>
  <c r="N60" i="80"/>
  <c r="O60" i="80"/>
  <c r="P60" i="80"/>
  <c r="Q60" i="80"/>
  <c r="R60" i="80"/>
  <c r="S60" i="80"/>
  <c r="T60" i="80"/>
  <c r="U60" i="80"/>
  <c r="V60" i="80"/>
  <c r="W60" i="80"/>
  <c r="X60" i="80"/>
  <c r="Y60" i="80"/>
  <c r="Z60" i="80"/>
  <c r="AA60" i="80"/>
  <c r="AB60" i="80"/>
  <c r="AC60" i="80"/>
  <c r="AD60" i="80"/>
  <c r="AE60" i="80"/>
  <c r="AF60" i="80"/>
  <c r="AG60" i="80"/>
  <c r="AH60" i="80"/>
  <c r="AI60" i="80"/>
  <c r="AJ60" i="80"/>
  <c r="L61" i="80"/>
  <c r="M61" i="80"/>
  <c r="N61" i="80"/>
  <c r="O61" i="80"/>
  <c r="P61" i="80"/>
  <c r="Q61" i="80"/>
  <c r="R61" i="80"/>
  <c r="S61" i="80"/>
  <c r="T61" i="80"/>
  <c r="U61" i="80"/>
  <c r="V61" i="80"/>
  <c r="W61" i="80"/>
  <c r="X61" i="80"/>
  <c r="Y61" i="80"/>
  <c r="Z61" i="80"/>
  <c r="AA61" i="80"/>
  <c r="AB61" i="80"/>
  <c r="AC61" i="80"/>
  <c r="AD61" i="80"/>
  <c r="AE61" i="80"/>
  <c r="AF61" i="80"/>
  <c r="AG61" i="80"/>
  <c r="AH61" i="80"/>
  <c r="AI61" i="80"/>
  <c r="AJ61" i="80"/>
  <c r="L62" i="80"/>
  <c r="M62" i="80"/>
  <c r="N62" i="80"/>
  <c r="O62" i="80"/>
  <c r="P62" i="80"/>
  <c r="Q62" i="80"/>
  <c r="R62" i="80"/>
  <c r="S62" i="80"/>
  <c r="T62" i="80"/>
  <c r="U62" i="80"/>
  <c r="V62" i="80"/>
  <c r="W62" i="80"/>
  <c r="X62" i="80"/>
  <c r="Y62" i="80"/>
  <c r="Z62" i="80"/>
  <c r="AA62" i="80"/>
  <c r="AB62" i="80"/>
  <c r="AC62" i="80"/>
  <c r="AD62" i="80"/>
  <c r="AE62" i="80"/>
  <c r="AF62" i="80"/>
  <c r="AG62" i="80"/>
  <c r="AH62" i="80"/>
  <c r="AI62" i="80"/>
  <c r="AJ62" i="80"/>
  <c r="L63" i="80"/>
  <c r="M63" i="80"/>
  <c r="N63" i="80"/>
  <c r="O63" i="80"/>
  <c r="P63" i="80"/>
  <c r="Q63" i="80"/>
  <c r="R63" i="80"/>
  <c r="S63" i="80"/>
  <c r="T63" i="80"/>
  <c r="U63" i="80"/>
  <c r="V63" i="80"/>
  <c r="W63" i="80"/>
  <c r="X63" i="80"/>
  <c r="Y63" i="80"/>
  <c r="Z63" i="80"/>
  <c r="AA63" i="80"/>
  <c r="AB63" i="80"/>
  <c r="AC63" i="80"/>
  <c r="AD63" i="80"/>
  <c r="AE63" i="80"/>
  <c r="AF63" i="80"/>
  <c r="AG63" i="80"/>
  <c r="AH63" i="80"/>
  <c r="AI63" i="80"/>
  <c r="AJ63" i="80"/>
  <c r="L64" i="80"/>
  <c r="M64" i="80"/>
  <c r="N64" i="80"/>
  <c r="O64" i="80"/>
  <c r="P64" i="80"/>
  <c r="Q64" i="80"/>
  <c r="R64" i="80"/>
  <c r="S64" i="80"/>
  <c r="T64" i="80"/>
  <c r="U64" i="80"/>
  <c r="V64" i="80"/>
  <c r="W64" i="80"/>
  <c r="X64" i="80"/>
  <c r="Y64" i="80"/>
  <c r="Z64" i="80"/>
  <c r="AA64" i="80"/>
  <c r="AB64" i="80"/>
  <c r="AC64" i="80"/>
  <c r="AD64" i="80"/>
  <c r="AE64" i="80"/>
  <c r="AF64" i="80"/>
  <c r="AG64" i="80"/>
  <c r="AH64" i="80"/>
  <c r="AI64" i="80"/>
  <c r="AJ64" i="80"/>
  <c r="L65" i="80"/>
  <c r="M65" i="80"/>
  <c r="N65" i="80"/>
  <c r="O65" i="80"/>
  <c r="P65" i="80"/>
  <c r="Q65" i="80"/>
  <c r="R65" i="80"/>
  <c r="S65" i="80"/>
  <c r="T65" i="80"/>
  <c r="U65" i="80"/>
  <c r="V65" i="80"/>
  <c r="W65" i="80"/>
  <c r="X65" i="80"/>
  <c r="Y65" i="80"/>
  <c r="Z65" i="80"/>
  <c r="AA65" i="80"/>
  <c r="AB65" i="80"/>
  <c r="AC65" i="80"/>
  <c r="AD65" i="80"/>
  <c r="AE65" i="80"/>
  <c r="AF65" i="80"/>
  <c r="AG65" i="80"/>
  <c r="AH65" i="80"/>
  <c r="AI65" i="80"/>
  <c r="AJ65" i="80"/>
  <c r="L66" i="80"/>
  <c r="M66" i="80"/>
  <c r="N66" i="80"/>
  <c r="O66" i="80"/>
  <c r="P66" i="80"/>
  <c r="Q66" i="80"/>
  <c r="R66" i="80"/>
  <c r="S66" i="80"/>
  <c r="T66" i="80"/>
  <c r="U66" i="80"/>
  <c r="V66" i="80"/>
  <c r="W66" i="80"/>
  <c r="X66" i="80"/>
  <c r="Y66" i="80"/>
  <c r="Z66" i="80"/>
  <c r="AA66" i="80"/>
  <c r="AB66" i="80"/>
  <c r="AC66" i="80"/>
  <c r="AD66" i="80"/>
  <c r="AE66" i="80"/>
  <c r="AF66" i="80"/>
  <c r="AG66" i="80"/>
  <c r="AH66" i="80"/>
  <c r="AI66" i="80"/>
  <c r="AJ66" i="80"/>
  <c r="L67" i="80"/>
  <c r="M67" i="80"/>
  <c r="N67" i="80"/>
  <c r="O67" i="80"/>
  <c r="P67" i="80"/>
  <c r="Q67" i="80"/>
  <c r="R67" i="80"/>
  <c r="S67" i="80"/>
  <c r="T67" i="80"/>
  <c r="U67" i="80"/>
  <c r="V67" i="80"/>
  <c r="W67" i="80"/>
  <c r="X67" i="80"/>
  <c r="Y67" i="80"/>
  <c r="Z67" i="80"/>
  <c r="AA67" i="80"/>
  <c r="AB67" i="80"/>
  <c r="AC67" i="80"/>
  <c r="AD67" i="80"/>
  <c r="AE67" i="80"/>
  <c r="AF67" i="80"/>
  <c r="AG67" i="80"/>
  <c r="AH67" i="80"/>
  <c r="AI67" i="80"/>
  <c r="AJ67" i="80"/>
  <c r="L68" i="80"/>
  <c r="M68" i="80"/>
  <c r="N68" i="80"/>
  <c r="O68" i="80"/>
  <c r="P68" i="80"/>
  <c r="Q68" i="80"/>
  <c r="R68" i="80"/>
  <c r="S68" i="80"/>
  <c r="T68" i="80"/>
  <c r="U68" i="80"/>
  <c r="V68" i="80"/>
  <c r="W68" i="80"/>
  <c r="X68" i="80"/>
  <c r="Y68" i="80"/>
  <c r="Z68" i="80"/>
  <c r="AA68" i="80"/>
  <c r="AB68" i="80"/>
  <c r="AC68" i="80"/>
  <c r="AD68" i="80"/>
  <c r="AE68" i="80"/>
  <c r="AF68" i="80"/>
  <c r="AG68" i="80"/>
  <c r="AH68" i="80"/>
  <c r="AI68" i="80"/>
  <c r="AJ68" i="80"/>
  <c r="L69" i="80"/>
  <c r="M69" i="80"/>
  <c r="N69" i="80"/>
  <c r="O69" i="80"/>
  <c r="P69" i="80"/>
  <c r="Q69" i="80"/>
  <c r="R69" i="80"/>
  <c r="S69" i="80"/>
  <c r="T69" i="80"/>
  <c r="U69" i="80"/>
  <c r="V69" i="80"/>
  <c r="W69" i="80"/>
  <c r="X69" i="80"/>
  <c r="Y69" i="80"/>
  <c r="Z69" i="80"/>
  <c r="AA69" i="80"/>
  <c r="AB69" i="80"/>
  <c r="AC69" i="80"/>
  <c r="AD69" i="80"/>
  <c r="AE69" i="80"/>
  <c r="AF69" i="80"/>
  <c r="AG69" i="80"/>
  <c r="AH69" i="80"/>
  <c r="AI69" i="80"/>
  <c r="AJ69" i="80"/>
  <c r="L70" i="80"/>
  <c r="M70" i="80"/>
  <c r="N70" i="80"/>
  <c r="O70" i="80"/>
  <c r="P70" i="80"/>
  <c r="Q70" i="80"/>
  <c r="R70" i="80"/>
  <c r="S70" i="80"/>
  <c r="T70" i="80"/>
  <c r="U70" i="80"/>
  <c r="V70" i="80"/>
  <c r="W70" i="80"/>
  <c r="X70" i="80"/>
  <c r="Y70" i="80"/>
  <c r="Z70" i="80"/>
  <c r="AA70" i="80"/>
  <c r="AB70" i="80"/>
  <c r="AC70" i="80"/>
  <c r="AD70" i="80"/>
  <c r="AE70" i="80"/>
  <c r="AF70" i="80"/>
  <c r="AF125" i="80" s="1"/>
  <c r="AG70" i="80"/>
  <c r="AH70" i="80"/>
  <c r="AI70" i="80"/>
  <c r="AJ70" i="80"/>
  <c r="L71" i="80"/>
  <c r="M71" i="80"/>
  <c r="N71" i="80"/>
  <c r="O71" i="80"/>
  <c r="P71" i="80"/>
  <c r="Q71" i="80"/>
  <c r="R71" i="80"/>
  <c r="S71" i="80"/>
  <c r="T71" i="80"/>
  <c r="U71" i="80"/>
  <c r="V71" i="80"/>
  <c r="W71" i="80"/>
  <c r="X71" i="80"/>
  <c r="Y71" i="80"/>
  <c r="Z71" i="80"/>
  <c r="AA71" i="80"/>
  <c r="AB71" i="80"/>
  <c r="AC71" i="80"/>
  <c r="AD71" i="80"/>
  <c r="AE71" i="80"/>
  <c r="AF71" i="80"/>
  <c r="AG71" i="80"/>
  <c r="AH71" i="80"/>
  <c r="AI71" i="80"/>
  <c r="AJ71" i="80"/>
  <c r="AJ125" i="80" s="1"/>
  <c r="L72" i="80"/>
  <c r="M72" i="80"/>
  <c r="N72" i="80"/>
  <c r="O72" i="80"/>
  <c r="P72" i="80"/>
  <c r="Q72" i="80"/>
  <c r="R72" i="80"/>
  <c r="S72" i="80"/>
  <c r="T72" i="80"/>
  <c r="U72" i="80"/>
  <c r="V72" i="80"/>
  <c r="W72" i="80"/>
  <c r="X72" i="80"/>
  <c r="Y72" i="80"/>
  <c r="Z72" i="80"/>
  <c r="AA72" i="80"/>
  <c r="AB72" i="80"/>
  <c r="AC72" i="80"/>
  <c r="AD72" i="80"/>
  <c r="AE72" i="80"/>
  <c r="AF72" i="80"/>
  <c r="AG72" i="80"/>
  <c r="AH72" i="80"/>
  <c r="AI72" i="80"/>
  <c r="AJ72" i="80"/>
  <c r="L73" i="80"/>
  <c r="M73" i="80"/>
  <c r="N73" i="80"/>
  <c r="O73" i="80"/>
  <c r="P73" i="80"/>
  <c r="Q73" i="80"/>
  <c r="R73" i="80"/>
  <c r="S73" i="80"/>
  <c r="T73" i="80"/>
  <c r="U73" i="80"/>
  <c r="V73" i="80"/>
  <c r="W73" i="80"/>
  <c r="X73" i="80"/>
  <c r="Y73" i="80"/>
  <c r="Z73" i="80"/>
  <c r="AA73" i="80"/>
  <c r="AB73" i="80"/>
  <c r="AC73" i="80"/>
  <c r="AD73" i="80"/>
  <c r="AE73" i="80"/>
  <c r="AF73" i="80"/>
  <c r="AG73" i="80"/>
  <c r="AH73" i="80"/>
  <c r="AI73" i="80"/>
  <c r="AJ73" i="80"/>
  <c r="L74" i="80"/>
  <c r="M74" i="80"/>
  <c r="N74" i="80"/>
  <c r="O74" i="80"/>
  <c r="P74" i="80"/>
  <c r="Q74" i="80"/>
  <c r="R74" i="80"/>
  <c r="S74" i="80"/>
  <c r="T74" i="80"/>
  <c r="U74" i="80"/>
  <c r="V74" i="80"/>
  <c r="W74" i="80"/>
  <c r="X74" i="80"/>
  <c r="Y74" i="80"/>
  <c r="Z74" i="80"/>
  <c r="AA74" i="80"/>
  <c r="AB74" i="80"/>
  <c r="AC74" i="80"/>
  <c r="AD74" i="80"/>
  <c r="AE74" i="80"/>
  <c r="AF74" i="80"/>
  <c r="AG74" i="80"/>
  <c r="AH74" i="80"/>
  <c r="AI74" i="80"/>
  <c r="AJ74" i="80"/>
  <c r="L75" i="80"/>
  <c r="M75" i="80"/>
  <c r="N75" i="80"/>
  <c r="O75" i="80"/>
  <c r="P75" i="80"/>
  <c r="Q75" i="80"/>
  <c r="R75" i="80"/>
  <c r="S75" i="80"/>
  <c r="T75" i="80"/>
  <c r="U75" i="80"/>
  <c r="V75" i="80"/>
  <c r="W75" i="80"/>
  <c r="X75" i="80"/>
  <c r="Y75" i="80"/>
  <c r="Z75" i="80"/>
  <c r="AA75" i="80"/>
  <c r="AB75" i="80"/>
  <c r="AC75" i="80"/>
  <c r="AD75" i="80"/>
  <c r="AE75" i="80"/>
  <c r="AF75" i="80"/>
  <c r="AG75" i="80"/>
  <c r="AH75" i="80"/>
  <c r="AI75" i="80"/>
  <c r="AJ75" i="80"/>
  <c r="L76" i="80"/>
  <c r="M76" i="80"/>
  <c r="N76" i="80"/>
  <c r="O76" i="80"/>
  <c r="P76" i="80"/>
  <c r="Q76" i="80"/>
  <c r="R76" i="80"/>
  <c r="S76" i="80"/>
  <c r="T76" i="80"/>
  <c r="U76" i="80"/>
  <c r="V76" i="80"/>
  <c r="W76" i="80"/>
  <c r="X76" i="80"/>
  <c r="Y76" i="80"/>
  <c r="Z76" i="80"/>
  <c r="AA76" i="80"/>
  <c r="AB76" i="80"/>
  <c r="AC76" i="80"/>
  <c r="AD76" i="80"/>
  <c r="AE76" i="80"/>
  <c r="AF76" i="80"/>
  <c r="AG76" i="80"/>
  <c r="AH76" i="80"/>
  <c r="AI76" i="80"/>
  <c r="AJ76" i="80"/>
  <c r="L77" i="80"/>
  <c r="M77" i="80"/>
  <c r="N77" i="80"/>
  <c r="O77" i="80"/>
  <c r="P77" i="80"/>
  <c r="Q77" i="80"/>
  <c r="R77" i="80"/>
  <c r="S77" i="80"/>
  <c r="T77" i="80"/>
  <c r="U77" i="80"/>
  <c r="V77" i="80"/>
  <c r="W77" i="80"/>
  <c r="X77" i="80"/>
  <c r="Y77" i="80"/>
  <c r="Z77" i="80"/>
  <c r="AA77" i="80"/>
  <c r="AB77" i="80"/>
  <c r="AC77" i="80"/>
  <c r="AD77" i="80"/>
  <c r="AE77" i="80"/>
  <c r="AF77" i="80"/>
  <c r="AG77" i="80"/>
  <c r="AH77" i="80"/>
  <c r="AI77" i="80"/>
  <c r="AJ77" i="80"/>
  <c r="L78" i="80"/>
  <c r="M78" i="80"/>
  <c r="N78" i="80"/>
  <c r="O78" i="80"/>
  <c r="P78" i="80"/>
  <c r="Q78" i="80"/>
  <c r="R78" i="80"/>
  <c r="S78" i="80"/>
  <c r="T78" i="80"/>
  <c r="U78" i="80"/>
  <c r="V78" i="80"/>
  <c r="W78" i="80"/>
  <c r="X78" i="80"/>
  <c r="Y78" i="80"/>
  <c r="Z78" i="80"/>
  <c r="AA78" i="80"/>
  <c r="AB78" i="80"/>
  <c r="AC78" i="80"/>
  <c r="AD78" i="80"/>
  <c r="AE78" i="80"/>
  <c r="AF78" i="80"/>
  <c r="AG78" i="80"/>
  <c r="AH78" i="80"/>
  <c r="AI78" i="80"/>
  <c r="AJ78" i="80"/>
  <c r="L79" i="80"/>
  <c r="M79" i="80"/>
  <c r="N79" i="80"/>
  <c r="O79" i="80"/>
  <c r="P79" i="80"/>
  <c r="Q79" i="80"/>
  <c r="R79" i="80"/>
  <c r="S79" i="80"/>
  <c r="T79" i="80"/>
  <c r="U79" i="80"/>
  <c r="V79" i="80"/>
  <c r="W79" i="80"/>
  <c r="X79" i="80"/>
  <c r="Y79" i="80"/>
  <c r="Z79" i="80"/>
  <c r="AA79" i="80"/>
  <c r="AB79" i="80"/>
  <c r="AC79" i="80"/>
  <c r="AD79" i="80"/>
  <c r="AE79" i="80"/>
  <c r="AF79" i="80"/>
  <c r="AG79" i="80"/>
  <c r="AH79" i="80"/>
  <c r="AI79" i="80"/>
  <c r="AJ79" i="80"/>
  <c r="L80" i="80"/>
  <c r="M80" i="80"/>
  <c r="N80" i="80"/>
  <c r="O80" i="80"/>
  <c r="P80" i="80"/>
  <c r="Q80" i="80"/>
  <c r="R80" i="80"/>
  <c r="S80" i="80"/>
  <c r="T80" i="80"/>
  <c r="U80" i="80"/>
  <c r="V80" i="80"/>
  <c r="W80" i="80"/>
  <c r="X80" i="80"/>
  <c r="Y80" i="80"/>
  <c r="Z80" i="80"/>
  <c r="AA80" i="80"/>
  <c r="AB80" i="80"/>
  <c r="AC80" i="80"/>
  <c r="AD80" i="80"/>
  <c r="AE80" i="80"/>
  <c r="AF80" i="80"/>
  <c r="AG80" i="80"/>
  <c r="AH80" i="80"/>
  <c r="AI80" i="80"/>
  <c r="AJ80" i="80"/>
  <c r="L81" i="80"/>
  <c r="M81" i="80"/>
  <c r="N81" i="80"/>
  <c r="O81" i="80"/>
  <c r="P81" i="80"/>
  <c r="Q81" i="80"/>
  <c r="R81" i="80"/>
  <c r="S81" i="80"/>
  <c r="T81" i="80"/>
  <c r="U81" i="80"/>
  <c r="V81" i="80"/>
  <c r="W81" i="80"/>
  <c r="X81" i="80"/>
  <c r="Y81" i="80"/>
  <c r="Z81" i="80"/>
  <c r="AA81" i="80"/>
  <c r="AB81" i="80"/>
  <c r="AC81" i="80"/>
  <c r="AD81" i="80"/>
  <c r="AE81" i="80"/>
  <c r="AF81" i="80"/>
  <c r="AG81" i="80"/>
  <c r="AH81" i="80"/>
  <c r="AI81" i="80"/>
  <c r="AJ81" i="80"/>
  <c r="L82" i="80"/>
  <c r="M82" i="80"/>
  <c r="N82" i="80"/>
  <c r="O82" i="80"/>
  <c r="P82" i="80"/>
  <c r="Q82" i="80"/>
  <c r="R82" i="80"/>
  <c r="S82" i="80"/>
  <c r="T82" i="80"/>
  <c r="U82" i="80"/>
  <c r="V82" i="80"/>
  <c r="W82" i="80"/>
  <c r="X82" i="80"/>
  <c r="Y82" i="80"/>
  <c r="Z82" i="80"/>
  <c r="AA82" i="80"/>
  <c r="AB82" i="80"/>
  <c r="AC82" i="80"/>
  <c r="AD82" i="80"/>
  <c r="AE82" i="80"/>
  <c r="AF82" i="80"/>
  <c r="AG82" i="80"/>
  <c r="AH82" i="80"/>
  <c r="AI82" i="80"/>
  <c r="AJ82" i="80"/>
  <c r="L83" i="80"/>
  <c r="M83" i="80"/>
  <c r="N83" i="80"/>
  <c r="O83" i="80"/>
  <c r="P83" i="80"/>
  <c r="Q83" i="80"/>
  <c r="R83" i="80"/>
  <c r="S83" i="80"/>
  <c r="T83" i="80"/>
  <c r="U83" i="80"/>
  <c r="V83" i="80"/>
  <c r="W83" i="80"/>
  <c r="X83" i="80"/>
  <c r="Y83" i="80"/>
  <c r="Z83" i="80"/>
  <c r="AA83" i="80"/>
  <c r="AB83" i="80"/>
  <c r="AC83" i="80"/>
  <c r="AD83" i="80"/>
  <c r="AE83" i="80"/>
  <c r="AF83" i="80"/>
  <c r="AG83" i="80"/>
  <c r="AH83" i="80"/>
  <c r="AI83" i="80"/>
  <c r="AJ83" i="80"/>
  <c r="AJ126" i="80" s="1"/>
  <c r="L84" i="80"/>
  <c r="M84" i="80"/>
  <c r="N84" i="80"/>
  <c r="O84" i="80"/>
  <c r="P84" i="80"/>
  <c r="Q84" i="80"/>
  <c r="R84" i="80"/>
  <c r="S84" i="80"/>
  <c r="T84" i="80"/>
  <c r="U84" i="80"/>
  <c r="V84" i="80"/>
  <c r="W84" i="80"/>
  <c r="X84" i="80"/>
  <c r="Y84" i="80"/>
  <c r="Z84" i="80"/>
  <c r="AA84" i="80"/>
  <c r="AB84" i="80"/>
  <c r="AC84" i="80"/>
  <c r="AD84" i="80"/>
  <c r="AE84" i="80"/>
  <c r="AF84" i="80"/>
  <c r="AG84" i="80"/>
  <c r="AH84" i="80"/>
  <c r="AI84" i="80"/>
  <c r="AJ84" i="80"/>
  <c r="L85" i="80"/>
  <c r="M85" i="80"/>
  <c r="N85" i="80"/>
  <c r="O85" i="80"/>
  <c r="P85" i="80"/>
  <c r="Q85" i="80"/>
  <c r="R85" i="80"/>
  <c r="S85" i="80"/>
  <c r="T85" i="80"/>
  <c r="U85" i="80"/>
  <c r="V85" i="80"/>
  <c r="W85" i="80"/>
  <c r="X85" i="80"/>
  <c r="Y85" i="80"/>
  <c r="Z85" i="80"/>
  <c r="AA85" i="80"/>
  <c r="AB85" i="80"/>
  <c r="AC85" i="80"/>
  <c r="AD85" i="80"/>
  <c r="AE85" i="80"/>
  <c r="AF85" i="80"/>
  <c r="AG85" i="80"/>
  <c r="AH85" i="80"/>
  <c r="AI85" i="80"/>
  <c r="AJ85" i="80"/>
  <c r="L86" i="80"/>
  <c r="M86" i="80"/>
  <c r="N86" i="80"/>
  <c r="O86" i="80"/>
  <c r="P86" i="80"/>
  <c r="Q86" i="80"/>
  <c r="R86" i="80"/>
  <c r="S86" i="80"/>
  <c r="T86" i="80"/>
  <c r="U86" i="80"/>
  <c r="V86" i="80"/>
  <c r="W86" i="80"/>
  <c r="X86" i="80"/>
  <c r="Y86" i="80"/>
  <c r="Z86" i="80"/>
  <c r="AA86" i="80"/>
  <c r="AB86" i="80"/>
  <c r="AC86" i="80"/>
  <c r="AD86" i="80"/>
  <c r="AE86" i="80"/>
  <c r="AF86" i="80"/>
  <c r="AG86" i="80"/>
  <c r="AH86" i="80"/>
  <c r="AI86" i="80"/>
  <c r="AJ86" i="80"/>
  <c r="L87" i="80"/>
  <c r="M87" i="80"/>
  <c r="N87" i="80"/>
  <c r="O87" i="80"/>
  <c r="P87" i="80"/>
  <c r="Q87" i="80"/>
  <c r="R87" i="80"/>
  <c r="S87" i="80"/>
  <c r="T87" i="80"/>
  <c r="U87" i="80"/>
  <c r="V87" i="80"/>
  <c r="W87" i="80"/>
  <c r="X87" i="80"/>
  <c r="Y87" i="80"/>
  <c r="Z87" i="80"/>
  <c r="AA87" i="80"/>
  <c r="AB87" i="80"/>
  <c r="AC87" i="80"/>
  <c r="AD87" i="80"/>
  <c r="AE87" i="80"/>
  <c r="AF87" i="80"/>
  <c r="AG87" i="80"/>
  <c r="AH87" i="80"/>
  <c r="AI87" i="80"/>
  <c r="AJ87" i="80"/>
  <c r="L88" i="80"/>
  <c r="M88" i="80"/>
  <c r="N88" i="80"/>
  <c r="O88" i="80"/>
  <c r="P88" i="80"/>
  <c r="Q88" i="80"/>
  <c r="R88" i="80"/>
  <c r="S88" i="80"/>
  <c r="T88" i="80"/>
  <c r="U88" i="80"/>
  <c r="V88" i="80"/>
  <c r="W88" i="80"/>
  <c r="X88" i="80"/>
  <c r="Y88" i="80"/>
  <c r="Z88" i="80"/>
  <c r="AA88" i="80"/>
  <c r="AB88" i="80"/>
  <c r="AC88" i="80"/>
  <c r="AD88" i="80"/>
  <c r="AE88" i="80"/>
  <c r="AF88" i="80"/>
  <c r="AG88" i="80"/>
  <c r="AH88" i="80"/>
  <c r="AI88" i="80"/>
  <c r="AJ88" i="80"/>
  <c r="L89" i="80"/>
  <c r="M89" i="80"/>
  <c r="N89" i="80"/>
  <c r="O89" i="80"/>
  <c r="P89" i="80"/>
  <c r="Q89" i="80"/>
  <c r="R89" i="80"/>
  <c r="S89" i="80"/>
  <c r="T89" i="80"/>
  <c r="U89" i="80"/>
  <c r="V89" i="80"/>
  <c r="W89" i="80"/>
  <c r="X89" i="80"/>
  <c r="Y89" i="80"/>
  <c r="Z89" i="80"/>
  <c r="AA89" i="80"/>
  <c r="AB89" i="80"/>
  <c r="AC89" i="80"/>
  <c r="AD89" i="80"/>
  <c r="AE89" i="80"/>
  <c r="AF89" i="80"/>
  <c r="AG89" i="80"/>
  <c r="AH89" i="80"/>
  <c r="AI89" i="80"/>
  <c r="AJ89" i="80"/>
  <c r="L90" i="80"/>
  <c r="M90" i="80"/>
  <c r="N90" i="80"/>
  <c r="O90" i="80"/>
  <c r="P90" i="80"/>
  <c r="Q90" i="80"/>
  <c r="R90" i="80"/>
  <c r="S90" i="80"/>
  <c r="T90" i="80"/>
  <c r="U90" i="80"/>
  <c r="V90" i="80"/>
  <c r="W90" i="80"/>
  <c r="X90" i="80"/>
  <c r="Y90" i="80"/>
  <c r="Z90" i="80"/>
  <c r="AA90" i="80"/>
  <c r="AB90" i="80"/>
  <c r="AC90" i="80"/>
  <c r="AD90" i="80"/>
  <c r="AE90" i="80"/>
  <c r="AF90" i="80"/>
  <c r="AG90" i="80"/>
  <c r="AH90" i="80"/>
  <c r="AI90" i="80"/>
  <c r="AJ90" i="80"/>
  <c r="L91" i="80"/>
  <c r="M91" i="80"/>
  <c r="N91" i="80"/>
  <c r="O91" i="80"/>
  <c r="P91" i="80"/>
  <c r="Q91" i="80"/>
  <c r="R91" i="80"/>
  <c r="S91" i="80"/>
  <c r="T91" i="80"/>
  <c r="U91" i="80"/>
  <c r="V91" i="80"/>
  <c r="W91" i="80"/>
  <c r="X91" i="80"/>
  <c r="Y91" i="80"/>
  <c r="Z91" i="80"/>
  <c r="AA91" i="80"/>
  <c r="AB91" i="80"/>
  <c r="AC91" i="80"/>
  <c r="AD91" i="80"/>
  <c r="AE91" i="80"/>
  <c r="AF91" i="80"/>
  <c r="AG91" i="80"/>
  <c r="AH91" i="80"/>
  <c r="AI91" i="80"/>
  <c r="AJ91" i="80"/>
  <c r="L92" i="80"/>
  <c r="M92" i="80"/>
  <c r="N92" i="80"/>
  <c r="O92" i="80"/>
  <c r="P92" i="80"/>
  <c r="Q92" i="80"/>
  <c r="R92" i="80"/>
  <c r="S92" i="80"/>
  <c r="T92" i="80"/>
  <c r="U92" i="80"/>
  <c r="V92" i="80"/>
  <c r="W92" i="80"/>
  <c r="X92" i="80"/>
  <c r="Y92" i="80"/>
  <c r="Z92" i="80"/>
  <c r="AA92" i="80"/>
  <c r="AB92" i="80"/>
  <c r="AC92" i="80"/>
  <c r="AD92" i="80"/>
  <c r="AE92" i="80"/>
  <c r="AF92" i="80"/>
  <c r="AG92" i="80"/>
  <c r="AH92" i="80"/>
  <c r="AI92" i="80"/>
  <c r="AJ92" i="80"/>
  <c r="L93" i="80"/>
  <c r="M93" i="80"/>
  <c r="N93" i="80"/>
  <c r="O93" i="80"/>
  <c r="P93" i="80"/>
  <c r="Q93" i="80"/>
  <c r="R93" i="80"/>
  <c r="S93" i="80"/>
  <c r="T93" i="80"/>
  <c r="U93" i="80"/>
  <c r="V93" i="80"/>
  <c r="W93" i="80"/>
  <c r="X93" i="80"/>
  <c r="Y93" i="80"/>
  <c r="Z93" i="80"/>
  <c r="AA93" i="80"/>
  <c r="AB93" i="80"/>
  <c r="AC93" i="80"/>
  <c r="AD93" i="80"/>
  <c r="AE93" i="80"/>
  <c r="AF93" i="80"/>
  <c r="AG93" i="80"/>
  <c r="AH93" i="80"/>
  <c r="AI93" i="80"/>
  <c r="AJ93" i="80"/>
  <c r="L94" i="80"/>
  <c r="M94" i="80"/>
  <c r="N94" i="80"/>
  <c r="O94" i="80"/>
  <c r="P94" i="80"/>
  <c r="Q94" i="80"/>
  <c r="R94" i="80"/>
  <c r="S94" i="80"/>
  <c r="T94" i="80"/>
  <c r="U94" i="80"/>
  <c r="V94" i="80"/>
  <c r="W94" i="80"/>
  <c r="X94" i="80"/>
  <c r="Y94" i="80"/>
  <c r="Z94" i="80"/>
  <c r="AA94" i="80"/>
  <c r="AB94" i="80"/>
  <c r="AC94" i="80"/>
  <c r="AD94" i="80"/>
  <c r="AE94" i="80"/>
  <c r="AF94" i="80"/>
  <c r="AF127" i="80" s="1"/>
  <c r="AG94" i="80"/>
  <c r="AH94" i="80"/>
  <c r="AI94" i="80"/>
  <c r="AJ94" i="80"/>
  <c r="L95" i="80"/>
  <c r="M95" i="80"/>
  <c r="N95" i="80"/>
  <c r="O95" i="80"/>
  <c r="P95" i="80"/>
  <c r="Q95" i="80"/>
  <c r="R95" i="80"/>
  <c r="S95" i="80"/>
  <c r="T95" i="80"/>
  <c r="U95" i="80"/>
  <c r="V95" i="80"/>
  <c r="W95" i="80"/>
  <c r="X95" i="80"/>
  <c r="Y95" i="80"/>
  <c r="Z95" i="80"/>
  <c r="AA95" i="80"/>
  <c r="AB95" i="80"/>
  <c r="AC95" i="80"/>
  <c r="AD95" i="80"/>
  <c r="AE95" i="80"/>
  <c r="AF95" i="80"/>
  <c r="AG95" i="80"/>
  <c r="AH95" i="80"/>
  <c r="AI95" i="80"/>
  <c r="AJ95" i="80"/>
  <c r="L96" i="80"/>
  <c r="M96" i="80"/>
  <c r="N96" i="80"/>
  <c r="O96" i="80"/>
  <c r="P96" i="80"/>
  <c r="Q96" i="80"/>
  <c r="R96" i="80"/>
  <c r="S96" i="80"/>
  <c r="T96" i="80"/>
  <c r="U96" i="80"/>
  <c r="V96" i="80"/>
  <c r="W96" i="80"/>
  <c r="X96" i="80"/>
  <c r="X127" i="80" s="1"/>
  <c r="Y96" i="80"/>
  <c r="Z96" i="80"/>
  <c r="AA96" i="80"/>
  <c r="AB96" i="80"/>
  <c r="AC96" i="80"/>
  <c r="AD96" i="80"/>
  <c r="AE96" i="80"/>
  <c r="AF96" i="80"/>
  <c r="AG96" i="80"/>
  <c r="AH96" i="80"/>
  <c r="AI96" i="80"/>
  <c r="AJ96" i="80"/>
  <c r="L97" i="80"/>
  <c r="M97" i="80"/>
  <c r="N97" i="80"/>
  <c r="O97" i="80"/>
  <c r="P97" i="80"/>
  <c r="Q97" i="80"/>
  <c r="R97" i="80"/>
  <c r="S97" i="80"/>
  <c r="T97" i="80"/>
  <c r="U97" i="80"/>
  <c r="V97" i="80"/>
  <c r="W97" i="80"/>
  <c r="X97" i="80"/>
  <c r="Y97" i="80"/>
  <c r="Z97" i="80"/>
  <c r="AA97" i="80"/>
  <c r="AB97" i="80"/>
  <c r="AC97" i="80"/>
  <c r="AD97" i="80"/>
  <c r="AE97" i="80"/>
  <c r="AF97" i="80"/>
  <c r="AG97" i="80"/>
  <c r="AH97" i="80"/>
  <c r="AI97" i="80"/>
  <c r="AJ97" i="80"/>
  <c r="L98" i="80"/>
  <c r="M98" i="80"/>
  <c r="N98" i="80"/>
  <c r="O98" i="80"/>
  <c r="P98" i="80"/>
  <c r="Q98" i="80"/>
  <c r="R98" i="80"/>
  <c r="S98" i="80"/>
  <c r="T98" i="80"/>
  <c r="U98" i="80"/>
  <c r="V98" i="80"/>
  <c r="W98" i="80"/>
  <c r="X98" i="80"/>
  <c r="Y98" i="80"/>
  <c r="Z98" i="80"/>
  <c r="AA98" i="80"/>
  <c r="AB98" i="80"/>
  <c r="AC98" i="80"/>
  <c r="AD98" i="80"/>
  <c r="AE98" i="80"/>
  <c r="AF98" i="80"/>
  <c r="AG98" i="80"/>
  <c r="AH98" i="80"/>
  <c r="AI98" i="80"/>
  <c r="AJ98" i="80"/>
  <c r="L99" i="80"/>
  <c r="M99" i="80"/>
  <c r="N99" i="80"/>
  <c r="O99" i="80"/>
  <c r="P99" i="80"/>
  <c r="Q99" i="80"/>
  <c r="R99" i="80"/>
  <c r="S99" i="80"/>
  <c r="T99" i="80"/>
  <c r="U99" i="80"/>
  <c r="V99" i="80"/>
  <c r="W99" i="80"/>
  <c r="X99" i="80"/>
  <c r="Y99" i="80"/>
  <c r="Z99" i="80"/>
  <c r="AA99" i="80"/>
  <c r="AB99" i="80"/>
  <c r="AC99" i="80"/>
  <c r="AD99" i="80"/>
  <c r="AE99" i="80"/>
  <c r="AF99" i="80"/>
  <c r="AG99" i="80"/>
  <c r="AH99" i="80"/>
  <c r="AI99" i="80"/>
  <c r="AJ99" i="80"/>
  <c r="O100" i="80"/>
  <c r="W100" i="80"/>
  <c r="Y100" i="80"/>
  <c r="Z100" i="80"/>
  <c r="AA100" i="80"/>
  <c r="AB100" i="80"/>
  <c r="AE100" i="80"/>
  <c r="AF100" i="80"/>
  <c r="AG100" i="80"/>
  <c r="AH100" i="80"/>
  <c r="AI100" i="80"/>
  <c r="AJ100" i="80"/>
  <c r="O101" i="80"/>
  <c r="W101" i="80"/>
  <c r="Y101" i="80"/>
  <c r="Z101" i="80"/>
  <c r="AA101" i="80"/>
  <c r="AB101" i="80"/>
  <c r="AE101" i="80"/>
  <c r="AF101" i="80"/>
  <c r="AG101" i="80"/>
  <c r="AH101" i="80"/>
  <c r="AI101" i="80"/>
  <c r="AJ101" i="80"/>
  <c r="O102" i="80"/>
  <c r="W102" i="80"/>
  <c r="Y102" i="80"/>
  <c r="Z102" i="80"/>
  <c r="AA102" i="80"/>
  <c r="AB102" i="80"/>
  <c r="AE102" i="80"/>
  <c r="AF102" i="80"/>
  <c r="AG102" i="80"/>
  <c r="AH102" i="80"/>
  <c r="AI102" i="80"/>
  <c r="AJ102" i="80"/>
  <c r="O103" i="80"/>
  <c r="W103" i="80"/>
  <c r="Y103" i="80"/>
  <c r="Z103" i="80"/>
  <c r="AA103" i="80"/>
  <c r="AB103" i="80"/>
  <c r="AE103" i="80"/>
  <c r="AF103" i="80"/>
  <c r="AG103" i="80"/>
  <c r="AH103" i="80"/>
  <c r="AI103" i="80"/>
  <c r="AJ103" i="80"/>
  <c r="O104" i="80"/>
  <c r="O127" i="80" s="1"/>
  <c r="W104" i="80"/>
  <c r="Y104" i="80"/>
  <c r="Z104" i="80"/>
  <c r="AA104" i="80"/>
  <c r="AB104" i="80"/>
  <c r="AE104" i="80"/>
  <c r="AF104" i="80"/>
  <c r="AG104" i="80"/>
  <c r="AH104" i="80"/>
  <c r="AI104" i="80"/>
  <c r="AJ104" i="80"/>
  <c r="O105" i="80"/>
  <c r="W105" i="80"/>
  <c r="W127" i="80" s="1"/>
  <c r="Y105" i="80"/>
  <c r="Z105" i="80"/>
  <c r="AA105" i="80"/>
  <c r="AB105" i="80"/>
  <c r="AE105" i="80"/>
  <c r="AF105" i="80"/>
  <c r="AG105" i="80"/>
  <c r="AH105" i="80"/>
  <c r="AI105" i="80"/>
  <c r="AJ105" i="80"/>
  <c r="N124" i="80"/>
  <c r="R124" i="80"/>
  <c r="AA124" i="80"/>
  <c r="L125" i="80"/>
  <c r="M125" i="80"/>
  <c r="N125" i="80"/>
  <c r="O125" i="80"/>
  <c r="Q125" i="80"/>
  <c r="R125" i="80"/>
  <c r="S125" i="80"/>
  <c r="U125" i="80"/>
  <c r="V125" i="80"/>
  <c r="W125" i="80"/>
  <c r="Y125" i="80"/>
  <c r="Z125" i="80"/>
  <c r="AA125" i="80"/>
  <c r="AC125" i="80"/>
  <c r="AD125" i="80"/>
  <c r="AE125" i="80"/>
  <c r="AG125" i="80"/>
  <c r="AH125" i="80"/>
  <c r="AI125" i="80"/>
  <c r="L126" i="80"/>
  <c r="M126" i="80"/>
  <c r="N126" i="80"/>
  <c r="O126" i="80"/>
  <c r="Q126" i="80"/>
  <c r="R126" i="80"/>
  <c r="S126" i="80"/>
  <c r="U126" i="80"/>
  <c r="V126" i="80"/>
  <c r="W126" i="80"/>
  <c r="Y126" i="80"/>
  <c r="Z126" i="80"/>
  <c r="AA126" i="80"/>
  <c r="AC126" i="80"/>
  <c r="AD126" i="80"/>
  <c r="AE126" i="80"/>
  <c r="AG126" i="80"/>
  <c r="AH126" i="80"/>
  <c r="AI126" i="80"/>
  <c r="L127" i="80"/>
  <c r="M127" i="80"/>
  <c r="Q127" i="80"/>
  <c r="S127" i="80"/>
  <c r="U127" i="80"/>
  <c r="V127" i="80"/>
  <c r="Y127" i="80"/>
  <c r="Z127" i="80"/>
  <c r="AA127" i="80"/>
  <c r="AC127" i="80"/>
  <c r="AD127" i="80"/>
  <c r="AE127" i="80"/>
  <c r="AG127" i="80"/>
  <c r="AH127" i="80"/>
  <c r="AI127" i="80"/>
  <c r="X125" i="80" l="1"/>
  <c r="T126" i="80"/>
  <c r="P127" i="80"/>
  <c r="X126" i="80"/>
  <c r="AJ127" i="80"/>
  <c r="T127" i="80"/>
  <c r="P125" i="80"/>
  <c r="T125" i="80"/>
  <c r="AF126" i="80"/>
  <c r="P126" i="80"/>
  <c r="E96" i="80" l="1"/>
  <c r="D96" i="80"/>
  <c r="AH14" i="75"/>
  <c r="AD14" i="75"/>
  <c r="E61" i="80"/>
  <c r="D61" i="80"/>
  <c r="AH73" i="75"/>
  <c r="AH33" i="75"/>
  <c r="AI122" i="80"/>
  <c r="AI34" i="80"/>
  <c r="Y129" i="80"/>
  <c r="Y120" i="80"/>
  <c r="AM30" i="75"/>
  <c r="AK30" i="75"/>
  <c r="AI30" i="75"/>
  <c r="AE30" i="75"/>
  <c r="AC30" i="75"/>
  <c r="Z30" i="75"/>
  <c r="Y30" i="75"/>
  <c r="W122" i="80"/>
  <c r="W34" i="80"/>
  <c r="E15" i="80"/>
  <c r="D15" i="80"/>
  <c r="E98" i="80"/>
  <c r="D98" i="80"/>
  <c r="AH37" i="75"/>
  <c r="AD37" i="75"/>
  <c r="AK1" i="75"/>
  <c r="AK69" i="75"/>
  <c r="V122" i="80"/>
  <c r="V34" i="80"/>
  <c r="V124" i="80"/>
  <c r="V58" i="80"/>
  <c r="K16" i="75"/>
  <c r="J15" i="75"/>
  <c r="K53" i="75"/>
  <c r="J52" i="75"/>
  <c r="E27" i="80"/>
  <c r="D27" i="80"/>
  <c r="T121" i="80"/>
  <c r="T22" i="80"/>
  <c r="N120" i="80"/>
  <c r="N21" i="80"/>
  <c r="X71" i="75"/>
  <c r="K63" i="75"/>
  <c r="J62" i="75"/>
  <c r="E35" i="80"/>
  <c r="D35" i="80"/>
  <c r="D126" i="80"/>
  <c r="D82" i="80"/>
  <c r="E82" i="80"/>
  <c r="E93" i="80"/>
  <c r="D93" i="80"/>
  <c r="L122" i="80"/>
  <c r="L34" i="80"/>
  <c r="E66" i="80"/>
  <c r="D66" i="80"/>
  <c r="K39" i="75"/>
  <c r="J38" i="75"/>
  <c r="U122" i="80"/>
  <c r="U34" i="80"/>
  <c r="U123" i="80"/>
  <c r="U46" i="80"/>
  <c r="Q123" i="80"/>
  <c r="Q46" i="80"/>
  <c r="AM39" i="75"/>
  <c r="AK39" i="75"/>
  <c r="AI39" i="75"/>
  <c r="AE39" i="75"/>
  <c r="AC39" i="75"/>
  <c r="Z39" i="75"/>
  <c r="Y39" i="75"/>
  <c r="AC123" i="80"/>
  <c r="AC46" i="80"/>
  <c r="E77" i="80"/>
  <c r="D77" i="80"/>
  <c r="E43" i="80"/>
  <c r="D43" i="80"/>
  <c r="X122" i="80"/>
  <c r="X34" i="80"/>
  <c r="E19" i="80"/>
  <c r="D19" i="80"/>
  <c r="AM67" i="75"/>
  <c r="Y67" i="75"/>
  <c r="Z67" i="75"/>
  <c r="AC67" i="75"/>
  <c r="AE67" i="75"/>
  <c r="AI67" i="75"/>
  <c r="AK67" i="75"/>
  <c r="AM18" i="75"/>
  <c r="AK18" i="75"/>
  <c r="AI18" i="75"/>
  <c r="AE18" i="75"/>
  <c r="AC18" i="75"/>
  <c r="Z18" i="75"/>
  <c r="Y18" i="75"/>
  <c r="E76" i="80"/>
  <c r="D76" i="80"/>
  <c r="E60" i="80"/>
  <c r="D60" i="80"/>
  <c r="K42" i="75"/>
  <c r="J41" i="75"/>
  <c r="AD121" i="80"/>
  <c r="AD22" i="80"/>
  <c r="AM42" i="75"/>
  <c r="AK42" i="75"/>
  <c r="Y42" i="75"/>
  <c r="Z42" i="75"/>
  <c r="AC42" i="75"/>
  <c r="AE42" i="75"/>
  <c r="AI42" i="75"/>
  <c r="AH18" i="75"/>
  <c r="W18" i="75"/>
  <c r="AD18" i="75"/>
  <c r="R121" i="80"/>
  <c r="R33" i="80"/>
  <c r="C123" i="80"/>
  <c r="AI121" i="80"/>
  <c r="AI22" i="80"/>
  <c r="AH129" i="80"/>
  <c r="AH120" i="80"/>
  <c r="K51" i="75"/>
  <c r="J50" i="75"/>
  <c r="C125" i="80"/>
  <c r="D121" i="80"/>
  <c r="D22" i="80"/>
  <c r="E22" i="80"/>
  <c r="AH51" i="75"/>
  <c r="AD51" i="75"/>
  <c r="AH20" i="75"/>
  <c r="AD20" i="75"/>
  <c r="Z123" i="80"/>
  <c r="Z46" i="80"/>
  <c r="AH49" i="75"/>
  <c r="AD49" i="75"/>
  <c r="R123" i="80"/>
  <c r="R57" i="80"/>
  <c r="Y123" i="80"/>
  <c r="Y46" i="80"/>
  <c r="E14" i="80"/>
  <c r="D14" i="80"/>
  <c r="AB118" i="80"/>
  <c r="AB10" i="80"/>
  <c r="K37" i="75"/>
  <c r="J36" i="75"/>
  <c r="AI118" i="80"/>
  <c r="AH122" i="80"/>
  <c r="AH34" i="80"/>
  <c r="AH19" i="75"/>
  <c r="AD19" i="75"/>
  <c r="C128" i="80"/>
  <c r="C106" i="80"/>
  <c r="C107" i="80"/>
  <c r="C108" i="80"/>
  <c r="C109" i="80"/>
  <c r="C110" i="80"/>
  <c r="C111" i="80"/>
  <c r="C112" i="80"/>
  <c r="C113" i="80"/>
  <c r="C114" i="80"/>
  <c r="C115" i="80"/>
  <c r="C116" i="80"/>
  <c r="C117" i="80"/>
  <c r="AF124" i="80"/>
  <c r="AF58" i="80"/>
  <c r="K18" i="75"/>
  <c r="J17" i="75"/>
  <c r="E23" i="80"/>
  <c r="D23" i="80"/>
  <c r="K35" i="75"/>
  <c r="J34" i="75"/>
  <c r="E83" i="80"/>
  <c r="D83" i="80"/>
  <c r="E48" i="80"/>
  <c r="D48" i="80"/>
  <c r="AH26" i="75"/>
  <c r="AD26" i="75"/>
  <c r="K24" i="75"/>
  <c r="J23" i="75"/>
  <c r="C122" i="80"/>
  <c r="Q124" i="80"/>
  <c r="Q58" i="80"/>
  <c r="X124" i="80"/>
  <c r="X58" i="80"/>
  <c r="Y63" i="75"/>
  <c r="Z63" i="75"/>
  <c r="AC63" i="75"/>
  <c r="AE63" i="75"/>
  <c r="AI63" i="75"/>
  <c r="AK63" i="75"/>
  <c r="AM63" i="75"/>
  <c r="K20" i="75"/>
  <c r="J19" i="75"/>
  <c r="V129" i="80"/>
  <c r="V120" i="80"/>
  <c r="E71" i="80"/>
  <c r="D71" i="80"/>
  <c r="AJ122" i="80"/>
  <c r="AJ34" i="80"/>
  <c r="AF122" i="80"/>
  <c r="AF34" i="80"/>
  <c r="E104" i="80"/>
  <c r="D104" i="80"/>
  <c r="AH16" i="75"/>
  <c r="AD16" i="75"/>
  <c r="Q122" i="80"/>
  <c r="Q34" i="80"/>
  <c r="E26" i="80"/>
  <c r="D26" i="80"/>
  <c r="M124" i="80"/>
  <c r="M58" i="80"/>
  <c r="E12" i="80"/>
  <c r="D12" i="80"/>
  <c r="E18" i="80"/>
  <c r="D18" i="80"/>
  <c r="AA120" i="80"/>
  <c r="AA21" i="80"/>
  <c r="AI4" i="75"/>
  <c r="AI3" i="75"/>
  <c r="C121" i="80"/>
  <c r="E175" i="74"/>
  <c r="E177" i="74"/>
  <c r="E178" i="74"/>
  <c r="E179" i="74"/>
  <c r="AG121" i="80"/>
  <c r="AG22" i="80"/>
  <c r="E50" i="80"/>
  <c r="D50" i="80"/>
  <c r="AM47" i="75"/>
  <c r="AK47" i="75"/>
  <c r="AI47" i="75"/>
  <c r="AE47" i="75"/>
  <c r="AC47" i="75"/>
  <c r="Z47" i="75"/>
  <c r="Y47" i="75"/>
  <c r="C94" i="80"/>
  <c r="C95" i="80"/>
  <c r="C96" i="80"/>
  <c r="C97" i="80"/>
  <c r="C98" i="80"/>
  <c r="C99" i="80"/>
  <c r="C100" i="80"/>
  <c r="C101" i="80"/>
  <c r="C102" i="80"/>
  <c r="C103" i="80"/>
  <c r="C104" i="80"/>
  <c r="C105" i="80"/>
  <c r="C127" i="80"/>
  <c r="E116" i="80"/>
  <c r="D116" i="80"/>
  <c r="AL20" i="82"/>
  <c r="AF15" i="75"/>
  <c r="E51" i="80"/>
  <c r="D51" i="80"/>
  <c r="AJ129" i="80"/>
  <c r="AJ120" i="80"/>
  <c r="E40" i="80"/>
  <c r="D40" i="80"/>
  <c r="I7" i="82"/>
  <c r="Z76" i="75"/>
  <c r="Z71" i="75"/>
  <c r="Q129" i="80"/>
  <c r="Q120" i="80"/>
  <c r="P123" i="80"/>
  <c r="P46" i="80"/>
  <c r="AA121" i="80"/>
  <c r="AA33" i="80"/>
  <c r="E88" i="80"/>
  <c r="D88" i="80"/>
  <c r="E115" i="80"/>
  <c r="D115" i="80"/>
  <c r="E86" i="80"/>
  <c r="D86" i="80"/>
  <c r="K72" i="75"/>
  <c r="K21" i="75"/>
  <c r="W124" i="80"/>
  <c r="W58" i="80"/>
  <c r="AM35" i="75"/>
  <c r="Y35" i="75"/>
  <c r="Z35" i="75"/>
  <c r="AC35" i="75"/>
  <c r="AE35" i="75"/>
  <c r="AI35" i="75"/>
  <c r="AK35" i="75"/>
  <c r="D118" i="80"/>
  <c r="E49" i="80"/>
  <c r="D49" i="80"/>
  <c r="E110" i="80"/>
  <c r="D110" i="80"/>
  <c r="E13" i="80"/>
  <c r="D13" i="80"/>
  <c r="Y55" i="75"/>
  <c r="Z55" i="75"/>
  <c r="AC55" i="75"/>
  <c r="AE55" i="75"/>
  <c r="AI55" i="75"/>
  <c r="AK55" i="75"/>
  <c r="AM55" i="75"/>
  <c r="E54" i="80"/>
  <c r="D54" i="80"/>
  <c r="E29" i="80"/>
  <c r="D29" i="80"/>
  <c r="AH124" i="80"/>
  <c r="AH58" i="80"/>
  <c r="AC121" i="80"/>
  <c r="AC22" i="80"/>
  <c r="E20" i="80"/>
  <c r="D20" i="80"/>
  <c r="E79" i="80"/>
  <c r="D79" i="80"/>
  <c r="AJ10" i="80"/>
  <c r="AJ118" i="80"/>
  <c r="E75" i="80"/>
  <c r="D75" i="80"/>
  <c r="AM61" i="75"/>
  <c r="AK61" i="75"/>
  <c r="AI61" i="75"/>
  <c r="AE61" i="75"/>
  <c r="AC61" i="75"/>
  <c r="Y61" i="75"/>
  <c r="Z61" i="75"/>
  <c r="E109" i="80"/>
  <c r="D109" i="80"/>
  <c r="E117" i="80"/>
  <c r="D117" i="80"/>
  <c r="AH10" i="75"/>
  <c r="AD10" i="75"/>
  <c r="E113" i="80"/>
  <c r="D113" i="80"/>
  <c r="K25" i="75"/>
  <c r="J24" i="75"/>
  <c r="P122" i="80"/>
  <c r="P34" i="80"/>
  <c r="K27" i="75"/>
  <c r="J26" i="75"/>
  <c r="K76" i="75"/>
  <c r="K71" i="75"/>
  <c r="K19" i="75"/>
  <c r="J18" i="75"/>
  <c r="W129" i="80"/>
  <c r="W120" i="80"/>
  <c r="V10" i="80"/>
  <c r="V118" i="80"/>
  <c r="W63" i="75"/>
  <c r="AD63" i="75"/>
  <c r="AH63" i="75"/>
  <c r="C120" i="80"/>
  <c r="C70" i="80"/>
  <c r="C71" i="80"/>
  <c r="C72" i="80"/>
  <c r="C73" i="80"/>
  <c r="C74" i="80"/>
  <c r="C75" i="80"/>
  <c r="C76" i="80"/>
  <c r="C77" i="80"/>
  <c r="C78" i="80"/>
  <c r="C79" i="80"/>
  <c r="C80" i="80"/>
  <c r="C81" i="80"/>
  <c r="C82" i="80"/>
  <c r="C83" i="80"/>
  <c r="C84" i="80"/>
  <c r="C85" i="80"/>
  <c r="C86" i="80"/>
  <c r="C87" i="80"/>
  <c r="C88" i="80"/>
  <c r="C89" i="80"/>
  <c r="C90" i="80"/>
  <c r="C91" i="80"/>
  <c r="C92" i="80"/>
  <c r="C93" i="80"/>
  <c r="C126" i="80"/>
  <c r="E21" i="80"/>
  <c r="D21" i="80"/>
  <c r="Y40" i="75"/>
  <c r="Z40" i="75"/>
  <c r="AC40" i="75"/>
  <c r="AE40" i="75"/>
  <c r="AI40" i="75"/>
  <c r="AK40" i="75"/>
  <c r="AM40" i="75"/>
  <c r="E99" i="80"/>
  <c r="D99" i="80"/>
  <c r="E28" i="80"/>
  <c r="D28" i="80"/>
  <c r="W123" i="80"/>
  <c r="W46" i="80"/>
  <c r="K29" i="75"/>
  <c r="J28" i="75"/>
  <c r="D127" i="80"/>
  <c r="D94" i="80"/>
  <c r="E94" i="80"/>
  <c r="AM15" i="75"/>
  <c r="AK15" i="75"/>
  <c r="AI15" i="75"/>
  <c r="AE15" i="75"/>
  <c r="AC15" i="75"/>
  <c r="Z15" i="75"/>
  <c r="Y15" i="75"/>
  <c r="E65" i="80"/>
  <c r="D65" i="80"/>
  <c r="D123" i="80"/>
  <c r="D46" i="80"/>
  <c r="E46" i="80"/>
  <c r="AM53" i="75"/>
  <c r="AK53" i="75"/>
  <c r="AI53" i="75"/>
  <c r="AE53" i="75"/>
  <c r="AC53" i="75"/>
  <c r="Z53" i="75"/>
  <c r="Y53" i="75"/>
  <c r="AM22" i="75"/>
  <c r="AK22" i="75"/>
  <c r="AI22" i="75"/>
  <c r="AE22" i="75"/>
  <c r="AC22" i="75"/>
  <c r="Z22" i="75"/>
  <c r="Y22" i="75"/>
  <c r="K55" i="75"/>
  <c r="J54" i="75"/>
  <c r="L124" i="80"/>
  <c r="L58" i="80"/>
  <c r="AM59" i="75"/>
  <c r="AK59" i="75"/>
  <c r="AI59" i="75"/>
  <c r="AE59" i="75"/>
  <c r="AC59" i="75"/>
  <c r="Z59" i="75"/>
  <c r="Y59" i="75"/>
  <c r="Y10" i="80"/>
  <c r="Y118" i="80"/>
  <c r="L8" i="74"/>
  <c r="N15" i="77"/>
  <c r="AO8" i="75"/>
  <c r="AH10" i="80"/>
  <c r="AH118" i="80"/>
  <c r="T129" i="80"/>
  <c r="T120" i="80"/>
  <c r="AH43" i="75"/>
  <c r="AD43" i="75"/>
  <c r="K14" i="75"/>
  <c r="J13" i="75"/>
  <c r="E25" i="80"/>
  <c r="D25" i="80"/>
  <c r="E34" i="80"/>
  <c r="D34" i="80"/>
  <c r="D122" i="80"/>
  <c r="E103" i="80"/>
  <c r="D103" i="80"/>
  <c r="AH48" i="75"/>
  <c r="AD48" i="75"/>
  <c r="AG122" i="80"/>
  <c r="AG34" i="80"/>
  <c r="K26" i="75"/>
  <c r="J25" i="75"/>
  <c r="AH31" i="75"/>
  <c r="AD31" i="75"/>
  <c r="AL44" i="82"/>
  <c r="AF39" i="75"/>
  <c r="E92" i="80"/>
  <c r="D92" i="80"/>
  <c r="E105" i="80"/>
  <c r="D105" i="80"/>
  <c r="AH41" i="75"/>
  <c r="AD41" i="75"/>
  <c r="S121" i="80"/>
  <c r="S22" i="80"/>
  <c r="E176" i="74"/>
  <c r="L135" i="74"/>
  <c r="E31" i="80"/>
  <c r="D31" i="80"/>
  <c r="E11" i="80"/>
  <c r="D11" i="80"/>
  <c r="E69" i="80"/>
  <c r="D69" i="80"/>
  <c r="AG129" i="80"/>
  <c r="AG120" i="80"/>
  <c r="AG124" i="80"/>
  <c r="AG58" i="80"/>
  <c r="Q121" i="80"/>
  <c r="Q22" i="80"/>
  <c r="E30" i="80"/>
  <c r="D30" i="80"/>
  <c r="E90" i="80"/>
  <c r="D90" i="80"/>
  <c r="E100" i="80"/>
  <c r="D100" i="80"/>
  <c r="AL50" i="82"/>
  <c r="AL14" i="82"/>
  <c r="H28" i="82"/>
  <c r="AG74" i="75"/>
  <c r="AM27" i="75"/>
  <c r="AK27" i="75"/>
  <c r="AI27" i="75"/>
  <c r="AE27" i="75"/>
  <c r="AC27" i="75"/>
  <c r="Z27" i="75"/>
  <c r="Y27" i="75"/>
  <c r="AM69" i="75"/>
  <c r="AM8" i="75"/>
  <c r="Z72" i="75"/>
  <c r="K48" i="75"/>
  <c r="J47" i="75"/>
  <c r="AH54" i="75"/>
  <c r="AD54" i="75"/>
  <c r="W51" i="75"/>
  <c r="Y51" i="75"/>
  <c r="Z51" i="75"/>
  <c r="AC51" i="75"/>
  <c r="AE51" i="75"/>
  <c r="AI51" i="75"/>
  <c r="AK51" i="75"/>
  <c r="AM51" i="75"/>
  <c r="K54" i="75"/>
  <c r="J53" i="75"/>
  <c r="K47" i="75"/>
  <c r="J46" i="75"/>
  <c r="W19" i="75"/>
  <c r="Y19" i="75"/>
  <c r="Z19" i="75"/>
  <c r="AC19" i="75"/>
  <c r="AE19" i="75"/>
  <c r="AI19" i="75"/>
  <c r="AK19" i="75"/>
  <c r="AM19" i="75"/>
  <c r="W67" i="75"/>
  <c r="AD67" i="75"/>
  <c r="AH67" i="75"/>
  <c r="AE75" i="75"/>
  <c r="AL36" i="82"/>
  <c r="AF31" i="75"/>
  <c r="K41" i="75"/>
  <c r="J40" i="75"/>
  <c r="AM41" i="75"/>
  <c r="AK41" i="75"/>
  <c r="AI41" i="75"/>
  <c r="W41" i="75"/>
  <c r="Y41" i="75"/>
  <c r="Z41" i="75"/>
  <c r="AC41" i="75"/>
  <c r="AE41" i="75"/>
  <c r="AE123" i="80"/>
  <c r="AE46" i="80"/>
  <c r="Y24" i="75"/>
  <c r="Z24" i="75"/>
  <c r="AC24" i="75"/>
  <c r="AE24" i="75"/>
  <c r="AI24" i="75"/>
  <c r="AK24" i="75"/>
  <c r="AM24" i="75"/>
  <c r="T10" i="80"/>
  <c r="T118" i="80"/>
  <c r="AI123" i="80"/>
  <c r="AI46" i="80"/>
  <c r="M118" i="80"/>
  <c r="AL21" i="82"/>
  <c r="AF16" i="75"/>
  <c r="AM14" i="75"/>
  <c r="AK14" i="75"/>
  <c r="AI14" i="75"/>
  <c r="AE14" i="75"/>
  <c r="AC14" i="75"/>
  <c r="Z14" i="75"/>
  <c r="W14" i="75"/>
  <c r="Y14" i="75"/>
  <c r="AE124" i="80"/>
  <c r="AE58" i="80"/>
  <c r="AL32" i="82"/>
  <c r="AF27" i="75"/>
  <c r="W77" i="75"/>
  <c r="W76" i="75"/>
  <c r="W71" i="75"/>
  <c r="AM10" i="75"/>
  <c r="AK10" i="75"/>
  <c r="AI10" i="75"/>
  <c r="AE10" i="75"/>
  <c r="AC10" i="75"/>
  <c r="Z10" i="75"/>
  <c r="W10" i="75"/>
  <c r="Y10" i="75"/>
  <c r="AE76" i="75"/>
  <c r="AE71" i="75"/>
  <c r="AL37" i="82"/>
  <c r="AF32" i="75"/>
  <c r="K44" i="75"/>
  <c r="J43" i="75"/>
  <c r="E57" i="80"/>
  <c r="D57" i="80"/>
  <c r="W10" i="80"/>
  <c r="W118" i="80"/>
  <c r="M10" i="80"/>
  <c r="M120" i="80"/>
  <c r="M129" i="80"/>
  <c r="E52" i="80"/>
  <c r="D52" i="80"/>
  <c r="K23" i="75"/>
  <c r="J22" i="75"/>
  <c r="G28" i="82"/>
  <c r="AG73" i="75"/>
  <c r="S123" i="80"/>
  <c r="S46" i="80"/>
  <c r="AH15" i="75"/>
  <c r="W15" i="75"/>
  <c r="AD15" i="75"/>
  <c r="AL24" i="82"/>
  <c r="AF19" i="75"/>
  <c r="Y65" i="75"/>
  <c r="Z65" i="75"/>
  <c r="AC65" i="75"/>
  <c r="AE65" i="75"/>
  <c r="AI65" i="75"/>
  <c r="AK65" i="75"/>
  <c r="AM65" i="75"/>
  <c r="AJ121" i="80"/>
  <c r="AJ22" i="80"/>
  <c r="AL49" i="82"/>
  <c r="AF44" i="75"/>
  <c r="AL29" i="82"/>
  <c r="AF24" i="75"/>
  <c r="L121" i="80"/>
  <c r="L22" i="80"/>
  <c r="AH13" i="75"/>
  <c r="AD13" i="75"/>
  <c r="AM56" i="75"/>
  <c r="AK56" i="75"/>
  <c r="AI56" i="75"/>
  <c r="AE56" i="75"/>
  <c r="AC56" i="75"/>
  <c r="Z56" i="75"/>
  <c r="Y56" i="75"/>
  <c r="Z129" i="80"/>
  <c r="Z120" i="80"/>
  <c r="E73" i="80"/>
  <c r="D73" i="80"/>
  <c r="AI1" i="75"/>
  <c r="AI69" i="75"/>
  <c r="AL38" i="82"/>
  <c r="AL19" i="82"/>
  <c r="AF14" i="75"/>
  <c r="K52" i="75"/>
  <c r="J51" i="75"/>
  <c r="E111" i="80"/>
  <c r="D111" i="80"/>
  <c r="X121" i="80"/>
  <c r="X22" i="80"/>
  <c r="K43" i="75"/>
  <c r="J42" i="75"/>
  <c r="F36" i="82"/>
  <c r="Y121" i="80"/>
  <c r="Y22" i="80"/>
  <c r="AL43" i="82"/>
  <c r="AF38" i="75"/>
  <c r="AM66" i="75"/>
  <c r="AK66" i="75"/>
  <c r="AI66" i="75"/>
  <c r="AE66" i="75"/>
  <c r="AC66" i="75"/>
  <c r="Z66" i="75"/>
  <c r="Y66" i="75"/>
  <c r="AK4" i="75"/>
  <c r="AK3" i="75"/>
  <c r="AM60" i="75"/>
  <c r="AK60" i="75"/>
  <c r="AI60" i="75"/>
  <c r="AE60" i="75"/>
  <c r="AC60" i="75"/>
  <c r="Z60" i="75"/>
  <c r="Y60" i="75"/>
  <c r="AM32" i="75"/>
  <c r="AK32" i="75"/>
  <c r="AI32" i="75"/>
  <c r="AE32" i="75"/>
  <c r="AC32" i="75"/>
  <c r="Z32" i="75"/>
  <c r="Y32" i="75"/>
  <c r="W61" i="75"/>
  <c r="AD61" i="75"/>
  <c r="AH61" i="75"/>
  <c r="E58" i="80"/>
  <c r="D58" i="80"/>
  <c r="D124" i="80"/>
  <c r="E114" i="80"/>
  <c r="D114" i="80"/>
  <c r="AL30" i="82"/>
  <c r="AF25" i="75"/>
  <c r="AH34" i="75"/>
  <c r="AD34" i="75"/>
  <c r="U124" i="80"/>
  <c r="U58" i="80"/>
  <c r="Z69" i="75"/>
  <c r="E55" i="80"/>
  <c r="D55" i="80"/>
  <c r="K66" i="75"/>
  <c r="J65" i="75"/>
  <c r="AF33" i="75"/>
  <c r="AF73" i="75"/>
  <c r="G26" i="82"/>
  <c r="E67" i="80"/>
  <c r="D67" i="80"/>
  <c r="K65" i="75"/>
  <c r="J64" i="75"/>
  <c r="N122" i="80"/>
  <c r="N45" i="80"/>
  <c r="AI8" i="75"/>
  <c r="AI2" i="75"/>
  <c r="AI5" i="75"/>
  <c r="H36" i="82"/>
  <c r="Z121" i="80"/>
  <c r="Z22" i="80"/>
  <c r="AM62" i="75"/>
  <c r="AK62" i="75"/>
  <c r="Y62" i="75"/>
  <c r="Z62" i="75"/>
  <c r="AC62" i="75"/>
  <c r="AE62" i="75"/>
  <c r="AI62" i="75"/>
  <c r="W73" i="75"/>
  <c r="AF69" i="75"/>
  <c r="E42" i="80"/>
  <c r="D42" i="80"/>
  <c r="O123" i="80"/>
  <c r="O46" i="80"/>
  <c r="E80" i="80"/>
  <c r="D80" i="80"/>
  <c r="AI10" i="80"/>
  <c r="AI120" i="80"/>
  <c r="AI129" i="80"/>
  <c r="K10" i="75"/>
  <c r="J9" i="75"/>
  <c r="E59" i="80"/>
  <c r="D59" i="80"/>
  <c r="D120" i="80"/>
  <c r="D129" i="80"/>
  <c r="E33" i="80"/>
  <c r="D33" i="80"/>
  <c r="AH59" i="75"/>
  <c r="W59" i="75"/>
  <c r="AD59" i="75"/>
  <c r="E16" i="80"/>
  <c r="D16" i="80"/>
  <c r="E63" i="80"/>
  <c r="D63" i="80"/>
  <c r="D128" i="80"/>
  <c r="D106" i="80"/>
  <c r="E106" i="80"/>
  <c r="AI124" i="80"/>
  <c r="AI58" i="80"/>
  <c r="P129" i="80"/>
  <c r="P120" i="80"/>
  <c r="K56" i="75"/>
  <c r="J55" i="75"/>
  <c r="AG123" i="80"/>
  <c r="AG46" i="80"/>
  <c r="K67" i="75"/>
  <c r="J66" i="75"/>
  <c r="V123" i="80"/>
  <c r="V46" i="80"/>
  <c r="M123" i="80"/>
  <c r="M46" i="80"/>
  <c r="AL26" i="82"/>
  <c r="AH56" i="75"/>
  <c r="W56" i="75"/>
  <c r="AD56" i="75"/>
  <c r="AG10" i="80"/>
  <c r="AG118" i="80"/>
  <c r="Y11" i="75"/>
  <c r="Z11" i="75"/>
  <c r="AC11" i="75"/>
  <c r="AE11" i="75"/>
  <c r="AI11" i="75"/>
  <c r="AK11" i="75"/>
  <c r="AM11" i="75"/>
  <c r="S129" i="80"/>
  <c r="S120" i="80"/>
  <c r="J75" i="75"/>
  <c r="J68" i="75"/>
  <c r="W47" i="75"/>
  <c r="AD47" i="75"/>
  <c r="AH47" i="75"/>
  <c r="K61" i="75"/>
  <c r="J60" i="75"/>
  <c r="AH1" i="75"/>
  <c r="AH69" i="75"/>
  <c r="AF21" i="75"/>
  <c r="AF72" i="75"/>
  <c r="F26" i="82"/>
  <c r="AH30" i="75"/>
  <c r="W30" i="75"/>
  <c r="AD30" i="75"/>
  <c r="AH36" i="75"/>
  <c r="AD36" i="75"/>
  <c r="AL17" i="82"/>
  <c r="AF12" i="75"/>
  <c r="AH22" i="75"/>
  <c r="W22" i="75"/>
  <c r="AD22" i="75"/>
  <c r="AH74" i="75"/>
  <c r="AH45" i="75"/>
  <c r="Z75" i="75"/>
  <c r="W39" i="75"/>
  <c r="AD39" i="75"/>
  <c r="AH39" i="75"/>
  <c r="AD50" i="75"/>
  <c r="AH50" i="75"/>
  <c r="J20" i="75"/>
  <c r="J71" i="75"/>
  <c r="K22" i="75"/>
  <c r="J21" i="75"/>
  <c r="W49" i="75"/>
  <c r="Y49" i="75"/>
  <c r="Z49" i="75"/>
  <c r="AC49" i="75"/>
  <c r="AE49" i="75"/>
  <c r="AI49" i="75"/>
  <c r="AK49" i="75"/>
  <c r="AM49" i="75"/>
  <c r="J8" i="75"/>
  <c r="K9" i="75"/>
  <c r="K69" i="75"/>
  <c r="E41" i="80"/>
  <c r="D41" i="80"/>
  <c r="AH25" i="75"/>
  <c r="AD25" i="75"/>
  <c r="J72" i="75"/>
  <c r="AF123" i="80"/>
  <c r="AF46" i="80"/>
  <c r="AA123" i="80"/>
  <c r="AA57" i="80"/>
  <c r="K12" i="75"/>
  <c r="J11" i="75"/>
  <c r="X123" i="80"/>
  <c r="X46" i="80"/>
  <c r="AH40" i="75"/>
  <c r="W40" i="75"/>
  <c r="AD40" i="75"/>
  <c r="AI73" i="75"/>
  <c r="E28" i="82"/>
  <c r="AG71" i="75"/>
  <c r="D125" i="80"/>
  <c r="D70" i="80"/>
  <c r="E70" i="80"/>
  <c r="AH11" i="75"/>
  <c r="W11" i="75"/>
  <c r="AD11" i="75"/>
  <c r="AL18" i="82"/>
  <c r="AF13" i="75"/>
  <c r="AD29" i="75"/>
  <c r="AH29" i="75"/>
  <c r="AH53" i="75"/>
  <c r="W53" i="75"/>
  <c r="AD53" i="75"/>
  <c r="AH68" i="75"/>
  <c r="AD68" i="75"/>
  <c r="AF121" i="80"/>
  <c r="AF22" i="80"/>
  <c r="E45" i="82"/>
  <c r="E44" i="82"/>
  <c r="AM20" i="75"/>
  <c r="AK20" i="75"/>
  <c r="AI20" i="75"/>
  <c r="AE20" i="75"/>
  <c r="AC20" i="75"/>
  <c r="Z20" i="75"/>
  <c r="W20" i="75"/>
  <c r="Y20" i="75"/>
  <c r="AC118" i="80"/>
  <c r="AE73" i="75"/>
  <c r="W75" i="75"/>
  <c r="E89" i="80"/>
  <c r="D89" i="80"/>
  <c r="T124" i="80"/>
  <c r="T58" i="80"/>
  <c r="S10" i="80"/>
  <c r="S118" i="80"/>
  <c r="AH4" i="75"/>
  <c r="AH3" i="75"/>
  <c r="AM46" i="75"/>
  <c r="AK46" i="75"/>
  <c r="Y46" i="75"/>
  <c r="Z46" i="75"/>
  <c r="AC46" i="75"/>
  <c r="AE46" i="75"/>
  <c r="AI46" i="75"/>
  <c r="O122" i="80"/>
  <c r="O34" i="80"/>
  <c r="K13" i="75"/>
  <c r="J12" i="75"/>
  <c r="F37" i="82"/>
  <c r="F28" i="82"/>
  <c r="AG72" i="75"/>
  <c r="L120" i="80"/>
  <c r="L10" i="80"/>
  <c r="AD122" i="80"/>
  <c r="AD34" i="80"/>
  <c r="O124" i="80"/>
  <c r="O58" i="80"/>
  <c r="AE129" i="80"/>
  <c r="AE120" i="80"/>
  <c r="BC4" i="88"/>
  <c r="BC3" i="88"/>
  <c r="AD124" i="80"/>
  <c r="AD58" i="80"/>
  <c r="K34" i="75"/>
  <c r="J33" i="75"/>
  <c r="P10" i="80"/>
  <c r="P118" i="80"/>
  <c r="AM73" i="75"/>
  <c r="AM33" i="75"/>
  <c r="E107" i="80"/>
  <c r="D107" i="80"/>
  <c r="E39" i="80"/>
  <c r="D39" i="80"/>
  <c r="W24" i="75"/>
  <c r="AD24" i="75"/>
  <c r="AH24" i="75"/>
  <c r="E37" i="80"/>
  <c r="D37" i="80"/>
  <c r="E24" i="80"/>
  <c r="D24" i="80"/>
  <c r="W50" i="75"/>
  <c r="Y50" i="75"/>
  <c r="Z50" i="75"/>
  <c r="AC50" i="75"/>
  <c r="AE50" i="75"/>
  <c r="AI50" i="75"/>
  <c r="AK50" i="75"/>
  <c r="AM50" i="75"/>
  <c r="I26" i="82"/>
  <c r="AF75" i="75"/>
  <c r="AF57" i="75"/>
  <c r="W16" i="75"/>
  <c r="Y16" i="75"/>
  <c r="Z16" i="75"/>
  <c r="AC16" i="75"/>
  <c r="AE16" i="75"/>
  <c r="AI16" i="75"/>
  <c r="AK16" i="75"/>
  <c r="AM16" i="75"/>
  <c r="AI75" i="75"/>
  <c r="V121" i="80"/>
  <c r="V22" i="80"/>
  <c r="K64" i="75"/>
  <c r="J63" i="75"/>
  <c r="X75" i="75"/>
  <c r="X68" i="75"/>
  <c r="X67" i="75"/>
  <c r="X57" i="75"/>
  <c r="X58" i="75"/>
  <c r="X59" i="75"/>
  <c r="X60" i="75"/>
  <c r="X61" i="75"/>
  <c r="X62" i="75"/>
  <c r="X63" i="75"/>
  <c r="X64" i="75"/>
  <c r="X65" i="75"/>
  <c r="X66" i="75"/>
  <c r="K59" i="75"/>
  <c r="J58" i="75"/>
  <c r="X118" i="80"/>
  <c r="AH8" i="75"/>
  <c r="AH2" i="75"/>
  <c r="AH5" i="75"/>
  <c r="W37" i="75"/>
  <c r="Y37" i="75"/>
  <c r="Z37" i="75"/>
  <c r="AC37" i="75"/>
  <c r="AE37" i="75"/>
  <c r="AI37" i="75"/>
  <c r="AK37" i="75"/>
  <c r="AM37" i="75"/>
  <c r="W35" i="75"/>
  <c r="AD35" i="75"/>
  <c r="AH35" i="75"/>
  <c r="E62" i="80"/>
  <c r="D62" i="80"/>
  <c r="AC72" i="75"/>
  <c r="AL40" i="82"/>
  <c r="AF35" i="75"/>
  <c r="O118" i="80"/>
  <c r="K62" i="75"/>
  <c r="J61" i="75"/>
  <c r="E97" i="80"/>
  <c r="D97" i="80"/>
  <c r="AH46" i="75"/>
  <c r="W46" i="75"/>
  <c r="AD46" i="75"/>
  <c r="K17" i="75"/>
  <c r="J16" i="75"/>
  <c r="AM52" i="75"/>
  <c r="Y52" i="75"/>
  <c r="Z52" i="75"/>
  <c r="AC52" i="75"/>
  <c r="AE52" i="75"/>
  <c r="AI52" i="75"/>
  <c r="AK52" i="75"/>
  <c r="E56" i="80"/>
  <c r="D56" i="80"/>
  <c r="I34" i="82"/>
  <c r="I27" i="82"/>
  <c r="I24" i="82"/>
  <c r="Y75" i="75"/>
  <c r="AL23" i="82"/>
  <c r="AF18" i="75"/>
  <c r="AM31" i="75"/>
  <c r="AK31" i="75"/>
  <c r="AI31" i="75"/>
  <c r="AE31" i="75"/>
  <c r="AC31" i="75"/>
  <c r="W31" i="75"/>
  <c r="Y31" i="75"/>
  <c r="Z31" i="75"/>
  <c r="O121" i="80"/>
  <c r="O22" i="80"/>
  <c r="AC124" i="80"/>
  <c r="AC58" i="80"/>
  <c r="AF118" i="80"/>
  <c r="AK76" i="75"/>
  <c r="AM12" i="75"/>
  <c r="AK12" i="75"/>
  <c r="AI12" i="75"/>
  <c r="AE12" i="75"/>
  <c r="AC12" i="75"/>
  <c r="Z12" i="75"/>
  <c r="Y12" i="75"/>
  <c r="E17" i="80"/>
  <c r="D17" i="80"/>
  <c r="Y124" i="80"/>
  <c r="Y58" i="80"/>
  <c r="AH17" i="75"/>
  <c r="AD17" i="75"/>
  <c r="AL28" i="82"/>
  <c r="AF23" i="75"/>
  <c r="E45" i="80"/>
  <c r="D45" i="80"/>
  <c r="AL47" i="82"/>
  <c r="AF42" i="75"/>
  <c r="W27" i="75"/>
  <c r="AD27" i="75"/>
  <c r="AH27" i="75"/>
  <c r="X10" i="80"/>
  <c r="X120" i="80"/>
  <c r="X129" i="80"/>
  <c r="Q10" i="80"/>
  <c r="Q118" i="80"/>
  <c r="E168" i="74"/>
  <c r="AK8" i="75"/>
  <c r="AK2" i="75"/>
  <c r="AK5" i="75"/>
  <c r="H37" i="82"/>
  <c r="AL15" i="82"/>
  <c r="AF10" i="75"/>
  <c r="AH44" i="75"/>
  <c r="AD44" i="75"/>
  <c r="AH60" i="75"/>
  <c r="W60" i="75"/>
  <c r="AD60" i="75"/>
  <c r="W26" i="75"/>
  <c r="Y26" i="75"/>
  <c r="Z26" i="75"/>
  <c r="AC26" i="75"/>
  <c r="AE26" i="75"/>
  <c r="AI26" i="75"/>
  <c r="AK26" i="75"/>
  <c r="AM26" i="75"/>
  <c r="O10" i="80"/>
  <c r="O120" i="80"/>
  <c r="O129" i="80"/>
  <c r="W54" i="75"/>
  <c r="Y54" i="75"/>
  <c r="Z54" i="75"/>
  <c r="AC54" i="75"/>
  <c r="AE54" i="75"/>
  <c r="AI54" i="75"/>
  <c r="AK54" i="75"/>
  <c r="AM54" i="75"/>
  <c r="W34" i="75"/>
  <c r="Y34" i="75"/>
  <c r="Z34" i="75"/>
  <c r="AC34" i="75"/>
  <c r="AE34" i="75"/>
  <c r="AI34" i="75"/>
  <c r="AK34" i="75"/>
  <c r="AM34" i="75"/>
  <c r="K32" i="75"/>
  <c r="J31" i="75"/>
  <c r="W65" i="75"/>
  <c r="AD65" i="75"/>
  <c r="AH65" i="75"/>
  <c r="L123" i="80"/>
  <c r="L46" i="80"/>
  <c r="Y38" i="75"/>
  <c r="Z38" i="75"/>
  <c r="AC38" i="75"/>
  <c r="AE38" i="75"/>
  <c r="AI38" i="75"/>
  <c r="AK38" i="75"/>
  <c r="AM38" i="75"/>
  <c r="AE72" i="75"/>
  <c r="AL27" i="82"/>
  <c r="AF22" i="75"/>
  <c r="X72" i="75"/>
  <c r="I33" i="82"/>
  <c r="AK75" i="75"/>
  <c r="E78" i="80"/>
  <c r="D78" i="80"/>
  <c r="AE122" i="80"/>
  <c r="AE34" i="80"/>
  <c r="K15" i="75"/>
  <c r="J14" i="75"/>
  <c r="S124" i="80"/>
  <c r="S58" i="80"/>
  <c r="E68" i="80"/>
  <c r="D68" i="80"/>
  <c r="W74" i="75"/>
  <c r="AF10" i="80"/>
  <c r="AF120" i="80"/>
  <c r="AF129" i="80"/>
  <c r="AD123" i="80"/>
  <c r="AD46" i="80"/>
  <c r="AH52" i="75"/>
  <c r="W52" i="75"/>
  <c r="AD52" i="75"/>
  <c r="AK71" i="75"/>
  <c r="E33" i="82"/>
  <c r="K33" i="82"/>
  <c r="BC2" i="88"/>
  <c r="BC5" i="88"/>
  <c r="AM74" i="75"/>
  <c r="AM45" i="75"/>
  <c r="Z73" i="75"/>
  <c r="AL46" i="82"/>
  <c r="AF41" i="75"/>
  <c r="K36" i="75"/>
  <c r="J35" i="75"/>
  <c r="U121" i="80"/>
  <c r="U22" i="80"/>
  <c r="Z122" i="80"/>
  <c r="Z34" i="80"/>
  <c r="AM13" i="75"/>
  <c r="AK13" i="75"/>
  <c r="AI13" i="75"/>
  <c r="AE13" i="75"/>
  <c r="W13" i="75"/>
  <c r="Y13" i="75"/>
  <c r="Z13" i="75"/>
  <c r="AC13" i="75"/>
  <c r="AL25" i="82"/>
  <c r="AF20" i="75"/>
  <c r="E72" i="80"/>
  <c r="D72" i="80"/>
  <c r="E108" i="80"/>
  <c r="D108" i="80"/>
  <c r="K24" i="82"/>
  <c r="AC74" i="75"/>
  <c r="AE121" i="80"/>
  <c r="AE22" i="80"/>
  <c r="AJ123" i="80"/>
  <c r="AJ46" i="80"/>
  <c r="K68" i="75"/>
  <c r="J67" i="75"/>
  <c r="AH32" i="75"/>
  <c r="W32" i="75"/>
  <c r="AD32" i="75"/>
  <c r="E81" i="80"/>
  <c r="D81" i="80"/>
  <c r="Z10" i="80"/>
  <c r="Z118" i="80"/>
  <c r="AC73" i="75"/>
  <c r="AD58" i="75"/>
  <c r="AH58" i="75"/>
  <c r="AL39" i="82"/>
  <c r="AF34" i="75"/>
  <c r="AM76" i="75"/>
  <c r="AM71" i="75"/>
  <c r="AK9" i="75"/>
  <c r="AM9" i="75"/>
  <c r="AC10" i="80"/>
  <c r="AC120" i="80"/>
  <c r="AC129" i="80"/>
  <c r="E34" i="82"/>
  <c r="AL45" i="82"/>
  <c r="AF40" i="75"/>
  <c r="AM64" i="75"/>
  <c r="AK64" i="75"/>
  <c r="AI64" i="75"/>
  <c r="AE64" i="75"/>
  <c r="AC64" i="75"/>
  <c r="Z64" i="75"/>
  <c r="Y64" i="75"/>
  <c r="AD75" i="75"/>
  <c r="I25" i="82"/>
  <c r="Z33" i="75"/>
  <c r="AC33" i="75"/>
  <c r="AE33" i="75"/>
  <c r="AI33" i="75"/>
  <c r="AK33" i="75"/>
  <c r="AK73" i="75"/>
  <c r="G33" i="82"/>
  <c r="K60" i="75"/>
  <c r="J59" i="75"/>
  <c r="G7" i="82"/>
  <c r="AP8" i="75"/>
  <c r="AM25" i="75"/>
  <c r="AK25" i="75"/>
  <c r="AI25" i="75"/>
  <c r="AE25" i="75"/>
  <c r="AC25" i="75"/>
  <c r="W25" i="75"/>
  <c r="Y25" i="75"/>
  <c r="Z25" i="75"/>
  <c r="AM23" i="75"/>
  <c r="AK23" i="75"/>
  <c r="AI23" i="75"/>
  <c r="AE23" i="75"/>
  <c r="AC23" i="75"/>
  <c r="Z23" i="75"/>
  <c r="Y23" i="75"/>
  <c r="AH66" i="75"/>
  <c r="W66" i="75"/>
  <c r="AD66" i="75"/>
  <c r="E24" i="82"/>
  <c r="E27" i="82"/>
  <c r="K27" i="82"/>
  <c r="K34" i="82"/>
  <c r="E38" i="80"/>
  <c r="D38" i="80"/>
  <c r="AH123" i="80"/>
  <c r="AH46" i="80"/>
  <c r="AH9" i="75"/>
  <c r="AH71" i="75"/>
  <c r="AH76" i="75"/>
  <c r="W62" i="75"/>
  <c r="AD62" i="75"/>
  <c r="AH62" i="75"/>
  <c r="AL41" i="82"/>
  <c r="AF36" i="75"/>
  <c r="H34" i="82"/>
  <c r="H27" i="82"/>
  <c r="H24" i="82"/>
  <c r="Y74" i="75"/>
  <c r="M121" i="80"/>
  <c r="M22" i="80"/>
  <c r="J74" i="75"/>
  <c r="W43" i="75"/>
  <c r="Y43" i="75"/>
  <c r="Z43" i="75"/>
  <c r="AC43" i="75"/>
  <c r="AE43" i="75"/>
  <c r="AI43" i="75"/>
  <c r="AK43" i="75"/>
  <c r="AM43" i="75"/>
  <c r="E87" i="80"/>
  <c r="D87" i="80"/>
  <c r="K58" i="75"/>
  <c r="J57" i="75"/>
  <c r="AF7" i="82"/>
  <c r="AF6" i="82"/>
  <c r="Y69" i="75"/>
  <c r="AJ124" i="80"/>
  <c r="AJ58" i="80"/>
  <c r="N123" i="80"/>
  <c r="N57" i="80"/>
  <c r="AL48" i="82"/>
  <c r="AF43" i="75"/>
  <c r="E112" i="80"/>
  <c r="D112" i="80"/>
  <c r="E44" i="80"/>
  <c r="D44" i="80"/>
  <c r="J32" i="75"/>
  <c r="K33" i="75"/>
  <c r="K73" i="75"/>
  <c r="AM17" i="75"/>
  <c r="AK17" i="75"/>
  <c r="AI17" i="75"/>
  <c r="AE17" i="75"/>
  <c r="W17" i="75"/>
  <c r="Y17" i="75"/>
  <c r="Z17" i="75"/>
  <c r="AC17" i="75"/>
  <c r="P121" i="80"/>
  <c r="P22" i="80"/>
  <c r="X45" i="75"/>
  <c r="X46" i="75"/>
  <c r="X47" i="75"/>
  <c r="X48" i="75"/>
  <c r="X49" i="75"/>
  <c r="X50" i="75"/>
  <c r="X51" i="75"/>
  <c r="X52" i="75"/>
  <c r="X53" i="75"/>
  <c r="X54" i="75"/>
  <c r="X55" i="75"/>
  <c r="X56" i="75"/>
  <c r="X74" i="75"/>
  <c r="E102" i="80"/>
  <c r="D102" i="80"/>
  <c r="Y28" i="75"/>
  <c r="Z28" i="75"/>
  <c r="AC28" i="75"/>
  <c r="AE28" i="75"/>
  <c r="AI28" i="75"/>
  <c r="AK28" i="75"/>
  <c r="AM28" i="75"/>
  <c r="AK13" i="82"/>
  <c r="AK50" i="82"/>
  <c r="F25" i="82"/>
  <c r="AD72" i="75"/>
  <c r="AM68" i="75"/>
  <c r="AK68" i="75"/>
  <c r="AI68" i="75"/>
  <c r="AE68" i="75"/>
  <c r="W68" i="75"/>
  <c r="Y68" i="75"/>
  <c r="Z68" i="75"/>
  <c r="AC68" i="75"/>
  <c r="H33" i="82"/>
  <c r="AK45" i="75"/>
  <c r="AK74" i="75"/>
  <c r="P124" i="80"/>
  <c r="P58" i="80"/>
  <c r="AF45" i="75"/>
  <c r="AF74" i="75"/>
  <c r="H26" i="82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C33" i="80"/>
  <c r="C34" i="80"/>
  <c r="C35" i="80"/>
  <c r="C36" i="80"/>
  <c r="C37" i="80"/>
  <c r="C38" i="80"/>
  <c r="C39" i="80"/>
  <c r="C40" i="80"/>
  <c r="C41" i="80"/>
  <c r="C42" i="80"/>
  <c r="C43" i="80"/>
  <c r="C44" i="80"/>
  <c r="C45" i="80"/>
  <c r="C46" i="80"/>
  <c r="C47" i="80"/>
  <c r="C48" i="80"/>
  <c r="C49" i="80"/>
  <c r="C50" i="80"/>
  <c r="C51" i="80"/>
  <c r="C52" i="80"/>
  <c r="C53" i="80"/>
  <c r="C54" i="80"/>
  <c r="C55" i="80"/>
  <c r="C56" i="80"/>
  <c r="C57" i="80"/>
  <c r="C58" i="80"/>
  <c r="C59" i="80"/>
  <c r="C60" i="80"/>
  <c r="C61" i="80"/>
  <c r="C62" i="80"/>
  <c r="C63" i="80"/>
  <c r="C64" i="80"/>
  <c r="C65" i="80"/>
  <c r="C66" i="80"/>
  <c r="C67" i="80"/>
  <c r="C68" i="80"/>
  <c r="C69" i="80"/>
  <c r="C124" i="80"/>
  <c r="K40" i="75"/>
  <c r="J39" i="75"/>
  <c r="AL42" i="82"/>
  <c r="AF37" i="75"/>
  <c r="E53" i="80"/>
  <c r="D53" i="80"/>
  <c r="E64" i="80"/>
  <c r="D64" i="80"/>
  <c r="AH23" i="75"/>
  <c r="W23" i="75"/>
  <c r="AD23" i="75"/>
  <c r="K11" i="75"/>
  <c r="J10" i="75"/>
  <c r="J56" i="75"/>
  <c r="K57" i="75"/>
  <c r="K75" i="75"/>
  <c r="K30" i="75"/>
  <c r="J29" i="75"/>
  <c r="AI72" i="75"/>
  <c r="W58" i="75"/>
  <c r="Y58" i="75"/>
  <c r="Z58" i="75"/>
  <c r="AC58" i="75"/>
  <c r="AE58" i="75"/>
  <c r="AI58" i="75"/>
  <c r="AK58" i="75"/>
  <c r="AM58" i="75"/>
  <c r="W69" i="75"/>
  <c r="Z74" i="75"/>
  <c r="W44" i="75"/>
  <c r="Y44" i="75"/>
  <c r="Z44" i="75"/>
  <c r="AC44" i="75"/>
  <c r="AE44" i="75"/>
  <c r="AI44" i="75"/>
  <c r="AK44" i="75"/>
  <c r="AM44" i="75"/>
  <c r="S122" i="80"/>
  <c r="S34" i="80"/>
  <c r="AH72" i="75"/>
  <c r="AD21" i="75"/>
  <c r="AH21" i="75"/>
  <c r="AI9" i="75"/>
  <c r="AI71" i="75"/>
  <c r="AI76" i="75"/>
  <c r="AE57" i="75"/>
  <c r="AI57" i="75"/>
  <c r="AK57" i="75"/>
  <c r="AM57" i="75"/>
  <c r="AM75" i="75"/>
  <c r="AI45" i="75"/>
  <c r="AI74" i="75"/>
  <c r="K38" i="75"/>
  <c r="J37" i="75"/>
  <c r="AL33" i="82"/>
  <c r="AF28" i="75"/>
  <c r="K46" i="75"/>
  <c r="J45" i="75"/>
  <c r="N121" i="80"/>
  <c r="N33" i="80"/>
  <c r="AL35" i="82"/>
  <c r="AF30" i="75"/>
  <c r="AL34" i="82"/>
  <c r="AF29" i="75"/>
  <c r="W42" i="75"/>
  <c r="AD42" i="75"/>
  <c r="AH42" i="75"/>
  <c r="W48" i="75"/>
  <c r="Y48" i="75"/>
  <c r="Z48" i="75"/>
  <c r="AC48" i="75"/>
  <c r="AE48" i="75"/>
  <c r="AI48" i="75"/>
  <c r="AK48" i="75"/>
  <c r="AM48" i="75"/>
  <c r="AD57" i="75"/>
  <c r="AH57" i="75"/>
  <c r="AH75" i="75"/>
  <c r="W36" i="75"/>
  <c r="Y36" i="75"/>
  <c r="Z36" i="75"/>
  <c r="AC36" i="75"/>
  <c r="AE36" i="75"/>
  <c r="AI36" i="75"/>
  <c r="AK36" i="75"/>
  <c r="AM36" i="75"/>
  <c r="AC122" i="80"/>
  <c r="AC34" i="80"/>
  <c r="M122" i="80"/>
  <c r="M34" i="80"/>
  <c r="E32" i="80"/>
  <c r="D32" i="80"/>
  <c r="AM72" i="75"/>
  <c r="AM21" i="75"/>
  <c r="AL31" i="82"/>
  <c r="AF26" i="75"/>
  <c r="AE10" i="80"/>
  <c r="AE118" i="80"/>
  <c r="G34" i="82"/>
  <c r="G27" i="82"/>
  <c r="Y33" i="75"/>
  <c r="Y73" i="75"/>
  <c r="G24" i="82"/>
  <c r="W28" i="75"/>
  <c r="AD28" i="75"/>
  <c r="AH28" i="75"/>
  <c r="K25" i="82"/>
  <c r="E25" i="82"/>
  <c r="W121" i="80"/>
  <c r="W22" i="80"/>
  <c r="K50" i="75"/>
  <c r="J49" i="75"/>
  <c r="W12" i="75"/>
  <c r="AD12" i="75"/>
  <c r="AH12" i="75"/>
  <c r="K31" i="75"/>
  <c r="J30" i="75"/>
  <c r="X8" i="75"/>
  <c r="X9" i="75"/>
  <c r="X10" i="75"/>
  <c r="X11" i="75"/>
  <c r="X12" i="75"/>
  <c r="X13" i="75"/>
  <c r="X14" i="75"/>
  <c r="X15" i="75"/>
  <c r="X16" i="75"/>
  <c r="X17" i="75"/>
  <c r="X18" i="75"/>
  <c r="X19" i="75"/>
  <c r="X20" i="75"/>
  <c r="X21" i="75"/>
  <c r="X22" i="75"/>
  <c r="X23" i="75"/>
  <c r="X24" i="75"/>
  <c r="X25" i="75"/>
  <c r="X26" i="75"/>
  <c r="X27" i="75"/>
  <c r="X28" i="75"/>
  <c r="X29" i="75"/>
  <c r="X30" i="75"/>
  <c r="X31" i="75"/>
  <c r="X32" i="75"/>
  <c r="X33" i="75"/>
  <c r="X34" i="75"/>
  <c r="X35" i="75"/>
  <c r="X36" i="75"/>
  <c r="X37" i="75"/>
  <c r="X38" i="75"/>
  <c r="X39" i="75"/>
  <c r="X40" i="75"/>
  <c r="X41" i="75"/>
  <c r="X42" i="75"/>
  <c r="X43" i="75"/>
  <c r="X44" i="75"/>
  <c r="X73" i="75"/>
  <c r="Y45" i="75"/>
  <c r="Z45" i="75"/>
  <c r="AC45" i="75"/>
  <c r="AE45" i="75"/>
  <c r="AE74" i="75"/>
  <c r="E36" i="80"/>
  <c r="D36" i="80"/>
  <c r="Z124" i="80"/>
  <c r="Z58" i="80"/>
  <c r="U118" i="80"/>
  <c r="AD118" i="80"/>
  <c r="E101" i="80"/>
  <c r="D101" i="80"/>
  <c r="J73" i="75"/>
  <c r="E95" i="80"/>
  <c r="D95" i="80"/>
  <c r="AE9" i="75"/>
  <c r="AE69" i="75"/>
  <c r="E47" i="80"/>
  <c r="D47" i="80"/>
  <c r="E84" i="80"/>
  <c r="D84" i="80"/>
  <c r="W72" i="75"/>
  <c r="Y122" i="80"/>
  <c r="Y34" i="80"/>
  <c r="E91" i="80"/>
  <c r="D91" i="80"/>
  <c r="Y72" i="75"/>
  <c r="F24" i="82"/>
  <c r="F27" i="82"/>
  <c r="F34" i="82"/>
  <c r="AF76" i="75"/>
  <c r="AC69" i="75"/>
  <c r="T122" i="80"/>
  <c r="T34" i="80"/>
  <c r="E85" i="80"/>
  <c r="D85" i="80"/>
  <c r="U10" i="80"/>
  <c r="U120" i="80"/>
  <c r="U129" i="80"/>
  <c r="AD10" i="80"/>
  <c r="AD120" i="80"/>
  <c r="AD129" i="80"/>
  <c r="E74" i="80"/>
  <c r="D74" i="80"/>
  <c r="W45" i="75"/>
  <c r="AD45" i="75"/>
  <c r="AD74" i="75"/>
  <c r="H25" i="82"/>
  <c r="J44" i="75"/>
  <c r="K45" i="75"/>
  <c r="K74" i="75"/>
  <c r="R120" i="80"/>
  <c r="R21" i="80"/>
  <c r="W55" i="75"/>
  <c r="AD55" i="75"/>
  <c r="AH55" i="75"/>
  <c r="Y71" i="75"/>
  <c r="Y76" i="75"/>
  <c r="AD71" i="75"/>
  <c r="AD76" i="75"/>
  <c r="W29" i="75"/>
  <c r="Y29" i="75"/>
  <c r="Z29" i="75"/>
  <c r="AC29" i="75"/>
  <c r="AE29" i="75"/>
  <c r="AI29" i="75"/>
  <c r="AK29" i="75"/>
  <c r="AM29" i="75"/>
  <c r="K49" i="75"/>
  <c r="J48" i="75"/>
  <c r="F7" i="82"/>
  <c r="N27" i="77"/>
  <c r="E7" i="82"/>
  <c r="AL16" i="82"/>
  <c r="AF11" i="75"/>
  <c r="W38" i="75"/>
  <c r="AD38" i="75"/>
  <c r="AH38" i="75"/>
  <c r="R122" i="80"/>
  <c r="R45" i="80"/>
  <c r="W21" i="75"/>
  <c r="Y21" i="75"/>
  <c r="Z21" i="75"/>
  <c r="AC21" i="75"/>
  <c r="AE21" i="75"/>
  <c r="AI21" i="75"/>
  <c r="AK21" i="75"/>
  <c r="AK72" i="75"/>
  <c r="F33" i="82"/>
  <c r="T123" i="80"/>
  <c r="T46" i="80"/>
  <c r="W57" i="75"/>
  <c r="Y57" i="75"/>
  <c r="Z57" i="75"/>
  <c r="AC57" i="75"/>
  <c r="AC75" i="75"/>
  <c r="AH121" i="80"/>
  <c r="AH22" i="80"/>
  <c r="AA122" i="80"/>
  <c r="AA45" i="80"/>
  <c r="W33" i="75"/>
  <c r="AD33" i="75"/>
  <c r="AD73" i="75"/>
  <c r="G25" i="82"/>
  <c r="J27" i="75"/>
  <c r="K28" i="75"/>
  <c r="AG64" i="75"/>
  <c r="AG65" i="75"/>
  <c r="AG66" i="75"/>
  <c r="AG67" i="75"/>
  <c r="AG68" i="75"/>
  <c r="AG75" i="75"/>
  <c r="I28" i="82"/>
  <c r="AF9" i="75"/>
  <c r="AF71" i="75"/>
  <c r="E26" i="82"/>
  <c r="K26" i="82"/>
  <c r="Y9" i="75"/>
  <c r="Z9" i="75"/>
  <c r="AC9" i="75"/>
  <c r="AC71" i="75"/>
  <c r="AC76" i="75"/>
  <c r="AA25" i="80"/>
  <c r="AA27" i="80"/>
  <c r="AA43" i="80"/>
  <c r="N31" i="80"/>
  <c r="X32" i="80"/>
  <c r="T54" i="80"/>
  <c r="M51" i="80"/>
  <c r="O16" i="80"/>
  <c r="T36" i="80"/>
  <c r="R39" i="80"/>
  <c r="AE49" i="80"/>
  <c r="AG18" i="80"/>
  <c r="AH38" i="80"/>
  <c r="Y27" i="80"/>
  <c r="AA28" i="80"/>
  <c r="AB49" i="80"/>
  <c r="AD37" i="80"/>
  <c r="M21" i="80"/>
  <c r="AJ55" i="80"/>
  <c r="R28" i="80"/>
  <c r="AE26" i="80"/>
  <c r="L47" i="80"/>
  <c r="W36" i="80"/>
  <c r="Z44" i="80"/>
  <c r="U24" i="80"/>
  <c r="AC18" i="80"/>
  <c r="AJ32" i="80"/>
  <c r="R38" i="80"/>
  <c r="AF49" i="80"/>
  <c r="Y28" i="80"/>
  <c r="AI40" i="80"/>
  <c r="R32" i="80"/>
  <c r="X20" i="80"/>
  <c r="U40" i="80"/>
  <c r="U56" i="80"/>
  <c r="L36" i="80"/>
  <c r="O52" i="80"/>
  <c r="AB51" i="80"/>
  <c r="Z40" i="80"/>
  <c r="AE55" i="80"/>
  <c r="Z21" i="80"/>
  <c r="AA11" i="80"/>
  <c r="Z16" i="80"/>
  <c r="AJ33" i="80"/>
  <c r="AB31" i="80"/>
  <c r="X11" i="80"/>
  <c r="P21" i="80"/>
  <c r="M20" i="80"/>
  <c r="M15" i="80"/>
  <c r="AA39" i="80"/>
  <c r="AD57" i="80"/>
  <c r="AB36" i="80"/>
  <c r="S44" i="80"/>
  <c r="N13" i="80"/>
  <c r="Z50" i="80"/>
  <c r="AJ50" i="80"/>
  <c r="AF43" i="80"/>
  <c r="AB17" i="80"/>
  <c r="R31" i="80"/>
  <c r="N34" i="80"/>
  <c r="AG24" i="80"/>
  <c r="AD56" i="80"/>
  <c r="AF27" i="80"/>
  <c r="R49" i="80"/>
  <c r="AC28" i="80"/>
  <c r="W51" i="80"/>
  <c r="T14" i="80"/>
  <c r="AG29" i="80"/>
  <c r="Y35" i="80"/>
  <c r="AD43" i="80"/>
  <c r="AG47" i="80"/>
  <c r="AH27" i="80"/>
  <c r="O56" i="80"/>
  <c r="T13" i="80"/>
  <c r="R27" i="80"/>
  <c r="T19" i="80"/>
  <c r="AG41" i="80"/>
  <c r="S33" i="80"/>
  <c r="AA49" i="80"/>
  <c r="T28" i="80"/>
  <c r="S36" i="80"/>
  <c r="M12" i="80"/>
  <c r="T41" i="80"/>
  <c r="AC55" i="80"/>
  <c r="AA55" i="80"/>
  <c r="O54" i="80"/>
  <c r="AF20" i="80"/>
  <c r="W19" i="80"/>
  <c r="U26" i="80"/>
  <c r="V33" i="80"/>
  <c r="AI49" i="80"/>
  <c r="AI32" i="80"/>
  <c r="AJ13" i="80"/>
  <c r="P20" i="80"/>
  <c r="Y39" i="80"/>
  <c r="AC24" i="80"/>
  <c r="Y31" i="80"/>
  <c r="N43" i="80"/>
  <c r="L56" i="80"/>
  <c r="P24" i="80"/>
  <c r="W33" i="80"/>
  <c r="AB16" i="80"/>
  <c r="Y12" i="80"/>
  <c r="AC20" i="80"/>
  <c r="AG11" i="80"/>
  <c r="AJ17" i="80"/>
  <c r="AA41" i="80"/>
  <c r="L43" i="80"/>
  <c r="L45" i="80"/>
  <c r="AH56" i="80"/>
  <c r="AI25" i="80"/>
  <c r="P29" i="80"/>
  <c r="AF37" i="80"/>
  <c r="Y41" i="80"/>
  <c r="T33" i="80"/>
  <c r="AG23" i="80"/>
  <c r="T25" i="80"/>
  <c r="AE13" i="80"/>
  <c r="Q32" i="80"/>
  <c r="V27" i="80"/>
  <c r="AD48" i="80"/>
  <c r="AB33" i="80"/>
  <c r="AA17" i="80"/>
  <c r="AC23" i="80"/>
  <c r="AD38" i="80"/>
  <c r="V15" i="80"/>
  <c r="M54" i="80"/>
  <c r="S18" i="80"/>
  <c r="Q42" i="80"/>
  <c r="AE28" i="80"/>
  <c r="AH36" i="80"/>
  <c r="AD11" i="80"/>
  <c r="AH21" i="80"/>
  <c r="P32" i="80"/>
  <c r="AI41" i="80"/>
  <c r="O15" i="80"/>
  <c r="AH14" i="80"/>
  <c r="R37" i="80"/>
  <c r="Z36" i="80"/>
  <c r="N19" i="80"/>
  <c r="Q12" i="80"/>
  <c r="AG43" i="80"/>
  <c r="O45" i="80"/>
  <c r="S32" i="80"/>
  <c r="AE43" i="80"/>
  <c r="S23" i="80"/>
  <c r="AH43" i="80"/>
  <c r="AH31" i="80"/>
  <c r="AJ36" i="80"/>
  <c r="Z43" i="80"/>
  <c r="P35" i="80"/>
  <c r="AF24" i="80"/>
  <c r="AJ21" i="80"/>
  <c r="Q20" i="80"/>
  <c r="N58" i="80"/>
  <c r="AF25" i="80"/>
  <c r="O41" i="80"/>
  <c r="W52" i="80"/>
  <c r="Y53" i="80"/>
  <c r="AB20" i="80"/>
  <c r="N26" i="80"/>
  <c r="Y49" i="80"/>
  <c r="U28" i="80"/>
  <c r="AJ15" i="80"/>
  <c r="AE17" i="80"/>
  <c r="AA29" i="80"/>
  <c r="AD55" i="80"/>
  <c r="AA26" i="80"/>
  <c r="L27" i="80"/>
  <c r="AG44" i="80"/>
  <c r="AF26" i="80"/>
  <c r="AC15" i="80"/>
  <c r="T32" i="80"/>
  <c r="U49" i="80"/>
  <c r="R30" i="80"/>
  <c r="X43" i="80"/>
  <c r="T57" i="80"/>
  <c r="AA44" i="80"/>
  <c r="N27" i="80"/>
  <c r="AF48" i="80"/>
  <c r="V31" i="80"/>
  <c r="N40" i="80"/>
  <c r="S41" i="80"/>
  <c r="U55" i="80"/>
  <c r="AF47" i="80"/>
  <c r="V52" i="80"/>
  <c r="S24" i="80"/>
  <c r="X45" i="80"/>
  <c r="L31" i="80"/>
  <c r="M11" i="80"/>
  <c r="AE53" i="80"/>
  <c r="T56" i="80"/>
  <c r="W42" i="80"/>
  <c r="AD30" i="80"/>
  <c r="V24" i="80"/>
  <c r="AB23" i="80"/>
  <c r="Z19" i="80"/>
  <c r="AF17" i="80"/>
  <c r="AI38" i="80"/>
  <c r="AA20" i="80"/>
  <c r="AB57" i="80"/>
  <c r="Q19" i="80"/>
  <c r="AE15" i="80"/>
  <c r="V14" i="80"/>
  <c r="AI52" i="80"/>
  <c r="V29" i="80"/>
  <c r="Z15" i="80"/>
  <c r="AJ35" i="80"/>
  <c r="O44" i="80"/>
  <c r="AH28" i="80"/>
  <c r="S27" i="80"/>
  <c r="U38" i="80"/>
  <c r="W12" i="80"/>
  <c r="AH42" i="80"/>
  <c r="Q41" i="80"/>
  <c r="AE57" i="80"/>
  <c r="AI18" i="80"/>
  <c r="AA56" i="80"/>
  <c r="L18" i="80"/>
  <c r="AD45" i="80"/>
  <c r="Z57" i="80"/>
  <c r="V26" i="80"/>
  <c r="AA51" i="80"/>
  <c r="Y15" i="80"/>
  <c r="AE52" i="80"/>
  <c r="Y50" i="80"/>
  <c r="AI16" i="80"/>
  <c r="AJ14" i="80"/>
  <c r="R36" i="80"/>
  <c r="AD33" i="80"/>
  <c r="U30" i="80"/>
  <c r="Q27" i="80"/>
  <c r="AE30" i="80"/>
  <c r="AF13" i="80"/>
  <c r="R26" i="80"/>
  <c r="U57" i="80"/>
  <c r="R11" i="80"/>
  <c r="AJ40" i="80"/>
  <c r="R34" i="80"/>
  <c r="AB45" i="80"/>
  <c r="L21" i="80"/>
  <c r="AJ30" i="80"/>
  <c r="W39" i="80"/>
  <c r="X47" i="80"/>
  <c r="AG49" i="80"/>
  <c r="AD27" i="80"/>
  <c r="AI27" i="80"/>
  <c r="AC42" i="80"/>
  <c r="X42" i="80"/>
  <c r="S43" i="80"/>
  <c r="AG15" i="80"/>
  <c r="AB26" i="80"/>
  <c r="AC51" i="80"/>
  <c r="P48" i="80"/>
  <c r="AF57" i="80"/>
  <c r="AA53" i="80"/>
  <c r="X13" i="80"/>
  <c r="L39" i="80"/>
  <c r="N35" i="80"/>
  <c r="AH24" i="80"/>
  <c r="M33" i="80"/>
  <c r="AC11" i="80"/>
  <c r="AF51" i="80"/>
  <c r="M28" i="80"/>
  <c r="AG21" i="80"/>
  <c r="AB48" i="80"/>
  <c r="AH40" i="80"/>
  <c r="AE14" i="80"/>
  <c r="AG36" i="80"/>
  <c r="S48" i="80"/>
  <c r="AB19" i="80"/>
  <c r="AE27" i="80"/>
  <c r="AF14" i="80"/>
  <c r="S21" i="80"/>
  <c r="AD18" i="80"/>
  <c r="N53" i="80"/>
  <c r="V30" i="80"/>
  <c r="AD31" i="80"/>
  <c r="AF54" i="80"/>
  <c r="AA35" i="80"/>
  <c r="AH29" i="80"/>
  <c r="U47" i="80"/>
  <c r="Y55" i="80"/>
  <c r="Y42" i="80"/>
  <c r="N47" i="80"/>
  <c r="AE19" i="80"/>
  <c r="R24" i="80"/>
  <c r="T49" i="80"/>
  <c r="P19" i="80"/>
  <c r="AJ26" i="80"/>
  <c r="AG16" i="80"/>
  <c r="Z45" i="80"/>
  <c r="AA24" i="80"/>
  <c r="L49" i="80"/>
  <c r="AB55" i="80"/>
  <c r="AH18" i="80"/>
  <c r="AF55" i="80"/>
  <c r="AC35" i="80"/>
  <c r="AB13" i="80"/>
  <c r="T24" i="80"/>
  <c r="AA42" i="80"/>
  <c r="R17" i="80"/>
  <c r="V39" i="80"/>
  <c r="S25" i="80"/>
  <c r="L48" i="80"/>
  <c r="P54" i="80"/>
  <c r="AJ25" i="80"/>
  <c r="U16" i="80"/>
  <c r="Z33" i="80"/>
  <c r="AF19" i="80"/>
  <c r="AI53" i="80"/>
  <c r="P45" i="80"/>
  <c r="AD19" i="80"/>
  <c r="AH41" i="80"/>
  <c r="AH15" i="80"/>
  <c r="T48" i="80"/>
  <c r="S11" i="80"/>
  <c r="AG28" i="80"/>
  <c r="Q24" i="80"/>
  <c r="X54" i="80"/>
  <c r="AD32" i="80"/>
  <c r="Z55" i="80"/>
  <c r="V45" i="80"/>
  <c r="AI12" i="80"/>
  <c r="N54" i="80"/>
  <c r="AA32" i="80"/>
  <c r="R50" i="80"/>
  <c r="N29" i="80"/>
  <c r="W14" i="80"/>
  <c r="V53" i="80"/>
  <c r="AD40" i="80"/>
  <c r="N48" i="80"/>
  <c r="O19" i="80"/>
  <c r="AB42" i="80"/>
  <c r="T27" i="80"/>
  <c r="T44" i="80"/>
  <c r="AJ48" i="80"/>
  <c r="M26" i="80"/>
  <c r="AI11" i="80"/>
  <c r="S55" i="80"/>
  <c r="AI26" i="80"/>
  <c r="V17" i="80"/>
  <c r="N23" i="80"/>
  <c r="Y57" i="80"/>
  <c r="P44" i="80"/>
  <c r="AI15" i="80"/>
  <c r="AJ43" i="80"/>
  <c r="AD42" i="80"/>
  <c r="X35" i="80"/>
  <c r="T11" i="80"/>
  <c r="AD13" i="80"/>
  <c r="AC41" i="80"/>
  <c r="AJ41" i="80"/>
  <c r="W50" i="80"/>
  <c r="P12" i="80"/>
  <c r="Z29" i="80"/>
  <c r="S17" i="80"/>
  <c r="Y33" i="80"/>
  <c r="AA22" i="80"/>
  <c r="X15" i="80"/>
  <c r="AD25" i="80"/>
  <c r="W47" i="80"/>
  <c r="AH35" i="80"/>
  <c r="Y11" i="80"/>
  <c r="N14" i="80"/>
  <c r="O12" i="80"/>
  <c r="AI13" i="80"/>
  <c r="AE23" i="80"/>
  <c r="AJ11" i="80"/>
  <c r="Q29" i="80"/>
  <c r="N22" i="80"/>
  <c r="AC31" i="80"/>
  <c r="W56" i="80"/>
  <c r="AJ52" i="80"/>
  <c r="O48" i="80"/>
  <c r="W25" i="80"/>
  <c r="X33" i="80"/>
  <c r="O31" i="80"/>
  <c r="AG33" i="80"/>
  <c r="S26" i="80"/>
  <c r="AC32" i="80"/>
  <c r="AG17" i="80"/>
  <c r="AA52" i="80"/>
  <c r="AF42" i="80"/>
  <c r="Y13" i="80"/>
  <c r="AA40" i="80"/>
  <c r="S56" i="80"/>
  <c r="X18" i="80"/>
  <c r="Q48" i="80"/>
  <c r="AI21" i="80"/>
  <c r="T31" i="80"/>
  <c r="O27" i="80"/>
  <c r="AA10" i="80"/>
  <c r="X27" i="80"/>
  <c r="AF56" i="80"/>
  <c r="S20" i="80"/>
  <c r="W45" i="80"/>
  <c r="M14" i="80"/>
  <c r="R29" i="80"/>
  <c r="Z18" i="80"/>
  <c r="AC43" i="80"/>
  <c r="P57" i="80"/>
  <c r="Y48" i="80"/>
  <c r="V57" i="80"/>
  <c r="AH26" i="80"/>
  <c r="R25" i="80"/>
  <c r="O35" i="80"/>
  <c r="S28" i="80"/>
  <c r="AF12" i="80"/>
  <c r="U42" i="80"/>
  <c r="P33" i="80"/>
  <c r="P13" i="80"/>
  <c r="R58" i="80"/>
  <c r="R47" i="80"/>
  <c r="AH51" i="80"/>
  <c r="AE32" i="80"/>
  <c r="R52" i="80"/>
  <c r="O42" i="80"/>
  <c r="AA13" i="80"/>
  <c r="AI20" i="80"/>
  <c r="AE12" i="80"/>
  <c r="Z51" i="80"/>
  <c r="AF23" i="80"/>
  <c r="W37" i="80"/>
  <c r="Z13" i="80"/>
  <c r="AB11" i="80"/>
  <c r="X57" i="80"/>
  <c r="R15" i="80"/>
  <c r="S42" i="80"/>
  <c r="R42" i="80"/>
  <c r="T17" i="80"/>
  <c r="AB56" i="80"/>
  <c r="S50" i="80"/>
  <c r="AD49" i="80"/>
  <c r="X12" i="80"/>
  <c r="X37" i="80"/>
  <c r="Q37" i="80"/>
  <c r="AJ51" i="80"/>
  <c r="AB37" i="80"/>
  <c r="T29" i="80"/>
  <c r="O23" i="80"/>
  <c r="R20" i="80"/>
  <c r="N15" i="80"/>
  <c r="N56" i="80"/>
  <c r="AH25" i="80"/>
  <c r="N46" i="80"/>
  <c r="AF35" i="80"/>
  <c r="V54" i="80"/>
  <c r="P23" i="80"/>
  <c r="M18" i="80"/>
  <c r="Y32" i="80"/>
  <c r="X40" i="80"/>
  <c r="AB35" i="80"/>
  <c r="AF11" i="80"/>
  <c r="Y44" i="80"/>
  <c r="W13" i="80"/>
  <c r="AF30" i="80"/>
  <c r="AB27" i="80"/>
  <c r="AB32" i="80"/>
  <c r="T21" i="80"/>
  <c r="AG51" i="80"/>
  <c r="AH23" i="80"/>
  <c r="T12" i="80"/>
  <c r="U17" i="80"/>
  <c r="AG38" i="80"/>
  <c r="AH45" i="80"/>
  <c r="AG52" i="80"/>
  <c r="M40" i="80"/>
  <c r="Z54" i="80"/>
  <c r="AD53" i="80"/>
  <c r="R54" i="80"/>
  <c r="Y38" i="80"/>
  <c r="Q54" i="80"/>
  <c r="AJ20" i="80"/>
  <c r="W53" i="80"/>
  <c r="Z32" i="80"/>
  <c r="N18" i="80"/>
  <c r="U44" i="80"/>
  <c r="L52" i="80"/>
  <c r="W29" i="80"/>
  <c r="W24" i="80"/>
  <c r="AC37" i="80"/>
  <c r="M29" i="80"/>
  <c r="Q13" i="80"/>
  <c r="N38" i="80"/>
  <c r="T16" i="80"/>
  <c r="AI23" i="80"/>
  <c r="Q55" i="80"/>
  <c r="AD44" i="80"/>
  <c r="V41" i="80"/>
  <c r="AA30" i="80"/>
  <c r="AC38" i="80"/>
  <c r="R41" i="80"/>
  <c r="M57" i="80"/>
  <c r="P31" i="80"/>
  <c r="M35" i="80"/>
  <c r="AB43" i="80"/>
  <c r="U48" i="80"/>
  <c r="M56" i="80"/>
  <c r="N25" i="80"/>
  <c r="AA46" i="80"/>
  <c r="AA15" i="80"/>
  <c r="O39" i="80"/>
  <c r="Q36" i="80"/>
  <c r="O38" i="80"/>
  <c r="X25" i="80"/>
  <c r="AA47" i="80"/>
  <c r="AJ24" i="80"/>
  <c r="O17" i="80"/>
  <c r="S19" i="80"/>
  <c r="AB53" i="80"/>
  <c r="AJ44" i="80"/>
  <c r="AH30" i="80"/>
  <c r="Y45" i="80"/>
  <c r="AB39" i="80"/>
  <c r="AJ56" i="80"/>
  <c r="AE33" i="80"/>
  <c r="T50" i="80"/>
  <c r="AB12" i="80"/>
  <c r="AI54" i="80"/>
  <c r="O40" i="80"/>
  <c r="Z53" i="80"/>
  <c r="M27" i="80"/>
  <c r="O32" i="80"/>
  <c r="R56" i="80"/>
  <c r="V28" i="80"/>
  <c r="X39" i="80"/>
  <c r="P50" i="80"/>
  <c r="AF18" i="80"/>
  <c r="T37" i="80"/>
  <c r="Y30" i="80"/>
  <c r="Y19" i="80"/>
  <c r="AF41" i="80"/>
  <c r="R14" i="80"/>
  <c r="AG13" i="80"/>
  <c r="Q45" i="80"/>
  <c r="T26" i="80"/>
  <c r="AJ23" i="80"/>
  <c r="Y21" i="80"/>
  <c r="L29" i="80"/>
  <c r="Q47" i="80"/>
  <c r="R53" i="80"/>
  <c r="AB18" i="80"/>
  <c r="AJ37" i="80"/>
  <c r="T20" i="80"/>
  <c r="AA37" i="80"/>
  <c r="AI14" i="80"/>
  <c r="AJ27" i="80"/>
  <c r="S38" i="80"/>
  <c r="Q33" i="80"/>
  <c r="W35" i="80"/>
  <c r="AC19" i="80"/>
  <c r="X56" i="80"/>
  <c r="N10" i="80"/>
  <c r="N36" i="80"/>
  <c r="Z31" i="80"/>
  <c r="AI17" i="80"/>
  <c r="U15" i="80"/>
  <c r="M48" i="80"/>
  <c r="AB29" i="80"/>
  <c r="AB40" i="80"/>
  <c r="X30" i="80"/>
  <c r="AE24" i="80"/>
  <c r="AH47" i="80"/>
  <c r="P28" i="80"/>
  <c r="N32" i="80"/>
  <c r="AH52" i="80"/>
  <c r="M30" i="80"/>
  <c r="P41" i="80"/>
  <c r="S39" i="80"/>
  <c r="AE11" i="80"/>
  <c r="AE20" i="80"/>
  <c r="AD20" i="80"/>
  <c r="X23" i="80"/>
  <c r="AH44" i="80"/>
  <c r="M16" i="80"/>
  <c r="X48" i="80"/>
  <c r="V50" i="80"/>
  <c r="AH20" i="80"/>
  <c r="V36" i="80"/>
  <c r="X52" i="80"/>
  <c r="AH17" i="80"/>
  <c r="Y51" i="80"/>
  <c r="Z35" i="80"/>
  <c r="AD14" i="80"/>
  <c r="R12" i="80"/>
  <c r="AA54" i="80"/>
  <c r="P52" i="80"/>
  <c r="L42" i="80"/>
  <c r="AE36" i="80"/>
  <c r="W17" i="80"/>
  <c r="N42" i="80"/>
  <c r="V42" i="80"/>
  <c r="X16" i="80"/>
  <c r="AC25" i="80"/>
  <c r="W44" i="80"/>
  <c r="AC17" i="80"/>
  <c r="L37" i="80"/>
  <c r="V20" i="80"/>
  <c r="AI44" i="80"/>
  <c r="AD26" i="80"/>
  <c r="S30" i="80"/>
  <c r="AF50" i="80"/>
  <c r="R46" i="80"/>
  <c r="AC39" i="80"/>
  <c r="AB44" i="80"/>
  <c r="AH39" i="80"/>
  <c r="W30" i="80"/>
  <c r="AE31" i="80"/>
  <c r="P37" i="80"/>
  <c r="U39" i="80"/>
  <c r="S29" i="80"/>
  <c r="Z20" i="80"/>
  <c r="P51" i="80"/>
  <c r="Z27" i="80"/>
  <c r="X49" i="80"/>
  <c r="N52" i="80"/>
  <c r="AI33" i="80"/>
  <c r="Y52" i="80"/>
  <c r="M31" i="80"/>
  <c r="O43" i="80"/>
  <c r="R23" i="80"/>
  <c r="U29" i="80"/>
  <c r="V18" i="80"/>
  <c r="L30" i="80"/>
  <c r="N12" i="80"/>
  <c r="U19" i="80"/>
  <c r="L38" i="80"/>
  <c r="V37" i="80"/>
  <c r="AD35" i="80"/>
  <c r="AE54" i="80"/>
  <c r="P56" i="80"/>
  <c r="AA16" i="80"/>
  <c r="L53" i="80"/>
  <c r="AG45" i="80"/>
  <c r="AB28" i="80"/>
  <c r="U45" i="80"/>
  <c r="L20" i="80"/>
  <c r="N17" i="80"/>
  <c r="AG27" i="80"/>
  <c r="Y24" i="80"/>
  <c r="S54" i="80"/>
  <c r="U14" i="80"/>
  <c r="M25" i="80"/>
  <c r="AA31" i="80"/>
  <c r="W23" i="80"/>
  <c r="AA19" i="80"/>
  <c r="AF44" i="80"/>
  <c r="AD29" i="80"/>
  <c r="U11" i="80"/>
  <c r="U41" i="80"/>
  <c r="AF52" i="80"/>
  <c r="AC56" i="80"/>
  <c r="AI56" i="80"/>
  <c r="Q44" i="80"/>
  <c r="T38" i="80"/>
  <c r="Z48" i="80"/>
  <c r="O13" i="80"/>
  <c r="R40" i="80"/>
  <c r="W38" i="80"/>
  <c r="M43" i="80"/>
  <c r="Z12" i="80"/>
  <c r="AA14" i="80"/>
  <c r="AD50" i="80"/>
  <c r="AC52" i="80"/>
  <c r="Q43" i="80"/>
  <c r="Q23" i="80"/>
  <c r="AG35" i="80"/>
  <c r="Z30" i="80"/>
  <c r="AI28" i="80"/>
  <c r="AF31" i="80"/>
  <c r="AG48" i="80"/>
  <c r="V25" i="80"/>
  <c r="T47" i="80"/>
  <c r="AC44" i="80"/>
  <c r="L32" i="80"/>
  <c r="AA23" i="80"/>
  <c r="T51" i="80"/>
  <c r="R10" i="80"/>
  <c r="T15" i="80"/>
  <c r="Q35" i="80"/>
  <c r="M41" i="80"/>
  <c r="AG55" i="80"/>
  <c r="P14" i="80"/>
  <c r="S49" i="80"/>
  <c r="V55" i="80"/>
  <c r="Z23" i="80"/>
  <c r="Q30" i="80"/>
  <c r="W40" i="80"/>
  <c r="AG54" i="80"/>
  <c r="U13" i="80"/>
  <c r="AC49" i="80"/>
  <c r="Q49" i="80"/>
  <c r="S47" i="80"/>
  <c r="R16" i="80"/>
  <c r="P53" i="80"/>
  <c r="Q39" i="80"/>
  <c r="W55" i="80"/>
  <c r="X31" i="80"/>
  <c r="AC45" i="80"/>
  <c r="AF16" i="80"/>
  <c r="AI45" i="80"/>
  <c r="Q53" i="80"/>
  <c r="AH57" i="80"/>
  <c r="V44" i="80"/>
  <c r="V32" i="80"/>
  <c r="AJ47" i="80"/>
  <c r="W49" i="80"/>
  <c r="AG50" i="80"/>
  <c r="Q16" i="80"/>
  <c r="AD36" i="80"/>
  <c r="M17" i="80"/>
  <c r="AF28" i="80"/>
  <c r="P18" i="80"/>
  <c r="AJ49" i="80"/>
  <c r="U36" i="80"/>
  <c r="AA50" i="80"/>
  <c r="X41" i="80"/>
  <c r="AG56" i="80"/>
  <c r="S51" i="80"/>
  <c r="AJ28" i="80"/>
  <c r="AJ31" i="80"/>
  <c r="V43" i="80"/>
  <c r="U20" i="80"/>
  <c r="AD51" i="80"/>
  <c r="AH33" i="80"/>
  <c r="Q26" i="80"/>
  <c r="AJ19" i="80"/>
  <c r="Z28" i="80"/>
  <c r="Y20" i="80"/>
  <c r="S57" i="80"/>
  <c r="Z39" i="80"/>
  <c r="W32" i="80"/>
  <c r="AF39" i="80"/>
  <c r="N55" i="80"/>
  <c r="U37" i="80"/>
  <c r="L50" i="80"/>
  <c r="L35" i="80"/>
  <c r="AC47" i="80"/>
  <c r="Z37" i="80"/>
  <c r="AI37" i="80"/>
  <c r="Y29" i="80"/>
  <c r="AG14" i="80"/>
  <c r="AB21" i="80"/>
  <c r="M53" i="80"/>
  <c r="AC57" i="80"/>
  <c r="O36" i="80"/>
  <c r="AC50" i="80"/>
  <c r="AF40" i="80"/>
  <c r="Z52" i="80"/>
  <c r="R22" i="80"/>
  <c r="V11" i="80"/>
  <c r="AC40" i="80"/>
  <c r="W31" i="80"/>
  <c r="L17" i="80"/>
  <c r="AE47" i="80"/>
  <c r="L13" i="80"/>
  <c r="AC30" i="80"/>
  <c r="M45" i="80"/>
  <c r="AH11" i="80"/>
  <c r="O53" i="80"/>
  <c r="AB38" i="80"/>
  <c r="X29" i="80"/>
  <c r="M47" i="80"/>
  <c r="O14" i="80"/>
  <c r="AH13" i="80"/>
  <c r="U52" i="80"/>
  <c r="U18" i="80"/>
  <c r="W11" i="80"/>
  <c r="AI55" i="80"/>
  <c r="P36" i="80"/>
  <c r="L40" i="80"/>
  <c r="U21" i="80"/>
  <c r="V47" i="80"/>
  <c r="AJ12" i="80"/>
  <c r="AJ45" i="80"/>
  <c r="P15" i="80"/>
  <c r="AE21" i="80"/>
  <c r="S35" i="80"/>
  <c r="V38" i="80"/>
  <c r="U53" i="80"/>
  <c r="Z49" i="80"/>
  <c r="AB22" i="80"/>
  <c r="AD23" i="80"/>
  <c r="AH55" i="80"/>
  <c r="R19" i="80"/>
  <c r="AE38" i="80"/>
  <c r="AD41" i="80"/>
  <c r="AE41" i="80"/>
  <c r="AH54" i="80"/>
  <c r="U50" i="80"/>
  <c r="Y14" i="80"/>
  <c r="AD12" i="80"/>
  <c r="AB46" i="80"/>
  <c r="W28" i="80"/>
  <c r="M49" i="80"/>
  <c r="M36" i="80"/>
  <c r="Y37" i="80"/>
  <c r="AE29" i="80"/>
  <c r="T43" i="80"/>
  <c r="Q17" i="80"/>
  <c r="AJ16" i="80"/>
  <c r="Z42" i="80"/>
  <c r="L24" i="80"/>
  <c r="N39" i="80"/>
  <c r="M44" i="80"/>
  <c r="T55" i="80"/>
  <c r="R55" i="80"/>
  <c r="AF38" i="80"/>
  <c r="AD28" i="80"/>
  <c r="T52" i="80"/>
  <c r="N41" i="80"/>
  <c r="AE48" i="80"/>
  <c r="L23" i="80"/>
  <c r="R13" i="80"/>
  <c r="AC54" i="80"/>
  <c r="Y40" i="80"/>
  <c r="Z56" i="80"/>
  <c r="Y23" i="80"/>
  <c r="Q14" i="80"/>
  <c r="AH50" i="80"/>
  <c r="O26" i="80"/>
  <c r="X38" i="80"/>
  <c r="N24" i="80"/>
  <c r="P30" i="80"/>
  <c r="V13" i="80"/>
  <c r="W26" i="80"/>
  <c r="R35" i="80"/>
  <c r="AJ53" i="80"/>
  <c r="AD39" i="80"/>
  <c r="U43" i="80"/>
  <c r="AE56" i="80"/>
  <c r="L16" i="80"/>
  <c r="AF15" i="80"/>
  <c r="X19" i="80"/>
  <c r="W43" i="80"/>
  <c r="T42" i="80"/>
  <c r="AE45" i="80"/>
  <c r="P26" i="80"/>
  <c r="AD17" i="80"/>
  <c r="W20" i="80"/>
  <c r="AC21" i="80"/>
  <c r="AG57" i="80"/>
  <c r="AC33" i="80"/>
  <c r="AB41" i="80"/>
  <c r="Y43" i="80"/>
  <c r="AD52" i="80"/>
  <c r="S15" i="80"/>
  <c r="T30" i="80"/>
  <c r="AH19" i="80"/>
  <c r="N30" i="80"/>
  <c r="S53" i="80"/>
  <c r="AC16" i="80"/>
  <c r="X51" i="80"/>
  <c r="W16" i="80"/>
  <c r="AG19" i="80"/>
  <c r="P17" i="80"/>
  <c r="Y56" i="80"/>
  <c r="L19" i="80"/>
  <c r="AJ18" i="80"/>
  <c r="Z17" i="80"/>
  <c r="AC13" i="80"/>
  <c r="Z26" i="80"/>
  <c r="AF36" i="80"/>
  <c r="S13" i="80"/>
  <c r="AI35" i="80"/>
  <c r="O37" i="80"/>
  <c r="AG30" i="80"/>
  <c r="M24" i="80"/>
  <c r="AD24" i="80"/>
  <c r="P11" i="80"/>
  <c r="Q15" i="80"/>
  <c r="AI42" i="80"/>
  <c r="X17" i="80"/>
  <c r="AA36" i="80"/>
  <c r="Z25" i="80"/>
  <c r="AA48" i="80"/>
  <c r="AB24" i="80"/>
  <c r="AE50" i="80"/>
  <c r="AC12" i="80"/>
  <c r="M52" i="80"/>
  <c r="Q11" i="80"/>
  <c r="O55" i="80"/>
  <c r="Y26" i="80"/>
  <c r="M23" i="80"/>
  <c r="Y16" i="80"/>
  <c r="Z38" i="80"/>
  <c r="AE35" i="80"/>
  <c r="Y47" i="80"/>
  <c r="P25" i="80"/>
  <c r="AI29" i="80"/>
  <c r="X28" i="80"/>
  <c r="U23" i="80"/>
  <c r="R18" i="80"/>
  <c r="Y18" i="80"/>
  <c r="O28" i="80"/>
  <c r="V21" i="80"/>
  <c r="AH37" i="80"/>
  <c r="R51" i="80"/>
  <c r="P49" i="80"/>
  <c r="AB50" i="80"/>
  <c r="T23" i="80"/>
  <c r="S14" i="80"/>
  <c r="X26" i="80"/>
  <c r="O57" i="80"/>
  <c r="P55" i="80"/>
  <c r="AF21" i="80"/>
  <c r="AF29" i="80"/>
  <c r="N16" i="80"/>
  <c r="AE39" i="80"/>
  <c r="N44" i="80"/>
  <c r="S37" i="80"/>
  <c r="X24" i="80"/>
  <c r="AI47" i="80"/>
  <c r="M32" i="80"/>
  <c r="P38" i="80"/>
  <c r="U51" i="80"/>
  <c r="W41" i="80"/>
  <c r="W27" i="80"/>
  <c r="AI57" i="80"/>
  <c r="O47" i="80"/>
  <c r="U12" i="80"/>
  <c r="O30" i="80"/>
  <c r="L54" i="80"/>
  <c r="M13" i="80"/>
  <c r="L28" i="80"/>
  <c r="O21" i="80"/>
  <c r="AI19" i="80"/>
  <c r="Q51" i="80"/>
  <c r="AB14" i="80"/>
  <c r="AH32" i="80"/>
  <c r="L33" i="80"/>
  <c r="AC29" i="80"/>
  <c r="M55" i="80"/>
  <c r="AF45" i="80"/>
  <c r="V56" i="80"/>
  <c r="X36" i="80"/>
  <c r="Y54" i="80"/>
  <c r="O20" i="80"/>
  <c r="N51" i="80"/>
  <c r="AB47" i="80"/>
  <c r="V23" i="80"/>
  <c r="P42" i="80"/>
  <c r="N50" i="80"/>
  <c r="AE51" i="80"/>
  <c r="V48" i="80"/>
  <c r="L25" i="80"/>
  <c r="AB25" i="80"/>
  <c r="AB58" i="80"/>
  <c r="AG20" i="80"/>
  <c r="X21" i="80"/>
  <c r="Y17" i="80"/>
  <c r="P43" i="80"/>
  <c r="U32" i="80"/>
  <c r="X55" i="80"/>
  <c r="O18" i="80"/>
  <c r="AE37" i="80"/>
  <c r="AG39" i="80"/>
  <c r="M19" i="80"/>
  <c r="L12" i="80"/>
  <c r="M37" i="80"/>
  <c r="Y25" i="80"/>
  <c r="N28" i="80"/>
  <c r="AF33" i="80"/>
  <c r="AI39" i="80"/>
  <c r="AG32" i="80"/>
  <c r="AJ54" i="80"/>
  <c r="AI31" i="80"/>
  <c r="Z47" i="80"/>
  <c r="Q38" i="80"/>
  <c r="W48" i="80"/>
  <c r="AI43" i="80"/>
  <c r="R48" i="80"/>
  <c r="T45" i="80"/>
  <c r="Q28" i="80"/>
  <c r="AD21" i="80"/>
  <c r="AC53" i="80"/>
  <c r="O25" i="80"/>
  <c r="AJ57" i="80"/>
  <c r="AB15" i="80"/>
  <c r="P27" i="80"/>
  <c r="Y36" i="80"/>
  <c r="V51" i="80"/>
  <c r="P16" i="80"/>
  <c r="AJ38" i="80"/>
  <c r="AF32" i="80"/>
  <c r="O24" i="80"/>
  <c r="L15" i="80"/>
  <c r="X44" i="80"/>
  <c r="L51" i="80"/>
  <c r="S12" i="80"/>
  <c r="Q21" i="80"/>
  <c r="AI30" i="80"/>
  <c r="N20" i="80"/>
  <c r="W18" i="80"/>
  <c r="Q56" i="80"/>
  <c r="P47" i="80"/>
  <c r="O29" i="80"/>
  <c r="AD54" i="80"/>
  <c r="AG42" i="80"/>
  <c r="W57" i="80"/>
  <c r="AC26" i="80"/>
  <c r="L14" i="80"/>
  <c r="W15" i="80"/>
  <c r="N49" i="80"/>
  <c r="AC14" i="80"/>
  <c r="AH53" i="80"/>
  <c r="S31" i="80"/>
  <c r="AI48" i="80"/>
  <c r="O50" i="80"/>
  <c r="AI36" i="80"/>
  <c r="L11" i="80"/>
  <c r="AB34" i="80"/>
  <c r="Q50" i="80"/>
  <c r="P39" i="80"/>
  <c r="AA34" i="80"/>
  <c r="L57" i="80"/>
  <c r="Q52" i="80"/>
  <c r="N37" i="80"/>
  <c r="V16" i="80"/>
  <c r="X14" i="80"/>
  <c r="V40" i="80"/>
  <c r="M42" i="80"/>
  <c r="W21" i="80"/>
  <c r="AB30" i="80"/>
  <c r="Q25" i="80"/>
  <c r="V19" i="80"/>
  <c r="Z24" i="80"/>
  <c r="T40" i="80"/>
  <c r="AG26" i="80"/>
  <c r="V12" i="80"/>
  <c r="AH48" i="80"/>
  <c r="R43" i="80"/>
  <c r="O11" i="80"/>
  <c r="AE25" i="80"/>
  <c r="X53" i="80"/>
  <c r="U33" i="80"/>
  <c r="Q31" i="80"/>
  <c r="AE16" i="80"/>
  <c r="AC48" i="80"/>
  <c r="P40" i="80"/>
  <c r="S52" i="80"/>
  <c r="AA38" i="80"/>
  <c r="AE18" i="80"/>
  <c r="Z14" i="80"/>
  <c r="AB54" i="80"/>
  <c r="AB52" i="80"/>
  <c r="Z11" i="80"/>
  <c r="X50" i="80"/>
  <c r="AC27" i="80"/>
  <c r="L26" i="80"/>
  <c r="U31" i="80"/>
  <c r="AG12" i="80"/>
  <c r="AG40" i="80"/>
  <c r="Q18" i="80"/>
  <c r="AI51" i="80"/>
  <c r="AI24" i="80"/>
  <c r="M38" i="80"/>
  <c r="Q57" i="80"/>
  <c r="S45" i="80"/>
  <c r="AE42" i="80"/>
  <c r="V35" i="80"/>
  <c r="T39" i="80"/>
  <c r="AE40" i="80"/>
  <c r="O49" i="80"/>
  <c r="U27" i="80"/>
  <c r="O33" i="80"/>
  <c r="T53" i="80"/>
  <c r="T35" i="80"/>
  <c r="AE44" i="80"/>
  <c r="U35" i="80"/>
  <c r="AG53" i="80"/>
  <c r="L44" i="80"/>
  <c r="T18" i="80"/>
  <c r="AH16" i="80"/>
  <c r="AG37" i="80"/>
  <c r="AJ39" i="80"/>
  <c r="AJ42" i="80"/>
  <c r="R44" i="80"/>
  <c r="Z41" i="80"/>
  <c r="M50" i="80"/>
  <c r="W54" i="80"/>
  <c r="U54" i="80"/>
  <c r="V49" i="80"/>
  <c r="S16" i="80"/>
  <c r="AH12" i="80"/>
  <c r="L55" i="80"/>
  <c r="Q40" i="80"/>
  <c r="AC36" i="80"/>
  <c r="S40" i="80"/>
  <c r="AD47" i="80"/>
  <c r="AH49" i="80"/>
  <c r="N11" i="80"/>
  <c r="AD15" i="80"/>
  <c r="AA18" i="80"/>
  <c r="U25" i="80"/>
  <c r="AD16" i="80"/>
  <c r="L41" i="80"/>
  <c r="AA58" i="80"/>
  <c r="AG25" i="80"/>
  <c r="AF53" i="80"/>
  <c r="O51" i="80"/>
  <c r="M39" i="80"/>
  <c r="AA12" i="80"/>
  <c r="AG31" i="80"/>
  <c r="AI50" i="80"/>
  <c r="W9" i="75"/>
  <c r="AD9" i="75"/>
  <c r="AD69" i="75"/>
  <c r="E144" i="74"/>
  <c r="E156" i="74"/>
  <c r="E167" i="74"/>
  <c r="E169" i="74"/>
  <c r="E170" i="74"/>
  <c r="D10" i="80"/>
  <c r="E10" i="80"/>
  <c r="E216" i="74"/>
  <c r="AJ29" i="80"/>
  <c r="AL22" i="82"/>
  <c r="AF17" i="75"/>
  <c r="E163" i="74"/>
  <c r="AG8" i="75"/>
  <c r="AG9" i="75"/>
  <c r="AG10" i="75"/>
  <c r="AG11" i="75"/>
  <c r="AG12" i="75"/>
  <c r="AG13" i="75"/>
  <c r="AG14" i="75"/>
  <c r="AG15" i="75"/>
  <c r="AG16" i="75"/>
  <c r="AG17" i="75"/>
  <c r="AG18" i="75"/>
  <c r="AG19" i="75"/>
  <c r="AG20" i="75"/>
  <c r="AG21" i="75"/>
  <c r="AG22" i="75"/>
  <c r="AG23" i="75"/>
  <c r="AG24" i="75"/>
  <c r="AG25" i="75"/>
  <c r="AG26" i="75"/>
  <c r="AG27" i="75"/>
  <c r="AG28" i="75"/>
  <c r="AG29" i="75"/>
  <c r="AG30" i="75"/>
  <c r="AG31" i="75"/>
  <c r="AG32" i="75"/>
  <c r="AG33" i="75"/>
  <c r="AG34" i="75"/>
  <c r="AG35" i="75"/>
  <c r="AG36" i="75"/>
  <c r="AG37" i="75"/>
  <c r="AG38" i="75"/>
  <c r="AG39" i="75"/>
  <c r="AG40" i="75"/>
  <c r="AG41" i="75"/>
  <c r="AG42" i="75"/>
  <c r="AG43" i="75"/>
  <c r="AG44" i="75"/>
  <c r="AG45" i="75"/>
  <c r="AG46" i="75"/>
  <c r="AG47" i="75"/>
  <c r="AG48" i="75"/>
  <c r="AG49" i="75"/>
  <c r="AG50" i="75"/>
  <c r="AG51" i="75"/>
  <c r="AG52" i="75"/>
  <c r="AG53" i="75"/>
  <c r="AG54" i="75"/>
  <c r="AG55" i="75"/>
  <c r="AG56" i="75"/>
  <c r="AG57" i="75"/>
  <c r="AG58" i="75"/>
  <c r="AG59" i="75"/>
  <c r="AG60" i="75"/>
  <c r="AG61" i="75"/>
  <c r="AG62" i="75"/>
  <c r="AG63" i="75"/>
  <c r="W64" i="75"/>
  <c r="AD64" i="75"/>
  <c r="AH64" i="75"/>
  <c r="AF68" i="75"/>
  <c r="AF50" i="75"/>
  <c r="AF49" i="75"/>
  <c r="AF67" i="75"/>
  <c r="AF55" i="75"/>
  <c r="AF56" i="75"/>
  <c r="AF53" i="75"/>
  <c r="AF61" i="75"/>
  <c r="AF51" i="75"/>
  <c r="AF46" i="75"/>
  <c r="AF66" i="75"/>
  <c r="AF47" i="75"/>
  <c r="AF62" i="75"/>
  <c r="AF58" i="75"/>
  <c r="AF52" i="75"/>
  <c r="AF60" i="75"/>
  <c r="AF59" i="75"/>
  <c r="AF64" i="75"/>
  <c r="AF65" i="75"/>
  <c r="AF63" i="75"/>
  <c r="AF48" i="75"/>
  <c r="E164" i="74"/>
  <c r="E162" i="74"/>
  <c r="E165" i="74"/>
  <c r="AF54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N6" authorId="0" shapeId="0" xr:uid="{00000000-0006-0000-0300-000001000000}">
      <text>
        <r>
          <rPr>
            <b/>
            <sz val="9"/>
            <color indexed="81"/>
            <rFont val="Arial"/>
            <family val="2"/>
          </rPr>
          <t>tweak per email</t>
        </r>
      </text>
    </comment>
  </commentList>
</comments>
</file>

<file path=xl/sharedStrings.xml><?xml version="1.0" encoding="utf-8"?>
<sst xmlns="http://schemas.openxmlformats.org/spreadsheetml/2006/main" count="1069" uniqueCount="518">
  <si>
    <t>Month 20</t>
  </si>
  <si>
    <t>Month 21</t>
  </si>
  <si>
    <t>Month 22</t>
  </si>
  <si>
    <t>Month 23</t>
  </si>
  <si>
    <t>Month 24</t>
  </si>
  <si>
    <t>Month 25</t>
  </si>
  <si>
    <t>Month 26</t>
  </si>
  <si>
    <t>Month 27</t>
  </si>
  <si>
    <t>Month 28</t>
  </si>
  <si>
    <t>Month 29</t>
  </si>
  <si>
    <t>Month 30</t>
  </si>
  <si>
    <t>Month 31</t>
  </si>
  <si>
    <t>Month 32</t>
  </si>
  <si>
    <t>Month 33</t>
  </si>
  <si>
    <t>Month 34</t>
  </si>
  <si>
    <t>Month 35</t>
  </si>
  <si>
    <t>Month 36</t>
  </si>
  <si>
    <t>Month 37</t>
  </si>
  <si>
    <t>Month 38</t>
  </si>
  <si>
    <t>Month 39</t>
  </si>
  <si>
    <t>Month 40</t>
  </si>
  <si>
    <t>Month 41</t>
  </si>
  <si>
    <t>Month 42</t>
  </si>
  <si>
    <t>Month 43</t>
  </si>
  <si>
    <t>Month 44</t>
  </si>
  <si>
    <t>Month 45</t>
  </si>
  <si>
    <t>Month 46</t>
  </si>
  <si>
    <t>Month 47</t>
  </si>
  <si>
    <t>Month 48</t>
  </si>
  <si>
    <t>Equity Amount</t>
  </si>
  <si>
    <t>High Net Worth Capital</t>
  </si>
  <si>
    <t>Institutional  Capital</t>
  </si>
  <si>
    <t>SENIOR DEBT</t>
  </si>
  <si>
    <t>Lots in Year 1</t>
  </si>
  <si>
    <t>LOTS PER YEAR</t>
  </si>
  <si>
    <t>Lots in Year 2</t>
  </si>
  <si>
    <t>Lots in Year 3</t>
  </si>
  <si>
    <t>Lots in Year 4</t>
  </si>
  <si>
    <t>p_lotsperyear</t>
  </si>
  <si>
    <t>"</t>
  </si>
  <si>
    <t>FROM</t>
  </si>
  <si>
    <t>TO</t>
  </si>
  <si>
    <t>i_primecap</t>
  </si>
  <si>
    <t>Max Term</t>
  </si>
  <si>
    <t>Interest Rate at end of Year</t>
  </si>
  <si>
    <t>1  =&gt; Time  0 /  0 =&gt; Equity Draw</t>
  </si>
  <si>
    <t>Initial Senior Debt</t>
  </si>
  <si>
    <t>EQUITY OUTSTANDING</t>
  </si>
  <si>
    <t>i_split1_hnw</t>
  </si>
  <si>
    <t>i_split2_hnw</t>
  </si>
  <si>
    <t>i_split3_hnw</t>
  </si>
  <si>
    <t>c_hurdle1_inst</t>
  </si>
  <si>
    <t>c_hurdle2_inst</t>
  </si>
  <si>
    <t>c_hurdle1_hnw</t>
  </si>
  <si>
    <t>c_hurdle2_hnw</t>
  </si>
  <si>
    <t>Equity Percentages</t>
  </si>
  <si>
    <t>Initial Option Payment</t>
  </si>
  <si>
    <t>Initial Option Pmt Debt</t>
  </si>
  <si>
    <t>Mgt Fee Paid</t>
  </si>
  <si>
    <t>Monthly</t>
  </si>
  <si>
    <t>Annual</t>
  </si>
  <si>
    <t>Equity: Total</t>
  </si>
  <si>
    <t>Maximum Equity Per Fund</t>
  </si>
  <si>
    <t>Max Equity Per Fund</t>
  </si>
  <si>
    <t>Senior Origination Fee</t>
  </si>
  <si>
    <t>Promote</t>
  </si>
  <si>
    <t>GP (Combined)</t>
  </si>
  <si>
    <t>Cash Flow Avail For Equity</t>
  </si>
  <si>
    <t>CF Avail for Institutional</t>
  </si>
  <si>
    <t>Promote %</t>
  </si>
  <si>
    <t>Total Inst Promote</t>
  </si>
  <si>
    <t>Total HNW Promote</t>
  </si>
  <si>
    <t>+ Interest Reserve: Senior</t>
  </si>
  <si>
    <t>- Total Expenses</t>
  </si>
  <si>
    <t>i_optionpct</t>
  </si>
  <si>
    <t>Month 1</t>
  </si>
  <si>
    <t>Month 2</t>
  </si>
  <si>
    <t>Month 3</t>
  </si>
  <si>
    <t>Month 4</t>
  </si>
  <si>
    <t>Month 5</t>
  </si>
  <si>
    <t>Month 6</t>
  </si>
  <si>
    <t>Month 7</t>
  </si>
  <si>
    <t>Lot Improvement Costs Month 7</t>
  </si>
  <si>
    <t>Lot Improvement Costs Month 8</t>
  </si>
  <si>
    <t>Lot Improvement Costs Month 9</t>
  </si>
  <si>
    <t>Lot Improvement Costs Month 10</t>
  </si>
  <si>
    <t>i_seniorfee</t>
  </si>
  <si>
    <t>Senior Origination Fee to Lender</t>
  </si>
  <si>
    <t>c_seniorfee</t>
  </si>
  <si>
    <t>Month 8</t>
  </si>
  <si>
    <t>Month 9</t>
  </si>
  <si>
    <t>Month 10</t>
  </si>
  <si>
    <t>Month 11</t>
  </si>
  <si>
    <t>Month 12</t>
  </si>
  <si>
    <t>Month 13</t>
  </si>
  <si>
    <t>Month 14</t>
  </si>
  <si>
    <t>Month 15</t>
  </si>
  <si>
    <t>Month 16</t>
  </si>
  <si>
    <t>Month 17</t>
  </si>
  <si>
    <t>Month 18</t>
  </si>
  <si>
    <t>Month 19</t>
  </si>
  <si>
    <t>MONTH OFFSET FOR ROLLUP</t>
  </si>
  <si>
    <t>Years of Lots</t>
  </si>
  <si>
    <t>LOTS / YR</t>
  </si>
  <si>
    <t>LOTS / MO</t>
  </si>
  <si>
    <t>LOT FACTOR</t>
  </si>
  <si>
    <t>In Horizon</t>
  </si>
  <si>
    <t>Offset</t>
  </si>
  <si>
    <t>c_lotyears</t>
  </si>
  <si>
    <t>MONTH FACTOR</t>
  </si>
  <si>
    <t>c_offset</t>
  </si>
  <si>
    <t>c_lotfactor</t>
  </si>
  <si>
    <t>CF Available for Equity</t>
  </si>
  <si>
    <t xml:space="preserve">na  </t>
  </si>
  <si>
    <t>EQUITY</t>
  </si>
  <si>
    <t>ROLLUP LOTS PER YEAR</t>
  </si>
  <si>
    <t>BASE CASE LOT COSTS AND SALES</t>
  </si>
  <si>
    <t>Equity Infusion</t>
  </si>
  <si>
    <t>Additional Equity</t>
  </si>
  <si>
    <t>Project Cash Flow Sources</t>
  </si>
  <si>
    <r>
      <t xml:space="preserve">Hurdle #1 </t>
    </r>
    <r>
      <rPr>
        <b/>
        <sz val="10"/>
        <color indexed="10"/>
        <rFont val="Arial"/>
        <family val="2"/>
      </rPr>
      <t>(Annual IRR)</t>
    </r>
  </si>
  <si>
    <r>
      <t xml:space="preserve">Hurdle #2 </t>
    </r>
    <r>
      <rPr>
        <b/>
        <sz val="10"/>
        <color indexed="10"/>
        <rFont val="Arial"/>
        <family val="2"/>
      </rPr>
      <t>(Annual IRR)</t>
    </r>
  </si>
  <si>
    <t>Draw down EQUITY Over time?</t>
  </si>
  <si>
    <t>Index + Spread OFFSET</t>
  </si>
  <si>
    <t>Actual 360?</t>
  </si>
  <si>
    <t>1= Yes / o= No</t>
  </si>
  <si>
    <t>i_senior360</t>
  </si>
  <si>
    <t xml:space="preserve"> Accrued Interest</t>
  </si>
  <si>
    <t>Equity Principal</t>
  </si>
  <si>
    <t>Equity Stage 1CF</t>
  </si>
  <si>
    <t>CF After Stage 1</t>
  </si>
  <si>
    <t>Equity Stage 2 CF</t>
  </si>
  <si>
    <t>CF After Stage 2</t>
  </si>
  <si>
    <t>NA</t>
  </si>
  <si>
    <t>CF Avail for Institutional Equity</t>
  </si>
  <si>
    <t>Incentive Comp Type</t>
  </si>
  <si>
    <t>0=Nornal 1 = Catchup</t>
  </si>
  <si>
    <t>PROMOTE STRUCTURE FOR INSTITUTIONAL CAPITAL</t>
  </si>
  <si>
    <t>PROMOTE STRUCTURE FOR HIGH NET WORTH</t>
  </si>
  <si>
    <t>i_pctequity_inst</t>
  </si>
  <si>
    <t>i_promotecatchup</t>
  </si>
  <si>
    <t>i_hurdle1_inst</t>
  </si>
  <si>
    <t>i_hurdle2_inst</t>
  </si>
  <si>
    <t>i_split1_inst</t>
  </si>
  <si>
    <t>i_split2_inst</t>
  </si>
  <si>
    <t>i_split3_inst</t>
  </si>
  <si>
    <t>i_pctequity_hnw</t>
  </si>
  <si>
    <t>i_hurdle1_hnw</t>
  </si>
  <si>
    <t>i_hurdle2_hnw</t>
  </si>
  <si>
    <t>c_invsplit1_inst</t>
  </si>
  <si>
    <t>c_invsplit2_inst</t>
  </si>
  <si>
    <t>c_invsplit3_inst</t>
  </si>
  <si>
    <t>From Annual to Monthly</t>
  </si>
  <si>
    <t>c_invsplit1_hnw</t>
  </si>
  <si>
    <t>c_invsplit2_hnw</t>
  </si>
  <si>
    <t>c_invsplit3_hnw</t>
  </si>
  <si>
    <t>Inst Cap Hurdle 1</t>
  </si>
  <si>
    <t>Inst Cap Hurdle 2</t>
  </si>
  <si>
    <t>Inst Cap After Hurdle 2</t>
  </si>
  <si>
    <t>HNW Cap Hurdle 1</t>
  </si>
  <si>
    <t>HNW Cap Hurdle 2</t>
  </si>
  <si>
    <t>HNW Cap After Hurdle 2</t>
  </si>
  <si>
    <t>i_seniordrawovertime</t>
  </si>
  <si>
    <t>Draw down Senior Over time?</t>
  </si>
  <si>
    <t>CF Avail for High Net Worth</t>
  </si>
  <si>
    <t>Promote Stage 1 Cash Flow</t>
  </si>
  <si>
    <t>Promote Stage 2 Cash Flow</t>
  </si>
  <si>
    <t>Promote Stage 3 Cash Flow</t>
  </si>
  <si>
    <t>Management Fee</t>
  </si>
  <si>
    <t>i_seniorintreserve</t>
  </si>
  <si>
    <t>CF After Catchup</t>
  </si>
  <si>
    <t>Cumul Catchup Cash Flow</t>
  </si>
  <si>
    <t>Total Promote</t>
  </si>
  <si>
    <t>GP Cash Flows</t>
  </si>
  <si>
    <t>GP A Name</t>
  </si>
  <si>
    <t>GP B Name</t>
  </si>
  <si>
    <t>i_gpnamea</t>
  </si>
  <si>
    <t>i_gpnameb</t>
  </si>
  <si>
    <t>GP Management Fee Total</t>
  </si>
  <si>
    <t>i_gppromotepctb</t>
  </si>
  <si>
    <t>i_gppromotepcta</t>
  </si>
  <si>
    <t>i_gpmgtfeepctb</t>
  </si>
  <si>
    <t>i_gpmgtfeepcta</t>
  </si>
  <si>
    <t>Total Inst Capital</t>
  </si>
  <si>
    <t>Total HNW Capital</t>
  </si>
  <si>
    <t>Total Equity</t>
  </si>
  <si>
    <t>KEEP</t>
  </si>
  <si>
    <t>Lots Taken Down Month 40</t>
  </si>
  <si>
    <t>Lots Taken Down Month 41</t>
  </si>
  <si>
    <t>Lots Taken Down Month 42</t>
  </si>
  <si>
    <t>Lots Taken Down Month 43</t>
  </si>
  <si>
    <t>Lots Taken Down Month 44</t>
  </si>
  <si>
    <t>Lots Taken Down Month 45</t>
  </si>
  <si>
    <t>Lots Taken Down Month 46</t>
  </si>
  <si>
    <t>Lots Taken Down Month 47</t>
  </si>
  <si>
    <t>Lots Taken Down Month 48</t>
  </si>
  <si>
    <t>Improvement Cost Per Lot</t>
  </si>
  <si>
    <t>Other Costs Total</t>
  </si>
  <si>
    <t>i_othercosts</t>
  </si>
  <si>
    <t>Lot Improvement Costs Month 1</t>
  </si>
  <si>
    <t>Lot Improvement Costs Month 2</t>
  </si>
  <si>
    <t>Lot Improvement Costs Month 3</t>
  </si>
  <si>
    <t>Lot Improvement Costs Month 4</t>
  </si>
  <si>
    <t>Lot Improvement Costs Month 5</t>
  </si>
  <si>
    <t>Lot Improvement Costs Month 6</t>
  </si>
  <si>
    <t>Total</t>
  </si>
  <si>
    <t>Total Expenses</t>
  </si>
  <si>
    <t>Project Cash Flow</t>
  </si>
  <si>
    <t>Year</t>
  </si>
  <si>
    <t>Equity</t>
  </si>
  <si>
    <t>Senior Debt</t>
  </si>
  <si>
    <t>Lot Improvement Costs Month 11</t>
  </si>
  <si>
    <t>Lot Improvement Costs Month 12</t>
  </si>
  <si>
    <t>Lot Improvement Costs Month 13</t>
  </si>
  <si>
    <t>Lot Improvement Costs Month 14</t>
  </si>
  <si>
    <t>Lot Improvement Costs Month 15</t>
  </si>
  <si>
    <t>Lot Improvement Costs Month 16</t>
  </si>
  <si>
    <t>Lot Improvement Costs Month 17</t>
  </si>
  <si>
    <t>Lot Improvement Costs Month 18</t>
  </si>
  <si>
    <t>i_costvector</t>
  </si>
  <si>
    <t>LOT IMPROVEMENT COSTS PER MONTH</t>
  </si>
  <si>
    <t>Total Lot Improvement Costs</t>
  </si>
  <si>
    <t>Improvement Month</t>
  </si>
  <si>
    <t>% of Lots Taken Down</t>
  </si>
  <si>
    <t># of Lots Taken Down</t>
  </si>
  <si>
    <t>Last Sale Month</t>
  </si>
  <si>
    <t>Refund of Option Payment</t>
  </si>
  <si>
    <t>Option Pmt Remaining</t>
  </si>
  <si>
    <t>Option Payment</t>
  </si>
  <si>
    <t>Lots cost</t>
  </si>
  <si>
    <t>Profit</t>
  </si>
  <si>
    <t>c_optionpmt</t>
  </si>
  <si>
    <t>c_lastsalemonth</t>
  </si>
  <si>
    <t>c_improvemonth</t>
  </si>
  <si>
    <t>c_improvecosts</t>
  </si>
  <si>
    <t>Senior Debt %</t>
  </si>
  <si>
    <t>Index</t>
  </si>
  <si>
    <t>c_totalcosts</t>
  </si>
  <si>
    <t>Total Senior Loan</t>
  </si>
  <si>
    <t>Senior Index</t>
  </si>
  <si>
    <t>Index + Spread</t>
  </si>
  <si>
    <t>Initial Senior Loan</t>
  </si>
  <si>
    <t>c_initialseniordebt</t>
  </si>
  <si>
    <t>Senior Draw Down</t>
  </si>
  <si>
    <t>Senior Principal Paid Release Prices</t>
  </si>
  <si>
    <t>Senior Loan</t>
  </si>
  <si>
    <t>c_releaseprice</t>
  </si>
  <si>
    <t>Release Price Per Lot</t>
  </si>
  <si>
    <t>i_releaseprice</t>
  </si>
  <si>
    <t>Release Price Percent</t>
  </si>
  <si>
    <t>Revenue</t>
  </si>
  <si>
    <t>% To Institutional Investor</t>
  </si>
  <si>
    <t>% High Net Worth</t>
  </si>
  <si>
    <t>Interest Reserve</t>
  </si>
  <si>
    <t>Begin Interest Reserve</t>
  </si>
  <si>
    <t>Interest Reserve Used</t>
  </si>
  <si>
    <t>Total Senior Cash Flow w/ Drawdowns</t>
  </si>
  <si>
    <t>##</t>
  </si>
  <si>
    <t>Lot Sales Revenue</t>
  </si>
  <si>
    <t>Ending Senior Balance</t>
  </si>
  <si>
    <t>Senior Interest Accrued</t>
  </si>
  <si>
    <t>Senior Interest Paid</t>
  </si>
  <si>
    <t>i_soldvector</t>
  </si>
  <si>
    <t>c_seniordebt</t>
  </si>
  <si>
    <t>c_equity</t>
  </si>
  <si>
    <t>Number of Lots</t>
  </si>
  <si>
    <t>Land Cost</t>
  </si>
  <si>
    <t>i_landcost</t>
  </si>
  <si>
    <t>Lot Sales Price</t>
  </si>
  <si>
    <t>Option Deposit Percent</t>
  </si>
  <si>
    <t>Max Option Amount</t>
  </si>
  <si>
    <t>i_lotimprovecost</t>
  </si>
  <si>
    <t>i_lotsalesprice</t>
  </si>
  <si>
    <t>Lots Taken Down Month 1</t>
  </si>
  <si>
    <t>Lots Taken Down Month 2</t>
  </si>
  <si>
    <t>Lots Taken Down Month 3</t>
  </si>
  <si>
    <t>Lots Taken Down Month 4</t>
  </si>
  <si>
    <t>Lots Taken Down Month 5</t>
  </si>
  <si>
    <t>Lots Taken Down Month 6</t>
  </si>
  <si>
    <t>Lots Taken Down Month 7</t>
  </si>
  <si>
    <t>Lots Taken Down Month 8</t>
  </si>
  <si>
    <t>Lots Taken Down Month 9</t>
  </si>
  <si>
    <t>Lots Taken Down Month 10</t>
  </si>
  <si>
    <t>Lots Taken Down Month 11</t>
  </si>
  <si>
    <t>Lots Taken Down Month 12</t>
  </si>
  <si>
    <t>Lots Taken Down Month 13</t>
  </si>
  <si>
    <t>Lots Taken Down Month 14</t>
  </si>
  <si>
    <t>Lots Taken Down Month 15</t>
  </si>
  <si>
    <t>Lots Taken Down Month 16</t>
  </si>
  <si>
    <t>Lots Taken Down Month 17</t>
  </si>
  <si>
    <t>Catch up Cash Flow</t>
  </si>
  <si>
    <t>INTERIM CALCULATIONS</t>
  </si>
  <si>
    <t>Mo</t>
  </si>
  <si>
    <t>Q</t>
  </si>
  <si>
    <t>Semi</t>
  </si>
  <si>
    <t>Ann</t>
  </si>
  <si>
    <t>Total Cash Flow</t>
  </si>
  <si>
    <t xml:space="preserve">na   </t>
  </si>
  <si>
    <t>Equity Balance</t>
  </si>
  <si>
    <t>Cap</t>
  </si>
  <si>
    <t>Principal Paid</t>
  </si>
  <si>
    <t>Lots Taken Down Month 18</t>
  </si>
  <si>
    <t>Lots Taken Down Month 19</t>
  </si>
  <si>
    <t>Lots Taken Down Month 20</t>
  </si>
  <si>
    <t>Lots Taken Down Month 21</t>
  </si>
  <si>
    <t>Lots Taken Down Month 22</t>
  </si>
  <si>
    <t>Lots Taken Down Month 23</t>
  </si>
  <si>
    <t>Lots Taken Down Month 24</t>
  </si>
  <si>
    <t>Lots Taken Down Month 25</t>
  </si>
  <si>
    <t>Lots Taken Down Month 26</t>
  </si>
  <si>
    <t>Lots Taken Down Month 27</t>
  </si>
  <si>
    <t>Lots Taken Down Month 28</t>
  </si>
  <si>
    <t>Lots Taken Down Month 29</t>
  </si>
  <si>
    <t>Lots Taken Down Month 30</t>
  </si>
  <si>
    <t>Lots Taken Down Month 31</t>
  </si>
  <si>
    <t>Lots Taken Down Month 32</t>
  </si>
  <si>
    <t>Lots Taken Down Month 33</t>
  </si>
  <si>
    <t>Lots Taken Down Month 34</t>
  </si>
  <si>
    <t>Lots Taken Down Month 35</t>
  </si>
  <si>
    <t>Lots Taken Down Month 36</t>
  </si>
  <si>
    <t>Lots Taken Down Month 37</t>
  </si>
  <si>
    <t>Lots Taken Down Month 38</t>
  </si>
  <si>
    <t>Lots Taken Down Month 39</t>
  </si>
  <si>
    <t>Capital Structure</t>
  </si>
  <si>
    <t>na</t>
  </si>
  <si>
    <t>Yr/Mo</t>
  </si>
  <si>
    <t>YR</t>
  </si>
  <si>
    <t>Tot</t>
  </si>
  <si>
    <t>Lots end of month</t>
  </si>
  <si>
    <t>Lots Start of Month</t>
  </si>
  <si>
    <t>Total Revenue</t>
  </si>
  <si>
    <t>CF Available</t>
  </si>
  <si>
    <t>i_lotstotal</t>
  </si>
  <si>
    <t>GP &amp; LP</t>
  </si>
  <si>
    <t>i_seniordebt</t>
  </si>
  <si>
    <t>i_prime</t>
  </si>
  <si>
    <t>i_primespread</t>
  </si>
  <si>
    <t>i_primeincrease</t>
  </si>
  <si>
    <t>i_gpmgtfee</t>
  </si>
  <si>
    <t xml:space="preserve"> </t>
  </si>
  <si>
    <t>Lot Improvement Costs</t>
  </si>
  <si>
    <t xml:space="preserve">Year        </t>
  </si>
  <si>
    <t>Input Assumptions</t>
  </si>
  <si>
    <t xml:space="preserve">  Begin Lots</t>
  </si>
  <si>
    <t xml:space="preserve">  Ending Lots</t>
  </si>
  <si>
    <t>Scenario Description</t>
  </si>
  <si>
    <t>i_scendesc</t>
  </si>
  <si>
    <t>i_company</t>
  </si>
  <si>
    <t>Total Revenues</t>
  </si>
  <si>
    <t>Index Spread</t>
  </si>
  <si>
    <t>Annual Increase in Index</t>
  </si>
  <si>
    <t>Absolute Cap on Index</t>
  </si>
  <si>
    <t>Initial Reserve Fund</t>
  </si>
  <si>
    <t>Initial Interest Reseve</t>
  </si>
  <si>
    <t>Discount Rate for GP</t>
  </si>
  <si>
    <t>i_gpdiscrate</t>
  </si>
  <si>
    <t>Option Pmt Refund Month 1</t>
  </si>
  <si>
    <t>Option Pmt Refund Month 2</t>
  </si>
  <si>
    <t>Option Pmt Refund Month 3</t>
  </si>
  <si>
    <t>Option Pmt Refund Month 4</t>
  </si>
  <si>
    <t>Option Pmt Refund Month 5</t>
  </si>
  <si>
    <t>Option Pmt Refund Month 6</t>
  </si>
  <si>
    <t>Option Pmt Refund Month 7</t>
  </si>
  <si>
    <t>Option Pmt Refund Month 8</t>
  </si>
  <si>
    <t>Option Pmt Refund Month 9</t>
  </si>
  <si>
    <t>Option Pmt Refund Month 10</t>
  </si>
  <si>
    <t>Option Pmt Refund Month 11</t>
  </si>
  <si>
    <t>Option Pmt Refund Month 12</t>
  </si>
  <si>
    <t>Option Pmt Refund Month 13</t>
  </si>
  <si>
    <t>Option Pmt Refund Month 14</t>
  </si>
  <si>
    <t>Option Pmt Refund Month 15</t>
  </si>
  <si>
    <t>Option Pmt Refund Month 16</t>
  </si>
  <si>
    <t>Option Pmt Refund Month 17</t>
  </si>
  <si>
    <t>Option Pmt Refund Month 18</t>
  </si>
  <si>
    <t>Option Pmt Refund Month 19</t>
  </si>
  <si>
    <t>Option Pmt Refund Month 20</t>
  </si>
  <si>
    <t>Option Pmt Refund Month 21</t>
  </si>
  <si>
    <t>Option Pmt Refund Month 22</t>
  </si>
  <si>
    <t>Option Pmt Refund Month 23</t>
  </si>
  <si>
    <t>Option Pmt Refund Month 24</t>
  </si>
  <si>
    <t>Option Pmt Refund Month 25</t>
  </si>
  <si>
    <t>Option Pmt Refund Month 26</t>
  </si>
  <si>
    <t>Option Pmt Refund Month 27</t>
  </si>
  <si>
    <t>Option Pmt Refund Month 28</t>
  </si>
  <si>
    <t>Option Pmt Refund Month 29</t>
  </si>
  <si>
    <t>Option Pmt Refund Month 30</t>
  </si>
  <si>
    <t>Option Pmt Refund Month 31</t>
  </si>
  <si>
    <t>Option Pmt Refund Month 32</t>
  </si>
  <si>
    <t>Option Pmt Refund Month 33</t>
  </si>
  <si>
    <t>Option Pmt Refund Month 34</t>
  </si>
  <si>
    <t>Option Pmt Refund Month 35</t>
  </si>
  <si>
    <t>Option Pmt Refund Month 36</t>
  </si>
  <si>
    <t>Option Pmt Refund Month 37</t>
  </si>
  <si>
    <t>Option Pmt Refund Month 38</t>
  </si>
  <si>
    <t>Option Pmt Refund Month 39</t>
  </si>
  <si>
    <t>Option Pmt Refund Month 40</t>
  </si>
  <si>
    <t>Option Pmt Refund Month 41</t>
  </si>
  <si>
    <t>Option Pmt Refund Month 42</t>
  </si>
  <si>
    <t>Option Pmt Refund Month 43</t>
  </si>
  <si>
    <t>Option Pmt Refund Month 44</t>
  </si>
  <si>
    <t>Option Pmt Refund Month 45</t>
  </si>
  <si>
    <t>Option Pmt Refund Month 46</t>
  </si>
  <si>
    <t>Option Pmt Refund Month 47</t>
  </si>
  <si>
    <t>Option Pmt Refund Month 48</t>
  </si>
  <si>
    <t>Lots Sold</t>
  </si>
  <si>
    <t>i_maxoptionpct</t>
  </si>
  <si>
    <t>i_optionrefund</t>
  </si>
  <si>
    <t>Crescent</t>
  </si>
  <si>
    <t>- Refund of Option Payment</t>
  </si>
  <si>
    <t>Lot Sales</t>
  </si>
  <si>
    <t>Land Cost: Funded by Debt</t>
  </si>
  <si>
    <t>Land Cost: Funded by Option</t>
  </si>
  <si>
    <t>Land Cost: Funded by Equity</t>
  </si>
  <si>
    <t>Begin Lots</t>
  </si>
  <si>
    <t>- Lots Sold</t>
  </si>
  <si>
    <t>Ending Lots</t>
  </si>
  <si>
    <t xml:space="preserve"> -Refund of Option Payment</t>
  </si>
  <si>
    <t>Upfront Costs: Other</t>
  </si>
  <si>
    <t>Upfront Costs: Transaction Fee</t>
  </si>
  <si>
    <t>Dispo Fee</t>
  </si>
  <si>
    <t>Dispo Fee Paid</t>
  </si>
  <si>
    <t>of  net Revenue</t>
  </si>
  <si>
    <t>Debt</t>
  </si>
  <si>
    <t>Initial Amount of ==&gt;</t>
  </si>
  <si>
    <t>Tot Project</t>
  </si>
  <si>
    <t>Init Costs</t>
  </si>
  <si>
    <t>Net Cash Flow</t>
  </si>
  <si>
    <t>GP Dispo Fee</t>
  </si>
  <si>
    <t>- Interest Paid</t>
  </si>
  <si>
    <t>- Principal Paid</t>
  </si>
  <si>
    <t>Total Leveraged Cash Flows</t>
  </si>
  <si>
    <t>Leverage</t>
  </si>
  <si>
    <t>c_equity_init</t>
  </si>
  <si>
    <t>Total Costs</t>
  </si>
  <si>
    <t>Equity: Initial</t>
  </si>
  <si>
    <t>IRR Leveraged</t>
  </si>
  <si>
    <t>IRR Net</t>
  </si>
  <si>
    <t>IRR Unleveraged</t>
  </si>
  <si>
    <t>Equity Per Lot</t>
  </si>
  <si>
    <t>c_equity_perlot</t>
  </si>
  <si>
    <t>Cumul Lots</t>
  </si>
  <si>
    <t>Max # of Lots</t>
  </si>
  <si>
    <t>Equity Total</t>
  </si>
  <si>
    <t>Net Total Cash Flow</t>
  </si>
  <si>
    <t>Total Cash Flow pre dispos</t>
  </si>
  <si>
    <t>Net Cash Flow Pre Fees</t>
  </si>
  <si>
    <t>Per Deal</t>
  </si>
  <si>
    <t>-Mgt Fee paid</t>
  </si>
  <si>
    <t>Net CF Avail</t>
  </si>
  <si>
    <t>Improvement Cost</t>
  </si>
  <si>
    <t>Option Deposit:  Start</t>
  </si>
  <si>
    <t>Option Deposit:  CAP</t>
  </si>
  <si>
    <t>% Sold</t>
  </si>
  <si>
    <t>INTERNAL OPERATIONS</t>
  </si>
  <si>
    <t>Project Margin</t>
  </si>
  <si>
    <t>Accounting, Legal</t>
  </si>
  <si>
    <t>Fees: GPA A</t>
  </si>
  <si>
    <t>Fees: GPA B</t>
  </si>
  <si>
    <t>Distributable Cash</t>
  </si>
  <si>
    <t>Cum %</t>
  </si>
  <si>
    <t>Project Costs</t>
  </si>
  <si>
    <t>Option Pmt</t>
  </si>
  <si>
    <t>Cumul %</t>
  </si>
  <si>
    <t>Equity Remaining</t>
  </si>
  <si>
    <t>Fund level AM Fee</t>
  </si>
  <si>
    <t>i_amfee</t>
  </si>
  <si>
    <t>Asset Mgt Fee (% Commit Cap)</t>
  </si>
  <si>
    <t>AM fee</t>
  </si>
  <si>
    <t>Global Assumptions</t>
  </si>
  <si>
    <t>Lot Costs and Sales</t>
  </si>
  <si>
    <t>Development Cost / Month</t>
  </si>
  <si>
    <t>Lot Takedowns</t>
  </si>
  <si>
    <t>Custom Option Deposit Schedule</t>
  </si>
  <si>
    <t>GP Data</t>
  </si>
  <si>
    <t>Project Name</t>
  </si>
  <si>
    <t>Base</t>
  </si>
  <si>
    <t>if 0% - use override below</t>
  </si>
  <si>
    <t>Project Name:</t>
  </si>
  <si>
    <t>Location:</t>
  </si>
  <si>
    <t>Gross Revenue:</t>
  </si>
  <si>
    <t>Lots:</t>
  </si>
  <si>
    <t xml:space="preserve">  Less: Lot Cost</t>
  </si>
  <si>
    <t>Project NOI:</t>
  </si>
  <si>
    <t>Revenue / Lot:</t>
  </si>
  <si>
    <t>Option Deposit:</t>
  </si>
  <si>
    <t>Lot Costs</t>
  </si>
  <si>
    <t>Land +</t>
  </si>
  <si>
    <t>Option</t>
  </si>
  <si>
    <t>Project</t>
  </si>
  <si>
    <t>#</t>
  </si>
  <si>
    <t>Date</t>
  </si>
  <si>
    <t>Imprvmt</t>
  </si>
  <si>
    <t>Deposit</t>
  </si>
  <si>
    <t>Cash Flow</t>
  </si>
  <si>
    <t>Totals</t>
  </si>
  <si>
    <t>Mosaic Willis</t>
  </si>
  <si>
    <t>Quickie</t>
  </si>
  <si>
    <t>Chandler, AZ</t>
  </si>
  <si>
    <t>CBH/LAO</t>
  </si>
  <si>
    <t>Lots</t>
  </si>
  <si>
    <t>Project IRRa:</t>
  </si>
  <si>
    <t>Project IRRm:</t>
  </si>
  <si>
    <t>Column Labels</t>
  </si>
  <si>
    <t>2019</t>
  </si>
  <si>
    <t>2020</t>
  </si>
  <si>
    <t>2021</t>
  </si>
  <si>
    <t>2022</t>
  </si>
  <si>
    <t>Values</t>
  </si>
  <si>
    <t>Option Deposits</t>
  </si>
  <si>
    <t>Option Revenue</t>
  </si>
  <si>
    <t>LAO</t>
  </si>
  <si>
    <t>Costs</t>
  </si>
  <si>
    <t>Advances</t>
  </si>
  <si>
    <t>Pmts</t>
  </si>
  <si>
    <t>Net Income</t>
  </si>
  <si>
    <t>LOAN BUDGET</t>
  </si>
  <si>
    <t>Loan Origination Costs</t>
  </si>
  <si>
    <t>Loan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</si>
</sst>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0.000%"/>
    <numFmt numFmtId="166" formatCode="#,##0.0_);\(#,##0.0\)"/>
    <numFmt numFmtId="167" formatCode="0_)"/>
    <numFmt numFmtId="168" formatCode="&quot;$&quot;#,##0;[Red]&quot;$&quot;#,##0"/>
    <numFmt numFmtId="169" formatCode="#,##0.0_);[Red]\(#,##0.0\)"/>
    <numFmt numFmtId="170" formatCode="0_);[Red]\(0\)"/>
    <numFmt numFmtId="171" formatCode="&quot;$&quot;#,##0.00"/>
    <numFmt numFmtId="172" formatCode="#,##0.0000000"/>
    <numFmt numFmtId="173" formatCode="&quot;Yes&quot;;\'&quot;no&quot;"/>
    <numFmt numFmtId="174" formatCode="&quot;$&quot;#,##0.0&quot;mm&quot;"/>
    <numFmt numFmtId="175" formatCode="0.0000%"/>
    <numFmt numFmtId="176" formatCode="_(#,##0_);_(\(#,##0\);_(&quot;-&quot;??_);_(@_)"/>
    <numFmt numFmtId="177" formatCode="&quot;Parcel &quot;0.00"/>
    <numFmt numFmtId="178" formatCode="_(&quot;$&quot;#,##0_);_(\(&quot;$&quot;#,##0\);_(&quot;-&quot;??_);_(@_)"/>
    <numFmt numFmtId="179" formatCode="_(* #,##0_);_(* \(#,##0\);_(* &quot;-&quot;??_);_(@_)"/>
    <numFmt numFmtId="180" formatCode="0.0"/>
    <numFmt numFmtId="181" formatCode="_(&quot;$&quot;* #,##0_);_(&quot;$&quot;* \(#,##0\);_(&quot;$&quot;* &quot;-&quot;??_);_(@_)"/>
    <numFmt numFmtId="182" formatCode="0.0%"/>
    <numFmt numFmtId="183" formatCode="[$-409]mmm\-yy;@"/>
    <numFmt numFmtId="184" formatCode="\ _(#,##0_);[Red]_(\(#,##0\);_(\ \ \ \ &quot;-&quot;??_);_(@_)"/>
    <numFmt numFmtId="185" formatCode="_(#,##0_);_(\(#,##0\);_(&quot;-&quot;_);_(@_)"/>
  </numFmts>
  <fonts count="10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Times New Roman"/>
      <family val="1"/>
    </font>
    <font>
      <b/>
      <sz val="10"/>
      <color indexed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name val="DUTCH"/>
    </font>
    <font>
      <sz val="18"/>
      <name val="Arial"/>
      <family val="2"/>
    </font>
    <font>
      <b/>
      <sz val="14"/>
      <name val="DUTCH"/>
    </font>
    <font>
      <sz val="10"/>
      <name val="DUTCH"/>
    </font>
    <font>
      <b/>
      <sz val="10"/>
      <color indexed="61"/>
      <name val="DUTCH"/>
    </font>
    <font>
      <b/>
      <i/>
      <sz val="8"/>
      <color indexed="10"/>
      <name val="Arial"/>
      <family val="2"/>
    </font>
    <font>
      <sz val="10"/>
      <name val="Arial"/>
      <family val="2"/>
    </font>
    <font>
      <b/>
      <sz val="28"/>
      <color indexed="39"/>
      <name val="Arial"/>
      <family val="2"/>
    </font>
    <font>
      <i/>
      <sz val="24"/>
      <name val="Arial"/>
      <family val="2"/>
    </font>
    <font>
      <b/>
      <sz val="10"/>
      <color indexed="8"/>
      <name val="Arial"/>
      <family val="2"/>
    </font>
    <font>
      <u/>
      <sz val="10"/>
      <name val="DUTCH"/>
    </font>
    <font>
      <b/>
      <sz val="10"/>
      <color indexed="10"/>
      <name val="DUTCH"/>
    </font>
    <font>
      <b/>
      <u/>
      <sz val="10"/>
      <name val="DUTCH"/>
    </font>
    <font>
      <sz val="10"/>
      <color indexed="51"/>
      <name val="Arial"/>
      <family val="2"/>
    </font>
    <font>
      <i/>
      <sz val="8"/>
      <color indexed="51"/>
      <name val="Arial"/>
      <family val="2"/>
    </font>
    <font>
      <b/>
      <sz val="12"/>
      <color indexed="13"/>
      <name val="Arial"/>
      <family val="2"/>
    </font>
    <font>
      <b/>
      <sz val="10"/>
      <color indexed="13"/>
      <name val="DUTCH"/>
    </font>
    <font>
      <b/>
      <sz val="8"/>
      <color indexed="10"/>
      <name val="Arial"/>
      <family val="2"/>
    </font>
    <font>
      <b/>
      <sz val="9"/>
      <name val="DUTCH"/>
    </font>
    <font>
      <b/>
      <u/>
      <sz val="10"/>
      <color indexed="12"/>
      <name val="Arial"/>
      <family val="2"/>
    </font>
    <font>
      <b/>
      <sz val="8"/>
      <color indexed="13"/>
      <name val="Arial"/>
      <family val="2"/>
    </font>
    <font>
      <sz val="24"/>
      <name val="DUTCH"/>
    </font>
    <font>
      <b/>
      <i/>
      <sz val="10"/>
      <name val="Arial"/>
      <family val="2"/>
    </font>
    <font>
      <sz val="18"/>
      <name val="DUTCH"/>
    </font>
    <font>
      <b/>
      <sz val="10"/>
      <color indexed="16"/>
      <name val="DUTCH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b/>
      <sz val="14"/>
      <name val="Arial"/>
      <family val="2"/>
    </font>
    <font>
      <b/>
      <i/>
      <sz val="12"/>
      <color indexed="10"/>
      <name val="Arial"/>
      <family val="2"/>
    </font>
    <font>
      <sz val="11"/>
      <name val="DUTCH"/>
    </font>
    <font>
      <b/>
      <sz val="11"/>
      <color indexed="8"/>
      <name val="DUTCH"/>
    </font>
    <font>
      <b/>
      <sz val="11"/>
      <color indexed="13"/>
      <name val="DUTCH"/>
    </font>
    <font>
      <b/>
      <u/>
      <sz val="10"/>
      <name val="Arial"/>
      <family val="2"/>
    </font>
    <font>
      <b/>
      <sz val="10"/>
      <color indexed="8"/>
      <name val="DUTCH"/>
    </font>
    <font>
      <b/>
      <u val="double"/>
      <sz val="10"/>
      <color indexed="8"/>
      <name val="DUTCH"/>
    </font>
    <font>
      <sz val="10"/>
      <color indexed="8"/>
      <name val="DUTCH"/>
    </font>
    <font>
      <b/>
      <u val="double"/>
      <sz val="10"/>
      <name val="DUTCH"/>
    </font>
    <font>
      <b/>
      <u/>
      <sz val="24"/>
      <color indexed="39"/>
      <name val="Dutch"/>
    </font>
    <font>
      <b/>
      <u/>
      <sz val="28"/>
      <color indexed="39"/>
      <name val="Arial"/>
      <family val="2"/>
    </font>
    <font>
      <b/>
      <u val="double"/>
      <sz val="10"/>
      <color rgb="FFFF0000"/>
      <name val="DUTCH"/>
    </font>
    <font>
      <sz val="9"/>
      <name val="DUTCH"/>
    </font>
    <font>
      <u/>
      <sz val="9"/>
      <name val="DUTCH"/>
    </font>
    <font>
      <u/>
      <sz val="10"/>
      <color theme="11"/>
      <name val="Arial"/>
      <family val="2"/>
    </font>
    <font>
      <b/>
      <sz val="9"/>
      <color indexed="81"/>
      <name val="Arial"/>
      <family val="2"/>
    </font>
    <font>
      <b/>
      <i/>
      <sz val="10"/>
      <color rgb="FFFF000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4"/>
      <color rgb="FFFFC000"/>
      <name val="Univers"/>
      <family val="2"/>
    </font>
    <font>
      <b/>
      <sz val="10"/>
      <name val="Times New Roman"/>
      <family val="1"/>
    </font>
    <font>
      <b/>
      <sz val="10"/>
      <name val="Univers"/>
      <family val="2"/>
    </font>
    <font>
      <sz val="10"/>
      <color rgb="FFFFFF99"/>
      <name val="Arial"/>
      <family val="2"/>
    </font>
    <font>
      <sz val="10"/>
      <color theme="0" tint="-4.9989318521683403E-2"/>
      <name val="Univers"/>
      <family val="2"/>
    </font>
    <font>
      <sz val="9"/>
      <color theme="0" tint="-4.9989318521683403E-2"/>
      <name val="Univers"/>
      <family val="2"/>
    </font>
    <font>
      <sz val="11"/>
      <color rgb="FFFFFF99"/>
      <name val="Univers"/>
      <family val="2"/>
    </font>
    <font>
      <sz val="11"/>
      <color theme="0" tint="-4.9989318521683403E-2"/>
      <name val="Univers"/>
      <family val="2"/>
    </font>
    <font>
      <sz val="11"/>
      <color theme="0" tint="-4.9989318521683403E-2"/>
      <name val="Univers"/>
      <family val="2"/>
    </font>
    <font>
      <sz val="8"/>
      <color rgb="FFFFC000"/>
      <name val="Univers"/>
      <family val="2"/>
    </font>
    <font>
      <sz val="10"/>
      <color rgb="FFFFC000"/>
      <name val="Univers"/>
      <family val="2"/>
    </font>
    <font>
      <sz val="8"/>
      <color theme="0" tint="-4.9989318521683403E-2"/>
      <name val="Univers"/>
      <family val="2"/>
    </font>
    <font>
      <b/>
      <sz val="10"/>
      <color theme="0" tint="-4.9989318521683403E-2"/>
      <name val="Univers"/>
      <family val="2"/>
    </font>
    <font>
      <b/>
      <sz val="9"/>
      <color rgb="FFFFC000"/>
      <name val="Univers"/>
      <family val="2"/>
    </font>
    <font>
      <b/>
      <sz val="11"/>
      <name val="Univers"/>
      <family val="2"/>
    </font>
    <font>
      <b/>
      <sz val="11"/>
      <color rgb="FF00B0F0"/>
      <name val="Univers"/>
      <family val="2"/>
    </font>
    <font>
      <sz val="11"/>
      <color rgb="FFFFC000"/>
      <name val="Univers"/>
      <family val="2"/>
    </font>
    <font>
      <b/>
      <i/>
      <sz val="11"/>
      <color indexed="10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b/>
      <sz val="11"/>
      <color theme="0" tint="-4.9989318521683403E-2"/>
      <name val="Univers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8"/>
      <color theme="0" tint="-0.14999847407452621"/>
      <name val="Univers"/>
      <family val="2"/>
    </font>
    <font>
      <b/>
      <sz val="7"/>
      <name val="Univers"/>
      <family val="2"/>
    </font>
    <font>
      <b/>
      <sz val="7"/>
      <color theme="0" tint="-4.9989318521683403E-2"/>
      <name val="Univers"/>
      <family val="2"/>
    </font>
    <font>
      <sz val="7"/>
      <name val="Arial"/>
      <family val="2"/>
    </font>
    <font>
      <b/>
      <sz val="16"/>
      <name val="Arial"/>
      <family val="2"/>
    </font>
    <font>
      <sz val="12"/>
      <color theme="1"/>
      <name val="ArialMT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FFFF00"/>
      <name val="Arial"/>
      <family val="2"/>
    </font>
    <font>
      <sz val="11"/>
      <color theme="1"/>
      <name val="ArialMT"/>
      <family val="2"/>
    </font>
    <font>
      <b/>
      <sz val="9"/>
      <name val="Arial"/>
      <family val="2"/>
    </font>
    <font>
      <sz val="9"/>
      <color rgb="FFB2B2B2"/>
      <name val="Univers"/>
      <family val="2"/>
    </font>
    <font>
      <b/>
      <sz val="11"/>
      <name val="DUTCH"/>
    </font>
    <font>
      <u/>
      <sz val="11"/>
      <name val="DUTCH"/>
    </font>
    <font>
      <b/>
      <u/>
      <sz val="11"/>
      <name val="DUTCH"/>
    </font>
    <font>
      <b/>
      <u val="double"/>
      <sz val="11"/>
      <name val="DUTCH"/>
    </font>
    <font>
      <sz val="10"/>
      <color indexed="10"/>
      <name val="DUTCH"/>
    </font>
    <font>
      <sz val="8"/>
      <name val="DUTCH"/>
    </font>
    <font>
      <b/>
      <u val="double"/>
      <sz val="10"/>
      <color indexed="8"/>
      <name val="Arial"/>
      <family val="2"/>
    </font>
    <font>
      <b/>
      <u val="double"/>
      <sz val="10"/>
      <color rgb="FFFF0000"/>
      <name val="Arial"/>
      <family val="2"/>
    </font>
    <font>
      <b/>
      <u val="double"/>
      <sz val="1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11"/>
      </patternFill>
    </fill>
    <fill>
      <patternFill patternType="solid">
        <fgColor indexed="22"/>
        <bgColor indexed="11"/>
      </patternFill>
    </fill>
    <fill>
      <patternFill patternType="solid">
        <fgColor indexed="42"/>
        <bgColor indexed="11"/>
      </patternFill>
    </fill>
    <fill>
      <patternFill patternType="solid">
        <fgColor indexed="13"/>
        <bgColor indexed="13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11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11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11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11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6"/>
        <bgColor indexed="11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11"/>
      </patternFill>
    </fill>
    <fill>
      <patternFill patternType="solid">
        <fgColor indexed="1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8"/>
        <bgColor indexed="11"/>
      </patternFill>
    </fill>
    <fill>
      <patternFill patternType="solid">
        <fgColor indexed="44"/>
        <bgColor indexed="11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11"/>
      </patternFill>
    </fill>
    <fill>
      <patternFill patternType="solid">
        <fgColor indexed="52"/>
        <bgColor indexed="11"/>
      </patternFill>
    </fill>
    <fill>
      <patternFill patternType="solid">
        <fgColor rgb="FFB2B2B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13"/>
      </patternFill>
    </fill>
    <fill>
      <patternFill patternType="solid">
        <fgColor rgb="FF2D2E3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0424F"/>
        <bgColor indexed="64"/>
      </patternFill>
    </fill>
    <fill>
      <patternFill patternType="solid">
        <fgColor rgb="FF2E2E36"/>
        <bgColor indexed="64"/>
      </patternFill>
    </fill>
    <fill>
      <patternFill patternType="solid">
        <fgColor rgb="FF40434F"/>
        <bgColor indexed="64"/>
      </patternFill>
    </fill>
    <fill>
      <patternFill patternType="solid">
        <fgColor rgb="FF353641"/>
        <bgColor indexed="64"/>
      </patternFill>
    </fill>
    <fill>
      <patternFill patternType="solid">
        <fgColor rgb="FF4546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auto="1"/>
      </right>
      <top style="medium">
        <color auto="1"/>
      </top>
      <bottom style="medium">
        <color indexed="8"/>
      </bottom>
      <diagonal/>
    </border>
    <border>
      <left style="medium">
        <color auto="1"/>
      </left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8"/>
      </left>
      <right/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auto="1"/>
      </right>
      <top/>
      <bottom/>
      <diagonal/>
    </border>
    <border>
      <left style="medium">
        <color indexed="8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8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rgb="FF626262"/>
      </top>
      <bottom/>
      <diagonal/>
    </border>
    <border>
      <left/>
      <right/>
      <top/>
      <bottom style="thin">
        <color rgb="FF626262"/>
      </bottom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/>
      <right style="thick">
        <color rgb="FF40424F"/>
      </right>
      <top style="thick">
        <color rgb="FF40424F"/>
      </top>
      <bottom/>
      <diagonal/>
    </border>
    <border>
      <left/>
      <right/>
      <top style="thick">
        <color rgb="FF40424F"/>
      </top>
      <bottom/>
      <diagonal/>
    </border>
    <border>
      <left/>
      <right style="thick">
        <color rgb="FF40424F"/>
      </right>
      <top/>
      <bottom/>
      <diagonal/>
    </border>
    <border>
      <left/>
      <right/>
      <top style="thick">
        <color rgb="FF40424F"/>
      </top>
      <bottom style="thick">
        <color rgb="FF40424F"/>
      </bottom>
      <diagonal/>
    </border>
    <border>
      <left/>
      <right style="thin">
        <color rgb="FF626262"/>
      </right>
      <top style="thin">
        <color rgb="FF626262"/>
      </top>
      <bottom/>
      <diagonal/>
    </border>
    <border>
      <left/>
      <right style="thin">
        <color rgb="FF626262"/>
      </right>
      <top/>
      <bottom style="thin">
        <color rgb="FF626262"/>
      </bottom>
      <diagonal/>
    </border>
    <border>
      <left/>
      <right style="thin">
        <color rgb="FF626262"/>
      </right>
      <top/>
      <bottom/>
      <diagonal/>
    </border>
    <border>
      <left/>
      <right/>
      <top/>
      <bottom style="thick">
        <color rgb="FF40424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/>
      <diagonal/>
    </border>
    <border>
      <left/>
      <right style="medium">
        <color indexed="64"/>
      </right>
      <top style="thin">
        <color theme="2" tint="-9.9948118533890809E-2"/>
      </top>
      <bottom/>
      <diagonal/>
    </border>
    <border>
      <left style="medium">
        <color indexed="64"/>
      </left>
      <right/>
      <top style="medium">
        <color theme="2" tint="-9.9917600024414813E-2"/>
      </top>
      <bottom/>
      <diagonal/>
    </border>
    <border>
      <left/>
      <right/>
      <top style="medium">
        <color theme="2" tint="-9.9917600024414813E-2"/>
      </top>
      <bottom/>
      <diagonal/>
    </border>
    <border>
      <left/>
      <right style="medium">
        <color indexed="64"/>
      </right>
      <top style="medium">
        <color theme="2" tint="-9.9917600024414813E-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0" tint="-0.24994659260841701"/>
      </bottom>
      <diagonal/>
    </border>
  </borders>
  <cellStyleXfs count="63">
    <xf numFmtId="0" fontId="0" fillId="0" borderId="0"/>
    <xf numFmtId="41" fontId="61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15" fillId="0" borderId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44" fontId="58" fillId="0" borderId="0" applyFont="0" applyFill="0" applyBorder="0" applyAlignment="0" applyProtection="0"/>
    <xf numFmtId="0" fontId="59" fillId="0" borderId="0"/>
    <xf numFmtId="176" fontId="63" fillId="35" borderId="54">
      <alignment horizontal="center" vertical="center"/>
    </xf>
    <xf numFmtId="14" fontId="63" fillId="35" borderId="54" applyProtection="0">
      <alignment horizontal="center" vertical="center"/>
    </xf>
    <xf numFmtId="41" fontId="6" fillId="0" borderId="0"/>
    <xf numFmtId="178" fontId="63" fillId="35" borderId="54" applyProtection="0">
      <alignment horizontal="center" vertical="center"/>
    </xf>
    <xf numFmtId="183" fontId="1" fillId="0" borderId="0"/>
    <xf numFmtId="183" fontId="88" fillId="0" borderId="0"/>
    <xf numFmtId="44" fontId="8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8" fillId="0" borderId="0" applyFont="0" applyFill="0" applyBorder="0" applyAlignment="0" applyProtection="0"/>
    <xf numFmtId="9" fontId="88" fillId="0" borderId="0" applyFont="0" applyFill="0" applyBorder="0" applyAlignment="0" applyProtection="0"/>
    <xf numFmtId="183" fontId="1" fillId="0" borderId="0"/>
    <xf numFmtId="44" fontId="1" fillId="0" borderId="0" applyFont="0" applyFill="0" applyBorder="0" applyAlignment="0" applyProtection="0"/>
  </cellStyleXfs>
  <cellXfs count="593">
    <xf numFmtId="0" fontId="0" fillId="0" borderId="0" xfId="0"/>
    <xf numFmtId="0" fontId="60" fillId="35" borderId="52" xfId="50" applyFont="1" applyFill="1" applyBorder="1" applyAlignment="1">
      <alignment horizontal="left" vertical="center"/>
    </xf>
    <xf numFmtId="0" fontId="2" fillId="0" borderId="0" xfId="0" applyFont="1"/>
    <xf numFmtId="0" fontId="8" fillId="0" borderId="0" xfId="0" applyFont="1" applyAlignment="1">
      <alignment horizontal="center"/>
    </xf>
    <xf numFmtId="0" fontId="8" fillId="0" borderId="0" xfId="0" applyFont="1"/>
    <xf numFmtId="0" fontId="0" fillId="0" borderId="0" xfId="0" applyAlignment="1">
      <alignment horizontal="center"/>
    </xf>
    <xf numFmtId="0" fontId="7" fillId="2" borderId="3" xfId="0" applyFont="1" applyFill="1" applyBorder="1" applyAlignment="1">
      <alignment horizontal="centerContinuous"/>
    </xf>
    <xf numFmtId="0" fontId="12" fillId="0" borderId="0" xfId="0" applyFont="1" applyAlignment="1">
      <alignment horizontal="center"/>
    </xf>
    <xf numFmtId="10" fontId="0" fillId="0" borderId="0" xfId="5" applyNumberFormat="1" applyFont="1"/>
    <xf numFmtId="166" fontId="13" fillId="3" borderId="4" xfId="0" applyNumberFormat="1" applyFont="1" applyFill="1" applyBorder="1" applyAlignment="1">
      <alignment horizontal="centerContinuous"/>
    </xf>
    <xf numFmtId="0" fontId="2" fillId="4" borderId="5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37" fontId="0" fillId="0" borderId="0" xfId="0" applyNumberFormat="1"/>
    <xf numFmtId="37" fontId="0" fillId="0" borderId="7" xfId="0" applyNumberFormat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5" xfId="0" applyNumberFormat="1" applyBorder="1" applyAlignment="1">
      <alignment horizontal="center"/>
    </xf>
    <xf numFmtId="37" fontId="0" fillId="0" borderId="9" xfId="0" applyNumberFormat="1" applyBorder="1" applyAlignment="1">
      <alignment horizontal="center"/>
    </xf>
    <xf numFmtId="37" fontId="0" fillId="0" borderId="10" xfId="0" applyNumberFormat="1" applyBorder="1" applyAlignment="1">
      <alignment horizontal="center"/>
    </xf>
    <xf numFmtId="37" fontId="0" fillId="7" borderId="11" xfId="0" applyNumberFormat="1" applyFill="1" applyBorder="1" applyAlignment="1">
      <alignment horizontal="center"/>
    </xf>
    <xf numFmtId="37" fontId="0" fillId="0" borderId="11" xfId="0" applyNumberFormat="1" applyBorder="1" applyAlignment="1">
      <alignment horizontal="center"/>
    </xf>
    <xf numFmtId="37" fontId="15" fillId="0" borderId="11" xfId="0" applyNumberFormat="1" applyFont="1" applyBorder="1" applyAlignment="1">
      <alignment horizontal="center"/>
    </xf>
    <xf numFmtId="37" fontId="16" fillId="8" borderId="11" xfId="0" applyNumberFormat="1" applyFont="1" applyFill="1" applyBorder="1" applyAlignment="1">
      <alignment horizontal="center"/>
    </xf>
    <xf numFmtId="37" fontId="15" fillId="7" borderId="11" xfId="0" applyNumberFormat="1" applyFont="1" applyFill="1" applyBorder="1" applyAlignment="1">
      <alignment horizontal="center"/>
    </xf>
    <xf numFmtId="0" fontId="2" fillId="9" borderId="5" xfId="0" applyFont="1" applyFill="1" applyBorder="1" applyAlignment="1">
      <alignment horizontal="center" vertical="center" wrapText="1"/>
    </xf>
    <xf numFmtId="37" fontId="15" fillId="0" borderId="7" xfId="0" applyNumberFormat="1" applyFont="1" applyBorder="1" applyAlignment="1">
      <alignment horizontal="center"/>
    </xf>
    <xf numFmtId="37" fontId="15" fillId="0" borderId="8" xfId="0" applyNumberFormat="1" applyFont="1" applyBorder="1" applyAlignment="1">
      <alignment horizontal="center"/>
    </xf>
    <xf numFmtId="37" fontId="15" fillId="0" borderId="5" xfId="0" applyNumberFormat="1" applyFont="1" applyBorder="1" applyAlignment="1">
      <alignment horizontal="center"/>
    </xf>
    <xf numFmtId="37" fontId="15" fillId="0" borderId="9" xfId="0" applyNumberFormat="1" applyFont="1" applyBorder="1" applyAlignment="1">
      <alignment horizontal="center"/>
    </xf>
    <xf numFmtId="37" fontId="15" fillId="0" borderId="10" xfId="0" applyNumberFormat="1" applyFont="1" applyBorder="1" applyAlignment="1">
      <alignment horizontal="center"/>
    </xf>
    <xf numFmtId="165" fontId="15" fillId="0" borderId="7" xfId="5" applyNumberFormat="1" applyFont="1" applyBorder="1" applyAlignment="1">
      <alignment horizontal="center"/>
    </xf>
    <xf numFmtId="37" fontId="4" fillId="7" borderId="11" xfId="0" applyNumberFormat="1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 vertical="center" wrapText="1"/>
    </xf>
    <xf numFmtId="3" fontId="17" fillId="8" borderId="1" xfId="0" applyNumberFormat="1" applyFont="1" applyFill="1" applyBorder="1" applyAlignment="1">
      <alignment horizontal="center"/>
    </xf>
    <xf numFmtId="165" fontId="15" fillId="0" borderId="8" xfId="5" applyNumberFormat="1" applyFont="1" applyBorder="1" applyAlignment="1">
      <alignment horizontal="center"/>
    </xf>
    <xf numFmtId="165" fontId="15" fillId="0" borderId="5" xfId="5" applyNumberFormat="1" applyFont="1" applyBorder="1" applyAlignment="1">
      <alignment horizontal="center"/>
    </xf>
    <xf numFmtId="165" fontId="15" fillId="0" borderId="9" xfId="5" applyNumberFormat="1" applyFont="1" applyBorder="1" applyAlignment="1">
      <alignment horizontal="center"/>
    </xf>
    <xf numFmtId="165" fontId="15" fillId="0" borderId="10" xfId="5" applyNumberFormat="1" applyFont="1" applyBorder="1" applyAlignment="1">
      <alignment horizontal="center"/>
    </xf>
    <xf numFmtId="0" fontId="18" fillId="0" borderId="0" xfId="0" applyFont="1"/>
    <xf numFmtId="0" fontId="10" fillId="0" borderId="1" xfId="0" applyFont="1" applyBorder="1" applyAlignment="1">
      <alignment horizontal="center"/>
    </xf>
    <xf numFmtId="0" fontId="15" fillId="0" borderId="0" xfId="4"/>
    <xf numFmtId="0" fontId="15" fillId="0" borderId="0" xfId="4" applyAlignment="1">
      <alignment horizontal="centerContinuous"/>
    </xf>
    <xf numFmtId="37" fontId="16" fillId="12" borderId="11" xfId="0" applyNumberFormat="1" applyFont="1" applyFill="1" applyBorder="1" applyAlignment="1">
      <alignment horizontal="center"/>
    </xf>
    <xf numFmtId="0" fontId="26" fillId="14" borderId="3" xfId="0" applyFont="1" applyFill="1" applyBorder="1" applyAlignment="1">
      <alignment horizontal="centerContinuous"/>
    </xf>
    <xf numFmtId="0" fontId="11" fillId="15" borderId="5" xfId="0" applyFont="1" applyFill="1" applyBorder="1" applyAlignment="1">
      <alignment horizontal="center" vertical="center" wrapText="1"/>
    </xf>
    <xf numFmtId="169" fontId="11" fillId="15" borderId="11" xfId="0" applyNumberFormat="1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Continuous"/>
    </xf>
    <xf numFmtId="0" fontId="14" fillId="16" borderId="15" xfId="0" applyFont="1" applyFill="1" applyBorder="1" applyAlignment="1">
      <alignment horizontal="centerContinuous"/>
    </xf>
    <xf numFmtId="0" fontId="2" fillId="17" borderId="5" xfId="0" applyFont="1" applyFill="1" applyBorder="1" applyAlignment="1">
      <alignment horizontal="center" vertical="center" wrapText="1"/>
    </xf>
    <xf numFmtId="165" fontId="8" fillId="0" borderId="0" xfId="5" applyNumberFormat="1" applyFont="1"/>
    <xf numFmtId="0" fontId="3" fillId="8" borderId="1" xfId="0" applyFont="1" applyFill="1" applyBorder="1" applyAlignment="1">
      <alignment horizontal="center"/>
    </xf>
    <xf numFmtId="0" fontId="27" fillId="14" borderId="2" xfId="0" applyFont="1" applyFill="1" applyBorder="1" applyAlignment="1">
      <alignment horizontal="centerContinuous"/>
    </xf>
    <xf numFmtId="0" fontId="25" fillId="14" borderId="16" xfId="0" applyFont="1" applyFill="1" applyBorder="1" applyAlignment="1">
      <alignment horizontal="centerContinuous"/>
    </xf>
    <xf numFmtId="0" fontId="26" fillId="14" borderId="16" xfId="0" applyFont="1" applyFill="1" applyBorder="1" applyAlignment="1">
      <alignment horizontal="centerContinuous"/>
    </xf>
    <xf numFmtId="10" fontId="16" fillId="8" borderId="11" xfId="5" applyNumberFormat="1" applyFont="1" applyFill="1" applyBorder="1" applyAlignment="1">
      <alignment horizontal="center"/>
    </xf>
    <xf numFmtId="37" fontId="15" fillId="0" borderId="6" xfId="0" applyNumberFormat="1" applyFont="1" applyBorder="1" applyAlignment="1">
      <alignment horizontal="center"/>
    </xf>
    <xf numFmtId="37" fontId="8" fillId="0" borderId="0" xfId="0" applyNumberFormat="1" applyFont="1"/>
    <xf numFmtId="3" fontId="7" fillId="18" borderId="1" xfId="0" applyNumberFormat="1" applyFont="1" applyFill="1" applyBorder="1" applyAlignment="1" applyProtection="1">
      <alignment horizontal="center"/>
      <protection locked="0"/>
    </xf>
    <xf numFmtId="0" fontId="7" fillId="2" borderId="3" xfId="0" applyFont="1" applyFill="1" applyBorder="1" applyAlignment="1" applyProtection="1">
      <alignment horizontal="centerContinuous"/>
      <protection locked="0"/>
    </xf>
    <xf numFmtId="164" fontId="7" fillId="18" borderId="1" xfId="0" applyNumberFormat="1" applyFont="1" applyFill="1" applyBorder="1" applyAlignment="1" applyProtection="1">
      <alignment horizontal="center"/>
      <protection locked="0"/>
    </xf>
    <xf numFmtId="10" fontId="7" fillId="18" borderId="1" xfId="5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3" fontId="11" fillId="13" borderId="1" xfId="0" applyNumberFormat="1" applyFont="1" applyFill="1" applyBorder="1" applyAlignment="1">
      <alignment horizontal="center"/>
    </xf>
    <xf numFmtId="10" fontId="0" fillId="7" borderId="11" xfId="5" applyNumberFormat="1" applyFont="1" applyFill="1" applyBorder="1" applyAlignment="1">
      <alignment horizontal="center"/>
    </xf>
    <xf numFmtId="0" fontId="2" fillId="20" borderId="5" xfId="0" applyFont="1" applyFill="1" applyBorder="1" applyAlignment="1">
      <alignment horizontal="center" vertical="center" wrapText="1"/>
    </xf>
    <xf numFmtId="3" fontId="28" fillId="14" borderId="0" xfId="5" applyNumberFormat="1" applyFont="1" applyFill="1" applyAlignment="1">
      <alignment horizontal="center"/>
    </xf>
    <xf numFmtId="10" fontId="28" fillId="14" borderId="0" xfId="5" applyNumberFormat="1" applyFont="1" applyFill="1" applyAlignment="1">
      <alignment horizontal="center"/>
    </xf>
    <xf numFmtId="169" fontId="11" fillId="15" borderId="7" xfId="0" applyNumberFormat="1" applyFont="1" applyFill="1" applyBorder="1" applyAlignment="1">
      <alignment horizontal="center" vertical="center" wrapText="1"/>
    </xf>
    <xf numFmtId="166" fontId="13" fillId="21" borderId="13" xfId="0" applyNumberFormat="1" applyFont="1" applyFill="1" applyBorder="1" applyAlignment="1">
      <alignment horizontal="centerContinuous"/>
    </xf>
    <xf numFmtId="166" fontId="13" fillId="13" borderId="4" xfId="0" applyNumberFormat="1" applyFont="1" applyFill="1" applyBorder="1" applyAlignment="1">
      <alignment horizontal="centerContinuous"/>
    </xf>
    <xf numFmtId="166" fontId="13" fillId="13" borderId="17" xfId="0" applyNumberFormat="1" applyFont="1" applyFill="1" applyBorder="1" applyAlignment="1">
      <alignment horizontal="centerContinuous"/>
    </xf>
    <xf numFmtId="0" fontId="15" fillId="0" borderId="0" xfId="0" applyFont="1"/>
    <xf numFmtId="165" fontId="28" fillId="14" borderId="1" xfId="5" applyNumberFormat="1" applyFont="1" applyFill="1" applyBorder="1" applyAlignment="1">
      <alignment horizontal="center"/>
    </xf>
    <xf numFmtId="3" fontId="23" fillId="13" borderId="8" xfId="0" quotePrefix="1" applyNumberFormat="1" applyFont="1" applyFill="1" applyBorder="1" applyAlignment="1">
      <alignment horizontal="center"/>
    </xf>
    <xf numFmtId="165" fontId="23" fillId="13" borderId="10" xfId="0" quotePrefix="1" applyNumberFormat="1" applyFont="1" applyFill="1" applyBorder="1" applyAlignment="1">
      <alignment horizontal="center"/>
    </xf>
    <xf numFmtId="3" fontId="23" fillId="13" borderId="10" xfId="0" quotePrefix="1" applyNumberFormat="1" applyFont="1" applyFill="1" applyBorder="1" applyAlignment="1">
      <alignment horizontal="center"/>
    </xf>
    <xf numFmtId="1" fontId="28" fillId="14" borderId="10" xfId="0" quotePrefix="1" applyNumberFormat="1" applyFont="1" applyFill="1" applyBorder="1" applyAlignment="1">
      <alignment horizontal="center"/>
    </xf>
    <xf numFmtId="37" fontId="0" fillId="0" borderId="0" xfId="0" applyNumberFormat="1" applyAlignment="1">
      <alignment horizontal="center"/>
    </xf>
    <xf numFmtId="0" fontId="0" fillId="3" borderId="12" xfId="0" applyFill="1" applyBorder="1" applyAlignment="1">
      <alignment horizontal="centerContinuous"/>
    </xf>
    <xf numFmtId="0" fontId="15" fillId="22" borderId="5" xfId="0" applyFont="1" applyFill="1" applyBorder="1" applyAlignment="1">
      <alignment horizontal="center" vertical="center" wrapText="1"/>
    </xf>
    <xf numFmtId="0" fontId="0" fillId="23" borderId="18" xfId="0" applyFill="1" applyBorder="1"/>
    <xf numFmtId="166" fontId="35" fillId="23" borderId="13" xfId="0" applyNumberFormat="1" applyFont="1" applyFill="1" applyBorder="1" applyAlignment="1">
      <alignment horizontal="centerContinuous"/>
    </xf>
    <xf numFmtId="166" fontId="15" fillId="23" borderId="14" xfId="0" applyNumberFormat="1" applyFont="1" applyFill="1" applyBorder="1" applyAlignment="1">
      <alignment horizontal="centerContinuous"/>
    </xf>
    <xf numFmtId="166" fontId="15" fillId="23" borderId="15" xfId="0" applyNumberFormat="1" applyFont="1" applyFill="1" applyBorder="1" applyAlignment="1">
      <alignment horizontal="centerContinuous"/>
    </xf>
    <xf numFmtId="166" fontId="33" fillId="23" borderId="19" xfId="0" applyNumberFormat="1" applyFont="1" applyFill="1" applyBorder="1" applyAlignment="1">
      <alignment horizontal="centerContinuous"/>
    </xf>
    <xf numFmtId="166" fontId="33" fillId="23" borderId="14" xfId="0" applyNumberFormat="1" applyFont="1" applyFill="1" applyBorder="1" applyAlignment="1">
      <alignment horizontal="centerContinuous"/>
    </xf>
    <xf numFmtId="0" fontId="0" fillId="24" borderId="18" xfId="0" applyFill="1" applyBorder="1"/>
    <xf numFmtId="166" fontId="35" fillId="24" borderId="13" xfId="0" applyNumberFormat="1" applyFont="1" applyFill="1" applyBorder="1" applyAlignment="1">
      <alignment horizontal="centerContinuous"/>
    </xf>
    <xf numFmtId="166" fontId="15" fillId="24" borderId="14" xfId="0" applyNumberFormat="1" applyFont="1" applyFill="1" applyBorder="1" applyAlignment="1">
      <alignment horizontal="centerContinuous"/>
    </xf>
    <xf numFmtId="166" fontId="15" fillId="24" borderId="15" xfId="0" applyNumberFormat="1" applyFont="1" applyFill="1" applyBorder="1" applyAlignment="1">
      <alignment horizontal="centerContinuous"/>
    </xf>
    <xf numFmtId="166" fontId="33" fillId="24" borderId="19" xfId="0" applyNumberFormat="1" applyFont="1" applyFill="1" applyBorder="1" applyAlignment="1">
      <alignment horizontal="centerContinuous"/>
    </xf>
    <xf numFmtId="166" fontId="33" fillId="24" borderId="14" xfId="0" applyNumberFormat="1" applyFont="1" applyFill="1" applyBorder="1" applyAlignment="1">
      <alignment horizontal="centerContinuous"/>
    </xf>
    <xf numFmtId="0" fontId="15" fillId="11" borderId="5" xfId="0" applyFont="1" applyFill="1" applyBorder="1" applyAlignment="1">
      <alignment horizontal="center" vertical="center" wrapText="1"/>
    </xf>
    <xf numFmtId="166" fontId="13" fillId="25" borderId="13" xfId="0" applyNumberFormat="1" applyFont="1" applyFill="1" applyBorder="1" applyAlignment="1">
      <alignment horizontal="centerContinuous"/>
    </xf>
    <xf numFmtId="166" fontId="0" fillId="25" borderId="14" xfId="0" applyNumberFormat="1" applyFill="1" applyBorder="1" applyAlignment="1">
      <alignment horizontal="centerContinuous"/>
    </xf>
    <xf numFmtId="166" fontId="35" fillId="23" borderId="14" xfId="0" applyNumberFormat="1" applyFont="1" applyFill="1" applyBorder="1" applyAlignment="1">
      <alignment horizontal="centerContinuous"/>
    </xf>
    <xf numFmtId="0" fontId="23" fillId="22" borderId="5" xfId="0" applyFont="1" applyFill="1" applyBorder="1" applyAlignment="1">
      <alignment horizontal="center" vertical="center" wrapText="1"/>
    </xf>
    <xf numFmtId="0" fontId="36" fillId="11" borderId="5" xfId="0" applyFont="1" applyFill="1" applyBorder="1" applyAlignment="1">
      <alignment horizontal="center" vertical="center" wrapText="1"/>
    </xf>
    <xf numFmtId="166" fontId="13" fillId="25" borderId="14" xfId="0" applyNumberFormat="1" applyFont="1" applyFill="1" applyBorder="1" applyAlignment="1">
      <alignment horizontal="centerContinuous"/>
    </xf>
    <xf numFmtId="0" fontId="37" fillId="26" borderId="5" xfId="0" applyFont="1" applyFill="1" applyBorder="1" applyAlignment="1">
      <alignment horizontal="center" vertical="center" wrapText="1"/>
    </xf>
    <xf numFmtId="0" fontId="28" fillId="14" borderId="0" xfId="4" applyFont="1" applyFill="1" applyAlignment="1">
      <alignment horizontal="center"/>
    </xf>
    <xf numFmtId="0" fontId="2" fillId="27" borderId="5" xfId="0" applyFont="1" applyFill="1" applyBorder="1" applyAlignment="1">
      <alignment horizontal="center" vertical="center" wrapText="1"/>
    </xf>
    <xf numFmtId="0" fontId="15" fillId="0" borderId="25" xfId="4" applyBorder="1" applyAlignment="1">
      <alignment horizontal="center"/>
    </xf>
    <xf numFmtId="5" fontId="12" fillId="0" borderId="0" xfId="4" applyNumberFormat="1" applyFont="1" applyAlignment="1">
      <alignment horizontal="right"/>
    </xf>
    <xf numFmtId="0" fontId="9" fillId="0" borderId="1" xfId="0" applyFon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0" fontId="2" fillId="17" borderId="27" xfId="0" applyFont="1" applyFill="1" applyBorder="1" applyAlignment="1">
      <alignment horizontal="center" vertical="center" wrapText="1"/>
    </xf>
    <xf numFmtId="0" fontId="2" fillId="11" borderId="27" xfId="0" applyFont="1" applyFill="1" applyBorder="1" applyAlignment="1">
      <alignment horizontal="center" vertical="center" wrapText="1"/>
    </xf>
    <xf numFmtId="0" fontId="14" fillId="28" borderId="14" xfId="0" applyFont="1" applyFill="1" applyBorder="1" applyAlignment="1">
      <alignment horizontal="centerContinuous"/>
    </xf>
    <xf numFmtId="0" fontId="14" fillId="28" borderId="15" xfId="0" applyFont="1" applyFill="1" applyBorder="1" applyAlignment="1">
      <alignment horizontal="centerContinuous"/>
    </xf>
    <xf numFmtId="0" fontId="0" fillId="28" borderId="14" xfId="0" applyFill="1" applyBorder="1"/>
    <xf numFmtId="166" fontId="13" fillId="3" borderId="17" xfId="0" applyNumberFormat="1" applyFont="1" applyFill="1" applyBorder="1" applyAlignment="1">
      <alignment horizontal="centerContinuous"/>
    </xf>
    <xf numFmtId="10" fontId="0" fillId="0" borderId="7" xfId="5" applyNumberFormat="1" applyFont="1" applyBorder="1" applyAlignment="1">
      <alignment horizontal="center"/>
    </xf>
    <xf numFmtId="10" fontId="0" fillId="0" borderId="6" xfId="5" applyNumberFormat="1" applyFont="1" applyBorder="1" applyAlignment="1">
      <alignment horizontal="center"/>
    </xf>
    <xf numFmtId="10" fontId="0" fillId="0" borderId="8" xfId="5" applyNumberFormat="1" applyFont="1" applyBorder="1" applyAlignment="1">
      <alignment horizontal="center"/>
    </xf>
    <xf numFmtId="10" fontId="0" fillId="0" borderId="5" xfId="5" applyNumberFormat="1" applyFont="1" applyBorder="1" applyAlignment="1">
      <alignment horizontal="center"/>
    </xf>
    <xf numFmtId="10" fontId="0" fillId="0" borderId="9" xfId="5" applyNumberFormat="1" applyFont="1" applyBorder="1" applyAlignment="1">
      <alignment horizontal="center"/>
    </xf>
    <xf numFmtId="10" fontId="0" fillId="0" borderId="10" xfId="5" applyNumberFormat="1" applyFont="1" applyBorder="1" applyAlignment="1">
      <alignment horizontal="center"/>
    </xf>
    <xf numFmtId="171" fontId="0" fillId="0" borderId="0" xfId="0" applyNumberFormat="1"/>
    <xf numFmtId="0" fontId="38" fillId="0" borderId="0" xfId="0" applyFont="1" applyAlignment="1">
      <alignment horizontal="center"/>
    </xf>
    <xf numFmtId="166" fontId="13" fillId="13" borderId="13" xfId="0" applyNumberFormat="1" applyFont="1" applyFill="1" applyBorder="1" applyAlignment="1">
      <alignment horizontal="centerContinuous"/>
    </xf>
    <xf numFmtId="166" fontId="13" fillId="13" borderId="14" xfId="0" applyNumberFormat="1" applyFont="1" applyFill="1" applyBorder="1" applyAlignment="1">
      <alignment horizontal="centerContinuous"/>
    </xf>
    <xf numFmtId="166" fontId="13" fillId="13" borderId="15" xfId="0" applyNumberFormat="1" applyFont="1" applyFill="1" applyBorder="1" applyAlignment="1">
      <alignment horizontal="centerContinuous"/>
    </xf>
    <xf numFmtId="10" fontId="11" fillId="13" borderId="1" xfId="5" applyNumberFormat="1" applyFont="1" applyFill="1" applyBorder="1" applyAlignment="1">
      <alignment horizontal="center"/>
    </xf>
    <xf numFmtId="3" fontId="11" fillId="13" borderId="1" xfId="0" applyNumberFormat="1" applyFont="1" applyFill="1" applyBorder="1" applyAlignment="1" applyProtection="1">
      <alignment horizontal="center"/>
      <protection locked="0"/>
    </xf>
    <xf numFmtId="37" fontId="0" fillId="0" borderId="7" xfId="0" applyNumberFormat="1" applyBorder="1" applyAlignment="1" applyProtection="1">
      <alignment horizontal="center"/>
      <protection locked="0"/>
    </xf>
    <xf numFmtId="37" fontId="0" fillId="0" borderId="8" xfId="0" applyNumberFormat="1" applyBorder="1" applyAlignment="1" applyProtection="1">
      <alignment horizontal="center"/>
      <protection locked="0"/>
    </xf>
    <xf numFmtId="37" fontId="0" fillId="0" borderId="5" xfId="0" applyNumberFormat="1" applyBorder="1" applyAlignment="1" applyProtection="1">
      <alignment horizontal="center"/>
      <protection locked="0"/>
    </xf>
    <xf numFmtId="37" fontId="0" fillId="0" borderId="9" xfId="0" applyNumberFormat="1" applyBorder="1" applyAlignment="1" applyProtection="1">
      <alignment horizontal="center"/>
      <protection locked="0"/>
    </xf>
    <xf numFmtId="37" fontId="0" fillId="0" borderId="10" xfId="0" applyNumberFormat="1" applyBorder="1" applyAlignment="1" applyProtection="1">
      <alignment horizontal="center"/>
      <protection locked="0"/>
    </xf>
    <xf numFmtId="5" fontId="15" fillId="0" borderId="0" xfId="4" applyNumberFormat="1"/>
    <xf numFmtId="0" fontId="38" fillId="2" borderId="28" xfId="0" applyFont="1" applyFill="1" applyBorder="1" applyAlignment="1">
      <alignment horizontal="center"/>
    </xf>
    <xf numFmtId="0" fontId="13" fillId="28" borderId="13" xfId="0" applyFont="1" applyFill="1" applyBorder="1" applyAlignment="1">
      <alignment horizontal="centerContinuous"/>
    </xf>
    <xf numFmtId="0" fontId="13" fillId="28" borderId="14" xfId="0" applyFont="1" applyFill="1" applyBorder="1" applyAlignment="1">
      <alignment horizontal="centerContinuous"/>
    </xf>
    <xf numFmtId="38" fontId="0" fillId="0" borderId="0" xfId="0" applyNumberFormat="1"/>
    <xf numFmtId="37" fontId="0" fillId="0" borderId="6" xfId="0" applyNumberFormat="1" applyBorder="1" applyAlignment="1" applyProtection="1">
      <alignment horizontal="center"/>
      <protection locked="0"/>
    </xf>
    <xf numFmtId="37" fontId="0" fillId="0" borderId="6" xfId="0" applyNumberFormat="1" applyBorder="1" applyAlignment="1">
      <alignment horizontal="center"/>
    </xf>
    <xf numFmtId="0" fontId="19" fillId="0" borderId="0" xfId="4" applyFont="1" applyAlignment="1">
      <alignment horizontal="centerContinuous"/>
    </xf>
    <xf numFmtId="22" fontId="15" fillId="0" borderId="0" xfId="4" applyNumberFormat="1" applyAlignment="1">
      <alignment horizontal="centerContinuous"/>
    </xf>
    <xf numFmtId="0" fontId="20" fillId="0" borderId="0" xfId="4" applyFont="1" applyAlignment="1">
      <alignment horizontal="centerContinuous"/>
    </xf>
    <xf numFmtId="0" fontId="15" fillId="0" borderId="0" xfId="4" applyAlignment="1">
      <alignment horizontal="center"/>
    </xf>
    <xf numFmtId="0" fontId="19" fillId="0" borderId="0" xfId="4" applyFont="1" applyAlignment="1">
      <alignment horizontal="center"/>
    </xf>
    <xf numFmtId="0" fontId="30" fillId="0" borderId="0" xfId="4" applyFont="1" applyAlignment="1">
      <alignment horizontal="center"/>
    </xf>
    <xf numFmtId="0" fontId="34" fillId="10" borderId="2" xfId="0" applyFont="1" applyFill="1" applyBorder="1" applyAlignment="1">
      <alignment horizontal="centerContinuous" vertical="center"/>
    </xf>
    <xf numFmtId="0" fontId="7" fillId="10" borderId="3" xfId="0" applyFont="1" applyFill="1" applyBorder="1" applyAlignment="1">
      <alignment horizontal="centerContinuous" vertical="center"/>
    </xf>
    <xf numFmtId="0" fontId="23" fillId="13" borderId="1" xfId="4" applyFont="1" applyFill="1" applyBorder="1" applyAlignment="1">
      <alignment horizontal="center" vertical="center"/>
    </xf>
    <xf numFmtId="0" fontId="23" fillId="13" borderId="1" xfId="4" applyFont="1" applyFill="1" applyBorder="1" applyAlignment="1">
      <alignment horizontal="center"/>
    </xf>
    <xf numFmtId="0" fontId="23" fillId="0" borderId="3" xfId="4" applyFont="1" applyBorder="1" applyAlignment="1">
      <alignment horizontal="center" vertical="center"/>
    </xf>
    <xf numFmtId="0" fontId="7" fillId="29" borderId="5" xfId="0" applyFont="1" applyFill="1" applyBorder="1" applyAlignment="1">
      <alignment horizontal="center" vertical="center" wrapText="1"/>
    </xf>
    <xf numFmtId="0" fontId="1" fillId="0" borderId="0" xfId="0" applyFont="1"/>
    <xf numFmtId="166" fontId="39" fillId="13" borderId="18" xfId="0" applyNumberFormat="1" applyFont="1" applyFill="1" applyBorder="1" applyAlignment="1">
      <alignment horizontal="centerContinuous"/>
    </xf>
    <xf numFmtId="0" fontId="7" fillId="30" borderId="5" xfId="0" applyFont="1" applyFill="1" applyBorder="1" applyAlignment="1">
      <alignment horizontal="center" vertical="center" wrapText="1"/>
    </xf>
    <xf numFmtId="0" fontId="2" fillId="30" borderId="5" xfId="0" applyFont="1" applyFill="1" applyBorder="1" applyAlignment="1">
      <alignment horizontal="center" vertical="center" wrapText="1"/>
    </xf>
    <xf numFmtId="7" fontId="15" fillId="0" borderId="0" xfId="4" applyNumberFormat="1"/>
    <xf numFmtId="0" fontId="7" fillId="2" borderId="1" xfId="0" applyFont="1" applyFill="1" applyBorder="1" applyAlignment="1" applyProtection="1">
      <alignment horizontal="centerContinuous"/>
      <protection locked="0"/>
    </xf>
    <xf numFmtId="3" fontId="15" fillId="0" borderId="0" xfId="0" applyNumberFormat="1" applyFont="1" applyAlignment="1">
      <alignment horizontal="center"/>
    </xf>
    <xf numFmtId="165" fontId="15" fillId="0" borderId="0" xfId="5" applyNumberFormat="1" applyFont="1" applyAlignment="1">
      <alignment horizontal="center"/>
    </xf>
    <xf numFmtId="37" fontId="12" fillId="16" borderId="6" xfId="0" applyNumberFormat="1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5" fillId="10" borderId="2" xfId="0" applyFont="1" applyFill="1" applyBorder="1" applyAlignment="1">
      <alignment horizontal="left" indent="1"/>
    </xf>
    <xf numFmtId="0" fontId="34" fillId="10" borderId="2" xfId="0" applyFont="1" applyFill="1" applyBorder="1" applyAlignment="1">
      <alignment horizontal="left" indent="1"/>
    </xf>
    <xf numFmtId="0" fontId="0" fillId="0" borderId="2" xfId="0" applyBorder="1" applyAlignment="1">
      <alignment horizontal="left" indent="1"/>
    </xf>
    <xf numFmtId="3" fontId="7" fillId="18" borderId="1" xfId="0" applyNumberFormat="1" applyFont="1" applyFill="1" applyBorder="1" applyAlignment="1" applyProtection="1">
      <alignment horizontal="left" indent="1"/>
      <protection locked="0"/>
    </xf>
    <xf numFmtId="0" fontId="7" fillId="10" borderId="3" xfId="0" applyFont="1" applyFill="1" applyBorder="1" applyAlignment="1" applyProtection="1">
      <alignment horizontal="left" indent="1"/>
      <protection locked="0"/>
    </xf>
    <xf numFmtId="0" fontId="0" fillId="0" borderId="0" xfId="0" applyAlignment="1">
      <alignment horizontal="left" indent="1"/>
    </xf>
    <xf numFmtId="3" fontId="7" fillId="18" borderId="1" xfId="0" applyNumberFormat="1" applyFont="1" applyFill="1" applyBorder="1" applyAlignment="1" applyProtection="1">
      <alignment horizontal="right" indent="1"/>
      <protection locked="0"/>
    </xf>
    <xf numFmtId="0" fontId="7" fillId="2" borderId="3" xfId="0" applyFont="1" applyFill="1" applyBorder="1" applyAlignment="1" applyProtection="1">
      <alignment horizontal="right" indent="1"/>
      <protection locked="0"/>
    </xf>
    <xf numFmtId="164" fontId="7" fillId="18" borderId="1" xfId="0" applyNumberFormat="1" applyFont="1" applyFill="1" applyBorder="1" applyAlignment="1" applyProtection="1">
      <alignment horizontal="right" indent="1"/>
      <protection locked="0"/>
    </xf>
    <xf numFmtId="165" fontId="7" fillId="18" borderId="1" xfId="5" applyNumberFormat="1" applyFont="1" applyFill="1" applyBorder="1" applyAlignment="1" applyProtection="1">
      <alignment horizontal="right" indent="1"/>
      <protection locked="0"/>
    </xf>
    <xf numFmtId="10" fontId="7" fillId="18" borderId="1" xfId="0" applyNumberFormat="1" applyFont="1" applyFill="1" applyBorder="1" applyAlignment="1" applyProtection="1">
      <alignment horizontal="right" indent="1"/>
      <protection locked="0"/>
    </xf>
    <xf numFmtId="0" fontId="7" fillId="10" borderId="3" xfId="0" applyFont="1" applyFill="1" applyBorder="1" applyAlignment="1" applyProtection="1">
      <alignment horizontal="right" indent="1"/>
      <protection locked="0"/>
    </xf>
    <xf numFmtId="10" fontId="7" fillId="18" borderId="1" xfId="5" applyNumberFormat="1" applyFont="1" applyFill="1" applyBorder="1" applyAlignment="1" applyProtection="1">
      <alignment horizontal="right" indent="1"/>
      <protection locked="0"/>
    </xf>
    <xf numFmtId="0" fontId="0" fillId="0" borderId="0" xfId="0" applyAlignment="1">
      <alignment horizontal="right" indent="1"/>
    </xf>
    <xf numFmtId="0" fontId="25" fillId="14" borderId="16" xfId="0" applyFont="1" applyFill="1" applyBorder="1" applyAlignment="1">
      <alignment horizontal="right" indent="1"/>
    </xf>
    <xf numFmtId="164" fontId="11" fillId="13" borderId="1" xfId="0" applyNumberFormat="1" applyFont="1" applyFill="1" applyBorder="1" applyAlignment="1">
      <alignment horizontal="right" indent="1"/>
    </xf>
    <xf numFmtId="3" fontId="11" fillId="13" borderId="1" xfId="0" applyNumberFormat="1" applyFont="1" applyFill="1" applyBorder="1" applyAlignment="1">
      <alignment horizontal="right" indent="1"/>
    </xf>
    <xf numFmtId="165" fontId="11" fillId="13" borderId="1" xfId="5" applyNumberFormat="1" applyFont="1" applyFill="1" applyBorder="1" applyAlignment="1">
      <alignment horizontal="right" indent="1"/>
    </xf>
    <xf numFmtId="3" fontId="17" fillId="8" borderId="1" xfId="0" applyNumberFormat="1" applyFont="1" applyFill="1" applyBorder="1" applyAlignment="1">
      <alignment horizontal="left" indent="1"/>
    </xf>
    <xf numFmtId="164" fontId="17" fillId="8" borderId="1" xfId="0" applyNumberFormat="1" applyFont="1" applyFill="1" applyBorder="1" applyAlignment="1">
      <alignment horizontal="left" indent="1"/>
    </xf>
    <xf numFmtId="10" fontId="17" fillId="8" borderId="1" xfId="5" applyNumberFormat="1" applyFont="1" applyFill="1" applyBorder="1" applyAlignment="1">
      <alignment horizontal="left" indent="1"/>
    </xf>
    <xf numFmtId="172" fontId="40" fillId="8" borderId="1" xfId="0" applyNumberFormat="1" applyFont="1" applyFill="1" applyBorder="1" applyAlignment="1">
      <alignment horizontal="left" indent="1"/>
    </xf>
    <xf numFmtId="164" fontId="32" fillId="19" borderId="1" xfId="5" applyNumberFormat="1" applyFont="1" applyFill="1" applyBorder="1" applyAlignment="1">
      <alignment horizontal="left" indent="1"/>
    </xf>
    <xf numFmtId="0" fontId="17" fillId="10" borderId="3" xfId="0" applyFont="1" applyFill="1" applyBorder="1" applyAlignment="1">
      <alignment horizontal="left" indent="1"/>
    </xf>
    <xf numFmtId="165" fontId="17" fillId="8" borderId="3" xfId="5" applyNumberFormat="1" applyFont="1" applyFill="1" applyBorder="1" applyAlignment="1">
      <alignment horizontal="left" indent="1"/>
    </xf>
    <xf numFmtId="0" fontId="29" fillId="10" borderId="3" xfId="0" applyFont="1" applyFill="1" applyBorder="1" applyAlignment="1">
      <alignment horizontal="left" indent="1"/>
    </xf>
    <xf numFmtId="0" fontId="26" fillId="14" borderId="16" xfId="0" applyFont="1" applyFill="1" applyBorder="1" applyAlignment="1">
      <alignment horizontal="left" indent="1"/>
    </xf>
    <xf numFmtId="0" fontId="3" fillId="8" borderId="1" xfId="0" applyFont="1" applyFill="1" applyBorder="1" applyAlignment="1">
      <alignment horizontal="left" indent="1"/>
    </xf>
    <xf numFmtId="0" fontId="10" fillId="0" borderId="1" xfId="0" applyFont="1" applyBorder="1" applyAlignment="1">
      <alignment horizontal="left" indent="1"/>
    </xf>
    <xf numFmtId="0" fontId="17" fillId="10" borderId="1" xfId="0" applyFont="1" applyFill="1" applyBorder="1" applyAlignment="1">
      <alignment horizontal="left" indent="1"/>
    </xf>
    <xf numFmtId="0" fontId="10" fillId="0" borderId="1" xfId="0" quotePrefix="1" applyFont="1" applyBorder="1" applyAlignment="1">
      <alignment horizontal="left" indent="1"/>
    </xf>
    <xf numFmtId="0" fontId="7" fillId="10" borderId="1" xfId="0" applyFont="1" applyFill="1" applyBorder="1" applyAlignment="1" applyProtection="1">
      <alignment horizontal="left" indent="1"/>
      <protection locked="0"/>
    </xf>
    <xf numFmtId="0" fontId="26" fillId="14" borderId="3" xfId="0" applyFont="1" applyFill="1" applyBorder="1" applyAlignment="1">
      <alignment horizontal="left" indent="1"/>
    </xf>
    <xf numFmtId="0" fontId="10" fillId="0" borderId="0" xfId="0" applyFont="1" applyAlignment="1">
      <alignment horizontal="left" indent="1"/>
    </xf>
    <xf numFmtId="173" fontId="7" fillId="18" borderId="1" xfId="0" applyNumberFormat="1" applyFont="1" applyFill="1" applyBorder="1" applyAlignment="1" applyProtection="1">
      <alignment horizontal="right" indent="1"/>
      <protection locked="0"/>
    </xf>
    <xf numFmtId="0" fontId="0" fillId="0" borderId="1" xfId="0" applyBorder="1" applyAlignment="1">
      <alignment horizontal="left" vertical="center" indent="1"/>
    </xf>
    <xf numFmtId="0" fontId="4" fillId="0" borderId="2" xfId="3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3"/>
    </xf>
    <xf numFmtId="0" fontId="41" fillId="0" borderId="0" xfId="4" applyFont="1" applyAlignment="1">
      <alignment horizontal="centerContinuous"/>
    </xf>
    <xf numFmtId="0" fontId="41" fillId="0" borderId="0" xfId="4" applyFont="1"/>
    <xf numFmtId="5" fontId="42" fillId="0" borderId="0" xfId="4" applyNumberFormat="1" applyFont="1" applyAlignment="1">
      <alignment horizontal="right"/>
    </xf>
    <xf numFmtId="0" fontId="43" fillId="14" borderId="0" xfId="4" applyFont="1" applyFill="1" applyAlignment="1">
      <alignment horizontal="center"/>
    </xf>
    <xf numFmtId="0" fontId="0" fillId="0" borderId="1" xfId="0" applyBorder="1" applyAlignment="1">
      <alignment horizontal="left" indent="2"/>
    </xf>
    <xf numFmtId="10" fontId="41" fillId="0" borderId="0" xfId="5" applyNumberFormat="1" applyFont="1" applyAlignment="1">
      <alignment horizontal="center"/>
    </xf>
    <xf numFmtId="0" fontId="15" fillId="0" borderId="22" xfId="4" applyBorder="1" applyAlignment="1">
      <alignment horizontal="left" indent="1"/>
    </xf>
    <xf numFmtId="0" fontId="22" fillId="0" borderId="22" xfId="4" applyFont="1" applyBorder="1" applyAlignment="1">
      <alignment horizontal="left" indent="1"/>
    </xf>
    <xf numFmtId="37" fontId="2" fillId="31" borderId="6" xfId="0" applyNumberFormat="1" applyFont="1" applyFill="1" applyBorder="1" applyAlignment="1">
      <alignment horizontal="center"/>
    </xf>
    <xf numFmtId="37" fontId="12" fillId="32" borderId="6" xfId="0" applyNumberFormat="1" applyFont="1" applyFill="1" applyBorder="1" applyAlignment="1">
      <alignment horizontal="center"/>
    </xf>
    <xf numFmtId="37" fontId="1" fillId="7" borderId="11" xfId="0" applyNumberFormat="1" applyFont="1" applyFill="1" applyBorder="1" applyAlignment="1">
      <alignment horizontal="center"/>
    </xf>
    <xf numFmtId="0" fontId="15" fillId="0" borderId="22" xfId="4" applyBorder="1" applyAlignment="1">
      <alignment horizontal="left" indent="2"/>
    </xf>
    <xf numFmtId="0" fontId="22" fillId="0" borderId="22" xfId="4" applyFont="1" applyBorder="1" applyAlignment="1">
      <alignment horizontal="left" indent="2"/>
    </xf>
    <xf numFmtId="0" fontId="23" fillId="0" borderId="38" xfId="4" applyFont="1" applyBorder="1" applyAlignment="1">
      <alignment horizontal="center" vertical="center"/>
    </xf>
    <xf numFmtId="0" fontId="0" fillId="0" borderId="39" xfId="0" applyBorder="1" applyAlignment="1">
      <alignment horizontal="left" vertical="center" indent="2"/>
    </xf>
    <xf numFmtId="0" fontId="23" fillId="0" borderId="40" xfId="4" applyFont="1" applyBorder="1" applyAlignment="1">
      <alignment horizontal="center" vertical="center"/>
    </xf>
    <xf numFmtId="0" fontId="0" fillId="0" borderId="41" xfId="0" applyBorder="1" applyAlignment="1">
      <alignment horizontal="left" vertical="center" indent="2"/>
    </xf>
    <xf numFmtId="0" fontId="44" fillId="0" borderId="37" xfId="0" applyFon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10" fontId="7" fillId="33" borderId="1" xfId="0" applyNumberFormat="1" applyFont="1" applyFill="1" applyBorder="1" applyAlignment="1">
      <alignment horizontal="center" vertical="center"/>
    </xf>
    <xf numFmtId="164" fontId="7" fillId="33" borderId="1" xfId="0" applyNumberFormat="1" applyFont="1" applyFill="1" applyBorder="1" applyAlignment="1">
      <alignment horizontal="center" vertical="center"/>
    </xf>
    <xf numFmtId="165" fontId="7" fillId="33" borderId="1" xfId="5" applyNumberFormat="1" applyFont="1" applyFill="1" applyBorder="1" applyAlignment="1">
      <alignment horizontal="center" vertical="center"/>
    </xf>
    <xf numFmtId="10" fontId="7" fillId="33" borderId="1" xfId="5" applyNumberFormat="1" applyFont="1" applyFill="1" applyBorder="1" applyAlignment="1">
      <alignment horizontal="center" vertical="center"/>
    </xf>
    <xf numFmtId="173" fontId="7" fillId="33" borderId="1" xfId="0" applyNumberFormat="1" applyFont="1" applyFill="1" applyBorder="1" applyAlignment="1">
      <alignment horizontal="center" vertical="center"/>
    </xf>
    <xf numFmtId="3" fontId="7" fillId="33" borderId="1" xfId="0" applyNumberFormat="1" applyFont="1" applyFill="1" applyBorder="1" applyAlignment="1">
      <alignment horizontal="center"/>
    </xf>
    <xf numFmtId="167" fontId="21" fillId="34" borderId="13" xfId="4" applyNumberFormat="1" applyFont="1" applyFill="1" applyBorder="1" applyAlignment="1">
      <alignment horizontal="center"/>
    </xf>
    <xf numFmtId="167" fontId="21" fillId="34" borderId="14" xfId="4" applyNumberFormat="1" applyFont="1" applyFill="1" applyBorder="1" applyAlignment="1">
      <alignment horizontal="center"/>
    </xf>
    <xf numFmtId="167" fontId="21" fillId="34" borderId="15" xfId="4" applyNumberFormat="1" applyFont="1" applyFill="1" applyBorder="1" applyAlignment="1">
      <alignment horizontal="center"/>
    </xf>
    <xf numFmtId="164" fontId="7" fillId="33" borderId="1" xfId="5" applyNumberFormat="1" applyFont="1" applyFill="1" applyBorder="1" applyAlignment="1">
      <alignment horizontal="center" vertical="center"/>
    </xf>
    <xf numFmtId="0" fontId="15" fillId="0" borderId="0" xfId="4" applyAlignment="1">
      <alignment horizontal="left" indent="1"/>
    </xf>
    <xf numFmtId="0" fontId="45" fillId="7" borderId="34" xfId="4" applyFont="1" applyFill="1" applyBorder="1" applyAlignment="1">
      <alignment horizontal="right"/>
    </xf>
    <xf numFmtId="167" fontId="45" fillId="7" borderId="35" xfId="4" applyNumberFormat="1" applyFont="1" applyFill="1" applyBorder="1" applyAlignment="1">
      <alignment horizontal="center"/>
    </xf>
    <xf numFmtId="37" fontId="15" fillId="0" borderId="0" xfId="4" applyNumberFormat="1" applyAlignment="1">
      <alignment horizontal="right" indent="1"/>
    </xf>
    <xf numFmtId="0" fontId="12" fillId="0" borderId="22" xfId="4" applyFont="1" applyBorder="1" applyAlignment="1">
      <alignment horizontal="left" indent="1"/>
    </xf>
    <xf numFmtId="0" fontId="48" fillId="0" borderId="22" xfId="4" applyFont="1" applyBorder="1" applyAlignment="1">
      <alignment horizontal="left" indent="1"/>
    </xf>
    <xf numFmtId="3" fontId="15" fillId="0" borderId="0" xfId="4" applyNumberFormat="1" applyAlignment="1">
      <alignment horizontal="right" indent="1"/>
    </xf>
    <xf numFmtId="3" fontId="12" fillId="0" borderId="30" xfId="4" applyNumberFormat="1" applyFont="1" applyBorder="1" applyAlignment="1">
      <alignment horizontal="right" indent="1"/>
    </xf>
    <xf numFmtId="0" fontId="22" fillId="0" borderId="22" xfId="4" quotePrefix="1" applyFont="1" applyBorder="1" applyAlignment="1">
      <alignment horizontal="left" indent="1"/>
    </xf>
    <xf numFmtId="3" fontId="22" fillId="0" borderId="0" xfId="4" applyNumberFormat="1" applyFont="1" applyAlignment="1">
      <alignment horizontal="right" indent="1"/>
    </xf>
    <xf numFmtId="3" fontId="24" fillId="0" borderId="30" xfId="4" applyNumberFormat="1" applyFont="1" applyBorder="1" applyAlignment="1">
      <alignment horizontal="right" indent="1"/>
    </xf>
    <xf numFmtId="0" fontId="24" fillId="0" borderId="22" xfId="4" applyFont="1" applyBorder="1" applyAlignment="1">
      <alignment horizontal="left" indent="1"/>
    </xf>
    <xf numFmtId="3" fontId="24" fillId="0" borderId="0" xfId="4" applyNumberFormat="1" applyFont="1" applyAlignment="1">
      <alignment horizontal="right" indent="1"/>
    </xf>
    <xf numFmtId="0" fontId="15" fillId="0" borderId="22" xfId="4" quotePrefix="1" applyBorder="1" applyAlignment="1">
      <alignment horizontal="left" indent="1"/>
    </xf>
    <xf numFmtId="3" fontId="48" fillId="0" borderId="0" xfId="4" applyNumberFormat="1" applyFont="1" applyAlignment="1">
      <alignment horizontal="right" indent="1"/>
    </xf>
    <xf numFmtId="5" fontId="48" fillId="0" borderId="0" xfId="4" applyNumberFormat="1" applyFont="1" applyAlignment="1">
      <alignment horizontal="right"/>
    </xf>
    <xf numFmtId="5" fontId="12" fillId="0" borderId="22" xfId="4" applyNumberFormat="1" applyFont="1" applyBorder="1" applyAlignment="1">
      <alignment horizontal="left" indent="1"/>
    </xf>
    <xf numFmtId="5" fontId="12" fillId="0" borderId="0" xfId="4" applyNumberFormat="1" applyFont="1" applyAlignment="1">
      <alignment horizontal="center"/>
    </xf>
    <xf numFmtId="10" fontId="12" fillId="0" borderId="0" xfId="4" applyNumberFormat="1" applyFont="1" applyAlignment="1">
      <alignment horizontal="center"/>
    </xf>
    <xf numFmtId="5" fontId="12" fillId="0" borderId="26" xfId="4" applyNumberFormat="1" applyFont="1" applyBorder="1" applyAlignment="1">
      <alignment horizontal="right" indent="1"/>
    </xf>
    <xf numFmtId="168" fontId="48" fillId="0" borderId="22" xfId="4" applyNumberFormat="1" applyFont="1" applyBorder="1" applyAlignment="1">
      <alignment horizontal="left" indent="1"/>
    </xf>
    <xf numFmtId="3" fontId="12" fillId="0" borderId="0" xfId="4" applyNumberFormat="1" applyFont="1" applyAlignment="1">
      <alignment horizontal="right" indent="1"/>
    </xf>
    <xf numFmtId="0" fontId="15" fillId="0" borderId="20" xfId="4" applyBorder="1" applyAlignment="1">
      <alignment horizontal="left" indent="1"/>
    </xf>
    <xf numFmtId="5" fontId="15" fillId="0" borderId="0" xfId="4" applyNumberFormat="1" applyAlignment="1">
      <alignment horizontal="right" indent="1"/>
    </xf>
    <xf numFmtId="5" fontId="15" fillId="0" borderId="30" xfId="4" applyNumberFormat="1" applyBorder="1" applyAlignment="1">
      <alignment horizontal="right" indent="1"/>
    </xf>
    <xf numFmtId="0" fontId="45" fillId="7" borderId="31" xfId="4" applyFont="1" applyFill="1" applyBorder="1" applyAlignment="1">
      <alignment horizontal="right"/>
    </xf>
    <xf numFmtId="167" fontId="45" fillId="7" borderId="32" xfId="4" applyNumberFormat="1" applyFont="1" applyFill="1" applyBorder="1" applyAlignment="1">
      <alignment horizontal="center"/>
    </xf>
    <xf numFmtId="167" fontId="45" fillId="7" borderId="42" xfId="4" applyNumberFormat="1" applyFont="1" applyFill="1" applyBorder="1" applyAlignment="1">
      <alignment horizontal="center"/>
    </xf>
    <xf numFmtId="0" fontId="45" fillId="7" borderId="33" xfId="4" applyFont="1" applyFill="1" applyBorder="1" applyAlignment="1">
      <alignment horizontal="center"/>
    </xf>
    <xf numFmtId="5" fontId="45" fillId="0" borderId="0" xfId="4" applyNumberFormat="1" applyFont="1" applyAlignment="1">
      <alignment horizontal="right"/>
    </xf>
    <xf numFmtId="165" fontId="46" fillId="0" borderId="0" xfId="5" applyNumberFormat="1" applyFont="1" applyAlignment="1">
      <alignment horizontal="center"/>
    </xf>
    <xf numFmtId="165" fontId="45" fillId="0" borderId="26" xfId="5" applyNumberFormat="1" applyFont="1" applyBorder="1" applyAlignment="1">
      <alignment horizontal="center"/>
    </xf>
    <xf numFmtId="165" fontId="45" fillId="0" borderId="0" xfId="5" applyNumberFormat="1" applyFont="1" applyAlignment="1">
      <alignment horizontal="center"/>
    </xf>
    <xf numFmtId="3" fontId="12" fillId="0" borderId="21" xfId="4" applyNumberFormat="1" applyFont="1" applyBorder="1" applyAlignment="1">
      <alignment horizontal="right" indent="1"/>
    </xf>
    <xf numFmtId="3" fontId="12" fillId="0" borderId="25" xfId="4" applyNumberFormat="1" applyFont="1" applyBorder="1" applyAlignment="1">
      <alignment horizontal="right" indent="1"/>
    </xf>
    <xf numFmtId="3" fontId="15" fillId="0" borderId="30" xfId="4" applyNumberFormat="1" applyBorder="1" applyAlignment="1">
      <alignment horizontal="right" indent="1"/>
    </xf>
    <xf numFmtId="3" fontId="12" fillId="0" borderId="26" xfId="4" applyNumberFormat="1" applyFont="1" applyBorder="1" applyAlignment="1">
      <alignment horizontal="right" indent="1"/>
    </xf>
    <xf numFmtId="3" fontId="12" fillId="0" borderId="36" xfId="4" applyNumberFormat="1" applyFont="1" applyBorder="1" applyAlignment="1">
      <alignment horizontal="right" indent="1"/>
    </xf>
    <xf numFmtId="3" fontId="12" fillId="0" borderId="43" xfId="4" applyNumberFormat="1" applyFont="1" applyBorder="1" applyAlignment="1">
      <alignment horizontal="right" indent="1"/>
    </xf>
    <xf numFmtId="3" fontId="24" fillId="0" borderId="43" xfId="4" applyNumberFormat="1" applyFont="1" applyBorder="1" applyAlignment="1">
      <alignment horizontal="right" indent="1"/>
    </xf>
    <xf numFmtId="3" fontId="23" fillId="0" borderId="24" xfId="4" applyNumberFormat="1" applyFont="1" applyBorder="1" applyAlignment="1">
      <alignment horizontal="right"/>
    </xf>
    <xf numFmtId="168" fontId="12" fillId="0" borderId="22" xfId="4" applyNumberFormat="1" applyFont="1" applyBorder="1" applyAlignment="1">
      <alignment horizontal="left" indent="1"/>
    </xf>
    <xf numFmtId="3" fontId="48" fillId="0" borderId="30" xfId="4" applyNumberFormat="1" applyFont="1" applyBorder="1" applyAlignment="1">
      <alignment horizontal="right" indent="1"/>
    </xf>
    <xf numFmtId="0" fontId="46" fillId="0" borderId="23" xfId="4" applyFont="1" applyBorder="1"/>
    <xf numFmtId="3" fontId="46" fillId="0" borderId="44" xfId="4" applyNumberFormat="1" applyFont="1" applyBorder="1" applyAlignment="1">
      <alignment horizontal="right"/>
    </xf>
    <xf numFmtId="0" fontId="48" fillId="0" borderId="23" xfId="4" applyFont="1" applyBorder="1" applyAlignment="1">
      <alignment horizontal="left" indent="1"/>
    </xf>
    <xf numFmtId="0" fontId="49" fillId="0" borderId="0" xfId="4" applyFont="1" applyAlignment="1">
      <alignment horizontal="centerContinuous"/>
    </xf>
    <xf numFmtId="0" fontId="50" fillId="0" borderId="0" xfId="4" applyFont="1" applyAlignment="1">
      <alignment horizontal="centerContinuous"/>
    </xf>
    <xf numFmtId="5" fontId="51" fillId="0" borderId="0" xfId="4" applyNumberFormat="1" applyFont="1" applyAlignment="1">
      <alignment horizontal="center"/>
    </xf>
    <xf numFmtId="0" fontId="11" fillId="15" borderId="29" xfId="0" applyFont="1" applyFill="1" applyBorder="1" applyAlignment="1">
      <alignment horizontal="center" vertical="center" wrapText="1"/>
    </xf>
    <xf numFmtId="166" fontId="13" fillId="21" borderId="45" xfId="0" applyNumberFormat="1" applyFont="1" applyFill="1" applyBorder="1" applyAlignment="1">
      <alignment horizontal="centerContinuous"/>
    </xf>
    <xf numFmtId="0" fontId="2" fillId="5" borderId="1" xfId="0" applyFont="1" applyFill="1" applyBorder="1" applyAlignment="1">
      <alignment horizontal="center" vertical="center" wrapText="1"/>
    </xf>
    <xf numFmtId="0" fontId="9" fillId="0" borderId="1" xfId="0" quotePrefix="1" applyFont="1" applyBorder="1" applyAlignment="1">
      <alignment horizontal="left" indent="1"/>
    </xf>
    <xf numFmtId="5" fontId="12" fillId="0" borderId="46" xfId="4" applyNumberFormat="1" applyFont="1" applyBorder="1" applyAlignment="1">
      <alignment horizontal="right" indent="1"/>
    </xf>
    <xf numFmtId="5" fontId="48" fillId="0" borderId="48" xfId="4" applyNumberFormat="1" applyFont="1" applyBorder="1" applyAlignment="1">
      <alignment horizontal="right"/>
    </xf>
    <xf numFmtId="3" fontId="12" fillId="0" borderId="46" xfId="4" applyNumberFormat="1" applyFont="1" applyBorder="1" applyAlignment="1">
      <alignment horizontal="right" indent="1"/>
    </xf>
    <xf numFmtId="3" fontId="24" fillId="0" borderId="46" xfId="4" applyNumberFormat="1" applyFont="1" applyBorder="1" applyAlignment="1">
      <alignment horizontal="right" indent="1"/>
    </xf>
    <xf numFmtId="167" fontId="45" fillId="7" borderId="49" xfId="4" applyNumberFormat="1" applyFont="1" applyFill="1" applyBorder="1" applyAlignment="1">
      <alignment horizontal="center"/>
    </xf>
    <xf numFmtId="0" fontId="48" fillId="0" borderId="20" xfId="4" applyFont="1" applyBorder="1" applyAlignment="1">
      <alignment horizontal="left" indent="1"/>
    </xf>
    <xf numFmtId="5" fontId="48" fillId="0" borderId="21" xfId="4" applyNumberFormat="1" applyFont="1" applyBorder="1" applyAlignment="1">
      <alignment horizontal="right"/>
    </xf>
    <xf numFmtId="5" fontId="48" fillId="0" borderId="45" xfId="4" applyNumberFormat="1" applyFont="1" applyBorder="1" applyAlignment="1">
      <alignment horizontal="right"/>
    </xf>
    <xf numFmtId="5" fontId="51" fillId="0" borderId="46" xfId="4" applyNumberFormat="1" applyFont="1" applyBorder="1" applyAlignment="1">
      <alignment horizontal="center"/>
    </xf>
    <xf numFmtId="5" fontId="48" fillId="0" borderId="46" xfId="4" applyNumberFormat="1" applyFont="1" applyBorder="1" applyAlignment="1">
      <alignment horizontal="right"/>
    </xf>
    <xf numFmtId="5" fontId="12" fillId="0" borderId="46" xfId="4" applyNumberFormat="1" applyFont="1" applyBorder="1" applyAlignment="1">
      <alignment horizontal="center"/>
    </xf>
    <xf numFmtId="0" fontId="15" fillId="0" borderId="23" xfId="4" applyBorder="1"/>
    <xf numFmtId="0" fontId="15" fillId="0" borderId="24" xfId="4" applyBorder="1"/>
    <xf numFmtId="5" fontId="15" fillId="0" borderId="24" xfId="4" applyNumberFormat="1" applyBorder="1" applyAlignment="1">
      <alignment horizontal="right" indent="1"/>
    </xf>
    <xf numFmtId="5" fontId="15" fillId="0" borderId="47" xfId="4" applyNumberFormat="1" applyBorder="1" applyAlignment="1">
      <alignment horizontal="right" indent="1"/>
    </xf>
    <xf numFmtId="5" fontId="12" fillId="0" borderId="47" xfId="4" applyNumberFormat="1" applyFont="1" applyBorder="1" applyAlignment="1">
      <alignment horizontal="right" indent="1"/>
    </xf>
    <xf numFmtId="5" fontId="12" fillId="0" borderId="0" xfId="4" applyNumberFormat="1" applyFont="1" applyAlignment="1">
      <alignment horizontal="right" indent="1"/>
    </xf>
    <xf numFmtId="0" fontId="48" fillId="0" borderId="0" xfId="4" applyFont="1" applyAlignment="1">
      <alignment horizontal="left" indent="1"/>
    </xf>
    <xf numFmtId="3" fontId="48" fillId="0" borderId="24" xfId="4" applyNumberFormat="1" applyFont="1" applyBorder="1" applyAlignment="1">
      <alignment horizontal="right" indent="1"/>
    </xf>
    <xf numFmtId="3" fontId="12" fillId="0" borderId="47" xfId="4" applyNumberFormat="1" applyFont="1" applyBorder="1" applyAlignment="1">
      <alignment horizontal="right" indent="1"/>
    </xf>
    <xf numFmtId="0" fontId="15" fillId="0" borderId="20" xfId="4" applyBorder="1"/>
    <xf numFmtId="0" fontId="15" fillId="0" borderId="21" xfId="4" applyBorder="1"/>
    <xf numFmtId="3" fontId="12" fillId="0" borderId="45" xfId="4" applyNumberFormat="1" applyFont="1" applyBorder="1" applyAlignment="1">
      <alignment horizontal="right" indent="1"/>
    </xf>
    <xf numFmtId="168" fontId="24" fillId="0" borderId="22" xfId="4" quotePrefix="1" applyNumberFormat="1" applyFont="1" applyBorder="1" applyAlignment="1">
      <alignment horizontal="left" indent="1"/>
    </xf>
    <xf numFmtId="0" fontId="52" fillId="0" borderId="22" xfId="4" applyFont="1" applyBorder="1" applyAlignment="1">
      <alignment horizontal="left" indent="2"/>
    </xf>
    <xf numFmtId="0" fontId="53" fillId="0" borderId="22" xfId="4" applyFont="1" applyBorder="1" applyAlignment="1">
      <alignment horizontal="left" indent="2"/>
    </xf>
    <xf numFmtId="0" fontId="34" fillId="10" borderId="16" xfId="0" applyFont="1" applyFill="1" applyBorder="1" applyAlignment="1">
      <alignment horizontal="centerContinuous" vertical="center"/>
    </xf>
    <xf numFmtId="3" fontId="7" fillId="33" borderId="2" xfId="0" applyNumberFormat="1" applyFont="1" applyFill="1" applyBorder="1" applyAlignment="1">
      <alignment horizontal="center" vertical="center"/>
    </xf>
    <xf numFmtId="3" fontId="7" fillId="33" borderId="3" xfId="0" applyNumberFormat="1" applyFont="1" applyFill="1" applyBorder="1" applyAlignment="1">
      <alignment horizontal="center" vertical="center"/>
    </xf>
    <xf numFmtId="9" fontId="7" fillId="33" borderId="1" xfId="5" applyFont="1" applyFill="1" applyBorder="1" applyAlignment="1">
      <alignment horizontal="center" vertical="center"/>
    </xf>
    <xf numFmtId="43" fontId="7" fillId="33" borderId="1" xfId="2" applyFont="1" applyFill="1" applyBorder="1" applyAlignment="1">
      <alignment horizontal="center" vertical="center"/>
    </xf>
    <xf numFmtId="1" fontId="7" fillId="33" borderId="1" xfId="0" applyNumberFormat="1" applyFont="1" applyFill="1" applyBorder="1" applyAlignment="1">
      <alignment horizontal="center" vertical="center"/>
    </xf>
    <xf numFmtId="164" fontId="7" fillId="33" borderId="28" xfId="0" applyNumberFormat="1" applyFont="1" applyFill="1" applyBorder="1" applyAlignment="1">
      <alignment horizontal="right" vertical="center" indent="1"/>
    </xf>
    <xf numFmtId="164" fontId="31" fillId="33" borderId="50" xfId="0" applyNumberFormat="1" applyFont="1" applyFill="1" applyBorder="1" applyAlignment="1">
      <alignment horizontal="right" vertical="center" indent="1"/>
    </xf>
    <xf numFmtId="164" fontId="7" fillId="33" borderId="27" xfId="0" applyNumberFormat="1" applyFont="1" applyFill="1" applyBorder="1" applyAlignment="1">
      <alignment horizontal="right" vertical="center" indent="1"/>
    </xf>
    <xf numFmtId="0" fontId="15" fillId="0" borderId="0" xfId="4" applyAlignment="1">
      <alignment horizontal="right" indent="1"/>
    </xf>
    <xf numFmtId="164" fontId="7" fillId="33" borderId="1" xfId="0" applyNumberFormat="1" applyFont="1" applyFill="1" applyBorder="1" applyAlignment="1">
      <alignment horizontal="right" vertical="center" indent="1"/>
    </xf>
    <xf numFmtId="10" fontId="7" fillId="33" borderId="2" xfId="0" applyNumberFormat="1" applyFont="1" applyFill="1" applyBorder="1" applyAlignment="1">
      <alignment horizontal="right" vertical="center"/>
    </xf>
    <xf numFmtId="10" fontId="7" fillId="33" borderId="3" xfId="0" applyNumberFormat="1" applyFont="1" applyFill="1" applyBorder="1" applyAlignment="1">
      <alignment horizontal="right" vertical="center"/>
    </xf>
    <xf numFmtId="10" fontId="7" fillId="33" borderId="2" xfId="5" applyNumberFormat="1" applyFont="1" applyFill="1" applyBorder="1" applyAlignment="1">
      <alignment horizontal="center" vertical="center"/>
    </xf>
    <xf numFmtId="10" fontId="7" fillId="33" borderId="3" xfId="5" applyNumberFormat="1" applyFont="1" applyFill="1" applyBorder="1" applyAlignment="1">
      <alignment horizontal="center" vertical="center"/>
    </xf>
    <xf numFmtId="164" fontId="7" fillId="33" borderId="3" xfId="5" applyNumberFormat="1" applyFont="1" applyFill="1" applyBorder="1" applyAlignment="1">
      <alignment horizontal="center" vertical="center"/>
    </xf>
    <xf numFmtId="174" fontId="7" fillId="33" borderId="2" xfId="5" applyNumberFormat="1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 indent="1"/>
    </xf>
    <xf numFmtId="10" fontId="56" fillId="33" borderId="1" xfId="5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left" vertical="center" indent="1"/>
    </xf>
    <xf numFmtId="164" fontId="7" fillId="33" borderId="38" xfId="0" applyNumberFormat="1" applyFont="1" applyFill="1" applyBorder="1" applyAlignment="1">
      <alignment horizontal="center" vertical="center"/>
    </xf>
    <xf numFmtId="164" fontId="31" fillId="33" borderId="51" xfId="0" applyNumberFormat="1" applyFont="1" applyFill="1" applyBorder="1" applyAlignment="1">
      <alignment horizontal="center" vertical="center"/>
    </xf>
    <xf numFmtId="164" fontId="7" fillId="33" borderId="40" xfId="0" applyNumberFormat="1" applyFont="1" applyFill="1" applyBorder="1" applyAlignment="1">
      <alignment horizontal="center" vertical="center"/>
    </xf>
    <xf numFmtId="0" fontId="57" fillId="0" borderId="50" xfId="0" applyFont="1" applyBorder="1" applyAlignment="1">
      <alignment horizontal="left" vertical="center" indent="1"/>
    </xf>
    <xf numFmtId="0" fontId="2" fillId="0" borderId="27" xfId="0" applyFont="1" applyBorder="1" applyAlignment="1">
      <alignment horizontal="left" vertical="center" indent="2"/>
    </xf>
    <xf numFmtId="0" fontId="1" fillId="0" borderId="1" xfId="0" applyFont="1" applyBorder="1" applyAlignment="1">
      <alignment horizontal="left" vertical="center" indent="2"/>
    </xf>
    <xf numFmtId="39" fontId="0" fillId="0" borderId="7" xfId="0" applyNumberFormat="1" applyBorder="1" applyAlignment="1">
      <alignment horizontal="center"/>
    </xf>
    <xf numFmtId="39" fontId="0" fillId="0" borderId="8" xfId="0" applyNumberFormat="1" applyBorder="1" applyAlignment="1">
      <alignment horizontal="center"/>
    </xf>
    <xf numFmtId="39" fontId="0" fillId="0" borderId="5" xfId="0" applyNumberFormat="1" applyBorder="1" applyAlignment="1">
      <alignment horizontal="center"/>
    </xf>
    <xf numFmtId="39" fontId="0" fillId="0" borderId="9" xfId="0" applyNumberFormat="1" applyBorder="1" applyAlignment="1">
      <alignment horizontal="center"/>
    </xf>
    <xf numFmtId="39" fontId="0" fillId="0" borderId="10" xfId="0" applyNumberFormat="1" applyBorder="1" applyAlignment="1">
      <alignment horizontal="center"/>
    </xf>
    <xf numFmtId="175" fontId="24" fillId="0" borderId="0" xfId="5" applyNumberFormat="1" applyFont="1" applyAlignment="1">
      <alignment horizontal="right" indent="1"/>
    </xf>
    <xf numFmtId="0" fontId="1" fillId="0" borderId="2" xfId="0" applyFont="1" applyBorder="1" applyAlignment="1">
      <alignment horizontal="left" indent="1"/>
    </xf>
    <xf numFmtId="4" fontId="11" fillId="13" borderId="1" xfId="0" applyNumberFormat="1" applyFont="1" applyFill="1" applyBorder="1" applyAlignment="1">
      <alignment horizontal="right" indent="1"/>
    </xf>
    <xf numFmtId="41" fontId="62" fillId="36" borderId="0" xfId="1" applyFont="1" applyFill="1" applyAlignment="1" applyProtection="1">
      <alignment vertical="center"/>
    </xf>
    <xf numFmtId="177" fontId="66" fillId="35" borderId="55" xfId="52" applyNumberFormat="1" applyFont="1" applyBorder="1" applyProtection="1">
      <alignment horizontal="center" vertical="center"/>
      <protection locked="0"/>
    </xf>
    <xf numFmtId="0" fontId="60" fillId="35" borderId="53" xfId="50" applyFont="1" applyFill="1" applyBorder="1" applyAlignment="1">
      <alignment vertical="center"/>
    </xf>
    <xf numFmtId="0" fontId="60" fillId="35" borderId="52" xfId="50" applyFont="1" applyFill="1" applyBorder="1" applyAlignment="1">
      <alignment vertical="center"/>
    </xf>
    <xf numFmtId="177" fontId="68" fillId="39" borderId="55" xfId="52" applyNumberFormat="1" applyFont="1" applyFill="1" applyBorder="1" applyAlignment="1" applyProtection="1">
      <alignment horizontal="left" vertical="center" indent="1"/>
      <protection locked="0"/>
    </xf>
    <xf numFmtId="1" fontId="66" fillId="35" borderId="55" xfId="52" applyNumberFormat="1" applyFont="1" applyBorder="1" applyProtection="1">
      <alignment horizontal="center" vertical="center"/>
      <protection locked="0"/>
    </xf>
    <xf numFmtId="177" fontId="65" fillId="39" borderId="55" xfId="52" applyNumberFormat="1" applyFont="1" applyFill="1" applyBorder="1" applyAlignment="1" applyProtection="1">
      <alignment horizontal="left" vertical="center" indent="2"/>
      <protection locked="0"/>
    </xf>
    <xf numFmtId="9" fontId="66" fillId="35" borderId="55" xfId="5" applyFont="1" applyFill="1" applyBorder="1" applyAlignment="1" applyProtection="1">
      <alignment horizontal="center" vertical="center"/>
      <protection locked="0"/>
    </xf>
    <xf numFmtId="41" fontId="62" fillId="36" borderId="0" xfId="1" applyFont="1" applyFill="1" applyAlignment="1" applyProtection="1">
      <alignment horizontal="left" vertical="center" indent="1"/>
    </xf>
    <xf numFmtId="1" fontId="66" fillId="35" borderId="58" xfId="52" applyNumberFormat="1" applyFont="1" applyBorder="1" applyAlignment="1" applyProtection="1">
      <alignment horizontal="left" indent="1"/>
      <protection locked="0"/>
    </xf>
    <xf numFmtId="1" fontId="66" fillId="35" borderId="54" xfId="52" applyNumberFormat="1" applyFont="1" applyAlignment="1" applyProtection="1">
      <alignment horizontal="left" indent="1"/>
      <protection locked="0"/>
    </xf>
    <xf numFmtId="0" fontId="69" fillId="35" borderId="59" xfId="50" applyFont="1" applyFill="1" applyBorder="1" applyAlignment="1">
      <alignment horizontal="left" vertical="center"/>
    </xf>
    <xf numFmtId="0" fontId="69" fillId="35" borderId="60" xfId="50" applyFont="1" applyFill="1" applyBorder="1" applyAlignment="1">
      <alignment horizontal="left" vertical="center"/>
    </xf>
    <xf numFmtId="0" fontId="70" fillId="37" borderId="61" xfId="50" applyFont="1" applyFill="1" applyBorder="1"/>
    <xf numFmtId="178" fontId="71" fillId="40" borderId="56" xfId="54" applyFont="1" applyFill="1" applyBorder="1" applyProtection="1">
      <alignment horizontal="center" vertical="center"/>
      <protection locked="0"/>
    </xf>
    <xf numFmtId="41" fontId="72" fillId="36" borderId="0" xfId="1" applyFont="1" applyFill="1" applyAlignment="1" applyProtection="1">
      <alignment vertical="center"/>
    </xf>
    <xf numFmtId="9" fontId="72" fillId="36" borderId="0" xfId="5" applyFont="1" applyFill="1" applyAlignment="1" applyProtection="1">
      <alignment vertical="center"/>
    </xf>
    <xf numFmtId="1" fontId="73" fillId="35" borderId="56" xfId="52" applyNumberFormat="1" applyFont="1" applyBorder="1" applyAlignment="1" applyProtection="1">
      <alignment horizontal="left" vertical="center" indent="1"/>
      <protection locked="0"/>
    </xf>
    <xf numFmtId="177" fontId="65" fillId="39" borderId="55" xfId="52" applyNumberFormat="1" applyFont="1" applyFill="1" applyBorder="1" applyAlignment="1" applyProtection="1">
      <alignment horizontal="left" vertical="center" indent="3"/>
      <protection locked="0"/>
    </xf>
    <xf numFmtId="173" fontId="66" fillId="35" borderId="55" xfId="5" applyNumberFormat="1" applyFont="1" applyFill="1" applyBorder="1" applyAlignment="1" applyProtection="1">
      <alignment horizontal="center" vertical="center"/>
      <protection locked="0"/>
    </xf>
    <xf numFmtId="164" fontId="66" fillId="35" borderId="55" xfId="49" applyNumberFormat="1" applyFont="1" applyFill="1" applyBorder="1" applyAlignment="1" applyProtection="1">
      <alignment horizontal="center" vertical="center"/>
      <protection locked="0"/>
    </xf>
    <xf numFmtId="178" fontId="69" fillId="40" borderId="56" xfId="54" applyFont="1" applyFill="1" applyBorder="1" applyAlignment="1" applyProtection="1">
      <alignment vertical="center"/>
      <protection locked="0"/>
    </xf>
    <xf numFmtId="178" fontId="69" fillId="40" borderId="56" xfId="54" applyFont="1" applyFill="1" applyBorder="1" applyAlignment="1" applyProtection="1">
      <alignment horizontal="left" vertical="center"/>
      <protection locked="0"/>
    </xf>
    <xf numFmtId="9" fontId="69" fillId="40" borderId="56" xfId="5" applyFont="1" applyFill="1" applyBorder="1" applyAlignment="1" applyProtection="1">
      <alignment horizontal="left" vertical="center"/>
      <protection locked="0"/>
    </xf>
    <xf numFmtId="164" fontId="66" fillId="35" borderId="55" xfId="5" applyNumberFormat="1" applyFont="1" applyFill="1" applyBorder="1" applyAlignment="1" applyProtection="1">
      <alignment horizontal="center" vertical="center"/>
      <protection locked="0"/>
    </xf>
    <xf numFmtId="41" fontId="74" fillId="36" borderId="0" xfId="1" applyFont="1" applyFill="1" applyAlignment="1" applyProtection="1">
      <alignment vertical="center"/>
    </xf>
    <xf numFmtId="1" fontId="75" fillId="35" borderId="56" xfId="52" applyNumberFormat="1" applyFont="1" applyBorder="1" applyAlignment="1" applyProtection="1">
      <alignment horizontal="left" vertical="center" indent="1"/>
      <protection locked="0"/>
    </xf>
    <xf numFmtId="0" fontId="76" fillId="37" borderId="61" xfId="50" applyFont="1" applyFill="1" applyBorder="1"/>
    <xf numFmtId="0" fontId="77" fillId="2" borderId="1" xfId="0" applyFont="1" applyFill="1" applyBorder="1" applyAlignment="1">
      <alignment horizontal="left" indent="1"/>
    </xf>
    <xf numFmtId="0" fontId="78" fillId="2" borderId="3" xfId="0" applyFont="1" applyFill="1" applyBorder="1" applyAlignment="1" applyProtection="1">
      <alignment horizontal="right" indent="1"/>
      <protection locked="0"/>
    </xf>
    <xf numFmtId="0" fontId="79" fillId="0" borderId="0" xfId="0" applyFont="1"/>
    <xf numFmtId="178" fontId="67" fillId="38" borderId="56" xfId="54" applyFont="1" applyFill="1" applyBorder="1" applyProtection="1">
      <alignment horizontal="center" vertical="center"/>
      <protection locked="0"/>
    </xf>
    <xf numFmtId="41" fontId="74" fillId="36" borderId="0" xfId="1" applyFont="1" applyFill="1" applyAlignment="1" applyProtection="1">
      <alignment horizontal="left" indent="1"/>
    </xf>
    <xf numFmtId="9" fontId="80" fillId="36" borderId="0" xfId="5" applyFont="1" applyFill="1" applyAlignment="1" applyProtection="1">
      <alignment vertical="center"/>
    </xf>
    <xf numFmtId="41" fontId="80" fillId="36" borderId="0" xfId="1" applyFont="1" applyFill="1" applyAlignment="1" applyProtection="1">
      <alignment vertical="center"/>
    </xf>
    <xf numFmtId="0" fontId="78" fillId="2" borderId="3" xfId="0" applyFont="1" applyFill="1" applyBorder="1" applyAlignment="1" applyProtection="1">
      <alignment horizontal="left" indent="1"/>
      <protection locked="0"/>
    </xf>
    <xf numFmtId="0" fontId="79" fillId="0" borderId="0" xfId="0" applyFont="1" applyAlignment="1">
      <alignment horizontal="left" indent="1"/>
    </xf>
    <xf numFmtId="9" fontId="65" fillId="41" borderId="55" xfId="5" applyFont="1" applyFill="1" applyBorder="1" applyAlignment="1" applyProtection="1">
      <alignment horizontal="left" vertical="center" indent="2"/>
      <protection locked="0"/>
    </xf>
    <xf numFmtId="164" fontId="66" fillId="35" borderId="55" xfId="52" applyNumberFormat="1" applyFont="1" applyBorder="1" applyProtection="1">
      <alignment horizontal="center" vertical="center"/>
      <protection locked="0"/>
    </xf>
    <xf numFmtId="1" fontId="66" fillId="35" borderId="0" xfId="52" applyNumberFormat="1" applyFont="1" applyBorder="1" applyAlignment="1" applyProtection="1">
      <alignment horizontal="left" indent="1"/>
      <protection locked="0"/>
    </xf>
    <xf numFmtId="172" fontId="40" fillId="8" borderId="0" xfId="0" applyNumberFormat="1" applyFont="1" applyFill="1" applyAlignment="1">
      <alignment horizontal="left" indent="1"/>
    </xf>
    <xf numFmtId="3" fontId="17" fillId="8" borderId="0" xfId="0" applyNumberFormat="1" applyFont="1" applyFill="1" applyAlignment="1">
      <alignment horizontal="left" indent="1"/>
    </xf>
    <xf numFmtId="164" fontId="32" fillId="19" borderId="0" xfId="5" applyNumberFormat="1" applyFont="1" applyFill="1" applyBorder="1" applyAlignment="1">
      <alignment horizontal="left" indent="1"/>
    </xf>
    <xf numFmtId="1" fontId="73" fillId="35" borderId="0" xfId="52" applyNumberFormat="1" applyFont="1" applyBorder="1" applyAlignment="1" applyProtection="1">
      <alignment horizontal="left" vertical="center" indent="1"/>
      <protection locked="0"/>
    </xf>
    <xf numFmtId="0" fontId="17" fillId="10" borderId="0" xfId="0" applyFont="1" applyFill="1" applyAlignment="1">
      <alignment horizontal="left" indent="1"/>
    </xf>
    <xf numFmtId="0" fontId="26" fillId="14" borderId="0" xfId="0" applyFont="1" applyFill="1" applyAlignment="1">
      <alignment horizontal="left" indent="1"/>
    </xf>
    <xf numFmtId="0" fontId="3" fillId="8" borderId="0" xfId="0" applyFont="1" applyFill="1" applyAlignment="1">
      <alignment horizontal="left" indent="1"/>
    </xf>
    <xf numFmtId="176" fontId="83" fillId="40" borderId="56" xfId="5" applyNumberFormat="1" applyFont="1" applyFill="1" applyBorder="1" applyAlignment="1" applyProtection="1">
      <alignment horizontal="center" vertical="center"/>
      <protection locked="0"/>
    </xf>
    <xf numFmtId="176" fontId="83" fillId="40" borderId="56" xfId="5" applyNumberFormat="1" applyFont="1" applyFill="1" applyBorder="1" applyAlignment="1" applyProtection="1">
      <alignment horizontal="right" vertical="center"/>
      <protection locked="0"/>
    </xf>
    <xf numFmtId="1" fontId="60" fillId="35" borderId="56" xfId="52" applyNumberFormat="1" applyFont="1" applyBorder="1" applyAlignment="1" applyProtection="1">
      <alignment horizontal="left" vertical="center" indent="1"/>
      <protection locked="0"/>
    </xf>
    <xf numFmtId="9" fontId="64" fillId="41" borderId="55" xfId="5" applyFont="1" applyFill="1" applyBorder="1" applyAlignment="1" applyProtection="1">
      <alignment horizontal="left" vertical="center" indent="1"/>
      <protection locked="0"/>
    </xf>
    <xf numFmtId="9" fontId="65" fillId="41" borderId="55" xfId="5" applyFont="1" applyFill="1" applyBorder="1" applyAlignment="1" applyProtection="1">
      <alignment horizontal="left" vertical="center" indent="1"/>
      <protection locked="0"/>
    </xf>
    <xf numFmtId="41" fontId="62" fillId="36" borderId="0" xfId="1" applyFont="1" applyFill="1" applyAlignment="1" applyProtection="1"/>
    <xf numFmtId="177" fontId="65" fillId="39" borderId="55" xfId="52" applyNumberFormat="1" applyFont="1" applyFill="1" applyBorder="1" applyAlignment="1" applyProtection="1">
      <alignment horizontal="left"/>
      <protection locked="0"/>
    </xf>
    <xf numFmtId="9" fontId="66" fillId="35" borderId="57" xfId="5" applyFont="1" applyFill="1" applyBorder="1" applyAlignment="1" applyProtection="1">
      <alignment horizontal="center"/>
      <protection locked="0"/>
    </xf>
    <xf numFmtId="178" fontId="69" fillId="40" borderId="0" xfId="54" applyFont="1" applyFill="1" applyBorder="1" applyAlignment="1" applyProtection="1">
      <protection locked="0"/>
    </xf>
    <xf numFmtId="178" fontId="71" fillId="40" borderId="56" xfId="54" applyFont="1" applyFill="1" applyBorder="1" applyAlignment="1" applyProtection="1">
      <alignment horizontal="center"/>
      <protection locked="0"/>
    </xf>
    <xf numFmtId="41" fontId="72" fillId="36" borderId="0" xfId="1" applyFont="1" applyFill="1" applyAlignment="1" applyProtection="1"/>
    <xf numFmtId="165" fontId="7" fillId="18" borderId="1" xfId="5" applyNumberFormat="1" applyFont="1" applyFill="1" applyBorder="1" applyAlignment="1" applyProtection="1">
      <alignment horizontal="right"/>
      <protection locked="0"/>
    </xf>
    <xf numFmtId="9" fontId="65" fillId="41" borderId="55" xfId="5" applyFont="1" applyFill="1" applyBorder="1" applyAlignment="1" applyProtection="1">
      <alignment horizontal="left" indent="1"/>
      <protection locked="0"/>
    </xf>
    <xf numFmtId="176" fontId="69" fillId="40" borderId="56" xfId="5" applyNumberFormat="1" applyFont="1" applyFill="1" applyBorder="1" applyAlignment="1" applyProtection="1">
      <alignment horizontal="center" vertical="center"/>
      <protection locked="0"/>
    </xf>
    <xf numFmtId="176" fontId="69" fillId="40" borderId="56" xfId="5" applyNumberFormat="1" applyFont="1" applyFill="1" applyBorder="1" applyAlignment="1" applyProtection="1">
      <alignment horizontal="right" vertical="center"/>
      <protection locked="0"/>
    </xf>
    <xf numFmtId="178" fontId="69" fillId="40" borderId="56" xfId="54" applyFont="1" applyFill="1" applyBorder="1" applyAlignment="1" applyProtection="1">
      <alignment horizontal="left" vertical="center" indent="1"/>
      <protection locked="0"/>
    </xf>
    <xf numFmtId="1" fontId="76" fillId="35" borderId="58" xfId="52" applyNumberFormat="1" applyFont="1" applyBorder="1" applyAlignment="1" applyProtection="1">
      <alignment horizontal="left" indent="1"/>
      <protection locked="0"/>
    </xf>
    <xf numFmtId="2" fontId="84" fillId="36" borderId="0" xfId="1" applyNumberFormat="1" applyFont="1" applyFill="1" applyAlignment="1" applyProtection="1">
      <alignment horizontal="center" vertical="center"/>
    </xf>
    <xf numFmtId="2" fontId="85" fillId="36" borderId="0" xfId="1" applyNumberFormat="1" applyFont="1" applyFill="1" applyAlignment="1" applyProtection="1">
      <alignment horizontal="center" vertical="center"/>
    </xf>
    <xf numFmtId="1" fontId="84" fillId="36" borderId="0" xfId="1" applyNumberFormat="1" applyFont="1" applyFill="1" applyAlignment="1" applyProtection="1">
      <alignment horizontal="center" vertical="center"/>
    </xf>
    <xf numFmtId="1" fontId="84" fillId="36" borderId="0" xfId="1" applyNumberFormat="1" applyFont="1" applyFill="1" applyAlignment="1" applyProtection="1">
      <alignment horizontal="center"/>
    </xf>
    <xf numFmtId="1" fontId="86" fillId="0" borderId="0" xfId="0" applyNumberFormat="1" applyFont="1" applyAlignment="1">
      <alignment horizontal="center"/>
    </xf>
    <xf numFmtId="1" fontId="66" fillId="35" borderId="55" xfId="2" applyNumberFormat="1" applyFont="1" applyFill="1" applyBorder="1" applyAlignment="1" applyProtection="1">
      <alignment horizontal="center" vertical="center"/>
      <protection locked="0"/>
    </xf>
    <xf numFmtId="9" fontId="69" fillId="40" borderId="56" xfId="5" applyFont="1" applyFill="1" applyBorder="1" applyAlignment="1" applyProtection="1">
      <alignment horizontal="center" vertical="center"/>
      <protection locked="0"/>
    </xf>
    <xf numFmtId="183" fontId="1" fillId="42" borderId="63" xfId="55" applyFill="1" applyBorder="1" applyAlignment="1">
      <alignment vertical="center"/>
    </xf>
    <xf numFmtId="183" fontId="87" fillId="42" borderId="64" xfId="55" applyFont="1" applyFill="1" applyBorder="1" applyAlignment="1">
      <alignment vertical="center"/>
    </xf>
    <xf numFmtId="183" fontId="88" fillId="42" borderId="65" xfId="56" applyFill="1" applyBorder="1"/>
    <xf numFmtId="183" fontId="1" fillId="42" borderId="22" xfId="55" applyFill="1" applyBorder="1" applyAlignment="1">
      <alignment vertical="center"/>
    </xf>
    <xf numFmtId="183" fontId="89" fillId="43" borderId="0" xfId="55" applyFont="1" applyFill="1" applyAlignment="1">
      <alignment vertical="top"/>
    </xf>
    <xf numFmtId="183" fontId="90" fillId="43" borderId="0" xfId="55" applyFont="1" applyFill="1" applyAlignment="1">
      <alignment vertical="top"/>
    </xf>
    <xf numFmtId="183" fontId="81" fillId="43" borderId="0" xfId="55" applyFont="1" applyFill="1" applyAlignment="1">
      <alignment horizontal="right" vertical="top"/>
    </xf>
    <xf numFmtId="183" fontId="90" fillId="43" borderId="0" xfId="55" applyFont="1" applyFill="1" applyAlignment="1">
      <alignment horizontal="right" vertical="center"/>
    </xf>
    <xf numFmtId="183" fontId="89" fillId="43" borderId="0" xfId="55" applyFont="1" applyFill="1" applyAlignment="1">
      <alignment vertical="center"/>
    </xf>
    <xf numFmtId="183" fontId="91" fillId="43" borderId="0" xfId="55" applyFont="1" applyFill="1" applyAlignment="1">
      <alignment vertical="center"/>
    </xf>
    <xf numFmtId="183" fontId="91" fillId="43" borderId="0" xfId="55" applyFont="1" applyFill="1" applyAlignment="1">
      <alignment horizontal="right" vertical="top"/>
    </xf>
    <xf numFmtId="183" fontId="88" fillId="0" borderId="46" xfId="56" applyBorder="1"/>
    <xf numFmtId="183" fontId="2" fillId="42" borderId="0" xfId="55" applyFont="1" applyFill="1" applyAlignment="1">
      <alignment horizontal="left" vertical="center" indent="1"/>
    </xf>
    <xf numFmtId="183" fontId="1" fillId="42" borderId="0" xfId="55" applyFill="1" applyAlignment="1">
      <alignment vertical="center"/>
    </xf>
    <xf numFmtId="183" fontId="1" fillId="42" borderId="0" xfId="55" applyFill="1" applyAlignment="1">
      <alignment horizontal="right" vertical="center"/>
    </xf>
    <xf numFmtId="183" fontId="88" fillId="42" borderId="0" xfId="56" applyFill="1"/>
    <xf numFmtId="181" fontId="1" fillId="42" borderId="0" xfId="57" applyNumberFormat="1" applyFont="1" applyFill="1" applyAlignment="1">
      <alignment horizontal="center" vertical="center"/>
    </xf>
    <xf numFmtId="183" fontId="88" fillId="42" borderId="46" xfId="56" applyFill="1" applyBorder="1"/>
    <xf numFmtId="183" fontId="2" fillId="42" borderId="0" xfId="55" applyFont="1" applyFill="1" applyAlignment="1">
      <alignment vertical="center"/>
    </xf>
    <xf numFmtId="1" fontId="1" fillId="42" borderId="0" xfId="55" applyNumberFormat="1" applyFill="1" applyAlignment="1">
      <alignment horizontal="right" vertical="center"/>
    </xf>
    <xf numFmtId="179" fontId="1" fillId="42" borderId="66" xfId="58" applyNumberFormat="1" applyFill="1" applyBorder="1" applyAlignment="1">
      <alignment horizontal="center" vertical="center"/>
    </xf>
    <xf numFmtId="164" fontId="1" fillId="42" borderId="0" xfId="55" applyNumberFormat="1" applyFill="1" applyAlignment="1">
      <alignment horizontal="right" vertical="center"/>
    </xf>
    <xf numFmtId="183" fontId="2" fillId="42" borderId="0" xfId="55" applyFont="1" applyFill="1" applyAlignment="1">
      <alignment horizontal="left" vertical="center" indent="2"/>
    </xf>
    <xf numFmtId="183" fontId="1" fillId="42" borderId="0" xfId="55" applyFill="1"/>
    <xf numFmtId="179" fontId="1" fillId="42" borderId="0" xfId="59" applyNumberFormat="1" applyFont="1" applyFill="1" applyAlignment="1">
      <alignment vertical="center"/>
    </xf>
    <xf numFmtId="9" fontId="1" fillId="42" borderId="0" xfId="5" applyFill="1" applyAlignment="1">
      <alignment horizontal="right" vertical="center"/>
    </xf>
    <xf numFmtId="183" fontId="2" fillId="42" borderId="0" xfId="55" applyFont="1" applyFill="1" applyAlignment="1">
      <alignment horizontal="left" vertical="center" indent="3"/>
    </xf>
    <xf numFmtId="182" fontId="1" fillId="42" borderId="0" xfId="60" applyNumberFormat="1" applyFont="1" applyFill="1"/>
    <xf numFmtId="183" fontId="92" fillId="42" borderId="0" xfId="56" applyFont="1" applyFill="1"/>
    <xf numFmtId="183" fontId="89" fillId="44" borderId="63" xfId="61" applyFont="1" applyFill="1" applyBorder="1" applyAlignment="1">
      <alignment horizontal="left" vertical="center"/>
    </xf>
    <xf numFmtId="183" fontId="89" fillId="44" borderId="64" xfId="61" applyFont="1" applyFill="1" applyBorder="1" applyAlignment="1">
      <alignment horizontal="center" vertical="center"/>
    </xf>
    <xf numFmtId="183" fontId="89" fillId="44" borderId="64" xfId="61" applyFont="1" applyFill="1" applyBorder="1" applyAlignment="1">
      <alignment horizontal="centerContinuous" vertical="center"/>
    </xf>
    <xf numFmtId="183" fontId="89" fillId="44" borderId="64" xfId="61" applyFont="1" applyFill="1" applyBorder="1" applyAlignment="1">
      <alignment horizontal="left" vertical="center"/>
    </xf>
    <xf numFmtId="183" fontId="89" fillId="44" borderId="65" xfId="61" applyFont="1" applyFill="1" applyBorder="1" applyAlignment="1">
      <alignment horizontal="right" vertical="center"/>
    </xf>
    <xf numFmtId="183" fontId="1" fillId="42" borderId="22" xfId="55" applyFill="1" applyBorder="1"/>
    <xf numFmtId="183" fontId="93" fillId="45" borderId="22" xfId="61" applyFont="1" applyFill="1" applyBorder="1" applyAlignment="1">
      <alignment horizontal="left"/>
    </xf>
    <xf numFmtId="183" fontId="93" fillId="45" borderId="0" xfId="61" applyFont="1" applyFill="1" applyAlignment="1">
      <alignment horizontal="center"/>
    </xf>
    <xf numFmtId="183" fontId="93" fillId="45" borderId="0" xfId="61" applyFont="1" applyFill="1" applyAlignment="1">
      <alignment horizontal="right"/>
    </xf>
    <xf numFmtId="183" fontId="93" fillId="45" borderId="0" xfId="61" applyFont="1" applyFill="1" applyAlignment="1">
      <alignment horizontal="centerContinuous"/>
    </xf>
    <xf numFmtId="183" fontId="93" fillId="45" borderId="46" xfId="61" applyFont="1" applyFill="1" applyBorder="1" applyAlignment="1">
      <alignment horizontal="right"/>
    </xf>
    <xf numFmtId="183" fontId="93" fillId="45" borderId="67" xfId="0" applyNumberFormat="1" applyFont="1" applyFill="1" applyBorder="1" applyAlignment="1">
      <alignment horizontal="left"/>
    </xf>
    <xf numFmtId="183" fontId="93" fillId="45" borderId="24" xfId="0" applyNumberFormat="1" applyFont="1" applyFill="1" applyBorder="1" applyAlignment="1">
      <alignment horizontal="left"/>
    </xf>
    <xf numFmtId="181" fontId="93" fillId="45" borderId="24" xfId="0" applyNumberFormat="1" applyFont="1" applyFill="1" applyBorder="1" applyAlignment="1">
      <alignment horizontal="right"/>
    </xf>
    <xf numFmtId="164" fontId="93" fillId="45" borderId="24" xfId="0" applyNumberFormat="1" applyFont="1" applyFill="1" applyBorder="1" applyAlignment="1">
      <alignment horizontal="center"/>
    </xf>
    <xf numFmtId="183" fontId="93" fillId="45" borderId="24" xfId="0" applyNumberFormat="1" applyFont="1" applyFill="1" applyBorder="1" applyAlignment="1">
      <alignment horizontal="right"/>
    </xf>
    <xf numFmtId="183" fontId="93" fillId="45" borderId="47" xfId="0" applyNumberFormat="1" applyFont="1" applyFill="1" applyBorder="1" applyAlignment="1">
      <alignment horizontal="right"/>
    </xf>
    <xf numFmtId="1" fontId="1" fillId="42" borderId="63" xfId="61" applyNumberFormat="1" applyFill="1" applyBorder="1" applyAlignment="1">
      <alignment horizontal="left" vertical="center"/>
    </xf>
    <xf numFmtId="183" fontId="1" fillId="42" borderId="64" xfId="61" applyFill="1" applyBorder="1" applyAlignment="1">
      <alignment horizontal="left" vertical="center"/>
    </xf>
    <xf numFmtId="183" fontId="1" fillId="0" borderId="22" xfId="55" applyBorder="1" applyAlignment="1">
      <alignment vertical="center"/>
    </xf>
    <xf numFmtId="1" fontId="82" fillId="42" borderId="68" xfId="58" applyNumberFormat="1" applyFont="1" applyFill="1" applyBorder="1" applyAlignment="1">
      <alignment horizontal="left" vertical="center"/>
    </xf>
    <xf numFmtId="183" fontId="82" fillId="42" borderId="69" xfId="58" applyNumberFormat="1" applyFont="1" applyFill="1" applyBorder="1" applyAlignment="1">
      <alignment horizontal="left" vertical="center"/>
    </xf>
    <xf numFmtId="184" fontId="82" fillId="42" borderId="69" xfId="58" applyNumberFormat="1" applyFont="1" applyFill="1" applyBorder="1" applyAlignment="1">
      <alignment horizontal="right" vertical="center"/>
    </xf>
    <xf numFmtId="184" fontId="82" fillId="42" borderId="69" xfId="58" applyNumberFormat="1" applyFont="1" applyFill="1" applyBorder="1" applyAlignment="1">
      <alignment horizontal="center" vertical="center"/>
    </xf>
    <xf numFmtId="183" fontId="88" fillId="42" borderId="46" xfId="56" applyFill="1" applyBorder="1" applyAlignment="1">
      <alignment vertical="center"/>
    </xf>
    <xf numFmtId="1" fontId="82" fillId="42" borderId="71" xfId="58" applyNumberFormat="1" applyFont="1" applyFill="1" applyBorder="1" applyAlignment="1">
      <alignment horizontal="left" vertical="center"/>
    </xf>
    <xf numFmtId="183" fontId="82" fillId="42" borderId="72" xfId="58" applyNumberFormat="1" applyFont="1" applyFill="1" applyBorder="1" applyAlignment="1">
      <alignment horizontal="left" vertical="center"/>
    </xf>
    <xf numFmtId="184" fontId="82" fillId="42" borderId="72" xfId="58" applyNumberFormat="1" applyFont="1" applyFill="1" applyBorder="1" applyAlignment="1">
      <alignment horizontal="right" vertical="center"/>
    </xf>
    <xf numFmtId="184" fontId="82" fillId="42" borderId="72" xfId="58" applyNumberFormat="1" applyFont="1" applyFill="1" applyBorder="1" applyAlignment="1">
      <alignment horizontal="center" vertical="center"/>
    </xf>
    <xf numFmtId="183" fontId="1" fillId="42" borderId="46" xfId="55" applyFill="1" applyBorder="1" applyAlignment="1">
      <alignment vertical="center"/>
    </xf>
    <xf numFmtId="1" fontId="2" fillId="45" borderId="74" xfId="58" applyNumberFormat="1" applyFont="1" applyFill="1" applyBorder="1" applyAlignment="1">
      <alignment horizontal="left"/>
    </xf>
    <xf numFmtId="183" fontId="2" fillId="45" borderId="75" xfId="58" applyNumberFormat="1" applyFont="1" applyFill="1" applyBorder="1" applyAlignment="1">
      <alignment horizontal="left"/>
    </xf>
    <xf numFmtId="184" fontId="2" fillId="45" borderId="75" xfId="58" applyNumberFormat="1" applyFont="1" applyFill="1" applyBorder="1" applyAlignment="1">
      <alignment horizontal="right"/>
    </xf>
    <xf numFmtId="184" fontId="2" fillId="45" borderId="75" xfId="58" applyNumberFormat="1" applyFont="1" applyFill="1" applyBorder="1" applyAlignment="1">
      <alignment horizontal="center"/>
    </xf>
    <xf numFmtId="184" fontId="2" fillId="45" borderId="76" xfId="58" applyNumberFormat="1" applyFont="1" applyFill="1" applyBorder="1" applyAlignment="1">
      <alignment horizontal="right"/>
    </xf>
    <xf numFmtId="183" fontId="1" fillId="42" borderId="67" xfId="55" applyFill="1" applyBorder="1"/>
    <xf numFmtId="183" fontId="1" fillId="42" borderId="24" xfId="55" applyFill="1" applyBorder="1"/>
    <xf numFmtId="183" fontId="88" fillId="42" borderId="47" xfId="56" applyFill="1" applyBorder="1"/>
    <xf numFmtId="180" fontId="0" fillId="0" borderId="0" xfId="0" applyNumberFormat="1"/>
    <xf numFmtId="180" fontId="13" fillId="16" borderId="13" xfId="0" applyNumberFormat="1" applyFont="1" applyFill="1" applyBorder="1" applyAlignment="1">
      <alignment horizontal="centerContinuous"/>
    </xf>
    <xf numFmtId="180" fontId="13" fillId="16" borderId="14" xfId="0" applyNumberFormat="1" applyFont="1" applyFill="1" applyBorder="1" applyAlignment="1">
      <alignment horizontal="centerContinuous"/>
    </xf>
    <xf numFmtId="180" fontId="14" fillId="16" borderId="14" xfId="0" applyNumberFormat="1" applyFont="1" applyFill="1" applyBorder="1" applyAlignment="1">
      <alignment horizontal="centerContinuous"/>
    </xf>
    <xf numFmtId="180" fontId="2" fillId="17" borderId="5" xfId="0" applyNumberFormat="1" applyFont="1" applyFill="1" applyBorder="1" applyAlignment="1">
      <alignment horizontal="center" vertical="center" wrapText="1"/>
    </xf>
    <xf numFmtId="180" fontId="15" fillId="0" borderId="6" xfId="0" applyNumberFormat="1" applyFont="1" applyBorder="1" applyAlignment="1">
      <alignment horizontal="center"/>
    </xf>
    <xf numFmtId="180" fontId="15" fillId="0" borderId="7" xfId="5" applyNumberFormat="1" applyFont="1" applyBorder="1" applyAlignment="1">
      <alignment horizontal="center"/>
    </xf>
    <xf numFmtId="180" fontId="15" fillId="0" borderId="8" xfId="5" applyNumberFormat="1" applyFont="1" applyBorder="1" applyAlignment="1">
      <alignment horizontal="center"/>
    </xf>
    <xf numFmtId="180" fontId="15" fillId="0" borderId="5" xfId="5" applyNumberFormat="1" applyFont="1" applyBorder="1" applyAlignment="1">
      <alignment horizontal="center"/>
    </xf>
    <xf numFmtId="180" fontId="15" fillId="0" borderId="9" xfId="5" applyNumberFormat="1" applyFont="1" applyBorder="1" applyAlignment="1">
      <alignment horizontal="center"/>
    </xf>
    <xf numFmtId="180" fontId="15" fillId="0" borderId="10" xfId="5" applyNumberFormat="1" applyFont="1" applyBorder="1" applyAlignment="1">
      <alignment horizontal="center"/>
    </xf>
    <xf numFmtId="180" fontId="16" fillId="12" borderId="11" xfId="0" applyNumberFormat="1" applyFont="1" applyFill="1" applyBorder="1" applyAlignment="1">
      <alignment horizontal="center"/>
    </xf>
    <xf numFmtId="180" fontId="0" fillId="7" borderId="11" xfId="5" applyNumberFormat="1" applyFont="1" applyFill="1" applyBorder="1" applyAlignment="1">
      <alignment horizontal="center"/>
    </xf>
    <xf numFmtId="180" fontId="0" fillId="7" borderId="11" xfId="0" applyNumberFormat="1" applyFill="1" applyBorder="1" applyAlignment="1">
      <alignment horizontal="center"/>
    </xf>
    <xf numFmtId="180" fontId="16" fillId="8" borderId="11" xfId="0" applyNumberFormat="1" applyFont="1" applyFill="1" applyBorder="1" applyAlignment="1">
      <alignment horizontal="center"/>
    </xf>
    <xf numFmtId="180" fontId="0" fillId="0" borderId="0" xfId="5" applyNumberFormat="1" applyFont="1"/>
    <xf numFmtId="180" fontId="15" fillId="0" borderId="11" xfId="5" applyNumberFormat="1" applyFont="1" applyBorder="1" applyAlignment="1">
      <alignment horizontal="center"/>
    </xf>
    <xf numFmtId="180" fontId="15" fillId="0" borderId="11" xfId="0" applyNumberFormat="1" applyFont="1" applyBorder="1" applyAlignment="1">
      <alignment horizontal="center"/>
    </xf>
    <xf numFmtId="10" fontId="69" fillId="35" borderId="58" xfId="5" applyNumberFormat="1" applyFont="1" applyFill="1" applyBorder="1" applyAlignment="1" applyProtection="1">
      <alignment horizontal="center" vertical="center"/>
      <protection locked="0"/>
    </xf>
    <xf numFmtId="10" fontId="15" fillId="0" borderId="7" xfId="5" applyNumberFormat="1" applyFont="1" applyBorder="1" applyAlignment="1">
      <alignment horizontal="center"/>
    </xf>
    <xf numFmtId="10" fontId="15" fillId="0" borderId="8" xfId="5" applyNumberFormat="1" applyFont="1" applyBorder="1" applyAlignment="1">
      <alignment horizontal="center"/>
    </xf>
    <xf numFmtId="10" fontId="15" fillId="0" borderId="5" xfId="5" applyNumberFormat="1" applyFont="1" applyBorder="1" applyAlignment="1">
      <alignment horizontal="center"/>
    </xf>
    <xf numFmtId="10" fontId="15" fillId="0" borderId="9" xfId="5" applyNumberFormat="1" applyFont="1" applyBorder="1" applyAlignment="1">
      <alignment horizontal="center"/>
    </xf>
    <xf numFmtId="10" fontId="15" fillId="0" borderId="10" xfId="5" applyNumberFormat="1" applyFont="1" applyBorder="1" applyAlignment="1">
      <alignment horizontal="center"/>
    </xf>
    <xf numFmtId="185" fontId="15" fillId="0" borderId="6" xfId="0" applyNumberFormat="1" applyFont="1" applyBorder="1" applyAlignment="1">
      <alignment horizontal="center"/>
    </xf>
    <xf numFmtId="185" fontId="15" fillId="0" borderId="7" xfId="0" applyNumberFormat="1" applyFont="1" applyBorder="1" applyAlignment="1">
      <alignment horizontal="center"/>
    </xf>
    <xf numFmtId="185" fontId="15" fillId="0" borderId="8" xfId="0" applyNumberFormat="1" applyFont="1" applyBorder="1" applyAlignment="1">
      <alignment horizontal="center"/>
    </xf>
    <xf numFmtId="185" fontId="15" fillId="0" borderId="5" xfId="0" applyNumberFormat="1" applyFont="1" applyBorder="1" applyAlignment="1">
      <alignment horizontal="center"/>
    </xf>
    <xf numFmtId="185" fontId="15" fillId="0" borderId="9" xfId="0" applyNumberFormat="1" applyFont="1" applyBorder="1" applyAlignment="1">
      <alignment horizontal="center"/>
    </xf>
    <xf numFmtId="185" fontId="15" fillId="0" borderId="10" xfId="0" applyNumberFormat="1" applyFont="1" applyBorder="1" applyAlignment="1">
      <alignment horizontal="center"/>
    </xf>
    <xf numFmtId="175" fontId="0" fillId="0" borderId="0" xfId="5" applyNumberFormat="1" applyFont="1"/>
    <xf numFmtId="9" fontId="83" fillId="40" borderId="56" xfId="5" applyFont="1" applyFill="1" applyBorder="1" applyAlignment="1" applyProtection="1">
      <alignment horizontal="center" vertical="center"/>
      <protection locked="0"/>
    </xf>
    <xf numFmtId="182" fontId="66" fillId="35" borderId="55" xfId="5" applyNumberFormat="1" applyFont="1" applyFill="1" applyBorder="1" applyAlignment="1" applyProtection="1">
      <alignment horizontal="center" vertical="center"/>
      <protection locked="0"/>
    </xf>
    <xf numFmtId="37" fontId="89" fillId="46" borderId="0" xfId="0" applyNumberFormat="1" applyFont="1" applyFill="1" applyAlignment="1">
      <alignment horizontal="center"/>
    </xf>
    <xf numFmtId="164" fontId="94" fillId="35" borderId="55" xfId="49" applyNumberFormat="1" applyFont="1" applyFill="1" applyBorder="1" applyAlignment="1" applyProtection="1">
      <alignment horizontal="center" vertical="center"/>
      <protection locked="0"/>
    </xf>
    <xf numFmtId="185" fontId="41" fillId="0" borderId="0" xfId="4" applyNumberFormat="1" applyFont="1" applyAlignment="1">
      <alignment horizontal="right"/>
    </xf>
    <xf numFmtId="185" fontId="98" fillId="0" borderId="0" xfId="4" applyNumberFormat="1" applyFont="1" applyAlignment="1">
      <alignment horizontal="right"/>
    </xf>
    <xf numFmtId="0" fontId="0" fillId="0" borderId="0" xfId="0" pivotButton="1"/>
    <xf numFmtId="184" fontId="1" fillId="42" borderId="21" xfId="61" applyNumberFormat="1" applyFill="1" applyBorder="1" applyAlignment="1">
      <alignment horizontal="right" vertical="center"/>
    </xf>
    <xf numFmtId="184" fontId="1" fillId="42" borderId="77" xfId="61" applyNumberFormat="1" applyFill="1" applyBorder="1" applyAlignment="1">
      <alignment horizontal="right" vertical="center"/>
    </xf>
    <xf numFmtId="184" fontId="1" fillId="42" borderId="65" xfId="61" applyNumberFormat="1" applyFill="1" applyBorder="1" applyAlignment="1">
      <alignment horizontal="right" vertical="center"/>
    </xf>
    <xf numFmtId="184" fontId="82" fillId="42" borderId="70" xfId="58" applyNumberFormat="1" applyFont="1" applyFill="1" applyBorder="1" applyAlignment="1">
      <alignment horizontal="right" vertical="center"/>
    </xf>
    <xf numFmtId="184" fontId="82" fillId="42" borderId="73" xfId="58" applyNumberFormat="1" applyFont="1" applyFill="1" applyBorder="1" applyAlignment="1">
      <alignment horizontal="right" vertical="center"/>
    </xf>
    <xf numFmtId="182" fontId="69" fillId="40" borderId="56" xfId="5" applyNumberFormat="1" applyFont="1" applyFill="1" applyBorder="1" applyAlignment="1" applyProtection="1">
      <alignment horizontal="left" vertical="center"/>
      <protection locked="0"/>
    </xf>
    <xf numFmtId="182" fontId="69" fillId="40" borderId="56" xfId="5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41" fillId="0" borderId="0" xfId="4" applyFont="1" applyAlignment="1">
      <alignment horizontal="right"/>
    </xf>
    <xf numFmtId="0" fontId="0" fillId="0" borderId="0" xfId="0" pivotButton="1" applyAlignment="1">
      <alignment horizontal="right"/>
    </xf>
    <xf numFmtId="0" fontId="0" fillId="0" borderId="0" xfId="0" applyAlignment="1">
      <alignment horizontal="right"/>
    </xf>
    <xf numFmtId="184" fontId="0" fillId="0" borderId="0" xfId="0" applyNumberFormat="1" applyAlignment="1">
      <alignment horizontal="right"/>
    </xf>
    <xf numFmtId="0" fontId="15" fillId="0" borderId="0" xfId="4" applyAlignment="1">
      <alignment horizontal="right"/>
    </xf>
    <xf numFmtId="185" fontId="97" fillId="0" borderId="0" xfId="4" applyNumberFormat="1" applyFont="1" applyAlignment="1">
      <alignment horizontal="right"/>
    </xf>
    <xf numFmtId="5" fontId="51" fillId="0" borderId="0" xfId="4" applyNumberFormat="1" applyFont="1" applyAlignment="1">
      <alignment horizontal="right"/>
    </xf>
    <xf numFmtId="5" fontId="12" fillId="0" borderId="24" xfId="4" applyNumberFormat="1" applyFont="1" applyBorder="1" applyAlignment="1">
      <alignment horizontal="right"/>
    </xf>
    <xf numFmtId="185" fontId="95" fillId="0" borderId="0" xfId="4" applyNumberFormat="1" applyFont="1"/>
    <xf numFmtId="185" fontId="96" fillId="0" borderId="0" xfId="4" applyNumberFormat="1" applyFont="1" applyAlignment="1">
      <alignment horizontal="right"/>
    </xf>
    <xf numFmtId="185" fontId="95" fillId="0" borderId="0" xfId="4" applyNumberFormat="1" applyFont="1" applyAlignment="1">
      <alignment horizontal="right"/>
    </xf>
    <xf numFmtId="185" fontId="41" fillId="0" borderId="78" xfId="4" applyNumberFormat="1" applyFont="1" applyBorder="1" applyAlignment="1">
      <alignment horizontal="right"/>
    </xf>
    <xf numFmtId="5" fontId="46" fillId="0" borderId="0" xfId="4" applyNumberFormat="1" applyFont="1" applyAlignment="1">
      <alignment horizontal="right"/>
    </xf>
    <xf numFmtId="167" fontId="45" fillId="7" borderId="0" xfId="4" applyNumberFormat="1" applyFont="1" applyFill="1" applyAlignment="1">
      <alignment horizontal="right"/>
    </xf>
    <xf numFmtId="0" fontId="45" fillId="7" borderId="0" xfId="4" applyFont="1" applyFill="1" applyAlignment="1">
      <alignment horizontal="right"/>
    </xf>
    <xf numFmtId="22" fontId="15" fillId="0" borderId="0" xfId="4" applyNumberFormat="1" applyAlignment="1">
      <alignment horizontal="right"/>
    </xf>
    <xf numFmtId="185" fontId="42" fillId="0" borderId="0" xfId="4" applyNumberFormat="1" applyFont="1" applyAlignment="1">
      <alignment horizontal="right"/>
    </xf>
    <xf numFmtId="5" fontId="48" fillId="0" borderId="24" xfId="4" applyNumberFormat="1" applyFont="1" applyBorder="1" applyAlignment="1">
      <alignment horizontal="right"/>
    </xf>
    <xf numFmtId="0" fontId="45" fillId="7" borderId="21" xfId="4" applyFont="1" applyFill="1" applyBorder="1" applyAlignment="1">
      <alignment horizontal="right"/>
    </xf>
    <xf numFmtId="0" fontId="46" fillId="0" borderId="21" xfId="4" applyFont="1" applyBorder="1"/>
    <xf numFmtId="0" fontId="99" fillId="0" borderId="0" xfId="4" applyFont="1" applyAlignment="1">
      <alignment horizontal="left" indent="1"/>
    </xf>
    <xf numFmtId="0" fontId="15" fillId="0" borderId="0" xfId="4" quotePrefix="1" applyAlignment="1">
      <alignment horizontal="left" indent="1"/>
    </xf>
    <xf numFmtId="0" fontId="22" fillId="0" borderId="0" xfId="4" quotePrefix="1" applyFont="1" applyAlignment="1">
      <alignment horizontal="left" indent="1"/>
    </xf>
    <xf numFmtId="0" fontId="15" fillId="0" borderId="0" xfId="4" applyAlignment="1">
      <alignment horizontal="left" indent="2"/>
    </xf>
    <xf numFmtId="0" fontId="22" fillId="0" borderId="0" xfId="4" applyFont="1" applyAlignment="1">
      <alignment horizontal="left" indent="2"/>
    </xf>
    <xf numFmtId="5" fontId="12" fillId="0" borderId="0" xfId="4" applyNumberFormat="1" applyFont="1" applyAlignment="1">
      <alignment horizontal="left" indent="1"/>
    </xf>
    <xf numFmtId="0" fontId="15" fillId="0" borderId="24" xfId="4" applyBorder="1" applyAlignment="1">
      <alignment horizontal="left" indent="1"/>
    </xf>
    <xf numFmtId="0" fontId="47" fillId="0" borderId="0" xfId="4" applyFont="1"/>
    <xf numFmtId="0" fontId="12" fillId="0" borderId="0" xfId="4" applyFont="1"/>
    <xf numFmtId="0" fontId="24" fillId="0" borderId="0" xfId="4" applyFont="1"/>
    <xf numFmtId="0" fontId="48" fillId="0" borderId="0" xfId="4" applyFont="1"/>
    <xf numFmtId="0" fontId="12" fillId="0" borderId="0" xfId="4" applyFont="1" applyAlignment="1">
      <alignment horizontal="left" indent="2"/>
    </xf>
    <xf numFmtId="0" fontId="46" fillId="0" borderId="0" xfId="4" applyFont="1"/>
    <xf numFmtId="185" fontId="15" fillId="0" borderId="0" xfId="4" applyNumberFormat="1"/>
    <xf numFmtId="185" fontId="52" fillId="0" borderId="0" xfId="4" applyNumberFormat="1" applyFont="1"/>
    <xf numFmtId="182" fontId="41" fillId="0" borderId="0" xfId="5" applyNumberFormat="1" applyFont="1" applyAlignment="1">
      <alignment horizontal="right"/>
    </xf>
    <xf numFmtId="182" fontId="100" fillId="0" borderId="0" xfId="5" applyNumberFormat="1" applyFont="1" applyAlignment="1">
      <alignment horizontal="right"/>
    </xf>
    <xf numFmtId="0" fontId="1" fillId="0" borderId="0" xfId="4" applyFont="1" applyAlignment="1">
      <alignment horizontal="right"/>
    </xf>
    <xf numFmtId="167" fontId="21" fillId="7" borderId="0" xfId="4" applyNumberFormat="1" applyFont="1" applyFill="1" applyAlignment="1">
      <alignment horizontal="right"/>
    </xf>
    <xf numFmtId="5" fontId="101" fillId="0" borderId="0" xfId="4" applyNumberFormat="1" applyFont="1" applyAlignment="1">
      <alignment horizontal="right"/>
    </xf>
    <xf numFmtId="5" fontId="102" fillId="0" borderId="0" xfId="4" applyNumberFormat="1" applyFont="1" applyAlignment="1">
      <alignment horizontal="right"/>
    </xf>
    <xf numFmtId="5" fontId="2" fillId="0" borderId="0" xfId="4" applyNumberFormat="1" applyFont="1" applyAlignment="1">
      <alignment horizontal="right"/>
    </xf>
    <xf numFmtId="10" fontId="2" fillId="0" borderId="0" xfId="4" applyNumberFormat="1" applyFont="1" applyAlignment="1">
      <alignment horizontal="right"/>
    </xf>
    <xf numFmtId="5" fontId="103" fillId="0" borderId="0" xfId="4" applyNumberFormat="1" applyFont="1" applyAlignment="1">
      <alignment horizontal="right"/>
    </xf>
    <xf numFmtId="5" fontId="2" fillId="0" borderId="24" xfId="4" applyNumberFormat="1" applyFont="1" applyBorder="1" applyAlignment="1">
      <alignment horizontal="right"/>
    </xf>
    <xf numFmtId="185" fontId="57" fillId="0" borderId="0" xfId="4" applyNumberFormat="1" applyFont="1" applyAlignment="1">
      <alignment horizontal="right"/>
    </xf>
    <xf numFmtId="185" fontId="1" fillId="0" borderId="0" xfId="4" applyNumberFormat="1" applyFont="1" applyAlignment="1">
      <alignment horizontal="right"/>
    </xf>
    <xf numFmtId="185" fontId="1" fillId="0" borderId="78" xfId="4" applyNumberFormat="1" applyFont="1" applyBorder="1" applyAlignment="1">
      <alignment horizontal="right"/>
    </xf>
    <xf numFmtId="185" fontId="44" fillId="0" borderId="0" xfId="4" applyNumberFormat="1" applyFont="1" applyAlignment="1">
      <alignment horizontal="right"/>
    </xf>
    <xf numFmtId="185" fontId="2" fillId="0" borderId="0" xfId="4" applyNumberFormat="1" applyFont="1"/>
    <xf numFmtId="185" fontId="2" fillId="0" borderId="0" xfId="4" applyNumberFormat="1" applyFont="1" applyAlignment="1">
      <alignment horizontal="right"/>
    </xf>
    <xf numFmtId="182" fontId="1" fillId="0" borderId="0" xfId="5" applyNumberFormat="1" applyFont="1" applyAlignment="1">
      <alignment horizontal="right"/>
    </xf>
    <xf numFmtId="185" fontId="103" fillId="0" borderId="0" xfId="4" applyNumberFormat="1" applyFont="1" applyAlignment="1">
      <alignment horizontal="right"/>
    </xf>
    <xf numFmtId="182" fontId="1" fillId="0" borderId="78" xfId="5" applyNumberFormat="1" applyFont="1" applyBorder="1" applyAlignment="1">
      <alignment horizontal="right"/>
    </xf>
    <xf numFmtId="182" fontId="41" fillId="0" borderId="78" xfId="5" applyNumberFormat="1" applyFont="1" applyBorder="1" applyAlignment="1">
      <alignment horizontal="right"/>
    </xf>
    <xf numFmtId="0" fontId="22" fillId="0" borderId="0" xfId="4" applyFont="1"/>
    <xf numFmtId="5" fontId="12" fillId="0" borderId="0" xfId="4" applyNumberFormat="1" applyFont="1"/>
    <xf numFmtId="183" fontId="87" fillId="42" borderId="21" xfId="55" applyFont="1" applyFill="1" applyBorder="1" applyAlignment="1">
      <alignment vertical="center"/>
    </xf>
    <xf numFmtId="179" fontId="1" fillId="42" borderId="0" xfId="58" applyNumberFormat="1" applyFill="1" applyBorder="1" applyAlignment="1">
      <alignment horizontal="center" vertical="center"/>
    </xf>
    <xf numFmtId="183" fontId="89" fillId="44" borderId="21" xfId="61" applyFont="1" applyFill="1" applyBorder="1" applyAlignment="1">
      <alignment horizontal="right" vertical="center"/>
    </xf>
    <xf numFmtId="184" fontId="41" fillId="0" borderId="0" xfId="4" applyNumberFormat="1" applyFont="1"/>
    <xf numFmtId="9" fontId="0" fillId="0" borderId="0" xfId="0" applyNumberFormat="1"/>
    <xf numFmtId="179" fontId="0" fillId="0" borderId="0" xfId="2" applyNumberFormat="1" applyFont="1"/>
    <xf numFmtId="9" fontId="1" fillId="0" borderId="0" xfId="0" applyNumberFormat="1" applyFont="1"/>
    <xf numFmtId="179" fontId="0" fillId="0" borderId="0" xfId="0" applyNumberFormat="1"/>
    <xf numFmtId="1" fontId="66" fillId="35" borderId="55" xfId="5" applyNumberFormat="1" applyFont="1" applyFill="1" applyBorder="1" applyAlignment="1" applyProtection="1">
      <alignment horizontal="center" vertical="center"/>
      <protection locked="0"/>
    </xf>
    <xf numFmtId="0" fontId="60" fillId="35" borderId="62" xfId="50" applyFont="1" applyFill="1" applyBorder="1" applyAlignment="1">
      <alignment horizontal="left" vertical="center"/>
    </xf>
    <xf numFmtId="183" fontId="89" fillId="44" borderId="21" xfId="61" applyFont="1" applyFill="1" applyBorder="1" applyAlignment="1">
      <alignment horizontal="center" vertical="center"/>
    </xf>
    <xf numFmtId="183" fontId="93" fillId="45" borderId="0" xfId="61" applyFont="1" applyFill="1" applyAlignment="1">
      <alignment horizontal="center"/>
    </xf>
  </cellXfs>
  <cellStyles count="63">
    <cellStyle name="ColLevel_1" xfId="1" builtinId="2" iLevel="0"/>
    <cellStyle name="Comma" xfId="2" builtinId="3"/>
    <cellStyle name="Comma 2" xfId="59" xr:uid="{96DF3315-23E1-4E03-A91B-19A451D8B52F}"/>
    <cellStyle name="Comma 2 2" xfId="58" xr:uid="{8EE5BA21-FB6E-4B44-A3C0-1F280096C28A}"/>
    <cellStyle name="Currency" xfId="49" builtinId="4"/>
    <cellStyle name="Currency 2" xfId="57" xr:uid="{79B15EA8-5DBA-45D3-9879-96ED5F734DAF}"/>
    <cellStyle name="Currency 2 2" xfId="62" xr:uid="{9AAA6562-B17F-4171-BCC2-2BB83D8C680E}"/>
    <cellStyle name="Dark #" xfId="51" xr:uid="{A5BC4549-56D6-8844-A0F2-72DF1055D5DA}"/>
    <cellStyle name="Dark $$" xfId="54" xr:uid="{601E4267-3979-6447-AC21-EC5A19F93EEC}"/>
    <cellStyle name="Dark Date" xfId="52" xr:uid="{E166CE30-FFC9-2E41-A505-7C28B00315C8}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Normal" xfId="0" builtinId="0"/>
    <cellStyle name="Normal 11" xfId="50" xr:uid="{C6606BD9-FBBE-6045-A66F-25435DA75933}"/>
    <cellStyle name="Normal 2" xfId="53" xr:uid="{4326D818-9BF5-5041-80BD-E4BF5FCD6FB5}"/>
    <cellStyle name="Normal 2 2" xfId="55" xr:uid="{745240A2-3253-454C-B05B-69B967ACF64F}"/>
    <cellStyle name="Normal 3" xfId="56" xr:uid="{496D9EB4-428C-4533-AC5D-1C2950F7D1E0}"/>
    <cellStyle name="Normal_PrescottLakes 3" xfId="61" xr:uid="{356F9FB4-14CC-4260-B876-0F37B5D4AD75}"/>
    <cellStyle name="Normal_Project Overview Run #1" xfId="3" xr:uid="{00000000-0005-0000-0000-00002E000000}"/>
    <cellStyle name="Normal_rtgmodel" xfId="4" xr:uid="{00000000-0005-0000-0000-00002F000000}"/>
    <cellStyle name="Percent" xfId="5" builtinId="5"/>
    <cellStyle name="Percent 2" xfId="60" xr:uid="{8813D1E1-5CF4-4218-A3CA-7AFBFA1F3108}"/>
  </cellStyles>
  <dxfs count="21"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84" formatCode="\ _(#,##0_);[Red]_(\(#,##0\);_(\ \ \ \ &quot;-&quot;??_);_(@_)"/>
    </dxf>
  </dxfs>
  <tableStyles count="0" defaultTableStyle="TableStyleMedium9" defaultPivotStyle="PivotStyleMedium4"/>
  <colors>
    <mruColors>
      <color rgb="FFB2B2B2"/>
      <color rgb="FF454655"/>
      <color rgb="FF56586A"/>
      <color rgb="FF2E2E36"/>
      <color rgb="FFFFFFCC"/>
      <color rgb="FF40434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0</xdr:col>
      <xdr:colOff>0</xdr:colOff>
      <xdr:row>20</xdr:row>
      <xdr:rowOff>0</xdr:rowOff>
    </xdr:to>
    <xdr:sp macro="" textlink="">
      <xdr:nvSpPr>
        <xdr:cNvPr id="20481" name="AutoShape 1">
          <a:extLst>
            <a:ext uri="{FF2B5EF4-FFF2-40B4-BE49-F238E27FC236}">
              <a16:creationId xmlns:a16="http://schemas.microsoft.com/office/drawing/2014/main" id="{00000000-0008-0000-0700-000001500000}"/>
            </a:ext>
          </a:extLst>
        </xdr:cNvPr>
        <xdr:cNvSpPr>
          <a:spLocks/>
        </xdr:cNvSpPr>
      </xdr:nvSpPr>
      <xdr:spPr bwMode="auto">
        <a:xfrm>
          <a:off x="0" y="4635500"/>
          <a:ext cx="0" cy="0"/>
        </a:xfrm>
        <a:prstGeom prst="leftBracket">
          <a:avLst>
            <a:gd name="adj" fmla="val -2147483648"/>
          </a:avLst>
        </a:prstGeom>
        <a:noFill/>
        <a:ln>
          <a:noFill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A1" mc:Ignorable="a14" a14:legacySpreadsheetColorIndex="80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="" xmlns:a14="http://schemas.microsoft.com/office/drawing/2010/main" val="1"/>
          </a:ext>
        </a:extLst>
      </xdr:spPr>
      <xdr:txBody>
        <a:bodyPr rtlCol="0"/>
        <a:lstStyle/>
        <a:p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egg Wolin" refreshedDate="43808.361926736114" createdVersion="6" refreshedVersion="6" minRefreshableVersion="3" recordCount="37" xr:uid="{825AE229-5673-4B78-99B7-699048B0058C}">
  <cacheSource type="worksheet">
    <worksheetSource ref="R12:W49" sheet="R_Onedeal"/>
  </cacheSource>
  <cacheFields count="8">
    <cacheField name="Date" numFmtId="183">
      <sharedItems containsSemiMixedTypes="0" containsNonDate="0" containsDate="1" containsString="0" minDate="2019-10-31T00:00:00" maxDate="2022-11-01T00:00:00" count="37"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</sharedItems>
      <fieldGroup par="7" base="0">
        <rangePr groupBy="months" startDate="2019-10-31T00:00:00" endDate="2022-11-01T00:00:00"/>
        <groupItems count="14">
          <s v="&lt;10/3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2"/>
        </groupItems>
      </fieldGroup>
    </cacheField>
    <cacheField name="Imprvmt" numFmtId="184">
      <sharedItems containsSemiMixedTypes="0" containsString="0" containsNumber="1" containsInteger="1" minValue="-5000000" maxValue="0" count="4">
        <n v="-5000000"/>
        <n v="0"/>
        <n v="-500000"/>
        <n v="-950000"/>
      </sharedItems>
    </cacheField>
    <cacheField name="Deposit" numFmtId="184">
      <sharedItems containsSemiMixedTypes="0" containsString="0" containsNumber="1" minValue="0" maxValue="1153500" count="5">
        <n v="1153500"/>
        <n v="0"/>
        <n v="5767.5"/>
        <n v="114773.25"/>
        <n v="229546.5"/>
      </sharedItems>
    </cacheField>
    <cacheField name="Lots" numFmtId="184">
      <sharedItems containsSemiMixedTypes="0" containsString="0" containsNumber="1" containsInteger="1" minValue="0" maxValue="10" count="3">
        <n v="0"/>
        <n v="10"/>
        <n v="5"/>
      </sharedItems>
    </cacheField>
    <cacheField name="Revenue" numFmtId="184">
      <sharedItems containsSemiMixedTypes="0" containsString="0" containsNumber="1" minValue="0" maxValue="1153500" count="6">
        <n v="0"/>
        <n v="1153500"/>
        <n v="576750"/>
        <n v="570982.5"/>
        <n v="461976.75"/>
        <n v="923953.5"/>
      </sharedItems>
    </cacheField>
    <cacheField name="Cash Flow" numFmtId="184">
      <sharedItems containsSemiMixedTypes="0" containsString="0" containsNumber="1" minValue="-3846500" maxValue="923953.5" count="10">
        <n v="-3846500"/>
        <n v="0"/>
        <n v="-500000"/>
        <n v="653500"/>
        <n v="76750"/>
        <n v="-373250"/>
        <n v="576750"/>
        <n v="570982.5"/>
        <n v="461976.75"/>
        <n v="923953.5"/>
      </sharedItems>
    </cacheField>
    <cacheField name="Quarters" numFmtId="0" databaseField="0">
      <fieldGroup base="0">
        <rangePr groupBy="quarters" startDate="2019-10-31T00:00:00" endDate="2022-11-01T00:00:00"/>
        <groupItems count="6">
          <s v="&lt;10/31/2019"/>
          <s v="Qtr1"/>
          <s v="Qtr2"/>
          <s v="Qtr3"/>
          <s v="Qtr4"/>
          <s v="&gt;11/1/2022"/>
        </groupItems>
      </fieldGroup>
    </cacheField>
    <cacheField name="Years" numFmtId="0" databaseField="0">
      <fieldGroup base="0">
        <rangePr groupBy="years" startDate="2019-10-31T00:00:00" endDate="2022-11-01T00:00:00"/>
        <groupItems count="6">
          <s v="&lt;10/31/2019"/>
          <s v="2019"/>
          <s v="2020"/>
          <s v="2021"/>
          <s v="2022"/>
          <s v="&gt;11/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0"/>
    <x v="0"/>
    <x v="1"/>
  </r>
  <r>
    <x v="2"/>
    <x v="1"/>
    <x v="1"/>
    <x v="0"/>
    <x v="0"/>
    <x v="1"/>
  </r>
  <r>
    <x v="3"/>
    <x v="2"/>
    <x v="1"/>
    <x v="0"/>
    <x v="0"/>
    <x v="2"/>
  </r>
  <r>
    <x v="4"/>
    <x v="2"/>
    <x v="1"/>
    <x v="0"/>
    <x v="0"/>
    <x v="2"/>
  </r>
  <r>
    <x v="5"/>
    <x v="2"/>
    <x v="1"/>
    <x v="1"/>
    <x v="1"/>
    <x v="3"/>
  </r>
  <r>
    <x v="6"/>
    <x v="2"/>
    <x v="1"/>
    <x v="0"/>
    <x v="0"/>
    <x v="2"/>
  </r>
  <r>
    <x v="7"/>
    <x v="2"/>
    <x v="1"/>
    <x v="0"/>
    <x v="0"/>
    <x v="2"/>
  </r>
  <r>
    <x v="8"/>
    <x v="2"/>
    <x v="1"/>
    <x v="0"/>
    <x v="0"/>
    <x v="2"/>
  </r>
  <r>
    <x v="9"/>
    <x v="2"/>
    <x v="1"/>
    <x v="0"/>
    <x v="0"/>
    <x v="2"/>
  </r>
  <r>
    <x v="10"/>
    <x v="2"/>
    <x v="1"/>
    <x v="0"/>
    <x v="0"/>
    <x v="2"/>
  </r>
  <r>
    <x v="11"/>
    <x v="2"/>
    <x v="1"/>
    <x v="2"/>
    <x v="2"/>
    <x v="4"/>
  </r>
  <r>
    <x v="12"/>
    <x v="3"/>
    <x v="1"/>
    <x v="2"/>
    <x v="2"/>
    <x v="5"/>
  </r>
  <r>
    <x v="13"/>
    <x v="1"/>
    <x v="1"/>
    <x v="2"/>
    <x v="2"/>
    <x v="6"/>
  </r>
  <r>
    <x v="14"/>
    <x v="1"/>
    <x v="1"/>
    <x v="2"/>
    <x v="2"/>
    <x v="6"/>
  </r>
  <r>
    <x v="15"/>
    <x v="1"/>
    <x v="1"/>
    <x v="2"/>
    <x v="2"/>
    <x v="6"/>
  </r>
  <r>
    <x v="16"/>
    <x v="1"/>
    <x v="1"/>
    <x v="2"/>
    <x v="2"/>
    <x v="6"/>
  </r>
  <r>
    <x v="17"/>
    <x v="1"/>
    <x v="1"/>
    <x v="2"/>
    <x v="2"/>
    <x v="6"/>
  </r>
  <r>
    <x v="18"/>
    <x v="1"/>
    <x v="2"/>
    <x v="2"/>
    <x v="3"/>
    <x v="7"/>
  </r>
  <r>
    <x v="19"/>
    <x v="1"/>
    <x v="3"/>
    <x v="2"/>
    <x v="4"/>
    <x v="8"/>
  </r>
  <r>
    <x v="20"/>
    <x v="1"/>
    <x v="3"/>
    <x v="2"/>
    <x v="4"/>
    <x v="8"/>
  </r>
  <r>
    <x v="21"/>
    <x v="1"/>
    <x v="3"/>
    <x v="2"/>
    <x v="4"/>
    <x v="8"/>
  </r>
  <r>
    <x v="22"/>
    <x v="1"/>
    <x v="3"/>
    <x v="2"/>
    <x v="4"/>
    <x v="8"/>
  </r>
  <r>
    <x v="23"/>
    <x v="1"/>
    <x v="3"/>
    <x v="2"/>
    <x v="4"/>
    <x v="8"/>
  </r>
  <r>
    <x v="24"/>
    <x v="1"/>
    <x v="3"/>
    <x v="2"/>
    <x v="4"/>
    <x v="8"/>
  </r>
  <r>
    <x v="25"/>
    <x v="1"/>
    <x v="3"/>
    <x v="2"/>
    <x v="4"/>
    <x v="8"/>
  </r>
  <r>
    <x v="26"/>
    <x v="1"/>
    <x v="3"/>
    <x v="2"/>
    <x v="4"/>
    <x v="8"/>
  </r>
  <r>
    <x v="27"/>
    <x v="1"/>
    <x v="4"/>
    <x v="1"/>
    <x v="5"/>
    <x v="9"/>
  </r>
  <r>
    <x v="28"/>
    <x v="1"/>
    <x v="1"/>
    <x v="0"/>
    <x v="0"/>
    <x v="1"/>
  </r>
  <r>
    <x v="29"/>
    <x v="1"/>
    <x v="1"/>
    <x v="0"/>
    <x v="0"/>
    <x v="1"/>
  </r>
  <r>
    <x v="30"/>
    <x v="1"/>
    <x v="1"/>
    <x v="0"/>
    <x v="0"/>
    <x v="1"/>
  </r>
  <r>
    <x v="31"/>
    <x v="1"/>
    <x v="1"/>
    <x v="0"/>
    <x v="0"/>
    <x v="1"/>
  </r>
  <r>
    <x v="32"/>
    <x v="1"/>
    <x v="1"/>
    <x v="0"/>
    <x v="0"/>
    <x v="1"/>
  </r>
  <r>
    <x v="33"/>
    <x v="1"/>
    <x v="1"/>
    <x v="0"/>
    <x v="0"/>
    <x v="1"/>
  </r>
  <r>
    <x v="34"/>
    <x v="1"/>
    <x v="1"/>
    <x v="0"/>
    <x v="0"/>
    <x v="1"/>
  </r>
  <r>
    <x v="35"/>
    <x v="1"/>
    <x v="1"/>
    <x v="0"/>
    <x v="0"/>
    <x v="1"/>
  </r>
  <r>
    <x v="36"/>
    <x v="1"/>
    <x v="1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59081-22A2-476A-9C8C-186A625995F5}" name="PivotTable2" cacheId="1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S15:AW23" firstHeaderRow="1" firstDataRow="4" firstDataCol="1"/>
  <pivotFields count="8">
    <pivotField axis="axisCol" numFmtId="183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numFmtId="184" showAll="0" insertBlankRow="1" defaultSubtotal="0">
      <items count="4">
        <item x="0"/>
        <item x="3"/>
        <item x="2"/>
        <item x="1"/>
      </items>
    </pivotField>
    <pivotField dataField="1" numFmtId="184" showAll="0" insertBlankRow="1" defaultSubtotal="0">
      <items count="5">
        <item x="1"/>
        <item x="2"/>
        <item x="3"/>
        <item x="4"/>
        <item x="0"/>
      </items>
    </pivotField>
    <pivotField dataField="1" numFmtId="184" showAll="0" insertBlankRow="1" defaultSubtotal="0">
      <items count="3">
        <item x="0"/>
        <item x="2"/>
        <item x="1"/>
      </items>
    </pivotField>
    <pivotField dataField="1" numFmtId="184" showAll="0" insertBlankRow="1" defaultSubtotal="0">
      <items count="6">
        <item x="0"/>
        <item x="4"/>
        <item x="3"/>
        <item x="2"/>
        <item x="5"/>
        <item x="1"/>
      </items>
    </pivotField>
    <pivotField dataField="1" numFmtId="184" showAll="0" insertBlankRow="1" defaultSubtotal="0">
      <items count="10">
        <item x="0"/>
        <item x="2"/>
        <item x="5"/>
        <item x="1"/>
        <item x="4"/>
        <item x="8"/>
        <item x="7"/>
        <item x="6"/>
        <item x="3"/>
        <item x="9"/>
      </items>
    </pivotField>
    <pivotField axis="axisCol" showAll="0" insertBlankRow="1" defaultSubtotal="0">
      <items count="6">
        <item sd="0" x="0"/>
        <item x="1"/>
        <item sd="0" x="2"/>
        <item sd="0" x="3"/>
        <item sd="0" x="4"/>
        <item sd="0" x="5"/>
      </items>
    </pivotField>
    <pivotField axis="axisCol" showAll="0" insertBlankRow="1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3">
    <field x="7"/>
    <field x="6"/>
    <field x="0"/>
  </colFields>
  <colItems count="4">
    <i>
      <x v="1"/>
    </i>
    <i>
      <x v="2"/>
    </i>
    <i>
      <x v="3"/>
    </i>
    <i>
      <x v="4"/>
    </i>
  </colItems>
  <dataFields count="5">
    <dataField name="Project Costs" fld="1" baseField="0" baseItem="0"/>
    <dataField name="Option Deposits" fld="2" baseField="0" baseItem="0"/>
    <dataField name="Lots Sold" fld="3" baseField="0" baseItem="0"/>
    <dataField name="Option Revenue" fld="4" baseField="0" baseItem="0"/>
    <dataField name="Project Cash Flow" fld="5" baseField="0" baseItem="0"/>
  </dataFields>
  <formats count="21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field="7" type="button" dataOnly="0" labelOnly="1" outline="0" axis="axisCol" fieldPosition="0"/>
    </format>
    <format dxfId="17">
      <pivotArea field="6" type="button" dataOnly="0" labelOnly="1" outline="0" axis="axisCol" fieldPosition="1"/>
    </format>
    <format dxfId="16">
      <pivotArea field="0" type="button" dataOnly="0" labelOnly="1" outline="0" axis="axisCol" fieldPosition="2"/>
    </format>
    <format dxfId="15">
      <pivotArea type="topRight" dataOnly="0" labelOnly="1" outline="0" fieldPosition="0"/>
    </format>
    <format dxfId="14">
      <pivotArea dataOnly="0" labelOnly="1" fieldPosition="0">
        <references count="1">
          <reference field="7" count="4">
            <x v="1"/>
            <x v="2"/>
            <x v="3"/>
            <x v="4"/>
          </reference>
        </references>
      </pivotArea>
    </format>
    <format dxfId="13">
      <pivotArea dataOnly="0" labelOnly="1" fieldPosition="0">
        <references count="1">
          <reference field="7" count="4" defaultSubtotal="1">
            <x v="1"/>
            <x v="2"/>
            <x v="3"/>
            <x v="4"/>
          </reference>
        </references>
      </pivotArea>
    </format>
    <format dxfId="12">
      <pivotArea dataOnly="0" labelOnly="1" grandCol="1" outline="0" fieldPosition="0"/>
    </format>
    <format dxfId="11">
      <pivotArea dataOnly="0" labelOnly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10">
      <pivotArea dataOnly="0" labelOnly="1" fieldPosition="0">
        <references count="2">
          <reference field="6" count="1" defaultSubtotal="1">
            <x v="4"/>
          </reference>
          <reference field="7" count="1" selected="0">
            <x v="1"/>
          </reference>
        </references>
      </pivotArea>
    </format>
    <format dxfId="9">
      <pivotArea dataOnly="0" labelOnly="1" fieldPosition="0">
        <references count="2">
          <reference field="6" count="4">
            <x v="1"/>
            <x v="2"/>
            <x v="3"/>
            <x v="4"/>
          </reference>
          <reference field="7" count="1" selected="0">
            <x v="2"/>
          </reference>
        </references>
      </pivotArea>
    </format>
    <format dxfId="8">
      <pivotArea dataOnly="0" labelOnly="1" fieldPosition="0">
        <references count="2">
          <reference field="6" count="1" defaultSubtotal="1">
            <x v="4"/>
          </reference>
          <reference field="7" count="1" selected="0">
            <x v="2"/>
          </reference>
        </references>
      </pivotArea>
    </format>
    <format dxfId="7">
      <pivotArea dataOnly="0" labelOnly="1" fieldPosition="0">
        <references count="2">
          <reference field="6" count="4">
            <x v="1"/>
            <x v="2"/>
            <x v="3"/>
            <x v="4"/>
          </reference>
          <reference field="7" count="1" selected="0">
            <x v="3"/>
          </reference>
        </references>
      </pivotArea>
    </format>
    <format dxfId="6">
      <pivotArea dataOnly="0" labelOnly="1" fieldPosition="0">
        <references count="2">
          <reference field="6" count="1" defaultSubtotal="1">
            <x v="4"/>
          </reference>
          <reference field="7" count="1" selected="0">
            <x v="3"/>
          </reference>
        </references>
      </pivotArea>
    </format>
    <format dxfId="5">
      <pivotArea dataOnly="0" labelOnly="1" fieldPosition="0">
        <references count="2">
          <reference field="6" count="4">
            <x v="1"/>
            <x v="2"/>
            <x v="3"/>
            <x v="4"/>
          </reference>
          <reference field="7" count="1" selected="0">
            <x v="4"/>
          </reference>
        </references>
      </pivotArea>
    </format>
    <format dxfId="4">
      <pivotArea dataOnly="0" labelOnly="1" fieldPosition="0">
        <references count="2">
          <reference field="6" count="1" defaultSubtotal="1">
            <x v="4"/>
          </reference>
          <reference field="7" count="1" selected="0">
            <x v="4"/>
          </reference>
        </references>
      </pivotArea>
    </format>
    <format dxfId="3">
      <pivotArea dataOnly="0" labelOnly="1" fieldPosition="0">
        <references count="3">
          <reference field="0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2">
      <pivotArea dataOnly="0" labelOnly="1" fieldPosition="0">
        <references count="3">
          <reference field="0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2"/>
          </reference>
        </references>
      </pivotArea>
    </format>
    <format dxfId="1">
      <pivotArea dataOnly="0" labelOnly="1" fieldPosition="0">
        <references count="3">
          <reference field="0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3"/>
          </reference>
        </references>
      </pivotArea>
    </format>
    <format dxfId="0">
      <pivotArea dataOnly="0" labelOnly="1" fieldPosition="0">
        <references count="3">
          <reference field="0" count="1">
            <x v="10"/>
          </reference>
          <reference field="6" count="1" selected="0">
            <x v="4"/>
          </reference>
          <reference field="7" count="1" selected="0">
            <x v="4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1" tint="4.9989318521683403E-2"/>
  </sheetPr>
  <dimension ref="A1:V228"/>
  <sheetViews>
    <sheetView tabSelected="1" topLeftCell="A34" zoomScale="89" zoomScaleNormal="89" zoomScalePageLayoutView="95" workbookViewId="0">
      <selection activeCell="E18" sqref="E18"/>
    </sheetView>
  </sheetViews>
  <sheetFormatPr baseColWidth="10" defaultColWidth="8.83203125" defaultRowHeight="13" outlineLevelRow="1"/>
  <cols>
    <col min="1" max="1" width="12.5" customWidth="1"/>
    <col min="2" max="2" width="4.1640625" style="408" customWidth="1"/>
    <col min="3" max="3" width="2.1640625" customWidth="1"/>
    <col min="4" max="4" width="28.33203125" customWidth="1"/>
    <col min="5" max="5" width="14.5" bestFit="1" customWidth="1"/>
    <col min="6" max="6" width="11.83203125" customWidth="1"/>
    <col min="7" max="7" width="18.5" customWidth="1"/>
    <col min="8" max="9" width="2.6640625" customWidth="1"/>
    <col min="10" max="10" width="16.5" customWidth="1"/>
    <col min="11" max="11" width="8.83203125" customWidth="1"/>
    <col min="12" max="12" width="14.6640625" customWidth="1"/>
    <col min="13" max="22" width="18.33203125" customWidth="1"/>
  </cols>
  <sheetData>
    <row r="1" spans="1:22">
      <c r="A1" s="340"/>
      <c r="B1" s="406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</row>
    <row r="2" spans="1:22" ht="14" customHeight="1">
      <c r="A2" s="340"/>
      <c r="B2" s="406"/>
      <c r="C2" s="1" t="s">
        <v>468</v>
      </c>
      <c r="D2" s="1"/>
      <c r="E2" s="343"/>
      <c r="F2" s="343"/>
      <c r="G2" s="343"/>
      <c r="H2" s="351"/>
      <c r="I2" s="340"/>
      <c r="J2" s="340"/>
      <c r="K2" s="340"/>
      <c r="L2" s="340"/>
    </row>
    <row r="3" spans="1:22" ht="15" customHeight="1" thickBot="1">
      <c r="A3" s="340"/>
      <c r="B3" s="406"/>
      <c r="C3" s="590"/>
      <c r="D3" s="590"/>
      <c r="E3" s="342"/>
      <c r="F3" s="342"/>
      <c r="G3" s="342"/>
      <c r="H3" s="352"/>
      <c r="I3" s="340"/>
      <c r="J3" s="340"/>
      <c r="K3" s="355"/>
      <c r="L3" s="355"/>
      <c r="M3" s="6"/>
      <c r="N3" s="6"/>
      <c r="O3" s="6"/>
      <c r="P3" s="6"/>
      <c r="Q3" s="6"/>
      <c r="R3" s="6"/>
      <c r="S3" s="6"/>
      <c r="T3" s="6"/>
      <c r="U3" s="6"/>
      <c r="V3" s="6"/>
    </row>
    <row r="4" spans="1:22" ht="6" customHeight="1" thickTop="1" thickBot="1">
      <c r="A4" s="340"/>
      <c r="B4" s="406"/>
      <c r="C4" s="344"/>
      <c r="D4" s="344"/>
      <c r="E4" s="344"/>
      <c r="F4" s="344"/>
      <c r="G4" s="344"/>
      <c r="H4" s="344"/>
      <c r="I4" s="340"/>
      <c r="J4" s="340"/>
      <c r="K4" s="355"/>
      <c r="L4" s="355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s="165" customFormat="1" ht="16" thickTop="1" thickBot="1">
      <c r="A5" s="348"/>
      <c r="B5" s="406"/>
      <c r="C5" s="344"/>
      <c r="D5" s="390" t="s">
        <v>474</v>
      </c>
      <c r="E5" s="341" t="s">
        <v>498</v>
      </c>
      <c r="F5" s="402"/>
      <c r="G5" s="402"/>
      <c r="H5" s="353"/>
      <c r="I5" s="340"/>
      <c r="J5" s="354" t="s">
        <v>347</v>
      </c>
      <c r="K5" s="355"/>
      <c r="L5" s="355"/>
      <c r="M5" s="163"/>
      <c r="N5" s="163"/>
      <c r="O5" s="163"/>
      <c r="P5" s="163"/>
      <c r="Q5" s="163"/>
      <c r="R5" s="163"/>
      <c r="S5" s="163"/>
      <c r="T5" s="163"/>
      <c r="U5" s="163"/>
      <c r="V5" s="163"/>
    </row>
    <row r="6" spans="1:22" s="165" customFormat="1" ht="16" thickTop="1" thickBot="1">
      <c r="A6" s="348"/>
      <c r="B6" s="406"/>
      <c r="C6" s="344"/>
      <c r="D6" s="390" t="s">
        <v>345</v>
      </c>
      <c r="E6" s="341" t="s">
        <v>475</v>
      </c>
      <c r="F6" s="402"/>
      <c r="G6" s="402"/>
      <c r="H6" s="353"/>
      <c r="I6" s="340"/>
      <c r="J6" s="354" t="s">
        <v>346</v>
      </c>
      <c r="K6" s="355"/>
      <c r="L6" s="355"/>
      <c r="M6" s="163"/>
      <c r="N6" s="163"/>
      <c r="O6" s="163"/>
      <c r="P6" s="163"/>
      <c r="Q6" s="163"/>
      <c r="R6" s="163"/>
      <c r="S6" s="163"/>
      <c r="T6" s="163"/>
      <c r="U6" s="163"/>
      <c r="V6" s="163"/>
    </row>
    <row r="7" spans="1:22" s="376" customFormat="1" ht="17" thickTop="1" thickBot="1">
      <c r="A7" s="372"/>
      <c r="B7" s="407"/>
      <c r="C7" s="366" t="s">
        <v>469</v>
      </c>
      <c r="D7" s="366"/>
      <c r="E7" s="349"/>
      <c r="F7" s="403"/>
      <c r="G7" s="403"/>
      <c r="H7" s="367"/>
      <c r="I7" s="365"/>
      <c r="J7" s="371" t="s">
        <v>339</v>
      </c>
      <c r="K7" s="374"/>
      <c r="L7" s="374"/>
      <c r="M7" s="375"/>
      <c r="N7" s="375"/>
      <c r="O7" s="375"/>
      <c r="P7" s="375"/>
      <c r="Q7" s="375"/>
      <c r="R7" s="375"/>
      <c r="S7" s="375"/>
      <c r="T7" s="375"/>
      <c r="U7" s="375"/>
      <c r="V7" s="375"/>
    </row>
    <row r="8" spans="1:22" ht="16" thickTop="1" thickBot="1">
      <c r="A8" s="340"/>
      <c r="B8" s="406"/>
      <c r="C8" s="344"/>
      <c r="D8" s="391" t="s">
        <v>266</v>
      </c>
      <c r="E8" s="378">
        <v>5000000</v>
      </c>
      <c r="F8" s="361"/>
      <c r="G8" s="361"/>
      <c r="H8" s="353"/>
      <c r="I8" s="340"/>
      <c r="J8" s="354" t="s">
        <v>267</v>
      </c>
      <c r="K8" s="356"/>
      <c r="L8" s="355">
        <f ca="1">L11+L12+i_othercosts+i_seniorintreserve</f>
        <v>10172657.738137437</v>
      </c>
      <c r="M8" s="168"/>
      <c r="N8" s="168"/>
      <c r="O8" s="168"/>
      <c r="P8" s="168"/>
      <c r="Q8" s="168"/>
      <c r="R8" s="168"/>
      <c r="S8" s="168"/>
      <c r="T8" s="168"/>
      <c r="U8" s="168"/>
      <c r="V8" s="168"/>
    </row>
    <row r="9" spans="1:22" ht="16" thickTop="1" thickBot="1">
      <c r="A9" s="340"/>
      <c r="B9" s="406"/>
      <c r="C9" s="344"/>
      <c r="D9" s="391" t="s">
        <v>265</v>
      </c>
      <c r="E9" s="345">
        <v>100</v>
      </c>
      <c r="F9" s="402">
        <f>i_landcost/i_lotstotal</f>
        <v>50000</v>
      </c>
      <c r="G9" s="361"/>
      <c r="H9" s="353"/>
      <c r="I9" s="340"/>
      <c r="J9" s="354" t="s">
        <v>332</v>
      </c>
      <c r="K9" s="356"/>
      <c r="L9" s="355"/>
      <c r="M9" s="166"/>
      <c r="N9" s="166"/>
      <c r="O9" s="166"/>
      <c r="P9" s="166"/>
      <c r="Q9" s="166"/>
      <c r="R9" s="166"/>
      <c r="S9" s="166"/>
      <c r="T9" s="166"/>
      <c r="U9" s="166"/>
      <c r="V9" s="166"/>
    </row>
    <row r="10" spans="1:22" ht="16" thickTop="1" thickBot="1">
      <c r="A10" s="340"/>
      <c r="B10" s="406"/>
      <c r="C10" s="344"/>
      <c r="D10" s="391" t="s">
        <v>196</v>
      </c>
      <c r="E10" s="378">
        <v>50000</v>
      </c>
      <c r="F10" s="402">
        <f>i_lotimprovecost</f>
        <v>50000</v>
      </c>
      <c r="G10" s="361"/>
      <c r="H10" s="353"/>
      <c r="I10" s="340"/>
      <c r="J10" s="354" t="s">
        <v>271</v>
      </c>
      <c r="K10" s="356"/>
      <c r="L10" s="355">
        <f>i_lotimprovecost*i_lotstotal</f>
        <v>5000000</v>
      </c>
      <c r="M10" s="168"/>
      <c r="N10" s="168"/>
      <c r="O10" s="168"/>
      <c r="P10" s="168"/>
      <c r="Q10" s="168"/>
      <c r="R10" s="168"/>
      <c r="S10" s="168"/>
      <c r="T10" s="168"/>
      <c r="U10" s="168"/>
      <c r="V10" s="168"/>
    </row>
    <row r="11" spans="1:22" ht="16" thickTop="1" thickBot="1">
      <c r="A11" s="340"/>
      <c r="B11" s="406"/>
      <c r="C11" s="344"/>
      <c r="D11" s="391" t="s">
        <v>268</v>
      </c>
      <c r="E11" s="378">
        <v>115350</v>
      </c>
      <c r="F11" s="522">
        <f>M_Onedeal!R2</f>
        <v>0.10483495869491133</v>
      </c>
      <c r="G11" s="521">
        <f>M_Onedeal!R5</f>
        <v>0.1100218239962778</v>
      </c>
      <c r="H11" s="353"/>
      <c r="I11" s="340"/>
      <c r="J11" s="354" t="s">
        <v>272</v>
      </c>
      <c r="K11" s="356"/>
      <c r="L11" s="355">
        <f>L10+i_landcost</f>
        <v>10000000</v>
      </c>
      <c r="M11" s="168"/>
      <c r="N11" s="168"/>
      <c r="O11" s="168"/>
      <c r="P11" s="168"/>
      <c r="Q11" s="168"/>
      <c r="R11" s="168"/>
      <c r="S11" s="168"/>
      <c r="T11" s="168"/>
      <c r="U11" s="168"/>
      <c r="V11" s="168"/>
    </row>
    <row r="12" spans="1:22" ht="16" thickTop="1" thickBot="1">
      <c r="A12" s="340"/>
      <c r="B12" s="406"/>
      <c r="C12" s="344"/>
      <c r="D12" s="391" t="s">
        <v>269</v>
      </c>
      <c r="E12" s="347">
        <v>0.1</v>
      </c>
      <c r="F12" s="402">
        <f>i_lotsalesprice*i_lotstotal*i_optionpct</f>
        <v>1153500</v>
      </c>
      <c r="G12" s="361"/>
      <c r="H12" s="353"/>
      <c r="I12" s="340"/>
      <c r="J12" s="354" t="s">
        <v>74</v>
      </c>
      <c r="K12" s="356"/>
      <c r="L12" s="355">
        <f>L11*i_seniorpct*i_seniorfee</f>
        <v>0</v>
      </c>
      <c r="M12" s="169"/>
      <c r="N12" s="169"/>
      <c r="O12" s="169"/>
      <c r="P12" s="169"/>
      <c r="Q12" s="169"/>
      <c r="R12" s="169"/>
      <c r="S12" s="169"/>
      <c r="T12" s="169"/>
      <c r="U12" s="169"/>
      <c r="V12" s="169"/>
    </row>
    <row r="13" spans="1:22" ht="16" thickTop="1" thickBot="1">
      <c r="A13" s="340"/>
      <c r="B13" s="406"/>
      <c r="C13" s="344"/>
      <c r="D13" s="391" t="s">
        <v>270</v>
      </c>
      <c r="E13" s="510">
        <v>0.19900000000000001</v>
      </c>
      <c r="F13" s="402" t="s">
        <v>476</v>
      </c>
      <c r="G13" s="361"/>
      <c r="H13" s="353"/>
      <c r="I13" s="340"/>
      <c r="J13" s="354" t="s">
        <v>405</v>
      </c>
      <c r="K13" s="356">
        <f>M_Onedeal!R5</f>
        <v>0.1100218239962778</v>
      </c>
      <c r="L13" s="355"/>
      <c r="M13" s="169"/>
      <c r="N13" s="169"/>
      <c r="O13" s="169"/>
      <c r="P13" s="169"/>
      <c r="Q13" s="169"/>
      <c r="R13" s="169"/>
      <c r="S13" s="169"/>
      <c r="T13" s="169"/>
      <c r="U13" s="169"/>
      <c r="V13" s="169"/>
    </row>
    <row r="14" spans="1:22" ht="16" thickTop="1" thickBot="1">
      <c r="A14" s="340"/>
      <c r="B14" s="406"/>
      <c r="C14" s="344"/>
      <c r="D14" s="391" t="s">
        <v>417</v>
      </c>
      <c r="E14" s="378">
        <v>0</v>
      </c>
      <c r="F14" s="361"/>
      <c r="G14" s="361"/>
      <c r="H14" s="353"/>
      <c r="I14" s="340"/>
      <c r="J14" s="354" t="s">
        <v>198</v>
      </c>
      <c r="K14" s="356"/>
      <c r="L14" s="355"/>
      <c r="M14" s="168"/>
      <c r="N14" s="168"/>
      <c r="O14" s="168"/>
      <c r="P14" s="168"/>
      <c r="Q14" s="168"/>
      <c r="R14" s="168"/>
      <c r="S14" s="168"/>
      <c r="T14" s="168"/>
      <c r="U14" s="168"/>
      <c r="V14" s="168"/>
    </row>
    <row r="15" spans="1:22" ht="16" thickTop="1" thickBot="1">
      <c r="A15" s="340"/>
      <c r="B15" s="406"/>
      <c r="C15" s="344"/>
      <c r="D15" s="391" t="s">
        <v>418</v>
      </c>
      <c r="E15" s="378">
        <v>0</v>
      </c>
      <c r="F15" s="361"/>
      <c r="G15" s="361"/>
      <c r="H15" s="353"/>
      <c r="I15" s="340"/>
      <c r="J15" s="354" t="s">
        <v>74</v>
      </c>
      <c r="K15" s="356"/>
      <c r="L15" s="355"/>
      <c r="M15" s="169"/>
      <c r="N15" s="169"/>
      <c r="O15" s="169"/>
      <c r="P15" s="169"/>
      <c r="Q15" s="169"/>
      <c r="R15" s="169"/>
      <c r="S15" s="169"/>
      <c r="T15" s="169"/>
      <c r="U15" s="169"/>
      <c r="V15" s="169"/>
    </row>
    <row r="16" spans="1:22" s="376" customFormat="1" ht="17" thickTop="1" thickBot="1">
      <c r="A16" s="372"/>
      <c r="B16" s="407"/>
      <c r="C16" s="366" t="s">
        <v>470</v>
      </c>
      <c r="D16" s="366"/>
      <c r="E16" s="349"/>
      <c r="F16" s="349"/>
      <c r="G16" s="349"/>
      <c r="H16" s="367"/>
      <c r="I16" s="365"/>
      <c r="J16" s="371" t="s">
        <v>339</v>
      </c>
      <c r="K16" s="373"/>
      <c r="L16" s="374"/>
      <c r="M16" s="375"/>
      <c r="N16" s="375"/>
      <c r="O16" s="375"/>
      <c r="P16" s="375"/>
      <c r="Q16" s="375"/>
      <c r="R16" s="375"/>
      <c r="S16" s="375"/>
      <c r="T16" s="375"/>
      <c r="U16" s="375"/>
      <c r="V16" s="375"/>
    </row>
    <row r="17" spans="1:22" ht="16" thickTop="1" thickBot="1">
      <c r="A17" s="340"/>
      <c r="B17" s="406"/>
      <c r="C17" s="377" t="s">
        <v>199</v>
      </c>
      <c r="D17" s="377" t="s">
        <v>199</v>
      </c>
      <c r="E17" s="347">
        <v>0</v>
      </c>
      <c r="F17" s="400"/>
      <c r="G17" s="401"/>
      <c r="H17" s="353"/>
      <c r="I17" s="340"/>
      <c r="J17" s="354" t="s">
        <v>219</v>
      </c>
      <c r="K17" s="356"/>
      <c r="L17" s="355">
        <f t="shared" ref="L17:L34" si="0">E17*i_lotimprovecost*i_lotstotal</f>
        <v>0</v>
      </c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6" thickTop="1" thickBot="1">
      <c r="A18" s="340"/>
      <c r="B18" s="406"/>
      <c r="C18" s="377" t="s">
        <v>200</v>
      </c>
      <c r="D18" s="377" t="s">
        <v>200</v>
      </c>
      <c r="E18" s="347">
        <v>0</v>
      </c>
      <c r="F18" s="400"/>
      <c r="G18" s="401"/>
      <c r="H18" s="353"/>
      <c r="I18" s="340"/>
      <c r="J18" s="354" t="s">
        <v>219</v>
      </c>
      <c r="K18" s="355"/>
      <c r="L18" s="355">
        <f t="shared" si="0"/>
        <v>0</v>
      </c>
      <c r="M18" s="170"/>
      <c r="N18" s="170"/>
      <c r="O18" s="170"/>
      <c r="P18" s="170"/>
      <c r="Q18" s="170"/>
      <c r="R18" s="170"/>
      <c r="S18" s="170"/>
      <c r="T18" s="170"/>
      <c r="U18" s="170"/>
      <c r="V18" s="170"/>
    </row>
    <row r="19" spans="1:22" ht="16" thickTop="1" thickBot="1">
      <c r="A19" s="340"/>
      <c r="B19" s="406"/>
      <c r="C19" s="377" t="s">
        <v>201</v>
      </c>
      <c r="D19" s="377" t="s">
        <v>201</v>
      </c>
      <c r="E19" s="347">
        <v>0.1</v>
      </c>
      <c r="F19" s="400"/>
      <c r="G19" s="401"/>
      <c r="H19" s="353"/>
      <c r="I19" s="340"/>
      <c r="J19" s="354" t="s">
        <v>219</v>
      </c>
      <c r="K19" s="355"/>
      <c r="L19" s="355">
        <f t="shared" si="0"/>
        <v>500000</v>
      </c>
      <c r="M19" s="170"/>
      <c r="N19" s="170"/>
      <c r="O19" s="170"/>
      <c r="P19" s="170"/>
      <c r="Q19" s="170"/>
      <c r="R19" s="170"/>
      <c r="S19" s="170"/>
      <c r="T19" s="170"/>
      <c r="U19" s="170"/>
      <c r="V19" s="170"/>
    </row>
    <row r="20" spans="1:22" ht="16" thickTop="1" thickBot="1">
      <c r="A20" s="340"/>
      <c r="B20" s="406"/>
      <c r="C20" s="377" t="s">
        <v>202</v>
      </c>
      <c r="D20" s="377" t="s">
        <v>202</v>
      </c>
      <c r="E20" s="347">
        <v>0.1</v>
      </c>
      <c r="F20" s="400"/>
      <c r="G20" s="401"/>
      <c r="H20" s="353"/>
      <c r="I20" s="340"/>
      <c r="J20" s="354" t="s">
        <v>219</v>
      </c>
      <c r="K20" s="355"/>
      <c r="L20" s="355">
        <f t="shared" si="0"/>
        <v>500000</v>
      </c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6" thickTop="1" thickBot="1">
      <c r="A21" s="340"/>
      <c r="B21" s="406"/>
      <c r="C21" s="377" t="s">
        <v>203</v>
      </c>
      <c r="D21" s="377" t="s">
        <v>203</v>
      </c>
      <c r="E21" s="347">
        <v>0.1</v>
      </c>
      <c r="F21" s="400"/>
      <c r="G21" s="401"/>
      <c r="H21" s="353"/>
      <c r="I21" s="340"/>
      <c r="J21" s="354" t="s">
        <v>219</v>
      </c>
      <c r="K21" s="355"/>
      <c r="L21" s="355">
        <f t="shared" si="0"/>
        <v>500000</v>
      </c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6" thickTop="1" thickBot="1">
      <c r="A22" s="340"/>
      <c r="B22" s="406"/>
      <c r="C22" s="377" t="s">
        <v>204</v>
      </c>
      <c r="D22" s="377" t="s">
        <v>204</v>
      </c>
      <c r="E22" s="347">
        <v>0.1</v>
      </c>
      <c r="F22" s="400"/>
      <c r="G22" s="401"/>
      <c r="H22" s="353"/>
      <c r="I22" s="340"/>
      <c r="J22" s="354" t="s">
        <v>219</v>
      </c>
      <c r="K22" s="355"/>
      <c r="L22" s="355">
        <f t="shared" si="0"/>
        <v>500000</v>
      </c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ht="16" thickTop="1" thickBot="1">
      <c r="A23" s="340"/>
      <c r="B23" s="406"/>
      <c r="C23" s="377" t="s">
        <v>82</v>
      </c>
      <c r="D23" s="377" t="s">
        <v>82</v>
      </c>
      <c r="E23" s="347">
        <v>0.1</v>
      </c>
      <c r="F23" s="400"/>
      <c r="G23" s="401"/>
      <c r="H23" s="353"/>
      <c r="I23" s="340"/>
      <c r="J23" s="354" t="s">
        <v>219</v>
      </c>
      <c r="K23" s="355"/>
      <c r="L23" s="355">
        <f t="shared" si="0"/>
        <v>500000</v>
      </c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6" thickTop="1" thickBot="1">
      <c r="A24" s="340"/>
      <c r="B24" s="406"/>
      <c r="C24" s="377" t="s">
        <v>83</v>
      </c>
      <c r="D24" s="377" t="s">
        <v>83</v>
      </c>
      <c r="E24" s="347">
        <v>0.1</v>
      </c>
      <c r="F24" s="400"/>
      <c r="G24" s="401"/>
      <c r="H24" s="353"/>
      <c r="I24" s="340"/>
      <c r="J24" s="354" t="s">
        <v>219</v>
      </c>
      <c r="K24" s="355"/>
      <c r="L24" s="355">
        <f t="shared" si="0"/>
        <v>500000</v>
      </c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ht="16" thickTop="1" thickBot="1">
      <c r="A25" s="340"/>
      <c r="B25" s="406"/>
      <c r="C25" s="377" t="s">
        <v>84</v>
      </c>
      <c r="D25" s="377" t="s">
        <v>84</v>
      </c>
      <c r="E25" s="347">
        <v>0.1</v>
      </c>
      <c r="F25" s="400"/>
      <c r="G25" s="401"/>
      <c r="H25" s="353"/>
      <c r="I25" s="340"/>
      <c r="J25" s="354" t="s">
        <v>219</v>
      </c>
      <c r="K25" s="355"/>
      <c r="L25" s="355">
        <f t="shared" si="0"/>
        <v>500000</v>
      </c>
      <c r="M25" s="170"/>
      <c r="N25" s="170"/>
      <c r="O25" s="170"/>
      <c r="P25" s="170"/>
      <c r="Q25" s="170"/>
      <c r="R25" s="170"/>
      <c r="S25" s="170"/>
      <c r="T25" s="170"/>
      <c r="U25" s="170"/>
      <c r="V25" s="170"/>
    </row>
    <row r="26" spans="1:22" ht="16" thickTop="1" thickBot="1">
      <c r="A26" s="340"/>
      <c r="B26" s="406"/>
      <c r="C26" s="377" t="s">
        <v>85</v>
      </c>
      <c r="D26" s="377" t="s">
        <v>85</v>
      </c>
      <c r="E26" s="347">
        <v>0.1</v>
      </c>
      <c r="F26" s="400"/>
      <c r="G26" s="401"/>
      <c r="H26" s="353"/>
      <c r="I26" s="340"/>
      <c r="J26" s="354" t="s">
        <v>219</v>
      </c>
      <c r="K26" s="355"/>
      <c r="L26" s="355">
        <f t="shared" si="0"/>
        <v>500000</v>
      </c>
      <c r="M26" s="170"/>
      <c r="N26" s="170"/>
      <c r="O26" s="170"/>
      <c r="P26" s="170"/>
      <c r="Q26" s="170"/>
      <c r="R26" s="170"/>
      <c r="S26" s="170"/>
      <c r="T26" s="170"/>
      <c r="U26" s="170"/>
      <c r="V26" s="170"/>
    </row>
    <row r="27" spans="1:22" ht="16" thickTop="1" thickBot="1">
      <c r="A27" s="340"/>
      <c r="B27" s="406"/>
      <c r="C27" s="377" t="s">
        <v>211</v>
      </c>
      <c r="D27" s="377" t="s">
        <v>211</v>
      </c>
      <c r="E27" s="347">
        <v>0.1</v>
      </c>
      <c r="F27" s="400"/>
      <c r="G27" s="401"/>
      <c r="H27" s="353"/>
      <c r="I27" s="340"/>
      <c r="J27" s="354" t="s">
        <v>219</v>
      </c>
      <c r="K27" s="355"/>
      <c r="L27" s="355">
        <f t="shared" si="0"/>
        <v>500000</v>
      </c>
      <c r="M27" s="170"/>
      <c r="N27" s="170"/>
      <c r="O27" s="170"/>
      <c r="P27" s="170"/>
      <c r="Q27" s="170"/>
      <c r="R27" s="170"/>
      <c r="S27" s="170"/>
      <c r="T27" s="170"/>
      <c r="U27" s="170"/>
      <c r="V27" s="170"/>
    </row>
    <row r="28" spans="1:22" ht="16" thickTop="1" thickBot="1">
      <c r="A28" s="340"/>
      <c r="B28" s="406"/>
      <c r="C28" s="377" t="s">
        <v>212</v>
      </c>
      <c r="D28" s="377" t="s">
        <v>212</v>
      </c>
      <c r="E28" s="347">
        <v>0.19</v>
      </c>
      <c r="F28" s="400"/>
      <c r="G28" s="401"/>
      <c r="H28" s="353"/>
      <c r="I28" s="340"/>
      <c r="J28" s="354" t="s">
        <v>219</v>
      </c>
      <c r="K28" s="355"/>
      <c r="L28" s="355">
        <f t="shared" si="0"/>
        <v>950000</v>
      </c>
      <c r="M28" s="170"/>
      <c r="N28" s="170"/>
      <c r="O28" s="170"/>
      <c r="P28" s="170"/>
      <c r="Q28" s="170"/>
      <c r="R28" s="170"/>
      <c r="S28" s="170"/>
      <c r="T28" s="170"/>
      <c r="U28" s="170"/>
      <c r="V28" s="170"/>
    </row>
    <row r="29" spans="1:22" ht="16" thickTop="1" thickBot="1">
      <c r="A29" s="340"/>
      <c r="B29" s="406"/>
      <c r="C29" s="377" t="s">
        <v>213</v>
      </c>
      <c r="D29" s="377" t="s">
        <v>213</v>
      </c>
      <c r="E29" s="347">
        <v>0</v>
      </c>
      <c r="F29" s="400"/>
      <c r="G29" s="401"/>
      <c r="H29" s="353"/>
      <c r="I29" s="340"/>
      <c r="J29" s="354" t="s">
        <v>219</v>
      </c>
      <c r="K29" s="355"/>
      <c r="L29" s="355">
        <f t="shared" si="0"/>
        <v>0</v>
      </c>
      <c r="M29" s="170"/>
      <c r="N29" s="170"/>
      <c r="O29" s="170"/>
      <c r="P29" s="170"/>
      <c r="Q29" s="170"/>
      <c r="R29" s="170"/>
      <c r="S29" s="170"/>
      <c r="T29" s="170"/>
      <c r="U29" s="170"/>
      <c r="V29" s="170"/>
    </row>
    <row r="30" spans="1:22" ht="16" thickTop="1" thickBot="1">
      <c r="A30" s="340"/>
      <c r="B30" s="406"/>
      <c r="C30" s="377" t="s">
        <v>214</v>
      </c>
      <c r="D30" s="377" t="s">
        <v>214</v>
      </c>
      <c r="E30" s="347">
        <v>0</v>
      </c>
      <c r="F30" s="400"/>
      <c r="G30" s="401"/>
      <c r="H30" s="353"/>
      <c r="I30" s="340"/>
      <c r="J30" s="354" t="s">
        <v>219</v>
      </c>
      <c r="K30" s="355"/>
      <c r="L30" s="355">
        <f t="shared" si="0"/>
        <v>0</v>
      </c>
      <c r="M30" s="170"/>
      <c r="N30" s="170"/>
      <c r="O30" s="170"/>
      <c r="P30" s="170"/>
      <c r="Q30" s="170"/>
      <c r="R30" s="170"/>
      <c r="S30" s="170"/>
      <c r="T30" s="170"/>
      <c r="U30" s="170"/>
      <c r="V30" s="170"/>
    </row>
    <row r="31" spans="1:22" ht="16" thickTop="1" thickBot="1">
      <c r="A31" s="340"/>
      <c r="B31" s="406"/>
      <c r="C31" s="377" t="s">
        <v>215</v>
      </c>
      <c r="D31" s="377" t="s">
        <v>215</v>
      </c>
      <c r="E31" s="347">
        <v>0</v>
      </c>
      <c r="F31" s="400"/>
      <c r="G31" s="401"/>
      <c r="H31" s="353"/>
      <c r="I31" s="340"/>
      <c r="J31" s="354" t="s">
        <v>219</v>
      </c>
      <c r="K31" s="355"/>
      <c r="L31" s="355">
        <f t="shared" si="0"/>
        <v>0</v>
      </c>
      <c r="M31" s="170"/>
      <c r="N31" s="170"/>
      <c r="O31" s="170"/>
      <c r="P31" s="170"/>
      <c r="Q31" s="170"/>
      <c r="R31" s="170"/>
      <c r="S31" s="170"/>
      <c r="T31" s="170"/>
      <c r="U31" s="170"/>
      <c r="V31" s="170"/>
    </row>
    <row r="32" spans="1:22" ht="16" thickTop="1" thickBot="1">
      <c r="A32" s="340"/>
      <c r="B32" s="406"/>
      <c r="C32" s="377" t="s">
        <v>216</v>
      </c>
      <c r="D32" s="377" t="s">
        <v>216</v>
      </c>
      <c r="E32" s="347">
        <v>0</v>
      </c>
      <c r="F32" s="400"/>
      <c r="G32" s="401"/>
      <c r="H32" s="353"/>
      <c r="I32" s="340"/>
      <c r="J32" s="354" t="s">
        <v>219</v>
      </c>
      <c r="K32" s="355"/>
      <c r="L32" s="355">
        <f t="shared" si="0"/>
        <v>0</v>
      </c>
      <c r="M32" s="170"/>
      <c r="N32" s="170"/>
      <c r="O32" s="170"/>
      <c r="P32" s="170"/>
      <c r="Q32" s="170"/>
      <c r="R32" s="170"/>
      <c r="S32" s="170"/>
      <c r="T32" s="170"/>
      <c r="U32" s="170"/>
      <c r="V32" s="170"/>
    </row>
    <row r="33" spans="1:22" ht="16" thickTop="1" thickBot="1">
      <c r="A33" s="340"/>
      <c r="B33" s="406"/>
      <c r="C33" s="377" t="s">
        <v>217</v>
      </c>
      <c r="D33" s="377" t="s">
        <v>217</v>
      </c>
      <c r="E33" s="347">
        <v>0</v>
      </c>
      <c r="F33" s="400"/>
      <c r="G33" s="401"/>
      <c r="H33" s="353"/>
      <c r="I33" s="340"/>
      <c r="J33" s="354" t="s">
        <v>219</v>
      </c>
      <c r="K33" s="355"/>
      <c r="L33" s="355">
        <f t="shared" si="0"/>
        <v>0</v>
      </c>
      <c r="M33" s="170"/>
      <c r="N33" s="170"/>
      <c r="O33" s="170"/>
      <c r="P33" s="170"/>
      <c r="Q33" s="170"/>
      <c r="R33" s="170"/>
      <c r="S33" s="170"/>
      <c r="T33" s="170"/>
      <c r="U33" s="170"/>
      <c r="V33" s="170"/>
    </row>
    <row r="34" spans="1:22" ht="16" thickTop="1" thickBot="1">
      <c r="A34" s="340"/>
      <c r="B34" s="406"/>
      <c r="C34" s="377" t="s">
        <v>218</v>
      </c>
      <c r="D34" s="377" t="s">
        <v>218</v>
      </c>
      <c r="E34" s="347">
        <v>0</v>
      </c>
      <c r="F34" s="400"/>
      <c r="G34" s="401"/>
      <c r="H34" s="353"/>
      <c r="I34" s="340"/>
      <c r="J34" s="354" t="s">
        <v>219</v>
      </c>
      <c r="K34" s="355"/>
      <c r="L34" s="355">
        <f t="shared" si="0"/>
        <v>0</v>
      </c>
      <c r="M34" s="170"/>
      <c r="N34" s="170"/>
      <c r="O34" s="170"/>
      <c r="P34" s="170"/>
      <c r="Q34" s="170"/>
      <c r="R34" s="170"/>
      <c r="S34" s="170"/>
      <c r="T34" s="170"/>
      <c r="U34" s="170"/>
      <c r="V34" s="170"/>
    </row>
    <row r="35" spans="1:22" s="370" customFormat="1" ht="17" thickTop="1" thickBot="1">
      <c r="A35" s="365"/>
      <c r="B35" s="406"/>
      <c r="C35" s="366" t="s">
        <v>471</v>
      </c>
      <c r="D35" s="366"/>
      <c r="E35" s="496">
        <f>SUM(i_soldvector)</f>
        <v>1.0000000000000002</v>
      </c>
      <c r="F35" s="349"/>
      <c r="G35" s="349"/>
      <c r="H35" s="367"/>
      <c r="I35" s="365"/>
      <c r="J35" s="371" t="s">
        <v>339</v>
      </c>
      <c r="K35" s="355"/>
      <c r="L35" s="355"/>
      <c r="M35" s="369"/>
      <c r="N35" s="369"/>
      <c r="O35" s="369"/>
      <c r="P35" s="369"/>
      <c r="Q35" s="369"/>
      <c r="R35" s="369"/>
      <c r="S35" s="369"/>
      <c r="T35" s="369"/>
      <c r="U35" s="369"/>
      <c r="V35" s="369"/>
    </row>
    <row r="36" spans="1:22" ht="16" thickTop="1" thickBot="1">
      <c r="A36" s="340"/>
      <c r="B36" s="405">
        <f t="shared" ref="B36:B53" si="1">E36*i_lotstotal</f>
        <v>0</v>
      </c>
      <c r="C36" s="346"/>
      <c r="D36" s="391" t="s">
        <v>273</v>
      </c>
      <c r="E36" s="347">
        <v>0</v>
      </c>
      <c r="F36" s="400"/>
      <c r="G36" s="401"/>
      <c r="H36" s="353"/>
      <c r="I36" s="340"/>
      <c r="J36" s="354" t="s">
        <v>262</v>
      </c>
      <c r="K36" s="355"/>
      <c r="L36" s="355"/>
      <c r="M36" s="170"/>
      <c r="N36" s="170"/>
      <c r="O36" s="170"/>
      <c r="P36" s="170"/>
      <c r="Q36" s="170"/>
      <c r="R36" s="170"/>
      <c r="S36" s="170"/>
      <c r="T36" s="170"/>
      <c r="U36" s="170"/>
      <c r="V36" s="170"/>
    </row>
    <row r="37" spans="1:22" ht="16" thickTop="1" thickBot="1">
      <c r="A37" s="340"/>
      <c r="B37" s="405">
        <f t="shared" si="1"/>
        <v>0</v>
      </c>
      <c r="C37" s="346"/>
      <c r="D37" s="391" t="s">
        <v>274</v>
      </c>
      <c r="E37" s="347">
        <v>0</v>
      </c>
      <c r="F37" s="400"/>
      <c r="G37" s="401"/>
      <c r="H37" s="353"/>
      <c r="I37" s="340"/>
      <c r="J37" s="354" t="s">
        <v>262</v>
      </c>
      <c r="K37" s="355"/>
      <c r="L37" s="355"/>
      <c r="M37" s="170"/>
      <c r="N37" s="170"/>
      <c r="O37" s="170"/>
      <c r="P37" s="170"/>
      <c r="Q37" s="170"/>
      <c r="R37" s="170"/>
      <c r="S37" s="170"/>
      <c r="T37" s="170"/>
      <c r="U37" s="170"/>
      <c r="V37" s="170"/>
    </row>
    <row r="38" spans="1:22" ht="16" thickTop="1" thickBot="1">
      <c r="A38" s="340"/>
      <c r="B38" s="405">
        <f t="shared" si="1"/>
        <v>0</v>
      </c>
      <c r="C38" s="346"/>
      <c r="D38" s="391" t="s">
        <v>275</v>
      </c>
      <c r="E38" s="347">
        <v>0</v>
      </c>
      <c r="F38" s="410"/>
      <c r="G38" s="401"/>
      <c r="H38" s="353"/>
      <c r="I38" s="340"/>
      <c r="J38" s="354" t="s">
        <v>262</v>
      </c>
      <c r="K38" s="355"/>
      <c r="L38" s="355"/>
      <c r="M38" s="170"/>
      <c r="N38" s="170"/>
      <c r="O38" s="170"/>
      <c r="P38" s="170"/>
      <c r="Q38" s="170"/>
      <c r="R38" s="170"/>
      <c r="S38" s="170"/>
      <c r="T38" s="170"/>
      <c r="U38" s="170"/>
      <c r="V38" s="170"/>
    </row>
    <row r="39" spans="1:22" ht="16" thickTop="1" thickBot="1">
      <c r="A39" s="340"/>
      <c r="B39" s="405">
        <f t="shared" si="1"/>
        <v>0</v>
      </c>
      <c r="C39" s="346"/>
      <c r="D39" s="391" t="s">
        <v>276</v>
      </c>
      <c r="E39" s="347">
        <v>0</v>
      </c>
      <c r="F39" s="400"/>
      <c r="G39" s="401"/>
      <c r="H39" s="353"/>
      <c r="I39" s="340"/>
      <c r="J39" s="354" t="s">
        <v>262</v>
      </c>
      <c r="K39" s="355"/>
      <c r="L39" s="355"/>
      <c r="M39" s="170"/>
      <c r="N39" s="170"/>
      <c r="O39" s="170"/>
      <c r="P39" s="170"/>
      <c r="Q39" s="170"/>
      <c r="R39" s="170"/>
      <c r="S39" s="170"/>
      <c r="T39" s="170"/>
      <c r="U39" s="170"/>
      <c r="V39" s="170"/>
    </row>
    <row r="40" spans="1:22" ht="16" thickTop="1" thickBot="1">
      <c r="A40" s="340"/>
      <c r="B40" s="405">
        <f t="shared" si="1"/>
        <v>10</v>
      </c>
      <c r="C40" s="346"/>
      <c r="D40" s="391" t="s">
        <v>277</v>
      </c>
      <c r="E40" s="347">
        <v>0.1</v>
      </c>
      <c r="F40" s="400"/>
      <c r="G40" s="401"/>
      <c r="H40" s="353"/>
      <c r="I40" s="340"/>
      <c r="J40" s="354" t="s">
        <v>262</v>
      </c>
      <c r="K40" s="355"/>
      <c r="L40" s="355"/>
      <c r="M40" s="170"/>
      <c r="N40" s="170"/>
      <c r="O40" s="170"/>
      <c r="P40" s="170"/>
      <c r="Q40" s="170"/>
      <c r="R40" s="170"/>
      <c r="S40" s="170"/>
      <c r="T40" s="170"/>
      <c r="U40" s="170"/>
      <c r="V40" s="170"/>
    </row>
    <row r="41" spans="1:22" ht="16" thickTop="1" thickBot="1">
      <c r="A41" s="340"/>
      <c r="B41" s="405">
        <f t="shared" si="1"/>
        <v>0</v>
      </c>
      <c r="C41" s="346"/>
      <c r="D41" s="391" t="s">
        <v>278</v>
      </c>
      <c r="E41" s="347">
        <v>0</v>
      </c>
      <c r="F41" s="400"/>
      <c r="G41" s="401"/>
      <c r="H41" s="353"/>
      <c r="I41" s="340"/>
      <c r="J41" s="354" t="s">
        <v>262</v>
      </c>
      <c r="K41" s="355"/>
      <c r="L41" s="355"/>
      <c r="M41" s="170"/>
      <c r="N41" s="170"/>
      <c r="O41" s="170"/>
      <c r="P41" s="170"/>
      <c r="Q41" s="170"/>
      <c r="R41" s="170"/>
      <c r="S41" s="170"/>
      <c r="T41" s="170"/>
      <c r="U41" s="170"/>
      <c r="V41" s="170"/>
    </row>
    <row r="42" spans="1:22" ht="16" thickTop="1" thickBot="1">
      <c r="A42" s="340"/>
      <c r="B42" s="405">
        <f t="shared" si="1"/>
        <v>0</v>
      </c>
      <c r="C42" s="346"/>
      <c r="D42" s="391" t="s">
        <v>279</v>
      </c>
      <c r="E42" s="347">
        <v>0</v>
      </c>
      <c r="F42" s="400"/>
      <c r="G42" s="401"/>
      <c r="H42" s="353"/>
      <c r="I42" s="340"/>
      <c r="J42" s="354" t="s">
        <v>262</v>
      </c>
      <c r="K42" s="355"/>
      <c r="L42" s="355"/>
      <c r="M42" s="170"/>
      <c r="N42" s="170"/>
      <c r="O42" s="170"/>
      <c r="P42" s="170"/>
      <c r="Q42" s="170"/>
      <c r="R42" s="170"/>
      <c r="S42" s="170"/>
      <c r="T42" s="170"/>
      <c r="U42" s="170"/>
      <c r="V42" s="170"/>
    </row>
    <row r="43" spans="1:22" ht="16" thickTop="1" thickBot="1">
      <c r="A43" s="340"/>
      <c r="B43" s="405">
        <f t="shared" si="1"/>
        <v>0</v>
      </c>
      <c r="C43" s="346"/>
      <c r="D43" s="391" t="s">
        <v>280</v>
      </c>
      <c r="E43" s="347">
        <v>0</v>
      </c>
      <c r="F43" s="400"/>
      <c r="G43" s="401"/>
      <c r="H43" s="353"/>
      <c r="I43" s="340"/>
      <c r="J43" s="354" t="s">
        <v>262</v>
      </c>
      <c r="K43" s="355"/>
      <c r="L43" s="355"/>
      <c r="M43" s="170"/>
      <c r="N43" s="170"/>
      <c r="O43" s="170"/>
      <c r="P43" s="170"/>
      <c r="Q43" s="170"/>
      <c r="R43" s="170"/>
      <c r="S43" s="170"/>
      <c r="T43" s="170"/>
      <c r="U43" s="170"/>
      <c r="V43" s="170"/>
    </row>
    <row r="44" spans="1:22" ht="16" thickTop="1" thickBot="1">
      <c r="A44" s="340"/>
      <c r="B44" s="405">
        <f t="shared" si="1"/>
        <v>0</v>
      </c>
      <c r="C44" s="346"/>
      <c r="D44" s="391" t="s">
        <v>281</v>
      </c>
      <c r="E44" s="347">
        <v>0</v>
      </c>
      <c r="F44" s="400"/>
      <c r="G44" s="401"/>
      <c r="H44" s="353"/>
      <c r="I44" s="340"/>
      <c r="J44" s="354" t="s">
        <v>262</v>
      </c>
      <c r="K44" s="355"/>
      <c r="L44" s="355"/>
      <c r="M44" s="170"/>
      <c r="N44" s="170"/>
      <c r="O44" s="170"/>
      <c r="P44" s="170"/>
      <c r="Q44" s="170"/>
      <c r="R44" s="170"/>
      <c r="S44" s="170"/>
      <c r="T44" s="170"/>
      <c r="U44" s="170"/>
      <c r="V44" s="170"/>
    </row>
    <row r="45" spans="1:22" ht="16" thickTop="1" thickBot="1">
      <c r="A45" s="340"/>
      <c r="B45" s="405">
        <f t="shared" si="1"/>
        <v>0</v>
      </c>
      <c r="C45" s="346"/>
      <c r="D45" s="391" t="s">
        <v>282</v>
      </c>
      <c r="E45" s="347">
        <v>0</v>
      </c>
      <c r="F45" s="400"/>
      <c r="G45" s="401"/>
      <c r="H45" s="353"/>
      <c r="I45" s="340"/>
      <c r="J45" s="354" t="s">
        <v>262</v>
      </c>
      <c r="K45" s="355"/>
      <c r="L45" s="355"/>
      <c r="M45" s="170"/>
      <c r="N45" s="170"/>
      <c r="O45" s="170"/>
      <c r="P45" s="170"/>
      <c r="Q45" s="170"/>
      <c r="R45" s="170"/>
      <c r="S45" s="170"/>
      <c r="T45" s="170"/>
      <c r="U45" s="170"/>
      <c r="V45" s="170"/>
    </row>
    <row r="46" spans="1:22" ht="16" thickTop="1" thickBot="1">
      <c r="A46" s="340"/>
      <c r="B46" s="405">
        <f t="shared" si="1"/>
        <v>5</v>
      </c>
      <c r="C46" s="346"/>
      <c r="D46" s="391" t="s">
        <v>283</v>
      </c>
      <c r="E46" s="347">
        <v>0.05</v>
      </c>
      <c r="F46" s="400"/>
      <c r="G46" s="401"/>
      <c r="H46" s="353"/>
      <c r="I46" s="340"/>
      <c r="J46" s="354" t="s">
        <v>262</v>
      </c>
      <c r="K46" s="355"/>
      <c r="L46" s="355"/>
      <c r="M46" s="170"/>
      <c r="N46" s="170"/>
      <c r="O46" s="170"/>
      <c r="P46" s="170"/>
      <c r="Q46" s="170"/>
      <c r="R46" s="170"/>
      <c r="S46" s="170"/>
      <c r="T46" s="170"/>
      <c r="U46" s="170"/>
      <c r="V46" s="170"/>
    </row>
    <row r="47" spans="1:22" ht="16" thickTop="1" thickBot="1">
      <c r="A47" s="340"/>
      <c r="B47" s="405">
        <f t="shared" si="1"/>
        <v>5</v>
      </c>
      <c r="C47" s="346"/>
      <c r="D47" s="391" t="s">
        <v>284</v>
      </c>
      <c r="E47" s="347">
        <v>0.05</v>
      </c>
      <c r="F47" s="400"/>
      <c r="G47" s="401"/>
      <c r="H47" s="353"/>
      <c r="I47" s="340"/>
      <c r="J47" s="354" t="s">
        <v>262</v>
      </c>
      <c r="K47" s="355"/>
      <c r="L47" s="355"/>
      <c r="M47" s="170"/>
      <c r="N47" s="170"/>
      <c r="O47" s="170"/>
      <c r="P47" s="170"/>
      <c r="Q47" s="170"/>
      <c r="R47" s="170"/>
      <c r="S47" s="170"/>
      <c r="T47" s="170"/>
      <c r="U47" s="170"/>
      <c r="V47" s="170"/>
    </row>
    <row r="48" spans="1:22" ht="16" thickTop="1" thickBot="1">
      <c r="A48" s="340"/>
      <c r="B48" s="405">
        <f t="shared" si="1"/>
        <v>5</v>
      </c>
      <c r="C48" s="346"/>
      <c r="D48" s="391" t="s">
        <v>285</v>
      </c>
      <c r="E48" s="347">
        <v>0.05</v>
      </c>
      <c r="F48" s="400"/>
      <c r="G48" s="401"/>
      <c r="H48" s="353"/>
      <c r="I48" s="340"/>
      <c r="J48" s="354" t="s">
        <v>262</v>
      </c>
      <c r="K48" s="355"/>
      <c r="L48" s="355"/>
      <c r="M48" s="170"/>
      <c r="N48" s="170"/>
      <c r="O48" s="170"/>
      <c r="P48" s="170"/>
      <c r="Q48" s="170"/>
      <c r="R48" s="170"/>
      <c r="S48" s="170"/>
      <c r="T48" s="170"/>
      <c r="U48" s="170"/>
      <c r="V48" s="170"/>
    </row>
    <row r="49" spans="1:22" ht="16" thickTop="1" thickBot="1">
      <c r="A49" s="340"/>
      <c r="B49" s="405">
        <f t="shared" si="1"/>
        <v>5</v>
      </c>
      <c r="C49" s="346"/>
      <c r="D49" s="391" t="s">
        <v>286</v>
      </c>
      <c r="E49" s="347">
        <v>0.05</v>
      </c>
      <c r="F49" s="400"/>
      <c r="G49" s="401"/>
      <c r="H49" s="353"/>
      <c r="I49" s="340"/>
      <c r="J49" s="354" t="s">
        <v>262</v>
      </c>
      <c r="K49" s="355"/>
      <c r="L49" s="355"/>
      <c r="M49" s="170"/>
      <c r="N49" s="170"/>
      <c r="O49" s="170"/>
      <c r="P49" s="170"/>
      <c r="Q49" s="170"/>
      <c r="R49" s="170"/>
      <c r="S49" s="170"/>
      <c r="T49" s="170"/>
      <c r="U49" s="170"/>
      <c r="V49" s="170"/>
    </row>
    <row r="50" spans="1:22" ht="16" thickTop="1" thickBot="1">
      <c r="A50" s="340"/>
      <c r="B50" s="405">
        <f t="shared" si="1"/>
        <v>5</v>
      </c>
      <c r="C50" s="346"/>
      <c r="D50" s="391" t="s">
        <v>287</v>
      </c>
      <c r="E50" s="347">
        <v>0.05</v>
      </c>
      <c r="F50" s="400"/>
      <c r="G50" s="401"/>
      <c r="H50" s="353"/>
      <c r="I50" s="340"/>
      <c r="J50" s="354" t="s">
        <v>262</v>
      </c>
      <c r="K50" s="355"/>
      <c r="L50" s="355"/>
      <c r="M50" s="170"/>
      <c r="N50" s="170"/>
      <c r="O50" s="170"/>
      <c r="P50" s="170"/>
      <c r="Q50" s="170"/>
      <c r="R50" s="170"/>
      <c r="S50" s="170"/>
      <c r="T50" s="170"/>
      <c r="U50" s="170"/>
      <c r="V50" s="170"/>
    </row>
    <row r="51" spans="1:22" ht="16" thickTop="1" thickBot="1">
      <c r="A51" s="340"/>
      <c r="B51" s="405">
        <f t="shared" si="1"/>
        <v>5</v>
      </c>
      <c r="C51" s="346"/>
      <c r="D51" s="391" t="s">
        <v>288</v>
      </c>
      <c r="E51" s="347">
        <v>0.05</v>
      </c>
      <c r="F51" s="400"/>
      <c r="G51" s="401"/>
      <c r="H51" s="353"/>
      <c r="I51" s="340"/>
      <c r="J51" s="354" t="s">
        <v>262</v>
      </c>
      <c r="K51" s="355"/>
      <c r="L51" s="355"/>
      <c r="M51" s="170"/>
      <c r="N51" s="170"/>
      <c r="O51" s="170"/>
      <c r="P51" s="170"/>
      <c r="Q51" s="170"/>
      <c r="R51" s="170"/>
      <c r="S51" s="170"/>
      <c r="T51" s="170"/>
      <c r="U51" s="170"/>
      <c r="V51" s="170"/>
    </row>
    <row r="52" spans="1:22" ht="16" thickTop="1" thickBot="1">
      <c r="A52" s="340"/>
      <c r="B52" s="405">
        <f t="shared" si="1"/>
        <v>5</v>
      </c>
      <c r="C52" s="346"/>
      <c r="D52" s="391" t="s">
        <v>289</v>
      </c>
      <c r="E52" s="347">
        <v>0.05</v>
      </c>
      <c r="F52" s="400"/>
      <c r="G52" s="401"/>
      <c r="H52" s="353"/>
      <c r="I52" s="340"/>
      <c r="J52" s="354" t="s">
        <v>262</v>
      </c>
      <c r="K52" s="355"/>
      <c r="L52" s="355"/>
      <c r="M52" s="170"/>
      <c r="N52" s="170"/>
      <c r="O52" s="170"/>
      <c r="P52" s="170"/>
      <c r="Q52" s="170"/>
      <c r="R52" s="170"/>
      <c r="S52" s="170"/>
      <c r="T52" s="170"/>
      <c r="U52" s="170"/>
      <c r="V52" s="170"/>
    </row>
    <row r="53" spans="1:22" ht="16" thickTop="1" thickBot="1">
      <c r="A53" s="340"/>
      <c r="B53" s="405">
        <f t="shared" si="1"/>
        <v>5</v>
      </c>
      <c r="C53" s="346"/>
      <c r="D53" s="391" t="s">
        <v>301</v>
      </c>
      <c r="E53" s="347">
        <v>0.05</v>
      </c>
      <c r="F53" s="400"/>
      <c r="G53" s="401"/>
      <c r="H53" s="353"/>
      <c r="I53" s="340"/>
      <c r="J53" s="354" t="s">
        <v>262</v>
      </c>
      <c r="K53" s="355"/>
      <c r="L53" s="355"/>
      <c r="M53" s="170"/>
      <c r="N53" s="170"/>
      <c r="O53" s="170"/>
      <c r="P53" s="170"/>
      <c r="Q53" s="170"/>
      <c r="R53" s="170"/>
      <c r="S53" s="170"/>
      <c r="T53" s="170"/>
      <c r="U53" s="170"/>
      <c r="V53" s="170"/>
    </row>
    <row r="54" spans="1:22" ht="16" thickTop="1" thickBot="1">
      <c r="A54" s="340"/>
      <c r="B54" s="405">
        <f t="shared" ref="B54:B83" si="2">E54*i_lotstotal</f>
        <v>5</v>
      </c>
      <c r="C54" s="346"/>
      <c r="D54" s="391" t="s">
        <v>302</v>
      </c>
      <c r="E54" s="347">
        <v>0.05</v>
      </c>
      <c r="F54" s="387"/>
      <c r="G54" s="388"/>
      <c r="H54" s="353"/>
      <c r="I54" s="340"/>
      <c r="J54" s="354" t="s">
        <v>262</v>
      </c>
      <c r="K54" s="355"/>
      <c r="L54" s="355">
        <f t="shared" ref="L54:L83" si="3">E54*i_lotstotal</f>
        <v>5</v>
      </c>
      <c r="M54" s="170"/>
      <c r="N54" s="170"/>
      <c r="O54" s="170"/>
      <c r="P54" s="170"/>
      <c r="Q54" s="170"/>
      <c r="R54" s="170"/>
      <c r="S54" s="170"/>
      <c r="T54" s="170"/>
      <c r="U54" s="170"/>
      <c r="V54" s="170"/>
    </row>
    <row r="55" spans="1:22" ht="16" thickTop="1" thickBot="1">
      <c r="A55" s="340"/>
      <c r="B55" s="405">
        <f t="shared" si="2"/>
        <v>5</v>
      </c>
      <c r="C55" s="346"/>
      <c r="D55" s="391" t="s">
        <v>303</v>
      </c>
      <c r="E55" s="347">
        <v>0.05</v>
      </c>
      <c r="F55" s="387"/>
      <c r="G55" s="388"/>
      <c r="H55" s="353"/>
      <c r="I55" s="340"/>
      <c r="J55" s="354" t="s">
        <v>262</v>
      </c>
      <c r="K55" s="355"/>
      <c r="L55" s="355">
        <f t="shared" si="3"/>
        <v>5</v>
      </c>
      <c r="M55" s="170"/>
      <c r="N55" s="170"/>
      <c r="O55" s="170"/>
      <c r="P55" s="170"/>
      <c r="Q55" s="170"/>
      <c r="R55" s="170"/>
      <c r="S55" s="170"/>
      <c r="T55" s="170"/>
      <c r="U55" s="170"/>
      <c r="V55" s="170"/>
    </row>
    <row r="56" spans="1:22" ht="16" thickTop="1" thickBot="1">
      <c r="A56" s="340"/>
      <c r="B56" s="405">
        <f t="shared" si="2"/>
        <v>5</v>
      </c>
      <c r="C56" s="346"/>
      <c r="D56" s="391" t="s">
        <v>304</v>
      </c>
      <c r="E56" s="347">
        <v>0.05</v>
      </c>
      <c r="F56" s="387"/>
      <c r="G56" s="388"/>
      <c r="H56" s="353"/>
      <c r="I56" s="340"/>
      <c r="J56" s="354" t="s">
        <v>262</v>
      </c>
      <c r="K56" s="355"/>
      <c r="L56" s="355">
        <f t="shared" si="3"/>
        <v>5</v>
      </c>
      <c r="M56" s="170"/>
      <c r="N56" s="170"/>
      <c r="O56" s="170"/>
      <c r="P56" s="170"/>
      <c r="Q56" s="170"/>
      <c r="R56" s="170"/>
      <c r="S56" s="170"/>
      <c r="T56" s="170"/>
      <c r="U56" s="170"/>
      <c r="V56" s="170"/>
    </row>
    <row r="57" spans="1:22" ht="16" thickTop="1" thickBot="1">
      <c r="A57" s="340"/>
      <c r="B57" s="405">
        <f t="shared" si="2"/>
        <v>5</v>
      </c>
      <c r="C57" s="346"/>
      <c r="D57" s="391" t="s">
        <v>305</v>
      </c>
      <c r="E57" s="347">
        <v>0.05</v>
      </c>
      <c r="F57" s="387"/>
      <c r="G57" s="388"/>
      <c r="H57" s="353"/>
      <c r="I57" s="340"/>
      <c r="J57" s="354" t="s">
        <v>262</v>
      </c>
      <c r="K57" s="355"/>
      <c r="L57" s="355">
        <f t="shared" si="3"/>
        <v>5</v>
      </c>
      <c r="M57" s="170"/>
      <c r="N57" s="170"/>
      <c r="O57" s="170"/>
      <c r="P57" s="170"/>
      <c r="Q57" s="170"/>
      <c r="R57" s="170"/>
      <c r="S57" s="170"/>
      <c r="T57" s="170"/>
      <c r="U57" s="170"/>
      <c r="V57" s="170"/>
    </row>
    <row r="58" spans="1:22" ht="16" thickTop="1" thickBot="1">
      <c r="A58" s="340"/>
      <c r="B58" s="405">
        <f t="shared" si="2"/>
        <v>5</v>
      </c>
      <c r="C58" s="346"/>
      <c r="D58" s="391" t="s">
        <v>306</v>
      </c>
      <c r="E58" s="347">
        <v>0.05</v>
      </c>
      <c r="F58" s="387"/>
      <c r="G58" s="388"/>
      <c r="H58" s="353"/>
      <c r="I58" s="340"/>
      <c r="J58" s="354" t="s">
        <v>262</v>
      </c>
      <c r="K58" s="355"/>
      <c r="L58" s="355">
        <f t="shared" si="3"/>
        <v>5</v>
      </c>
      <c r="M58" s="170"/>
      <c r="N58" s="170"/>
      <c r="O58" s="170"/>
      <c r="P58" s="170"/>
      <c r="Q58" s="170"/>
      <c r="R58" s="170"/>
      <c r="S58" s="170"/>
      <c r="T58" s="170"/>
      <c r="U58" s="170"/>
      <c r="V58" s="170"/>
    </row>
    <row r="59" spans="1:22" ht="16" thickTop="1" thickBot="1">
      <c r="A59" s="340"/>
      <c r="B59" s="405">
        <f t="shared" si="2"/>
        <v>5</v>
      </c>
      <c r="C59" s="346"/>
      <c r="D59" s="391" t="s">
        <v>307</v>
      </c>
      <c r="E59" s="347">
        <v>0.05</v>
      </c>
      <c r="F59" s="387"/>
      <c r="G59" s="388"/>
      <c r="H59" s="353"/>
      <c r="I59" s="340"/>
      <c r="J59" s="354" t="s">
        <v>262</v>
      </c>
      <c r="K59" s="355"/>
      <c r="L59" s="355">
        <f t="shared" si="3"/>
        <v>5</v>
      </c>
      <c r="M59" s="170"/>
      <c r="N59" s="170"/>
      <c r="O59" s="170"/>
      <c r="P59" s="170"/>
      <c r="Q59" s="170"/>
      <c r="R59" s="170"/>
      <c r="S59" s="170"/>
      <c r="T59" s="170"/>
      <c r="U59" s="170"/>
      <c r="V59" s="170"/>
    </row>
    <row r="60" spans="1:22" ht="16" thickTop="1" thickBot="1">
      <c r="A60" s="340"/>
      <c r="B60" s="405">
        <f t="shared" si="2"/>
        <v>5</v>
      </c>
      <c r="C60" s="346"/>
      <c r="D60" s="391" t="s">
        <v>308</v>
      </c>
      <c r="E60" s="347">
        <v>0.05</v>
      </c>
      <c r="F60" s="387"/>
      <c r="G60" s="388"/>
      <c r="H60" s="353"/>
      <c r="I60" s="340"/>
      <c r="J60" s="354" t="s">
        <v>262</v>
      </c>
      <c r="K60" s="355"/>
      <c r="L60" s="355">
        <f t="shared" si="3"/>
        <v>5</v>
      </c>
      <c r="M60" s="170"/>
      <c r="N60" s="170"/>
      <c r="O60" s="170"/>
      <c r="P60" s="170"/>
      <c r="Q60" s="170"/>
      <c r="R60" s="170"/>
      <c r="S60" s="170"/>
      <c r="T60" s="170"/>
      <c r="U60" s="170"/>
      <c r="V60" s="170"/>
    </row>
    <row r="61" spans="1:22" ht="16" thickTop="1" thickBot="1">
      <c r="A61" s="340"/>
      <c r="B61" s="405">
        <f t="shared" si="2"/>
        <v>5</v>
      </c>
      <c r="C61" s="346"/>
      <c r="D61" s="391" t="s">
        <v>309</v>
      </c>
      <c r="E61" s="347">
        <v>0.05</v>
      </c>
      <c r="F61" s="387"/>
      <c r="G61" s="388"/>
      <c r="H61" s="353"/>
      <c r="I61" s="340"/>
      <c r="J61" s="354" t="s">
        <v>262</v>
      </c>
      <c r="K61" s="355"/>
      <c r="L61" s="355">
        <f t="shared" si="3"/>
        <v>5</v>
      </c>
      <c r="M61" s="170"/>
      <c r="N61" s="170"/>
      <c r="O61" s="170"/>
      <c r="P61" s="170"/>
      <c r="Q61" s="170"/>
      <c r="R61" s="170"/>
      <c r="S61" s="170"/>
      <c r="T61" s="170"/>
      <c r="U61" s="170"/>
      <c r="V61" s="170"/>
    </row>
    <row r="62" spans="1:22" ht="16" thickTop="1" thickBot="1">
      <c r="A62" s="340"/>
      <c r="B62" s="405">
        <f t="shared" si="2"/>
        <v>10</v>
      </c>
      <c r="C62" s="346"/>
      <c r="D62" s="391" t="s">
        <v>310</v>
      </c>
      <c r="E62" s="347">
        <v>0.1</v>
      </c>
      <c r="F62" s="387"/>
      <c r="G62" s="388"/>
      <c r="H62" s="353"/>
      <c r="I62" s="340"/>
      <c r="J62" s="354" t="s">
        <v>262</v>
      </c>
      <c r="K62" s="355"/>
      <c r="L62" s="355">
        <f t="shared" si="3"/>
        <v>10</v>
      </c>
      <c r="M62" s="170"/>
      <c r="N62" s="170"/>
      <c r="O62" s="170"/>
      <c r="P62" s="170"/>
      <c r="Q62" s="170"/>
      <c r="R62" s="170"/>
      <c r="S62" s="170"/>
      <c r="T62" s="170"/>
      <c r="U62" s="170"/>
      <c r="V62" s="170"/>
    </row>
    <row r="63" spans="1:22" ht="16" thickTop="1" thickBot="1">
      <c r="A63" s="340"/>
      <c r="B63" s="405">
        <f t="shared" si="2"/>
        <v>0</v>
      </c>
      <c r="C63" s="346"/>
      <c r="D63" s="391" t="s">
        <v>311</v>
      </c>
      <c r="E63" s="347">
        <v>0</v>
      </c>
      <c r="F63" s="387"/>
      <c r="G63" s="388"/>
      <c r="H63" s="353"/>
      <c r="I63" s="340"/>
      <c r="J63" s="354" t="s">
        <v>262</v>
      </c>
      <c r="K63" s="355"/>
      <c r="L63" s="355">
        <f t="shared" si="3"/>
        <v>0</v>
      </c>
      <c r="M63" s="170"/>
      <c r="N63" s="170"/>
      <c r="O63" s="170"/>
      <c r="P63" s="170"/>
      <c r="Q63" s="170"/>
      <c r="R63" s="170"/>
      <c r="S63" s="170"/>
      <c r="T63" s="170"/>
      <c r="U63" s="170"/>
      <c r="V63" s="170"/>
    </row>
    <row r="64" spans="1:22" ht="16" thickTop="1" thickBot="1">
      <c r="A64" s="340"/>
      <c r="B64" s="405">
        <f t="shared" si="2"/>
        <v>0</v>
      </c>
      <c r="C64" s="346"/>
      <c r="D64" s="391" t="s">
        <v>312</v>
      </c>
      <c r="E64" s="347"/>
      <c r="F64" s="387"/>
      <c r="G64" s="388"/>
      <c r="H64" s="353"/>
      <c r="I64" s="340"/>
      <c r="J64" s="354" t="s">
        <v>262</v>
      </c>
      <c r="K64" s="355"/>
      <c r="L64" s="355">
        <f t="shared" si="3"/>
        <v>0</v>
      </c>
      <c r="M64" s="170"/>
      <c r="N64" s="170"/>
      <c r="O64" s="170"/>
      <c r="P64" s="170"/>
      <c r="Q64" s="170"/>
      <c r="R64" s="170"/>
      <c r="S64" s="170"/>
      <c r="T64" s="170"/>
      <c r="U64" s="170"/>
      <c r="V64" s="170"/>
    </row>
    <row r="65" spans="1:22" ht="16" thickTop="1" thickBot="1">
      <c r="A65" s="340"/>
      <c r="B65" s="405">
        <f t="shared" si="2"/>
        <v>0</v>
      </c>
      <c r="C65" s="346"/>
      <c r="D65" s="391" t="s">
        <v>313</v>
      </c>
      <c r="E65" s="347"/>
      <c r="F65" s="387"/>
      <c r="G65" s="388"/>
      <c r="H65" s="353"/>
      <c r="I65" s="340"/>
      <c r="J65" s="354" t="s">
        <v>262</v>
      </c>
      <c r="K65" s="355"/>
      <c r="L65" s="355">
        <f t="shared" si="3"/>
        <v>0</v>
      </c>
      <c r="M65" s="170"/>
      <c r="N65" s="170"/>
      <c r="O65" s="170"/>
      <c r="P65" s="170"/>
      <c r="Q65" s="170"/>
      <c r="R65" s="170"/>
      <c r="S65" s="170"/>
      <c r="T65" s="170"/>
      <c r="U65" s="170"/>
      <c r="V65" s="170"/>
    </row>
    <row r="66" spans="1:22" ht="16" thickTop="1" thickBot="1">
      <c r="A66" s="340"/>
      <c r="B66" s="405">
        <f t="shared" si="2"/>
        <v>0</v>
      </c>
      <c r="C66" s="346"/>
      <c r="D66" s="391" t="s">
        <v>314</v>
      </c>
      <c r="E66" s="347"/>
      <c r="F66" s="387"/>
      <c r="G66" s="388"/>
      <c r="H66" s="353"/>
      <c r="I66" s="340"/>
      <c r="J66" s="354" t="s">
        <v>262</v>
      </c>
      <c r="K66" s="355"/>
      <c r="L66" s="355">
        <f t="shared" si="3"/>
        <v>0</v>
      </c>
      <c r="M66" s="170"/>
      <c r="N66" s="170"/>
      <c r="O66" s="170"/>
      <c r="P66" s="170"/>
      <c r="Q66" s="170"/>
      <c r="R66" s="170"/>
      <c r="S66" s="170"/>
      <c r="T66" s="170"/>
      <c r="U66" s="170"/>
      <c r="V66" s="170"/>
    </row>
    <row r="67" spans="1:22" ht="16" thickTop="1" thickBot="1">
      <c r="A67" s="340"/>
      <c r="B67" s="405">
        <f t="shared" si="2"/>
        <v>0</v>
      </c>
      <c r="C67" s="346"/>
      <c r="D67" s="391" t="s">
        <v>315</v>
      </c>
      <c r="E67" s="347"/>
      <c r="F67" s="387"/>
      <c r="G67" s="388"/>
      <c r="H67" s="353"/>
      <c r="I67" s="340"/>
      <c r="J67" s="354" t="s">
        <v>262</v>
      </c>
      <c r="K67" s="355"/>
      <c r="L67" s="355">
        <f t="shared" si="3"/>
        <v>0</v>
      </c>
      <c r="M67" s="170"/>
      <c r="N67" s="170"/>
      <c r="O67" s="170"/>
      <c r="P67" s="170"/>
      <c r="Q67" s="170"/>
      <c r="R67" s="170"/>
      <c r="S67" s="170"/>
      <c r="T67" s="170"/>
      <c r="U67" s="170"/>
      <c r="V67" s="170"/>
    </row>
    <row r="68" spans="1:22" ht="16" thickTop="1" thickBot="1">
      <c r="A68" s="340"/>
      <c r="B68" s="405">
        <f t="shared" si="2"/>
        <v>0</v>
      </c>
      <c r="C68" s="346"/>
      <c r="D68" s="391" t="s">
        <v>316</v>
      </c>
      <c r="E68" s="347"/>
      <c r="F68" s="387"/>
      <c r="G68" s="388"/>
      <c r="H68" s="353"/>
      <c r="I68" s="340"/>
      <c r="J68" s="354" t="s">
        <v>262</v>
      </c>
      <c r="K68" s="355"/>
      <c r="L68" s="355">
        <f t="shared" si="3"/>
        <v>0</v>
      </c>
      <c r="M68" s="170"/>
      <c r="N68" s="170"/>
      <c r="O68" s="170"/>
      <c r="P68" s="170"/>
      <c r="Q68" s="170"/>
      <c r="R68" s="170"/>
      <c r="S68" s="170"/>
      <c r="T68" s="170"/>
      <c r="U68" s="170"/>
      <c r="V68" s="170"/>
    </row>
    <row r="69" spans="1:22" ht="16" thickTop="1" thickBot="1">
      <c r="A69" s="340"/>
      <c r="B69" s="405">
        <f t="shared" si="2"/>
        <v>0</v>
      </c>
      <c r="C69" s="346"/>
      <c r="D69" s="391" t="s">
        <v>317</v>
      </c>
      <c r="E69" s="347"/>
      <c r="F69" s="387"/>
      <c r="G69" s="388"/>
      <c r="H69" s="353"/>
      <c r="I69" s="340"/>
      <c r="J69" s="354" t="s">
        <v>262</v>
      </c>
      <c r="K69" s="355"/>
      <c r="L69" s="355">
        <f t="shared" si="3"/>
        <v>0</v>
      </c>
      <c r="M69" s="170"/>
      <c r="N69" s="170"/>
      <c r="O69" s="170"/>
      <c r="P69" s="170"/>
      <c r="Q69" s="170"/>
      <c r="R69" s="170"/>
      <c r="S69" s="170"/>
      <c r="T69" s="170"/>
      <c r="U69" s="170"/>
      <c r="V69" s="170"/>
    </row>
    <row r="70" spans="1:22" ht="16" thickTop="1" thickBot="1">
      <c r="A70" s="340"/>
      <c r="B70" s="405">
        <f t="shared" si="2"/>
        <v>0</v>
      </c>
      <c r="C70" s="346"/>
      <c r="D70" s="391" t="s">
        <v>318</v>
      </c>
      <c r="E70" s="347"/>
      <c r="F70" s="387"/>
      <c r="G70" s="388"/>
      <c r="H70" s="353"/>
      <c r="I70" s="340"/>
      <c r="J70" s="354" t="s">
        <v>262</v>
      </c>
      <c r="K70" s="355"/>
      <c r="L70" s="355">
        <f t="shared" si="3"/>
        <v>0</v>
      </c>
      <c r="M70" s="170"/>
      <c r="N70" s="170"/>
      <c r="O70" s="170"/>
      <c r="P70" s="170"/>
      <c r="Q70" s="170"/>
      <c r="R70" s="170"/>
      <c r="S70" s="170"/>
      <c r="T70" s="170"/>
      <c r="U70" s="170"/>
      <c r="V70" s="170"/>
    </row>
    <row r="71" spans="1:22" ht="16" thickTop="1" thickBot="1">
      <c r="A71" s="340"/>
      <c r="B71" s="405">
        <f t="shared" si="2"/>
        <v>0</v>
      </c>
      <c r="C71" s="346"/>
      <c r="D71" s="391" t="s">
        <v>319</v>
      </c>
      <c r="E71" s="347"/>
      <c r="F71" s="387"/>
      <c r="G71" s="388"/>
      <c r="H71" s="353"/>
      <c r="I71" s="340"/>
      <c r="J71" s="354" t="s">
        <v>262</v>
      </c>
      <c r="K71" s="355"/>
      <c r="L71" s="355">
        <f t="shared" si="3"/>
        <v>0</v>
      </c>
      <c r="M71" s="170"/>
      <c r="N71" s="170"/>
      <c r="O71" s="170"/>
      <c r="P71" s="170"/>
      <c r="Q71" s="170"/>
      <c r="R71" s="170"/>
      <c r="S71" s="170"/>
      <c r="T71" s="170"/>
      <c r="U71" s="170"/>
      <c r="V71" s="170"/>
    </row>
    <row r="72" spans="1:22" ht="16" thickTop="1" thickBot="1">
      <c r="A72" s="340"/>
      <c r="B72" s="405">
        <f t="shared" si="2"/>
        <v>0</v>
      </c>
      <c r="C72" s="346"/>
      <c r="D72" s="391" t="s">
        <v>320</v>
      </c>
      <c r="E72" s="347"/>
      <c r="F72" s="387"/>
      <c r="G72" s="388"/>
      <c r="H72" s="353"/>
      <c r="I72" s="340"/>
      <c r="J72" s="354" t="s">
        <v>262</v>
      </c>
      <c r="K72" s="355"/>
      <c r="L72" s="355">
        <f t="shared" si="3"/>
        <v>0</v>
      </c>
      <c r="M72" s="170"/>
      <c r="N72" s="170"/>
      <c r="O72" s="170"/>
      <c r="P72" s="170"/>
      <c r="Q72" s="170"/>
      <c r="R72" s="170"/>
      <c r="S72" s="170"/>
      <c r="T72" s="170"/>
      <c r="U72" s="170"/>
      <c r="V72" s="170"/>
    </row>
    <row r="73" spans="1:22" ht="16" thickTop="1" thickBot="1">
      <c r="A73" s="340"/>
      <c r="B73" s="405">
        <f t="shared" si="2"/>
        <v>0</v>
      </c>
      <c r="C73" s="346"/>
      <c r="D73" s="391" t="s">
        <v>321</v>
      </c>
      <c r="E73" s="347"/>
      <c r="F73" s="387"/>
      <c r="G73" s="388"/>
      <c r="H73" s="353"/>
      <c r="I73" s="340"/>
      <c r="J73" s="354" t="s">
        <v>262</v>
      </c>
      <c r="K73" s="355"/>
      <c r="L73" s="355">
        <f t="shared" si="3"/>
        <v>0</v>
      </c>
      <c r="M73" s="170"/>
      <c r="N73" s="170"/>
      <c r="O73" s="170"/>
      <c r="P73" s="170"/>
      <c r="Q73" s="170"/>
      <c r="R73" s="170"/>
      <c r="S73" s="170"/>
      <c r="T73" s="170"/>
      <c r="U73" s="170"/>
      <c r="V73" s="170"/>
    </row>
    <row r="74" spans="1:22" ht="16" thickTop="1" thickBot="1">
      <c r="A74" s="340"/>
      <c r="B74" s="405">
        <f t="shared" si="2"/>
        <v>0</v>
      </c>
      <c r="C74" s="346"/>
      <c r="D74" s="391" t="s">
        <v>322</v>
      </c>
      <c r="E74" s="347"/>
      <c r="F74" s="387"/>
      <c r="G74" s="388"/>
      <c r="H74" s="353"/>
      <c r="I74" s="340"/>
      <c r="J74" s="354" t="s">
        <v>262</v>
      </c>
      <c r="K74" s="355"/>
      <c r="L74" s="355">
        <f t="shared" si="3"/>
        <v>0</v>
      </c>
      <c r="M74" s="170"/>
      <c r="N74" s="170"/>
      <c r="O74" s="170"/>
      <c r="P74" s="170"/>
      <c r="Q74" s="170"/>
      <c r="R74" s="170"/>
      <c r="S74" s="170"/>
      <c r="T74" s="170"/>
      <c r="U74" s="170"/>
      <c r="V74" s="170"/>
    </row>
    <row r="75" spans="1:22" ht="16" thickTop="1" thickBot="1">
      <c r="A75" s="340"/>
      <c r="B75" s="405">
        <f t="shared" si="2"/>
        <v>0</v>
      </c>
      <c r="C75" s="346"/>
      <c r="D75" s="391" t="s">
        <v>187</v>
      </c>
      <c r="E75" s="347"/>
      <c r="F75" s="387"/>
      <c r="G75" s="388"/>
      <c r="H75" s="353"/>
      <c r="I75" s="340"/>
      <c r="J75" s="354" t="s">
        <v>262</v>
      </c>
      <c r="K75" s="355"/>
      <c r="L75" s="355">
        <f t="shared" si="3"/>
        <v>0</v>
      </c>
      <c r="M75" s="170"/>
      <c r="N75" s="170"/>
      <c r="O75" s="170"/>
      <c r="P75" s="170"/>
      <c r="Q75" s="170"/>
      <c r="R75" s="170"/>
      <c r="S75" s="170"/>
      <c r="T75" s="170"/>
      <c r="U75" s="170"/>
      <c r="V75" s="170"/>
    </row>
    <row r="76" spans="1:22" ht="16" thickTop="1" thickBot="1">
      <c r="A76" s="340"/>
      <c r="B76" s="405">
        <f t="shared" si="2"/>
        <v>0</v>
      </c>
      <c r="C76" s="346"/>
      <c r="D76" s="391" t="s">
        <v>188</v>
      </c>
      <c r="E76" s="347"/>
      <c r="F76" s="387"/>
      <c r="G76" s="388"/>
      <c r="H76" s="353"/>
      <c r="I76" s="340"/>
      <c r="J76" s="354" t="s">
        <v>262</v>
      </c>
      <c r="K76" s="355"/>
      <c r="L76" s="355">
        <f t="shared" si="3"/>
        <v>0</v>
      </c>
      <c r="M76" s="170"/>
      <c r="N76" s="170"/>
      <c r="O76" s="170"/>
      <c r="P76" s="170"/>
      <c r="Q76" s="170"/>
      <c r="R76" s="170"/>
      <c r="S76" s="170"/>
      <c r="T76" s="170"/>
      <c r="U76" s="170"/>
      <c r="V76" s="170"/>
    </row>
    <row r="77" spans="1:22" ht="16" thickTop="1" thickBot="1">
      <c r="A77" s="340"/>
      <c r="B77" s="405">
        <f t="shared" si="2"/>
        <v>0</v>
      </c>
      <c r="C77" s="346"/>
      <c r="D77" s="391" t="s">
        <v>189</v>
      </c>
      <c r="E77" s="347"/>
      <c r="F77" s="387"/>
      <c r="G77" s="388"/>
      <c r="H77" s="353"/>
      <c r="I77" s="340"/>
      <c r="J77" s="354" t="s">
        <v>262</v>
      </c>
      <c r="K77" s="355"/>
      <c r="L77" s="355">
        <f t="shared" si="3"/>
        <v>0</v>
      </c>
      <c r="M77" s="170"/>
      <c r="N77" s="170"/>
      <c r="O77" s="170"/>
      <c r="P77" s="170"/>
      <c r="Q77" s="170"/>
      <c r="R77" s="170"/>
      <c r="S77" s="170"/>
      <c r="T77" s="170"/>
      <c r="U77" s="170"/>
      <c r="V77" s="170"/>
    </row>
    <row r="78" spans="1:22" ht="16" thickTop="1" thickBot="1">
      <c r="A78" s="340"/>
      <c r="B78" s="405">
        <f t="shared" si="2"/>
        <v>0</v>
      </c>
      <c r="C78" s="346"/>
      <c r="D78" s="391" t="s">
        <v>190</v>
      </c>
      <c r="E78" s="347"/>
      <c r="F78" s="387"/>
      <c r="G78" s="388"/>
      <c r="H78" s="353"/>
      <c r="I78" s="340"/>
      <c r="J78" s="354" t="s">
        <v>262</v>
      </c>
      <c r="K78" s="355"/>
      <c r="L78" s="355">
        <f t="shared" si="3"/>
        <v>0</v>
      </c>
      <c r="M78" s="170"/>
      <c r="N78" s="170"/>
      <c r="O78" s="170"/>
      <c r="P78" s="170"/>
      <c r="Q78" s="170"/>
      <c r="R78" s="170"/>
      <c r="S78" s="170"/>
      <c r="T78" s="170"/>
      <c r="U78" s="170"/>
      <c r="V78" s="170"/>
    </row>
    <row r="79" spans="1:22" ht="16" thickTop="1" thickBot="1">
      <c r="A79" s="340"/>
      <c r="B79" s="405">
        <f t="shared" si="2"/>
        <v>0</v>
      </c>
      <c r="C79" s="346"/>
      <c r="D79" s="391" t="s">
        <v>191</v>
      </c>
      <c r="E79" s="347"/>
      <c r="F79" s="387"/>
      <c r="G79" s="388"/>
      <c r="H79" s="353"/>
      <c r="I79" s="340"/>
      <c r="J79" s="354" t="s">
        <v>262</v>
      </c>
      <c r="K79" s="355"/>
      <c r="L79" s="355">
        <f t="shared" si="3"/>
        <v>0</v>
      </c>
      <c r="M79" s="170"/>
      <c r="N79" s="170"/>
      <c r="O79" s="170"/>
      <c r="P79" s="170"/>
      <c r="Q79" s="170"/>
      <c r="R79" s="170"/>
      <c r="S79" s="170"/>
      <c r="T79" s="170"/>
      <c r="U79" s="170"/>
      <c r="V79" s="170"/>
    </row>
    <row r="80" spans="1:22" ht="16" thickTop="1" thickBot="1">
      <c r="A80" s="340"/>
      <c r="B80" s="405">
        <f t="shared" si="2"/>
        <v>0</v>
      </c>
      <c r="C80" s="346"/>
      <c r="D80" s="391" t="s">
        <v>192</v>
      </c>
      <c r="E80" s="347"/>
      <c r="F80" s="387"/>
      <c r="G80" s="388"/>
      <c r="H80" s="353"/>
      <c r="I80" s="340"/>
      <c r="J80" s="354" t="s">
        <v>262</v>
      </c>
      <c r="K80" s="355"/>
      <c r="L80" s="355">
        <f t="shared" si="3"/>
        <v>0</v>
      </c>
      <c r="M80" s="170"/>
      <c r="N80" s="170"/>
      <c r="O80" s="170"/>
      <c r="P80" s="170"/>
      <c r="Q80" s="170"/>
      <c r="R80" s="170"/>
      <c r="S80" s="170"/>
      <c r="T80" s="170"/>
      <c r="U80" s="170"/>
      <c r="V80" s="170"/>
    </row>
    <row r="81" spans="1:22" ht="16" thickTop="1" thickBot="1">
      <c r="A81" s="340"/>
      <c r="B81" s="405">
        <f t="shared" si="2"/>
        <v>0</v>
      </c>
      <c r="C81" s="346"/>
      <c r="D81" s="391" t="s">
        <v>193</v>
      </c>
      <c r="E81" s="347"/>
      <c r="F81" s="387"/>
      <c r="G81" s="388"/>
      <c r="H81" s="353"/>
      <c r="I81" s="340"/>
      <c r="J81" s="354" t="s">
        <v>262</v>
      </c>
      <c r="K81" s="355"/>
      <c r="L81" s="355">
        <f t="shared" si="3"/>
        <v>0</v>
      </c>
      <c r="M81" s="170"/>
      <c r="N81" s="170"/>
      <c r="O81" s="170"/>
      <c r="P81" s="170"/>
      <c r="Q81" s="170"/>
      <c r="R81" s="170"/>
      <c r="S81" s="170"/>
      <c r="T81" s="170"/>
      <c r="U81" s="170"/>
      <c r="V81" s="170"/>
    </row>
    <row r="82" spans="1:22" ht="16" thickTop="1" thickBot="1">
      <c r="A82" s="340"/>
      <c r="B82" s="405">
        <f t="shared" si="2"/>
        <v>0</v>
      </c>
      <c r="C82" s="346"/>
      <c r="D82" s="391" t="s">
        <v>194</v>
      </c>
      <c r="E82" s="347"/>
      <c r="F82" s="387"/>
      <c r="G82" s="388"/>
      <c r="H82" s="353"/>
      <c r="I82" s="340"/>
      <c r="J82" s="354" t="s">
        <v>262</v>
      </c>
      <c r="K82" s="355"/>
      <c r="L82" s="355">
        <f t="shared" si="3"/>
        <v>0</v>
      </c>
      <c r="M82" s="170"/>
      <c r="N82" s="170"/>
      <c r="O82" s="170"/>
      <c r="P82" s="170"/>
      <c r="Q82" s="170"/>
      <c r="R82" s="170"/>
      <c r="S82" s="170"/>
      <c r="T82" s="170"/>
      <c r="U82" s="170"/>
      <c r="V82" s="170"/>
    </row>
    <row r="83" spans="1:22" ht="16" thickTop="1" thickBot="1">
      <c r="A83" s="340"/>
      <c r="B83" s="405">
        <f t="shared" si="2"/>
        <v>0</v>
      </c>
      <c r="C83" s="346"/>
      <c r="D83" s="391" t="s">
        <v>195</v>
      </c>
      <c r="E83" s="347"/>
      <c r="F83" s="509">
        <f>SUM(i_soldvector)</f>
        <v>1.0000000000000002</v>
      </c>
      <c r="G83" s="363"/>
      <c r="H83" s="353"/>
      <c r="I83" s="340"/>
      <c r="J83" s="354" t="s">
        <v>262</v>
      </c>
      <c r="K83" s="355"/>
      <c r="L83" s="355">
        <f t="shared" si="3"/>
        <v>0</v>
      </c>
      <c r="M83" s="170"/>
      <c r="N83" s="170"/>
      <c r="O83" s="170"/>
      <c r="P83" s="170"/>
      <c r="Q83" s="170"/>
      <c r="R83" s="170"/>
      <c r="S83" s="170"/>
      <c r="T83" s="170"/>
      <c r="U83" s="170"/>
      <c r="V83" s="170"/>
    </row>
    <row r="84" spans="1:22" s="370" customFormat="1" ht="17" thickTop="1" thickBot="1">
      <c r="A84" s="365"/>
      <c r="B84" s="404"/>
      <c r="C84" s="366" t="s">
        <v>472</v>
      </c>
      <c r="D84" s="366"/>
      <c r="E84" s="349"/>
      <c r="F84" s="350"/>
      <c r="G84" s="379"/>
      <c r="H84" s="367"/>
      <c r="I84" s="365"/>
      <c r="J84" s="368" t="s">
        <v>339</v>
      </c>
      <c r="K84" s="355"/>
      <c r="L84" s="355"/>
      <c r="M84" s="369"/>
      <c r="N84" s="369"/>
      <c r="O84" s="369"/>
      <c r="P84" s="369"/>
      <c r="Q84" s="369"/>
      <c r="R84" s="369"/>
      <c r="S84" s="369"/>
      <c r="T84" s="369"/>
      <c r="U84" s="369"/>
      <c r="V84" s="369"/>
    </row>
    <row r="85" spans="1:22" ht="18" outlineLevel="1" thickTop="1" thickBot="1">
      <c r="A85" s="340"/>
      <c r="B85" s="406"/>
      <c r="C85" s="346"/>
      <c r="D85" s="346" t="s">
        <v>356</v>
      </c>
      <c r="E85" s="364">
        <v>0</v>
      </c>
      <c r="F85" s="181"/>
      <c r="G85" s="380"/>
      <c r="H85" s="353"/>
      <c r="I85" s="340"/>
      <c r="J85" s="188" t="s">
        <v>406</v>
      </c>
      <c r="K85" s="355"/>
      <c r="L85" s="355"/>
      <c r="M85" s="168"/>
      <c r="N85" s="168"/>
      <c r="O85" s="168"/>
      <c r="P85" s="168"/>
      <c r="Q85" s="168"/>
      <c r="R85" s="168"/>
      <c r="S85" s="168"/>
      <c r="T85" s="168"/>
      <c r="U85" s="168"/>
      <c r="V85" s="168"/>
    </row>
    <row r="86" spans="1:22" ht="16" outlineLevel="1" thickTop="1" thickBot="1">
      <c r="A86" s="340"/>
      <c r="B86" s="406"/>
      <c r="C86" s="346"/>
      <c r="D86" s="346" t="s">
        <v>357</v>
      </c>
      <c r="E86" s="364">
        <v>0</v>
      </c>
      <c r="F86" s="178"/>
      <c r="G86" s="381"/>
      <c r="H86" s="353"/>
      <c r="I86" s="340"/>
      <c r="J86" s="188" t="s">
        <v>406</v>
      </c>
      <c r="K86" s="355"/>
      <c r="L86" s="355"/>
      <c r="M86" s="168"/>
      <c r="N86" s="168"/>
      <c r="O86" s="168"/>
      <c r="P86" s="168"/>
      <c r="Q86" s="168"/>
      <c r="R86" s="168"/>
      <c r="S86" s="168"/>
      <c r="T86" s="168"/>
      <c r="U86" s="168"/>
      <c r="V86" s="168"/>
    </row>
    <row r="87" spans="1:22" ht="16" outlineLevel="1" thickTop="1" thickBot="1">
      <c r="A87" s="340"/>
      <c r="B87" s="406"/>
      <c r="C87" s="346"/>
      <c r="D87" s="346" t="s">
        <v>358</v>
      </c>
      <c r="E87" s="364">
        <v>0</v>
      </c>
      <c r="F87" s="178"/>
      <c r="G87" s="381"/>
      <c r="H87" s="353"/>
      <c r="I87" s="340"/>
      <c r="J87" s="188" t="s">
        <v>406</v>
      </c>
      <c r="K87" s="355"/>
      <c r="L87" s="355"/>
      <c r="M87" s="168"/>
      <c r="N87" s="168"/>
      <c r="O87" s="168"/>
      <c r="P87" s="168"/>
      <c r="Q87" s="168"/>
      <c r="R87" s="168"/>
      <c r="S87" s="168"/>
      <c r="T87" s="168"/>
      <c r="U87" s="168"/>
      <c r="V87" s="168"/>
    </row>
    <row r="88" spans="1:22" ht="16" outlineLevel="1" thickTop="1" thickBot="1">
      <c r="A88" s="340"/>
      <c r="B88" s="406"/>
      <c r="C88" s="346"/>
      <c r="D88" s="346" t="s">
        <v>359</v>
      </c>
      <c r="E88" s="364">
        <v>0</v>
      </c>
      <c r="F88" s="178"/>
      <c r="G88" s="381"/>
      <c r="H88" s="353"/>
      <c r="I88" s="340"/>
      <c r="J88" s="188" t="s">
        <v>406</v>
      </c>
      <c r="K88" s="355"/>
      <c r="L88" s="355"/>
      <c r="M88" s="168"/>
      <c r="N88" s="168"/>
      <c r="O88" s="168"/>
      <c r="P88" s="168"/>
      <c r="Q88" s="168"/>
      <c r="R88" s="168"/>
      <c r="S88" s="168"/>
      <c r="T88" s="168"/>
      <c r="U88" s="168"/>
      <c r="V88" s="168"/>
    </row>
    <row r="89" spans="1:22" ht="16" outlineLevel="1" thickTop="1" thickBot="1">
      <c r="A89" s="340"/>
      <c r="B89" s="406"/>
      <c r="C89" s="346"/>
      <c r="D89" s="346" t="s">
        <v>360</v>
      </c>
      <c r="E89" s="364">
        <v>0</v>
      </c>
      <c r="F89" s="178"/>
      <c r="G89" s="381"/>
      <c r="H89" s="353"/>
      <c r="I89" s="340"/>
      <c r="J89" s="188" t="s">
        <v>406</v>
      </c>
      <c r="K89" s="355"/>
      <c r="L89" s="355"/>
      <c r="M89" s="168"/>
      <c r="N89" s="168"/>
      <c r="O89" s="168"/>
      <c r="P89" s="168"/>
      <c r="Q89" s="168"/>
      <c r="R89" s="168"/>
      <c r="S89" s="168"/>
      <c r="T89" s="168"/>
      <c r="U89" s="168"/>
      <c r="V89" s="168"/>
    </row>
    <row r="90" spans="1:22" ht="16" outlineLevel="1" thickTop="1" thickBot="1">
      <c r="A90" s="340"/>
      <c r="B90" s="406"/>
      <c r="C90" s="346"/>
      <c r="D90" s="346" t="s">
        <v>361</v>
      </c>
      <c r="E90" s="364">
        <v>0</v>
      </c>
      <c r="F90" s="178"/>
      <c r="G90" s="381"/>
      <c r="H90" s="353"/>
      <c r="I90" s="340"/>
      <c r="J90" s="188" t="s">
        <v>406</v>
      </c>
      <c r="K90" s="355"/>
      <c r="L90" s="355"/>
      <c r="M90" s="168"/>
      <c r="N90" s="168"/>
      <c r="O90" s="168"/>
      <c r="P90" s="168"/>
      <c r="Q90" s="168"/>
      <c r="R90" s="168"/>
      <c r="S90" s="168"/>
      <c r="T90" s="168"/>
      <c r="U90" s="168"/>
      <c r="V90" s="168"/>
    </row>
    <row r="91" spans="1:22" ht="16" outlineLevel="1" thickTop="1" thickBot="1">
      <c r="A91" s="340"/>
      <c r="B91" s="406"/>
      <c r="C91" s="346"/>
      <c r="D91" s="346" t="s">
        <v>362</v>
      </c>
      <c r="E91" s="364">
        <v>0</v>
      </c>
      <c r="F91" s="178"/>
      <c r="G91" s="381"/>
      <c r="H91" s="353"/>
      <c r="I91" s="340"/>
      <c r="J91" s="188" t="s">
        <v>406</v>
      </c>
      <c r="K91" s="355"/>
      <c r="L91" s="355"/>
      <c r="M91" s="168"/>
      <c r="N91" s="168"/>
      <c r="O91" s="168"/>
      <c r="P91" s="168"/>
      <c r="Q91" s="168"/>
      <c r="R91" s="168"/>
      <c r="S91" s="168"/>
      <c r="T91" s="168"/>
      <c r="U91" s="168"/>
      <c r="V91" s="168"/>
    </row>
    <row r="92" spans="1:22" ht="16" outlineLevel="1" thickTop="1" thickBot="1">
      <c r="A92" s="340"/>
      <c r="B92" s="406"/>
      <c r="C92" s="346"/>
      <c r="D92" s="346" t="s">
        <v>363</v>
      </c>
      <c r="E92" s="364">
        <v>0</v>
      </c>
      <c r="F92" s="178"/>
      <c r="G92" s="381"/>
      <c r="H92" s="353"/>
      <c r="I92" s="340"/>
      <c r="J92" s="188" t="s">
        <v>406</v>
      </c>
      <c r="K92" s="355"/>
      <c r="L92" s="355"/>
      <c r="M92" s="168"/>
      <c r="N92" s="168"/>
      <c r="O92" s="168"/>
      <c r="P92" s="168"/>
      <c r="Q92" s="168"/>
      <c r="R92" s="168"/>
      <c r="S92" s="168"/>
      <c r="T92" s="168"/>
      <c r="U92" s="168"/>
      <c r="V92" s="168"/>
    </row>
    <row r="93" spans="1:22" ht="16" outlineLevel="1" thickTop="1" thickBot="1">
      <c r="A93" s="340"/>
      <c r="B93" s="406"/>
      <c r="C93" s="346"/>
      <c r="D93" s="346" t="s">
        <v>364</v>
      </c>
      <c r="E93" s="364">
        <v>0</v>
      </c>
      <c r="F93" s="178"/>
      <c r="G93" s="381"/>
      <c r="H93" s="353"/>
      <c r="I93" s="340"/>
      <c r="J93" s="188" t="s">
        <v>406</v>
      </c>
      <c r="K93" s="355"/>
      <c r="L93" s="355"/>
      <c r="M93" s="168"/>
      <c r="N93" s="168"/>
      <c r="O93" s="168"/>
      <c r="P93" s="168"/>
      <c r="Q93" s="168"/>
      <c r="R93" s="168"/>
      <c r="S93" s="168"/>
      <c r="T93" s="168"/>
      <c r="U93" s="168"/>
      <c r="V93" s="168"/>
    </row>
    <row r="94" spans="1:22" ht="16" outlineLevel="1" thickTop="1" thickBot="1">
      <c r="A94" s="340"/>
      <c r="B94" s="406"/>
      <c r="C94" s="346"/>
      <c r="D94" s="346" t="s">
        <v>365</v>
      </c>
      <c r="E94" s="364">
        <v>0</v>
      </c>
      <c r="F94" s="178"/>
      <c r="G94" s="381"/>
      <c r="H94" s="353"/>
      <c r="I94" s="340"/>
      <c r="J94" s="188" t="s">
        <v>406</v>
      </c>
      <c r="K94" s="355"/>
      <c r="L94" s="355"/>
      <c r="M94" s="168"/>
      <c r="N94" s="168"/>
      <c r="O94" s="168"/>
      <c r="P94" s="168"/>
      <c r="Q94" s="168"/>
      <c r="R94" s="168"/>
      <c r="S94" s="168"/>
      <c r="T94" s="168"/>
      <c r="U94" s="168"/>
      <c r="V94" s="168"/>
    </row>
    <row r="95" spans="1:22" ht="16" outlineLevel="1" thickTop="1" thickBot="1">
      <c r="A95" s="340"/>
      <c r="B95" s="406"/>
      <c r="C95" s="346"/>
      <c r="D95" s="346" t="s">
        <v>366</v>
      </c>
      <c r="E95" s="364">
        <v>0</v>
      </c>
      <c r="F95" s="178"/>
      <c r="G95" s="381"/>
      <c r="H95" s="353"/>
      <c r="I95" s="340"/>
      <c r="J95" s="188" t="s">
        <v>406</v>
      </c>
      <c r="K95" s="355"/>
      <c r="L95" s="355"/>
      <c r="M95" s="168"/>
      <c r="N95" s="168"/>
      <c r="O95" s="168"/>
      <c r="P95" s="168"/>
      <c r="Q95" s="168"/>
      <c r="R95" s="168"/>
      <c r="S95" s="168"/>
      <c r="T95" s="168"/>
      <c r="U95" s="168"/>
      <c r="V95" s="168"/>
    </row>
    <row r="96" spans="1:22" ht="16" outlineLevel="1" thickTop="1" thickBot="1">
      <c r="A96" s="340"/>
      <c r="B96" s="406"/>
      <c r="C96" s="346"/>
      <c r="D96" s="346" t="s">
        <v>367</v>
      </c>
      <c r="E96" s="364">
        <v>0</v>
      </c>
      <c r="F96" s="178"/>
      <c r="G96" s="381"/>
      <c r="H96" s="353"/>
      <c r="I96" s="340"/>
      <c r="J96" s="188" t="s">
        <v>406</v>
      </c>
      <c r="K96" s="355"/>
      <c r="L96" s="355"/>
      <c r="M96" s="168"/>
      <c r="N96" s="168"/>
      <c r="O96" s="168"/>
      <c r="P96" s="168"/>
      <c r="Q96" s="168"/>
      <c r="R96" s="168"/>
      <c r="S96" s="168"/>
      <c r="T96" s="168"/>
      <c r="U96" s="168"/>
      <c r="V96" s="168"/>
    </row>
    <row r="97" spans="1:22" ht="16" outlineLevel="1" thickTop="1" thickBot="1">
      <c r="A97" s="340"/>
      <c r="B97" s="406"/>
      <c r="C97" s="346"/>
      <c r="D97" s="346" t="s">
        <v>368</v>
      </c>
      <c r="E97" s="364">
        <v>0</v>
      </c>
      <c r="F97" s="178"/>
      <c r="G97" s="381"/>
      <c r="H97" s="353"/>
      <c r="I97" s="340"/>
      <c r="J97" s="188" t="s">
        <v>406</v>
      </c>
      <c r="K97" s="355"/>
      <c r="L97" s="355"/>
      <c r="M97" s="168"/>
      <c r="N97" s="168"/>
      <c r="O97" s="168"/>
      <c r="P97" s="168"/>
      <c r="Q97" s="168"/>
      <c r="R97" s="168"/>
      <c r="S97" s="168"/>
      <c r="T97" s="168"/>
      <c r="U97" s="168"/>
      <c r="V97" s="168"/>
    </row>
    <row r="98" spans="1:22" ht="16" outlineLevel="1" thickTop="1" thickBot="1">
      <c r="A98" s="340"/>
      <c r="B98" s="406"/>
      <c r="C98" s="346"/>
      <c r="D98" s="346" t="s">
        <v>369</v>
      </c>
      <c r="E98" s="364">
        <v>0</v>
      </c>
      <c r="F98" s="178"/>
      <c r="G98" s="381"/>
      <c r="H98" s="353"/>
      <c r="I98" s="340"/>
      <c r="J98" s="188" t="s">
        <v>406</v>
      </c>
      <c r="K98" s="355"/>
      <c r="L98" s="355"/>
      <c r="M98" s="168"/>
      <c r="N98" s="168"/>
      <c r="O98" s="168"/>
      <c r="P98" s="168"/>
      <c r="Q98" s="168"/>
      <c r="R98" s="168"/>
      <c r="S98" s="168"/>
      <c r="T98" s="168"/>
      <c r="U98" s="168"/>
      <c r="V98" s="168"/>
    </row>
    <row r="99" spans="1:22" ht="16" outlineLevel="1" thickTop="1" thickBot="1">
      <c r="A99" s="340"/>
      <c r="B99" s="406"/>
      <c r="C99" s="346"/>
      <c r="D99" s="346" t="s">
        <v>370</v>
      </c>
      <c r="E99" s="364">
        <v>0</v>
      </c>
      <c r="F99" s="178"/>
      <c r="G99" s="381"/>
      <c r="H99" s="353"/>
      <c r="I99" s="340"/>
      <c r="J99" s="188" t="s">
        <v>406</v>
      </c>
      <c r="K99" s="355"/>
      <c r="L99" s="355"/>
      <c r="M99" s="168"/>
      <c r="N99" s="168"/>
      <c r="O99" s="168"/>
      <c r="P99" s="168"/>
      <c r="Q99" s="168"/>
      <c r="R99" s="168"/>
      <c r="S99" s="168"/>
      <c r="T99" s="168"/>
      <c r="U99" s="168"/>
      <c r="V99" s="168"/>
    </row>
    <row r="100" spans="1:22" ht="16" outlineLevel="1" thickTop="1" thickBot="1">
      <c r="A100" s="340"/>
      <c r="B100" s="406"/>
      <c r="C100" s="346"/>
      <c r="D100" s="346" t="s">
        <v>371</v>
      </c>
      <c r="E100" s="364">
        <v>0</v>
      </c>
      <c r="F100" s="178"/>
      <c r="G100" s="381"/>
      <c r="H100" s="353"/>
      <c r="I100" s="340"/>
      <c r="J100" s="188" t="s">
        <v>406</v>
      </c>
      <c r="K100" s="355"/>
      <c r="L100" s="355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</row>
    <row r="101" spans="1:22" ht="16" outlineLevel="1" thickTop="1" thickBot="1">
      <c r="A101" s="340"/>
      <c r="B101" s="406"/>
      <c r="C101" s="346"/>
      <c r="D101" s="346" t="s">
        <v>372</v>
      </c>
      <c r="E101" s="364">
        <v>0</v>
      </c>
      <c r="F101" s="178"/>
      <c r="G101" s="381"/>
      <c r="H101" s="353"/>
      <c r="I101" s="340"/>
      <c r="J101" s="188" t="s">
        <v>406</v>
      </c>
      <c r="K101" s="355"/>
      <c r="L101" s="355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</row>
    <row r="102" spans="1:22" ht="16" outlineLevel="1" thickTop="1" thickBot="1">
      <c r="A102" s="340"/>
      <c r="B102" s="406"/>
      <c r="C102" s="346"/>
      <c r="D102" s="346" t="s">
        <v>373</v>
      </c>
      <c r="E102" s="364">
        <v>0</v>
      </c>
      <c r="F102" s="178"/>
      <c r="G102" s="381"/>
      <c r="H102" s="353"/>
      <c r="I102" s="340"/>
      <c r="J102" s="188" t="s">
        <v>406</v>
      </c>
      <c r="K102" s="355"/>
      <c r="L102" s="355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</row>
    <row r="103" spans="1:22" ht="16" outlineLevel="1" thickTop="1" thickBot="1">
      <c r="A103" s="340"/>
      <c r="B103" s="406"/>
      <c r="C103" s="346"/>
      <c r="D103" s="346" t="s">
        <v>374</v>
      </c>
      <c r="E103" s="364">
        <v>0</v>
      </c>
      <c r="F103" s="178"/>
      <c r="G103" s="381"/>
      <c r="H103" s="353"/>
      <c r="I103" s="340"/>
      <c r="J103" s="188" t="s">
        <v>406</v>
      </c>
      <c r="K103" s="355"/>
      <c r="L103" s="355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</row>
    <row r="104" spans="1:22" ht="16" outlineLevel="1" thickTop="1" thickBot="1">
      <c r="A104" s="340"/>
      <c r="B104" s="406"/>
      <c r="C104" s="346"/>
      <c r="D104" s="346" t="s">
        <v>375</v>
      </c>
      <c r="E104" s="364">
        <v>0</v>
      </c>
      <c r="F104" s="178"/>
      <c r="G104" s="381"/>
      <c r="H104" s="353"/>
      <c r="I104" s="340"/>
      <c r="J104" s="188" t="s">
        <v>406</v>
      </c>
      <c r="K104" s="355"/>
      <c r="L104" s="355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</row>
    <row r="105" spans="1:22" ht="16" outlineLevel="1" thickTop="1" thickBot="1">
      <c r="A105" s="340"/>
      <c r="B105" s="406"/>
      <c r="C105" s="346"/>
      <c r="D105" s="346" t="s">
        <v>376</v>
      </c>
      <c r="E105" s="364">
        <v>0</v>
      </c>
      <c r="F105" s="178"/>
      <c r="G105" s="381"/>
      <c r="H105" s="353"/>
      <c r="I105" s="340"/>
      <c r="J105" s="188" t="s">
        <v>406</v>
      </c>
      <c r="K105" s="355"/>
      <c r="L105" s="355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</row>
    <row r="106" spans="1:22" ht="16" outlineLevel="1" thickTop="1" thickBot="1">
      <c r="A106" s="340"/>
      <c r="B106" s="406"/>
      <c r="C106" s="346"/>
      <c r="D106" s="346" t="s">
        <v>377</v>
      </c>
      <c r="E106" s="364">
        <v>0</v>
      </c>
      <c r="F106" s="178"/>
      <c r="G106" s="381"/>
      <c r="H106" s="353"/>
      <c r="I106" s="340"/>
      <c r="J106" s="188" t="s">
        <v>406</v>
      </c>
      <c r="K106" s="355"/>
      <c r="L106" s="355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</row>
    <row r="107" spans="1:22" ht="16" outlineLevel="1" thickTop="1" thickBot="1">
      <c r="A107" s="340"/>
      <c r="B107" s="406"/>
      <c r="C107" s="346"/>
      <c r="D107" s="346" t="s">
        <v>378</v>
      </c>
      <c r="E107" s="364">
        <v>0</v>
      </c>
      <c r="F107" s="178"/>
      <c r="G107" s="381"/>
      <c r="H107" s="353"/>
      <c r="I107" s="340"/>
      <c r="J107" s="188" t="s">
        <v>406</v>
      </c>
      <c r="K107" s="355"/>
      <c r="L107" s="355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</row>
    <row r="108" spans="1:22" ht="16" outlineLevel="1" thickTop="1" thickBot="1">
      <c r="A108" s="340"/>
      <c r="B108" s="406"/>
      <c r="C108" s="346"/>
      <c r="D108" s="346" t="s">
        <v>379</v>
      </c>
      <c r="E108" s="364">
        <v>0</v>
      </c>
      <c r="F108" s="178"/>
      <c r="G108" s="381"/>
      <c r="H108" s="353"/>
      <c r="I108" s="340"/>
      <c r="J108" s="188" t="s">
        <v>406</v>
      </c>
      <c r="K108" s="355"/>
      <c r="L108" s="355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</row>
    <row r="109" spans="1:22" ht="16" outlineLevel="1" thickTop="1" thickBot="1">
      <c r="A109" s="340"/>
      <c r="B109" s="406"/>
      <c r="C109" s="346"/>
      <c r="D109" s="346" t="s">
        <v>380</v>
      </c>
      <c r="E109" s="364">
        <v>0</v>
      </c>
      <c r="F109" s="178"/>
      <c r="G109" s="381"/>
      <c r="H109" s="353"/>
      <c r="I109" s="340"/>
      <c r="J109" s="188" t="s">
        <v>406</v>
      </c>
      <c r="K109" s="355"/>
      <c r="L109" s="355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</row>
    <row r="110" spans="1:22" ht="16" outlineLevel="1" thickTop="1" thickBot="1">
      <c r="A110" s="340"/>
      <c r="B110" s="406"/>
      <c r="C110" s="346"/>
      <c r="D110" s="346" t="s">
        <v>381</v>
      </c>
      <c r="E110" s="364">
        <v>0</v>
      </c>
      <c r="F110" s="178"/>
      <c r="G110" s="381"/>
      <c r="H110" s="353"/>
      <c r="I110" s="340"/>
      <c r="J110" s="188" t="s">
        <v>406</v>
      </c>
      <c r="K110" s="355"/>
      <c r="L110" s="355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</row>
    <row r="111" spans="1:22" ht="16" outlineLevel="1" thickTop="1" thickBot="1">
      <c r="A111" s="340"/>
      <c r="B111" s="406"/>
      <c r="C111" s="346"/>
      <c r="D111" s="346" t="s">
        <v>382</v>
      </c>
      <c r="E111" s="364">
        <v>0</v>
      </c>
      <c r="F111" s="178"/>
      <c r="G111" s="381"/>
      <c r="H111" s="353"/>
      <c r="I111" s="340"/>
      <c r="J111" s="188" t="s">
        <v>406</v>
      </c>
      <c r="K111" s="355"/>
      <c r="L111" s="355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</row>
    <row r="112" spans="1:22" ht="16" outlineLevel="1" thickTop="1" thickBot="1">
      <c r="A112" s="340"/>
      <c r="B112" s="406"/>
      <c r="C112" s="346"/>
      <c r="D112" s="346" t="s">
        <v>383</v>
      </c>
      <c r="E112" s="364">
        <v>0</v>
      </c>
      <c r="F112" s="178"/>
      <c r="G112" s="381"/>
      <c r="H112" s="353"/>
      <c r="I112" s="340"/>
      <c r="J112" s="188" t="s">
        <v>406</v>
      </c>
      <c r="K112" s="355"/>
      <c r="L112" s="355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</row>
    <row r="113" spans="1:22" ht="16" outlineLevel="1" thickTop="1" thickBot="1">
      <c r="A113" s="340"/>
      <c r="B113" s="406"/>
      <c r="C113" s="346"/>
      <c r="D113" s="346" t="s">
        <v>384</v>
      </c>
      <c r="E113" s="364">
        <v>0</v>
      </c>
      <c r="F113" s="178"/>
      <c r="G113" s="381"/>
      <c r="H113" s="353"/>
      <c r="I113" s="340"/>
      <c r="J113" s="188" t="s">
        <v>406</v>
      </c>
      <c r="K113" s="355"/>
      <c r="L113" s="355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</row>
    <row r="114" spans="1:22" ht="16" outlineLevel="1" thickTop="1" thickBot="1">
      <c r="A114" s="340"/>
      <c r="B114" s="406"/>
      <c r="C114" s="346"/>
      <c r="D114" s="346" t="s">
        <v>385</v>
      </c>
      <c r="E114" s="364">
        <v>0</v>
      </c>
      <c r="F114" s="178"/>
      <c r="G114" s="381"/>
      <c r="H114" s="353"/>
      <c r="I114" s="340"/>
      <c r="J114" s="188" t="s">
        <v>406</v>
      </c>
      <c r="K114" s="355"/>
      <c r="L114" s="355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</row>
    <row r="115" spans="1:22" ht="16" outlineLevel="1" thickTop="1" thickBot="1">
      <c r="A115" s="340"/>
      <c r="B115" s="406"/>
      <c r="C115" s="346"/>
      <c r="D115" s="346" t="s">
        <v>386</v>
      </c>
      <c r="E115" s="364">
        <v>0</v>
      </c>
      <c r="F115" s="178"/>
      <c r="G115" s="381"/>
      <c r="H115" s="353"/>
      <c r="I115" s="340"/>
      <c r="J115" s="188" t="s">
        <v>406</v>
      </c>
      <c r="K115" s="355"/>
      <c r="L115" s="355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</row>
    <row r="116" spans="1:22" ht="16" outlineLevel="1" thickTop="1" thickBot="1">
      <c r="A116" s="340"/>
      <c r="B116" s="406"/>
      <c r="C116" s="346"/>
      <c r="D116" s="346" t="s">
        <v>387</v>
      </c>
      <c r="E116" s="364">
        <v>0</v>
      </c>
      <c r="F116" s="178"/>
      <c r="G116" s="381"/>
      <c r="H116" s="353"/>
      <c r="I116" s="340"/>
      <c r="J116" s="188" t="s">
        <v>406</v>
      </c>
      <c r="K116" s="355"/>
      <c r="L116" s="355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</row>
    <row r="117" spans="1:22" ht="16" outlineLevel="1" thickTop="1" thickBot="1">
      <c r="A117" s="340"/>
      <c r="B117" s="406"/>
      <c r="C117" s="346"/>
      <c r="D117" s="346" t="s">
        <v>388</v>
      </c>
      <c r="E117" s="364">
        <v>0</v>
      </c>
      <c r="F117" s="178"/>
      <c r="G117" s="381"/>
      <c r="H117" s="353"/>
      <c r="I117" s="340"/>
      <c r="J117" s="188" t="s">
        <v>406</v>
      </c>
      <c r="K117" s="355"/>
      <c r="L117" s="355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</row>
    <row r="118" spans="1:22" ht="16" outlineLevel="1" thickTop="1" thickBot="1">
      <c r="A118" s="340"/>
      <c r="B118" s="406"/>
      <c r="C118" s="346"/>
      <c r="D118" s="346" t="s">
        <v>389</v>
      </c>
      <c r="E118" s="364">
        <v>0</v>
      </c>
      <c r="F118" s="178"/>
      <c r="G118" s="381"/>
      <c r="H118" s="353"/>
      <c r="I118" s="340"/>
      <c r="J118" s="188" t="s">
        <v>406</v>
      </c>
      <c r="K118" s="355"/>
      <c r="L118" s="355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</row>
    <row r="119" spans="1:22" ht="16" outlineLevel="1" thickTop="1" thickBot="1">
      <c r="A119" s="340"/>
      <c r="B119" s="406"/>
      <c r="C119" s="346"/>
      <c r="D119" s="346" t="s">
        <v>390</v>
      </c>
      <c r="E119" s="364">
        <v>0</v>
      </c>
      <c r="F119" s="178"/>
      <c r="G119" s="381"/>
      <c r="H119" s="353"/>
      <c r="I119" s="340"/>
      <c r="J119" s="188" t="s">
        <v>406</v>
      </c>
      <c r="K119" s="355"/>
      <c r="L119" s="355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</row>
    <row r="120" spans="1:22" ht="16" outlineLevel="1" thickTop="1" thickBot="1">
      <c r="A120" s="340"/>
      <c r="B120" s="406"/>
      <c r="C120" s="346"/>
      <c r="D120" s="346" t="s">
        <v>391</v>
      </c>
      <c r="E120" s="364">
        <v>0</v>
      </c>
      <c r="F120" s="178"/>
      <c r="G120" s="381"/>
      <c r="H120" s="353"/>
      <c r="I120" s="340"/>
      <c r="J120" s="188" t="s">
        <v>406</v>
      </c>
      <c r="K120" s="355"/>
      <c r="L120" s="355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</row>
    <row r="121" spans="1:22" ht="16" outlineLevel="1" thickTop="1" thickBot="1">
      <c r="A121" s="340"/>
      <c r="B121" s="406"/>
      <c r="C121" s="346"/>
      <c r="D121" s="346" t="s">
        <v>392</v>
      </c>
      <c r="E121" s="364">
        <v>0</v>
      </c>
      <c r="F121" s="178"/>
      <c r="G121" s="381"/>
      <c r="H121" s="353"/>
      <c r="I121" s="340"/>
      <c r="J121" s="188" t="s">
        <v>406</v>
      </c>
      <c r="K121" s="355"/>
      <c r="L121" s="355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</row>
    <row r="122" spans="1:22" ht="16" outlineLevel="1" thickTop="1" thickBot="1">
      <c r="A122" s="340"/>
      <c r="B122" s="406"/>
      <c r="C122" s="346"/>
      <c r="D122" s="346" t="s">
        <v>393</v>
      </c>
      <c r="E122" s="364">
        <v>0</v>
      </c>
      <c r="F122" s="178"/>
      <c r="G122" s="381"/>
      <c r="H122" s="353"/>
      <c r="I122" s="340"/>
      <c r="J122" s="188" t="s">
        <v>406</v>
      </c>
      <c r="K122" s="355"/>
      <c r="L122" s="355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</row>
    <row r="123" spans="1:22" ht="16" outlineLevel="1" thickTop="1" thickBot="1">
      <c r="A123" s="340"/>
      <c r="B123" s="406"/>
      <c r="C123" s="346"/>
      <c r="D123" s="346" t="s">
        <v>394</v>
      </c>
      <c r="E123" s="364">
        <v>0</v>
      </c>
      <c r="F123" s="178"/>
      <c r="G123" s="381"/>
      <c r="H123" s="353"/>
      <c r="I123" s="340"/>
      <c r="J123" s="188" t="s">
        <v>406</v>
      </c>
      <c r="K123" s="355"/>
      <c r="L123" s="355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</row>
    <row r="124" spans="1:22" ht="16" outlineLevel="1" thickTop="1" thickBot="1">
      <c r="A124" s="340"/>
      <c r="B124" s="406"/>
      <c r="C124" s="346"/>
      <c r="D124" s="346" t="s">
        <v>395</v>
      </c>
      <c r="E124" s="364">
        <v>0</v>
      </c>
      <c r="F124" s="178"/>
      <c r="G124" s="381"/>
      <c r="H124" s="353"/>
      <c r="I124" s="340"/>
      <c r="J124" s="188" t="s">
        <v>406</v>
      </c>
      <c r="K124" s="355"/>
      <c r="L124" s="355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</row>
    <row r="125" spans="1:22" ht="16" outlineLevel="1" thickTop="1" thickBot="1">
      <c r="A125" s="340"/>
      <c r="B125" s="406"/>
      <c r="C125" s="346"/>
      <c r="D125" s="346" t="s">
        <v>396</v>
      </c>
      <c r="E125" s="364">
        <v>0</v>
      </c>
      <c r="F125" s="178"/>
      <c r="G125" s="381"/>
      <c r="H125" s="353"/>
      <c r="I125" s="340"/>
      <c r="J125" s="188" t="s">
        <v>406</v>
      </c>
      <c r="K125" s="355"/>
      <c r="L125" s="355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</row>
    <row r="126" spans="1:22" ht="16" outlineLevel="1" thickTop="1" thickBot="1">
      <c r="A126" s="340"/>
      <c r="B126" s="406"/>
      <c r="C126" s="346"/>
      <c r="D126" s="346" t="s">
        <v>397</v>
      </c>
      <c r="E126" s="364">
        <v>0</v>
      </c>
      <c r="F126" s="178"/>
      <c r="G126" s="381"/>
      <c r="H126" s="353"/>
      <c r="I126" s="340"/>
      <c r="J126" s="188" t="s">
        <v>406</v>
      </c>
      <c r="K126" s="355"/>
      <c r="L126" s="355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</row>
    <row r="127" spans="1:22" ht="16" outlineLevel="1" thickTop="1" thickBot="1">
      <c r="A127" s="340"/>
      <c r="B127" s="406"/>
      <c r="C127" s="346"/>
      <c r="D127" s="346" t="s">
        <v>398</v>
      </c>
      <c r="E127" s="364">
        <v>0</v>
      </c>
      <c r="F127" s="178"/>
      <c r="G127" s="381"/>
      <c r="H127" s="353"/>
      <c r="I127" s="340"/>
      <c r="J127" s="188" t="s">
        <v>406</v>
      </c>
      <c r="K127" s="355"/>
      <c r="L127" s="355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</row>
    <row r="128" spans="1:22" ht="16" outlineLevel="1" thickTop="1" thickBot="1">
      <c r="A128" s="340"/>
      <c r="B128" s="406"/>
      <c r="C128" s="346"/>
      <c r="D128" s="346" t="s">
        <v>399</v>
      </c>
      <c r="E128" s="364">
        <v>0</v>
      </c>
      <c r="F128" s="178"/>
      <c r="G128" s="381"/>
      <c r="H128" s="353"/>
      <c r="I128" s="340"/>
      <c r="J128" s="188" t="s">
        <v>406</v>
      </c>
      <c r="K128" s="355"/>
      <c r="L128" s="355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</row>
    <row r="129" spans="1:22" ht="16" outlineLevel="1" thickTop="1" thickBot="1">
      <c r="A129" s="340"/>
      <c r="B129" s="406"/>
      <c r="C129" s="346"/>
      <c r="D129" s="346" t="s">
        <v>400</v>
      </c>
      <c r="E129" s="364">
        <v>0</v>
      </c>
      <c r="F129" s="178"/>
      <c r="G129" s="381"/>
      <c r="H129" s="353"/>
      <c r="I129" s="340"/>
      <c r="J129" s="188" t="s">
        <v>406</v>
      </c>
      <c r="K129" s="355"/>
      <c r="L129" s="355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</row>
    <row r="130" spans="1:22" ht="16" outlineLevel="1" thickTop="1" thickBot="1">
      <c r="A130" s="340"/>
      <c r="B130" s="406"/>
      <c r="C130" s="346"/>
      <c r="D130" s="346" t="s">
        <v>401</v>
      </c>
      <c r="E130" s="364">
        <v>0</v>
      </c>
      <c r="F130" s="178"/>
      <c r="G130" s="381"/>
      <c r="H130" s="353"/>
      <c r="I130" s="340"/>
      <c r="J130" s="188" t="s">
        <v>406</v>
      </c>
      <c r="K130" s="355"/>
      <c r="L130" s="355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</row>
    <row r="131" spans="1:22" ht="16" outlineLevel="1" thickTop="1" thickBot="1">
      <c r="A131" s="340"/>
      <c r="B131" s="406"/>
      <c r="C131" s="346"/>
      <c r="D131" s="346" t="s">
        <v>402</v>
      </c>
      <c r="E131" s="364">
        <v>0</v>
      </c>
      <c r="F131" s="182">
        <f>c_optionpmt</f>
        <v>1153500</v>
      </c>
      <c r="G131" s="382"/>
      <c r="H131" s="353"/>
      <c r="I131" s="340"/>
      <c r="J131" s="188" t="s">
        <v>406</v>
      </c>
      <c r="K131" s="355"/>
      <c r="L131" s="355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</row>
    <row r="132" spans="1:22" ht="16" outlineLevel="1" thickTop="1" thickBot="1">
      <c r="A132" s="340"/>
      <c r="B132" s="406"/>
      <c r="C132" s="346"/>
      <c r="D132" s="346" t="s">
        <v>403</v>
      </c>
      <c r="E132" s="364">
        <v>0</v>
      </c>
      <c r="F132" s="182">
        <f>SUM(i_optionrefund)</f>
        <v>0</v>
      </c>
      <c r="G132" s="382"/>
      <c r="H132" s="353"/>
      <c r="I132" s="340"/>
      <c r="J132" s="188" t="s">
        <v>406</v>
      </c>
      <c r="K132" s="355"/>
      <c r="L132" s="355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</row>
    <row r="133" spans="1:22" ht="18" thickTop="1">
      <c r="A133" s="340"/>
      <c r="B133" s="406"/>
      <c r="C133" s="389" t="s">
        <v>323</v>
      </c>
      <c r="D133" s="357"/>
      <c r="E133" s="357"/>
      <c r="F133" s="357"/>
      <c r="G133" s="383"/>
      <c r="H133" s="353"/>
      <c r="I133" s="340"/>
      <c r="J133" s="340"/>
      <c r="K133" s="340"/>
      <c r="L133" s="355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</row>
    <row r="134" spans="1:22" ht="14" thickBot="1">
      <c r="A134" s="340"/>
      <c r="B134" s="406"/>
      <c r="C134" s="161" t="s">
        <v>210</v>
      </c>
      <c r="D134" s="171"/>
      <c r="E134" s="171"/>
      <c r="F134" s="183"/>
      <c r="G134" s="384"/>
      <c r="H134" s="353"/>
      <c r="I134" s="340"/>
      <c r="J134" s="355"/>
      <c r="K134" s="355"/>
      <c r="L134" s="355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</row>
    <row r="135" spans="1:22" ht="16" thickTop="1" thickBot="1">
      <c r="A135" s="392"/>
      <c r="B135" s="407"/>
      <c r="C135" s="393"/>
      <c r="D135" s="399" t="s">
        <v>235</v>
      </c>
      <c r="E135" s="394">
        <v>0.5</v>
      </c>
      <c r="F135" s="395"/>
      <c r="G135" s="395"/>
      <c r="H135" s="353"/>
      <c r="I135" s="392"/>
      <c r="J135" s="396" t="s">
        <v>334</v>
      </c>
      <c r="K135" s="397"/>
      <c r="L135" s="397">
        <f ca="1">E162</f>
        <v>5086328.8690687185</v>
      </c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</row>
    <row r="136" spans="1:22" ht="16" thickTop="1" thickBot="1">
      <c r="A136" s="340"/>
      <c r="B136" s="406"/>
      <c r="C136" s="346"/>
      <c r="D136" s="391" t="s">
        <v>87</v>
      </c>
      <c r="E136" s="347">
        <v>0</v>
      </c>
      <c r="F136" s="362">
        <f>i_seniorfee</f>
        <v>0</v>
      </c>
      <c r="G136" s="362"/>
      <c r="H136" s="353"/>
      <c r="I136" s="340"/>
      <c r="J136" s="354" t="s">
        <v>86</v>
      </c>
      <c r="K136" s="355"/>
      <c r="L136" s="355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</row>
    <row r="137" spans="1:22" ht="16" thickTop="1" thickBot="1">
      <c r="A137" s="340"/>
      <c r="B137" s="406"/>
      <c r="C137" s="346"/>
      <c r="D137" s="391" t="s">
        <v>122</v>
      </c>
      <c r="E137" s="589">
        <v>1</v>
      </c>
      <c r="F137" s="361" t="s">
        <v>45</v>
      </c>
      <c r="G137" s="361"/>
      <c r="H137" s="353"/>
      <c r="I137" s="340"/>
      <c r="J137" s="354" t="s">
        <v>162</v>
      </c>
      <c r="K137" s="355"/>
      <c r="L137" s="355"/>
      <c r="M137" s="194"/>
      <c r="N137" s="194"/>
      <c r="O137" s="194"/>
      <c r="P137" s="194"/>
      <c r="Q137" s="194"/>
      <c r="R137" s="194"/>
      <c r="S137" s="194"/>
      <c r="T137" s="194"/>
      <c r="U137" s="194"/>
      <c r="V137" s="194"/>
    </row>
    <row r="138" spans="1:22" ht="16" thickTop="1" thickBot="1">
      <c r="A138" s="340"/>
      <c r="B138" s="406"/>
      <c r="C138" s="358"/>
      <c r="D138" s="391" t="s">
        <v>236</v>
      </c>
      <c r="E138" s="510">
        <v>0.02</v>
      </c>
      <c r="F138" s="361"/>
      <c r="G138" s="361"/>
      <c r="H138" s="353"/>
      <c r="I138" s="340"/>
      <c r="J138" s="354" t="s">
        <v>335</v>
      </c>
      <c r="K138" s="355"/>
      <c r="L138" s="355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</row>
    <row r="139" spans="1:22" ht="16" thickTop="1" thickBot="1">
      <c r="A139" s="340"/>
      <c r="B139" s="406"/>
      <c r="C139" s="358"/>
      <c r="D139" s="391" t="s">
        <v>349</v>
      </c>
      <c r="E139" s="510">
        <v>2.5000000000000001E-2</v>
      </c>
      <c r="F139" s="361"/>
      <c r="G139" s="361"/>
      <c r="H139" s="353"/>
      <c r="I139" s="340"/>
      <c r="J139" s="354" t="s">
        <v>336</v>
      </c>
      <c r="K139" s="355"/>
      <c r="L139" s="355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</row>
    <row r="140" spans="1:22" ht="16" thickTop="1" thickBot="1">
      <c r="A140" s="340"/>
      <c r="B140" s="406"/>
      <c r="C140" s="358"/>
      <c r="D140" s="391" t="s">
        <v>350</v>
      </c>
      <c r="E140" s="347">
        <v>0</v>
      </c>
      <c r="F140" s="361"/>
      <c r="G140" s="361"/>
      <c r="H140" s="353"/>
      <c r="I140" s="340"/>
      <c r="J140" s="354" t="s">
        <v>337</v>
      </c>
      <c r="K140" s="355"/>
      <c r="L140" s="355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</row>
    <row r="141" spans="1:22" ht="16" thickTop="1" thickBot="1">
      <c r="A141" s="340"/>
      <c r="B141" s="406"/>
      <c r="C141" s="358"/>
      <c r="D141" s="391" t="s">
        <v>351</v>
      </c>
      <c r="E141" s="347">
        <v>0.99</v>
      </c>
      <c r="F141" s="361" t="s">
        <v>299</v>
      </c>
      <c r="G141" s="361"/>
      <c r="H141" s="353"/>
      <c r="I141" s="340"/>
      <c r="J141" s="354" t="s">
        <v>42</v>
      </c>
      <c r="K141" s="355"/>
      <c r="L141" s="355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</row>
    <row r="142" spans="1:22" ht="16" thickTop="1" thickBot="1">
      <c r="A142" s="340"/>
      <c r="B142" s="406"/>
      <c r="C142" s="358"/>
      <c r="D142" s="391" t="s">
        <v>124</v>
      </c>
      <c r="E142" s="359">
        <v>1</v>
      </c>
      <c r="F142" s="361" t="s">
        <v>125</v>
      </c>
      <c r="G142" s="361"/>
      <c r="H142" s="353"/>
      <c r="I142" s="340"/>
      <c r="J142" s="354" t="s">
        <v>126</v>
      </c>
      <c r="K142" s="355"/>
      <c r="L142" s="355"/>
      <c r="M142" s="194"/>
      <c r="N142" s="194"/>
      <c r="O142" s="194"/>
      <c r="P142" s="194"/>
      <c r="Q142" s="194"/>
      <c r="R142" s="194"/>
      <c r="S142" s="194"/>
      <c r="T142" s="194"/>
      <c r="U142" s="194"/>
      <c r="V142" s="194"/>
    </row>
    <row r="143" spans="1:22" ht="16" thickTop="1" thickBot="1">
      <c r="A143" s="340"/>
      <c r="B143" s="406"/>
      <c r="C143" s="358"/>
      <c r="D143" s="391" t="s">
        <v>249</v>
      </c>
      <c r="E143" s="347">
        <v>1.3</v>
      </c>
      <c r="F143" s="361"/>
      <c r="G143" s="361"/>
      <c r="H143" s="353"/>
      <c r="I143" s="340"/>
      <c r="J143" s="354" t="s">
        <v>248</v>
      </c>
      <c r="K143" s="355"/>
      <c r="L143" s="355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</row>
    <row r="144" spans="1:22" ht="14" thickTop="1">
      <c r="A144" s="340"/>
      <c r="B144" s="406"/>
      <c r="C144" s="358"/>
      <c r="D144" s="391" t="s">
        <v>253</v>
      </c>
      <c r="E144" s="512">
        <f ca="1">M_Onedeal!AD69</f>
        <v>172657.73813743709</v>
      </c>
      <c r="F144" s="362"/>
      <c r="G144" s="362"/>
      <c r="H144" s="353"/>
      <c r="I144" s="340"/>
      <c r="J144" s="354" t="s">
        <v>169</v>
      </c>
      <c r="K144" s="355"/>
      <c r="L144" s="355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</row>
    <row r="145" spans="1:22" ht="14" thickBot="1">
      <c r="A145" s="340"/>
      <c r="B145" s="406"/>
      <c r="C145" s="161" t="s">
        <v>473</v>
      </c>
      <c r="D145" s="161"/>
      <c r="E145" s="171"/>
      <c r="F145" s="183"/>
      <c r="G145" s="384"/>
      <c r="H145" s="353"/>
      <c r="I145" s="355"/>
      <c r="J145" s="355"/>
      <c r="K145" s="355"/>
      <c r="L145" s="355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</row>
    <row r="146" spans="1:22" ht="16" thickTop="1" thickBot="1">
      <c r="A146" s="340"/>
      <c r="B146" s="406"/>
      <c r="C146" s="358"/>
      <c r="D146" s="391" t="s">
        <v>174</v>
      </c>
      <c r="E146" s="347" t="s">
        <v>407</v>
      </c>
      <c r="F146" s="361"/>
      <c r="G146" s="361"/>
      <c r="H146" s="353"/>
      <c r="I146" s="340"/>
      <c r="J146" s="354" t="s">
        <v>176</v>
      </c>
      <c r="K146" s="355"/>
      <c r="L146" s="355"/>
      <c r="M146" s="172"/>
      <c r="N146" s="172"/>
      <c r="O146" s="172"/>
      <c r="P146" s="172"/>
      <c r="Q146" s="172"/>
      <c r="R146" s="172"/>
      <c r="S146" s="172"/>
      <c r="T146" s="172"/>
      <c r="U146" s="172"/>
      <c r="V146" s="172"/>
    </row>
    <row r="147" spans="1:22" ht="16" thickTop="1" thickBot="1">
      <c r="A147" s="340"/>
      <c r="B147" s="406"/>
      <c r="C147" s="358"/>
      <c r="D147" s="391" t="s">
        <v>175</v>
      </c>
      <c r="E147" s="347" t="s">
        <v>510</v>
      </c>
      <c r="F147" s="361"/>
      <c r="G147" s="361"/>
      <c r="H147" s="353"/>
      <c r="I147" s="340"/>
      <c r="J147" s="354" t="s">
        <v>177</v>
      </c>
      <c r="K147" s="355"/>
      <c r="L147" s="355"/>
      <c r="M147" s="172"/>
      <c r="N147" s="172"/>
      <c r="O147" s="172"/>
      <c r="P147" s="172"/>
      <c r="Q147" s="172"/>
      <c r="R147" s="172"/>
      <c r="S147" s="172"/>
      <c r="T147" s="172"/>
      <c r="U147" s="172"/>
      <c r="V147" s="172"/>
    </row>
    <row r="148" spans="1:22" ht="16" thickTop="1" thickBot="1">
      <c r="A148" s="340"/>
      <c r="B148" s="406"/>
      <c r="C148" s="358"/>
      <c r="D148" s="391" t="s">
        <v>427</v>
      </c>
      <c r="E148" s="347">
        <v>0.02</v>
      </c>
      <c r="F148" s="361" t="s">
        <v>421</v>
      </c>
      <c r="G148" s="361"/>
      <c r="H148" s="353"/>
      <c r="I148" s="340"/>
      <c r="J148" s="354" t="s">
        <v>338</v>
      </c>
      <c r="K148" s="355"/>
      <c r="L148" s="355"/>
      <c r="M148" s="172"/>
      <c r="N148" s="172"/>
      <c r="O148" s="172"/>
      <c r="P148" s="172"/>
      <c r="Q148" s="172"/>
      <c r="R148" s="172"/>
      <c r="S148" s="172"/>
      <c r="T148" s="172"/>
      <c r="U148" s="172"/>
      <c r="V148" s="172"/>
    </row>
    <row r="149" spans="1:22" ht="16" thickTop="1" thickBot="1">
      <c r="A149" s="340"/>
      <c r="B149" s="406"/>
      <c r="C149" s="358"/>
      <c r="D149" s="391" t="str">
        <f>"% of Dispo Fee to "&amp;i_gpnamea</f>
        <v>% of Dispo Fee to Crescent</v>
      </c>
      <c r="E149" s="347">
        <v>0.5</v>
      </c>
      <c r="F149" s="361"/>
      <c r="G149" s="361"/>
      <c r="H149" s="353"/>
      <c r="I149" s="340"/>
      <c r="J149" s="354" t="s">
        <v>182</v>
      </c>
      <c r="K149" s="355"/>
      <c r="L149" s="355"/>
      <c r="M149" s="172"/>
      <c r="N149" s="172"/>
      <c r="O149" s="172"/>
      <c r="P149" s="172"/>
      <c r="Q149" s="172"/>
      <c r="R149" s="172"/>
      <c r="S149" s="172"/>
      <c r="T149" s="172"/>
      <c r="U149" s="172"/>
      <c r="V149" s="172"/>
    </row>
    <row r="150" spans="1:22" ht="15" thickTop="1">
      <c r="A150" s="340"/>
      <c r="B150" s="406"/>
      <c r="C150" s="358"/>
      <c r="D150" s="391" t="str">
        <f>"% of Dispo Fee to "&amp;i_gpnameb</f>
        <v>% of Dispo Fee to LAO</v>
      </c>
      <c r="E150" s="347">
        <v>0.5</v>
      </c>
      <c r="F150" s="361"/>
      <c r="G150" s="361"/>
      <c r="H150" s="353"/>
      <c r="I150" s="340"/>
      <c r="J150" s="354" t="s">
        <v>181</v>
      </c>
      <c r="K150" s="355"/>
      <c r="L150" s="355"/>
      <c r="M150" s="172"/>
      <c r="N150" s="172"/>
      <c r="O150" s="172"/>
      <c r="P150" s="172"/>
      <c r="Q150" s="172"/>
      <c r="R150" s="172"/>
      <c r="S150" s="172"/>
      <c r="T150" s="172"/>
      <c r="U150" s="172"/>
      <c r="V150" s="172"/>
    </row>
    <row r="151" spans="1:22">
      <c r="A151" s="340"/>
      <c r="B151" s="406"/>
      <c r="C151" s="340"/>
      <c r="D151" s="340"/>
      <c r="E151" s="340"/>
      <c r="F151" s="340"/>
      <c r="G151" s="340"/>
      <c r="H151" s="340"/>
      <c r="I151" s="340"/>
      <c r="J151" s="340"/>
      <c r="K151" s="355"/>
      <c r="L151" s="355"/>
    </row>
    <row r="152" spans="1:22">
      <c r="A152" s="340"/>
      <c r="B152" s="406"/>
      <c r="C152" s="340"/>
      <c r="D152" s="340"/>
      <c r="E152" s="340"/>
      <c r="F152" s="340"/>
      <c r="G152" s="340"/>
      <c r="H152" s="340"/>
      <c r="I152" s="340"/>
      <c r="J152" s="340"/>
      <c r="K152" s="355"/>
      <c r="L152" s="355"/>
      <c r="M152" s="173"/>
      <c r="N152" s="173"/>
      <c r="O152" s="173"/>
      <c r="P152" s="173"/>
      <c r="Q152" s="173"/>
      <c r="R152" s="173"/>
      <c r="S152" s="173"/>
    </row>
    <row r="153" spans="1:22" ht="16">
      <c r="A153" s="340"/>
      <c r="B153" s="406"/>
      <c r="C153" s="52"/>
      <c r="D153" s="52" t="s">
        <v>291</v>
      </c>
      <c r="E153" s="174"/>
      <c r="F153" s="186"/>
      <c r="G153" s="385"/>
      <c r="H153" s="353"/>
      <c r="I153" s="340"/>
      <c r="J153" s="192" t="s">
        <v>339</v>
      </c>
      <c r="M153" s="174"/>
      <c r="N153" s="174"/>
      <c r="O153" s="174"/>
      <c r="P153" s="174"/>
      <c r="Q153" s="174"/>
      <c r="R153" s="174"/>
      <c r="S153" s="174"/>
    </row>
    <row r="154" spans="1:22" ht="14" thickBot="1">
      <c r="A154" s="340"/>
      <c r="B154" s="406"/>
      <c r="E154" s="173"/>
      <c r="F154" s="165"/>
      <c r="G154" s="165"/>
      <c r="H154" s="353"/>
      <c r="I154" s="340"/>
      <c r="J154" s="165"/>
      <c r="M154" s="173"/>
      <c r="N154" s="173"/>
      <c r="O154" s="173"/>
      <c r="P154" s="173"/>
      <c r="Q154" s="173"/>
      <c r="R154" s="173"/>
      <c r="S154" s="173"/>
    </row>
    <row r="155" spans="1:22" ht="16" thickTop="1" thickBot="1">
      <c r="A155" s="340"/>
      <c r="B155" s="406"/>
      <c r="C155" s="358"/>
      <c r="D155" s="391" t="s">
        <v>221</v>
      </c>
      <c r="E155" s="360">
        <f>i_lotimprovecost*i_lotstotal</f>
        <v>5000000</v>
      </c>
      <c r="F155" s="361"/>
      <c r="G155" s="361"/>
      <c r="H155" s="353"/>
      <c r="I155" s="340"/>
      <c r="J155" s="190" t="s">
        <v>234</v>
      </c>
      <c r="M155" s="175"/>
      <c r="N155" s="175"/>
      <c r="O155" s="175"/>
      <c r="P155" s="175"/>
      <c r="Q155" s="175"/>
      <c r="R155" s="175"/>
      <c r="S155" s="175"/>
    </row>
    <row r="156" spans="1:22" ht="16" thickTop="1" thickBot="1">
      <c r="A156" s="340"/>
      <c r="B156" s="406"/>
      <c r="C156" s="358"/>
      <c r="D156" s="391" t="s">
        <v>433</v>
      </c>
      <c r="E156" s="360">
        <f ca="1">i_landcost+c_improvecosts+i_othercosts+i_seniorintreserve+c_seniorfee</f>
        <v>10172657.738137437</v>
      </c>
      <c r="F156" s="361"/>
      <c r="G156" s="361"/>
      <c r="H156" s="353"/>
      <c r="I156" s="340"/>
      <c r="J156" s="190" t="s">
        <v>237</v>
      </c>
      <c r="M156" s="175"/>
      <c r="N156" s="175"/>
      <c r="O156" s="175"/>
      <c r="P156" s="175"/>
      <c r="Q156" s="175"/>
      <c r="R156" s="175"/>
      <c r="S156" s="175"/>
    </row>
    <row r="157" spans="1:22" ht="16" thickTop="1" thickBot="1">
      <c r="A157" s="340"/>
      <c r="B157" s="406"/>
      <c r="C157" s="358"/>
      <c r="D157" s="391" t="s">
        <v>222</v>
      </c>
      <c r="E157" s="364">
        <v>18</v>
      </c>
      <c r="F157" s="361"/>
      <c r="G157" s="361"/>
      <c r="H157" s="353"/>
      <c r="I157" s="340"/>
      <c r="J157" s="190" t="s">
        <v>233</v>
      </c>
      <c r="M157" s="176"/>
      <c r="N157" s="176"/>
      <c r="O157" s="176"/>
      <c r="P157" s="176"/>
      <c r="Q157" s="176"/>
      <c r="R157" s="176"/>
      <c r="S157" s="176"/>
    </row>
    <row r="158" spans="1:22" ht="16" thickTop="1" thickBot="1">
      <c r="A158" s="340"/>
      <c r="B158" s="406"/>
      <c r="C158" s="358"/>
      <c r="D158" s="391" t="s">
        <v>225</v>
      </c>
      <c r="E158" s="409">
        <v>48</v>
      </c>
      <c r="F158" s="361"/>
      <c r="G158" s="361"/>
      <c r="H158" s="353"/>
      <c r="I158" s="340"/>
      <c r="J158" s="190" t="s">
        <v>232</v>
      </c>
      <c r="M158" s="176"/>
      <c r="N158" s="176"/>
      <c r="O158" s="176"/>
      <c r="P158" s="176"/>
      <c r="Q158" s="176"/>
      <c r="R158" s="176"/>
      <c r="S158" s="176"/>
    </row>
    <row r="159" spans="1:22" ht="16" thickTop="1" thickBot="1">
      <c r="A159" s="340"/>
      <c r="B159" s="406"/>
      <c r="C159" s="358"/>
      <c r="D159" s="391" t="s">
        <v>43</v>
      </c>
      <c r="E159" s="409">
        <v>48</v>
      </c>
      <c r="F159" s="361"/>
      <c r="G159" s="361"/>
      <c r="H159" s="353"/>
      <c r="I159" s="340"/>
      <c r="J159" s="190" t="s">
        <v>232</v>
      </c>
      <c r="M159" s="176"/>
      <c r="N159" s="176"/>
      <c r="O159" s="176"/>
      <c r="P159" s="176"/>
      <c r="Q159" s="176"/>
      <c r="R159" s="176"/>
      <c r="S159" s="176"/>
    </row>
    <row r="160" spans="1:22" ht="15" thickTop="1">
      <c r="A160" s="340"/>
      <c r="B160" s="406"/>
      <c r="C160" s="358"/>
      <c r="D160" s="391" t="s">
        <v>228</v>
      </c>
      <c r="E160" s="364">
        <f>i_lotstotal*i_lotsalesprice*i_optionpct</f>
        <v>1153500</v>
      </c>
      <c r="F160" s="361"/>
      <c r="G160" s="361"/>
      <c r="H160" s="353"/>
      <c r="I160" s="340"/>
      <c r="J160" s="190" t="s">
        <v>231</v>
      </c>
      <c r="M160" s="175"/>
      <c r="N160" s="175"/>
      <c r="O160" s="175"/>
      <c r="P160" s="175"/>
      <c r="Q160" s="175"/>
      <c r="R160" s="175"/>
      <c r="S160" s="175"/>
    </row>
    <row r="161" spans="1:19">
      <c r="A161" s="340"/>
      <c r="B161" s="406"/>
      <c r="C161" s="165"/>
      <c r="D161" s="165"/>
      <c r="E161" s="173"/>
      <c r="F161" s="165"/>
      <c r="G161" s="165"/>
      <c r="H161" s="353"/>
      <c r="I161" s="340"/>
      <c r="J161" s="165"/>
      <c r="M161" s="173"/>
      <c r="N161" s="173"/>
      <c r="O161" s="173"/>
      <c r="P161" s="173"/>
      <c r="Q161" s="173"/>
      <c r="R161" s="173"/>
      <c r="S161" s="173"/>
    </row>
    <row r="162" spans="1:19">
      <c r="A162" s="340"/>
      <c r="B162" s="406"/>
      <c r="C162" s="187"/>
      <c r="D162" s="187" t="s">
        <v>238</v>
      </c>
      <c r="E162" s="175">
        <f ca="1">i_seniorpct*(c_improvecosts+i_landcost+i_othercosts+c_seniorfee+i_seniorintreserve)</f>
        <v>5086328.8690687185</v>
      </c>
      <c r="F162" s="187"/>
      <c r="G162" s="386"/>
      <c r="H162" s="353"/>
      <c r="I162" s="340"/>
      <c r="J162" s="190" t="s">
        <v>263</v>
      </c>
      <c r="M162" s="175"/>
      <c r="N162" s="175"/>
      <c r="O162" s="175"/>
      <c r="P162" s="175"/>
      <c r="Q162" s="175"/>
      <c r="R162" s="175"/>
      <c r="S162" s="175"/>
    </row>
    <row r="163" spans="1:19">
      <c r="A163" s="340"/>
      <c r="B163" s="406"/>
      <c r="C163" s="187"/>
      <c r="D163" s="187" t="s">
        <v>241</v>
      </c>
      <c r="E163" s="175">
        <f ca="1">c_seniordebt+IF(i_seniordrawovertime,-c_improvecosts-i_seniorintreserve,0)</f>
        <v>-86328.869068718515</v>
      </c>
      <c r="F163" s="187"/>
      <c r="G163" s="386"/>
      <c r="H163" s="353"/>
      <c r="I163" s="340"/>
      <c r="J163" s="190" t="s">
        <v>242</v>
      </c>
      <c r="M163" s="175"/>
      <c r="N163" s="175"/>
      <c r="O163" s="175"/>
      <c r="P163" s="175"/>
      <c r="Q163" s="175"/>
      <c r="R163" s="175"/>
      <c r="S163" s="175"/>
    </row>
    <row r="164" spans="1:19">
      <c r="A164" s="340"/>
      <c r="B164" s="406"/>
      <c r="C164" s="187"/>
      <c r="D164" s="187" t="s">
        <v>64</v>
      </c>
      <c r="E164" s="175">
        <f ca="1">c_seniordebt*i_seniorfee</f>
        <v>0</v>
      </c>
      <c r="F164" s="187"/>
      <c r="G164" s="386"/>
      <c r="H164" s="353"/>
      <c r="I164" s="340"/>
      <c r="J164" s="190" t="s">
        <v>88</v>
      </c>
      <c r="M164" s="175"/>
      <c r="N164" s="175"/>
      <c r="O164" s="175"/>
      <c r="P164" s="175"/>
      <c r="Q164" s="175"/>
      <c r="R164" s="175"/>
      <c r="S164" s="175"/>
    </row>
    <row r="165" spans="1:19">
      <c r="A165" s="340"/>
      <c r="B165" s="406"/>
      <c r="C165" s="187"/>
      <c r="D165" s="187" t="s">
        <v>247</v>
      </c>
      <c r="E165" s="175">
        <f ca="1">i_releaseprice*c_seniordebt/i_lotstotal</f>
        <v>66122.275297893342</v>
      </c>
      <c r="F165" s="187"/>
      <c r="G165" s="386"/>
      <c r="H165" s="353"/>
      <c r="I165" s="340"/>
      <c r="J165" s="190" t="s">
        <v>246</v>
      </c>
      <c r="M165" s="175"/>
      <c r="N165" s="175"/>
      <c r="O165" s="175"/>
      <c r="P165" s="175"/>
      <c r="Q165" s="175"/>
      <c r="R165" s="175"/>
      <c r="S165" s="175"/>
    </row>
    <row r="166" spans="1:19">
      <c r="A166" s="340"/>
      <c r="B166" s="406"/>
      <c r="C166" s="165"/>
      <c r="D166" s="165"/>
      <c r="E166" s="173"/>
      <c r="F166" s="165"/>
      <c r="G166" s="165"/>
      <c r="H166" s="353"/>
      <c r="I166" s="340"/>
      <c r="J166" s="165"/>
      <c r="M166" s="173"/>
      <c r="N166" s="173"/>
      <c r="O166" s="173"/>
      <c r="P166" s="173"/>
      <c r="Q166" s="173"/>
      <c r="R166" s="173"/>
      <c r="S166" s="173"/>
    </row>
    <row r="167" spans="1:19">
      <c r="A167" s="340"/>
      <c r="B167" s="406"/>
      <c r="C167" s="187"/>
      <c r="D167" s="187" t="s">
        <v>61</v>
      </c>
      <c r="E167" s="175">
        <f ca="1">c_totalcosts-c_seniordebt-c_optionpmt</f>
        <v>3932828.8690687185</v>
      </c>
      <c r="F167" s="187"/>
      <c r="G167" s="386"/>
      <c r="H167" s="353"/>
      <c r="I167" s="340"/>
      <c r="J167" s="190" t="s">
        <v>264</v>
      </c>
      <c r="M167" s="175"/>
      <c r="N167" s="175"/>
      <c r="O167" s="175"/>
      <c r="P167" s="175"/>
      <c r="Q167" s="175"/>
      <c r="R167" s="175"/>
      <c r="S167" s="175"/>
    </row>
    <row r="168" spans="1:19">
      <c r="A168" s="340"/>
      <c r="B168" s="406"/>
      <c r="C168" s="187"/>
      <c r="D168" s="187" t="s">
        <v>434</v>
      </c>
      <c r="E168" s="175">
        <f ca="1">i_landcost+i_othercosts-c_optionpmt-c_initialseniordebt+c_seniorfee</f>
        <v>3932828.8690687185</v>
      </c>
      <c r="F168" s="187"/>
      <c r="G168" s="386"/>
      <c r="H168" s="353"/>
      <c r="I168" s="340"/>
      <c r="J168" s="279" t="s">
        <v>432</v>
      </c>
      <c r="M168" s="175"/>
      <c r="N168" s="175"/>
      <c r="O168" s="175"/>
      <c r="P168" s="175"/>
      <c r="Q168" s="175"/>
      <c r="R168" s="175"/>
      <c r="S168" s="175"/>
    </row>
    <row r="169" spans="1:19">
      <c r="A169" s="340"/>
      <c r="B169" s="406"/>
      <c r="C169" s="187"/>
      <c r="D169" s="187" t="s">
        <v>438</v>
      </c>
      <c r="E169" s="175">
        <f ca="1">c_equity_tot/i_lotstotal</f>
        <v>39328.288690687186</v>
      </c>
      <c r="F169" s="187"/>
      <c r="G169" s="386"/>
      <c r="H169" s="353"/>
      <c r="I169" s="340"/>
      <c r="J169" s="279" t="s">
        <v>439</v>
      </c>
      <c r="M169" s="175"/>
      <c r="N169" s="175"/>
      <c r="O169" s="173"/>
      <c r="P169" s="173"/>
      <c r="Q169" s="173"/>
      <c r="R169" s="173"/>
      <c r="S169" s="173"/>
    </row>
    <row r="170" spans="1:19">
      <c r="A170" s="340"/>
      <c r="B170" s="406"/>
      <c r="C170" s="187"/>
      <c r="D170" s="187" t="s">
        <v>441</v>
      </c>
      <c r="E170" s="339">
        <f ca="1">i_maxequity/c_equity_perlot</f>
        <v>2542.6989917229653</v>
      </c>
      <c r="F170" s="187"/>
      <c r="G170" s="386"/>
      <c r="H170" s="353"/>
      <c r="I170" s="340"/>
      <c r="J170" s="279" t="s">
        <v>439</v>
      </c>
    </row>
    <row r="171" spans="1:19">
      <c r="A171" s="340"/>
      <c r="B171" s="406"/>
      <c r="F171" s="165"/>
      <c r="G171" s="165"/>
      <c r="H171" s="353"/>
      <c r="I171" s="340"/>
      <c r="J171" s="193"/>
    </row>
    <row r="172" spans="1:19" ht="16">
      <c r="A172" s="340"/>
      <c r="B172" s="406"/>
      <c r="C172" s="52"/>
      <c r="D172" s="52" t="s">
        <v>515</v>
      </c>
      <c r="E172" s="174"/>
      <c r="F172" s="186"/>
      <c r="G172" s="385"/>
      <c r="H172" s="353"/>
      <c r="I172" s="340"/>
      <c r="J172" s="193"/>
    </row>
    <row r="173" spans="1:19">
      <c r="A173" s="340"/>
      <c r="B173" s="406"/>
      <c r="D173" s="585" t="str">
        <f>D8</f>
        <v>Land Cost</v>
      </c>
      <c r="E173" s="586">
        <f>E8</f>
        <v>5000000</v>
      </c>
      <c r="F173" s="165"/>
      <c r="G173" s="165"/>
      <c r="H173" s="353"/>
      <c r="I173" s="340"/>
      <c r="J173" s="193"/>
    </row>
    <row r="174" spans="1:19">
      <c r="A174" s="340"/>
      <c r="B174" s="406"/>
      <c r="D174" s="587" t="s">
        <v>449</v>
      </c>
      <c r="E174" s="586">
        <f>c_improvecosts</f>
        <v>5000000</v>
      </c>
      <c r="F174" s="165"/>
      <c r="G174" s="165"/>
      <c r="H174" s="353"/>
      <c r="I174" s="340"/>
      <c r="J174" s="193"/>
    </row>
    <row r="175" spans="1:19">
      <c r="A175" s="340"/>
      <c r="B175" s="406"/>
      <c r="D175" s="587" t="s">
        <v>253</v>
      </c>
      <c r="E175" s="586">
        <f ca="1">i_seniorintreserve</f>
        <v>172657.73813743709</v>
      </c>
      <c r="F175" s="165"/>
      <c r="G175" s="165"/>
      <c r="H175" s="353"/>
      <c r="J175" s="193"/>
    </row>
    <row r="176" spans="1:19">
      <c r="A176" s="340"/>
      <c r="B176" s="406"/>
      <c r="D176" s="587" t="s">
        <v>516</v>
      </c>
      <c r="E176" s="586">
        <f ca="1">i_seniorfee*c_seniordebt</f>
        <v>0</v>
      </c>
      <c r="F176" s="165"/>
      <c r="G176" s="165"/>
      <c r="H176" s="353"/>
      <c r="J176" s="193"/>
    </row>
    <row r="177" spans="1:20">
      <c r="A177" s="340"/>
      <c r="B177" s="406"/>
      <c r="D177" s="587" t="s">
        <v>517</v>
      </c>
      <c r="E177" s="588">
        <f ca="1">SUM(E173:E176)</f>
        <v>10172657.738137437</v>
      </c>
      <c r="F177" s="165"/>
      <c r="G177" s="165"/>
      <c r="H177" s="353"/>
      <c r="J177" s="193"/>
    </row>
    <row r="178" spans="1:20">
      <c r="A178" s="340"/>
      <c r="B178" s="406"/>
      <c r="D178" s="587" t="s">
        <v>238</v>
      </c>
      <c r="E178" s="588">
        <f ca="1">E177*i_seniorpct</f>
        <v>5086328.8690687185</v>
      </c>
      <c r="F178" s="165"/>
      <c r="G178" s="165"/>
      <c r="H178" s="353"/>
      <c r="J178" s="193"/>
    </row>
    <row r="179" spans="1:20">
      <c r="A179" s="340"/>
      <c r="B179" s="406"/>
      <c r="D179" s="587" t="s">
        <v>241</v>
      </c>
      <c r="E179" s="588">
        <f ca="1">E178-E173-E175</f>
        <v>-86328.869068718574</v>
      </c>
      <c r="F179" s="165"/>
      <c r="G179" s="165"/>
      <c r="H179" s="353"/>
      <c r="J179" s="193"/>
    </row>
    <row r="180" spans="1:20">
      <c r="A180" s="340"/>
      <c r="B180" s="406"/>
      <c r="F180" s="165"/>
      <c r="G180" s="165"/>
      <c r="H180" s="353"/>
      <c r="J180" s="193"/>
    </row>
    <row r="181" spans="1:20">
      <c r="A181" s="340"/>
      <c r="B181" s="406"/>
      <c r="F181" s="165"/>
      <c r="G181" s="165"/>
      <c r="H181" s="353"/>
      <c r="J181" s="193"/>
    </row>
    <row r="182" spans="1:20">
      <c r="D182" s="161" t="s">
        <v>34</v>
      </c>
      <c r="E182" s="171"/>
      <c r="F182" s="185"/>
      <c r="I182" s="191"/>
      <c r="J182" s="2"/>
      <c r="M182" s="155"/>
      <c r="N182" s="155"/>
      <c r="O182" s="155"/>
      <c r="P182" s="155"/>
      <c r="Q182" s="155"/>
      <c r="R182" s="155"/>
      <c r="S182" s="155"/>
      <c r="T182" s="155"/>
    </row>
    <row r="183" spans="1:20">
      <c r="D183" s="202" t="s">
        <v>33</v>
      </c>
      <c r="E183" s="58">
        <v>1000</v>
      </c>
      <c r="F183" s="34"/>
      <c r="I183" s="105" t="s">
        <v>38</v>
      </c>
      <c r="J183" s="62"/>
      <c r="M183" s="58">
        <v>1500</v>
      </c>
      <c r="N183" s="58">
        <v>2500</v>
      </c>
      <c r="O183" s="58">
        <v>200</v>
      </c>
      <c r="P183" s="58"/>
      <c r="Q183" s="58"/>
      <c r="R183" s="58"/>
      <c r="S183" s="58"/>
      <c r="T183" s="58"/>
    </row>
    <row r="184" spans="1:20">
      <c r="D184" s="202" t="s">
        <v>35</v>
      </c>
      <c r="E184" s="58">
        <v>2000</v>
      </c>
      <c r="F184" s="34"/>
      <c r="I184" s="40" t="s">
        <v>39</v>
      </c>
      <c r="J184" s="62"/>
      <c r="M184" s="58">
        <v>1500</v>
      </c>
      <c r="N184" s="58">
        <v>4000</v>
      </c>
      <c r="O184" s="58">
        <v>0</v>
      </c>
      <c r="P184" s="58"/>
      <c r="Q184" s="58"/>
      <c r="R184" s="58"/>
      <c r="S184" s="58"/>
      <c r="T184" s="58"/>
    </row>
    <row r="185" spans="1:20">
      <c r="D185" s="202" t="s">
        <v>36</v>
      </c>
      <c r="E185" s="58">
        <v>2000</v>
      </c>
      <c r="F185" s="34"/>
      <c r="I185" s="40" t="s">
        <v>39</v>
      </c>
      <c r="J185" s="62"/>
      <c r="M185" s="58">
        <v>1500</v>
      </c>
      <c r="N185" s="58">
        <v>5000</v>
      </c>
      <c r="O185" s="58">
        <v>0</v>
      </c>
      <c r="P185" s="58"/>
      <c r="Q185" s="58"/>
      <c r="R185" s="58"/>
      <c r="S185" s="58"/>
      <c r="T185" s="58"/>
    </row>
    <row r="186" spans="1:20">
      <c r="D186" s="202" t="s">
        <v>37</v>
      </c>
      <c r="E186" s="58">
        <v>1000</v>
      </c>
      <c r="F186" s="34"/>
      <c r="I186" s="40" t="s">
        <v>39</v>
      </c>
      <c r="J186" s="62"/>
      <c r="M186" s="58">
        <v>1500</v>
      </c>
      <c r="N186" s="58">
        <v>6000</v>
      </c>
      <c r="O186" s="58">
        <v>0</v>
      </c>
      <c r="P186" s="58"/>
      <c r="Q186" s="58"/>
      <c r="R186" s="58"/>
      <c r="S186" s="58"/>
      <c r="T186" s="58"/>
    </row>
    <row r="187" spans="1:20">
      <c r="D187" s="161"/>
      <c r="E187" s="171"/>
      <c r="F187" s="185"/>
      <c r="I187" s="191" t="s">
        <v>39</v>
      </c>
      <c r="J187" s="62"/>
      <c r="M187" s="59"/>
      <c r="N187" s="59"/>
      <c r="O187" s="59"/>
      <c r="P187" s="59"/>
      <c r="Q187" s="59"/>
      <c r="R187" s="59"/>
      <c r="S187" s="59"/>
      <c r="T187" s="59"/>
    </row>
    <row r="188" spans="1:20">
      <c r="D188" s="202" t="s">
        <v>62</v>
      </c>
      <c r="E188" s="60">
        <v>100000000</v>
      </c>
      <c r="F188" s="34"/>
      <c r="I188" s="40" t="s">
        <v>39</v>
      </c>
      <c r="J188" s="62"/>
      <c r="M188" s="60">
        <v>25000000</v>
      </c>
      <c r="N188" s="60">
        <v>25000000</v>
      </c>
      <c r="O188" s="60">
        <v>25000000</v>
      </c>
      <c r="P188" s="60">
        <v>25000000</v>
      </c>
      <c r="Q188" s="60">
        <v>25000000</v>
      </c>
      <c r="R188" s="60">
        <v>25000000</v>
      </c>
      <c r="S188" s="60">
        <v>25000000</v>
      </c>
      <c r="T188" s="60">
        <v>25000000</v>
      </c>
    </row>
    <row r="189" spans="1:20">
      <c r="D189" s="161" t="s">
        <v>209</v>
      </c>
      <c r="E189" s="171"/>
      <c r="F189" s="183"/>
      <c r="I189" s="189" t="s">
        <v>339</v>
      </c>
    </row>
    <row r="190" spans="1:20">
      <c r="D190" s="159" t="s">
        <v>135</v>
      </c>
      <c r="E190" s="166">
        <v>0</v>
      </c>
      <c r="F190" s="184" t="s">
        <v>136</v>
      </c>
      <c r="I190" s="190" t="s">
        <v>140</v>
      </c>
    </row>
    <row r="191" spans="1:20">
      <c r="D191" s="338" t="s">
        <v>466</v>
      </c>
      <c r="E191" s="169">
        <v>0.01</v>
      </c>
      <c r="F191" s="184"/>
      <c r="I191" s="190" t="s">
        <v>465</v>
      </c>
    </row>
    <row r="192" spans="1:20">
      <c r="D192" s="161" t="s">
        <v>137</v>
      </c>
      <c r="E192" s="171"/>
      <c r="F192" s="185"/>
      <c r="I192" s="191"/>
    </row>
    <row r="193" spans="4:20">
      <c r="D193" s="162" t="s">
        <v>251</v>
      </c>
      <c r="E193" s="169">
        <v>0.98</v>
      </c>
      <c r="F193" s="179"/>
      <c r="I193" s="190" t="s">
        <v>139</v>
      </c>
    </row>
    <row r="194" spans="4:20">
      <c r="D194" s="159" t="s">
        <v>120</v>
      </c>
      <c r="E194" s="172">
        <v>0.1</v>
      </c>
      <c r="F194" s="179"/>
      <c r="I194" s="190" t="s">
        <v>141</v>
      </c>
    </row>
    <row r="195" spans="4:20">
      <c r="D195" s="159" t="s">
        <v>121</v>
      </c>
      <c r="E195" s="172">
        <v>0.99</v>
      </c>
      <c r="F195" s="179"/>
      <c r="I195" s="190" t="s">
        <v>142</v>
      </c>
    </row>
    <row r="196" spans="4:20">
      <c r="D196" s="162" t="str">
        <f>"Promote % before Hurdle #1"</f>
        <v>Promote % before Hurdle #1</v>
      </c>
      <c r="E196" s="172">
        <v>0</v>
      </c>
      <c r="F196" s="179"/>
      <c r="I196" s="190" t="s">
        <v>143</v>
      </c>
    </row>
    <row r="197" spans="4:20">
      <c r="D197" s="162" t="str">
        <f>"Promote % before Hurdle #2"</f>
        <v>Promote % before Hurdle #2</v>
      </c>
      <c r="E197" s="172">
        <v>0.5</v>
      </c>
      <c r="F197" s="179"/>
      <c r="I197" s="190" t="s">
        <v>144</v>
      </c>
    </row>
    <row r="198" spans="4:20">
      <c r="D198" s="162" t="str">
        <f>"Promote % After Hurdle #2"</f>
        <v>Promote % After Hurdle #2</v>
      </c>
      <c r="E198" s="172">
        <v>0.5</v>
      </c>
      <c r="F198" s="179"/>
      <c r="I198" s="190" t="s">
        <v>145</v>
      </c>
    </row>
    <row r="199" spans="4:20">
      <c r="D199" s="161" t="s">
        <v>138</v>
      </c>
      <c r="E199" s="171"/>
      <c r="F199" s="185"/>
      <c r="I199" s="164"/>
    </row>
    <row r="200" spans="4:20">
      <c r="D200" s="162" t="s">
        <v>252</v>
      </c>
      <c r="E200" s="169">
        <v>0.02</v>
      </c>
      <c r="F200" s="179"/>
      <c r="I200" s="190" t="s">
        <v>146</v>
      </c>
    </row>
    <row r="201" spans="4:20">
      <c r="D201" s="159" t="s">
        <v>120</v>
      </c>
      <c r="E201" s="172">
        <v>0.1</v>
      </c>
      <c r="F201" s="179"/>
      <c r="I201" s="190" t="s">
        <v>147</v>
      </c>
    </row>
    <row r="202" spans="4:20">
      <c r="D202" s="159" t="s">
        <v>121</v>
      </c>
      <c r="E202" s="172">
        <v>0.1</v>
      </c>
      <c r="F202" s="179"/>
      <c r="I202" s="190" t="s">
        <v>148</v>
      </c>
    </row>
    <row r="203" spans="4:20">
      <c r="D203" s="159" t="str">
        <f>"Promote % before Hurdle #1"</f>
        <v>Promote % before Hurdle #1</v>
      </c>
      <c r="E203" s="172">
        <v>0</v>
      </c>
      <c r="F203" s="179"/>
      <c r="I203" s="190" t="s">
        <v>48</v>
      </c>
    </row>
    <row r="204" spans="4:20">
      <c r="D204" s="159" t="str">
        <f>"Promote % before Hurdle #2"</f>
        <v>Promote % before Hurdle #2</v>
      </c>
      <c r="E204" s="172">
        <v>0</v>
      </c>
      <c r="F204" s="179"/>
      <c r="I204" s="190" t="s">
        <v>49</v>
      </c>
    </row>
    <row r="205" spans="4:20">
      <c r="D205" s="159" t="str">
        <f>"Promote % After Hurdle #2"</f>
        <v>Promote % After Hurdle #2</v>
      </c>
      <c r="E205" s="172">
        <v>0</v>
      </c>
      <c r="F205" s="179"/>
      <c r="I205" s="190" t="s">
        <v>50</v>
      </c>
    </row>
    <row r="206" spans="4:20">
      <c r="D206" s="160" t="s">
        <v>333</v>
      </c>
      <c r="E206" s="171"/>
      <c r="F206" s="183"/>
      <c r="I206" s="189" t="s">
        <v>339</v>
      </c>
    </row>
    <row r="207" spans="4:20">
      <c r="D207" s="159" t="str">
        <f>"% of GP Promote to "&amp;i_gpnamea</f>
        <v>% of GP Promote to Crescent</v>
      </c>
      <c r="E207" s="172">
        <v>1</v>
      </c>
      <c r="F207" s="180"/>
      <c r="I207" s="190" t="s">
        <v>180</v>
      </c>
      <c r="K207" s="172">
        <v>1</v>
      </c>
      <c r="L207" s="172">
        <v>1</v>
      </c>
      <c r="M207" s="172">
        <v>1</v>
      </c>
      <c r="N207" s="172"/>
      <c r="O207" s="172"/>
      <c r="P207" s="172"/>
      <c r="Q207" s="172"/>
      <c r="R207" s="61"/>
      <c r="S207" s="61"/>
      <c r="T207" s="61"/>
    </row>
    <row r="208" spans="4:20">
      <c r="D208" s="159" t="str">
        <f>"% of GP Promote to "&amp;i_gpnameb</f>
        <v>% of GP Promote to LAO</v>
      </c>
      <c r="E208" s="172">
        <v>0</v>
      </c>
      <c r="F208" s="180"/>
      <c r="I208" s="190" t="s">
        <v>179</v>
      </c>
      <c r="K208" s="172">
        <v>0</v>
      </c>
      <c r="L208" s="172">
        <v>0</v>
      </c>
      <c r="M208" s="172">
        <v>0</v>
      </c>
      <c r="N208" s="172"/>
      <c r="O208" s="172"/>
      <c r="P208" s="172"/>
      <c r="Q208" s="172"/>
      <c r="R208" s="61"/>
      <c r="S208" s="61"/>
      <c r="T208" s="61"/>
    </row>
    <row r="209" spans="4:20">
      <c r="D209" s="159" t="s">
        <v>354</v>
      </c>
      <c r="E209" s="172">
        <v>0</v>
      </c>
      <c r="F209" s="180"/>
      <c r="G209" s="5"/>
      <c r="I209" s="190" t="s">
        <v>355</v>
      </c>
      <c r="K209" s="172">
        <v>0.1</v>
      </c>
      <c r="L209" s="172">
        <v>0</v>
      </c>
      <c r="M209" s="172">
        <v>0.1</v>
      </c>
      <c r="N209" s="172"/>
      <c r="O209" s="172"/>
      <c r="P209" s="172"/>
      <c r="Q209" s="172"/>
      <c r="R209" s="61"/>
      <c r="S209" s="61"/>
      <c r="T209" s="61"/>
    </row>
    <row r="212" spans="4:20" ht="16">
      <c r="D212" s="52" t="s">
        <v>291</v>
      </c>
      <c r="E212" s="53"/>
      <c r="F212" s="54"/>
      <c r="G212" s="53"/>
      <c r="I212" s="44"/>
    </row>
    <row r="214" spans="4:20">
      <c r="D214" s="187" t="s">
        <v>102</v>
      </c>
      <c r="E214" s="63">
        <v>4</v>
      </c>
      <c r="F214" s="51"/>
      <c r="I214" s="40" t="s">
        <v>108</v>
      </c>
    </row>
    <row r="215" spans="4:20">
      <c r="D215" s="187" t="s">
        <v>101</v>
      </c>
      <c r="E215" s="125">
        <v>1</v>
      </c>
      <c r="F215" s="51"/>
      <c r="I215" s="40" t="s">
        <v>110</v>
      </c>
    </row>
    <row r="216" spans="4:20">
      <c r="D216" s="187" t="s">
        <v>109</v>
      </c>
      <c r="E216" s="124">
        <f ca="1">INDEX(array_lotfactor,c_offset)</f>
        <v>0.83333333333333326</v>
      </c>
      <c r="F216" s="51"/>
      <c r="I216" s="40" t="s">
        <v>111</v>
      </c>
    </row>
    <row r="218" spans="4:20">
      <c r="D218" s="187" t="s">
        <v>51</v>
      </c>
      <c r="E218" s="177">
        <f>12*((1+i_hurdle1_inst/1)^(1/12)-1)</f>
        <v>9.5689685146845171E-2</v>
      </c>
      <c r="F218" s="187" t="s">
        <v>152</v>
      </c>
      <c r="I218" s="190" t="s">
        <v>51</v>
      </c>
      <c r="K218" s="177"/>
      <c r="L218" s="177"/>
      <c r="M218" s="177"/>
      <c r="N218" s="177"/>
    </row>
    <row r="219" spans="4:20">
      <c r="D219" s="187" t="s">
        <v>52</v>
      </c>
      <c r="E219" s="177">
        <f>12*((1+i_hurdle2_inst/1)^(1/12)-1)</f>
        <v>0.70824763823697978</v>
      </c>
      <c r="F219" s="187" t="s">
        <v>152</v>
      </c>
      <c r="I219" s="190" t="s">
        <v>52</v>
      </c>
      <c r="K219" s="177"/>
      <c r="L219" s="177"/>
      <c r="M219" s="177"/>
      <c r="N219" s="177"/>
    </row>
    <row r="220" spans="4:20">
      <c r="D220" s="187" t="s">
        <v>149</v>
      </c>
      <c r="E220" s="177">
        <f>1-i_split1_inst</f>
        <v>1</v>
      </c>
      <c r="F220" s="187" t="s">
        <v>55</v>
      </c>
      <c r="I220" s="190" t="s">
        <v>149</v>
      </c>
      <c r="K220" s="177"/>
      <c r="L220" s="177"/>
      <c r="M220" s="177"/>
      <c r="N220" s="177"/>
    </row>
    <row r="221" spans="4:20">
      <c r="D221" s="187" t="s">
        <v>150</v>
      </c>
      <c r="E221" s="177">
        <f>1-i_split2_inst</f>
        <v>0.5</v>
      </c>
      <c r="F221" s="187" t="s">
        <v>55</v>
      </c>
      <c r="I221" s="190" t="s">
        <v>150</v>
      </c>
      <c r="K221" s="177"/>
      <c r="L221" s="177"/>
      <c r="M221" s="177"/>
      <c r="N221" s="177"/>
    </row>
    <row r="222" spans="4:20">
      <c r="D222" s="187" t="s">
        <v>151</v>
      </c>
      <c r="E222" s="177">
        <f>1-i_split3_inst</f>
        <v>0.5</v>
      </c>
      <c r="F222" s="187" t="s">
        <v>55</v>
      </c>
      <c r="I222" s="190" t="s">
        <v>151</v>
      </c>
      <c r="K222" s="177"/>
      <c r="L222" s="177"/>
      <c r="M222" s="177"/>
      <c r="N222" s="177"/>
    </row>
    <row r="223" spans="4:20">
      <c r="D223" s="165"/>
      <c r="E223" s="173"/>
      <c r="F223" s="165"/>
      <c r="I223" s="165"/>
      <c r="K223" s="173"/>
      <c r="L223" s="173"/>
      <c r="M223" s="173"/>
      <c r="N223" s="173"/>
    </row>
    <row r="224" spans="4:20">
      <c r="D224" s="187" t="s">
        <v>53</v>
      </c>
      <c r="E224" s="177">
        <f>12*((1+i_hurdle1_hnw/1)^(1/12)-1)</f>
        <v>9.5689685146845171E-2</v>
      </c>
      <c r="F224" s="187" t="s">
        <v>152</v>
      </c>
      <c r="I224" s="190" t="s">
        <v>53</v>
      </c>
      <c r="K224" s="177"/>
      <c r="L224" s="177"/>
      <c r="M224" s="177"/>
      <c r="N224" s="177"/>
    </row>
    <row r="225" spans="4:14">
      <c r="D225" s="187" t="s">
        <v>54</v>
      </c>
      <c r="E225" s="177">
        <f>12*((1+i_hurdle2_hnw/1)^(1/12)-1)</f>
        <v>9.5689685146845171E-2</v>
      </c>
      <c r="F225" s="187" t="s">
        <v>152</v>
      </c>
      <c r="I225" s="190" t="s">
        <v>54</v>
      </c>
      <c r="K225" s="177"/>
      <c r="L225" s="177"/>
      <c r="M225" s="177"/>
      <c r="N225" s="177"/>
    </row>
    <row r="226" spans="4:14">
      <c r="D226" s="187" t="s">
        <v>153</v>
      </c>
      <c r="E226" s="177">
        <f>1-i_split1_hnw</f>
        <v>1</v>
      </c>
      <c r="F226" s="187" t="s">
        <v>55</v>
      </c>
      <c r="I226" s="190" t="s">
        <v>153</v>
      </c>
      <c r="K226" s="177"/>
      <c r="L226" s="177"/>
      <c r="M226" s="177"/>
      <c r="N226" s="177"/>
    </row>
    <row r="227" spans="4:14">
      <c r="D227" s="187" t="s">
        <v>154</v>
      </c>
      <c r="E227" s="177">
        <f>1-i_split2_hnw</f>
        <v>1</v>
      </c>
      <c r="F227" s="187" t="s">
        <v>55</v>
      </c>
      <c r="I227" s="190" t="s">
        <v>154</v>
      </c>
      <c r="K227" s="177"/>
      <c r="L227" s="177"/>
      <c r="M227" s="177"/>
      <c r="N227" s="177"/>
    </row>
    <row r="228" spans="4:14">
      <c r="D228" s="187" t="s">
        <v>155</v>
      </c>
      <c r="E228" s="177">
        <f>1-i_split3_hnw</f>
        <v>1</v>
      </c>
      <c r="F228" s="187" t="s">
        <v>55</v>
      </c>
      <c r="I228" s="190" t="s">
        <v>155</v>
      </c>
      <c r="K228" s="177"/>
      <c r="L228" s="177"/>
      <c r="M228" s="177"/>
      <c r="N228" s="177"/>
    </row>
  </sheetData>
  <mergeCells count="1">
    <mergeCell ref="C2:D3"/>
  </mergeCells>
  <phoneticPr fontId="9" type="noConversion"/>
  <dataValidations count="1">
    <dataValidation type="whole" allowBlank="1" showInputMessage="1" showErrorMessage="1" sqref="E142 E137 M142:V142 M137:V137 E190" xr:uid="{00000000-0002-0000-0100-000000000000}">
      <formula1>0</formula1>
      <formula2>1</formula2>
    </dataValidation>
  </dataValidations>
  <printOptions horizontalCentered="1"/>
  <pageMargins left="0.25" right="0.25" top="0.25" bottom="0.25" header="0.25" footer="0.25"/>
  <pageSetup scale="73" orientation="portrait" horizontalDpi="300" verticalDpi="300"/>
  <headerFooter alignWithMargins="0"/>
  <ignoredErrors>
    <ignoredError sqref="G12 G9 F10" unlocked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FF00"/>
    <pageSetUpPr fitToPage="1"/>
  </sheetPr>
  <dimension ref="A2:O77"/>
  <sheetViews>
    <sheetView workbookViewId="0">
      <selection activeCell="N6" sqref="N6"/>
    </sheetView>
  </sheetViews>
  <sheetFormatPr baseColWidth="10" defaultColWidth="11.5" defaultRowHeight="13"/>
  <cols>
    <col min="1" max="2" width="5.6640625" style="41" customWidth="1"/>
    <col min="3" max="3" width="3.6640625" style="41" customWidth="1"/>
    <col min="4" max="4" width="30.6640625" style="41" customWidth="1"/>
    <col min="5" max="5" width="9.6640625" style="41" customWidth="1"/>
    <col min="6" max="6" width="13.6640625" style="41" customWidth="1"/>
    <col min="7" max="7" width="5.6640625" style="41" customWidth="1"/>
    <col min="8" max="8" width="15.6640625" style="41" customWidth="1"/>
    <col min="9" max="9" width="9" style="41" bestFit="1" customWidth="1"/>
    <col min="10" max="11" width="9.83203125" style="41" customWidth="1"/>
    <col min="12" max="12" width="5.6640625" style="41" customWidth="1"/>
    <col min="13" max="13" width="30.6640625" style="41" customWidth="1"/>
    <col min="14" max="14" width="15.6640625" style="41" customWidth="1"/>
    <col min="15" max="16384" width="11.5" style="41"/>
  </cols>
  <sheetData>
    <row r="2" spans="1:14" ht="35">
      <c r="D2" s="274" t="str">
        <f>CONCATENATE(i_company,": ",i_scendesc)</f>
        <v>CBH/LAO: Base</v>
      </c>
      <c r="E2" s="274"/>
      <c r="F2" s="42"/>
      <c r="G2" s="42"/>
      <c r="H2" s="42"/>
      <c r="I2" s="42"/>
      <c r="J2" s="42"/>
      <c r="K2" s="42"/>
      <c r="L2" s="42"/>
      <c r="M2" s="42"/>
      <c r="N2" s="42"/>
    </row>
    <row r="3" spans="1:14" ht="30" customHeight="1" thickBot="1">
      <c r="B3" s="138"/>
      <c r="C3" s="138"/>
      <c r="D3" s="140" t="s">
        <v>342</v>
      </c>
      <c r="E3" s="140"/>
      <c r="F3" s="42"/>
      <c r="G3" s="42"/>
      <c r="H3" s="42"/>
      <c r="I3" s="42"/>
      <c r="J3" s="42"/>
      <c r="K3" s="42"/>
      <c r="L3" s="42"/>
      <c r="M3" s="42"/>
      <c r="N3" s="42"/>
    </row>
    <row r="4" spans="1:14" ht="15.75" customHeight="1" thickBot="1">
      <c r="B4" s="138"/>
      <c r="C4" s="138"/>
      <c r="D4" s="223"/>
      <c r="E4" s="224"/>
      <c r="F4" s="224"/>
      <c r="G4" s="224"/>
      <c r="H4" s="224"/>
      <c r="I4" s="224"/>
      <c r="J4" s="224"/>
      <c r="K4" s="224"/>
      <c r="L4" s="224"/>
      <c r="M4" s="224"/>
      <c r="N4" s="225"/>
    </row>
    <row r="5" spans="1:14" ht="18" customHeight="1">
      <c r="A5" s="141"/>
      <c r="B5" s="142"/>
      <c r="C5" s="142"/>
      <c r="D5" s="143"/>
      <c r="E5" s="143"/>
      <c r="F5" s="141"/>
      <c r="G5" s="141"/>
      <c r="H5" s="141"/>
      <c r="I5" s="141"/>
      <c r="J5" s="141"/>
      <c r="K5" s="141"/>
      <c r="L5" s="141"/>
      <c r="M5" s="141"/>
      <c r="N5" s="141"/>
    </row>
    <row r="6" spans="1:14" ht="18" customHeight="1">
      <c r="A6" s="5"/>
      <c r="B6" s="5"/>
      <c r="C6" s="5"/>
      <c r="D6" s="144" t="s">
        <v>116</v>
      </c>
      <c r="E6" s="306"/>
      <c r="F6" s="145"/>
      <c r="G6" s="5"/>
      <c r="H6" s="144"/>
      <c r="I6" s="144" t="s">
        <v>404</v>
      </c>
      <c r="J6" s="144" t="s">
        <v>452</v>
      </c>
      <c r="K6" s="144" t="s">
        <v>459</v>
      </c>
      <c r="L6" s="5"/>
      <c r="M6" s="144" t="s">
        <v>32</v>
      </c>
      <c r="N6" s="145"/>
    </row>
    <row r="7" spans="1:14" ht="18" customHeight="1">
      <c r="A7" s="5"/>
      <c r="B7" s="146">
        <v>1</v>
      </c>
      <c r="C7" s="5"/>
      <c r="D7" s="325" t="s">
        <v>265</v>
      </c>
      <c r="E7" s="307">
        <f>i_lotstotal</f>
        <v>100</v>
      </c>
      <c r="F7" s="308"/>
      <c r="G7" s="5"/>
      <c r="H7" s="195" t="s">
        <v>75</v>
      </c>
      <c r="I7" s="311">
        <f>E$7*J7</f>
        <v>0</v>
      </c>
      <c r="J7" s="217">
        <f t="shared" ref="J7:J54" si="0">INDEX(i_soldvector,$B7,1)</f>
        <v>0</v>
      </c>
      <c r="K7" s="217">
        <f>IF(B7&lt;&gt;1,K6,0)+J7</f>
        <v>0</v>
      </c>
      <c r="L7" s="5"/>
      <c r="M7" s="195" t="s">
        <v>235</v>
      </c>
      <c r="N7" s="220">
        <f>i_seniorpct</f>
        <v>0.5</v>
      </c>
    </row>
    <row r="8" spans="1:14" ht="18" customHeight="1">
      <c r="A8" s="142"/>
      <c r="B8" s="146">
        <f>B7+1</f>
        <v>2</v>
      </c>
      <c r="C8" s="5"/>
      <c r="D8" s="325" t="s">
        <v>266</v>
      </c>
      <c r="E8" s="326">
        <f>i_landcost/i_lotstotal</f>
        <v>50000</v>
      </c>
      <c r="F8" s="312">
        <f>i_landcost</f>
        <v>5000000</v>
      </c>
      <c r="G8" s="5"/>
      <c r="H8" s="195" t="s">
        <v>76</v>
      </c>
      <c r="I8" s="311">
        <f t="shared" ref="I8:I54" si="1">E$7*J8</f>
        <v>0</v>
      </c>
      <c r="J8" s="217">
        <f t="shared" si="0"/>
        <v>0</v>
      </c>
      <c r="K8" s="217">
        <f t="shared" ref="K8:K54" si="2">IF(B8&lt;&gt;1,K7,0)+J8</f>
        <v>0</v>
      </c>
      <c r="L8" s="5"/>
      <c r="M8" s="195" t="s">
        <v>64</v>
      </c>
      <c r="N8" s="220">
        <f>i_seniorfee</f>
        <v>0</v>
      </c>
    </row>
    <row r="9" spans="1:14" ht="18" customHeight="1">
      <c r="A9" s="142"/>
      <c r="B9" s="146">
        <f t="shared" ref="B9:B54" si="3">B8+1</f>
        <v>3</v>
      </c>
      <c r="C9" s="142"/>
      <c r="D9" s="329" t="s">
        <v>449</v>
      </c>
      <c r="E9" s="327">
        <f>i_lotimprovecost</f>
        <v>50000</v>
      </c>
      <c r="F9" s="313">
        <f>c_improvecosts</f>
        <v>5000000</v>
      </c>
      <c r="G9" s="5"/>
      <c r="H9" s="195" t="s">
        <v>77</v>
      </c>
      <c r="I9" s="311">
        <f t="shared" si="1"/>
        <v>0</v>
      </c>
      <c r="J9" s="217">
        <f t="shared" si="0"/>
        <v>0</v>
      </c>
      <c r="K9" s="217">
        <f t="shared" si="2"/>
        <v>0</v>
      </c>
      <c r="L9" s="5"/>
      <c r="M9" s="195" t="s">
        <v>163</v>
      </c>
      <c r="N9" s="221">
        <f>i_seniordrawovertime</f>
        <v>1</v>
      </c>
    </row>
    <row r="10" spans="1:14" ht="18" customHeight="1">
      <c r="A10" s="142"/>
      <c r="B10" s="146">
        <f t="shared" si="3"/>
        <v>4</v>
      </c>
      <c r="C10" s="142"/>
      <c r="D10" s="330" t="s">
        <v>460</v>
      </c>
      <c r="E10" s="328">
        <f>(i_landcost+c_improvecosts)/i_lotstotal</f>
        <v>100000</v>
      </c>
      <c r="F10" s="314">
        <f>i_landcost+c_improvecosts</f>
        <v>10000000</v>
      </c>
      <c r="G10" s="5"/>
      <c r="H10" s="195" t="s">
        <v>78</v>
      </c>
      <c r="I10" s="311">
        <f t="shared" si="1"/>
        <v>0</v>
      </c>
      <c r="J10" s="217">
        <f t="shared" si="0"/>
        <v>0</v>
      </c>
      <c r="K10" s="217">
        <f t="shared" si="2"/>
        <v>0</v>
      </c>
      <c r="L10" s="5"/>
      <c r="M10" s="195" t="str">
        <f>"Index ["&amp;IF(i_senior360,"Actual 360","30/360")&amp;"]"</f>
        <v>Index [Actual 360]</v>
      </c>
      <c r="N10" s="219">
        <f>i_prime</f>
        <v>0.02</v>
      </c>
    </row>
    <row r="11" spans="1:14" ht="18" customHeight="1">
      <c r="A11" s="142"/>
      <c r="B11" s="146">
        <f t="shared" si="3"/>
        <v>5</v>
      </c>
      <c r="C11" s="142"/>
      <c r="F11" s="315"/>
      <c r="G11" s="5"/>
      <c r="H11" s="195" t="s">
        <v>79</v>
      </c>
      <c r="I11" s="311">
        <f t="shared" si="1"/>
        <v>10</v>
      </c>
      <c r="J11" s="217">
        <f t="shared" si="0"/>
        <v>0.1</v>
      </c>
      <c r="K11" s="217">
        <f t="shared" si="2"/>
        <v>0.1</v>
      </c>
      <c r="L11" s="5"/>
      <c r="M11" s="195" t="s">
        <v>349</v>
      </c>
      <c r="N11" s="219">
        <f>i_primespread</f>
        <v>2.5000000000000001E-2</v>
      </c>
    </row>
    <row r="12" spans="1:14" ht="18" customHeight="1">
      <c r="A12" s="142"/>
      <c r="B12" s="146">
        <f t="shared" si="3"/>
        <v>6</v>
      </c>
      <c r="C12" s="142"/>
      <c r="D12" s="195" t="s">
        <v>268</v>
      </c>
      <c r="E12" s="218">
        <f>i_lotsalesprice</f>
        <v>115350</v>
      </c>
      <c r="F12" s="316">
        <f>c_improvecosts+F10</f>
        <v>15000000</v>
      </c>
      <c r="G12" s="5"/>
      <c r="H12" s="195" t="s">
        <v>80</v>
      </c>
      <c r="I12" s="311">
        <f t="shared" si="1"/>
        <v>0</v>
      </c>
      <c r="J12" s="217">
        <f t="shared" si="0"/>
        <v>0</v>
      </c>
      <c r="K12" s="217">
        <f t="shared" si="2"/>
        <v>0.1</v>
      </c>
      <c r="L12" s="5"/>
      <c r="M12" s="195" t="s">
        <v>350</v>
      </c>
      <c r="N12" s="219">
        <f>i_primeincrease</f>
        <v>0</v>
      </c>
    </row>
    <row r="13" spans="1:14" ht="18" customHeight="1">
      <c r="A13" s="142"/>
      <c r="B13" s="146">
        <f t="shared" si="3"/>
        <v>7</v>
      </c>
      <c r="C13" s="142"/>
      <c r="D13" s="331" t="s">
        <v>454</v>
      </c>
      <c r="E13" s="310">
        <f>E12/E10</f>
        <v>1.1535</v>
      </c>
      <c r="F13" s="316">
        <f>F12-F10</f>
        <v>5000000</v>
      </c>
      <c r="G13" s="5"/>
      <c r="H13" s="195" t="s">
        <v>81</v>
      </c>
      <c r="I13" s="311">
        <f t="shared" si="1"/>
        <v>0</v>
      </c>
      <c r="J13" s="217">
        <f t="shared" si="0"/>
        <v>0</v>
      </c>
      <c r="K13" s="217">
        <f t="shared" si="2"/>
        <v>0.1</v>
      </c>
      <c r="L13" s="5"/>
      <c r="M13" s="195" t="s">
        <v>351</v>
      </c>
      <c r="N13" s="219">
        <f>i_primecap</f>
        <v>0.99</v>
      </c>
    </row>
    <row r="14" spans="1:14" ht="18" customHeight="1">
      <c r="A14" s="142"/>
      <c r="B14" s="146">
        <f t="shared" si="3"/>
        <v>8</v>
      </c>
      <c r="C14" s="142"/>
      <c r="F14" s="315"/>
      <c r="G14" s="5"/>
      <c r="H14" s="195" t="s">
        <v>89</v>
      </c>
      <c r="I14" s="311">
        <f t="shared" si="1"/>
        <v>0</v>
      </c>
      <c r="J14" s="217">
        <f t="shared" si="0"/>
        <v>0</v>
      </c>
      <c r="K14" s="217">
        <f t="shared" si="2"/>
        <v>0.1</v>
      </c>
      <c r="L14" s="5"/>
      <c r="M14" s="195" t="s">
        <v>249</v>
      </c>
      <c r="N14" s="219">
        <f>i_releaseprice</f>
        <v>1.3</v>
      </c>
    </row>
    <row r="15" spans="1:14" ht="18" customHeight="1">
      <c r="A15" s="142"/>
      <c r="B15" s="146">
        <f t="shared" si="3"/>
        <v>9</v>
      </c>
      <c r="C15" s="142"/>
      <c r="D15" s="195" t="s">
        <v>450</v>
      </c>
      <c r="E15" s="309">
        <f>i_optionpct</f>
        <v>0.1</v>
      </c>
      <c r="F15" s="316">
        <f>M_Onedeal!N8</f>
        <v>1153500</v>
      </c>
      <c r="G15" s="5"/>
      <c r="H15" s="195" t="s">
        <v>90</v>
      </c>
      <c r="I15" s="311">
        <f t="shared" si="1"/>
        <v>0</v>
      </c>
      <c r="J15" s="217">
        <f t="shared" si="0"/>
        <v>0</v>
      </c>
      <c r="K15" s="217">
        <f t="shared" si="2"/>
        <v>0.1</v>
      </c>
      <c r="L15" s="5"/>
      <c r="M15" s="196" t="s">
        <v>253</v>
      </c>
      <c r="N15" s="218">
        <f ca="1">i_seniorintreserve</f>
        <v>172657.73813743709</v>
      </c>
    </row>
    <row r="16" spans="1:14" ht="18" customHeight="1">
      <c r="A16" s="142"/>
      <c r="B16" s="146">
        <f t="shared" si="3"/>
        <v>10</v>
      </c>
      <c r="C16" s="142"/>
      <c r="D16" s="195" t="s">
        <v>451</v>
      </c>
      <c r="E16" s="309">
        <v>1</v>
      </c>
      <c r="F16" s="316">
        <f>F15</f>
        <v>1153500</v>
      </c>
      <c r="G16" s="5"/>
      <c r="H16" s="195" t="s">
        <v>91</v>
      </c>
      <c r="I16" s="311">
        <f t="shared" si="1"/>
        <v>0</v>
      </c>
      <c r="J16" s="217">
        <f t="shared" si="0"/>
        <v>0</v>
      </c>
      <c r="K16" s="217">
        <f t="shared" si="2"/>
        <v>0.1</v>
      </c>
      <c r="L16" s="5"/>
    </row>
    <row r="17" spans="1:14" ht="18" customHeight="1">
      <c r="A17" s="142"/>
      <c r="B17" s="146">
        <f t="shared" si="3"/>
        <v>11</v>
      </c>
      <c r="C17" s="142"/>
      <c r="D17" s="195" t="s">
        <v>197</v>
      </c>
      <c r="E17" s="195"/>
      <c r="F17" s="316">
        <f>i_othercosts</f>
        <v>0</v>
      </c>
      <c r="G17" s="5"/>
      <c r="H17" s="195" t="s">
        <v>92</v>
      </c>
      <c r="I17" s="311">
        <f t="shared" si="1"/>
        <v>5</v>
      </c>
      <c r="J17" s="217">
        <f t="shared" si="0"/>
        <v>0.05</v>
      </c>
      <c r="K17" s="217">
        <f t="shared" si="2"/>
        <v>0.15000000000000002</v>
      </c>
      <c r="L17" s="5"/>
      <c r="M17" s="144" t="s">
        <v>453</v>
      </c>
      <c r="N17" s="145"/>
    </row>
    <row r="18" spans="1:14" ht="18" customHeight="1">
      <c r="B18" s="146">
        <f t="shared" si="3"/>
        <v>12</v>
      </c>
      <c r="C18" s="142"/>
      <c r="G18" s="5"/>
      <c r="H18" s="195" t="s">
        <v>93</v>
      </c>
      <c r="I18" s="311">
        <f t="shared" si="1"/>
        <v>5</v>
      </c>
      <c r="J18" s="217">
        <f t="shared" si="0"/>
        <v>0.05</v>
      </c>
      <c r="K18" s="217">
        <f t="shared" si="2"/>
        <v>0.2</v>
      </c>
      <c r="L18" s="5"/>
      <c r="M18" s="195" t="s">
        <v>454</v>
      </c>
      <c r="N18" s="226">
        <f>F13</f>
        <v>5000000</v>
      </c>
    </row>
    <row r="19" spans="1:14" ht="18" customHeight="1">
      <c r="B19" s="146">
        <f t="shared" si="3"/>
        <v>13</v>
      </c>
      <c r="C19" s="142"/>
      <c r="D19" s="144" t="s">
        <v>220</v>
      </c>
      <c r="E19" s="306"/>
      <c r="F19" s="145"/>
      <c r="G19" s="5"/>
      <c r="H19" s="195" t="s">
        <v>94</v>
      </c>
      <c r="I19" s="311">
        <f t="shared" si="1"/>
        <v>5</v>
      </c>
      <c r="J19" s="217">
        <f t="shared" si="0"/>
        <v>0.05</v>
      </c>
      <c r="K19" s="217">
        <f t="shared" si="2"/>
        <v>0.25</v>
      </c>
      <c r="L19" s="5"/>
      <c r="M19" s="323" t="s">
        <v>455</v>
      </c>
      <c r="N19" s="324">
        <v>0.01</v>
      </c>
    </row>
    <row r="20" spans="1:14" ht="18" customHeight="1">
      <c r="A20" s="146">
        <v>1</v>
      </c>
      <c r="B20" s="146">
        <f t="shared" si="3"/>
        <v>14</v>
      </c>
      <c r="C20" s="142"/>
      <c r="D20" s="197" t="s">
        <v>75</v>
      </c>
      <c r="E20" s="317">
        <f t="shared" ref="E20:E37" si="4">INDEX(i_costvector,A20,1)</f>
        <v>0</v>
      </c>
      <c r="F20" s="318"/>
      <c r="G20" s="5"/>
      <c r="H20" s="195" t="s">
        <v>95</v>
      </c>
      <c r="I20" s="311">
        <f t="shared" si="1"/>
        <v>5</v>
      </c>
      <c r="J20" s="217">
        <f t="shared" si="0"/>
        <v>0.05</v>
      </c>
      <c r="K20" s="217">
        <f t="shared" si="2"/>
        <v>0.3</v>
      </c>
      <c r="L20" s="5"/>
      <c r="M20" s="323" t="s">
        <v>456</v>
      </c>
      <c r="N20" s="324">
        <v>0.02</v>
      </c>
    </row>
    <row r="21" spans="1:14" ht="18" customHeight="1">
      <c r="A21" s="146">
        <f>A20+1</f>
        <v>2</v>
      </c>
      <c r="B21" s="146">
        <f t="shared" si="3"/>
        <v>15</v>
      </c>
      <c r="C21" s="142"/>
      <c r="D21" s="197" t="s">
        <v>76</v>
      </c>
      <c r="E21" s="317">
        <f t="shared" si="4"/>
        <v>0</v>
      </c>
      <c r="F21" s="318"/>
      <c r="G21" s="5"/>
      <c r="H21" s="195" t="s">
        <v>96</v>
      </c>
      <c r="I21" s="311">
        <f t="shared" si="1"/>
        <v>5</v>
      </c>
      <c r="J21" s="217">
        <f t="shared" si="0"/>
        <v>0.05</v>
      </c>
      <c r="K21" s="217">
        <f t="shared" si="2"/>
        <v>0.35</v>
      </c>
      <c r="L21" s="5"/>
      <c r="M21" s="323" t="s">
        <v>457</v>
      </c>
      <c r="N21" s="324">
        <v>0.03</v>
      </c>
    </row>
    <row r="22" spans="1:14" ht="18" customHeight="1">
      <c r="A22" s="147">
        <f t="shared" ref="A22:A37" si="5">A21+1</f>
        <v>3</v>
      </c>
      <c r="B22" s="146">
        <f t="shared" si="3"/>
        <v>16</v>
      </c>
      <c r="C22" s="142"/>
      <c r="D22" s="197" t="s">
        <v>77</v>
      </c>
      <c r="E22" s="317">
        <f t="shared" si="4"/>
        <v>0.1</v>
      </c>
      <c r="F22" s="318"/>
      <c r="G22" s="5"/>
      <c r="H22" s="195" t="s">
        <v>97</v>
      </c>
      <c r="I22" s="311">
        <f t="shared" si="1"/>
        <v>5</v>
      </c>
      <c r="J22" s="217">
        <f t="shared" si="0"/>
        <v>0.05</v>
      </c>
      <c r="K22" s="217">
        <f t="shared" si="2"/>
        <v>0.39999999999999997</v>
      </c>
      <c r="L22" s="5"/>
      <c r="M22" s="323" t="s">
        <v>210</v>
      </c>
      <c r="N22" s="324">
        <v>0.04</v>
      </c>
    </row>
    <row r="23" spans="1:14" ht="18" customHeight="1">
      <c r="A23" s="147">
        <f t="shared" si="5"/>
        <v>4</v>
      </c>
      <c r="B23" s="146">
        <f t="shared" si="3"/>
        <v>17</v>
      </c>
      <c r="C23" s="142"/>
      <c r="D23" s="197" t="s">
        <v>78</v>
      </c>
      <c r="E23" s="317">
        <f t="shared" si="4"/>
        <v>0.1</v>
      </c>
      <c r="F23" s="318"/>
      <c r="G23" s="5"/>
      <c r="H23" s="195" t="s">
        <v>98</v>
      </c>
      <c r="I23" s="311">
        <f t="shared" si="1"/>
        <v>5</v>
      </c>
      <c r="J23" s="217">
        <f t="shared" si="0"/>
        <v>0.05</v>
      </c>
      <c r="K23" s="217">
        <f t="shared" si="2"/>
        <v>0.44999999999999996</v>
      </c>
      <c r="L23" s="5"/>
      <c r="M23" s="323" t="s">
        <v>458</v>
      </c>
      <c r="N23" s="324">
        <v>0.05</v>
      </c>
    </row>
    <row r="24" spans="1:14" ht="18" customHeight="1">
      <c r="A24" s="147">
        <f t="shared" si="5"/>
        <v>5</v>
      </c>
      <c r="B24" s="146">
        <f t="shared" si="3"/>
        <v>18</v>
      </c>
      <c r="C24" s="141"/>
      <c r="D24" s="197" t="s">
        <v>79</v>
      </c>
      <c r="E24" s="317">
        <f t="shared" si="4"/>
        <v>0.1</v>
      </c>
      <c r="F24" s="318"/>
      <c r="G24" s="5"/>
      <c r="H24" s="195" t="s">
        <v>99</v>
      </c>
      <c r="I24" s="311">
        <f t="shared" si="1"/>
        <v>5</v>
      </c>
      <c r="J24" s="217">
        <f t="shared" si="0"/>
        <v>0.05</v>
      </c>
      <c r="K24" s="217">
        <f t="shared" si="2"/>
        <v>0.49999999999999994</v>
      </c>
      <c r="L24" s="5"/>
    </row>
    <row r="25" spans="1:14" ht="18" customHeight="1">
      <c r="A25" s="147">
        <f t="shared" si="5"/>
        <v>6</v>
      </c>
      <c r="B25" s="146">
        <f t="shared" si="3"/>
        <v>19</v>
      </c>
      <c r="C25" s="141"/>
      <c r="D25" s="197" t="s">
        <v>80</v>
      </c>
      <c r="E25" s="317">
        <f t="shared" si="4"/>
        <v>0.1</v>
      </c>
      <c r="F25" s="318"/>
      <c r="G25" s="5"/>
      <c r="H25" s="195" t="s">
        <v>100</v>
      </c>
      <c r="I25" s="311">
        <f t="shared" si="1"/>
        <v>5</v>
      </c>
      <c r="J25" s="217">
        <f t="shared" si="0"/>
        <v>0.05</v>
      </c>
      <c r="K25" s="217">
        <f t="shared" si="2"/>
        <v>0.54999999999999993</v>
      </c>
      <c r="L25" s="5"/>
    </row>
    <row r="26" spans="1:14" ht="18" customHeight="1">
      <c r="A26" s="147">
        <f t="shared" si="5"/>
        <v>7</v>
      </c>
      <c r="B26" s="146">
        <f t="shared" si="3"/>
        <v>20</v>
      </c>
      <c r="C26" s="141"/>
      <c r="D26" s="197" t="s">
        <v>81</v>
      </c>
      <c r="E26" s="317">
        <f t="shared" si="4"/>
        <v>0.1</v>
      </c>
      <c r="F26" s="318"/>
      <c r="G26" s="5"/>
      <c r="H26" s="195" t="s">
        <v>0</v>
      </c>
      <c r="I26" s="311">
        <f t="shared" si="1"/>
        <v>5</v>
      </c>
      <c r="J26" s="217">
        <f t="shared" si="0"/>
        <v>0.05</v>
      </c>
      <c r="K26" s="217">
        <f t="shared" si="2"/>
        <v>0.6</v>
      </c>
      <c r="L26" s="5"/>
      <c r="M26" s="144" t="s">
        <v>114</v>
      </c>
      <c r="N26" s="145"/>
    </row>
    <row r="27" spans="1:14" ht="18" customHeight="1">
      <c r="A27" s="147">
        <f t="shared" si="5"/>
        <v>8</v>
      </c>
      <c r="B27" s="146">
        <f t="shared" si="3"/>
        <v>21</v>
      </c>
      <c r="C27" s="141"/>
      <c r="D27" s="197" t="s">
        <v>89</v>
      </c>
      <c r="E27" s="317">
        <f t="shared" si="4"/>
        <v>0.1</v>
      </c>
      <c r="F27" s="318"/>
      <c r="G27" s="5"/>
      <c r="H27" s="195" t="s">
        <v>1</v>
      </c>
      <c r="I27" s="311">
        <f t="shared" si="1"/>
        <v>5</v>
      </c>
      <c r="J27" s="217">
        <f t="shared" si="0"/>
        <v>0.05</v>
      </c>
      <c r="K27" s="217">
        <f t="shared" si="2"/>
        <v>0.65</v>
      </c>
      <c r="L27" s="5"/>
      <c r="M27" s="195" t="s">
        <v>29</v>
      </c>
      <c r="N27" s="218">
        <f ca="1">c_equity_tot</f>
        <v>3932828.8690687185</v>
      </c>
    </row>
    <row r="28" spans="1:14" ht="18" customHeight="1">
      <c r="A28" s="147">
        <f t="shared" si="5"/>
        <v>9</v>
      </c>
      <c r="B28" s="146">
        <f t="shared" si="3"/>
        <v>22</v>
      </c>
      <c r="C28" s="141"/>
      <c r="D28" s="197" t="s">
        <v>90</v>
      </c>
      <c r="E28" s="317">
        <f t="shared" si="4"/>
        <v>0.1</v>
      </c>
      <c r="F28" s="318"/>
      <c r="G28" s="5"/>
      <c r="H28" s="195" t="s">
        <v>2</v>
      </c>
      <c r="I28" s="311">
        <f t="shared" si="1"/>
        <v>5</v>
      </c>
      <c r="J28" s="217">
        <f t="shared" si="0"/>
        <v>0.05</v>
      </c>
      <c r="K28" s="217">
        <f t="shared" si="2"/>
        <v>0.70000000000000007</v>
      </c>
      <c r="L28" s="5"/>
      <c r="M28" s="216" t="str">
        <f>IF(i_promotecatchup,"Promote uses a catch up","Promote does not use catch up")</f>
        <v>Promote does not use catch up</v>
      </c>
      <c r="N28" s="148"/>
    </row>
    <row r="29" spans="1:14" ht="18" customHeight="1">
      <c r="A29" s="147">
        <f t="shared" si="5"/>
        <v>10</v>
      </c>
      <c r="B29" s="146">
        <f t="shared" si="3"/>
        <v>23</v>
      </c>
      <c r="C29" s="141"/>
      <c r="D29" s="197" t="s">
        <v>91</v>
      </c>
      <c r="E29" s="317">
        <f t="shared" si="4"/>
        <v>0.1</v>
      </c>
      <c r="F29" s="318"/>
      <c r="G29" s="5"/>
      <c r="H29" s="195" t="s">
        <v>3</v>
      </c>
      <c r="I29" s="311">
        <f t="shared" si="1"/>
        <v>5</v>
      </c>
      <c r="J29" s="217">
        <f t="shared" si="0"/>
        <v>0.05</v>
      </c>
      <c r="K29" s="217">
        <f t="shared" si="2"/>
        <v>0.75000000000000011</v>
      </c>
      <c r="L29" s="5"/>
      <c r="M29" s="215" t="s">
        <v>31</v>
      </c>
      <c r="N29" s="220">
        <f>i_pctequity_inst</f>
        <v>0.98</v>
      </c>
    </row>
    <row r="30" spans="1:14" ht="18" customHeight="1">
      <c r="A30" s="147">
        <f t="shared" si="5"/>
        <v>11</v>
      </c>
      <c r="B30" s="146">
        <f t="shared" si="3"/>
        <v>24</v>
      </c>
      <c r="C30" s="141"/>
      <c r="D30" s="197" t="s">
        <v>92</v>
      </c>
      <c r="E30" s="317">
        <f t="shared" si="4"/>
        <v>0.1</v>
      </c>
      <c r="F30" s="318"/>
      <c r="G30" s="5"/>
      <c r="H30" s="195" t="s">
        <v>4</v>
      </c>
      <c r="I30" s="311">
        <f t="shared" si="1"/>
        <v>5</v>
      </c>
      <c r="J30" s="217">
        <f t="shared" si="0"/>
        <v>0.05</v>
      </c>
      <c r="K30" s="217">
        <f t="shared" si="2"/>
        <v>0.80000000000000016</v>
      </c>
      <c r="L30" s="5"/>
      <c r="M30" s="214" t="str">
        <f>TEXT(i_split2_inst,"0.00%")&amp;" over a "&amp;TEXT(i_hurdle1_inst,"0.00%")</f>
        <v>50.00% over a 10.00%</v>
      </c>
      <c r="N30" s="211"/>
    </row>
    <row r="31" spans="1:14" ht="18" customHeight="1">
      <c r="A31" s="147">
        <f t="shared" si="5"/>
        <v>12</v>
      </c>
      <c r="B31" s="146">
        <f t="shared" si="3"/>
        <v>25</v>
      </c>
      <c r="C31" s="141"/>
      <c r="D31" s="197" t="s">
        <v>93</v>
      </c>
      <c r="E31" s="317">
        <f t="shared" si="4"/>
        <v>0.19</v>
      </c>
      <c r="F31" s="318"/>
      <c r="G31" s="5"/>
      <c r="H31" s="195" t="s">
        <v>5</v>
      </c>
      <c r="I31" s="311">
        <f t="shared" si="1"/>
        <v>5</v>
      </c>
      <c r="J31" s="217">
        <f t="shared" si="0"/>
        <v>0.05</v>
      </c>
      <c r="K31" s="217">
        <f t="shared" si="2"/>
        <v>0.8500000000000002</v>
      </c>
      <c r="L31" s="5"/>
      <c r="M31" s="212" t="str">
        <f>TEXT(i_split3_inst,"0.00%")&amp;" over a "&amp;TEXT(i_hurdle2_inst,"0.00%")</f>
        <v>50.00% over a 99.00%</v>
      </c>
      <c r="N31" s="213"/>
    </row>
    <row r="32" spans="1:14" ht="18" customHeight="1">
      <c r="A32" s="147">
        <f t="shared" si="5"/>
        <v>13</v>
      </c>
      <c r="B32" s="146">
        <f t="shared" si="3"/>
        <v>26</v>
      </c>
      <c r="C32" s="141"/>
      <c r="D32" s="197" t="s">
        <v>94</v>
      </c>
      <c r="E32" s="317">
        <f t="shared" si="4"/>
        <v>0</v>
      </c>
      <c r="F32" s="318"/>
      <c r="G32" s="5"/>
      <c r="H32" s="195" t="s">
        <v>6</v>
      </c>
      <c r="I32" s="311">
        <f t="shared" si="1"/>
        <v>5</v>
      </c>
      <c r="J32" s="217">
        <f t="shared" si="0"/>
        <v>0.05</v>
      </c>
      <c r="K32" s="217">
        <f t="shared" si="2"/>
        <v>0.90000000000000024</v>
      </c>
      <c r="L32" s="5"/>
      <c r="M32" s="215" t="s">
        <v>30</v>
      </c>
      <c r="N32" s="220">
        <f>i_pctequity_hnw</f>
        <v>0.02</v>
      </c>
    </row>
    <row r="33" spans="1:15" ht="18" customHeight="1">
      <c r="A33" s="147">
        <f t="shared" si="5"/>
        <v>14</v>
      </c>
      <c r="B33" s="146">
        <f t="shared" si="3"/>
        <v>27</v>
      </c>
      <c r="C33" s="141"/>
      <c r="D33" s="197" t="s">
        <v>95</v>
      </c>
      <c r="E33" s="317">
        <f t="shared" si="4"/>
        <v>0</v>
      </c>
      <c r="F33" s="318"/>
      <c r="G33" s="5"/>
      <c r="H33" s="195" t="s">
        <v>7</v>
      </c>
      <c r="I33" s="311">
        <f t="shared" si="1"/>
        <v>10</v>
      </c>
      <c r="J33" s="217">
        <f t="shared" si="0"/>
        <v>0.1</v>
      </c>
      <c r="K33" s="217">
        <f t="shared" si="2"/>
        <v>1.0000000000000002</v>
      </c>
      <c r="L33" s="5"/>
      <c r="M33" s="214" t="str">
        <f>TEXT(i_split2_hnw,"0.00%")&amp;" over a "&amp;TEXT(i_hurdle1_hnw,"0.00%")</f>
        <v>0.00% over a 10.00%</v>
      </c>
      <c r="N33" s="211"/>
    </row>
    <row r="34" spans="1:15" ht="18" customHeight="1">
      <c r="A34" s="147">
        <f t="shared" si="5"/>
        <v>15</v>
      </c>
      <c r="B34" s="146">
        <f t="shared" si="3"/>
        <v>28</v>
      </c>
      <c r="C34" s="141"/>
      <c r="D34" s="197" t="s">
        <v>96</v>
      </c>
      <c r="E34" s="317">
        <f t="shared" si="4"/>
        <v>0</v>
      </c>
      <c r="F34" s="318"/>
      <c r="G34" s="5"/>
      <c r="H34" s="195" t="s">
        <v>8</v>
      </c>
      <c r="I34" s="311">
        <f t="shared" si="1"/>
        <v>0</v>
      </c>
      <c r="J34" s="217">
        <f t="shared" si="0"/>
        <v>0</v>
      </c>
      <c r="K34" s="217">
        <f t="shared" si="2"/>
        <v>1.0000000000000002</v>
      </c>
      <c r="L34" s="5"/>
      <c r="M34" s="212" t="str">
        <f>TEXT(i_split3_hnw,"0.00%")&amp;" over a "&amp;TEXT(i_hurdle2_hnw,"0.00%")</f>
        <v>0.00% over a 10.00%</v>
      </c>
      <c r="N34" s="213"/>
    </row>
    <row r="35" spans="1:15" ht="18" customHeight="1">
      <c r="A35" s="147">
        <f t="shared" si="5"/>
        <v>16</v>
      </c>
      <c r="B35" s="146">
        <f t="shared" si="3"/>
        <v>29</v>
      </c>
      <c r="C35" s="141"/>
      <c r="D35" s="197" t="s">
        <v>97</v>
      </c>
      <c r="E35" s="317">
        <f t="shared" si="4"/>
        <v>0</v>
      </c>
      <c r="F35" s="318"/>
      <c r="G35" s="5"/>
      <c r="H35" s="195" t="s">
        <v>9</v>
      </c>
      <c r="I35" s="311">
        <f t="shared" si="1"/>
        <v>0</v>
      </c>
      <c r="J35" s="217">
        <f t="shared" si="0"/>
        <v>0</v>
      </c>
      <c r="K35" s="217">
        <f t="shared" si="2"/>
        <v>1.0000000000000002</v>
      </c>
      <c r="L35" s="5"/>
    </row>
    <row r="36" spans="1:15" ht="18" customHeight="1">
      <c r="A36" s="147">
        <f t="shared" si="5"/>
        <v>17</v>
      </c>
      <c r="B36" s="146">
        <f t="shared" si="3"/>
        <v>30</v>
      </c>
      <c r="C36" s="141"/>
      <c r="D36" s="197" t="s">
        <v>98</v>
      </c>
      <c r="E36" s="317">
        <f t="shared" si="4"/>
        <v>0</v>
      </c>
      <c r="F36" s="318"/>
      <c r="G36" s="5"/>
      <c r="H36" s="195" t="s">
        <v>10</v>
      </c>
      <c r="I36" s="311">
        <f t="shared" si="1"/>
        <v>0</v>
      </c>
      <c r="J36" s="217">
        <f t="shared" si="0"/>
        <v>0</v>
      </c>
      <c r="K36" s="217">
        <f t="shared" si="2"/>
        <v>1.0000000000000002</v>
      </c>
      <c r="L36" s="5"/>
      <c r="M36" s="144" t="s">
        <v>115</v>
      </c>
      <c r="N36" s="145"/>
    </row>
    <row r="37" spans="1:15" ht="18" customHeight="1">
      <c r="A37" s="147">
        <f t="shared" si="5"/>
        <v>18</v>
      </c>
      <c r="B37" s="146">
        <f t="shared" si="3"/>
        <v>31</v>
      </c>
      <c r="C37" s="141"/>
      <c r="D37" s="197" t="s">
        <v>99</v>
      </c>
      <c r="E37" s="317">
        <f t="shared" si="4"/>
        <v>0</v>
      </c>
      <c r="F37" s="318"/>
      <c r="G37" s="5"/>
      <c r="H37" s="195" t="s">
        <v>11</v>
      </c>
      <c r="I37" s="311">
        <f t="shared" si="1"/>
        <v>0</v>
      </c>
      <c r="J37" s="217">
        <f t="shared" si="0"/>
        <v>0</v>
      </c>
      <c r="K37" s="217">
        <f t="shared" si="2"/>
        <v>1.0000000000000002</v>
      </c>
      <c r="L37" s="5"/>
      <c r="M37" s="197" t="s">
        <v>33</v>
      </c>
      <c r="N37" s="222">
        <f>INDEX(p_lotsperyear,O37,1)</f>
        <v>1000</v>
      </c>
      <c r="O37" s="146">
        <v>1</v>
      </c>
    </row>
    <row r="38" spans="1:15" ht="18" customHeight="1">
      <c r="B38" s="146">
        <f t="shared" si="3"/>
        <v>32</v>
      </c>
      <c r="C38" s="141"/>
      <c r="G38" s="5"/>
      <c r="H38" s="195" t="s">
        <v>12</v>
      </c>
      <c r="I38" s="311">
        <f t="shared" si="1"/>
        <v>0</v>
      </c>
      <c r="J38" s="217">
        <f t="shared" si="0"/>
        <v>0</v>
      </c>
      <c r="K38" s="217">
        <f t="shared" si="2"/>
        <v>1.0000000000000002</v>
      </c>
      <c r="L38" s="5"/>
      <c r="M38" s="197" t="s">
        <v>35</v>
      </c>
      <c r="N38" s="222">
        <f>INDEX(p_lotsperyear,O38,1)</f>
        <v>2000</v>
      </c>
      <c r="O38" s="146">
        <f>O37+1</f>
        <v>2</v>
      </c>
    </row>
    <row r="39" spans="1:15" ht="18" customHeight="1">
      <c r="B39" s="146">
        <f t="shared" si="3"/>
        <v>33</v>
      </c>
      <c r="C39" s="141"/>
      <c r="G39" s="5"/>
      <c r="H39" s="195" t="s">
        <v>13</v>
      </c>
      <c r="I39" s="311">
        <f t="shared" si="1"/>
        <v>0</v>
      </c>
      <c r="J39" s="217">
        <f t="shared" si="0"/>
        <v>0</v>
      </c>
      <c r="K39" s="217">
        <f t="shared" si="2"/>
        <v>1.0000000000000002</v>
      </c>
      <c r="L39" s="5"/>
      <c r="M39" s="197" t="s">
        <v>36</v>
      </c>
      <c r="N39" s="222">
        <f>INDEX(p_lotsperyear,O39,1)</f>
        <v>2000</v>
      </c>
      <c r="O39" s="147">
        <f>O38+1</f>
        <v>3</v>
      </c>
    </row>
    <row r="40" spans="1:15" ht="18" customHeight="1">
      <c r="B40" s="146">
        <f t="shared" si="3"/>
        <v>34</v>
      </c>
      <c r="C40" s="141"/>
      <c r="D40" s="144" t="s">
        <v>333</v>
      </c>
      <c r="E40" s="306"/>
      <c r="F40" s="145"/>
      <c r="G40" s="5"/>
      <c r="H40" s="195" t="s">
        <v>14</v>
      </c>
      <c r="I40" s="311">
        <f t="shared" si="1"/>
        <v>0</v>
      </c>
      <c r="J40" s="217">
        <f t="shared" si="0"/>
        <v>0</v>
      </c>
      <c r="K40" s="217">
        <f t="shared" si="2"/>
        <v>1.0000000000000002</v>
      </c>
      <c r="L40" s="5"/>
      <c r="M40" s="197" t="s">
        <v>37</v>
      </c>
      <c r="N40" s="222">
        <f>INDEX(p_lotsperyear,O40,1)</f>
        <v>1000</v>
      </c>
      <c r="O40" s="147">
        <f>O39+1</f>
        <v>4</v>
      </c>
    </row>
    <row r="41" spans="1:15" ht="18" customHeight="1">
      <c r="B41" s="146">
        <f t="shared" si="3"/>
        <v>35</v>
      </c>
      <c r="C41" s="141"/>
      <c r="D41" s="195" t="s">
        <v>174</v>
      </c>
      <c r="E41" s="319" t="str">
        <f>i_gpnamea</f>
        <v>Crescent</v>
      </c>
      <c r="F41" s="320"/>
      <c r="G41" s="5"/>
      <c r="H41" s="195" t="s">
        <v>15</v>
      </c>
      <c r="I41" s="311">
        <f t="shared" si="1"/>
        <v>0</v>
      </c>
      <c r="J41" s="217">
        <f t="shared" si="0"/>
        <v>0</v>
      </c>
      <c r="K41" s="217">
        <f t="shared" si="2"/>
        <v>1.0000000000000002</v>
      </c>
      <c r="L41" s="5"/>
    </row>
    <row r="42" spans="1:15" ht="18" customHeight="1">
      <c r="B42" s="146">
        <f t="shared" si="3"/>
        <v>36</v>
      </c>
      <c r="C42" s="141"/>
      <c r="D42" s="195" t="s">
        <v>175</v>
      </c>
      <c r="E42" s="319" t="str">
        <f>i_gpnameb</f>
        <v>LAO</v>
      </c>
      <c r="F42" s="320"/>
      <c r="G42" s="5"/>
      <c r="H42" s="195" t="s">
        <v>16</v>
      </c>
      <c r="I42" s="311">
        <f t="shared" si="1"/>
        <v>0</v>
      </c>
      <c r="J42" s="217">
        <f t="shared" si="0"/>
        <v>0</v>
      </c>
      <c r="K42" s="217">
        <f t="shared" si="2"/>
        <v>1.0000000000000002</v>
      </c>
      <c r="L42" s="5"/>
    </row>
    <row r="43" spans="1:15" ht="18" customHeight="1">
      <c r="B43" s="146">
        <f t="shared" si="3"/>
        <v>37</v>
      </c>
      <c r="C43" s="141"/>
      <c r="D43" s="195" t="s">
        <v>178</v>
      </c>
      <c r="E43" s="319">
        <f>i_gpmgtfee</f>
        <v>0.02</v>
      </c>
      <c r="F43" s="320"/>
      <c r="G43" s="5"/>
      <c r="H43" s="195" t="s">
        <v>17</v>
      </c>
      <c r="I43" s="311">
        <f t="shared" si="1"/>
        <v>0</v>
      </c>
      <c r="J43" s="217">
        <f t="shared" si="0"/>
        <v>0</v>
      </c>
      <c r="K43" s="217">
        <f t="shared" si="2"/>
        <v>1.0000000000000002</v>
      </c>
      <c r="L43" s="5"/>
    </row>
    <row r="44" spans="1:15" ht="18" customHeight="1">
      <c r="B44" s="146">
        <f t="shared" si="3"/>
        <v>38</v>
      </c>
      <c r="C44" s="141"/>
      <c r="D44" s="195" t="str">
        <f>"% of GP Mgt Fee to "&amp;i_gpnamea</f>
        <v>% of GP Mgt Fee to Crescent</v>
      </c>
      <c r="E44" s="319">
        <f>i_gpmgtfeepcta</f>
        <v>0.5</v>
      </c>
      <c r="F44" s="320"/>
      <c r="G44" s="5"/>
      <c r="H44" s="195" t="s">
        <v>18</v>
      </c>
      <c r="I44" s="311">
        <f t="shared" si="1"/>
        <v>0</v>
      </c>
      <c r="J44" s="217">
        <f t="shared" si="0"/>
        <v>0</v>
      </c>
      <c r="K44" s="217">
        <f t="shared" si="2"/>
        <v>1.0000000000000002</v>
      </c>
      <c r="L44" s="5"/>
    </row>
    <row r="45" spans="1:15" ht="18" customHeight="1">
      <c r="B45" s="146">
        <f t="shared" si="3"/>
        <v>39</v>
      </c>
      <c r="C45" s="141"/>
      <c r="D45" s="195" t="str">
        <f>"% of GP Mgt Fee to "&amp;i_gpnameb</f>
        <v>% of GP Mgt Fee to LAO</v>
      </c>
      <c r="E45" s="319">
        <f>i_gpmgtfeepctb</f>
        <v>0.5</v>
      </c>
      <c r="F45" s="320"/>
      <c r="G45" s="5"/>
      <c r="H45" s="195" t="s">
        <v>19</v>
      </c>
      <c r="I45" s="311">
        <f t="shared" si="1"/>
        <v>0</v>
      </c>
      <c r="J45" s="217">
        <f t="shared" si="0"/>
        <v>0</v>
      </c>
      <c r="K45" s="217">
        <f t="shared" si="2"/>
        <v>1.0000000000000002</v>
      </c>
      <c r="L45" s="5"/>
    </row>
    <row r="46" spans="1:15" ht="18" customHeight="1">
      <c r="B46" s="146">
        <f t="shared" si="3"/>
        <v>40</v>
      </c>
      <c r="C46" s="141"/>
      <c r="G46" s="5"/>
      <c r="H46" s="195" t="s">
        <v>20</v>
      </c>
      <c r="I46" s="311">
        <f t="shared" si="1"/>
        <v>0</v>
      </c>
      <c r="J46" s="217">
        <f t="shared" si="0"/>
        <v>0</v>
      </c>
      <c r="K46" s="217">
        <f t="shared" si="2"/>
        <v>1.0000000000000002</v>
      </c>
      <c r="L46" s="5"/>
    </row>
    <row r="47" spans="1:15" ht="18" customHeight="1">
      <c r="B47" s="146">
        <f t="shared" si="3"/>
        <v>41</v>
      </c>
      <c r="C47" s="141"/>
      <c r="D47" s="195" t="s">
        <v>63</v>
      </c>
      <c r="E47" s="322">
        <f>i_maxequity/1000000</f>
        <v>100</v>
      </c>
      <c r="F47" s="321"/>
      <c r="G47" s="5"/>
      <c r="H47" s="195" t="s">
        <v>21</v>
      </c>
      <c r="I47" s="311">
        <f t="shared" si="1"/>
        <v>0</v>
      </c>
      <c r="J47" s="217">
        <f t="shared" si="0"/>
        <v>0</v>
      </c>
      <c r="K47" s="217">
        <f t="shared" si="2"/>
        <v>1.0000000000000002</v>
      </c>
      <c r="L47" s="5"/>
    </row>
    <row r="48" spans="1:15" ht="18" customHeight="1">
      <c r="B48" s="146">
        <f t="shared" si="3"/>
        <v>42</v>
      </c>
      <c r="C48" s="141"/>
      <c r="G48" s="5"/>
      <c r="H48" s="195" t="s">
        <v>22</v>
      </c>
      <c r="I48" s="311">
        <f t="shared" si="1"/>
        <v>0</v>
      </c>
      <c r="J48" s="217">
        <f t="shared" si="0"/>
        <v>0</v>
      </c>
      <c r="K48" s="217">
        <f t="shared" si="2"/>
        <v>1.0000000000000002</v>
      </c>
      <c r="L48" s="5"/>
    </row>
    <row r="49" spans="2:14" ht="18" customHeight="1">
      <c r="B49" s="146">
        <f t="shared" si="3"/>
        <v>43</v>
      </c>
      <c r="C49" s="141"/>
      <c r="G49" s="5"/>
      <c r="H49" s="195" t="s">
        <v>23</v>
      </c>
      <c r="I49" s="311">
        <f t="shared" si="1"/>
        <v>0</v>
      </c>
      <c r="J49" s="217">
        <f t="shared" si="0"/>
        <v>0</v>
      </c>
      <c r="K49" s="217">
        <f t="shared" si="2"/>
        <v>1.0000000000000002</v>
      </c>
      <c r="L49" s="5"/>
    </row>
    <row r="50" spans="2:14" ht="18" customHeight="1">
      <c r="B50" s="146">
        <f t="shared" si="3"/>
        <v>44</v>
      </c>
      <c r="C50" s="141"/>
      <c r="G50" s="5"/>
      <c r="H50" s="195" t="s">
        <v>24</v>
      </c>
      <c r="I50" s="311">
        <f t="shared" si="1"/>
        <v>0</v>
      </c>
      <c r="J50" s="217">
        <f t="shared" si="0"/>
        <v>0</v>
      </c>
      <c r="K50" s="217">
        <f t="shared" si="2"/>
        <v>1.0000000000000002</v>
      </c>
      <c r="L50" s="5"/>
    </row>
    <row r="51" spans="2:14" ht="18" customHeight="1">
      <c r="B51" s="146">
        <f t="shared" si="3"/>
        <v>45</v>
      </c>
      <c r="C51" s="141"/>
      <c r="G51" s="5"/>
      <c r="H51" s="195" t="s">
        <v>25</v>
      </c>
      <c r="I51" s="311">
        <f t="shared" si="1"/>
        <v>0</v>
      </c>
      <c r="J51" s="217">
        <f t="shared" si="0"/>
        <v>0</v>
      </c>
      <c r="K51" s="217">
        <f t="shared" si="2"/>
        <v>1.0000000000000002</v>
      </c>
      <c r="L51" s="5"/>
    </row>
    <row r="52" spans="2:14" ht="18" customHeight="1">
      <c r="B52" s="146">
        <f t="shared" si="3"/>
        <v>46</v>
      </c>
      <c r="C52" s="141"/>
      <c r="G52" s="5"/>
      <c r="H52" s="195" t="s">
        <v>26</v>
      </c>
      <c r="I52" s="311">
        <f t="shared" si="1"/>
        <v>0</v>
      </c>
      <c r="J52" s="217">
        <f t="shared" si="0"/>
        <v>0</v>
      </c>
      <c r="K52" s="217">
        <f t="shared" si="2"/>
        <v>1.0000000000000002</v>
      </c>
      <c r="L52" s="5"/>
    </row>
    <row r="53" spans="2:14" ht="18" customHeight="1">
      <c r="B53" s="146">
        <f t="shared" si="3"/>
        <v>47</v>
      </c>
      <c r="C53" s="141"/>
      <c r="G53" s="5"/>
      <c r="H53" s="195" t="s">
        <v>27</v>
      </c>
      <c r="I53" s="311">
        <f t="shared" si="1"/>
        <v>0</v>
      </c>
      <c r="J53" s="217">
        <f t="shared" si="0"/>
        <v>0</v>
      </c>
      <c r="K53" s="217">
        <f t="shared" si="2"/>
        <v>1.0000000000000002</v>
      </c>
      <c r="L53" s="5"/>
    </row>
    <row r="54" spans="2:14" ht="18" customHeight="1">
      <c r="B54" s="146">
        <f t="shared" si="3"/>
        <v>48</v>
      </c>
      <c r="C54" s="141"/>
      <c r="G54" s="5"/>
      <c r="H54" s="195" t="s">
        <v>28</v>
      </c>
      <c r="I54" s="311">
        <f t="shared" si="1"/>
        <v>0</v>
      </c>
      <c r="J54" s="217">
        <f t="shared" si="0"/>
        <v>0</v>
      </c>
      <c r="K54" s="217">
        <f t="shared" si="2"/>
        <v>1.0000000000000002</v>
      </c>
      <c r="L54" s="5"/>
    </row>
    <row r="55" spans="2:14" ht="18" customHeight="1">
      <c r="B55" s="141"/>
      <c r="C55" s="141"/>
      <c r="D55" s="41" t="str">
        <f ca="1">CELL("Filename")</f>
        <v>https://crescentbayholdings-my.sharepoint.com/personal/wolin_crescentbayholdings_com/Documents/5Models/2Excel/Model Templates and Parts/[cbaymod_051.xlsm]Inputs</v>
      </c>
      <c r="F55" s="42"/>
      <c r="G55" s="5"/>
      <c r="H55" s="5"/>
      <c r="I55" s="5"/>
      <c r="J55" s="5"/>
      <c r="K55" s="5"/>
      <c r="L55" s="5"/>
    </row>
    <row r="56" spans="2:14" ht="18" customHeight="1">
      <c r="G56" s="42"/>
      <c r="H56" s="42"/>
      <c r="I56" s="42"/>
      <c r="J56" s="42"/>
      <c r="K56" s="42"/>
      <c r="L56" s="42"/>
      <c r="M56" s="42"/>
      <c r="N56" s="139">
        <f ca="1">NOW()</f>
        <v>45777.307723148151</v>
      </c>
    </row>
    <row r="57" spans="2:14" ht="18" customHeight="1"/>
    <row r="58" spans="2:14" ht="18" customHeight="1"/>
    <row r="59" spans="2:14" ht="18" customHeight="1"/>
    <row r="60" spans="2:14" ht="18" customHeight="1"/>
    <row r="61" spans="2:14" ht="18" customHeight="1"/>
    <row r="62" spans="2:14" ht="18" customHeight="1"/>
    <row r="63" spans="2:14" ht="18" customHeight="1"/>
    <row r="64" spans="2:1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</sheetData>
  <phoneticPr fontId="4" type="noConversion"/>
  <dataValidations disablePrompts="1" count="1">
    <dataValidation type="whole" allowBlank="1" showInputMessage="1" showErrorMessage="1" sqref="N9" xr:uid="{00000000-0002-0000-0300-000000000000}">
      <formula1>0</formula1>
      <formula2>1</formula2>
    </dataValidation>
  </dataValidations>
  <printOptions horizontalCentered="1"/>
  <pageMargins left="0.25" right="0.25" top="0.25" bottom="0.5" header="0.25" footer="0.25"/>
  <pageSetup scale="56" orientation="landscape" horizontalDpi="300" verticalDpi="300" r:id="rId1"/>
  <headerFooter alignWithMargins="0"/>
  <colBreaks count="1" manualBreakCount="1">
    <brk id="1" max="1048575" man="1"/>
  </colBreaks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0000"/>
    <pageSetUpPr fitToPage="1"/>
  </sheetPr>
  <dimension ref="A1:BA354"/>
  <sheetViews>
    <sheetView topLeftCell="E1" zoomScale="80" zoomScaleNormal="80" zoomScaleSheetLayoutView="75" zoomScalePageLayoutView="80" workbookViewId="0">
      <pane ySplit="7" topLeftCell="A8" activePane="bottomLeft" state="frozen"/>
      <selection activeCell="B12" sqref="B12"/>
      <selection pane="bottomLeft" activeCell="J8" sqref="J8"/>
    </sheetView>
  </sheetViews>
  <sheetFormatPr baseColWidth="10" defaultColWidth="11.5" defaultRowHeight="13"/>
  <cols>
    <col min="1" max="1" width="5.6640625" customWidth="1"/>
    <col min="2" max="3" width="8.6640625" customWidth="1"/>
    <col min="4" max="4" width="5.6640625" customWidth="1"/>
    <col min="5" max="8" width="11.6640625" style="478" customWidth="1"/>
    <col min="9" max="9" width="13.6640625" style="478" customWidth="1"/>
    <col min="10" max="11" width="13.6640625" customWidth="1"/>
    <col min="12" max="17" width="11.6640625" customWidth="1"/>
    <col min="18" max="18" width="13.6640625" customWidth="1"/>
    <col min="19" max="19" width="5.6640625" customWidth="1"/>
    <col min="20" max="37" width="12.6640625" customWidth="1"/>
    <col min="38" max="38" width="5.6640625" customWidth="1"/>
    <col min="39" max="45" width="12.6640625" customWidth="1"/>
  </cols>
  <sheetData>
    <row r="1" spans="1:53" ht="16">
      <c r="Q1" s="3" t="s">
        <v>230</v>
      </c>
      <c r="R1" s="66">
        <f>R69+R8</f>
        <v>1085000</v>
      </c>
      <c r="AG1" s="3" t="s">
        <v>230</v>
      </c>
      <c r="AH1" s="66">
        <f ca="1">AH69+AH8</f>
        <v>172328.25588221542</v>
      </c>
      <c r="AI1" s="66">
        <f ca="1">AI69+AI8</f>
        <v>998671.13567611389</v>
      </c>
      <c r="AK1" s="66">
        <f ca="1">AK69+AK8</f>
        <v>767971.13567611389</v>
      </c>
      <c r="AM1" s="3"/>
      <c r="AN1" s="14"/>
      <c r="AO1" s="14"/>
      <c r="AP1" s="14"/>
    </row>
    <row r="2" spans="1:53" s="4" customFormat="1" ht="16">
      <c r="A2"/>
      <c r="B2"/>
      <c r="C2"/>
      <c r="D2"/>
      <c r="E2" s="478"/>
      <c r="F2" s="478"/>
      <c r="G2" s="478"/>
      <c r="H2" s="478"/>
      <c r="I2" s="478"/>
      <c r="J2"/>
      <c r="K2"/>
      <c r="L2"/>
      <c r="M2"/>
      <c r="N2"/>
      <c r="O2"/>
      <c r="P2"/>
      <c r="Q2" s="3" t="s">
        <v>292</v>
      </c>
      <c r="R2" s="67">
        <f>12*IRR(R8:R68,0.01)</f>
        <v>0.10483495869491133</v>
      </c>
      <c r="S2"/>
      <c r="T2"/>
      <c r="U2"/>
      <c r="V2"/>
      <c r="W2"/>
      <c r="X2"/>
      <c r="Y2"/>
      <c r="Z2"/>
      <c r="AA2"/>
      <c r="AB2"/>
      <c r="AC2" s="5"/>
      <c r="AD2" s="5"/>
      <c r="AE2" s="5"/>
      <c r="AF2" s="5"/>
      <c r="AG2" s="3" t="s">
        <v>292</v>
      </c>
      <c r="AH2" s="67">
        <f ca="1">12*IRR(AH8:AH68,0.01)</f>
        <v>4.5625000000025118E-2</v>
      </c>
      <c r="AI2" s="67">
        <f ca="1">12*IRR(AI8:AI68,0.01)</f>
        <v>0.1458328464689993</v>
      </c>
      <c r="AJ2" s="5"/>
      <c r="AK2" s="67">
        <f ca="1">12*IRR(AK8:AK68,0.01)</f>
        <v>0.1140881728564116</v>
      </c>
      <c r="AL2"/>
      <c r="AM2" s="3"/>
      <c r="AN2" s="14"/>
      <c r="AO2" s="14"/>
      <c r="AP2" s="14"/>
      <c r="AQ2"/>
    </row>
    <row r="3" spans="1:53" s="4" customFormat="1" ht="16">
      <c r="A3"/>
      <c r="B3"/>
      <c r="C3"/>
      <c r="D3"/>
      <c r="E3" s="478"/>
      <c r="F3" s="478"/>
      <c r="G3" s="478"/>
      <c r="H3" s="478"/>
      <c r="I3" s="478"/>
      <c r="J3"/>
      <c r="K3"/>
      <c r="L3"/>
      <c r="M3"/>
      <c r="N3"/>
      <c r="O3"/>
      <c r="P3"/>
      <c r="Q3" s="3" t="s">
        <v>293</v>
      </c>
      <c r="R3" s="67">
        <f>4*(((1+R2/12)^3)-1)</f>
        <v>0.10575348981333477</v>
      </c>
      <c r="S3"/>
      <c r="T3"/>
      <c r="U3"/>
      <c r="V3"/>
      <c r="W3"/>
      <c r="X3"/>
      <c r="Y3"/>
      <c r="Z3"/>
      <c r="AA3"/>
      <c r="AB3"/>
      <c r="AC3" s="5"/>
      <c r="AD3" s="78"/>
      <c r="AE3" s="5"/>
      <c r="AF3" s="5"/>
      <c r="AG3" s="3" t="s">
        <v>293</v>
      </c>
      <c r="AH3" s="67">
        <f ca="1">4*(((1+AH2/12)^3)-1)</f>
        <v>4.5798689901306311E-2</v>
      </c>
      <c r="AI3" s="67">
        <f ca="1">4*(((1+AI2/12)^3)-1)</f>
        <v>0.14761229403157472</v>
      </c>
      <c r="AJ3" s="5"/>
      <c r="AK3" s="67">
        <f ca="1">4*(((1+AK2/12)^3)-1)</f>
        <v>0.11517628625231069</v>
      </c>
      <c r="AL3"/>
      <c r="AM3" s="3"/>
      <c r="AN3" s="14"/>
      <c r="AO3" s="14"/>
      <c r="AP3" s="14"/>
      <c r="AQ3"/>
    </row>
    <row r="4" spans="1:53" s="4" customFormat="1" ht="16">
      <c r="A4"/>
      <c r="B4"/>
      <c r="C4"/>
      <c r="D4"/>
      <c r="E4" s="478"/>
      <c r="F4" s="508">
        <f>SUM(F8:F68)</f>
        <v>1.0000000000000002</v>
      </c>
      <c r="G4" s="478"/>
      <c r="H4" s="478"/>
      <c r="I4" s="478"/>
      <c r="J4"/>
      <c r="K4"/>
      <c r="L4"/>
      <c r="M4"/>
      <c r="N4"/>
      <c r="O4"/>
      <c r="P4"/>
      <c r="Q4" s="3" t="s">
        <v>294</v>
      </c>
      <c r="R4" s="67">
        <f>((((R3/4)+1)^2)-1)*2</f>
        <v>0.10715146488929728</v>
      </c>
      <c r="S4"/>
      <c r="T4"/>
      <c r="U4"/>
      <c r="V4"/>
      <c r="W4"/>
      <c r="X4"/>
      <c r="Y4"/>
      <c r="Z4"/>
      <c r="AA4"/>
      <c r="AB4"/>
      <c r="AC4" s="5"/>
      <c r="AD4" s="5"/>
      <c r="AE4" s="5"/>
      <c r="AF4" s="78"/>
      <c r="AG4" s="3" t="s">
        <v>294</v>
      </c>
      <c r="AH4" s="67">
        <f ca="1">((((AH3/4)+1)^2)-1)*2</f>
        <v>4.6060879900891027E-2</v>
      </c>
      <c r="AI4" s="67">
        <f ca="1">((((AI3/4)+1)^2)-1)*2</f>
        <v>0.15033596770023294</v>
      </c>
      <c r="AJ4" s="5"/>
      <c r="AK4" s="67">
        <f ca="1">((((AK3/4)+1)^2)-1)*2</f>
        <v>0.11683448336667013</v>
      </c>
      <c r="AL4"/>
      <c r="AM4" s="3"/>
      <c r="AN4" s="14"/>
      <c r="AO4" s="14"/>
      <c r="AP4" s="14"/>
      <c r="AQ4"/>
    </row>
    <row r="5" spans="1:53" s="4" customFormat="1" ht="17" thickBot="1">
      <c r="A5"/>
      <c r="B5"/>
      <c r="C5"/>
      <c r="D5"/>
      <c r="E5" s="478"/>
      <c r="F5" s="478"/>
      <c r="G5" s="478"/>
      <c r="H5" s="478"/>
      <c r="I5" s="478"/>
      <c r="J5"/>
      <c r="K5"/>
      <c r="L5"/>
      <c r="M5"/>
      <c r="N5"/>
      <c r="O5"/>
      <c r="P5"/>
      <c r="Q5" s="3" t="s">
        <v>295</v>
      </c>
      <c r="R5" s="67">
        <f>1*(((1+R2/12)^12)-1)</f>
        <v>0.1100218239962778</v>
      </c>
      <c r="S5"/>
      <c r="T5"/>
      <c r="U5"/>
      <c r="V5"/>
      <c r="W5"/>
      <c r="X5"/>
      <c r="Y5"/>
      <c r="Z5"/>
      <c r="AA5" s="46">
        <v>1</v>
      </c>
      <c r="AB5"/>
      <c r="AC5" s="5"/>
      <c r="AD5" s="46">
        <v>2</v>
      </c>
      <c r="AE5" s="5" t="s">
        <v>339</v>
      </c>
      <c r="AF5" s="46">
        <v>3</v>
      </c>
      <c r="AG5" s="3" t="s">
        <v>295</v>
      </c>
      <c r="AH5" s="67">
        <f ca="1">1*(((1+AH2/12)^12)-1)</f>
        <v>4.6591281065201828E-2</v>
      </c>
      <c r="AI5" s="67">
        <f ca="1">1*(((1+AI2/12)^12)-1)</f>
        <v>0.15598619349632381</v>
      </c>
      <c r="AJ5" s="68">
        <v>-4</v>
      </c>
      <c r="AK5" s="67">
        <f ca="1">1*(((1+AK2/12)^12)-1)</f>
        <v>0.12024705749255937</v>
      </c>
      <c r="AL5"/>
      <c r="AM5" s="3"/>
      <c r="AN5" s="14"/>
      <c r="AO5" s="14"/>
      <c r="AP5" s="14"/>
      <c r="AQ5" s="66">
        <f>NPV(i_gpdiscrate/12,AQ9:AQ68)</f>
        <v>115350</v>
      </c>
      <c r="AR5" s="66">
        <f>NPV(i_gpdiscrate/12,AR9:AR68)</f>
        <v>115350</v>
      </c>
    </row>
    <row r="6" spans="1:53" s="4" customFormat="1" ht="30" customHeight="1" thickBot="1">
      <c r="A6"/>
      <c r="B6" s="9" t="s">
        <v>325</v>
      </c>
      <c r="C6" s="79"/>
      <c r="D6"/>
      <c r="E6" s="479" t="s">
        <v>229</v>
      </c>
      <c r="F6" s="480"/>
      <c r="G6" s="480"/>
      <c r="H6" s="481"/>
      <c r="I6" s="481"/>
      <c r="J6" s="47"/>
      <c r="K6" s="47"/>
      <c r="L6" s="47"/>
      <c r="M6" s="47"/>
      <c r="N6" s="47"/>
      <c r="O6" s="47"/>
      <c r="P6" s="47"/>
      <c r="Q6" s="47"/>
      <c r="R6" s="48"/>
      <c r="S6"/>
      <c r="T6" s="70" t="s">
        <v>245</v>
      </c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69" t="s">
        <v>419</v>
      </c>
      <c r="AK6" s="277"/>
      <c r="AL6"/>
      <c r="AM6" s="94" t="s">
        <v>173</v>
      </c>
      <c r="AN6" s="99"/>
      <c r="AO6" s="99"/>
      <c r="AP6" s="99"/>
      <c r="AQ6" s="99"/>
      <c r="AR6" s="95"/>
    </row>
    <row r="7" spans="1:53" s="4" customFormat="1" ht="75" customHeight="1">
      <c r="A7"/>
      <c r="B7" s="12" t="s">
        <v>257</v>
      </c>
      <c r="C7" s="12" t="s">
        <v>326</v>
      </c>
      <c r="D7" s="39"/>
      <c r="E7" s="482" t="s">
        <v>329</v>
      </c>
      <c r="F7" s="482" t="s">
        <v>223</v>
      </c>
      <c r="G7" s="482" t="s">
        <v>462</v>
      </c>
      <c r="H7" s="482" t="s">
        <v>224</v>
      </c>
      <c r="I7" s="482" t="s">
        <v>328</v>
      </c>
      <c r="J7" s="49" t="s">
        <v>463</v>
      </c>
      <c r="K7" s="49" t="s">
        <v>464</v>
      </c>
      <c r="L7" s="49" t="s">
        <v>258</v>
      </c>
      <c r="M7" s="49" t="s">
        <v>226</v>
      </c>
      <c r="N7" s="49" t="s">
        <v>227</v>
      </c>
      <c r="O7" s="65" t="s">
        <v>330</v>
      </c>
      <c r="P7" s="49" t="s">
        <v>340</v>
      </c>
      <c r="Q7" s="65" t="s">
        <v>206</v>
      </c>
      <c r="R7" s="49" t="s">
        <v>207</v>
      </c>
      <c r="S7"/>
      <c r="T7" s="10" t="s">
        <v>239</v>
      </c>
      <c r="U7" s="10" t="s">
        <v>240</v>
      </c>
      <c r="V7" s="10" t="s">
        <v>123</v>
      </c>
      <c r="W7" s="10" t="s">
        <v>260</v>
      </c>
      <c r="X7" s="11" t="s">
        <v>254</v>
      </c>
      <c r="Y7" s="25" t="s">
        <v>255</v>
      </c>
      <c r="Z7" s="11" t="s">
        <v>331</v>
      </c>
      <c r="AA7" s="45" t="s">
        <v>243</v>
      </c>
      <c r="AB7" s="25" t="s">
        <v>118</v>
      </c>
      <c r="AC7" s="11" t="s">
        <v>331</v>
      </c>
      <c r="AD7" s="45" t="s">
        <v>261</v>
      </c>
      <c r="AE7" s="11" t="s">
        <v>331</v>
      </c>
      <c r="AF7" s="45" t="s">
        <v>244</v>
      </c>
      <c r="AG7" s="33" t="s">
        <v>259</v>
      </c>
      <c r="AH7" s="10" t="s">
        <v>256</v>
      </c>
      <c r="AI7" s="11" t="s">
        <v>331</v>
      </c>
      <c r="AJ7" s="276" t="s">
        <v>419</v>
      </c>
      <c r="AK7" s="278" t="s">
        <v>112</v>
      </c>
      <c r="AL7" s="39"/>
      <c r="AM7" s="100" t="s">
        <v>442</v>
      </c>
      <c r="AN7" s="149" t="s">
        <v>56</v>
      </c>
      <c r="AO7" s="149" t="s">
        <v>353</v>
      </c>
      <c r="AP7" s="149" t="s">
        <v>46</v>
      </c>
      <c r="AQ7" s="12" t="str">
        <f>i_gpnamea&amp;" Share of Management Fee"</f>
        <v>Crescent Share of Management Fee</v>
      </c>
      <c r="AR7" s="102" t="str">
        <f>i_gpnameb&amp;" Share of Management Fee"</f>
        <v>LAO Share of Management Fee</v>
      </c>
    </row>
    <row r="8" spans="1:53" s="4" customFormat="1" ht="14" customHeight="1" thickBot="1">
      <c r="A8"/>
      <c r="B8" s="13">
        <v>0</v>
      </c>
      <c r="C8" s="13">
        <v>0</v>
      </c>
      <c r="D8" s="14"/>
      <c r="E8" s="502">
        <f>i_lotstotal</f>
        <v>100</v>
      </c>
      <c r="F8" s="483" t="s">
        <v>133</v>
      </c>
      <c r="G8" s="483">
        <v>0</v>
      </c>
      <c r="H8" s="502">
        <v>0</v>
      </c>
      <c r="I8" s="502">
        <f t="shared" ref="I8:I68" si="0">E8-H8</f>
        <v>100</v>
      </c>
      <c r="J8" s="502">
        <f t="shared" ref="J8:J39" ca="1" si="1">c_equity_tot*(1-G8)</f>
        <v>3932828.8690687185</v>
      </c>
      <c r="K8" s="502">
        <v>0</v>
      </c>
      <c r="L8" s="502">
        <v>0</v>
      </c>
      <c r="M8" s="56">
        <v>0</v>
      </c>
      <c r="N8" s="56">
        <f>c_optionpmt</f>
        <v>1153500</v>
      </c>
      <c r="O8" s="56">
        <v>0</v>
      </c>
      <c r="P8" s="56">
        <v>0</v>
      </c>
      <c r="Q8" s="56">
        <v>0</v>
      </c>
      <c r="R8" s="158">
        <f>-i_landcost+c_optionpmt+i_othercosts</f>
        <v>-3846500</v>
      </c>
      <c r="S8" s="14"/>
      <c r="T8" s="56" t="s">
        <v>133</v>
      </c>
      <c r="U8" s="56" t="s">
        <v>133</v>
      </c>
      <c r="V8" s="56" t="s">
        <v>133</v>
      </c>
      <c r="W8" s="56" t="s">
        <v>133</v>
      </c>
      <c r="X8" s="56">
        <f ca="1">i_seniorintreserve</f>
        <v>172657.73813743709</v>
      </c>
      <c r="Y8" s="56">
        <v>0</v>
      </c>
      <c r="Z8" s="56">
        <v>0</v>
      </c>
      <c r="AA8" s="56">
        <v>0</v>
      </c>
      <c r="AB8" s="56">
        <v>0</v>
      </c>
      <c r="AC8" s="56" t="s">
        <v>133</v>
      </c>
      <c r="AD8" s="56">
        <v>0</v>
      </c>
      <c r="AE8" s="56" t="s">
        <v>133</v>
      </c>
      <c r="AF8" s="56">
        <v>0</v>
      </c>
      <c r="AG8" s="56">
        <f ca="1">c_initialseniordebt</f>
        <v>-86328.869068718515</v>
      </c>
      <c r="AH8" s="56">
        <f ca="1">-c_initialseniordebt+c_seniorfee</f>
        <v>86328.869068718515</v>
      </c>
      <c r="AI8" s="56">
        <f ca="1">-c_equity_init</f>
        <v>-3932828.8690687185</v>
      </c>
      <c r="AJ8" s="56">
        <v>0</v>
      </c>
      <c r="AK8" s="29">
        <f ca="1">-c_equity_init</f>
        <v>-3932828.8690687185</v>
      </c>
      <c r="AL8" s="14"/>
      <c r="AM8" s="56">
        <f ca="1">MIN(AK8,0)</f>
        <v>-3932828.8690687185</v>
      </c>
      <c r="AN8" s="56">
        <f t="shared" ref="AN8:AN39" si="2">IF($B8=0,c_optionpmt,0)</f>
        <v>1153500</v>
      </c>
      <c r="AO8" s="56">
        <f t="shared" ref="AO8:AO39" ca="1" si="3">IF($B8=0,i_seniorintreserve,0)</f>
        <v>172657.73813743709</v>
      </c>
      <c r="AP8" s="56">
        <f t="shared" ref="AP8:AP39" ca="1" si="4">IF($B8=0,c_initialseniordebt-c_seniorfee,0)</f>
        <v>-86328.869068718515</v>
      </c>
      <c r="AQ8" s="207">
        <v>0</v>
      </c>
      <c r="AR8" s="207">
        <v>0</v>
      </c>
      <c r="AS8" s="57"/>
    </row>
    <row r="9" spans="1:53" s="4" customFormat="1" ht="14" customHeight="1">
      <c r="A9" s="14"/>
      <c r="B9" s="15">
        <f t="shared" ref="B9:B68" si="5">$B8+1</f>
        <v>1</v>
      </c>
      <c r="C9" s="15">
        <f t="shared" ref="C9:C68" si="6">IF($B9&gt;0,1+TRUNC(($B9-1)/12),"")</f>
        <v>1</v>
      </c>
      <c r="D9"/>
      <c r="E9" s="503">
        <f>I8</f>
        <v>100</v>
      </c>
      <c r="F9" s="497">
        <f t="shared" ref="F9:F40" si="7">IF($B9&lt;=c_lastsalemonth,INDEX(i_soldvector,$B9,1),0)</f>
        <v>0</v>
      </c>
      <c r="G9" s="484">
        <f>G8+F9</f>
        <v>0</v>
      </c>
      <c r="H9" s="503">
        <f t="shared" ref="H9:H40" si="8">MIN(F9*i_lotstotal,E9)</f>
        <v>0</v>
      </c>
      <c r="I9" s="503">
        <f t="shared" si="0"/>
        <v>100</v>
      </c>
      <c r="J9" s="503">
        <f t="shared" ca="1" si="1"/>
        <v>3932828.8690687185</v>
      </c>
      <c r="K9" s="503">
        <f ca="1">J8*i_amfee/12</f>
        <v>3277.3573908905987</v>
      </c>
      <c r="L9" s="503">
        <f t="shared" ref="L9:L40" si="9">i_lotsalesprice*H9</f>
        <v>0</v>
      </c>
      <c r="M9" s="26">
        <f t="shared" ref="M9:M40" si="10">IF(i_maxoptionpct&gt;0,MAX(0,N8-I9*i_lotsalesprice*i_maxoptionpct),IF($B9&lt;=c_lastsalemonth,INDEX(i_optionrefund,$B9,1),0))</f>
        <v>0</v>
      </c>
      <c r="N9" s="26">
        <f>N8-M9</f>
        <v>1153500</v>
      </c>
      <c r="O9" s="26">
        <f t="shared" ref="O9:O40" si="11">L9-M9</f>
        <v>0</v>
      </c>
      <c r="P9" s="26">
        <f t="shared" ref="P9:P40" si="12">IF($B9&lt;=c_improvemonth,INDEX(i_costvector,$B9,1),0)*c_improvecosts</f>
        <v>0</v>
      </c>
      <c r="Q9" s="26">
        <f t="shared" ref="Q9:Q40" si="13">SUM(P9:P9)</f>
        <v>0</v>
      </c>
      <c r="R9" s="26">
        <f t="shared" ref="R9:R40" si="14">O9-Q9</f>
        <v>0</v>
      </c>
      <c r="S9" s="14"/>
      <c r="T9" s="31">
        <f t="shared" ref="T9:T40" si="15">MIN(i_primecap,i_prime+(i_primeincrease*($C9-1)))</f>
        <v>0.02</v>
      </c>
      <c r="U9" s="31">
        <f t="shared" ref="U9:U40" si="16">T9+i_primespread</f>
        <v>4.4999999999999998E-2</v>
      </c>
      <c r="V9" s="31">
        <f t="shared" ref="V9:V40" si="17">INDEX(U$9:U$68,MIN(c_maxterm,$B9+c_offset-1),1)</f>
        <v>4.4999999999999998E-2</v>
      </c>
      <c r="W9" s="26">
        <f t="shared" ref="W9:W40" ca="1" si="18">(V9*AG8/12)*IF(i_senior360,365/360,1)</f>
        <v>-328.22955427169018</v>
      </c>
      <c r="X9" s="26">
        <f t="shared" ref="X9:X40" ca="1" si="19">X8-Y8</f>
        <v>172657.73813743709</v>
      </c>
      <c r="Y9" s="26">
        <f ca="1">IF(AND($I9&lt;0.001,$I8&gt;0.01),X9,IF(O9&gt;W9,0,MIN(W9-O9,X9)))</f>
        <v>0</v>
      </c>
      <c r="Z9" s="26">
        <f t="shared" ref="Z9:Z40" ca="1" si="20">R9+Y9</f>
        <v>0</v>
      </c>
      <c r="AA9" s="26">
        <f t="shared" ref="AA9:AA40" si="21">MAX(0,P9*IF(i_seniordrawovertime,1,i_seniorpct))</f>
        <v>0</v>
      </c>
      <c r="AB9" s="26">
        <f t="shared" ref="AB9:AB40" si="22">-MIN(R9+AA9,0)</f>
        <v>0</v>
      </c>
      <c r="AC9" s="26">
        <f ca="1">Z9+AA9+AB9</f>
        <v>0</v>
      </c>
      <c r="AD9" s="26">
        <f t="shared" ref="AD9:AD40" ca="1" si="23">MAX(MIN(W9,AC9),0)</f>
        <v>0</v>
      </c>
      <c r="AE9" s="26">
        <f t="shared" ref="AE9:AE40" ca="1" si="24">AC9-AD9</f>
        <v>0</v>
      </c>
      <c r="AF9" s="26">
        <f t="shared" ref="AF9:AF40" ca="1" si="25">MIN(H9*c_releaseprice,AG8,AE9)</f>
        <v>-86328.869068718515</v>
      </c>
      <c r="AG9" s="26">
        <f t="shared" ref="AG9:AG40" ca="1" si="26">AG8+W9+AA9-AD9-AF9</f>
        <v>-328.22955427168927</v>
      </c>
      <c r="AH9" s="26">
        <f t="shared" ref="AH9:AH40" ca="1" si="27">AD9+AF9-AA9</f>
        <v>-86328.869068718515</v>
      </c>
      <c r="AI9" s="26">
        <f ca="1">AE9-MAX(0,AF9)</f>
        <v>0</v>
      </c>
      <c r="AJ9" s="26">
        <f t="shared" ref="AJ9:AJ40" si="28">L9*i_gpmgtfee</f>
        <v>0</v>
      </c>
      <c r="AK9" s="26">
        <f t="shared" ref="AK9:AK40" ca="1" si="29">AI9-AJ9</f>
        <v>0</v>
      </c>
      <c r="AL9"/>
      <c r="AM9" s="26">
        <f t="shared" ref="AM9:AM68" ca="1" si="30">MIN(AK9,0)</f>
        <v>0</v>
      </c>
      <c r="AN9" s="26">
        <f t="shared" si="2"/>
        <v>0</v>
      </c>
      <c r="AO9" s="26">
        <f t="shared" si="3"/>
        <v>0</v>
      </c>
      <c r="AP9" s="26">
        <f t="shared" si="4"/>
        <v>0</v>
      </c>
      <c r="AQ9" s="26">
        <f t="shared" ref="AQ9:AQ40" si="31">i_gpmgtfeepcta*$AJ9</f>
        <v>0</v>
      </c>
      <c r="AR9" s="26">
        <f t="shared" ref="AR9:AR40" si="32">i_gpmgtfeepctb*$AJ9</f>
        <v>0</v>
      </c>
      <c r="AS9" s="50"/>
    </row>
    <row r="10" spans="1:53" s="4" customFormat="1" ht="14" customHeight="1">
      <c r="A10"/>
      <c r="B10" s="16">
        <f t="shared" si="5"/>
        <v>2</v>
      </c>
      <c r="C10" s="16">
        <f t="shared" si="6"/>
        <v>1</v>
      </c>
      <c r="D10"/>
      <c r="E10" s="504">
        <f t="shared" ref="E10:E68" si="33">I9</f>
        <v>100</v>
      </c>
      <c r="F10" s="498">
        <f t="shared" si="7"/>
        <v>0</v>
      </c>
      <c r="G10" s="485">
        <f t="shared" ref="G10:G68" si="34">G9+F10</f>
        <v>0</v>
      </c>
      <c r="H10" s="504">
        <f t="shared" si="8"/>
        <v>0</v>
      </c>
      <c r="I10" s="504">
        <f t="shared" si="0"/>
        <v>100</v>
      </c>
      <c r="J10" s="504">
        <f t="shared" ca="1" si="1"/>
        <v>3932828.8690687185</v>
      </c>
      <c r="K10" s="504">
        <f t="shared" ref="K10:K68" ca="1" si="35">J9*i_amfee/12</f>
        <v>3277.3573908905987</v>
      </c>
      <c r="L10" s="504">
        <f t="shared" si="9"/>
        <v>0</v>
      </c>
      <c r="M10" s="27">
        <f t="shared" si="10"/>
        <v>0</v>
      </c>
      <c r="N10" s="27">
        <f t="shared" ref="N10:N68" si="36">N9-M10</f>
        <v>1153500</v>
      </c>
      <c r="O10" s="27">
        <f t="shared" si="11"/>
        <v>0</v>
      </c>
      <c r="P10" s="27">
        <f t="shared" si="12"/>
        <v>0</v>
      </c>
      <c r="Q10" s="27">
        <f t="shared" si="13"/>
        <v>0</v>
      </c>
      <c r="R10" s="27">
        <f t="shared" si="14"/>
        <v>0</v>
      </c>
      <c r="S10" s="14"/>
      <c r="T10" s="35">
        <f t="shared" si="15"/>
        <v>0.02</v>
      </c>
      <c r="U10" s="35">
        <f t="shared" si="16"/>
        <v>4.4999999999999998E-2</v>
      </c>
      <c r="V10" s="35">
        <f t="shared" si="17"/>
        <v>4.4999999999999998E-2</v>
      </c>
      <c r="W10" s="27">
        <f t="shared" ca="1" si="18"/>
        <v>-1.2479561178038185</v>
      </c>
      <c r="X10" s="27">
        <f t="shared" ca="1" si="19"/>
        <v>172657.73813743709</v>
      </c>
      <c r="Y10" s="27">
        <f t="shared" ref="Y10:Y68" ca="1" si="37">IF(AND($I10&lt;0.001,$I9&gt;0.01),X10,IF(O10&gt;W10,0,MIN(W10-O10,X10)))</f>
        <v>0</v>
      </c>
      <c r="Z10" s="27">
        <f t="shared" ca="1" si="20"/>
        <v>0</v>
      </c>
      <c r="AA10" s="27">
        <f t="shared" si="21"/>
        <v>0</v>
      </c>
      <c r="AB10" s="27">
        <f t="shared" si="22"/>
        <v>0</v>
      </c>
      <c r="AC10" s="27">
        <f t="shared" ref="AC10:AC68" ca="1" si="38">Z10+AA10+AB10</f>
        <v>0</v>
      </c>
      <c r="AD10" s="27">
        <f t="shared" ca="1" si="23"/>
        <v>0</v>
      </c>
      <c r="AE10" s="27">
        <f t="shared" ca="1" si="24"/>
        <v>0</v>
      </c>
      <c r="AF10" s="27">
        <f t="shared" ca="1" si="25"/>
        <v>-328.22955427168927</v>
      </c>
      <c r="AG10" s="27">
        <f t="shared" ca="1" si="26"/>
        <v>-1.2479561178038239</v>
      </c>
      <c r="AH10" s="27">
        <f t="shared" ca="1" si="27"/>
        <v>-328.22955427168927</v>
      </c>
      <c r="AI10" s="27">
        <f t="shared" ref="AI10:AI68" ca="1" si="39">AE10-MAX(0,AF10)</f>
        <v>0</v>
      </c>
      <c r="AJ10" s="27">
        <f t="shared" si="28"/>
        <v>0</v>
      </c>
      <c r="AK10" s="27">
        <f t="shared" ca="1" si="29"/>
        <v>0</v>
      </c>
      <c r="AL10"/>
      <c r="AM10" s="27">
        <f t="shared" ca="1" si="30"/>
        <v>0</v>
      </c>
      <c r="AN10" s="27">
        <f t="shared" si="2"/>
        <v>0</v>
      </c>
      <c r="AO10" s="27">
        <f t="shared" si="3"/>
        <v>0</v>
      </c>
      <c r="AP10" s="27">
        <f t="shared" si="4"/>
        <v>0</v>
      </c>
      <c r="AQ10" s="27">
        <f t="shared" si="31"/>
        <v>0</v>
      </c>
      <c r="AR10" s="27">
        <f t="shared" si="32"/>
        <v>0</v>
      </c>
      <c r="AS10" s="50"/>
    </row>
    <row r="11" spans="1:53" s="4" customFormat="1" ht="14" customHeight="1">
      <c r="A11"/>
      <c r="B11" s="17">
        <f t="shared" si="5"/>
        <v>3</v>
      </c>
      <c r="C11" s="17">
        <f t="shared" si="6"/>
        <v>1</v>
      </c>
      <c r="D11"/>
      <c r="E11" s="505">
        <f t="shared" si="33"/>
        <v>100</v>
      </c>
      <c r="F11" s="499">
        <f t="shared" si="7"/>
        <v>0</v>
      </c>
      <c r="G11" s="486">
        <f t="shared" si="34"/>
        <v>0</v>
      </c>
      <c r="H11" s="505">
        <f t="shared" si="8"/>
        <v>0</v>
      </c>
      <c r="I11" s="505">
        <f t="shared" si="0"/>
        <v>100</v>
      </c>
      <c r="J11" s="505">
        <f t="shared" ca="1" si="1"/>
        <v>3932828.8690687185</v>
      </c>
      <c r="K11" s="505">
        <f t="shared" ca="1" si="35"/>
        <v>3277.3573908905987</v>
      </c>
      <c r="L11" s="505">
        <f t="shared" si="9"/>
        <v>0</v>
      </c>
      <c r="M11" s="28">
        <f t="shared" si="10"/>
        <v>0</v>
      </c>
      <c r="N11" s="28">
        <f t="shared" si="36"/>
        <v>1153500</v>
      </c>
      <c r="O11" s="28">
        <f t="shared" si="11"/>
        <v>0</v>
      </c>
      <c r="P11" s="28">
        <f t="shared" si="12"/>
        <v>500000</v>
      </c>
      <c r="Q11" s="28">
        <f t="shared" si="13"/>
        <v>500000</v>
      </c>
      <c r="R11" s="28">
        <f t="shared" si="14"/>
        <v>-500000</v>
      </c>
      <c r="S11" s="14"/>
      <c r="T11" s="36">
        <f t="shared" si="15"/>
        <v>0.02</v>
      </c>
      <c r="U11" s="36">
        <f t="shared" si="16"/>
        <v>4.4999999999999998E-2</v>
      </c>
      <c r="V11" s="36">
        <f t="shared" si="17"/>
        <v>4.4999999999999998E-2</v>
      </c>
      <c r="W11" s="28">
        <f t="shared" ca="1" si="18"/>
        <v>-4.7448331562332888E-3</v>
      </c>
      <c r="X11" s="28">
        <f t="shared" ca="1" si="19"/>
        <v>172657.73813743709</v>
      </c>
      <c r="Y11" s="28">
        <f t="shared" ca="1" si="37"/>
        <v>0</v>
      </c>
      <c r="Z11" s="28">
        <f t="shared" ca="1" si="20"/>
        <v>-500000</v>
      </c>
      <c r="AA11" s="28">
        <f t="shared" si="21"/>
        <v>500000</v>
      </c>
      <c r="AB11" s="28">
        <f t="shared" si="22"/>
        <v>0</v>
      </c>
      <c r="AC11" s="28">
        <f t="shared" ca="1" si="38"/>
        <v>0</v>
      </c>
      <c r="AD11" s="28">
        <f t="shared" ca="1" si="23"/>
        <v>0</v>
      </c>
      <c r="AE11" s="28">
        <f t="shared" ca="1" si="24"/>
        <v>0</v>
      </c>
      <c r="AF11" s="28">
        <f t="shared" ca="1" si="25"/>
        <v>-1.2479561178038239</v>
      </c>
      <c r="AG11" s="28">
        <f t="shared" ca="1" si="26"/>
        <v>499999.99525516684</v>
      </c>
      <c r="AH11" s="28">
        <f t="shared" ca="1" si="27"/>
        <v>-500001.24795611779</v>
      </c>
      <c r="AI11" s="28">
        <f t="shared" ca="1" si="39"/>
        <v>0</v>
      </c>
      <c r="AJ11" s="28">
        <f t="shared" si="28"/>
        <v>0</v>
      </c>
      <c r="AK11" s="28">
        <f t="shared" ca="1" si="29"/>
        <v>0</v>
      </c>
      <c r="AL11"/>
      <c r="AM11" s="28">
        <f t="shared" ca="1" si="30"/>
        <v>0</v>
      </c>
      <c r="AN11" s="28">
        <f t="shared" si="2"/>
        <v>0</v>
      </c>
      <c r="AO11" s="28">
        <f t="shared" si="3"/>
        <v>0</v>
      </c>
      <c r="AP11" s="28">
        <f t="shared" si="4"/>
        <v>0</v>
      </c>
      <c r="AQ11" s="28">
        <f t="shared" si="31"/>
        <v>0</v>
      </c>
      <c r="AR11" s="28">
        <f t="shared" si="32"/>
        <v>0</v>
      </c>
      <c r="AS11" s="50"/>
    </row>
    <row r="12" spans="1:53" s="4" customFormat="1" ht="14" customHeight="1">
      <c r="A12"/>
      <c r="B12" s="15">
        <f t="shared" si="5"/>
        <v>4</v>
      </c>
      <c r="C12" s="15">
        <f t="shared" si="6"/>
        <v>1</v>
      </c>
      <c r="D12"/>
      <c r="E12" s="503">
        <f t="shared" si="33"/>
        <v>100</v>
      </c>
      <c r="F12" s="497">
        <f t="shared" si="7"/>
        <v>0</v>
      </c>
      <c r="G12" s="484">
        <f t="shared" si="34"/>
        <v>0</v>
      </c>
      <c r="H12" s="503">
        <f t="shared" si="8"/>
        <v>0</v>
      </c>
      <c r="I12" s="503">
        <f t="shared" si="0"/>
        <v>100</v>
      </c>
      <c r="J12" s="503">
        <f t="shared" ca="1" si="1"/>
        <v>3932828.8690687185</v>
      </c>
      <c r="K12" s="503">
        <f t="shared" ca="1" si="35"/>
        <v>3277.3573908905987</v>
      </c>
      <c r="L12" s="503">
        <f t="shared" si="9"/>
        <v>0</v>
      </c>
      <c r="M12" s="26">
        <f t="shared" si="10"/>
        <v>0</v>
      </c>
      <c r="N12" s="26">
        <f t="shared" si="36"/>
        <v>1153500</v>
      </c>
      <c r="O12" s="26">
        <f t="shared" si="11"/>
        <v>0</v>
      </c>
      <c r="P12" s="26">
        <f t="shared" si="12"/>
        <v>500000</v>
      </c>
      <c r="Q12" s="26">
        <f t="shared" si="13"/>
        <v>500000</v>
      </c>
      <c r="R12" s="26">
        <f t="shared" si="14"/>
        <v>-500000</v>
      </c>
      <c r="S12" s="14"/>
      <c r="T12" s="31">
        <f t="shared" si="15"/>
        <v>0.02</v>
      </c>
      <c r="U12" s="31">
        <f t="shared" si="16"/>
        <v>4.4999999999999998E-2</v>
      </c>
      <c r="V12" s="31">
        <f t="shared" si="17"/>
        <v>4.4999999999999998E-2</v>
      </c>
      <c r="W12" s="26">
        <f t="shared" ca="1" si="18"/>
        <v>1901.0416486264153</v>
      </c>
      <c r="X12" s="26">
        <f t="shared" ca="1" si="19"/>
        <v>172657.73813743709</v>
      </c>
      <c r="Y12" s="26">
        <f t="shared" ca="1" si="37"/>
        <v>1901.0416486264153</v>
      </c>
      <c r="Z12" s="26">
        <f t="shared" ca="1" si="20"/>
        <v>-498098.95835137356</v>
      </c>
      <c r="AA12" s="26">
        <f t="shared" si="21"/>
        <v>500000</v>
      </c>
      <c r="AB12" s="26">
        <f t="shared" si="22"/>
        <v>0</v>
      </c>
      <c r="AC12" s="26">
        <f t="shared" ca="1" si="38"/>
        <v>1901.0416486264439</v>
      </c>
      <c r="AD12" s="26">
        <f t="shared" ca="1" si="23"/>
        <v>1901.0416486264153</v>
      </c>
      <c r="AE12" s="26">
        <f t="shared" ca="1" si="24"/>
        <v>2.8649083105847239E-11</v>
      </c>
      <c r="AF12" s="26">
        <f t="shared" ca="1" si="25"/>
        <v>0</v>
      </c>
      <c r="AG12" s="26">
        <f t="shared" ca="1" si="26"/>
        <v>999999.99525516678</v>
      </c>
      <c r="AH12" s="26">
        <f t="shared" ca="1" si="27"/>
        <v>-498098.95835137356</v>
      </c>
      <c r="AI12" s="26">
        <f t="shared" ca="1" si="39"/>
        <v>2.8649083105847239E-11</v>
      </c>
      <c r="AJ12" s="26">
        <f t="shared" si="28"/>
        <v>0</v>
      </c>
      <c r="AK12" s="26">
        <f t="shared" ca="1" si="29"/>
        <v>2.8649083105847239E-11</v>
      </c>
      <c r="AL12"/>
      <c r="AM12" s="26">
        <f t="shared" ca="1" si="30"/>
        <v>0</v>
      </c>
      <c r="AN12" s="26">
        <f t="shared" si="2"/>
        <v>0</v>
      </c>
      <c r="AO12" s="26">
        <f t="shared" si="3"/>
        <v>0</v>
      </c>
      <c r="AP12" s="26">
        <f t="shared" si="4"/>
        <v>0</v>
      </c>
      <c r="AQ12" s="26">
        <f t="shared" si="31"/>
        <v>0</v>
      </c>
      <c r="AR12" s="26">
        <f t="shared" si="32"/>
        <v>0</v>
      </c>
      <c r="AS12" s="50"/>
      <c r="AT12" s="57"/>
      <c r="AU12" s="57"/>
      <c r="AV12" s="57"/>
      <c r="AW12" s="57"/>
      <c r="AX12" s="57"/>
      <c r="AY12" s="57"/>
      <c r="AZ12" s="57"/>
      <c r="BA12" s="57"/>
    </row>
    <row r="13" spans="1:53" s="4" customFormat="1" ht="14" customHeight="1">
      <c r="A13"/>
      <c r="B13" s="16">
        <f t="shared" si="5"/>
        <v>5</v>
      </c>
      <c r="C13" s="16">
        <f t="shared" si="6"/>
        <v>1</v>
      </c>
      <c r="D13"/>
      <c r="E13" s="504">
        <f t="shared" si="33"/>
        <v>100</v>
      </c>
      <c r="F13" s="498">
        <f t="shared" si="7"/>
        <v>0.1</v>
      </c>
      <c r="G13" s="485">
        <f t="shared" si="34"/>
        <v>0.1</v>
      </c>
      <c r="H13" s="504">
        <f t="shared" si="8"/>
        <v>10</v>
      </c>
      <c r="I13" s="504">
        <f t="shared" si="0"/>
        <v>90</v>
      </c>
      <c r="J13" s="504">
        <f t="shared" ca="1" si="1"/>
        <v>3539545.9821618469</v>
      </c>
      <c r="K13" s="504">
        <f t="shared" ca="1" si="35"/>
        <v>3277.3573908905987</v>
      </c>
      <c r="L13" s="504">
        <f t="shared" si="9"/>
        <v>1153500</v>
      </c>
      <c r="M13" s="27">
        <f t="shared" si="10"/>
        <v>0</v>
      </c>
      <c r="N13" s="27">
        <f t="shared" si="36"/>
        <v>1153500</v>
      </c>
      <c r="O13" s="27">
        <f t="shared" si="11"/>
        <v>1153500</v>
      </c>
      <c r="P13" s="27">
        <f t="shared" si="12"/>
        <v>500000</v>
      </c>
      <c r="Q13" s="27">
        <f t="shared" si="13"/>
        <v>500000</v>
      </c>
      <c r="R13" s="27">
        <f t="shared" si="14"/>
        <v>653500</v>
      </c>
      <c r="S13" s="14"/>
      <c r="T13" s="35">
        <f t="shared" si="15"/>
        <v>0.02</v>
      </c>
      <c r="U13" s="35">
        <f t="shared" si="16"/>
        <v>4.4999999999999998E-2</v>
      </c>
      <c r="V13" s="35">
        <f t="shared" si="17"/>
        <v>4.4999999999999998E-2</v>
      </c>
      <c r="W13" s="27">
        <f t="shared" ca="1" si="18"/>
        <v>3802.0833152930818</v>
      </c>
      <c r="X13" s="27">
        <f t="shared" ca="1" si="19"/>
        <v>170756.69648881067</v>
      </c>
      <c r="Y13" s="27">
        <f t="shared" ca="1" si="37"/>
        <v>0</v>
      </c>
      <c r="Z13" s="27">
        <f t="shared" ca="1" si="20"/>
        <v>653500</v>
      </c>
      <c r="AA13" s="27">
        <f t="shared" si="21"/>
        <v>500000</v>
      </c>
      <c r="AB13" s="27">
        <f t="shared" si="22"/>
        <v>0</v>
      </c>
      <c r="AC13" s="27">
        <f t="shared" ca="1" si="38"/>
        <v>1153500</v>
      </c>
      <c r="AD13" s="27">
        <f t="shared" ca="1" si="23"/>
        <v>3802.0833152930818</v>
      </c>
      <c r="AE13" s="27">
        <f t="shared" ca="1" si="24"/>
        <v>1149697.9166847069</v>
      </c>
      <c r="AF13" s="27">
        <f t="shared" ca="1" si="25"/>
        <v>661222.75297893339</v>
      </c>
      <c r="AG13" s="27">
        <f t="shared" ca="1" si="26"/>
        <v>838777.2422762335</v>
      </c>
      <c r="AH13" s="27">
        <f t="shared" ca="1" si="27"/>
        <v>165024.83629422646</v>
      </c>
      <c r="AI13" s="27">
        <f t="shared" ca="1" si="39"/>
        <v>488475.16370577354</v>
      </c>
      <c r="AJ13" s="27">
        <f t="shared" si="28"/>
        <v>23070</v>
      </c>
      <c r="AK13" s="27">
        <f t="shared" ca="1" si="29"/>
        <v>465405.16370577354</v>
      </c>
      <c r="AL13"/>
      <c r="AM13" s="27">
        <f t="shared" ca="1" si="30"/>
        <v>0</v>
      </c>
      <c r="AN13" s="27">
        <f t="shared" si="2"/>
        <v>0</v>
      </c>
      <c r="AO13" s="27">
        <f t="shared" si="3"/>
        <v>0</v>
      </c>
      <c r="AP13" s="27">
        <f t="shared" si="4"/>
        <v>0</v>
      </c>
      <c r="AQ13" s="27">
        <f t="shared" si="31"/>
        <v>11535</v>
      </c>
      <c r="AR13" s="27">
        <f t="shared" si="32"/>
        <v>11535</v>
      </c>
      <c r="AS13" s="50"/>
      <c r="AT13" s="57"/>
      <c r="AU13" s="57"/>
      <c r="AV13" s="57"/>
      <c r="AW13" s="57"/>
      <c r="AX13" s="57"/>
      <c r="AY13" s="57"/>
      <c r="AZ13" s="57"/>
      <c r="BA13" s="57"/>
    </row>
    <row r="14" spans="1:53" s="4" customFormat="1" ht="14" customHeight="1">
      <c r="A14"/>
      <c r="B14" s="17">
        <f t="shared" si="5"/>
        <v>6</v>
      </c>
      <c r="C14" s="17">
        <f t="shared" si="6"/>
        <v>1</v>
      </c>
      <c r="D14"/>
      <c r="E14" s="505">
        <f t="shared" si="33"/>
        <v>90</v>
      </c>
      <c r="F14" s="499">
        <f t="shared" si="7"/>
        <v>0</v>
      </c>
      <c r="G14" s="486">
        <f t="shared" si="34"/>
        <v>0.1</v>
      </c>
      <c r="H14" s="505">
        <f t="shared" si="8"/>
        <v>0</v>
      </c>
      <c r="I14" s="505">
        <f t="shared" si="0"/>
        <v>90</v>
      </c>
      <c r="J14" s="505">
        <f t="shared" ca="1" si="1"/>
        <v>3539545.9821618469</v>
      </c>
      <c r="K14" s="505">
        <f t="shared" ca="1" si="35"/>
        <v>2949.621651801539</v>
      </c>
      <c r="L14" s="505">
        <f t="shared" si="9"/>
        <v>0</v>
      </c>
      <c r="M14" s="28">
        <f t="shared" si="10"/>
        <v>0</v>
      </c>
      <c r="N14" s="28">
        <f t="shared" si="36"/>
        <v>1153500</v>
      </c>
      <c r="O14" s="28">
        <f t="shared" si="11"/>
        <v>0</v>
      </c>
      <c r="P14" s="28">
        <f t="shared" si="12"/>
        <v>500000</v>
      </c>
      <c r="Q14" s="28">
        <f t="shared" si="13"/>
        <v>500000</v>
      </c>
      <c r="R14" s="28">
        <f t="shared" si="14"/>
        <v>-500000</v>
      </c>
      <c r="S14" s="14"/>
      <c r="T14" s="36">
        <f t="shared" si="15"/>
        <v>0.02</v>
      </c>
      <c r="U14" s="36">
        <f t="shared" si="16"/>
        <v>4.4999999999999998E-2</v>
      </c>
      <c r="V14" s="36">
        <f t="shared" si="17"/>
        <v>4.4999999999999998E-2</v>
      </c>
      <c r="W14" s="28">
        <f t="shared" ca="1" si="18"/>
        <v>3189.1009732377629</v>
      </c>
      <c r="X14" s="28">
        <f t="shared" ca="1" si="19"/>
        <v>170756.69648881067</v>
      </c>
      <c r="Y14" s="28">
        <f t="shared" ca="1" si="37"/>
        <v>3189.1009732377629</v>
      </c>
      <c r="Z14" s="28">
        <f t="shared" ca="1" si="20"/>
        <v>-496810.89902676223</v>
      </c>
      <c r="AA14" s="28">
        <f t="shared" si="21"/>
        <v>500000</v>
      </c>
      <c r="AB14" s="28">
        <f t="shared" si="22"/>
        <v>0</v>
      </c>
      <c r="AC14" s="28">
        <f t="shared" ca="1" si="38"/>
        <v>3189.1009732377715</v>
      </c>
      <c r="AD14" s="28">
        <f t="shared" ca="1" si="23"/>
        <v>3189.1009732377629</v>
      </c>
      <c r="AE14" s="28">
        <f t="shared" ca="1" si="24"/>
        <v>8.6401996668428183E-12</v>
      </c>
      <c r="AF14" s="28">
        <f t="shared" ca="1" si="25"/>
        <v>0</v>
      </c>
      <c r="AG14" s="28">
        <f t="shared" ca="1" si="26"/>
        <v>1338777.2422762336</v>
      </c>
      <c r="AH14" s="28">
        <f t="shared" ca="1" si="27"/>
        <v>-496810.89902676223</v>
      </c>
      <c r="AI14" s="28">
        <f t="shared" ca="1" si="39"/>
        <v>8.6401996668428183E-12</v>
      </c>
      <c r="AJ14" s="28">
        <f t="shared" si="28"/>
        <v>0</v>
      </c>
      <c r="AK14" s="28">
        <f t="shared" ca="1" si="29"/>
        <v>8.6401996668428183E-12</v>
      </c>
      <c r="AL14"/>
      <c r="AM14" s="28">
        <f t="shared" ca="1" si="30"/>
        <v>0</v>
      </c>
      <c r="AN14" s="28">
        <f t="shared" si="2"/>
        <v>0</v>
      </c>
      <c r="AO14" s="28">
        <f t="shared" si="3"/>
        <v>0</v>
      </c>
      <c r="AP14" s="28">
        <f t="shared" si="4"/>
        <v>0</v>
      </c>
      <c r="AQ14" s="28">
        <f t="shared" si="31"/>
        <v>0</v>
      </c>
      <c r="AR14" s="28">
        <f t="shared" si="32"/>
        <v>0</v>
      </c>
      <c r="AS14" s="50"/>
      <c r="AT14" s="57"/>
      <c r="AU14" s="57"/>
      <c r="AV14" s="57"/>
      <c r="AW14" s="57"/>
      <c r="AX14" s="57"/>
      <c r="AY14" s="57"/>
      <c r="AZ14" s="57"/>
      <c r="BA14" s="57"/>
    </row>
    <row r="15" spans="1:53" s="4" customFormat="1" ht="14" customHeight="1">
      <c r="A15"/>
      <c r="B15" s="15">
        <f t="shared" si="5"/>
        <v>7</v>
      </c>
      <c r="C15" s="15">
        <f t="shared" si="6"/>
        <v>1</v>
      </c>
      <c r="D15"/>
      <c r="E15" s="503">
        <f t="shared" si="33"/>
        <v>90</v>
      </c>
      <c r="F15" s="497">
        <f t="shared" si="7"/>
        <v>0</v>
      </c>
      <c r="G15" s="484">
        <f t="shared" si="34"/>
        <v>0.1</v>
      </c>
      <c r="H15" s="503">
        <f t="shared" si="8"/>
        <v>0</v>
      </c>
      <c r="I15" s="503">
        <f t="shared" si="0"/>
        <v>90</v>
      </c>
      <c r="J15" s="503">
        <f t="shared" ca="1" si="1"/>
        <v>3539545.9821618469</v>
      </c>
      <c r="K15" s="503">
        <f t="shared" ca="1" si="35"/>
        <v>2949.621651801539</v>
      </c>
      <c r="L15" s="503">
        <f t="shared" si="9"/>
        <v>0</v>
      </c>
      <c r="M15" s="26">
        <f t="shared" si="10"/>
        <v>0</v>
      </c>
      <c r="N15" s="26">
        <f t="shared" si="36"/>
        <v>1153500</v>
      </c>
      <c r="O15" s="26">
        <f t="shared" si="11"/>
        <v>0</v>
      </c>
      <c r="P15" s="26">
        <f t="shared" si="12"/>
        <v>500000</v>
      </c>
      <c r="Q15" s="26">
        <f t="shared" si="13"/>
        <v>500000</v>
      </c>
      <c r="R15" s="26">
        <f t="shared" si="14"/>
        <v>-500000</v>
      </c>
      <c r="S15" s="14"/>
      <c r="T15" s="31">
        <f t="shared" si="15"/>
        <v>0.02</v>
      </c>
      <c r="U15" s="31">
        <f t="shared" si="16"/>
        <v>4.4999999999999998E-2</v>
      </c>
      <c r="V15" s="31">
        <f t="shared" si="17"/>
        <v>4.4999999999999998E-2</v>
      </c>
      <c r="W15" s="26">
        <f t="shared" ca="1" si="18"/>
        <v>5090.1426399044294</v>
      </c>
      <c r="X15" s="26">
        <f t="shared" ca="1" si="19"/>
        <v>167567.5955155729</v>
      </c>
      <c r="Y15" s="26">
        <f t="shared" ca="1" si="37"/>
        <v>5090.1426399044294</v>
      </c>
      <c r="Z15" s="26">
        <f t="shared" ca="1" si="20"/>
        <v>-494909.85736009554</v>
      </c>
      <c r="AA15" s="26">
        <f t="shared" si="21"/>
        <v>500000</v>
      </c>
      <c r="AB15" s="26">
        <f t="shared" si="22"/>
        <v>0</v>
      </c>
      <c r="AC15" s="26">
        <f t="shared" ca="1" si="38"/>
        <v>5090.1426399044576</v>
      </c>
      <c r="AD15" s="26">
        <f t="shared" ca="1" si="23"/>
        <v>5090.1426399044294</v>
      </c>
      <c r="AE15" s="26">
        <f t="shared" ca="1" si="24"/>
        <v>2.8194335754960775E-11</v>
      </c>
      <c r="AF15" s="26">
        <f t="shared" ca="1" si="25"/>
        <v>0</v>
      </c>
      <c r="AG15" s="26">
        <f t="shared" ca="1" si="26"/>
        <v>1838777.2422762336</v>
      </c>
      <c r="AH15" s="26">
        <f t="shared" ca="1" si="27"/>
        <v>-494909.85736009554</v>
      </c>
      <c r="AI15" s="26">
        <f t="shared" ca="1" si="39"/>
        <v>2.8194335754960775E-11</v>
      </c>
      <c r="AJ15" s="26">
        <f t="shared" si="28"/>
        <v>0</v>
      </c>
      <c r="AK15" s="26">
        <f t="shared" ca="1" si="29"/>
        <v>2.8194335754960775E-11</v>
      </c>
      <c r="AL15"/>
      <c r="AM15" s="26">
        <f t="shared" ca="1" si="30"/>
        <v>0</v>
      </c>
      <c r="AN15" s="26">
        <f t="shared" si="2"/>
        <v>0</v>
      </c>
      <c r="AO15" s="26">
        <f t="shared" si="3"/>
        <v>0</v>
      </c>
      <c r="AP15" s="26">
        <f t="shared" si="4"/>
        <v>0</v>
      </c>
      <c r="AQ15" s="26">
        <f t="shared" si="31"/>
        <v>0</v>
      </c>
      <c r="AR15" s="26">
        <f t="shared" si="32"/>
        <v>0</v>
      </c>
      <c r="AS15" s="50"/>
      <c r="AT15" s="57"/>
      <c r="AU15" s="57"/>
      <c r="AV15" s="57"/>
      <c r="AW15" s="57"/>
      <c r="AX15" s="57"/>
      <c r="AY15" s="57"/>
      <c r="AZ15" s="57"/>
      <c r="BA15" s="57"/>
    </row>
    <row r="16" spans="1:53" s="4" customFormat="1" ht="14" customHeight="1">
      <c r="A16"/>
      <c r="B16" s="16">
        <f t="shared" si="5"/>
        <v>8</v>
      </c>
      <c r="C16" s="16">
        <f t="shared" si="6"/>
        <v>1</v>
      </c>
      <c r="D16"/>
      <c r="E16" s="504">
        <f t="shared" si="33"/>
        <v>90</v>
      </c>
      <c r="F16" s="498">
        <f t="shared" si="7"/>
        <v>0</v>
      </c>
      <c r="G16" s="485">
        <f t="shared" si="34"/>
        <v>0.1</v>
      </c>
      <c r="H16" s="504">
        <f t="shared" si="8"/>
        <v>0</v>
      </c>
      <c r="I16" s="504">
        <f t="shared" si="0"/>
        <v>90</v>
      </c>
      <c r="J16" s="504">
        <f t="shared" ca="1" si="1"/>
        <v>3539545.9821618469</v>
      </c>
      <c r="K16" s="504">
        <f t="shared" ca="1" si="35"/>
        <v>2949.621651801539</v>
      </c>
      <c r="L16" s="504">
        <f t="shared" si="9"/>
        <v>0</v>
      </c>
      <c r="M16" s="27">
        <f t="shared" si="10"/>
        <v>0</v>
      </c>
      <c r="N16" s="27">
        <f t="shared" si="36"/>
        <v>1153500</v>
      </c>
      <c r="O16" s="27">
        <f t="shared" si="11"/>
        <v>0</v>
      </c>
      <c r="P16" s="27">
        <f t="shared" si="12"/>
        <v>500000</v>
      </c>
      <c r="Q16" s="27">
        <f t="shared" si="13"/>
        <v>500000</v>
      </c>
      <c r="R16" s="27">
        <f t="shared" si="14"/>
        <v>-500000</v>
      </c>
      <c r="S16" s="14"/>
      <c r="T16" s="35">
        <f t="shared" si="15"/>
        <v>0.02</v>
      </c>
      <c r="U16" s="35">
        <f t="shared" si="16"/>
        <v>4.4999999999999998E-2</v>
      </c>
      <c r="V16" s="35">
        <f t="shared" si="17"/>
        <v>4.4999999999999998E-2</v>
      </c>
      <c r="W16" s="27">
        <f t="shared" ca="1" si="18"/>
        <v>6991.1843065710964</v>
      </c>
      <c r="X16" s="27">
        <f t="shared" ca="1" si="19"/>
        <v>162477.45287566847</v>
      </c>
      <c r="Y16" s="27">
        <f t="shared" ca="1" si="37"/>
        <v>6991.1843065710964</v>
      </c>
      <c r="Z16" s="27">
        <f t="shared" ca="1" si="20"/>
        <v>-493008.81569342891</v>
      </c>
      <c r="AA16" s="27">
        <f t="shared" si="21"/>
        <v>500000</v>
      </c>
      <c r="AB16" s="27">
        <f t="shared" si="22"/>
        <v>0</v>
      </c>
      <c r="AC16" s="27">
        <f t="shared" ca="1" si="38"/>
        <v>6991.1843065710855</v>
      </c>
      <c r="AD16" s="27">
        <f t="shared" ca="1" si="23"/>
        <v>6991.1843065710855</v>
      </c>
      <c r="AE16" s="27">
        <f t="shared" ca="1" si="24"/>
        <v>0</v>
      </c>
      <c r="AF16" s="27">
        <f t="shared" ca="1" si="25"/>
        <v>0</v>
      </c>
      <c r="AG16" s="27">
        <f t="shared" ca="1" si="26"/>
        <v>2338777.2422762336</v>
      </c>
      <c r="AH16" s="27">
        <f t="shared" ca="1" si="27"/>
        <v>-493008.81569342891</v>
      </c>
      <c r="AI16" s="27">
        <f t="shared" ca="1" si="39"/>
        <v>0</v>
      </c>
      <c r="AJ16" s="27">
        <f t="shared" si="28"/>
        <v>0</v>
      </c>
      <c r="AK16" s="27">
        <f t="shared" ca="1" si="29"/>
        <v>0</v>
      </c>
      <c r="AL16"/>
      <c r="AM16" s="27">
        <f t="shared" ca="1" si="30"/>
        <v>0</v>
      </c>
      <c r="AN16" s="27">
        <f t="shared" si="2"/>
        <v>0</v>
      </c>
      <c r="AO16" s="27">
        <f t="shared" si="3"/>
        <v>0</v>
      </c>
      <c r="AP16" s="27">
        <f t="shared" si="4"/>
        <v>0</v>
      </c>
      <c r="AQ16" s="27">
        <f t="shared" si="31"/>
        <v>0</v>
      </c>
      <c r="AR16" s="27">
        <f t="shared" si="32"/>
        <v>0</v>
      </c>
      <c r="AS16" s="50"/>
      <c r="AT16" s="57"/>
      <c r="AU16" s="57"/>
      <c r="AV16" s="57"/>
      <c r="AW16" s="57"/>
      <c r="AX16" s="57"/>
      <c r="AY16" s="57"/>
      <c r="AZ16" s="57"/>
      <c r="BA16" s="57"/>
    </row>
    <row r="17" spans="1:53" s="4" customFormat="1" ht="14" customHeight="1">
      <c r="A17"/>
      <c r="B17" s="17">
        <f t="shared" si="5"/>
        <v>9</v>
      </c>
      <c r="C17" s="17">
        <f t="shared" si="6"/>
        <v>1</v>
      </c>
      <c r="D17"/>
      <c r="E17" s="505">
        <f t="shared" si="33"/>
        <v>90</v>
      </c>
      <c r="F17" s="499">
        <f t="shared" si="7"/>
        <v>0</v>
      </c>
      <c r="G17" s="486">
        <f t="shared" si="34"/>
        <v>0.1</v>
      </c>
      <c r="H17" s="505">
        <f t="shared" si="8"/>
        <v>0</v>
      </c>
      <c r="I17" s="505">
        <f t="shared" si="0"/>
        <v>90</v>
      </c>
      <c r="J17" s="505">
        <f t="shared" ca="1" si="1"/>
        <v>3539545.9821618469</v>
      </c>
      <c r="K17" s="505">
        <f t="shared" ca="1" si="35"/>
        <v>2949.621651801539</v>
      </c>
      <c r="L17" s="505">
        <f t="shared" si="9"/>
        <v>0</v>
      </c>
      <c r="M17" s="28">
        <f t="shared" si="10"/>
        <v>0</v>
      </c>
      <c r="N17" s="28">
        <f t="shared" si="36"/>
        <v>1153500</v>
      </c>
      <c r="O17" s="28">
        <f t="shared" si="11"/>
        <v>0</v>
      </c>
      <c r="P17" s="28">
        <f t="shared" si="12"/>
        <v>500000</v>
      </c>
      <c r="Q17" s="28">
        <f t="shared" si="13"/>
        <v>500000</v>
      </c>
      <c r="R17" s="28">
        <f t="shared" si="14"/>
        <v>-500000</v>
      </c>
      <c r="S17" s="14"/>
      <c r="T17" s="36">
        <f t="shared" si="15"/>
        <v>0.02</v>
      </c>
      <c r="U17" s="36">
        <f t="shared" si="16"/>
        <v>4.4999999999999998E-2</v>
      </c>
      <c r="V17" s="36">
        <f t="shared" si="17"/>
        <v>4.4999999999999998E-2</v>
      </c>
      <c r="W17" s="28">
        <f t="shared" ca="1" si="18"/>
        <v>8892.2259732377624</v>
      </c>
      <c r="X17" s="28">
        <f t="shared" ca="1" si="19"/>
        <v>155486.26856909739</v>
      </c>
      <c r="Y17" s="28">
        <f t="shared" ca="1" si="37"/>
        <v>8892.2259732377624</v>
      </c>
      <c r="Z17" s="28">
        <f t="shared" ca="1" si="20"/>
        <v>-491107.77402676223</v>
      </c>
      <c r="AA17" s="28">
        <f t="shared" si="21"/>
        <v>500000</v>
      </c>
      <c r="AB17" s="28">
        <f t="shared" si="22"/>
        <v>0</v>
      </c>
      <c r="AC17" s="28">
        <f t="shared" ca="1" si="38"/>
        <v>8892.2259732377715</v>
      </c>
      <c r="AD17" s="28">
        <f t="shared" ca="1" si="23"/>
        <v>8892.2259732377624</v>
      </c>
      <c r="AE17" s="28">
        <f t="shared" ca="1" si="24"/>
        <v>0</v>
      </c>
      <c r="AF17" s="28">
        <f t="shared" ca="1" si="25"/>
        <v>0</v>
      </c>
      <c r="AG17" s="28">
        <f t="shared" ca="1" si="26"/>
        <v>2838777.2422762336</v>
      </c>
      <c r="AH17" s="28">
        <f t="shared" ca="1" si="27"/>
        <v>-491107.77402676223</v>
      </c>
      <c r="AI17" s="28">
        <f t="shared" ca="1" si="39"/>
        <v>0</v>
      </c>
      <c r="AJ17" s="28">
        <f t="shared" si="28"/>
        <v>0</v>
      </c>
      <c r="AK17" s="28">
        <f t="shared" ca="1" si="29"/>
        <v>0</v>
      </c>
      <c r="AL17"/>
      <c r="AM17" s="28">
        <f t="shared" ca="1" si="30"/>
        <v>0</v>
      </c>
      <c r="AN17" s="28">
        <f t="shared" si="2"/>
        <v>0</v>
      </c>
      <c r="AO17" s="28">
        <f t="shared" si="3"/>
        <v>0</v>
      </c>
      <c r="AP17" s="28">
        <f t="shared" si="4"/>
        <v>0</v>
      </c>
      <c r="AQ17" s="28">
        <f t="shared" si="31"/>
        <v>0</v>
      </c>
      <c r="AR17" s="28">
        <f t="shared" si="32"/>
        <v>0</v>
      </c>
      <c r="AS17" s="50"/>
      <c r="AT17" s="57"/>
      <c r="AU17" s="57"/>
      <c r="AV17" s="57"/>
      <c r="AW17" s="57"/>
      <c r="AX17" s="57"/>
      <c r="AY17" s="57"/>
      <c r="AZ17" s="57"/>
      <c r="BA17" s="57"/>
    </row>
    <row r="18" spans="1:53" s="4" customFormat="1" ht="14" customHeight="1">
      <c r="A18"/>
      <c r="B18" s="15">
        <f t="shared" si="5"/>
        <v>10</v>
      </c>
      <c r="C18" s="15">
        <f t="shared" si="6"/>
        <v>1</v>
      </c>
      <c r="D18"/>
      <c r="E18" s="503">
        <f t="shared" si="33"/>
        <v>90</v>
      </c>
      <c r="F18" s="497">
        <f t="shared" si="7"/>
        <v>0</v>
      </c>
      <c r="G18" s="484">
        <f t="shared" si="34"/>
        <v>0.1</v>
      </c>
      <c r="H18" s="503">
        <f t="shared" si="8"/>
        <v>0</v>
      </c>
      <c r="I18" s="503">
        <f t="shared" si="0"/>
        <v>90</v>
      </c>
      <c r="J18" s="503">
        <f t="shared" ca="1" si="1"/>
        <v>3539545.9821618469</v>
      </c>
      <c r="K18" s="503">
        <f t="shared" ca="1" si="35"/>
        <v>2949.621651801539</v>
      </c>
      <c r="L18" s="503">
        <f t="shared" si="9"/>
        <v>0</v>
      </c>
      <c r="M18" s="26">
        <f t="shared" si="10"/>
        <v>0</v>
      </c>
      <c r="N18" s="26">
        <f t="shared" si="36"/>
        <v>1153500</v>
      </c>
      <c r="O18" s="26">
        <f t="shared" si="11"/>
        <v>0</v>
      </c>
      <c r="P18" s="26">
        <f t="shared" si="12"/>
        <v>500000</v>
      </c>
      <c r="Q18" s="26">
        <f t="shared" si="13"/>
        <v>500000</v>
      </c>
      <c r="R18" s="26">
        <f t="shared" si="14"/>
        <v>-500000</v>
      </c>
      <c r="S18" s="14"/>
      <c r="T18" s="31">
        <f t="shared" si="15"/>
        <v>0.02</v>
      </c>
      <c r="U18" s="31">
        <f t="shared" si="16"/>
        <v>4.4999999999999998E-2</v>
      </c>
      <c r="V18" s="31">
        <f t="shared" si="17"/>
        <v>4.4999999999999998E-2</v>
      </c>
      <c r="W18" s="26">
        <f t="shared" ca="1" si="18"/>
        <v>10793.267639904429</v>
      </c>
      <c r="X18" s="26">
        <f t="shared" ca="1" si="19"/>
        <v>146594.04259585962</v>
      </c>
      <c r="Y18" s="26">
        <f t="shared" ca="1" si="37"/>
        <v>10793.267639904429</v>
      </c>
      <c r="Z18" s="26">
        <f t="shared" ca="1" si="20"/>
        <v>-489206.7323600956</v>
      </c>
      <c r="AA18" s="26">
        <f t="shared" si="21"/>
        <v>500000</v>
      </c>
      <c r="AB18" s="26">
        <f t="shared" si="22"/>
        <v>0</v>
      </c>
      <c r="AC18" s="26">
        <f t="shared" ca="1" si="38"/>
        <v>10793.267639904399</v>
      </c>
      <c r="AD18" s="26">
        <f t="shared" ca="1" si="23"/>
        <v>10793.267639904399</v>
      </c>
      <c r="AE18" s="26">
        <f t="shared" ca="1" si="24"/>
        <v>0</v>
      </c>
      <c r="AF18" s="26">
        <f t="shared" ca="1" si="25"/>
        <v>0</v>
      </c>
      <c r="AG18" s="26">
        <f t="shared" ca="1" si="26"/>
        <v>3338777.2422762336</v>
      </c>
      <c r="AH18" s="26">
        <f t="shared" ca="1" si="27"/>
        <v>-489206.7323600956</v>
      </c>
      <c r="AI18" s="26">
        <f t="shared" ca="1" si="39"/>
        <v>0</v>
      </c>
      <c r="AJ18" s="26">
        <f t="shared" si="28"/>
        <v>0</v>
      </c>
      <c r="AK18" s="26">
        <f t="shared" ca="1" si="29"/>
        <v>0</v>
      </c>
      <c r="AL18"/>
      <c r="AM18" s="26">
        <f t="shared" ca="1" si="30"/>
        <v>0</v>
      </c>
      <c r="AN18" s="26">
        <f t="shared" si="2"/>
        <v>0</v>
      </c>
      <c r="AO18" s="26">
        <f t="shared" si="3"/>
        <v>0</v>
      </c>
      <c r="AP18" s="26">
        <f t="shared" si="4"/>
        <v>0</v>
      </c>
      <c r="AQ18" s="26">
        <f t="shared" si="31"/>
        <v>0</v>
      </c>
      <c r="AR18" s="26">
        <f t="shared" si="32"/>
        <v>0</v>
      </c>
      <c r="AS18" s="50"/>
      <c r="AT18" s="57"/>
      <c r="AU18" s="57"/>
      <c r="AV18" s="57"/>
      <c r="AW18" s="57"/>
      <c r="AX18" s="57"/>
      <c r="AY18" s="57"/>
      <c r="AZ18" s="57"/>
      <c r="BA18" s="57"/>
    </row>
    <row r="19" spans="1:53" s="4" customFormat="1" ht="14" customHeight="1">
      <c r="A19"/>
      <c r="B19" s="16">
        <f t="shared" si="5"/>
        <v>11</v>
      </c>
      <c r="C19" s="16">
        <f t="shared" si="6"/>
        <v>1</v>
      </c>
      <c r="D19"/>
      <c r="E19" s="504">
        <f t="shared" si="33"/>
        <v>90</v>
      </c>
      <c r="F19" s="498">
        <f t="shared" si="7"/>
        <v>0.05</v>
      </c>
      <c r="G19" s="485">
        <f t="shared" si="34"/>
        <v>0.15000000000000002</v>
      </c>
      <c r="H19" s="504">
        <f t="shared" si="8"/>
        <v>5</v>
      </c>
      <c r="I19" s="504">
        <f t="shared" si="0"/>
        <v>85</v>
      </c>
      <c r="J19" s="504">
        <f t="shared" ca="1" si="1"/>
        <v>3342904.5387084107</v>
      </c>
      <c r="K19" s="504">
        <f t="shared" ca="1" si="35"/>
        <v>2949.621651801539</v>
      </c>
      <c r="L19" s="504">
        <f t="shared" si="9"/>
        <v>576750</v>
      </c>
      <c r="M19" s="27">
        <f t="shared" si="10"/>
        <v>0</v>
      </c>
      <c r="N19" s="27">
        <f t="shared" si="36"/>
        <v>1153500</v>
      </c>
      <c r="O19" s="27">
        <f t="shared" si="11"/>
        <v>576750</v>
      </c>
      <c r="P19" s="27">
        <f t="shared" si="12"/>
        <v>500000</v>
      </c>
      <c r="Q19" s="27">
        <f t="shared" si="13"/>
        <v>500000</v>
      </c>
      <c r="R19" s="27">
        <f t="shared" si="14"/>
        <v>76750</v>
      </c>
      <c r="S19" s="14"/>
      <c r="T19" s="35">
        <f t="shared" si="15"/>
        <v>0.02</v>
      </c>
      <c r="U19" s="35">
        <f t="shared" si="16"/>
        <v>4.4999999999999998E-2</v>
      </c>
      <c r="V19" s="35">
        <f t="shared" si="17"/>
        <v>4.4999999999999998E-2</v>
      </c>
      <c r="W19" s="27">
        <f t="shared" ca="1" si="18"/>
        <v>12694.309306571096</v>
      </c>
      <c r="X19" s="27">
        <f t="shared" ca="1" si="19"/>
        <v>135800.77495595519</v>
      </c>
      <c r="Y19" s="27">
        <f t="shared" ca="1" si="37"/>
        <v>0</v>
      </c>
      <c r="Z19" s="27">
        <f t="shared" ca="1" si="20"/>
        <v>76750</v>
      </c>
      <c r="AA19" s="27">
        <f t="shared" si="21"/>
        <v>500000</v>
      </c>
      <c r="AB19" s="27">
        <f t="shared" si="22"/>
        <v>0</v>
      </c>
      <c r="AC19" s="27">
        <f t="shared" ca="1" si="38"/>
        <v>576750</v>
      </c>
      <c r="AD19" s="27">
        <f t="shared" ca="1" si="23"/>
        <v>12694.309306571096</v>
      </c>
      <c r="AE19" s="27">
        <f t="shared" ca="1" si="24"/>
        <v>564055.69069342886</v>
      </c>
      <c r="AF19" s="27">
        <f t="shared" ca="1" si="25"/>
        <v>330611.3764894667</v>
      </c>
      <c r="AG19" s="27">
        <f t="shared" ca="1" si="26"/>
        <v>3508165.8657867671</v>
      </c>
      <c r="AH19" s="27">
        <f t="shared" ca="1" si="27"/>
        <v>-156694.31420396222</v>
      </c>
      <c r="AI19" s="27">
        <f t="shared" ca="1" si="39"/>
        <v>233444.31420396216</v>
      </c>
      <c r="AJ19" s="27">
        <f t="shared" si="28"/>
        <v>11535</v>
      </c>
      <c r="AK19" s="27">
        <f t="shared" ca="1" si="29"/>
        <v>221909.31420396216</v>
      </c>
      <c r="AL19"/>
      <c r="AM19" s="27">
        <f t="shared" ca="1" si="30"/>
        <v>0</v>
      </c>
      <c r="AN19" s="27">
        <f t="shared" si="2"/>
        <v>0</v>
      </c>
      <c r="AO19" s="27">
        <f t="shared" si="3"/>
        <v>0</v>
      </c>
      <c r="AP19" s="27">
        <f t="shared" si="4"/>
        <v>0</v>
      </c>
      <c r="AQ19" s="27">
        <f t="shared" si="31"/>
        <v>5767.5</v>
      </c>
      <c r="AR19" s="27">
        <f t="shared" si="32"/>
        <v>5767.5</v>
      </c>
      <c r="AS19" s="50"/>
      <c r="AT19" s="57"/>
      <c r="AU19" s="57"/>
      <c r="AV19" s="57"/>
      <c r="AW19" s="57"/>
      <c r="AX19" s="57"/>
      <c r="AY19" s="57"/>
      <c r="AZ19" s="57"/>
      <c r="BA19" s="57"/>
    </row>
    <row r="20" spans="1:53" s="4" customFormat="1" ht="14" customHeight="1" thickBot="1">
      <c r="A20"/>
      <c r="B20" s="18">
        <f t="shared" si="5"/>
        <v>12</v>
      </c>
      <c r="C20" s="18">
        <f t="shared" si="6"/>
        <v>1</v>
      </c>
      <c r="D20"/>
      <c r="E20" s="506">
        <f t="shared" si="33"/>
        <v>85</v>
      </c>
      <c r="F20" s="500">
        <f t="shared" si="7"/>
        <v>0.05</v>
      </c>
      <c r="G20" s="487">
        <f t="shared" si="34"/>
        <v>0.2</v>
      </c>
      <c r="H20" s="506">
        <f t="shared" si="8"/>
        <v>5</v>
      </c>
      <c r="I20" s="506">
        <f t="shared" si="0"/>
        <v>80</v>
      </c>
      <c r="J20" s="506">
        <f t="shared" ca="1" si="1"/>
        <v>3146263.0952549749</v>
      </c>
      <c r="K20" s="506">
        <f t="shared" ca="1" si="35"/>
        <v>2785.7537822570089</v>
      </c>
      <c r="L20" s="506">
        <f t="shared" si="9"/>
        <v>576750</v>
      </c>
      <c r="M20" s="29">
        <f t="shared" si="10"/>
        <v>0</v>
      </c>
      <c r="N20" s="29">
        <f t="shared" si="36"/>
        <v>1153500</v>
      </c>
      <c r="O20" s="29">
        <f t="shared" si="11"/>
        <v>576750</v>
      </c>
      <c r="P20" s="29">
        <f t="shared" si="12"/>
        <v>950000</v>
      </c>
      <c r="Q20" s="29">
        <f t="shared" si="13"/>
        <v>950000</v>
      </c>
      <c r="R20" s="29">
        <f t="shared" si="14"/>
        <v>-373250</v>
      </c>
      <c r="S20" s="14"/>
      <c r="T20" s="37">
        <f t="shared" si="15"/>
        <v>0.02</v>
      </c>
      <c r="U20" s="37">
        <f t="shared" si="16"/>
        <v>4.4999999999999998E-2</v>
      </c>
      <c r="V20" s="37">
        <f t="shared" si="17"/>
        <v>4.4999999999999998E-2</v>
      </c>
      <c r="W20" s="29">
        <f t="shared" ca="1" si="18"/>
        <v>13338.338968876769</v>
      </c>
      <c r="X20" s="29">
        <f t="shared" ca="1" si="19"/>
        <v>135800.77495595519</v>
      </c>
      <c r="Y20" s="29">
        <f t="shared" ca="1" si="37"/>
        <v>0</v>
      </c>
      <c r="Z20" s="29">
        <f t="shared" ca="1" si="20"/>
        <v>-373250</v>
      </c>
      <c r="AA20" s="29">
        <f t="shared" si="21"/>
        <v>950000</v>
      </c>
      <c r="AB20" s="29">
        <f t="shared" si="22"/>
        <v>0</v>
      </c>
      <c r="AC20" s="29">
        <f t="shared" ca="1" si="38"/>
        <v>576750</v>
      </c>
      <c r="AD20" s="29">
        <f t="shared" ca="1" si="23"/>
        <v>13338.338968876769</v>
      </c>
      <c r="AE20" s="29">
        <f t="shared" ca="1" si="24"/>
        <v>563411.66103112325</v>
      </c>
      <c r="AF20" s="29">
        <f t="shared" ca="1" si="25"/>
        <v>330611.3764894667</v>
      </c>
      <c r="AG20" s="29">
        <f t="shared" ca="1" si="26"/>
        <v>4127554.4892973001</v>
      </c>
      <c r="AH20" s="29">
        <f t="shared" ca="1" si="27"/>
        <v>-606050.2845416565</v>
      </c>
      <c r="AI20" s="29">
        <f t="shared" ca="1" si="39"/>
        <v>232800.28454165655</v>
      </c>
      <c r="AJ20" s="29">
        <f t="shared" si="28"/>
        <v>11535</v>
      </c>
      <c r="AK20" s="29">
        <f t="shared" ca="1" si="29"/>
        <v>221265.28454165655</v>
      </c>
      <c r="AL20"/>
      <c r="AM20" s="29">
        <f t="shared" ca="1" si="30"/>
        <v>0</v>
      </c>
      <c r="AN20" s="29">
        <f t="shared" si="2"/>
        <v>0</v>
      </c>
      <c r="AO20" s="29">
        <f t="shared" si="3"/>
        <v>0</v>
      </c>
      <c r="AP20" s="29">
        <f t="shared" si="4"/>
        <v>0</v>
      </c>
      <c r="AQ20" s="29">
        <f t="shared" si="31"/>
        <v>5767.5</v>
      </c>
      <c r="AR20" s="29">
        <f t="shared" si="32"/>
        <v>5767.5</v>
      </c>
      <c r="AS20" s="50"/>
      <c r="AT20" s="57"/>
      <c r="AU20" s="57"/>
      <c r="AV20" s="57"/>
      <c r="AW20" s="57"/>
      <c r="AX20" s="57"/>
      <c r="AY20" s="57"/>
      <c r="AZ20" s="57"/>
      <c r="BA20" s="57"/>
    </row>
    <row r="21" spans="1:53" s="4" customFormat="1" ht="14" customHeight="1">
      <c r="A21"/>
      <c r="B21" s="19">
        <f t="shared" si="5"/>
        <v>13</v>
      </c>
      <c r="C21" s="19">
        <f t="shared" si="6"/>
        <v>2</v>
      </c>
      <c r="D21"/>
      <c r="E21" s="507">
        <f t="shared" si="33"/>
        <v>80</v>
      </c>
      <c r="F21" s="501">
        <f t="shared" si="7"/>
        <v>0.05</v>
      </c>
      <c r="G21" s="488">
        <f t="shared" si="34"/>
        <v>0.25</v>
      </c>
      <c r="H21" s="507">
        <f t="shared" si="8"/>
        <v>5</v>
      </c>
      <c r="I21" s="507">
        <f t="shared" si="0"/>
        <v>75</v>
      </c>
      <c r="J21" s="507">
        <f t="shared" ca="1" si="1"/>
        <v>2949621.6518015387</v>
      </c>
      <c r="K21" s="507">
        <f t="shared" ca="1" si="35"/>
        <v>2621.8859127124792</v>
      </c>
      <c r="L21" s="507">
        <f t="shared" si="9"/>
        <v>576750</v>
      </c>
      <c r="M21" s="30">
        <f t="shared" si="10"/>
        <v>0</v>
      </c>
      <c r="N21" s="30">
        <f t="shared" si="36"/>
        <v>1153500</v>
      </c>
      <c r="O21" s="30">
        <f t="shared" si="11"/>
        <v>576750</v>
      </c>
      <c r="P21" s="30">
        <f t="shared" si="12"/>
        <v>0</v>
      </c>
      <c r="Q21" s="30">
        <f t="shared" si="13"/>
        <v>0</v>
      </c>
      <c r="R21" s="30">
        <f t="shared" si="14"/>
        <v>576750</v>
      </c>
      <c r="S21" s="14"/>
      <c r="T21" s="38">
        <f t="shared" si="15"/>
        <v>0.02</v>
      </c>
      <c r="U21" s="38">
        <f t="shared" si="16"/>
        <v>4.4999999999999998E-2</v>
      </c>
      <c r="V21" s="38">
        <f t="shared" si="17"/>
        <v>4.4999999999999998E-2</v>
      </c>
      <c r="W21" s="30">
        <f t="shared" ca="1" si="18"/>
        <v>15693.306131182442</v>
      </c>
      <c r="X21" s="30">
        <f t="shared" ca="1" si="19"/>
        <v>135800.77495595519</v>
      </c>
      <c r="Y21" s="30">
        <f t="shared" ca="1" si="37"/>
        <v>0</v>
      </c>
      <c r="Z21" s="30">
        <f t="shared" ca="1" si="20"/>
        <v>576750</v>
      </c>
      <c r="AA21" s="30">
        <f t="shared" si="21"/>
        <v>0</v>
      </c>
      <c r="AB21" s="30">
        <f t="shared" si="22"/>
        <v>0</v>
      </c>
      <c r="AC21" s="30">
        <f t="shared" ca="1" si="38"/>
        <v>576750</v>
      </c>
      <c r="AD21" s="30">
        <f t="shared" ca="1" si="23"/>
        <v>15693.306131182442</v>
      </c>
      <c r="AE21" s="30">
        <f t="shared" ca="1" si="24"/>
        <v>561056.69386881753</v>
      </c>
      <c r="AF21" s="30">
        <f t="shared" ca="1" si="25"/>
        <v>330611.3764894667</v>
      </c>
      <c r="AG21" s="30">
        <f t="shared" ca="1" si="26"/>
        <v>3796943.1128078336</v>
      </c>
      <c r="AH21" s="30">
        <f t="shared" ca="1" si="27"/>
        <v>346304.68262064911</v>
      </c>
      <c r="AI21" s="30">
        <f t="shared" ca="1" si="39"/>
        <v>230445.31737935083</v>
      </c>
      <c r="AJ21" s="30">
        <f t="shared" si="28"/>
        <v>11535</v>
      </c>
      <c r="AK21" s="30">
        <f t="shared" ca="1" si="29"/>
        <v>218910.31737935083</v>
      </c>
      <c r="AL21"/>
      <c r="AM21" s="30">
        <f t="shared" ca="1" si="30"/>
        <v>0</v>
      </c>
      <c r="AN21" s="30">
        <f t="shared" si="2"/>
        <v>0</v>
      </c>
      <c r="AO21" s="30">
        <f t="shared" si="3"/>
        <v>0</v>
      </c>
      <c r="AP21" s="30">
        <f t="shared" si="4"/>
        <v>0</v>
      </c>
      <c r="AQ21" s="30">
        <f t="shared" si="31"/>
        <v>5767.5</v>
      </c>
      <c r="AR21" s="30">
        <f t="shared" si="32"/>
        <v>5767.5</v>
      </c>
      <c r="AS21" s="50"/>
      <c r="AT21" s="57"/>
      <c r="AU21" s="57"/>
      <c r="AV21" s="57"/>
      <c r="AW21" s="57"/>
      <c r="AX21" s="57"/>
      <c r="AY21" s="57"/>
      <c r="AZ21" s="57"/>
      <c r="BA21" s="57"/>
    </row>
    <row r="22" spans="1:53" s="4" customFormat="1" ht="14" customHeight="1">
      <c r="A22"/>
      <c r="B22" s="16">
        <f t="shared" si="5"/>
        <v>14</v>
      </c>
      <c r="C22" s="16">
        <f t="shared" si="6"/>
        <v>2</v>
      </c>
      <c r="D22"/>
      <c r="E22" s="504">
        <f t="shared" si="33"/>
        <v>75</v>
      </c>
      <c r="F22" s="498">
        <f t="shared" si="7"/>
        <v>0.05</v>
      </c>
      <c r="G22" s="485">
        <f t="shared" si="34"/>
        <v>0.3</v>
      </c>
      <c r="H22" s="504">
        <f t="shared" si="8"/>
        <v>5</v>
      </c>
      <c r="I22" s="504">
        <f t="shared" si="0"/>
        <v>70</v>
      </c>
      <c r="J22" s="504">
        <f t="shared" ca="1" si="1"/>
        <v>2752980.2083481029</v>
      </c>
      <c r="K22" s="504">
        <f t="shared" ca="1" si="35"/>
        <v>2458.0180431679487</v>
      </c>
      <c r="L22" s="504">
        <f t="shared" si="9"/>
        <v>576750</v>
      </c>
      <c r="M22" s="27">
        <f t="shared" si="10"/>
        <v>0</v>
      </c>
      <c r="N22" s="27">
        <f t="shared" si="36"/>
        <v>1153500</v>
      </c>
      <c r="O22" s="27">
        <f t="shared" si="11"/>
        <v>576750</v>
      </c>
      <c r="P22" s="27">
        <f t="shared" si="12"/>
        <v>0</v>
      </c>
      <c r="Q22" s="27">
        <f t="shared" si="13"/>
        <v>0</v>
      </c>
      <c r="R22" s="27">
        <f t="shared" si="14"/>
        <v>576750</v>
      </c>
      <c r="S22" s="14"/>
      <c r="T22" s="35">
        <f t="shared" si="15"/>
        <v>0.02</v>
      </c>
      <c r="U22" s="35">
        <f t="shared" si="16"/>
        <v>4.4999999999999998E-2</v>
      </c>
      <c r="V22" s="35">
        <f t="shared" si="17"/>
        <v>4.4999999999999998E-2</v>
      </c>
      <c r="W22" s="27">
        <f t="shared" ca="1" si="18"/>
        <v>14436.294126821449</v>
      </c>
      <c r="X22" s="27">
        <f t="shared" ca="1" si="19"/>
        <v>135800.77495595519</v>
      </c>
      <c r="Y22" s="27">
        <f t="shared" ca="1" si="37"/>
        <v>0</v>
      </c>
      <c r="Z22" s="27">
        <f t="shared" ca="1" si="20"/>
        <v>576750</v>
      </c>
      <c r="AA22" s="27">
        <f t="shared" si="21"/>
        <v>0</v>
      </c>
      <c r="AB22" s="27">
        <f t="shared" si="22"/>
        <v>0</v>
      </c>
      <c r="AC22" s="27">
        <f t="shared" ca="1" si="38"/>
        <v>576750</v>
      </c>
      <c r="AD22" s="27">
        <f t="shared" ca="1" si="23"/>
        <v>14436.294126821449</v>
      </c>
      <c r="AE22" s="27">
        <f t="shared" ca="1" si="24"/>
        <v>562313.70587317855</v>
      </c>
      <c r="AF22" s="27">
        <f t="shared" ca="1" si="25"/>
        <v>330611.3764894667</v>
      </c>
      <c r="AG22" s="27">
        <f t="shared" ca="1" si="26"/>
        <v>3466331.7363183671</v>
      </c>
      <c r="AH22" s="27">
        <f t="shared" ca="1" si="27"/>
        <v>345047.67061628815</v>
      </c>
      <c r="AI22" s="27">
        <f t="shared" ca="1" si="39"/>
        <v>231702.32938371185</v>
      </c>
      <c r="AJ22" s="27">
        <f t="shared" si="28"/>
        <v>11535</v>
      </c>
      <c r="AK22" s="27">
        <f t="shared" ca="1" si="29"/>
        <v>220167.32938371185</v>
      </c>
      <c r="AL22"/>
      <c r="AM22" s="27">
        <f t="shared" ca="1" si="30"/>
        <v>0</v>
      </c>
      <c r="AN22" s="27">
        <f t="shared" si="2"/>
        <v>0</v>
      </c>
      <c r="AO22" s="27">
        <f t="shared" si="3"/>
        <v>0</v>
      </c>
      <c r="AP22" s="27">
        <f t="shared" si="4"/>
        <v>0</v>
      </c>
      <c r="AQ22" s="27">
        <f t="shared" si="31"/>
        <v>5767.5</v>
      </c>
      <c r="AR22" s="27">
        <f t="shared" si="32"/>
        <v>5767.5</v>
      </c>
      <c r="AS22" s="50"/>
      <c r="AT22" s="57"/>
      <c r="AU22" s="57"/>
      <c r="AV22" s="57"/>
      <c r="AW22" s="57"/>
      <c r="AX22" s="57"/>
      <c r="AY22" s="57"/>
      <c r="AZ22" s="57"/>
      <c r="BA22" s="57"/>
    </row>
    <row r="23" spans="1:53" s="4" customFormat="1" ht="14" customHeight="1">
      <c r="A23"/>
      <c r="B23" s="17">
        <f t="shared" si="5"/>
        <v>15</v>
      </c>
      <c r="C23" s="17">
        <f t="shared" si="6"/>
        <v>2</v>
      </c>
      <c r="D23"/>
      <c r="E23" s="505">
        <f t="shared" si="33"/>
        <v>70</v>
      </c>
      <c r="F23" s="499">
        <f t="shared" si="7"/>
        <v>0.05</v>
      </c>
      <c r="G23" s="486">
        <f t="shared" si="34"/>
        <v>0.35</v>
      </c>
      <c r="H23" s="505">
        <f t="shared" si="8"/>
        <v>5</v>
      </c>
      <c r="I23" s="505">
        <f t="shared" si="0"/>
        <v>65</v>
      </c>
      <c r="J23" s="505">
        <f t="shared" ca="1" si="1"/>
        <v>2556338.7648946671</v>
      </c>
      <c r="K23" s="505">
        <f t="shared" ca="1" si="35"/>
        <v>2294.1501736234191</v>
      </c>
      <c r="L23" s="505">
        <f t="shared" si="9"/>
        <v>576750</v>
      </c>
      <c r="M23" s="28">
        <f t="shared" si="10"/>
        <v>0</v>
      </c>
      <c r="N23" s="28">
        <f t="shared" si="36"/>
        <v>1153500</v>
      </c>
      <c r="O23" s="28">
        <f t="shared" si="11"/>
        <v>576750</v>
      </c>
      <c r="P23" s="28">
        <f t="shared" si="12"/>
        <v>0</v>
      </c>
      <c r="Q23" s="28">
        <f t="shared" si="13"/>
        <v>0</v>
      </c>
      <c r="R23" s="28">
        <f t="shared" si="14"/>
        <v>576750</v>
      </c>
      <c r="S23" s="14"/>
      <c r="T23" s="36">
        <f t="shared" si="15"/>
        <v>0.02</v>
      </c>
      <c r="U23" s="36">
        <f t="shared" si="16"/>
        <v>4.4999999999999998E-2</v>
      </c>
      <c r="V23" s="36">
        <f t="shared" si="17"/>
        <v>4.4999999999999998E-2</v>
      </c>
      <c r="W23" s="28">
        <f t="shared" ca="1" si="18"/>
        <v>13179.282122460458</v>
      </c>
      <c r="X23" s="28">
        <f t="shared" ca="1" si="19"/>
        <v>135800.77495595519</v>
      </c>
      <c r="Y23" s="28">
        <f t="shared" ca="1" si="37"/>
        <v>0</v>
      </c>
      <c r="Z23" s="28">
        <f t="shared" ca="1" si="20"/>
        <v>576750</v>
      </c>
      <c r="AA23" s="28">
        <f t="shared" si="21"/>
        <v>0</v>
      </c>
      <c r="AB23" s="28">
        <f t="shared" si="22"/>
        <v>0</v>
      </c>
      <c r="AC23" s="28">
        <f t="shared" ca="1" si="38"/>
        <v>576750</v>
      </c>
      <c r="AD23" s="28">
        <f t="shared" ca="1" si="23"/>
        <v>13179.282122460458</v>
      </c>
      <c r="AE23" s="28">
        <f t="shared" ca="1" si="24"/>
        <v>563570.71787753957</v>
      </c>
      <c r="AF23" s="28">
        <f t="shared" ca="1" si="25"/>
        <v>330611.3764894667</v>
      </c>
      <c r="AG23" s="28">
        <f t="shared" ca="1" si="26"/>
        <v>3135720.3598289005</v>
      </c>
      <c r="AH23" s="28">
        <f t="shared" ca="1" si="27"/>
        <v>343790.65861192718</v>
      </c>
      <c r="AI23" s="28">
        <f t="shared" ca="1" si="39"/>
        <v>232959.34138807288</v>
      </c>
      <c r="AJ23" s="28">
        <f t="shared" si="28"/>
        <v>11535</v>
      </c>
      <c r="AK23" s="28">
        <f t="shared" ca="1" si="29"/>
        <v>221424.34138807288</v>
      </c>
      <c r="AL23"/>
      <c r="AM23" s="28">
        <f t="shared" ca="1" si="30"/>
        <v>0</v>
      </c>
      <c r="AN23" s="28">
        <f t="shared" si="2"/>
        <v>0</v>
      </c>
      <c r="AO23" s="28">
        <f t="shared" si="3"/>
        <v>0</v>
      </c>
      <c r="AP23" s="28">
        <f t="shared" si="4"/>
        <v>0</v>
      </c>
      <c r="AQ23" s="28">
        <f t="shared" si="31"/>
        <v>5767.5</v>
      </c>
      <c r="AR23" s="28">
        <f t="shared" si="32"/>
        <v>5767.5</v>
      </c>
      <c r="AS23" s="50"/>
      <c r="AT23" s="57"/>
      <c r="AU23" s="57"/>
      <c r="AV23" s="57"/>
      <c r="AW23" s="57"/>
      <c r="AX23" s="57"/>
      <c r="AY23" s="57"/>
      <c r="AZ23" s="57"/>
      <c r="BA23" s="57"/>
    </row>
    <row r="24" spans="1:53" s="4" customFormat="1" ht="14" customHeight="1">
      <c r="A24"/>
      <c r="B24" s="15">
        <f t="shared" si="5"/>
        <v>16</v>
      </c>
      <c r="C24" s="15">
        <f t="shared" si="6"/>
        <v>2</v>
      </c>
      <c r="D24"/>
      <c r="E24" s="503">
        <f t="shared" si="33"/>
        <v>65</v>
      </c>
      <c r="F24" s="497">
        <f t="shared" si="7"/>
        <v>0.05</v>
      </c>
      <c r="G24" s="484">
        <f t="shared" si="34"/>
        <v>0.39999999999999997</v>
      </c>
      <c r="H24" s="503">
        <f t="shared" si="8"/>
        <v>5</v>
      </c>
      <c r="I24" s="503">
        <f t="shared" si="0"/>
        <v>60</v>
      </c>
      <c r="J24" s="503">
        <f t="shared" ca="1" si="1"/>
        <v>2359697.3214412313</v>
      </c>
      <c r="K24" s="503">
        <f t="shared" ca="1" si="35"/>
        <v>2130.2823040788894</v>
      </c>
      <c r="L24" s="503">
        <f t="shared" si="9"/>
        <v>576750</v>
      </c>
      <c r="M24" s="26">
        <f t="shared" si="10"/>
        <v>0</v>
      </c>
      <c r="N24" s="26">
        <f t="shared" si="36"/>
        <v>1153500</v>
      </c>
      <c r="O24" s="26">
        <f t="shared" si="11"/>
        <v>576750</v>
      </c>
      <c r="P24" s="26">
        <f t="shared" si="12"/>
        <v>0</v>
      </c>
      <c r="Q24" s="26">
        <f t="shared" si="13"/>
        <v>0</v>
      </c>
      <c r="R24" s="26">
        <f t="shared" si="14"/>
        <v>576750</v>
      </c>
      <c r="S24" s="14"/>
      <c r="T24" s="31">
        <f t="shared" si="15"/>
        <v>0.02</v>
      </c>
      <c r="U24" s="31">
        <f t="shared" si="16"/>
        <v>4.4999999999999998E-2</v>
      </c>
      <c r="V24" s="31">
        <f t="shared" si="17"/>
        <v>4.4999999999999998E-2</v>
      </c>
      <c r="W24" s="26">
        <f t="shared" ca="1" si="18"/>
        <v>11922.270118099466</v>
      </c>
      <c r="X24" s="26">
        <f t="shared" ca="1" si="19"/>
        <v>135800.77495595519</v>
      </c>
      <c r="Y24" s="26">
        <f t="shared" ca="1" si="37"/>
        <v>0</v>
      </c>
      <c r="Z24" s="26">
        <f t="shared" ca="1" si="20"/>
        <v>576750</v>
      </c>
      <c r="AA24" s="26">
        <f t="shared" si="21"/>
        <v>0</v>
      </c>
      <c r="AB24" s="26">
        <f t="shared" si="22"/>
        <v>0</v>
      </c>
      <c r="AC24" s="26">
        <f t="shared" ca="1" si="38"/>
        <v>576750</v>
      </c>
      <c r="AD24" s="26">
        <f t="shared" ca="1" si="23"/>
        <v>11922.270118099466</v>
      </c>
      <c r="AE24" s="26">
        <f t="shared" ca="1" si="24"/>
        <v>564827.72988190048</v>
      </c>
      <c r="AF24" s="26">
        <f t="shared" ca="1" si="25"/>
        <v>330611.3764894667</v>
      </c>
      <c r="AG24" s="26">
        <f t="shared" ca="1" si="26"/>
        <v>2805108.983339434</v>
      </c>
      <c r="AH24" s="26">
        <f t="shared" ca="1" si="27"/>
        <v>342533.64660756616</v>
      </c>
      <c r="AI24" s="26">
        <f t="shared" ca="1" si="39"/>
        <v>234216.35339243378</v>
      </c>
      <c r="AJ24" s="26">
        <f t="shared" si="28"/>
        <v>11535</v>
      </c>
      <c r="AK24" s="26">
        <f t="shared" ca="1" si="29"/>
        <v>222681.35339243378</v>
      </c>
      <c r="AL24"/>
      <c r="AM24" s="26">
        <f t="shared" ca="1" si="30"/>
        <v>0</v>
      </c>
      <c r="AN24" s="26">
        <f t="shared" si="2"/>
        <v>0</v>
      </c>
      <c r="AO24" s="26">
        <f t="shared" si="3"/>
        <v>0</v>
      </c>
      <c r="AP24" s="26">
        <f t="shared" si="4"/>
        <v>0</v>
      </c>
      <c r="AQ24" s="26">
        <f t="shared" si="31"/>
        <v>5767.5</v>
      </c>
      <c r="AR24" s="26">
        <f t="shared" si="32"/>
        <v>5767.5</v>
      </c>
      <c r="AS24" s="50"/>
      <c r="AT24" s="57"/>
      <c r="AU24" s="57"/>
      <c r="AV24" s="57"/>
      <c r="AW24" s="57"/>
      <c r="AX24" s="57"/>
      <c r="AY24" s="57"/>
      <c r="AZ24" s="57"/>
      <c r="BA24" s="57"/>
    </row>
    <row r="25" spans="1:53" s="4" customFormat="1" ht="14" customHeight="1">
      <c r="A25"/>
      <c r="B25" s="16">
        <f t="shared" si="5"/>
        <v>17</v>
      </c>
      <c r="C25" s="16">
        <f t="shared" si="6"/>
        <v>2</v>
      </c>
      <c r="D25"/>
      <c r="E25" s="504">
        <f t="shared" si="33"/>
        <v>60</v>
      </c>
      <c r="F25" s="498">
        <f t="shared" si="7"/>
        <v>0.05</v>
      </c>
      <c r="G25" s="485">
        <f t="shared" si="34"/>
        <v>0.44999999999999996</v>
      </c>
      <c r="H25" s="504">
        <f t="shared" si="8"/>
        <v>5</v>
      </c>
      <c r="I25" s="504">
        <f t="shared" si="0"/>
        <v>55</v>
      </c>
      <c r="J25" s="504">
        <f t="shared" ca="1" si="1"/>
        <v>2163055.8779877955</v>
      </c>
      <c r="K25" s="504">
        <f t="shared" ca="1" si="35"/>
        <v>1966.4144345343593</v>
      </c>
      <c r="L25" s="504">
        <f t="shared" si="9"/>
        <v>576750</v>
      </c>
      <c r="M25" s="27">
        <f t="shared" si="10"/>
        <v>0</v>
      </c>
      <c r="N25" s="27">
        <f t="shared" si="36"/>
        <v>1153500</v>
      </c>
      <c r="O25" s="27">
        <f t="shared" si="11"/>
        <v>576750</v>
      </c>
      <c r="P25" s="27">
        <f t="shared" si="12"/>
        <v>0</v>
      </c>
      <c r="Q25" s="27">
        <f t="shared" si="13"/>
        <v>0</v>
      </c>
      <c r="R25" s="27">
        <f t="shared" si="14"/>
        <v>576750</v>
      </c>
      <c r="S25" s="14"/>
      <c r="T25" s="35">
        <f t="shared" si="15"/>
        <v>0.02</v>
      </c>
      <c r="U25" s="35">
        <f t="shared" si="16"/>
        <v>4.4999999999999998E-2</v>
      </c>
      <c r="V25" s="35">
        <f t="shared" si="17"/>
        <v>4.4999999999999998E-2</v>
      </c>
      <c r="W25" s="27">
        <f t="shared" ca="1" si="18"/>
        <v>10665.258113738471</v>
      </c>
      <c r="X25" s="27">
        <f t="shared" ca="1" si="19"/>
        <v>135800.77495595519</v>
      </c>
      <c r="Y25" s="27">
        <f t="shared" ca="1" si="37"/>
        <v>0</v>
      </c>
      <c r="Z25" s="27">
        <f t="shared" ca="1" si="20"/>
        <v>576750</v>
      </c>
      <c r="AA25" s="27">
        <f t="shared" si="21"/>
        <v>0</v>
      </c>
      <c r="AB25" s="27">
        <f t="shared" si="22"/>
        <v>0</v>
      </c>
      <c r="AC25" s="27">
        <f t="shared" ca="1" si="38"/>
        <v>576750</v>
      </c>
      <c r="AD25" s="27">
        <f t="shared" ca="1" si="23"/>
        <v>10665.258113738471</v>
      </c>
      <c r="AE25" s="27">
        <f t="shared" ca="1" si="24"/>
        <v>566084.7418862615</v>
      </c>
      <c r="AF25" s="27">
        <f t="shared" ca="1" si="25"/>
        <v>330611.3764894667</v>
      </c>
      <c r="AG25" s="27">
        <f t="shared" ca="1" si="26"/>
        <v>2474497.6068499675</v>
      </c>
      <c r="AH25" s="27">
        <f t="shared" ca="1" si="27"/>
        <v>341276.6346032052</v>
      </c>
      <c r="AI25" s="27">
        <f t="shared" ca="1" si="39"/>
        <v>235473.3653967948</v>
      </c>
      <c r="AJ25" s="27">
        <f t="shared" si="28"/>
        <v>11535</v>
      </c>
      <c r="AK25" s="27">
        <f t="shared" ca="1" si="29"/>
        <v>223938.3653967948</v>
      </c>
      <c r="AL25"/>
      <c r="AM25" s="27">
        <f t="shared" ca="1" si="30"/>
        <v>0</v>
      </c>
      <c r="AN25" s="27">
        <f t="shared" si="2"/>
        <v>0</v>
      </c>
      <c r="AO25" s="27">
        <f t="shared" si="3"/>
        <v>0</v>
      </c>
      <c r="AP25" s="27">
        <f t="shared" si="4"/>
        <v>0</v>
      </c>
      <c r="AQ25" s="27">
        <f t="shared" si="31"/>
        <v>5767.5</v>
      </c>
      <c r="AR25" s="27">
        <f t="shared" si="32"/>
        <v>5767.5</v>
      </c>
      <c r="AS25" s="50"/>
      <c r="AT25" s="57"/>
      <c r="AU25" s="57"/>
      <c r="AV25" s="57"/>
      <c r="AW25" s="57"/>
      <c r="AX25" s="57"/>
      <c r="AY25" s="57"/>
      <c r="AZ25" s="57"/>
      <c r="BA25" s="57"/>
    </row>
    <row r="26" spans="1:53" s="4" customFormat="1" ht="14" customHeight="1">
      <c r="A26"/>
      <c r="B26" s="17">
        <f t="shared" si="5"/>
        <v>18</v>
      </c>
      <c r="C26" s="17">
        <f t="shared" si="6"/>
        <v>2</v>
      </c>
      <c r="D26"/>
      <c r="E26" s="505">
        <f t="shared" si="33"/>
        <v>55</v>
      </c>
      <c r="F26" s="499">
        <f t="shared" si="7"/>
        <v>0.05</v>
      </c>
      <c r="G26" s="486">
        <f t="shared" si="34"/>
        <v>0.49999999999999994</v>
      </c>
      <c r="H26" s="505">
        <f t="shared" si="8"/>
        <v>5</v>
      </c>
      <c r="I26" s="505">
        <f t="shared" si="0"/>
        <v>50</v>
      </c>
      <c r="J26" s="505">
        <f t="shared" ca="1" si="1"/>
        <v>1966414.4345343593</v>
      </c>
      <c r="K26" s="505">
        <f t="shared" ca="1" si="35"/>
        <v>1802.5465649898297</v>
      </c>
      <c r="L26" s="505">
        <f t="shared" si="9"/>
        <v>576750</v>
      </c>
      <c r="M26" s="28">
        <f t="shared" si="10"/>
        <v>5767.5</v>
      </c>
      <c r="N26" s="28">
        <f t="shared" si="36"/>
        <v>1147732.5</v>
      </c>
      <c r="O26" s="28">
        <f t="shared" si="11"/>
        <v>570982.5</v>
      </c>
      <c r="P26" s="28">
        <f t="shared" si="12"/>
        <v>0</v>
      </c>
      <c r="Q26" s="28">
        <f t="shared" si="13"/>
        <v>0</v>
      </c>
      <c r="R26" s="28">
        <f t="shared" si="14"/>
        <v>570982.5</v>
      </c>
      <c r="S26" s="14"/>
      <c r="T26" s="36">
        <f t="shared" si="15"/>
        <v>0.02</v>
      </c>
      <c r="U26" s="36">
        <f t="shared" si="16"/>
        <v>4.4999999999999998E-2</v>
      </c>
      <c r="V26" s="36">
        <f t="shared" si="17"/>
        <v>4.4999999999999998E-2</v>
      </c>
      <c r="W26" s="28">
        <f t="shared" ca="1" si="18"/>
        <v>9408.24610937748</v>
      </c>
      <c r="X26" s="28">
        <f t="shared" ca="1" si="19"/>
        <v>135800.77495595519</v>
      </c>
      <c r="Y26" s="28">
        <f t="shared" ca="1" si="37"/>
        <v>0</v>
      </c>
      <c r="Z26" s="28">
        <f t="shared" ca="1" si="20"/>
        <v>570982.5</v>
      </c>
      <c r="AA26" s="28">
        <f t="shared" si="21"/>
        <v>0</v>
      </c>
      <c r="AB26" s="28">
        <f t="shared" si="22"/>
        <v>0</v>
      </c>
      <c r="AC26" s="28">
        <f t="shared" ca="1" si="38"/>
        <v>570982.5</v>
      </c>
      <c r="AD26" s="28">
        <f t="shared" ca="1" si="23"/>
        <v>9408.24610937748</v>
      </c>
      <c r="AE26" s="28">
        <f t="shared" ca="1" si="24"/>
        <v>561574.25389062252</v>
      </c>
      <c r="AF26" s="28">
        <f t="shared" ca="1" si="25"/>
        <v>330611.3764894667</v>
      </c>
      <c r="AG26" s="28">
        <f t="shared" ca="1" si="26"/>
        <v>2143886.230360501</v>
      </c>
      <c r="AH26" s="28">
        <f t="shared" ca="1" si="27"/>
        <v>340019.62259884417</v>
      </c>
      <c r="AI26" s="28">
        <f t="shared" ca="1" si="39"/>
        <v>230962.87740115583</v>
      </c>
      <c r="AJ26" s="28">
        <f t="shared" si="28"/>
        <v>11535</v>
      </c>
      <c r="AK26" s="28">
        <f t="shared" ca="1" si="29"/>
        <v>219427.87740115583</v>
      </c>
      <c r="AL26"/>
      <c r="AM26" s="28">
        <f t="shared" ca="1" si="30"/>
        <v>0</v>
      </c>
      <c r="AN26" s="28">
        <f t="shared" si="2"/>
        <v>0</v>
      </c>
      <c r="AO26" s="28">
        <f t="shared" si="3"/>
        <v>0</v>
      </c>
      <c r="AP26" s="28">
        <f t="shared" si="4"/>
        <v>0</v>
      </c>
      <c r="AQ26" s="28">
        <f t="shared" si="31"/>
        <v>5767.5</v>
      </c>
      <c r="AR26" s="28">
        <f t="shared" si="32"/>
        <v>5767.5</v>
      </c>
      <c r="AS26" s="50"/>
      <c r="AT26" s="57"/>
      <c r="AU26" s="57"/>
      <c r="AV26" s="57"/>
      <c r="AW26" s="57"/>
      <c r="AX26" s="57"/>
      <c r="AY26" s="57"/>
      <c r="AZ26" s="57"/>
      <c r="BA26" s="57"/>
    </row>
    <row r="27" spans="1:53" s="4" customFormat="1" ht="14" customHeight="1">
      <c r="A27"/>
      <c r="B27" s="15">
        <f t="shared" si="5"/>
        <v>19</v>
      </c>
      <c r="C27" s="15">
        <f t="shared" si="6"/>
        <v>2</v>
      </c>
      <c r="D27"/>
      <c r="E27" s="503">
        <f t="shared" si="33"/>
        <v>50</v>
      </c>
      <c r="F27" s="497">
        <f t="shared" si="7"/>
        <v>0.05</v>
      </c>
      <c r="G27" s="484">
        <f t="shared" si="34"/>
        <v>0.54999999999999993</v>
      </c>
      <c r="H27" s="503">
        <f t="shared" si="8"/>
        <v>5</v>
      </c>
      <c r="I27" s="503">
        <f t="shared" si="0"/>
        <v>45</v>
      </c>
      <c r="J27" s="503">
        <f t="shared" ca="1" si="1"/>
        <v>1769772.9910809237</v>
      </c>
      <c r="K27" s="503">
        <f t="shared" ca="1" si="35"/>
        <v>1638.6786954452994</v>
      </c>
      <c r="L27" s="503">
        <f t="shared" si="9"/>
        <v>576750</v>
      </c>
      <c r="M27" s="26">
        <f t="shared" si="10"/>
        <v>114773.25</v>
      </c>
      <c r="N27" s="26">
        <f t="shared" si="36"/>
        <v>1032959.25</v>
      </c>
      <c r="O27" s="26">
        <f t="shared" si="11"/>
        <v>461976.75</v>
      </c>
      <c r="P27" s="26">
        <f t="shared" si="12"/>
        <v>0</v>
      </c>
      <c r="Q27" s="26">
        <f t="shared" si="13"/>
        <v>0</v>
      </c>
      <c r="R27" s="26">
        <f t="shared" si="14"/>
        <v>461976.75</v>
      </c>
      <c r="S27" s="14"/>
      <c r="T27" s="31">
        <f t="shared" si="15"/>
        <v>0.02</v>
      </c>
      <c r="U27" s="31">
        <f t="shared" si="16"/>
        <v>4.4999999999999998E-2</v>
      </c>
      <c r="V27" s="31">
        <f t="shared" si="17"/>
        <v>4.4999999999999998E-2</v>
      </c>
      <c r="W27" s="26">
        <f t="shared" ca="1" si="18"/>
        <v>8151.2341050164878</v>
      </c>
      <c r="X27" s="26">
        <f t="shared" ca="1" si="19"/>
        <v>135800.77495595519</v>
      </c>
      <c r="Y27" s="26">
        <f t="shared" ca="1" si="37"/>
        <v>0</v>
      </c>
      <c r="Z27" s="26">
        <f t="shared" ca="1" si="20"/>
        <v>461976.75</v>
      </c>
      <c r="AA27" s="26">
        <f t="shared" si="21"/>
        <v>0</v>
      </c>
      <c r="AB27" s="26">
        <f t="shared" si="22"/>
        <v>0</v>
      </c>
      <c r="AC27" s="26">
        <f t="shared" ca="1" si="38"/>
        <v>461976.75</v>
      </c>
      <c r="AD27" s="26">
        <f t="shared" ca="1" si="23"/>
        <v>8151.2341050164878</v>
      </c>
      <c r="AE27" s="26">
        <f t="shared" ca="1" si="24"/>
        <v>453825.51589498349</v>
      </c>
      <c r="AF27" s="26">
        <f t="shared" ca="1" si="25"/>
        <v>330611.3764894667</v>
      </c>
      <c r="AG27" s="26">
        <f t="shared" ca="1" si="26"/>
        <v>1813274.8538710342</v>
      </c>
      <c r="AH27" s="26">
        <f t="shared" ca="1" si="27"/>
        <v>338762.61059448321</v>
      </c>
      <c r="AI27" s="26">
        <f t="shared" ca="1" si="39"/>
        <v>123214.13940551679</v>
      </c>
      <c r="AJ27" s="26">
        <f t="shared" si="28"/>
        <v>11535</v>
      </c>
      <c r="AK27" s="26">
        <f t="shared" ca="1" si="29"/>
        <v>111679.13940551679</v>
      </c>
      <c r="AL27"/>
      <c r="AM27" s="26">
        <f t="shared" ca="1" si="30"/>
        <v>0</v>
      </c>
      <c r="AN27" s="26">
        <f t="shared" si="2"/>
        <v>0</v>
      </c>
      <c r="AO27" s="26">
        <f t="shared" si="3"/>
        <v>0</v>
      </c>
      <c r="AP27" s="26">
        <f t="shared" si="4"/>
        <v>0</v>
      </c>
      <c r="AQ27" s="26">
        <f t="shared" si="31"/>
        <v>5767.5</v>
      </c>
      <c r="AR27" s="26">
        <f t="shared" si="32"/>
        <v>5767.5</v>
      </c>
      <c r="AS27" s="50"/>
      <c r="AT27" s="57"/>
      <c r="AU27" s="57"/>
      <c r="AV27" s="57"/>
      <c r="AW27" s="57"/>
      <c r="AX27" s="57"/>
      <c r="AY27" s="57"/>
      <c r="AZ27" s="57"/>
      <c r="BA27" s="57"/>
    </row>
    <row r="28" spans="1:53" s="4" customFormat="1" ht="14" customHeight="1">
      <c r="A28"/>
      <c r="B28" s="16">
        <f t="shared" si="5"/>
        <v>20</v>
      </c>
      <c r="C28" s="16">
        <f t="shared" si="6"/>
        <v>2</v>
      </c>
      <c r="D28"/>
      <c r="E28" s="504">
        <f t="shared" si="33"/>
        <v>45</v>
      </c>
      <c r="F28" s="498">
        <f t="shared" si="7"/>
        <v>0.05</v>
      </c>
      <c r="G28" s="485">
        <f t="shared" si="34"/>
        <v>0.6</v>
      </c>
      <c r="H28" s="504">
        <f t="shared" si="8"/>
        <v>5</v>
      </c>
      <c r="I28" s="504">
        <f t="shared" si="0"/>
        <v>40</v>
      </c>
      <c r="J28" s="504">
        <f t="shared" ca="1" si="1"/>
        <v>1573131.5476274875</v>
      </c>
      <c r="K28" s="504">
        <f t="shared" ca="1" si="35"/>
        <v>1474.8108259007697</v>
      </c>
      <c r="L28" s="504">
        <f t="shared" si="9"/>
        <v>576750</v>
      </c>
      <c r="M28" s="27">
        <f t="shared" si="10"/>
        <v>114773.25</v>
      </c>
      <c r="N28" s="27">
        <f t="shared" si="36"/>
        <v>918186</v>
      </c>
      <c r="O28" s="27">
        <f t="shared" si="11"/>
        <v>461976.75</v>
      </c>
      <c r="P28" s="27">
        <f t="shared" si="12"/>
        <v>0</v>
      </c>
      <c r="Q28" s="27">
        <f t="shared" si="13"/>
        <v>0</v>
      </c>
      <c r="R28" s="27">
        <f t="shared" si="14"/>
        <v>461976.75</v>
      </c>
      <c r="S28" s="14"/>
      <c r="T28" s="35">
        <f t="shared" si="15"/>
        <v>0.02</v>
      </c>
      <c r="U28" s="35">
        <f t="shared" si="16"/>
        <v>4.4999999999999998E-2</v>
      </c>
      <c r="V28" s="35">
        <f t="shared" si="17"/>
        <v>4.4999999999999998E-2</v>
      </c>
      <c r="W28" s="27">
        <f t="shared" ca="1" si="18"/>
        <v>6894.2221006554946</v>
      </c>
      <c r="X28" s="27">
        <f t="shared" ca="1" si="19"/>
        <v>135800.77495595519</v>
      </c>
      <c r="Y28" s="27">
        <f t="shared" ca="1" si="37"/>
        <v>0</v>
      </c>
      <c r="Z28" s="27">
        <f t="shared" ca="1" si="20"/>
        <v>461976.75</v>
      </c>
      <c r="AA28" s="27">
        <f t="shared" si="21"/>
        <v>0</v>
      </c>
      <c r="AB28" s="27">
        <f t="shared" si="22"/>
        <v>0</v>
      </c>
      <c r="AC28" s="27">
        <f t="shared" ca="1" si="38"/>
        <v>461976.75</v>
      </c>
      <c r="AD28" s="27">
        <f t="shared" ca="1" si="23"/>
        <v>6894.2221006554946</v>
      </c>
      <c r="AE28" s="27">
        <f t="shared" ca="1" si="24"/>
        <v>455082.52789934451</v>
      </c>
      <c r="AF28" s="27">
        <f t="shared" ca="1" si="25"/>
        <v>330611.3764894667</v>
      </c>
      <c r="AG28" s="27">
        <f t="shared" ca="1" si="26"/>
        <v>1482663.4773815675</v>
      </c>
      <c r="AH28" s="27">
        <f t="shared" ca="1" si="27"/>
        <v>337505.59859012219</v>
      </c>
      <c r="AI28" s="27">
        <f t="shared" ca="1" si="39"/>
        <v>124471.15140987781</v>
      </c>
      <c r="AJ28" s="27">
        <f t="shared" si="28"/>
        <v>11535</v>
      </c>
      <c r="AK28" s="27">
        <f t="shared" ca="1" si="29"/>
        <v>112936.15140987781</v>
      </c>
      <c r="AL28"/>
      <c r="AM28" s="27">
        <f t="shared" ca="1" si="30"/>
        <v>0</v>
      </c>
      <c r="AN28" s="27">
        <f t="shared" si="2"/>
        <v>0</v>
      </c>
      <c r="AO28" s="27">
        <f t="shared" si="3"/>
        <v>0</v>
      </c>
      <c r="AP28" s="27">
        <f t="shared" si="4"/>
        <v>0</v>
      </c>
      <c r="AQ28" s="27">
        <f t="shared" si="31"/>
        <v>5767.5</v>
      </c>
      <c r="AR28" s="27">
        <f t="shared" si="32"/>
        <v>5767.5</v>
      </c>
      <c r="AS28" s="50"/>
      <c r="AT28" s="57"/>
      <c r="AU28" s="57"/>
      <c r="AV28" s="57"/>
      <c r="AW28" s="57"/>
      <c r="AX28" s="57"/>
      <c r="AY28" s="57"/>
      <c r="AZ28" s="57"/>
      <c r="BA28" s="57"/>
    </row>
    <row r="29" spans="1:53" s="4" customFormat="1" ht="14" customHeight="1">
      <c r="A29"/>
      <c r="B29" s="17">
        <f t="shared" si="5"/>
        <v>21</v>
      </c>
      <c r="C29" s="17">
        <f t="shared" si="6"/>
        <v>2</v>
      </c>
      <c r="D29"/>
      <c r="E29" s="505">
        <f t="shared" si="33"/>
        <v>40</v>
      </c>
      <c r="F29" s="499">
        <f t="shared" si="7"/>
        <v>0.05</v>
      </c>
      <c r="G29" s="486">
        <f t="shared" si="34"/>
        <v>0.65</v>
      </c>
      <c r="H29" s="505">
        <f t="shared" si="8"/>
        <v>5</v>
      </c>
      <c r="I29" s="505">
        <f t="shared" si="0"/>
        <v>35</v>
      </c>
      <c r="J29" s="505">
        <f t="shared" ca="1" si="1"/>
        <v>1376490.1041740514</v>
      </c>
      <c r="K29" s="505">
        <f t="shared" ca="1" si="35"/>
        <v>1310.9429563562396</v>
      </c>
      <c r="L29" s="505">
        <f t="shared" si="9"/>
        <v>576750</v>
      </c>
      <c r="M29" s="28">
        <f t="shared" si="10"/>
        <v>114773.25</v>
      </c>
      <c r="N29" s="28">
        <f t="shared" si="36"/>
        <v>803412.75</v>
      </c>
      <c r="O29" s="28">
        <f t="shared" si="11"/>
        <v>461976.75</v>
      </c>
      <c r="P29" s="28">
        <f t="shared" si="12"/>
        <v>0</v>
      </c>
      <c r="Q29" s="28">
        <f t="shared" si="13"/>
        <v>0</v>
      </c>
      <c r="R29" s="28">
        <f t="shared" si="14"/>
        <v>461976.75</v>
      </c>
      <c r="S29" s="14"/>
      <c r="T29" s="36">
        <f t="shared" si="15"/>
        <v>0.02</v>
      </c>
      <c r="U29" s="36">
        <f t="shared" si="16"/>
        <v>4.4999999999999998E-2</v>
      </c>
      <c r="V29" s="36">
        <f t="shared" si="17"/>
        <v>4.4999999999999998E-2</v>
      </c>
      <c r="W29" s="28">
        <f t="shared" ca="1" si="18"/>
        <v>5637.2100962945005</v>
      </c>
      <c r="X29" s="28">
        <f t="shared" ca="1" si="19"/>
        <v>135800.77495595519</v>
      </c>
      <c r="Y29" s="28">
        <f t="shared" ca="1" si="37"/>
        <v>0</v>
      </c>
      <c r="Z29" s="28">
        <f t="shared" ca="1" si="20"/>
        <v>461976.75</v>
      </c>
      <c r="AA29" s="28">
        <f t="shared" si="21"/>
        <v>0</v>
      </c>
      <c r="AB29" s="28">
        <f t="shared" si="22"/>
        <v>0</v>
      </c>
      <c r="AC29" s="28">
        <f t="shared" ca="1" si="38"/>
        <v>461976.75</v>
      </c>
      <c r="AD29" s="28">
        <f t="shared" ca="1" si="23"/>
        <v>5637.2100962945005</v>
      </c>
      <c r="AE29" s="28">
        <f t="shared" ca="1" si="24"/>
        <v>456339.53990370547</v>
      </c>
      <c r="AF29" s="28">
        <f t="shared" ca="1" si="25"/>
        <v>330611.3764894667</v>
      </c>
      <c r="AG29" s="28">
        <f t="shared" ca="1" si="26"/>
        <v>1152052.1008921007</v>
      </c>
      <c r="AH29" s="28">
        <f t="shared" ca="1" si="27"/>
        <v>336248.58658576122</v>
      </c>
      <c r="AI29" s="28">
        <f t="shared" ca="1" si="39"/>
        <v>125728.16341423878</v>
      </c>
      <c r="AJ29" s="28">
        <f t="shared" si="28"/>
        <v>11535</v>
      </c>
      <c r="AK29" s="28">
        <f t="shared" ca="1" si="29"/>
        <v>114193.16341423878</v>
      </c>
      <c r="AL29"/>
      <c r="AM29" s="28">
        <f t="shared" ca="1" si="30"/>
        <v>0</v>
      </c>
      <c r="AN29" s="28">
        <f t="shared" si="2"/>
        <v>0</v>
      </c>
      <c r="AO29" s="28">
        <f t="shared" si="3"/>
        <v>0</v>
      </c>
      <c r="AP29" s="28">
        <f t="shared" si="4"/>
        <v>0</v>
      </c>
      <c r="AQ29" s="28">
        <f t="shared" si="31"/>
        <v>5767.5</v>
      </c>
      <c r="AR29" s="28">
        <f t="shared" si="32"/>
        <v>5767.5</v>
      </c>
      <c r="AS29" s="50"/>
      <c r="AT29" s="57"/>
      <c r="AU29" s="57"/>
      <c r="AV29" s="57"/>
      <c r="AW29" s="57"/>
      <c r="AX29" s="57"/>
      <c r="AY29" s="57"/>
      <c r="AZ29" s="57"/>
      <c r="BA29" s="57"/>
    </row>
    <row r="30" spans="1:53" s="4" customFormat="1" ht="14" customHeight="1">
      <c r="A30"/>
      <c r="B30" s="15">
        <f t="shared" si="5"/>
        <v>22</v>
      </c>
      <c r="C30" s="15">
        <f t="shared" si="6"/>
        <v>2</v>
      </c>
      <c r="D30"/>
      <c r="E30" s="503">
        <f t="shared" si="33"/>
        <v>35</v>
      </c>
      <c r="F30" s="497">
        <f t="shared" si="7"/>
        <v>0.05</v>
      </c>
      <c r="G30" s="484">
        <f t="shared" si="34"/>
        <v>0.70000000000000007</v>
      </c>
      <c r="H30" s="503">
        <f t="shared" si="8"/>
        <v>5</v>
      </c>
      <c r="I30" s="503">
        <f t="shared" si="0"/>
        <v>30</v>
      </c>
      <c r="J30" s="503">
        <f t="shared" ca="1" si="1"/>
        <v>1179848.6607206152</v>
      </c>
      <c r="K30" s="503">
        <f t="shared" ca="1" si="35"/>
        <v>1147.0750868117095</v>
      </c>
      <c r="L30" s="503">
        <f t="shared" si="9"/>
        <v>576750</v>
      </c>
      <c r="M30" s="26">
        <f t="shared" si="10"/>
        <v>114773.25</v>
      </c>
      <c r="N30" s="26">
        <f t="shared" si="36"/>
        <v>688639.5</v>
      </c>
      <c r="O30" s="26">
        <f t="shared" si="11"/>
        <v>461976.75</v>
      </c>
      <c r="P30" s="26">
        <f t="shared" si="12"/>
        <v>0</v>
      </c>
      <c r="Q30" s="26">
        <f t="shared" si="13"/>
        <v>0</v>
      </c>
      <c r="R30" s="26">
        <f t="shared" si="14"/>
        <v>461976.75</v>
      </c>
      <c r="S30" s="14"/>
      <c r="T30" s="31">
        <f t="shared" si="15"/>
        <v>0.02</v>
      </c>
      <c r="U30" s="31">
        <f t="shared" si="16"/>
        <v>4.4999999999999998E-2</v>
      </c>
      <c r="V30" s="31">
        <f t="shared" si="17"/>
        <v>4.4999999999999998E-2</v>
      </c>
      <c r="W30" s="26">
        <f t="shared" ca="1" si="18"/>
        <v>4380.1980919335074</v>
      </c>
      <c r="X30" s="26">
        <f t="shared" ca="1" si="19"/>
        <v>135800.77495595519</v>
      </c>
      <c r="Y30" s="26">
        <f t="shared" ca="1" si="37"/>
        <v>0</v>
      </c>
      <c r="Z30" s="26">
        <f t="shared" ca="1" si="20"/>
        <v>461976.75</v>
      </c>
      <c r="AA30" s="26">
        <f t="shared" si="21"/>
        <v>0</v>
      </c>
      <c r="AB30" s="26">
        <f t="shared" si="22"/>
        <v>0</v>
      </c>
      <c r="AC30" s="26">
        <f t="shared" ca="1" si="38"/>
        <v>461976.75</v>
      </c>
      <c r="AD30" s="26">
        <f t="shared" ca="1" si="23"/>
        <v>4380.1980919335074</v>
      </c>
      <c r="AE30" s="26">
        <f t="shared" ca="1" si="24"/>
        <v>457596.5519080665</v>
      </c>
      <c r="AF30" s="26">
        <f t="shared" ca="1" si="25"/>
        <v>330611.3764894667</v>
      </c>
      <c r="AG30" s="26">
        <f t="shared" ca="1" si="26"/>
        <v>821440.72440263396</v>
      </c>
      <c r="AH30" s="26">
        <f t="shared" ca="1" si="27"/>
        <v>334991.5745814002</v>
      </c>
      <c r="AI30" s="26">
        <f t="shared" ca="1" si="39"/>
        <v>126985.1754185998</v>
      </c>
      <c r="AJ30" s="26">
        <f t="shared" si="28"/>
        <v>11535</v>
      </c>
      <c r="AK30" s="26">
        <f t="shared" ca="1" si="29"/>
        <v>115450.1754185998</v>
      </c>
      <c r="AL30"/>
      <c r="AM30" s="26">
        <f t="shared" ca="1" si="30"/>
        <v>0</v>
      </c>
      <c r="AN30" s="26">
        <f t="shared" si="2"/>
        <v>0</v>
      </c>
      <c r="AO30" s="26">
        <f t="shared" si="3"/>
        <v>0</v>
      </c>
      <c r="AP30" s="26">
        <f t="shared" si="4"/>
        <v>0</v>
      </c>
      <c r="AQ30" s="26">
        <f t="shared" si="31"/>
        <v>5767.5</v>
      </c>
      <c r="AR30" s="26">
        <f t="shared" si="32"/>
        <v>5767.5</v>
      </c>
      <c r="AS30" s="50"/>
      <c r="AT30" s="57"/>
      <c r="AU30" s="57"/>
      <c r="AV30" s="57"/>
      <c r="AW30" s="57"/>
      <c r="AX30" s="57"/>
      <c r="AY30" s="57"/>
      <c r="AZ30" s="57"/>
      <c r="BA30" s="57"/>
    </row>
    <row r="31" spans="1:53" s="4" customFormat="1" ht="14" customHeight="1">
      <c r="A31"/>
      <c r="B31" s="16">
        <f t="shared" si="5"/>
        <v>23</v>
      </c>
      <c r="C31" s="16">
        <f t="shared" si="6"/>
        <v>2</v>
      </c>
      <c r="D31"/>
      <c r="E31" s="504">
        <f t="shared" si="33"/>
        <v>30</v>
      </c>
      <c r="F31" s="498">
        <f t="shared" si="7"/>
        <v>0.05</v>
      </c>
      <c r="G31" s="485">
        <f t="shared" si="34"/>
        <v>0.75000000000000011</v>
      </c>
      <c r="H31" s="504">
        <f t="shared" si="8"/>
        <v>5</v>
      </c>
      <c r="I31" s="504">
        <f t="shared" si="0"/>
        <v>25</v>
      </c>
      <c r="J31" s="504">
        <f t="shared" ca="1" si="1"/>
        <v>983207.21726717916</v>
      </c>
      <c r="K31" s="504">
        <f t="shared" ca="1" si="35"/>
        <v>983.20721726717932</v>
      </c>
      <c r="L31" s="504">
        <f t="shared" si="9"/>
        <v>576750</v>
      </c>
      <c r="M31" s="27">
        <f t="shared" si="10"/>
        <v>114773.25</v>
      </c>
      <c r="N31" s="27">
        <f t="shared" si="36"/>
        <v>573866.25</v>
      </c>
      <c r="O31" s="27">
        <f t="shared" si="11"/>
        <v>461976.75</v>
      </c>
      <c r="P31" s="27">
        <f t="shared" si="12"/>
        <v>0</v>
      </c>
      <c r="Q31" s="27">
        <f t="shared" si="13"/>
        <v>0</v>
      </c>
      <c r="R31" s="27">
        <f t="shared" si="14"/>
        <v>461976.75</v>
      </c>
      <c r="S31" s="14"/>
      <c r="T31" s="35">
        <f t="shared" si="15"/>
        <v>0.02</v>
      </c>
      <c r="U31" s="35">
        <f t="shared" si="16"/>
        <v>4.4999999999999998E-2</v>
      </c>
      <c r="V31" s="35">
        <f t="shared" si="17"/>
        <v>4.4999999999999998E-2</v>
      </c>
      <c r="W31" s="27">
        <f t="shared" ca="1" si="18"/>
        <v>3123.1860875725142</v>
      </c>
      <c r="X31" s="27">
        <f t="shared" ca="1" si="19"/>
        <v>135800.77495595519</v>
      </c>
      <c r="Y31" s="27">
        <f t="shared" ca="1" si="37"/>
        <v>0</v>
      </c>
      <c r="Z31" s="27">
        <f t="shared" ca="1" si="20"/>
        <v>461976.75</v>
      </c>
      <c r="AA31" s="27">
        <f t="shared" si="21"/>
        <v>0</v>
      </c>
      <c r="AB31" s="27">
        <f t="shared" si="22"/>
        <v>0</v>
      </c>
      <c r="AC31" s="27">
        <f t="shared" ca="1" si="38"/>
        <v>461976.75</v>
      </c>
      <c r="AD31" s="27">
        <f t="shared" ca="1" si="23"/>
        <v>3123.1860875725142</v>
      </c>
      <c r="AE31" s="27">
        <f t="shared" ca="1" si="24"/>
        <v>458853.56391242746</v>
      </c>
      <c r="AF31" s="27">
        <f t="shared" ca="1" si="25"/>
        <v>330611.3764894667</v>
      </c>
      <c r="AG31" s="27">
        <f t="shared" ca="1" si="26"/>
        <v>490829.34791316726</v>
      </c>
      <c r="AH31" s="27">
        <f t="shared" ca="1" si="27"/>
        <v>333734.56257703924</v>
      </c>
      <c r="AI31" s="27">
        <f t="shared" ca="1" si="39"/>
        <v>128242.18742296076</v>
      </c>
      <c r="AJ31" s="27">
        <f t="shared" si="28"/>
        <v>11535</v>
      </c>
      <c r="AK31" s="27">
        <f t="shared" ca="1" si="29"/>
        <v>116707.18742296076</v>
      </c>
      <c r="AL31"/>
      <c r="AM31" s="27">
        <f t="shared" ca="1" si="30"/>
        <v>0</v>
      </c>
      <c r="AN31" s="27">
        <f t="shared" si="2"/>
        <v>0</v>
      </c>
      <c r="AO31" s="27">
        <f t="shared" si="3"/>
        <v>0</v>
      </c>
      <c r="AP31" s="27">
        <f t="shared" si="4"/>
        <v>0</v>
      </c>
      <c r="AQ31" s="27">
        <f t="shared" si="31"/>
        <v>5767.5</v>
      </c>
      <c r="AR31" s="27">
        <f t="shared" si="32"/>
        <v>5767.5</v>
      </c>
      <c r="AS31" s="50"/>
      <c r="AT31" s="57"/>
      <c r="AU31" s="57"/>
      <c r="AV31" s="57"/>
      <c r="AW31" s="57"/>
      <c r="AX31" s="57"/>
      <c r="AY31" s="57"/>
      <c r="AZ31" s="57"/>
      <c r="BA31" s="57"/>
    </row>
    <row r="32" spans="1:53" s="4" customFormat="1" ht="14" customHeight="1" thickBot="1">
      <c r="A32"/>
      <c r="B32" s="18">
        <f t="shared" si="5"/>
        <v>24</v>
      </c>
      <c r="C32" s="18">
        <f t="shared" si="6"/>
        <v>2</v>
      </c>
      <c r="D32"/>
      <c r="E32" s="506">
        <f t="shared" si="33"/>
        <v>25</v>
      </c>
      <c r="F32" s="500">
        <f t="shared" si="7"/>
        <v>0.05</v>
      </c>
      <c r="G32" s="487">
        <f t="shared" si="34"/>
        <v>0.80000000000000016</v>
      </c>
      <c r="H32" s="506">
        <f t="shared" si="8"/>
        <v>5</v>
      </c>
      <c r="I32" s="506">
        <f t="shared" si="0"/>
        <v>20</v>
      </c>
      <c r="J32" s="506">
        <f t="shared" ca="1" si="1"/>
        <v>786565.77381374314</v>
      </c>
      <c r="K32" s="506">
        <f t="shared" ca="1" si="35"/>
        <v>819.33934772264922</v>
      </c>
      <c r="L32" s="506">
        <f t="shared" si="9"/>
        <v>576750</v>
      </c>
      <c r="M32" s="29">
        <f t="shared" si="10"/>
        <v>114773.25</v>
      </c>
      <c r="N32" s="29">
        <f t="shared" si="36"/>
        <v>459093</v>
      </c>
      <c r="O32" s="29">
        <f t="shared" si="11"/>
        <v>461976.75</v>
      </c>
      <c r="P32" s="29">
        <f t="shared" si="12"/>
        <v>0</v>
      </c>
      <c r="Q32" s="29">
        <f t="shared" si="13"/>
        <v>0</v>
      </c>
      <c r="R32" s="29">
        <f t="shared" si="14"/>
        <v>461976.75</v>
      </c>
      <c r="S32" s="14"/>
      <c r="T32" s="37">
        <f t="shared" si="15"/>
        <v>0.02</v>
      </c>
      <c r="U32" s="37">
        <f t="shared" si="16"/>
        <v>4.4999999999999998E-2</v>
      </c>
      <c r="V32" s="37">
        <f t="shared" si="17"/>
        <v>4.4999999999999998E-2</v>
      </c>
      <c r="W32" s="29">
        <f t="shared" ca="1" si="18"/>
        <v>1866.1740832115211</v>
      </c>
      <c r="X32" s="29">
        <f t="shared" ca="1" si="19"/>
        <v>135800.77495595519</v>
      </c>
      <c r="Y32" s="29">
        <f t="shared" ca="1" si="37"/>
        <v>0</v>
      </c>
      <c r="Z32" s="29">
        <f t="shared" ca="1" si="20"/>
        <v>461976.75</v>
      </c>
      <c r="AA32" s="29">
        <f t="shared" si="21"/>
        <v>0</v>
      </c>
      <c r="AB32" s="29">
        <f t="shared" si="22"/>
        <v>0</v>
      </c>
      <c r="AC32" s="29">
        <f t="shared" ca="1" si="38"/>
        <v>461976.75</v>
      </c>
      <c r="AD32" s="29">
        <f t="shared" ca="1" si="23"/>
        <v>1866.1740832115211</v>
      </c>
      <c r="AE32" s="29">
        <f t="shared" ca="1" si="24"/>
        <v>460110.57591678848</v>
      </c>
      <c r="AF32" s="29">
        <f t="shared" ca="1" si="25"/>
        <v>330611.3764894667</v>
      </c>
      <c r="AG32" s="29">
        <f t="shared" ca="1" si="26"/>
        <v>160217.97142370057</v>
      </c>
      <c r="AH32" s="29">
        <f t="shared" ca="1" si="27"/>
        <v>332477.55057267821</v>
      </c>
      <c r="AI32" s="29">
        <f t="shared" ca="1" si="39"/>
        <v>129499.19942732179</v>
      </c>
      <c r="AJ32" s="29">
        <f t="shared" si="28"/>
        <v>11535</v>
      </c>
      <c r="AK32" s="29">
        <f t="shared" ca="1" si="29"/>
        <v>117964.19942732179</v>
      </c>
      <c r="AL32"/>
      <c r="AM32" s="29">
        <f t="shared" ca="1" si="30"/>
        <v>0</v>
      </c>
      <c r="AN32" s="29">
        <f t="shared" si="2"/>
        <v>0</v>
      </c>
      <c r="AO32" s="29">
        <f t="shared" si="3"/>
        <v>0</v>
      </c>
      <c r="AP32" s="29">
        <f t="shared" si="4"/>
        <v>0</v>
      </c>
      <c r="AQ32" s="29">
        <f t="shared" si="31"/>
        <v>5767.5</v>
      </c>
      <c r="AR32" s="29">
        <f t="shared" si="32"/>
        <v>5767.5</v>
      </c>
      <c r="AS32" s="50"/>
      <c r="AT32" s="57"/>
      <c r="AU32" s="57"/>
      <c r="AV32" s="57"/>
      <c r="AW32" s="57"/>
      <c r="AX32" s="57"/>
      <c r="AY32" s="57"/>
      <c r="AZ32" s="57"/>
      <c r="BA32" s="57"/>
    </row>
    <row r="33" spans="1:53" s="4" customFormat="1" ht="14" customHeight="1">
      <c r="A33"/>
      <c r="B33" s="19">
        <f t="shared" si="5"/>
        <v>25</v>
      </c>
      <c r="C33" s="19">
        <f t="shared" si="6"/>
        <v>3</v>
      </c>
      <c r="D33"/>
      <c r="E33" s="507">
        <f t="shared" si="33"/>
        <v>20</v>
      </c>
      <c r="F33" s="501">
        <f t="shared" si="7"/>
        <v>0.05</v>
      </c>
      <c r="G33" s="488">
        <f t="shared" si="34"/>
        <v>0.8500000000000002</v>
      </c>
      <c r="H33" s="507">
        <f t="shared" si="8"/>
        <v>5</v>
      </c>
      <c r="I33" s="507">
        <f t="shared" si="0"/>
        <v>15</v>
      </c>
      <c r="J33" s="507">
        <f t="shared" ca="1" si="1"/>
        <v>589924.33036030701</v>
      </c>
      <c r="K33" s="507">
        <f t="shared" ca="1" si="35"/>
        <v>655.47147817811936</v>
      </c>
      <c r="L33" s="507">
        <f t="shared" si="9"/>
        <v>576750</v>
      </c>
      <c r="M33" s="30">
        <f t="shared" si="10"/>
        <v>114773.25</v>
      </c>
      <c r="N33" s="30">
        <f t="shared" si="36"/>
        <v>344319.75</v>
      </c>
      <c r="O33" s="30">
        <f t="shared" si="11"/>
        <v>461976.75</v>
      </c>
      <c r="P33" s="30">
        <f t="shared" si="12"/>
        <v>0</v>
      </c>
      <c r="Q33" s="30">
        <f t="shared" si="13"/>
        <v>0</v>
      </c>
      <c r="R33" s="30">
        <f t="shared" si="14"/>
        <v>461976.75</v>
      </c>
      <c r="S33" s="14"/>
      <c r="T33" s="38">
        <f t="shared" si="15"/>
        <v>0.02</v>
      </c>
      <c r="U33" s="38">
        <f t="shared" si="16"/>
        <v>4.4999999999999998E-2</v>
      </c>
      <c r="V33" s="38">
        <f t="shared" si="17"/>
        <v>4.4999999999999998E-2</v>
      </c>
      <c r="W33" s="30">
        <f t="shared" ca="1" si="18"/>
        <v>609.16207885052813</v>
      </c>
      <c r="X33" s="30">
        <f t="shared" ca="1" si="19"/>
        <v>135800.77495595519</v>
      </c>
      <c r="Y33" s="30">
        <f t="shared" ca="1" si="37"/>
        <v>0</v>
      </c>
      <c r="Z33" s="30">
        <f t="shared" ca="1" si="20"/>
        <v>461976.75</v>
      </c>
      <c r="AA33" s="30">
        <f t="shared" si="21"/>
        <v>0</v>
      </c>
      <c r="AB33" s="30">
        <f t="shared" si="22"/>
        <v>0</v>
      </c>
      <c r="AC33" s="30">
        <f t="shared" ca="1" si="38"/>
        <v>461976.75</v>
      </c>
      <c r="AD33" s="30">
        <f t="shared" ca="1" si="23"/>
        <v>609.16207885052813</v>
      </c>
      <c r="AE33" s="30">
        <f t="shared" ca="1" si="24"/>
        <v>461367.58792114945</v>
      </c>
      <c r="AF33" s="30">
        <f t="shared" ca="1" si="25"/>
        <v>160217.97142370057</v>
      </c>
      <c r="AG33" s="30">
        <f t="shared" ca="1" si="26"/>
        <v>0</v>
      </c>
      <c r="AH33" s="30">
        <f t="shared" ca="1" si="27"/>
        <v>160827.13350255109</v>
      </c>
      <c r="AI33" s="30">
        <f t="shared" ca="1" si="39"/>
        <v>301149.61649744888</v>
      </c>
      <c r="AJ33" s="30">
        <f t="shared" si="28"/>
        <v>11535</v>
      </c>
      <c r="AK33" s="30">
        <f t="shared" ca="1" si="29"/>
        <v>289614.61649744888</v>
      </c>
      <c r="AL33"/>
      <c r="AM33" s="30">
        <f t="shared" ca="1" si="30"/>
        <v>0</v>
      </c>
      <c r="AN33" s="30">
        <f t="shared" si="2"/>
        <v>0</v>
      </c>
      <c r="AO33" s="30">
        <f t="shared" si="3"/>
        <v>0</v>
      </c>
      <c r="AP33" s="30">
        <f t="shared" si="4"/>
        <v>0</v>
      </c>
      <c r="AQ33" s="30">
        <f t="shared" si="31"/>
        <v>5767.5</v>
      </c>
      <c r="AR33" s="30">
        <f t="shared" si="32"/>
        <v>5767.5</v>
      </c>
      <c r="AS33" s="50"/>
      <c r="AT33" s="57"/>
      <c r="AU33" s="57"/>
      <c r="AV33" s="57"/>
      <c r="AW33" s="57"/>
      <c r="AX33" s="57"/>
      <c r="AY33" s="57"/>
      <c r="AZ33" s="57"/>
      <c r="BA33" s="57"/>
    </row>
    <row r="34" spans="1:53" s="4" customFormat="1" ht="14" customHeight="1">
      <c r="A34"/>
      <c r="B34" s="16">
        <f t="shared" si="5"/>
        <v>26</v>
      </c>
      <c r="C34" s="16">
        <f t="shared" si="6"/>
        <v>3</v>
      </c>
      <c r="D34"/>
      <c r="E34" s="504">
        <f t="shared" si="33"/>
        <v>15</v>
      </c>
      <c r="F34" s="498">
        <f t="shared" si="7"/>
        <v>0.05</v>
      </c>
      <c r="G34" s="485">
        <f t="shared" si="34"/>
        <v>0.90000000000000024</v>
      </c>
      <c r="H34" s="504">
        <f t="shared" si="8"/>
        <v>5</v>
      </c>
      <c r="I34" s="504">
        <f t="shared" si="0"/>
        <v>10</v>
      </c>
      <c r="J34" s="504">
        <f t="shared" ca="1" si="1"/>
        <v>393282.88690687087</v>
      </c>
      <c r="K34" s="504">
        <f t="shared" ca="1" si="35"/>
        <v>491.60360863358915</v>
      </c>
      <c r="L34" s="504">
        <f t="shared" si="9"/>
        <v>576750</v>
      </c>
      <c r="M34" s="27">
        <f t="shared" si="10"/>
        <v>114773.25</v>
      </c>
      <c r="N34" s="27">
        <f t="shared" si="36"/>
        <v>229546.5</v>
      </c>
      <c r="O34" s="27">
        <f t="shared" si="11"/>
        <v>461976.75</v>
      </c>
      <c r="P34" s="27">
        <f t="shared" si="12"/>
        <v>0</v>
      </c>
      <c r="Q34" s="27">
        <f t="shared" si="13"/>
        <v>0</v>
      </c>
      <c r="R34" s="27">
        <f t="shared" si="14"/>
        <v>461976.75</v>
      </c>
      <c r="S34" s="14"/>
      <c r="T34" s="35">
        <f t="shared" si="15"/>
        <v>0.02</v>
      </c>
      <c r="U34" s="35">
        <f t="shared" si="16"/>
        <v>4.4999999999999998E-2</v>
      </c>
      <c r="V34" s="35">
        <f t="shared" si="17"/>
        <v>4.4999999999999998E-2</v>
      </c>
      <c r="W34" s="27">
        <f t="shared" ca="1" si="18"/>
        <v>0</v>
      </c>
      <c r="X34" s="27">
        <f t="shared" ca="1" si="19"/>
        <v>135800.77495595519</v>
      </c>
      <c r="Y34" s="27">
        <f t="shared" ca="1" si="37"/>
        <v>0</v>
      </c>
      <c r="Z34" s="27">
        <f t="shared" ca="1" si="20"/>
        <v>461976.75</v>
      </c>
      <c r="AA34" s="27">
        <f t="shared" si="21"/>
        <v>0</v>
      </c>
      <c r="AB34" s="27">
        <f t="shared" si="22"/>
        <v>0</v>
      </c>
      <c r="AC34" s="27">
        <f t="shared" ca="1" si="38"/>
        <v>461976.75</v>
      </c>
      <c r="AD34" s="27">
        <f t="shared" ca="1" si="23"/>
        <v>0</v>
      </c>
      <c r="AE34" s="27">
        <f t="shared" ca="1" si="24"/>
        <v>461976.75</v>
      </c>
      <c r="AF34" s="27">
        <f t="shared" ca="1" si="25"/>
        <v>0</v>
      </c>
      <c r="AG34" s="27">
        <f t="shared" ca="1" si="26"/>
        <v>0</v>
      </c>
      <c r="AH34" s="27">
        <f t="shared" ca="1" si="27"/>
        <v>0</v>
      </c>
      <c r="AI34" s="27">
        <f t="shared" ca="1" si="39"/>
        <v>461976.75</v>
      </c>
      <c r="AJ34" s="27">
        <f t="shared" si="28"/>
        <v>11535</v>
      </c>
      <c r="AK34" s="27">
        <f t="shared" ca="1" si="29"/>
        <v>450441.75</v>
      </c>
      <c r="AL34"/>
      <c r="AM34" s="27">
        <f t="shared" ca="1" si="30"/>
        <v>0</v>
      </c>
      <c r="AN34" s="27">
        <f t="shared" si="2"/>
        <v>0</v>
      </c>
      <c r="AO34" s="27">
        <f t="shared" si="3"/>
        <v>0</v>
      </c>
      <c r="AP34" s="27">
        <f t="shared" si="4"/>
        <v>0</v>
      </c>
      <c r="AQ34" s="27">
        <f t="shared" si="31"/>
        <v>5767.5</v>
      </c>
      <c r="AR34" s="27">
        <f t="shared" si="32"/>
        <v>5767.5</v>
      </c>
      <c r="AS34" s="50"/>
      <c r="AT34" s="57"/>
      <c r="AU34" s="57"/>
      <c r="AV34" s="57"/>
      <c r="AW34" s="57"/>
      <c r="AX34" s="57"/>
      <c r="AY34" s="57"/>
      <c r="AZ34" s="57"/>
      <c r="BA34" s="57"/>
    </row>
    <row r="35" spans="1:53" s="4" customFormat="1" ht="14" customHeight="1">
      <c r="A35"/>
      <c r="B35" s="17">
        <f t="shared" si="5"/>
        <v>27</v>
      </c>
      <c r="C35" s="17">
        <f t="shared" si="6"/>
        <v>3</v>
      </c>
      <c r="D35"/>
      <c r="E35" s="505">
        <f t="shared" si="33"/>
        <v>10</v>
      </c>
      <c r="F35" s="499">
        <f t="shared" si="7"/>
        <v>0.1</v>
      </c>
      <c r="G35" s="486">
        <f t="shared" si="34"/>
        <v>1.0000000000000002</v>
      </c>
      <c r="H35" s="505">
        <f t="shared" si="8"/>
        <v>10</v>
      </c>
      <c r="I35" s="505">
        <f t="shared" si="0"/>
        <v>0</v>
      </c>
      <c r="J35" s="505">
        <f t="shared" ca="1" si="1"/>
        <v>-8.7326343247012128E-10</v>
      </c>
      <c r="K35" s="505">
        <f t="shared" ca="1" si="35"/>
        <v>327.73573908905905</v>
      </c>
      <c r="L35" s="505">
        <f t="shared" si="9"/>
        <v>1153500</v>
      </c>
      <c r="M35" s="28">
        <f t="shared" si="10"/>
        <v>229546.5</v>
      </c>
      <c r="N35" s="28">
        <f t="shared" si="36"/>
        <v>0</v>
      </c>
      <c r="O35" s="28">
        <f t="shared" si="11"/>
        <v>923953.5</v>
      </c>
      <c r="P35" s="28">
        <f t="shared" si="12"/>
        <v>0</v>
      </c>
      <c r="Q35" s="28">
        <f t="shared" si="13"/>
        <v>0</v>
      </c>
      <c r="R35" s="28">
        <f t="shared" si="14"/>
        <v>923953.5</v>
      </c>
      <c r="S35" s="14"/>
      <c r="T35" s="36">
        <f t="shared" si="15"/>
        <v>0.02</v>
      </c>
      <c r="U35" s="36">
        <f t="shared" si="16"/>
        <v>4.4999999999999998E-2</v>
      </c>
      <c r="V35" s="36">
        <f t="shared" si="17"/>
        <v>4.4999999999999998E-2</v>
      </c>
      <c r="W35" s="28">
        <f t="shared" ca="1" si="18"/>
        <v>0</v>
      </c>
      <c r="X35" s="28">
        <f t="shared" ca="1" si="19"/>
        <v>135800.77495595519</v>
      </c>
      <c r="Y35" s="28">
        <f t="shared" ca="1" si="37"/>
        <v>135800.77495595519</v>
      </c>
      <c r="Z35" s="28">
        <f t="shared" ca="1" si="20"/>
        <v>1059754.2749559551</v>
      </c>
      <c r="AA35" s="28">
        <f t="shared" si="21"/>
        <v>0</v>
      </c>
      <c r="AB35" s="28">
        <f t="shared" si="22"/>
        <v>0</v>
      </c>
      <c r="AC35" s="28">
        <f t="shared" ca="1" si="38"/>
        <v>1059754.2749559551</v>
      </c>
      <c r="AD35" s="28">
        <f t="shared" ca="1" si="23"/>
        <v>0</v>
      </c>
      <c r="AE35" s="28">
        <f t="shared" ca="1" si="24"/>
        <v>1059754.2749559551</v>
      </c>
      <c r="AF35" s="28">
        <f t="shared" ca="1" si="25"/>
        <v>0</v>
      </c>
      <c r="AG35" s="28">
        <f t="shared" ca="1" si="26"/>
        <v>0</v>
      </c>
      <c r="AH35" s="28">
        <f t="shared" ca="1" si="27"/>
        <v>0</v>
      </c>
      <c r="AI35" s="28">
        <f t="shared" ca="1" si="39"/>
        <v>1059754.2749559551</v>
      </c>
      <c r="AJ35" s="28">
        <f t="shared" si="28"/>
        <v>23070</v>
      </c>
      <c r="AK35" s="28">
        <f t="shared" ca="1" si="29"/>
        <v>1036684.2749559551</v>
      </c>
      <c r="AL35"/>
      <c r="AM35" s="28">
        <f t="shared" ca="1" si="30"/>
        <v>0</v>
      </c>
      <c r="AN35" s="28">
        <f t="shared" si="2"/>
        <v>0</v>
      </c>
      <c r="AO35" s="28">
        <f t="shared" si="3"/>
        <v>0</v>
      </c>
      <c r="AP35" s="28">
        <f t="shared" si="4"/>
        <v>0</v>
      </c>
      <c r="AQ35" s="28">
        <f t="shared" si="31"/>
        <v>11535</v>
      </c>
      <c r="AR35" s="28">
        <f t="shared" si="32"/>
        <v>11535</v>
      </c>
      <c r="AS35" s="50"/>
      <c r="AT35" s="57"/>
      <c r="AU35" s="57"/>
      <c r="AV35" s="57"/>
      <c r="AW35" s="57"/>
      <c r="AX35" s="57"/>
      <c r="AY35" s="57"/>
      <c r="AZ35" s="57"/>
      <c r="BA35" s="57"/>
    </row>
    <row r="36" spans="1:53" s="4" customFormat="1" ht="14" customHeight="1">
      <c r="A36"/>
      <c r="B36" s="15">
        <f t="shared" si="5"/>
        <v>28</v>
      </c>
      <c r="C36" s="15">
        <f t="shared" si="6"/>
        <v>3</v>
      </c>
      <c r="D36"/>
      <c r="E36" s="503">
        <f t="shared" si="33"/>
        <v>0</v>
      </c>
      <c r="F36" s="497">
        <f t="shared" si="7"/>
        <v>0</v>
      </c>
      <c r="G36" s="484">
        <f t="shared" si="34"/>
        <v>1.0000000000000002</v>
      </c>
      <c r="H36" s="503">
        <f t="shared" si="8"/>
        <v>0</v>
      </c>
      <c r="I36" s="503">
        <f t="shared" si="0"/>
        <v>0</v>
      </c>
      <c r="J36" s="503">
        <f t="shared" ca="1" si="1"/>
        <v>-8.7326343247012128E-10</v>
      </c>
      <c r="K36" s="503">
        <f t="shared" ca="1" si="35"/>
        <v>-7.2771952705843439E-13</v>
      </c>
      <c r="L36" s="503">
        <f t="shared" si="9"/>
        <v>0</v>
      </c>
      <c r="M36" s="26">
        <f t="shared" si="10"/>
        <v>0</v>
      </c>
      <c r="N36" s="26">
        <f t="shared" si="36"/>
        <v>0</v>
      </c>
      <c r="O36" s="26">
        <f t="shared" si="11"/>
        <v>0</v>
      </c>
      <c r="P36" s="26">
        <f t="shared" si="12"/>
        <v>0</v>
      </c>
      <c r="Q36" s="26">
        <f t="shared" si="13"/>
        <v>0</v>
      </c>
      <c r="R36" s="26">
        <f t="shared" si="14"/>
        <v>0</v>
      </c>
      <c r="S36" s="14"/>
      <c r="T36" s="31">
        <f t="shared" si="15"/>
        <v>0.02</v>
      </c>
      <c r="U36" s="31">
        <f t="shared" si="16"/>
        <v>4.4999999999999998E-2</v>
      </c>
      <c r="V36" s="31">
        <f t="shared" si="17"/>
        <v>4.4999999999999998E-2</v>
      </c>
      <c r="W36" s="26">
        <f t="shared" ca="1" si="18"/>
        <v>0</v>
      </c>
      <c r="X36" s="26">
        <f t="shared" ca="1" si="19"/>
        <v>0</v>
      </c>
      <c r="Y36" s="26">
        <f t="shared" ca="1" si="37"/>
        <v>0</v>
      </c>
      <c r="Z36" s="26">
        <f t="shared" ca="1" si="20"/>
        <v>0</v>
      </c>
      <c r="AA36" s="26">
        <f t="shared" si="21"/>
        <v>0</v>
      </c>
      <c r="AB36" s="26">
        <f t="shared" si="22"/>
        <v>0</v>
      </c>
      <c r="AC36" s="26">
        <f t="shared" ca="1" si="38"/>
        <v>0</v>
      </c>
      <c r="AD36" s="26">
        <f t="shared" ca="1" si="23"/>
        <v>0</v>
      </c>
      <c r="AE36" s="26">
        <f t="shared" ca="1" si="24"/>
        <v>0</v>
      </c>
      <c r="AF36" s="26">
        <f t="shared" ca="1" si="25"/>
        <v>0</v>
      </c>
      <c r="AG36" s="26">
        <f t="shared" ca="1" si="26"/>
        <v>0</v>
      </c>
      <c r="AH36" s="26">
        <f t="shared" ca="1" si="27"/>
        <v>0</v>
      </c>
      <c r="AI36" s="26">
        <f t="shared" ca="1" si="39"/>
        <v>0</v>
      </c>
      <c r="AJ36" s="26">
        <f t="shared" si="28"/>
        <v>0</v>
      </c>
      <c r="AK36" s="26">
        <f t="shared" ca="1" si="29"/>
        <v>0</v>
      </c>
      <c r="AL36"/>
      <c r="AM36" s="26">
        <f t="shared" ca="1" si="30"/>
        <v>0</v>
      </c>
      <c r="AN36" s="26">
        <f t="shared" si="2"/>
        <v>0</v>
      </c>
      <c r="AO36" s="26">
        <f t="shared" si="3"/>
        <v>0</v>
      </c>
      <c r="AP36" s="26">
        <f t="shared" si="4"/>
        <v>0</v>
      </c>
      <c r="AQ36" s="26">
        <f t="shared" si="31"/>
        <v>0</v>
      </c>
      <c r="AR36" s="26">
        <f t="shared" si="32"/>
        <v>0</v>
      </c>
      <c r="AS36" s="50"/>
      <c r="AT36" s="57"/>
      <c r="AU36" s="57"/>
      <c r="AV36" s="57"/>
      <c r="AW36" s="57"/>
      <c r="AX36" s="57"/>
      <c r="AY36" s="57"/>
      <c r="AZ36" s="57"/>
      <c r="BA36" s="57"/>
    </row>
    <row r="37" spans="1:53" s="4" customFormat="1" ht="14" customHeight="1">
      <c r="A37"/>
      <c r="B37" s="16">
        <f t="shared" si="5"/>
        <v>29</v>
      </c>
      <c r="C37" s="16">
        <f t="shared" si="6"/>
        <v>3</v>
      </c>
      <c r="D37"/>
      <c r="E37" s="504">
        <f t="shared" si="33"/>
        <v>0</v>
      </c>
      <c r="F37" s="498">
        <f t="shared" si="7"/>
        <v>0</v>
      </c>
      <c r="G37" s="485">
        <f t="shared" si="34"/>
        <v>1.0000000000000002</v>
      </c>
      <c r="H37" s="504">
        <f t="shared" si="8"/>
        <v>0</v>
      </c>
      <c r="I37" s="504">
        <f t="shared" si="0"/>
        <v>0</v>
      </c>
      <c r="J37" s="504">
        <f t="shared" ca="1" si="1"/>
        <v>-8.7326343247012128E-10</v>
      </c>
      <c r="K37" s="504">
        <f t="shared" ca="1" si="35"/>
        <v>-7.2771952705843439E-13</v>
      </c>
      <c r="L37" s="504">
        <f t="shared" si="9"/>
        <v>0</v>
      </c>
      <c r="M37" s="27">
        <f t="shared" si="10"/>
        <v>0</v>
      </c>
      <c r="N37" s="27">
        <f t="shared" si="36"/>
        <v>0</v>
      </c>
      <c r="O37" s="27">
        <f t="shared" si="11"/>
        <v>0</v>
      </c>
      <c r="P37" s="27">
        <f t="shared" si="12"/>
        <v>0</v>
      </c>
      <c r="Q37" s="27">
        <f t="shared" si="13"/>
        <v>0</v>
      </c>
      <c r="R37" s="27">
        <f t="shared" si="14"/>
        <v>0</v>
      </c>
      <c r="S37" s="14"/>
      <c r="T37" s="35">
        <f t="shared" si="15"/>
        <v>0.02</v>
      </c>
      <c r="U37" s="35">
        <f t="shared" si="16"/>
        <v>4.4999999999999998E-2</v>
      </c>
      <c r="V37" s="35">
        <f t="shared" si="17"/>
        <v>4.4999999999999998E-2</v>
      </c>
      <c r="W37" s="27">
        <f t="shared" ca="1" si="18"/>
        <v>0</v>
      </c>
      <c r="X37" s="27">
        <f t="shared" ca="1" si="19"/>
        <v>0</v>
      </c>
      <c r="Y37" s="27">
        <f t="shared" ca="1" si="37"/>
        <v>0</v>
      </c>
      <c r="Z37" s="27">
        <f t="shared" ca="1" si="20"/>
        <v>0</v>
      </c>
      <c r="AA37" s="27">
        <f t="shared" si="21"/>
        <v>0</v>
      </c>
      <c r="AB37" s="27">
        <f t="shared" si="22"/>
        <v>0</v>
      </c>
      <c r="AC37" s="27">
        <f t="shared" ca="1" si="38"/>
        <v>0</v>
      </c>
      <c r="AD37" s="27">
        <f t="shared" ca="1" si="23"/>
        <v>0</v>
      </c>
      <c r="AE37" s="27">
        <f t="shared" ca="1" si="24"/>
        <v>0</v>
      </c>
      <c r="AF37" s="27">
        <f t="shared" ca="1" si="25"/>
        <v>0</v>
      </c>
      <c r="AG37" s="27">
        <f t="shared" ca="1" si="26"/>
        <v>0</v>
      </c>
      <c r="AH37" s="27">
        <f t="shared" ca="1" si="27"/>
        <v>0</v>
      </c>
      <c r="AI37" s="27">
        <f t="shared" ca="1" si="39"/>
        <v>0</v>
      </c>
      <c r="AJ37" s="27">
        <f t="shared" si="28"/>
        <v>0</v>
      </c>
      <c r="AK37" s="27">
        <f t="shared" ca="1" si="29"/>
        <v>0</v>
      </c>
      <c r="AL37"/>
      <c r="AM37" s="27">
        <f t="shared" ca="1" si="30"/>
        <v>0</v>
      </c>
      <c r="AN37" s="27">
        <f t="shared" si="2"/>
        <v>0</v>
      </c>
      <c r="AO37" s="27">
        <f t="shared" si="3"/>
        <v>0</v>
      </c>
      <c r="AP37" s="27">
        <f t="shared" si="4"/>
        <v>0</v>
      </c>
      <c r="AQ37" s="27">
        <f t="shared" si="31"/>
        <v>0</v>
      </c>
      <c r="AR37" s="27">
        <f t="shared" si="32"/>
        <v>0</v>
      </c>
      <c r="AS37" s="50"/>
      <c r="AT37" s="57"/>
      <c r="AU37" s="57"/>
      <c r="AV37" s="57"/>
      <c r="AW37" s="57"/>
      <c r="AX37" s="57"/>
      <c r="AY37" s="57"/>
      <c r="AZ37" s="57"/>
      <c r="BA37" s="57"/>
    </row>
    <row r="38" spans="1:53" s="4" customFormat="1" ht="14" customHeight="1">
      <c r="A38"/>
      <c r="B38" s="17">
        <f t="shared" si="5"/>
        <v>30</v>
      </c>
      <c r="C38" s="17">
        <f t="shared" si="6"/>
        <v>3</v>
      </c>
      <c r="D38"/>
      <c r="E38" s="505">
        <f t="shared" si="33"/>
        <v>0</v>
      </c>
      <c r="F38" s="499">
        <f t="shared" si="7"/>
        <v>0</v>
      </c>
      <c r="G38" s="486">
        <f t="shared" si="34"/>
        <v>1.0000000000000002</v>
      </c>
      <c r="H38" s="505">
        <f t="shared" si="8"/>
        <v>0</v>
      </c>
      <c r="I38" s="505">
        <f t="shared" si="0"/>
        <v>0</v>
      </c>
      <c r="J38" s="505">
        <f t="shared" ca="1" si="1"/>
        <v>-8.7326343247012128E-10</v>
      </c>
      <c r="K38" s="505">
        <f t="shared" ca="1" si="35"/>
        <v>-7.2771952705843439E-13</v>
      </c>
      <c r="L38" s="505">
        <f t="shared" si="9"/>
        <v>0</v>
      </c>
      <c r="M38" s="28">
        <f t="shared" si="10"/>
        <v>0</v>
      </c>
      <c r="N38" s="28">
        <f t="shared" si="36"/>
        <v>0</v>
      </c>
      <c r="O38" s="28">
        <f t="shared" si="11"/>
        <v>0</v>
      </c>
      <c r="P38" s="28">
        <f t="shared" si="12"/>
        <v>0</v>
      </c>
      <c r="Q38" s="28">
        <f t="shared" si="13"/>
        <v>0</v>
      </c>
      <c r="R38" s="28">
        <f t="shared" si="14"/>
        <v>0</v>
      </c>
      <c r="S38" s="14"/>
      <c r="T38" s="36">
        <f t="shared" si="15"/>
        <v>0.02</v>
      </c>
      <c r="U38" s="36">
        <f t="shared" si="16"/>
        <v>4.4999999999999998E-2</v>
      </c>
      <c r="V38" s="36">
        <f t="shared" si="17"/>
        <v>4.4999999999999998E-2</v>
      </c>
      <c r="W38" s="28">
        <f t="shared" ca="1" si="18"/>
        <v>0</v>
      </c>
      <c r="X38" s="28">
        <f t="shared" ca="1" si="19"/>
        <v>0</v>
      </c>
      <c r="Y38" s="28">
        <f t="shared" ca="1" si="37"/>
        <v>0</v>
      </c>
      <c r="Z38" s="28">
        <f t="shared" ca="1" si="20"/>
        <v>0</v>
      </c>
      <c r="AA38" s="28">
        <f t="shared" si="21"/>
        <v>0</v>
      </c>
      <c r="AB38" s="28">
        <f t="shared" si="22"/>
        <v>0</v>
      </c>
      <c r="AC38" s="28">
        <f t="shared" ca="1" si="38"/>
        <v>0</v>
      </c>
      <c r="AD38" s="28">
        <f t="shared" ca="1" si="23"/>
        <v>0</v>
      </c>
      <c r="AE38" s="28">
        <f t="shared" ca="1" si="24"/>
        <v>0</v>
      </c>
      <c r="AF38" s="28">
        <f t="shared" ca="1" si="25"/>
        <v>0</v>
      </c>
      <c r="AG38" s="28">
        <f t="shared" ca="1" si="26"/>
        <v>0</v>
      </c>
      <c r="AH38" s="28">
        <f t="shared" ca="1" si="27"/>
        <v>0</v>
      </c>
      <c r="AI38" s="28">
        <f t="shared" ca="1" si="39"/>
        <v>0</v>
      </c>
      <c r="AJ38" s="28">
        <f t="shared" si="28"/>
        <v>0</v>
      </c>
      <c r="AK38" s="28">
        <f t="shared" ca="1" si="29"/>
        <v>0</v>
      </c>
      <c r="AL38"/>
      <c r="AM38" s="28">
        <f t="shared" ca="1" si="30"/>
        <v>0</v>
      </c>
      <c r="AN38" s="28">
        <f t="shared" si="2"/>
        <v>0</v>
      </c>
      <c r="AO38" s="28">
        <f t="shared" si="3"/>
        <v>0</v>
      </c>
      <c r="AP38" s="28">
        <f t="shared" si="4"/>
        <v>0</v>
      </c>
      <c r="AQ38" s="28">
        <f t="shared" si="31"/>
        <v>0</v>
      </c>
      <c r="AR38" s="28">
        <f t="shared" si="32"/>
        <v>0</v>
      </c>
      <c r="AS38" s="50"/>
      <c r="AT38" s="57"/>
      <c r="AU38" s="57"/>
      <c r="AV38" s="57"/>
      <c r="AW38" s="57"/>
      <c r="AX38" s="57"/>
      <c r="AY38" s="57"/>
      <c r="AZ38" s="57"/>
      <c r="BA38" s="57"/>
    </row>
    <row r="39" spans="1:53" ht="14" customHeight="1">
      <c r="B39" s="15">
        <f t="shared" si="5"/>
        <v>31</v>
      </c>
      <c r="C39" s="15">
        <f t="shared" si="6"/>
        <v>3</v>
      </c>
      <c r="E39" s="503">
        <f t="shared" si="33"/>
        <v>0</v>
      </c>
      <c r="F39" s="497">
        <f t="shared" si="7"/>
        <v>0</v>
      </c>
      <c r="G39" s="484">
        <f t="shared" si="34"/>
        <v>1.0000000000000002</v>
      </c>
      <c r="H39" s="503">
        <f t="shared" si="8"/>
        <v>0</v>
      </c>
      <c r="I39" s="503">
        <f t="shared" si="0"/>
        <v>0</v>
      </c>
      <c r="J39" s="503">
        <f t="shared" ca="1" si="1"/>
        <v>-8.7326343247012128E-10</v>
      </c>
      <c r="K39" s="503">
        <f t="shared" ca="1" si="35"/>
        <v>-7.2771952705843439E-13</v>
      </c>
      <c r="L39" s="503">
        <f t="shared" si="9"/>
        <v>0</v>
      </c>
      <c r="M39" s="26">
        <f t="shared" si="10"/>
        <v>0</v>
      </c>
      <c r="N39" s="26">
        <f t="shared" si="36"/>
        <v>0</v>
      </c>
      <c r="O39" s="26">
        <f t="shared" si="11"/>
        <v>0</v>
      </c>
      <c r="P39" s="26">
        <f t="shared" si="12"/>
        <v>0</v>
      </c>
      <c r="Q39" s="26">
        <f t="shared" si="13"/>
        <v>0</v>
      </c>
      <c r="R39" s="26">
        <f t="shared" si="14"/>
        <v>0</v>
      </c>
      <c r="S39" s="14"/>
      <c r="T39" s="31">
        <f t="shared" si="15"/>
        <v>0.02</v>
      </c>
      <c r="U39" s="31">
        <f t="shared" si="16"/>
        <v>4.4999999999999998E-2</v>
      </c>
      <c r="V39" s="31">
        <f t="shared" si="17"/>
        <v>4.4999999999999998E-2</v>
      </c>
      <c r="W39" s="26">
        <f t="shared" ca="1" si="18"/>
        <v>0</v>
      </c>
      <c r="X39" s="26">
        <f t="shared" ca="1" si="19"/>
        <v>0</v>
      </c>
      <c r="Y39" s="26">
        <f t="shared" ca="1" si="37"/>
        <v>0</v>
      </c>
      <c r="Z39" s="26">
        <f t="shared" ca="1" si="20"/>
        <v>0</v>
      </c>
      <c r="AA39" s="26">
        <f t="shared" si="21"/>
        <v>0</v>
      </c>
      <c r="AB39" s="26">
        <f t="shared" si="22"/>
        <v>0</v>
      </c>
      <c r="AC39" s="26">
        <f t="shared" ca="1" si="38"/>
        <v>0</v>
      </c>
      <c r="AD39" s="26">
        <f t="shared" ca="1" si="23"/>
        <v>0</v>
      </c>
      <c r="AE39" s="26">
        <f t="shared" ca="1" si="24"/>
        <v>0</v>
      </c>
      <c r="AF39" s="26">
        <f t="shared" ca="1" si="25"/>
        <v>0</v>
      </c>
      <c r="AG39" s="26">
        <f t="shared" ca="1" si="26"/>
        <v>0</v>
      </c>
      <c r="AH39" s="26">
        <f t="shared" ca="1" si="27"/>
        <v>0</v>
      </c>
      <c r="AI39" s="26">
        <f t="shared" ca="1" si="39"/>
        <v>0</v>
      </c>
      <c r="AJ39" s="26">
        <f t="shared" si="28"/>
        <v>0</v>
      </c>
      <c r="AK39" s="26">
        <f t="shared" ca="1" si="29"/>
        <v>0</v>
      </c>
      <c r="AM39" s="26">
        <f t="shared" ca="1" si="30"/>
        <v>0</v>
      </c>
      <c r="AN39" s="26">
        <f t="shared" si="2"/>
        <v>0</v>
      </c>
      <c r="AO39" s="26">
        <f t="shared" si="3"/>
        <v>0</v>
      </c>
      <c r="AP39" s="26">
        <f t="shared" si="4"/>
        <v>0</v>
      </c>
      <c r="AQ39" s="26">
        <f t="shared" si="31"/>
        <v>0</v>
      </c>
      <c r="AR39" s="26">
        <f t="shared" si="32"/>
        <v>0</v>
      </c>
      <c r="AS39" s="50"/>
      <c r="AT39" s="57"/>
      <c r="AU39" s="57"/>
      <c r="AV39" s="57"/>
      <c r="AW39" s="57"/>
      <c r="AX39" s="57"/>
      <c r="AY39" s="57"/>
      <c r="AZ39" s="57"/>
      <c r="BA39" s="57"/>
    </row>
    <row r="40" spans="1:53" s="4" customFormat="1" ht="14" customHeight="1">
      <c r="A40"/>
      <c r="B40" s="16">
        <f t="shared" si="5"/>
        <v>32</v>
      </c>
      <c r="C40" s="16">
        <f t="shared" si="6"/>
        <v>3</v>
      </c>
      <c r="D40"/>
      <c r="E40" s="504">
        <f t="shared" si="33"/>
        <v>0</v>
      </c>
      <c r="F40" s="498">
        <f t="shared" si="7"/>
        <v>0</v>
      </c>
      <c r="G40" s="485">
        <f t="shared" si="34"/>
        <v>1.0000000000000002</v>
      </c>
      <c r="H40" s="504">
        <f t="shared" si="8"/>
        <v>0</v>
      </c>
      <c r="I40" s="504">
        <f t="shared" si="0"/>
        <v>0</v>
      </c>
      <c r="J40" s="504">
        <f t="shared" ref="J40:J68" ca="1" si="40">c_equity_tot*(1-G40)</f>
        <v>-8.7326343247012128E-10</v>
      </c>
      <c r="K40" s="504">
        <f t="shared" ca="1" si="35"/>
        <v>-7.2771952705843439E-13</v>
      </c>
      <c r="L40" s="504">
        <f t="shared" si="9"/>
        <v>0</v>
      </c>
      <c r="M40" s="27">
        <f t="shared" si="10"/>
        <v>0</v>
      </c>
      <c r="N40" s="27">
        <f t="shared" si="36"/>
        <v>0</v>
      </c>
      <c r="O40" s="27">
        <f t="shared" si="11"/>
        <v>0</v>
      </c>
      <c r="P40" s="27">
        <f t="shared" si="12"/>
        <v>0</v>
      </c>
      <c r="Q40" s="27">
        <f t="shared" si="13"/>
        <v>0</v>
      </c>
      <c r="R40" s="27">
        <f t="shared" si="14"/>
        <v>0</v>
      </c>
      <c r="S40" s="14"/>
      <c r="T40" s="35">
        <f t="shared" si="15"/>
        <v>0.02</v>
      </c>
      <c r="U40" s="35">
        <f t="shared" si="16"/>
        <v>4.4999999999999998E-2</v>
      </c>
      <c r="V40" s="35">
        <f t="shared" si="17"/>
        <v>4.4999999999999998E-2</v>
      </c>
      <c r="W40" s="27">
        <f t="shared" ca="1" si="18"/>
        <v>0</v>
      </c>
      <c r="X40" s="27">
        <f t="shared" ca="1" si="19"/>
        <v>0</v>
      </c>
      <c r="Y40" s="27">
        <f t="shared" ca="1" si="37"/>
        <v>0</v>
      </c>
      <c r="Z40" s="27">
        <f t="shared" ca="1" si="20"/>
        <v>0</v>
      </c>
      <c r="AA40" s="27">
        <f t="shared" si="21"/>
        <v>0</v>
      </c>
      <c r="AB40" s="27">
        <f t="shared" si="22"/>
        <v>0</v>
      </c>
      <c r="AC40" s="27">
        <f t="shared" ca="1" si="38"/>
        <v>0</v>
      </c>
      <c r="AD40" s="27">
        <f t="shared" ca="1" si="23"/>
        <v>0</v>
      </c>
      <c r="AE40" s="27">
        <f t="shared" ca="1" si="24"/>
        <v>0</v>
      </c>
      <c r="AF40" s="27">
        <f t="shared" ca="1" si="25"/>
        <v>0</v>
      </c>
      <c r="AG40" s="27">
        <f t="shared" ca="1" si="26"/>
        <v>0</v>
      </c>
      <c r="AH40" s="27">
        <f t="shared" ca="1" si="27"/>
        <v>0</v>
      </c>
      <c r="AI40" s="27">
        <f t="shared" ca="1" si="39"/>
        <v>0</v>
      </c>
      <c r="AJ40" s="27">
        <f t="shared" si="28"/>
        <v>0</v>
      </c>
      <c r="AK40" s="27">
        <f t="shared" ca="1" si="29"/>
        <v>0</v>
      </c>
      <c r="AL40"/>
      <c r="AM40" s="27">
        <f t="shared" ca="1" si="30"/>
        <v>0</v>
      </c>
      <c r="AN40" s="27">
        <f t="shared" ref="AN40:AN68" si="41">IF($B40=0,c_optionpmt,0)</f>
        <v>0</v>
      </c>
      <c r="AO40" s="27">
        <f t="shared" ref="AO40:AO68" si="42">IF($B40=0,i_seniorintreserve,0)</f>
        <v>0</v>
      </c>
      <c r="AP40" s="27">
        <f t="shared" ref="AP40:AP68" si="43">IF($B40=0,c_initialseniordebt-c_seniorfee,0)</f>
        <v>0</v>
      </c>
      <c r="AQ40" s="27">
        <f t="shared" si="31"/>
        <v>0</v>
      </c>
      <c r="AR40" s="27">
        <f t="shared" si="32"/>
        <v>0</v>
      </c>
      <c r="AS40" s="50"/>
      <c r="AT40" s="57"/>
      <c r="AU40" s="57"/>
      <c r="AV40" s="57"/>
      <c r="AW40" s="57"/>
      <c r="AX40" s="57"/>
      <c r="AY40" s="57"/>
      <c r="AZ40" s="57"/>
      <c r="BA40" s="57"/>
    </row>
    <row r="41" spans="1:53" s="4" customFormat="1" ht="14" customHeight="1">
      <c r="A41"/>
      <c r="B41" s="17">
        <f t="shared" si="5"/>
        <v>33</v>
      </c>
      <c r="C41" s="17">
        <f t="shared" si="6"/>
        <v>3</v>
      </c>
      <c r="D41"/>
      <c r="E41" s="505">
        <f t="shared" si="33"/>
        <v>0</v>
      </c>
      <c r="F41" s="499">
        <f t="shared" ref="F41:F68" si="44">IF($B41&lt;=c_lastsalemonth,INDEX(i_soldvector,$B41,1),0)</f>
        <v>0</v>
      </c>
      <c r="G41" s="486">
        <f t="shared" si="34"/>
        <v>1.0000000000000002</v>
      </c>
      <c r="H41" s="505">
        <f t="shared" ref="H41:H68" si="45">MIN(F41*i_lotstotal,E41)</f>
        <v>0</v>
      </c>
      <c r="I41" s="505">
        <f t="shared" si="0"/>
        <v>0</v>
      </c>
      <c r="J41" s="505">
        <f t="shared" ca="1" si="40"/>
        <v>-8.7326343247012128E-10</v>
      </c>
      <c r="K41" s="505">
        <f t="shared" ca="1" si="35"/>
        <v>-7.2771952705843439E-13</v>
      </c>
      <c r="L41" s="505">
        <f t="shared" ref="L41:L68" si="46">i_lotsalesprice*H41</f>
        <v>0</v>
      </c>
      <c r="M41" s="28">
        <f t="shared" ref="M41:M68" si="47">IF(i_maxoptionpct&gt;0,MAX(0,N40-I41*i_lotsalesprice*i_maxoptionpct),IF($B41&lt;=c_lastsalemonth,INDEX(i_optionrefund,$B41,1),0))</f>
        <v>0</v>
      </c>
      <c r="N41" s="28">
        <f t="shared" si="36"/>
        <v>0</v>
      </c>
      <c r="O41" s="28">
        <f t="shared" ref="O41:O68" si="48">L41-M41</f>
        <v>0</v>
      </c>
      <c r="P41" s="28">
        <f t="shared" ref="P41:P68" si="49">IF($B41&lt;=c_improvemonth,INDEX(i_costvector,$B41,1),0)*c_improvecosts</f>
        <v>0</v>
      </c>
      <c r="Q41" s="28">
        <f t="shared" ref="Q41:Q68" si="50">SUM(P41:P41)</f>
        <v>0</v>
      </c>
      <c r="R41" s="28">
        <f t="shared" ref="R41:R68" si="51">O41-Q41</f>
        <v>0</v>
      </c>
      <c r="S41" s="14"/>
      <c r="T41" s="36">
        <f t="shared" ref="T41:T68" si="52">MIN(i_primecap,i_prime+(i_primeincrease*($C41-1)))</f>
        <v>0.02</v>
      </c>
      <c r="U41" s="36">
        <f t="shared" ref="U41:U68" si="53">T41+i_primespread</f>
        <v>4.4999999999999998E-2</v>
      </c>
      <c r="V41" s="36">
        <f t="shared" ref="V41:V68" si="54">INDEX(U$9:U$68,MIN(c_maxterm,$B41+c_offset-1),1)</f>
        <v>4.4999999999999998E-2</v>
      </c>
      <c r="W41" s="28">
        <f t="shared" ref="W41:W68" ca="1" si="55">(V41*AG40/12)*IF(i_senior360,365/360,1)</f>
        <v>0</v>
      </c>
      <c r="X41" s="28">
        <f t="shared" ref="X41:X68" ca="1" si="56">X40-Y40</f>
        <v>0</v>
      </c>
      <c r="Y41" s="28">
        <f t="shared" ca="1" si="37"/>
        <v>0</v>
      </c>
      <c r="Z41" s="28">
        <f t="shared" ref="Z41:Z68" ca="1" si="57">R41+Y41</f>
        <v>0</v>
      </c>
      <c r="AA41" s="28">
        <f t="shared" ref="AA41:AA68" si="58">MAX(0,P41*IF(i_seniordrawovertime,1,i_seniorpct))</f>
        <v>0</v>
      </c>
      <c r="AB41" s="28">
        <f t="shared" ref="AB41:AB68" si="59">-MIN(R41+AA41,0)</f>
        <v>0</v>
      </c>
      <c r="AC41" s="28">
        <f t="shared" ca="1" si="38"/>
        <v>0</v>
      </c>
      <c r="AD41" s="28">
        <f t="shared" ref="AD41:AD68" ca="1" si="60">MAX(MIN(W41,AC41),0)</f>
        <v>0</v>
      </c>
      <c r="AE41" s="28">
        <f t="shared" ref="AE41:AE68" ca="1" si="61">AC41-AD41</f>
        <v>0</v>
      </c>
      <c r="AF41" s="28">
        <f t="shared" ref="AF41:AF68" ca="1" si="62">MIN(H41*c_releaseprice,AG40,AE41)</f>
        <v>0</v>
      </c>
      <c r="AG41" s="28">
        <f t="shared" ref="AG41:AG68" ca="1" si="63">AG40+W41+AA41-AD41-AF41</f>
        <v>0</v>
      </c>
      <c r="AH41" s="28">
        <f t="shared" ref="AH41:AH68" ca="1" si="64">AD41+AF41-AA41</f>
        <v>0</v>
      </c>
      <c r="AI41" s="28">
        <f t="shared" ca="1" si="39"/>
        <v>0</v>
      </c>
      <c r="AJ41" s="28">
        <f t="shared" ref="AJ41:AJ68" si="65">L41*i_gpmgtfee</f>
        <v>0</v>
      </c>
      <c r="AK41" s="28">
        <f t="shared" ref="AK41:AK68" ca="1" si="66">AI41-AJ41</f>
        <v>0</v>
      </c>
      <c r="AL41"/>
      <c r="AM41" s="28">
        <f t="shared" ca="1" si="30"/>
        <v>0</v>
      </c>
      <c r="AN41" s="28">
        <f t="shared" si="41"/>
        <v>0</v>
      </c>
      <c r="AO41" s="28">
        <f t="shared" si="42"/>
        <v>0</v>
      </c>
      <c r="AP41" s="28">
        <f t="shared" si="43"/>
        <v>0</v>
      </c>
      <c r="AQ41" s="28">
        <f t="shared" ref="AQ41:AQ68" si="67">i_gpmgtfeepcta*$AJ41</f>
        <v>0</v>
      </c>
      <c r="AR41" s="28">
        <f t="shared" ref="AR41:AR68" si="68">i_gpmgtfeepctb*$AJ41</f>
        <v>0</v>
      </c>
      <c r="AS41" s="50"/>
      <c r="AT41" s="57"/>
      <c r="AU41" s="57"/>
      <c r="AV41" s="57"/>
      <c r="AW41" s="57"/>
      <c r="AX41" s="57"/>
      <c r="AY41" s="57"/>
      <c r="AZ41" s="57"/>
      <c r="BA41" s="57"/>
    </row>
    <row r="42" spans="1:53" s="4" customFormat="1" ht="14" customHeight="1">
      <c r="A42"/>
      <c r="B42" s="15">
        <f t="shared" si="5"/>
        <v>34</v>
      </c>
      <c r="C42" s="15">
        <f t="shared" si="6"/>
        <v>3</v>
      </c>
      <c r="D42"/>
      <c r="E42" s="503">
        <f t="shared" si="33"/>
        <v>0</v>
      </c>
      <c r="F42" s="497">
        <f t="shared" si="44"/>
        <v>0</v>
      </c>
      <c r="G42" s="484">
        <f t="shared" si="34"/>
        <v>1.0000000000000002</v>
      </c>
      <c r="H42" s="503">
        <f t="shared" si="45"/>
        <v>0</v>
      </c>
      <c r="I42" s="503">
        <f t="shared" si="0"/>
        <v>0</v>
      </c>
      <c r="J42" s="503">
        <f t="shared" ca="1" si="40"/>
        <v>-8.7326343247012128E-10</v>
      </c>
      <c r="K42" s="503">
        <f t="shared" ca="1" si="35"/>
        <v>-7.2771952705843439E-13</v>
      </c>
      <c r="L42" s="503">
        <f t="shared" si="46"/>
        <v>0</v>
      </c>
      <c r="M42" s="26">
        <f t="shared" si="47"/>
        <v>0</v>
      </c>
      <c r="N42" s="26">
        <f t="shared" si="36"/>
        <v>0</v>
      </c>
      <c r="O42" s="26">
        <f t="shared" si="48"/>
        <v>0</v>
      </c>
      <c r="P42" s="26">
        <f t="shared" si="49"/>
        <v>0</v>
      </c>
      <c r="Q42" s="26">
        <f t="shared" si="50"/>
        <v>0</v>
      </c>
      <c r="R42" s="26">
        <f t="shared" si="51"/>
        <v>0</v>
      </c>
      <c r="S42" s="14"/>
      <c r="T42" s="31">
        <f t="shared" si="52"/>
        <v>0.02</v>
      </c>
      <c r="U42" s="31">
        <f t="shared" si="53"/>
        <v>4.4999999999999998E-2</v>
      </c>
      <c r="V42" s="31">
        <f t="shared" si="54"/>
        <v>4.4999999999999998E-2</v>
      </c>
      <c r="W42" s="26">
        <f t="shared" ca="1" si="55"/>
        <v>0</v>
      </c>
      <c r="X42" s="26">
        <f t="shared" ca="1" si="56"/>
        <v>0</v>
      </c>
      <c r="Y42" s="26">
        <f t="shared" ca="1" si="37"/>
        <v>0</v>
      </c>
      <c r="Z42" s="26">
        <f t="shared" ca="1" si="57"/>
        <v>0</v>
      </c>
      <c r="AA42" s="26">
        <f t="shared" si="58"/>
        <v>0</v>
      </c>
      <c r="AB42" s="26">
        <f t="shared" si="59"/>
        <v>0</v>
      </c>
      <c r="AC42" s="26">
        <f t="shared" ca="1" si="38"/>
        <v>0</v>
      </c>
      <c r="AD42" s="26">
        <f t="shared" ca="1" si="60"/>
        <v>0</v>
      </c>
      <c r="AE42" s="26">
        <f t="shared" ca="1" si="61"/>
        <v>0</v>
      </c>
      <c r="AF42" s="26">
        <f t="shared" ca="1" si="62"/>
        <v>0</v>
      </c>
      <c r="AG42" s="26">
        <f t="shared" ca="1" si="63"/>
        <v>0</v>
      </c>
      <c r="AH42" s="26">
        <f t="shared" ca="1" si="64"/>
        <v>0</v>
      </c>
      <c r="AI42" s="26">
        <f t="shared" ca="1" si="39"/>
        <v>0</v>
      </c>
      <c r="AJ42" s="26">
        <f t="shared" si="65"/>
        <v>0</v>
      </c>
      <c r="AK42" s="26">
        <f t="shared" ca="1" si="66"/>
        <v>0</v>
      </c>
      <c r="AL42"/>
      <c r="AM42" s="26">
        <f t="shared" ca="1" si="30"/>
        <v>0</v>
      </c>
      <c r="AN42" s="26">
        <f t="shared" si="41"/>
        <v>0</v>
      </c>
      <c r="AO42" s="26">
        <f t="shared" si="42"/>
        <v>0</v>
      </c>
      <c r="AP42" s="26">
        <f t="shared" si="43"/>
        <v>0</v>
      </c>
      <c r="AQ42" s="26">
        <f t="shared" si="67"/>
        <v>0</v>
      </c>
      <c r="AR42" s="26">
        <f t="shared" si="68"/>
        <v>0</v>
      </c>
      <c r="AS42" s="50"/>
      <c r="AT42" s="57"/>
      <c r="AU42" s="57"/>
      <c r="AV42" s="57"/>
      <c r="AW42" s="57"/>
      <c r="AX42" s="57"/>
      <c r="AY42" s="57"/>
      <c r="AZ42" s="57"/>
      <c r="BA42" s="57"/>
    </row>
    <row r="43" spans="1:53" s="4" customFormat="1" ht="14" customHeight="1">
      <c r="A43"/>
      <c r="B43" s="16">
        <f t="shared" si="5"/>
        <v>35</v>
      </c>
      <c r="C43" s="16">
        <f t="shared" si="6"/>
        <v>3</v>
      </c>
      <c r="D43"/>
      <c r="E43" s="504">
        <f t="shared" si="33"/>
        <v>0</v>
      </c>
      <c r="F43" s="498">
        <f t="shared" si="44"/>
        <v>0</v>
      </c>
      <c r="G43" s="485">
        <f t="shared" si="34"/>
        <v>1.0000000000000002</v>
      </c>
      <c r="H43" s="504">
        <f t="shared" si="45"/>
        <v>0</v>
      </c>
      <c r="I43" s="504">
        <f t="shared" si="0"/>
        <v>0</v>
      </c>
      <c r="J43" s="504">
        <f t="shared" ca="1" si="40"/>
        <v>-8.7326343247012128E-10</v>
      </c>
      <c r="K43" s="504">
        <f t="shared" ca="1" si="35"/>
        <v>-7.2771952705843439E-13</v>
      </c>
      <c r="L43" s="504">
        <f t="shared" si="46"/>
        <v>0</v>
      </c>
      <c r="M43" s="27">
        <f t="shared" si="47"/>
        <v>0</v>
      </c>
      <c r="N43" s="27">
        <f t="shared" si="36"/>
        <v>0</v>
      </c>
      <c r="O43" s="27">
        <f t="shared" si="48"/>
        <v>0</v>
      </c>
      <c r="P43" s="27">
        <f t="shared" si="49"/>
        <v>0</v>
      </c>
      <c r="Q43" s="27">
        <f t="shared" si="50"/>
        <v>0</v>
      </c>
      <c r="R43" s="27">
        <f t="shared" si="51"/>
        <v>0</v>
      </c>
      <c r="S43" s="14"/>
      <c r="T43" s="35">
        <f t="shared" si="52"/>
        <v>0.02</v>
      </c>
      <c r="U43" s="35">
        <f t="shared" si="53"/>
        <v>4.4999999999999998E-2</v>
      </c>
      <c r="V43" s="35">
        <f t="shared" si="54"/>
        <v>4.4999999999999998E-2</v>
      </c>
      <c r="W43" s="27">
        <f t="shared" ca="1" si="55"/>
        <v>0</v>
      </c>
      <c r="X43" s="27">
        <f t="shared" ca="1" si="56"/>
        <v>0</v>
      </c>
      <c r="Y43" s="27">
        <f t="shared" ca="1" si="37"/>
        <v>0</v>
      </c>
      <c r="Z43" s="27">
        <f t="shared" ca="1" si="57"/>
        <v>0</v>
      </c>
      <c r="AA43" s="27">
        <f t="shared" si="58"/>
        <v>0</v>
      </c>
      <c r="AB43" s="27">
        <f t="shared" si="59"/>
        <v>0</v>
      </c>
      <c r="AC43" s="27">
        <f t="shared" ca="1" si="38"/>
        <v>0</v>
      </c>
      <c r="AD43" s="27">
        <f t="shared" ca="1" si="60"/>
        <v>0</v>
      </c>
      <c r="AE43" s="27">
        <f t="shared" ca="1" si="61"/>
        <v>0</v>
      </c>
      <c r="AF43" s="27">
        <f t="shared" ca="1" si="62"/>
        <v>0</v>
      </c>
      <c r="AG43" s="27">
        <f t="shared" ca="1" si="63"/>
        <v>0</v>
      </c>
      <c r="AH43" s="27">
        <f t="shared" ca="1" si="64"/>
        <v>0</v>
      </c>
      <c r="AI43" s="27">
        <f t="shared" ca="1" si="39"/>
        <v>0</v>
      </c>
      <c r="AJ43" s="27">
        <f t="shared" si="65"/>
        <v>0</v>
      </c>
      <c r="AK43" s="27">
        <f t="shared" ca="1" si="66"/>
        <v>0</v>
      </c>
      <c r="AL43"/>
      <c r="AM43" s="27">
        <f t="shared" ca="1" si="30"/>
        <v>0</v>
      </c>
      <c r="AN43" s="27">
        <f t="shared" si="41"/>
        <v>0</v>
      </c>
      <c r="AO43" s="27">
        <f t="shared" si="42"/>
        <v>0</v>
      </c>
      <c r="AP43" s="27">
        <f t="shared" si="43"/>
        <v>0</v>
      </c>
      <c r="AQ43" s="27">
        <f t="shared" si="67"/>
        <v>0</v>
      </c>
      <c r="AR43" s="27">
        <f t="shared" si="68"/>
        <v>0</v>
      </c>
      <c r="AS43" s="50"/>
      <c r="AT43" s="57"/>
      <c r="AU43" s="57"/>
      <c r="AV43" s="57"/>
      <c r="AW43" s="57"/>
      <c r="AX43" s="57"/>
      <c r="AY43" s="57"/>
      <c r="AZ43" s="57"/>
      <c r="BA43" s="57"/>
    </row>
    <row r="44" spans="1:53" s="4" customFormat="1" ht="14" customHeight="1" thickBot="1">
      <c r="A44"/>
      <c r="B44" s="18">
        <f t="shared" si="5"/>
        <v>36</v>
      </c>
      <c r="C44" s="18">
        <f t="shared" si="6"/>
        <v>3</v>
      </c>
      <c r="D44"/>
      <c r="E44" s="506">
        <f t="shared" si="33"/>
        <v>0</v>
      </c>
      <c r="F44" s="500">
        <f t="shared" si="44"/>
        <v>0</v>
      </c>
      <c r="G44" s="487">
        <f t="shared" si="34"/>
        <v>1.0000000000000002</v>
      </c>
      <c r="H44" s="506">
        <f t="shared" si="45"/>
        <v>0</v>
      </c>
      <c r="I44" s="506">
        <f t="shared" si="0"/>
        <v>0</v>
      </c>
      <c r="J44" s="506">
        <f t="shared" ca="1" si="40"/>
        <v>-8.7326343247012128E-10</v>
      </c>
      <c r="K44" s="506">
        <f t="shared" ca="1" si="35"/>
        <v>-7.2771952705843439E-13</v>
      </c>
      <c r="L44" s="506">
        <f t="shared" si="46"/>
        <v>0</v>
      </c>
      <c r="M44" s="29">
        <f t="shared" si="47"/>
        <v>0</v>
      </c>
      <c r="N44" s="29">
        <f t="shared" si="36"/>
        <v>0</v>
      </c>
      <c r="O44" s="29">
        <f t="shared" si="48"/>
        <v>0</v>
      </c>
      <c r="P44" s="29">
        <f t="shared" si="49"/>
        <v>0</v>
      </c>
      <c r="Q44" s="29">
        <f t="shared" si="50"/>
        <v>0</v>
      </c>
      <c r="R44" s="29">
        <f t="shared" si="51"/>
        <v>0</v>
      </c>
      <c r="S44" s="14"/>
      <c r="T44" s="37">
        <f t="shared" si="52"/>
        <v>0.02</v>
      </c>
      <c r="U44" s="37">
        <f t="shared" si="53"/>
        <v>4.4999999999999998E-2</v>
      </c>
      <c r="V44" s="37">
        <f t="shared" si="54"/>
        <v>4.4999999999999998E-2</v>
      </c>
      <c r="W44" s="29">
        <f t="shared" ca="1" si="55"/>
        <v>0</v>
      </c>
      <c r="X44" s="29">
        <f t="shared" ca="1" si="56"/>
        <v>0</v>
      </c>
      <c r="Y44" s="29">
        <f t="shared" ca="1" si="37"/>
        <v>0</v>
      </c>
      <c r="Z44" s="29">
        <f t="shared" ca="1" si="57"/>
        <v>0</v>
      </c>
      <c r="AA44" s="29">
        <f t="shared" si="58"/>
        <v>0</v>
      </c>
      <c r="AB44" s="29">
        <f t="shared" si="59"/>
        <v>0</v>
      </c>
      <c r="AC44" s="29">
        <f t="shared" ca="1" si="38"/>
        <v>0</v>
      </c>
      <c r="AD44" s="29">
        <f t="shared" ca="1" si="60"/>
        <v>0</v>
      </c>
      <c r="AE44" s="29">
        <f t="shared" ca="1" si="61"/>
        <v>0</v>
      </c>
      <c r="AF44" s="29">
        <f t="shared" ca="1" si="62"/>
        <v>0</v>
      </c>
      <c r="AG44" s="29">
        <f t="shared" ca="1" si="63"/>
        <v>0</v>
      </c>
      <c r="AH44" s="29">
        <f t="shared" ca="1" si="64"/>
        <v>0</v>
      </c>
      <c r="AI44" s="29">
        <f t="shared" ca="1" si="39"/>
        <v>0</v>
      </c>
      <c r="AJ44" s="29">
        <f t="shared" si="65"/>
        <v>0</v>
      </c>
      <c r="AK44" s="29">
        <f t="shared" ca="1" si="66"/>
        <v>0</v>
      </c>
      <c r="AL44"/>
      <c r="AM44" s="29">
        <f t="shared" ca="1" si="30"/>
        <v>0</v>
      </c>
      <c r="AN44" s="29">
        <f t="shared" si="41"/>
        <v>0</v>
      </c>
      <c r="AO44" s="29">
        <f t="shared" si="42"/>
        <v>0</v>
      </c>
      <c r="AP44" s="29">
        <f t="shared" si="43"/>
        <v>0</v>
      </c>
      <c r="AQ44" s="29">
        <f t="shared" si="67"/>
        <v>0</v>
      </c>
      <c r="AR44" s="29">
        <f t="shared" si="68"/>
        <v>0</v>
      </c>
      <c r="AS44" s="50"/>
      <c r="AT44" s="57"/>
      <c r="AU44" s="57"/>
      <c r="AV44" s="57"/>
      <c r="AW44" s="57"/>
      <c r="AX44" s="57"/>
      <c r="AY44" s="57"/>
      <c r="AZ44" s="57"/>
      <c r="BA44" s="57"/>
    </row>
    <row r="45" spans="1:53" s="4" customFormat="1" ht="14" customHeight="1">
      <c r="A45"/>
      <c r="B45" s="19">
        <f t="shared" si="5"/>
        <v>37</v>
      </c>
      <c r="C45" s="19">
        <f t="shared" si="6"/>
        <v>4</v>
      </c>
      <c r="D45"/>
      <c r="E45" s="507">
        <f t="shared" si="33"/>
        <v>0</v>
      </c>
      <c r="F45" s="501">
        <f t="shared" si="44"/>
        <v>0</v>
      </c>
      <c r="G45" s="488">
        <f t="shared" si="34"/>
        <v>1.0000000000000002</v>
      </c>
      <c r="H45" s="507">
        <f t="shared" si="45"/>
        <v>0</v>
      </c>
      <c r="I45" s="507">
        <f t="shared" si="0"/>
        <v>0</v>
      </c>
      <c r="J45" s="507">
        <f t="shared" ca="1" si="40"/>
        <v>-8.7326343247012128E-10</v>
      </c>
      <c r="K45" s="507">
        <f t="shared" ca="1" si="35"/>
        <v>-7.2771952705843439E-13</v>
      </c>
      <c r="L45" s="507">
        <f t="shared" si="46"/>
        <v>0</v>
      </c>
      <c r="M45" s="30">
        <f t="shared" si="47"/>
        <v>0</v>
      </c>
      <c r="N45" s="30">
        <f t="shared" si="36"/>
        <v>0</v>
      </c>
      <c r="O45" s="30">
        <f t="shared" si="48"/>
        <v>0</v>
      </c>
      <c r="P45" s="30">
        <f t="shared" si="49"/>
        <v>0</v>
      </c>
      <c r="Q45" s="30">
        <f t="shared" si="50"/>
        <v>0</v>
      </c>
      <c r="R45" s="30">
        <f t="shared" si="51"/>
        <v>0</v>
      </c>
      <c r="S45" s="14"/>
      <c r="T45" s="38">
        <f t="shared" si="52"/>
        <v>0.02</v>
      </c>
      <c r="U45" s="38">
        <f t="shared" si="53"/>
        <v>4.4999999999999998E-2</v>
      </c>
      <c r="V45" s="38">
        <f t="shared" si="54"/>
        <v>4.4999999999999998E-2</v>
      </c>
      <c r="W45" s="30">
        <f t="shared" ca="1" si="55"/>
        <v>0</v>
      </c>
      <c r="X45" s="30">
        <f t="shared" ca="1" si="56"/>
        <v>0</v>
      </c>
      <c r="Y45" s="30">
        <f t="shared" ca="1" si="37"/>
        <v>0</v>
      </c>
      <c r="Z45" s="30">
        <f t="shared" ca="1" si="57"/>
        <v>0</v>
      </c>
      <c r="AA45" s="30">
        <f t="shared" si="58"/>
        <v>0</v>
      </c>
      <c r="AB45" s="30">
        <f t="shared" si="59"/>
        <v>0</v>
      </c>
      <c r="AC45" s="30">
        <f t="shared" ca="1" si="38"/>
        <v>0</v>
      </c>
      <c r="AD45" s="30">
        <f t="shared" ca="1" si="60"/>
        <v>0</v>
      </c>
      <c r="AE45" s="30">
        <f t="shared" ca="1" si="61"/>
        <v>0</v>
      </c>
      <c r="AF45" s="30">
        <f t="shared" ca="1" si="62"/>
        <v>0</v>
      </c>
      <c r="AG45" s="30">
        <f t="shared" ca="1" si="63"/>
        <v>0</v>
      </c>
      <c r="AH45" s="30">
        <f t="shared" ca="1" si="64"/>
        <v>0</v>
      </c>
      <c r="AI45" s="30">
        <f t="shared" ca="1" si="39"/>
        <v>0</v>
      </c>
      <c r="AJ45" s="30">
        <f t="shared" si="65"/>
        <v>0</v>
      </c>
      <c r="AK45" s="30">
        <f t="shared" ca="1" si="66"/>
        <v>0</v>
      </c>
      <c r="AL45"/>
      <c r="AM45" s="30">
        <f t="shared" ca="1" si="30"/>
        <v>0</v>
      </c>
      <c r="AN45" s="30">
        <f t="shared" si="41"/>
        <v>0</v>
      </c>
      <c r="AO45" s="30">
        <f t="shared" si="42"/>
        <v>0</v>
      </c>
      <c r="AP45" s="30">
        <f t="shared" si="43"/>
        <v>0</v>
      </c>
      <c r="AQ45" s="30">
        <f t="shared" si="67"/>
        <v>0</v>
      </c>
      <c r="AR45" s="30">
        <f t="shared" si="68"/>
        <v>0</v>
      </c>
      <c r="AS45" s="50"/>
      <c r="AT45" s="57"/>
      <c r="AU45" s="57"/>
      <c r="AV45" s="57"/>
      <c r="AW45" s="57"/>
      <c r="AX45" s="57"/>
      <c r="AY45" s="57"/>
      <c r="AZ45" s="57"/>
      <c r="BA45" s="57"/>
    </row>
    <row r="46" spans="1:53" s="4" customFormat="1" ht="14" customHeight="1">
      <c r="A46"/>
      <c r="B46" s="16">
        <f t="shared" si="5"/>
        <v>38</v>
      </c>
      <c r="C46" s="16">
        <f t="shared" si="6"/>
        <v>4</v>
      </c>
      <c r="D46"/>
      <c r="E46" s="504">
        <f t="shared" si="33"/>
        <v>0</v>
      </c>
      <c r="F46" s="498">
        <f t="shared" si="44"/>
        <v>0</v>
      </c>
      <c r="G46" s="485">
        <f t="shared" si="34"/>
        <v>1.0000000000000002</v>
      </c>
      <c r="H46" s="504">
        <f t="shared" si="45"/>
        <v>0</v>
      </c>
      <c r="I46" s="504">
        <f t="shared" si="0"/>
        <v>0</v>
      </c>
      <c r="J46" s="504">
        <f t="shared" ca="1" si="40"/>
        <v>-8.7326343247012128E-10</v>
      </c>
      <c r="K46" s="504">
        <f t="shared" ca="1" si="35"/>
        <v>-7.2771952705843439E-13</v>
      </c>
      <c r="L46" s="504">
        <f t="shared" si="46"/>
        <v>0</v>
      </c>
      <c r="M46" s="27">
        <f t="shared" si="47"/>
        <v>0</v>
      </c>
      <c r="N46" s="27">
        <f t="shared" si="36"/>
        <v>0</v>
      </c>
      <c r="O46" s="27">
        <f t="shared" si="48"/>
        <v>0</v>
      </c>
      <c r="P46" s="27">
        <f t="shared" si="49"/>
        <v>0</v>
      </c>
      <c r="Q46" s="27">
        <f t="shared" si="50"/>
        <v>0</v>
      </c>
      <c r="R46" s="27">
        <f t="shared" si="51"/>
        <v>0</v>
      </c>
      <c r="S46" s="14"/>
      <c r="T46" s="35">
        <f t="shared" si="52"/>
        <v>0.02</v>
      </c>
      <c r="U46" s="35">
        <f t="shared" si="53"/>
        <v>4.4999999999999998E-2</v>
      </c>
      <c r="V46" s="35">
        <f t="shared" si="54"/>
        <v>4.4999999999999998E-2</v>
      </c>
      <c r="W46" s="27">
        <f t="shared" ca="1" si="55"/>
        <v>0</v>
      </c>
      <c r="X46" s="27">
        <f t="shared" ca="1" si="56"/>
        <v>0</v>
      </c>
      <c r="Y46" s="27">
        <f t="shared" ca="1" si="37"/>
        <v>0</v>
      </c>
      <c r="Z46" s="27">
        <f t="shared" ca="1" si="57"/>
        <v>0</v>
      </c>
      <c r="AA46" s="27">
        <f t="shared" si="58"/>
        <v>0</v>
      </c>
      <c r="AB46" s="27">
        <f t="shared" si="59"/>
        <v>0</v>
      </c>
      <c r="AC46" s="27">
        <f t="shared" ca="1" si="38"/>
        <v>0</v>
      </c>
      <c r="AD46" s="27">
        <f t="shared" ca="1" si="60"/>
        <v>0</v>
      </c>
      <c r="AE46" s="27">
        <f t="shared" ca="1" si="61"/>
        <v>0</v>
      </c>
      <c r="AF46" s="27">
        <f t="shared" ca="1" si="62"/>
        <v>0</v>
      </c>
      <c r="AG46" s="27">
        <f t="shared" ca="1" si="63"/>
        <v>0</v>
      </c>
      <c r="AH46" s="27">
        <f t="shared" ca="1" si="64"/>
        <v>0</v>
      </c>
      <c r="AI46" s="27">
        <f t="shared" ca="1" si="39"/>
        <v>0</v>
      </c>
      <c r="AJ46" s="27">
        <f t="shared" si="65"/>
        <v>0</v>
      </c>
      <c r="AK46" s="27">
        <f t="shared" ca="1" si="66"/>
        <v>0</v>
      </c>
      <c r="AL46"/>
      <c r="AM46" s="27">
        <f t="shared" ca="1" si="30"/>
        <v>0</v>
      </c>
      <c r="AN46" s="27">
        <f t="shared" si="41"/>
        <v>0</v>
      </c>
      <c r="AO46" s="27">
        <f t="shared" si="42"/>
        <v>0</v>
      </c>
      <c r="AP46" s="27">
        <f t="shared" si="43"/>
        <v>0</v>
      </c>
      <c r="AQ46" s="27">
        <f t="shared" si="67"/>
        <v>0</v>
      </c>
      <c r="AR46" s="27">
        <f t="shared" si="68"/>
        <v>0</v>
      </c>
      <c r="AS46" s="50"/>
      <c r="AT46" s="57"/>
      <c r="AU46" s="57"/>
      <c r="AV46" s="57"/>
      <c r="AW46" s="57"/>
      <c r="AX46" s="57"/>
      <c r="AY46" s="57"/>
      <c r="AZ46" s="57"/>
      <c r="BA46" s="57"/>
    </row>
    <row r="47" spans="1:53" s="4" customFormat="1" ht="14" customHeight="1">
      <c r="A47"/>
      <c r="B47" s="17">
        <f t="shared" si="5"/>
        <v>39</v>
      </c>
      <c r="C47" s="17">
        <f t="shared" si="6"/>
        <v>4</v>
      </c>
      <c r="D47"/>
      <c r="E47" s="505">
        <f t="shared" si="33"/>
        <v>0</v>
      </c>
      <c r="F47" s="499">
        <f t="shared" si="44"/>
        <v>0</v>
      </c>
      <c r="G47" s="486">
        <f t="shared" si="34"/>
        <v>1.0000000000000002</v>
      </c>
      <c r="H47" s="505">
        <f t="shared" si="45"/>
        <v>0</v>
      </c>
      <c r="I47" s="505">
        <f t="shared" si="0"/>
        <v>0</v>
      </c>
      <c r="J47" s="505">
        <f t="shared" ca="1" si="40"/>
        <v>-8.7326343247012128E-10</v>
      </c>
      <c r="K47" s="505">
        <f t="shared" ca="1" si="35"/>
        <v>-7.2771952705843439E-13</v>
      </c>
      <c r="L47" s="505">
        <f t="shared" si="46"/>
        <v>0</v>
      </c>
      <c r="M47" s="28">
        <f t="shared" si="47"/>
        <v>0</v>
      </c>
      <c r="N47" s="28">
        <f t="shared" si="36"/>
        <v>0</v>
      </c>
      <c r="O47" s="28">
        <f t="shared" si="48"/>
        <v>0</v>
      </c>
      <c r="P47" s="28">
        <f t="shared" si="49"/>
        <v>0</v>
      </c>
      <c r="Q47" s="28">
        <f t="shared" si="50"/>
        <v>0</v>
      </c>
      <c r="R47" s="28">
        <f t="shared" si="51"/>
        <v>0</v>
      </c>
      <c r="S47" s="14"/>
      <c r="T47" s="36">
        <f t="shared" si="52"/>
        <v>0.02</v>
      </c>
      <c r="U47" s="36">
        <f t="shared" si="53"/>
        <v>4.4999999999999998E-2</v>
      </c>
      <c r="V47" s="36">
        <f t="shared" si="54"/>
        <v>4.4999999999999998E-2</v>
      </c>
      <c r="W47" s="28">
        <f t="shared" ca="1" si="55"/>
        <v>0</v>
      </c>
      <c r="X47" s="28">
        <f t="shared" ca="1" si="56"/>
        <v>0</v>
      </c>
      <c r="Y47" s="28">
        <f t="shared" ca="1" si="37"/>
        <v>0</v>
      </c>
      <c r="Z47" s="28">
        <f t="shared" ca="1" si="57"/>
        <v>0</v>
      </c>
      <c r="AA47" s="28">
        <f t="shared" si="58"/>
        <v>0</v>
      </c>
      <c r="AB47" s="28">
        <f t="shared" si="59"/>
        <v>0</v>
      </c>
      <c r="AC47" s="28">
        <f t="shared" ca="1" si="38"/>
        <v>0</v>
      </c>
      <c r="AD47" s="28">
        <f t="shared" ca="1" si="60"/>
        <v>0</v>
      </c>
      <c r="AE47" s="28">
        <f t="shared" ca="1" si="61"/>
        <v>0</v>
      </c>
      <c r="AF47" s="28">
        <f t="shared" ca="1" si="62"/>
        <v>0</v>
      </c>
      <c r="AG47" s="28">
        <f t="shared" ca="1" si="63"/>
        <v>0</v>
      </c>
      <c r="AH47" s="28">
        <f t="shared" ca="1" si="64"/>
        <v>0</v>
      </c>
      <c r="AI47" s="28">
        <f t="shared" ca="1" si="39"/>
        <v>0</v>
      </c>
      <c r="AJ47" s="28">
        <f t="shared" si="65"/>
        <v>0</v>
      </c>
      <c r="AK47" s="28">
        <f t="shared" ca="1" si="66"/>
        <v>0</v>
      </c>
      <c r="AL47"/>
      <c r="AM47" s="28">
        <f t="shared" ca="1" si="30"/>
        <v>0</v>
      </c>
      <c r="AN47" s="28">
        <f t="shared" si="41"/>
        <v>0</v>
      </c>
      <c r="AO47" s="28">
        <f t="shared" si="42"/>
        <v>0</v>
      </c>
      <c r="AP47" s="28">
        <f t="shared" si="43"/>
        <v>0</v>
      </c>
      <c r="AQ47" s="28">
        <f t="shared" si="67"/>
        <v>0</v>
      </c>
      <c r="AR47" s="28">
        <f t="shared" si="68"/>
        <v>0</v>
      </c>
      <c r="AS47" s="50"/>
      <c r="AT47" s="57"/>
      <c r="AU47" s="57"/>
      <c r="AV47" s="57"/>
      <c r="AW47" s="57"/>
      <c r="AX47" s="57"/>
      <c r="AY47" s="57"/>
      <c r="AZ47" s="57"/>
      <c r="BA47" s="57"/>
    </row>
    <row r="48" spans="1:53" s="4" customFormat="1" ht="14" customHeight="1">
      <c r="A48"/>
      <c r="B48" s="15">
        <f t="shared" si="5"/>
        <v>40</v>
      </c>
      <c r="C48" s="15">
        <f t="shared" si="6"/>
        <v>4</v>
      </c>
      <c r="D48"/>
      <c r="E48" s="503">
        <f t="shared" si="33"/>
        <v>0</v>
      </c>
      <c r="F48" s="497">
        <f t="shared" si="44"/>
        <v>0</v>
      </c>
      <c r="G48" s="484">
        <f t="shared" si="34"/>
        <v>1.0000000000000002</v>
      </c>
      <c r="H48" s="503">
        <f t="shared" si="45"/>
        <v>0</v>
      </c>
      <c r="I48" s="503">
        <f t="shared" si="0"/>
        <v>0</v>
      </c>
      <c r="J48" s="503">
        <f t="shared" ca="1" si="40"/>
        <v>-8.7326343247012128E-10</v>
      </c>
      <c r="K48" s="503">
        <f t="shared" ca="1" si="35"/>
        <v>-7.2771952705843439E-13</v>
      </c>
      <c r="L48" s="503">
        <f t="shared" si="46"/>
        <v>0</v>
      </c>
      <c r="M48" s="26">
        <f t="shared" si="47"/>
        <v>0</v>
      </c>
      <c r="N48" s="26">
        <f t="shared" si="36"/>
        <v>0</v>
      </c>
      <c r="O48" s="26">
        <f t="shared" si="48"/>
        <v>0</v>
      </c>
      <c r="P48" s="26">
        <f t="shared" si="49"/>
        <v>0</v>
      </c>
      <c r="Q48" s="26">
        <f t="shared" si="50"/>
        <v>0</v>
      </c>
      <c r="R48" s="26">
        <f t="shared" si="51"/>
        <v>0</v>
      </c>
      <c r="S48" s="14"/>
      <c r="T48" s="31">
        <f t="shared" si="52"/>
        <v>0.02</v>
      </c>
      <c r="U48" s="31">
        <f t="shared" si="53"/>
        <v>4.4999999999999998E-2</v>
      </c>
      <c r="V48" s="31">
        <f t="shared" si="54"/>
        <v>4.4999999999999998E-2</v>
      </c>
      <c r="W48" s="26">
        <f t="shared" ca="1" si="55"/>
        <v>0</v>
      </c>
      <c r="X48" s="26">
        <f t="shared" ca="1" si="56"/>
        <v>0</v>
      </c>
      <c r="Y48" s="26">
        <f t="shared" ca="1" si="37"/>
        <v>0</v>
      </c>
      <c r="Z48" s="26">
        <f t="shared" ca="1" si="57"/>
        <v>0</v>
      </c>
      <c r="AA48" s="26">
        <f t="shared" si="58"/>
        <v>0</v>
      </c>
      <c r="AB48" s="26">
        <f t="shared" si="59"/>
        <v>0</v>
      </c>
      <c r="AC48" s="26">
        <f t="shared" ca="1" si="38"/>
        <v>0</v>
      </c>
      <c r="AD48" s="26">
        <f t="shared" ca="1" si="60"/>
        <v>0</v>
      </c>
      <c r="AE48" s="26">
        <f t="shared" ca="1" si="61"/>
        <v>0</v>
      </c>
      <c r="AF48" s="26">
        <f t="shared" ca="1" si="62"/>
        <v>0</v>
      </c>
      <c r="AG48" s="26">
        <f t="shared" ca="1" si="63"/>
        <v>0</v>
      </c>
      <c r="AH48" s="26">
        <f t="shared" ca="1" si="64"/>
        <v>0</v>
      </c>
      <c r="AI48" s="26">
        <f t="shared" ca="1" si="39"/>
        <v>0</v>
      </c>
      <c r="AJ48" s="26">
        <f t="shared" si="65"/>
        <v>0</v>
      </c>
      <c r="AK48" s="26">
        <f t="shared" ca="1" si="66"/>
        <v>0</v>
      </c>
      <c r="AL48"/>
      <c r="AM48" s="26">
        <f t="shared" ca="1" si="30"/>
        <v>0</v>
      </c>
      <c r="AN48" s="26">
        <f t="shared" si="41"/>
        <v>0</v>
      </c>
      <c r="AO48" s="26">
        <f t="shared" si="42"/>
        <v>0</v>
      </c>
      <c r="AP48" s="26">
        <f t="shared" si="43"/>
        <v>0</v>
      </c>
      <c r="AQ48" s="26">
        <f t="shared" si="67"/>
        <v>0</v>
      </c>
      <c r="AR48" s="26">
        <f t="shared" si="68"/>
        <v>0</v>
      </c>
      <c r="AS48" s="50"/>
      <c r="AT48" s="57"/>
      <c r="AU48" s="57"/>
      <c r="AV48" s="57"/>
      <c r="AW48" s="57"/>
      <c r="AX48" s="57"/>
      <c r="AY48" s="57"/>
      <c r="AZ48" s="57"/>
      <c r="BA48" s="57"/>
    </row>
    <row r="49" spans="1:53" s="4" customFormat="1" ht="14" customHeight="1">
      <c r="A49"/>
      <c r="B49" s="16">
        <f t="shared" si="5"/>
        <v>41</v>
      </c>
      <c r="C49" s="16">
        <f t="shared" si="6"/>
        <v>4</v>
      </c>
      <c r="D49"/>
      <c r="E49" s="504">
        <f t="shared" si="33"/>
        <v>0</v>
      </c>
      <c r="F49" s="498">
        <f t="shared" si="44"/>
        <v>0</v>
      </c>
      <c r="G49" s="485">
        <f t="shared" si="34"/>
        <v>1.0000000000000002</v>
      </c>
      <c r="H49" s="504">
        <f t="shared" si="45"/>
        <v>0</v>
      </c>
      <c r="I49" s="504">
        <f t="shared" si="0"/>
        <v>0</v>
      </c>
      <c r="J49" s="504">
        <f t="shared" ca="1" si="40"/>
        <v>-8.7326343247012128E-10</v>
      </c>
      <c r="K49" s="504">
        <f t="shared" ca="1" si="35"/>
        <v>-7.2771952705843439E-13</v>
      </c>
      <c r="L49" s="504">
        <f t="shared" si="46"/>
        <v>0</v>
      </c>
      <c r="M49" s="27">
        <f t="shared" si="47"/>
        <v>0</v>
      </c>
      <c r="N49" s="27">
        <f t="shared" si="36"/>
        <v>0</v>
      </c>
      <c r="O49" s="27">
        <f t="shared" si="48"/>
        <v>0</v>
      </c>
      <c r="P49" s="27">
        <f t="shared" si="49"/>
        <v>0</v>
      </c>
      <c r="Q49" s="27">
        <f t="shared" si="50"/>
        <v>0</v>
      </c>
      <c r="R49" s="27">
        <f t="shared" si="51"/>
        <v>0</v>
      </c>
      <c r="S49" s="14"/>
      <c r="T49" s="35">
        <f t="shared" si="52"/>
        <v>0.02</v>
      </c>
      <c r="U49" s="35">
        <f t="shared" si="53"/>
        <v>4.4999999999999998E-2</v>
      </c>
      <c r="V49" s="35">
        <f t="shared" si="54"/>
        <v>4.4999999999999998E-2</v>
      </c>
      <c r="W49" s="27">
        <f t="shared" ca="1" si="55"/>
        <v>0</v>
      </c>
      <c r="X49" s="27">
        <f t="shared" ca="1" si="56"/>
        <v>0</v>
      </c>
      <c r="Y49" s="27">
        <f t="shared" ca="1" si="37"/>
        <v>0</v>
      </c>
      <c r="Z49" s="27">
        <f t="shared" ca="1" si="57"/>
        <v>0</v>
      </c>
      <c r="AA49" s="27">
        <f t="shared" si="58"/>
        <v>0</v>
      </c>
      <c r="AB49" s="27">
        <f t="shared" si="59"/>
        <v>0</v>
      </c>
      <c r="AC49" s="27">
        <f t="shared" ca="1" si="38"/>
        <v>0</v>
      </c>
      <c r="AD49" s="27">
        <f t="shared" ca="1" si="60"/>
        <v>0</v>
      </c>
      <c r="AE49" s="27">
        <f t="shared" ca="1" si="61"/>
        <v>0</v>
      </c>
      <c r="AF49" s="27">
        <f t="shared" ca="1" si="62"/>
        <v>0</v>
      </c>
      <c r="AG49" s="27">
        <f t="shared" ca="1" si="63"/>
        <v>0</v>
      </c>
      <c r="AH49" s="27">
        <f t="shared" ca="1" si="64"/>
        <v>0</v>
      </c>
      <c r="AI49" s="27">
        <f t="shared" ca="1" si="39"/>
        <v>0</v>
      </c>
      <c r="AJ49" s="27">
        <f t="shared" si="65"/>
        <v>0</v>
      </c>
      <c r="AK49" s="27">
        <f t="shared" ca="1" si="66"/>
        <v>0</v>
      </c>
      <c r="AL49"/>
      <c r="AM49" s="27">
        <f t="shared" ca="1" si="30"/>
        <v>0</v>
      </c>
      <c r="AN49" s="27">
        <f t="shared" si="41"/>
        <v>0</v>
      </c>
      <c r="AO49" s="27">
        <f t="shared" si="42"/>
        <v>0</v>
      </c>
      <c r="AP49" s="27">
        <f t="shared" si="43"/>
        <v>0</v>
      </c>
      <c r="AQ49" s="27">
        <f t="shared" si="67"/>
        <v>0</v>
      </c>
      <c r="AR49" s="27">
        <f t="shared" si="68"/>
        <v>0</v>
      </c>
      <c r="AS49" s="50"/>
      <c r="AT49" s="57"/>
      <c r="AU49" s="57"/>
      <c r="AV49" s="57"/>
      <c r="AW49" s="57"/>
      <c r="AX49" s="57"/>
      <c r="AY49" s="57"/>
      <c r="AZ49" s="57"/>
      <c r="BA49" s="57"/>
    </row>
    <row r="50" spans="1:53" s="4" customFormat="1" ht="14" customHeight="1">
      <c r="A50"/>
      <c r="B50" s="17">
        <f t="shared" si="5"/>
        <v>42</v>
      </c>
      <c r="C50" s="17">
        <f t="shared" si="6"/>
        <v>4</v>
      </c>
      <c r="D50"/>
      <c r="E50" s="505">
        <f t="shared" si="33"/>
        <v>0</v>
      </c>
      <c r="F50" s="499">
        <f t="shared" si="44"/>
        <v>0</v>
      </c>
      <c r="G50" s="486">
        <f t="shared" si="34"/>
        <v>1.0000000000000002</v>
      </c>
      <c r="H50" s="505">
        <f t="shared" si="45"/>
        <v>0</v>
      </c>
      <c r="I50" s="505">
        <f t="shared" si="0"/>
        <v>0</v>
      </c>
      <c r="J50" s="505">
        <f t="shared" ca="1" si="40"/>
        <v>-8.7326343247012128E-10</v>
      </c>
      <c r="K50" s="505">
        <f t="shared" ca="1" si="35"/>
        <v>-7.2771952705843439E-13</v>
      </c>
      <c r="L50" s="505">
        <f t="shared" si="46"/>
        <v>0</v>
      </c>
      <c r="M50" s="28">
        <f t="shared" si="47"/>
        <v>0</v>
      </c>
      <c r="N50" s="28">
        <f t="shared" si="36"/>
        <v>0</v>
      </c>
      <c r="O50" s="28">
        <f t="shared" si="48"/>
        <v>0</v>
      </c>
      <c r="P50" s="28">
        <f t="shared" si="49"/>
        <v>0</v>
      </c>
      <c r="Q50" s="28">
        <f t="shared" si="50"/>
        <v>0</v>
      </c>
      <c r="R50" s="28">
        <f t="shared" si="51"/>
        <v>0</v>
      </c>
      <c r="S50" s="14"/>
      <c r="T50" s="36">
        <f t="shared" si="52"/>
        <v>0.02</v>
      </c>
      <c r="U50" s="36">
        <f t="shared" si="53"/>
        <v>4.4999999999999998E-2</v>
      </c>
      <c r="V50" s="36">
        <f t="shared" si="54"/>
        <v>4.4999999999999998E-2</v>
      </c>
      <c r="W50" s="28">
        <f t="shared" ca="1" si="55"/>
        <v>0</v>
      </c>
      <c r="X50" s="28">
        <f t="shared" ca="1" si="56"/>
        <v>0</v>
      </c>
      <c r="Y50" s="28">
        <f t="shared" ca="1" si="37"/>
        <v>0</v>
      </c>
      <c r="Z50" s="28">
        <f t="shared" ca="1" si="57"/>
        <v>0</v>
      </c>
      <c r="AA50" s="28">
        <f t="shared" si="58"/>
        <v>0</v>
      </c>
      <c r="AB50" s="28">
        <f t="shared" si="59"/>
        <v>0</v>
      </c>
      <c r="AC50" s="28">
        <f t="shared" ca="1" si="38"/>
        <v>0</v>
      </c>
      <c r="AD50" s="28">
        <f t="shared" ca="1" si="60"/>
        <v>0</v>
      </c>
      <c r="AE50" s="28">
        <f t="shared" ca="1" si="61"/>
        <v>0</v>
      </c>
      <c r="AF50" s="28">
        <f t="shared" ca="1" si="62"/>
        <v>0</v>
      </c>
      <c r="AG50" s="28">
        <f t="shared" ca="1" si="63"/>
        <v>0</v>
      </c>
      <c r="AH50" s="28">
        <f t="shared" ca="1" si="64"/>
        <v>0</v>
      </c>
      <c r="AI50" s="28">
        <f t="shared" ca="1" si="39"/>
        <v>0</v>
      </c>
      <c r="AJ50" s="28">
        <f t="shared" si="65"/>
        <v>0</v>
      </c>
      <c r="AK50" s="28">
        <f t="shared" ca="1" si="66"/>
        <v>0</v>
      </c>
      <c r="AL50"/>
      <c r="AM50" s="28">
        <f t="shared" ca="1" si="30"/>
        <v>0</v>
      </c>
      <c r="AN50" s="28">
        <f t="shared" si="41"/>
        <v>0</v>
      </c>
      <c r="AO50" s="28">
        <f t="shared" si="42"/>
        <v>0</v>
      </c>
      <c r="AP50" s="28">
        <f t="shared" si="43"/>
        <v>0</v>
      </c>
      <c r="AQ50" s="28">
        <f t="shared" si="67"/>
        <v>0</v>
      </c>
      <c r="AR50" s="28">
        <f t="shared" si="68"/>
        <v>0</v>
      </c>
      <c r="AS50" s="50"/>
      <c r="AT50" s="57"/>
      <c r="AU50" s="57"/>
      <c r="AV50" s="57"/>
      <c r="AW50" s="57"/>
      <c r="AX50" s="57"/>
      <c r="AY50" s="57"/>
      <c r="AZ50" s="57"/>
      <c r="BA50" s="57"/>
    </row>
    <row r="51" spans="1:53" ht="14" customHeight="1">
      <c r="B51" s="15">
        <f t="shared" si="5"/>
        <v>43</v>
      </c>
      <c r="C51" s="15">
        <f t="shared" si="6"/>
        <v>4</v>
      </c>
      <c r="E51" s="503">
        <f t="shared" si="33"/>
        <v>0</v>
      </c>
      <c r="F51" s="497">
        <f t="shared" si="44"/>
        <v>0</v>
      </c>
      <c r="G51" s="484">
        <f t="shared" si="34"/>
        <v>1.0000000000000002</v>
      </c>
      <c r="H51" s="503">
        <f t="shared" si="45"/>
        <v>0</v>
      </c>
      <c r="I51" s="503">
        <f t="shared" si="0"/>
        <v>0</v>
      </c>
      <c r="J51" s="503">
        <f t="shared" ca="1" si="40"/>
        <v>-8.7326343247012128E-10</v>
      </c>
      <c r="K51" s="503">
        <f t="shared" ca="1" si="35"/>
        <v>-7.2771952705843439E-13</v>
      </c>
      <c r="L51" s="503">
        <f t="shared" si="46"/>
        <v>0</v>
      </c>
      <c r="M51" s="26">
        <f t="shared" si="47"/>
        <v>0</v>
      </c>
      <c r="N51" s="26">
        <f t="shared" si="36"/>
        <v>0</v>
      </c>
      <c r="O51" s="26">
        <f t="shared" si="48"/>
        <v>0</v>
      </c>
      <c r="P51" s="26">
        <f t="shared" si="49"/>
        <v>0</v>
      </c>
      <c r="Q51" s="26">
        <f t="shared" si="50"/>
        <v>0</v>
      </c>
      <c r="R51" s="26">
        <f t="shared" si="51"/>
        <v>0</v>
      </c>
      <c r="S51" s="14"/>
      <c r="T51" s="31">
        <f t="shared" si="52"/>
        <v>0.02</v>
      </c>
      <c r="U51" s="31">
        <f t="shared" si="53"/>
        <v>4.4999999999999998E-2</v>
      </c>
      <c r="V51" s="31">
        <f t="shared" si="54"/>
        <v>4.4999999999999998E-2</v>
      </c>
      <c r="W51" s="26">
        <f t="shared" ca="1" si="55"/>
        <v>0</v>
      </c>
      <c r="X51" s="26">
        <f t="shared" ca="1" si="56"/>
        <v>0</v>
      </c>
      <c r="Y51" s="26">
        <f t="shared" ca="1" si="37"/>
        <v>0</v>
      </c>
      <c r="Z51" s="26">
        <f t="shared" ca="1" si="57"/>
        <v>0</v>
      </c>
      <c r="AA51" s="26">
        <f t="shared" si="58"/>
        <v>0</v>
      </c>
      <c r="AB51" s="26">
        <f t="shared" si="59"/>
        <v>0</v>
      </c>
      <c r="AC51" s="26">
        <f t="shared" ca="1" si="38"/>
        <v>0</v>
      </c>
      <c r="AD51" s="26">
        <f t="shared" ca="1" si="60"/>
        <v>0</v>
      </c>
      <c r="AE51" s="26">
        <f t="shared" ca="1" si="61"/>
        <v>0</v>
      </c>
      <c r="AF51" s="26">
        <f t="shared" ca="1" si="62"/>
        <v>0</v>
      </c>
      <c r="AG51" s="26">
        <f t="shared" ca="1" si="63"/>
        <v>0</v>
      </c>
      <c r="AH51" s="26">
        <f t="shared" ca="1" si="64"/>
        <v>0</v>
      </c>
      <c r="AI51" s="26">
        <f t="shared" ca="1" si="39"/>
        <v>0</v>
      </c>
      <c r="AJ51" s="26">
        <f t="shared" si="65"/>
        <v>0</v>
      </c>
      <c r="AK51" s="26">
        <f t="shared" ca="1" si="66"/>
        <v>0</v>
      </c>
      <c r="AM51" s="26">
        <f t="shared" ca="1" si="30"/>
        <v>0</v>
      </c>
      <c r="AN51" s="26">
        <f t="shared" si="41"/>
        <v>0</v>
      </c>
      <c r="AO51" s="26">
        <f t="shared" si="42"/>
        <v>0</v>
      </c>
      <c r="AP51" s="26">
        <f t="shared" si="43"/>
        <v>0</v>
      </c>
      <c r="AQ51" s="26">
        <f t="shared" si="67"/>
        <v>0</v>
      </c>
      <c r="AR51" s="26">
        <f t="shared" si="68"/>
        <v>0</v>
      </c>
      <c r="AS51" s="50"/>
      <c r="AT51" s="57"/>
      <c r="AU51" s="57"/>
      <c r="AV51" s="57"/>
      <c r="AW51" s="57"/>
      <c r="AX51" s="57"/>
      <c r="AY51" s="57"/>
      <c r="AZ51" s="57"/>
      <c r="BA51" s="57"/>
    </row>
    <row r="52" spans="1:53" ht="14" customHeight="1">
      <c r="B52" s="16">
        <f t="shared" si="5"/>
        <v>44</v>
      </c>
      <c r="C52" s="16">
        <f t="shared" si="6"/>
        <v>4</v>
      </c>
      <c r="E52" s="504">
        <f t="shared" si="33"/>
        <v>0</v>
      </c>
      <c r="F52" s="498">
        <f t="shared" si="44"/>
        <v>0</v>
      </c>
      <c r="G52" s="485">
        <f t="shared" si="34"/>
        <v>1.0000000000000002</v>
      </c>
      <c r="H52" s="504">
        <f t="shared" si="45"/>
        <v>0</v>
      </c>
      <c r="I52" s="504">
        <f t="shared" si="0"/>
        <v>0</v>
      </c>
      <c r="J52" s="504">
        <f t="shared" ca="1" si="40"/>
        <v>-8.7326343247012128E-10</v>
      </c>
      <c r="K52" s="504">
        <f t="shared" ca="1" si="35"/>
        <v>-7.2771952705843439E-13</v>
      </c>
      <c r="L52" s="504">
        <f t="shared" si="46"/>
        <v>0</v>
      </c>
      <c r="M52" s="27">
        <f t="shared" si="47"/>
        <v>0</v>
      </c>
      <c r="N52" s="27">
        <f t="shared" si="36"/>
        <v>0</v>
      </c>
      <c r="O52" s="27">
        <f t="shared" si="48"/>
        <v>0</v>
      </c>
      <c r="P52" s="27">
        <f t="shared" si="49"/>
        <v>0</v>
      </c>
      <c r="Q52" s="27">
        <f t="shared" si="50"/>
        <v>0</v>
      </c>
      <c r="R52" s="27">
        <f t="shared" si="51"/>
        <v>0</v>
      </c>
      <c r="S52" s="14"/>
      <c r="T52" s="35">
        <f t="shared" si="52"/>
        <v>0.02</v>
      </c>
      <c r="U52" s="35">
        <f t="shared" si="53"/>
        <v>4.4999999999999998E-2</v>
      </c>
      <c r="V52" s="35">
        <f t="shared" si="54"/>
        <v>4.4999999999999998E-2</v>
      </c>
      <c r="W52" s="27">
        <f t="shared" ca="1" si="55"/>
        <v>0</v>
      </c>
      <c r="X52" s="27">
        <f t="shared" ca="1" si="56"/>
        <v>0</v>
      </c>
      <c r="Y52" s="27">
        <f t="shared" ca="1" si="37"/>
        <v>0</v>
      </c>
      <c r="Z52" s="27">
        <f t="shared" ca="1" si="57"/>
        <v>0</v>
      </c>
      <c r="AA52" s="27">
        <f t="shared" si="58"/>
        <v>0</v>
      </c>
      <c r="AB52" s="27">
        <f t="shared" si="59"/>
        <v>0</v>
      </c>
      <c r="AC52" s="27">
        <f t="shared" ca="1" si="38"/>
        <v>0</v>
      </c>
      <c r="AD52" s="27">
        <f t="shared" ca="1" si="60"/>
        <v>0</v>
      </c>
      <c r="AE52" s="27">
        <f t="shared" ca="1" si="61"/>
        <v>0</v>
      </c>
      <c r="AF52" s="27">
        <f t="shared" ca="1" si="62"/>
        <v>0</v>
      </c>
      <c r="AG52" s="27">
        <f t="shared" ca="1" si="63"/>
        <v>0</v>
      </c>
      <c r="AH52" s="27">
        <f t="shared" ca="1" si="64"/>
        <v>0</v>
      </c>
      <c r="AI52" s="27">
        <f t="shared" ca="1" si="39"/>
        <v>0</v>
      </c>
      <c r="AJ52" s="27">
        <f t="shared" si="65"/>
        <v>0</v>
      </c>
      <c r="AK52" s="27">
        <f t="shared" ca="1" si="66"/>
        <v>0</v>
      </c>
      <c r="AM52" s="27">
        <f t="shared" ca="1" si="30"/>
        <v>0</v>
      </c>
      <c r="AN52" s="27">
        <f t="shared" si="41"/>
        <v>0</v>
      </c>
      <c r="AO52" s="27">
        <f t="shared" si="42"/>
        <v>0</v>
      </c>
      <c r="AP52" s="27">
        <f t="shared" si="43"/>
        <v>0</v>
      </c>
      <c r="AQ52" s="27">
        <f t="shared" si="67"/>
        <v>0</v>
      </c>
      <c r="AR52" s="27">
        <f t="shared" si="68"/>
        <v>0</v>
      </c>
      <c r="AS52" s="50"/>
      <c r="AT52" s="57"/>
      <c r="AU52" s="57"/>
      <c r="AV52" s="57"/>
      <c r="AW52" s="57"/>
      <c r="AX52" s="57"/>
      <c r="AY52" s="57"/>
      <c r="AZ52" s="57"/>
      <c r="BA52" s="57"/>
    </row>
    <row r="53" spans="1:53" ht="14" customHeight="1">
      <c r="B53" s="17">
        <f t="shared" si="5"/>
        <v>45</v>
      </c>
      <c r="C53" s="17">
        <f t="shared" si="6"/>
        <v>4</v>
      </c>
      <c r="E53" s="505">
        <f t="shared" si="33"/>
        <v>0</v>
      </c>
      <c r="F53" s="499">
        <f t="shared" si="44"/>
        <v>0</v>
      </c>
      <c r="G53" s="486">
        <f t="shared" si="34"/>
        <v>1.0000000000000002</v>
      </c>
      <c r="H53" s="505">
        <f t="shared" si="45"/>
        <v>0</v>
      </c>
      <c r="I53" s="505">
        <f t="shared" si="0"/>
        <v>0</v>
      </c>
      <c r="J53" s="505">
        <f t="shared" ca="1" si="40"/>
        <v>-8.7326343247012128E-10</v>
      </c>
      <c r="K53" s="505">
        <f t="shared" ca="1" si="35"/>
        <v>-7.2771952705843439E-13</v>
      </c>
      <c r="L53" s="505">
        <f t="shared" si="46"/>
        <v>0</v>
      </c>
      <c r="M53" s="28">
        <f t="shared" si="47"/>
        <v>0</v>
      </c>
      <c r="N53" s="28">
        <f t="shared" si="36"/>
        <v>0</v>
      </c>
      <c r="O53" s="28">
        <f t="shared" si="48"/>
        <v>0</v>
      </c>
      <c r="P53" s="28">
        <f t="shared" si="49"/>
        <v>0</v>
      </c>
      <c r="Q53" s="28">
        <f t="shared" si="50"/>
        <v>0</v>
      </c>
      <c r="R53" s="28">
        <f t="shared" si="51"/>
        <v>0</v>
      </c>
      <c r="T53" s="36">
        <f t="shared" si="52"/>
        <v>0.02</v>
      </c>
      <c r="U53" s="36">
        <f t="shared" si="53"/>
        <v>4.4999999999999998E-2</v>
      </c>
      <c r="V53" s="36">
        <f t="shared" si="54"/>
        <v>4.4999999999999998E-2</v>
      </c>
      <c r="W53" s="28">
        <f t="shared" ca="1" si="55"/>
        <v>0</v>
      </c>
      <c r="X53" s="28">
        <f t="shared" ca="1" si="56"/>
        <v>0</v>
      </c>
      <c r="Y53" s="28">
        <f t="shared" ca="1" si="37"/>
        <v>0</v>
      </c>
      <c r="Z53" s="28">
        <f t="shared" ca="1" si="57"/>
        <v>0</v>
      </c>
      <c r="AA53" s="28">
        <f t="shared" si="58"/>
        <v>0</v>
      </c>
      <c r="AB53" s="28">
        <f t="shared" si="59"/>
        <v>0</v>
      </c>
      <c r="AC53" s="28">
        <f t="shared" ca="1" si="38"/>
        <v>0</v>
      </c>
      <c r="AD53" s="28">
        <f t="shared" ca="1" si="60"/>
        <v>0</v>
      </c>
      <c r="AE53" s="28">
        <f t="shared" ca="1" si="61"/>
        <v>0</v>
      </c>
      <c r="AF53" s="28">
        <f t="shared" ca="1" si="62"/>
        <v>0</v>
      </c>
      <c r="AG53" s="28">
        <f t="shared" ca="1" si="63"/>
        <v>0</v>
      </c>
      <c r="AH53" s="28">
        <f t="shared" ca="1" si="64"/>
        <v>0</v>
      </c>
      <c r="AI53" s="28">
        <f t="shared" ca="1" si="39"/>
        <v>0</v>
      </c>
      <c r="AJ53" s="28">
        <f t="shared" si="65"/>
        <v>0</v>
      </c>
      <c r="AK53" s="28">
        <f t="shared" ca="1" si="66"/>
        <v>0</v>
      </c>
      <c r="AM53" s="28">
        <f t="shared" ca="1" si="30"/>
        <v>0</v>
      </c>
      <c r="AN53" s="28">
        <f t="shared" si="41"/>
        <v>0</v>
      </c>
      <c r="AO53" s="28">
        <f t="shared" si="42"/>
        <v>0</v>
      </c>
      <c r="AP53" s="28">
        <f t="shared" si="43"/>
        <v>0</v>
      </c>
      <c r="AQ53" s="28">
        <f t="shared" si="67"/>
        <v>0</v>
      </c>
      <c r="AR53" s="28">
        <f t="shared" si="68"/>
        <v>0</v>
      </c>
      <c r="AS53" s="50"/>
      <c r="AT53" s="57"/>
      <c r="AU53" s="57"/>
      <c r="AV53" s="57"/>
      <c r="AW53" s="57"/>
      <c r="AX53" s="57"/>
      <c r="AY53" s="57"/>
      <c r="AZ53" s="57"/>
      <c r="BA53" s="57"/>
    </row>
    <row r="54" spans="1:53" ht="14" customHeight="1">
      <c r="B54" s="15">
        <f t="shared" si="5"/>
        <v>46</v>
      </c>
      <c r="C54" s="15">
        <f t="shared" si="6"/>
        <v>4</v>
      </c>
      <c r="E54" s="503">
        <f t="shared" si="33"/>
        <v>0</v>
      </c>
      <c r="F54" s="497">
        <f t="shared" si="44"/>
        <v>0</v>
      </c>
      <c r="G54" s="484">
        <f t="shared" si="34"/>
        <v>1.0000000000000002</v>
      </c>
      <c r="H54" s="503">
        <f t="shared" si="45"/>
        <v>0</v>
      </c>
      <c r="I54" s="503">
        <f t="shared" si="0"/>
        <v>0</v>
      </c>
      <c r="J54" s="503">
        <f t="shared" ca="1" si="40"/>
        <v>-8.7326343247012128E-10</v>
      </c>
      <c r="K54" s="503">
        <f t="shared" ca="1" si="35"/>
        <v>-7.2771952705843439E-13</v>
      </c>
      <c r="L54" s="503">
        <f t="shared" si="46"/>
        <v>0</v>
      </c>
      <c r="M54" s="26">
        <f t="shared" si="47"/>
        <v>0</v>
      </c>
      <c r="N54" s="26">
        <f t="shared" si="36"/>
        <v>0</v>
      </c>
      <c r="O54" s="26">
        <f t="shared" si="48"/>
        <v>0</v>
      </c>
      <c r="P54" s="26">
        <f t="shared" si="49"/>
        <v>0</v>
      </c>
      <c r="Q54" s="26">
        <f t="shared" si="50"/>
        <v>0</v>
      </c>
      <c r="R54" s="26">
        <f t="shared" si="51"/>
        <v>0</v>
      </c>
      <c r="T54" s="31">
        <f t="shared" si="52"/>
        <v>0.02</v>
      </c>
      <c r="U54" s="31">
        <f t="shared" si="53"/>
        <v>4.4999999999999998E-2</v>
      </c>
      <c r="V54" s="31">
        <f t="shared" si="54"/>
        <v>4.4999999999999998E-2</v>
      </c>
      <c r="W54" s="26">
        <f t="shared" ca="1" si="55"/>
        <v>0</v>
      </c>
      <c r="X54" s="26">
        <f t="shared" ca="1" si="56"/>
        <v>0</v>
      </c>
      <c r="Y54" s="26">
        <f t="shared" ca="1" si="37"/>
        <v>0</v>
      </c>
      <c r="Z54" s="26">
        <f t="shared" ca="1" si="57"/>
        <v>0</v>
      </c>
      <c r="AA54" s="26">
        <f t="shared" si="58"/>
        <v>0</v>
      </c>
      <c r="AB54" s="26">
        <f t="shared" si="59"/>
        <v>0</v>
      </c>
      <c r="AC54" s="26">
        <f t="shared" ca="1" si="38"/>
        <v>0</v>
      </c>
      <c r="AD54" s="26">
        <f t="shared" ca="1" si="60"/>
        <v>0</v>
      </c>
      <c r="AE54" s="26">
        <f t="shared" ca="1" si="61"/>
        <v>0</v>
      </c>
      <c r="AF54" s="26">
        <f t="shared" ca="1" si="62"/>
        <v>0</v>
      </c>
      <c r="AG54" s="26">
        <f t="shared" ca="1" si="63"/>
        <v>0</v>
      </c>
      <c r="AH54" s="26">
        <f t="shared" ca="1" si="64"/>
        <v>0</v>
      </c>
      <c r="AI54" s="26">
        <f t="shared" ca="1" si="39"/>
        <v>0</v>
      </c>
      <c r="AJ54" s="26">
        <f t="shared" si="65"/>
        <v>0</v>
      </c>
      <c r="AK54" s="26">
        <f t="shared" ca="1" si="66"/>
        <v>0</v>
      </c>
      <c r="AM54" s="26">
        <f t="shared" ca="1" si="30"/>
        <v>0</v>
      </c>
      <c r="AN54" s="26">
        <f t="shared" si="41"/>
        <v>0</v>
      </c>
      <c r="AO54" s="26">
        <f t="shared" si="42"/>
        <v>0</v>
      </c>
      <c r="AP54" s="26">
        <f t="shared" si="43"/>
        <v>0</v>
      </c>
      <c r="AQ54" s="26">
        <f t="shared" si="67"/>
        <v>0</v>
      </c>
      <c r="AR54" s="26">
        <f t="shared" si="68"/>
        <v>0</v>
      </c>
      <c r="AS54" s="50"/>
      <c r="AT54" s="57"/>
      <c r="AU54" s="57"/>
      <c r="AV54" s="57"/>
      <c r="AW54" s="57"/>
      <c r="AX54" s="57"/>
      <c r="AY54" s="57"/>
      <c r="AZ54" s="57"/>
      <c r="BA54" s="57"/>
    </row>
    <row r="55" spans="1:53" ht="14" customHeight="1">
      <c r="B55" s="16">
        <f t="shared" si="5"/>
        <v>47</v>
      </c>
      <c r="C55" s="16">
        <f t="shared" si="6"/>
        <v>4</v>
      </c>
      <c r="E55" s="504">
        <f t="shared" si="33"/>
        <v>0</v>
      </c>
      <c r="F55" s="498">
        <f t="shared" si="44"/>
        <v>0</v>
      </c>
      <c r="G55" s="485">
        <f t="shared" si="34"/>
        <v>1.0000000000000002</v>
      </c>
      <c r="H55" s="504">
        <f t="shared" si="45"/>
        <v>0</v>
      </c>
      <c r="I55" s="504">
        <f t="shared" si="0"/>
        <v>0</v>
      </c>
      <c r="J55" s="504">
        <f t="shared" ca="1" si="40"/>
        <v>-8.7326343247012128E-10</v>
      </c>
      <c r="K55" s="504">
        <f t="shared" ca="1" si="35"/>
        <v>-7.2771952705843439E-13</v>
      </c>
      <c r="L55" s="504">
        <f t="shared" si="46"/>
        <v>0</v>
      </c>
      <c r="M55" s="27">
        <f t="shared" si="47"/>
        <v>0</v>
      </c>
      <c r="N55" s="27">
        <f t="shared" si="36"/>
        <v>0</v>
      </c>
      <c r="O55" s="27">
        <f t="shared" si="48"/>
        <v>0</v>
      </c>
      <c r="P55" s="27">
        <f t="shared" si="49"/>
        <v>0</v>
      </c>
      <c r="Q55" s="27">
        <f t="shared" si="50"/>
        <v>0</v>
      </c>
      <c r="R55" s="27">
        <f t="shared" si="51"/>
        <v>0</v>
      </c>
      <c r="T55" s="35">
        <f t="shared" si="52"/>
        <v>0.02</v>
      </c>
      <c r="U55" s="35">
        <f t="shared" si="53"/>
        <v>4.4999999999999998E-2</v>
      </c>
      <c r="V55" s="35">
        <f t="shared" si="54"/>
        <v>4.4999999999999998E-2</v>
      </c>
      <c r="W55" s="27">
        <f t="shared" ca="1" si="55"/>
        <v>0</v>
      </c>
      <c r="X55" s="27">
        <f t="shared" ca="1" si="56"/>
        <v>0</v>
      </c>
      <c r="Y55" s="27">
        <f t="shared" ca="1" si="37"/>
        <v>0</v>
      </c>
      <c r="Z55" s="27">
        <f t="shared" ca="1" si="57"/>
        <v>0</v>
      </c>
      <c r="AA55" s="27">
        <f t="shared" si="58"/>
        <v>0</v>
      </c>
      <c r="AB55" s="27">
        <f t="shared" si="59"/>
        <v>0</v>
      </c>
      <c r="AC55" s="27">
        <f t="shared" ca="1" si="38"/>
        <v>0</v>
      </c>
      <c r="AD55" s="27">
        <f t="shared" ca="1" si="60"/>
        <v>0</v>
      </c>
      <c r="AE55" s="27">
        <f t="shared" ca="1" si="61"/>
        <v>0</v>
      </c>
      <c r="AF55" s="27">
        <f t="shared" ca="1" si="62"/>
        <v>0</v>
      </c>
      <c r="AG55" s="27">
        <f t="shared" ca="1" si="63"/>
        <v>0</v>
      </c>
      <c r="AH55" s="27">
        <f t="shared" ca="1" si="64"/>
        <v>0</v>
      </c>
      <c r="AI55" s="27">
        <f t="shared" ca="1" si="39"/>
        <v>0</v>
      </c>
      <c r="AJ55" s="27">
        <f t="shared" si="65"/>
        <v>0</v>
      </c>
      <c r="AK55" s="27">
        <f t="shared" ca="1" si="66"/>
        <v>0</v>
      </c>
      <c r="AM55" s="27">
        <f t="shared" ca="1" si="30"/>
        <v>0</v>
      </c>
      <c r="AN55" s="27">
        <f t="shared" si="41"/>
        <v>0</v>
      </c>
      <c r="AO55" s="27">
        <f t="shared" si="42"/>
        <v>0</v>
      </c>
      <c r="AP55" s="27">
        <f t="shared" si="43"/>
        <v>0</v>
      </c>
      <c r="AQ55" s="27">
        <f t="shared" si="67"/>
        <v>0</v>
      </c>
      <c r="AR55" s="27">
        <f t="shared" si="68"/>
        <v>0</v>
      </c>
      <c r="AS55" s="50"/>
      <c r="AT55" s="57"/>
      <c r="AU55" s="57"/>
      <c r="AV55" s="57"/>
      <c r="AW55" s="57"/>
      <c r="AX55" s="57"/>
      <c r="AY55" s="57"/>
      <c r="AZ55" s="57"/>
      <c r="BA55" s="57"/>
    </row>
    <row r="56" spans="1:53" ht="14" customHeight="1" thickBot="1">
      <c r="B56" s="18">
        <f t="shared" si="5"/>
        <v>48</v>
      </c>
      <c r="C56" s="18">
        <f t="shared" si="6"/>
        <v>4</v>
      </c>
      <c r="E56" s="506">
        <f t="shared" si="33"/>
        <v>0</v>
      </c>
      <c r="F56" s="500">
        <f t="shared" si="44"/>
        <v>0</v>
      </c>
      <c r="G56" s="487">
        <f t="shared" si="34"/>
        <v>1.0000000000000002</v>
      </c>
      <c r="H56" s="506">
        <f t="shared" si="45"/>
        <v>0</v>
      </c>
      <c r="I56" s="506">
        <f t="shared" si="0"/>
        <v>0</v>
      </c>
      <c r="J56" s="506">
        <f t="shared" ca="1" si="40"/>
        <v>-8.7326343247012128E-10</v>
      </c>
      <c r="K56" s="506">
        <f t="shared" ca="1" si="35"/>
        <v>-7.2771952705843439E-13</v>
      </c>
      <c r="L56" s="506">
        <f t="shared" si="46"/>
        <v>0</v>
      </c>
      <c r="M56" s="29">
        <f t="shared" si="47"/>
        <v>0</v>
      </c>
      <c r="N56" s="29">
        <f t="shared" si="36"/>
        <v>0</v>
      </c>
      <c r="O56" s="29">
        <f t="shared" si="48"/>
        <v>0</v>
      </c>
      <c r="P56" s="29">
        <f t="shared" si="49"/>
        <v>0</v>
      </c>
      <c r="Q56" s="29">
        <f t="shared" si="50"/>
        <v>0</v>
      </c>
      <c r="R56" s="29">
        <f t="shared" si="51"/>
        <v>0</v>
      </c>
      <c r="T56" s="37">
        <f t="shared" si="52"/>
        <v>0.02</v>
      </c>
      <c r="U56" s="37">
        <f t="shared" si="53"/>
        <v>4.4999999999999998E-2</v>
      </c>
      <c r="V56" s="37">
        <f t="shared" si="54"/>
        <v>4.4999999999999998E-2</v>
      </c>
      <c r="W56" s="29">
        <f t="shared" ca="1" si="55"/>
        <v>0</v>
      </c>
      <c r="X56" s="29">
        <f t="shared" ca="1" si="56"/>
        <v>0</v>
      </c>
      <c r="Y56" s="29">
        <f t="shared" ca="1" si="37"/>
        <v>0</v>
      </c>
      <c r="Z56" s="29">
        <f t="shared" ca="1" si="57"/>
        <v>0</v>
      </c>
      <c r="AA56" s="29">
        <f t="shared" si="58"/>
        <v>0</v>
      </c>
      <c r="AB56" s="29">
        <f t="shared" si="59"/>
        <v>0</v>
      </c>
      <c r="AC56" s="29">
        <f t="shared" ca="1" si="38"/>
        <v>0</v>
      </c>
      <c r="AD56" s="29">
        <f t="shared" ca="1" si="60"/>
        <v>0</v>
      </c>
      <c r="AE56" s="29">
        <f t="shared" ca="1" si="61"/>
        <v>0</v>
      </c>
      <c r="AF56" s="29">
        <f t="shared" ca="1" si="62"/>
        <v>0</v>
      </c>
      <c r="AG56" s="29">
        <f t="shared" ca="1" si="63"/>
        <v>0</v>
      </c>
      <c r="AH56" s="29">
        <f t="shared" ca="1" si="64"/>
        <v>0</v>
      </c>
      <c r="AI56" s="29">
        <f t="shared" ca="1" si="39"/>
        <v>0</v>
      </c>
      <c r="AJ56" s="29">
        <f t="shared" si="65"/>
        <v>0</v>
      </c>
      <c r="AK56" s="29">
        <f t="shared" ca="1" si="66"/>
        <v>0</v>
      </c>
      <c r="AM56" s="29">
        <f t="shared" ca="1" si="30"/>
        <v>0</v>
      </c>
      <c r="AN56" s="29">
        <f t="shared" si="41"/>
        <v>0</v>
      </c>
      <c r="AO56" s="29">
        <f t="shared" si="42"/>
        <v>0</v>
      </c>
      <c r="AP56" s="29">
        <f t="shared" si="43"/>
        <v>0</v>
      </c>
      <c r="AQ56" s="29">
        <f t="shared" si="67"/>
        <v>0</v>
      </c>
      <c r="AR56" s="29">
        <f t="shared" si="68"/>
        <v>0</v>
      </c>
      <c r="AS56" s="50"/>
      <c r="AT56" s="57"/>
      <c r="AU56" s="57"/>
      <c r="AV56" s="57"/>
      <c r="AW56" s="57"/>
      <c r="AX56" s="57"/>
      <c r="AY56" s="57"/>
      <c r="AZ56" s="57"/>
      <c r="BA56" s="57"/>
    </row>
    <row r="57" spans="1:53" ht="14" customHeight="1">
      <c r="B57" s="19">
        <f t="shared" si="5"/>
        <v>49</v>
      </c>
      <c r="C57" s="19">
        <f t="shared" si="6"/>
        <v>5</v>
      </c>
      <c r="E57" s="507">
        <f t="shared" si="33"/>
        <v>0</v>
      </c>
      <c r="F57" s="501">
        <f t="shared" si="44"/>
        <v>0</v>
      </c>
      <c r="G57" s="488">
        <f t="shared" si="34"/>
        <v>1.0000000000000002</v>
      </c>
      <c r="H57" s="507">
        <f t="shared" si="45"/>
        <v>0</v>
      </c>
      <c r="I57" s="507">
        <f t="shared" si="0"/>
        <v>0</v>
      </c>
      <c r="J57" s="507">
        <f t="shared" ca="1" si="40"/>
        <v>-8.7326343247012128E-10</v>
      </c>
      <c r="K57" s="507">
        <f t="shared" ca="1" si="35"/>
        <v>-7.2771952705843439E-13</v>
      </c>
      <c r="L57" s="507">
        <f t="shared" si="46"/>
        <v>0</v>
      </c>
      <c r="M57" s="30">
        <f t="shared" si="47"/>
        <v>0</v>
      </c>
      <c r="N57" s="30">
        <f t="shared" si="36"/>
        <v>0</v>
      </c>
      <c r="O57" s="30">
        <f t="shared" si="48"/>
        <v>0</v>
      </c>
      <c r="P57" s="30">
        <f t="shared" si="49"/>
        <v>0</v>
      </c>
      <c r="Q57" s="30">
        <f t="shared" si="50"/>
        <v>0</v>
      </c>
      <c r="R57" s="30">
        <f t="shared" si="51"/>
        <v>0</v>
      </c>
      <c r="T57" s="38">
        <f t="shared" si="52"/>
        <v>0.02</v>
      </c>
      <c r="U57" s="38">
        <f t="shared" si="53"/>
        <v>4.4999999999999998E-2</v>
      </c>
      <c r="V57" s="38">
        <f t="shared" si="54"/>
        <v>4.4999999999999998E-2</v>
      </c>
      <c r="W57" s="30">
        <f t="shared" ca="1" si="55"/>
        <v>0</v>
      </c>
      <c r="X57" s="30">
        <f t="shared" ca="1" si="56"/>
        <v>0</v>
      </c>
      <c r="Y57" s="30">
        <f t="shared" ca="1" si="37"/>
        <v>0</v>
      </c>
      <c r="Z57" s="30">
        <f t="shared" ca="1" si="57"/>
        <v>0</v>
      </c>
      <c r="AA57" s="30">
        <f t="shared" si="58"/>
        <v>0</v>
      </c>
      <c r="AB57" s="30">
        <f t="shared" si="59"/>
        <v>0</v>
      </c>
      <c r="AC57" s="30">
        <f t="shared" ca="1" si="38"/>
        <v>0</v>
      </c>
      <c r="AD57" s="30">
        <f t="shared" ca="1" si="60"/>
        <v>0</v>
      </c>
      <c r="AE57" s="30">
        <f t="shared" ca="1" si="61"/>
        <v>0</v>
      </c>
      <c r="AF57" s="30">
        <f t="shared" ca="1" si="62"/>
        <v>0</v>
      </c>
      <c r="AG57" s="30">
        <f t="shared" ca="1" si="63"/>
        <v>0</v>
      </c>
      <c r="AH57" s="30">
        <f t="shared" ca="1" si="64"/>
        <v>0</v>
      </c>
      <c r="AI57" s="30">
        <f t="shared" ca="1" si="39"/>
        <v>0</v>
      </c>
      <c r="AJ57" s="30">
        <f t="shared" si="65"/>
        <v>0</v>
      </c>
      <c r="AK57" s="30">
        <f t="shared" ca="1" si="66"/>
        <v>0</v>
      </c>
      <c r="AM57" s="30">
        <f t="shared" ca="1" si="30"/>
        <v>0</v>
      </c>
      <c r="AN57" s="30">
        <f t="shared" si="41"/>
        <v>0</v>
      </c>
      <c r="AO57" s="30">
        <f t="shared" si="42"/>
        <v>0</v>
      </c>
      <c r="AP57" s="30">
        <f t="shared" si="43"/>
        <v>0</v>
      </c>
      <c r="AQ57" s="30">
        <f t="shared" si="67"/>
        <v>0</v>
      </c>
      <c r="AR57" s="30">
        <f t="shared" si="68"/>
        <v>0</v>
      </c>
      <c r="AS57" s="50"/>
      <c r="AT57" s="57"/>
      <c r="AU57" s="57"/>
      <c r="AV57" s="57"/>
      <c r="AW57" s="57"/>
      <c r="AX57" s="57"/>
      <c r="AY57" s="57"/>
      <c r="AZ57" s="57"/>
      <c r="BA57" s="57"/>
    </row>
    <row r="58" spans="1:53" ht="14" customHeight="1">
      <c r="B58" s="16">
        <f t="shared" si="5"/>
        <v>50</v>
      </c>
      <c r="C58" s="16">
        <f t="shared" si="6"/>
        <v>5</v>
      </c>
      <c r="E58" s="504">
        <f t="shared" si="33"/>
        <v>0</v>
      </c>
      <c r="F58" s="498">
        <f t="shared" si="44"/>
        <v>0</v>
      </c>
      <c r="G58" s="485">
        <f t="shared" si="34"/>
        <v>1.0000000000000002</v>
      </c>
      <c r="H58" s="504">
        <f t="shared" si="45"/>
        <v>0</v>
      </c>
      <c r="I58" s="504">
        <f t="shared" si="0"/>
        <v>0</v>
      </c>
      <c r="J58" s="504">
        <f t="shared" ca="1" si="40"/>
        <v>-8.7326343247012128E-10</v>
      </c>
      <c r="K58" s="504">
        <f t="shared" ca="1" si="35"/>
        <v>-7.2771952705843439E-13</v>
      </c>
      <c r="L58" s="504">
        <f t="shared" si="46"/>
        <v>0</v>
      </c>
      <c r="M58" s="27">
        <f t="shared" si="47"/>
        <v>0</v>
      </c>
      <c r="N58" s="27">
        <f t="shared" si="36"/>
        <v>0</v>
      </c>
      <c r="O58" s="27">
        <f t="shared" si="48"/>
        <v>0</v>
      </c>
      <c r="P58" s="27">
        <f t="shared" si="49"/>
        <v>0</v>
      </c>
      <c r="Q58" s="27">
        <f t="shared" si="50"/>
        <v>0</v>
      </c>
      <c r="R58" s="27">
        <f t="shared" si="51"/>
        <v>0</v>
      </c>
      <c r="T58" s="35">
        <f t="shared" si="52"/>
        <v>0.02</v>
      </c>
      <c r="U58" s="35">
        <f t="shared" si="53"/>
        <v>4.4999999999999998E-2</v>
      </c>
      <c r="V58" s="35">
        <f t="shared" si="54"/>
        <v>4.4999999999999998E-2</v>
      </c>
      <c r="W58" s="27">
        <f t="shared" ca="1" si="55"/>
        <v>0</v>
      </c>
      <c r="X58" s="27">
        <f t="shared" ca="1" si="56"/>
        <v>0</v>
      </c>
      <c r="Y58" s="27">
        <f t="shared" ca="1" si="37"/>
        <v>0</v>
      </c>
      <c r="Z58" s="27">
        <f t="shared" ca="1" si="57"/>
        <v>0</v>
      </c>
      <c r="AA58" s="27">
        <f t="shared" si="58"/>
        <v>0</v>
      </c>
      <c r="AB58" s="27">
        <f t="shared" si="59"/>
        <v>0</v>
      </c>
      <c r="AC58" s="27">
        <f t="shared" ca="1" si="38"/>
        <v>0</v>
      </c>
      <c r="AD58" s="27">
        <f t="shared" ca="1" si="60"/>
        <v>0</v>
      </c>
      <c r="AE58" s="27">
        <f t="shared" ca="1" si="61"/>
        <v>0</v>
      </c>
      <c r="AF58" s="27">
        <f t="shared" ca="1" si="62"/>
        <v>0</v>
      </c>
      <c r="AG58" s="27">
        <f t="shared" ca="1" si="63"/>
        <v>0</v>
      </c>
      <c r="AH58" s="27">
        <f t="shared" ca="1" si="64"/>
        <v>0</v>
      </c>
      <c r="AI58" s="27">
        <f t="shared" ca="1" si="39"/>
        <v>0</v>
      </c>
      <c r="AJ58" s="27">
        <f t="shared" si="65"/>
        <v>0</v>
      </c>
      <c r="AK58" s="27">
        <f t="shared" ca="1" si="66"/>
        <v>0</v>
      </c>
      <c r="AM58" s="27">
        <f t="shared" ca="1" si="30"/>
        <v>0</v>
      </c>
      <c r="AN58" s="27">
        <f t="shared" si="41"/>
        <v>0</v>
      </c>
      <c r="AO58" s="27">
        <f t="shared" si="42"/>
        <v>0</v>
      </c>
      <c r="AP58" s="27">
        <f t="shared" si="43"/>
        <v>0</v>
      </c>
      <c r="AQ58" s="27">
        <f t="shared" si="67"/>
        <v>0</v>
      </c>
      <c r="AR58" s="27">
        <f t="shared" si="68"/>
        <v>0</v>
      </c>
      <c r="AS58" s="50"/>
      <c r="AT58" s="57"/>
      <c r="AU58" s="57"/>
      <c r="AV58" s="57"/>
      <c r="AW58" s="57"/>
      <c r="AX58" s="57"/>
      <c r="AY58" s="57"/>
      <c r="AZ58" s="57"/>
      <c r="BA58" s="57"/>
    </row>
    <row r="59" spans="1:53" ht="14" customHeight="1">
      <c r="B59" s="17">
        <f t="shared" si="5"/>
        <v>51</v>
      </c>
      <c r="C59" s="17">
        <f t="shared" si="6"/>
        <v>5</v>
      </c>
      <c r="E59" s="505">
        <f t="shared" si="33"/>
        <v>0</v>
      </c>
      <c r="F59" s="499">
        <f t="shared" si="44"/>
        <v>0</v>
      </c>
      <c r="G59" s="486">
        <f t="shared" si="34"/>
        <v>1.0000000000000002</v>
      </c>
      <c r="H59" s="505">
        <f t="shared" si="45"/>
        <v>0</v>
      </c>
      <c r="I59" s="505">
        <f t="shared" si="0"/>
        <v>0</v>
      </c>
      <c r="J59" s="505">
        <f t="shared" ca="1" si="40"/>
        <v>-8.7326343247012128E-10</v>
      </c>
      <c r="K59" s="505">
        <f t="shared" ca="1" si="35"/>
        <v>-7.2771952705843439E-13</v>
      </c>
      <c r="L59" s="505">
        <f t="shared" si="46"/>
        <v>0</v>
      </c>
      <c r="M59" s="28">
        <f t="shared" si="47"/>
        <v>0</v>
      </c>
      <c r="N59" s="28">
        <f t="shared" si="36"/>
        <v>0</v>
      </c>
      <c r="O59" s="28">
        <f t="shared" si="48"/>
        <v>0</v>
      </c>
      <c r="P59" s="28">
        <f t="shared" si="49"/>
        <v>0</v>
      </c>
      <c r="Q59" s="28">
        <f t="shared" si="50"/>
        <v>0</v>
      </c>
      <c r="R59" s="28">
        <f t="shared" si="51"/>
        <v>0</v>
      </c>
      <c r="T59" s="36">
        <f t="shared" si="52"/>
        <v>0.02</v>
      </c>
      <c r="U59" s="36">
        <f t="shared" si="53"/>
        <v>4.4999999999999998E-2</v>
      </c>
      <c r="V59" s="36">
        <f t="shared" si="54"/>
        <v>4.4999999999999998E-2</v>
      </c>
      <c r="W59" s="28">
        <f t="shared" ca="1" si="55"/>
        <v>0</v>
      </c>
      <c r="X59" s="28">
        <f t="shared" ca="1" si="56"/>
        <v>0</v>
      </c>
      <c r="Y59" s="28">
        <f t="shared" ca="1" si="37"/>
        <v>0</v>
      </c>
      <c r="Z59" s="28">
        <f t="shared" ca="1" si="57"/>
        <v>0</v>
      </c>
      <c r="AA59" s="28">
        <f t="shared" si="58"/>
        <v>0</v>
      </c>
      <c r="AB59" s="28">
        <f t="shared" si="59"/>
        <v>0</v>
      </c>
      <c r="AC59" s="28">
        <f t="shared" ca="1" si="38"/>
        <v>0</v>
      </c>
      <c r="AD59" s="28">
        <f t="shared" ca="1" si="60"/>
        <v>0</v>
      </c>
      <c r="AE59" s="28">
        <f t="shared" ca="1" si="61"/>
        <v>0</v>
      </c>
      <c r="AF59" s="28">
        <f t="shared" ca="1" si="62"/>
        <v>0</v>
      </c>
      <c r="AG59" s="28">
        <f t="shared" ca="1" si="63"/>
        <v>0</v>
      </c>
      <c r="AH59" s="28">
        <f t="shared" ca="1" si="64"/>
        <v>0</v>
      </c>
      <c r="AI59" s="28">
        <f t="shared" ca="1" si="39"/>
        <v>0</v>
      </c>
      <c r="AJ59" s="28">
        <f t="shared" si="65"/>
        <v>0</v>
      </c>
      <c r="AK59" s="28">
        <f t="shared" ca="1" si="66"/>
        <v>0</v>
      </c>
      <c r="AM59" s="28">
        <f t="shared" ca="1" si="30"/>
        <v>0</v>
      </c>
      <c r="AN59" s="28">
        <f t="shared" si="41"/>
        <v>0</v>
      </c>
      <c r="AO59" s="28">
        <f t="shared" si="42"/>
        <v>0</v>
      </c>
      <c r="AP59" s="28">
        <f t="shared" si="43"/>
        <v>0</v>
      </c>
      <c r="AQ59" s="28">
        <f t="shared" si="67"/>
        <v>0</v>
      </c>
      <c r="AR59" s="28">
        <f t="shared" si="68"/>
        <v>0</v>
      </c>
      <c r="AS59" s="50"/>
      <c r="AT59" s="57"/>
      <c r="AU59" s="57"/>
      <c r="AV59" s="57"/>
      <c r="AW59" s="57"/>
      <c r="AX59" s="57"/>
      <c r="AY59" s="57"/>
      <c r="AZ59" s="57"/>
      <c r="BA59" s="57"/>
    </row>
    <row r="60" spans="1:53" ht="14" customHeight="1">
      <c r="B60" s="15">
        <f t="shared" si="5"/>
        <v>52</v>
      </c>
      <c r="C60" s="15">
        <f t="shared" si="6"/>
        <v>5</v>
      </c>
      <c r="E60" s="503">
        <f t="shared" si="33"/>
        <v>0</v>
      </c>
      <c r="F60" s="497">
        <f t="shared" si="44"/>
        <v>0</v>
      </c>
      <c r="G60" s="484">
        <f t="shared" si="34"/>
        <v>1.0000000000000002</v>
      </c>
      <c r="H60" s="503">
        <f t="shared" si="45"/>
        <v>0</v>
      </c>
      <c r="I60" s="503">
        <f t="shared" si="0"/>
        <v>0</v>
      </c>
      <c r="J60" s="503">
        <f t="shared" ca="1" si="40"/>
        <v>-8.7326343247012128E-10</v>
      </c>
      <c r="K60" s="503">
        <f t="shared" ca="1" si="35"/>
        <v>-7.2771952705843439E-13</v>
      </c>
      <c r="L60" s="503">
        <f t="shared" si="46"/>
        <v>0</v>
      </c>
      <c r="M60" s="26">
        <f t="shared" si="47"/>
        <v>0</v>
      </c>
      <c r="N60" s="26">
        <f t="shared" si="36"/>
        <v>0</v>
      </c>
      <c r="O60" s="26">
        <f t="shared" si="48"/>
        <v>0</v>
      </c>
      <c r="P60" s="26">
        <f t="shared" si="49"/>
        <v>0</v>
      </c>
      <c r="Q60" s="26">
        <f t="shared" si="50"/>
        <v>0</v>
      </c>
      <c r="R60" s="26">
        <f t="shared" si="51"/>
        <v>0</v>
      </c>
      <c r="T60" s="31">
        <f t="shared" si="52"/>
        <v>0.02</v>
      </c>
      <c r="U60" s="31">
        <f t="shared" si="53"/>
        <v>4.4999999999999998E-2</v>
      </c>
      <c r="V60" s="31">
        <f t="shared" si="54"/>
        <v>4.4999999999999998E-2</v>
      </c>
      <c r="W60" s="26">
        <f t="shared" ca="1" si="55"/>
        <v>0</v>
      </c>
      <c r="X60" s="26">
        <f t="shared" ca="1" si="56"/>
        <v>0</v>
      </c>
      <c r="Y60" s="26">
        <f t="shared" ca="1" si="37"/>
        <v>0</v>
      </c>
      <c r="Z60" s="26">
        <f t="shared" ca="1" si="57"/>
        <v>0</v>
      </c>
      <c r="AA60" s="26">
        <f t="shared" si="58"/>
        <v>0</v>
      </c>
      <c r="AB60" s="26">
        <f t="shared" si="59"/>
        <v>0</v>
      </c>
      <c r="AC60" s="26">
        <f t="shared" ca="1" si="38"/>
        <v>0</v>
      </c>
      <c r="AD60" s="26">
        <f t="shared" ca="1" si="60"/>
        <v>0</v>
      </c>
      <c r="AE60" s="26">
        <f t="shared" ca="1" si="61"/>
        <v>0</v>
      </c>
      <c r="AF60" s="26">
        <f t="shared" ca="1" si="62"/>
        <v>0</v>
      </c>
      <c r="AG60" s="26">
        <f t="shared" ca="1" si="63"/>
        <v>0</v>
      </c>
      <c r="AH60" s="26">
        <f t="shared" ca="1" si="64"/>
        <v>0</v>
      </c>
      <c r="AI60" s="26">
        <f t="shared" ca="1" si="39"/>
        <v>0</v>
      </c>
      <c r="AJ60" s="26">
        <f t="shared" si="65"/>
        <v>0</v>
      </c>
      <c r="AK60" s="26">
        <f t="shared" ca="1" si="66"/>
        <v>0</v>
      </c>
      <c r="AM60" s="26">
        <f t="shared" ca="1" si="30"/>
        <v>0</v>
      </c>
      <c r="AN60" s="26">
        <f t="shared" si="41"/>
        <v>0</v>
      </c>
      <c r="AO60" s="26">
        <f t="shared" si="42"/>
        <v>0</v>
      </c>
      <c r="AP60" s="26">
        <f t="shared" si="43"/>
        <v>0</v>
      </c>
      <c r="AQ60" s="26">
        <f t="shared" si="67"/>
        <v>0</v>
      </c>
      <c r="AR60" s="26">
        <f t="shared" si="68"/>
        <v>0</v>
      </c>
      <c r="AS60" s="50"/>
      <c r="AT60" s="57"/>
      <c r="AU60" s="57"/>
      <c r="AV60" s="57"/>
      <c r="AW60" s="57"/>
      <c r="AX60" s="57"/>
      <c r="AY60" s="57"/>
      <c r="AZ60" s="57"/>
      <c r="BA60" s="57"/>
    </row>
    <row r="61" spans="1:53" ht="14" customHeight="1">
      <c r="B61" s="16">
        <f t="shared" si="5"/>
        <v>53</v>
      </c>
      <c r="C61" s="16">
        <f t="shared" si="6"/>
        <v>5</v>
      </c>
      <c r="E61" s="504">
        <f t="shared" si="33"/>
        <v>0</v>
      </c>
      <c r="F61" s="498">
        <f t="shared" si="44"/>
        <v>0</v>
      </c>
      <c r="G61" s="485">
        <f t="shared" si="34"/>
        <v>1.0000000000000002</v>
      </c>
      <c r="H61" s="504">
        <f t="shared" si="45"/>
        <v>0</v>
      </c>
      <c r="I61" s="504">
        <f t="shared" si="0"/>
        <v>0</v>
      </c>
      <c r="J61" s="504">
        <f t="shared" ca="1" si="40"/>
        <v>-8.7326343247012128E-10</v>
      </c>
      <c r="K61" s="504">
        <f t="shared" ca="1" si="35"/>
        <v>-7.2771952705843439E-13</v>
      </c>
      <c r="L61" s="504">
        <f t="shared" si="46"/>
        <v>0</v>
      </c>
      <c r="M61" s="27">
        <f t="shared" si="47"/>
        <v>0</v>
      </c>
      <c r="N61" s="27">
        <f t="shared" si="36"/>
        <v>0</v>
      </c>
      <c r="O61" s="27">
        <f t="shared" si="48"/>
        <v>0</v>
      </c>
      <c r="P61" s="27">
        <f t="shared" si="49"/>
        <v>0</v>
      </c>
      <c r="Q61" s="27">
        <f t="shared" si="50"/>
        <v>0</v>
      </c>
      <c r="R61" s="27">
        <f t="shared" si="51"/>
        <v>0</v>
      </c>
      <c r="T61" s="35">
        <f t="shared" si="52"/>
        <v>0.02</v>
      </c>
      <c r="U61" s="35">
        <f t="shared" si="53"/>
        <v>4.4999999999999998E-2</v>
      </c>
      <c r="V61" s="35">
        <f t="shared" si="54"/>
        <v>4.4999999999999998E-2</v>
      </c>
      <c r="W61" s="27">
        <f t="shared" ca="1" si="55"/>
        <v>0</v>
      </c>
      <c r="X61" s="27">
        <f t="shared" ca="1" si="56"/>
        <v>0</v>
      </c>
      <c r="Y61" s="27">
        <f t="shared" ca="1" si="37"/>
        <v>0</v>
      </c>
      <c r="Z61" s="27">
        <f t="shared" ca="1" si="57"/>
        <v>0</v>
      </c>
      <c r="AA61" s="27">
        <f t="shared" si="58"/>
        <v>0</v>
      </c>
      <c r="AB61" s="27">
        <f t="shared" si="59"/>
        <v>0</v>
      </c>
      <c r="AC61" s="27">
        <f t="shared" ca="1" si="38"/>
        <v>0</v>
      </c>
      <c r="AD61" s="27">
        <f t="shared" ca="1" si="60"/>
        <v>0</v>
      </c>
      <c r="AE61" s="27">
        <f t="shared" ca="1" si="61"/>
        <v>0</v>
      </c>
      <c r="AF61" s="27">
        <f t="shared" ca="1" si="62"/>
        <v>0</v>
      </c>
      <c r="AG61" s="27">
        <f t="shared" ca="1" si="63"/>
        <v>0</v>
      </c>
      <c r="AH61" s="27">
        <f t="shared" ca="1" si="64"/>
        <v>0</v>
      </c>
      <c r="AI61" s="27">
        <f t="shared" ca="1" si="39"/>
        <v>0</v>
      </c>
      <c r="AJ61" s="27">
        <f t="shared" si="65"/>
        <v>0</v>
      </c>
      <c r="AK61" s="27">
        <f t="shared" ca="1" si="66"/>
        <v>0</v>
      </c>
      <c r="AM61" s="27">
        <f t="shared" ca="1" si="30"/>
        <v>0</v>
      </c>
      <c r="AN61" s="27">
        <f t="shared" si="41"/>
        <v>0</v>
      </c>
      <c r="AO61" s="27">
        <f t="shared" si="42"/>
        <v>0</v>
      </c>
      <c r="AP61" s="27">
        <f t="shared" si="43"/>
        <v>0</v>
      </c>
      <c r="AQ61" s="27">
        <f t="shared" si="67"/>
        <v>0</v>
      </c>
      <c r="AR61" s="27">
        <f t="shared" si="68"/>
        <v>0</v>
      </c>
      <c r="AS61" s="50"/>
      <c r="AT61" s="57"/>
      <c r="AU61" s="57"/>
      <c r="AV61" s="57"/>
      <c r="AW61" s="57"/>
      <c r="AX61" s="57"/>
      <c r="AY61" s="57"/>
      <c r="AZ61" s="57"/>
      <c r="BA61" s="57"/>
    </row>
    <row r="62" spans="1:53" ht="14" customHeight="1">
      <c r="B62" s="17">
        <f t="shared" si="5"/>
        <v>54</v>
      </c>
      <c r="C62" s="17">
        <f t="shared" si="6"/>
        <v>5</v>
      </c>
      <c r="E62" s="505">
        <f t="shared" si="33"/>
        <v>0</v>
      </c>
      <c r="F62" s="499">
        <f t="shared" si="44"/>
        <v>0</v>
      </c>
      <c r="G62" s="486">
        <f t="shared" si="34"/>
        <v>1.0000000000000002</v>
      </c>
      <c r="H62" s="505">
        <f t="shared" si="45"/>
        <v>0</v>
      </c>
      <c r="I62" s="505">
        <f t="shared" si="0"/>
        <v>0</v>
      </c>
      <c r="J62" s="505">
        <f t="shared" ca="1" si="40"/>
        <v>-8.7326343247012128E-10</v>
      </c>
      <c r="K62" s="505">
        <f t="shared" ca="1" si="35"/>
        <v>-7.2771952705843439E-13</v>
      </c>
      <c r="L62" s="505">
        <f t="shared" si="46"/>
        <v>0</v>
      </c>
      <c r="M62" s="28">
        <f t="shared" si="47"/>
        <v>0</v>
      </c>
      <c r="N62" s="28">
        <f t="shared" si="36"/>
        <v>0</v>
      </c>
      <c r="O62" s="28">
        <f t="shared" si="48"/>
        <v>0</v>
      </c>
      <c r="P62" s="28">
        <f t="shared" si="49"/>
        <v>0</v>
      </c>
      <c r="Q62" s="28">
        <f t="shared" si="50"/>
        <v>0</v>
      </c>
      <c r="R62" s="28">
        <f t="shared" si="51"/>
        <v>0</v>
      </c>
      <c r="T62" s="36">
        <f t="shared" si="52"/>
        <v>0.02</v>
      </c>
      <c r="U62" s="36">
        <f t="shared" si="53"/>
        <v>4.4999999999999998E-2</v>
      </c>
      <c r="V62" s="36">
        <f t="shared" si="54"/>
        <v>4.4999999999999998E-2</v>
      </c>
      <c r="W62" s="28">
        <f t="shared" ca="1" si="55"/>
        <v>0</v>
      </c>
      <c r="X62" s="28">
        <f t="shared" ca="1" si="56"/>
        <v>0</v>
      </c>
      <c r="Y62" s="28">
        <f t="shared" ca="1" si="37"/>
        <v>0</v>
      </c>
      <c r="Z62" s="28">
        <f t="shared" ca="1" si="57"/>
        <v>0</v>
      </c>
      <c r="AA62" s="28">
        <f t="shared" si="58"/>
        <v>0</v>
      </c>
      <c r="AB62" s="28">
        <f t="shared" si="59"/>
        <v>0</v>
      </c>
      <c r="AC62" s="28">
        <f t="shared" ca="1" si="38"/>
        <v>0</v>
      </c>
      <c r="AD62" s="28">
        <f t="shared" ca="1" si="60"/>
        <v>0</v>
      </c>
      <c r="AE62" s="28">
        <f t="shared" ca="1" si="61"/>
        <v>0</v>
      </c>
      <c r="AF62" s="28">
        <f t="shared" ca="1" si="62"/>
        <v>0</v>
      </c>
      <c r="AG62" s="28">
        <f t="shared" ca="1" si="63"/>
        <v>0</v>
      </c>
      <c r="AH62" s="28">
        <f t="shared" ca="1" si="64"/>
        <v>0</v>
      </c>
      <c r="AI62" s="28">
        <f t="shared" ca="1" si="39"/>
        <v>0</v>
      </c>
      <c r="AJ62" s="28">
        <f t="shared" si="65"/>
        <v>0</v>
      </c>
      <c r="AK62" s="28">
        <f t="shared" ca="1" si="66"/>
        <v>0</v>
      </c>
      <c r="AM62" s="28">
        <f t="shared" ca="1" si="30"/>
        <v>0</v>
      </c>
      <c r="AN62" s="28">
        <f t="shared" si="41"/>
        <v>0</v>
      </c>
      <c r="AO62" s="28">
        <f t="shared" si="42"/>
        <v>0</v>
      </c>
      <c r="AP62" s="28">
        <f t="shared" si="43"/>
        <v>0</v>
      </c>
      <c r="AQ62" s="28">
        <f t="shared" si="67"/>
        <v>0</v>
      </c>
      <c r="AR62" s="28">
        <f t="shared" si="68"/>
        <v>0</v>
      </c>
      <c r="AS62" s="50"/>
      <c r="AT62" s="57"/>
      <c r="AU62" s="57"/>
      <c r="AV62" s="57"/>
      <c r="AW62" s="57"/>
      <c r="AX62" s="57"/>
      <c r="AY62" s="57"/>
      <c r="AZ62" s="57"/>
      <c r="BA62" s="57"/>
    </row>
    <row r="63" spans="1:53" ht="14" customHeight="1">
      <c r="B63" s="15">
        <f t="shared" si="5"/>
        <v>55</v>
      </c>
      <c r="C63" s="15">
        <f t="shared" si="6"/>
        <v>5</v>
      </c>
      <c r="E63" s="503">
        <f t="shared" si="33"/>
        <v>0</v>
      </c>
      <c r="F63" s="497">
        <f t="shared" si="44"/>
        <v>0</v>
      </c>
      <c r="G63" s="484">
        <f t="shared" si="34"/>
        <v>1.0000000000000002</v>
      </c>
      <c r="H63" s="503">
        <f t="shared" si="45"/>
        <v>0</v>
      </c>
      <c r="I63" s="503">
        <f t="shared" si="0"/>
        <v>0</v>
      </c>
      <c r="J63" s="503">
        <f t="shared" ca="1" si="40"/>
        <v>-8.7326343247012128E-10</v>
      </c>
      <c r="K63" s="503">
        <f t="shared" ca="1" si="35"/>
        <v>-7.2771952705843439E-13</v>
      </c>
      <c r="L63" s="503">
        <f t="shared" si="46"/>
        <v>0</v>
      </c>
      <c r="M63" s="26">
        <f t="shared" si="47"/>
        <v>0</v>
      </c>
      <c r="N63" s="26">
        <f t="shared" si="36"/>
        <v>0</v>
      </c>
      <c r="O63" s="26">
        <f t="shared" si="48"/>
        <v>0</v>
      </c>
      <c r="P63" s="26">
        <f t="shared" si="49"/>
        <v>0</v>
      </c>
      <c r="Q63" s="26">
        <f t="shared" si="50"/>
        <v>0</v>
      </c>
      <c r="R63" s="26">
        <f t="shared" si="51"/>
        <v>0</v>
      </c>
      <c r="T63" s="31">
        <f t="shared" si="52"/>
        <v>0.02</v>
      </c>
      <c r="U63" s="31">
        <f t="shared" si="53"/>
        <v>4.4999999999999998E-2</v>
      </c>
      <c r="V63" s="31">
        <f t="shared" si="54"/>
        <v>4.4999999999999998E-2</v>
      </c>
      <c r="W63" s="26">
        <f t="shared" ca="1" si="55"/>
        <v>0</v>
      </c>
      <c r="X63" s="26">
        <f t="shared" ca="1" si="56"/>
        <v>0</v>
      </c>
      <c r="Y63" s="26">
        <f t="shared" ca="1" si="37"/>
        <v>0</v>
      </c>
      <c r="Z63" s="26">
        <f t="shared" ca="1" si="57"/>
        <v>0</v>
      </c>
      <c r="AA63" s="26">
        <f t="shared" si="58"/>
        <v>0</v>
      </c>
      <c r="AB63" s="26">
        <f t="shared" si="59"/>
        <v>0</v>
      </c>
      <c r="AC63" s="26">
        <f t="shared" ca="1" si="38"/>
        <v>0</v>
      </c>
      <c r="AD63" s="26">
        <f t="shared" ca="1" si="60"/>
        <v>0</v>
      </c>
      <c r="AE63" s="26">
        <f t="shared" ca="1" si="61"/>
        <v>0</v>
      </c>
      <c r="AF63" s="26">
        <f t="shared" ca="1" si="62"/>
        <v>0</v>
      </c>
      <c r="AG63" s="26">
        <f t="shared" ca="1" si="63"/>
        <v>0</v>
      </c>
      <c r="AH63" s="26">
        <f t="shared" ca="1" si="64"/>
        <v>0</v>
      </c>
      <c r="AI63" s="26">
        <f t="shared" ca="1" si="39"/>
        <v>0</v>
      </c>
      <c r="AJ63" s="26">
        <f t="shared" si="65"/>
        <v>0</v>
      </c>
      <c r="AK63" s="26">
        <f t="shared" ca="1" si="66"/>
        <v>0</v>
      </c>
      <c r="AM63" s="26">
        <f t="shared" ca="1" si="30"/>
        <v>0</v>
      </c>
      <c r="AN63" s="26">
        <f t="shared" si="41"/>
        <v>0</v>
      </c>
      <c r="AO63" s="26">
        <f t="shared" si="42"/>
        <v>0</v>
      </c>
      <c r="AP63" s="26">
        <f t="shared" si="43"/>
        <v>0</v>
      </c>
      <c r="AQ63" s="26">
        <f t="shared" si="67"/>
        <v>0</v>
      </c>
      <c r="AR63" s="26">
        <f t="shared" si="68"/>
        <v>0</v>
      </c>
      <c r="AS63" s="50"/>
      <c r="AT63" s="57"/>
      <c r="AU63" s="57"/>
      <c r="AV63" s="57"/>
      <c r="AW63" s="57"/>
      <c r="AX63" s="57"/>
      <c r="AY63" s="57"/>
      <c r="AZ63" s="57"/>
      <c r="BA63" s="57"/>
    </row>
    <row r="64" spans="1:53" ht="14" customHeight="1">
      <c r="B64" s="16">
        <f t="shared" si="5"/>
        <v>56</v>
      </c>
      <c r="C64" s="16">
        <f t="shared" si="6"/>
        <v>5</v>
      </c>
      <c r="E64" s="504">
        <f t="shared" si="33"/>
        <v>0</v>
      </c>
      <c r="F64" s="498">
        <f t="shared" si="44"/>
        <v>0</v>
      </c>
      <c r="G64" s="485">
        <f t="shared" si="34"/>
        <v>1.0000000000000002</v>
      </c>
      <c r="H64" s="504">
        <f t="shared" si="45"/>
        <v>0</v>
      </c>
      <c r="I64" s="504">
        <f t="shared" si="0"/>
        <v>0</v>
      </c>
      <c r="J64" s="504">
        <f t="shared" ca="1" si="40"/>
        <v>-8.7326343247012128E-10</v>
      </c>
      <c r="K64" s="504">
        <f t="shared" ca="1" si="35"/>
        <v>-7.2771952705843439E-13</v>
      </c>
      <c r="L64" s="504">
        <f t="shared" si="46"/>
        <v>0</v>
      </c>
      <c r="M64" s="27">
        <f t="shared" si="47"/>
        <v>0</v>
      </c>
      <c r="N64" s="27">
        <f t="shared" si="36"/>
        <v>0</v>
      </c>
      <c r="O64" s="27">
        <f t="shared" si="48"/>
        <v>0</v>
      </c>
      <c r="P64" s="27">
        <f t="shared" si="49"/>
        <v>0</v>
      </c>
      <c r="Q64" s="27">
        <f t="shared" si="50"/>
        <v>0</v>
      </c>
      <c r="R64" s="27">
        <f t="shared" si="51"/>
        <v>0</v>
      </c>
      <c r="T64" s="35">
        <f t="shared" si="52"/>
        <v>0.02</v>
      </c>
      <c r="U64" s="35">
        <f t="shared" si="53"/>
        <v>4.4999999999999998E-2</v>
      </c>
      <c r="V64" s="35">
        <f t="shared" si="54"/>
        <v>4.4999999999999998E-2</v>
      </c>
      <c r="W64" s="27">
        <f t="shared" ca="1" si="55"/>
        <v>0</v>
      </c>
      <c r="X64" s="27">
        <f t="shared" ca="1" si="56"/>
        <v>0</v>
      </c>
      <c r="Y64" s="27">
        <f t="shared" ca="1" si="37"/>
        <v>0</v>
      </c>
      <c r="Z64" s="27">
        <f t="shared" ca="1" si="57"/>
        <v>0</v>
      </c>
      <c r="AA64" s="27">
        <f t="shared" si="58"/>
        <v>0</v>
      </c>
      <c r="AB64" s="27">
        <f t="shared" si="59"/>
        <v>0</v>
      </c>
      <c r="AC64" s="27">
        <f t="shared" ca="1" si="38"/>
        <v>0</v>
      </c>
      <c r="AD64" s="27">
        <f t="shared" ca="1" si="60"/>
        <v>0</v>
      </c>
      <c r="AE64" s="27">
        <f t="shared" ca="1" si="61"/>
        <v>0</v>
      </c>
      <c r="AF64" s="27">
        <f t="shared" ca="1" si="62"/>
        <v>0</v>
      </c>
      <c r="AG64" s="27">
        <f t="shared" ca="1" si="63"/>
        <v>0</v>
      </c>
      <c r="AH64" s="27">
        <f t="shared" ca="1" si="64"/>
        <v>0</v>
      </c>
      <c r="AI64" s="27">
        <f t="shared" ca="1" si="39"/>
        <v>0</v>
      </c>
      <c r="AJ64" s="27">
        <f t="shared" si="65"/>
        <v>0</v>
      </c>
      <c r="AK64" s="27">
        <f t="shared" ca="1" si="66"/>
        <v>0</v>
      </c>
      <c r="AM64" s="27">
        <f t="shared" ca="1" si="30"/>
        <v>0</v>
      </c>
      <c r="AN64" s="27">
        <f t="shared" si="41"/>
        <v>0</v>
      </c>
      <c r="AO64" s="27">
        <f t="shared" si="42"/>
        <v>0</v>
      </c>
      <c r="AP64" s="27">
        <f t="shared" si="43"/>
        <v>0</v>
      </c>
      <c r="AQ64" s="27">
        <f t="shared" si="67"/>
        <v>0</v>
      </c>
      <c r="AR64" s="27">
        <f t="shared" si="68"/>
        <v>0</v>
      </c>
      <c r="AS64" s="50"/>
      <c r="AT64" s="57"/>
      <c r="AU64" s="57"/>
      <c r="AV64" s="57"/>
      <c r="AW64" s="57"/>
      <c r="AX64" s="57"/>
      <c r="AY64" s="57"/>
      <c r="AZ64" s="57"/>
      <c r="BA64" s="57"/>
    </row>
    <row r="65" spans="2:53" ht="14" customHeight="1">
      <c r="B65" s="17">
        <f t="shared" si="5"/>
        <v>57</v>
      </c>
      <c r="C65" s="17">
        <f t="shared" si="6"/>
        <v>5</v>
      </c>
      <c r="E65" s="505">
        <f t="shared" si="33"/>
        <v>0</v>
      </c>
      <c r="F65" s="499">
        <f t="shared" si="44"/>
        <v>0</v>
      </c>
      <c r="G65" s="486">
        <f t="shared" si="34"/>
        <v>1.0000000000000002</v>
      </c>
      <c r="H65" s="505">
        <f t="shared" si="45"/>
        <v>0</v>
      </c>
      <c r="I65" s="505">
        <f t="shared" si="0"/>
        <v>0</v>
      </c>
      <c r="J65" s="505">
        <f t="shared" ca="1" si="40"/>
        <v>-8.7326343247012128E-10</v>
      </c>
      <c r="K65" s="505">
        <f t="shared" ca="1" si="35"/>
        <v>-7.2771952705843439E-13</v>
      </c>
      <c r="L65" s="505">
        <f t="shared" si="46"/>
        <v>0</v>
      </c>
      <c r="M65" s="28">
        <f t="shared" si="47"/>
        <v>0</v>
      </c>
      <c r="N65" s="28">
        <f t="shared" si="36"/>
        <v>0</v>
      </c>
      <c r="O65" s="28">
        <f t="shared" si="48"/>
        <v>0</v>
      </c>
      <c r="P65" s="28">
        <f t="shared" si="49"/>
        <v>0</v>
      </c>
      <c r="Q65" s="28">
        <f t="shared" si="50"/>
        <v>0</v>
      </c>
      <c r="R65" s="28">
        <f t="shared" si="51"/>
        <v>0</v>
      </c>
      <c r="T65" s="36">
        <f t="shared" si="52"/>
        <v>0.02</v>
      </c>
      <c r="U65" s="36">
        <f t="shared" si="53"/>
        <v>4.4999999999999998E-2</v>
      </c>
      <c r="V65" s="36">
        <f t="shared" si="54"/>
        <v>4.4999999999999998E-2</v>
      </c>
      <c r="W65" s="28">
        <f t="shared" ca="1" si="55"/>
        <v>0</v>
      </c>
      <c r="X65" s="28">
        <f t="shared" ca="1" si="56"/>
        <v>0</v>
      </c>
      <c r="Y65" s="28">
        <f t="shared" ca="1" si="37"/>
        <v>0</v>
      </c>
      <c r="Z65" s="28">
        <f t="shared" ca="1" si="57"/>
        <v>0</v>
      </c>
      <c r="AA65" s="28">
        <f t="shared" si="58"/>
        <v>0</v>
      </c>
      <c r="AB65" s="28">
        <f t="shared" si="59"/>
        <v>0</v>
      </c>
      <c r="AC65" s="28">
        <f t="shared" ca="1" si="38"/>
        <v>0</v>
      </c>
      <c r="AD65" s="28">
        <f t="shared" ca="1" si="60"/>
        <v>0</v>
      </c>
      <c r="AE65" s="28">
        <f t="shared" ca="1" si="61"/>
        <v>0</v>
      </c>
      <c r="AF65" s="28">
        <f t="shared" ca="1" si="62"/>
        <v>0</v>
      </c>
      <c r="AG65" s="28">
        <f t="shared" ca="1" si="63"/>
        <v>0</v>
      </c>
      <c r="AH65" s="28">
        <f t="shared" ca="1" si="64"/>
        <v>0</v>
      </c>
      <c r="AI65" s="28">
        <f t="shared" ca="1" si="39"/>
        <v>0</v>
      </c>
      <c r="AJ65" s="28">
        <f t="shared" si="65"/>
        <v>0</v>
      </c>
      <c r="AK65" s="28">
        <f t="shared" ca="1" si="66"/>
        <v>0</v>
      </c>
      <c r="AM65" s="28">
        <f t="shared" ca="1" si="30"/>
        <v>0</v>
      </c>
      <c r="AN65" s="28">
        <f t="shared" si="41"/>
        <v>0</v>
      </c>
      <c r="AO65" s="28">
        <f t="shared" si="42"/>
        <v>0</v>
      </c>
      <c r="AP65" s="28">
        <f t="shared" si="43"/>
        <v>0</v>
      </c>
      <c r="AQ65" s="28">
        <f t="shared" si="67"/>
        <v>0</v>
      </c>
      <c r="AR65" s="28">
        <f t="shared" si="68"/>
        <v>0</v>
      </c>
      <c r="AS65" s="50"/>
      <c r="AT65" s="57"/>
      <c r="AU65" s="57"/>
      <c r="AV65" s="57"/>
      <c r="AW65" s="57"/>
      <c r="AX65" s="57"/>
      <c r="AY65" s="57"/>
      <c r="AZ65" s="57"/>
      <c r="BA65" s="57"/>
    </row>
    <row r="66" spans="2:53" ht="14" customHeight="1">
      <c r="B66" s="15">
        <f t="shared" si="5"/>
        <v>58</v>
      </c>
      <c r="C66" s="15">
        <f t="shared" si="6"/>
        <v>5</v>
      </c>
      <c r="E66" s="503">
        <f t="shared" si="33"/>
        <v>0</v>
      </c>
      <c r="F66" s="497">
        <f t="shared" si="44"/>
        <v>0</v>
      </c>
      <c r="G66" s="484">
        <f t="shared" si="34"/>
        <v>1.0000000000000002</v>
      </c>
      <c r="H66" s="503">
        <f t="shared" si="45"/>
        <v>0</v>
      </c>
      <c r="I66" s="503">
        <f t="shared" si="0"/>
        <v>0</v>
      </c>
      <c r="J66" s="503">
        <f t="shared" ca="1" si="40"/>
        <v>-8.7326343247012128E-10</v>
      </c>
      <c r="K66" s="503">
        <f t="shared" ca="1" si="35"/>
        <v>-7.2771952705843439E-13</v>
      </c>
      <c r="L66" s="503">
        <f t="shared" si="46"/>
        <v>0</v>
      </c>
      <c r="M66" s="26">
        <f t="shared" si="47"/>
        <v>0</v>
      </c>
      <c r="N66" s="26">
        <f t="shared" si="36"/>
        <v>0</v>
      </c>
      <c r="O66" s="26">
        <f t="shared" si="48"/>
        <v>0</v>
      </c>
      <c r="P66" s="26">
        <f t="shared" si="49"/>
        <v>0</v>
      </c>
      <c r="Q66" s="26">
        <f t="shared" si="50"/>
        <v>0</v>
      </c>
      <c r="R66" s="26">
        <f t="shared" si="51"/>
        <v>0</v>
      </c>
      <c r="T66" s="31">
        <f t="shared" si="52"/>
        <v>0.02</v>
      </c>
      <c r="U66" s="31">
        <f t="shared" si="53"/>
        <v>4.4999999999999998E-2</v>
      </c>
      <c r="V66" s="31">
        <f t="shared" si="54"/>
        <v>4.4999999999999998E-2</v>
      </c>
      <c r="W66" s="26">
        <f t="shared" ca="1" si="55"/>
        <v>0</v>
      </c>
      <c r="X66" s="26">
        <f t="shared" ca="1" si="56"/>
        <v>0</v>
      </c>
      <c r="Y66" s="26">
        <f t="shared" ca="1" si="37"/>
        <v>0</v>
      </c>
      <c r="Z66" s="26">
        <f t="shared" ca="1" si="57"/>
        <v>0</v>
      </c>
      <c r="AA66" s="26">
        <f t="shared" si="58"/>
        <v>0</v>
      </c>
      <c r="AB66" s="26">
        <f t="shared" si="59"/>
        <v>0</v>
      </c>
      <c r="AC66" s="26">
        <f t="shared" ca="1" si="38"/>
        <v>0</v>
      </c>
      <c r="AD66" s="26">
        <f t="shared" ca="1" si="60"/>
        <v>0</v>
      </c>
      <c r="AE66" s="26">
        <f t="shared" ca="1" si="61"/>
        <v>0</v>
      </c>
      <c r="AF66" s="26">
        <f t="shared" ca="1" si="62"/>
        <v>0</v>
      </c>
      <c r="AG66" s="26">
        <f t="shared" ca="1" si="63"/>
        <v>0</v>
      </c>
      <c r="AH66" s="26">
        <f t="shared" ca="1" si="64"/>
        <v>0</v>
      </c>
      <c r="AI66" s="26">
        <f t="shared" ca="1" si="39"/>
        <v>0</v>
      </c>
      <c r="AJ66" s="26">
        <f t="shared" si="65"/>
        <v>0</v>
      </c>
      <c r="AK66" s="26">
        <f t="shared" ca="1" si="66"/>
        <v>0</v>
      </c>
      <c r="AM66" s="26">
        <f t="shared" ca="1" si="30"/>
        <v>0</v>
      </c>
      <c r="AN66" s="26">
        <f t="shared" si="41"/>
        <v>0</v>
      </c>
      <c r="AO66" s="26">
        <f t="shared" si="42"/>
        <v>0</v>
      </c>
      <c r="AP66" s="26">
        <f t="shared" si="43"/>
        <v>0</v>
      </c>
      <c r="AQ66" s="26">
        <f t="shared" si="67"/>
        <v>0</v>
      </c>
      <c r="AR66" s="26">
        <f t="shared" si="68"/>
        <v>0</v>
      </c>
      <c r="AS66" s="50"/>
      <c r="AT66" s="57"/>
      <c r="AU66" s="57"/>
      <c r="AV66" s="57"/>
      <c r="AW66" s="57"/>
      <c r="AX66" s="57"/>
      <c r="AY66" s="57"/>
      <c r="AZ66" s="57"/>
      <c r="BA66" s="57"/>
    </row>
    <row r="67" spans="2:53" ht="14" customHeight="1">
      <c r="B67" s="16">
        <f t="shared" si="5"/>
        <v>59</v>
      </c>
      <c r="C67" s="16">
        <f t="shared" si="6"/>
        <v>5</v>
      </c>
      <c r="E67" s="504">
        <f t="shared" si="33"/>
        <v>0</v>
      </c>
      <c r="F67" s="498">
        <f t="shared" si="44"/>
        <v>0</v>
      </c>
      <c r="G67" s="485">
        <f t="shared" si="34"/>
        <v>1.0000000000000002</v>
      </c>
      <c r="H67" s="504">
        <f t="shared" si="45"/>
        <v>0</v>
      </c>
      <c r="I67" s="504">
        <f t="shared" si="0"/>
        <v>0</v>
      </c>
      <c r="J67" s="504">
        <f t="shared" ca="1" si="40"/>
        <v>-8.7326343247012128E-10</v>
      </c>
      <c r="K67" s="504">
        <f t="shared" ca="1" si="35"/>
        <v>-7.2771952705843439E-13</v>
      </c>
      <c r="L67" s="504">
        <f t="shared" si="46"/>
        <v>0</v>
      </c>
      <c r="M67" s="27">
        <f t="shared" si="47"/>
        <v>0</v>
      </c>
      <c r="N67" s="27">
        <f t="shared" si="36"/>
        <v>0</v>
      </c>
      <c r="O67" s="27">
        <f t="shared" si="48"/>
        <v>0</v>
      </c>
      <c r="P67" s="27">
        <f t="shared" si="49"/>
        <v>0</v>
      </c>
      <c r="Q67" s="27">
        <f t="shared" si="50"/>
        <v>0</v>
      </c>
      <c r="R67" s="27">
        <f t="shared" si="51"/>
        <v>0</v>
      </c>
      <c r="T67" s="35">
        <f t="shared" si="52"/>
        <v>0.02</v>
      </c>
      <c r="U67" s="35">
        <f t="shared" si="53"/>
        <v>4.4999999999999998E-2</v>
      </c>
      <c r="V67" s="35">
        <f t="shared" si="54"/>
        <v>4.4999999999999998E-2</v>
      </c>
      <c r="W67" s="27">
        <f t="shared" ca="1" si="55"/>
        <v>0</v>
      </c>
      <c r="X67" s="27">
        <f t="shared" ca="1" si="56"/>
        <v>0</v>
      </c>
      <c r="Y67" s="27">
        <f t="shared" ca="1" si="37"/>
        <v>0</v>
      </c>
      <c r="Z67" s="27">
        <f t="shared" ca="1" si="57"/>
        <v>0</v>
      </c>
      <c r="AA67" s="27">
        <f t="shared" si="58"/>
        <v>0</v>
      </c>
      <c r="AB67" s="27">
        <f t="shared" si="59"/>
        <v>0</v>
      </c>
      <c r="AC67" s="27">
        <f t="shared" ca="1" si="38"/>
        <v>0</v>
      </c>
      <c r="AD67" s="27">
        <f t="shared" ca="1" si="60"/>
        <v>0</v>
      </c>
      <c r="AE67" s="27">
        <f t="shared" ca="1" si="61"/>
        <v>0</v>
      </c>
      <c r="AF67" s="27">
        <f t="shared" ca="1" si="62"/>
        <v>0</v>
      </c>
      <c r="AG67" s="27">
        <f t="shared" ca="1" si="63"/>
        <v>0</v>
      </c>
      <c r="AH67" s="27">
        <f t="shared" ca="1" si="64"/>
        <v>0</v>
      </c>
      <c r="AI67" s="27">
        <f t="shared" ca="1" si="39"/>
        <v>0</v>
      </c>
      <c r="AJ67" s="27">
        <f t="shared" si="65"/>
        <v>0</v>
      </c>
      <c r="AK67" s="27">
        <f t="shared" ca="1" si="66"/>
        <v>0</v>
      </c>
      <c r="AM67" s="27">
        <f t="shared" ca="1" si="30"/>
        <v>0</v>
      </c>
      <c r="AN67" s="27">
        <f t="shared" si="41"/>
        <v>0</v>
      </c>
      <c r="AO67" s="27">
        <f t="shared" si="42"/>
        <v>0</v>
      </c>
      <c r="AP67" s="27">
        <f t="shared" si="43"/>
        <v>0</v>
      </c>
      <c r="AQ67" s="27">
        <f t="shared" si="67"/>
        <v>0</v>
      </c>
      <c r="AR67" s="27">
        <f t="shared" si="68"/>
        <v>0</v>
      </c>
      <c r="AS67" s="50"/>
      <c r="AT67" s="57"/>
      <c r="AU67" s="57"/>
      <c r="AV67" s="57"/>
      <c r="AW67" s="57"/>
      <c r="AX67" s="57"/>
      <c r="AY67" s="57"/>
      <c r="AZ67" s="57"/>
      <c r="BA67" s="57"/>
    </row>
    <row r="68" spans="2:53" ht="14" customHeight="1" thickBot="1">
      <c r="B68" s="18">
        <f t="shared" si="5"/>
        <v>60</v>
      </c>
      <c r="C68" s="18">
        <f t="shared" si="6"/>
        <v>5</v>
      </c>
      <c r="E68" s="504">
        <f t="shared" si="33"/>
        <v>0</v>
      </c>
      <c r="F68" s="498">
        <f t="shared" si="44"/>
        <v>0</v>
      </c>
      <c r="G68" s="485">
        <f t="shared" si="34"/>
        <v>1.0000000000000002</v>
      </c>
      <c r="H68" s="504">
        <f t="shared" si="45"/>
        <v>0</v>
      </c>
      <c r="I68" s="504">
        <f t="shared" si="0"/>
        <v>0</v>
      </c>
      <c r="J68" s="504">
        <f t="shared" ca="1" si="40"/>
        <v>-8.7326343247012128E-10</v>
      </c>
      <c r="K68" s="504">
        <f t="shared" ca="1" si="35"/>
        <v>-7.2771952705843439E-13</v>
      </c>
      <c r="L68" s="504">
        <f t="shared" si="46"/>
        <v>0</v>
      </c>
      <c r="M68" s="27">
        <f t="shared" si="47"/>
        <v>0</v>
      </c>
      <c r="N68" s="27">
        <f t="shared" si="36"/>
        <v>0</v>
      </c>
      <c r="O68" s="27">
        <f t="shared" si="48"/>
        <v>0</v>
      </c>
      <c r="P68" s="27">
        <f t="shared" si="49"/>
        <v>0</v>
      </c>
      <c r="Q68" s="27">
        <f t="shared" si="50"/>
        <v>0</v>
      </c>
      <c r="R68" s="27">
        <f t="shared" si="51"/>
        <v>0</v>
      </c>
      <c r="T68" s="35">
        <f t="shared" si="52"/>
        <v>0.02</v>
      </c>
      <c r="U68" s="35">
        <f t="shared" si="53"/>
        <v>4.4999999999999998E-2</v>
      </c>
      <c r="V68" s="35">
        <f t="shared" si="54"/>
        <v>4.4999999999999998E-2</v>
      </c>
      <c r="W68" s="27">
        <f t="shared" ca="1" si="55"/>
        <v>0</v>
      </c>
      <c r="X68" s="27">
        <f t="shared" ca="1" si="56"/>
        <v>0</v>
      </c>
      <c r="Y68" s="27">
        <f t="shared" ca="1" si="37"/>
        <v>0</v>
      </c>
      <c r="Z68" s="27">
        <f t="shared" ca="1" si="57"/>
        <v>0</v>
      </c>
      <c r="AA68" s="27">
        <f t="shared" si="58"/>
        <v>0</v>
      </c>
      <c r="AB68" s="27">
        <f t="shared" si="59"/>
        <v>0</v>
      </c>
      <c r="AC68" s="27">
        <f t="shared" ca="1" si="38"/>
        <v>0</v>
      </c>
      <c r="AD68" s="27">
        <f t="shared" ca="1" si="60"/>
        <v>0</v>
      </c>
      <c r="AE68" s="27">
        <f t="shared" ca="1" si="61"/>
        <v>0</v>
      </c>
      <c r="AF68" s="27">
        <f t="shared" ca="1" si="62"/>
        <v>0</v>
      </c>
      <c r="AG68" s="27">
        <f t="shared" ca="1" si="63"/>
        <v>0</v>
      </c>
      <c r="AH68" s="27">
        <f t="shared" ca="1" si="64"/>
        <v>0</v>
      </c>
      <c r="AI68" s="27">
        <f t="shared" ca="1" si="39"/>
        <v>0</v>
      </c>
      <c r="AJ68" s="27">
        <f t="shared" si="65"/>
        <v>0</v>
      </c>
      <c r="AK68" s="27">
        <f t="shared" ca="1" si="66"/>
        <v>0</v>
      </c>
      <c r="AM68" s="27">
        <f t="shared" ca="1" si="30"/>
        <v>0</v>
      </c>
      <c r="AN68" s="27">
        <f t="shared" si="41"/>
        <v>0</v>
      </c>
      <c r="AO68" s="27">
        <f t="shared" si="42"/>
        <v>0</v>
      </c>
      <c r="AP68" s="27">
        <f t="shared" si="43"/>
        <v>0</v>
      </c>
      <c r="AQ68" s="27">
        <f t="shared" si="67"/>
        <v>0</v>
      </c>
      <c r="AR68" s="27">
        <f t="shared" si="68"/>
        <v>0</v>
      </c>
      <c r="AS68" s="50"/>
      <c r="AT68" s="57"/>
      <c r="AU68" s="57"/>
      <c r="AV68" s="57"/>
      <c r="AW68" s="57"/>
      <c r="AX68" s="57"/>
      <c r="AY68" s="57"/>
      <c r="AZ68" s="57"/>
      <c r="BA68" s="57"/>
    </row>
    <row r="69" spans="2:53" ht="14" customHeight="1">
      <c r="B69" s="20" t="s">
        <v>327</v>
      </c>
      <c r="C69" s="20" t="s">
        <v>327</v>
      </c>
      <c r="E69" s="489" t="s">
        <v>324</v>
      </c>
      <c r="F69" s="64">
        <f>SUM(F9:F68)</f>
        <v>1.0000000000000002</v>
      </c>
      <c r="G69" s="490"/>
      <c r="H69" s="491">
        <f>SUM(H9:H68)</f>
        <v>100</v>
      </c>
      <c r="I69" s="492" t="s">
        <v>324</v>
      </c>
      <c r="J69" s="23" t="s">
        <v>324</v>
      </c>
      <c r="K69" s="32">
        <f ca="1">SUM(K9:K68)</f>
        <v>58992.433036030772</v>
      </c>
      <c r="L69" s="32">
        <f>SUM(L9:L68)</f>
        <v>11535000</v>
      </c>
      <c r="M69" s="32">
        <f>SUM(M9:M68)</f>
        <v>1153500</v>
      </c>
      <c r="N69" s="23" t="s">
        <v>324</v>
      </c>
      <c r="O69" s="32">
        <f>SUM(O9:O68)</f>
        <v>10381500</v>
      </c>
      <c r="P69" s="32">
        <f>SUM(P9:P68)</f>
        <v>5450000</v>
      </c>
      <c r="Q69" s="32">
        <f>SUM(Q9:Q68)</f>
        <v>5450000</v>
      </c>
      <c r="R69" s="32">
        <f>SUM(R9:R68)</f>
        <v>4931500</v>
      </c>
      <c r="T69" s="55" t="s">
        <v>324</v>
      </c>
      <c r="U69" s="55" t="s">
        <v>324</v>
      </c>
      <c r="V69" s="55" t="s">
        <v>324</v>
      </c>
      <c r="W69" s="20">
        <f ca="1">SUM(W9:W68)</f>
        <v>172328.25588221446</v>
      </c>
      <c r="X69" s="23" t="s">
        <v>324</v>
      </c>
      <c r="Y69" s="20">
        <f t="shared" ref="Y69:AF69" ca="1" si="69">SUM(Y9:Y68)</f>
        <v>172657.73813743709</v>
      </c>
      <c r="Z69" s="20">
        <f t="shared" ca="1" si="69"/>
        <v>5104157.738137437</v>
      </c>
      <c r="AA69" s="20">
        <f t="shared" si="69"/>
        <v>5450000</v>
      </c>
      <c r="AB69" s="20">
        <f t="shared" si="69"/>
        <v>0</v>
      </c>
      <c r="AC69" s="20">
        <f t="shared" ca="1" si="69"/>
        <v>10554157.738137435</v>
      </c>
      <c r="AD69" s="20">
        <f t="shared" ca="1" si="69"/>
        <v>172657.73813743709</v>
      </c>
      <c r="AE69" s="20">
        <f t="shared" ca="1" si="69"/>
        <v>10381499.999999998</v>
      </c>
      <c r="AF69" s="20">
        <f t="shared" ca="1" si="69"/>
        <v>5363341.6486760601</v>
      </c>
      <c r="AG69" s="23" t="s">
        <v>324</v>
      </c>
      <c r="AH69" s="20">
        <f ca="1">SUM(AH9:AH68)</f>
        <v>85999.386813496909</v>
      </c>
      <c r="AI69" s="20">
        <f ca="1">SUM(AI9:AI68)</f>
        <v>4931500.0047448324</v>
      </c>
      <c r="AJ69" s="20">
        <f>SUM(AJ9:AJ68)</f>
        <v>230700</v>
      </c>
      <c r="AK69" s="20">
        <f t="shared" ref="AK69" ca="1" si="70">SUM(AK9:AK68)</f>
        <v>4700800.0047448324</v>
      </c>
      <c r="AM69" s="20">
        <f ca="1">SUM(AM8:AM68)</f>
        <v>-3932828.8690687185</v>
      </c>
      <c r="AN69" s="23" t="s">
        <v>324</v>
      </c>
      <c r="AO69" s="20">
        <f t="shared" ref="AO69:AP69" si="71">SUM(AO9:AO68)</f>
        <v>0</v>
      </c>
      <c r="AP69" s="20">
        <f t="shared" si="71"/>
        <v>0</v>
      </c>
      <c r="AQ69" s="20">
        <f t="shared" ref="AQ69:AR69" si="72">SUM(AQ9:AQ68)</f>
        <v>115350</v>
      </c>
      <c r="AR69" s="20">
        <f t="shared" si="72"/>
        <v>115350</v>
      </c>
      <c r="AT69" s="57"/>
      <c r="AU69" s="57"/>
      <c r="AV69" s="57"/>
      <c r="AW69" s="57"/>
      <c r="AX69" s="57"/>
      <c r="AY69" s="57"/>
      <c r="AZ69" s="57"/>
      <c r="BA69" s="57"/>
    </row>
    <row r="70" spans="2:53" ht="14" customHeight="1">
      <c r="F70" s="493"/>
      <c r="G70" s="493"/>
      <c r="P70" s="14"/>
      <c r="T70" s="8"/>
      <c r="U70" s="8"/>
      <c r="V70" s="8"/>
      <c r="AD70" s="14"/>
      <c r="AT70" s="57"/>
      <c r="AU70" s="57"/>
      <c r="AV70" s="57"/>
      <c r="AW70" s="57"/>
      <c r="AX70" s="57"/>
      <c r="AY70" s="57"/>
      <c r="AZ70" s="57"/>
      <c r="BA70" s="57"/>
    </row>
    <row r="71" spans="2:53" ht="14" customHeight="1">
      <c r="B71" s="21" t="s">
        <v>208</v>
      </c>
      <c r="C71" s="21">
        <v>1</v>
      </c>
      <c r="E71" s="489">
        <f>INDEX(E$8:E$68,(12*($C71-1))+2,0)</f>
        <v>100</v>
      </c>
      <c r="F71" s="494">
        <f t="shared" ref="F71:H75" si="73">SUMIF($C$9:$C$68,$C71,F$9:F$68)</f>
        <v>0.2</v>
      </c>
      <c r="G71" s="494"/>
      <c r="H71" s="495">
        <f t="shared" si="73"/>
        <v>20</v>
      </c>
      <c r="I71" s="492">
        <f t="shared" ref="I71:J75" si="74">INDEX(I$8:I$68,(12*($C71))+1,0)</f>
        <v>80</v>
      </c>
      <c r="J71" s="23">
        <f t="shared" ca="1" si="74"/>
        <v>3146263.0952549749</v>
      </c>
      <c r="K71" s="22">
        <f t="shared" ref="K71:M75" ca="1" si="75">SUMIF($C$9:$C$68,$C71,K$9:K$68)</f>
        <v>36870.270647519232</v>
      </c>
      <c r="L71" s="22">
        <f t="shared" si="75"/>
        <v>2307000</v>
      </c>
      <c r="M71" s="22">
        <f t="shared" si="75"/>
        <v>0</v>
      </c>
      <c r="N71" s="23">
        <f>INDEX(N$8:N$68,(12*($C71))+1,0)</f>
        <v>1153500</v>
      </c>
      <c r="O71" s="22">
        <f t="shared" ref="O71:R75" si="76">SUMIF($C$9:$C$68,$C71,O$9:O$68)</f>
        <v>2307000</v>
      </c>
      <c r="P71" s="22">
        <f t="shared" si="76"/>
        <v>5450000</v>
      </c>
      <c r="Q71" s="22">
        <f t="shared" si="76"/>
        <v>5450000</v>
      </c>
      <c r="R71" s="22">
        <f t="shared" si="76"/>
        <v>-3143000</v>
      </c>
      <c r="T71" s="55">
        <f t="shared" ref="T71:V75" si="77">INDEX(T$8:T$68,(12*($C71))+1,0)</f>
        <v>0.02</v>
      </c>
      <c r="U71" s="55">
        <f t="shared" si="77"/>
        <v>4.4999999999999998E-2</v>
      </c>
      <c r="V71" s="55">
        <f t="shared" si="77"/>
        <v>4.4999999999999998E-2</v>
      </c>
      <c r="W71" s="22">
        <f ca="1">SUMIF($C$9:$C$68,$C71,W$9:W$68)</f>
        <v>66362.212517000182</v>
      </c>
      <c r="X71" s="23">
        <f ca="1">INDEX(X$8:X$68,(12*($C71))+1,0)</f>
        <v>135800.77495595519</v>
      </c>
      <c r="Y71" s="22">
        <f t="shared" ref="Y71:AB75" ca="1" si="78">SUMIF($C$9:$C$68,$C71,Y$9:Y$68)</f>
        <v>36856.963181481893</v>
      </c>
      <c r="Z71" s="22">
        <f t="shared" ca="1" si="78"/>
        <v>-3106143.0368185183</v>
      </c>
      <c r="AA71" s="22">
        <f t="shared" ref="AA71:AC75" si="79">SUMIF($C$9:$C$68,$C71,AA$9:AA$68)</f>
        <v>5450000</v>
      </c>
      <c r="AB71" s="22">
        <f t="shared" si="78"/>
        <v>0</v>
      </c>
      <c r="AC71" s="22">
        <f t="shared" ca="1" si="79"/>
        <v>2343856.9631814817</v>
      </c>
      <c r="AD71" s="22">
        <f t="shared" ref="AD71:AE75" ca="1" si="80">SUMIF($C$9:$C$68,$C71,AD$9:AD$68)</f>
        <v>66691.694772222792</v>
      </c>
      <c r="AE71" s="22">
        <f t="shared" ca="1" si="80"/>
        <v>2277165.2684092592</v>
      </c>
      <c r="AF71" s="22">
        <f ca="1">SUMIF($C$9:$C$68,$C71,AF$9:AF$68)</f>
        <v>1235787.1593787589</v>
      </c>
      <c r="AG71" s="23">
        <f ca="1">INDEX(AG$8:AG$68,(12*($C71))+1,0)</f>
        <v>4127554.4892973001</v>
      </c>
      <c r="AH71" s="22">
        <f t="shared" ref="AH71:AI75" ca="1" si="81">SUMIF($C$9:$C$68,$C71,AH$9:AH$68)</f>
        <v>-4147521.1458490184</v>
      </c>
      <c r="AI71" s="22">
        <f t="shared" ca="1" si="81"/>
        <v>954719.76245139213</v>
      </c>
      <c r="AJ71" s="22">
        <f t="shared" ref="AJ71:AJ75" si="82">SUMIF($C$9:$C$68,$C71,AJ$9:AJ$68)</f>
        <v>46140</v>
      </c>
      <c r="AK71" s="22">
        <f t="shared" ref="AK71:AK75" ca="1" si="83">SUMIF($C$9:$C$68,$C71,AK$9:AK$68)</f>
        <v>908579.76245139213</v>
      </c>
      <c r="AM71" s="22">
        <f t="shared" ref="AM71:AR71" ca="1" si="84">SUMIF($C$9:$C$68,$C71,AM$9:AM$68)</f>
        <v>0</v>
      </c>
      <c r="AN71" s="23">
        <f t="shared" ref="AN71:AN75" si="85">INDEX(AN$8:AN$68,(12*($C71))+1,0)</f>
        <v>0</v>
      </c>
      <c r="AO71" s="22">
        <f t="shared" si="84"/>
        <v>0</v>
      </c>
      <c r="AP71" s="22">
        <f t="shared" si="84"/>
        <v>0</v>
      </c>
      <c r="AQ71" s="22">
        <f t="shared" si="84"/>
        <v>23070</v>
      </c>
      <c r="AR71" s="22">
        <f t="shared" si="84"/>
        <v>23070</v>
      </c>
      <c r="AT71" s="57"/>
      <c r="AU71" s="57"/>
      <c r="AV71" s="57"/>
      <c r="AW71" s="57"/>
      <c r="AX71" s="57"/>
      <c r="AY71" s="57"/>
      <c r="AZ71" s="57"/>
      <c r="BA71" s="57"/>
    </row>
    <row r="72" spans="2:53" ht="14" customHeight="1">
      <c r="B72" s="21" t="s">
        <v>208</v>
      </c>
      <c r="C72" s="21">
        <f>C71+1</f>
        <v>2</v>
      </c>
      <c r="E72" s="489">
        <f>INDEX(E$8:E$68,(12*($C72-1))+2,0)</f>
        <v>80</v>
      </c>
      <c r="F72" s="494">
        <f t="shared" si="73"/>
        <v>0.6</v>
      </c>
      <c r="G72" s="494"/>
      <c r="H72" s="495">
        <f t="shared" si="73"/>
        <v>60</v>
      </c>
      <c r="I72" s="492">
        <f t="shared" si="74"/>
        <v>20</v>
      </c>
      <c r="J72" s="23">
        <f t="shared" ca="1" si="74"/>
        <v>786565.77381374314</v>
      </c>
      <c r="K72" s="22">
        <f t="shared" ca="1" si="75"/>
        <v>20647.351562610776</v>
      </c>
      <c r="L72" s="22">
        <f t="shared" si="75"/>
        <v>6921000</v>
      </c>
      <c r="M72" s="22">
        <f t="shared" si="75"/>
        <v>694407</v>
      </c>
      <c r="N72" s="23">
        <f>INDEX(N$8:N$68,(12*($C72))+1,0)</f>
        <v>459093</v>
      </c>
      <c r="O72" s="22">
        <f t="shared" si="76"/>
        <v>6226593</v>
      </c>
      <c r="P72" s="22">
        <f t="shared" si="76"/>
        <v>0</v>
      </c>
      <c r="Q72" s="22">
        <f t="shared" si="76"/>
        <v>0</v>
      </c>
      <c r="R72" s="22">
        <f t="shared" si="76"/>
        <v>6226593</v>
      </c>
      <c r="T72" s="55">
        <f t="shared" si="77"/>
        <v>0.02</v>
      </c>
      <c r="U72" s="55">
        <f t="shared" si="77"/>
        <v>4.4999999999999998E-2</v>
      </c>
      <c r="V72" s="55">
        <f t="shared" si="77"/>
        <v>4.4999999999999998E-2</v>
      </c>
      <c r="W72" s="22">
        <f ca="1">SUMIF($C$9:$C$68,$C72,W$9:W$68)</f>
        <v>105356.88128636376</v>
      </c>
      <c r="X72" s="23">
        <f ca="1">INDEX(X$8:X$68,(12*($C72))+1,0)</f>
        <v>135800.77495595519</v>
      </c>
      <c r="Y72" s="22">
        <f t="shared" ca="1" si="78"/>
        <v>0</v>
      </c>
      <c r="Z72" s="22">
        <f t="shared" ca="1" si="78"/>
        <v>6226593</v>
      </c>
      <c r="AA72" s="22">
        <f t="shared" si="79"/>
        <v>0</v>
      </c>
      <c r="AB72" s="22">
        <f t="shared" si="78"/>
        <v>0</v>
      </c>
      <c r="AC72" s="22">
        <f t="shared" ca="1" si="79"/>
        <v>6226593</v>
      </c>
      <c r="AD72" s="22">
        <f t="shared" ca="1" si="80"/>
        <v>105356.88128636376</v>
      </c>
      <c r="AE72" s="22">
        <f t="shared" ca="1" si="80"/>
        <v>6121236.118713635</v>
      </c>
      <c r="AF72" s="22">
        <f ca="1">SUMIF($C$9:$C$68,$C72,AF$9:AF$68)</f>
        <v>3967336.5178735997</v>
      </c>
      <c r="AG72" s="23">
        <f ca="1">INDEX(AG$8:AG$68,(12*($C72))+1,0)</f>
        <v>160217.97142370057</v>
      </c>
      <c r="AH72" s="22">
        <f t="shared" ca="1" si="81"/>
        <v>4072693.3991599642</v>
      </c>
      <c r="AI72" s="22">
        <f t="shared" ca="1" si="81"/>
        <v>2153899.6008400358</v>
      </c>
      <c r="AJ72" s="22">
        <f t="shared" si="82"/>
        <v>138420</v>
      </c>
      <c r="AK72" s="22">
        <f t="shared" ca="1" si="83"/>
        <v>2015479.6008400358</v>
      </c>
      <c r="AM72" s="22">
        <f t="shared" ref="AM72:AP75" ca="1" si="86">SUMIF($C$9:$C$68,$C72,AM$9:AM$68)</f>
        <v>0</v>
      </c>
      <c r="AN72" s="23">
        <f t="shared" si="85"/>
        <v>0</v>
      </c>
      <c r="AO72" s="22">
        <f t="shared" si="86"/>
        <v>0</v>
      </c>
      <c r="AP72" s="22">
        <f t="shared" si="86"/>
        <v>0</v>
      </c>
      <c r="AQ72" s="22">
        <f t="shared" ref="AQ72:AR75" si="87">SUMIF($C$9:$C$68,$C72,AQ$9:AQ$68)</f>
        <v>69210</v>
      </c>
      <c r="AR72" s="22">
        <f t="shared" si="87"/>
        <v>69210</v>
      </c>
      <c r="AT72" s="57"/>
      <c r="AU72" s="57"/>
      <c r="AV72" s="57"/>
      <c r="AW72" s="57"/>
      <c r="AX72" s="57"/>
      <c r="AY72" s="57"/>
      <c r="AZ72" s="57"/>
      <c r="BA72" s="57"/>
    </row>
    <row r="73" spans="2:53" ht="14" customHeight="1">
      <c r="B73" s="21" t="s">
        <v>208</v>
      </c>
      <c r="C73" s="21">
        <f>C72+1</f>
        <v>3</v>
      </c>
      <c r="E73" s="489">
        <f>INDEX(E$8:E$68,(12*($C73-1))+2,0)</f>
        <v>20</v>
      </c>
      <c r="F73" s="494">
        <f t="shared" si="73"/>
        <v>0.2</v>
      </c>
      <c r="G73" s="494"/>
      <c r="H73" s="495">
        <f t="shared" si="73"/>
        <v>20</v>
      </c>
      <c r="I73" s="492">
        <f t="shared" si="74"/>
        <v>0</v>
      </c>
      <c r="J73" s="23">
        <f t="shared" ca="1" si="74"/>
        <v>-8.7326343247012128E-10</v>
      </c>
      <c r="K73" s="22">
        <f t="shared" ca="1" si="75"/>
        <v>1474.8108259007613</v>
      </c>
      <c r="L73" s="22">
        <f t="shared" si="75"/>
        <v>2307000</v>
      </c>
      <c r="M73" s="22">
        <f t="shared" si="75"/>
        <v>459093</v>
      </c>
      <c r="N73" s="23">
        <f>INDEX(N$8:N$68,(12*($C73))+1,0)</f>
        <v>0</v>
      </c>
      <c r="O73" s="22">
        <f t="shared" si="76"/>
        <v>1847907</v>
      </c>
      <c r="P73" s="22">
        <f t="shared" si="76"/>
        <v>0</v>
      </c>
      <c r="Q73" s="22">
        <f t="shared" si="76"/>
        <v>0</v>
      </c>
      <c r="R73" s="22">
        <f t="shared" si="76"/>
        <v>1847907</v>
      </c>
      <c r="T73" s="55">
        <f t="shared" si="77"/>
        <v>0.02</v>
      </c>
      <c r="U73" s="55">
        <f t="shared" si="77"/>
        <v>4.4999999999999998E-2</v>
      </c>
      <c r="V73" s="55">
        <f t="shared" si="77"/>
        <v>4.4999999999999998E-2</v>
      </c>
      <c r="W73" s="22">
        <f ca="1">SUMIF($C$9:$C$68,$C73,W$9:W$68)</f>
        <v>609.16207885052813</v>
      </c>
      <c r="X73" s="23">
        <f ca="1">INDEX(X$8:X$68,(12*($C73))+1,0)</f>
        <v>0</v>
      </c>
      <c r="Y73" s="22">
        <f t="shared" ca="1" si="78"/>
        <v>135800.77495595519</v>
      </c>
      <c r="Z73" s="22">
        <f t="shared" ca="1" si="78"/>
        <v>1983707.7749559551</v>
      </c>
      <c r="AA73" s="22">
        <f t="shared" si="79"/>
        <v>0</v>
      </c>
      <c r="AB73" s="22">
        <f t="shared" si="78"/>
        <v>0</v>
      </c>
      <c r="AC73" s="22">
        <f t="shared" ca="1" si="79"/>
        <v>1983707.7749559551</v>
      </c>
      <c r="AD73" s="22">
        <f t="shared" ca="1" si="80"/>
        <v>609.16207885052813</v>
      </c>
      <c r="AE73" s="22">
        <f t="shared" ca="1" si="80"/>
        <v>1983098.6128771044</v>
      </c>
      <c r="AF73" s="22">
        <f ca="1">SUMIF($C$9:$C$68,$C73,AF$9:AF$68)</f>
        <v>160217.97142370057</v>
      </c>
      <c r="AG73" s="23">
        <f ca="1">INDEX(AG$8:AG$68,(12*($C73))+1,0)</f>
        <v>0</v>
      </c>
      <c r="AH73" s="22">
        <f t="shared" ca="1" si="81"/>
        <v>160827.13350255109</v>
      </c>
      <c r="AI73" s="22">
        <f t="shared" ca="1" si="81"/>
        <v>1822880.641453404</v>
      </c>
      <c r="AJ73" s="22">
        <f t="shared" si="82"/>
        <v>46140</v>
      </c>
      <c r="AK73" s="22">
        <f t="shared" ca="1" si="83"/>
        <v>1776740.641453404</v>
      </c>
      <c r="AM73" s="22">
        <f t="shared" ca="1" si="86"/>
        <v>0</v>
      </c>
      <c r="AN73" s="23">
        <f t="shared" si="85"/>
        <v>0</v>
      </c>
      <c r="AO73" s="22">
        <f t="shared" si="86"/>
        <v>0</v>
      </c>
      <c r="AP73" s="22">
        <f t="shared" si="86"/>
        <v>0</v>
      </c>
      <c r="AQ73" s="22">
        <f t="shared" si="87"/>
        <v>23070</v>
      </c>
      <c r="AR73" s="22">
        <f t="shared" si="87"/>
        <v>23070</v>
      </c>
      <c r="AT73" s="57"/>
      <c r="AU73" s="57"/>
      <c r="AV73" s="57"/>
      <c r="AW73" s="57"/>
      <c r="AX73" s="57"/>
      <c r="AY73" s="57"/>
      <c r="AZ73" s="57"/>
      <c r="BA73" s="57"/>
    </row>
    <row r="74" spans="2:53" ht="14" customHeight="1">
      <c r="B74" s="21" t="s">
        <v>208</v>
      </c>
      <c r="C74" s="21">
        <f>C73+1</f>
        <v>4</v>
      </c>
      <c r="E74" s="489">
        <f>INDEX(E$8:E$68,(12*($C74-1))+2,0)</f>
        <v>0</v>
      </c>
      <c r="F74" s="494">
        <f t="shared" si="73"/>
        <v>0</v>
      </c>
      <c r="G74" s="494"/>
      <c r="H74" s="495">
        <f t="shared" si="73"/>
        <v>0</v>
      </c>
      <c r="I74" s="492">
        <f t="shared" si="74"/>
        <v>0</v>
      </c>
      <c r="J74" s="23">
        <f t="shared" ca="1" si="74"/>
        <v>-8.7326343247012128E-10</v>
      </c>
      <c r="K74" s="22">
        <f t="shared" ca="1" si="75"/>
        <v>-8.7326343247012131E-12</v>
      </c>
      <c r="L74" s="22">
        <f t="shared" si="75"/>
        <v>0</v>
      </c>
      <c r="M74" s="22">
        <f t="shared" si="75"/>
        <v>0</v>
      </c>
      <c r="N74" s="23">
        <f>INDEX(N$8:N$68,(12*($C74))+1,0)</f>
        <v>0</v>
      </c>
      <c r="O74" s="22">
        <f t="shared" si="76"/>
        <v>0</v>
      </c>
      <c r="P74" s="22">
        <f t="shared" si="76"/>
        <v>0</v>
      </c>
      <c r="Q74" s="22">
        <f t="shared" si="76"/>
        <v>0</v>
      </c>
      <c r="R74" s="22">
        <f t="shared" si="76"/>
        <v>0</v>
      </c>
      <c r="T74" s="55">
        <f t="shared" si="77"/>
        <v>0.02</v>
      </c>
      <c r="U74" s="55">
        <f t="shared" si="77"/>
        <v>4.4999999999999998E-2</v>
      </c>
      <c r="V74" s="55">
        <f t="shared" si="77"/>
        <v>4.4999999999999998E-2</v>
      </c>
      <c r="W74" s="22">
        <f ca="1">SUMIF($C$9:$C$68,$C74,W$9:W$68)</f>
        <v>0</v>
      </c>
      <c r="X74" s="23">
        <f ca="1">INDEX(X$8:X$68,(12*($C74))+1,0)</f>
        <v>0</v>
      </c>
      <c r="Y74" s="22">
        <f t="shared" ca="1" si="78"/>
        <v>0</v>
      </c>
      <c r="Z74" s="22">
        <f t="shared" ca="1" si="78"/>
        <v>0</v>
      </c>
      <c r="AA74" s="22">
        <f t="shared" si="79"/>
        <v>0</v>
      </c>
      <c r="AB74" s="22">
        <f t="shared" si="78"/>
        <v>0</v>
      </c>
      <c r="AC74" s="22">
        <f t="shared" ca="1" si="79"/>
        <v>0</v>
      </c>
      <c r="AD74" s="22">
        <f t="shared" ca="1" si="80"/>
        <v>0</v>
      </c>
      <c r="AE74" s="22">
        <f t="shared" ca="1" si="80"/>
        <v>0</v>
      </c>
      <c r="AF74" s="22">
        <f ca="1">SUMIF($C$9:$C$68,$C74,AF$9:AF$68)</f>
        <v>0</v>
      </c>
      <c r="AG74" s="23">
        <f ca="1">INDEX(AG$8:AG$68,(12*($C74))+1,0)</f>
        <v>0</v>
      </c>
      <c r="AH74" s="22">
        <f t="shared" ca="1" si="81"/>
        <v>0</v>
      </c>
      <c r="AI74" s="22">
        <f t="shared" ca="1" si="81"/>
        <v>0</v>
      </c>
      <c r="AJ74" s="22">
        <f t="shared" si="82"/>
        <v>0</v>
      </c>
      <c r="AK74" s="22">
        <f t="shared" ca="1" si="83"/>
        <v>0</v>
      </c>
      <c r="AM74" s="22">
        <f t="shared" ca="1" si="86"/>
        <v>0</v>
      </c>
      <c r="AN74" s="23">
        <f t="shared" si="85"/>
        <v>0</v>
      </c>
      <c r="AO74" s="22">
        <f t="shared" si="86"/>
        <v>0</v>
      </c>
      <c r="AP74" s="22">
        <f t="shared" si="86"/>
        <v>0</v>
      </c>
      <c r="AQ74" s="22">
        <f t="shared" si="87"/>
        <v>0</v>
      </c>
      <c r="AR74" s="22">
        <f t="shared" si="87"/>
        <v>0</v>
      </c>
      <c r="AT74" s="57"/>
      <c r="AU74" s="57"/>
      <c r="AV74" s="57"/>
      <c r="AW74" s="57"/>
      <c r="AX74" s="57"/>
      <c r="AY74" s="57"/>
      <c r="AZ74" s="57"/>
      <c r="BA74" s="57"/>
    </row>
    <row r="75" spans="2:53" ht="14" customHeight="1">
      <c r="B75" s="21" t="s">
        <v>208</v>
      </c>
      <c r="C75" s="21">
        <f>C74+1</f>
        <v>5</v>
      </c>
      <c r="E75" s="489">
        <f>INDEX(E$8:E$68,(12*($C75-1))+2,0)</f>
        <v>0</v>
      </c>
      <c r="F75" s="494">
        <f t="shared" si="73"/>
        <v>0</v>
      </c>
      <c r="G75" s="494"/>
      <c r="H75" s="495">
        <f t="shared" si="73"/>
        <v>0</v>
      </c>
      <c r="I75" s="492">
        <f t="shared" si="74"/>
        <v>0</v>
      </c>
      <c r="J75" s="23">
        <f t="shared" ca="1" si="74"/>
        <v>-8.7326343247012128E-10</v>
      </c>
      <c r="K75" s="22">
        <f t="shared" ca="1" si="75"/>
        <v>-8.7326343247012131E-12</v>
      </c>
      <c r="L75" s="22">
        <f t="shared" si="75"/>
        <v>0</v>
      </c>
      <c r="M75" s="22">
        <f t="shared" si="75"/>
        <v>0</v>
      </c>
      <c r="N75" s="23">
        <f>INDEX(N$8:N$68,(12*($C75))+1,0)</f>
        <v>0</v>
      </c>
      <c r="O75" s="22">
        <f t="shared" si="76"/>
        <v>0</v>
      </c>
      <c r="P75" s="22">
        <f t="shared" si="76"/>
        <v>0</v>
      </c>
      <c r="Q75" s="22">
        <f t="shared" si="76"/>
        <v>0</v>
      </c>
      <c r="R75" s="22">
        <f t="shared" si="76"/>
        <v>0</v>
      </c>
      <c r="T75" s="55">
        <f t="shared" si="77"/>
        <v>0.02</v>
      </c>
      <c r="U75" s="55">
        <f t="shared" si="77"/>
        <v>4.4999999999999998E-2</v>
      </c>
      <c r="V75" s="55">
        <f t="shared" si="77"/>
        <v>4.4999999999999998E-2</v>
      </c>
      <c r="W75" s="22">
        <f ca="1">SUMIF($C$9:$C$68,$C75,W$9:W$68)</f>
        <v>0</v>
      </c>
      <c r="X75" s="23">
        <f ca="1">INDEX(X$8:X$68,(12*($C75))+1,0)</f>
        <v>0</v>
      </c>
      <c r="Y75" s="22">
        <f t="shared" ca="1" si="78"/>
        <v>0</v>
      </c>
      <c r="Z75" s="22">
        <f t="shared" ca="1" si="78"/>
        <v>0</v>
      </c>
      <c r="AA75" s="22">
        <f t="shared" si="79"/>
        <v>0</v>
      </c>
      <c r="AB75" s="22">
        <f t="shared" si="78"/>
        <v>0</v>
      </c>
      <c r="AC75" s="22">
        <f t="shared" ca="1" si="79"/>
        <v>0</v>
      </c>
      <c r="AD75" s="22">
        <f t="shared" ca="1" si="80"/>
        <v>0</v>
      </c>
      <c r="AE75" s="22">
        <f t="shared" ca="1" si="80"/>
        <v>0</v>
      </c>
      <c r="AF75" s="22">
        <f ca="1">SUMIF($C$9:$C$68,$C75,AF$9:AF$68)</f>
        <v>0</v>
      </c>
      <c r="AG75" s="23">
        <f ca="1">INDEX(AG$8:AG$68,(12*($C75))+1,0)</f>
        <v>0</v>
      </c>
      <c r="AH75" s="22">
        <f t="shared" ca="1" si="81"/>
        <v>0</v>
      </c>
      <c r="AI75" s="22">
        <f t="shared" ca="1" si="81"/>
        <v>0</v>
      </c>
      <c r="AJ75" s="22">
        <f t="shared" si="82"/>
        <v>0</v>
      </c>
      <c r="AK75" s="22">
        <f t="shared" ca="1" si="83"/>
        <v>0</v>
      </c>
      <c r="AM75" s="22">
        <f t="shared" ca="1" si="86"/>
        <v>0</v>
      </c>
      <c r="AN75" s="23">
        <f t="shared" si="85"/>
        <v>0</v>
      </c>
      <c r="AO75" s="22">
        <f t="shared" si="86"/>
        <v>0</v>
      </c>
      <c r="AP75" s="22">
        <f t="shared" si="86"/>
        <v>0</v>
      </c>
      <c r="AQ75" s="22">
        <f t="shared" si="87"/>
        <v>0</v>
      </c>
      <c r="AR75" s="22">
        <f t="shared" si="87"/>
        <v>0</v>
      </c>
      <c r="AT75" s="57"/>
      <c r="AU75" s="57"/>
      <c r="AV75" s="57"/>
      <c r="AW75" s="57"/>
      <c r="AX75" s="57"/>
      <c r="AY75" s="57"/>
      <c r="AZ75" s="57"/>
      <c r="BA75" s="57"/>
    </row>
    <row r="76" spans="2:53" ht="14" customHeight="1">
      <c r="B76" s="24" t="s">
        <v>327</v>
      </c>
      <c r="C76" s="24" t="s">
        <v>327</v>
      </c>
      <c r="E76" s="489" t="s">
        <v>324</v>
      </c>
      <c r="F76" s="490">
        <f>SUM(F71:F75)</f>
        <v>1</v>
      </c>
      <c r="G76" s="490"/>
      <c r="H76" s="491">
        <f>SUM(H71:H75)</f>
        <v>100</v>
      </c>
      <c r="I76" s="492" t="s">
        <v>324</v>
      </c>
      <c r="J76" s="23" t="s">
        <v>324</v>
      </c>
      <c r="K76" s="20">
        <f ca="1">SUM(K71:K75)</f>
        <v>58992.433036030758</v>
      </c>
      <c r="L76" s="20">
        <f>SUM(L71:L75)</f>
        <v>11535000</v>
      </c>
      <c r="M76" s="20">
        <f>SUM(M71:M75)</f>
        <v>1153500</v>
      </c>
      <c r="N76" s="23" t="s">
        <v>324</v>
      </c>
      <c r="O76" s="20">
        <f>SUM(O71:O75)</f>
        <v>10381500</v>
      </c>
      <c r="P76" s="20">
        <f>SUM(P71:P75)</f>
        <v>5450000</v>
      </c>
      <c r="Q76" s="20">
        <f>SUM(Q71:Q75)</f>
        <v>5450000</v>
      </c>
      <c r="R76" s="20">
        <f>SUM(R71:R75)</f>
        <v>4931500</v>
      </c>
      <c r="T76" s="55" t="s">
        <v>324</v>
      </c>
      <c r="U76" s="55" t="s">
        <v>324</v>
      </c>
      <c r="V76" s="55" t="s">
        <v>324</v>
      </c>
      <c r="W76" s="20">
        <f ca="1">SUM(W71:W75)</f>
        <v>172328.25588221446</v>
      </c>
      <c r="X76" s="23" t="s">
        <v>324</v>
      </c>
      <c r="Y76" s="20">
        <f t="shared" ref="Y76:AF76" ca="1" si="88">SUM(Y71:Y75)</f>
        <v>172657.73813743709</v>
      </c>
      <c r="Z76" s="20">
        <f t="shared" ca="1" si="88"/>
        <v>5104157.738137437</v>
      </c>
      <c r="AA76" s="20">
        <f t="shared" si="88"/>
        <v>5450000</v>
      </c>
      <c r="AB76" s="20">
        <f t="shared" si="88"/>
        <v>0</v>
      </c>
      <c r="AC76" s="20">
        <f t="shared" ca="1" si="88"/>
        <v>10554157.738137435</v>
      </c>
      <c r="AD76" s="20">
        <f t="shared" ca="1" si="88"/>
        <v>172657.73813743706</v>
      </c>
      <c r="AE76" s="20">
        <f t="shared" ca="1" si="88"/>
        <v>10381499.999999998</v>
      </c>
      <c r="AF76" s="20">
        <f t="shared" ca="1" si="88"/>
        <v>5363341.6486760592</v>
      </c>
      <c r="AG76" s="23" t="s">
        <v>324</v>
      </c>
      <c r="AH76" s="20">
        <f ca="1">SUM(AH71:AH75)</f>
        <v>85999.386813496909</v>
      </c>
      <c r="AI76" s="20">
        <f ca="1">SUM(AI71:AI75)</f>
        <v>4931500.0047448315</v>
      </c>
      <c r="AJ76" s="20">
        <f>SUM(AJ71:AJ75)</f>
        <v>230700</v>
      </c>
      <c r="AK76" s="20">
        <f t="shared" ref="AK76" ca="1" si="89">SUM(AK71:AK75)</f>
        <v>4700800.0047448315</v>
      </c>
      <c r="AM76" s="20">
        <f ca="1">SUM(AM71:AM75)</f>
        <v>0</v>
      </c>
      <c r="AN76" s="23" t="s">
        <v>324</v>
      </c>
      <c r="AO76" s="20">
        <f t="shared" ref="AO76:AP76" si="90">SUM(AO71:AO75)</f>
        <v>0</v>
      </c>
      <c r="AP76" s="20">
        <f t="shared" si="90"/>
        <v>0</v>
      </c>
      <c r="AQ76" s="20">
        <f t="shared" ref="AQ76:AR76" si="91">SUM(AQ71:AQ75)</f>
        <v>115350</v>
      </c>
      <c r="AR76" s="20">
        <f t="shared" si="91"/>
        <v>115350</v>
      </c>
      <c r="AT76" s="57"/>
      <c r="AU76" s="57"/>
      <c r="AV76" s="57"/>
      <c r="AW76" s="57"/>
      <c r="AX76" s="57"/>
      <c r="AY76" s="57"/>
      <c r="AZ76" s="57"/>
      <c r="BA76" s="57"/>
    </row>
    <row r="77" spans="2:53" ht="16">
      <c r="W77" s="511">
        <f ca="1">W76-i_seniorintreserve</f>
        <v>-329.4822552226251</v>
      </c>
      <c r="Z77" s="7"/>
      <c r="AA77" s="7"/>
      <c r="AB77" s="7"/>
      <c r="AC77" s="7"/>
      <c r="AD77" s="7"/>
      <c r="AE77" s="7"/>
      <c r="AF77" s="7"/>
      <c r="AI77" s="5"/>
      <c r="AJ77" s="7"/>
      <c r="AT77" s="57"/>
      <c r="AU77" s="57"/>
      <c r="AV77" s="57"/>
      <c r="AW77" s="57"/>
      <c r="AX77" s="57"/>
      <c r="AY77" s="57"/>
      <c r="AZ77" s="57"/>
      <c r="BA77" s="57"/>
    </row>
    <row r="78" spans="2:53" ht="16">
      <c r="Z78" s="7"/>
      <c r="AA78" s="7"/>
      <c r="AB78" s="7"/>
      <c r="AC78" s="7"/>
      <c r="AD78" s="7"/>
      <c r="AE78" s="7"/>
      <c r="AF78" s="7"/>
      <c r="AI78" s="5"/>
      <c r="AJ78" s="7"/>
      <c r="AT78" s="57"/>
      <c r="AU78" s="57"/>
      <c r="AV78" s="57"/>
      <c r="AW78" s="57"/>
      <c r="AX78" s="57"/>
      <c r="AY78" s="57"/>
      <c r="AZ78" s="57"/>
      <c r="BA78" s="57"/>
    </row>
    <row r="79" spans="2:53" ht="16">
      <c r="Z79" s="7"/>
      <c r="AA79" s="7"/>
      <c r="AB79" s="7"/>
      <c r="AC79" s="7"/>
      <c r="AD79" s="7"/>
      <c r="AE79" s="7"/>
      <c r="AF79" s="7"/>
      <c r="AI79" s="5"/>
      <c r="AJ79" s="7"/>
      <c r="AT79" s="57"/>
      <c r="AU79" s="57"/>
      <c r="AV79" s="57"/>
      <c r="AW79" s="57"/>
      <c r="AX79" s="57"/>
      <c r="AY79" s="57"/>
      <c r="AZ79" s="57"/>
      <c r="BA79" s="57"/>
    </row>
    <row r="80" spans="2:53" ht="16">
      <c r="Z80" s="7"/>
      <c r="AA80" s="7"/>
      <c r="AB80" s="7"/>
      <c r="AC80" s="7"/>
      <c r="AD80" s="7"/>
      <c r="AE80" s="7"/>
      <c r="AF80" s="7"/>
      <c r="AI80" s="5"/>
      <c r="AJ80" s="7"/>
      <c r="AT80" s="57"/>
      <c r="AU80" s="57"/>
      <c r="AV80" s="57"/>
      <c r="AW80" s="57"/>
      <c r="AX80" s="57"/>
      <c r="AY80" s="57"/>
      <c r="AZ80" s="57"/>
      <c r="BA80" s="57"/>
    </row>
    <row r="81" spans="26:53" ht="16">
      <c r="Z81" s="7"/>
      <c r="AA81" s="7"/>
      <c r="AB81" s="7"/>
      <c r="AC81" s="7"/>
      <c r="AD81" s="7"/>
      <c r="AE81" s="7"/>
      <c r="AF81" s="7"/>
      <c r="AI81" s="5"/>
      <c r="AJ81" s="7"/>
      <c r="AT81" s="57"/>
      <c r="AU81" s="57"/>
      <c r="AV81" s="57"/>
      <c r="AW81" s="57"/>
      <c r="AX81" s="57"/>
      <c r="AY81" s="57"/>
      <c r="AZ81" s="57"/>
      <c r="BA81" s="57"/>
    </row>
    <row r="82" spans="26:53" ht="16">
      <c r="Z82" s="7"/>
      <c r="AA82" s="7"/>
      <c r="AB82" s="7"/>
      <c r="AC82" s="7"/>
      <c r="AD82" s="7"/>
      <c r="AE82" s="7"/>
      <c r="AF82" s="7"/>
      <c r="AI82" s="5"/>
      <c r="AJ82" s="7"/>
      <c r="AT82" s="57"/>
      <c r="AU82" s="57"/>
      <c r="AV82" s="57"/>
      <c r="AW82" s="57"/>
      <c r="AX82" s="57"/>
      <c r="AY82" s="57"/>
      <c r="AZ82" s="57"/>
      <c r="BA82" s="57"/>
    </row>
    <row r="83" spans="26:53" ht="16">
      <c r="Z83" s="7"/>
      <c r="AA83" s="7"/>
      <c r="AB83" s="7"/>
      <c r="AC83" s="7"/>
      <c r="AD83" s="7"/>
      <c r="AE83" s="7"/>
      <c r="AF83" s="7"/>
      <c r="AI83" s="5"/>
      <c r="AJ83" s="7"/>
      <c r="AT83" s="57"/>
      <c r="AU83" s="57"/>
      <c r="AV83" s="57"/>
      <c r="AW83" s="57"/>
      <c r="AX83" s="57"/>
      <c r="AY83" s="57"/>
      <c r="AZ83" s="57"/>
      <c r="BA83" s="57"/>
    </row>
    <row r="84" spans="26:53" ht="16">
      <c r="Z84" s="7"/>
      <c r="AA84" s="7"/>
      <c r="AB84" s="7"/>
      <c r="AC84" s="7"/>
      <c r="AD84" s="7"/>
      <c r="AE84" s="7"/>
      <c r="AF84" s="7"/>
      <c r="AI84" s="5"/>
      <c r="AJ84" s="7"/>
      <c r="AT84" s="57"/>
      <c r="AU84" s="57"/>
      <c r="AV84" s="57"/>
      <c r="AW84" s="57"/>
      <c r="AX84" s="57"/>
      <c r="AY84" s="57"/>
      <c r="AZ84" s="57"/>
      <c r="BA84" s="57"/>
    </row>
    <row r="85" spans="26:53" ht="16">
      <c r="Z85" s="7"/>
      <c r="AA85" s="7"/>
      <c r="AB85" s="7"/>
      <c r="AC85" s="7"/>
      <c r="AD85" s="7"/>
      <c r="AE85" s="7"/>
      <c r="AF85" s="7"/>
      <c r="AI85" s="5"/>
      <c r="AJ85" s="7"/>
      <c r="AT85" s="57"/>
      <c r="AU85" s="57"/>
      <c r="AV85" s="57"/>
      <c r="AW85" s="57"/>
      <c r="AX85" s="57"/>
      <c r="AY85" s="57"/>
      <c r="AZ85" s="57"/>
      <c r="BA85" s="57"/>
    </row>
    <row r="86" spans="26:53" ht="16">
      <c r="Z86" s="7"/>
      <c r="AA86" s="7"/>
      <c r="AB86" s="7"/>
      <c r="AC86" s="7"/>
      <c r="AD86" s="7"/>
      <c r="AE86" s="7"/>
      <c r="AF86" s="7"/>
      <c r="AI86" s="5"/>
      <c r="AJ86" s="7"/>
      <c r="AT86" s="57"/>
      <c r="AU86" s="57"/>
      <c r="AV86" s="57"/>
      <c r="AW86" s="57"/>
      <c r="AX86" s="57"/>
      <c r="AY86" s="57"/>
      <c r="AZ86" s="57"/>
      <c r="BA86" s="57"/>
    </row>
    <row r="87" spans="26:53" ht="16">
      <c r="Z87" s="7"/>
      <c r="AA87" s="7"/>
      <c r="AB87" s="7"/>
      <c r="AC87" s="7"/>
      <c r="AD87" s="7"/>
      <c r="AE87" s="7"/>
      <c r="AF87" s="7"/>
      <c r="AI87" s="5"/>
      <c r="AJ87" s="7"/>
      <c r="AT87" s="57"/>
      <c r="AU87" s="57"/>
      <c r="AV87" s="57"/>
      <c r="AW87" s="57"/>
      <c r="AX87" s="57"/>
      <c r="AY87" s="57"/>
      <c r="AZ87" s="57"/>
      <c r="BA87" s="57"/>
    </row>
    <row r="88" spans="26:53" ht="16">
      <c r="Z88" s="7"/>
      <c r="AA88" s="7"/>
      <c r="AB88" s="7"/>
      <c r="AC88" s="7"/>
      <c r="AD88" s="7"/>
      <c r="AE88" s="7"/>
      <c r="AF88" s="7"/>
      <c r="AI88" s="5"/>
      <c r="AJ88" s="7"/>
      <c r="AT88" s="57"/>
      <c r="AU88" s="57"/>
      <c r="AV88" s="57"/>
      <c r="AW88" s="57"/>
      <c r="AX88" s="57"/>
      <c r="AY88" s="57"/>
      <c r="AZ88" s="57"/>
      <c r="BA88" s="57"/>
    </row>
    <row r="89" spans="26:53" ht="16">
      <c r="Z89" s="7"/>
      <c r="AA89" s="7"/>
      <c r="AB89" s="7"/>
      <c r="AC89" s="7"/>
      <c r="AD89" s="7"/>
      <c r="AE89" s="7"/>
      <c r="AF89" s="7"/>
      <c r="AI89" s="5"/>
      <c r="AJ89" s="7"/>
      <c r="AT89" s="57"/>
      <c r="AU89" s="57"/>
      <c r="AV89" s="57"/>
      <c r="AW89" s="57"/>
      <c r="AX89" s="57"/>
      <c r="AY89" s="57"/>
      <c r="AZ89" s="57"/>
      <c r="BA89" s="57"/>
    </row>
    <row r="90" spans="26:53" ht="16">
      <c r="Z90" s="7"/>
      <c r="AA90" s="7"/>
      <c r="AB90" s="7"/>
      <c r="AC90" s="7"/>
      <c r="AD90" s="7"/>
      <c r="AE90" s="7"/>
      <c r="AF90" s="7"/>
      <c r="AI90" s="5"/>
      <c r="AJ90" s="7"/>
      <c r="AT90" s="57"/>
      <c r="AU90" s="57"/>
      <c r="AV90" s="57"/>
      <c r="AW90" s="57"/>
      <c r="AX90" s="57"/>
      <c r="AY90" s="57"/>
      <c r="AZ90" s="57"/>
      <c r="BA90" s="57"/>
    </row>
    <row r="91" spans="26:53" ht="16">
      <c r="Z91" s="7"/>
      <c r="AA91" s="7"/>
      <c r="AB91" s="7"/>
      <c r="AC91" s="7"/>
      <c r="AD91" s="7"/>
      <c r="AE91" s="7"/>
      <c r="AF91" s="7"/>
      <c r="AI91" s="5"/>
      <c r="AJ91" s="7"/>
      <c r="AT91" s="57"/>
      <c r="AU91" s="57"/>
      <c r="AV91" s="57"/>
      <c r="AW91" s="57"/>
      <c r="AX91" s="57"/>
      <c r="AY91" s="57"/>
      <c r="AZ91" s="57"/>
      <c r="BA91" s="57"/>
    </row>
    <row r="92" spans="26:53" ht="16">
      <c r="Z92" s="7"/>
      <c r="AA92" s="7"/>
      <c r="AB92" s="7"/>
      <c r="AC92" s="7"/>
      <c r="AD92" s="7"/>
      <c r="AE92" s="7"/>
      <c r="AF92" s="7"/>
      <c r="AI92" s="5"/>
      <c r="AJ92" s="7"/>
      <c r="AT92" s="57"/>
      <c r="AU92" s="57"/>
      <c r="AV92" s="57"/>
      <c r="AW92" s="57"/>
      <c r="AX92" s="57"/>
      <c r="AY92" s="57"/>
      <c r="AZ92" s="57"/>
      <c r="BA92" s="57"/>
    </row>
    <row r="93" spans="26:53" ht="16">
      <c r="Z93" s="7"/>
      <c r="AA93" s="7"/>
      <c r="AB93" s="7"/>
      <c r="AC93" s="7"/>
      <c r="AD93" s="7"/>
      <c r="AE93" s="7"/>
      <c r="AF93" s="7"/>
      <c r="AI93" s="5"/>
      <c r="AJ93" s="7"/>
      <c r="AS93" s="5">
        <v>1</v>
      </c>
      <c r="AT93" s="57"/>
      <c r="AU93" s="57"/>
      <c r="AV93" s="57"/>
      <c r="AW93" s="57"/>
      <c r="AX93" s="57"/>
      <c r="AY93" s="57"/>
      <c r="AZ93" s="57"/>
      <c r="BA93" s="57"/>
    </row>
    <row r="94" spans="26:53" ht="16">
      <c r="Z94" s="7"/>
      <c r="AA94" s="7"/>
      <c r="AB94" s="7"/>
      <c r="AC94" s="7"/>
      <c r="AD94" s="7"/>
      <c r="AE94" s="7"/>
      <c r="AF94" s="7"/>
      <c r="AI94" s="5"/>
      <c r="AJ94" s="7"/>
      <c r="AS94" s="5">
        <v>2</v>
      </c>
      <c r="AT94" s="57"/>
      <c r="AU94" s="57"/>
      <c r="AV94" s="57"/>
      <c r="AW94" s="57"/>
      <c r="AX94" s="57"/>
      <c r="AY94" s="57"/>
      <c r="AZ94" s="57"/>
      <c r="BA94" s="57"/>
    </row>
    <row r="95" spans="26:53" ht="16">
      <c r="Z95" s="7"/>
      <c r="AA95" s="7"/>
      <c r="AB95" s="7"/>
      <c r="AC95" s="7"/>
      <c r="AD95" s="7"/>
      <c r="AE95" s="7"/>
      <c r="AF95" s="7"/>
      <c r="AI95" s="5"/>
      <c r="AJ95" s="7"/>
      <c r="AS95" s="5">
        <v>3</v>
      </c>
      <c r="AT95" s="57"/>
      <c r="AU95" s="57"/>
      <c r="AV95" s="57"/>
      <c r="AW95" s="57"/>
      <c r="AX95" s="57"/>
      <c r="AY95" s="57"/>
      <c r="AZ95" s="57"/>
      <c r="BA95" s="57"/>
    </row>
    <row r="96" spans="26:53" ht="16">
      <c r="Z96" s="7"/>
      <c r="AA96" s="7"/>
      <c r="AB96" s="7"/>
      <c r="AC96" s="7"/>
      <c r="AD96" s="7"/>
      <c r="AE96" s="7"/>
      <c r="AF96" s="7"/>
      <c r="AI96" s="5"/>
      <c r="AJ96" s="7"/>
      <c r="AS96" s="5">
        <v>4</v>
      </c>
      <c r="AT96" s="57"/>
      <c r="AU96" s="57"/>
      <c r="AV96" s="57"/>
      <c r="AW96" s="57"/>
      <c r="AX96" s="57"/>
      <c r="AY96" s="57"/>
      <c r="AZ96" s="57"/>
      <c r="BA96" s="57"/>
    </row>
    <row r="97" spans="26:53" ht="16">
      <c r="Z97" s="7"/>
      <c r="AA97" s="7"/>
      <c r="AB97" s="7"/>
      <c r="AC97" s="7"/>
      <c r="AD97" s="7"/>
      <c r="AE97" s="7"/>
      <c r="AF97" s="7"/>
      <c r="AI97" s="5"/>
      <c r="AJ97" s="7"/>
      <c r="AS97" s="5">
        <v>5</v>
      </c>
      <c r="AT97" s="57"/>
      <c r="AU97" s="57"/>
      <c r="AV97" s="57"/>
      <c r="AW97" s="57"/>
      <c r="AX97" s="57"/>
      <c r="AY97" s="57"/>
      <c r="AZ97" s="57"/>
      <c r="BA97" s="57"/>
    </row>
    <row r="98" spans="26:53" ht="16">
      <c r="Z98" s="7"/>
      <c r="AA98" s="7"/>
      <c r="AB98" s="7"/>
      <c r="AC98" s="7"/>
      <c r="AD98" s="7"/>
      <c r="AE98" s="7"/>
      <c r="AF98" s="7"/>
      <c r="AI98" s="5"/>
      <c r="AJ98" s="7"/>
      <c r="AS98" s="5">
        <v>6</v>
      </c>
      <c r="AT98" s="57"/>
      <c r="AU98" s="57"/>
      <c r="AV98" s="57"/>
      <c r="AW98" s="57"/>
      <c r="AX98" s="57"/>
      <c r="AY98" s="57"/>
      <c r="AZ98" s="57"/>
      <c r="BA98" s="57"/>
    </row>
    <row r="99" spans="26:53" ht="16">
      <c r="Z99" s="7"/>
      <c r="AA99" s="7"/>
      <c r="AB99" s="7"/>
      <c r="AC99" s="7"/>
      <c r="AD99" s="7"/>
      <c r="AE99" s="7"/>
      <c r="AF99" s="7"/>
      <c r="AI99" s="5"/>
      <c r="AJ99" s="7"/>
      <c r="AS99" s="5">
        <v>7</v>
      </c>
      <c r="AT99" s="57"/>
      <c r="AU99" s="57"/>
      <c r="AV99" s="57"/>
      <c r="AW99" s="57"/>
      <c r="AX99" s="57"/>
      <c r="AY99" s="57"/>
      <c r="AZ99" s="57"/>
      <c r="BA99" s="57"/>
    </row>
    <row r="100" spans="26:53" ht="16">
      <c r="Z100" s="7"/>
      <c r="AA100" s="7"/>
      <c r="AB100" s="7"/>
      <c r="AC100" s="7"/>
      <c r="AD100" s="7"/>
      <c r="AE100" s="7"/>
      <c r="AF100" s="7"/>
      <c r="AI100" s="5"/>
      <c r="AS100" s="5">
        <v>8</v>
      </c>
      <c r="AT100" s="57"/>
      <c r="AU100" s="57"/>
      <c r="AV100" s="57"/>
      <c r="AW100" s="57"/>
      <c r="AX100" s="57"/>
      <c r="AY100" s="57"/>
      <c r="AZ100" s="57"/>
      <c r="BA100" s="57"/>
    </row>
    <row r="101" spans="26:53" ht="16">
      <c r="Z101" s="7"/>
      <c r="AA101" s="7"/>
      <c r="AB101" s="7"/>
      <c r="AC101" s="7"/>
      <c r="AD101" s="7"/>
      <c r="AE101" s="7"/>
      <c r="AF101" s="7"/>
      <c r="AI101" s="5"/>
      <c r="AS101" s="5">
        <v>9</v>
      </c>
      <c r="AT101" s="57"/>
      <c r="AU101" s="57"/>
      <c r="AV101" s="57"/>
      <c r="AW101" s="57"/>
      <c r="AX101" s="57"/>
      <c r="AY101" s="57"/>
      <c r="AZ101" s="57"/>
      <c r="BA101" s="57"/>
    </row>
    <row r="102" spans="26:53" ht="16">
      <c r="Z102" s="7"/>
      <c r="AA102" s="7"/>
      <c r="AB102" s="7"/>
      <c r="AC102" s="7"/>
      <c r="AD102" s="7"/>
      <c r="AE102" s="7"/>
      <c r="AF102" s="7"/>
      <c r="AI102" s="5"/>
      <c r="AS102" s="5">
        <v>10</v>
      </c>
      <c r="AT102" s="57"/>
      <c r="AU102" s="57"/>
      <c r="AV102" s="57"/>
      <c r="AW102" s="57"/>
      <c r="AX102" s="57"/>
      <c r="AY102" s="57"/>
      <c r="AZ102" s="57"/>
      <c r="BA102" s="57"/>
    </row>
    <row r="103" spans="26:53" ht="16">
      <c r="Z103" s="7"/>
      <c r="AA103" s="7"/>
      <c r="AB103" s="7"/>
      <c r="AC103" s="7"/>
      <c r="AD103" s="7"/>
      <c r="AE103" s="7"/>
      <c r="AF103" s="7"/>
      <c r="AI103" s="5"/>
      <c r="AS103" s="5">
        <v>11</v>
      </c>
      <c r="AT103" s="57"/>
      <c r="AU103" s="57"/>
      <c r="AV103" s="57"/>
      <c r="AW103" s="57"/>
      <c r="AX103" s="57"/>
      <c r="AY103" s="57"/>
      <c r="AZ103" s="57"/>
      <c r="BA103" s="57"/>
    </row>
    <row r="104" spans="26:53" ht="16">
      <c r="Z104" s="7"/>
      <c r="AA104" s="7"/>
      <c r="AB104" s="7"/>
      <c r="AC104" s="7"/>
      <c r="AD104" s="7"/>
      <c r="AE104" s="7"/>
      <c r="AF104" s="7"/>
      <c r="AI104" s="5"/>
      <c r="AS104" s="5">
        <v>12</v>
      </c>
      <c r="AT104" s="57"/>
      <c r="AU104" s="57"/>
      <c r="AV104" s="57"/>
      <c r="AW104" s="57"/>
      <c r="AX104" s="57"/>
      <c r="AY104" s="57"/>
      <c r="AZ104" s="57"/>
      <c r="BA104" s="57"/>
    </row>
    <row r="105" spans="26:53" ht="16">
      <c r="Z105" s="7"/>
      <c r="AA105" s="7"/>
      <c r="AB105" s="7"/>
      <c r="AC105" s="7"/>
      <c r="AD105" s="7"/>
      <c r="AE105" s="7"/>
      <c r="AF105" s="7"/>
      <c r="AI105" s="5"/>
      <c r="AS105" s="5">
        <v>13</v>
      </c>
      <c r="AT105" s="57"/>
      <c r="AU105" s="57"/>
      <c r="AV105" s="57"/>
      <c r="AW105" s="57"/>
      <c r="AX105" s="57"/>
      <c r="AY105" s="57"/>
      <c r="AZ105" s="57"/>
      <c r="BA105" s="57"/>
    </row>
    <row r="106" spans="26:53" ht="16">
      <c r="Z106" s="7"/>
      <c r="AA106" s="7"/>
      <c r="AB106" s="7"/>
      <c r="AC106" s="7"/>
      <c r="AD106" s="7"/>
      <c r="AE106" s="7"/>
      <c r="AF106" s="7"/>
      <c r="AI106" s="5"/>
      <c r="AT106" s="57"/>
      <c r="AU106" s="57"/>
      <c r="AV106" s="57"/>
      <c r="AW106" s="57"/>
      <c r="AX106" s="57"/>
      <c r="AY106" s="57"/>
      <c r="AZ106" s="57"/>
      <c r="BA106" s="57"/>
    </row>
    <row r="107" spans="26:53" ht="16">
      <c r="Z107" s="7"/>
      <c r="AA107" s="7"/>
      <c r="AB107" s="7"/>
      <c r="AC107" s="7"/>
      <c r="AD107" s="7"/>
      <c r="AE107" s="7"/>
      <c r="AF107" s="7"/>
      <c r="AI107" s="5"/>
      <c r="AT107" s="57"/>
      <c r="AU107" s="57"/>
      <c r="AV107" s="57"/>
      <c r="AW107" s="57"/>
      <c r="AX107" s="57"/>
      <c r="AY107" s="57"/>
      <c r="AZ107" s="57"/>
      <c r="BA107" s="57"/>
    </row>
    <row r="108" spans="26:53" ht="16">
      <c r="Z108" s="7"/>
      <c r="AA108" s="7"/>
      <c r="AB108" s="7"/>
      <c r="AC108" s="7"/>
      <c r="AD108" s="7"/>
      <c r="AE108" s="7"/>
      <c r="AF108" s="7"/>
      <c r="AI108" s="5"/>
      <c r="AT108" s="57"/>
      <c r="AU108" s="57"/>
      <c r="AV108" s="57"/>
      <c r="AW108" s="57"/>
      <c r="AX108" s="57"/>
      <c r="AY108" s="57"/>
      <c r="AZ108" s="57"/>
      <c r="BA108" s="57"/>
    </row>
    <row r="109" spans="26:53" ht="16">
      <c r="Z109" s="7"/>
      <c r="AA109" s="7"/>
      <c r="AB109" s="7"/>
      <c r="AC109" s="7"/>
      <c r="AD109" s="7"/>
      <c r="AE109" s="7"/>
      <c r="AF109" s="7"/>
      <c r="AI109" s="5"/>
      <c r="AT109" s="57"/>
      <c r="AU109" s="57"/>
      <c r="AV109" s="57"/>
      <c r="AW109" s="57"/>
      <c r="AX109" s="57"/>
      <c r="AY109" s="57"/>
      <c r="AZ109" s="57"/>
      <c r="BA109" s="57"/>
    </row>
    <row r="110" spans="26:53" ht="16">
      <c r="Z110" s="7"/>
      <c r="AA110" s="7"/>
      <c r="AB110" s="7"/>
      <c r="AC110" s="7"/>
      <c r="AD110" s="7"/>
      <c r="AE110" s="7"/>
      <c r="AF110" s="7"/>
      <c r="AI110" s="5"/>
      <c r="AT110" s="57"/>
      <c r="AU110" s="57"/>
      <c r="AV110" s="57"/>
      <c r="AW110" s="57"/>
      <c r="AX110" s="57"/>
      <c r="AY110" s="57"/>
      <c r="AZ110" s="57"/>
      <c r="BA110" s="57"/>
    </row>
    <row r="111" spans="26:53" ht="16">
      <c r="Z111" s="7"/>
      <c r="AA111" s="7"/>
      <c r="AB111" s="7"/>
      <c r="AC111" s="7"/>
      <c r="AD111" s="7"/>
      <c r="AE111" s="7"/>
      <c r="AF111" s="7"/>
      <c r="AI111" s="5"/>
      <c r="AT111" s="57"/>
      <c r="AU111" s="57"/>
      <c r="AV111" s="57"/>
      <c r="AW111" s="57"/>
      <c r="AX111" s="57"/>
      <c r="AY111" s="57"/>
      <c r="AZ111" s="57"/>
      <c r="BA111" s="57"/>
    </row>
    <row r="112" spans="26:53" ht="16">
      <c r="Z112" s="7"/>
      <c r="AA112" s="7"/>
      <c r="AB112" s="7"/>
      <c r="AC112" s="7"/>
      <c r="AD112" s="7"/>
      <c r="AE112" s="7"/>
      <c r="AF112" s="7"/>
      <c r="AI112" s="5"/>
      <c r="AT112" s="57"/>
      <c r="AU112" s="57"/>
      <c r="AV112" s="57"/>
      <c r="AW112" s="57"/>
      <c r="AX112" s="57"/>
      <c r="AY112" s="57"/>
      <c r="AZ112" s="57"/>
      <c r="BA112" s="57"/>
    </row>
    <row r="113" spans="26:53" ht="16">
      <c r="Z113" s="7"/>
      <c r="AA113" s="7"/>
      <c r="AB113" s="7"/>
      <c r="AC113" s="7"/>
      <c r="AD113" s="7"/>
      <c r="AE113" s="7"/>
      <c r="AF113" s="7"/>
      <c r="AG113" s="7"/>
      <c r="AH113" s="7"/>
      <c r="AI113" s="5"/>
      <c r="AT113" s="57"/>
      <c r="AU113" s="57"/>
      <c r="AV113" s="57"/>
      <c r="AW113" s="57"/>
      <c r="AX113" s="57"/>
      <c r="AY113" s="57"/>
      <c r="AZ113" s="57"/>
      <c r="BA113" s="57"/>
    </row>
    <row r="114" spans="26:53" ht="16">
      <c r="Z114" s="7"/>
      <c r="AA114" s="7"/>
      <c r="AB114" s="7"/>
      <c r="AC114" s="7"/>
      <c r="AD114" s="7"/>
      <c r="AE114" s="7"/>
      <c r="AF114" s="7"/>
      <c r="AG114" s="7"/>
      <c r="AH114" s="7"/>
      <c r="AI114" s="5"/>
      <c r="AT114" s="57"/>
      <c r="AU114" s="57"/>
      <c r="AV114" s="57"/>
      <c r="AW114" s="57"/>
      <c r="AX114" s="57"/>
      <c r="AY114" s="57"/>
      <c r="AZ114" s="57"/>
      <c r="BA114" s="57"/>
    </row>
    <row r="115" spans="26:53" ht="16">
      <c r="Z115" s="7"/>
      <c r="AA115" s="7"/>
      <c r="AB115" s="7"/>
      <c r="AC115" s="7"/>
      <c r="AD115" s="7"/>
      <c r="AE115" s="7"/>
      <c r="AF115" s="7"/>
      <c r="AG115" s="7"/>
      <c r="AH115" s="7"/>
      <c r="AI115" s="5"/>
      <c r="AT115" s="57"/>
      <c r="AU115" s="57"/>
      <c r="AV115" s="57"/>
      <c r="AW115" s="57"/>
      <c r="AX115" s="57"/>
      <c r="AY115" s="57"/>
      <c r="AZ115" s="57"/>
      <c r="BA115" s="57"/>
    </row>
    <row r="116" spans="26:53" ht="16">
      <c r="Z116" s="7"/>
      <c r="AA116" s="7"/>
      <c r="AB116" s="7"/>
      <c r="AC116" s="7"/>
      <c r="AD116" s="7"/>
      <c r="AE116" s="7"/>
      <c r="AF116" s="7"/>
      <c r="AG116" s="7"/>
      <c r="AH116" s="7"/>
      <c r="AI116" s="5"/>
      <c r="AT116" s="57"/>
      <c r="AU116" s="57"/>
      <c r="AV116" s="57"/>
      <c r="AW116" s="57"/>
      <c r="AX116" s="57"/>
      <c r="AY116" s="57"/>
      <c r="AZ116" s="57"/>
      <c r="BA116" s="57"/>
    </row>
    <row r="117" spans="26:53" ht="16">
      <c r="Z117" s="7"/>
      <c r="AA117" s="7"/>
      <c r="AB117" s="7"/>
      <c r="AC117" s="7"/>
      <c r="AD117" s="7"/>
      <c r="AE117" s="7"/>
      <c r="AF117" s="7"/>
      <c r="AG117" s="7"/>
      <c r="AH117" s="7"/>
      <c r="AI117" s="5"/>
      <c r="AT117" s="57"/>
      <c r="AU117" s="57"/>
      <c r="AV117" s="57"/>
      <c r="AW117" s="57"/>
      <c r="AX117" s="57"/>
      <c r="AY117" s="57"/>
      <c r="AZ117" s="57"/>
      <c r="BA117" s="57"/>
    </row>
    <row r="118" spans="26:53" ht="16">
      <c r="Z118" s="7"/>
      <c r="AA118" s="7"/>
      <c r="AB118" s="7"/>
      <c r="AC118" s="7"/>
      <c r="AD118" s="7"/>
      <c r="AE118" s="7"/>
      <c r="AF118" s="7"/>
      <c r="AG118" s="7"/>
      <c r="AH118" s="7"/>
      <c r="AI118" s="5"/>
      <c r="AT118" s="57"/>
      <c r="AU118" s="57"/>
      <c r="AV118" s="57"/>
      <c r="AW118" s="57"/>
      <c r="AX118" s="57"/>
      <c r="AY118" s="57"/>
      <c r="AZ118" s="57"/>
      <c r="BA118" s="57"/>
    </row>
    <row r="119" spans="26:53" ht="16">
      <c r="Z119" s="7"/>
      <c r="AA119" s="7"/>
      <c r="AB119" s="7"/>
      <c r="AC119" s="7"/>
      <c r="AD119" s="7"/>
      <c r="AE119" s="7"/>
      <c r="AF119" s="7"/>
      <c r="AG119" s="7"/>
      <c r="AH119" s="7"/>
      <c r="AI119" s="5"/>
      <c r="AT119" s="57"/>
      <c r="AU119" s="57"/>
      <c r="AV119" s="57"/>
      <c r="AW119" s="57"/>
      <c r="AX119" s="57"/>
      <c r="AY119" s="57"/>
      <c r="AZ119" s="57"/>
      <c r="BA119" s="57"/>
    </row>
    <row r="120" spans="26:53" ht="16">
      <c r="Z120" s="7"/>
      <c r="AA120" s="7"/>
      <c r="AB120" s="7"/>
      <c r="AC120" s="7"/>
      <c r="AD120" s="7"/>
      <c r="AE120" s="7"/>
      <c r="AF120" s="7"/>
      <c r="AG120" s="7"/>
      <c r="AH120" s="7"/>
      <c r="AI120" s="5"/>
      <c r="AT120" s="57"/>
      <c r="AU120" s="57"/>
      <c r="AV120" s="57"/>
      <c r="AW120" s="57"/>
      <c r="AX120" s="57"/>
      <c r="AY120" s="57"/>
      <c r="AZ120" s="57"/>
      <c r="BA120" s="57"/>
    </row>
    <row r="121" spans="26:53" ht="16">
      <c r="Z121" s="7"/>
      <c r="AA121" s="7"/>
      <c r="AB121" s="7"/>
      <c r="AC121" s="7"/>
      <c r="AD121" s="7"/>
      <c r="AE121" s="7"/>
      <c r="AF121" s="7"/>
      <c r="AG121" s="7"/>
      <c r="AH121" s="7"/>
      <c r="AI121" s="5"/>
      <c r="AT121" s="57"/>
      <c r="AU121" s="57"/>
      <c r="AV121" s="57"/>
      <c r="AW121" s="57"/>
      <c r="AX121" s="57"/>
      <c r="AY121" s="57"/>
      <c r="AZ121" s="57"/>
      <c r="BA121" s="57"/>
    </row>
    <row r="122" spans="26:53" ht="16">
      <c r="Z122" s="7"/>
      <c r="AA122" s="7"/>
      <c r="AB122" s="7"/>
      <c r="AC122" s="7"/>
      <c r="AD122" s="7"/>
      <c r="AE122" s="7"/>
      <c r="AF122" s="7"/>
      <c r="AG122" s="7"/>
      <c r="AH122" s="7"/>
      <c r="AI122" s="5"/>
      <c r="AT122" s="57"/>
      <c r="AU122" s="57"/>
      <c r="AV122" s="57"/>
      <c r="AW122" s="57"/>
      <c r="AX122" s="57"/>
      <c r="AY122" s="57"/>
      <c r="AZ122" s="57"/>
      <c r="BA122" s="57"/>
    </row>
    <row r="123" spans="26:53" ht="16">
      <c r="Z123" s="7"/>
      <c r="AA123" s="7"/>
      <c r="AB123" s="7"/>
      <c r="AC123" s="7"/>
      <c r="AD123" s="7"/>
      <c r="AE123" s="7"/>
      <c r="AF123" s="7"/>
      <c r="AG123" s="7"/>
      <c r="AH123" s="7"/>
      <c r="AI123" s="5"/>
      <c r="AT123" s="57"/>
      <c r="AU123" s="57"/>
      <c r="AV123" s="57"/>
      <c r="AW123" s="57"/>
      <c r="AX123" s="57"/>
      <c r="AY123" s="57"/>
      <c r="AZ123" s="57"/>
      <c r="BA123" s="57"/>
    </row>
    <row r="124" spans="26:53" ht="16">
      <c r="Z124" s="7"/>
      <c r="AA124" s="7"/>
      <c r="AB124" s="7"/>
      <c r="AC124" s="7"/>
      <c r="AD124" s="7"/>
      <c r="AE124" s="7"/>
      <c r="AF124" s="7"/>
      <c r="AG124" s="7"/>
      <c r="AH124" s="7"/>
      <c r="AI124" s="5"/>
      <c r="AT124" s="57"/>
      <c r="AU124" s="57"/>
      <c r="AV124" s="57"/>
      <c r="AW124" s="57"/>
      <c r="AX124" s="57"/>
      <c r="AY124" s="57"/>
      <c r="AZ124" s="57"/>
      <c r="BA124" s="57"/>
    </row>
    <row r="125" spans="26:53" ht="16">
      <c r="Z125" s="7"/>
      <c r="AA125" s="7"/>
      <c r="AB125" s="7"/>
      <c r="AC125" s="7"/>
      <c r="AD125" s="7"/>
      <c r="AE125" s="7"/>
      <c r="AF125" s="7"/>
      <c r="AG125" s="7"/>
      <c r="AH125" s="7"/>
      <c r="AI125" s="5"/>
      <c r="AT125" s="57"/>
      <c r="AU125" s="57"/>
      <c r="AV125" s="57"/>
      <c r="AW125" s="57"/>
      <c r="AX125" s="57"/>
      <c r="AY125" s="57"/>
      <c r="AZ125" s="57"/>
      <c r="BA125" s="57"/>
    </row>
    <row r="126" spans="26:53" ht="16">
      <c r="Z126" s="7"/>
      <c r="AA126" s="7"/>
      <c r="AB126" s="7"/>
      <c r="AC126" s="7"/>
      <c r="AD126" s="7"/>
      <c r="AE126" s="7"/>
      <c r="AF126" s="7"/>
      <c r="AG126" s="7"/>
      <c r="AH126" s="7"/>
      <c r="AI126" s="5"/>
      <c r="AT126" s="57"/>
      <c r="AU126" s="57"/>
      <c r="AV126" s="57"/>
      <c r="AW126" s="57"/>
      <c r="AX126" s="57"/>
      <c r="AY126" s="57"/>
      <c r="AZ126" s="57"/>
      <c r="BA126" s="57"/>
    </row>
    <row r="127" spans="26:53" ht="16">
      <c r="Z127" s="7"/>
      <c r="AA127" s="7"/>
      <c r="AB127" s="7"/>
      <c r="AC127" s="7"/>
      <c r="AD127" s="7"/>
      <c r="AE127" s="7"/>
      <c r="AF127" s="7"/>
      <c r="AG127" s="7"/>
      <c r="AH127" s="7"/>
      <c r="AI127" s="5"/>
      <c r="AT127" s="57"/>
      <c r="AU127" s="57"/>
      <c r="AV127" s="57"/>
      <c r="AW127" s="57"/>
      <c r="AX127" s="57"/>
      <c r="AY127" s="57"/>
      <c r="AZ127" s="57"/>
      <c r="BA127" s="57"/>
    </row>
    <row r="128" spans="26:53" ht="16">
      <c r="Z128" s="7"/>
      <c r="AA128" s="7"/>
      <c r="AB128" s="7"/>
      <c r="AC128" s="7"/>
      <c r="AD128" s="7"/>
      <c r="AE128" s="7"/>
      <c r="AF128" s="7"/>
      <c r="AG128" s="7"/>
      <c r="AH128" s="7"/>
      <c r="AI128" s="5"/>
      <c r="AT128" s="57"/>
      <c r="AU128" s="57"/>
      <c r="AV128" s="57"/>
      <c r="AW128" s="57"/>
      <c r="AX128" s="57"/>
      <c r="AY128" s="57"/>
      <c r="AZ128" s="57"/>
      <c r="BA128" s="57"/>
    </row>
    <row r="129" spans="26:53" ht="16">
      <c r="Z129" s="7"/>
      <c r="AA129" s="7"/>
      <c r="AB129" s="7"/>
      <c r="AC129" s="7"/>
      <c r="AD129" s="7"/>
      <c r="AE129" s="7"/>
      <c r="AF129" s="7"/>
      <c r="AG129" s="7"/>
      <c r="AH129" s="7"/>
      <c r="AI129" s="5"/>
      <c r="AT129" s="57"/>
      <c r="AU129" s="57"/>
      <c r="AV129" s="57"/>
      <c r="AW129" s="57"/>
      <c r="AX129" s="57"/>
      <c r="AY129" s="57"/>
      <c r="AZ129" s="57"/>
      <c r="BA129" s="57"/>
    </row>
    <row r="130" spans="26:53" ht="16">
      <c r="Z130" s="7"/>
      <c r="AA130" s="7"/>
      <c r="AB130" s="7"/>
      <c r="AC130" s="7"/>
      <c r="AD130" s="7"/>
      <c r="AE130" s="7"/>
      <c r="AF130" s="7"/>
      <c r="AG130" s="7"/>
      <c r="AH130" s="7"/>
      <c r="AI130" s="5"/>
      <c r="AT130" s="57"/>
      <c r="AU130" s="57"/>
      <c r="AV130" s="57"/>
      <c r="AW130" s="57"/>
      <c r="AX130" s="57"/>
      <c r="AY130" s="57"/>
      <c r="AZ130" s="57"/>
      <c r="BA130" s="57"/>
    </row>
    <row r="131" spans="26:53" ht="16">
      <c r="Z131" s="7"/>
      <c r="AA131" s="7"/>
      <c r="AB131" s="7"/>
      <c r="AC131" s="7"/>
      <c r="AD131" s="7"/>
      <c r="AE131" s="7"/>
      <c r="AF131" s="7"/>
      <c r="AG131" s="7"/>
      <c r="AH131" s="7"/>
      <c r="AI131" s="5"/>
      <c r="AT131" s="57"/>
      <c r="AU131" s="57"/>
      <c r="AV131" s="57"/>
      <c r="AW131" s="57"/>
      <c r="AX131" s="57"/>
      <c r="AY131" s="57"/>
      <c r="AZ131" s="57"/>
      <c r="BA131" s="57"/>
    </row>
    <row r="132" spans="26:53" ht="16">
      <c r="Z132" s="7"/>
      <c r="AA132" s="7"/>
      <c r="AB132" s="7"/>
      <c r="AC132" s="7"/>
      <c r="AD132" s="7"/>
      <c r="AE132" s="7"/>
      <c r="AF132" s="7"/>
      <c r="AG132" s="7"/>
      <c r="AH132" s="7"/>
      <c r="AI132" s="5"/>
      <c r="AT132" s="57"/>
      <c r="AU132" s="57"/>
      <c r="AV132" s="57"/>
      <c r="AW132" s="57"/>
      <c r="AX132" s="57"/>
      <c r="AY132" s="57"/>
      <c r="AZ132" s="57"/>
      <c r="BA132" s="57"/>
    </row>
    <row r="133" spans="26:53" ht="16">
      <c r="Z133" s="7"/>
      <c r="AA133" s="7"/>
      <c r="AB133" s="7"/>
      <c r="AC133" s="7"/>
      <c r="AD133" s="7"/>
      <c r="AE133" s="7"/>
      <c r="AF133" s="7"/>
      <c r="AG133" s="7"/>
      <c r="AH133" s="7"/>
      <c r="AI133" s="5"/>
      <c r="AT133" s="57"/>
      <c r="AU133" s="57"/>
      <c r="AV133" s="57"/>
      <c r="AW133" s="57"/>
      <c r="AX133" s="57"/>
      <c r="AY133" s="57"/>
      <c r="AZ133" s="57"/>
      <c r="BA133" s="57"/>
    </row>
    <row r="134" spans="26:53" ht="16">
      <c r="Z134" s="7"/>
      <c r="AA134" s="7"/>
      <c r="AB134" s="7"/>
      <c r="AC134" s="7"/>
      <c r="AD134" s="7"/>
      <c r="AE134" s="7"/>
      <c r="AF134" s="7"/>
      <c r="AG134" s="7"/>
      <c r="AH134" s="7"/>
      <c r="AI134" s="5"/>
      <c r="AT134" s="57"/>
      <c r="AU134" s="57"/>
      <c r="AV134" s="57"/>
      <c r="AW134" s="57"/>
      <c r="AX134" s="57"/>
      <c r="AY134" s="57"/>
      <c r="AZ134" s="57"/>
      <c r="BA134" s="57"/>
    </row>
    <row r="135" spans="26:53" ht="16">
      <c r="Z135" s="7"/>
      <c r="AA135" s="7"/>
      <c r="AB135" s="7"/>
      <c r="AC135" s="7"/>
      <c r="AD135" s="7"/>
      <c r="AE135" s="7"/>
      <c r="AF135" s="7"/>
      <c r="AG135" s="7"/>
      <c r="AH135" s="7"/>
      <c r="AI135" s="5"/>
      <c r="AT135" s="57"/>
      <c r="AU135" s="57"/>
      <c r="AV135" s="57"/>
      <c r="AW135" s="57"/>
      <c r="AX135" s="57"/>
      <c r="AY135" s="57"/>
      <c r="AZ135" s="57"/>
      <c r="BA135" s="57"/>
    </row>
    <row r="136" spans="26:53" ht="16">
      <c r="Z136" s="7"/>
      <c r="AA136" s="7"/>
      <c r="AB136" s="7"/>
      <c r="AC136" s="7"/>
      <c r="AD136" s="7"/>
      <c r="AE136" s="7"/>
      <c r="AF136" s="7"/>
      <c r="AG136" s="7"/>
      <c r="AH136" s="7"/>
      <c r="AI136" s="5"/>
      <c r="AT136" s="57"/>
      <c r="AU136" s="57"/>
      <c r="AV136" s="57"/>
      <c r="AW136" s="57"/>
      <c r="AX136" s="57"/>
      <c r="AY136" s="57"/>
      <c r="AZ136" s="57"/>
      <c r="BA136" s="57"/>
    </row>
    <row r="137" spans="26:53" ht="16">
      <c r="Z137" s="7"/>
      <c r="AA137" s="7"/>
      <c r="AB137" s="7"/>
      <c r="AC137" s="7"/>
      <c r="AD137" s="7"/>
      <c r="AE137" s="7"/>
      <c r="AF137" s="7"/>
      <c r="AG137" s="7"/>
      <c r="AH137" s="7"/>
      <c r="AI137" s="5"/>
      <c r="AT137" s="57"/>
      <c r="AU137" s="57"/>
      <c r="AV137" s="57"/>
      <c r="AW137" s="57"/>
      <c r="AX137" s="57"/>
      <c r="AY137" s="57"/>
      <c r="AZ137" s="57"/>
      <c r="BA137" s="57"/>
    </row>
    <row r="138" spans="26:53" ht="16">
      <c r="Z138" s="7"/>
      <c r="AA138" s="7"/>
      <c r="AB138" s="7"/>
      <c r="AC138" s="7"/>
      <c r="AD138" s="7"/>
      <c r="AE138" s="7"/>
      <c r="AF138" s="7"/>
      <c r="AG138" s="7"/>
      <c r="AH138" s="7"/>
      <c r="AI138" s="5"/>
      <c r="AT138" s="57"/>
      <c r="AU138" s="57"/>
      <c r="AV138" s="57"/>
      <c r="AW138" s="57"/>
      <c r="AX138" s="57"/>
      <c r="AY138" s="57"/>
      <c r="AZ138" s="57"/>
      <c r="BA138" s="57"/>
    </row>
    <row r="139" spans="26:53" ht="16">
      <c r="Z139" s="7"/>
      <c r="AA139" s="7"/>
      <c r="AB139" s="7"/>
      <c r="AC139" s="7"/>
      <c r="AD139" s="7"/>
      <c r="AE139" s="7"/>
      <c r="AF139" s="7"/>
      <c r="AG139" s="7"/>
      <c r="AH139" s="7"/>
      <c r="AI139" s="5"/>
      <c r="AT139" s="57"/>
      <c r="AU139" s="57"/>
      <c r="AV139" s="57"/>
      <c r="AW139" s="57"/>
      <c r="AX139" s="57"/>
      <c r="AY139" s="57"/>
      <c r="AZ139" s="57"/>
      <c r="BA139" s="57"/>
    </row>
    <row r="140" spans="26:53" ht="16">
      <c r="Z140" s="7"/>
      <c r="AA140" s="7"/>
      <c r="AB140" s="7"/>
      <c r="AC140" s="7"/>
      <c r="AD140" s="7"/>
      <c r="AE140" s="7"/>
      <c r="AF140" s="7"/>
      <c r="AG140" s="7"/>
      <c r="AH140" s="7"/>
      <c r="AI140" s="5"/>
      <c r="AJ140" s="7"/>
      <c r="AT140" s="57"/>
      <c r="AU140" s="57"/>
      <c r="AV140" s="57"/>
      <c r="AW140" s="57"/>
      <c r="AX140" s="57"/>
      <c r="AY140" s="57"/>
      <c r="AZ140" s="57"/>
      <c r="BA140" s="57"/>
    </row>
    <row r="141" spans="26:53" ht="16">
      <c r="Z141" s="7"/>
      <c r="AA141" s="7"/>
      <c r="AB141" s="7"/>
      <c r="AC141" s="7"/>
      <c r="AD141" s="7"/>
      <c r="AE141" s="7"/>
      <c r="AF141" s="7"/>
      <c r="AG141" s="7"/>
      <c r="AH141" s="7"/>
      <c r="AI141" s="5"/>
      <c r="AJ141" s="7"/>
      <c r="AT141" s="57"/>
      <c r="AU141" s="57"/>
      <c r="AV141" s="57"/>
      <c r="AW141" s="57"/>
      <c r="AX141" s="57"/>
      <c r="AY141" s="57"/>
      <c r="AZ141" s="57"/>
      <c r="BA141" s="57"/>
    </row>
    <row r="142" spans="26:53" ht="16">
      <c r="Z142" s="7"/>
      <c r="AA142" s="7"/>
      <c r="AB142" s="7"/>
      <c r="AC142" s="7"/>
      <c r="AD142" s="7"/>
      <c r="AE142" s="7"/>
      <c r="AF142" s="7"/>
      <c r="AG142" s="7"/>
      <c r="AH142" s="7"/>
      <c r="AI142" s="5"/>
      <c r="AJ142" s="7"/>
      <c r="AT142" s="57"/>
      <c r="AU142" s="57"/>
      <c r="AV142" s="57"/>
      <c r="AW142" s="57"/>
      <c r="AX142" s="57"/>
      <c r="AY142" s="57"/>
      <c r="AZ142" s="57"/>
      <c r="BA142" s="57"/>
    </row>
    <row r="143" spans="26:53" ht="16">
      <c r="Z143" s="7"/>
      <c r="AA143" s="7"/>
      <c r="AB143" s="7"/>
      <c r="AC143" s="7"/>
      <c r="AD143" s="7"/>
      <c r="AE143" s="7"/>
      <c r="AF143" s="7"/>
      <c r="AG143" s="7"/>
      <c r="AH143" s="7"/>
      <c r="AI143" s="5"/>
      <c r="AJ143" s="7"/>
      <c r="AT143" s="57"/>
      <c r="AU143" s="57"/>
      <c r="AV143" s="57"/>
      <c r="AW143" s="57"/>
      <c r="AX143" s="57"/>
      <c r="AY143" s="57"/>
      <c r="AZ143" s="57"/>
      <c r="BA143" s="57"/>
    </row>
    <row r="144" spans="26:53" ht="16">
      <c r="Z144" s="7"/>
      <c r="AA144" s="7"/>
      <c r="AB144" s="7"/>
      <c r="AC144" s="7"/>
      <c r="AD144" s="7"/>
      <c r="AE144" s="7"/>
      <c r="AF144" s="7"/>
      <c r="AG144" s="7"/>
      <c r="AH144" s="7"/>
      <c r="AI144" s="5"/>
      <c r="AJ144" s="7"/>
      <c r="AT144" s="57"/>
      <c r="AU144" s="57"/>
      <c r="AV144" s="57"/>
      <c r="AW144" s="57"/>
      <c r="AX144" s="57"/>
      <c r="AY144" s="57"/>
      <c r="AZ144" s="57"/>
      <c r="BA144" s="57"/>
    </row>
    <row r="145" spans="26:53" ht="16">
      <c r="Z145" s="7"/>
      <c r="AA145" s="7"/>
      <c r="AB145" s="7"/>
      <c r="AC145" s="7"/>
      <c r="AD145" s="7"/>
      <c r="AE145" s="7"/>
      <c r="AF145" s="7"/>
      <c r="AG145" s="7"/>
      <c r="AH145" s="7"/>
      <c r="AI145" s="5"/>
      <c r="AJ145" s="7"/>
      <c r="AT145" s="57"/>
      <c r="AU145" s="57"/>
      <c r="AV145" s="57"/>
      <c r="AW145" s="57"/>
      <c r="AX145" s="57"/>
      <c r="AY145" s="57"/>
      <c r="AZ145" s="57"/>
      <c r="BA145" s="57"/>
    </row>
    <row r="146" spans="26:53" ht="16">
      <c r="Z146" s="7"/>
      <c r="AA146" s="7"/>
      <c r="AB146" s="7"/>
      <c r="AC146" s="7"/>
      <c r="AD146" s="7"/>
      <c r="AE146" s="7"/>
      <c r="AF146" s="7"/>
      <c r="AG146" s="7"/>
      <c r="AH146" s="7"/>
      <c r="AI146" s="5"/>
      <c r="AJ146" s="7"/>
      <c r="AT146" s="57"/>
      <c r="AU146" s="57"/>
      <c r="AV146" s="57"/>
      <c r="AW146" s="57"/>
      <c r="AX146" s="57"/>
      <c r="AY146" s="57"/>
      <c r="AZ146" s="57"/>
      <c r="BA146" s="57"/>
    </row>
    <row r="147" spans="26:53" ht="16">
      <c r="Z147" s="7"/>
      <c r="AA147" s="7"/>
      <c r="AB147" s="7"/>
      <c r="AC147" s="7"/>
      <c r="AD147" s="7"/>
      <c r="AE147" s="7"/>
      <c r="AF147" s="7"/>
      <c r="AG147" s="7"/>
      <c r="AH147" s="7"/>
      <c r="AI147" s="5"/>
      <c r="AJ147" s="7"/>
      <c r="AT147" s="57"/>
      <c r="AU147" s="57"/>
      <c r="AV147" s="57"/>
      <c r="AW147" s="57"/>
      <c r="AX147" s="57"/>
      <c r="AY147" s="57"/>
      <c r="AZ147" s="57"/>
      <c r="BA147" s="57"/>
    </row>
    <row r="148" spans="26:53" ht="16">
      <c r="Z148" s="7"/>
      <c r="AA148" s="7"/>
      <c r="AB148" s="7"/>
      <c r="AC148" s="7"/>
      <c r="AD148" s="7"/>
      <c r="AE148" s="7"/>
      <c r="AF148" s="7"/>
      <c r="AG148" s="7"/>
      <c r="AH148" s="7"/>
      <c r="AI148" s="5"/>
      <c r="AJ148" s="7"/>
      <c r="AT148" s="57"/>
      <c r="AU148" s="57"/>
      <c r="AV148" s="57"/>
      <c r="AW148" s="57"/>
      <c r="AX148" s="57"/>
      <c r="AY148" s="57"/>
      <c r="AZ148" s="57"/>
      <c r="BA148" s="57"/>
    </row>
    <row r="149" spans="26:53" ht="16">
      <c r="Z149" s="7"/>
      <c r="AA149" s="7"/>
      <c r="AB149" s="7"/>
      <c r="AC149" s="7"/>
      <c r="AD149" s="7"/>
      <c r="AE149" s="7"/>
      <c r="AF149" s="7"/>
      <c r="AG149" s="7"/>
      <c r="AH149" s="7"/>
      <c r="AI149" s="5"/>
      <c r="AJ149" s="7"/>
      <c r="AT149" s="57"/>
      <c r="AU149" s="57"/>
      <c r="AV149" s="57"/>
      <c r="AW149" s="57"/>
      <c r="AX149" s="57"/>
      <c r="AY149" s="57"/>
      <c r="AZ149" s="57"/>
      <c r="BA149" s="57"/>
    </row>
    <row r="150" spans="26:53" ht="16">
      <c r="Z150" s="7"/>
      <c r="AA150" s="7"/>
      <c r="AB150" s="7"/>
      <c r="AC150" s="7"/>
      <c r="AD150" s="7"/>
      <c r="AE150" s="7"/>
      <c r="AF150" s="7"/>
      <c r="AG150" s="7"/>
      <c r="AH150" s="7"/>
      <c r="AI150" s="5"/>
      <c r="AJ150" s="7"/>
      <c r="AT150" s="57"/>
      <c r="AU150" s="57"/>
      <c r="AV150" s="57"/>
      <c r="AW150" s="57"/>
      <c r="AX150" s="57"/>
      <c r="AY150" s="57"/>
      <c r="AZ150" s="57"/>
      <c r="BA150" s="57"/>
    </row>
    <row r="151" spans="26:53" ht="16">
      <c r="Z151" s="7"/>
      <c r="AA151" s="7"/>
      <c r="AB151" s="7"/>
      <c r="AC151" s="7"/>
      <c r="AD151" s="7"/>
      <c r="AE151" s="7"/>
      <c r="AF151" s="7"/>
      <c r="AG151" s="7"/>
      <c r="AH151" s="7"/>
      <c r="AI151" s="5"/>
      <c r="AJ151" s="7"/>
      <c r="AT151" s="57"/>
      <c r="AU151" s="57"/>
      <c r="AV151" s="57"/>
      <c r="AW151" s="57"/>
      <c r="AX151" s="57"/>
      <c r="AY151" s="57"/>
      <c r="AZ151" s="57"/>
      <c r="BA151" s="57"/>
    </row>
    <row r="152" spans="26:53" ht="16">
      <c r="Z152" s="7"/>
      <c r="AA152" s="7"/>
      <c r="AB152" s="7"/>
      <c r="AC152" s="7"/>
      <c r="AD152" s="7"/>
      <c r="AE152" s="7"/>
      <c r="AF152" s="7"/>
      <c r="AG152" s="7"/>
      <c r="AH152" s="7"/>
      <c r="AI152" s="5"/>
      <c r="AJ152" s="7"/>
      <c r="AT152" s="57"/>
      <c r="AU152" s="57"/>
      <c r="AV152" s="57"/>
      <c r="AW152" s="57"/>
      <c r="AX152" s="57"/>
      <c r="AY152" s="57"/>
      <c r="AZ152" s="57"/>
      <c r="BA152" s="57"/>
    </row>
    <row r="153" spans="26:53" ht="16">
      <c r="Z153" s="7"/>
      <c r="AA153" s="7"/>
      <c r="AB153" s="7"/>
      <c r="AC153" s="7"/>
      <c r="AD153" s="7"/>
      <c r="AE153" s="7"/>
      <c r="AF153" s="7"/>
      <c r="AG153" s="7"/>
      <c r="AH153" s="7"/>
      <c r="AI153" s="5"/>
      <c r="AJ153" s="7"/>
      <c r="AT153" s="57"/>
      <c r="AU153" s="57"/>
      <c r="AV153" s="57"/>
      <c r="AW153" s="57"/>
      <c r="AX153" s="57"/>
      <c r="AY153" s="57"/>
      <c r="AZ153" s="57"/>
      <c r="BA153" s="57"/>
    </row>
    <row r="154" spans="26:53" ht="16">
      <c r="Z154" s="7"/>
      <c r="AA154" s="7"/>
      <c r="AB154" s="7"/>
      <c r="AC154" s="7"/>
      <c r="AD154" s="7"/>
      <c r="AE154" s="7"/>
      <c r="AF154" s="7"/>
      <c r="AG154" s="7"/>
      <c r="AH154" s="7"/>
      <c r="AI154" s="5"/>
      <c r="AJ154" s="7"/>
      <c r="AT154" s="57"/>
      <c r="AU154" s="57"/>
      <c r="AV154" s="57"/>
      <c r="AW154" s="57"/>
      <c r="AX154" s="57"/>
      <c r="AY154" s="57"/>
      <c r="AZ154" s="57"/>
      <c r="BA154" s="57"/>
    </row>
    <row r="155" spans="26:53" ht="16">
      <c r="Z155" s="7"/>
      <c r="AA155" s="7"/>
      <c r="AB155" s="7"/>
      <c r="AC155" s="7"/>
      <c r="AD155" s="7"/>
      <c r="AE155" s="7"/>
      <c r="AF155" s="7"/>
      <c r="AG155" s="7"/>
      <c r="AH155" s="7"/>
      <c r="AI155" s="5"/>
      <c r="AJ155" s="7"/>
      <c r="AT155" s="57"/>
      <c r="AU155" s="57"/>
      <c r="AV155" s="57"/>
      <c r="AW155" s="57"/>
      <c r="AX155" s="57"/>
      <c r="AY155" s="57"/>
      <c r="AZ155" s="57"/>
      <c r="BA155" s="57"/>
    </row>
    <row r="156" spans="26:53" ht="16">
      <c r="Z156" s="7"/>
      <c r="AA156" s="7"/>
      <c r="AB156" s="7"/>
      <c r="AC156" s="7"/>
      <c r="AD156" s="7"/>
      <c r="AE156" s="7"/>
      <c r="AF156" s="7"/>
      <c r="AG156" s="7"/>
      <c r="AH156" s="7"/>
      <c r="AI156" s="5"/>
      <c r="AJ156" s="7"/>
      <c r="AT156" s="57"/>
      <c r="AU156" s="57"/>
      <c r="AV156" s="57"/>
      <c r="AW156" s="57"/>
      <c r="AX156" s="57"/>
      <c r="AY156" s="57"/>
      <c r="AZ156" s="57"/>
      <c r="BA156" s="57"/>
    </row>
    <row r="157" spans="26:53" ht="16">
      <c r="Z157" s="7"/>
      <c r="AA157" s="7"/>
      <c r="AB157" s="7"/>
      <c r="AC157" s="7"/>
      <c r="AD157" s="7"/>
      <c r="AE157" s="7"/>
      <c r="AF157" s="7"/>
      <c r="AG157" s="7"/>
      <c r="AH157" s="7"/>
      <c r="AI157" s="5"/>
      <c r="AJ157" s="7"/>
      <c r="AT157" s="57"/>
      <c r="AU157" s="57"/>
      <c r="AV157" s="57"/>
      <c r="AW157" s="57"/>
      <c r="AX157" s="57"/>
      <c r="AY157" s="57"/>
      <c r="AZ157" s="57"/>
      <c r="BA157" s="57"/>
    </row>
    <row r="158" spans="26:53" ht="16">
      <c r="Z158" s="7"/>
      <c r="AA158" s="7"/>
      <c r="AB158" s="7"/>
      <c r="AC158" s="7"/>
      <c r="AD158" s="7"/>
      <c r="AE158" s="7"/>
      <c r="AF158" s="7"/>
      <c r="AG158" s="7"/>
      <c r="AH158" s="7"/>
      <c r="AI158" s="5"/>
      <c r="AJ158" s="7"/>
      <c r="AT158" s="57"/>
      <c r="AU158" s="57"/>
      <c r="AV158" s="57"/>
      <c r="AW158" s="57"/>
      <c r="AX158" s="57"/>
      <c r="AY158" s="57"/>
      <c r="AZ158" s="57"/>
      <c r="BA158" s="57"/>
    </row>
    <row r="159" spans="26:53" ht="16">
      <c r="Z159" s="7"/>
      <c r="AA159" s="7"/>
      <c r="AB159" s="7"/>
      <c r="AC159" s="7"/>
      <c r="AD159" s="7"/>
      <c r="AE159" s="7"/>
      <c r="AF159" s="7"/>
      <c r="AG159" s="7"/>
      <c r="AH159" s="7"/>
      <c r="AI159" s="5"/>
      <c r="AJ159" s="7"/>
      <c r="AT159" s="57"/>
      <c r="AU159" s="57"/>
      <c r="AV159" s="57"/>
      <c r="AW159" s="57"/>
      <c r="AX159" s="57"/>
      <c r="AY159" s="57"/>
      <c r="AZ159" s="57"/>
      <c r="BA159" s="57"/>
    </row>
    <row r="160" spans="26:53" ht="16">
      <c r="Z160" s="7"/>
      <c r="AA160" s="7"/>
      <c r="AB160" s="7"/>
      <c r="AC160" s="7"/>
      <c r="AD160" s="7"/>
      <c r="AE160" s="7"/>
      <c r="AF160" s="7"/>
      <c r="AG160" s="7"/>
      <c r="AH160" s="7"/>
      <c r="AI160" s="5"/>
      <c r="AJ160" s="7"/>
      <c r="AT160" s="57"/>
      <c r="AU160" s="57"/>
      <c r="AV160" s="57"/>
      <c r="AW160" s="57"/>
      <c r="AX160" s="57"/>
      <c r="AY160" s="57"/>
      <c r="AZ160" s="57"/>
      <c r="BA160" s="57"/>
    </row>
    <row r="161" spans="26:53" ht="16">
      <c r="Z161" s="7"/>
      <c r="AA161" s="7"/>
      <c r="AB161" s="7"/>
      <c r="AC161" s="7"/>
      <c r="AD161" s="7"/>
      <c r="AE161" s="7"/>
      <c r="AF161" s="7"/>
      <c r="AG161" s="7"/>
      <c r="AH161" s="7"/>
      <c r="AI161" s="5"/>
      <c r="AJ161" s="7"/>
      <c r="AT161" s="57"/>
      <c r="AU161" s="57"/>
      <c r="AV161" s="57"/>
      <c r="AW161" s="57"/>
      <c r="AX161" s="57"/>
      <c r="AY161" s="57"/>
      <c r="AZ161" s="57"/>
      <c r="BA161" s="57"/>
    </row>
    <row r="162" spans="26:53" ht="16">
      <c r="Z162" s="7"/>
      <c r="AA162" s="7"/>
      <c r="AB162" s="7"/>
      <c r="AC162" s="7"/>
      <c r="AD162" s="7"/>
      <c r="AE162" s="7"/>
      <c r="AF162" s="7"/>
      <c r="AG162" s="7"/>
      <c r="AH162" s="7"/>
      <c r="AI162" s="5"/>
      <c r="AJ162" s="7"/>
      <c r="AT162" s="57"/>
      <c r="AU162" s="57"/>
      <c r="AV162" s="57"/>
      <c r="AW162" s="57"/>
      <c r="AX162" s="57"/>
      <c r="AY162" s="57"/>
      <c r="AZ162" s="57"/>
      <c r="BA162" s="57"/>
    </row>
    <row r="163" spans="26:53" ht="16">
      <c r="Z163" s="7"/>
      <c r="AA163" s="7"/>
      <c r="AB163" s="7"/>
      <c r="AC163" s="7"/>
      <c r="AD163" s="7"/>
      <c r="AE163" s="7"/>
      <c r="AF163" s="7"/>
      <c r="AG163" s="7"/>
      <c r="AH163" s="7"/>
      <c r="AI163" s="5"/>
      <c r="AJ163" s="7"/>
      <c r="AT163" s="57"/>
      <c r="AU163" s="57"/>
      <c r="AV163" s="57"/>
      <c r="AW163" s="57"/>
      <c r="AX163" s="57"/>
      <c r="AY163" s="57"/>
      <c r="AZ163" s="57"/>
      <c r="BA163" s="57"/>
    </row>
    <row r="164" spans="26:53" ht="16">
      <c r="Z164" s="7"/>
      <c r="AA164" s="7"/>
      <c r="AB164" s="7"/>
      <c r="AC164" s="7"/>
      <c r="AD164" s="7"/>
      <c r="AE164" s="7"/>
      <c r="AF164" s="7"/>
      <c r="AG164" s="7"/>
      <c r="AH164" s="7"/>
      <c r="AI164" s="5"/>
      <c r="AJ164" s="7"/>
      <c r="AT164" s="57"/>
      <c r="AU164" s="57"/>
      <c r="AV164" s="57"/>
      <c r="AW164" s="57"/>
      <c r="AX164" s="57"/>
      <c r="AY164" s="57"/>
      <c r="AZ164" s="57"/>
      <c r="BA164" s="57"/>
    </row>
    <row r="165" spans="26:53" ht="16">
      <c r="Z165" s="7"/>
      <c r="AA165" s="7"/>
      <c r="AB165" s="7"/>
      <c r="AC165" s="7"/>
      <c r="AD165" s="7"/>
      <c r="AE165" s="7"/>
      <c r="AF165" s="7"/>
      <c r="AG165" s="7"/>
      <c r="AH165" s="7"/>
      <c r="AI165" s="5"/>
      <c r="AJ165" s="7"/>
      <c r="AT165" s="57"/>
      <c r="AU165" s="57"/>
      <c r="AV165" s="57"/>
      <c r="AW165" s="57"/>
      <c r="AX165" s="57"/>
      <c r="AY165" s="57"/>
      <c r="AZ165" s="57"/>
      <c r="BA165" s="57"/>
    </row>
    <row r="166" spans="26:53" ht="16">
      <c r="Z166" s="7"/>
      <c r="AA166" s="7"/>
      <c r="AB166" s="7"/>
      <c r="AC166" s="7"/>
      <c r="AD166" s="7"/>
      <c r="AE166" s="7"/>
      <c r="AF166" s="7"/>
      <c r="AG166" s="7"/>
      <c r="AH166" s="7"/>
      <c r="AI166" s="5"/>
      <c r="AJ166" s="7"/>
      <c r="AT166" s="57"/>
      <c r="AU166" s="57"/>
      <c r="AV166" s="57"/>
      <c r="AW166" s="57"/>
      <c r="AX166" s="57"/>
      <c r="AY166" s="57"/>
      <c r="AZ166" s="57"/>
      <c r="BA166" s="57"/>
    </row>
    <row r="167" spans="26:53" ht="16">
      <c r="Z167" s="7"/>
      <c r="AA167" s="7"/>
      <c r="AB167" s="7"/>
      <c r="AC167" s="7"/>
      <c r="AD167" s="7"/>
      <c r="AE167" s="7"/>
      <c r="AF167" s="7"/>
      <c r="AG167" s="7"/>
      <c r="AH167" s="7"/>
      <c r="AI167" s="5"/>
      <c r="AJ167" s="7"/>
      <c r="AT167" s="57"/>
      <c r="AU167" s="57"/>
      <c r="AV167" s="57"/>
      <c r="AW167" s="57"/>
      <c r="AX167" s="57"/>
      <c r="AY167" s="57"/>
      <c r="AZ167" s="57"/>
      <c r="BA167" s="57"/>
    </row>
    <row r="168" spans="26:53" ht="16">
      <c r="Z168" s="7"/>
      <c r="AA168" s="7"/>
      <c r="AB168" s="7"/>
      <c r="AC168" s="7"/>
      <c r="AD168" s="7"/>
      <c r="AE168" s="7"/>
      <c r="AF168" s="7"/>
      <c r="AG168" s="7"/>
      <c r="AH168" s="7"/>
      <c r="AI168" s="5"/>
      <c r="AJ168" s="7"/>
      <c r="AT168" s="57"/>
      <c r="AU168" s="57"/>
      <c r="AV168" s="57"/>
      <c r="AW168" s="57"/>
      <c r="AX168" s="57"/>
      <c r="AY168" s="57"/>
      <c r="AZ168" s="57"/>
      <c r="BA168" s="57"/>
    </row>
    <row r="169" spans="26:53" ht="16">
      <c r="Z169" s="7"/>
      <c r="AA169" s="7"/>
      <c r="AB169" s="7"/>
      <c r="AC169" s="7"/>
      <c r="AD169" s="7"/>
      <c r="AE169" s="7"/>
      <c r="AF169" s="7"/>
      <c r="AG169" s="7"/>
      <c r="AH169" s="7"/>
      <c r="AI169" s="5"/>
      <c r="AJ169" s="7"/>
      <c r="AT169" s="57"/>
      <c r="AU169" s="57"/>
      <c r="AV169" s="57"/>
      <c r="AW169" s="57"/>
      <c r="AX169" s="57"/>
      <c r="AY169" s="57"/>
      <c r="AZ169" s="57"/>
      <c r="BA169" s="57"/>
    </row>
    <row r="170" spans="26:53" ht="16">
      <c r="Z170" s="7"/>
      <c r="AA170" s="7"/>
      <c r="AB170" s="7"/>
      <c r="AC170" s="7"/>
      <c r="AD170" s="7"/>
      <c r="AE170" s="7"/>
      <c r="AF170" s="7"/>
      <c r="AG170" s="7"/>
      <c r="AH170" s="7"/>
      <c r="AI170" s="5"/>
      <c r="AJ170" s="7"/>
      <c r="AT170" s="57"/>
      <c r="AU170" s="57"/>
      <c r="AV170" s="57"/>
      <c r="AW170" s="57"/>
      <c r="AX170" s="57"/>
      <c r="AY170" s="57"/>
      <c r="AZ170" s="57"/>
      <c r="BA170" s="57"/>
    </row>
    <row r="171" spans="26:53" ht="16">
      <c r="Z171" s="7"/>
      <c r="AA171" s="7"/>
      <c r="AB171" s="7"/>
      <c r="AC171" s="7"/>
      <c r="AD171" s="7"/>
      <c r="AE171" s="7"/>
      <c r="AF171" s="7"/>
      <c r="AG171" s="7"/>
      <c r="AH171" s="7"/>
      <c r="AI171" s="5"/>
      <c r="AJ171" s="7"/>
      <c r="AT171" s="57"/>
      <c r="AU171" s="57"/>
      <c r="AV171" s="57"/>
      <c r="AW171" s="57"/>
      <c r="AX171" s="57"/>
      <c r="AY171" s="57"/>
      <c r="AZ171" s="57"/>
      <c r="BA171" s="57"/>
    </row>
    <row r="172" spans="26:53" ht="16">
      <c r="Z172" s="7"/>
      <c r="AA172" s="7"/>
      <c r="AB172" s="7"/>
      <c r="AC172" s="7"/>
      <c r="AD172" s="7"/>
      <c r="AE172" s="7"/>
      <c r="AF172" s="7"/>
      <c r="AG172" s="7"/>
      <c r="AH172" s="7"/>
      <c r="AI172" s="5"/>
      <c r="AJ172" s="7"/>
      <c r="AT172" s="57"/>
      <c r="AU172" s="57"/>
      <c r="AV172" s="57"/>
      <c r="AW172" s="57"/>
      <c r="AX172" s="57"/>
      <c r="AY172" s="57"/>
      <c r="AZ172" s="57"/>
      <c r="BA172" s="57"/>
    </row>
    <row r="173" spans="26:53" ht="16"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T173" s="57"/>
      <c r="AU173" s="57"/>
      <c r="AV173" s="57"/>
      <c r="AW173" s="57"/>
      <c r="AX173" s="57"/>
      <c r="AY173" s="57"/>
      <c r="AZ173" s="57"/>
      <c r="BA173" s="57"/>
    </row>
    <row r="174" spans="26:53" ht="16"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T174" s="57"/>
      <c r="AU174" s="57"/>
      <c r="AV174" s="57"/>
      <c r="AW174" s="57"/>
      <c r="AX174" s="57"/>
      <c r="AY174" s="57"/>
      <c r="AZ174" s="57"/>
      <c r="BA174" s="57"/>
    </row>
    <row r="175" spans="26:53" ht="16"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T175" s="57"/>
      <c r="AU175" s="57"/>
      <c r="AV175" s="57"/>
      <c r="AW175" s="57"/>
      <c r="AX175" s="57"/>
      <c r="AY175" s="57"/>
      <c r="AZ175" s="57"/>
      <c r="BA175" s="57"/>
    </row>
    <row r="176" spans="26:53" ht="16"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T176" s="57"/>
      <c r="AU176" s="57"/>
      <c r="AV176" s="57"/>
      <c r="AW176" s="57"/>
      <c r="AX176" s="57"/>
      <c r="AY176" s="57"/>
      <c r="AZ176" s="57"/>
      <c r="BA176" s="57"/>
    </row>
    <row r="177" spans="26:53" ht="16"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T177" s="57"/>
      <c r="AU177" s="57"/>
      <c r="AV177" s="57"/>
      <c r="AW177" s="57"/>
      <c r="AX177" s="57"/>
      <c r="AY177" s="57"/>
      <c r="AZ177" s="57"/>
      <c r="BA177" s="57"/>
    </row>
    <row r="178" spans="26:53" ht="16"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T178" s="57"/>
      <c r="AU178" s="57"/>
      <c r="AV178" s="57"/>
      <c r="AW178" s="57"/>
      <c r="AX178" s="57"/>
      <c r="AY178" s="57"/>
      <c r="AZ178" s="57"/>
      <c r="BA178" s="57"/>
    </row>
    <row r="179" spans="26:53" ht="16"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T179" s="57"/>
      <c r="AU179" s="57"/>
      <c r="AV179" s="57"/>
      <c r="AW179" s="57"/>
      <c r="AX179" s="57"/>
      <c r="AY179" s="57"/>
      <c r="AZ179" s="57"/>
      <c r="BA179" s="57"/>
    </row>
    <row r="180" spans="26:53" ht="16"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T180" s="57"/>
      <c r="AU180" s="57"/>
      <c r="AV180" s="57"/>
      <c r="AW180" s="57"/>
      <c r="AX180" s="57"/>
      <c r="AY180" s="57"/>
      <c r="AZ180" s="57"/>
      <c r="BA180" s="57"/>
    </row>
    <row r="181" spans="26:53" ht="16"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T181" s="57"/>
      <c r="AU181" s="57"/>
      <c r="AV181" s="57"/>
      <c r="AW181" s="57"/>
      <c r="AX181" s="57"/>
      <c r="AY181" s="57"/>
      <c r="AZ181" s="57"/>
      <c r="BA181" s="57"/>
    </row>
    <row r="182" spans="26:53" ht="16"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T182" s="57"/>
      <c r="AU182" s="57"/>
      <c r="AV182" s="57"/>
      <c r="AW182" s="57"/>
      <c r="AX182" s="57"/>
      <c r="AY182" s="57"/>
      <c r="AZ182" s="57"/>
      <c r="BA182" s="57"/>
    </row>
    <row r="183" spans="26:53" ht="16"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T183" s="57"/>
      <c r="AU183" s="57"/>
      <c r="AV183" s="57"/>
      <c r="AW183" s="57"/>
      <c r="AX183" s="57"/>
      <c r="AY183" s="57"/>
      <c r="AZ183" s="57"/>
      <c r="BA183" s="57"/>
    </row>
    <row r="184" spans="26:53" ht="16"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T184" s="57"/>
      <c r="AU184" s="57"/>
      <c r="AV184" s="57"/>
      <c r="AW184" s="57"/>
      <c r="AX184" s="57"/>
      <c r="AY184" s="57"/>
      <c r="AZ184" s="57"/>
      <c r="BA184" s="57"/>
    </row>
    <row r="185" spans="26:53" ht="16"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T185" s="57"/>
      <c r="AU185" s="57"/>
      <c r="AV185" s="57"/>
      <c r="AW185" s="57"/>
      <c r="AX185" s="57"/>
      <c r="AY185" s="57"/>
      <c r="AZ185" s="57"/>
      <c r="BA185" s="57"/>
    </row>
    <row r="186" spans="26:53" ht="16"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T186" s="57"/>
      <c r="AU186" s="57"/>
      <c r="AV186" s="57"/>
      <c r="AW186" s="57"/>
      <c r="AX186" s="57"/>
      <c r="AY186" s="57"/>
      <c r="AZ186" s="57"/>
      <c r="BA186" s="57"/>
    </row>
    <row r="187" spans="26:53" ht="16"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T187" s="57"/>
      <c r="AU187" s="57"/>
      <c r="AV187" s="57"/>
      <c r="AW187" s="57"/>
      <c r="AX187" s="57"/>
      <c r="AY187" s="57"/>
      <c r="AZ187" s="57"/>
      <c r="BA187" s="57"/>
    </row>
    <row r="188" spans="26:53" ht="16"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T188" s="57"/>
      <c r="AU188" s="57"/>
      <c r="AV188" s="57"/>
      <c r="AW188" s="57"/>
      <c r="AX188" s="57"/>
      <c r="AY188" s="57"/>
      <c r="AZ188" s="57"/>
      <c r="BA188" s="57"/>
    </row>
    <row r="189" spans="26:53" ht="16"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T189" s="57"/>
      <c r="AU189" s="57"/>
      <c r="AV189" s="57"/>
      <c r="AW189" s="57"/>
      <c r="AX189" s="57"/>
      <c r="AY189" s="57"/>
      <c r="AZ189" s="57"/>
      <c r="BA189" s="57"/>
    </row>
    <row r="190" spans="26:53" ht="16"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T190" s="57"/>
      <c r="AU190" s="57"/>
      <c r="AV190" s="57"/>
      <c r="AW190" s="57"/>
      <c r="AX190" s="57"/>
      <c r="AY190" s="57"/>
      <c r="AZ190" s="57"/>
      <c r="BA190" s="57"/>
    </row>
    <row r="191" spans="26:53" ht="16"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T191" s="57"/>
      <c r="AU191" s="57"/>
      <c r="AV191" s="57"/>
      <c r="AW191" s="57"/>
      <c r="AX191" s="57"/>
      <c r="AY191" s="57"/>
      <c r="AZ191" s="57"/>
      <c r="BA191" s="57"/>
    </row>
    <row r="192" spans="26:53"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</row>
    <row r="193" spans="26:36"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</row>
    <row r="194" spans="26:36"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</row>
    <row r="195" spans="26:36"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</row>
    <row r="196" spans="26:36"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</row>
    <row r="197" spans="26:36"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</row>
    <row r="198" spans="26:36"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</row>
    <row r="199" spans="26:36"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</row>
    <row r="200" spans="26:36"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</row>
    <row r="201" spans="26:36"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</row>
    <row r="202" spans="26:36"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</row>
    <row r="203" spans="26:36"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</row>
    <row r="204" spans="26:36"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</row>
    <row r="205" spans="26:36"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</row>
    <row r="206" spans="26:36"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</row>
    <row r="207" spans="26:36"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</row>
    <row r="208" spans="26:36"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</row>
    <row r="209" spans="26:36"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</row>
    <row r="210" spans="26:36"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</row>
    <row r="211" spans="26:36"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</row>
    <row r="212" spans="26:36"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</row>
    <row r="213" spans="26:36"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</row>
    <row r="214" spans="26:36"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</row>
    <row r="215" spans="26:36"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</row>
    <row r="216" spans="26:36"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</row>
    <row r="217" spans="26:36"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</row>
    <row r="218" spans="26:36"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</row>
    <row r="219" spans="26:36"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</row>
    <row r="220" spans="26:36"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</row>
    <row r="221" spans="26:36"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</row>
    <row r="222" spans="26:36"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</row>
    <row r="223" spans="26:36"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</row>
    <row r="224" spans="26:36"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</row>
    <row r="225" spans="26:37"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</row>
    <row r="226" spans="26:37"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</row>
    <row r="227" spans="26:37"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</row>
    <row r="228" spans="26:37"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</row>
    <row r="229" spans="26:37"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</row>
    <row r="230" spans="26:37"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</row>
    <row r="231" spans="26:37"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</row>
    <row r="232" spans="26:37"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</row>
    <row r="233" spans="26:37"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</row>
    <row r="234" spans="26:37"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</row>
    <row r="235" spans="26:37"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</row>
    <row r="236" spans="26:37"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</row>
    <row r="237" spans="26:37"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</row>
    <row r="238" spans="26:37"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</row>
    <row r="239" spans="26:37"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</row>
    <row r="240" spans="26:37"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</row>
    <row r="241" spans="26:37"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</row>
    <row r="242" spans="26:37"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</row>
    <row r="243" spans="26:37"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</row>
    <row r="244" spans="26:37"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</row>
    <row r="245" spans="26:37"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</row>
    <row r="246" spans="26:37"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</row>
    <row r="247" spans="26:37"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</row>
    <row r="248" spans="26:37"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</row>
    <row r="249" spans="26:37"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</row>
    <row r="250" spans="26:37"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</row>
    <row r="251" spans="26:37"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</row>
    <row r="252" spans="26:37"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</row>
    <row r="253" spans="26:37"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</row>
    <row r="254" spans="26:37"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</row>
    <row r="255" spans="26:37"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</row>
    <row r="256" spans="26:37"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</row>
    <row r="257" spans="26:37"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</row>
    <row r="258" spans="26:37"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</row>
    <row r="259" spans="26:37"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</row>
    <row r="260" spans="26:37"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</row>
    <row r="261" spans="26:37"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</row>
    <row r="262" spans="26:37"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</row>
    <row r="263" spans="26:37"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</row>
    <row r="264" spans="26:37"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</row>
    <row r="265" spans="26:37"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</row>
    <row r="266" spans="26:37"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</row>
    <row r="267" spans="26:37"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</row>
    <row r="268" spans="26:37"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</row>
    <row r="269" spans="26:37"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</row>
    <row r="270" spans="26:37"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</row>
    <row r="271" spans="26:37"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</row>
    <row r="272" spans="26:37"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</row>
    <row r="273" spans="26:37"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</row>
    <row r="274" spans="26:37"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</row>
    <row r="275" spans="26:37"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</row>
    <row r="276" spans="26:37"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</row>
    <row r="277" spans="26:37"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</row>
    <row r="278" spans="26:37"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</row>
    <row r="279" spans="26:37"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</row>
    <row r="280" spans="26:37"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</row>
    <row r="281" spans="26:37"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</row>
    <row r="282" spans="26:37"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</row>
    <row r="283" spans="26:37"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</row>
    <row r="284" spans="26:37"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</row>
    <row r="285" spans="26:37"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</row>
    <row r="286" spans="26:37"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</row>
    <row r="287" spans="26:37"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</row>
    <row r="288" spans="26:37"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</row>
    <row r="289" spans="26:37"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</row>
    <row r="290" spans="26:37"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</row>
    <row r="291" spans="26:37"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</row>
    <row r="292" spans="26:37"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</row>
    <row r="293" spans="26:37"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</row>
    <row r="294" spans="26:37"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</row>
    <row r="295" spans="26:37"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</row>
    <row r="296" spans="26:37"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</row>
    <row r="297" spans="26:37"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</row>
    <row r="298" spans="26:37"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</row>
    <row r="299" spans="26:37"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</row>
    <row r="300" spans="26:37"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</row>
    <row r="301" spans="26:37"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</row>
    <row r="302" spans="26:37"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</row>
    <row r="303" spans="26:37"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</row>
    <row r="304" spans="26:37"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</row>
    <row r="305" spans="26:37"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</row>
    <row r="306" spans="26:37"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</row>
    <row r="307" spans="26:37"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</row>
    <row r="308" spans="26:37"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</row>
    <row r="309" spans="26:37"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</row>
    <row r="310" spans="26:37"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</row>
    <row r="311" spans="26:37"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</row>
    <row r="312" spans="26:37"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</row>
    <row r="313" spans="26:37"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</row>
    <row r="314" spans="26:37"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</row>
    <row r="315" spans="26:37"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</row>
    <row r="316" spans="26:37"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</row>
    <row r="317" spans="26:37"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</row>
    <row r="318" spans="26:37"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</row>
    <row r="319" spans="26:37"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</row>
    <row r="320" spans="26:37"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</row>
    <row r="321" spans="26:37"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</row>
    <row r="322" spans="26:37"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</row>
    <row r="323" spans="26:37"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</row>
    <row r="324" spans="26:37"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</row>
    <row r="325" spans="26:37"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</row>
    <row r="326" spans="26:37"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</row>
    <row r="327" spans="26:37"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</row>
    <row r="328" spans="26:37"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</row>
    <row r="329" spans="26:37"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</row>
    <row r="330" spans="26:37"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</row>
    <row r="331" spans="26:37"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</row>
    <row r="332" spans="26:37"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</row>
    <row r="333" spans="26:37"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</row>
    <row r="334" spans="26:37"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</row>
    <row r="335" spans="26:37"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</row>
    <row r="336" spans="26:37"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</row>
    <row r="337" spans="26:37"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</row>
    <row r="338" spans="26:37"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</row>
    <row r="339" spans="26:37"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</row>
    <row r="340" spans="26:37"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</row>
    <row r="341" spans="26:37"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</row>
    <row r="342" spans="26:37"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</row>
    <row r="343" spans="26:37"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</row>
    <row r="344" spans="26:37"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</row>
    <row r="345" spans="26:37"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</row>
    <row r="346" spans="26:37"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</row>
    <row r="347" spans="26:37"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</row>
    <row r="348" spans="26:37"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</row>
    <row r="349" spans="26:37"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</row>
    <row r="350" spans="26:37"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</row>
    <row r="351" spans="26:37"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</row>
    <row r="352" spans="26:37"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</row>
    <row r="353" spans="26:37"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</row>
    <row r="354" spans="26:37"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</row>
  </sheetData>
  <phoneticPr fontId="0" type="noConversion"/>
  <printOptions horizontalCentered="1"/>
  <pageMargins left="0.25" right="0.25" top="0.25" bottom="0.25" header="0.25" footer="0.25"/>
  <pageSetup paperSize="5" scale="54" fitToWidth="4" orientation="landscape" horizontalDpi="4294967292" verticalDpi="4294967292"/>
  <headerFooter alignWithMargins="0">
    <oddHeader>&amp;CParticipation Cash Flow Proforma</oddHeader>
    <oddFooter>&amp;L&amp;8&amp;F&amp;A&amp;R&amp;8&amp;D&amp;T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00FF00"/>
    <pageSetUpPr fitToPage="1"/>
  </sheetPr>
  <dimension ref="A1:CU61"/>
  <sheetViews>
    <sheetView zoomScale="86" zoomScaleNormal="86" workbookViewId="0">
      <selection activeCell="E14" sqref="E14"/>
    </sheetView>
  </sheetViews>
  <sheetFormatPr baseColWidth="10" defaultColWidth="11.5" defaultRowHeight="14"/>
  <cols>
    <col min="1" max="1" width="7.6640625" style="199" customWidth="1"/>
    <col min="2" max="2" width="1.83203125" style="199" customWidth="1"/>
    <col min="3" max="3" width="28.83203125" style="199" customWidth="1"/>
    <col min="4" max="4" width="4" style="199" customWidth="1"/>
    <col min="5" max="5" width="12" style="561" bestFit="1" customWidth="1"/>
    <col min="6" max="6" width="11.5" style="561" bestFit="1" customWidth="1"/>
    <col min="7" max="7" width="10.6640625" style="561" bestFit="1" customWidth="1"/>
    <col min="8" max="8" width="11.5" style="561" bestFit="1" customWidth="1"/>
    <col min="9" max="9" width="11.83203125" style="561" bestFit="1" customWidth="1"/>
    <col min="10" max="10" width="5.5" style="524" customWidth="1"/>
    <col min="11" max="11" width="13.6640625" style="524" bestFit="1" customWidth="1"/>
    <col min="12" max="12" width="3.6640625" style="199" customWidth="1"/>
    <col min="13" max="13" width="14.6640625" style="199" customWidth="1"/>
    <col min="14" max="14" width="9.33203125" style="199" bestFit="1" customWidth="1"/>
    <col min="15" max="15" width="11.5" style="199"/>
    <col min="16" max="16" width="1" style="199" customWidth="1"/>
    <col min="17" max="17" width="4.6640625" style="199" customWidth="1"/>
    <col min="18" max="18" width="11.33203125" style="199" customWidth="1"/>
    <col min="19" max="19" width="12.33203125" style="199" customWidth="1"/>
    <col min="20" max="20" width="11.33203125" style="199" bestFit="1" customWidth="1"/>
    <col min="21" max="21" width="9.5" style="199" customWidth="1"/>
    <col min="22" max="22" width="12.83203125" style="199" customWidth="1"/>
    <col min="23" max="23" width="12.1640625" style="199" customWidth="1"/>
    <col min="24" max="24" width="1.83203125" style="199" customWidth="1"/>
    <col min="25" max="28" width="4" style="199" customWidth="1"/>
    <col min="29" max="29" width="1" style="199" customWidth="1"/>
    <col min="30" max="30" width="4.6640625" style="199" customWidth="1"/>
    <col min="31" max="31" width="11.33203125" style="199" customWidth="1"/>
    <col min="32" max="32" width="12.33203125" style="199" customWidth="1"/>
    <col min="33" max="33" width="11.33203125" style="199" bestFit="1" customWidth="1"/>
    <col min="34" max="34" width="9.5" style="199" customWidth="1"/>
    <col min="35" max="35" width="12.83203125" style="199" customWidth="1"/>
    <col min="36" max="36" width="12.1640625" style="199" customWidth="1"/>
    <col min="37" max="37" width="15.1640625" style="199" customWidth="1"/>
    <col min="38" max="41" width="12.1640625" style="199" customWidth="1"/>
    <col min="42" max="42" width="1.83203125" style="199" customWidth="1"/>
    <col min="43" max="44" width="11.5" style="199"/>
    <col min="45" max="45" width="16.33203125" style="199" bestFit="1" customWidth="1"/>
    <col min="46" max="46" width="14.6640625" style="524" bestFit="1" customWidth="1"/>
    <col min="47" max="47" width="11.5" style="524" bestFit="1" customWidth="1"/>
    <col min="48" max="48" width="11.33203125" style="524" bestFit="1" customWidth="1"/>
    <col min="49" max="49" width="9.6640625" style="524" bestFit="1" customWidth="1"/>
    <col min="50" max="70" width="7.5" style="524" bestFit="1" customWidth="1"/>
    <col min="71" max="72" width="10.1640625" style="524" bestFit="1" customWidth="1"/>
    <col min="73" max="73" width="12.5" style="524" bestFit="1" customWidth="1"/>
    <col min="74" max="74" width="9.1640625" style="524" bestFit="1" customWidth="1"/>
    <col min="75" max="77" width="7" style="524" bestFit="1" customWidth="1"/>
    <col min="78" max="78" width="9.1640625" style="524" bestFit="1" customWidth="1"/>
    <col min="79" max="81" width="7" style="524" bestFit="1" customWidth="1"/>
    <col min="82" max="82" width="9.1640625" style="524" bestFit="1" customWidth="1"/>
    <col min="83" max="83" width="9.5" style="524" bestFit="1" customWidth="1"/>
    <col min="84" max="86" width="7.5" style="524" bestFit="1" customWidth="1"/>
    <col min="87" max="87" width="9.1640625" style="524" bestFit="1" customWidth="1"/>
    <col min="88" max="90" width="7" style="524" bestFit="1" customWidth="1"/>
    <col min="91" max="91" width="9.1640625" style="524" bestFit="1" customWidth="1"/>
    <col min="92" max="94" width="7" style="524" bestFit="1" customWidth="1"/>
    <col min="95" max="95" width="9.1640625" style="524" bestFit="1" customWidth="1"/>
    <col min="96" max="96" width="7" style="524" bestFit="1" customWidth="1"/>
    <col min="97" max="97" width="9.1640625" style="524" bestFit="1" customWidth="1"/>
    <col min="98" max="98" width="9.5" style="524" bestFit="1" customWidth="1"/>
    <col min="99" max="99" width="10.6640625" style="524" bestFit="1" customWidth="1"/>
    <col min="100" max="16384" width="11.5" style="524"/>
  </cols>
  <sheetData>
    <row r="1" spans="2:99" ht="15" thickBot="1">
      <c r="C1" s="198"/>
      <c r="D1" s="198"/>
      <c r="P1" s="198"/>
      <c r="Q1" s="198"/>
      <c r="R1" s="198"/>
      <c r="S1" s="198"/>
      <c r="T1" s="198"/>
      <c r="U1" s="198"/>
      <c r="AC1" s="198"/>
      <c r="AD1" s="198"/>
      <c r="AE1" s="198"/>
      <c r="AF1" s="198"/>
      <c r="AG1" s="198"/>
      <c r="AH1" s="198"/>
    </row>
    <row r="2" spans="2:99" ht="30" customHeight="1">
      <c r="C2" s="273" t="str">
        <f>i_company&amp;": "&amp;i_scendesc&amp;" - One Deal"</f>
        <v>CBH/LAO: Base - One Deal</v>
      </c>
      <c r="D2" s="273"/>
      <c r="P2" s="411"/>
      <c r="Q2" s="412"/>
      <c r="R2" s="412"/>
      <c r="S2" s="412"/>
      <c r="T2" s="412"/>
      <c r="U2" s="412"/>
      <c r="V2" s="412"/>
      <c r="W2" s="412"/>
      <c r="X2" s="413"/>
      <c r="AC2" s="411"/>
      <c r="AD2" s="412"/>
      <c r="AE2" s="412"/>
      <c r="AF2" s="412"/>
      <c r="AG2" s="412"/>
      <c r="AH2" s="412"/>
      <c r="AI2" s="412"/>
      <c r="AJ2" s="412"/>
      <c r="AK2" s="581"/>
      <c r="AL2" s="581"/>
      <c r="AM2" s="581"/>
      <c r="AN2" s="581"/>
      <c r="AO2" s="581"/>
      <c r="AP2" s="413"/>
    </row>
    <row r="3" spans="2:99" ht="15" customHeight="1" thickBot="1">
      <c r="C3" s="42"/>
      <c r="D3" s="42"/>
      <c r="J3" s="528"/>
      <c r="K3" s="528"/>
      <c r="P3" s="414"/>
      <c r="Q3" s="415" t="s">
        <v>477</v>
      </c>
      <c r="R3" s="416"/>
      <c r="S3" s="417" t="s">
        <v>495</v>
      </c>
      <c r="T3" s="418"/>
      <c r="U3" s="419"/>
      <c r="V3" s="420"/>
      <c r="W3" s="421" t="s">
        <v>496</v>
      </c>
      <c r="X3" s="422"/>
      <c r="AC3" s="414"/>
      <c r="AD3" s="415" t="s">
        <v>477</v>
      </c>
      <c r="AE3" s="416"/>
      <c r="AF3" s="417" t="s">
        <v>495</v>
      </c>
      <c r="AG3" s="418"/>
      <c r="AH3" s="419"/>
      <c r="AI3" s="420"/>
      <c r="AJ3" s="421" t="s">
        <v>496</v>
      </c>
      <c r="AK3" s="421"/>
      <c r="AL3" s="421"/>
      <c r="AM3" s="421"/>
      <c r="AN3" s="421"/>
      <c r="AO3" s="421"/>
      <c r="AP3" s="422"/>
    </row>
    <row r="4" spans="2:99" ht="17" thickBot="1">
      <c r="C4" s="542" t="s">
        <v>341</v>
      </c>
      <c r="D4" s="538"/>
      <c r="E4" s="562">
        <v>1</v>
      </c>
      <c r="F4" s="562">
        <f>E4+1</f>
        <v>2</v>
      </c>
      <c r="G4" s="562">
        <f t="shared" ref="G4:I4" si="0">F4+1</f>
        <v>3</v>
      </c>
      <c r="H4" s="562">
        <f t="shared" si="0"/>
        <v>4</v>
      </c>
      <c r="I4" s="562">
        <f t="shared" si="0"/>
        <v>5</v>
      </c>
      <c r="J4" s="537"/>
      <c r="K4" s="538" t="s">
        <v>205</v>
      </c>
      <c r="P4" s="414"/>
      <c r="Q4" s="423" t="s">
        <v>478</v>
      </c>
      <c r="R4" s="424"/>
      <c r="S4" s="425" t="s">
        <v>497</v>
      </c>
      <c r="T4" s="426"/>
      <c r="U4" s="423" t="s">
        <v>479</v>
      </c>
      <c r="V4" s="424"/>
      <c r="W4" s="427">
        <v>2910000</v>
      </c>
      <c r="X4" s="428"/>
      <c r="AC4" s="414"/>
      <c r="AD4" s="423" t="s">
        <v>478</v>
      </c>
      <c r="AE4" s="424"/>
      <c r="AF4" s="425" t="s">
        <v>497</v>
      </c>
      <c r="AG4" s="426"/>
      <c r="AH4" s="423" t="s">
        <v>479</v>
      </c>
      <c r="AI4" s="424"/>
      <c r="AJ4" s="427">
        <v>2910000</v>
      </c>
      <c r="AK4" s="427"/>
      <c r="AL4" s="427"/>
      <c r="AM4" s="427"/>
      <c r="AN4" s="427"/>
      <c r="AO4" s="427"/>
      <c r="AP4" s="428"/>
    </row>
    <row r="5" spans="2:99" ht="16">
      <c r="C5" s="543"/>
      <c r="D5" s="556"/>
      <c r="E5" s="563"/>
      <c r="F5" s="563"/>
      <c r="G5" s="563"/>
      <c r="H5" s="563"/>
      <c r="I5" s="563"/>
      <c r="J5" s="536"/>
      <c r="K5" s="536"/>
      <c r="P5" s="414"/>
      <c r="Q5" s="423" t="s">
        <v>480</v>
      </c>
      <c r="R5" s="429"/>
      <c r="S5" s="430">
        <f>i_lotstotal</f>
        <v>100</v>
      </c>
      <c r="T5" s="426"/>
      <c r="U5" s="423" t="s">
        <v>481</v>
      </c>
      <c r="V5" s="424"/>
      <c r="W5" s="431">
        <v>-2700000</v>
      </c>
      <c r="X5" s="428"/>
      <c r="AC5" s="414"/>
      <c r="AD5" s="423" t="s">
        <v>480</v>
      </c>
      <c r="AE5" s="429"/>
      <c r="AF5" s="430">
        <f>i_lotstotal</f>
        <v>100</v>
      </c>
      <c r="AG5" s="426"/>
      <c r="AH5" s="423" t="s">
        <v>481</v>
      </c>
      <c r="AI5" s="424"/>
      <c r="AJ5" s="431">
        <v>-2700000</v>
      </c>
      <c r="AK5" s="582"/>
      <c r="AL5" s="582"/>
      <c r="AM5" s="582"/>
      <c r="AN5" s="582"/>
      <c r="AO5" s="582"/>
      <c r="AP5" s="428"/>
    </row>
    <row r="6" spans="2:99" ht="16">
      <c r="C6" s="544"/>
      <c r="D6" s="544"/>
      <c r="E6" s="569" t="s">
        <v>425</v>
      </c>
      <c r="F6" s="569" t="s">
        <v>209</v>
      </c>
      <c r="G6" s="569" t="s">
        <v>422</v>
      </c>
      <c r="H6" s="569" t="s">
        <v>461</v>
      </c>
      <c r="I6" s="569" t="s">
        <v>424</v>
      </c>
      <c r="J6" s="533"/>
      <c r="K6" s="540"/>
      <c r="P6" s="414"/>
      <c r="Q6" s="423" t="s">
        <v>479</v>
      </c>
      <c r="R6" s="429"/>
      <c r="S6" s="432">
        <f>M_Onedeal!L69</f>
        <v>11535000</v>
      </c>
      <c r="T6" s="426"/>
      <c r="U6" s="433" t="s">
        <v>482</v>
      </c>
      <c r="V6" s="434"/>
      <c r="W6" s="435">
        <v>210000</v>
      </c>
      <c r="X6" s="428"/>
      <c r="AC6" s="414"/>
      <c r="AD6" s="423" t="s">
        <v>479</v>
      </c>
      <c r="AE6" s="429"/>
      <c r="AF6" s="432">
        <f ca="1">M_Onedeal!Y69</f>
        <v>172657.73813743709</v>
      </c>
      <c r="AG6" s="426"/>
      <c r="AH6" s="433" t="s">
        <v>482</v>
      </c>
      <c r="AI6" s="434"/>
      <c r="AJ6" s="435">
        <v>210000</v>
      </c>
      <c r="AK6" s="435"/>
      <c r="AL6" s="435"/>
      <c r="AM6" s="435"/>
      <c r="AN6" s="435"/>
      <c r="AO6" s="435"/>
      <c r="AP6" s="428"/>
    </row>
    <row r="7" spans="2:99" ht="16">
      <c r="C7" s="315" t="s">
        <v>423</v>
      </c>
      <c r="D7" s="315"/>
      <c r="E7" s="570">
        <f ca="1">c_equity_tot+c_initialseniordebt+c_optionpmt</f>
        <v>5000000</v>
      </c>
      <c r="F7" s="570">
        <f ca="1">c_equity_tot</f>
        <v>3932828.8690687185</v>
      </c>
      <c r="G7" s="570">
        <f ca="1">c_initialseniordebt</f>
        <v>-86328.869068718515</v>
      </c>
      <c r="H7" s="570">
        <f>c_optionpmt</f>
        <v>1153500</v>
      </c>
      <c r="I7" s="570">
        <f ca="1">c_totalcosts</f>
        <v>10172657.738137437</v>
      </c>
      <c r="J7" s="513"/>
      <c r="K7" s="540"/>
      <c r="N7" s="203"/>
      <c r="P7" s="414"/>
      <c r="Q7" s="423" t="s">
        <v>483</v>
      </c>
      <c r="R7" s="429"/>
      <c r="S7" s="432">
        <f>S6/i_lotstotal</f>
        <v>115350</v>
      </c>
      <c r="T7" s="426"/>
      <c r="U7" s="437" t="s">
        <v>501</v>
      </c>
      <c r="V7" s="434"/>
      <c r="W7" s="438">
        <f>M_Onedeal!R2</f>
        <v>0.10483495869491133</v>
      </c>
      <c r="X7" s="428"/>
      <c r="AA7" s="203"/>
      <c r="AC7" s="414"/>
      <c r="AD7" s="423" t="s">
        <v>483</v>
      </c>
      <c r="AE7" s="429"/>
      <c r="AF7" s="432">
        <f ca="1">AF6/i_lotstotal</f>
        <v>1726.5773813743708</v>
      </c>
      <c r="AG7" s="426"/>
      <c r="AH7" s="437" t="s">
        <v>501</v>
      </c>
      <c r="AI7" s="434"/>
      <c r="AJ7" s="438">
        <f>M_Onedeal!AE2</f>
        <v>0</v>
      </c>
      <c r="AK7" s="438"/>
      <c r="AL7" s="438"/>
      <c r="AM7" s="438"/>
      <c r="AN7" s="438"/>
      <c r="AO7" s="438"/>
      <c r="AP7" s="428"/>
    </row>
    <row r="8" spans="2:99" ht="16">
      <c r="N8" s="203"/>
      <c r="P8" s="414"/>
      <c r="Q8" s="423" t="s">
        <v>484</v>
      </c>
      <c r="R8" s="429"/>
      <c r="S8" s="436">
        <f>i_optionpct</f>
        <v>0.1</v>
      </c>
      <c r="T8" s="426"/>
      <c r="U8" s="437" t="s">
        <v>500</v>
      </c>
      <c r="V8" s="434"/>
      <c r="W8" s="438">
        <f>M_Onedeal!R5</f>
        <v>0.1100218239962778</v>
      </c>
      <c r="X8" s="428"/>
      <c r="AA8" s="203"/>
      <c r="AC8" s="414"/>
      <c r="AD8" s="423" t="s">
        <v>484</v>
      </c>
      <c r="AE8" s="429"/>
      <c r="AF8" s="436">
        <f>i_optionpct</f>
        <v>0.1</v>
      </c>
      <c r="AG8" s="426"/>
      <c r="AH8" s="437" t="s">
        <v>500</v>
      </c>
      <c r="AI8" s="434"/>
      <c r="AJ8" s="438" t="str">
        <f>M_Onedeal!AE5</f>
        <v xml:space="preserve"> </v>
      </c>
      <c r="AK8" s="438"/>
      <c r="AL8" s="438"/>
      <c r="AM8" s="438"/>
      <c r="AN8" s="438"/>
      <c r="AO8" s="438"/>
      <c r="AP8" s="428"/>
    </row>
    <row r="9" spans="2:99" ht="17" thickBot="1">
      <c r="C9" s="551" t="s">
        <v>343</v>
      </c>
      <c r="D9" s="551"/>
      <c r="E9" s="570">
        <f>INDEX(M_Onedeal!$E$71:$E$75,E$4,0)</f>
        <v>100</v>
      </c>
      <c r="F9" s="570">
        <f>INDEX(M_Onedeal!$E$71:$E$75,F$4,0)</f>
        <v>80</v>
      </c>
      <c r="G9" s="570">
        <f>INDEX(M_Onedeal!$E$71:$E$75,G$4,0)</f>
        <v>20</v>
      </c>
      <c r="H9" s="570">
        <f>INDEX(M_Onedeal!$E$71:$E$75,H$4,0)</f>
        <v>0</v>
      </c>
      <c r="I9" s="570">
        <f>INDEX(M_Onedeal!$E$71:$E$75,I$4,0)</f>
        <v>0</v>
      </c>
      <c r="K9" s="513" t="s">
        <v>113</v>
      </c>
      <c r="P9" s="414"/>
      <c r="Q9" s="434"/>
      <c r="R9" s="434"/>
      <c r="S9" s="434"/>
      <c r="T9" s="426"/>
      <c r="U9" s="434"/>
      <c r="V9" s="424"/>
      <c r="W9" s="439"/>
      <c r="X9" s="428"/>
      <c r="AC9" s="414"/>
      <c r="AD9" s="434"/>
      <c r="AE9" s="434"/>
      <c r="AF9" s="434"/>
      <c r="AG9" s="426"/>
      <c r="AH9" s="434"/>
      <c r="AI9" s="424"/>
      <c r="AJ9" s="439"/>
      <c r="AK9" s="439"/>
      <c r="AL9" s="439"/>
      <c r="AM9" s="439"/>
      <c r="AN9" s="439"/>
      <c r="AO9" s="439"/>
      <c r="AP9" s="428"/>
    </row>
    <row r="10" spans="2:99" ht="16">
      <c r="C10" s="557" t="s">
        <v>414</v>
      </c>
      <c r="D10" s="557"/>
      <c r="E10" s="571">
        <f>-INDEX(M_Onedeal!$H$71:$H$75,E$4,0)</f>
        <v>-20</v>
      </c>
      <c r="F10" s="571">
        <f>-INDEX(M_Onedeal!$H$71:$H$75,F$4,0)</f>
        <v>-60</v>
      </c>
      <c r="G10" s="571">
        <f>-INDEX(M_Onedeal!$H$71:$H$75,G$4,0)</f>
        <v>-20</v>
      </c>
      <c r="H10" s="571">
        <f>-INDEX(M_Onedeal!$H$71:$H$75,H$4,0)</f>
        <v>0</v>
      </c>
      <c r="I10" s="571">
        <f>-INDEX(M_Onedeal!$H$71:$H$75,I$4,0)</f>
        <v>0</v>
      </c>
      <c r="K10" s="535">
        <f>SUM(E10:I10)</f>
        <v>-100</v>
      </c>
      <c r="P10" s="414"/>
      <c r="Q10" s="440"/>
      <c r="R10" s="441"/>
      <c r="S10" s="441" t="s">
        <v>485</v>
      </c>
      <c r="T10" s="442"/>
      <c r="U10" s="443"/>
      <c r="V10" s="442"/>
      <c r="W10" s="444"/>
      <c r="X10" s="428"/>
      <c r="AC10" s="414"/>
      <c r="AD10" s="440"/>
      <c r="AE10" s="441"/>
      <c r="AF10" s="591" t="s">
        <v>250</v>
      </c>
      <c r="AG10" s="591"/>
      <c r="AH10" s="591" t="s">
        <v>511</v>
      </c>
      <c r="AI10" s="591"/>
      <c r="AJ10" s="583"/>
      <c r="AK10" s="583"/>
      <c r="AL10" s="583"/>
      <c r="AM10" s="583"/>
      <c r="AN10" s="583"/>
      <c r="AO10" s="583"/>
      <c r="AP10" s="428"/>
    </row>
    <row r="11" spans="2:99" ht="16">
      <c r="C11" s="551" t="s">
        <v>344</v>
      </c>
      <c r="D11" s="551"/>
      <c r="E11" s="570">
        <f>INDEX(M_Onedeal!$I$71:$I$75,E$4,0)</f>
        <v>80</v>
      </c>
      <c r="F11" s="570">
        <f>INDEX(M_Onedeal!$I$71:$I$75,F$4,0)</f>
        <v>20</v>
      </c>
      <c r="G11" s="570">
        <f>INDEX(M_Onedeal!$I$71:$I$75,G$4,0)</f>
        <v>0</v>
      </c>
      <c r="H11" s="570">
        <f>INDEX(M_Onedeal!$I$71:$I$75,H$4,0)</f>
        <v>0</v>
      </c>
      <c r="I11" s="570">
        <f>INDEX(M_Onedeal!$I$71:$I$75,I$4,0)</f>
        <v>0</v>
      </c>
      <c r="K11" s="513" t="s">
        <v>113</v>
      </c>
      <c r="P11" s="445"/>
      <c r="Q11" s="446"/>
      <c r="R11" s="447"/>
      <c r="S11" s="448" t="s">
        <v>486</v>
      </c>
      <c r="T11" s="447" t="s">
        <v>487</v>
      </c>
      <c r="U11" s="449" t="s">
        <v>471</v>
      </c>
      <c r="V11" s="449"/>
      <c r="W11" s="450" t="s">
        <v>488</v>
      </c>
      <c r="X11" s="428"/>
      <c r="AC11" s="445"/>
      <c r="AD11" s="446"/>
      <c r="AE11" s="447"/>
      <c r="AF11" s="448" t="s">
        <v>486</v>
      </c>
      <c r="AG11" s="447" t="s">
        <v>487</v>
      </c>
      <c r="AH11" s="449" t="s">
        <v>471</v>
      </c>
      <c r="AI11" s="449"/>
      <c r="AJ11" s="448" t="s">
        <v>488</v>
      </c>
      <c r="AK11" s="592" t="s">
        <v>210</v>
      </c>
      <c r="AL11" s="592"/>
      <c r="AM11" s="448" t="str">
        <f>AJ11</f>
        <v>Project</v>
      </c>
      <c r="AN11" s="448"/>
      <c r="AO11" s="448"/>
      <c r="AP11" s="428"/>
    </row>
    <row r="12" spans="2:99" ht="17" thickBot="1">
      <c r="C12" s="552"/>
      <c r="D12" s="552"/>
      <c r="E12" s="572"/>
      <c r="F12" s="572"/>
      <c r="G12" s="572"/>
      <c r="H12" s="572"/>
      <c r="I12" s="570"/>
      <c r="K12" s="540"/>
      <c r="P12" s="445"/>
      <c r="Q12" s="451" t="s">
        <v>489</v>
      </c>
      <c r="R12" s="452" t="s">
        <v>490</v>
      </c>
      <c r="S12" s="453" t="s">
        <v>491</v>
      </c>
      <c r="T12" s="454" t="s">
        <v>492</v>
      </c>
      <c r="U12" s="454" t="s">
        <v>499</v>
      </c>
      <c r="V12" s="455" t="s">
        <v>250</v>
      </c>
      <c r="W12" s="456" t="s">
        <v>493</v>
      </c>
      <c r="X12" s="428"/>
      <c r="AC12" s="445"/>
      <c r="AD12" s="451" t="s">
        <v>489</v>
      </c>
      <c r="AE12" s="452" t="s">
        <v>490</v>
      </c>
      <c r="AF12" s="453" t="s">
        <v>491</v>
      </c>
      <c r="AG12" s="454" t="s">
        <v>492</v>
      </c>
      <c r="AH12" s="454" t="s">
        <v>499</v>
      </c>
      <c r="AI12" s="455" t="s">
        <v>250</v>
      </c>
      <c r="AJ12" s="455" t="s">
        <v>514</v>
      </c>
      <c r="AK12" s="455" t="s">
        <v>512</v>
      </c>
      <c r="AL12" s="455" t="s">
        <v>513</v>
      </c>
      <c r="AM12" s="455" t="s">
        <v>493</v>
      </c>
      <c r="AN12" s="455"/>
      <c r="AO12" s="455"/>
      <c r="AP12" s="428"/>
    </row>
    <row r="13" spans="2:99" ht="16">
      <c r="B13" s="552" t="s">
        <v>250</v>
      </c>
      <c r="D13" s="552"/>
      <c r="E13" s="570"/>
      <c r="F13" s="570"/>
      <c r="G13" s="570"/>
      <c r="H13" s="570"/>
      <c r="I13" s="570"/>
      <c r="J13" s="513"/>
      <c r="K13" s="534"/>
      <c r="P13" s="414"/>
      <c r="Q13" s="457">
        <v>0</v>
      </c>
      <c r="R13" s="458">
        <v>43769</v>
      </c>
      <c r="S13" s="516">
        <f>-i_landcost-M_Onedeal!Q8</f>
        <v>-5000000</v>
      </c>
      <c r="T13" s="517">
        <f>M_Onedeal!N8</f>
        <v>1153500</v>
      </c>
      <c r="U13" s="517">
        <f>M_Onedeal!H8</f>
        <v>0</v>
      </c>
      <c r="V13" s="517">
        <f>M_Onedeal!O8</f>
        <v>0</v>
      </c>
      <c r="W13" s="518">
        <f>M_Onedeal!R8</f>
        <v>-3846500</v>
      </c>
      <c r="X13" s="428"/>
      <c r="AC13" s="414"/>
      <c r="AD13" s="457">
        <v>0</v>
      </c>
      <c r="AE13" s="458">
        <v>43769</v>
      </c>
      <c r="AF13" s="516">
        <f>S13</f>
        <v>-5000000</v>
      </c>
      <c r="AG13" s="516">
        <f t="shared" ref="AG13:AJ13" si="1">T13</f>
        <v>1153500</v>
      </c>
      <c r="AH13" s="516">
        <f t="shared" si="1"/>
        <v>0</v>
      </c>
      <c r="AI13" s="516">
        <f t="shared" si="1"/>
        <v>0</v>
      </c>
      <c r="AJ13" s="516">
        <f t="shared" si="1"/>
        <v>-3846500</v>
      </c>
      <c r="AK13" s="516">
        <f ca="1">c_initialseniordebt</f>
        <v>-86328.869068718515</v>
      </c>
      <c r="AL13" s="516">
        <f>M_Onedeal!AF8</f>
        <v>0</v>
      </c>
      <c r="AM13" s="516">
        <f>AA13</f>
        <v>0</v>
      </c>
      <c r="AN13" s="516"/>
      <c r="AO13" s="516"/>
      <c r="AP13" s="428"/>
    </row>
    <row r="14" spans="2:99" ht="16">
      <c r="C14" s="41" t="s">
        <v>409</v>
      </c>
      <c r="D14" s="41"/>
      <c r="E14" s="570">
        <f>INDEX(M_Onedeal!$L$71:$L$75,E$4,0)</f>
        <v>2307000</v>
      </c>
      <c r="F14" s="570">
        <f>INDEX(M_Onedeal!$L$71:$L$75,F$4,0)</f>
        <v>6921000</v>
      </c>
      <c r="G14" s="570">
        <f>INDEX(M_Onedeal!$L$71:$L$75,G$4,0)</f>
        <v>2307000</v>
      </c>
      <c r="H14" s="570">
        <f>INDEX(M_Onedeal!$L$71:$L$75,H$4,0)</f>
        <v>0</v>
      </c>
      <c r="I14" s="570">
        <f>INDEX(M_Onedeal!$L$71:$L$75,I$4,0)</f>
        <v>0</v>
      </c>
      <c r="J14" s="513"/>
      <c r="K14" s="534">
        <f t="shared" ref="K14:K24" si="2">SUM(E14:I14)</f>
        <v>11535000</v>
      </c>
      <c r="P14" s="459"/>
      <c r="Q14" s="460">
        <v>1</v>
      </c>
      <c r="R14" s="461">
        <v>43799</v>
      </c>
      <c r="S14" s="462">
        <f>-M_Onedeal!Q9</f>
        <v>0</v>
      </c>
      <c r="T14" s="462">
        <f>M_Onedeal!M9</f>
        <v>0</v>
      </c>
      <c r="U14" s="463">
        <f>M_Onedeal!H9</f>
        <v>0</v>
      </c>
      <c r="V14" s="462">
        <f>M_Onedeal!O9</f>
        <v>0</v>
      </c>
      <c r="W14" s="519">
        <f>M_Onedeal!R9</f>
        <v>0</v>
      </c>
      <c r="X14" s="428"/>
      <c r="AC14" s="459"/>
      <c r="AD14" s="460">
        <v>1</v>
      </c>
      <c r="AE14" s="461">
        <v>43799</v>
      </c>
      <c r="AF14" s="462">
        <f t="shared" ref="AF14:AF50" si="3">S14</f>
        <v>0</v>
      </c>
      <c r="AG14" s="462">
        <f t="shared" ref="AG14:AG50" si="4">T14</f>
        <v>0</v>
      </c>
      <c r="AH14" s="462">
        <f t="shared" ref="AH14:AH50" si="5">U14</f>
        <v>0</v>
      </c>
      <c r="AI14" s="462">
        <f t="shared" ref="AI14:AI50" si="6">V14</f>
        <v>0</v>
      </c>
      <c r="AJ14" s="462">
        <f t="shared" ref="AJ14:AJ50" si="7">W14</f>
        <v>0</v>
      </c>
      <c r="AK14" s="462">
        <f>M_Onedeal!AA9</f>
        <v>0</v>
      </c>
      <c r="AL14" s="462">
        <f ca="1">M_Onedeal!AF9</f>
        <v>-86328.869068718515</v>
      </c>
      <c r="AM14" s="462">
        <f t="shared" ref="AM14:AM50" si="8">AA14</f>
        <v>0</v>
      </c>
      <c r="AN14" s="462">
        <f t="shared" ref="AN14:AN50" si="9">AB14</f>
        <v>0</v>
      </c>
      <c r="AO14" s="462"/>
      <c r="AP14" s="428"/>
    </row>
    <row r="15" spans="2:99" ht="16">
      <c r="C15" s="558" t="s">
        <v>408</v>
      </c>
      <c r="D15" s="558"/>
      <c r="E15" s="571">
        <f>-INDEX(M_Onedeal!$M$71:$M$75,E$4,0)</f>
        <v>0</v>
      </c>
      <c r="F15" s="571">
        <f>-INDEX(M_Onedeal!$M$71:$M$75,F$4,0)</f>
        <v>-694407</v>
      </c>
      <c r="G15" s="571">
        <f>-INDEX(M_Onedeal!$M$71:$M$75,G$4,0)</f>
        <v>-459093</v>
      </c>
      <c r="H15" s="571">
        <f>-INDEX(M_Onedeal!$M$71:$M$75,H$4,0)</f>
        <v>0</v>
      </c>
      <c r="I15" s="571">
        <f>-INDEX(M_Onedeal!$M$71:$M$75,I$4,0)</f>
        <v>0</v>
      </c>
      <c r="K15" s="535">
        <f t="shared" si="2"/>
        <v>-1153500</v>
      </c>
      <c r="P15" s="414"/>
      <c r="Q15" s="460">
        <v>2</v>
      </c>
      <c r="R15" s="461">
        <v>43830</v>
      </c>
      <c r="S15" s="462">
        <f>-M_Onedeal!Q10</f>
        <v>0</v>
      </c>
      <c r="T15" s="462">
        <f>M_Onedeal!M10</f>
        <v>0</v>
      </c>
      <c r="U15" s="463">
        <f>M_Onedeal!H10</f>
        <v>0</v>
      </c>
      <c r="V15" s="462">
        <f>M_Onedeal!O10</f>
        <v>0</v>
      </c>
      <c r="W15" s="519">
        <f>M_Onedeal!R10</f>
        <v>0</v>
      </c>
      <c r="X15" s="464"/>
      <c r="AC15" s="414"/>
      <c r="AD15" s="460">
        <v>2</v>
      </c>
      <c r="AE15" s="461">
        <v>43830</v>
      </c>
      <c r="AF15" s="462">
        <f t="shared" si="3"/>
        <v>0</v>
      </c>
      <c r="AG15" s="462">
        <f t="shared" si="4"/>
        <v>0</v>
      </c>
      <c r="AH15" s="462">
        <f t="shared" si="5"/>
        <v>0</v>
      </c>
      <c r="AI15" s="462">
        <f t="shared" si="6"/>
        <v>0</v>
      </c>
      <c r="AJ15" s="462">
        <f t="shared" si="7"/>
        <v>0</v>
      </c>
      <c r="AK15" s="462">
        <f>M_Onedeal!AA10</f>
        <v>0</v>
      </c>
      <c r="AL15" s="462">
        <f ca="1">M_Onedeal!AF10</f>
        <v>-328.22955427168927</v>
      </c>
      <c r="AM15" s="462">
        <f t="shared" si="8"/>
        <v>0</v>
      </c>
      <c r="AN15" s="462">
        <f t="shared" si="9"/>
        <v>0</v>
      </c>
      <c r="AO15" s="462"/>
      <c r="AP15" s="464"/>
      <c r="AS15"/>
      <c r="AT15" s="525" t="s">
        <v>502</v>
      </c>
      <c r="AU15" s="526"/>
      <c r="AV15" s="526"/>
      <c r="AW15" s="526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</row>
    <row r="16" spans="2:99" ht="17" thickBot="1">
      <c r="C16" s="552" t="s">
        <v>348</v>
      </c>
      <c r="D16" s="552"/>
      <c r="E16" s="573">
        <f>INDEX(M_Onedeal!$O$71:$O$75,E$4,0)</f>
        <v>2307000</v>
      </c>
      <c r="F16" s="573">
        <f>INDEX(M_Onedeal!$O$71:$O$75,F$4,0)</f>
        <v>6226593</v>
      </c>
      <c r="G16" s="573">
        <f>INDEX(M_Onedeal!$O$71:$O$75,G$4,0)</f>
        <v>1847907</v>
      </c>
      <c r="H16" s="573">
        <f>INDEX(M_Onedeal!$O$71:$O$75,H$4,0)</f>
        <v>0</v>
      </c>
      <c r="I16" s="573">
        <f>INDEX(M_Onedeal!$O$71:$O$75,I$4,0)</f>
        <v>0</v>
      </c>
      <c r="J16" s="532"/>
      <c r="K16" s="534">
        <f t="shared" si="2"/>
        <v>10381500</v>
      </c>
      <c r="P16" s="414"/>
      <c r="Q16" s="460">
        <v>3</v>
      </c>
      <c r="R16" s="461">
        <v>43861</v>
      </c>
      <c r="S16" s="462">
        <f>-M_Onedeal!Q11</f>
        <v>-500000</v>
      </c>
      <c r="T16" s="462">
        <f>M_Onedeal!M11</f>
        <v>0</v>
      </c>
      <c r="U16" s="463">
        <f>M_Onedeal!H11</f>
        <v>0</v>
      </c>
      <c r="V16" s="462">
        <f>M_Onedeal!O11</f>
        <v>0</v>
      </c>
      <c r="W16" s="519">
        <f>M_Onedeal!R11</f>
        <v>-500000</v>
      </c>
      <c r="X16" s="464"/>
      <c r="AC16" s="414"/>
      <c r="AD16" s="460">
        <v>3</v>
      </c>
      <c r="AE16" s="461">
        <v>43861</v>
      </c>
      <c r="AF16" s="462">
        <f t="shared" si="3"/>
        <v>-500000</v>
      </c>
      <c r="AG16" s="462">
        <f t="shared" si="4"/>
        <v>0</v>
      </c>
      <c r="AH16" s="462">
        <f t="shared" si="5"/>
        <v>0</v>
      </c>
      <c r="AI16" s="462">
        <f t="shared" si="6"/>
        <v>0</v>
      </c>
      <c r="AJ16" s="462">
        <f t="shared" si="7"/>
        <v>-500000</v>
      </c>
      <c r="AK16" s="462">
        <f>M_Onedeal!AA11</f>
        <v>500000</v>
      </c>
      <c r="AL16" s="462">
        <f ca="1">M_Onedeal!AF11</f>
        <v>-1.2479561178038239</v>
      </c>
      <c r="AM16" s="462">
        <f t="shared" si="8"/>
        <v>0</v>
      </c>
      <c r="AN16" s="462">
        <f t="shared" si="9"/>
        <v>0</v>
      </c>
      <c r="AO16" s="462"/>
      <c r="AP16" s="464"/>
      <c r="AS16"/>
      <c r="AT16" s="526" t="s">
        <v>503</v>
      </c>
      <c r="AU16" s="526" t="s">
        <v>504</v>
      </c>
      <c r="AV16" s="526" t="s">
        <v>505</v>
      </c>
      <c r="AW16" s="526" t="s">
        <v>506</v>
      </c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</row>
    <row r="17" spans="2:99" ht="16">
      <c r="B17" s="552"/>
      <c r="C17" s="558" t="s">
        <v>73</v>
      </c>
      <c r="D17" s="558"/>
      <c r="E17" s="571">
        <f>-INDEX(M_Onedeal!$P$71:$P$75,E$4,0)</f>
        <v>-5450000</v>
      </c>
      <c r="F17" s="571">
        <f>-INDEX(M_Onedeal!$P$71:$P$75,F$4,0)</f>
        <v>0</v>
      </c>
      <c r="G17" s="571">
        <f>-INDEX(M_Onedeal!$P$71:$P$75,G$4,0)</f>
        <v>0</v>
      </c>
      <c r="H17" s="571">
        <f>-INDEX(M_Onedeal!$P$71:$P$75,H$4,0)</f>
        <v>0</v>
      </c>
      <c r="I17" s="571">
        <f>-INDEX(M_Onedeal!$P$71:$P$75,I$4,0)</f>
        <v>0</v>
      </c>
      <c r="K17" s="535">
        <f t="shared" si="2"/>
        <v>-5450000</v>
      </c>
      <c r="P17" s="414"/>
      <c r="Q17" s="465">
        <v>4</v>
      </c>
      <c r="R17" s="466">
        <v>43890</v>
      </c>
      <c r="S17" s="467">
        <f>-M_Onedeal!Q12</f>
        <v>-500000</v>
      </c>
      <c r="T17" s="467">
        <f>M_Onedeal!M12</f>
        <v>0</v>
      </c>
      <c r="U17" s="468">
        <f>M_Onedeal!H12</f>
        <v>0</v>
      </c>
      <c r="V17" s="467">
        <f>M_Onedeal!O12</f>
        <v>0</v>
      </c>
      <c r="W17" s="520">
        <f>M_Onedeal!R12</f>
        <v>-500000</v>
      </c>
      <c r="X17" s="464"/>
      <c r="AC17" s="414"/>
      <c r="AD17" s="465">
        <v>4</v>
      </c>
      <c r="AE17" s="466">
        <v>43890</v>
      </c>
      <c r="AF17" s="467">
        <f t="shared" si="3"/>
        <v>-500000</v>
      </c>
      <c r="AG17" s="467">
        <f t="shared" si="4"/>
        <v>0</v>
      </c>
      <c r="AH17" s="467">
        <f t="shared" si="5"/>
        <v>0</v>
      </c>
      <c r="AI17" s="467">
        <f t="shared" si="6"/>
        <v>0</v>
      </c>
      <c r="AJ17" s="467">
        <f t="shared" si="7"/>
        <v>-500000</v>
      </c>
      <c r="AK17" s="467">
        <f>M_Onedeal!AA12</f>
        <v>500000</v>
      </c>
      <c r="AL17" s="467">
        <f ca="1">M_Onedeal!AF12</f>
        <v>0</v>
      </c>
      <c r="AM17" s="467">
        <f t="shared" si="8"/>
        <v>0</v>
      </c>
      <c r="AN17" s="467">
        <f t="shared" si="9"/>
        <v>0</v>
      </c>
      <c r="AO17" s="467"/>
      <c r="AP17" s="464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</row>
    <row r="18" spans="2:99" ht="16">
      <c r="B18" s="552"/>
      <c r="C18" s="555" t="s">
        <v>119</v>
      </c>
      <c r="D18" s="555"/>
      <c r="E18" s="574">
        <f>INDEX(M_Onedeal!$R$71:$R$75,E$4,0)</f>
        <v>-3143000</v>
      </c>
      <c r="F18" s="574">
        <f>INDEX(M_Onedeal!$R$71:$R$75,F$4,0)</f>
        <v>6226593</v>
      </c>
      <c r="G18" s="574">
        <f>INDEX(M_Onedeal!$R$71:$R$75,G$4,0)</f>
        <v>1847907</v>
      </c>
      <c r="H18" s="574">
        <f>INDEX(M_Onedeal!$R$71:$R$75,H$4,0)</f>
        <v>0</v>
      </c>
      <c r="I18" s="574">
        <f>INDEX(M_Onedeal!$R$71:$R$75,I$4,0)</f>
        <v>0</v>
      </c>
      <c r="J18" s="534"/>
      <c r="K18" s="534">
        <f t="shared" si="2"/>
        <v>4931500</v>
      </c>
      <c r="P18" s="414"/>
      <c r="Q18" s="460">
        <v>5</v>
      </c>
      <c r="R18" s="461">
        <v>43921</v>
      </c>
      <c r="S18" s="462">
        <f>-M_Onedeal!Q13</f>
        <v>-500000</v>
      </c>
      <c r="T18" s="462">
        <f>M_Onedeal!M13</f>
        <v>0</v>
      </c>
      <c r="U18" s="463">
        <f>M_Onedeal!H13</f>
        <v>10</v>
      </c>
      <c r="V18" s="462">
        <f>M_Onedeal!O13</f>
        <v>1153500</v>
      </c>
      <c r="W18" s="519">
        <f>M_Onedeal!R13</f>
        <v>653500</v>
      </c>
      <c r="X18" s="464"/>
      <c r="AC18" s="414"/>
      <c r="AD18" s="460">
        <v>5</v>
      </c>
      <c r="AE18" s="461">
        <v>43921</v>
      </c>
      <c r="AF18" s="462">
        <f t="shared" si="3"/>
        <v>-500000</v>
      </c>
      <c r="AG18" s="462">
        <f t="shared" si="4"/>
        <v>0</v>
      </c>
      <c r="AH18" s="462">
        <f t="shared" si="5"/>
        <v>10</v>
      </c>
      <c r="AI18" s="462">
        <f t="shared" si="6"/>
        <v>1153500</v>
      </c>
      <c r="AJ18" s="462">
        <f t="shared" si="7"/>
        <v>653500</v>
      </c>
      <c r="AK18" s="462">
        <f>M_Onedeal!AA13</f>
        <v>500000</v>
      </c>
      <c r="AL18" s="462">
        <f ca="1">M_Onedeal!AF13</f>
        <v>661222.75297893339</v>
      </c>
      <c r="AM18" s="462">
        <f t="shared" si="8"/>
        <v>0</v>
      </c>
      <c r="AN18" s="462">
        <f t="shared" si="9"/>
        <v>0</v>
      </c>
      <c r="AO18" s="462"/>
      <c r="AP18" s="464"/>
      <c r="AS18" s="515" t="s">
        <v>507</v>
      </c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</row>
    <row r="19" spans="2:99" ht="17" thickBot="1">
      <c r="B19" s="552"/>
      <c r="C19" s="553"/>
      <c r="D19" s="553"/>
      <c r="E19" s="572"/>
      <c r="F19" s="572"/>
      <c r="G19" s="572"/>
      <c r="H19" s="572"/>
      <c r="I19" s="572"/>
      <c r="J19" s="529"/>
      <c r="K19" s="529"/>
      <c r="P19" s="414"/>
      <c r="Q19" s="460">
        <v>6</v>
      </c>
      <c r="R19" s="461">
        <v>43951</v>
      </c>
      <c r="S19" s="462">
        <f>-M_Onedeal!Q14</f>
        <v>-500000</v>
      </c>
      <c r="T19" s="462">
        <f>M_Onedeal!M14</f>
        <v>0</v>
      </c>
      <c r="U19" s="463">
        <f>M_Onedeal!H14</f>
        <v>0</v>
      </c>
      <c r="V19" s="462">
        <f>M_Onedeal!O14</f>
        <v>0</v>
      </c>
      <c r="W19" s="519">
        <f>M_Onedeal!R14</f>
        <v>-500000</v>
      </c>
      <c r="X19" s="464"/>
      <c r="AC19" s="414"/>
      <c r="AD19" s="460">
        <v>6</v>
      </c>
      <c r="AE19" s="461">
        <v>43951</v>
      </c>
      <c r="AF19" s="462">
        <f t="shared" si="3"/>
        <v>-500000</v>
      </c>
      <c r="AG19" s="462">
        <f t="shared" si="4"/>
        <v>0</v>
      </c>
      <c r="AH19" s="462">
        <f t="shared" si="5"/>
        <v>0</v>
      </c>
      <c r="AI19" s="462">
        <f t="shared" si="6"/>
        <v>0</v>
      </c>
      <c r="AJ19" s="462">
        <f t="shared" si="7"/>
        <v>-500000</v>
      </c>
      <c r="AK19" s="462">
        <f>M_Onedeal!AA14</f>
        <v>500000</v>
      </c>
      <c r="AL19" s="462">
        <f ca="1">M_Onedeal!AF14</f>
        <v>0</v>
      </c>
      <c r="AM19" s="462">
        <f t="shared" si="8"/>
        <v>0</v>
      </c>
      <c r="AN19" s="462">
        <f t="shared" si="9"/>
        <v>0</v>
      </c>
      <c r="AO19" s="462"/>
      <c r="AP19" s="464"/>
      <c r="AS19" s="523" t="s">
        <v>460</v>
      </c>
      <c r="AT19" s="527">
        <v>-5000000</v>
      </c>
      <c r="AU19" s="527">
        <v>-5450000</v>
      </c>
      <c r="AV19" s="527">
        <v>0</v>
      </c>
      <c r="AW19" s="527">
        <v>0</v>
      </c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99" ht="16">
      <c r="B20" s="552" t="s">
        <v>431</v>
      </c>
      <c r="D20" s="554"/>
      <c r="E20" s="572"/>
      <c r="F20" s="572"/>
      <c r="G20" s="572"/>
      <c r="H20" s="572"/>
      <c r="I20" s="572"/>
      <c r="J20" s="529"/>
      <c r="K20" s="529"/>
      <c r="P20" s="414"/>
      <c r="Q20" s="465">
        <v>7</v>
      </c>
      <c r="R20" s="466">
        <v>43982</v>
      </c>
      <c r="S20" s="467">
        <f>-M_Onedeal!Q15</f>
        <v>-500000</v>
      </c>
      <c r="T20" s="467">
        <f>M_Onedeal!M15</f>
        <v>0</v>
      </c>
      <c r="U20" s="468">
        <f>M_Onedeal!H15</f>
        <v>0</v>
      </c>
      <c r="V20" s="467">
        <f>M_Onedeal!O15</f>
        <v>0</v>
      </c>
      <c r="W20" s="520">
        <f>M_Onedeal!R15</f>
        <v>-500000</v>
      </c>
      <c r="X20" s="464"/>
      <c r="AC20" s="414"/>
      <c r="AD20" s="465">
        <v>7</v>
      </c>
      <c r="AE20" s="466">
        <v>43982</v>
      </c>
      <c r="AF20" s="467">
        <f t="shared" si="3"/>
        <v>-500000</v>
      </c>
      <c r="AG20" s="467">
        <f t="shared" si="4"/>
        <v>0</v>
      </c>
      <c r="AH20" s="467">
        <f t="shared" si="5"/>
        <v>0</v>
      </c>
      <c r="AI20" s="467">
        <f t="shared" si="6"/>
        <v>0</v>
      </c>
      <c r="AJ20" s="467">
        <f t="shared" si="7"/>
        <v>-500000</v>
      </c>
      <c r="AK20" s="467">
        <f>M_Onedeal!AA15</f>
        <v>500000</v>
      </c>
      <c r="AL20" s="467">
        <f ca="1">M_Onedeal!AF15</f>
        <v>0</v>
      </c>
      <c r="AM20" s="467">
        <f t="shared" si="8"/>
        <v>0</v>
      </c>
      <c r="AN20" s="467">
        <f t="shared" si="9"/>
        <v>0</v>
      </c>
      <c r="AO20" s="467"/>
      <c r="AP20" s="464"/>
      <c r="AS20" s="523" t="s">
        <v>508</v>
      </c>
      <c r="AT20" s="527">
        <v>1153500</v>
      </c>
      <c r="AU20" s="527">
        <v>0</v>
      </c>
      <c r="AV20" s="527">
        <v>923953.5</v>
      </c>
      <c r="AW20" s="527">
        <v>229546.5</v>
      </c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99" ht="16">
      <c r="B21" s="552"/>
      <c r="C21" s="41" t="s">
        <v>236</v>
      </c>
      <c r="D21" s="41"/>
      <c r="E21" s="575">
        <f>INDEX(M_Onedeal!$T$71:$T$75,E$4,0)</f>
        <v>0.02</v>
      </c>
      <c r="F21" s="575">
        <f>INDEX(M_Onedeal!$T$71:$T$75,F$4,0)</f>
        <v>0.02</v>
      </c>
      <c r="G21" s="575">
        <f>INDEX(M_Onedeal!$T$71:$T$75,G$4,0)</f>
        <v>0.02</v>
      </c>
      <c r="H21" s="575">
        <f>INDEX(M_Onedeal!$T$71:$T$75,H$4,0)</f>
        <v>0.02</v>
      </c>
      <c r="I21" s="575">
        <f>INDEX(M_Onedeal!$T$71:$T$75,I$4,0)</f>
        <v>0.02</v>
      </c>
      <c r="J21" s="560"/>
      <c r="K21" s="534" t="s">
        <v>297</v>
      </c>
      <c r="P21" s="414"/>
      <c r="Q21" s="460">
        <v>8</v>
      </c>
      <c r="R21" s="461">
        <v>44012</v>
      </c>
      <c r="S21" s="462">
        <f>-M_Onedeal!Q16</f>
        <v>-500000</v>
      </c>
      <c r="T21" s="462">
        <f>M_Onedeal!M16</f>
        <v>0</v>
      </c>
      <c r="U21" s="463">
        <f>M_Onedeal!H16</f>
        <v>0</v>
      </c>
      <c r="V21" s="462">
        <f>M_Onedeal!O16</f>
        <v>0</v>
      </c>
      <c r="W21" s="519">
        <f>M_Onedeal!R16</f>
        <v>-500000</v>
      </c>
      <c r="X21" s="464"/>
      <c r="AC21" s="414"/>
      <c r="AD21" s="460">
        <v>8</v>
      </c>
      <c r="AE21" s="461">
        <v>44012</v>
      </c>
      <c r="AF21" s="462">
        <f t="shared" si="3"/>
        <v>-500000</v>
      </c>
      <c r="AG21" s="462">
        <f t="shared" si="4"/>
        <v>0</v>
      </c>
      <c r="AH21" s="462">
        <f t="shared" si="5"/>
        <v>0</v>
      </c>
      <c r="AI21" s="462">
        <f t="shared" si="6"/>
        <v>0</v>
      </c>
      <c r="AJ21" s="462">
        <f t="shared" si="7"/>
        <v>-500000</v>
      </c>
      <c r="AK21" s="462">
        <f>M_Onedeal!AA16</f>
        <v>500000</v>
      </c>
      <c r="AL21" s="462">
        <f ca="1">M_Onedeal!AF16</f>
        <v>0</v>
      </c>
      <c r="AM21" s="462">
        <f t="shared" si="8"/>
        <v>0</v>
      </c>
      <c r="AN21" s="462">
        <f t="shared" si="9"/>
        <v>0</v>
      </c>
      <c r="AO21" s="462"/>
      <c r="AP21" s="464"/>
      <c r="AS21" s="523" t="s">
        <v>404</v>
      </c>
      <c r="AT21" s="527">
        <v>0</v>
      </c>
      <c r="AU21" s="527">
        <v>30</v>
      </c>
      <c r="AV21" s="527">
        <v>60</v>
      </c>
      <c r="AW21" s="527">
        <v>10</v>
      </c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99" ht="17" thickBot="1">
      <c r="B22" s="552"/>
      <c r="C22" s="41" t="s">
        <v>44</v>
      </c>
      <c r="D22" s="41"/>
      <c r="E22" s="577">
        <f>INDEX(M_Onedeal!$V$71:$V$75,E$4,0)</f>
        <v>4.4999999999999998E-2</v>
      </c>
      <c r="F22" s="577">
        <f>INDEX(M_Onedeal!$V$71:$V$75,F$4,0)</f>
        <v>4.4999999999999998E-2</v>
      </c>
      <c r="G22" s="577">
        <f>INDEX(M_Onedeal!$V$71:$V$75,G$4,0)</f>
        <v>4.4999999999999998E-2</v>
      </c>
      <c r="H22" s="577">
        <f>INDEX(M_Onedeal!$V$71:$V$75,H$4,0)</f>
        <v>4.4999999999999998E-2</v>
      </c>
      <c r="I22" s="577">
        <f>INDEX(M_Onedeal!$V$71:$V$75,I$4,0)</f>
        <v>4.4999999999999998E-2</v>
      </c>
      <c r="J22" s="559"/>
      <c r="K22" s="578" t="s">
        <v>297</v>
      </c>
      <c r="P22" s="414"/>
      <c r="Q22" s="460">
        <v>9</v>
      </c>
      <c r="R22" s="461">
        <v>44043</v>
      </c>
      <c r="S22" s="462">
        <f>-M_Onedeal!Q17</f>
        <v>-500000</v>
      </c>
      <c r="T22" s="462">
        <f>M_Onedeal!M17</f>
        <v>0</v>
      </c>
      <c r="U22" s="463">
        <f>M_Onedeal!H17</f>
        <v>0</v>
      </c>
      <c r="V22" s="462">
        <f>M_Onedeal!O17</f>
        <v>0</v>
      </c>
      <c r="W22" s="519">
        <f>M_Onedeal!R17</f>
        <v>-500000</v>
      </c>
      <c r="X22" s="464"/>
      <c r="AC22" s="414"/>
      <c r="AD22" s="460">
        <v>9</v>
      </c>
      <c r="AE22" s="461">
        <v>44043</v>
      </c>
      <c r="AF22" s="462">
        <f t="shared" si="3"/>
        <v>-500000</v>
      </c>
      <c r="AG22" s="462">
        <f t="shared" si="4"/>
        <v>0</v>
      </c>
      <c r="AH22" s="462">
        <f t="shared" si="5"/>
        <v>0</v>
      </c>
      <c r="AI22" s="462">
        <f t="shared" si="6"/>
        <v>0</v>
      </c>
      <c r="AJ22" s="462">
        <f t="shared" si="7"/>
        <v>-500000</v>
      </c>
      <c r="AK22" s="462">
        <f>M_Onedeal!AA17</f>
        <v>500000</v>
      </c>
      <c r="AL22" s="462">
        <f ca="1">M_Onedeal!AF17</f>
        <v>0</v>
      </c>
      <c r="AM22" s="462">
        <f t="shared" si="8"/>
        <v>0</v>
      </c>
      <c r="AN22" s="462">
        <f t="shared" si="9"/>
        <v>0</v>
      </c>
      <c r="AO22" s="462"/>
      <c r="AP22" s="464"/>
      <c r="AS22" s="523" t="s">
        <v>509</v>
      </c>
      <c r="AT22" s="527">
        <v>0</v>
      </c>
      <c r="AU22" s="527">
        <v>3460500</v>
      </c>
      <c r="AV22" s="527">
        <v>5997046.5</v>
      </c>
      <c r="AW22" s="527">
        <v>923953.5</v>
      </c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99" ht="16">
      <c r="B23" s="552"/>
      <c r="C23" s="227" t="s">
        <v>243</v>
      </c>
      <c r="D23" s="227"/>
      <c r="E23" s="570">
        <f>INDEX(M_Onedeal!$AA$71:$AA$75,E$4,0)</f>
        <v>5450000</v>
      </c>
      <c r="F23" s="570">
        <f>INDEX(M_Onedeal!$AA$71:$AA$75,F$4,0)</f>
        <v>0</v>
      </c>
      <c r="G23" s="570">
        <f>INDEX(M_Onedeal!$AA$71:$AA$75,G$4,0)</f>
        <v>0</v>
      </c>
      <c r="H23" s="570">
        <f>INDEX(M_Onedeal!$AA$71:$AA$75,H$4,0)</f>
        <v>0</v>
      </c>
      <c r="I23" s="570">
        <f>INDEX(M_Onedeal!$AA$71:$AA$75,I$4,0)</f>
        <v>0</v>
      </c>
      <c r="J23" s="513"/>
      <c r="K23" s="534">
        <f t="shared" si="2"/>
        <v>5450000</v>
      </c>
      <c r="P23" s="414"/>
      <c r="Q23" s="465">
        <v>10</v>
      </c>
      <c r="R23" s="466">
        <v>44074</v>
      </c>
      <c r="S23" s="467">
        <f>-M_Onedeal!Q18</f>
        <v>-500000</v>
      </c>
      <c r="T23" s="467">
        <f>M_Onedeal!M18</f>
        <v>0</v>
      </c>
      <c r="U23" s="468">
        <f>M_Onedeal!H18</f>
        <v>0</v>
      </c>
      <c r="V23" s="467">
        <f>M_Onedeal!O18</f>
        <v>0</v>
      </c>
      <c r="W23" s="520">
        <f>M_Onedeal!R18</f>
        <v>-500000</v>
      </c>
      <c r="X23" s="464"/>
      <c r="AC23" s="414"/>
      <c r="AD23" s="465">
        <v>10</v>
      </c>
      <c r="AE23" s="466">
        <v>44074</v>
      </c>
      <c r="AF23" s="467">
        <f t="shared" si="3"/>
        <v>-500000</v>
      </c>
      <c r="AG23" s="467">
        <f t="shared" si="4"/>
        <v>0</v>
      </c>
      <c r="AH23" s="467">
        <f t="shared" si="5"/>
        <v>0</v>
      </c>
      <c r="AI23" s="467">
        <f t="shared" si="6"/>
        <v>0</v>
      </c>
      <c r="AJ23" s="467">
        <f t="shared" si="7"/>
        <v>-500000</v>
      </c>
      <c r="AK23" s="467">
        <f>M_Onedeal!AA18</f>
        <v>500000</v>
      </c>
      <c r="AL23" s="467">
        <f ca="1">M_Onedeal!AF18</f>
        <v>0</v>
      </c>
      <c r="AM23" s="467">
        <f t="shared" si="8"/>
        <v>0</v>
      </c>
      <c r="AN23" s="467">
        <f t="shared" si="9"/>
        <v>0</v>
      </c>
      <c r="AO23" s="467"/>
      <c r="AP23" s="464"/>
      <c r="AS23" s="523" t="s">
        <v>207</v>
      </c>
      <c r="AT23" s="527">
        <v>-3846500</v>
      </c>
      <c r="AU23" s="527">
        <v>-1989500</v>
      </c>
      <c r="AV23" s="527">
        <v>5997046.5</v>
      </c>
      <c r="AW23" s="527">
        <v>923953.5</v>
      </c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99" ht="16">
      <c r="B24" s="552"/>
      <c r="C24" s="545" t="s">
        <v>72</v>
      </c>
      <c r="D24" s="545"/>
      <c r="E24" s="570">
        <f ca="1">INDEX(M_Onedeal!$Y$71:$Y$75,E$4,0)</f>
        <v>36856.963181481893</v>
      </c>
      <c r="F24" s="570">
        <f ca="1">INDEX(M_Onedeal!$Y$71:$Y$75,F$4,0)</f>
        <v>0</v>
      </c>
      <c r="G24" s="570">
        <f ca="1">INDEX(M_Onedeal!$Y$71:$Y$75,G$4,0)</f>
        <v>135800.77495595519</v>
      </c>
      <c r="H24" s="570">
        <f ca="1">INDEX(M_Onedeal!$Y$71:$Y$75,H$4,0)</f>
        <v>0</v>
      </c>
      <c r="I24" s="570">
        <f ca="1">INDEX(M_Onedeal!$Y$71:$Y$75,I$4,0)</f>
        <v>0</v>
      </c>
      <c r="J24" s="513"/>
      <c r="K24" s="534">
        <f t="shared" ca="1" si="2"/>
        <v>172657.73813743709</v>
      </c>
      <c r="P24" s="414"/>
      <c r="Q24" s="460">
        <v>11</v>
      </c>
      <c r="R24" s="461">
        <v>44104</v>
      </c>
      <c r="S24" s="462">
        <f>-M_Onedeal!Q19</f>
        <v>-500000</v>
      </c>
      <c r="T24" s="462">
        <f>M_Onedeal!M19</f>
        <v>0</v>
      </c>
      <c r="U24" s="463">
        <f>M_Onedeal!H19</f>
        <v>5</v>
      </c>
      <c r="V24" s="462">
        <f>M_Onedeal!O19</f>
        <v>576750</v>
      </c>
      <c r="W24" s="519">
        <f>M_Onedeal!R19</f>
        <v>76750</v>
      </c>
      <c r="X24" s="464"/>
      <c r="AC24" s="414"/>
      <c r="AD24" s="460">
        <v>11</v>
      </c>
      <c r="AE24" s="461">
        <v>44104</v>
      </c>
      <c r="AF24" s="462">
        <f t="shared" si="3"/>
        <v>-500000</v>
      </c>
      <c r="AG24" s="462">
        <f t="shared" si="4"/>
        <v>0</v>
      </c>
      <c r="AH24" s="462">
        <f t="shared" si="5"/>
        <v>5</v>
      </c>
      <c r="AI24" s="462">
        <f t="shared" si="6"/>
        <v>576750</v>
      </c>
      <c r="AJ24" s="462">
        <f t="shared" si="7"/>
        <v>76750</v>
      </c>
      <c r="AK24" s="462">
        <f>M_Onedeal!AA19</f>
        <v>500000</v>
      </c>
      <c r="AL24" s="462">
        <f ca="1">M_Onedeal!AF19</f>
        <v>330611.3764894667</v>
      </c>
      <c r="AM24" s="462">
        <f t="shared" si="8"/>
        <v>0</v>
      </c>
      <c r="AN24" s="462">
        <f t="shared" si="9"/>
        <v>0</v>
      </c>
      <c r="AO24" s="462"/>
      <c r="AP24" s="464"/>
      <c r="AS24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</row>
    <row r="25" spans="2:99" ht="16">
      <c r="B25" s="552"/>
      <c r="C25" s="545" t="s">
        <v>428</v>
      </c>
      <c r="D25" s="545"/>
      <c r="E25" s="570">
        <f ca="1">-INDEX(M_Onedeal!$AD$71:$AD$75,E$4,0)</f>
        <v>-66691.694772222792</v>
      </c>
      <c r="F25" s="570">
        <f ca="1">-INDEX(M_Onedeal!$AD$71:$AD$75,F$4,0)</f>
        <v>-105356.88128636376</v>
      </c>
      <c r="G25" s="570">
        <f ca="1">-INDEX(M_Onedeal!$AD$71:$AD$75,G$4,0)</f>
        <v>-609.16207885052813</v>
      </c>
      <c r="H25" s="570">
        <f ca="1">-INDEX(M_Onedeal!$AD$71:$AD$75,H$4,0)</f>
        <v>0</v>
      </c>
      <c r="I25" s="570">
        <f ca="1">-INDEX(M_Onedeal!$AD$71:$AD$75,I$4,0)</f>
        <v>0</v>
      </c>
      <c r="J25" s="513"/>
      <c r="K25" s="534">
        <f t="shared" ref="K25:K27" ca="1" si="10">SUM(E25:I25)</f>
        <v>-172657.73813743706</v>
      </c>
      <c r="P25" s="414"/>
      <c r="Q25" s="460">
        <v>12</v>
      </c>
      <c r="R25" s="461">
        <v>44135</v>
      </c>
      <c r="S25" s="462">
        <f>-M_Onedeal!Q20</f>
        <v>-950000</v>
      </c>
      <c r="T25" s="462">
        <f>M_Onedeal!M20</f>
        <v>0</v>
      </c>
      <c r="U25" s="463">
        <f>M_Onedeal!H20</f>
        <v>5</v>
      </c>
      <c r="V25" s="462">
        <f>M_Onedeal!O20</f>
        <v>576750</v>
      </c>
      <c r="W25" s="519">
        <f>M_Onedeal!R20</f>
        <v>-373250</v>
      </c>
      <c r="X25" s="464"/>
      <c r="AC25" s="414"/>
      <c r="AD25" s="460">
        <v>12</v>
      </c>
      <c r="AE25" s="461">
        <v>44135</v>
      </c>
      <c r="AF25" s="462">
        <f t="shared" si="3"/>
        <v>-950000</v>
      </c>
      <c r="AG25" s="462">
        <f t="shared" si="4"/>
        <v>0</v>
      </c>
      <c r="AH25" s="462">
        <f t="shared" si="5"/>
        <v>5</v>
      </c>
      <c r="AI25" s="462">
        <f t="shared" si="6"/>
        <v>576750</v>
      </c>
      <c r="AJ25" s="462">
        <f t="shared" si="7"/>
        <v>-373250</v>
      </c>
      <c r="AK25" s="462">
        <f>M_Onedeal!AA20</f>
        <v>950000</v>
      </c>
      <c r="AL25" s="462">
        <f ca="1">M_Onedeal!AF20</f>
        <v>330611.3764894667</v>
      </c>
      <c r="AM25" s="462">
        <f t="shared" si="8"/>
        <v>0</v>
      </c>
      <c r="AN25" s="462">
        <f t="shared" si="9"/>
        <v>0</v>
      </c>
      <c r="AO25" s="462"/>
      <c r="AP25" s="464"/>
      <c r="AS25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</row>
    <row r="26" spans="2:99" ht="16">
      <c r="B26" s="552"/>
      <c r="C26" s="546" t="s">
        <v>429</v>
      </c>
      <c r="D26" s="546"/>
      <c r="E26" s="571">
        <f ca="1">-INDEX(M_Onedeal!$AF$71:$AF$75,E$4,0)</f>
        <v>-1235787.1593787589</v>
      </c>
      <c r="F26" s="571">
        <f ca="1">-INDEX(M_Onedeal!$AF$71:$AF$75,F$4,0)</f>
        <v>-3967336.5178735997</v>
      </c>
      <c r="G26" s="571">
        <f ca="1">-INDEX(M_Onedeal!$AF$71:$AF$75,G$4,0)</f>
        <v>-160217.97142370057</v>
      </c>
      <c r="H26" s="571">
        <f ca="1">-INDEX(M_Onedeal!$AF$71:$AF$75,H$4,0)</f>
        <v>0</v>
      </c>
      <c r="I26" s="571">
        <f ca="1">-INDEX(M_Onedeal!$AF$71:$AF$75,I$4,0)</f>
        <v>0</v>
      </c>
      <c r="K26" s="535">
        <f t="shared" ca="1" si="10"/>
        <v>-5363341.6486760592</v>
      </c>
      <c r="P26" s="414"/>
      <c r="Q26" s="460">
        <v>13</v>
      </c>
      <c r="R26" s="461">
        <v>44165</v>
      </c>
      <c r="S26" s="462">
        <f>-M_Onedeal!Q21</f>
        <v>0</v>
      </c>
      <c r="T26" s="462">
        <f>M_Onedeal!M21</f>
        <v>0</v>
      </c>
      <c r="U26" s="463">
        <f>M_Onedeal!H21</f>
        <v>5</v>
      </c>
      <c r="V26" s="462">
        <f>M_Onedeal!O21</f>
        <v>576750</v>
      </c>
      <c r="W26" s="519">
        <f>M_Onedeal!R21</f>
        <v>576750</v>
      </c>
      <c r="X26" s="464"/>
      <c r="AC26" s="414"/>
      <c r="AD26" s="460">
        <v>13</v>
      </c>
      <c r="AE26" s="461">
        <v>44165</v>
      </c>
      <c r="AF26" s="462">
        <f t="shared" si="3"/>
        <v>0</v>
      </c>
      <c r="AG26" s="462">
        <f t="shared" si="4"/>
        <v>0</v>
      </c>
      <c r="AH26" s="462">
        <f t="shared" si="5"/>
        <v>5</v>
      </c>
      <c r="AI26" s="462">
        <f t="shared" si="6"/>
        <v>576750</v>
      </c>
      <c r="AJ26" s="462">
        <f t="shared" si="7"/>
        <v>576750</v>
      </c>
      <c r="AK26" s="462">
        <f>M_Onedeal!AA21</f>
        <v>0</v>
      </c>
      <c r="AL26" s="462">
        <f ca="1">M_Onedeal!AF21</f>
        <v>330611.3764894667</v>
      </c>
      <c r="AM26" s="462">
        <f t="shared" si="8"/>
        <v>0</v>
      </c>
      <c r="AN26" s="462">
        <f t="shared" si="9"/>
        <v>0</v>
      </c>
      <c r="AO26" s="462"/>
      <c r="AP26" s="464"/>
      <c r="AS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</row>
    <row r="27" spans="2:99" ht="15">
      <c r="B27" s="552"/>
      <c r="C27" s="227" t="s">
        <v>430</v>
      </c>
      <c r="D27" s="227"/>
      <c r="E27" s="570">
        <f ca="1">SUM(E23:E26)</f>
        <v>4184378.1090305001</v>
      </c>
      <c r="F27" s="570">
        <f t="shared" ref="F27:I27" ca="1" si="11">SUM(F23:F26)</f>
        <v>-4072693.3991599632</v>
      </c>
      <c r="G27" s="570">
        <f t="shared" ca="1" si="11"/>
        <v>-25026.358546595904</v>
      </c>
      <c r="H27" s="570">
        <f t="shared" ca="1" si="11"/>
        <v>0</v>
      </c>
      <c r="I27" s="570">
        <f t="shared" ca="1" si="11"/>
        <v>0</v>
      </c>
      <c r="J27" s="513"/>
      <c r="K27" s="513">
        <f t="shared" ca="1" si="10"/>
        <v>86658.351323940908</v>
      </c>
      <c r="L27" s="200"/>
      <c r="P27" s="414"/>
      <c r="Q27" s="460">
        <v>14</v>
      </c>
      <c r="R27" s="461">
        <v>44196</v>
      </c>
      <c r="S27" s="462">
        <f>-M_Onedeal!Q22</f>
        <v>0</v>
      </c>
      <c r="T27" s="462">
        <f>M_Onedeal!M22</f>
        <v>0</v>
      </c>
      <c r="U27" s="463">
        <f>M_Onedeal!H22</f>
        <v>5</v>
      </c>
      <c r="V27" s="462">
        <f>M_Onedeal!O22</f>
        <v>576750</v>
      </c>
      <c r="W27" s="519">
        <f>M_Onedeal!R22</f>
        <v>576750</v>
      </c>
      <c r="X27" s="469"/>
      <c r="AC27" s="414"/>
      <c r="AD27" s="460">
        <v>14</v>
      </c>
      <c r="AE27" s="461">
        <v>44196</v>
      </c>
      <c r="AF27" s="462">
        <f t="shared" si="3"/>
        <v>0</v>
      </c>
      <c r="AG27" s="462">
        <f t="shared" si="4"/>
        <v>0</v>
      </c>
      <c r="AH27" s="462">
        <f t="shared" si="5"/>
        <v>5</v>
      </c>
      <c r="AI27" s="462">
        <f t="shared" si="6"/>
        <v>576750</v>
      </c>
      <c r="AJ27" s="462">
        <f t="shared" si="7"/>
        <v>576750</v>
      </c>
      <c r="AK27" s="462">
        <f>M_Onedeal!AA22</f>
        <v>0</v>
      </c>
      <c r="AL27" s="462">
        <f ca="1">M_Onedeal!AF22</f>
        <v>330611.3764894667</v>
      </c>
      <c r="AM27" s="462">
        <f t="shared" si="8"/>
        <v>0</v>
      </c>
      <c r="AN27" s="462">
        <f t="shared" si="9"/>
        <v>0</v>
      </c>
      <c r="AO27" s="462"/>
      <c r="AP27" s="469"/>
      <c r="AS27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</row>
    <row r="28" spans="2:99" ht="16" thickBot="1">
      <c r="B28" s="552"/>
      <c r="C28" s="227" t="s">
        <v>259</v>
      </c>
      <c r="D28" s="227"/>
      <c r="E28" s="570">
        <f ca="1">INDEX(M_Onedeal!$AG$71:$AG$75,E$4,0)</f>
        <v>4127554.4892973001</v>
      </c>
      <c r="F28" s="570">
        <f ca="1">INDEX(M_Onedeal!$AG$71:$AG$75,F$4,0)</f>
        <v>160217.97142370057</v>
      </c>
      <c r="G28" s="570">
        <f ca="1">INDEX(M_Onedeal!$AG$71:$AG$75,G$4,0)</f>
        <v>0</v>
      </c>
      <c r="H28" s="570">
        <f ca="1">INDEX(M_Onedeal!$AG$71:$AG$75,H$4,0)</f>
        <v>0</v>
      </c>
      <c r="I28" s="570">
        <f ca="1">INDEX(M_Onedeal!$AG$71:$AG$75,I$4,0)</f>
        <v>0</v>
      </c>
      <c r="J28" s="513"/>
      <c r="K28" s="513" t="s">
        <v>297</v>
      </c>
      <c r="L28" s="200"/>
      <c r="P28" s="414"/>
      <c r="Q28" s="460">
        <v>15</v>
      </c>
      <c r="R28" s="461">
        <v>44227</v>
      </c>
      <c r="S28" s="462">
        <f>-M_Onedeal!Q23</f>
        <v>0</v>
      </c>
      <c r="T28" s="462">
        <f>M_Onedeal!M23</f>
        <v>0</v>
      </c>
      <c r="U28" s="463">
        <f>M_Onedeal!H23</f>
        <v>5</v>
      </c>
      <c r="V28" s="462">
        <f>M_Onedeal!O23</f>
        <v>576750</v>
      </c>
      <c r="W28" s="519">
        <f>M_Onedeal!R23</f>
        <v>576750</v>
      </c>
      <c r="X28" s="469"/>
      <c r="AC28" s="414"/>
      <c r="AD28" s="460">
        <v>15</v>
      </c>
      <c r="AE28" s="461">
        <v>44227</v>
      </c>
      <c r="AF28" s="462">
        <f t="shared" si="3"/>
        <v>0</v>
      </c>
      <c r="AG28" s="462">
        <f t="shared" si="4"/>
        <v>0</v>
      </c>
      <c r="AH28" s="462">
        <f t="shared" si="5"/>
        <v>5</v>
      </c>
      <c r="AI28" s="462">
        <f t="shared" si="6"/>
        <v>576750</v>
      </c>
      <c r="AJ28" s="462">
        <f t="shared" si="7"/>
        <v>576750</v>
      </c>
      <c r="AK28" s="462">
        <f>M_Onedeal!AA23</f>
        <v>0</v>
      </c>
      <c r="AL28" s="462">
        <f ca="1">M_Onedeal!AF23</f>
        <v>330611.3764894667</v>
      </c>
      <c r="AM28" s="462">
        <f t="shared" si="8"/>
        <v>0</v>
      </c>
      <c r="AN28" s="462">
        <f t="shared" si="9"/>
        <v>0</v>
      </c>
      <c r="AO28" s="462"/>
      <c r="AP28" s="469"/>
      <c r="AS28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</row>
    <row r="29" spans="2:99" ht="15">
      <c r="B29" s="552"/>
      <c r="C29" s="227"/>
      <c r="D29" s="227"/>
      <c r="E29" s="570"/>
      <c r="F29" s="570"/>
      <c r="G29" s="570"/>
      <c r="H29" s="570"/>
      <c r="I29" s="570"/>
      <c r="J29" s="513"/>
      <c r="K29" s="534"/>
      <c r="L29" s="200"/>
      <c r="P29" s="414"/>
      <c r="Q29" s="465">
        <v>16</v>
      </c>
      <c r="R29" s="466">
        <v>44255</v>
      </c>
      <c r="S29" s="467">
        <f>-M_Onedeal!Q24</f>
        <v>0</v>
      </c>
      <c r="T29" s="467">
        <f>M_Onedeal!M24</f>
        <v>0</v>
      </c>
      <c r="U29" s="468">
        <f>M_Onedeal!H24</f>
        <v>5</v>
      </c>
      <c r="V29" s="467">
        <f>M_Onedeal!O24</f>
        <v>576750</v>
      </c>
      <c r="W29" s="520">
        <f>M_Onedeal!R24</f>
        <v>576750</v>
      </c>
      <c r="X29" s="469"/>
      <c r="AC29" s="414"/>
      <c r="AD29" s="465">
        <v>16</v>
      </c>
      <c r="AE29" s="466">
        <v>44255</v>
      </c>
      <c r="AF29" s="467">
        <f t="shared" si="3"/>
        <v>0</v>
      </c>
      <c r="AG29" s="467">
        <f t="shared" si="4"/>
        <v>0</v>
      </c>
      <c r="AH29" s="467">
        <f t="shared" si="5"/>
        <v>5</v>
      </c>
      <c r="AI29" s="467">
        <f t="shared" si="6"/>
        <v>576750</v>
      </c>
      <c r="AJ29" s="467">
        <f t="shared" si="7"/>
        <v>576750</v>
      </c>
      <c r="AK29" s="467">
        <f>M_Onedeal!AA24</f>
        <v>0</v>
      </c>
      <c r="AL29" s="467">
        <f ca="1">M_Onedeal!AF24</f>
        <v>330611.3764894667</v>
      </c>
      <c r="AM29" s="467">
        <f t="shared" si="8"/>
        <v>0</v>
      </c>
      <c r="AN29" s="467">
        <f t="shared" si="9"/>
        <v>0</v>
      </c>
      <c r="AO29" s="467"/>
      <c r="AP29" s="469"/>
      <c r="AS29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</row>
    <row r="30" spans="2:99" ht="15">
      <c r="B30" s="552" t="s">
        <v>426</v>
      </c>
      <c r="D30" s="297"/>
      <c r="E30" s="576"/>
      <c r="F30" s="576"/>
      <c r="G30" s="576"/>
      <c r="H30" s="576"/>
      <c r="I30" s="576"/>
      <c r="J30" s="514"/>
      <c r="K30" s="514"/>
      <c r="L30" s="200"/>
      <c r="P30" s="414"/>
      <c r="Q30" s="460">
        <v>17</v>
      </c>
      <c r="R30" s="461">
        <v>44286</v>
      </c>
      <c r="S30" s="462">
        <f>-M_Onedeal!Q25</f>
        <v>0</v>
      </c>
      <c r="T30" s="462">
        <f>M_Onedeal!M25</f>
        <v>0</v>
      </c>
      <c r="U30" s="463">
        <f>M_Onedeal!H25</f>
        <v>5</v>
      </c>
      <c r="V30" s="462">
        <f>M_Onedeal!O25</f>
        <v>576750</v>
      </c>
      <c r="W30" s="519">
        <f>M_Onedeal!R25</f>
        <v>576750</v>
      </c>
      <c r="X30" s="469"/>
      <c r="AC30" s="414"/>
      <c r="AD30" s="460">
        <v>17</v>
      </c>
      <c r="AE30" s="461">
        <v>44286</v>
      </c>
      <c r="AF30" s="462">
        <f t="shared" si="3"/>
        <v>0</v>
      </c>
      <c r="AG30" s="462">
        <f t="shared" si="4"/>
        <v>0</v>
      </c>
      <c r="AH30" s="462">
        <f t="shared" si="5"/>
        <v>5</v>
      </c>
      <c r="AI30" s="462">
        <f t="shared" si="6"/>
        <v>576750</v>
      </c>
      <c r="AJ30" s="462">
        <f t="shared" si="7"/>
        <v>576750</v>
      </c>
      <c r="AK30" s="462">
        <f>M_Onedeal!AA25</f>
        <v>0</v>
      </c>
      <c r="AL30" s="462">
        <f ca="1">M_Onedeal!AF25</f>
        <v>330611.3764894667</v>
      </c>
      <c r="AM30" s="462">
        <f t="shared" si="8"/>
        <v>0</v>
      </c>
      <c r="AN30" s="462">
        <f t="shared" si="9"/>
        <v>0</v>
      </c>
      <c r="AO30" s="462"/>
      <c r="AP30" s="469"/>
      <c r="AS30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</row>
    <row r="31" spans="2:99" ht="15">
      <c r="B31" s="552"/>
      <c r="C31" s="41" t="str">
        <f>"- Mgt Fee To "&amp;i_gpnamea</f>
        <v>- Mgt Fee To Crescent</v>
      </c>
      <c r="D31" s="547"/>
      <c r="E31" s="570">
        <f>-INDEX(M_Onedeal!$AQ$71:$AQ$75,E$4,0)</f>
        <v>-23070</v>
      </c>
      <c r="F31" s="570">
        <f>-INDEX(M_Onedeal!$AQ$71:$AQ$75,F$4,0)</f>
        <v>-69210</v>
      </c>
      <c r="G31" s="570">
        <f>-INDEX(M_Onedeal!$AQ$71:$AQ$75,G$4,0)</f>
        <v>-23070</v>
      </c>
      <c r="H31" s="570">
        <f>-INDEX(M_Onedeal!$AQ$71:$AQ$75,H$4,0)</f>
        <v>0</v>
      </c>
      <c r="I31" s="570">
        <f>-INDEX(M_Onedeal!$AQ$71:$AQ$75,I$4,0)</f>
        <v>0</v>
      </c>
      <c r="J31" s="513"/>
      <c r="K31" s="534">
        <f>SUM(E31:I31)</f>
        <v>-115350</v>
      </c>
      <c r="L31" s="200"/>
      <c r="P31" s="414"/>
      <c r="Q31" s="460">
        <v>18</v>
      </c>
      <c r="R31" s="461">
        <v>44316</v>
      </c>
      <c r="S31" s="462">
        <f>-M_Onedeal!Q26</f>
        <v>0</v>
      </c>
      <c r="T31" s="462">
        <f>M_Onedeal!M26</f>
        <v>5767.5</v>
      </c>
      <c r="U31" s="463">
        <f>M_Onedeal!H26</f>
        <v>5</v>
      </c>
      <c r="V31" s="462">
        <f>M_Onedeal!O26</f>
        <v>570982.5</v>
      </c>
      <c r="W31" s="519">
        <f>M_Onedeal!R26</f>
        <v>570982.5</v>
      </c>
      <c r="X31" s="469"/>
      <c r="AC31" s="414"/>
      <c r="AD31" s="460">
        <v>18</v>
      </c>
      <c r="AE31" s="461">
        <v>44316</v>
      </c>
      <c r="AF31" s="462">
        <f t="shared" si="3"/>
        <v>0</v>
      </c>
      <c r="AG31" s="462">
        <f t="shared" si="4"/>
        <v>5767.5</v>
      </c>
      <c r="AH31" s="462">
        <f t="shared" si="5"/>
        <v>5</v>
      </c>
      <c r="AI31" s="462">
        <f t="shared" si="6"/>
        <v>570982.5</v>
      </c>
      <c r="AJ31" s="462">
        <f t="shared" si="7"/>
        <v>570982.5</v>
      </c>
      <c r="AK31" s="462">
        <f>M_Onedeal!AA26</f>
        <v>0</v>
      </c>
      <c r="AL31" s="462">
        <f ca="1">M_Onedeal!AF26</f>
        <v>330611.3764894667</v>
      </c>
      <c r="AM31" s="462">
        <f t="shared" si="8"/>
        <v>0</v>
      </c>
      <c r="AN31" s="462">
        <f t="shared" si="9"/>
        <v>0</v>
      </c>
      <c r="AO31" s="462"/>
      <c r="AP31" s="469"/>
      <c r="AS31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</row>
    <row r="32" spans="2:99" ht="15">
      <c r="B32" s="552"/>
      <c r="C32" s="579" t="str">
        <f>"- Mgt Fee To "&amp;i_gpnameb</f>
        <v>- Mgt Fee To LAO</v>
      </c>
      <c r="D32" s="548"/>
      <c r="E32" s="571">
        <f>-INDEX(M_Onedeal!$AR$71:$AR$75,E$4,0)</f>
        <v>-23070</v>
      </c>
      <c r="F32" s="571">
        <f>-INDEX(M_Onedeal!$AR$71:$AR$75,F$4,0)</f>
        <v>-69210</v>
      </c>
      <c r="G32" s="571">
        <f>-INDEX(M_Onedeal!$AR$71:$AR$75,G$4,0)</f>
        <v>-23070</v>
      </c>
      <c r="H32" s="571">
        <f>-INDEX(M_Onedeal!$AR$71:$AR$75,H$4,0)</f>
        <v>0</v>
      </c>
      <c r="I32" s="571">
        <f>-INDEX(M_Onedeal!$AR$71:$AR$75,I$4,0)</f>
        <v>0</v>
      </c>
      <c r="K32" s="535">
        <f>SUM(E32:I32)</f>
        <v>-115350</v>
      </c>
      <c r="L32" s="200"/>
      <c r="P32" s="414"/>
      <c r="Q32" s="460">
        <v>19</v>
      </c>
      <c r="R32" s="461">
        <v>44347</v>
      </c>
      <c r="S32" s="462">
        <f>-M_Onedeal!Q27</f>
        <v>0</v>
      </c>
      <c r="T32" s="462">
        <f>M_Onedeal!M27</f>
        <v>114773.25</v>
      </c>
      <c r="U32" s="463">
        <f>M_Onedeal!H27</f>
        <v>5</v>
      </c>
      <c r="V32" s="462">
        <f>M_Onedeal!O27</f>
        <v>461976.75</v>
      </c>
      <c r="W32" s="519">
        <f>M_Onedeal!R27</f>
        <v>461976.75</v>
      </c>
      <c r="X32" s="469"/>
      <c r="AC32" s="414"/>
      <c r="AD32" s="460">
        <v>19</v>
      </c>
      <c r="AE32" s="461">
        <v>44347</v>
      </c>
      <c r="AF32" s="462">
        <f t="shared" si="3"/>
        <v>0</v>
      </c>
      <c r="AG32" s="462">
        <f t="shared" si="4"/>
        <v>114773.25</v>
      </c>
      <c r="AH32" s="462">
        <f t="shared" si="5"/>
        <v>5</v>
      </c>
      <c r="AI32" s="462">
        <f t="shared" si="6"/>
        <v>461976.75</v>
      </c>
      <c r="AJ32" s="462">
        <f t="shared" si="7"/>
        <v>461976.75</v>
      </c>
      <c r="AK32" s="462">
        <f>M_Onedeal!AA27</f>
        <v>0</v>
      </c>
      <c r="AL32" s="462">
        <f ca="1">M_Onedeal!AF27</f>
        <v>330611.3764894667</v>
      </c>
      <c r="AM32" s="462">
        <f t="shared" si="8"/>
        <v>0</v>
      </c>
      <c r="AN32" s="462">
        <f t="shared" si="9"/>
        <v>0</v>
      </c>
      <c r="AO32" s="462"/>
      <c r="AP32" s="469"/>
      <c r="AS32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</row>
    <row r="33" spans="1:60" ht="15">
      <c r="B33" s="552"/>
      <c r="C33" s="554" t="s">
        <v>426</v>
      </c>
      <c r="D33" s="297"/>
      <c r="E33" s="571">
        <f ca="1">INDEX(M_Onedeal!$AK$71:$AK$75,E$4,0)</f>
        <v>908579.76245139213</v>
      </c>
      <c r="F33" s="571">
        <f ca="1">INDEX(M_Onedeal!$AK$71:$AK$75,F$4,0)</f>
        <v>2015479.6008400358</v>
      </c>
      <c r="G33" s="571">
        <f ca="1">INDEX(M_Onedeal!$AK$71:$AK$75,G$4,0)</f>
        <v>1776740.641453404</v>
      </c>
      <c r="H33" s="571">
        <f ca="1">INDEX(M_Onedeal!$AK$71:$AK$75,H$4,0)</f>
        <v>0</v>
      </c>
      <c r="I33" s="571">
        <f ca="1">INDEX(M_Onedeal!$AK$71:$AK$75,I$4,0)</f>
        <v>0</v>
      </c>
      <c r="K33" s="535">
        <f t="shared" ref="K33" ca="1" si="12">SUM(E33:I33)</f>
        <v>4700800.0047448315</v>
      </c>
      <c r="L33" s="200"/>
      <c r="P33" s="414"/>
      <c r="Q33" s="460">
        <v>20</v>
      </c>
      <c r="R33" s="461">
        <v>44377</v>
      </c>
      <c r="S33" s="462">
        <f>-M_Onedeal!Q28</f>
        <v>0</v>
      </c>
      <c r="T33" s="462">
        <f>M_Onedeal!M28</f>
        <v>114773.25</v>
      </c>
      <c r="U33" s="463">
        <f>M_Onedeal!H28</f>
        <v>5</v>
      </c>
      <c r="V33" s="462">
        <f>M_Onedeal!O28</f>
        <v>461976.75</v>
      </c>
      <c r="W33" s="519">
        <f>M_Onedeal!R28</f>
        <v>461976.75</v>
      </c>
      <c r="X33" s="469"/>
      <c r="AC33" s="414"/>
      <c r="AD33" s="460">
        <v>20</v>
      </c>
      <c r="AE33" s="461">
        <v>44377</v>
      </c>
      <c r="AF33" s="462">
        <f t="shared" si="3"/>
        <v>0</v>
      </c>
      <c r="AG33" s="462">
        <f t="shared" si="4"/>
        <v>114773.25</v>
      </c>
      <c r="AH33" s="462">
        <f t="shared" si="5"/>
        <v>5</v>
      </c>
      <c r="AI33" s="462">
        <f t="shared" si="6"/>
        <v>461976.75</v>
      </c>
      <c r="AJ33" s="462">
        <f t="shared" si="7"/>
        <v>461976.75</v>
      </c>
      <c r="AK33" s="462">
        <f>M_Onedeal!AA28</f>
        <v>0</v>
      </c>
      <c r="AL33" s="462">
        <f ca="1">M_Onedeal!AF28</f>
        <v>330611.3764894667</v>
      </c>
      <c r="AM33" s="462">
        <f t="shared" si="8"/>
        <v>0</v>
      </c>
      <c r="AN33" s="462">
        <f t="shared" si="9"/>
        <v>0</v>
      </c>
      <c r="AO33" s="462"/>
      <c r="AP33" s="469"/>
      <c r="AS33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</row>
    <row r="34" spans="1:60" ht="16" thickBot="1">
      <c r="A34" s="201" t="s">
        <v>186</v>
      </c>
      <c r="B34" s="552"/>
      <c r="C34" s="297"/>
      <c r="D34" s="297"/>
      <c r="E34" s="564" t="str">
        <f ca="1">IF(ABS(E18+E27+E31+E32-E33)&gt;1,"ERROR","")</f>
        <v>ERROR</v>
      </c>
      <c r="F34" s="564" t="str">
        <f ca="1">IF(ABS(F18+F27+F31+F32-F33)&gt;1,"ERROR","")</f>
        <v/>
      </c>
      <c r="G34" s="564" t="str">
        <f ca="1">IF(ABS(G18+G27+G31+G32-G33)&gt;1,"ERROR","")</f>
        <v/>
      </c>
      <c r="H34" s="564" t="str">
        <f ca="1">IF(ABS(H18+H27+H31+H32-H33)&gt;1,"ERROR","")</f>
        <v/>
      </c>
      <c r="I34" s="564" t="str">
        <f ca="1">IF(ABS(I18+I27+I31+I32-I33)&gt;1,"ERROR","")</f>
        <v/>
      </c>
      <c r="J34" s="530"/>
      <c r="K34" s="564" t="str">
        <f ca="1">IF(ABS(K18+K27+K31+K32-K33)&gt;1,"ERROR","")</f>
        <v>ERROR</v>
      </c>
      <c r="L34" s="200"/>
      <c r="P34" s="414"/>
      <c r="Q34" s="460">
        <v>21</v>
      </c>
      <c r="R34" s="461">
        <v>44408</v>
      </c>
      <c r="S34" s="462">
        <f>-M_Onedeal!Q29</f>
        <v>0</v>
      </c>
      <c r="T34" s="462">
        <f>M_Onedeal!M29</f>
        <v>114773.25</v>
      </c>
      <c r="U34" s="463">
        <f>M_Onedeal!H29</f>
        <v>5</v>
      </c>
      <c r="V34" s="462">
        <f>M_Onedeal!O29</f>
        <v>461976.75</v>
      </c>
      <c r="W34" s="519">
        <f>M_Onedeal!R29</f>
        <v>461976.75</v>
      </c>
      <c r="X34" s="469"/>
      <c r="AC34" s="414"/>
      <c r="AD34" s="460">
        <v>21</v>
      </c>
      <c r="AE34" s="461">
        <v>44408</v>
      </c>
      <c r="AF34" s="462">
        <f t="shared" si="3"/>
        <v>0</v>
      </c>
      <c r="AG34" s="462">
        <f t="shared" si="4"/>
        <v>114773.25</v>
      </c>
      <c r="AH34" s="462">
        <f t="shared" si="5"/>
        <v>5</v>
      </c>
      <c r="AI34" s="462">
        <f t="shared" si="6"/>
        <v>461976.75</v>
      </c>
      <c r="AJ34" s="462">
        <f t="shared" si="7"/>
        <v>461976.75</v>
      </c>
      <c r="AK34" s="462">
        <f>M_Onedeal!AA29</f>
        <v>0</v>
      </c>
      <c r="AL34" s="462">
        <f ca="1">M_Onedeal!AF29</f>
        <v>330611.3764894667</v>
      </c>
      <c r="AM34" s="462">
        <f t="shared" si="8"/>
        <v>0</v>
      </c>
      <c r="AN34" s="462">
        <f t="shared" si="9"/>
        <v>0</v>
      </c>
      <c r="AO34" s="462"/>
      <c r="AP34" s="469"/>
      <c r="AS34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</row>
    <row r="35" spans="1:60">
      <c r="B35" s="552"/>
      <c r="C35" s="580" t="s">
        <v>437</v>
      </c>
      <c r="D35" s="549"/>
      <c r="E35" s="565" t="s">
        <v>59</v>
      </c>
      <c r="F35" s="566">
        <f>M_Onedeal!$R$2</f>
        <v>0.10483495869491133</v>
      </c>
      <c r="G35" s="565" t="s">
        <v>60</v>
      </c>
      <c r="H35" s="566">
        <f>M_Onedeal!$R$5</f>
        <v>0.1100218239962778</v>
      </c>
      <c r="I35" s="567"/>
      <c r="J35" s="242"/>
      <c r="K35" s="242"/>
      <c r="P35" s="459"/>
      <c r="Q35" s="465">
        <v>22</v>
      </c>
      <c r="R35" s="466">
        <v>44439</v>
      </c>
      <c r="S35" s="467">
        <f>-M_Onedeal!Q30</f>
        <v>0</v>
      </c>
      <c r="T35" s="467">
        <f>M_Onedeal!M30</f>
        <v>114773.25</v>
      </c>
      <c r="U35" s="468">
        <f>M_Onedeal!H30</f>
        <v>5</v>
      </c>
      <c r="V35" s="467">
        <f>M_Onedeal!O30</f>
        <v>461976.75</v>
      </c>
      <c r="W35" s="520">
        <f>M_Onedeal!R30</f>
        <v>461976.75</v>
      </c>
      <c r="X35" s="469"/>
      <c r="AC35" s="459"/>
      <c r="AD35" s="465">
        <v>22</v>
      </c>
      <c r="AE35" s="466">
        <v>44439</v>
      </c>
      <c r="AF35" s="467">
        <f t="shared" si="3"/>
        <v>0</v>
      </c>
      <c r="AG35" s="467">
        <f t="shared" si="4"/>
        <v>114773.25</v>
      </c>
      <c r="AH35" s="467">
        <f t="shared" si="5"/>
        <v>5</v>
      </c>
      <c r="AI35" s="467">
        <f t="shared" si="6"/>
        <v>461976.75</v>
      </c>
      <c r="AJ35" s="467">
        <f t="shared" si="7"/>
        <v>461976.75</v>
      </c>
      <c r="AK35" s="467">
        <f>M_Onedeal!AA30</f>
        <v>0</v>
      </c>
      <c r="AL35" s="467">
        <f ca="1">M_Onedeal!AF30</f>
        <v>330611.3764894667</v>
      </c>
      <c r="AM35" s="467">
        <f t="shared" si="8"/>
        <v>0</v>
      </c>
      <c r="AN35" s="467">
        <f t="shared" si="9"/>
        <v>0</v>
      </c>
      <c r="AO35" s="467"/>
      <c r="AP35" s="469"/>
      <c r="AS35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</row>
    <row r="36" spans="1:60">
      <c r="B36" s="552"/>
      <c r="C36" s="580" t="s">
        <v>435</v>
      </c>
      <c r="D36" s="549"/>
      <c r="E36" s="565" t="s">
        <v>59</v>
      </c>
      <c r="F36" s="566">
        <f ca="1">M_Onedeal!$AI$2</f>
        <v>0.1458328464689993</v>
      </c>
      <c r="G36" s="565" t="s">
        <v>60</v>
      </c>
      <c r="H36" s="566">
        <f ca="1">M_Onedeal!$AI$5</f>
        <v>0.15598619349632381</v>
      </c>
      <c r="I36" s="567"/>
      <c r="J36" s="242"/>
      <c r="K36" s="242"/>
      <c r="P36" s="459"/>
      <c r="Q36" s="460">
        <v>23</v>
      </c>
      <c r="R36" s="461">
        <v>44469</v>
      </c>
      <c r="S36" s="462">
        <f>-M_Onedeal!Q31</f>
        <v>0</v>
      </c>
      <c r="T36" s="462">
        <f>M_Onedeal!M31</f>
        <v>114773.25</v>
      </c>
      <c r="U36" s="463">
        <f>M_Onedeal!H31</f>
        <v>5</v>
      </c>
      <c r="V36" s="462">
        <f>M_Onedeal!O31</f>
        <v>461976.75</v>
      </c>
      <c r="W36" s="519">
        <f>M_Onedeal!R31</f>
        <v>461976.75</v>
      </c>
      <c r="X36" s="469"/>
      <c r="AC36" s="459"/>
      <c r="AD36" s="460">
        <v>23</v>
      </c>
      <c r="AE36" s="461">
        <v>44469</v>
      </c>
      <c r="AF36" s="462">
        <f t="shared" si="3"/>
        <v>0</v>
      </c>
      <c r="AG36" s="462">
        <f t="shared" si="4"/>
        <v>114773.25</v>
      </c>
      <c r="AH36" s="462">
        <f t="shared" si="5"/>
        <v>5</v>
      </c>
      <c r="AI36" s="462">
        <f t="shared" si="6"/>
        <v>461976.75</v>
      </c>
      <c r="AJ36" s="462">
        <f t="shared" si="7"/>
        <v>461976.75</v>
      </c>
      <c r="AK36" s="462">
        <f>M_Onedeal!AA31</f>
        <v>0</v>
      </c>
      <c r="AL36" s="462">
        <f ca="1">M_Onedeal!AF31</f>
        <v>330611.3764894667</v>
      </c>
      <c r="AM36" s="462">
        <f t="shared" si="8"/>
        <v>0</v>
      </c>
      <c r="AN36" s="462">
        <f t="shared" si="9"/>
        <v>0</v>
      </c>
      <c r="AO36" s="462"/>
      <c r="AP36" s="469"/>
      <c r="AS3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</row>
    <row r="37" spans="1:60" ht="15" thickBot="1">
      <c r="C37" s="580" t="s">
        <v>436</v>
      </c>
      <c r="D37" s="549"/>
      <c r="E37" s="565" t="s">
        <v>59</v>
      </c>
      <c r="F37" s="566">
        <f ca="1">M_Onedeal!$AK$2</f>
        <v>0.1140881728564116</v>
      </c>
      <c r="G37" s="565" t="s">
        <v>60</v>
      </c>
      <c r="H37" s="566">
        <f ca="1">M_Onedeal!$AK$5</f>
        <v>0.12024705749255937</v>
      </c>
      <c r="I37" s="567"/>
      <c r="J37" s="242"/>
      <c r="K37" s="242"/>
      <c r="P37" s="459"/>
      <c r="Q37" s="460">
        <v>24</v>
      </c>
      <c r="R37" s="461">
        <v>44500</v>
      </c>
      <c r="S37" s="462">
        <f>-M_Onedeal!Q32</f>
        <v>0</v>
      </c>
      <c r="T37" s="462">
        <f>M_Onedeal!M32</f>
        <v>114773.25</v>
      </c>
      <c r="U37" s="463">
        <f>M_Onedeal!H32</f>
        <v>5</v>
      </c>
      <c r="V37" s="462">
        <f>M_Onedeal!O32</f>
        <v>461976.75</v>
      </c>
      <c r="W37" s="519">
        <f>M_Onedeal!R32</f>
        <v>461976.75</v>
      </c>
      <c r="X37" s="469"/>
      <c r="AC37" s="459"/>
      <c r="AD37" s="460">
        <v>24</v>
      </c>
      <c r="AE37" s="461">
        <v>44500</v>
      </c>
      <c r="AF37" s="462">
        <f t="shared" si="3"/>
        <v>0</v>
      </c>
      <c r="AG37" s="462">
        <f t="shared" si="4"/>
        <v>114773.25</v>
      </c>
      <c r="AH37" s="462">
        <f t="shared" si="5"/>
        <v>5</v>
      </c>
      <c r="AI37" s="462">
        <f t="shared" si="6"/>
        <v>461976.75</v>
      </c>
      <c r="AJ37" s="462">
        <f t="shared" si="7"/>
        <v>461976.75</v>
      </c>
      <c r="AK37" s="462">
        <f>M_Onedeal!AA32</f>
        <v>0</v>
      </c>
      <c r="AL37" s="462">
        <f ca="1">M_Onedeal!AF32</f>
        <v>330611.3764894667</v>
      </c>
      <c r="AM37" s="462">
        <f t="shared" si="8"/>
        <v>0</v>
      </c>
      <c r="AN37" s="462">
        <f t="shared" si="9"/>
        <v>0</v>
      </c>
      <c r="AO37" s="462"/>
      <c r="AP37" s="469"/>
      <c r="AS37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</row>
    <row r="38" spans="1:60" ht="16" thickBot="1">
      <c r="C38" s="550"/>
      <c r="D38" s="227"/>
      <c r="E38" s="568"/>
      <c r="F38" s="568"/>
      <c r="G38" s="568"/>
      <c r="H38" s="568"/>
      <c r="I38" s="568"/>
      <c r="J38" s="531"/>
      <c r="K38" s="541"/>
      <c r="L38" s="200"/>
      <c r="P38" s="459"/>
      <c r="Q38" s="465">
        <v>25</v>
      </c>
      <c r="R38" s="466">
        <v>44530</v>
      </c>
      <c r="S38" s="467">
        <f>-M_Onedeal!Q33</f>
        <v>0</v>
      </c>
      <c r="T38" s="467">
        <f>M_Onedeal!M33</f>
        <v>114773.25</v>
      </c>
      <c r="U38" s="468">
        <f>M_Onedeal!H33</f>
        <v>5</v>
      </c>
      <c r="V38" s="467">
        <f>M_Onedeal!O33</f>
        <v>461976.75</v>
      </c>
      <c r="W38" s="520">
        <f>M_Onedeal!R33</f>
        <v>461976.75</v>
      </c>
      <c r="X38" s="469"/>
      <c r="AC38" s="459"/>
      <c r="AD38" s="465">
        <v>25</v>
      </c>
      <c r="AE38" s="466">
        <v>44530</v>
      </c>
      <c r="AF38" s="467">
        <f t="shared" si="3"/>
        <v>0</v>
      </c>
      <c r="AG38" s="467">
        <f t="shared" si="4"/>
        <v>114773.25</v>
      </c>
      <c r="AH38" s="467">
        <f t="shared" si="5"/>
        <v>5</v>
      </c>
      <c r="AI38" s="467">
        <f t="shared" si="6"/>
        <v>461976.75</v>
      </c>
      <c r="AJ38" s="467">
        <f t="shared" si="7"/>
        <v>461976.75</v>
      </c>
      <c r="AK38" s="467">
        <f>M_Onedeal!AA33</f>
        <v>0</v>
      </c>
      <c r="AL38" s="467">
        <f ca="1">M_Onedeal!AF33</f>
        <v>160217.97142370057</v>
      </c>
      <c r="AM38" s="467">
        <f t="shared" si="8"/>
        <v>0</v>
      </c>
      <c r="AN38" s="467">
        <f t="shared" si="9"/>
        <v>0</v>
      </c>
      <c r="AO38" s="467"/>
      <c r="AP38" s="469"/>
      <c r="AS38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</row>
    <row r="39" spans="1:60">
      <c r="C39" s="41"/>
      <c r="D39" s="41"/>
      <c r="J39" s="528"/>
      <c r="K39" s="528"/>
      <c r="P39" s="459"/>
      <c r="Q39" s="460">
        <v>26</v>
      </c>
      <c r="R39" s="461">
        <v>44561</v>
      </c>
      <c r="S39" s="462">
        <f>-M_Onedeal!Q34</f>
        <v>0</v>
      </c>
      <c r="T39" s="462">
        <f>M_Onedeal!M34</f>
        <v>114773.25</v>
      </c>
      <c r="U39" s="463">
        <f>M_Onedeal!H34</f>
        <v>5</v>
      </c>
      <c r="V39" s="462">
        <f>M_Onedeal!O34</f>
        <v>461976.75</v>
      </c>
      <c r="W39" s="519">
        <f>M_Onedeal!R34</f>
        <v>461976.75</v>
      </c>
      <c r="X39" s="469"/>
      <c r="AC39" s="459"/>
      <c r="AD39" s="460">
        <v>26</v>
      </c>
      <c r="AE39" s="461">
        <v>44561</v>
      </c>
      <c r="AF39" s="462">
        <f t="shared" si="3"/>
        <v>0</v>
      </c>
      <c r="AG39" s="462">
        <f t="shared" si="4"/>
        <v>114773.25</v>
      </c>
      <c r="AH39" s="462">
        <f t="shared" si="5"/>
        <v>5</v>
      </c>
      <c r="AI39" s="462">
        <f t="shared" si="6"/>
        <v>461976.75</v>
      </c>
      <c r="AJ39" s="462">
        <f t="shared" si="7"/>
        <v>461976.75</v>
      </c>
      <c r="AK39" s="462">
        <f>M_Onedeal!AA34</f>
        <v>0</v>
      </c>
      <c r="AL39" s="462">
        <f ca="1">M_Onedeal!AF34</f>
        <v>0</v>
      </c>
      <c r="AM39" s="462">
        <f t="shared" si="8"/>
        <v>0</v>
      </c>
      <c r="AN39" s="462">
        <f t="shared" si="9"/>
        <v>0</v>
      </c>
      <c r="AO39" s="462"/>
      <c r="AP39" s="469"/>
      <c r="AS39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</row>
    <row r="40" spans="1:60" ht="15" thickBot="1">
      <c r="D40" s="227"/>
      <c r="J40" s="528"/>
      <c r="K40" s="539">
        <f ca="1">NOW()</f>
        <v>45777.307723148151</v>
      </c>
      <c r="P40" s="459"/>
      <c r="Q40" s="460">
        <v>27</v>
      </c>
      <c r="R40" s="461">
        <v>44592</v>
      </c>
      <c r="S40" s="462">
        <f>-M_Onedeal!Q35</f>
        <v>0</v>
      </c>
      <c r="T40" s="462">
        <f>M_Onedeal!M35</f>
        <v>229546.5</v>
      </c>
      <c r="U40" s="463">
        <f>M_Onedeal!H35</f>
        <v>10</v>
      </c>
      <c r="V40" s="462">
        <f>M_Onedeal!O35</f>
        <v>923953.5</v>
      </c>
      <c r="W40" s="519">
        <f>M_Onedeal!R35</f>
        <v>923953.5</v>
      </c>
      <c r="X40" s="469"/>
      <c r="AC40" s="459"/>
      <c r="AD40" s="460">
        <v>27</v>
      </c>
      <c r="AE40" s="461">
        <v>44592</v>
      </c>
      <c r="AF40" s="462">
        <f t="shared" si="3"/>
        <v>0</v>
      </c>
      <c r="AG40" s="462">
        <f t="shared" si="4"/>
        <v>229546.5</v>
      </c>
      <c r="AH40" s="462">
        <f t="shared" si="5"/>
        <v>10</v>
      </c>
      <c r="AI40" s="462">
        <f t="shared" si="6"/>
        <v>923953.5</v>
      </c>
      <c r="AJ40" s="462">
        <f t="shared" si="7"/>
        <v>923953.5</v>
      </c>
      <c r="AK40" s="462">
        <f>M_Onedeal!AA35</f>
        <v>0</v>
      </c>
      <c r="AL40" s="462">
        <f ca="1">M_Onedeal!AF35</f>
        <v>0</v>
      </c>
      <c r="AM40" s="462">
        <f t="shared" si="8"/>
        <v>0</v>
      </c>
      <c r="AN40" s="462">
        <f t="shared" si="9"/>
        <v>0</v>
      </c>
      <c r="AO40" s="462"/>
      <c r="AP40" s="469"/>
      <c r="AS40"/>
      <c r="AT40" s="526"/>
      <c r="AU40" s="526"/>
      <c r="AV40" s="526"/>
      <c r="AW40" s="526"/>
      <c r="AX40" s="526"/>
    </row>
    <row r="41" spans="1:60">
      <c r="C41" s="41"/>
      <c r="D41" s="41"/>
      <c r="J41" s="528"/>
      <c r="K41" s="528"/>
      <c r="P41" s="459"/>
      <c r="Q41" s="465">
        <v>28</v>
      </c>
      <c r="R41" s="466">
        <v>44620</v>
      </c>
      <c r="S41" s="467">
        <f>-M_Onedeal!Q36</f>
        <v>0</v>
      </c>
      <c r="T41" s="467">
        <f>M_Onedeal!M36</f>
        <v>0</v>
      </c>
      <c r="U41" s="468">
        <f>M_Onedeal!H36</f>
        <v>0</v>
      </c>
      <c r="V41" s="467">
        <f>M_Onedeal!O36</f>
        <v>0</v>
      </c>
      <c r="W41" s="520">
        <f>M_Onedeal!R36</f>
        <v>0</v>
      </c>
      <c r="X41" s="469"/>
      <c r="AC41" s="459"/>
      <c r="AD41" s="465">
        <v>28</v>
      </c>
      <c r="AE41" s="466">
        <v>44620</v>
      </c>
      <c r="AF41" s="467">
        <f t="shared" si="3"/>
        <v>0</v>
      </c>
      <c r="AG41" s="467">
        <f t="shared" si="4"/>
        <v>0</v>
      </c>
      <c r="AH41" s="467">
        <f t="shared" si="5"/>
        <v>0</v>
      </c>
      <c r="AI41" s="467">
        <f t="shared" si="6"/>
        <v>0</v>
      </c>
      <c r="AJ41" s="467">
        <f t="shared" si="7"/>
        <v>0</v>
      </c>
      <c r="AK41" s="467">
        <f>M_Onedeal!AA36</f>
        <v>0</v>
      </c>
      <c r="AL41" s="467">
        <f ca="1">M_Onedeal!AF36</f>
        <v>0</v>
      </c>
      <c r="AM41" s="467">
        <f t="shared" si="8"/>
        <v>0</v>
      </c>
      <c r="AN41" s="467">
        <f t="shared" si="9"/>
        <v>0</v>
      </c>
      <c r="AO41" s="467"/>
      <c r="AP41" s="469"/>
      <c r="AS41"/>
      <c r="AT41" s="526"/>
      <c r="AU41" s="526"/>
      <c r="AV41" s="526"/>
      <c r="AW41" s="526"/>
      <c r="AX41" s="526"/>
    </row>
    <row r="42" spans="1:60">
      <c r="C42" s="41"/>
      <c r="D42" s="41"/>
      <c r="J42" s="528"/>
      <c r="K42" s="528"/>
      <c r="P42" s="459"/>
      <c r="Q42" s="460">
        <v>29</v>
      </c>
      <c r="R42" s="461">
        <v>44651</v>
      </c>
      <c r="S42" s="462">
        <f>-M_Onedeal!Q37</f>
        <v>0</v>
      </c>
      <c r="T42" s="462">
        <f>M_Onedeal!M37</f>
        <v>0</v>
      </c>
      <c r="U42" s="463">
        <f>M_Onedeal!H37</f>
        <v>0</v>
      </c>
      <c r="V42" s="462">
        <f>M_Onedeal!O37</f>
        <v>0</v>
      </c>
      <c r="W42" s="519">
        <f>M_Onedeal!R37</f>
        <v>0</v>
      </c>
      <c r="X42" s="469"/>
      <c r="AC42" s="459"/>
      <c r="AD42" s="460">
        <v>29</v>
      </c>
      <c r="AE42" s="461">
        <v>44651</v>
      </c>
      <c r="AF42" s="462">
        <f t="shared" si="3"/>
        <v>0</v>
      </c>
      <c r="AG42" s="462">
        <f t="shared" si="4"/>
        <v>0</v>
      </c>
      <c r="AH42" s="462">
        <f t="shared" si="5"/>
        <v>0</v>
      </c>
      <c r="AI42" s="462">
        <f t="shared" si="6"/>
        <v>0</v>
      </c>
      <c r="AJ42" s="462">
        <f t="shared" si="7"/>
        <v>0</v>
      </c>
      <c r="AK42" s="462">
        <f>M_Onedeal!AA37</f>
        <v>0</v>
      </c>
      <c r="AL42" s="462">
        <f ca="1">M_Onedeal!AF37</f>
        <v>0</v>
      </c>
      <c r="AM42" s="462">
        <f t="shared" si="8"/>
        <v>0</v>
      </c>
      <c r="AN42" s="462">
        <f t="shared" si="9"/>
        <v>0</v>
      </c>
      <c r="AO42" s="462"/>
      <c r="AP42" s="469"/>
      <c r="AS42"/>
      <c r="AT42" s="526"/>
      <c r="AU42" s="526"/>
      <c r="AV42" s="526"/>
      <c r="AW42" s="526"/>
      <c r="AX42" s="526"/>
    </row>
    <row r="43" spans="1:60">
      <c r="C43" s="41"/>
      <c r="D43" s="41"/>
      <c r="E43" s="570">
        <f>E18</f>
        <v>-3143000</v>
      </c>
      <c r="J43" s="528"/>
      <c r="K43" s="528"/>
      <c r="P43" s="459"/>
      <c r="Q43" s="460">
        <v>30</v>
      </c>
      <c r="R43" s="461">
        <v>44681</v>
      </c>
      <c r="S43" s="462">
        <f>-M_Onedeal!Q38</f>
        <v>0</v>
      </c>
      <c r="T43" s="462">
        <f>M_Onedeal!M38</f>
        <v>0</v>
      </c>
      <c r="U43" s="463">
        <f>M_Onedeal!H38</f>
        <v>0</v>
      </c>
      <c r="V43" s="462">
        <f>M_Onedeal!O38</f>
        <v>0</v>
      </c>
      <c r="W43" s="519">
        <f>M_Onedeal!R38</f>
        <v>0</v>
      </c>
      <c r="X43" s="469"/>
      <c r="AC43" s="459"/>
      <c r="AD43" s="460">
        <v>30</v>
      </c>
      <c r="AE43" s="461">
        <v>44681</v>
      </c>
      <c r="AF43" s="462">
        <f t="shared" si="3"/>
        <v>0</v>
      </c>
      <c r="AG43" s="462">
        <f t="shared" si="4"/>
        <v>0</v>
      </c>
      <c r="AH43" s="462">
        <f t="shared" si="5"/>
        <v>0</v>
      </c>
      <c r="AI43" s="462">
        <f t="shared" si="6"/>
        <v>0</v>
      </c>
      <c r="AJ43" s="462">
        <f t="shared" si="7"/>
        <v>0</v>
      </c>
      <c r="AK43" s="462">
        <f>M_Onedeal!AA38</f>
        <v>0</v>
      </c>
      <c r="AL43" s="462">
        <f ca="1">M_Onedeal!AF38</f>
        <v>0</v>
      </c>
      <c r="AM43" s="462">
        <f t="shared" si="8"/>
        <v>0</v>
      </c>
      <c r="AN43" s="462">
        <f t="shared" si="9"/>
        <v>0</v>
      </c>
      <c r="AO43" s="462"/>
      <c r="AP43" s="469"/>
      <c r="AS43"/>
      <c r="AT43" s="526"/>
      <c r="AU43" s="526"/>
      <c r="AV43" s="526"/>
      <c r="AW43" s="526"/>
      <c r="AX43" s="526"/>
    </row>
    <row r="44" spans="1:60">
      <c r="C44" s="41"/>
      <c r="D44" s="41"/>
      <c r="E44" s="570">
        <f ca="1">E27</f>
        <v>4184378.1090305001</v>
      </c>
      <c r="J44" s="528"/>
      <c r="K44" s="528"/>
      <c r="P44" s="459"/>
      <c r="Q44" s="460">
        <v>31</v>
      </c>
      <c r="R44" s="461">
        <v>44712</v>
      </c>
      <c r="S44" s="462">
        <f>-M_Onedeal!Q39</f>
        <v>0</v>
      </c>
      <c r="T44" s="462">
        <f>M_Onedeal!M39</f>
        <v>0</v>
      </c>
      <c r="U44" s="463">
        <f>M_Onedeal!H39</f>
        <v>0</v>
      </c>
      <c r="V44" s="462">
        <f>M_Onedeal!O39</f>
        <v>0</v>
      </c>
      <c r="W44" s="519">
        <f>M_Onedeal!R39</f>
        <v>0</v>
      </c>
      <c r="X44" s="469"/>
      <c r="AC44" s="459"/>
      <c r="AD44" s="460">
        <v>31</v>
      </c>
      <c r="AE44" s="461">
        <v>44712</v>
      </c>
      <c r="AF44" s="462">
        <f t="shared" si="3"/>
        <v>0</v>
      </c>
      <c r="AG44" s="462">
        <f t="shared" si="4"/>
        <v>0</v>
      </c>
      <c r="AH44" s="462">
        <f t="shared" si="5"/>
        <v>0</v>
      </c>
      <c r="AI44" s="462">
        <f t="shared" si="6"/>
        <v>0</v>
      </c>
      <c r="AJ44" s="462">
        <f t="shared" si="7"/>
        <v>0</v>
      </c>
      <c r="AK44" s="462">
        <f>M_Onedeal!AA39</f>
        <v>0</v>
      </c>
      <c r="AL44" s="462">
        <f ca="1">M_Onedeal!AF39</f>
        <v>0</v>
      </c>
      <c r="AM44" s="462">
        <f t="shared" si="8"/>
        <v>0</v>
      </c>
      <c r="AN44" s="462">
        <f t="shared" si="9"/>
        <v>0</v>
      </c>
      <c r="AO44" s="462"/>
      <c r="AP44" s="469"/>
      <c r="AS44"/>
      <c r="AT44" s="526"/>
      <c r="AU44" s="526"/>
      <c r="AV44" s="526"/>
      <c r="AW44" s="526"/>
      <c r="AX44" s="526"/>
    </row>
    <row r="45" spans="1:60">
      <c r="C45" s="41"/>
      <c r="D45" s="41"/>
      <c r="E45" s="570">
        <f ca="1">SUM(E43:E44)</f>
        <v>1041378.1090305001</v>
      </c>
      <c r="J45" s="528"/>
      <c r="K45" s="528"/>
      <c r="P45" s="459"/>
      <c r="Q45" s="460">
        <v>32</v>
      </c>
      <c r="R45" s="461">
        <v>44742</v>
      </c>
      <c r="S45" s="462">
        <f>-M_Onedeal!Q40</f>
        <v>0</v>
      </c>
      <c r="T45" s="462">
        <f>M_Onedeal!M40</f>
        <v>0</v>
      </c>
      <c r="U45" s="463">
        <f>M_Onedeal!H40</f>
        <v>0</v>
      </c>
      <c r="V45" s="462">
        <f>M_Onedeal!O40</f>
        <v>0</v>
      </c>
      <c r="W45" s="519">
        <f>M_Onedeal!R40</f>
        <v>0</v>
      </c>
      <c r="X45" s="469"/>
      <c r="AC45" s="459"/>
      <c r="AD45" s="460">
        <v>32</v>
      </c>
      <c r="AE45" s="461">
        <v>44742</v>
      </c>
      <c r="AF45" s="462">
        <f t="shared" si="3"/>
        <v>0</v>
      </c>
      <c r="AG45" s="462">
        <f t="shared" si="4"/>
        <v>0</v>
      </c>
      <c r="AH45" s="462">
        <f t="shared" si="5"/>
        <v>0</v>
      </c>
      <c r="AI45" s="462">
        <f t="shared" si="6"/>
        <v>0</v>
      </c>
      <c r="AJ45" s="462">
        <f t="shared" si="7"/>
        <v>0</v>
      </c>
      <c r="AK45" s="462">
        <f>M_Onedeal!AA40</f>
        <v>0</v>
      </c>
      <c r="AL45" s="462">
        <f ca="1">M_Onedeal!AF40</f>
        <v>0</v>
      </c>
      <c r="AM45" s="462">
        <f t="shared" si="8"/>
        <v>0</v>
      </c>
      <c r="AN45" s="462">
        <f t="shared" si="9"/>
        <v>0</v>
      </c>
      <c r="AO45" s="462"/>
      <c r="AP45" s="469"/>
      <c r="AS45"/>
      <c r="AT45" s="526"/>
      <c r="AU45" s="526"/>
      <c r="AV45" s="526"/>
      <c r="AW45" s="526"/>
      <c r="AX45" s="526"/>
    </row>
    <row r="46" spans="1:60" ht="15" thickBot="1">
      <c r="C46" s="41"/>
      <c r="D46" s="41"/>
      <c r="E46" s="570"/>
      <c r="J46" s="528"/>
      <c r="K46" s="528"/>
      <c r="P46" s="459"/>
      <c r="Q46" s="460">
        <v>33</v>
      </c>
      <c r="R46" s="461">
        <v>44773</v>
      </c>
      <c r="S46" s="462">
        <f>-M_Onedeal!Q41</f>
        <v>0</v>
      </c>
      <c r="T46" s="462">
        <f>M_Onedeal!M41</f>
        <v>0</v>
      </c>
      <c r="U46" s="463">
        <f>M_Onedeal!H41</f>
        <v>0</v>
      </c>
      <c r="V46" s="462">
        <f>M_Onedeal!O41</f>
        <v>0</v>
      </c>
      <c r="W46" s="519">
        <f>M_Onedeal!R41</f>
        <v>0</v>
      </c>
      <c r="X46" s="469"/>
      <c r="AC46" s="459"/>
      <c r="AD46" s="460">
        <v>33</v>
      </c>
      <c r="AE46" s="461">
        <v>44773</v>
      </c>
      <c r="AF46" s="462">
        <f t="shared" si="3"/>
        <v>0</v>
      </c>
      <c r="AG46" s="462">
        <f t="shared" si="4"/>
        <v>0</v>
      </c>
      <c r="AH46" s="462">
        <f t="shared" si="5"/>
        <v>0</v>
      </c>
      <c r="AI46" s="462">
        <f t="shared" si="6"/>
        <v>0</v>
      </c>
      <c r="AJ46" s="462">
        <f t="shared" si="7"/>
        <v>0</v>
      </c>
      <c r="AK46" s="462">
        <f>M_Onedeal!AA41</f>
        <v>0</v>
      </c>
      <c r="AL46" s="462">
        <f ca="1">M_Onedeal!AF41</f>
        <v>0</v>
      </c>
      <c r="AM46" s="462">
        <f t="shared" si="8"/>
        <v>0</v>
      </c>
      <c r="AN46" s="462">
        <f t="shared" si="9"/>
        <v>0</v>
      </c>
      <c r="AO46" s="462"/>
      <c r="AP46" s="469"/>
      <c r="AS46"/>
      <c r="AT46" s="526"/>
      <c r="AU46" s="526"/>
      <c r="AV46" s="526"/>
      <c r="AW46" s="526"/>
      <c r="AX46" s="526"/>
    </row>
    <row r="47" spans="1:60">
      <c r="P47" s="459"/>
      <c r="Q47" s="465">
        <v>34</v>
      </c>
      <c r="R47" s="466">
        <v>44804</v>
      </c>
      <c r="S47" s="467">
        <f>-M_Onedeal!Q42</f>
        <v>0</v>
      </c>
      <c r="T47" s="467">
        <f>M_Onedeal!M42</f>
        <v>0</v>
      </c>
      <c r="U47" s="468">
        <f>M_Onedeal!H42</f>
        <v>0</v>
      </c>
      <c r="V47" s="467">
        <f>M_Onedeal!O42</f>
        <v>0</v>
      </c>
      <c r="W47" s="520">
        <f>M_Onedeal!R42</f>
        <v>0</v>
      </c>
      <c r="X47" s="469"/>
      <c r="AC47" s="459"/>
      <c r="AD47" s="465">
        <v>34</v>
      </c>
      <c r="AE47" s="466">
        <v>44804</v>
      </c>
      <c r="AF47" s="467">
        <f t="shared" si="3"/>
        <v>0</v>
      </c>
      <c r="AG47" s="467">
        <f t="shared" si="4"/>
        <v>0</v>
      </c>
      <c r="AH47" s="467">
        <f t="shared" si="5"/>
        <v>0</v>
      </c>
      <c r="AI47" s="467">
        <f t="shared" si="6"/>
        <v>0</v>
      </c>
      <c r="AJ47" s="467">
        <f t="shared" si="7"/>
        <v>0</v>
      </c>
      <c r="AK47" s="467">
        <f>M_Onedeal!AA42</f>
        <v>0</v>
      </c>
      <c r="AL47" s="467">
        <f ca="1">M_Onedeal!AF42</f>
        <v>0</v>
      </c>
      <c r="AM47" s="467">
        <f t="shared" si="8"/>
        <v>0</v>
      </c>
      <c r="AN47" s="467">
        <f t="shared" si="9"/>
        <v>0</v>
      </c>
      <c r="AO47" s="467"/>
      <c r="AP47" s="469"/>
      <c r="AS47"/>
      <c r="AT47" s="526"/>
      <c r="AU47" s="526"/>
      <c r="AV47" s="526"/>
      <c r="AW47" s="526"/>
      <c r="AX47" s="526"/>
    </row>
    <row r="48" spans="1:60">
      <c r="P48" s="459"/>
      <c r="Q48" s="460">
        <v>35</v>
      </c>
      <c r="R48" s="461">
        <v>44834</v>
      </c>
      <c r="S48" s="462">
        <f>-M_Onedeal!Q43</f>
        <v>0</v>
      </c>
      <c r="T48" s="462">
        <f>M_Onedeal!M43</f>
        <v>0</v>
      </c>
      <c r="U48" s="463">
        <f>M_Onedeal!H43</f>
        <v>0</v>
      </c>
      <c r="V48" s="462">
        <f>M_Onedeal!O43</f>
        <v>0</v>
      </c>
      <c r="W48" s="519">
        <f>M_Onedeal!R43</f>
        <v>0</v>
      </c>
      <c r="X48" s="469"/>
      <c r="AC48" s="459"/>
      <c r="AD48" s="460">
        <v>35</v>
      </c>
      <c r="AE48" s="461">
        <v>44834</v>
      </c>
      <c r="AF48" s="462">
        <f t="shared" si="3"/>
        <v>0</v>
      </c>
      <c r="AG48" s="462">
        <f t="shared" si="4"/>
        <v>0</v>
      </c>
      <c r="AH48" s="462">
        <f t="shared" si="5"/>
        <v>0</v>
      </c>
      <c r="AI48" s="462">
        <f t="shared" si="6"/>
        <v>0</v>
      </c>
      <c r="AJ48" s="462">
        <f t="shared" si="7"/>
        <v>0</v>
      </c>
      <c r="AK48" s="462">
        <f>M_Onedeal!AA43</f>
        <v>0</v>
      </c>
      <c r="AL48" s="462">
        <f ca="1">M_Onedeal!AF43</f>
        <v>0</v>
      </c>
      <c r="AM48" s="462">
        <f t="shared" si="8"/>
        <v>0</v>
      </c>
      <c r="AN48" s="462">
        <f t="shared" si="9"/>
        <v>0</v>
      </c>
      <c r="AO48" s="462"/>
      <c r="AP48" s="469"/>
      <c r="AS48"/>
      <c r="AT48" s="526"/>
      <c r="AU48" s="526"/>
      <c r="AV48" s="526"/>
      <c r="AW48" s="526"/>
      <c r="AX48" s="526"/>
    </row>
    <row r="49" spans="3:50" ht="15" thickBot="1">
      <c r="P49" s="459"/>
      <c r="Q49" s="460">
        <v>36</v>
      </c>
      <c r="R49" s="461">
        <v>44865</v>
      </c>
      <c r="S49" s="462">
        <f>-M_Onedeal!Q44</f>
        <v>0</v>
      </c>
      <c r="T49" s="462">
        <f>M_Onedeal!M44</f>
        <v>0</v>
      </c>
      <c r="U49" s="463">
        <f>M_Onedeal!H44</f>
        <v>0</v>
      </c>
      <c r="V49" s="462">
        <f>M_Onedeal!O44</f>
        <v>0</v>
      </c>
      <c r="W49" s="519">
        <f>M_Onedeal!R44</f>
        <v>0</v>
      </c>
      <c r="X49" s="469"/>
      <c r="AC49" s="459"/>
      <c r="AD49" s="460">
        <v>36</v>
      </c>
      <c r="AE49" s="461">
        <v>44865</v>
      </c>
      <c r="AF49" s="462">
        <f t="shared" si="3"/>
        <v>0</v>
      </c>
      <c r="AG49" s="462">
        <f t="shared" si="4"/>
        <v>0</v>
      </c>
      <c r="AH49" s="462">
        <f t="shared" si="5"/>
        <v>0</v>
      </c>
      <c r="AI49" s="462">
        <f t="shared" si="6"/>
        <v>0</v>
      </c>
      <c r="AJ49" s="462">
        <f t="shared" si="7"/>
        <v>0</v>
      </c>
      <c r="AK49" s="462">
        <f>M_Onedeal!AA44</f>
        <v>0</v>
      </c>
      <c r="AL49" s="462">
        <f ca="1">M_Onedeal!AF44</f>
        <v>0</v>
      </c>
      <c r="AM49" s="462">
        <f t="shared" si="8"/>
        <v>0</v>
      </c>
      <c r="AN49" s="462">
        <f t="shared" si="9"/>
        <v>0</v>
      </c>
      <c r="AO49" s="462"/>
      <c r="AP49" s="469"/>
      <c r="AS49"/>
      <c r="AT49" s="526"/>
      <c r="AU49" s="526"/>
      <c r="AV49" s="526"/>
      <c r="AW49" s="526"/>
      <c r="AX49" s="526"/>
    </row>
    <row r="50" spans="3:50" ht="15" thickBot="1">
      <c r="P50" s="445"/>
      <c r="Q50" s="470" t="s">
        <v>494</v>
      </c>
      <c r="R50" s="471"/>
      <c r="S50" s="472">
        <v>-2700000</v>
      </c>
      <c r="T50" s="472">
        <v>0</v>
      </c>
      <c r="U50" s="473">
        <v>30</v>
      </c>
      <c r="V50" s="472">
        <v>2910000</v>
      </c>
      <c r="W50" s="474">
        <v>210000</v>
      </c>
      <c r="X50" s="469"/>
      <c r="AC50" s="445"/>
      <c r="AD50" s="470" t="s">
        <v>494</v>
      </c>
      <c r="AE50" s="471"/>
      <c r="AF50" s="472">
        <f t="shared" si="3"/>
        <v>-2700000</v>
      </c>
      <c r="AG50" s="472">
        <f t="shared" si="4"/>
        <v>0</v>
      </c>
      <c r="AH50" s="472">
        <f t="shared" si="5"/>
        <v>30</v>
      </c>
      <c r="AI50" s="472">
        <f t="shared" si="6"/>
        <v>2910000</v>
      </c>
      <c r="AJ50" s="472">
        <f t="shared" si="7"/>
        <v>210000</v>
      </c>
      <c r="AK50" s="472">
        <f ca="1">SUM(AK13:AK49)</f>
        <v>5363671.1309312815</v>
      </c>
      <c r="AL50" s="472">
        <f ca="1">SUM(AL13:AL49)</f>
        <v>5363341.6486760601</v>
      </c>
      <c r="AM50" s="472">
        <f t="shared" si="8"/>
        <v>0</v>
      </c>
      <c r="AN50" s="472">
        <f t="shared" si="9"/>
        <v>0</v>
      </c>
      <c r="AO50" s="472"/>
      <c r="AP50" s="469"/>
      <c r="AS50"/>
      <c r="AT50" s="526"/>
      <c r="AU50" s="526"/>
      <c r="AV50" s="526"/>
      <c r="AW50" s="526"/>
      <c r="AX50" s="526"/>
    </row>
    <row r="51" spans="3:50" ht="17" thickBot="1">
      <c r="P51" s="475"/>
      <c r="Q51" s="476"/>
      <c r="R51" s="476"/>
      <c r="S51" s="476"/>
      <c r="T51" s="476"/>
      <c r="U51" s="476"/>
      <c r="V51" s="476"/>
      <c r="W51" s="476"/>
      <c r="X51" s="477"/>
      <c r="AC51" s="475"/>
      <c r="AD51" s="476"/>
      <c r="AE51" s="476"/>
      <c r="AF51" s="476"/>
      <c r="AG51" s="476"/>
      <c r="AH51" s="476"/>
      <c r="AI51" s="476"/>
      <c r="AJ51" s="476"/>
      <c r="AK51" s="476"/>
      <c r="AL51" s="476"/>
      <c r="AM51" s="476"/>
      <c r="AN51" s="476"/>
      <c r="AO51" s="476"/>
      <c r="AP51" s="477"/>
      <c r="AS51"/>
      <c r="AT51" s="526"/>
      <c r="AU51" s="526"/>
      <c r="AV51" s="526"/>
      <c r="AW51" s="526"/>
      <c r="AX51" s="526"/>
    </row>
    <row r="52" spans="3:50">
      <c r="AS52"/>
      <c r="AT52" s="526"/>
      <c r="AU52" s="526"/>
      <c r="AV52" s="526"/>
      <c r="AW52" s="526"/>
      <c r="AX52" s="526"/>
    </row>
    <row r="53" spans="3:50">
      <c r="AK53" s="584"/>
      <c r="AS53"/>
      <c r="AT53" s="526"/>
      <c r="AU53" s="526"/>
      <c r="AV53" s="526"/>
      <c r="AW53" s="526"/>
      <c r="AX53" s="526"/>
    </row>
    <row r="54" spans="3:50">
      <c r="AK54" s="584"/>
      <c r="AS54"/>
      <c r="AT54" s="526"/>
      <c r="AU54" s="526"/>
      <c r="AV54" s="526"/>
      <c r="AW54" s="526"/>
      <c r="AX54" s="526"/>
    </row>
    <row r="55" spans="3:50">
      <c r="AS55"/>
      <c r="AT55" s="526"/>
      <c r="AU55" s="526"/>
      <c r="AV55" s="526"/>
      <c r="AW55" s="526"/>
      <c r="AX55" s="526"/>
    </row>
    <row r="56" spans="3:50">
      <c r="AS56"/>
      <c r="AT56" s="526"/>
      <c r="AU56" s="526"/>
      <c r="AV56" s="526"/>
      <c r="AW56" s="526"/>
      <c r="AX56" s="526"/>
    </row>
    <row r="57" spans="3:50">
      <c r="AS57"/>
      <c r="AT57" s="526"/>
      <c r="AU57" s="526"/>
      <c r="AV57" s="526"/>
      <c r="AW57" s="526"/>
      <c r="AX57" s="526"/>
    </row>
    <row r="58" spans="3:50">
      <c r="AS58"/>
      <c r="AT58" s="526"/>
      <c r="AU58" s="526"/>
      <c r="AV58" s="526"/>
      <c r="AW58" s="526"/>
      <c r="AX58" s="526"/>
    </row>
    <row r="59" spans="3:50">
      <c r="AS59"/>
      <c r="AT59" s="526"/>
      <c r="AU59" s="526"/>
      <c r="AV59" s="526"/>
      <c r="AW59" s="526"/>
      <c r="AX59" s="526"/>
    </row>
    <row r="60" spans="3:50">
      <c r="AS60"/>
      <c r="AT60" s="526"/>
      <c r="AU60" s="526"/>
      <c r="AV60" s="526"/>
      <c r="AW60" s="526"/>
      <c r="AX60" s="526"/>
    </row>
    <row r="61" spans="3:50">
      <c r="C61" s="227" t="str">
        <f ca="1">CELL("Filename")</f>
        <v>https://crescentbayholdings-my.sharepoint.com/personal/wolin_crescentbayholdings_com/Documents/5Models/2Excel/Model Templates and Parts/[cbaymod_051.xlsm]Inputs</v>
      </c>
    </row>
  </sheetData>
  <mergeCells count="3">
    <mergeCell ref="AH10:AI10"/>
    <mergeCell ref="AF10:AG10"/>
    <mergeCell ref="AK11:AL11"/>
  </mergeCells>
  <phoneticPr fontId="4" type="noConversion"/>
  <printOptions horizontalCentered="1"/>
  <pageMargins left="0.25" right="0.25" top="0.25" bottom="0.25" header="0.25" footer="0.25"/>
  <pageSetup scale="82" orientation="landscape" horizontalDpi="300" verticalDpi="300" r:id="rId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tabColor rgb="FF00FF00"/>
    <pageSetUpPr fitToPage="1"/>
  </sheetPr>
  <dimension ref="A1:M42"/>
  <sheetViews>
    <sheetView workbookViewId="0">
      <pane ySplit="4" topLeftCell="A14" activePane="bottomLeft" state="frozen"/>
      <selection activeCell="D47" sqref="D47"/>
      <selection pane="bottomLeft" activeCell="F37" sqref="F37"/>
    </sheetView>
  </sheetViews>
  <sheetFormatPr baseColWidth="10" defaultColWidth="11.5" defaultRowHeight="13"/>
  <cols>
    <col min="1" max="1" width="12.6640625" style="41" customWidth="1"/>
    <col min="2" max="2" width="36.6640625" style="41" customWidth="1"/>
    <col min="3" max="11" width="14.6640625" style="41" customWidth="1"/>
    <col min="12" max="12" width="16.6640625" style="41" customWidth="1"/>
    <col min="13" max="13" width="14.6640625" style="41" customWidth="1"/>
    <col min="14" max="14" width="12.1640625" style="41" bestFit="1" customWidth="1"/>
    <col min="15" max="15" width="18.6640625" style="41" customWidth="1"/>
    <col min="16" max="16" width="10.5" style="41" bestFit="1" customWidth="1"/>
    <col min="17" max="17" width="9.33203125" style="41" bestFit="1" customWidth="1"/>
    <col min="18" max="16384" width="11.5" style="41"/>
  </cols>
  <sheetData>
    <row r="1" spans="1:13"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13" ht="30" customHeight="1">
      <c r="B2" s="273" t="str">
        <f>i_company&amp;": "&amp;i_scendesc&amp;" - Multiple Deals"</f>
        <v>CBH/LAO: Base - Multiple Deals</v>
      </c>
      <c r="C2" s="42"/>
      <c r="D2" s="42"/>
      <c r="E2" s="42"/>
      <c r="F2" s="42"/>
      <c r="G2" s="42"/>
      <c r="H2" s="42"/>
      <c r="I2" s="42"/>
      <c r="J2" s="42"/>
      <c r="K2" s="42"/>
      <c r="L2" s="42"/>
    </row>
    <row r="3" spans="1:13" ht="15" customHeight="1" thickBot="1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1:13" ht="18" customHeight="1" thickBot="1">
      <c r="B4" s="228" t="s">
        <v>341</v>
      </c>
      <c r="C4" s="229">
        <v>1</v>
      </c>
      <c r="D4" s="229">
        <f>C4+1</f>
        <v>2</v>
      </c>
      <c r="E4" s="229">
        <f t="shared" ref="E4:K4" si="0">D4+1</f>
        <v>3</v>
      </c>
      <c r="F4" s="229">
        <f t="shared" si="0"/>
        <v>4</v>
      </c>
      <c r="G4" s="229">
        <f t="shared" si="0"/>
        <v>5</v>
      </c>
      <c r="H4" s="229">
        <f t="shared" si="0"/>
        <v>6</v>
      </c>
      <c r="I4" s="229">
        <f t="shared" si="0"/>
        <v>7</v>
      </c>
      <c r="J4" s="229">
        <f t="shared" si="0"/>
        <v>8</v>
      </c>
      <c r="K4" s="284">
        <f t="shared" si="0"/>
        <v>9</v>
      </c>
      <c r="L4" s="255" t="s">
        <v>205</v>
      </c>
      <c r="M4" s="255" t="s">
        <v>446</v>
      </c>
    </row>
    <row r="5" spans="1:13" ht="18" customHeight="1">
      <c r="B5" s="285"/>
      <c r="C5" s="286"/>
      <c r="D5" s="286"/>
      <c r="E5" s="286"/>
      <c r="F5" s="286"/>
      <c r="G5" s="286"/>
      <c r="H5" s="286"/>
      <c r="I5" s="286"/>
      <c r="J5" s="286"/>
      <c r="K5" s="287"/>
      <c r="L5" s="281"/>
      <c r="M5" s="281"/>
    </row>
    <row r="6" spans="1:13" ht="18" customHeight="1">
      <c r="B6" s="204" t="s">
        <v>413</v>
      </c>
      <c r="C6" s="233">
        <f>INDEX(M_MultDeal!$AL$120:$AL$128,C$4,0)</f>
        <v>83.333333333333329</v>
      </c>
      <c r="D6" s="233">
        <f>INDEX(M_MultDeal!$AL$120:$AL$128,D$4,0)</f>
        <v>1104.1666666666667</v>
      </c>
      <c r="E6" s="233">
        <f>INDEX(M_MultDeal!$AL$120:$AL$128,E$4,0)</f>
        <v>1942.6989917229653</v>
      </c>
      <c r="F6" s="233">
        <f>INDEX(M_MultDeal!$AL$120:$AL$128,F$4,0)</f>
        <v>742.38929420607565</v>
      </c>
      <c r="G6" s="233">
        <f>INDEX(M_MultDeal!$AL$120:$AL$128,G$4,0)</f>
        <v>4.2698991722965278</v>
      </c>
      <c r="H6" s="233">
        <f>INDEX(M_MultDeal!$AL$120:$AL$128,H$4,0)</f>
        <v>0</v>
      </c>
      <c r="I6" s="233">
        <f>INDEX(M_MultDeal!$AL$120:$AL$128,I$4,0)</f>
        <v>0</v>
      </c>
      <c r="J6" s="233">
        <f>INDEX(M_MultDeal!$AL$120:$AL$128,J$4,0)</f>
        <v>0</v>
      </c>
      <c r="K6" s="233">
        <f>INDEX(M_MultDeal!$AL$120:$AL$128,K$4,0)</f>
        <v>0</v>
      </c>
      <c r="L6" s="282" t="s">
        <v>324</v>
      </c>
      <c r="M6" s="282"/>
    </row>
    <row r="7" spans="1:13" ht="18" customHeight="1">
      <c r="B7" s="235" t="s">
        <v>414</v>
      </c>
      <c r="C7" s="236">
        <f>INDEX(M_MultDeal!$AM$120:$AM$128,C$4,0)</f>
        <v>62.499999999999986</v>
      </c>
      <c r="D7" s="236">
        <f>INDEX(M_MultDeal!$AM$120:$AM$128,D$4,0)</f>
        <v>537.49999999999977</v>
      </c>
      <c r="E7" s="236">
        <f>INDEX(M_MultDeal!$AM$120:$AM$128,E$4,0)</f>
        <v>1200.3096975168887</v>
      </c>
      <c r="F7" s="236">
        <f>INDEX(M_MultDeal!$AM$120:$AM$128,F$4,0)</f>
        <v>738.11939503377903</v>
      </c>
      <c r="G7" s="236">
        <f>INDEX(M_MultDeal!$AM$120:$AM$128,G$4,0)</f>
        <v>4.2698991722965278</v>
      </c>
      <c r="H7" s="236">
        <f>INDEX(M_MultDeal!$AM$120:$AM$128,H$4,0)</f>
        <v>0</v>
      </c>
      <c r="I7" s="236">
        <f>INDEX(M_MultDeal!$AM$120:$AM$128,I$4,0)</f>
        <v>0</v>
      </c>
      <c r="J7" s="236">
        <f>INDEX(M_MultDeal!$AM$120:$AM$128,J$4,0)</f>
        <v>0</v>
      </c>
      <c r="K7" s="236">
        <f>INDEX(M_MultDeal!$AM$120:$AM$128,K$4,0)</f>
        <v>0</v>
      </c>
      <c r="L7" s="283">
        <f>SUM(C7:K7)</f>
        <v>2542.6989917229639</v>
      </c>
      <c r="M7" s="283"/>
    </row>
    <row r="8" spans="1:13" ht="18" customHeight="1">
      <c r="B8" s="231" t="s">
        <v>415</v>
      </c>
      <c r="C8" s="248">
        <f>INDEX(M_MultDeal!$AN$120:$AN$128,C$4,0)</f>
        <v>937.50000000000011</v>
      </c>
      <c r="D8" s="248">
        <f>INDEX(M_MultDeal!$AN$120:$AN$128,D$4,0)</f>
        <v>1942.6989917229653</v>
      </c>
      <c r="E8" s="248">
        <f>INDEX(M_MultDeal!$AN$120:$AN$128,E$4,0)</f>
        <v>742.38929420607565</v>
      </c>
      <c r="F8" s="248">
        <f>INDEX(M_MultDeal!$AN$120:$AN$128,F$4,0)</f>
        <v>4.2698991722965278</v>
      </c>
      <c r="G8" s="248">
        <f>INDEX(M_MultDeal!$AN$120:$AN$128,G$4,0)</f>
        <v>0</v>
      </c>
      <c r="H8" s="248">
        <f>INDEX(M_MultDeal!$AN$120:$AN$128,H$4,0)</f>
        <v>0</v>
      </c>
      <c r="I8" s="248">
        <f>INDEX(M_MultDeal!$AN$120:$AN$128,I$4,0)</f>
        <v>0</v>
      </c>
      <c r="J8" s="248">
        <f>INDEX(M_MultDeal!$AN$120:$AN$128,J$4,0)</f>
        <v>0</v>
      </c>
      <c r="K8" s="248">
        <f>INDEX(M_MultDeal!$AN$120:$AN$128,K$4,0)</f>
        <v>0</v>
      </c>
      <c r="L8" s="282" t="s">
        <v>324</v>
      </c>
      <c r="M8" s="282"/>
    </row>
    <row r="9" spans="1:13" ht="18" customHeight="1">
      <c r="B9" s="231"/>
      <c r="C9" s="248"/>
      <c r="D9" s="248"/>
      <c r="E9" s="248"/>
      <c r="F9" s="248"/>
      <c r="G9" s="248"/>
      <c r="H9" s="248"/>
      <c r="I9" s="248"/>
      <c r="J9" s="248"/>
      <c r="K9" s="248"/>
      <c r="L9" s="282"/>
      <c r="M9" s="282"/>
    </row>
    <row r="10" spans="1:13" ht="18" customHeight="1">
      <c r="A10" s="131"/>
      <c r="B10" s="204" t="s">
        <v>410</v>
      </c>
      <c r="C10" s="233">
        <f>INDEX(M_MultDeal!$BJ$120:$BJ$128,C$4,0)</f>
        <v>-863288.69068718527</v>
      </c>
      <c r="D10" s="233">
        <f>INDEX(M_MultDeal!$BJ$120:$BJ$128,D$4,0)</f>
        <v>-1331794.5926889593</v>
      </c>
      <c r="E10" s="233">
        <f>INDEX(M_MultDeal!$BJ$120:$BJ$128,E$4,0)</f>
        <v>0</v>
      </c>
      <c r="F10" s="233">
        <f>INDEX(M_MultDeal!$BJ$120:$BJ$128,F$4,0)</f>
        <v>0</v>
      </c>
      <c r="G10" s="233">
        <f>INDEX(M_MultDeal!$BJ$120:$BJ$128,G$4,0)</f>
        <v>0</v>
      </c>
      <c r="H10" s="233">
        <f>INDEX(M_MultDeal!$BJ$120:$BJ$128,H$4,0)</f>
        <v>0</v>
      </c>
      <c r="I10" s="233">
        <f>INDEX(M_MultDeal!$BJ$120:$BJ$128,I$4,0)</f>
        <v>0</v>
      </c>
      <c r="J10" s="233">
        <f>INDEX(M_MultDeal!$BJ$120:$BJ$128,J$4,0)</f>
        <v>0</v>
      </c>
      <c r="K10" s="233">
        <f>INDEX(M_MultDeal!$BJ$120:$BJ$128,K$4,0)</f>
        <v>0</v>
      </c>
      <c r="L10" s="282">
        <f>SUM(C10:K10)</f>
        <v>-2195083.2833761447</v>
      </c>
      <c r="M10" s="282">
        <f>L10*i_lotstotal/$L$7</f>
        <v>-86328.869068718574</v>
      </c>
    </row>
    <row r="11" spans="1:13" ht="18" customHeight="1">
      <c r="A11" s="131"/>
      <c r="B11" s="204" t="s">
        <v>411</v>
      </c>
      <c r="C11" s="233">
        <f>INDEX(M_MultDeal!$BH$120:$BH$128,C$4,0)</f>
        <v>11534999.999999998</v>
      </c>
      <c r="D11" s="233">
        <f>INDEX(M_MultDeal!$BH$120:$BH$128,D$4,0)</f>
        <v>17795032.869524401</v>
      </c>
      <c r="E11" s="233">
        <f>INDEX(M_MultDeal!$BH$120:$BH$128,E$4,0)</f>
        <v>0</v>
      </c>
      <c r="F11" s="233">
        <f>INDEX(M_MultDeal!$BH$120:$BH$128,F$4,0)</f>
        <v>0</v>
      </c>
      <c r="G11" s="233">
        <f>INDEX(M_MultDeal!$BH$120:$BH$128,G$4,0)</f>
        <v>0</v>
      </c>
      <c r="H11" s="233">
        <f>INDEX(M_MultDeal!$BH$120:$BH$128,H$4,0)</f>
        <v>0</v>
      </c>
      <c r="I11" s="233">
        <f>INDEX(M_MultDeal!$BH$120:$BH$128,I$4,0)</f>
        <v>0</v>
      </c>
      <c r="J11" s="233">
        <f>INDEX(M_MultDeal!$BH$120:$BH$128,J$4,0)</f>
        <v>0</v>
      </c>
      <c r="K11" s="233">
        <f>INDEX(M_MultDeal!$BH$120:$BH$128,K$4,0)</f>
        <v>0</v>
      </c>
      <c r="L11" s="282">
        <f>SUM(C11:K11)</f>
        <v>29330032.869524397</v>
      </c>
      <c r="M11" s="282">
        <f>L11*i_lotstotal/$L$7</f>
        <v>1153500.0000000005</v>
      </c>
    </row>
    <row r="12" spans="1:13" ht="18" customHeight="1">
      <c r="A12" s="131"/>
      <c r="B12" s="204" t="s">
        <v>412</v>
      </c>
      <c r="C12" s="233">
        <f>-INDEX(M_MultDeal!$BF$120:$BF$128,C$4,0)</f>
        <v>39328288.69068718</v>
      </c>
      <c r="D12" s="233">
        <f>-INDEX(M_MultDeal!$BF$120:$BF$128,D$4,0)</f>
        <v>60671711.309312813</v>
      </c>
      <c r="E12" s="233">
        <f>-INDEX(M_MultDeal!$BF$120:$BF$128,E$4,0)</f>
        <v>0</v>
      </c>
      <c r="F12" s="233">
        <f>-INDEX(M_MultDeal!$BF$120:$BF$128,F$4,0)</f>
        <v>0</v>
      </c>
      <c r="G12" s="233">
        <f>-INDEX(M_MultDeal!$BF$120:$BF$128,G$4,0)</f>
        <v>0</v>
      </c>
      <c r="H12" s="233">
        <f>-INDEX(M_MultDeal!$BF$120:$BF$128,H$4,0)</f>
        <v>0</v>
      </c>
      <c r="I12" s="233">
        <f>-INDEX(M_MultDeal!$BF$120:$BF$128,I$4,0)</f>
        <v>0</v>
      </c>
      <c r="J12" s="233">
        <f>-INDEX(M_MultDeal!$BF$120:$BF$128,J$4,0)</f>
        <v>0</v>
      </c>
      <c r="K12" s="233">
        <f>-INDEX(M_MultDeal!$BF$120:$BF$128,K$4,0)</f>
        <v>0</v>
      </c>
      <c r="L12" s="282">
        <f>SUM(C12:K12)</f>
        <v>100000000</v>
      </c>
      <c r="M12" s="282">
        <f>L12*i_lotstotal/$L$7</f>
        <v>3932828.8690687204</v>
      </c>
    </row>
    <row r="13" spans="1:13" ht="18" customHeight="1">
      <c r="A13" s="131"/>
      <c r="B13" s="243"/>
      <c r="C13" s="248"/>
      <c r="D13" s="248"/>
      <c r="E13" s="248"/>
      <c r="F13" s="248"/>
      <c r="G13" s="248"/>
      <c r="H13" s="248"/>
      <c r="I13" s="248"/>
      <c r="J13" s="248"/>
      <c r="K13" s="248"/>
      <c r="L13" s="282"/>
      <c r="M13" s="282"/>
    </row>
    <row r="14" spans="1:13" ht="18" customHeight="1">
      <c r="A14" s="154"/>
      <c r="B14" s="232" t="s">
        <v>250</v>
      </c>
      <c r="C14" s="233"/>
      <c r="D14" s="233"/>
      <c r="E14" s="233"/>
      <c r="F14" s="233"/>
      <c r="G14" s="233"/>
      <c r="H14" s="233"/>
      <c r="I14" s="233"/>
      <c r="J14" s="233"/>
      <c r="K14" s="233"/>
      <c r="L14" s="282"/>
      <c r="M14" s="282"/>
    </row>
    <row r="15" spans="1:13" ht="18" customHeight="1">
      <c r="B15" s="204" t="s">
        <v>409</v>
      </c>
      <c r="C15" s="233">
        <f>INDEX(M_MultDeal!$AP$120:$AP$128,C$4,0)</f>
        <v>7209374.9999999991</v>
      </c>
      <c r="D15" s="233">
        <f>INDEX(M_MultDeal!$AP$120:$AP$128,D$4,0)</f>
        <v>62000624.999999993</v>
      </c>
      <c r="E15" s="233">
        <f>INDEX(M_MultDeal!$AP$120:$AP$128,E$4,0)</f>
        <v>138455723.60857317</v>
      </c>
      <c r="F15" s="233">
        <f>INDEX(M_MultDeal!$AP$120:$AP$128,F$4,0)</f>
        <v>85142072.217146397</v>
      </c>
      <c r="G15" s="233">
        <f>INDEX(M_MultDeal!$AP$120:$AP$128,G$4,0)</f>
        <v>492532.86952440441</v>
      </c>
      <c r="H15" s="233">
        <f>INDEX(M_MultDeal!$AP$120:$AP$128,H$4,0)</f>
        <v>0</v>
      </c>
      <c r="I15" s="233">
        <f>INDEX(M_MultDeal!$AP$120:$AP$128,I$4,0)</f>
        <v>0</v>
      </c>
      <c r="J15" s="233">
        <f>INDEX(M_MultDeal!$AP$120:$AP$128,J$4,0)</f>
        <v>0</v>
      </c>
      <c r="K15" s="233">
        <f>INDEX(M_MultDeal!$AP$120:$AP$128,K$4,0)</f>
        <v>0</v>
      </c>
      <c r="L15" s="282">
        <f t="shared" ref="L15:L19" si="1">SUM(C15:K15)</f>
        <v>293300328.69524395</v>
      </c>
      <c r="M15" s="282">
        <f>L15*i_lotstotal/$L$7</f>
        <v>11535000.000000002</v>
      </c>
    </row>
    <row r="16" spans="1:13" ht="18" customHeight="1">
      <c r="B16" s="235" t="s">
        <v>416</v>
      </c>
      <c r="C16" s="236">
        <f>-INDEX(M_MultDeal!$AQ$120:$AQ$128,C$4,0)</f>
        <v>0</v>
      </c>
      <c r="D16" s="236">
        <f>-INDEX(M_MultDeal!$AQ$120:$AQ$128,D$4,0)</f>
        <v>-1463503.1249999998</v>
      </c>
      <c r="E16" s="236">
        <f>-INDEX(M_MultDeal!$AQ$120:$AQ$128,E$4,0)</f>
        <v>-12137703.749999998</v>
      </c>
      <c r="F16" s="236">
        <f>-INDEX(M_MultDeal!$AQ$120:$AQ$128,F$4,0)</f>
        <v>-15630811.953489047</v>
      </c>
      <c r="G16" s="236">
        <f>-INDEX(M_MultDeal!$AQ$120:$AQ$128,G$4,0)</f>
        <v>-98014.04103535648</v>
      </c>
      <c r="H16" s="236">
        <f>-INDEX(M_MultDeal!$AQ$120:$AQ$128,H$4,0)</f>
        <v>0</v>
      </c>
      <c r="I16" s="236">
        <f>-INDEX(M_MultDeal!$AQ$120:$AQ$128,I$4,0)</f>
        <v>0</v>
      </c>
      <c r="J16" s="236">
        <f>-INDEX(M_MultDeal!$AQ$120:$AQ$128,J$4,0)</f>
        <v>0</v>
      </c>
      <c r="K16" s="236">
        <f>-INDEX(M_MultDeal!$AQ$120:$AQ$128,K$4,0)</f>
        <v>0</v>
      </c>
      <c r="L16" s="283">
        <f t="shared" si="1"/>
        <v>-29330032.869524401</v>
      </c>
      <c r="M16" s="283">
        <f>L16*i_lotstotal/$L$7</f>
        <v>-1153500.0000000005</v>
      </c>
    </row>
    <row r="17" spans="2:13" ht="18" customHeight="1">
      <c r="B17" s="231" t="s">
        <v>348</v>
      </c>
      <c r="C17" s="248">
        <f>INDEX(M_MultDeal!$AS$120:$AS$128,C$4,0)</f>
        <v>7209374.9999999991</v>
      </c>
      <c r="D17" s="248">
        <f>INDEX(M_MultDeal!$AS$120:$AS$128,D$4,0)</f>
        <v>60537121.874999993</v>
      </c>
      <c r="E17" s="248">
        <f>INDEX(M_MultDeal!$AS$120:$AS$128,E$4,0)</f>
        <v>126318019.85857317</v>
      </c>
      <c r="F17" s="248">
        <f>INDEX(M_MultDeal!$AS$120:$AS$128,F$4,0)</f>
        <v>69511260.263657376</v>
      </c>
      <c r="G17" s="248">
        <f>INDEX(M_MultDeal!$AS$120:$AS$128,G$4,0)</f>
        <v>394518.82848904794</v>
      </c>
      <c r="H17" s="248">
        <f>INDEX(M_MultDeal!$AS$120:$AS$128,H$4,0)</f>
        <v>0</v>
      </c>
      <c r="I17" s="248">
        <f>INDEX(M_MultDeal!$AS$120:$AS$128,I$4,0)</f>
        <v>0</v>
      </c>
      <c r="J17" s="248">
        <f>INDEX(M_MultDeal!$AS$120:$AS$128,J$4,0)</f>
        <v>0</v>
      </c>
      <c r="K17" s="248">
        <f>INDEX(M_MultDeal!$AS$120:$AS$128,K$4,0)</f>
        <v>0</v>
      </c>
      <c r="L17" s="282">
        <f t="shared" si="1"/>
        <v>263970295.82571957</v>
      </c>
      <c r="M17" s="282">
        <f>L17*i_lotstotal/$L$7</f>
        <v>10381500.000000002</v>
      </c>
    </row>
    <row r="18" spans="2:13" ht="18" customHeight="1">
      <c r="B18" s="235" t="s">
        <v>73</v>
      </c>
      <c r="C18" s="236">
        <f>-INDEX(M_MultDeal!$AT$120:$AT$128,C$4,0)</f>
        <v>-18749999.999999996</v>
      </c>
      <c r="D18" s="236">
        <f>-INDEX(M_MultDeal!$AT$120:$AT$128,D$4,0)</f>
        <v>-73249999.999999985</v>
      </c>
      <c r="E18" s="236">
        <f>-INDEX(M_MultDeal!$AT$120:$AT$128,E$4,0)</f>
        <v>-46577095.048901603</v>
      </c>
      <c r="F18" s="236">
        <f>-INDEX(M_MultDeal!$AT$120:$AT$128,F$4,0)</f>
        <v>0</v>
      </c>
      <c r="G18" s="236">
        <f>-INDEX(M_MultDeal!$AT$120:$AT$128,G$4,0)</f>
        <v>0</v>
      </c>
      <c r="H18" s="236">
        <f>-INDEX(M_MultDeal!$AT$120:$AT$128,H$4,0)</f>
        <v>0</v>
      </c>
      <c r="I18" s="236">
        <f>-INDEX(M_MultDeal!$AT$120:$AT$128,I$4,0)</f>
        <v>0</v>
      </c>
      <c r="J18" s="236">
        <f>-INDEX(M_MultDeal!$AT$120:$AT$128,J$4,0)</f>
        <v>0</v>
      </c>
      <c r="K18" s="236">
        <f>-INDEX(M_MultDeal!$AT$120:$AT$128,K$4,0)</f>
        <v>0</v>
      </c>
      <c r="L18" s="283">
        <f t="shared" si="1"/>
        <v>-138577095.04890159</v>
      </c>
      <c r="M18" s="283">
        <f>L18*i_lotstotal/$L$7</f>
        <v>-5450000.0000000028</v>
      </c>
    </row>
    <row r="19" spans="2:13" ht="18" customHeight="1">
      <c r="B19" s="231" t="s">
        <v>119</v>
      </c>
      <c r="C19" s="248">
        <f>SUM(C17:C18)</f>
        <v>-11540624.999999996</v>
      </c>
      <c r="D19" s="248">
        <f t="shared" ref="D19:K19" si="2">SUM(D17:D18)</f>
        <v>-12712878.124999993</v>
      </c>
      <c r="E19" s="248">
        <f t="shared" si="2"/>
        <v>79740924.809671566</v>
      </c>
      <c r="F19" s="248">
        <f t="shared" si="2"/>
        <v>69511260.263657376</v>
      </c>
      <c r="G19" s="248">
        <f t="shared" si="2"/>
        <v>394518.82848904794</v>
      </c>
      <c r="H19" s="248">
        <f t="shared" si="2"/>
        <v>0</v>
      </c>
      <c r="I19" s="248">
        <f t="shared" si="2"/>
        <v>0</v>
      </c>
      <c r="J19" s="248">
        <f t="shared" si="2"/>
        <v>0</v>
      </c>
      <c r="K19" s="248">
        <f t="shared" si="2"/>
        <v>0</v>
      </c>
      <c r="L19" s="282">
        <f t="shared" si="1"/>
        <v>125393200.77681801</v>
      </c>
      <c r="M19" s="282">
        <f>L19*i_lotstotal/$L$7</f>
        <v>4931500.0000000019</v>
      </c>
    </row>
    <row r="20" spans="2:13" ht="18" customHeight="1" thickBot="1">
      <c r="B20" s="272"/>
      <c r="C20" s="298"/>
      <c r="D20" s="298"/>
      <c r="E20" s="298"/>
      <c r="F20" s="298"/>
      <c r="G20" s="298"/>
      <c r="H20" s="298"/>
      <c r="I20" s="298"/>
      <c r="J20" s="298"/>
      <c r="K20" s="298"/>
      <c r="L20" s="299"/>
      <c r="M20" s="299"/>
    </row>
    <row r="21" spans="2:13" ht="18" customHeight="1">
      <c r="B21" s="300"/>
      <c r="C21" s="301"/>
      <c r="D21" s="301"/>
      <c r="E21" s="301"/>
      <c r="F21" s="301"/>
      <c r="G21" s="301"/>
      <c r="H21" s="301"/>
      <c r="I21" s="301"/>
      <c r="J21" s="301"/>
      <c r="K21" s="301"/>
      <c r="L21" s="302"/>
      <c r="M21" s="302"/>
    </row>
    <row r="22" spans="2:13" ht="18" customHeight="1">
      <c r="B22" s="232" t="s">
        <v>431</v>
      </c>
      <c r="C22" s="239"/>
      <c r="D22" s="239"/>
      <c r="E22" s="239"/>
      <c r="F22" s="239"/>
      <c r="G22" s="239"/>
      <c r="H22" s="239"/>
      <c r="I22" s="239"/>
      <c r="J22" s="239"/>
      <c r="K22" s="239"/>
      <c r="L22" s="282"/>
      <c r="M22" s="282"/>
    </row>
    <row r="23" spans="2:13" ht="18" customHeight="1">
      <c r="B23" s="204" t="s">
        <v>243</v>
      </c>
      <c r="C23" s="233">
        <f>INDEX(M_MultDeal!$AX$120:$AX$128,C$4,0)</f>
        <v>18749999.999999996</v>
      </c>
      <c r="D23" s="233">
        <f>INDEX(M_MultDeal!$AX$120:$AX$128,D$4,0)</f>
        <v>73249999.999999985</v>
      </c>
      <c r="E23" s="233">
        <f>INDEX(M_MultDeal!$AX$120:$AX$128,E$4,0)</f>
        <v>46577095.048901603</v>
      </c>
      <c r="F23" s="233">
        <f>INDEX(M_MultDeal!$AX$120:$AX$128,F$4,0)</f>
        <v>0</v>
      </c>
      <c r="G23" s="233">
        <f>INDEX(M_MultDeal!$AX$120:$AX$128,G$4,0)</f>
        <v>0</v>
      </c>
      <c r="H23" s="233">
        <f>INDEX(M_MultDeal!$AX$120:$AX$128,H$4,0)</f>
        <v>0</v>
      </c>
      <c r="I23" s="233">
        <f>INDEX(M_MultDeal!$AX$120:$AX$128,I$4,0)</f>
        <v>0</v>
      </c>
      <c r="J23" s="233">
        <f>INDEX(M_MultDeal!$AX$120:$AX$128,J$4,0)</f>
        <v>0</v>
      </c>
      <c r="K23" s="233">
        <f>INDEX(M_MultDeal!$AX$120:$AX$128,K$4,0)</f>
        <v>0</v>
      </c>
      <c r="L23" s="282">
        <f t="shared" ref="L23:L27" si="3">SUM(C23:K23)</f>
        <v>138577095.04890159</v>
      </c>
      <c r="M23" s="282">
        <f>L23*i_lotstotal/$L$7</f>
        <v>5450000.0000000028</v>
      </c>
    </row>
    <row r="24" spans="2:13" ht="18" customHeight="1">
      <c r="B24" s="240" t="s">
        <v>72</v>
      </c>
      <c r="C24" s="233">
        <f>INDEX(M_MultDeal!$AW$120:$AW$128,C$4,0)</f>
        <v>113351.33554480548</v>
      </c>
      <c r="D24" s="233">
        <f>INDEX(M_MultDeal!$AW$120:$AW$128,D$4,0)</f>
        <v>481920.9673596244</v>
      </c>
      <c r="E24" s="233">
        <f>INDEX(M_MultDeal!$AW$120:$AW$128,E$4,0)</f>
        <v>1360395.1404604781</v>
      </c>
      <c r="F24" s="233">
        <f>INDEX(M_MultDeal!$AW$120:$AW$128,F$4,0)</f>
        <v>2376513.5617292156</v>
      </c>
      <c r="G24" s="233">
        <f>INDEX(M_MultDeal!$AW$120:$AW$128,G$4,0)</f>
        <v>57985.561658166007</v>
      </c>
      <c r="H24" s="233">
        <f>INDEX(M_MultDeal!$AW$120:$AW$128,H$4,0)</f>
        <v>0</v>
      </c>
      <c r="I24" s="233">
        <f>INDEX(M_MultDeal!$AW$120:$AW$128,I$4,0)</f>
        <v>0</v>
      </c>
      <c r="J24" s="233">
        <f>INDEX(M_MultDeal!$AW$120:$AW$128,J$4,0)</f>
        <v>0</v>
      </c>
      <c r="K24" s="233">
        <f>INDEX(M_MultDeal!$AW$120:$AW$128,K$4,0)</f>
        <v>0</v>
      </c>
      <c r="L24" s="282">
        <f t="shared" si="3"/>
        <v>4390166.5667522904</v>
      </c>
      <c r="M24" s="282">
        <f>L24*i_lotstotal/$L$7</f>
        <v>172657.73813743718</v>
      </c>
    </row>
    <row r="25" spans="2:13" ht="18" customHeight="1">
      <c r="B25" s="240" t="s">
        <v>428</v>
      </c>
      <c r="C25" s="233">
        <f>-INDEX(M_MultDeal!$AY$120:$AY$128,C$4,0)</f>
        <v>-146108.74597282428</v>
      </c>
      <c r="D25" s="233">
        <f>-INDEX(M_MultDeal!$AY$120:$AY$128,D$4,0)</f>
        <v>-1445705.3301105713</v>
      </c>
      <c r="E25" s="233">
        <f>-INDEX(M_MultDeal!$AY$120:$AY$128,E$4,0)</f>
        <v>-2364960.5707420269</v>
      </c>
      <c r="F25" s="233">
        <f>-INDEX(M_MultDeal!$AY$120:$AY$128,F$4,0)</f>
        <v>-433391.91992686846</v>
      </c>
      <c r="G25" s="233">
        <f>-INDEX(M_MultDeal!$AY$120:$AY$128,G$4,0)</f>
        <v>0</v>
      </c>
      <c r="H25" s="233">
        <f>-INDEX(M_MultDeal!$AY$120:$AY$128,H$4,0)</f>
        <v>0</v>
      </c>
      <c r="I25" s="233">
        <f>-INDEX(M_MultDeal!$AY$120:$AY$128,I$4,0)</f>
        <v>0</v>
      </c>
      <c r="J25" s="233">
        <f>-INDEX(M_MultDeal!$AY$120:$AY$128,J$4,0)</f>
        <v>0</v>
      </c>
      <c r="K25" s="233">
        <f>-INDEX(M_MultDeal!$AY$120:$AY$128,K$4,0)</f>
        <v>0</v>
      </c>
      <c r="L25" s="282">
        <f t="shared" si="3"/>
        <v>-4390166.5667522913</v>
      </c>
      <c r="M25" s="282">
        <f>L25*i_lotstotal/$L$7</f>
        <v>-172657.73813743721</v>
      </c>
    </row>
    <row r="26" spans="2:13" ht="18" customHeight="1">
      <c r="B26" s="235" t="s">
        <v>429</v>
      </c>
      <c r="C26" s="236">
        <f>-INDEX(M_MultDeal!$AZ$120:$AZ$128,C$4,0)</f>
        <v>-3338549.6336985994</v>
      </c>
      <c r="D26" s="236">
        <f>-INDEX(M_MultDeal!$AZ$120:$AZ$128,D$4,0)</f>
        <v>-34131355.173191309</v>
      </c>
      <c r="E26" s="236">
        <f>-INDEX(M_MultDeal!$AZ$120:$AZ$128,E$4,0)</f>
        <v>-70091002.731221095</v>
      </c>
      <c r="F26" s="236">
        <f>-INDEX(M_MultDeal!$AZ$120:$AZ$128,F$4,0)</f>
        <v>-28812726.485433027</v>
      </c>
      <c r="G26" s="236">
        <f>-INDEX(M_MultDeal!$AZ$120:$AZ$128,G$4,0)</f>
        <v>0</v>
      </c>
      <c r="H26" s="236">
        <f>-INDEX(M_MultDeal!$AZ$120:$AZ$128,H$4,0)</f>
        <v>0</v>
      </c>
      <c r="I26" s="236">
        <f>-INDEX(M_MultDeal!$AZ$120:$AZ$128,I$4,0)</f>
        <v>0</v>
      </c>
      <c r="J26" s="236">
        <f>-INDEX(M_MultDeal!$AZ$120:$AZ$128,J$4,0)</f>
        <v>0</v>
      </c>
      <c r="K26" s="236">
        <f>-INDEX(M_MultDeal!$AZ$120:$AZ$128,K$4,0)</f>
        <v>0</v>
      </c>
      <c r="L26" s="282">
        <f t="shared" si="3"/>
        <v>-136373634.02354401</v>
      </c>
      <c r="M26" s="282">
        <f>L26*i_lotstotal/$L$7</f>
        <v>-5363341.648676062</v>
      </c>
    </row>
    <row r="27" spans="2:13" ht="18" customHeight="1">
      <c r="B27" s="232" t="s">
        <v>430</v>
      </c>
      <c r="C27" s="239">
        <f>SUM(C23:C26)</f>
        <v>15378692.955873379</v>
      </c>
      <c r="D27" s="239">
        <f t="shared" ref="D27:K27" si="4">SUM(D23:D26)</f>
        <v>38154860.464057729</v>
      </c>
      <c r="E27" s="239">
        <f t="shared" si="4"/>
        <v>-24518473.112601042</v>
      </c>
      <c r="F27" s="239">
        <f t="shared" si="4"/>
        <v>-26869604.843630679</v>
      </c>
      <c r="G27" s="239">
        <f t="shared" si="4"/>
        <v>57985.561658166007</v>
      </c>
      <c r="H27" s="239">
        <f t="shared" si="4"/>
        <v>0</v>
      </c>
      <c r="I27" s="239">
        <f t="shared" si="4"/>
        <v>0</v>
      </c>
      <c r="J27" s="239">
        <f t="shared" si="4"/>
        <v>0</v>
      </c>
      <c r="K27" s="239">
        <f t="shared" si="4"/>
        <v>0</v>
      </c>
      <c r="L27" s="282">
        <f t="shared" si="3"/>
        <v>2203461.0253575514</v>
      </c>
      <c r="M27" s="282">
        <f>L27*i_lotstotal/$L$7</f>
        <v>86658.351323939409</v>
      </c>
    </row>
    <row r="28" spans="2:13" ht="18" customHeight="1">
      <c r="B28" s="231" t="s">
        <v>259</v>
      </c>
      <c r="C28" s="248">
        <f>INDEX(M_MultDeal!$BA$120:$BA$128,C$4,0)</f>
        <v>14545142.469479494</v>
      </c>
      <c r="D28" s="248">
        <f>INDEX(M_MultDeal!$BA$120:$BA$128,D$4,0)</f>
        <v>52326634.169778481</v>
      </c>
      <c r="E28" s="248">
        <f>INDEX(M_MultDeal!$BA$120:$BA$128,E$4,0)</f>
        <v>28812726.485433023</v>
      </c>
      <c r="F28" s="248">
        <f>INDEX(M_MultDeal!$BA$120:$BA$128,F$4,0)</f>
        <v>0</v>
      </c>
      <c r="G28" s="248">
        <f>INDEX(M_MultDeal!$BA$120:$BA$128,G$4,0)</f>
        <v>0</v>
      </c>
      <c r="H28" s="248">
        <f>INDEX(M_MultDeal!$BA$120:$BA$128,H$4,0)</f>
        <v>0</v>
      </c>
      <c r="I28" s="248">
        <f>INDEX(M_MultDeal!$BA$120:$BA$128,I$4,0)</f>
        <v>0</v>
      </c>
      <c r="J28" s="248">
        <f>INDEX(M_MultDeal!$BA$120:$BA$128,J$4,0)</f>
        <v>0</v>
      </c>
      <c r="K28" s="248">
        <f>INDEX(M_MultDeal!$BA$120:$BA$128,K$4,0)</f>
        <v>0</v>
      </c>
      <c r="L28" s="282" t="s">
        <v>324</v>
      </c>
      <c r="M28" s="282"/>
    </row>
    <row r="29" spans="2:13" ht="18" customHeight="1">
      <c r="B29" s="204"/>
      <c r="C29" s="230"/>
      <c r="D29" s="230"/>
      <c r="E29" s="230"/>
      <c r="F29" s="230"/>
      <c r="G29" s="230"/>
      <c r="H29" s="230"/>
      <c r="I29" s="230"/>
      <c r="J29" s="230"/>
      <c r="K29" s="230"/>
      <c r="L29" s="282"/>
      <c r="M29" s="282">
        <f>L29*i_lotstotal/$L$7</f>
        <v>0</v>
      </c>
    </row>
    <row r="30" spans="2:13" ht="18" customHeight="1">
      <c r="B30" s="232" t="s">
        <v>445</v>
      </c>
      <c r="C30" s="239">
        <f>INDEX(M_MultDeal!$BB$120:$BB$128,C$4,0)</f>
        <v>-36284313.307233527</v>
      </c>
      <c r="D30" s="239">
        <f>INDEX(M_MultDeal!$BB$120:$BB$128,D$4,0)</f>
        <v>-36639096.769681439</v>
      </c>
      <c r="E30" s="239">
        <f>INDEX(M_MultDeal!$BB$120:$BB$128,E$4,0)</f>
        <v>55222451.164205886</v>
      </c>
      <c r="F30" s="239">
        <f>INDEX(M_MultDeal!$BB$120:$BB$128,F$4,0)</f>
        <v>42641655.42002669</v>
      </c>
      <c r="G30" s="239">
        <f>INDEX(M_MultDeal!$BB$120:$BB$128,G$4,0)</f>
        <v>452504.39014721394</v>
      </c>
      <c r="H30" s="239">
        <f>INDEX(M_MultDeal!$BB$120:$BB$128,H$4,0)</f>
        <v>0</v>
      </c>
      <c r="I30" s="239">
        <f>INDEX(M_MultDeal!$BB$120:$BB$128,I$4,0)</f>
        <v>0</v>
      </c>
      <c r="J30" s="239">
        <f>INDEX(M_MultDeal!$BB$120:$BB$128,J$4,0)</f>
        <v>0</v>
      </c>
      <c r="K30" s="239">
        <f>INDEX(M_MultDeal!$BB$120:$BB$128,K$4,0)</f>
        <v>0</v>
      </c>
      <c r="L30" s="283">
        <f t="shared" ref="L30" si="5">SUM(C30:K30)</f>
        <v>25393200.897464823</v>
      </c>
      <c r="M30" s="283">
        <f>L30*i_lotstotal/$L$7</f>
        <v>998671.13567611401</v>
      </c>
    </row>
    <row r="31" spans="2:13" ht="18" customHeight="1">
      <c r="B31" s="209" t="str">
        <f>"- Mgt Fee To "&amp;i_gpnamea</f>
        <v>- Mgt Fee To Crescent</v>
      </c>
      <c r="C31" s="233">
        <f>-INDEX(M_MultDeal!$BC$120:$BC$128,C$4,0)</f>
        <v>-72093.75</v>
      </c>
      <c r="D31" s="233">
        <f>-INDEX(M_MultDeal!$BC$120:$BC$128,D$4,0)</f>
        <v>-620006.25</v>
      </c>
      <c r="E31" s="233">
        <f>-INDEX(M_MultDeal!$BC$120:$BC$128,E$4,0)</f>
        <v>-1384557.2360857322</v>
      </c>
      <c r="F31" s="233">
        <f>-INDEX(M_MultDeal!$BC$120:$BC$128,F$4,0)</f>
        <v>-851420.72217146447</v>
      </c>
      <c r="G31" s="233">
        <f>-INDEX(M_MultDeal!$BC$120:$BC$128,G$4,0)</f>
        <v>-4925.328695244044</v>
      </c>
      <c r="H31" s="233">
        <f>-INDEX(M_MultDeal!$BC$120:$BC$128,H$4,0)</f>
        <v>0</v>
      </c>
      <c r="I31" s="233">
        <f>-INDEX(M_MultDeal!$BC$120:$BC$128,I$4,0)</f>
        <v>0</v>
      </c>
      <c r="J31" s="233">
        <f>-INDEX(M_MultDeal!$BC$120:$BC$128,J$4,0)</f>
        <v>0</v>
      </c>
      <c r="K31" s="233">
        <f>-INDEX(M_MultDeal!$BC$120:$BC$128,K$4,0)</f>
        <v>0</v>
      </c>
      <c r="L31" s="282">
        <f t="shared" ref="L31:L33" si="6">SUM(C31:K31)</f>
        <v>-2933003.2869524406</v>
      </c>
      <c r="M31" s="282">
        <f>L31*i_lotstotal/$L$7</f>
        <v>-115350.00000000007</v>
      </c>
    </row>
    <row r="32" spans="2:13" ht="18" customHeight="1">
      <c r="B32" s="210" t="str">
        <f>"- Mgt Fee To "&amp;i_gpnameb</f>
        <v>- Mgt Fee To LAO</v>
      </c>
      <c r="C32" s="236">
        <f>-INDEX(M_MultDeal!$BD$120:$BD$128,C$4,0)</f>
        <v>-72093.75</v>
      </c>
      <c r="D32" s="236">
        <f>-INDEX(M_MultDeal!$BD$120:$BD$128,D$4,0)</f>
        <v>-620006.25</v>
      </c>
      <c r="E32" s="236">
        <f>-INDEX(M_MultDeal!$BD$120:$BD$128,E$4,0)</f>
        <v>-1384557.2360857322</v>
      </c>
      <c r="F32" s="236">
        <f>-INDEX(M_MultDeal!$BD$120:$BD$128,F$4,0)</f>
        <v>-851420.72217146447</v>
      </c>
      <c r="G32" s="236">
        <f>-INDEX(M_MultDeal!$BD$120:$BD$128,G$4,0)</f>
        <v>-4925.328695244044</v>
      </c>
      <c r="H32" s="236">
        <f>-INDEX(M_MultDeal!$BD$120:$BD$128,H$4,0)</f>
        <v>0</v>
      </c>
      <c r="I32" s="236">
        <f>-INDEX(M_MultDeal!$BD$120:$BD$128,I$4,0)</f>
        <v>0</v>
      </c>
      <c r="J32" s="236">
        <f>-INDEX(M_MultDeal!$BD$120:$BD$128,J$4,0)</f>
        <v>0</v>
      </c>
      <c r="K32" s="236">
        <f>-INDEX(M_MultDeal!$BD$120:$BD$128,K$4,0)</f>
        <v>0</v>
      </c>
      <c r="L32" s="283">
        <f t="shared" si="6"/>
        <v>-2933003.2869524406</v>
      </c>
      <c r="M32" s="283">
        <f>L32*i_lotstotal/$L$7</f>
        <v>-115350.00000000007</v>
      </c>
    </row>
    <row r="33" spans="1:13" ht="18" customHeight="1">
      <c r="B33" s="232" t="s">
        <v>426</v>
      </c>
      <c r="C33" s="239">
        <f>INDEX(M_MultDeal!$BE$120:$BE$128,C$4,0)</f>
        <v>-36428500.807233527</v>
      </c>
      <c r="D33" s="239">
        <f>INDEX(M_MultDeal!$BE$120:$BE$128,D$4,0)</f>
        <v>-37879109.269681439</v>
      </c>
      <c r="E33" s="239">
        <f>INDEX(M_MultDeal!$BE$120:$BE$128,E$4,0)</f>
        <v>52453336.692034416</v>
      </c>
      <c r="F33" s="239">
        <f>INDEX(M_MultDeal!$BE$120:$BE$128,F$4,0)</f>
        <v>40938813.975683764</v>
      </c>
      <c r="G33" s="239">
        <f>INDEX(M_MultDeal!$BE$120:$BE$128,G$4,0)</f>
        <v>442653.7327567258</v>
      </c>
      <c r="H33" s="239">
        <f>INDEX(M_MultDeal!$BE$120:$BE$128,H$4,0)</f>
        <v>0</v>
      </c>
      <c r="I33" s="239">
        <f>INDEX(M_MultDeal!$BE$120:$BE$128,I$4,0)</f>
        <v>0</v>
      </c>
      <c r="J33" s="239">
        <f>INDEX(M_MultDeal!$BE$120:$BE$128,J$4,0)</f>
        <v>0</v>
      </c>
      <c r="K33" s="239">
        <f>INDEX(M_MultDeal!$BE$120:$BE$128,K$4,0)</f>
        <v>0</v>
      </c>
      <c r="L33" s="282">
        <f t="shared" si="6"/>
        <v>19527194.32355994</v>
      </c>
      <c r="M33" s="282">
        <f>L33*i_lotstotal/$L$7</f>
        <v>767971.13567611377</v>
      </c>
    </row>
    <row r="34" spans="1:13" ht="18" customHeight="1">
      <c r="A34" s="101" t="s">
        <v>186</v>
      </c>
      <c r="B34" s="232"/>
      <c r="C34" s="275" t="str">
        <f>IF(ABS(-C12+C19+C27+C31+C32-C33)&gt;1,"ERROR","")</f>
        <v>ERROR</v>
      </c>
      <c r="D34" s="275" t="str">
        <f t="shared" ref="D34:K34" si="7">IF(ABS(-D12+D19+D27+D31+D32-D33)&gt;1,"ERROR","")</f>
        <v>ERROR</v>
      </c>
      <c r="E34" s="275" t="str">
        <f t="shared" si="7"/>
        <v/>
      </c>
      <c r="F34" s="275" t="str">
        <f t="shared" si="7"/>
        <v/>
      </c>
      <c r="G34" s="275" t="str">
        <f t="shared" si="7"/>
        <v/>
      </c>
      <c r="H34" s="275" t="str">
        <f t="shared" si="7"/>
        <v/>
      </c>
      <c r="I34" s="275" t="str">
        <f t="shared" si="7"/>
        <v/>
      </c>
      <c r="J34" s="275" t="str">
        <f t="shared" si="7"/>
        <v/>
      </c>
      <c r="K34" s="288" t="str">
        <f t="shared" si="7"/>
        <v/>
      </c>
      <c r="L34" s="280"/>
      <c r="M34" s="280"/>
    </row>
    <row r="35" spans="1:13" ht="18" customHeight="1">
      <c r="B35" s="243" t="s">
        <v>437</v>
      </c>
      <c r="C35" s="244" t="s">
        <v>59</v>
      </c>
      <c r="D35" s="245">
        <f>M_MultDeal!$AV$3</f>
        <v>0.10483495869491133</v>
      </c>
      <c r="E35" s="244" t="s">
        <v>60</v>
      </c>
      <c r="F35" s="245">
        <f>M_MultDeal!$AV$6</f>
        <v>0.1100218239962778</v>
      </c>
      <c r="G35" s="242"/>
      <c r="H35" s="242"/>
      <c r="I35" s="242"/>
      <c r="J35" s="242"/>
      <c r="K35" s="289"/>
      <c r="L35" s="280"/>
      <c r="M35" s="280"/>
    </row>
    <row r="36" spans="1:13" ht="18" customHeight="1">
      <c r="B36" s="243" t="s">
        <v>435</v>
      </c>
      <c r="C36" s="244" t="s">
        <v>59</v>
      </c>
      <c r="D36" s="245">
        <f>M_MultDeal!$BB$3</f>
        <v>0.1458328464689993</v>
      </c>
      <c r="E36" s="244" t="s">
        <v>60</v>
      </c>
      <c r="F36" s="245">
        <f>M_MultDeal!$BB$6</f>
        <v>0.15598619349632381</v>
      </c>
      <c r="G36" s="242"/>
      <c r="H36" s="242"/>
      <c r="I36" s="242"/>
      <c r="J36" s="242"/>
      <c r="K36" s="289"/>
      <c r="L36" s="280"/>
      <c r="M36" s="280"/>
    </row>
    <row r="37" spans="1:13" ht="18" customHeight="1">
      <c r="B37" s="243" t="s">
        <v>436</v>
      </c>
      <c r="C37" s="244" t="s">
        <v>59</v>
      </c>
      <c r="D37" s="245">
        <f>M_MultDeal!$BE$3</f>
        <v>0.11408817285640893</v>
      </c>
      <c r="E37" s="244" t="s">
        <v>60</v>
      </c>
      <c r="F37" s="245">
        <f>M_MultDeal!$BE$6</f>
        <v>0.12024705749255626</v>
      </c>
      <c r="G37" s="242"/>
      <c r="H37" s="242"/>
      <c r="I37" s="242"/>
      <c r="J37" s="242"/>
      <c r="K37" s="289"/>
      <c r="L37" s="280"/>
      <c r="M37" s="280"/>
    </row>
    <row r="38" spans="1:13" ht="18" customHeight="1">
      <c r="B38" s="204"/>
      <c r="C38" s="244"/>
      <c r="D38" s="244"/>
      <c r="E38" s="244"/>
      <c r="F38" s="244"/>
      <c r="G38" s="244"/>
      <c r="H38" s="244"/>
      <c r="I38" s="244"/>
      <c r="J38" s="244"/>
      <c r="K38" s="290"/>
      <c r="L38" s="280"/>
      <c r="M38" s="280"/>
    </row>
    <row r="39" spans="1:13" ht="18" customHeight="1" thickBot="1">
      <c r="B39" s="291"/>
      <c r="C39" s="292"/>
      <c r="D39" s="292"/>
      <c r="E39" s="292"/>
      <c r="F39" s="292"/>
      <c r="G39" s="292"/>
      <c r="H39" s="292"/>
      <c r="I39" s="293"/>
      <c r="J39" s="293"/>
      <c r="K39" s="294"/>
      <c r="L39" s="246"/>
      <c r="M39" s="295"/>
    </row>
    <row r="40" spans="1:13" ht="18" customHeight="1">
      <c r="I40" s="250"/>
      <c r="J40" s="250"/>
      <c r="K40" s="250"/>
      <c r="L40" s="296"/>
      <c r="M40" s="296"/>
    </row>
    <row r="41" spans="1:13" ht="18" customHeight="1">
      <c r="B41" s="227" t="str">
        <f ca="1">CELL("Filename")</f>
        <v>https://crescentbayholdings-my.sharepoint.com/personal/wolin_crescentbayholdings_com/Documents/5Models/2Excel/Model Templates and Parts/[cbaymod_051.xlsm]Inputs</v>
      </c>
      <c r="C41" s="42"/>
      <c r="D41" s="42"/>
      <c r="E41" s="42"/>
      <c r="F41" s="42"/>
      <c r="G41" s="42"/>
      <c r="I41" s="250"/>
      <c r="J41" s="250"/>
      <c r="K41" s="250"/>
      <c r="L41" s="139">
        <f ca="1">NOW()</f>
        <v>45777.307723148151</v>
      </c>
      <c r="M41" s="296"/>
    </row>
    <row r="42" spans="1:13" ht="18" customHeight="1">
      <c r="B42" s="297"/>
      <c r="C42" s="104"/>
      <c r="D42" s="104"/>
      <c r="E42" s="104"/>
      <c r="F42" s="104"/>
      <c r="G42" s="104"/>
      <c r="H42" s="104"/>
      <c r="I42" s="104"/>
      <c r="J42" s="104"/>
      <c r="K42" s="104"/>
      <c r="L42" s="242"/>
      <c r="M42" s="242"/>
    </row>
  </sheetData>
  <phoneticPr fontId="4" type="noConversion"/>
  <printOptions horizontalCentered="1"/>
  <pageMargins left="0.25" right="0.25" top="0.25" bottom="0.25" header="0.25" footer="0.25"/>
  <pageSetup scale="68" orientation="landscape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rgb="FF00FF00"/>
  </sheetPr>
  <dimension ref="A1:P47"/>
  <sheetViews>
    <sheetView workbookViewId="0">
      <pane ySplit="4" topLeftCell="A5" activePane="bottomLeft" state="frozen"/>
      <selection activeCell="D47" sqref="D47"/>
      <selection pane="bottomLeft" activeCell="F7" sqref="F7"/>
    </sheetView>
  </sheetViews>
  <sheetFormatPr baseColWidth="10" defaultColWidth="11.5" defaultRowHeight="13"/>
  <cols>
    <col min="1" max="1" width="6.6640625" style="41" customWidth="1"/>
    <col min="2" max="2" width="36.6640625" style="41" customWidth="1"/>
    <col min="3" max="11" width="14.6640625" style="41" customWidth="1"/>
    <col min="12" max="12" width="16.6640625" style="41" customWidth="1"/>
    <col min="13" max="13" width="3.6640625" style="41" customWidth="1"/>
    <col min="14" max="14" width="14.1640625" style="41" customWidth="1"/>
    <col min="15" max="15" width="11.1640625" style="41" bestFit="1" customWidth="1"/>
    <col min="16" max="16" width="12.6640625" style="41" bestFit="1" customWidth="1"/>
    <col min="17" max="17" width="10.5" style="41" bestFit="1" customWidth="1"/>
    <col min="18" max="18" width="9.33203125" style="41" bestFit="1" customWidth="1"/>
    <col min="19" max="16384" width="11.5" style="41"/>
  </cols>
  <sheetData>
    <row r="1" spans="2:14"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2:14" ht="30" customHeight="1">
      <c r="B2" s="273" t="str">
        <f>CONCATENATE(i_company,": ",i_scendesc)</f>
        <v>CBH/LAO: Base</v>
      </c>
      <c r="C2" s="42"/>
      <c r="D2" s="42"/>
      <c r="E2" s="42"/>
      <c r="F2" s="42"/>
      <c r="G2" s="42"/>
      <c r="H2" s="42"/>
      <c r="I2" s="42"/>
      <c r="J2" s="42"/>
      <c r="K2" s="42"/>
      <c r="L2" s="42"/>
    </row>
    <row r="3" spans="2:14" ht="15" customHeight="1" thickBot="1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2:14" ht="18" customHeight="1" thickBot="1">
      <c r="B4" s="252" t="s">
        <v>341</v>
      </c>
      <c r="C4" s="253">
        <v>1</v>
      </c>
      <c r="D4" s="253">
        <f t="shared" ref="D4:K4" si="0">C4+1</f>
        <v>2</v>
      </c>
      <c r="E4" s="253">
        <f t="shared" si="0"/>
        <v>3</v>
      </c>
      <c r="F4" s="253">
        <f t="shared" si="0"/>
        <v>4</v>
      </c>
      <c r="G4" s="253">
        <f t="shared" si="0"/>
        <v>5</v>
      </c>
      <c r="H4" s="253">
        <f t="shared" si="0"/>
        <v>6</v>
      </c>
      <c r="I4" s="253">
        <f t="shared" si="0"/>
        <v>7</v>
      </c>
      <c r="J4" s="253">
        <f t="shared" si="0"/>
        <v>8</v>
      </c>
      <c r="K4" s="254">
        <f t="shared" si="0"/>
        <v>9</v>
      </c>
      <c r="L4" s="255" t="s">
        <v>205</v>
      </c>
    </row>
    <row r="5" spans="2:14" ht="18" customHeight="1">
      <c r="B5" s="249"/>
      <c r="C5" s="260"/>
      <c r="D5" s="260"/>
      <c r="E5" s="260"/>
      <c r="F5" s="260"/>
      <c r="G5" s="260"/>
      <c r="H5" s="260"/>
      <c r="I5" s="260"/>
      <c r="J5" s="260"/>
      <c r="K5" s="260"/>
      <c r="L5" s="261"/>
      <c r="M5" s="256"/>
    </row>
    <row r="6" spans="2:14" ht="18" customHeight="1">
      <c r="B6" s="268" t="s">
        <v>67</v>
      </c>
      <c r="C6" s="248">
        <f>INDEX(M_Singlefund!$G$119:$G$127,C$4,0)</f>
        <v>-36428500.807233527</v>
      </c>
      <c r="D6" s="248">
        <f>INDEX(M_Singlefund!$G$119:$G$127,D$4,0)</f>
        <v>-37879109.269681439</v>
      </c>
      <c r="E6" s="248">
        <f>INDEX(M_Singlefund!$G$119:$G$127,E$4,0)</f>
        <v>52453336.692034416</v>
      </c>
      <c r="F6" s="248">
        <f>INDEX(M_Singlefund!$G$119:$G$127,F$4,0)</f>
        <v>40938813.975683764</v>
      </c>
      <c r="G6" s="248">
        <f>INDEX(M_Singlefund!$G$119:$G$127,G$4,0)</f>
        <v>442653.7327567258</v>
      </c>
      <c r="H6" s="248">
        <f>INDEX(M_Singlefund!$G$119:$G$127,H$4,0)</f>
        <v>0</v>
      </c>
      <c r="I6" s="248">
        <f>INDEX(M_Singlefund!$G$119:$G$127,I$4,0)</f>
        <v>0</v>
      </c>
      <c r="J6" s="248">
        <f>INDEX(M_Singlefund!$G$119:$G$127,J$4,0)</f>
        <v>0</v>
      </c>
      <c r="K6" s="248">
        <f>INDEX(M_Singlefund!$G$119:$G$127,K$4,0)</f>
        <v>0</v>
      </c>
      <c r="L6" s="234">
        <f>SUM(C6:K6)</f>
        <v>19527194.32355994</v>
      </c>
      <c r="M6" s="256"/>
    </row>
    <row r="7" spans="2:14" ht="18" customHeight="1">
      <c r="B7" s="303" t="s">
        <v>447</v>
      </c>
      <c r="C7" s="239">
        <f>-INDEX(M_Singlefund!$H$119:$H$127,C$4,0)</f>
        <v>-174519.28106492438</v>
      </c>
      <c r="D7" s="239">
        <f>-INDEX(M_Singlefund!$H$119:$H$127,D$4,0)</f>
        <v>-643795.28015715641</v>
      </c>
      <c r="E7" s="239">
        <f>-INDEX(M_Singlefund!$H$119:$H$127,E$4,0)</f>
        <v>-555877.47395648691</v>
      </c>
      <c r="F7" s="239">
        <f>-INDEX(M_Singlefund!$H$119:$H$127,F$4,0)</f>
        <v>-125668.02496532512</v>
      </c>
      <c r="G7" s="239">
        <f>-INDEX(M_Singlefund!$H$119:$H$127,G$4,0)</f>
        <v>-139.9398561066547</v>
      </c>
      <c r="H7" s="239">
        <f>-INDEX(M_Singlefund!$H$119:$H$127,H$4,0)</f>
        <v>5.7686253535633411E-11</v>
      </c>
      <c r="I7" s="239">
        <f>-INDEX(M_Singlefund!$H$119:$H$127,I$4,0)</f>
        <v>0</v>
      </c>
      <c r="J7" s="239">
        <f>-INDEX(M_Singlefund!$H$119:$H$127,J$4,0)</f>
        <v>0</v>
      </c>
      <c r="K7" s="239">
        <f>-INDEX(M_Singlefund!$H$119:$H$127,K$4,0)</f>
        <v>0</v>
      </c>
      <c r="L7" s="237">
        <f t="shared" ref="L7" si="1">SUM(C7:K7)</f>
        <v>-1499999.9999999995</v>
      </c>
      <c r="M7" s="256"/>
    </row>
    <row r="8" spans="2:14" ht="18" customHeight="1">
      <c r="B8" s="247" t="s">
        <v>448</v>
      </c>
      <c r="C8" s="241">
        <f>INDEX(M_Singlefund!$I$119:$I$127,C$4,0)</f>
        <v>-36603020.088298462</v>
      </c>
      <c r="D8" s="241">
        <f>INDEX(M_Singlefund!$I$119:$I$127,D$4,0)</f>
        <v>-38522904.549838588</v>
      </c>
      <c r="E8" s="241">
        <f>INDEX(M_Singlefund!$I$119:$I$127,E$4,0)</f>
        <v>51897459.218077935</v>
      </c>
      <c r="F8" s="241">
        <f>INDEX(M_Singlefund!$I$119:$I$127,F$4,0)</f>
        <v>40813145.950718448</v>
      </c>
      <c r="G8" s="241">
        <f>INDEX(M_Singlefund!$I$119:$I$127,G$4,0)</f>
        <v>442513.79290061898</v>
      </c>
      <c r="H8" s="241">
        <f>INDEX(M_Singlefund!$I$119:$I$127,H$4,0)</f>
        <v>5.7686253535633411E-11</v>
      </c>
      <c r="I8" s="241">
        <f>INDEX(M_Singlefund!$I$119:$I$127,I$4,0)</f>
        <v>0</v>
      </c>
      <c r="J8" s="241">
        <f>INDEX(M_Singlefund!$I$119:$I$127,J$4,0)</f>
        <v>0</v>
      </c>
      <c r="K8" s="241">
        <f>INDEX(M_Singlefund!$I$119:$I$127,K$4,0)</f>
        <v>0</v>
      </c>
      <c r="L8" s="269">
        <f>SUM(C8:K8)</f>
        <v>18027194.323559958</v>
      </c>
      <c r="M8" s="256"/>
    </row>
    <row r="9" spans="2:14" ht="18" customHeight="1">
      <c r="B9" s="238"/>
      <c r="C9" s="250"/>
      <c r="D9" s="250"/>
      <c r="E9" s="250"/>
      <c r="F9" s="250"/>
      <c r="G9" s="250"/>
      <c r="H9" s="250"/>
      <c r="I9" s="250"/>
      <c r="J9" s="250"/>
      <c r="K9" s="250"/>
      <c r="L9" s="251">
        <f>SUM(C9:K9)</f>
        <v>0</v>
      </c>
      <c r="M9" s="256"/>
    </row>
    <row r="10" spans="2:14" ht="18" customHeight="1" thickBot="1">
      <c r="B10" s="238" t="s">
        <v>68</v>
      </c>
      <c r="C10" s="250"/>
      <c r="D10" s="250"/>
      <c r="E10" s="250"/>
      <c r="F10" s="250"/>
      <c r="G10" s="250"/>
      <c r="H10" s="250"/>
      <c r="I10" s="250"/>
      <c r="J10" s="250"/>
      <c r="K10" s="250"/>
      <c r="L10" s="251"/>
      <c r="M10" s="256"/>
    </row>
    <row r="11" spans="2:14" ht="18" customHeight="1">
      <c r="B11" s="304" t="str">
        <f>TEXT(c_invsplit1_inst,"0.000%")&amp;" Equity CF up until "&amp;TEXT(i_hurdle1_inst,"0.000%")</f>
        <v>100.000% Equity CF up until 10.000%</v>
      </c>
      <c r="C11" s="233">
        <f>INDEX(M_Singlefund!$N$119:$N$127,C$4,0)</f>
        <v>-35870959.68653249</v>
      </c>
      <c r="D11" s="233">
        <f>INDEX(M_Singlefund!$N$119:$N$127,D$4,0)</f>
        <v>-37752446.458841823</v>
      </c>
      <c r="E11" s="233">
        <f>INDEX(M_Singlefund!$N$119:$N$127,E$4,0)</f>
        <v>50859510.033716366</v>
      </c>
      <c r="F11" s="233">
        <f>INDEX(M_Singlefund!$N$119:$N$127,F$4,0)</f>
        <v>38490805.807221234</v>
      </c>
      <c r="G11" s="233">
        <f>INDEX(M_Singlefund!$N$119:$N$127,G$4,0)</f>
        <v>0</v>
      </c>
      <c r="H11" s="233">
        <f>INDEX(M_Singlefund!$N$119:$N$127,H$4,0)</f>
        <v>0</v>
      </c>
      <c r="I11" s="233">
        <f>INDEX(M_Singlefund!$N$119:$N$127,I$4,0)</f>
        <v>0</v>
      </c>
      <c r="J11" s="233">
        <f>INDEX(M_Singlefund!$N$119:$N$127,J$4,0)</f>
        <v>0</v>
      </c>
      <c r="K11" s="233">
        <f>INDEX(M_Singlefund!$N$119:$N$127,K$4,0)</f>
        <v>0</v>
      </c>
      <c r="L11" s="262">
        <f t="shared" ref="L11:L19" si="2">SUM(C11:K11)</f>
        <v>15726909.695563287</v>
      </c>
      <c r="M11" s="256"/>
      <c r="N11" s="103" t="s">
        <v>69</v>
      </c>
    </row>
    <row r="12" spans="2:14" ht="18" customHeight="1" thickBot="1">
      <c r="B12" s="304" t="str">
        <f>TEXT(i_split2_inst,"0.000%")&amp;" Promote Catch up"</f>
        <v>50.000% Promote Catch up</v>
      </c>
      <c r="C12" s="233">
        <f>INDEX(M_Singlefund!$T$119:$T$127,C$4,0)</f>
        <v>0</v>
      </c>
      <c r="D12" s="233">
        <f>INDEX(M_Singlefund!$T$119:$T$127,D$4,0)</f>
        <v>0</v>
      </c>
      <c r="E12" s="233">
        <f>INDEX(M_Singlefund!$T$119:$T$127,E$4,0)</f>
        <v>0</v>
      </c>
      <c r="F12" s="233">
        <f>INDEX(M_Singlefund!$T$119:$T$127,F$4,0)</f>
        <v>0</v>
      </c>
      <c r="G12" s="233">
        <f>INDEX(M_Singlefund!$T$119:$T$127,G$4,0)</f>
        <v>0</v>
      </c>
      <c r="H12" s="233">
        <f>INDEX(M_Singlefund!$T$119:$T$127,H$4,0)</f>
        <v>0</v>
      </c>
      <c r="I12" s="233">
        <f>INDEX(M_Singlefund!$T$119:$T$127,I$4,0)</f>
        <v>0</v>
      </c>
      <c r="J12" s="233">
        <f>INDEX(M_Singlefund!$T$119:$T$127,J$4,0)</f>
        <v>0</v>
      </c>
      <c r="K12" s="233">
        <f>INDEX(M_Singlefund!$T$119:$T$127,K$4,0)</f>
        <v>0</v>
      </c>
      <c r="L12" s="262">
        <f t="shared" si="2"/>
        <v>0</v>
      </c>
      <c r="M12" s="256"/>
      <c r="N12" s="258">
        <f>IF(L11+L12&gt;0,L12/SUM(L11:L12),0)</f>
        <v>0</v>
      </c>
    </row>
    <row r="13" spans="2:14" ht="18" customHeight="1">
      <c r="B13" s="304" t="str">
        <f>TEXT(c_invsplit2_inst,"0.000%")&amp;" Equity CF up until "&amp;TEXT(i_hurdle2_inst,"0.000%")</f>
        <v>50.000% Equity CF up until 99.000%</v>
      </c>
      <c r="C13" s="233">
        <f>INDEX(M_Singlefund!$X$119:$X$127,C$4,0)</f>
        <v>0</v>
      </c>
      <c r="D13" s="233">
        <f>INDEX(M_Singlefund!$X$119:$X$127,D$4,0)</f>
        <v>0</v>
      </c>
      <c r="E13" s="233">
        <f>INDEX(M_Singlefund!$X$119:$X$127,E$4,0)</f>
        <v>0</v>
      </c>
      <c r="F13" s="233">
        <f>INDEX(M_Singlefund!$X$119:$X$127,F$4,0)</f>
        <v>753038.61224141822</v>
      </c>
      <c r="G13" s="233">
        <f>INDEX(M_Singlefund!$X$119:$X$127,G$4,0)</f>
        <v>216831.7585213033</v>
      </c>
      <c r="H13" s="233">
        <f>INDEX(M_Singlefund!$X$119:$X$127,H$4,0)</f>
        <v>2.8266264232460365E-11</v>
      </c>
      <c r="I13" s="233">
        <f>INDEX(M_Singlefund!$X$119:$X$127,I$4,0)</f>
        <v>0</v>
      </c>
      <c r="J13" s="233">
        <f>INDEX(M_Singlefund!$X$119:$X$127,J$4,0)</f>
        <v>0</v>
      </c>
      <c r="K13" s="233">
        <f>INDEX(M_Singlefund!$X$119:$X$127,K$4,0)</f>
        <v>0</v>
      </c>
      <c r="L13" s="262">
        <f t="shared" si="2"/>
        <v>969870.37076272152</v>
      </c>
      <c r="M13" s="256"/>
      <c r="N13" s="103" t="s">
        <v>69</v>
      </c>
    </row>
    <row r="14" spans="2:14" ht="18" customHeight="1" thickBot="1">
      <c r="B14" s="304" t="str">
        <f>TEXT(i_split2_inst,"0.000%")&amp;" Promote CF up until "&amp;TEXT(i_hurdle2_inst,"0.000%")</f>
        <v>50.000% Promote CF up until 99.000%</v>
      </c>
      <c r="C14" s="233">
        <f>INDEX(M_Singlefund!$Z$119:$Z$127,C$4,0)</f>
        <v>0</v>
      </c>
      <c r="D14" s="233">
        <f>INDEX(M_Singlefund!$Z$119:$Z$127,D$4,0)</f>
        <v>0</v>
      </c>
      <c r="E14" s="233">
        <f>INDEX(M_Singlefund!$Z$119:$Z$127,E$4,0)</f>
        <v>0</v>
      </c>
      <c r="F14" s="233">
        <f>INDEX(M_Singlefund!$Z$119:$Z$127,F$4,0)</f>
        <v>753038.61224141822</v>
      </c>
      <c r="G14" s="233">
        <f>INDEX(M_Singlefund!$Z$119:$Z$127,G$4,0)</f>
        <v>216831.7585213033</v>
      </c>
      <c r="H14" s="233">
        <f>INDEX(M_Singlefund!$Z$119:$Z$127,H$4,0)</f>
        <v>2.8266264232460365E-11</v>
      </c>
      <c r="I14" s="233">
        <f>INDEX(M_Singlefund!$Z$119:$Z$127,I$4,0)</f>
        <v>0</v>
      </c>
      <c r="J14" s="233">
        <f>INDEX(M_Singlefund!$Z$119:$Z$127,J$4,0)</f>
        <v>0</v>
      </c>
      <c r="K14" s="233">
        <f>INDEX(M_Singlefund!$Z$119:$Z$127,K$4,0)</f>
        <v>0</v>
      </c>
      <c r="L14" s="262">
        <f t="shared" si="2"/>
        <v>969870.37076272152</v>
      </c>
      <c r="M14" s="256"/>
      <c r="N14" s="258">
        <f>IF(L13+L14&gt;0,L14/SUM(L13:L14),0)</f>
        <v>0.5</v>
      </c>
    </row>
    <row r="15" spans="2:14" ht="18" customHeight="1">
      <c r="B15" s="304" t="str">
        <f>TEXT(c_invsplit3_inst,"0.000%")&amp;" Equity CF after "&amp;TEXT(i_hurdle2_inst,"0.000%")</f>
        <v>50.000% Equity CF after 99.000%</v>
      </c>
      <c r="C15" s="233">
        <f>INDEX(M_Singlefund!$AC$119:$AC$127,C$4,0)</f>
        <v>0</v>
      </c>
      <c r="D15" s="233">
        <f>INDEX(M_Singlefund!$AC$119:$AC$127,D$4,0)</f>
        <v>0</v>
      </c>
      <c r="E15" s="233">
        <f>INDEX(M_Singlefund!$AC$119:$AC$127,E$4,0)</f>
        <v>0</v>
      </c>
      <c r="F15" s="233">
        <f>INDEX(M_Singlefund!$AC$119:$AC$127,F$4,0)</f>
        <v>0</v>
      </c>
      <c r="G15" s="233">
        <f>INDEX(M_Singlefund!$AC$119:$AC$127,G$4,0)</f>
        <v>0</v>
      </c>
      <c r="H15" s="233">
        <f>INDEX(M_Singlefund!$AC$119:$AC$127,H$4,0)</f>
        <v>0</v>
      </c>
      <c r="I15" s="233">
        <f>INDEX(M_Singlefund!$AC$119:$AC$127,I$4,0)</f>
        <v>0</v>
      </c>
      <c r="J15" s="233">
        <f>INDEX(M_Singlefund!$AC$119:$AC$127,J$4,0)</f>
        <v>0</v>
      </c>
      <c r="K15" s="233">
        <f>INDEX(M_Singlefund!$AC$119:$AC$127,K$4,0)</f>
        <v>0</v>
      </c>
      <c r="L15" s="262">
        <f t="shared" si="2"/>
        <v>0</v>
      </c>
      <c r="M15" s="256"/>
      <c r="N15" s="103" t="s">
        <v>69</v>
      </c>
    </row>
    <row r="16" spans="2:14" ht="18" customHeight="1" thickBot="1">
      <c r="B16" s="305" t="str">
        <f>"Promote CF after "&amp;TEXT(i_hurdle2_inst,"0.000%")</f>
        <v>Promote CF after 99.000%</v>
      </c>
      <c r="C16" s="233">
        <f>INDEX(M_Singlefund!$AD$119:$AD$127,C$4,0)</f>
        <v>0</v>
      </c>
      <c r="D16" s="233">
        <f>INDEX(M_Singlefund!$AD$119:$AD$127,D$4,0)</f>
        <v>0</v>
      </c>
      <c r="E16" s="233">
        <f>INDEX(M_Singlefund!$AD$119:$AD$127,E$4,0)</f>
        <v>0</v>
      </c>
      <c r="F16" s="233">
        <f>INDEX(M_Singlefund!$AD$119:$AD$127,F$4,0)</f>
        <v>0</v>
      </c>
      <c r="G16" s="233">
        <f>INDEX(M_Singlefund!$AD$119:$AD$127,G$4,0)</f>
        <v>0</v>
      </c>
      <c r="H16" s="233">
        <f>INDEX(M_Singlefund!$AD$119:$AD$127,H$4,0)</f>
        <v>0</v>
      </c>
      <c r="I16" s="233">
        <f>INDEX(M_Singlefund!$AD$119:$AD$127,I$4,0)</f>
        <v>0</v>
      </c>
      <c r="J16" s="233">
        <f>INDEX(M_Singlefund!$AD$119:$AD$127,J$4,0)</f>
        <v>0</v>
      </c>
      <c r="K16" s="233">
        <f>INDEX(M_Singlefund!$AD$119:$AD$127,K$4,0)</f>
        <v>0</v>
      </c>
      <c r="L16" s="262">
        <f t="shared" si="2"/>
        <v>0</v>
      </c>
      <c r="M16" s="256"/>
      <c r="N16" s="258">
        <f>IF(L15+L16&gt;0,L16/SUM(L15:L16),0)</f>
        <v>0</v>
      </c>
    </row>
    <row r="17" spans="2:16" ht="18" customHeight="1" thickBot="1">
      <c r="B17" s="247" t="s">
        <v>296</v>
      </c>
      <c r="C17" s="241">
        <f>SUM(C11:C16)</f>
        <v>-35870959.68653249</v>
      </c>
      <c r="D17" s="241">
        <f t="shared" ref="D17:K17" si="3">SUM(D11:D16)</f>
        <v>-37752446.458841823</v>
      </c>
      <c r="E17" s="241">
        <f t="shared" si="3"/>
        <v>50859510.033716366</v>
      </c>
      <c r="F17" s="241">
        <f t="shared" si="3"/>
        <v>39996883.031704068</v>
      </c>
      <c r="G17" s="241">
        <f t="shared" si="3"/>
        <v>433663.5170426066</v>
      </c>
      <c r="H17" s="241">
        <f t="shared" si="3"/>
        <v>5.6532528464920731E-11</v>
      </c>
      <c r="I17" s="241">
        <f t="shared" si="3"/>
        <v>0</v>
      </c>
      <c r="J17" s="241">
        <f t="shared" si="3"/>
        <v>0</v>
      </c>
      <c r="K17" s="241">
        <f t="shared" si="3"/>
        <v>0</v>
      </c>
      <c r="L17" s="269">
        <f t="shared" si="2"/>
        <v>17666650.437088728</v>
      </c>
      <c r="M17" s="256"/>
      <c r="N17" s="257"/>
    </row>
    <row r="18" spans="2:16" ht="18" customHeight="1">
      <c r="B18" s="204" t="s">
        <v>185</v>
      </c>
      <c r="C18" s="233">
        <f>INDEX(M_Singlefund!$BA$119:$BA$127,C$4,0)</f>
        <v>-35870959.68653249</v>
      </c>
      <c r="D18" s="233">
        <f>INDEX(M_Singlefund!$BA$119:$BA$127,D$4,0)</f>
        <v>-37752446.458841823</v>
      </c>
      <c r="E18" s="233">
        <f>INDEX(M_Singlefund!$BA$119:$BA$127,E$4,0)</f>
        <v>50859510.033716366</v>
      </c>
      <c r="F18" s="233">
        <f>INDEX(M_Singlefund!$BA$119:$BA$127,F$4,0)</f>
        <v>39243844.419462658</v>
      </c>
      <c r="G18" s="233">
        <f>INDEX(M_Singlefund!$BA$119:$BA$127,G$4,0)</f>
        <v>216831.7585213033</v>
      </c>
      <c r="H18" s="233">
        <f>INDEX(M_Singlefund!$BA$119:$BA$127,H$4,0)</f>
        <v>2.8266264232460365E-11</v>
      </c>
      <c r="I18" s="233">
        <f>INDEX(M_Singlefund!$BA$119:$BA$127,I$4,0)</f>
        <v>0</v>
      </c>
      <c r="J18" s="233">
        <f>INDEX(M_Singlefund!$BA$119:$BA$127,J$4,0)</f>
        <v>0</v>
      </c>
      <c r="K18" s="233">
        <f>INDEX(M_Singlefund!$BA$119:$BA$127,K$4,0)</f>
        <v>0</v>
      </c>
      <c r="L18" s="262">
        <f t="shared" si="2"/>
        <v>16696780.066326015</v>
      </c>
      <c r="M18" s="256"/>
      <c r="N18" s="103" t="s">
        <v>69</v>
      </c>
    </row>
    <row r="19" spans="2:16" ht="18" customHeight="1" thickBot="1">
      <c r="B19" s="204" t="s">
        <v>172</v>
      </c>
      <c r="C19" s="233">
        <f>INDEX(M_Singlefund!$BE$119:$BE$127,C$4,0)</f>
        <v>0</v>
      </c>
      <c r="D19" s="233">
        <f>INDEX(M_Singlefund!$BE$119:$BE$127,D$4,0)</f>
        <v>0</v>
      </c>
      <c r="E19" s="233">
        <f>INDEX(M_Singlefund!$BE$119:$BE$127,E$4,0)</f>
        <v>0</v>
      </c>
      <c r="F19" s="233">
        <f>INDEX(M_Singlefund!$BE$119:$BE$127,F$4,0)</f>
        <v>753038.61224141822</v>
      </c>
      <c r="G19" s="233">
        <f>INDEX(M_Singlefund!$BE$119:$BE$127,G$4,0)</f>
        <v>216831.7585213033</v>
      </c>
      <c r="H19" s="233">
        <f>INDEX(M_Singlefund!$BE$119:$BE$127,H$4,0)</f>
        <v>2.8266264232460365E-11</v>
      </c>
      <c r="I19" s="233">
        <f>INDEX(M_Singlefund!$BE$119:$BE$127,I$4,0)</f>
        <v>0</v>
      </c>
      <c r="J19" s="233">
        <f>INDEX(M_Singlefund!$BE$119:$BE$127,J$4,0)</f>
        <v>0</v>
      </c>
      <c r="K19" s="233">
        <f>INDEX(M_Singlefund!$BE$119:$BE$127,K$4,0)</f>
        <v>0</v>
      </c>
      <c r="L19" s="262">
        <f t="shared" si="2"/>
        <v>969870.37076272152</v>
      </c>
      <c r="M19" s="256"/>
      <c r="N19" s="258">
        <f>IF(L18+L19&gt;0,L19/SUM(L18:L19),0)</f>
        <v>5.4898373306046189E-2</v>
      </c>
    </row>
    <row r="20" spans="2:16" ht="18" customHeight="1">
      <c r="B20" s="204"/>
      <c r="C20" s="248" t="str">
        <f>IF(ABS(C17-C18-C19)&gt;1,"ERROR","")</f>
        <v/>
      </c>
      <c r="D20" s="248" t="str">
        <f t="shared" ref="D20:K20" si="4">IF(ABS(D17-D18-D19)&gt;1,"ERROR","")</f>
        <v/>
      </c>
      <c r="E20" s="248" t="str">
        <f t="shared" si="4"/>
        <v/>
      </c>
      <c r="F20" s="248" t="str">
        <f t="shared" si="4"/>
        <v/>
      </c>
      <c r="G20" s="248" t="str">
        <f t="shared" si="4"/>
        <v/>
      </c>
      <c r="H20" s="248" t="str">
        <f t="shared" si="4"/>
        <v/>
      </c>
      <c r="I20" s="248" t="str">
        <f t="shared" si="4"/>
        <v/>
      </c>
      <c r="J20" s="248" t="str">
        <f t="shared" si="4"/>
        <v/>
      </c>
      <c r="K20" s="248" t="str">
        <f t="shared" si="4"/>
        <v/>
      </c>
      <c r="L20" s="234"/>
      <c r="M20" s="256"/>
      <c r="N20" s="259"/>
    </row>
    <row r="21" spans="2:16" ht="18" customHeight="1" thickBot="1">
      <c r="B21" s="238" t="s">
        <v>164</v>
      </c>
      <c r="C21" s="337"/>
      <c r="D21" s="337"/>
      <c r="E21" s="337"/>
      <c r="F21" s="337"/>
      <c r="G21" s="337"/>
      <c r="H21" s="337"/>
      <c r="I21" s="337"/>
      <c r="J21" s="337"/>
      <c r="K21" s="337"/>
      <c r="L21" s="237"/>
      <c r="M21" s="256"/>
      <c r="N21" s="257"/>
    </row>
    <row r="22" spans="2:16" ht="18" customHeight="1">
      <c r="B22" s="304" t="str">
        <f>TEXT(c_invsplit1_hnw,"0.000%")&amp;" Equity CF up until "&amp;TEXT(i_hurdle1_hnw,"0.000%")</f>
        <v>100.000% Equity CF up until 10.000%</v>
      </c>
      <c r="C22" s="233">
        <f>INDEX(M_Singlefund!$AI$119:$AI$127,C$4,0)</f>
        <v>-732060.40176596912</v>
      </c>
      <c r="D22" s="233">
        <f>INDEX(M_Singlefund!$AI$119:$AI$127,D$4,0)</f>
        <v>-770458.09099677182</v>
      </c>
      <c r="E22" s="233">
        <f>INDEX(M_Singlefund!$AI$119:$AI$127,E$4,0)</f>
        <v>1037949.1843615586</v>
      </c>
      <c r="F22" s="233">
        <f>INDEX(M_Singlefund!$AI$119:$AI$127,F$4,0)</f>
        <v>785526.64912696427</v>
      </c>
      <c r="G22" s="233">
        <f>INDEX(M_Singlefund!$AI$119:$AI$127,G$4,0)</f>
        <v>0</v>
      </c>
      <c r="H22" s="233">
        <f>INDEX(M_Singlefund!$AI$119:$AI$127,H$4,0)</f>
        <v>0</v>
      </c>
      <c r="I22" s="233">
        <f>INDEX(M_Singlefund!$AI$119:$AI$127,I$4,0)</f>
        <v>0</v>
      </c>
      <c r="J22" s="233">
        <f>INDEX(M_Singlefund!$AI$119:$AI$127,J$4,0)</f>
        <v>0</v>
      </c>
      <c r="K22" s="233">
        <f>INDEX(M_Singlefund!$AI$119:$AI$127,K$4,0)</f>
        <v>0</v>
      </c>
      <c r="L22" s="262">
        <f t="shared" ref="L22:L30" si="5">SUM(C22:K22)</f>
        <v>320957.34072578198</v>
      </c>
      <c r="M22" s="256"/>
      <c r="N22" s="103" t="s">
        <v>69</v>
      </c>
    </row>
    <row r="23" spans="2:16" ht="18" customHeight="1" thickBot="1">
      <c r="B23" s="304" t="str">
        <f>TEXT(i_split2_hnw,"0.000%")&amp;" Promote Catch up"</f>
        <v>0.000% Promote Catch up</v>
      </c>
      <c r="C23" s="233">
        <f>INDEX(M_Singlefund!$AO$119:$AO$127,C$4,0)</f>
        <v>0</v>
      </c>
      <c r="D23" s="233">
        <f>INDEX(M_Singlefund!$AO$119:$AO$127,D$4,0)</f>
        <v>0</v>
      </c>
      <c r="E23" s="233">
        <f>INDEX(M_Singlefund!$AO$119:$AO$127,E$4,0)</f>
        <v>0</v>
      </c>
      <c r="F23" s="233">
        <f>INDEX(M_Singlefund!$AO$119:$AO$127,F$4,0)</f>
        <v>0</v>
      </c>
      <c r="G23" s="233">
        <f>INDEX(M_Singlefund!$AO$119:$AO$127,G$4,0)</f>
        <v>0</v>
      </c>
      <c r="H23" s="233">
        <f>INDEX(M_Singlefund!$AO$119:$AO$127,H$4,0)</f>
        <v>0</v>
      </c>
      <c r="I23" s="233">
        <f>INDEX(M_Singlefund!$AO$119:$AO$127,I$4,0)</f>
        <v>0</v>
      </c>
      <c r="J23" s="233">
        <f>INDEX(M_Singlefund!$AO$119:$AO$127,J$4,0)</f>
        <v>0</v>
      </c>
      <c r="K23" s="233">
        <f>INDEX(M_Singlefund!$AO$119:$AO$127,K$4,0)</f>
        <v>0</v>
      </c>
      <c r="L23" s="262">
        <f t="shared" si="5"/>
        <v>0</v>
      </c>
      <c r="M23" s="256"/>
      <c r="N23" s="258">
        <f>IF(L22+L23&gt;0,L23/SUM(L22:L23),0)</f>
        <v>0</v>
      </c>
    </row>
    <row r="24" spans="2:16" ht="18" customHeight="1">
      <c r="B24" s="304" t="str">
        <f>TEXT(c_invsplit2_hnw,"0.000%")&amp;" Equity CF up until "&amp;TEXT(i_hurdle2_hnw,"0.000%")</f>
        <v>100.000% Equity CF up until 10.000%</v>
      </c>
      <c r="C24" s="233">
        <f>INDEX(M_Singlefund!$AS$119:$AS$127,C$4,0)</f>
        <v>0</v>
      </c>
      <c r="D24" s="233">
        <f>INDEX(M_Singlefund!$AS$119:$AS$127,D$4,0)</f>
        <v>0</v>
      </c>
      <c r="E24" s="233">
        <f>INDEX(M_Singlefund!$AS$119:$AS$127,E$4,0)</f>
        <v>0</v>
      </c>
      <c r="F24" s="233">
        <f>INDEX(M_Singlefund!$AS$119:$AS$127,F$4,0)</f>
        <v>0</v>
      </c>
      <c r="G24" s="233">
        <f>INDEX(M_Singlefund!$AS$119:$AS$127,G$4,0)</f>
        <v>0</v>
      </c>
      <c r="H24" s="233">
        <f>INDEX(M_Singlefund!$AS$119:$AS$127,H$4,0)</f>
        <v>0</v>
      </c>
      <c r="I24" s="233">
        <f>INDEX(M_Singlefund!$AS$119:$AS$127,I$4,0)</f>
        <v>0</v>
      </c>
      <c r="J24" s="233">
        <f>INDEX(M_Singlefund!$AS$119:$AS$127,J$4,0)</f>
        <v>0</v>
      </c>
      <c r="K24" s="233">
        <f>INDEX(M_Singlefund!$AS$119:$AS$127,K$4,0)</f>
        <v>0</v>
      </c>
      <c r="L24" s="262">
        <f t="shared" si="5"/>
        <v>0</v>
      </c>
      <c r="M24" s="256"/>
      <c r="N24" s="103" t="s">
        <v>69</v>
      </c>
    </row>
    <row r="25" spans="2:16" ht="18" customHeight="1" thickBot="1">
      <c r="B25" s="304" t="str">
        <f>TEXT(i_split2_hnw,"0.000%")&amp;" Promote CF up until "&amp;TEXT(i_hurdle2_hnw,"0.000%")</f>
        <v>0.000% Promote CF up until 10.000%</v>
      </c>
      <c r="C25" s="233">
        <f>INDEX(M_Singlefund!$AU$119:$AU$127,C$4,0)</f>
        <v>0</v>
      </c>
      <c r="D25" s="233">
        <f>INDEX(M_Singlefund!$AU$119:$AU$127,D$4,0)</f>
        <v>0</v>
      </c>
      <c r="E25" s="233">
        <f>INDEX(M_Singlefund!$AU$119:$AU$127,E$4,0)</f>
        <v>0</v>
      </c>
      <c r="F25" s="233">
        <f>INDEX(M_Singlefund!$AU$119:$AU$127,F$4,0)</f>
        <v>0</v>
      </c>
      <c r="G25" s="233">
        <f>INDEX(M_Singlefund!$AU$119:$AU$127,G$4,0)</f>
        <v>0</v>
      </c>
      <c r="H25" s="233">
        <f>INDEX(M_Singlefund!$AU$119:$AU$127,H$4,0)</f>
        <v>0</v>
      </c>
      <c r="I25" s="233">
        <f>INDEX(M_Singlefund!$AU$119:$AU$127,I$4,0)</f>
        <v>0</v>
      </c>
      <c r="J25" s="233">
        <f>INDEX(M_Singlefund!$AU$119:$AU$127,J$4,0)</f>
        <v>0</v>
      </c>
      <c r="K25" s="233">
        <f>INDEX(M_Singlefund!$AU$119:$AU$127,K$4,0)</f>
        <v>0</v>
      </c>
      <c r="L25" s="262">
        <f t="shared" si="5"/>
        <v>0</v>
      </c>
      <c r="M25" s="256"/>
      <c r="N25" s="258">
        <f>IF(L24+L25&gt;0,L25/SUM(L24:L25),0)</f>
        <v>0</v>
      </c>
    </row>
    <row r="26" spans="2:16" ht="18" customHeight="1">
      <c r="B26" s="304" t="str">
        <f>TEXT(c_invsplit3_hnw,"0.000%")&amp;" Equity CF after "&amp;TEXT(i_hurdle2_hnw,"0.000%")</f>
        <v>100.000% Equity CF after 10.000%</v>
      </c>
      <c r="C26" s="233">
        <f>INDEX(M_Singlefund!$AX$119:$AX$127,C$4,0)</f>
        <v>0</v>
      </c>
      <c r="D26" s="233">
        <f>INDEX(M_Singlefund!$AX$119:$AX$127,D$4,0)</f>
        <v>0</v>
      </c>
      <c r="E26" s="233">
        <f>INDEX(M_Singlefund!$AX$119:$AX$127,E$4,0)</f>
        <v>0</v>
      </c>
      <c r="F26" s="233">
        <f>INDEX(M_Singlefund!$AX$119:$AX$127,F$4,0)</f>
        <v>30736.269887404535</v>
      </c>
      <c r="G26" s="233">
        <f>INDEX(M_Singlefund!$AX$119:$AX$127,G$4,0)</f>
        <v>8850.2758580123791</v>
      </c>
      <c r="H26" s="233">
        <f>INDEX(M_Singlefund!$AX$119:$AX$127,H$4,0)</f>
        <v>1.1537250707126683E-12</v>
      </c>
      <c r="I26" s="233">
        <f>INDEX(M_Singlefund!$AX$119:$AX$127,I$4,0)</f>
        <v>0</v>
      </c>
      <c r="J26" s="233">
        <f>INDEX(M_Singlefund!$AX$119:$AX$127,J$4,0)</f>
        <v>0</v>
      </c>
      <c r="K26" s="233">
        <f>INDEX(M_Singlefund!$AX$119:$AX$127,K$4,0)</f>
        <v>0</v>
      </c>
      <c r="L26" s="262">
        <f t="shared" si="5"/>
        <v>39586.545745416915</v>
      </c>
      <c r="M26" s="256"/>
      <c r="N26" s="103" t="s">
        <v>69</v>
      </c>
    </row>
    <row r="27" spans="2:16" ht="18" customHeight="1" thickBot="1">
      <c r="B27" s="305" t="str">
        <f>"Promote CF after "&amp;TEXT(i_hurdle2_hnw,"0.000%")</f>
        <v>Promote CF after 10.000%</v>
      </c>
      <c r="C27" s="236">
        <f>INDEX(M_Singlefund!$AY$119:$AY$127,C$4,0)</f>
        <v>0</v>
      </c>
      <c r="D27" s="236">
        <f>INDEX(M_Singlefund!$AY$119:$AY$127,D$4,0)</f>
        <v>0</v>
      </c>
      <c r="E27" s="236">
        <f>INDEX(M_Singlefund!$AY$119:$AY$127,E$4,0)</f>
        <v>0</v>
      </c>
      <c r="F27" s="236">
        <f>INDEX(M_Singlefund!$AY$119:$AY$127,F$4,0)</f>
        <v>0</v>
      </c>
      <c r="G27" s="236">
        <f>INDEX(M_Singlefund!$AY$119:$AY$127,G$4,0)</f>
        <v>0</v>
      </c>
      <c r="H27" s="236">
        <f>INDEX(M_Singlefund!$AY$119:$AY$127,H$4,0)</f>
        <v>0</v>
      </c>
      <c r="I27" s="236">
        <f>INDEX(M_Singlefund!$AY$119:$AY$127,I$4,0)</f>
        <v>0</v>
      </c>
      <c r="J27" s="236">
        <f>INDEX(M_Singlefund!$AY$119:$AY$127,J$4,0)</f>
        <v>0</v>
      </c>
      <c r="K27" s="236">
        <f>INDEX(M_Singlefund!$AY$119:$AY$127,K$4,0)</f>
        <v>0</v>
      </c>
      <c r="L27" s="262">
        <f t="shared" si="5"/>
        <v>0</v>
      </c>
      <c r="M27" s="256"/>
      <c r="N27" s="258">
        <f>IF(L26+L27&gt;0,L27/SUM(L26:L27),0)</f>
        <v>0</v>
      </c>
    </row>
    <row r="28" spans="2:16" ht="18" customHeight="1" thickBot="1">
      <c r="B28" s="247" t="s">
        <v>296</v>
      </c>
      <c r="C28" s="241">
        <f>SUM(C22:C27)</f>
        <v>-732060.40176596912</v>
      </c>
      <c r="D28" s="241">
        <f t="shared" ref="D28:K28" si="6">SUM(D22:D27)</f>
        <v>-770458.09099677182</v>
      </c>
      <c r="E28" s="241">
        <f t="shared" si="6"/>
        <v>1037949.1843615586</v>
      </c>
      <c r="F28" s="241">
        <f t="shared" si="6"/>
        <v>816262.91901436879</v>
      </c>
      <c r="G28" s="241">
        <f t="shared" si="6"/>
        <v>8850.2758580123791</v>
      </c>
      <c r="H28" s="241">
        <f t="shared" si="6"/>
        <v>1.1537250707126683E-12</v>
      </c>
      <c r="I28" s="241">
        <f t="shared" si="6"/>
        <v>0</v>
      </c>
      <c r="J28" s="241">
        <f t="shared" si="6"/>
        <v>0</v>
      </c>
      <c r="K28" s="241">
        <f t="shared" si="6"/>
        <v>0</v>
      </c>
      <c r="L28" s="269">
        <f t="shared" si="5"/>
        <v>360543.88647119887</v>
      </c>
      <c r="M28" s="256"/>
      <c r="N28" s="257"/>
    </row>
    <row r="29" spans="2:16" ht="18" customHeight="1">
      <c r="B29" s="204" t="s">
        <v>185</v>
      </c>
      <c r="C29" s="233">
        <f>INDEX(M_Singlefund!$BB$119:$BB$127,C$4,0)</f>
        <v>-732060.40176596912</v>
      </c>
      <c r="D29" s="233">
        <f>INDEX(M_Singlefund!$BB$119:$BB$127,D$4,0)</f>
        <v>-770458.09099677182</v>
      </c>
      <c r="E29" s="233">
        <f>INDEX(M_Singlefund!$BB$119:$BB$127,E$4,0)</f>
        <v>1037949.1843615586</v>
      </c>
      <c r="F29" s="233">
        <f>INDEX(M_Singlefund!$BB$119:$BB$127,F$4,0)</f>
        <v>816262.91901436879</v>
      </c>
      <c r="G29" s="233">
        <f>INDEX(M_Singlefund!$BB$119:$BB$127,G$4,0)</f>
        <v>8850.2758580123791</v>
      </c>
      <c r="H29" s="233">
        <f>INDEX(M_Singlefund!$BB$119:$BB$127,H$4,0)</f>
        <v>1.1537250707126683E-12</v>
      </c>
      <c r="I29" s="233">
        <f>INDEX(M_Singlefund!$BB$119:$BB$127,I$4,0)</f>
        <v>0</v>
      </c>
      <c r="J29" s="233">
        <f>INDEX(M_Singlefund!$BB$119:$BB$127,J$4,0)</f>
        <v>0</v>
      </c>
      <c r="K29" s="233">
        <f>INDEX(M_Singlefund!$BB$119:$BB$127,K$4,0)</f>
        <v>0</v>
      </c>
      <c r="L29" s="262">
        <f t="shared" si="5"/>
        <v>360543.88647119887</v>
      </c>
      <c r="M29" s="256"/>
      <c r="N29" s="103" t="s">
        <v>69</v>
      </c>
    </row>
    <row r="30" spans="2:16" ht="18" customHeight="1" thickBot="1">
      <c r="B30" s="204" t="s">
        <v>172</v>
      </c>
      <c r="C30" s="233">
        <f>INDEX(M_Singlefund!$BF$119:$BF$127,C$4,0)</f>
        <v>0</v>
      </c>
      <c r="D30" s="233">
        <f>INDEX(M_Singlefund!$BF$119:$BF$127,D$4,0)</f>
        <v>0</v>
      </c>
      <c r="E30" s="233">
        <f>INDEX(M_Singlefund!$BF$119:$BF$127,E$4,0)</f>
        <v>0</v>
      </c>
      <c r="F30" s="233">
        <f>INDEX(M_Singlefund!$BF$119:$BF$127,F$4,0)</f>
        <v>0</v>
      </c>
      <c r="G30" s="233">
        <f>INDEX(M_Singlefund!$BF$119:$BF$127,G$4,0)</f>
        <v>0</v>
      </c>
      <c r="H30" s="233">
        <f>INDEX(M_Singlefund!$BF$119:$BF$127,H$4,0)</f>
        <v>0</v>
      </c>
      <c r="I30" s="233">
        <f>INDEX(M_Singlefund!$BF$119:$BF$127,I$4,0)</f>
        <v>0</v>
      </c>
      <c r="J30" s="233">
        <f>INDEX(M_Singlefund!$BF$119:$BF$127,J$4,0)</f>
        <v>0</v>
      </c>
      <c r="K30" s="233">
        <f>INDEX(M_Singlefund!$BF$119:$BF$127,K$4,0)</f>
        <v>0</v>
      </c>
      <c r="L30" s="262">
        <f t="shared" si="5"/>
        <v>0</v>
      </c>
      <c r="M30" s="256"/>
      <c r="N30" s="258">
        <f>IF(L29+L30&gt;0,L30/SUM(L29:L30),0)</f>
        <v>0</v>
      </c>
    </row>
    <row r="31" spans="2:16" ht="18" customHeight="1" thickBot="1">
      <c r="B31" s="204"/>
      <c r="C31" s="248" t="str">
        <f>IF(ABS(C28-C29-C30)&gt;1,"ERROR","")</f>
        <v/>
      </c>
      <c r="D31" s="248" t="str">
        <f t="shared" ref="D31:K31" si="7">IF(ABS(D28-D29-D30)&gt;1,"ERROR","")</f>
        <v/>
      </c>
      <c r="E31" s="248" t="str">
        <f t="shared" si="7"/>
        <v/>
      </c>
      <c r="F31" s="248" t="str">
        <f t="shared" si="7"/>
        <v/>
      </c>
      <c r="G31" s="248" t="str">
        <f t="shared" si="7"/>
        <v/>
      </c>
      <c r="H31" s="248" t="str">
        <f t="shared" si="7"/>
        <v/>
      </c>
      <c r="I31" s="248" t="str">
        <f t="shared" si="7"/>
        <v/>
      </c>
      <c r="J31" s="248" t="str">
        <f t="shared" si="7"/>
        <v/>
      </c>
      <c r="K31" s="248" t="str">
        <f t="shared" si="7"/>
        <v/>
      </c>
      <c r="L31" s="234"/>
      <c r="M31" s="256"/>
      <c r="N31" s="259"/>
    </row>
    <row r="32" spans="2:16" ht="18" customHeight="1">
      <c r="B32" s="231" t="s">
        <v>185</v>
      </c>
      <c r="C32" s="248">
        <f>INDEX(M_Singlefund!$BC$119:$BC$127,C$4,0)</f>
        <v>-36603020.088298462</v>
      </c>
      <c r="D32" s="248">
        <f>INDEX(M_Singlefund!$BC$119:$BC$127,D$4,0)</f>
        <v>-38522904.549838588</v>
      </c>
      <c r="E32" s="248">
        <f>INDEX(M_Singlefund!$BC$119:$BC$127,E$4,0)</f>
        <v>51897459.218077935</v>
      </c>
      <c r="F32" s="248">
        <f>INDEX(M_Singlefund!$BC$119:$BC$127,F$4,0)</f>
        <v>40060107.338477023</v>
      </c>
      <c r="G32" s="248">
        <f>INDEX(M_Singlefund!$BC$119:$BC$127,G$4,0)</f>
        <v>225682.03437931568</v>
      </c>
      <c r="H32" s="248">
        <f>INDEX(M_Singlefund!$BC$119:$BC$127,H$4,0)</f>
        <v>2.9419989303173036E-11</v>
      </c>
      <c r="I32" s="248">
        <f>INDEX(M_Singlefund!$BC$119:$BC$127,I$4,0)</f>
        <v>0</v>
      </c>
      <c r="J32" s="248">
        <f>INDEX(M_Singlefund!$BC$119:$BC$127,J$4,0)</f>
        <v>0</v>
      </c>
      <c r="K32" s="248">
        <f>INDEX(M_Singlefund!$BC$119:$BC$127,K$4,0)</f>
        <v>0</v>
      </c>
      <c r="L32" s="234">
        <f>SUM(C32:K32)</f>
        <v>17057323.95279723</v>
      </c>
      <c r="M32" s="256"/>
      <c r="N32" s="103" t="s">
        <v>69</v>
      </c>
      <c r="P32" s="131"/>
    </row>
    <row r="33" spans="1:14" ht="18" customHeight="1" thickBot="1">
      <c r="B33" s="231" t="s">
        <v>172</v>
      </c>
      <c r="C33" s="248">
        <f>INDEX(M_Singlefund!$BG$119:$BG$127,C$4,0)</f>
        <v>0</v>
      </c>
      <c r="D33" s="248">
        <f>INDEX(M_Singlefund!$BG$119:$BG$127,D$4,0)</f>
        <v>0</v>
      </c>
      <c r="E33" s="248">
        <f>INDEX(M_Singlefund!$BG$119:$BG$127,E$4,0)</f>
        <v>0</v>
      </c>
      <c r="F33" s="248">
        <f>INDEX(M_Singlefund!$BG$119:$BG$127,F$4,0)</f>
        <v>753038.61224141822</v>
      </c>
      <c r="G33" s="248">
        <f>INDEX(M_Singlefund!$BG$119:$BG$127,G$4,0)</f>
        <v>216831.7585213033</v>
      </c>
      <c r="H33" s="248">
        <f>INDEX(M_Singlefund!$BG$119:$BG$127,H$4,0)</f>
        <v>2.8266264232460365E-11</v>
      </c>
      <c r="I33" s="248">
        <f>INDEX(M_Singlefund!$BG$119:$BG$127,I$4,0)</f>
        <v>0</v>
      </c>
      <c r="J33" s="248">
        <f>INDEX(M_Singlefund!$BG$119:$BG$127,J$4,0)</f>
        <v>0</v>
      </c>
      <c r="K33" s="248">
        <f>INDEX(M_Singlefund!$BG$119:$BG$127,K$4,0)</f>
        <v>0</v>
      </c>
      <c r="L33" s="234">
        <f>SUM(C33:K33)</f>
        <v>969870.37076272152</v>
      </c>
      <c r="M33" s="256"/>
      <c r="N33" s="258">
        <f>IF(L32+L33&gt;0,L33/SUM(L32:L33),0)</f>
        <v>5.3800405839925215E-2</v>
      </c>
    </row>
    <row r="34" spans="1:14" ht="18" customHeight="1" thickBot="1">
      <c r="B34" s="231"/>
      <c r="C34" s="248"/>
      <c r="D34" s="248"/>
      <c r="E34" s="248"/>
      <c r="F34" s="248"/>
      <c r="G34" s="248"/>
      <c r="H34" s="248"/>
      <c r="I34" s="248"/>
      <c r="J34" s="248"/>
      <c r="K34" s="248"/>
      <c r="L34" s="263"/>
      <c r="M34" s="256"/>
    </row>
    <row r="35" spans="1:14" ht="18" customHeight="1">
      <c r="B35" s="249"/>
      <c r="C35" s="260"/>
      <c r="D35" s="260"/>
      <c r="E35" s="260"/>
      <c r="F35" s="260"/>
      <c r="G35" s="260"/>
      <c r="H35" s="260"/>
      <c r="I35" s="260"/>
      <c r="J35" s="260"/>
      <c r="K35" s="260"/>
      <c r="L35" s="264"/>
      <c r="M35" s="256"/>
    </row>
    <row r="36" spans="1:14" ht="18" customHeight="1">
      <c r="B36" s="238" t="s">
        <v>66</v>
      </c>
      <c r="C36" s="233"/>
      <c r="D36" s="233"/>
      <c r="E36" s="233"/>
      <c r="F36" s="233"/>
      <c r="G36" s="233"/>
      <c r="H36" s="233"/>
      <c r="I36" s="233"/>
      <c r="J36" s="233"/>
      <c r="K36" s="233"/>
      <c r="L36" s="265"/>
      <c r="M36" s="256"/>
    </row>
    <row r="37" spans="1:14" ht="18" customHeight="1">
      <c r="B37" s="204" t="s">
        <v>168</v>
      </c>
      <c r="C37" s="233">
        <f t="shared" ref="C37" si="8">C41+C45</f>
        <v>174519.28106492438</v>
      </c>
      <c r="D37" s="233">
        <f t="shared" ref="D37:K37" si="9">D41+D45</f>
        <v>643795.28015715641</v>
      </c>
      <c r="E37" s="233">
        <f t="shared" si="9"/>
        <v>555877.47395648691</v>
      </c>
      <c r="F37" s="233">
        <f t="shared" si="9"/>
        <v>125668.02496532512</v>
      </c>
      <c r="G37" s="233">
        <f t="shared" si="9"/>
        <v>139.9398561066547</v>
      </c>
      <c r="H37" s="233">
        <f t="shared" si="9"/>
        <v>-5.7686253535633411E-11</v>
      </c>
      <c r="I37" s="233">
        <f t="shared" si="9"/>
        <v>0</v>
      </c>
      <c r="J37" s="233">
        <f t="shared" si="9"/>
        <v>0</v>
      </c>
      <c r="K37" s="233">
        <f t="shared" si="9"/>
        <v>0</v>
      </c>
      <c r="L37" s="265">
        <f>SUM(C37:K37)</f>
        <v>1499999.9999999995</v>
      </c>
      <c r="M37" s="256"/>
    </row>
    <row r="38" spans="1:14" ht="18" customHeight="1">
      <c r="B38" s="205" t="s">
        <v>65</v>
      </c>
      <c r="C38" s="236">
        <f t="shared" ref="C38" si="10">C42+C46</f>
        <v>0</v>
      </c>
      <c r="D38" s="236">
        <f t="shared" ref="D38:K38" si="11">D42+D46</f>
        <v>0</v>
      </c>
      <c r="E38" s="236">
        <f t="shared" si="11"/>
        <v>0</v>
      </c>
      <c r="F38" s="236">
        <f t="shared" si="11"/>
        <v>753038.61224141822</v>
      </c>
      <c r="G38" s="236">
        <f t="shared" si="11"/>
        <v>216831.7585213033</v>
      </c>
      <c r="H38" s="236">
        <f t="shared" si="11"/>
        <v>2.8266264232460365E-11</v>
      </c>
      <c r="I38" s="236">
        <f t="shared" si="11"/>
        <v>0</v>
      </c>
      <c r="J38" s="236">
        <f t="shared" si="11"/>
        <v>0</v>
      </c>
      <c r="K38" s="236">
        <f t="shared" si="11"/>
        <v>0</v>
      </c>
      <c r="L38" s="266">
        <f>SUM(C38:K38)</f>
        <v>969870.37076272152</v>
      </c>
      <c r="M38" s="256"/>
    </row>
    <row r="39" spans="1:14" ht="18" customHeight="1">
      <c r="B39" s="204"/>
      <c r="C39" s="233"/>
      <c r="D39" s="233"/>
      <c r="E39" s="233"/>
      <c r="F39" s="233"/>
      <c r="G39" s="233"/>
      <c r="H39" s="233"/>
      <c r="I39" s="233"/>
      <c r="J39" s="233"/>
      <c r="K39" s="233"/>
      <c r="L39" s="265"/>
      <c r="M39" s="256"/>
    </row>
    <row r="40" spans="1:14" ht="18" customHeight="1">
      <c r="B40" s="238" t="str">
        <f>i_gpnamea</f>
        <v>Crescent</v>
      </c>
      <c r="C40" s="233"/>
      <c r="D40" s="233"/>
      <c r="E40" s="233"/>
      <c r="F40" s="233"/>
      <c r="G40" s="233"/>
      <c r="H40" s="233"/>
      <c r="I40" s="233"/>
      <c r="J40" s="233"/>
      <c r="K40" s="233"/>
      <c r="L40" s="265"/>
      <c r="M40" s="256"/>
    </row>
    <row r="41" spans="1:14" ht="18" customHeight="1">
      <c r="B41" s="204" t="s">
        <v>168</v>
      </c>
      <c r="C41" s="233">
        <f>INDEX(M_Singlefund!$BH$119:$BH$127,C$4,0)</f>
        <v>87259.640532462188</v>
      </c>
      <c r="D41" s="233">
        <f>INDEX(M_Singlefund!$BH$119:$BH$127,D$4,0)</f>
        <v>321897.6400785782</v>
      </c>
      <c r="E41" s="233">
        <f>INDEX(M_Singlefund!$BH$119:$BH$127,E$4,0)</f>
        <v>277938.73697824345</v>
      </c>
      <c r="F41" s="233">
        <f>INDEX(M_Singlefund!$BH$119:$BH$127,F$4,0)</f>
        <v>62834.012482662562</v>
      </c>
      <c r="G41" s="233">
        <f>INDEX(M_Singlefund!$BH$119:$BH$127,G$4,0)</f>
        <v>69.969928053327351</v>
      </c>
      <c r="H41" s="233">
        <f>INDEX(M_Singlefund!$BH$119:$BH$127,H$4,0)</f>
        <v>-2.8843126767816706E-11</v>
      </c>
      <c r="I41" s="233">
        <f>INDEX(M_Singlefund!$BH$119:$BH$127,I$4,0)</f>
        <v>0</v>
      </c>
      <c r="J41" s="233">
        <f>INDEX(M_Singlefund!$BH$119:$BH$127,J$4,0)</f>
        <v>0</v>
      </c>
      <c r="K41" s="233">
        <f>INDEX(M_Singlefund!$BH$119:$BH$127,K$4,0)</f>
        <v>0</v>
      </c>
      <c r="L41" s="265">
        <f>SUM(C41:K41)</f>
        <v>749999.99999999977</v>
      </c>
      <c r="M41" s="256"/>
    </row>
    <row r="42" spans="1:14" ht="18" customHeight="1">
      <c r="B42" s="205" t="s">
        <v>65</v>
      </c>
      <c r="C42" s="236">
        <f>INDEX(M_Singlefund!$BI$119:$BI$127,C$4,0)</f>
        <v>0</v>
      </c>
      <c r="D42" s="236">
        <f>INDEX(M_Singlefund!$BI$119:$BI$127,D$4,0)</f>
        <v>0</v>
      </c>
      <c r="E42" s="236">
        <f>INDEX(M_Singlefund!$BI$119:$BI$127,E$4,0)</f>
        <v>0</v>
      </c>
      <c r="F42" s="236">
        <f>INDEX(M_Singlefund!$BI$119:$BI$127,F$4,0)</f>
        <v>753038.61224141822</v>
      </c>
      <c r="G42" s="236">
        <f>INDEX(M_Singlefund!$BI$119:$BI$127,G$4,0)</f>
        <v>216831.7585213033</v>
      </c>
      <c r="H42" s="236">
        <f>INDEX(M_Singlefund!$BI$119:$BI$127,H$4,0)</f>
        <v>2.8266264232460365E-11</v>
      </c>
      <c r="I42" s="236">
        <f>INDEX(M_Singlefund!$BI$119:$BI$127,I$4,0)</f>
        <v>0</v>
      </c>
      <c r="J42" s="236">
        <f>INDEX(M_Singlefund!$BI$119:$BI$127,J$4,0)</f>
        <v>0</v>
      </c>
      <c r="K42" s="236">
        <f>INDEX(M_Singlefund!$BI$119:$BI$127,K$4,0)</f>
        <v>0</v>
      </c>
      <c r="L42" s="266">
        <f>SUM(C42:K42)</f>
        <v>969870.37076272152</v>
      </c>
      <c r="M42" s="256"/>
    </row>
    <row r="43" spans="1:14" ht="18" customHeight="1">
      <c r="B43" s="204"/>
      <c r="C43" s="233"/>
      <c r="D43" s="233"/>
      <c r="E43" s="233"/>
      <c r="F43" s="233"/>
      <c r="G43" s="233"/>
      <c r="H43" s="233"/>
      <c r="I43" s="233"/>
      <c r="J43" s="233"/>
      <c r="K43" s="233"/>
      <c r="L43" s="265"/>
      <c r="M43" s="256"/>
    </row>
    <row r="44" spans="1:14" ht="18" customHeight="1">
      <c r="B44" s="238" t="str">
        <f>i_gpnameb</f>
        <v>LAO</v>
      </c>
      <c r="C44" s="233"/>
      <c r="D44" s="233"/>
      <c r="E44" s="233"/>
      <c r="F44" s="233"/>
      <c r="G44" s="233"/>
      <c r="H44" s="233"/>
      <c r="I44" s="233"/>
      <c r="J44" s="233"/>
      <c r="K44" s="233"/>
      <c r="L44" s="265"/>
      <c r="M44" s="256"/>
    </row>
    <row r="45" spans="1:14" ht="18" customHeight="1">
      <c r="B45" s="204" t="s">
        <v>168</v>
      </c>
      <c r="C45" s="233">
        <f>INDEX(M_Singlefund!$BJ$119:$BJ$127,C$4,0)</f>
        <v>87259.640532462188</v>
      </c>
      <c r="D45" s="233">
        <f>INDEX(M_Singlefund!$BJ$119:$BJ$127,D$4,0)</f>
        <v>321897.6400785782</v>
      </c>
      <c r="E45" s="233">
        <f>INDEX(M_Singlefund!$BJ$119:$BJ$127,E$4,0)</f>
        <v>277938.73697824345</v>
      </c>
      <c r="F45" s="233">
        <f>INDEX(M_Singlefund!$BJ$119:$BJ$127,F$4,0)</f>
        <v>62834.012482662562</v>
      </c>
      <c r="G45" s="233">
        <f>INDEX(M_Singlefund!$BJ$119:$BJ$127,G$4,0)</f>
        <v>69.969928053327351</v>
      </c>
      <c r="H45" s="233">
        <f>INDEX(M_Singlefund!$BJ$119:$BJ$127,H$4,0)</f>
        <v>-2.8843126767816706E-11</v>
      </c>
      <c r="I45" s="233">
        <f>INDEX(M_Singlefund!$BJ$119:$BJ$127,I$4,0)</f>
        <v>0</v>
      </c>
      <c r="J45" s="233">
        <f>INDEX(M_Singlefund!$BJ$119:$BJ$127,J$4,0)</f>
        <v>0</v>
      </c>
      <c r="K45" s="233">
        <f>INDEX(M_Singlefund!$BJ$119:$BJ$127,K$4,0)</f>
        <v>0</v>
      </c>
      <c r="L45" s="265">
        <f>SUM(C45:K45)</f>
        <v>749999.99999999977</v>
      </c>
      <c r="M45" s="256"/>
    </row>
    <row r="46" spans="1:14" ht="18" customHeight="1">
      <c r="B46" s="205" t="s">
        <v>65</v>
      </c>
      <c r="C46" s="236">
        <f>INDEX(M_Singlefund!$BK$119:$BK$127,C$4,0)</f>
        <v>0</v>
      </c>
      <c r="D46" s="236">
        <f>INDEX(M_Singlefund!$BK$119:$BK$127,D$4,0)</f>
        <v>0</v>
      </c>
      <c r="E46" s="236">
        <f>INDEX(M_Singlefund!$BK$119:$BK$127,E$4,0)</f>
        <v>0</v>
      </c>
      <c r="F46" s="236">
        <f>INDEX(M_Singlefund!$BK$119:$BK$127,F$4,0)</f>
        <v>0</v>
      </c>
      <c r="G46" s="236">
        <f>INDEX(M_Singlefund!$BK$119:$BK$127,G$4,0)</f>
        <v>0</v>
      </c>
      <c r="H46" s="236">
        <f>INDEX(M_Singlefund!$BK$119:$BK$127,H$4,0)</f>
        <v>0</v>
      </c>
      <c r="I46" s="236">
        <f>INDEX(M_Singlefund!$BK$119:$BK$127,I$4,0)</f>
        <v>0</v>
      </c>
      <c r="J46" s="236">
        <f>INDEX(M_Singlefund!$BK$119:$BK$127,J$4,0)</f>
        <v>0</v>
      </c>
      <c r="K46" s="236">
        <f>INDEX(M_Singlefund!$BK$119:$BK$127,K$4,0)</f>
        <v>0</v>
      </c>
      <c r="L46" s="266">
        <f>SUM(C46:K46)</f>
        <v>0</v>
      </c>
      <c r="M46" s="256"/>
    </row>
    <row r="47" spans="1:14" ht="18" customHeight="1" thickBot="1">
      <c r="A47" s="101" t="s">
        <v>186</v>
      </c>
      <c r="B47" s="270"/>
      <c r="C47" s="267"/>
      <c r="D47" s="267"/>
      <c r="E47" s="267"/>
      <c r="F47" s="267"/>
      <c r="G47" s="267"/>
      <c r="H47" s="267"/>
      <c r="I47" s="267"/>
      <c r="J47" s="267"/>
      <c r="K47" s="267"/>
      <c r="L47" s="271"/>
      <c r="M47" s="256"/>
    </row>
  </sheetData>
  <phoneticPr fontId="4" type="noConversion"/>
  <printOptions horizontalCentered="1"/>
  <pageMargins left="0.25" right="0.25" top="0.25" bottom="0.25" header="0.25" footer="0.25"/>
  <pageSetup scale="65" orientation="landscape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</sheetPr>
  <dimension ref="A2:BJ290"/>
  <sheetViews>
    <sheetView zoomScale="75" workbookViewId="0">
      <pane ySplit="8" topLeftCell="A9" activePane="bottomLeft" state="frozen"/>
      <selection activeCell="B12" sqref="B12"/>
      <selection pane="bottomLeft" activeCell="L13" sqref="L13"/>
    </sheetView>
  </sheetViews>
  <sheetFormatPr baseColWidth="10" defaultColWidth="8.83203125" defaultRowHeight="13"/>
  <cols>
    <col min="1" max="1" width="8.83203125" customWidth="1"/>
    <col min="2" max="2" width="10.6640625" customWidth="1"/>
    <col min="3" max="5" width="8.83203125" customWidth="1"/>
    <col min="6" max="6" width="4.6640625" customWidth="1"/>
    <col min="7" max="7" width="7.6640625" customWidth="1"/>
    <col min="8" max="8" width="10.5" customWidth="1"/>
    <col min="9" max="10" width="9.6640625" customWidth="1"/>
    <col min="11" max="11" width="5.6640625" customWidth="1"/>
    <col min="12" max="15" width="12.6640625" customWidth="1"/>
    <col min="16" max="22" width="14.6640625" customWidth="1"/>
    <col min="23" max="23" width="12.6640625" customWidth="1"/>
    <col min="24" max="24" width="14.6640625" customWidth="1"/>
    <col min="25" max="25" width="12.6640625" customWidth="1"/>
    <col min="26" max="26" width="14.6640625" customWidth="1"/>
    <col min="27" max="28" width="13.6640625" customWidth="1"/>
    <col min="29" max="31" width="12.6640625" customWidth="1"/>
    <col min="32" max="32" width="14.6640625" customWidth="1"/>
    <col min="33" max="47" width="12.6640625" customWidth="1"/>
    <col min="48" max="48" width="13.6640625" customWidth="1"/>
    <col min="49" max="52" width="12.6640625" customWidth="1"/>
    <col min="53" max="54" width="14.6640625" customWidth="1"/>
    <col min="55" max="56" width="12.6640625" customWidth="1"/>
    <col min="57" max="57" width="14.6640625" customWidth="1"/>
    <col min="58" max="62" width="12.6640625" customWidth="1"/>
  </cols>
  <sheetData>
    <row r="2" spans="1:62" ht="15" customHeight="1">
      <c r="AU2" s="3" t="s">
        <v>230</v>
      </c>
      <c r="AV2" s="66">
        <f>AV118+AV9</f>
        <v>27588284.060194161</v>
      </c>
      <c r="BB2" s="66">
        <f>BB118+BB9</f>
        <v>25393200.897464842</v>
      </c>
      <c r="BE2" s="66">
        <f>BE118+BE9</f>
        <v>19527194.323559951</v>
      </c>
      <c r="BF2" s="135"/>
      <c r="BH2" s="120"/>
      <c r="BI2" s="120"/>
      <c r="BJ2" s="120"/>
    </row>
    <row r="3" spans="1:62" ht="15" customHeight="1">
      <c r="H3" s="119"/>
      <c r="AU3" s="3" t="s">
        <v>292</v>
      </c>
      <c r="AV3" s="67">
        <f>12*IRR(AV9:AV117,0.01)</f>
        <v>0.10483495869491133</v>
      </c>
      <c r="BB3" s="67">
        <f>12*IRR(BB9:BB117,0.01)</f>
        <v>0.1458328464689993</v>
      </c>
      <c r="BE3" s="67">
        <f>12*IRR(BE9:BE117,0.01)</f>
        <v>0.11408817285640893</v>
      </c>
      <c r="BF3" s="14"/>
      <c r="BH3" s="120"/>
      <c r="BI3" s="120"/>
      <c r="BJ3" s="120"/>
    </row>
    <row r="4" spans="1:62" ht="15" customHeight="1">
      <c r="H4" s="119"/>
      <c r="AU4" s="3" t="s">
        <v>293</v>
      </c>
      <c r="AV4" s="67">
        <f>4*(((1+AV3/12)^3)-1)</f>
        <v>0.10575348981333477</v>
      </c>
      <c r="BB4" s="67">
        <f>4*(((1+BB3/12)^3)-1)</f>
        <v>0.14761229403157472</v>
      </c>
      <c r="BE4" s="67">
        <f>4*(((1+BE3/12)^3)-1)</f>
        <v>0.11517628625230802</v>
      </c>
      <c r="BH4" s="120"/>
      <c r="BI4" s="120"/>
      <c r="BJ4" s="120"/>
    </row>
    <row r="5" spans="1:62" ht="15" customHeight="1">
      <c r="H5" s="119"/>
      <c r="AU5" s="3" t="s">
        <v>294</v>
      </c>
      <c r="AV5" s="67">
        <f>((((AV4/4)+1)^2)-1)*2</f>
        <v>0.10715146488929728</v>
      </c>
      <c r="BB5" s="67">
        <f>((((BB4/4)+1)^2)-1)*2</f>
        <v>0.15033596770023294</v>
      </c>
      <c r="BE5" s="67">
        <f>((((BE4/4)+1)^2)-1)*2</f>
        <v>0.11683448336666702</v>
      </c>
      <c r="BH5" s="120"/>
      <c r="BI5" s="120"/>
      <c r="BJ5" s="120"/>
    </row>
    <row r="6" spans="1:62" ht="15" customHeight="1" thickBot="1"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L6" s="120"/>
      <c r="AM6" s="120"/>
      <c r="AN6" s="120"/>
      <c r="AO6" s="120"/>
      <c r="AP6" s="120"/>
      <c r="AQ6" s="120"/>
      <c r="AR6" s="120"/>
      <c r="AS6" s="120"/>
      <c r="AT6" s="120"/>
      <c r="AU6" s="3" t="s">
        <v>295</v>
      </c>
      <c r="AV6" s="67">
        <f>1*(((1+AV3/12)^12)-1)</f>
        <v>0.1100218239962778</v>
      </c>
      <c r="AW6" s="120"/>
      <c r="AX6" s="120"/>
      <c r="AY6" s="120"/>
      <c r="AZ6" s="120"/>
      <c r="BA6" s="120"/>
      <c r="BB6" s="67">
        <f>1*(((1+BB3/12)^12)-1)</f>
        <v>0.15598619349632381</v>
      </c>
      <c r="BC6" s="120"/>
      <c r="BD6" s="120"/>
      <c r="BE6" s="67">
        <f>1*(((1+BE3/12)^12)-1)</f>
        <v>0.12024705749255626</v>
      </c>
      <c r="BF6" s="120"/>
      <c r="BG6" s="120"/>
      <c r="BH6" s="120"/>
      <c r="BI6" s="120"/>
      <c r="BJ6" s="120"/>
    </row>
    <row r="7" spans="1:62" ht="30" customHeight="1" thickBot="1">
      <c r="B7" s="121"/>
      <c r="C7" s="122"/>
      <c r="D7" s="122"/>
      <c r="E7" s="123"/>
      <c r="G7" s="9" t="s">
        <v>325</v>
      </c>
      <c r="H7" s="112"/>
      <c r="I7" s="112"/>
      <c r="J7" s="79"/>
      <c r="L7" s="133" t="s">
        <v>40</v>
      </c>
      <c r="M7" s="134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10"/>
      <c r="Y7" s="109"/>
      <c r="Z7" s="109"/>
      <c r="AA7" s="109"/>
      <c r="AB7" s="109"/>
      <c r="AC7" s="111"/>
      <c r="AD7" s="111"/>
      <c r="AE7" s="111"/>
      <c r="AF7" s="111"/>
      <c r="AG7" s="111"/>
      <c r="AH7" s="111"/>
      <c r="AI7" s="111"/>
      <c r="AJ7" s="111"/>
      <c r="AL7" s="121" t="s">
        <v>41</v>
      </c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</row>
    <row r="8" spans="1:62" ht="75" customHeight="1">
      <c r="B8" s="10" t="s">
        <v>103</v>
      </c>
      <c r="C8" s="10" t="s">
        <v>440</v>
      </c>
      <c r="D8" s="10" t="s">
        <v>104</v>
      </c>
      <c r="E8" s="10" t="s">
        <v>105</v>
      </c>
      <c r="G8" s="12" t="s">
        <v>257</v>
      </c>
      <c r="H8" s="12" t="s">
        <v>326</v>
      </c>
      <c r="I8" s="12" t="s">
        <v>106</v>
      </c>
      <c r="J8" s="153" t="s">
        <v>107</v>
      </c>
      <c r="K8" s="39"/>
      <c r="L8" s="107" t="s">
        <v>329</v>
      </c>
      <c r="M8" s="107" t="s">
        <v>224</v>
      </c>
      <c r="N8" s="107" t="s">
        <v>328</v>
      </c>
      <c r="O8" s="107" t="s">
        <v>467</v>
      </c>
      <c r="P8" s="107" t="s">
        <v>258</v>
      </c>
      <c r="Q8" s="107" t="s">
        <v>226</v>
      </c>
      <c r="R8" s="107" t="s">
        <v>227</v>
      </c>
      <c r="S8" s="107" t="s">
        <v>330</v>
      </c>
      <c r="T8" s="107" t="s">
        <v>340</v>
      </c>
      <c r="U8" s="107" t="s">
        <v>206</v>
      </c>
      <c r="V8" s="107" t="s">
        <v>207</v>
      </c>
      <c r="W8" s="108" t="s">
        <v>253</v>
      </c>
      <c r="X8" s="108" t="s">
        <v>243</v>
      </c>
      <c r="Y8" s="108" t="s">
        <v>261</v>
      </c>
      <c r="Z8" s="108" t="s">
        <v>244</v>
      </c>
      <c r="AA8" s="108" t="s">
        <v>259</v>
      </c>
      <c r="AB8" s="100" t="s">
        <v>444</v>
      </c>
      <c r="AC8" s="100" t="s">
        <v>420</v>
      </c>
      <c r="AD8" s="100" t="s">
        <v>420</v>
      </c>
      <c r="AE8" s="100" t="s">
        <v>443</v>
      </c>
      <c r="AF8" s="100" t="s">
        <v>117</v>
      </c>
      <c r="AG8" s="100" t="s">
        <v>118</v>
      </c>
      <c r="AH8" s="152" t="s">
        <v>57</v>
      </c>
      <c r="AI8" s="152" t="s">
        <v>352</v>
      </c>
      <c r="AJ8" s="152" t="s">
        <v>46</v>
      </c>
      <c r="AL8" s="107" t="s">
        <v>329</v>
      </c>
      <c r="AM8" s="107" t="s">
        <v>224</v>
      </c>
      <c r="AN8" s="107" t="s">
        <v>328</v>
      </c>
      <c r="AO8" s="107" t="s">
        <v>467</v>
      </c>
      <c r="AP8" s="107" t="s">
        <v>258</v>
      </c>
      <c r="AQ8" s="107" t="s">
        <v>226</v>
      </c>
      <c r="AR8" s="107" t="s">
        <v>227</v>
      </c>
      <c r="AS8" s="107" t="s">
        <v>330</v>
      </c>
      <c r="AT8" s="107" t="s">
        <v>340</v>
      </c>
      <c r="AU8" s="107" t="s">
        <v>206</v>
      </c>
      <c r="AV8" s="107" t="s">
        <v>207</v>
      </c>
      <c r="AW8" s="108" t="s">
        <v>253</v>
      </c>
      <c r="AX8" s="108" t="s">
        <v>243</v>
      </c>
      <c r="AY8" s="108" t="s">
        <v>261</v>
      </c>
      <c r="AZ8" s="108" t="s">
        <v>244</v>
      </c>
      <c r="BA8" s="108" t="s">
        <v>259</v>
      </c>
      <c r="BB8" s="100" t="s">
        <v>296</v>
      </c>
      <c r="BC8" s="100" t="s">
        <v>420</v>
      </c>
      <c r="BD8" s="100" t="s">
        <v>420</v>
      </c>
      <c r="BE8" s="100" t="s">
        <v>296</v>
      </c>
      <c r="BF8" s="100" t="s">
        <v>117</v>
      </c>
      <c r="BG8" s="100" t="s">
        <v>118</v>
      </c>
      <c r="BH8" s="152" t="s">
        <v>57</v>
      </c>
      <c r="BI8" s="152" t="s">
        <v>352</v>
      </c>
      <c r="BJ8" s="152" t="s">
        <v>46</v>
      </c>
    </row>
    <row r="9" spans="1:62" ht="15" customHeight="1" thickBot="1">
      <c r="B9" s="106">
        <v>0</v>
      </c>
      <c r="C9" s="106">
        <v>0</v>
      </c>
      <c r="D9" s="106">
        <v>0</v>
      </c>
      <c r="E9" s="114">
        <v>0</v>
      </c>
      <c r="G9" s="106">
        <v>0</v>
      </c>
      <c r="H9" s="106">
        <v>0</v>
      </c>
      <c r="I9" s="106">
        <v>0</v>
      </c>
      <c r="J9" s="106">
        <f t="shared" ref="J9:J40" si="0">$G9-c_offset+1</f>
        <v>0</v>
      </c>
      <c r="K9" s="14"/>
      <c r="L9" s="137">
        <f>IF($I9,c_lotfactor*INDEX(M_Onedeal!$E$8:$E$68,$J9),0)+AL9</f>
        <v>0</v>
      </c>
      <c r="M9" s="206">
        <v>0</v>
      </c>
      <c r="N9" s="137">
        <f>IF($I9,c_lotfactor*INDEX(M_Onedeal!$I$8:$I$68,$J9),0)+AN9</f>
        <v>0</v>
      </c>
      <c r="O9" s="137">
        <f>IF($I9,c_lotfactor*INDEX(M_Onedeal!$J$8:$J$68,$J9),0)+AO9</f>
        <v>0</v>
      </c>
      <c r="P9" s="206">
        <v>0</v>
      </c>
      <c r="Q9" s="137">
        <f>IF($I9,c_lotfactor*INDEX(M_Onedeal!$M$8:$M$68,$J9),0)+AQ9</f>
        <v>0</v>
      </c>
      <c r="R9" s="137">
        <f>IF($I9,c_lotfactor*INDEX(M_Onedeal!$N$8:$N$68,$J9),0)+AR9</f>
        <v>0</v>
      </c>
      <c r="S9" s="137">
        <f>IF($I9,c_lotfactor*INDEX(M_Onedeal!$O$8:$O$68,$J9),0)+AS9</f>
        <v>0</v>
      </c>
      <c r="T9" s="137">
        <f>IF($I9,c_lotfactor*INDEX(M_Onedeal!$P$8:$P$68,$J9),0)+AT9</f>
        <v>0</v>
      </c>
      <c r="U9" s="137">
        <f>IF($I9,c_lotfactor*INDEX(M_Onedeal!$Q$8:$Q$68,$J9),0)+AU9</f>
        <v>0</v>
      </c>
      <c r="V9" s="137">
        <f>IF($I9,c_lotfactor*INDEX(M_Onedeal!$R$8:$R$68,$J9),0)+AV9</f>
        <v>0</v>
      </c>
      <c r="W9" s="137">
        <f>IF($I9,c_lotfactor*INDEX(M_Onedeal!$Y$8:$Y$68,$J9),0)+AW9</f>
        <v>0</v>
      </c>
      <c r="X9" s="137">
        <f>IF($I9,c_lotfactor*INDEX(M_Onedeal!$AA$8:$AA$68,$J9),0)+AX9</f>
        <v>0</v>
      </c>
      <c r="Y9" s="137">
        <f>IF($I9,c_lotfactor*INDEX(M_Onedeal!$AD$8:$AD$68,$J9),0)+AY9</f>
        <v>0</v>
      </c>
      <c r="Z9" s="137">
        <f>IF($I9,c_lotfactor*INDEX(M_Onedeal!$AF$8:$AF$68,$J9),0)+AZ9</f>
        <v>0</v>
      </c>
      <c r="AA9" s="137">
        <f>IF($I9,c_lotfactor*INDEX(M_Onedeal!$AG$8:$AG$68,$J9),0)+BA9</f>
        <v>0</v>
      </c>
      <c r="AB9" s="137">
        <f>IF($I9,c_lotfactor*INDEX(M_Onedeal!$AJ$8:$AJ$68,$J9),0)+BA9</f>
        <v>0</v>
      </c>
      <c r="AC9" s="137">
        <f>IF($I9,c_lotfactor*INDEX(M_Onedeal!$AQ$8:$AQ$68,$J9),0)+BC9</f>
        <v>0</v>
      </c>
      <c r="AD9" s="137">
        <f>IF($I9,c_lotfactor*INDEX(M_Onedeal!$AR$8:$AR$68,$J9),0)+BD9</f>
        <v>0</v>
      </c>
      <c r="AE9" s="137">
        <f>IF($I9,c_lotfactor*INDEX(M_Onedeal!$AJ$8:$AJ$68,$J9),0)+BE9</f>
        <v>0</v>
      </c>
      <c r="AF9" s="137">
        <f>IF($I9,c_lotfactor*INDEX(M_Onedeal!$AM$8:$AM$68,$J9),0)+BF9</f>
        <v>0</v>
      </c>
      <c r="AG9" s="137">
        <f>IF($I9,c_lotfactor*(INDEX(M_Onedeal!#REF!,$J9,0)-INDEX(M_Onedeal!$AB$8:$AB$68,$J9,0)),0)+BG9</f>
        <v>0</v>
      </c>
      <c r="AH9" s="137">
        <f>IF($I9,c_lotfactor*INDEX(M_Onedeal!$AN$8:$AN$68,$J9),0)+BH9</f>
        <v>0</v>
      </c>
      <c r="AI9" s="137">
        <f>IF($I9,c_lotfactor*INDEX(M_Onedeal!$AO$8:$AO$68,$J9),0)+BI9</f>
        <v>0</v>
      </c>
      <c r="AJ9" s="137">
        <f>IF($I9,c_lotfactor*INDEX(M_Onedeal!$AP$8:$AP$68,$J9),0)+BJ9</f>
        <v>0</v>
      </c>
      <c r="AK9" s="14"/>
      <c r="AL9" s="136">
        <v>0</v>
      </c>
      <c r="AM9" s="136">
        <v>0</v>
      </c>
      <c r="AN9" s="136">
        <v>0</v>
      </c>
      <c r="AO9" s="136">
        <v>0</v>
      </c>
      <c r="AP9" s="136">
        <v>0</v>
      </c>
      <c r="AQ9" s="136">
        <v>0</v>
      </c>
      <c r="AR9" s="136">
        <v>0</v>
      </c>
      <c r="AS9" s="136">
        <v>0</v>
      </c>
      <c r="AT9" s="136">
        <v>0</v>
      </c>
      <c r="AU9" s="136">
        <v>0</v>
      </c>
      <c r="AV9" s="136">
        <v>0</v>
      </c>
      <c r="AW9" s="136">
        <v>0</v>
      </c>
      <c r="AX9" s="136">
        <v>0</v>
      </c>
      <c r="AY9" s="136">
        <v>0</v>
      </c>
      <c r="AZ9" s="136">
        <v>0</v>
      </c>
      <c r="BA9" s="136">
        <v>0</v>
      </c>
      <c r="BB9" s="136">
        <v>0</v>
      </c>
      <c r="BC9" s="136">
        <v>0</v>
      </c>
      <c r="BD9" s="136">
        <v>0</v>
      </c>
      <c r="BE9" s="136">
        <v>0</v>
      </c>
      <c r="BF9" s="136">
        <v>0</v>
      </c>
      <c r="BG9" s="136">
        <v>0</v>
      </c>
      <c r="BH9" s="136">
        <v>0</v>
      </c>
      <c r="BI9" s="136">
        <v>0</v>
      </c>
      <c r="BJ9" s="136">
        <v>0</v>
      </c>
    </row>
    <row r="10" spans="1:62" ht="15" customHeight="1">
      <c r="A10" s="14"/>
      <c r="B10" s="15">
        <f t="shared" ref="B10:B41" si="1">IF($H10&lt;=c_lotyears,INDEX(p_lotsperyear,$H10,1),0)</f>
        <v>1000</v>
      </c>
      <c r="C10" s="15">
        <f>C9+D9</f>
        <v>0</v>
      </c>
      <c r="D10" s="332">
        <f t="shared" ref="D10:D41" ca="1" si="2">MAX(0,MIN($B10/12,c_maxlots-C10))</f>
        <v>83.333333333333329</v>
      </c>
      <c r="E10" s="113">
        <f t="shared" ref="E10:E41" ca="1" si="3">IF(i_lotstotal&gt;0,D10/i_lotstotal,0)</f>
        <v>0.83333333333333326</v>
      </c>
      <c r="F10" s="14"/>
      <c r="G10" s="15">
        <f t="shared" ref="G10:G117" si="4">$G9+1</f>
        <v>1</v>
      </c>
      <c r="H10" s="15">
        <f t="shared" ref="H10:H117" si="5">IF($G10&gt;0,1+TRUNC(($G10-1)/12),"")</f>
        <v>1</v>
      </c>
      <c r="I10" s="15">
        <f t="shared" ref="I10:I40" si="6">IF(AND(G10&gt;=c_offset,$G10&lt;=c_offset+c_lotyears*12),1,0)</f>
        <v>1</v>
      </c>
      <c r="J10" s="15">
        <f t="shared" si="0"/>
        <v>1</v>
      </c>
      <c r="L10" s="15">
        <f ca="1">IF($I10,c_lotfactor*INDEX(M_Onedeal!$E$8:$E$68,$J10),0)+AL10</f>
        <v>166.66666666666666</v>
      </c>
      <c r="M10" s="15">
        <f ca="1">IF($I10,c_lotfactor*INDEX(M_Onedeal!$H$8:$H$68,$J10),0)+AM10</f>
        <v>0</v>
      </c>
      <c r="N10" s="15">
        <f ca="1">IF($I10,c_lotfactor*INDEX(M_Onedeal!$I$8:$I$68,$J10),0)+AN10</f>
        <v>166.66666666666666</v>
      </c>
      <c r="O10" s="15">
        <f ca="1">IF($I10,c_lotfactor*INDEX(M_Onedeal!$K$8:$K$68,$J10),0)+AO10</f>
        <v>0</v>
      </c>
      <c r="P10" s="15">
        <f ca="1">IF($I10,c_lotfactor*INDEX(M_Onedeal!$L$8:$L$68,$J10),0)+AP10</f>
        <v>0</v>
      </c>
      <c r="Q10" s="15">
        <f ca="1">IF($I10,c_lotfactor*INDEX(M_Onedeal!$M$8:$M$68,$J10),0)+AQ10</f>
        <v>0</v>
      </c>
      <c r="R10" s="15">
        <f ca="1">IF($I10,c_lotfactor*INDEX(M_Onedeal!$N$8:$N$68,$J10),0)+AR10</f>
        <v>1922499.9999999998</v>
      </c>
      <c r="S10" s="15">
        <f ca="1">IF($I10,c_lotfactor*INDEX(M_Onedeal!$O$8:$O$68,$J10),0)+AS10</f>
        <v>0</v>
      </c>
      <c r="T10" s="15">
        <f ca="1">IF($I10,c_lotfactor*INDEX(M_Onedeal!$P$8:$P$68,$J10),0)+AT10</f>
        <v>0</v>
      </c>
      <c r="U10" s="15">
        <f ca="1">IF($I10,c_lotfactor*INDEX(M_Onedeal!$Q$8:$Q$68,$J10),0)+AU10</f>
        <v>0</v>
      </c>
      <c r="V10" s="15">
        <f ca="1">IF($I10,c_lotfactor*INDEX(M_Onedeal!$R$8:$R$68,$J10),0)+AV10</f>
        <v>-6410833.333333333</v>
      </c>
      <c r="W10" s="15">
        <f ca="1">IF($I10,c_lotfactor*INDEX(M_Onedeal!$Y$8:$Y$68,$J10),0)+AW10</f>
        <v>0</v>
      </c>
      <c r="X10" s="15">
        <f ca="1">IF($I10,c_lotfactor*INDEX(M_Onedeal!$AA$8:$AA$68,$J10),0)+AX10</f>
        <v>0</v>
      </c>
      <c r="Y10" s="15">
        <f ca="1">IF($I10,c_lotfactor*INDEX(M_Onedeal!$AD$8:$AD$68,$J10),0)+AY10</f>
        <v>0</v>
      </c>
      <c r="Z10" s="15">
        <f ca="1">IF($I10,c_lotfactor*INDEX(M_Onedeal!$AF$8:$AF$68,$J10),0)+AZ10</f>
        <v>0</v>
      </c>
      <c r="AA10" s="15">
        <f ca="1">IF($I10,c_lotfactor*INDEX(M_Onedeal!$AG$8:$AG$68,$J10),0)+BA10</f>
        <v>-143881.44844786418</v>
      </c>
      <c r="AB10" s="15">
        <f ca="1">IF($I10,c_lotfactor*INDEX(M_Onedeal!$AI$8:$AI$68,$J10),0)+BB10</f>
        <v>-6554714.7817811966</v>
      </c>
      <c r="AC10" s="15">
        <f ca="1">IF($I10,c_lotfactor*INDEX(M_Onedeal!$AQ$8:$AQ$68,$J10),0)+BC10</f>
        <v>0</v>
      </c>
      <c r="AD10" s="15">
        <f ca="1">IF($I10,c_lotfactor*INDEX(M_Onedeal!$AR$8:$AR$68,$J10),0)+BD10</f>
        <v>0</v>
      </c>
      <c r="AE10" s="15">
        <f ca="1">IF($I10,c_lotfactor*INDEX(M_Onedeal!$AK$8:$AK$68,$J10),0)+BE10</f>
        <v>-6554714.7817811966</v>
      </c>
      <c r="AF10" s="15">
        <f ca="1">IF($I10,c_lotfactor*INDEX(M_Onedeal!$AM$8:$AM$68,$J10),0)+BF10</f>
        <v>-6554714.7817811966</v>
      </c>
      <c r="AG10" s="15">
        <f ca="1">IF($I10,c_lotfactor*-INDEX(M_Onedeal!$AB$8:$AB$68,$J10,0))+BG10</f>
        <v>0</v>
      </c>
      <c r="AH10" s="15">
        <f ca="1">IF($I10,c_lotfactor*INDEX(M_Onedeal!$AN$8:$AN$68,$J10),0)+BH10</f>
        <v>1922499.9999999998</v>
      </c>
      <c r="AI10" s="15">
        <f ca="1">IF($I10,c_lotfactor*INDEX(M_Onedeal!$AO$8:$AO$68,$J10),0)+BI10</f>
        <v>287762.89689572848</v>
      </c>
      <c r="AJ10" s="15">
        <f ca="1">IF($I10,c_lotfactor*INDEX(M_Onedeal!$AP$8:$AP$68,$J10),0)+BJ10</f>
        <v>-143881.44844786418</v>
      </c>
      <c r="AL10" s="126">
        <v>83.333333333333329</v>
      </c>
      <c r="AM10" s="126">
        <v>0</v>
      </c>
      <c r="AN10" s="126">
        <v>83.333333333333329</v>
      </c>
      <c r="AO10" s="126">
        <v>0</v>
      </c>
      <c r="AP10" s="126">
        <v>0</v>
      </c>
      <c r="AQ10" s="126">
        <v>0</v>
      </c>
      <c r="AR10" s="126">
        <v>961249.99999999988</v>
      </c>
      <c r="AS10" s="126">
        <v>0</v>
      </c>
      <c r="AT10" s="126">
        <v>0</v>
      </c>
      <c r="AU10" s="126">
        <v>0</v>
      </c>
      <c r="AV10" s="126">
        <v>-3205416.6666666665</v>
      </c>
      <c r="AW10" s="126">
        <v>0</v>
      </c>
      <c r="AX10" s="126">
        <v>0</v>
      </c>
      <c r="AY10" s="126">
        <v>0</v>
      </c>
      <c r="AZ10" s="126">
        <v>0</v>
      </c>
      <c r="BA10" s="126">
        <v>-71940.724223932091</v>
      </c>
      <c r="BB10" s="126">
        <v>-3277357.3908905983</v>
      </c>
      <c r="BC10" s="126">
        <v>0</v>
      </c>
      <c r="BD10" s="126">
        <v>0</v>
      </c>
      <c r="BE10" s="126">
        <v>-3277357.3908905983</v>
      </c>
      <c r="BF10" s="126">
        <v>-3277357.3908905983</v>
      </c>
      <c r="BG10" s="126">
        <v>0</v>
      </c>
      <c r="BH10" s="126">
        <v>961249.99999999988</v>
      </c>
      <c r="BI10" s="126">
        <v>143881.44844786424</v>
      </c>
      <c r="BJ10" s="126">
        <v>-71940.724223932091</v>
      </c>
    </row>
    <row r="11" spans="1:62" ht="15" customHeight="1">
      <c r="B11" s="16">
        <f t="shared" si="1"/>
        <v>1000</v>
      </c>
      <c r="C11" s="16">
        <f t="shared" ref="C11:C74" ca="1" si="7">C10+D10</f>
        <v>83.333333333333329</v>
      </c>
      <c r="D11" s="333">
        <f t="shared" ca="1" si="2"/>
        <v>83.333333333333329</v>
      </c>
      <c r="E11" s="115">
        <f t="shared" ca="1" si="3"/>
        <v>0.83333333333333326</v>
      </c>
      <c r="G11" s="16">
        <f t="shared" si="4"/>
        <v>2</v>
      </c>
      <c r="H11" s="16">
        <f t="shared" si="5"/>
        <v>1</v>
      </c>
      <c r="I11" s="16">
        <f t="shared" si="6"/>
        <v>1</v>
      </c>
      <c r="J11" s="16">
        <f t="shared" si="0"/>
        <v>2</v>
      </c>
      <c r="L11" s="16">
        <f ca="1">IF($I11,c_lotfactor*INDEX(M_Onedeal!$E$8:$E$68,$J11),0)+AL11</f>
        <v>250</v>
      </c>
      <c r="M11" s="16">
        <f ca="1">IF($I11,c_lotfactor*INDEX(M_Onedeal!$H$8:$H$68,$J11),0)+AM11</f>
        <v>0</v>
      </c>
      <c r="N11" s="16">
        <f ca="1">IF($I11,c_lotfactor*INDEX(M_Onedeal!$I$8:$I$68,$J11),0)+AN11</f>
        <v>250</v>
      </c>
      <c r="O11" s="16">
        <f ca="1">IF($I11,c_lotfactor*INDEX(M_Onedeal!$K$8:$K$68,$J11),0)+AO11</f>
        <v>5462.2623181509971</v>
      </c>
      <c r="P11" s="16">
        <f ca="1">IF($I11,c_lotfactor*INDEX(M_Onedeal!$L$8:$L$68,$J11),0)+AP11</f>
        <v>0</v>
      </c>
      <c r="Q11" s="16">
        <f ca="1">IF($I11,c_lotfactor*INDEX(M_Onedeal!$M$8:$M$68,$J11),0)+AQ11</f>
        <v>0</v>
      </c>
      <c r="R11" s="16">
        <f ca="1">IF($I11,c_lotfactor*INDEX(M_Onedeal!$N$8:$N$68,$J11),0)+AR11</f>
        <v>2883749.9999999995</v>
      </c>
      <c r="S11" s="16">
        <f ca="1">IF($I11,c_lotfactor*INDEX(M_Onedeal!$O$8:$O$68,$J11),0)+AS11</f>
        <v>0</v>
      </c>
      <c r="T11" s="16">
        <f ca="1">IF($I11,c_lotfactor*INDEX(M_Onedeal!$P$8:$P$68,$J11),0)+AT11</f>
        <v>0</v>
      </c>
      <c r="U11" s="16">
        <f ca="1">IF($I11,c_lotfactor*INDEX(M_Onedeal!$Q$8:$Q$68,$J11),0)+AU11</f>
        <v>0</v>
      </c>
      <c r="V11" s="16">
        <f ca="1">IF($I11,c_lotfactor*INDEX(M_Onedeal!$R$8:$R$68,$J11),0)+AV11</f>
        <v>-3205416.6666666665</v>
      </c>
      <c r="W11" s="16">
        <f ca="1">IF($I11,c_lotfactor*INDEX(M_Onedeal!$Y$8:$Y$68,$J11),0)+AW11</f>
        <v>0</v>
      </c>
      <c r="X11" s="16">
        <f ca="1">IF($I11,c_lotfactor*INDEX(M_Onedeal!$AA$8:$AA$68,$J11),0)+AX11</f>
        <v>0</v>
      </c>
      <c r="Y11" s="16">
        <f ca="1">IF($I11,c_lotfactor*INDEX(M_Onedeal!$AD$8:$AD$68,$J11),0)+AY11</f>
        <v>0</v>
      </c>
      <c r="Z11" s="16">
        <f ca="1">IF($I11,c_lotfactor*INDEX(M_Onedeal!$AF$8:$AF$68,$J11),0)+AZ11</f>
        <v>-143881.44844786418</v>
      </c>
      <c r="AA11" s="16">
        <f ca="1">IF($I11,c_lotfactor*INDEX(M_Onedeal!$AG$8:$AG$68,$J11),0)+BA11</f>
        <v>-72487.773481051569</v>
      </c>
      <c r="AB11" s="16">
        <f ca="1">IF($I11,c_lotfactor*INDEX(M_Onedeal!$AI$8:$AI$68,$J11),0)+BB11</f>
        <v>-3277357.3908905983</v>
      </c>
      <c r="AC11" s="16">
        <f ca="1">IF($I11,c_lotfactor*INDEX(M_Onedeal!$AQ$8:$AQ$68,$J11),0)+BC11</f>
        <v>0</v>
      </c>
      <c r="AD11" s="16">
        <f ca="1">IF($I11,c_lotfactor*INDEX(M_Onedeal!$AR$8:$AR$68,$J11),0)+BD11</f>
        <v>0</v>
      </c>
      <c r="AE11" s="16">
        <f ca="1">IF($I11,c_lotfactor*INDEX(M_Onedeal!$AK$8:$AK$68,$J11),0)+BE11</f>
        <v>-3277357.3908905983</v>
      </c>
      <c r="AF11" s="16">
        <f ca="1">IF($I11,c_lotfactor*INDEX(M_Onedeal!$AM$8:$AM$68,$J11),0)+BF11</f>
        <v>-3277357.3908905983</v>
      </c>
      <c r="AG11" s="16">
        <f ca="1">IF($I11,c_lotfactor*-INDEX(M_Onedeal!$AB$8:$AB$68,$J11,0))+BG11</f>
        <v>0</v>
      </c>
      <c r="AH11" s="16">
        <f ca="1">IF($I11,c_lotfactor*INDEX(M_Onedeal!$AN$8:$AN$68,$J11),0)+BH11</f>
        <v>961249.99999999988</v>
      </c>
      <c r="AI11" s="16">
        <f ca="1">IF($I11,c_lotfactor*INDEX(M_Onedeal!$AO$8:$AO$68,$J11),0)+BI11</f>
        <v>143881.44844786424</v>
      </c>
      <c r="AJ11" s="16">
        <f ca="1">IF($I11,c_lotfactor*INDEX(M_Onedeal!$AP$8:$AP$68,$J11),0)+BJ11</f>
        <v>-71940.724223932091</v>
      </c>
      <c r="AL11" s="127">
        <v>166.66666666666666</v>
      </c>
      <c r="AM11" s="127">
        <v>0</v>
      </c>
      <c r="AN11" s="127">
        <v>166.66666666666666</v>
      </c>
      <c r="AO11" s="127">
        <v>2731.1311590754985</v>
      </c>
      <c r="AP11" s="127">
        <v>0</v>
      </c>
      <c r="AQ11" s="127">
        <v>0</v>
      </c>
      <c r="AR11" s="127">
        <v>1922499.9999999998</v>
      </c>
      <c r="AS11" s="127">
        <v>0</v>
      </c>
      <c r="AT11" s="127">
        <v>0</v>
      </c>
      <c r="AU11" s="127">
        <v>0</v>
      </c>
      <c r="AV11" s="127">
        <v>-3205416.6666666665</v>
      </c>
      <c r="AW11" s="127">
        <v>0</v>
      </c>
      <c r="AX11" s="127">
        <v>0</v>
      </c>
      <c r="AY11" s="127">
        <v>0</v>
      </c>
      <c r="AZ11" s="127">
        <v>-71940.724223932091</v>
      </c>
      <c r="BA11" s="127">
        <v>-72214.24885249183</v>
      </c>
      <c r="BB11" s="127">
        <v>-3277357.3908905983</v>
      </c>
      <c r="BC11" s="127">
        <v>0</v>
      </c>
      <c r="BD11" s="127">
        <v>0</v>
      </c>
      <c r="BE11" s="127">
        <v>-3277357.3908905983</v>
      </c>
      <c r="BF11" s="127">
        <v>-3277357.3908905983</v>
      </c>
      <c r="BG11" s="127">
        <v>0</v>
      </c>
      <c r="BH11" s="127">
        <v>961249.99999999988</v>
      </c>
      <c r="BI11" s="127">
        <v>143881.44844786424</v>
      </c>
      <c r="BJ11" s="127">
        <v>-71940.724223932091</v>
      </c>
    </row>
    <row r="12" spans="1:62" ht="15" customHeight="1">
      <c r="B12" s="17">
        <f t="shared" si="1"/>
        <v>1000</v>
      </c>
      <c r="C12" s="17">
        <f t="shared" ca="1" si="7"/>
        <v>166.66666666666666</v>
      </c>
      <c r="D12" s="334">
        <f t="shared" ca="1" si="2"/>
        <v>83.333333333333329</v>
      </c>
      <c r="E12" s="116">
        <f t="shared" ca="1" si="3"/>
        <v>0.83333333333333326</v>
      </c>
      <c r="G12" s="17">
        <f t="shared" si="4"/>
        <v>3</v>
      </c>
      <c r="H12" s="17">
        <f t="shared" si="5"/>
        <v>1</v>
      </c>
      <c r="I12" s="17">
        <f t="shared" si="6"/>
        <v>1</v>
      </c>
      <c r="J12" s="17">
        <f t="shared" si="0"/>
        <v>3</v>
      </c>
      <c r="L12" s="17">
        <f ca="1">IF($I12,c_lotfactor*INDEX(M_Onedeal!$E$8:$E$68,$J12),0)+AL12</f>
        <v>333.33333333333331</v>
      </c>
      <c r="M12" s="17">
        <f ca="1">IF($I12,c_lotfactor*INDEX(M_Onedeal!$H$8:$H$68,$J12),0)+AM12</f>
        <v>0</v>
      </c>
      <c r="N12" s="17">
        <f ca="1">IF($I12,c_lotfactor*INDEX(M_Onedeal!$I$8:$I$68,$J12),0)+AN12</f>
        <v>333.33333333333331</v>
      </c>
      <c r="O12" s="17">
        <f ca="1">IF($I12,c_lotfactor*INDEX(M_Onedeal!$K$8:$K$68,$J12),0)+AO12</f>
        <v>8193.3934772264947</v>
      </c>
      <c r="P12" s="17">
        <f ca="1">IF($I12,c_lotfactor*INDEX(M_Onedeal!$L$8:$L$68,$J12),0)+AP12</f>
        <v>0</v>
      </c>
      <c r="Q12" s="17">
        <f ca="1">IF($I12,c_lotfactor*INDEX(M_Onedeal!$M$8:$M$68,$J12),0)+AQ12</f>
        <v>0</v>
      </c>
      <c r="R12" s="17">
        <f ca="1">IF($I12,c_lotfactor*INDEX(M_Onedeal!$N$8:$N$68,$J12),0)+AR12</f>
        <v>3844999.9999999995</v>
      </c>
      <c r="S12" s="17">
        <f ca="1">IF($I12,c_lotfactor*INDEX(M_Onedeal!$O$8:$O$68,$J12),0)+AS12</f>
        <v>0</v>
      </c>
      <c r="T12" s="17">
        <f ca="1">IF($I12,c_lotfactor*INDEX(M_Onedeal!$P$8:$P$68,$J12),0)+AT12</f>
        <v>0</v>
      </c>
      <c r="U12" s="17">
        <f ca="1">IF($I12,c_lotfactor*INDEX(M_Onedeal!$Q$8:$Q$68,$J12),0)+AU12</f>
        <v>0</v>
      </c>
      <c r="V12" s="17">
        <f ca="1">IF($I12,c_lotfactor*INDEX(M_Onedeal!$R$8:$R$68,$J12),0)+AV12</f>
        <v>-3205416.6666666665</v>
      </c>
      <c r="W12" s="17">
        <f ca="1">IF($I12,c_lotfactor*INDEX(M_Onedeal!$Y$8:$Y$68,$J12),0)+AW12</f>
        <v>0</v>
      </c>
      <c r="X12" s="17">
        <f ca="1">IF($I12,c_lotfactor*INDEX(M_Onedeal!$AA$8:$AA$68,$J12),0)+AX12</f>
        <v>0</v>
      </c>
      <c r="Y12" s="17">
        <f ca="1">IF($I12,c_lotfactor*INDEX(M_Onedeal!$AD$8:$AD$68,$J12),0)+AY12</f>
        <v>0</v>
      </c>
      <c r="Z12" s="17">
        <f ca="1">IF($I12,c_lotfactor*INDEX(M_Onedeal!$AF$8:$AF$68,$J12),0)+AZ12</f>
        <v>-72487.773481051569</v>
      </c>
      <c r="AA12" s="17">
        <f ca="1">IF($I12,c_lotfactor*INDEX(M_Onedeal!$AG$8:$AG$68,$J12),0)+BA12</f>
        <v>-72216.328779354837</v>
      </c>
      <c r="AB12" s="17">
        <f ca="1">IF($I12,c_lotfactor*INDEX(M_Onedeal!$AI$8:$AI$68,$J12),0)+BB12</f>
        <v>-3277357.3908905983</v>
      </c>
      <c r="AC12" s="17">
        <f ca="1">IF($I12,c_lotfactor*INDEX(M_Onedeal!$AQ$8:$AQ$68,$J12),0)+BC12</f>
        <v>0</v>
      </c>
      <c r="AD12" s="17">
        <f ca="1">IF($I12,c_lotfactor*INDEX(M_Onedeal!$AR$8:$AR$68,$J12),0)+BD12</f>
        <v>0</v>
      </c>
      <c r="AE12" s="17">
        <f ca="1">IF($I12,c_lotfactor*INDEX(M_Onedeal!$AK$8:$AK$68,$J12),0)+BE12</f>
        <v>-3277357.3908905983</v>
      </c>
      <c r="AF12" s="17">
        <f ca="1">IF($I12,c_lotfactor*INDEX(M_Onedeal!$AM$8:$AM$68,$J12),0)+BF12</f>
        <v>-3277357.3908905983</v>
      </c>
      <c r="AG12" s="17">
        <f ca="1">IF($I12,c_lotfactor*-INDEX(M_Onedeal!$AB$8:$AB$68,$J12,0))+BG12</f>
        <v>0</v>
      </c>
      <c r="AH12" s="17">
        <f ca="1">IF($I12,c_lotfactor*INDEX(M_Onedeal!$AN$8:$AN$68,$J12),0)+BH12</f>
        <v>961249.99999999988</v>
      </c>
      <c r="AI12" s="17">
        <f ca="1">IF($I12,c_lotfactor*INDEX(M_Onedeal!$AO$8:$AO$68,$J12),0)+BI12</f>
        <v>143881.44844786424</v>
      </c>
      <c r="AJ12" s="17">
        <f ca="1">IF($I12,c_lotfactor*INDEX(M_Onedeal!$AP$8:$AP$68,$J12),0)+BJ12</f>
        <v>-71940.724223932091</v>
      </c>
      <c r="AL12" s="128">
        <v>250</v>
      </c>
      <c r="AM12" s="128">
        <v>0</v>
      </c>
      <c r="AN12" s="128">
        <v>250</v>
      </c>
      <c r="AO12" s="128">
        <v>5462.2623181509971</v>
      </c>
      <c r="AP12" s="128">
        <v>0</v>
      </c>
      <c r="AQ12" s="128">
        <v>0</v>
      </c>
      <c r="AR12" s="128">
        <v>2883749.9999999995</v>
      </c>
      <c r="AS12" s="128">
        <v>0</v>
      </c>
      <c r="AT12" s="128">
        <v>0</v>
      </c>
      <c r="AU12" s="128">
        <v>0</v>
      </c>
      <c r="AV12" s="128">
        <v>-3205416.6666666665</v>
      </c>
      <c r="AW12" s="128">
        <v>0</v>
      </c>
      <c r="AX12" s="128">
        <v>0</v>
      </c>
      <c r="AY12" s="128">
        <v>0</v>
      </c>
      <c r="AZ12" s="128">
        <v>-72214.24885249183</v>
      </c>
      <c r="BA12" s="128">
        <v>-72215.288815923341</v>
      </c>
      <c r="BB12" s="128">
        <v>-3277357.3908905983</v>
      </c>
      <c r="BC12" s="128">
        <v>0</v>
      </c>
      <c r="BD12" s="128">
        <v>0</v>
      </c>
      <c r="BE12" s="128">
        <v>-3277357.3908905983</v>
      </c>
      <c r="BF12" s="128">
        <v>-3277357.3908905983</v>
      </c>
      <c r="BG12" s="128">
        <v>0</v>
      </c>
      <c r="BH12" s="128">
        <v>961249.99999999988</v>
      </c>
      <c r="BI12" s="128">
        <v>143881.44844786424</v>
      </c>
      <c r="BJ12" s="128">
        <v>-71940.724223932091</v>
      </c>
    </row>
    <row r="13" spans="1:62" ht="15" customHeight="1">
      <c r="B13" s="15">
        <f t="shared" si="1"/>
        <v>1000</v>
      </c>
      <c r="C13" s="15">
        <f t="shared" ca="1" si="7"/>
        <v>250</v>
      </c>
      <c r="D13" s="332">
        <f t="shared" ca="1" si="2"/>
        <v>83.333333333333329</v>
      </c>
      <c r="E13" s="113">
        <f t="shared" ca="1" si="3"/>
        <v>0.83333333333333326</v>
      </c>
      <c r="G13" s="15">
        <f t="shared" si="4"/>
        <v>4</v>
      </c>
      <c r="H13" s="15">
        <f t="shared" si="5"/>
        <v>1</v>
      </c>
      <c r="I13" s="15">
        <f t="shared" si="6"/>
        <v>1</v>
      </c>
      <c r="J13" s="15">
        <f t="shared" si="0"/>
        <v>4</v>
      </c>
      <c r="L13" s="15">
        <f ca="1">IF($I13,c_lotfactor*INDEX(M_Onedeal!$E$8:$E$68,$J13),0)+AL13</f>
        <v>416.66666666666663</v>
      </c>
      <c r="M13" s="15">
        <f ca="1">IF($I13,c_lotfactor*INDEX(M_Onedeal!$H$8:$H$68,$J13),0)+AM13</f>
        <v>0</v>
      </c>
      <c r="N13" s="15">
        <f ca="1">IF($I13,c_lotfactor*INDEX(M_Onedeal!$I$8:$I$68,$J13),0)+AN13</f>
        <v>416.66666666666663</v>
      </c>
      <c r="O13" s="15">
        <f ca="1">IF($I13,c_lotfactor*INDEX(M_Onedeal!$K$8:$K$68,$J13),0)+AO13</f>
        <v>10924.524636301994</v>
      </c>
      <c r="P13" s="15">
        <f ca="1">IF($I13,c_lotfactor*INDEX(M_Onedeal!$L$8:$L$68,$J13),0)+AP13</f>
        <v>0</v>
      </c>
      <c r="Q13" s="15">
        <f ca="1">IF($I13,c_lotfactor*INDEX(M_Onedeal!$M$8:$M$68,$J13),0)+AQ13</f>
        <v>0</v>
      </c>
      <c r="R13" s="15">
        <f ca="1">IF($I13,c_lotfactor*INDEX(M_Onedeal!$N$8:$N$68,$J13),0)+AR13</f>
        <v>4806249.9999999991</v>
      </c>
      <c r="S13" s="15">
        <f ca="1">IF($I13,c_lotfactor*INDEX(M_Onedeal!$O$8:$O$68,$J13),0)+AS13</f>
        <v>0</v>
      </c>
      <c r="T13" s="15">
        <f ca="1">IF($I13,c_lotfactor*INDEX(M_Onedeal!$P$8:$P$68,$J13),0)+AT13</f>
        <v>833333.33333333326</v>
      </c>
      <c r="U13" s="15">
        <f ca="1">IF($I13,c_lotfactor*INDEX(M_Onedeal!$Q$8:$Q$68,$J13),0)+AU13</f>
        <v>833333.33333333326</v>
      </c>
      <c r="V13" s="15">
        <f ca="1">IF($I13,c_lotfactor*INDEX(M_Onedeal!$R$8:$R$68,$J13),0)+AV13</f>
        <v>-4038749.9999999995</v>
      </c>
      <c r="W13" s="15">
        <f ca="1">IF($I13,c_lotfactor*INDEX(M_Onedeal!$Y$8:$Y$68,$J13),0)+AW13</f>
        <v>0</v>
      </c>
      <c r="X13" s="15">
        <f ca="1">IF($I13,c_lotfactor*INDEX(M_Onedeal!$AA$8:$AA$68,$J13),0)+AX13</f>
        <v>833333.33333333326</v>
      </c>
      <c r="Y13" s="15">
        <f ca="1">IF($I13,c_lotfactor*INDEX(M_Onedeal!$AD$8:$AD$68,$J13),0)+AY13</f>
        <v>0</v>
      </c>
      <c r="Z13" s="15">
        <f ca="1">IF($I13,c_lotfactor*INDEX(M_Onedeal!$AF$8:$AF$68,$J13),0)+AZ13</f>
        <v>-72216.328779354837</v>
      </c>
      <c r="AA13" s="15">
        <f ca="1">IF($I13,c_lotfactor*INDEX(M_Onedeal!$AG$8:$AG$68,$J13),0)+BA13</f>
        <v>761118.03660935466</v>
      </c>
      <c r="AB13" s="15">
        <f ca="1">IF($I13,c_lotfactor*INDEX(M_Onedeal!$AI$8:$AI$68,$J13),0)+BB13</f>
        <v>-3277357.3908905983</v>
      </c>
      <c r="AC13" s="15">
        <f ca="1">IF($I13,c_lotfactor*INDEX(M_Onedeal!$AQ$8:$AQ$68,$J13),0)+BC13</f>
        <v>0</v>
      </c>
      <c r="AD13" s="15">
        <f ca="1">IF($I13,c_lotfactor*INDEX(M_Onedeal!$AR$8:$AR$68,$J13),0)+BD13</f>
        <v>0</v>
      </c>
      <c r="AE13" s="15">
        <f ca="1">IF($I13,c_lotfactor*INDEX(M_Onedeal!$AK$8:$AK$68,$J13),0)+BE13</f>
        <v>-3277357.3908905983</v>
      </c>
      <c r="AF13" s="15">
        <f ca="1">IF($I13,c_lotfactor*INDEX(M_Onedeal!$AM$8:$AM$68,$J13),0)+BF13</f>
        <v>-3277357.3908905983</v>
      </c>
      <c r="AG13" s="15">
        <f ca="1">IF($I13,c_lotfactor*-INDEX(M_Onedeal!$AB$8:$AB$68,$J13,0))+BG13</f>
        <v>0</v>
      </c>
      <c r="AH13" s="15">
        <f ca="1">IF($I13,c_lotfactor*INDEX(M_Onedeal!$AN$8:$AN$68,$J13),0)+BH13</f>
        <v>961249.99999999988</v>
      </c>
      <c r="AI13" s="15">
        <f ca="1">IF($I13,c_lotfactor*INDEX(M_Onedeal!$AO$8:$AO$68,$J13),0)+BI13</f>
        <v>143881.44844786424</v>
      </c>
      <c r="AJ13" s="15">
        <f ca="1">IF($I13,c_lotfactor*INDEX(M_Onedeal!$AP$8:$AP$68,$J13),0)+BJ13</f>
        <v>-71940.724223932091</v>
      </c>
      <c r="AL13" s="126">
        <v>333.33333333333331</v>
      </c>
      <c r="AM13" s="126">
        <v>0</v>
      </c>
      <c r="AN13" s="126">
        <v>333.33333333333331</v>
      </c>
      <c r="AO13" s="126">
        <v>8193.3934772264947</v>
      </c>
      <c r="AP13" s="126">
        <v>0</v>
      </c>
      <c r="AQ13" s="126">
        <v>0</v>
      </c>
      <c r="AR13" s="126">
        <v>3844999.9999999995</v>
      </c>
      <c r="AS13" s="126">
        <v>0</v>
      </c>
      <c r="AT13" s="126">
        <v>416666.66666666663</v>
      </c>
      <c r="AU13" s="126">
        <v>416666.66666666663</v>
      </c>
      <c r="AV13" s="126">
        <v>-3622083.333333333</v>
      </c>
      <c r="AW13" s="126">
        <v>0</v>
      </c>
      <c r="AX13" s="126">
        <v>416666.66666666663</v>
      </c>
      <c r="AY13" s="126">
        <v>0</v>
      </c>
      <c r="AZ13" s="126">
        <v>-72215.288815923341</v>
      </c>
      <c r="BA13" s="126">
        <v>344451.3738967157</v>
      </c>
      <c r="BB13" s="126">
        <v>-3277357.3908905983</v>
      </c>
      <c r="BC13" s="126">
        <v>0</v>
      </c>
      <c r="BD13" s="126">
        <v>0</v>
      </c>
      <c r="BE13" s="126">
        <v>-3277357.3908905983</v>
      </c>
      <c r="BF13" s="126">
        <v>-3277357.3908905983</v>
      </c>
      <c r="BG13" s="126">
        <v>0</v>
      </c>
      <c r="BH13" s="126">
        <v>961249.99999999988</v>
      </c>
      <c r="BI13" s="126">
        <v>143881.44844786424</v>
      </c>
      <c r="BJ13" s="126">
        <v>-71940.724223932091</v>
      </c>
    </row>
    <row r="14" spans="1:62" ht="15" customHeight="1">
      <c r="B14" s="16">
        <f t="shared" si="1"/>
        <v>1000</v>
      </c>
      <c r="C14" s="16">
        <f t="shared" ca="1" si="7"/>
        <v>333.33333333333331</v>
      </c>
      <c r="D14" s="333">
        <f t="shared" ca="1" si="2"/>
        <v>83.333333333333329</v>
      </c>
      <c r="E14" s="115">
        <f t="shared" ca="1" si="3"/>
        <v>0.83333333333333326</v>
      </c>
      <c r="G14" s="16">
        <f t="shared" si="4"/>
        <v>5</v>
      </c>
      <c r="H14" s="16">
        <f t="shared" si="5"/>
        <v>1</v>
      </c>
      <c r="I14" s="16">
        <f t="shared" si="6"/>
        <v>1</v>
      </c>
      <c r="J14" s="16">
        <f t="shared" si="0"/>
        <v>5</v>
      </c>
      <c r="L14" s="16">
        <f ca="1">IF($I14,c_lotfactor*INDEX(M_Onedeal!$E$8:$E$68,$J14),0)+AL14</f>
        <v>499.99999999999994</v>
      </c>
      <c r="M14" s="16">
        <f ca="1">IF($I14,c_lotfactor*INDEX(M_Onedeal!$H$8:$H$68,$J14),0)+AM14</f>
        <v>0</v>
      </c>
      <c r="N14" s="16">
        <f ca="1">IF($I14,c_lotfactor*INDEX(M_Onedeal!$I$8:$I$68,$J14),0)+AN14</f>
        <v>499.99999999999994</v>
      </c>
      <c r="O14" s="16">
        <f ca="1">IF($I14,c_lotfactor*INDEX(M_Onedeal!$K$8:$K$68,$J14),0)+AO14</f>
        <v>13655.655795377494</v>
      </c>
      <c r="P14" s="16">
        <f ca="1">IF($I14,c_lotfactor*INDEX(M_Onedeal!$L$8:$L$68,$J14),0)+AP14</f>
        <v>0</v>
      </c>
      <c r="Q14" s="16">
        <f ca="1">IF($I14,c_lotfactor*INDEX(M_Onedeal!$M$8:$M$68,$J14),0)+AQ14</f>
        <v>0</v>
      </c>
      <c r="R14" s="16">
        <f ca="1">IF($I14,c_lotfactor*INDEX(M_Onedeal!$N$8:$N$68,$J14),0)+AR14</f>
        <v>5767499.9999999991</v>
      </c>
      <c r="S14" s="16">
        <f ca="1">IF($I14,c_lotfactor*INDEX(M_Onedeal!$O$8:$O$68,$J14),0)+AS14</f>
        <v>0</v>
      </c>
      <c r="T14" s="16">
        <f ca="1">IF($I14,c_lotfactor*INDEX(M_Onedeal!$P$8:$P$68,$J14),0)+AT14</f>
        <v>1250000</v>
      </c>
      <c r="U14" s="16">
        <f ca="1">IF($I14,c_lotfactor*INDEX(M_Onedeal!$Q$8:$Q$68,$J14),0)+AU14</f>
        <v>1250000</v>
      </c>
      <c r="V14" s="16">
        <f ca="1">IF($I14,c_lotfactor*INDEX(M_Onedeal!$R$8:$R$68,$J14),0)+AV14</f>
        <v>-4455416.666666667</v>
      </c>
      <c r="W14" s="16">
        <f ca="1">IF($I14,c_lotfactor*INDEX(M_Onedeal!$Y$8:$Y$68,$J14),0)+AW14</f>
        <v>3168.402747710692</v>
      </c>
      <c r="X14" s="16">
        <f ca="1">IF($I14,c_lotfactor*INDEX(M_Onedeal!$AA$8:$AA$68,$J14),0)+AX14</f>
        <v>1250000</v>
      </c>
      <c r="Y14" s="16">
        <f ca="1">IF($I14,c_lotfactor*INDEX(M_Onedeal!$AD$8:$AD$68,$J14),0)+AY14</f>
        <v>3168.402747710692</v>
      </c>
      <c r="Z14" s="16">
        <f ca="1">IF($I14,c_lotfactor*INDEX(M_Onedeal!$AF$8:$AF$68,$J14),0)+AZ14</f>
        <v>-72215.288815923341</v>
      </c>
      <c r="AA14" s="16">
        <f ca="1">IF($I14,c_lotfactor*INDEX(M_Onedeal!$AG$8:$AG$68,$J14),0)+BA14</f>
        <v>2011118.0326553271</v>
      </c>
      <c r="AB14" s="16">
        <f ca="1">IF($I14,c_lotfactor*INDEX(M_Onedeal!$AI$8:$AI$68,$J14),0)+BB14</f>
        <v>-3277357.3908905983</v>
      </c>
      <c r="AC14" s="16">
        <f ca="1">IF($I14,c_lotfactor*INDEX(M_Onedeal!$AQ$8:$AQ$68,$J14),0)+BC14</f>
        <v>0</v>
      </c>
      <c r="AD14" s="16">
        <f ca="1">IF($I14,c_lotfactor*INDEX(M_Onedeal!$AR$8:$AR$68,$J14),0)+BD14</f>
        <v>0</v>
      </c>
      <c r="AE14" s="16">
        <f ca="1">IF($I14,c_lotfactor*INDEX(M_Onedeal!$AK$8:$AK$68,$J14),0)+BE14</f>
        <v>-3277357.3908905983</v>
      </c>
      <c r="AF14" s="16">
        <f ca="1">IF($I14,c_lotfactor*INDEX(M_Onedeal!$AM$8:$AM$68,$J14),0)+BF14</f>
        <v>-3277357.3908905983</v>
      </c>
      <c r="AG14" s="16">
        <f ca="1">IF($I14,c_lotfactor*-INDEX(M_Onedeal!$AB$8:$AB$68,$J14,0))+BG14</f>
        <v>0</v>
      </c>
      <c r="AH14" s="16">
        <f ca="1">IF($I14,c_lotfactor*INDEX(M_Onedeal!$AN$8:$AN$68,$J14),0)+BH14</f>
        <v>961249.99999999988</v>
      </c>
      <c r="AI14" s="16">
        <f ca="1">IF($I14,c_lotfactor*INDEX(M_Onedeal!$AO$8:$AO$68,$J14),0)+BI14</f>
        <v>143881.44844786424</v>
      </c>
      <c r="AJ14" s="16">
        <f ca="1">IF($I14,c_lotfactor*INDEX(M_Onedeal!$AP$8:$AP$68,$J14),0)+BJ14</f>
        <v>-71940.724223932091</v>
      </c>
      <c r="AL14" s="127">
        <v>416.66666666666663</v>
      </c>
      <c r="AM14" s="127">
        <v>0</v>
      </c>
      <c r="AN14" s="127">
        <v>416.66666666666663</v>
      </c>
      <c r="AO14" s="127">
        <v>10924.524636301994</v>
      </c>
      <c r="AP14" s="127">
        <v>0</v>
      </c>
      <c r="AQ14" s="127">
        <v>0</v>
      </c>
      <c r="AR14" s="127">
        <v>4806249.9999999991</v>
      </c>
      <c r="AS14" s="127">
        <v>0</v>
      </c>
      <c r="AT14" s="127">
        <v>833333.33333333326</v>
      </c>
      <c r="AU14" s="127">
        <v>833333.33333333326</v>
      </c>
      <c r="AV14" s="127">
        <v>-4038750</v>
      </c>
      <c r="AW14" s="127">
        <v>1584.201373855346</v>
      </c>
      <c r="AX14" s="127">
        <v>833333.33333333326</v>
      </c>
      <c r="AY14" s="127">
        <v>1584.201373855346</v>
      </c>
      <c r="AZ14" s="127">
        <v>-72215.288815923341</v>
      </c>
      <c r="BA14" s="127">
        <v>1177784.7032760214</v>
      </c>
      <c r="BB14" s="127">
        <v>-3277357.3908905983</v>
      </c>
      <c r="BC14" s="127">
        <v>0</v>
      </c>
      <c r="BD14" s="127">
        <v>0</v>
      </c>
      <c r="BE14" s="127">
        <v>-3277357.3908905983</v>
      </c>
      <c r="BF14" s="127">
        <v>-3277357.3908905983</v>
      </c>
      <c r="BG14" s="127">
        <v>0</v>
      </c>
      <c r="BH14" s="127">
        <v>961249.99999999988</v>
      </c>
      <c r="BI14" s="127">
        <v>143881.44844786424</v>
      </c>
      <c r="BJ14" s="127">
        <v>-71940.724223932091</v>
      </c>
    </row>
    <row r="15" spans="1:62" ht="15" customHeight="1">
      <c r="B15" s="17">
        <f t="shared" si="1"/>
        <v>1000</v>
      </c>
      <c r="C15" s="17">
        <f t="shared" ca="1" si="7"/>
        <v>416.66666666666663</v>
      </c>
      <c r="D15" s="334">
        <f t="shared" ca="1" si="2"/>
        <v>83.333333333333329</v>
      </c>
      <c r="E15" s="116">
        <f t="shared" ca="1" si="3"/>
        <v>0.83333333333333326</v>
      </c>
      <c r="G15" s="17">
        <f t="shared" si="4"/>
        <v>6</v>
      </c>
      <c r="H15" s="17">
        <f t="shared" si="5"/>
        <v>1</v>
      </c>
      <c r="I15" s="17">
        <f t="shared" si="6"/>
        <v>1</v>
      </c>
      <c r="J15" s="17">
        <f t="shared" si="0"/>
        <v>6</v>
      </c>
      <c r="L15" s="17">
        <f ca="1">IF($I15,c_lotfactor*INDEX(M_Onedeal!$E$8:$E$68,$J15),0)+AL15</f>
        <v>583.33333333333326</v>
      </c>
      <c r="M15" s="17">
        <f ca="1">IF($I15,c_lotfactor*INDEX(M_Onedeal!$H$8:$H$68,$J15),0)+AM15</f>
        <v>16.666666666666664</v>
      </c>
      <c r="N15" s="17">
        <f ca="1">IF($I15,c_lotfactor*INDEX(M_Onedeal!$I$8:$I$68,$J15),0)+AN15</f>
        <v>566.66666666666652</v>
      </c>
      <c r="O15" s="17">
        <f ca="1">IF($I15,c_lotfactor*INDEX(M_Onedeal!$K$8:$K$68,$J15),0)+AO15</f>
        <v>16386.786954452993</v>
      </c>
      <c r="P15" s="17">
        <f ca="1">IF($I15,c_lotfactor*INDEX(M_Onedeal!$L$8:$L$68,$J15),0)+AP15</f>
        <v>1922499.9999999998</v>
      </c>
      <c r="Q15" s="17">
        <f ca="1">IF($I15,c_lotfactor*INDEX(M_Onedeal!$M$8:$M$68,$J15),0)+AQ15</f>
        <v>0</v>
      </c>
      <c r="R15" s="17">
        <f ca="1">IF($I15,c_lotfactor*INDEX(M_Onedeal!$N$8:$N$68,$J15),0)+AR15</f>
        <v>6728749.9999999991</v>
      </c>
      <c r="S15" s="17">
        <f ca="1">IF($I15,c_lotfactor*INDEX(M_Onedeal!$O$8:$O$68,$J15),0)+AS15</f>
        <v>1922499.9999999998</v>
      </c>
      <c r="T15" s="17">
        <f ca="1">IF($I15,c_lotfactor*INDEX(M_Onedeal!$P$8:$P$68,$J15),0)+AT15</f>
        <v>1666666.6666666665</v>
      </c>
      <c r="U15" s="17">
        <f ca="1">IF($I15,c_lotfactor*INDEX(M_Onedeal!$Q$8:$Q$68,$J15),0)+AU15</f>
        <v>1666666.6666666665</v>
      </c>
      <c r="V15" s="17">
        <f ca="1">IF($I15,c_lotfactor*INDEX(M_Onedeal!$R$8:$R$68,$J15),0)+AV15</f>
        <v>-2949583.333333333</v>
      </c>
      <c r="W15" s="17">
        <f ca="1">IF($I15,c_lotfactor*INDEX(M_Onedeal!$Y$8:$Y$68,$J15),0)+AW15</f>
        <v>1584.201373855346</v>
      </c>
      <c r="X15" s="17">
        <f ca="1">IF($I15,c_lotfactor*INDEX(M_Onedeal!$AA$8:$AA$68,$J15),0)+AX15</f>
        <v>1666666.6666666665</v>
      </c>
      <c r="Y15" s="17">
        <f ca="1">IF($I15,c_lotfactor*INDEX(M_Onedeal!$AD$8:$AD$68,$J15),0)+AY15</f>
        <v>7921.0068993438153</v>
      </c>
      <c r="Z15" s="17">
        <f ca="1">IF($I15,c_lotfactor*INDEX(M_Onedeal!$AF$8:$AF$68,$J15),0)+AZ15</f>
        <v>1029822.6328156323</v>
      </c>
      <c r="AA15" s="17">
        <f ca="1">IF($I15,c_lotfactor*INDEX(M_Onedeal!$AG$8:$AG$68,$J15),0)+BA15</f>
        <v>2575746.7737364103</v>
      </c>
      <c r="AB15" s="17">
        <f ca="1">IF($I15,c_lotfactor*INDEX(M_Onedeal!$AI$8:$AI$68,$J15),0)+BB15</f>
        <v>-2463232.1180476425</v>
      </c>
      <c r="AC15" s="17">
        <f ca="1">IF($I15,c_lotfactor*INDEX(M_Onedeal!$AQ$8:$AQ$68,$J15),0)+BC15</f>
        <v>19225</v>
      </c>
      <c r="AD15" s="17">
        <f ca="1">IF($I15,c_lotfactor*INDEX(M_Onedeal!$AR$8:$AR$68,$J15),0)+BD15</f>
        <v>19225</v>
      </c>
      <c r="AE15" s="17">
        <f ca="1">IF($I15,c_lotfactor*INDEX(M_Onedeal!$AK$8:$AK$68,$J15),0)+BE15</f>
        <v>-2501682.1180476425</v>
      </c>
      <c r="AF15" s="17">
        <f ca="1">IF($I15,c_lotfactor*INDEX(M_Onedeal!$AM$8:$AM$68,$J15),0)+BF15</f>
        <v>-3277357.3908905983</v>
      </c>
      <c r="AG15" s="17">
        <f ca="1">IF($I15,c_lotfactor*-INDEX(M_Onedeal!$AB$8:$AB$68,$J15,0))+BG15</f>
        <v>0</v>
      </c>
      <c r="AH15" s="17">
        <f ca="1">IF($I15,c_lotfactor*INDEX(M_Onedeal!$AN$8:$AN$68,$J15),0)+BH15</f>
        <v>961249.99999999988</v>
      </c>
      <c r="AI15" s="17">
        <f ca="1">IF($I15,c_lotfactor*INDEX(M_Onedeal!$AO$8:$AO$68,$J15),0)+BI15</f>
        <v>143881.44844786424</v>
      </c>
      <c r="AJ15" s="17">
        <f ca="1">IF($I15,c_lotfactor*INDEX(M_Onedeal!$AP$8:$AP$68,$J15),0)+BJ15</f>
        <v>-71940.724223932091</v>
      </c>
      <c r="AL15" s="128">
        <v>499.99999999999994</v>
      </c>
      <c r="AM15" s="128">
        <v>8.3333333333333321</v>
      </c>
      <c r="AN15" s="128">
        <v>491.66666666666657</v>
      </c>
      <c r="AO15" s="128">
        <v>13655.655795377494</v>
      </c>
      <c r="AP15" s="128">
        <v>961249.99999999988</v>
      </c>
      <c r="AQ15" s="128">
        <v>0</v>
      </c>
      <c r="AR15" s="128">
        <v>5767499.9999999991</v>
      </c>
      <c r="AS15" s="128">
        <v>961249.99999999988</v>
      </c>
      <c r="AT15" s="128">
        <v>1250000</v>
      </c>
      <c r="AU15" s="128">
        <v>1250000</v>
      </c>
      <c r="AV15" s="128">
        <v>-3494166.6666666665</v>
      </c>
      <c r="AW15" s="128">
        <v>1584.201373855346</v>
      </c>
      <c r="AX15" s="128">
        <v>1250000</v>
      </c>
      <c r="AY15" s="128">
        <v>4752.6041365995807</v>
      </c>
      <c r="AZ15" s="128">
        <v>478803.67199985444</v>
      </c>
      <c r="BA15" s="128">
        <v>1876765.7385062159</v>
      </c>
      <c r="BB15" s="128">
        <v>-2870294.7544691204</v>
      </c>
      <c r="BC15" s="128">
        <v>9612.5</v>
      </c>
      <c r="BD15" s="128">
        <v>9612.5</v>
      </c>
      <c r="BE15" s="128">
        <v>-2889519.7544691204</v>
      </c>
      <c r="BF15" s="128">
        <v>-3277357.3908905983</v>
      </c>
      <c r="BG15" s="128">
        <v>0</v>
      </c>
      <c r="BH15" s="128">
        <v>961249.99999999988</v>
      </c>
      <c r="BI15" s="128">
        <v>143881.44844786424</v>
      </c>
      <c r="BJ15" s="128">
        <v>-71940.724223932091</v>
      </c>
    </row>
    <row r="16" spans="1:62" ht="15" customHeight="1">
      <c r="B16" s="15">
        <f t="shared" si="1"/>
        <v>1000</v>
      </c>
      <c r="C16" s="15">
        <f t="shared" ca="1" si="7"/>
        <v>499.99999999999994</v>
      </c>
      <c r="D16" s="332">
        <f t="shared" ca="1" si="2"/>
        <v>83.333333333333329</v>
      </c>
      <c r="E16" s="113">
        <f t="shared" ca="1" si="3"/>
        <v>0.83333333333333326</v>
      </c>
      <c r="G16" s="15">
        <f t="shared" si="4"/>
        <v>7</v>
      </c>
      <c r="H16" s="15">
        <f t="shared" si="5"/>
        <v>1</v>
      </c>
      <c r="I16" s="15">
        <f t="shared" si="6"/>
        <v>1</v>
      </c>
      <c r="J16" s="15">
        <f t="shared" si="0"/>
        <v>7</v>
      </c>
      <c r="L16" s="15">
        <f ca="1">IF($I16,c_lotfactor*INDEX(M_Onedeal!$E$8:$E$68,$J16),0)+AL16</f>
        <v>649.99999999999989</v>
      </c>
      <c r="M16" s="15">
        <f ca="1">IF($I16,c_lotfactor*INDEX(M_Onedeal!$H$8:$H$68,$J16),0)+AM16</f>
        <v>8.3333333333333321</v>
      </c>
      <c r="N16" s="15">
        <f ca="1">IF($I16,c_lotfactor*INDEX(M_Onedeal!$I$8:$I$68,$J16),0)+AN16</f>
        <v>641.66666666666663</v>
      </c>
      <c r="O16" s="15">
        <f ca="1">IF($I16,c_lotfactor*INDEX(M_Onedeal!$K$8:$K$68,$J16),0)+AO16</f>
        <v>18571.691881713392</v>
      </c>
      <c r="P16" s="15">
        <f ca="1">IF($I16,c_lotfactor*INDEX(M_Onedeal!$L$8:$L$68,$J16),0)+AP16</f>
        <v>961249.99999999988</v>
      </c>
      <c r="Q16" s="15">
        <f ca="1">IF($I16,c_lotfactor*INDEX(M_Onedeal!$M$8:$M$68,$J16),0)+AQ16</f>
        <v>0</v>
      </c>
      <c r="R16" s="15">
        <f ca="1">IF($I16,c_lotfactor*INDEX(M_Onedeal!$N$8:$N$68,$J16),0)+AR16</f>
        <v>7689999.9999999991</v>
      </c>
      <c r="S16" s="15">
        <f ca="1">IF($I16,c_lotfactor*INDEX(M_Onedeal!$O$8:$O$68,$J16),0)+AS16</f>
        <v>961249.99999999988</v>
      </c>
      <c r="T16" s="15">
        <f ca="1">IF($I16,c_lotfactor*INDEX(M_Onedeal!$P$8:$P$68,$J16),0)+AT16</f>
        <v>2083333.333333333</v>
      </c>
      <c r="U16" s="15">
        <f ca="1">IF($I16,c_lotfactor*INDEX(M_Onedeal!$Q$8:$Q$68,$J16),0)+AU16</f>
        <v>2083333.333333333</v>
      </c>
      <c r="V16" s="15">
        <f ca="1">IF($I16,c_lotfactor*INDEX(M_Onedeal!$R$8:$R$68,$J16),0)+AV16</f>
        <v>-4327500</v>
      </c>
      <c r="W16" s="15">
        <f ca="1">IF($I16,c_lotfactor*INDEX(M_Onedeal!$Y$8:$Y$68,$J16),0)+AW16</f>
        <v>6899.3696625849507</v>
      </c>
      <c r="X16" s="15">
        <f ca="1">IF($I16,c_lotfactor*INDEX(M_Onedeal!$AA$8:$AA$68,$J16),0)+AX16</f>
        <v>2083333.333333333</v>
      </c>
      <c r="Y16" s="15">
        <f ca="1">IF($I16,c_lotfactor*INDEX(M_Onedeal!$AD$8:$AD$68,$J16),0)+AY16</f>
        <v>10067.772425329185</v>
      </c>
      <c r="Z16" s="15">
        <f ca="1">IF($I16,c_lotfactor*INDEX(M_Onedeal!$AF$8:$AF$68,$J16),0)+AZ16</f>
        <v>478803.67199985444</v>
      </c>
      <c r="AA16" s="15">
        <f ca="1">IF($I16,c_lotfactor*INDEX(M_Onedeal!$AG$8:$AG$68,$J16),0)+BA16</f>
        <v>4108061.1422999385</v>
      </c>
      <c r="AB16" s="15">
        <f ca="1">IF($I16,c_lotfactor*INDEX(M_Onedeal!$AI$8:$AI$68,$J16),0)+BB16</f>
        <v>-2870294.7544691204</v>
      </c>
      <c r="AC16" s="15">
        <f ca="1">IF($I16,c_lotfactor*INDEX(M_Onedeal!$AQ$8:$AQ$68,$J16),0)+BC16</f>
        <v>9612.5</v>
      </c>
      <c r="AD16" s="15">
        <f ca="1">IF($I16,c_lotfactor*INDEX(M_Onedeal!$AR$8:$AR$68,$J16),0)+BD16</f>
        <v>9612.5</v>
      </c>
      <c r="AE16" s="15">
        <f ca="1">IF($I16,c_lotfactor*INDEX(M_Onedeal!$AK$8:$AK$68,$J16),0)+BE16</f>
        <v>-2889519.7544691204</v>
      </c>
      <c r="AF16" s="15">
        <f ca="1">IF($I16,c_lotfactor*INDEX(M_Onedeal!$AM$8:$AM$68,$J16),0)+BF16</f>
        <v>-3277357.3908905983</v>
      </c>
      <c r="AG16" s="15">
        <f ca="1">IF($I16,c_lotfactor*-INDEX(M_Onedeal!$AB$8:$AB$68,$J16,0))+BG16</f>
        <v>0</v>
      </c>
      <c r="AH16" s="15">
        <f ca="1">IF($I16,c_lotfactor*INDEX(M_Onedeal!$AN$8:$AN$68,$J16),0)+BH16</f>
        <v>961249.99999999988</v>
      </c>
      <c r="AI16" s="15">
        <f ca="1">IF($I16,c_lotfactor*INDEX(M_Onedeal!$AO$8:$AO$68,$J16),0)+BI16</f>
        <v>143881.44844786424</v>
      </c>
      <c r="AJ16" s="15">
        <f ca="1">IF($I16,c_lotfactor*INDEX(M_Onedeal!$AP$8:$AP$68,$J16),0)+BJ16</f>
        <v>-71940.724223932091</v>
      </c>
      <c r="AL16" s="126">
        <v>574.99999999999989</v>
      </c>
      <c r="AM16" s="126">
        <v>8.3333333333333321</v>
      </c>
      <c r="AN16" s="126">
        <v>566.66666666666663</v>
      </c>
      <c r="AO16" s="126">
        <v>16113.673838545445</v>
      </c>
      <c r="AP16" s="126">
        <v>961249.99999999988</v>
      </c>
      <c r="AQ16" s="126">
        <v>0</v>
      </c>
      <c r="AR16" s="126">
        <v>6728749.9999999991</v>
      </c>
      <c r="AS16" s="126">
        <v>961249.99999999988</v>
      </c>
      <c r="AT16" s="126">
        <v>1666666.6666666665</v>
      </c>
      <c r="AU16" s="126">
        <v>1666666.6666666665</v>
      </c>
      <c r="AV16" s="126">
        <v>-3910833.333333333</v>
      </c>
      <c r="AW16" s="126">
        <v>4241.7855182201483</v>
      </c>
      <c r="AX16" s="126">
        <v>1666666.6666666665</v>
      </c>
      <c r="AY16" s="126">
        <v>7410.188280964383</v>
      </c>
      <c r="AZ16" s="126">
        <v>478803.67199985444</v>
      </c>
      <c r="BA16" s="126">
        <v>2992413.4404030773</v>
      </c>
      <c r="BB16" s="126">
        <v>-2870294.7544691204</v>
      </c>
      <c r="BC16" s="126">
        <v>9612.5</v>
      </c>
      <c r="BD16" s="126">
        <v>9612.5</v>
      </c>
      <c r="BE16" s="126">
        <v>-2889519.7544691204</v>
      </c>
      <c r="BF16" s="126">
        <v>-3277357.3908905983</v>
      </c>
      <c r="BG16" s="126">
        <v>0</v>
      </c>
      <c r="BH16" s="126">
        <v>961249.99999999988</v>
      </c>
      <c r="BI16" s="126">
        <v>143881.44844786424</v>
      </c>
      <c r="BJ16" s="126">
        <v>-71940.724223932091</v>
      </c>
    </row>
    <row r="17" spans="2:62" ht="15" customHeight="1">
      <c r="B17" s="16">
        <f t="shared" si="1"/>
        <v>1000</v>
      </c>
      <c r="C17" s="16">
        <f t="shared" ca="1" si="7"/>
        <v>583.33333333333326</v>
      </c>
      <c r="D17" s="333">
        <f t="shared" ca="1" si="2"/>
        <v>83.333333333333329</v>
      </c>
      <c r="E17" s="115">
        <f t="shared" ca="1" si="3"/>
        <v>0.83333333333333326</v>
      </c>
      <c r="G17" s="16">
        <f t="shared" si="4"/>
        <v>8</v>
      </c>
      <c r="H17" s="16">
        <f t="shared" si="5"/>
        <v>1</v>
      </c>
      <c r="I17" s="16">
        <f t="shared" si="6"/>
        <v>1</v>
      </c>
      <c r="J17" s="16">
        <f t="shared" si="0"/>
        <v>8</v>
      </c>
      <c r="L17" s="16">
        <f ca="1">IF($I17,c_lotfactor*INDEX(M_Onedeal!$E$8:$E$68,$J17),0)+AL17</f>
        <v>725</v>
      </c>
      <c r="M17" s="16">
        <f ca="1">IF($I17,c_lotfactor*INDEX(M_Onedeal!$H$8:$H$68,$J17),0)+AM17</f>
        <v>8.3333333333333321</v>
      </c>
      <c r="N17" s="16">
        <f ca="1">IF($I17,c_lotfactor*INDEX(M_Onedeal!$I$8:$I$68,$J17),0)+AN17</f>
        <v>716.66666666666663</v>
      </c>
      <c r="O17" s="16">
        <f ca="1">IF($I17,c_lotfactor*INDEX(M_Onedeal!$K$8:$K$68,$J17),0)+AO17</f>
        <v>21029.709924881339</v>
      </c>
      <c r="P17" s="16">
        <f ca="1">IF($I17,c_lotfactor*INDEX(M_Onedeal!$L$8:$L$68,$J17),0)+AP17</f>
        <v>961249.99999999988</v>
      </c>
      <c r="Q17" s="16">
        <f ca="1">IF($I17,c_lotfactor*INDEX(M_Onedeal!$M$8:$M$68,$J17),0)+AQ17</f>
        <v>0</v>
      </c>
      <c r="R17" s="16">
        <f ca="1">IF($I17,c_lotfactor*INDEX(M_Onedeal!$N$8:$N$68,$J17),0)+AR17</f>
        <v>8651249.9999999981</v>
      </c>
      <c r="S17" s="16">
        <f ca="1">IF($I17,c_lotfactor*INDEX(M_Onedeal!$O$8:$O$68,$J17),0)+AS17</f>
        <v>961249.99999999988</v>
      </c>
      <c r="T17" s="16">
        <f ca="1">IF($I17,c_lotfactor*INDEX(M_Onedeal!$P$8:$P$68,$J17),0)+AT17</f>
        <v>2499999.9999999995</v>
      </c>
      <c r="U17" s="16">
        <f ca="1">IF($I17,c_lotfactor*INDEX(M_Onedeal!$Q$8:$Q$68,$J17),0)+AU17</f>
        <v>2499999.9999999995</v>
      </c>
      <c r="V17" s="16">
        <f ca="1">IF($I17,c_lotfactor*INDEX(M_Onedeal!$R$8:$R$68,$J17),0)+AV17</f>
        <v>-4744166.666666667</v>
      </c>
      <c r="W17" s="16">
        <f ca="1">IF($I17,c_lotfactor*INDEX(M_Onedeal!$Y$8:$Y$68,$J17),0)+AW17</f>
        <v>12725.356584727529</v>
      </c>
      <c r="X17" s="16">
        <f ca="1">IF($I17,c_lotfactor*INDEX(M_Onedeal!$AA$8:$AA$68,$J17),0)+AX17</f>
        <v>2499999.9999999995</v>
      </c>
      <c r="Y17" s="16">
        <f ca="1">IF($I17,c_lotfactor*INDEX(M_Onedeal!$AD$8:$AD$68,$J17),0)+AY17</f>
        <v>15893.759347471767</v>
      </c>
      <c r="Z17" s="16">
        <f ca="1">IF($I17,c_lotfactor*INDEX(M_Onedeal!$AF$8:$AF$68,$J17),0)+AZ17</f>
        <v>478803.67199985444</v>
      </c>
      <c r="AA17" s="16">
        <f ca="1">IF($I17,c_lotfactor*INDEX(M_Onedeal!$AG$8:$AG$68,$J17),0)+BA17</f>
        <v>6057042.1775301332</v>
      </c>
      <c r="AB17" s="16">
        <f ca="1">IF($I17,c_lotfactor*INDEX(M_Onedeal!$AI$8:$AI$68,$J17),0)+BB17</f>
        <v>-2870294.7544691204</v>
      </c>
      <c r="AC17" s="16">
        <f ca="1">IF($I17,c_lotfactor*INDEX(M_Onedeal!$AQ$8:$AQ$68,$J17),0)+BC17</f>
        <v>9612.5</v>
      </c>
      <c r="AD17" s="16">
        <f ca="1">IF($I17,c_lotfactor*INDEX(M_Onedeal!$AR$8:$AR$68,$J17),0)+BD17</f>
        <v>9612.5</v>
      </c>
      <c r="AE17" s="16">
        <f ca="1">IF($I17,c_lotfactor*INDEX(M_Onedeal!$AK$8:$AK$68,$J17),0)+BE17</f>
        <v>-2889519.7544691204</v>
      </c>
      <c r="AF17" s="16">
        <f ca="1">IF($I17,c_lotfactor*INDEX(M_Onedeal!$AM$8:$AM$68,$J17),0)+BF17</f>
        <v>-3277357.3908905983</v>
      </c>
      <c r="AG17" s="16">
        <f ca="1">IF($I17,c_lotfactor*-INDEX(M_Onedeal!$AB$8:$AB$68,$J17,0))+BG17</f>
        <v>0</v>
      </c>
      <c r="AH17" s="16">
        <f ca="1">IF($I17,c_lotfactor*INDEX(M_Onedeal!$AN$8:$AN$68,$J17),0)+BH17</f>
        <v>961249.99999999988</v>
      </c>
      <c r="AI17" s="16">
        <f ca="1">IF($I17,c_lotfactor*INDEX(M_Onedeal!$AO$8:$AO$68,$J17),0)+BI17</f>
        <v>143881.44844786424</v>
      </c>
      <c r="AJ17" s="16">
        <f ca="1">IF($I17,c_lotfactor*INDEX(M_Onedeal!$AP$8:$AP$68,$J17),0)+BJ17</f>
        <v>-71940.724223932091</v>
      </c>
      <c r="AL17" s="127">
        <v>650</v>
      </c>
      <c r="AM17" s="127">
        <v>8.3333333333333321</v>
      </c>
      <c r="AN17" s="127">
        <v>641.66666666666663</v>
      </c>
      <c r="AO17" s="127">
        <v>18571.691881713392</v>
      </c>
      <c r="AP17" s="127">
        <v>961249.99999999988</v>
      </c>
      <c r="AQ17" s="127">
        <v>0</v>
      </c>
      <c r="AR17" s="127">
        <v>7689999.9999999991</v>
      </c>
      <c r="AS17" s="127">
        <v>961249.99999999988</v>
      </c>
      <c r="AT17" s="127">
        <v>2083333.333333333</v>
      </c>
      <c r="AU17" s="127">
        <v>2083333.333333333</v>
      </c>
      <c r="AV17" s="127">
        <v>-4327500</v>
      </c>
      <c r="AW17" s="127">
        <v>8483.5710514738385</v>
      </c>
      <c r="AX17" s="127">
        <v>2083333.333333333</v>
      </c>
      <c r="AY17" s="127">
        <v>11651.973814218076</v>
      </c>
      <c r="AZ17" s="127">
        <v>478803.67199985444</v>
      </c>
      <c r="BA17" s="127">
        <v>4524727.808966605</v>
      </c>
      <c r="BB17" s="127">
        <v>-2870294.7544691204</v>
      </c>
      <c r="BC17" s="127">
        <v>9612.5</v>
      </c>
      <c r="BD17" s="127">
        <v>9612.5</v>
      </c>
      <c r="BE17" s="127">
        <v>-2889519.7544691204</v>
      </c>
      <c r="BF17" s="127">
        <v>-3277357.3908905983</v>
      </c>
      <c r="BG17" s="127">
        <v>0</v>
      </c>
      <c r="BH17" s="127">
        <v>961249.99999999988</v>
      </c>
      <c r="BI17" s="127">
        <v>143881.44844786424</v>
      </c>
      <c r="BJ17" s="127">
        <v>-71940.724223932091</v>
      </c>
    </row>
    <row r="18" spans="2:62" ht="15" customHeight="1">
      <c r="B18" s="17">
        <f t="shared" si="1"/>
        <v>1000</v>
      </c>
      <c r="C18" s="17">
        <f t="shared" ca="1" si="7"/>
        <v>666.66666666666663</v>
      </c>
      <c r="D18" s="334">
        <f t="shared" ca="1" si="2"/>
        <v>83.333333333333329</v>
      </c>
      <c r="E18" s="116">
        <f t="shared" ca="1" si="3"/>
        <v>0.83333333333333326</v>
      </c>
      <c r="G18" s="17">
        <f t="shared" si="4"/>
        <v>9</v>
      </c>
      <c r="H18" s="17">
        <f t="shared" si="5"/>
        <v>1</v>
      </c>
      <c r="I18" s="17">
        <f t="shared" si="6"/>
        <v>1</v>
      </c>
      <c r="J18" s="17">
        <f t="shared" si="0"/>
        <v>9</v>
      </c>
      <c r="L18" s="17">
        <f ca="1">IF($I18,c_lotfactor*INDEX(M_Onedeal!$E$8:$E$68,$J18),0)+AL18</f>
        <v>800</v>
      </c>
      <c r="M18" s="17">
        <f ca="1">IF($I18,c_lotfactor*INDEX(M_Onedeal!$H$8:$H$68,$J18),0)+AM18</f>
        <v>8.3333333333333321</v>
      </c>
      <c r="N18" s="17">
        <f ca="1">IF($I18,c_lotfactor*INDEX(M_Onedeal!$I$8:$I$68,$J18),0)+AN18</f>
        <v>791.66666666666674</v>
      </c>
      <c r="O18" s="17">
        <f ca="1">IF($I18,c_lotfactor*INDEX(M_Onedeal!$K$8:$K$68,$J18),0)+AO18</f>
        <v>23487.727968049294</v>
      </c>
      <c r="P18" s="17">
        <f ca="1">IF($I18,c_lotfactor*INDEX(M_Onedeal!$L$8:$L$68,$J18),0)+AP18</f>
        <v>961249.99999999988</v>
      </c>
      <c r="Q18" s="17">
        <f ca="1">IF($I18,c_lotfactor*INDEX(M_Onedeal!$M$8:$M$68,$J18),0)+AQ18</f>
        <v>0</v>
      </c>
      <c r="R18" s="17">
        <f ca="1">IF($I18,c_lotfactor*INDEX(M_Onedeal!$N$8:$N$68,$J18),0)+AR18</f>
        <v>9612499.9999999981</v>
      </c>
      <c r="S18" s="17">
        <f ca="1">IF($I18,c_lotfactor*INDEX(M_Onedeal!$O$8:$O$68,$J18),0)+AS18</f>
        <v>961249.99999999988</v>
      </c>
      <c r="T18" s="17">
        <f ca="1">IF($I18,c_lotfactor*INDEX(M_Onedeal!$P$8:$P$68,$J18),0)+AT18</f>
        <v>2916666.666666666</v>
      </c>
      <c r="U18" s="17">
        <f ca="1">IF($I18,c_lotfactor*INDEX(M_Onedeal!$Q$8:$Q$68,$J18),0)+AU18</f>
        <v>2916666.666666666</v>
      </c>
      <c r="V18" s="17">
        <f ca="1">IF($I18,c_lotfactor*INDEX(M_Onedeal!$R$8:$R$68,$J18),0)+AV18</f>
        <v>-5160833.333333333</v>
      </c>
      <c r="W18" s="17">
        <f ca="1">IF($I18,c_lotfactor*INDEX(M_Onedeal!$Y$8:$Y$68,$J18),0)+AW18</f>
        <v>20135.544895758998</v>
      </c>
      <c r="X18" s="17">
        <f ca="1">IF($I18,c_lotfactor*INDEX(M_Onedeal!$AA$8:$AA$68,$J18),0)+AX18</f>
        <v>2916666.666666666</v>
      </c>
      <c r="Y18" s="17">
        <f ca="1">IF($I18,c_lotfactor*INDEX(M_Onedeal!$AD$8:$AD$68,$J18),0)+AY18</f>
        <v>23303.947658503217</v>
      </c>
      <c r="Z18" s="17">
        <f ca="1">IF($I18,c_lotfactor*INDEX(M_Onedeal!$AF$8:$AF$68,$J18),0)+AZ18</f>
        <v>478803.67199985444</v>
      </c>
      <c r="AA18" s="17">
        <f ca="1">IF($I18,c_lotfactor*INDEX(M_Onedeal!$AG$8:$AG$68,$J18),0)+BA18</f>
        <v>8422689.8794269934</v>
      </c>
      <c r="AB18" s="17">
        <f ca="1">IF($I18,c_lotfactor*INDEX(M_Onedeal!$AI$8:$AI$68,$J18),0)+BB18</f>
        <v>-2870294.7544691204</v>
      </c>
      <c r="AC18" s="17">
        <f ca="1">IF($I18,c_lotfactor*INDEX(M_Onedeal!$AQ$8:$AQ$68,$J18),0)+BC18</f>
        <v>9612.5</v>
      </c>
      <c r="AD18" s="17">
        <f ca="1">IF($I18,c_lotfactor*INDEX(M_Onedeal!$AR$8:$AR$68,$J18),0)+BD18</f>
        <v>9612.5</v>
      </c>
      <c r="AE18" s="17">
        <f ca="1">IF($I18,c_lotfactor*INDEX(M_Onedeal!$AK$8:$AK$68,$J18),0)+BE18</f>
        <v>-2889519.7544691204</v>
      </c>
      <c r="AF18" s="17">
        <f ca="1">IF($I18,c_lotfactor*INDEX(M_Onedeal!$AM$8:$AM$68,$J18),0)+BF18</f>
        <v>-3277357.3908905983</v>
      </c>
      <c r="AG18" s="17">
        <f ca="1">IF($I18,c_lotfactor*-INDEX(M_Onedeal!$AB$8:$AB$68,$J18,0))+BG18</f>
        <v>0</v>
      </c>
      <c r="AH18" s="17">
        <f ca="1">IF($I18,c_lotfactor*INDEX(M_Onedeal!$AN$8:$AN$68,$J18),0)+BH18</f>
        <v>961249.99999999988</v>
      </c>
      <c r="AI18" s="17">
        <f ca="1">IF($I18,c_lotfactor*INDEX(M_Onedeal!$AO$8:$AO$68,$J18),0)+BI18</f>
        <v>143881.44844786424</v>
      </c>
      <c r="AJ18" s="17">
        <f ca="1">IF($I18,c_lotfactor*INDEX(M_Onedeal!$AP$8:$AP$68,$J18),0)+BJ18</f>
        <v>-71940.724223932091</v>
      </c>
      <c r="AL18" s="128">
        <v>725</v>
      </c>
      <c r="AM18" s="128">
        <v>8.3333333333333321</v>
      </c>
      <c r="AN18" s="128">
        <v>716.66666666666674</v>
      </c>
      <c r="AO18" s="128">
        <v>21029.709924881343</v>
      </c>
      <c r="AP18" s="128">
        <v>961249.99999999988</v>
      </c>
      <c r="AQ18" s="128">
        <v>0</v>
      </c>
      <c r="AR18" s="128">
        <v>8651249.9999999981</v>
      </c>
      <c r="AS18" s="128">
        <v>961249.99999999988</v>
      </c>
      <c r="AT18" s="128">
        <v>2499999.9999999995</v>
      </c>
      <c r="AU18" s="128">
        <v>2499999.9999999995</v>
      </c>
      <c r="AV18" s="128">
        <v>-4744166.666666666</v>
      </c>
      <c r="AW18" s="128">
        <v>14309.557973616418</v>
      </c>
      <c r="AX18" s="128">
        <v>2499999.9999999995</v>
      </c>
      <c r="AY18" s="128">
        <v>17477.960736360645</v>
      </c>
      <c r="AZ18" s="128">
        <v>478803.67199985444</v>
      </c>
      <c r="BA18" s="128">
        <v>6473708.8441967983</v>
      </c>
      <c r="BB18" s="128">
        <v>-2870294.7544691204</v>
      </c>
      <c r="BC18" s="128">
        <v>9612.5</v>
      </c>
      <c r="BD18" s="128">
        <v>9612.5</v>
      </c>
      <c r="BE18" s="128">
        <v>-2889519.7544691204</v>
      </c>
      <c r="BF18" s="128">
        <v>-3277357.3908905983</v>
      </c>
      <c r="BG18" s="128">
        <v>0</v>
      </c>
      <c r="BH18" s="128">
        <v>961249.99999999988</v>
      </c>
      <c r="BI18" s="128">
        <v>143881.44844786424</v>
      </c>
      <c r="BJ18" s="128">
        <v>-71940.724223932091</v>
      </c>
    </row>
    <row r="19" spans="2:62" ht="15" customHeight="1">
      <c r="B19" s="15">
        <f t="shared" si="1"/>
        <v>1000</v>
      </c>
      <c r="C19" s="15">
        <f t="shared" ca="1" si="7"/>
        <v>750</v>
      </c>
      <c r="D19" s="332">
        <f t="shared" ca="1" si="2"/>
        <v>83.333333333333329</v>
      </c>
      <c r="E19" s="113">
        <f t="shared" ca="1" si="3"/>
        <v>0.83333333333333326</v>
      </c>
      <c r="G19" s="15">
        <f t="shared" si="4"/>
        <v>10</v>
      </c>
      <c r="H19" s="15">
        <f t="shared" si="5"/>
        <v>1</v>
      </c>
      <c r="I19" s="15">
        <f t="shared" si="6"/>
        <v>1</v>
      </c>
      <c r="J19" s="15">
        <f t="shared" si="0"/>
        <v>10</v>
      </c>
      <c r="L19" s="15">
        <f ca="1">IF($I19,c_lotfactor*INDEX(M_Onedeal!$E$8:$E$68,$J19),0)+AL19</f>
        <v>875.00000000000011</v>
      </c>
      <c r="M19" s="15">
        <f ca="1">IF($I19,c_lotfactor*INDEX(M_Onedeal!$H$8:$H$68,$J19),0)+AM19</f>
        <v>8.3333333333333321</v>
      </c>
      <c r="N19" s="15">
        <f ca="1">IF($I19,c_lotfactor*INDEX(M_Onedeal!$I$8:$I$68,$J19),0)+AN19</f>
        <v>866.66666666666674</v>
      </c>
      <c r="O19" s="15">
        <f ca="1">IF($I19,c_lotfactor*INDEX(M_Onedeal!$K$8:$K$68,$J19),0)+AO19</f>
        <v>25945.746011217241</v>
      </c>
      <c r="P19" s="15">
        <f ca="1">IF($I19,c_lotfactor*INDEX(M_Onedeal!$L$8:$L$68,$J19),0)+AP19</f>
        <v>961249.99999999988</v>
      </c>
      <c r="Q19" s="15">
        <f ca="1">IF($I19,c_lotfactor*INDEX(M_Onedeal!$M$8:$M$68,$J19),0)+AQ19</f>
        <v>0</v>
      </c>
      <c r="R19" s="15">
        <f ca="1">IF($I19,c_lotfactor*INDEX(M_Onedeal!$N$8:$N$68,$J19),0)+AR19</f>
        <v>10573749.999999998</v>
      </c>
      <c r="S19" s="15">
        <f ca="1">IF($I19,c_lotfactor*INDEX(M_Onedeal!$O$8:$O$68,$J19),0)+AS19</f>
        <v>961249.99999999988</v>
      </c>
      <c r="T19" s="15">
        <f ca="1">IF($I19,c_lotfactor*INDEX(M_Onedeal!$P$8:$P$68,$J19),0)+AT19</f>
        <v>3333333.3333333326</v>
      </c>
      <c r="U19" s="15">
        <f ca="1">IF($I19,c_lotfactor*INDEX(M_Onedeal!$Q$8:$Q$68,$J19),0)+AU19</f>
        <v>3333333.3333333326</v>
      </c>
      <c r="V19" s="15">
        <f ca="1">IF($I19,c_lotfactor*INDEX(M_Onedeal!$R$8:$R$68,$J19),0)+AV19</f>
        <v>-5577500</v>
      </c>
      <c r="W19" s="15">
        <f ca="1">IF($I19,c_lotfactor*INDEX(M_Onedeal!$Y$8:$Y$68,$J19),0)+AW19</f>
        <v>29129.934595679355</v>
      </c>
      <c r="X19" s="15">
        <f ca="1">IF($I19,c_lotfactor*INDEX(M_Onedeal!$AA$8:$AA$68,$J19),0)+AX19</f>
        <v>3333333.3333333326</v>
      </c>
      <c r="Y19" s="15">
        <f ca="1">IF($I19,c_lotfactor*INDEX(M_Onedeal!$AD$8:$AD$68,$J19),0)+AY19</f>
        <v>32298.337358423581</v>
      </c>
      <c r="Z19" s="15">
        <f ca="1">IF($I19,c_lotfactor*INDEX(M_Onedeal!$AF$8:$AF$68,$J19),0)+AZ19</f>
        <v>478803.67199985444</v>
      </c>
      <c r="AA19" s="15">
        <f ca="1">IF($I19,c_lotfactor*INDEX(M_Onedeal!$AG$8:$AG$68,$J19),0)+BA19</f>
        <v>11205004.247990523</v>
      </c>
      <c r="AB19" s="15">
        <f ca="1">IF($I19,c_lotfactor*INDEX(M_Onedeal!$AI$8:$AI$68,$J19),0)+BB19</f>
        <v>-2870294.7544691204</v>
      </c>
      <c r="AC19" s="15">
        <f ca="1">IF($I19,c_lotfactor*INDEX(M_Onedeal!$AQ$8:$AQ$68,$J19),0)+BC19</f>
        <v>9612.5</v>
      </c>
      <c r="AD19" s="15">
        <f ca="1">IF($I19,c_lotfactor*INDEX(M_Onedeal!$AR$8:$AR$68,$J19),0)+BD19</f>
        <v>9612.5</v>
      </c>
      <c r="AE19" s="15">
        <f ca="1">IF($I19,c_lotfactor*INDEX(M_Onedeal!$AK$8:$AK$68,$J19),0)+BE19</f>
        <v>-2889519.7544691204</v>
      </c>
      <c r="AF19" s="15">
        <f ca="1">IF($I19,c_lotfactor*INDEX(M_Onedeal!$AM$8:$AM$68,$J19),0)+BF19</f>
        <v>-3277357.3908905983</v>
      </c>
      <c r="AG19" s="15">
        <f ca="1">IF($I19,c_lotfactor*-INDEX(M_Onedeal!$AB$8:$AB$68,$J19,0))+BG19</f>
        <v>0</v>
      </c>
      <c r="AH19" s="15">
        <f ca="1">IF($I19,c_lotfactor*INDEX(M_Onedeal!$AN$8:$AN$68,$J19),0)+BH19</f>
        <v>961249.99999999988</v>
      </c>
      <c r="AI19" s="15">
        <f ca="1">IF($I19,c_lotfactor*INDEX(M_Onedeal!$AO$8:$AO$68,$J19),0)+BI19</f>
        <v>143881.44844786424</v>
      </c>
      <c r="AJ19" s="15">
        <f ca="1">IF($I19,c_lotfactor*INDEX(M_Onedeal!$AP$8:$AP$68,$J19),0)+BJ19</f>
        <v>-71940.724223932091</v>
      </c>
      <c r="AL19" s="126">
        <v>800.00000000000011</v>
      </c>
      <c r="AM19" s="126">
        <v>8.3333333333333321</v>
      </c>
      <c r="AN19" s="126">
        <v>791.66666666666674</v>
      </c>
      <c r="AO19" s="126">
        <v>23487.727968049294</v>
      </c>
      <c r="AP19" s="126">
        <v>961249.99999999988</v>
      </c>
      <c r="AQ19" s="126">
        <v>0</v>
      </c>
      <c r="AR19" s="126">
        <v>9612499.9999999981</v>
      </c>
      <c r="AS19" s="126">
        <v>961249.99999999988</v>
      </c>
      <c r="AT19" s="126">
        <v>2916666.666666666</v>
      </c>
      <c r="AU19" s="126">
        <v>2916666.666666666</v>
      </c>
      <c r="AV19" s="126">
        <v>-5160833.333333333</v>
      </c>
      <c r="AW19" s="126">
        <v>21719.746284647888</v>
      </c>
      <c r="AX19" s="126">
        <v>2916666.666666666</v>
      </c>
      <c r="AY19" s="126">
        <v>24888.149047392111</v>
      </c>
      <c r="AZ19" s="126">
        <v>478803.67199985444</v>
      </c>
      <c r="BA19" s="126">
        <v>8839356.5460936613</v>
      </c>
      <c r="BB19" s="126">
        <v>-2870294.7544691204</v>
      </c>
      <c r="BC19" s="126">
        <v>9612.5</v>
      </c>
      <c r="BD19" s="126">
        <v>9612.5</v>
      </c>
      <c r="BE19" s="126">
        <v>-2889519.7544691204</v>
      </c>
      <c r="BF19" s="126">
        <v>-3277357.3908905983</v>
      </c>
      <c r="BG19" s="126">
        <v>0</v>
      </c>
      <c r="BH19" s="126">
        <v>961249.99999999988</v>
      </c>
      <c r="BI19" s="126">
        <v>143881.44844786424</v>
      </c>
      <c r="BJ19" s="126">
        <v>-71940.724223932091</v>
      </c>
    </row>
    <row r="20" spans="2:62" ht="15" customHeight="1">
      <c r="B20" s="16">
        <f t="shared" si="1"/>
        <v>1000</v>
      </c>
      <c r="C20" s="16">
        <f t="shared" ca="1" si="7"/>
        <v>833.33333333333337</v>
      </c>
      <c r="D20" s="333">
        <f t="shared" ca="1" si="2"/>
        <v>83.333333333333329</v>
      </c>
      <c r="E20" s="115">
        <f t="shared" ca="1" si="3"/>
        <v>0.83333333333333326</v>
      </c>
      <c r="G20" s="16">
        <f t="shared" si="4"/>
        <v>11</v>
      </c>
      <c r="H20" s="16">
        <f t="shared" si="5"/>
        <v>1</v>
      </c>
      <c r="I20" s="16">
        <f t="shared" si="6"/>
        <v>1</v>
      </c>
      <c r="J20" s="16">
        <f t="shared" si="0"/>
        <v>11</v>
      </c>
      <c r="L20" s="16">
        <f ca="1">IF($I20,c_lotfactor*INDEX(M_Onedeal!$E$8:$E$68,$J20),0)+AL20</f>
        <v>950.00000000000011</v>
      </c>
      <c r="M20" s="16">
        <f ca="1">IF($I20,c_lotfactor*INDEX(M_Onedeal!$H$8:$H$68,$J20),0)+AM20</f>
        <v>8.3333333333333321</v>
      </c>
      <c r="N20" s="16">
        <f ca="1">IF($I20,c_lotfactor*INDEX(M_Onedeal!$I$8:$I$68,$J20),0)+AN20</f>
        <v>941.66666666666686</v>
      </c>
      <c r="O20" s="16">
        <f ca="1">IF($I20,c_lotfactor*INDEX(M_Onedeal!$K$8:$K$68,$J20),0)+AO20</f>
        <v>28403.764054385189</v>
      </c>
      <c r="P20" s="16">
        <f ca="1">IF($I20,c_lotfactor*INDEX(M_Onedeal!$L$8:$L$68,$J20),0)+AP20</f>
        <v>961249.99999999988</v>
      </c>
      <c r="Q20" s="16">
        <f ca="1">IF($I20,c_lotfactor*INDEX(M_Onedeal!$M$8:$M$68,$J20),0)+AQ20</f>
        <v>0</v>
      </c>
      <c r="R20" s="16">
        <f ca="1">IF($I20,c_lotfactor*INDEX(M_Onedeal!$N$8:$N$68,$J20),0)+AR20</f>
        <v>11534999.999999998</v>
      </c>
      <c r="S20" s="16">
        <f ca="1">IF($I20,c_lotfactor*INDEX(M_Onedeal!$O$8:$O$68,$J20),0)+AS20</f>
        <v>961249.99999999988</v>
      </c>
      <c r="T20" s="16">
        <f ca="1">IF($I20,c_lotfactor*INDEX(M_Onedeal!$P$8:$P$68,$J20),0)+AT20</f>
        <v>3749999.9999999991</v>
      </c>
      <c r="U20" s="16">
        <f ca="1">IF($I20,c_lotfactor*INDEX(M_Onedeal!$Q$8:$Q$68,$J20),0)+AU20</f>
        <v>3749999.9999999991</v>
      </c>
      <c r="V20" s="16">
        <f ca="1">IF($I20,c_lotfactor*INDEX(M_Onedeal!$R$8:$R$68,$J20),0)+AV20</f>
        <v>-5994166.666666667</v>
      </c>
      <c r="W20" s="16">
        <f ca="1">IF($I20,c_lotfactor*INDEX(M_Onedeal!$Y$8:$Y$68,$J20),0)+AW20</f>
        <v>39708.525684488603</v>
      </c>
      <c r="X20" s="16">
        <f ca="1">IF($I20,c_lotfactor*INDEX(M_Onedeal!$AA$8:$AA$68,$J20),0)+AX20</f>
        <v>3749999.9999999991</v>
      </c>
      <c r="Y20" s="16">
        <f ca="1">IF($I20,c_lotfactor*INDEX(M_Onedeal!$AD$8:$AD$68,$J20),0)+AY20</f>
        <v>42876.928447232771</v>
      </c>
      <c r="Z20" s="16">
        <f ca="1">IF($I20,c_lotfactor*INDEX(M_Onedeal!$AF$8:$AF$68,$J20),0)+AZ20</f>
        <v>478803.67199985444</v>
      </c>
      <c r="AA20" s="16">
        <f ca="1">IF($I20,c_lotfactor*INDEX(M_Onedeal!$AG$8:$AG$68,$J20),0)+BA20</f>
        <v>14403985.283220716</v>
      </c>
      <c r="AB20" s="16">
        <f ca="1">IF($I20,c_lotfactor*INDEX(M_Onedeal!$AI$8:$AI$68,$J20),0)+BB20</f>
        <v>-2870294.7544691204</v>
      </c>
      <c r="AC20" s="16">
        <f ca="1">IF($I20,c_lotfactor*INDEX(M_Onedeal!$AQ$8:$AQ$68,$J20),0)+BC20</f>
        <v>9612.5</v>
      </c>
      <c r="AD20" s="16">
        <f ca="1">IF($I20,c_lotfactor*INDEX(M_Onedeal!$AR$8:$AR$68,$J20),0)+BD20</f>
        <v>9612.5</v>
      </c>
      <c r="AE20" s="16">
        <f ca="1">IF($I20,c_lotfactor*INDEX(M_Onedeal!$AK$8:$AK$68,$J20),0)+BE20</f>
        <v>-2889519.7544691204</v>
      </c>
      <c r="AF20" s="16">
        <f ca="1">IF($I20,c_lotfactor*INDEX(M_Onedeal!$AM$8:$AM$68,$J20),0)+BF20</f>
        <v>-3277357.3908905983</v>
      </c>
      <c r="AG20" s="16">
        <f ca="1">IF($I20,c_lotfactor*-INDEX(M_Onedeal!$AB$8:$AB$68,$J20,0))+BG20</f>
        <v>0</v>
      </c>
      <c r="AH20" s="16">
        <f ca="1">IF($I20,c_lotfactor*INDEX(M_Onedeal!$AN$8:$AN$68,$J20),0)+BH20</f>
        <v>961249.99999999988</v>
      </c>
      <c r="AI20" s="16">
        <f ca="1">IF($I20,c_lotfactor*INDEX(M_Onedeal!$AO$8:$AO$68,$J20),0)+BI20</f>
        <v>143881.44844786424</v>
      </c>
      <c r="AJ20" s="16">
        <f ca="1">IF($I20,c_lotfactor*INDEX(M_Onedeal!$AP$8:$AP$68,$J20),0)+BJ20</f>
        <v>-71940.724223932091</v>
      </c>
      <c r="AL20" s="127">
        <v>875.00000000000011</v>
      </c>
      <c r="AM20" s="127">
        <v>8.3333333333333321</v>
      </c>
      <c r="AN20" s="127">
        <v>866.66666666666686</v>
      </c>
      <c r="AO20" s="127">
        <v>25945.746011217241</v>
      </c>
      <c r="AP20" s="127">
        <v>961249.99999999988</v>
      </c>
      <c r="AQ20" s="127">
        <v>0</v>
      </c>
      <c r="AR20" s="127">
        <v>10573749.999999998</v>
      </c>
      <c r="AS20" s="127">
        <v>961249.99999999988</v>
      </c>
      <c r="AT20" s="127">
        <v>3333333.3333333326</v>
      </c>
      <c r="AU20" s="127">
        <v>3333333.3333333326</v>
      </c>
      <c r="AV20" s="127">
        <v>-5577500</v>
      </c>
      <c r="AW20" s="127">
        <v>30714.135984568242</v>
      </c>
      <c r="AX20" s="127">
        <v>3333333.3333333326</v>
      </c>
      <c r="AY20" s="127">
        <v>33882.538747312443</v>
      </c>
      <c r="AZ20" s="127">
        <v>478803.67199985444</v>
      </c>
      <c r="BA20" s="127">
        <v>11621670.914657189</v>
      </c>
      <c r="BB20" s="127">
        <v>-2870294.7544691204</v>
      </c>
      <c r="BC20" s="127">
        <v>9612.5</v>
      </c>
      <c r="BD20" s="127">
        <v>9612.5</v>
      </c>
      <c r="BE20" s="127">
        <v>-2889519.7544691204</v>
      </c>
      <c r="BF20" s="127">
        <v>-3277357.3908905983</v>
      </c>
      <c r="BG20" s="127">
        <v>0</v>
      </c>
      <c r="BH20" s="127">
        <v>961249.99999999988</v>
      </c>
      <c r="BI20" s="127">
        <v>143881.44844786424</v>
      </c>
      <c r="BJ20" s="127">
        <v>-71940.724223932091</v>
      </c>
    </row>
    <row r="21" spans="2:62" ht="15" customHeight="1" thickBot="1">
      <c r="B21" s="18">
        <f t="shared" si="1"/>
        <v>1000</v>
      </c>
      <c r="C21" s="18">
        <f t="shared" ca="1" si="7"/>
        <v>916.66666666666674</v>
      </c>
      <c r="D21" s="335">
        <f t="shared" ca="1" si="2"/>
        <v>83.333333333333329</v>
      </c>
      <c r="E21" s="117">
        <f t="shared" ca="1" si="3"/>
        <v>0.83333333333333326</v>
      </c>
      <c r="G21" s="18">
        <f t="shared" si="4"/>
        <v>12</v>
      </c>
      <c r="H21" s="18">
        <f t="shared" si="5"/>
        <v>1</v>
      </c>
      <c r="I21" s="18">
        <f t="shared" si="6"/>
        <v>1</v>
      </c>
      <c r="J21" s="18">
        <f t="shared" si="0"/>
        <v>12</v>
      </c>
      <c r="L21" s="18">
        <f ca="1">IF($I21,c_lotfactor*INDEX(M_Onedeal!$E$8:$E$68,$J21),0)+AL21</f>
        <v>1025.0000000000002</v>
      </c>
      <c r="M21" s="18">
        <f ca="1">IF($I21,c_lotfactor*INDEX(M_Onedeal!$H$8:$H$68,$J21),0)+AM21</f>
        <v>16.666666666666664</v>
      </c>
      <c r="N21" s="18">
        <f ca="1">IF($I21,c_lotfactor*INDEX(M_Onedeal!$I$8:$I$68,$J21),0)+AN21</f>
        <v>1008.3333333333335</v>
      </c>
      <c r="O21" s="18">
        <f ca="1">IF($I21,c_lotfactor*INDEX(M_Onedeal!$K$8:$K$68,$J21),0)+AO21</f>
        <v>30861.782097553143</v>
      </c>
      <c r="P21" s="18">
        <f ca="1">IF($I21,c_lotfactor*INDEX(M_Onedeal!$L$8:$L$68,$J21),0)+AP21</f>
        <v>1922499.9999999998</v>
      </c>
      <c r="Q21" s="18">
        <f ca="1">IF($I21,c_lotfactor*INDEX(M_Onedeal!$M$8:$M$68,$J21),0)+AQ21</f>
        <v>0</v>
      </c>
      <c r="R21" s="18">
        <f ca="1">IF($I21,c_lotfactor*INDEX(M_Onedeal!$N$8:$N$68,$J21),0)+AR21</f>
        <v>12496249.999999998</v>
      </c>
      <c r="S21" s="18">
        <f ca="1">IF($I21,c_lotfactor*INDEX(M_Onedeal!$O$8:$O$68,$J21),0)+AS21</f>
        <v>1922499.9999999998</v>
      </c>
      <c r="T21" s="18">
        <f ca="1">IF($I21,c_lotfactor*INDEX(M_Onedeal!$P$8:$P$68,$J21),0)+AT21</f>
        <v>4166666.6666666656</v>
      </c>
      <c r="U21" s="18">
        <f ca="1">IF($I21,c_lotfactor*INDEX(M_Onedeal!$Q$8:$Q$68,$J21),0)+AU21</f>
        <v>4166666.6666666656</v>
      </c>
      <c r="V21" s="18">
        <f ca="1">IF($I21,c_lotfactor*INDEX(M_Onedeal!$R$8:$R$68,$J21),0)+AV21</f>
        <v>-5449583.333333333</v>
      </c>
      <c r="W21" s="18">
        <f ca="1">IF($I21,c_lotfactor*INDEX(M_Onedeal!$Y$8:$Y$68,$J21),0)+AW21</f>
        <v>30714.135984568242</v>
      </c>
      <c r="X21" s="18">
        <f ca="1">IF($I21,c_lotfactor*INDEX(M_Onedeal!$AA$8:$AA$68,$J21),0)+AX21</f>
        <v>4166666.6666666656</v>
      </c>
      <c r="Y21" s="18">
        <f ca="1">IF($I21,c_lotfactor*INDEX(M_Onedeal!$AD$8:$AD$68,$J21),0)+AY21</f>
        <v>55039.720924930931</v>
      </c>
      <c r="Z21" s="18">
        <f ca="1">IF($I21,c_lotfactor*INDEX(M_Onedeal!$AF$8:$AF$68,$J21),0)+AZ21</f>
        <v>1029822.6328156322</v>
      </c>
      <c r="AA21" s="18">
        <f ca="1">IF($I21,c_lotfactor*INDEX(M_Onedeal!$AG$8:$AG$68,$J21),0)+BA21</f>
        <v>17468614.024301801</v>
      </c>
      <c r="AB21" s="18">
        <f ca="1">IF($I21,c_lotfactor*INDEX(M_Onedeal!$AI$8:$AI$68,$J21),0)+BB21</f>
        <v>-2481220.8974625166</v>
      </c>
      <c r="AC21" s="18">
        <f ca="1">IF($I21,c_lotfactor*INDEX(M_Onedeal!$AQ$8:$AQ$68,$J21),0)+BC21</f>
        <v>19225</v>
      </c>
      <c r="AD21" s="18">
        <f ca="1">IF($I21,c_lotfactor*INDEX(M_Onedeal!$AR$8:$AR$68,$J21),0)+BD21</f>
        <v>19225</v>
      </c>
      <c r="AE21" s="18">
        <f ca="1">IF($I21,c_lotfactor*INDEX(M_Onedeal!$AK$8:$AK$68,$J21),0)+BE21</f>
        <v>-2519670.8974625166</v>
      </c>
      <c r="AF21" s="18">
        <f ca="1">IF($I21,c_lotfactor*INDEX(M_Onedeal!$AM$8:$AM$68,$J21),0)+BF21</f>
        <v>-3277357.3908905983</v>
      </c>
      <c r="AG21" s="18">
        <f ca="1">IF($I21,c_lotfactor*-INDEX(M_Onedeal!$AB$8:$AB$68,$J21,0))+BG21</f>
        <v>0</v>
      </c>
      <c r="AH21" s="18">
        <f ca="1">IF($I21,c_lotfactor*INDEX(M_Onedeal!$AN$8:$AN$68,$J21),0)+BH21</f>
        <v>961249.99999999988</v>
      </c>
      <c r="AI21" s="18">
        <f ca="1">IF($I21,c_lotfactor*INDEX(M_Onedeal!$AO$8:$AO$68,$J21),0)+BI21</f>
        <v>143881.44844786424</v>
      </c>
      <c r="AJ21" s="18">
        <f ca="1">IF($I21,c_lotfactor*INDEX(M_Onedeal!$AP$8:$AP$68,$J21),0)+BJ21</f>
        <v>-71940.724223932091</v>
      </c>
      <c r="AL21" s="129">
        <v>950.00000000000023</v>
      </c>
      <c r="AM21" s="129">
        <v>12.499999999999998</v>
      </c>
      <c r="AN21" s="129">
        <v>937.50000000000011</v>
      </c>
      <c r="AO21" s="129">
        <v>28403.764054385192</v>
      </c>
      <c r="AP21" s="129">
        <v>1441874.9999999998</v>
      </c>
      <c r="AQ21" s="129">
        <v>0</v>
      </c>
      <c r="AR21" s="129">
        <v>11534999.999999998</v>
      </c>
      <c r="AS21" s="129">
        <v>1441874.9999999998</v>
      </c>
      <c r="AT21" s="129">
        <v>3749999.9999999991</v>
      </c>
      <c r="AU21" s="129">
        <v>3749999.9999999991</v>
      </c>
      <c r="AV21" s="129">
        <v>-5513541.666666666</v>
      </c>
      <c r="AW21" s="129">
        <v>30714.135984568242</v>
      </c>
      <c r="AX21" s="129">
        <v>3749999.9999999991</v>
      </c>
      <c r="AY21" s="129">
        <v>44461.129836121683</v>
      </c>
      <c r="AZ21" s="129">
        <v>754313.15240774327</v>
      </c>
      <c r="BA21" s="129">
        <v>14545142.469479494</v>
      </c>
      <c r="BB21" s="129">
        <v>-2675757.8259658185</v>
      </c>
      <c r="BC21" s="129">
        <v>14418.75</v>
      </c>
      <c r="BD21" s="129">
        <v>14418.75</v>
      </c>
      <c r="BE21" s="129">
        <v>-2704595.3259658185</v>
      </c>
      <c r="BF21" s="129">
        <v>-3277357.3908905983</v>
      </c>
      <c r="BG21" s="129">
        <v>0</v>
      </c>
      <c r="BH21" s="129">
        <v>961249.99999999988</v>
      </c>
      <c r="BI21" s="129">
        <v>143881.44844786424</v>
      </c>
      <c r="BJ21" s="129">
        <v>-71940.724223932091</v>
      </c>
    </row>
    <row r="22" spans="2:62" ht="15" customHeight="1">
      <c r="B22" s="19">
        <f t="shared" si="1"/>
        <v>2000</v>
      </c>
      <c r="C22" s="19">
        <f t="shared" ca="1" si="7"/>
        <v>1000.0000000000001</v>
      </c>
      <c r="D22" s="336">
        <f t="shared" ca="1" si="2"/>
        <v>166.66666666666666</v>
      </c>
      <c r="E22" s="118">
        <f t="shared" ca="1" si="3"/>
        <v>1.6666666666666665</v>
      </c>
      <c r="G22" s="19">
        <f t="shared" si="4"/>
        <v>13</v>
      </c>
      <c r="H22" s="19">
        <f t="shared" si="5"/>
        <v>2</v>
      </c>
      <c r="I22" s="19">
        <f t="shared" si="6"/>
        <v>1</v>
      </c>
      <c r="J22" s="19">
        <f t="shared" si="0"/>
        <v>13</v>
      </c>
      <c r="L22" s="19">
        <f ca="1">IF($I22,c_lotfactor*INDEX(M_Onedeal!$E$8:$E$68,$J22),0)+AL22</f>
        <v>1175</v>
      </c>
      <c r="M22" s="19">
        <f ca="1">IF($I22,c_lotfactor*INDEX(M_Onedeal!$H$8:$H$68,$J22),0)+AM22</f>
        <v>20.833333333333329</v>
      </c>
      <c r="N22" s="19">
        <f ca="1">IF($I22,c_lotfactor*INDEX(M_Onedeal!$I$8:$I$68,$J22),0)+AN22</f>
        <v>1154.166666666667</v>
      </c>
      <c r="O22" s="19">
        <f ca="1">IF($I22,c_lotfactor*INDEX(M_Onedeal!$K$8:$K$68,$J22),0)+AO22</f>
        <v>33046.687024813538</v>
      </c>
      <c r="P22" s="19">
        <f ca="1">IF($I22,c_lotfactor*INDEX(M_Onedeal!$L$8:$L$68,$J22),0)+AP22</f>
        <v>2403124.9999999995</v>
      </c>
      <c r="Q22" s="19">
        <f ca="1">IF($I22,c_lotfactor*INDEX(M_Onedeal!$M$8:$M$68,$J22),0)+AQ22</f>
        <v>0</v>
      </c>
      <c r="R22" s="19">
        <f ca="1">IF($I22,c_lotfactor*INDEX(M_Onedeal!$N$8:$N$68,$J22),0)+AR22</f>
        <v>14418749.999999998</v>
      </c>
      <c r="S22" s="19">
        <f ca="1">IF($I22,c_lotfactor*INDEX(M_Onedeal!$O$8:$O$68,$J22),0)+AS22</f>
        <v>2403124.9999999995</v>
      </c>
      <c r="T22" s="19">
        <f ca="1">IF($I22,c_lotfactor*INDEX(M_Onedeal!$P$8:$P$68,$J22),0)+AT22</f>
        <v>5333333.333333333</v>
      </c>
      <c r="U22" s="19">
        <f ca="1">IF($I22,c_lotfactor*INDEX(M_Onedeal!$Q$8:$Q$68,$J22),0)+AU22</f>
        <v>5333333.333333333</v>
      </c>
      <c r="V22" s="19">
        <f ca="1">IF($I22,c_lotfactor*INDEX(M_Onedeal!$R$8:$R$68,$J22),0)+AV22</f>
        <v>-9341041.666666666</v>
      </c>
      <c r="W22" s="19">
        <f ca="1">IF($I22,c_lotfactor*INDEX(M_Onedeal!$Y$8:$Y$68,$J22),0)+AW22</f>
        <v>30714.135984568242</v>
      </c>
      <c r="X22" s="19">
        <f ca="1">IF($I22,c_lotfactor*INDEX(M_Onedeal!$AA$8:$AA$68,$J22),0)+AX22</f>
        <v>5333333.333333333</v>
      </c>
      <c r="Y22" s="19">
        <f ca="1">IF($I22,c_lotfactor*INDEX(M_Onedeal!$AD$8:$AD$68,$J22),0)+AY22</f>
        <v>66691.69478424963</v>
      </c>
      <c r="Z22" s="19">
        <f ca="1">IF($I22,c_lotfactor*INDEX(M_Onedeal!$AF$8:$AF$68,$J22),0)+AZ22</f>
        <v>1305332.113223521</v>
      </c>
      <c r="AA22" s="19">
        <f ca="1">IF($I22,c_lotfactor*INDEX(M_Onedeal!$AG$8:$AG$68,$J22),0)+BA22</f>
        <v>21352459.227417722</v>
      </c>
      <c r="AB22" s="19">
        <f ca="1">IF($I22,c_lotfactor*INDEX(M_Onedeal!$AI$8:$AI$68,$J22),0)+BB22</f>
        <v>-5565114.7426203229</v>
      </c>
      <c r="AC22" s="19">
        <f ca="1">IF($I22,c_lotfactor*INDEX(M_Onedeal!$AQ$8:$AQ$68,$J22),0)+BC22</f>
        <v>24031.25</v>
      </c>
      <c r="AD22" s="19">
        <f ca="1">IF($I22,c_lotfactor*INDEX(M_Onedeal!$AR$8:$AR$68,$J22),0)+BD22</f>
        <v>24031.25</v>
      </c>
      <c r="AE22" s="19">
        <f ca="1">IF($I22,c_lotfactor*INDEX(M_Onedeal!$AK$8:$AK$68,$J22),0)+BE22</f>
        <v>-5613177.2426203229</v>
      </c>
      <c r="AF22" s="19">
        <f ca="1">IF($I22,c_lotfactor*INDEX(M_Onedeal!$AM$8:$AM$68,$J22),0)+BF22</f>
        <v>-6554714.7817811966</v>
      </c>
      <c r="AG22" s="19">
        <f ca="1">IF($I22,c_lotfactor*-INDEX(M_Onedeal!$AB$8:$AB$68,$J22,0))+BG22</f>
        <v>0</v>
      </c>
      <c r="AH22" s="19">
        <f ca="1">IF($I22,c_lotfactor*INDEX(M_Onedeal!$AN$8:$AN$68,$J22),0)+BH22</f>
        <v>1922499.9999999998</v>
      </c>
      <c r="AI22" s="19">
        <f ca="1">IF($I22,c_lotfactor*INDEX(M_Onedeal!$AO$8:$AO$68,$J22),0)+BI22</f>
        <v>287762.89689572848</v>
      </c>
      <c r="AJ22" s="19">
        <f ca="1">IF($I22,c_lotfactor*INDEX(M_Onedeal!$AP$8:$AP$68,$J22),0)+BJ22</f>
        <v>-143881.44844786418</v>
      </c>
      <c r="AL22" s="130">
        <v>1104.1666666666667</v>
      </c>
      <c r="AM22" s="130">
        <v>16.666666666666664</v>
      </c>
      <c r="AN22" s="130">
        <v>1087.5000000000002</v>
      </c>
      <c r="AO22" s="130">
        <v>30725.225539599363</v>
      </c>
      <c r="AP22" s="130">
        <v>1922499.9999999998</v>
      </c>
      <c r="AQ22" s="130">
        <v>0</v>
      </c>
      <c r="AR22" s="130">
        <v>13457499.999999998</v>
      </c>
      <c r="AS22" s="130">
        <v>1922499.9999999998</v>
      </c>
      <c r="AT22" s="130">
        <v>4541666.666666666</v>
      </c>
      <c r="AU22" s="130">
        <v>4541666.666666666</v>
      </c>
      <c r="AV22" s="130">
        <v>-9030000</v>
      </c>
      <c r="AW22" s="130">
        <v>30714.135984568242</v>
      </c>
      <c r="AX22" s="130">
        <v>4541666.666666666</v>
      </c>
      <c r="AY22" s="130">
        <v>55576.41231018566</v>
      </c>
      <c r="AZ22" s="130">
        <v>1029822.6328156322</v>
      </c>
      <c r="BA22" s="130">
        <v>17912830.486336641</v>
      </c>
      <c r="BB22" s="130">
        <v>-5759114.9797383696</v>
      </c>
      <c r="BC22" s="130">
        <v>19225</v>
      </c>
      <c r="BD22" s="130">
        <v>19225</v>
      </c>
      <c r="BE22" s="130">
        <v>-5797564.9797383696</v>
      </c>
      <c r="BF22" s="130">
        <v>-6554714.7817811966</v>
      </c>
      <c r="BG22" s="130">
        <v>0</v>
      </c>
      <c r="BH22" s="130">
        <v>1922499.9999999998</v>
      </c>
      <c r="BI22" s="130">
        <v>287762.89689572848</v>
      </c>
      <c r="BJ22" s="130">
        <v>-143881.44844786418</v>
      </c>
    </row>
    <row r="23" spans="2:62" ht="15" customHeight="1">
      <c r="B23" s="16">
        <f t="shared" si="1"/>
        <v>2000</v>
      </c>
      <c r="C23" s="16">
        <f t="shared" ca="1" si="7"/>
        <v>1166.6666666666667</v>
      </c>
      <c r="D23" s="333">
        <f t="shared" ca="1" si="2"/>
        <v>166.66666666666666</v>
      </c>
      <c r="E23" s="115">
        <f t="shared" ca="1" si="3"/>
        <v>1.6666666666666665</v>
      </c>
      <c r="G23" s="16">
        <f t="shared" si="4"/>
        <v>14</v>
      </c>
      <c r="H23" s="16">
        <f t="shared" si="5"/>
        <v>2</v>
      </c>
      <c r="I23" s="16">
        <f t="shared" si="6"/>
        <v>1</v>
      </c>
      <c r="J23" s="16">
        <f t="shared" si="0"/>
        <v>14</v>
      </c>
      <c r="L23" s="16">
        <f ca="1">IF($I23,c_lotfactor*INDEX(M_Onedeal!$E$8:$E$68,$J23),0)+AL23</f>
        <v>1320.8333333333337</v>
      </c>
      <c r="M23" s="16">
        <f ca="1">IF($I23,c_lotfactor*INDEX(M_Onedeal!$H$8:$H$68,$J23),0)+AM23</f>
        <v>24.999999999999993</v>
      </c>
      <c r="N23" s="16">
        <f ca="1">IF($I23,c_lotfactor*INDEX(M_Onedeal!$I$8:$I$68,$J23),0)+AN23</f>
        <v>1295.8333333333335</v>
      </c>
      <c r="O23" s="16">
        <f ca="1">IF($I23,c_lotfactor*INDEX(M_Onedeal!$K$8:$K$68,$J23),0)+AO23</f>
        <v>37826.166553195668</v>
      </c>
      <c r="P23" s="16">
        <f ca="1">IF($I23,c_lotfactor*INDEX(M_Onedeal!$L$8:$L$68,$J23),0)+AP23</f>
        <v>2883749.9999999995</v>
      </c>
      <c r="Q23" s="16">
        <f ca="1">IF($I23,c_lotfactor*INDEX(M_Onedeal!$M$8:$M$68,$J23),0)+AQ23</f>
        <v>0</v>
      </c>
      <c r="R23" s="16">
        <f ca="1">IF($I23,c_lotfactor*INDEX(M_Onedeal!$N$8:$N$68,$J23),0)+AR23</f>
        <v>16341249.999999998</v>
      </c>
      <c r="S23" s="16">
        <f ca="1">IF($I23,c_lotfactor*INDEX(M_Onedeal!$O$8:$O$68,$J23),0)+AS23</f>
        <v>2883749.9999999995</v>
      </c>
      <c r="T23" s="16">
        <f ca="1">IF($I23,c_lotfactor*INDEX(M_Onedeal!$P$8:$P$68,$J23),0)+AT23</f>
        <v>4541666.666666666</v>
      </c>
      <c r="U23" s="16">
        <f ca="1">IF($I23,c_lotfactor*INDEX(M_Onedeal!$Q$8:$Q$68,$J23),0)+AU23</f>
        <v>4541666.666666666</v>
      </c>
      <c r="V23" s="16">
        <f ca="1">IF($I23,c_lotfactor*INDEX(M_Onedeal!$R$8:$R$68,$J23),0)+AV23</f>
        <v>-8068750</v>
      </c>
      <c r="W23" s="16">
        <f ca="1">IF($I23,c_lotfactor*INDEX(M_Onedeal!$Y$8:$Y$68,$J23),0)+AW23</f>
        <v>30714.135984568242</v>
      </c>
      <c r="X23" s="16">
        <f ca="1">IF($I23,c_lotfactor*INDEX(M_Onedeal!$AA$8:$AA$68,$J23),0)+AX23</f>
        <v>4541666.666666666</v>
      </c>
      <c r="Y23" s="16">
        <f ca="1">IF($I23,c_lotfactor*INDEX(M_Onedeal!$AD$8:$AD$68,$J23),0)+AY23</f>
        <v>81731.922528823081</v>
      </c>
      <c r="Z23" s="16">
        <f ca="1">IF($I23,c_lotfactor*INDEX(M_Onedeal!$AF$8:$AF$68,$J23),0)+AZ23</f>
        <v>1508900.8694074778</v>
      </c>
      <c r="AA23" s="16">
        <f ca="1">IF($I23,c_lotfactor*INDEX(M_Onedeal!$AG$8:$AG$68,$J23),0)+BA23</f>
        <v>24240795.483054474</v>
      </c>
      <c r="AB23" s="16">
        <f ca="1">IF($I23,c_lotfactor*INDEX(M_Onedeal!$AI$8:$AI$68,$J23),0)+BB23</f>
        <v>-5375039.4507727847</v>
      </c>
      <c r="AC23" s="16">
        <f ca="1">IF($I23,c_lotfactor*INDEX(M_Onedeal!$AQ$8:$AQ$68,$J23),0)+BC23</f>
        <v>28837.5</v>
      </c>
      <c r="AD23" s="16">
        <f ca="1">IF($I23,c_lotfactor*INDEX(M_Onedeal!$AR$8:$AR$68,$J23),0)+BD23</f>
        <v>28837.5</v>
      </c>
      <c r="AE23" s="16">
        <f ca="1">IF($I23,c_lotfactor*INDEX(M_Onedeal!$AK$8:$AK$68,$J23),0)+BE23</f>
        <v>-5432714.4507727847</v>
      </c>
      <c r="AF23" s="16">
        <f ca="1">IF($I23,c_lotfactor*INDEX(M_Onedeal!$AM$8:$AM$68,$J23),0)+BF23</f>
        <v>-6554714.7817811966</v>
      </c>
      <c r="AG23" s="16">
        <f ca="1">IF($I23,c_lotfactor*-INDEX(M_Onedeal!$AB$8:$AB$68,$J23,0))+BG23</f>
        <v>0</v>
      </c>
      <c r="AH23" s="16">
        <f ca="1">IF($I23,c_lotfactor*INDEX(M_Onedeal!$AN$8:$AN$68,$J23),0)+BH23</f>
        <v>1922499.9999999998</v>
      </c>
      <c r="AI23" s="16">
        <f ca="1">IF($I23,c_lotfactor*INDEX(M_Onedeal!$AO$8:$AO$68,$J23),0)+BI23</f>
        <v>287762.89689572848</v>
      </c>
      <c r="AJ23" s="16">
        <f ca="1">IF($I23,c_lotfactor*INDEX(M_Onedeal!$AP$8:$AP$68,$J23),0)+BJ23</f>
        <v>-143881.44844786418</v>
      </c>
      <c r="AL23" s="127">
        <v>1254.166666666667</v>
      </c>
      <c r="AM23" s="127">
        <v>20.833333333333329</v>
      </c>
      <c r="AN23" s="127">
        <v>1233.3333333333335</v>
      </c>
      <c r="AO23" s="127">
        <v>35641.261625935265</v>
      </c>
      <c r="AP23" s="127">
        <v>2403124.9999999995</v>
      </c>
      <c r="AQ23" s="127">
        <v>0</v>
      </c>
      <c r="AR23" s="127">
        <v>15379999.999999998</v>
      </c>
      <c r="AS23" s="127">
        <v>2403124.9999999995</v>
      </c>
      <c r="AT23" s="127">
        <v>4541666.666666666</v>
      </c>
      <c r="AU23" s="127">
        <v>4541666.666666666</v>
      </c>
      <c r="AV23" s="127">
        <v>-8549375</v>
      </c>
      <c r="AW23" s="127">
        <v>30714.135984568242</v>
      </c>
      <c r="AX23" s="127">
        <v>4541666.666666666</v>
      </c>
      <c r="AY23" s="127">
        <v>68654.167419504374</v>
      </c>
      <c r="AZ23" s="127">
        <v>1233391.388999589</v>
      </c>
      <c r="BA23" s="127">
        <v>21076676.222381279</v>
      </c>
      <c r="BB23" s="127">
        <v>-5567077.2152555771</v>
      </c>
      <c r="BC23" s="127">
        <v>24031.25</v>
      </c>
      <c r="BD23" s="127">
        <v>24031.25</v>
      </c>
      <c r="BE23" s="127">
        <v>-5615139.7152555771</v>
      </c>
      <c r="BF23" s="127">
        <v>-6554714.7817811966</v>
      </c>
      <c r="BG23" s="127">
        <v>0</v>
      </c>
      <c r="BH23" s="127">
        <v>1922499.9999999998</v>
      </c>
      <c r="BI23" s="127">
        <v>287762.89689572848</v>
      </c>
      <c r="BJ23" s="127">
        <v>-143881.44844786418</v>
      </c>
    </row>
    <row r="24" spans="2:62" ht="15" customHeight="1">
      <c r="B24" s="17">
        <f t="shared" si="1"/>
        <v>2000</v>
      </c>
      <c r="C24" s="17">
        <f t="shared" ca="1" si="7"/>
        <v>1333.3333333333335</v>
      </c>
      <c r="D24" s="334">
        <f t="shared" ca="1" si="2"/>
        <v>166.66666666666666</v>
      </c>
      <c r="E24" s="116">
        <f t="shared" ca="1" si="3"/>
        <v>1.6666666666666665</v>
      </c>
      <c r="G24" s="17">
        <f t="shared" si="4"/>
        <v>15</v>
      </c>
      <c r="H24" s="17">
        <f t="shared" si="5"/>
        <v>2</v>
      </c>
      <c r="I24" s="17">
        <f t="shared" si="6"/>
        <v>1</v>
      </c>
      <c r="J24" s="17">
        <f t="shared" si="0"/>
        <v>15</v>
      </c>
      <c r="L24" s="17">
        <f ca="1">IF($I24,c_lotfactor*INDEX(M_Onedeal!$E$8:$E$68,$J24),0)+AL24</f>
        <v>1462.5000000000002</v>
      </c>
      <c r="M24" s="17">
        <f ca="1">IF($I24,c_lotfactor*INDEX(M_Onedeal!$H$8:$H$68,$J24),0)+AM24</f>
        <v>29.166666666666664</v>
      </c>
      <c r="N24" s="17">
        <f ca="1">IF($I24,c_lotfactor*INDEX(M_Onedeal!$I$8:$I$68,$J24),0)+AN24</f>
        <v>1433.3333333333335</v>
      </c>
      <c r="O24" s="17">
        <f ca="1">IF($I24,c_lotfactor*INDEX(M_Onedeal!$K$8:$K$68,$J24),0)+AO24</f>
        <v>42469.08952362401</v>
      </c>
      <c r="P24" s="17">
        <f ca="1">IF($I24,c_lotfactor*INDEX(M_Onedeal!$L$8:$L$68,$J24),0)+AP24</f>
        <v>3364374.9999999995</v>
      </c>
      <c r="Q24" s="17">
        <f ca="1">IF($I24,c_lotfactor*INDEX(M_Onedeal!$M$8:$M$68,$J24),0)+AQ24</f>
        <v>0</v>
      </c>
      <c r="R24" s="17">
        <f ca="1">IF($I24,c_lotfactor*INDEX(M_Onedeal!$N$8:$N$68,$J24),0)+AR24</f>
        <v>18263749.999999996</v>
      </c>
      <c r="S24" s="17">
        <f ca="1">IF($I24,c_lotfactor*INDEX(M_Onedeal!$O$8:$O$68,$J24),0)+AS24</f>
        <v>3364374.9999999995</v>
      </c>
      <c r="T24" s="17">
        <f ca="1">IF($I24,c_lotfactor*INDEX(M_Onedeal!$P$8:$P$68,$J24),0)+AT24</f>
        <v>4541666.666666666</v>
      </c>
      <c r="U24" s="17">
        <f ca="1">IF($I24,c_lotfactor*INDEX(M_Onedeal!$Q$8:$Q$68,$J24),0)+AU24</f>
        <v>4541666.666666666</v>
      </c>
      <c r="V24" s="17">
        <f ca="1">IF($I24,c_lotfactor*INDEX(M_Onedeal!$R$8:$R$68,$J24),0)+AV24</f>
        <v>-7588125</v>
      </c>
      <c r="W24" s="17">
        <f ca="1">IF($I24,c_lotfactor*INDEX(M_Onedeal!$Y$8:$Y$68,$J24),0)+AW24</f>
        <v>30714.135984568242</v>
      </c>
      <c r="X24" s="17">
        <f ca="1">IF($I24,c_lotfactor*INDEX(M_Onedeal!$AA$8:$AA$68,$J24),0)+AX24</f>
        <v>4541666.666666666</v>
      </c>
      <c r="Y24" s="17">
        <f ca="1">IF($I24,c_lotfactor*INDEX(M_Onedeal!$AD$8:$AD$68,$J24),0)+AY24</f>
        <v>92714.657630873466</v>
      </c>
      <c r="Z24" s="17">
        <f ca="1">IF($I24,c_lotfactor*INDEX(M_Onedeal!$AF$8:$AF$68,$J24),0)+AZ24</f>
        <v>1784136.8251868072</v>
      </c>
      <c r="AA24" s="17">
        <f ca="1">IF($I24,c_lotfactor*INDEX(M_Onedeal!$AG$8:$AG$68,$J24),0)+BA24</f>
        <v>26853894.742948454</v>
      </c>
      <c r="AB24" s="17">
        <f ca="1">IF($I24,c_lotfactor*INDEX(M_Onedeal!$AI$8:$AI$68,$J24),0)+BB24</f>
        <v>-5180906.6662827246</v>
      </c>
      <c r="AC24" s="17">
        <f ca="1">IF($I24,c_lotfactor*INDEX(M_Onedeal!$AQ$8:$AQ$68,$J24),0)+BC24</f>
        <v>33643.75</v>
      </c>
      <c r="AD24" s="17">
        <f ca="1">IF($I24,c_lotfactor*INDEX(M_Onedeal!$AR$8:$AR$68,$J24),0)+BD24</f>
        <v>33643.75</v>
      </c>
      <c r="AE24" s="17">
        <f ca="1">IF($I24,c_lotfactor*INDEX(M_Onedeal!$AK$8:$AK$68,$J24),0)+BE24</f>
        <v>-5248194.1662827246</v>
      </c>
      <c r="AF24" s="17">
        <f ca="1">IF($I24,c_lotfactor*INDEX(M_Onedeal!$AM$8:$AM$68,$J24),0)+BF24</f>
        <v>-6554714.7817811966</v>
      </c>
      <c r="AG24" s="17">
        <f ca="1">IF($I24,c_lotfactor*-INDEX(M_Onedeal!$AB$8:$AB$68,$J24,0))+BG24</f>
        <v>0</v>
      </c>
      <c r="AH24" s="17">
        <f ca="1">IF($I24,c_lotfactor*INDEX(M_Onedeal!$AN$8:$AN$68,$J24),0)+BH24</f>
        <v>1922499.9999999998</v>
      </c>
      <c r="AI24" s="17">
        <f ca="1">IF($I24,c_lotfactor*INDEX(M_Onedeal!$AO$8:$AO$68,$J24),0)+BI24</f>
        <v>287762.89689572848</v>
      </c>
      <c r="AJ24" s="17">
        <f ca="1">IF($I24,c_lotfactor*INDEX(M_Onedeal!$AP$8:$AP$68,$J24),0)+BJ24</f>
        <v>-143881.44844786418</v>
      </c>
      <c r="AL24" s="128">
        <v>1400.0000000000002</v>
      </c>
      <c r="AM24" s="128">
        <v>24.999999999999996</v>
      </c>
      <c r="AN24" s="128">
        <v>1375.0000000000002</v>
      </c>
      <c r="AO24" s="128">
        <v>40420.741154317388</v>
      </c>
      <c r="AP24" s="128">
        <v>2883749.9999999995</v>
      </c>
      <c r="AQ24" s="128">
        <v>0</v>
      </c>
      <c r="AR24" s="128">
        <v>17302499.999999996</v>
      </c>
      <c r="AS24" s="128">
        <v>2883749.9999999995</v>
      </c>
      <c r="AT24" s="128">
        <v>4541666.666666666</v>
      </c>
      <c r="AU24" s="128">
        <v>4541666.666666666</v>
      </c>
      <c r="AV24" s="128">
        <v>-8068750</v>
      </c>
      <c r="AW24" s="128">
        <v>30714.135984568242</v>
      </c>
      <c r="AX24" s="128">
        <v>4541666.666666666</v>
      </c>
      <c r="AY24" s="128">
        <v>80684.41252518892</v>
      </c>
      <c r="AZ24" s="128">
        <v>1508627.3447789182</v>
      </c>
      <c r="BA24" s="128">
        <v>23965284.962683149</v>
      </c>
      <c r="BB24" s="128">
        <v>-5373991.9407691509</v>
      </c>
      <c r="BC24" s="128">
        <v>28837.5</v>
      </c>
      <c r="BD24" s="128">
        <v>28837.5</v>
      </c>
      <c r="BE24" s="128">
        <v>-5431666.9407691509</v>
      </c>
      <c r="BF24" s="128">
        <v>-6554714.7817811966</v>
      </c>
      <c r="BG24" s="128">
        <v>0</v>
      </c>
      <c r="BH24" s="128">
        <v>1922499.9999999998</v>
      </c>
      <c r="BI24" s="128">
        <v>287762.89689572848</v>
      </c>
      <c r="BJ24" s="128">
        <v>-143881.44844786418</v>
      </c>
    </row>
    <row r="25" spans="2:62" ht="15" customHeight="1">
      <c r="B25" s="15">
        <f t="shared" si="1"/>
        <v>2000</v>
      </c>
      <c r="C25" s="15">
        <f t="shared" ca="1" si="7"/>
        <v>1500.0000000000002</v>
      </c>
      <c r="D25" s="332">
        <f t="shared" ca="1" si="2"/>
        <v>166.66666666666666</v>
      </c>
      <c r="E25" s="113">
        <f t="shared" ca="1" si="3"/>
        <v>1.6666666666666665</v>
      </c>
      <c r="G25" s="15">
        <f t="shared" si="4"/>
        <v>16</v>
      </c>
      <c r="H25" s="15">
        <f t="shared" si="5"/>
        <v>2</v>
      </c>
      <c r="I25" s="15">
        <f t="shared" si="6"/>
        <v>1</v>
      </c>
      <c r="J25" s="15">
        <f t="shared" si="0"/>
        <v>16</v>
      </c>
      <c r="L25" s="15">
        <f ca="1">IF($I25,c_lotfactor*INDEX(M_Onedeal!$E$8:$E$68,$J25),0)+AL25</f>
        <v>1600.0000000000002</v>
      </c>
      <c r="M25" s="15">
        <f ca="1">IF($I25,c_lotfactor*INDEX(M_Onedeal!$H$8:$H$68,$J25),0)+AM25</f>
        <v>33.333333333333329</v>
      </c>
      <c r="N25" s="15">
        <f ca="1">IF($I25,c_lotfactor*INDEX(M_Onedeal!$I$8:$I$68,$J25),0)+AN25</f>
        <v>1566.666666666667</v>
      </c>
      <c r="O25" s="15">
        <f ca="1">IF($I25,c_lotfactor*INDEX(M_Onedeal!$K$8:$K$68,$J25),0)+AO25</f>
        <v>46975.455936098588</v>
      </c>
      <c r="P25" s="15">
        <f ca="1">IF($I25,c_lotfactor*INDEX(M_Onedeal!$L$8:$L$68,$J25),0)+AP25</f>
        <v>3844999.9999999995</v>
      </c>
      <c r="Q25" s="15">
        <f ca="1">IF($I25,c_lotfactor*INDEX(M_Onedeal!$M$8:$M$68,$J25),0)+AQ25</f>
        <v>0</v>
      </c>
      <c r="R25" s="15">
        <f ca="1">IF($I25,c_lotfactor*INDEX(M_Onedeal!$N$8:$N$68,$J25),0)+AR25</f>
        <v>20186249.999999996</v>
      </c>
      <c r="S25" s="15">
        <f ca="1">IF($I25,c_lotfactor*INDEX(M_Onedeal!$O$8:$O$68,$J25),0)+AS25</f>
        <v>3844999.9999999995</v>
      </c>
      <c r="T25" s="15">
        <f ca="1">IF($I25,c_lotfactor*INDEX(M_Onedeal!$P$8:$P$68,$J25),0)+AT25</f>
        <v>4958333.3333333321</v>
      </c>
      <c r="U25" s="15">
        <f ca="1">IF($I25,c_lotfactor*INDEX(M_Onedeal!$Q$8:$Q$68,$J25),0)+AU25</f>
        <v>4958333.3333333321</v>
      </c>
      <c r="V25" s="15">
        <f ca="1">IF($I25,c_lotfactor*INDEX(M_Onedeal!$R$8:$R$68,$J25),0)+AV25</f>
        <v>-7524166.666666666</v>
      </c>
      <c r="W25" s="15">
        <f ca="1">IF($I25,c_lotfactor*INDEX(M_Onedeal!$Y$8:$Y$68,$J25),0)+AW25</f>
        <v>30714.135984568242</v>
      </c>
      <c r="X25" s="15">
        <f ca="1">IF($I25,c_lotfactor*INDEX(M_Onedeal!$AA$8:$AA$68,$J25),0)+AX25</f>
        <v>4958333.3333333321</v>
      </c>
      <c r="Y25" s="15">
        <f ca="1">IF($I25,c_lotfactor*INDEX(M_Onedeal!$AD$8:$AD$68,$J25),0)+AY25</f>
        <v>102649.88272928969</v>
      </c>
      <c r="Z25" s="15">
        <f ca="1">IF($I25,c_lotfactor*INDEX(M_Onedeal!$AF$8:$AF$68,$J25),0)+AZ25</f>
        <v>2059645.2656312645</v>
      </c>
      <c r="AA25" s="15">
        <f ca="1">IF($I25,c_lotfactor*INDEX(M_Onedeal!$AG$8:$AG$68,$J25),0)+BA25</f>
        <v>29608152.225110628</v>
      </c>
      <c r="AB25" s="15">
        <f ca="1">IF($I25,c_lotfactor*INDEX(M_Onedeal!$AI$8:$AI$68,$J25),0)+BB25</f>
        <v>-4985726.3717890298</v>
      </c>
      <c r="AC25" s="15">
        <f ca="1">IF($I25,c_lotfactor*INDEX(M_Onedeal!$AQ$8:$AQ$68,$J25),0)+BC25</f>
        <v>38450</v>
      </c>
      <c r="AD25" s="15">
        <f ca="1">IF($I25,c_lotfactor*INDEX(M_Onedeal!$AR$8:$AR$68,$J25),0)+BD25</f>
        <v>38450</v>
      </c>
      <c r="AE25" s="15">
        <f ca="1">IF($I25,c_lotfactor*INDEX(M_Onedeal!$AK$8:$AK$68,$J25),0)+BE25</f>
        <v>-5062626.3717890298</v>
      </c>
      <c r="AF25" s="15">
        <f ca="1">IF($I25,c_lotfactor*INDEX(M_Onedeal!$AM$8:$AM$68,$J25),0)+BF25</f>
        <v>-6554714.7817811966</v>
      </c>
      <c r="AG25" s="15">
        <f ca="1">IF($I25,c_lotfactor*-INDEX(M_Onedeal!$AB$8:$AB$68,$J25,0))+BG25</f>
        <v>0</v>
      </c>
      <c r="AH25" s="15">
        <f ca="1">IF($I25,c_lotfactor*INDEX(M_Onedeal!$AN$8:$AN$68,$J25),0)+BH25</f>
        <v>1922499.9999999998</v>
      </c>
      <c r="AI25" s="15">
        <f ca="1">IF($I25,c_lotfactor*INDEX(M_Onedeal!$AO$8:$AO$68,$J25),0)+BI25</f>
        <v>287762.89689572848</v>
      </c>
      <c r="AJ25" s="15">
        <f ca="1">IF($I25,c_lotfactor*INDEX(M_Onedeal!$AP$8:$AP$68,$J25),0)+BJ25</f>
        <v>-143881.44844786418</v>
      </c>
      <c r="AL25" s="126">
        <v>1541.666666666667</v>
      </c>
      <c r="AM25" s="126">
        <v>29.166666666666661</v>
      </c>
      <c r="AN25" s="126">
        <v>1512.5000000000002</v>
      </c>
      <c r="AO25" s="126">
        <v>45063.664124745737</v>
      </c>
      <c r="AP25" s="126">
        <v>3364374.9999999995</v>
      </c>
      <c r="AQ25" s="126">
        <v>0</v>
      </c>
      <c r="AR25" s="126">
        <v>19224999.999999996</v>
      </c>
      <c r="AS25" s="126">
        <v>3364374.9999999995</v>
      </c>
      <c r="AT25" s="126">
        <v>4958333.3333333321</v>
      </c>
      <c r="AU25" s="126">
        <v>4958333.3333333321</v>
      </c>
      <c r="AV25" s="126">
        <v>-8004791.666666666</v>
      </c>
      <c r="AW25" s="126">
        <v>30714.135984568242</v>
      </c>
      <c r="AX25" s="126">
        <v>4958333.3333333321</v>
      </c>
      <c r="AY25" s="126">
        <v>91667.147627239305</v>
      </c>
      <c r="AZ25" s="126">
        <v>1784135.7852233755</v>
      </c>
      <c r="BA25" s="126">
        <v>26995051.925253209</v>
      </c>
      <c r="BB25" s="126">
        <v>-5179859.1562790908</v>
      </c>
      <c r="BC25" s="126">
        <v>33643.75</v>
      </c>
      <c r="BD25" s="126">
        <v>33643.75</v>
      </c>
      <c r="BE25" s="126">
        <v>-5247146.6562790908</v>
      </c>
      <c r="BF25" s="126">
        <v>-6554714.7817811966</v>
      </c>
      <c r="BG25" s="126">
        <v>0</v>
      </c>
      <c r="BH25" s="126">
        <v>1922499.9999999998</v>
      </c>
      <c r="BI25" s="126">
        <v>287762.89689572848</v>
      </c>
      <c r="BJ25" s="126">
        <v>-143881.44844786418</v>
      </c>
    </row>
    <row r="26" spans="2:62" ht="15" customHeight="1">
      <c r="B26" s="16">
        <f t="shared" si="1"/>
        <v>2000</v>
      </c>
      <c r="C26" s="16">
        <f t="shared" ca="1" si="7"/>
        <v>1666.666666666667</v>
      </c>
      <c r="D26" s="333">
        <f t="shared" ca="1" si="2"/>
        <v>166.66666666666666</v>
      </c>
      <c r="E26" s="115">
        <f t="shared" ca="1" si="3"/>
        <v>1.6666666666666665</v>
      </c>
      <c r="G26" s="16">
        <f t="shared" si="4"/>
        <v>17</v>
      </c>
      <c r="H26" s="16">
        <f t="shared" si="5"/>
        <v>2</v>
      </c>
      <c r="I26" s="16">
        <f t="shared" si="6"/>
        <v>1</v>
      </c>
      <c r="J26" s="16">
        <f t="shared" si="0"/>
        <v>17</v>
      </c>
      <c r="L26" s="16">
        <f ca="1">IF($I26,c_lotfactor*INDEX(M_Onedeal!$E$8:$E$68,$J26),0)+AL26</f>
        <v>1733.3333333333337</v>
      </c>
      <c r="M26" s="16">
        <f ca="1">IF($I26,c_lotfactor*INDEX(M_Onedeal!$H$8:$H$68,$J26),0)+AM26</f>
        <v>37.499999999999993</v>
      </c>
      <c r="N26" s="16">
        <f ca="1">IF($I26,c_lotfactor*INDEX(M_Onedeal!$I$8:$I$68,$J26),0)+AN26</f>
        <v>1695.8333333333335</v>
      </c>
      <c r="O26" s="16">
        <f ca="1">IF($I26,c_lotfactor*INDEX(M_Onedeal!$K$8:$K$68,$J26),0)+AO26</f>
        <v>51345.265790619378</v>
      </c>
      <c r="P26" s="16">
        <f ca="1">IF($I26,c_lotfactor*INDEX(M_Onedeal!$L$8:$L$68,$J26),0)+AP26</f>
        <v>4325624.9999999991</v>
      </c>
      <c r="Q26" s="16">
        <f ca="1">IF($I26,c_lotfactor*INDEX(M_Onedeal!$M$8:$M$68,$J26),0)+AQ26</f>
        <v>0</v>
      </c>
      <c r="R26" s="16">
        <f ca="1">IF($I26,c_lotfactor*INDEX(M_Onedeal!$N$8:$N$68,$J26),0)+AR26</f>
        <v>22108749.999999996</v>
      </c>
      <c r="S26" s="16">
        <f ca="1">IF($I26,c_lotfactor*INDEX(M_Onedeal!$O$8:$O$68,$J26),0)+AS26</f>
        <v>4325624.9999999991</v>
      </c>
      <c r="T26" s="16">
        <f ca="1">IF($I26,c_lotfactor*INDEX(M_Onedeal!$P$8:$P$68,$J26),0)+AT26</f>
        <v>5374999.9999999991</v>
      </c>
      <c r="U26" s="16">
        <f ca="1">IF($I26,c_lotfactor*INDEX(M_Onedeal!$Q$8:$Q$68,$J26),0)+AU26</f>
        <v>5374999.9999999991</v>
      </c>
      <c r="V26" s="16">
        <f ca="1">IF($I26,c_lotfactor*INDEX(M_Onedeal!$R$8:$R$68,$J26),0)+AV26</f>
        <v>-7460208.333333333</v>
      </c>
      <c r="W26" s="16">
        <f ca="1">IF($I26,c_lotfactor*INDEX(M_Onedeal!$Y$8:$Y$68,$J26),0)+AW26</f>
        <v>32298.337358423589</v>
      </c>
      <c r="X26" s="16">
        <f ca="1">IF($I26,c_lotfactor*INDEX(M_Onedeal!$AA$8:$AA$68,$J26),0)+AX26</f>
        <v>5374999.9999999991</v>
      </c>
      <c r="Y26" s="16">
        <f ca="1">IF($I26,c_lotfactor*INDEX(M_Onedeal!$AD$8:$AD$68,$J26),0)+AY26</f>
        <v>113121.79919792707</v>
      </c>
      <c r="Z26" s="16">
        <f ca="1">IF($I26,c_lotfactor*INDEX(M_Onedeal!$AF$8:$AF$68,$J26),0)+AZ26</f>
        <v>2335154.7460391531</v>
      </c>
      <c r="AA26" s="16">
        <f ca="1">IF($I26,c_lotfactor*INDEX(M_Onedeal!$AG$8:$AG$68,$J26),0)+BA26</f>
        <v>32503566.893531572</v>
      </c>
      <c r="AB26" s="16">
        <f ca="1">IF($I26,c_lotfactor*INDEX(M_Onedeal!$AI$8:$AI$68,$J26),0)+BB26</f>
        <v>-4789498.5672917003</v>
      </c>
      <c r="AC26" s="16">
        <f ca="1">IF($I26,c_lotfactor*INDEX(M_Onedeal!$AQ$8:$AQ$68,$J26),0)+BC26</f>
        <v>43256.25</v>
      </c>
      <c r="AD26" s="16">
        <f ca="1">IF($I26,c_lotfactor*INDEX(M_Onedeal!$AR$8:$AR$68,$J26),0)+BD26</f>
        <v>43256.25</v>
      </c>
      <c r="AE26" s="16">
        <f ca="1">IF($I26,c_lotfactor*INDEX(M_Onedeal!$AK$8:$AK$68,$J26),0)+BE26</f>
        <v>-4876011.0672917003</v>
      </c>
      <c r="AF26" s="16">
        <f ca="1">IF($I26,c_lotfactor*INDEX(M_Onedeal!$AM$8:$AM$68,$J26),0)+BF26</f>
        <v>-6554714.7817811966</v>
      </c>
      <c r="AG26" s="16">
        <f ca="1">IF($I26,c_lotfactor*-INDEX(M_Onedeal!$AB$8:$AB$68,$J26,0))+BG26</f>
        <v>0</v>
      </c>
      <c r="AH26" s="16">
        <f ca="1">IF($I26,c_lotfactor*INDEX(M_Onedeal!$AN$8:$AN$68,$J26),0)+BH26</f>
        <v>1922499.9999999998</v>
      </c>
      <c r="AI26" s="16">
        <f ca="1">IF($I26,c_lotfactor*INDEX(M_Onedeal!$AO$8:$AO$68,$J26),0)+BI26</f>
        <v>287762.89689572848</v>
      </c>
      <c r="AJ26" s="16">
        <f ca="1">IF($I26,c_lotfactor*INDEX(M_Onedeal!$AP$8:$AP$68,$J26),0)+BJ26</f>
        <v>-143881.44844786418</v>
      </c>
      <c r="AL26" s="127">
        <v>1679.166666666667</v>
      </c>
      <c r="AM26" s="127">
        <v>33.333333333333329</v>
      </c>
      <c r="AN26" s="127">
        <v>1645.8333333333335</v>
      </c>
      <c r="AO26" s="127">
        <v>49570.030537220307</v>
      </c>
      <c r="AP26" s="127">
        <v>3844999.9999999995</v>
      </c>
      <c r="AQ26" s="127">
        <v>0</v>
      </c>
      <c r="AR26" s="127">
        <v>21147499.999999996</v>
      </c>
      <c r="AS26" s="127">
        <v>3844999.9999999995</v>
      </c>
      <c r="AT26" s="127">
        <v>5374999.9999999991</v>
      </c>
      <c r="AU26" s="127">
        <v>5374999.9999999991</v>
      </c>
      <c r="AV26" s="127">
        <v>-7940833.333333333</v>
      </c>
      <c r="AW26" s="127">
        <v>32298.337358423589</v>
      </c>
      <c r="AX26" s="127">
        <v>5374999.9999999991</v>
      </c>
      <c r="AY26" s="127">
        <v>103186.57409951085</v>
      </c>
      <c r="AZ26" s="127">
        <v>2059645.2656312643</v>
      </c>
      <c r="BA26" s="127">
        <v>30165976.074082043</v>
      </c>
      <c r="BB26" s="127">
        <v>-4984678.8617853951</v>
      </c>
      <c r="BC26" s="127">
        <v>38450</v>
      </c>
      <c r="BD26" s="127">
        <v>38450</v>
      </c>
      <c r="BE26" s="127">
        <v>-5061578.8617853951</v>
      </c>
      <c r="BF26" s="127">
        <v>-6554714.7817811966</v>
      </c>
      <c r="BG26" s="127">
        <v>0</v>
      </c>
      <c r="BH26" s="127">
        <v>1922499.9999999998</v>
      </c>
      <c r="BI26" s="127">
        <v>287762.89689572848</v>
      </c>
      <c r="BJ26" s="127">
        <v>-143881.44844786418</v>
      </c>
    </row>
    <row r="27" spans="2:62" ht="15" customHeight="1">
      <c r="B27" s="17">
        <f t="shared" si="1"/>
        <v>2000</v>
      </c>
      <c r="C27" s="17">
        <f t="shared" ca="1" si="7"/>
        <v>1833.3333333333337</v>
      </c>
      <c r="D27" s="334">
        <f t="shared" ca="1" si="2"/>
        <v>166.66666666666666</v>
      </c>
      <c r="E27" s="116">
        <f t="shared" ca="1" si="3"/>
        <v>1.6666666666666665</v>
      </c>
      <c r="G27" s="17">
        <f t="shared" si="4"/>
        <v>18</v>
      </c>
      <c r="H27" s="17">
        <f t="shared" si="5"/>
        <v>2</v>
      </c>
      <c r="I27" s="17">
        <f t="shared" si="6"/>
        <v>1</v>
      </c>
      <c r="J27" s="17">
        <f t="shared" si="0"/>
        <v>18</v>
      </c>
      <c r="L27" s="17">
        <f ca="1">IF($I27,c_lotfactor*INDEX(M_Onedeal!$E$8:$E$68,$J27),0)+AL27</f>
        <v>1862.5000000000002</v>
      </c>
      <c r="M27" s="17">
        <f ca="1">IF($I27,c_lotfactor*INDEX(M_Onedeal!$H$8:$H$68,$J27),0)+AM27</f>
        <v>49.999999999999986</v>
      </c>
      <c r="N27" s="17">
        <f ca="1">IF($I27,c_lotfactor*INDEX(M_Onedeal!$I$8:$I$68,$J27),0)+AN27</f>
        <v>1812.5000000000002</v>
      </c>
      <c r="O27" s="17">
        <f ca="1">IF($I27,c_lotfactor*INDEX(M_Onedeal!$K$8:$K$68,$J27),0)+AO27</f>
        <v>55578.519087186403</v>
      </c>
      <c r="P27" s="17">
        <f ca="1">IF($I27,c_lotfactor*INDEX(M_Onedeal!$L$8:$L$68,$J27),0)+AP27</f>
        <v>5767499.9999999991</v>
      </c>
      <c r="Q27" s="17">
        <f ca="1">IF($I27,c_lotfactor*INDEX(M_Onedeal!$M$8:$M$68,$J27),0)+AQ27</f>
        <v>0</v>
      </c>
      <c r="R27" s="17">
        <f ca="1">IF($I27,c_lotfactor*INDEX(M_Onedeal!$N$8:$N$68,$J27),0)+AR27</f>
        <v>24031249.999999996</v>
      </c>
      <c r="S27" s="17">
        <f ca="1">IF($I27,c_lotfactor*INDEX(M_Onedeal!$O$8:$O$68,$J27),0)+AS27</f>
        <v>5767499.9999999991</v>
      </c>
      <c r="T27" s="17">
        <f ca="1">IF($I27,c_lotfactor*INDEX(M_Onedeal!$P$8:$P$68,$J27),0)+AT27</f>
        <v>5791666.6666666651</v>
      </c>
      <c r="U27" s="17">
        <f ca="1">IF($I27,c_lotfactor*INDEX(M_Onedeal!$Q$8:$Q$68,$J27),0)+AU27</f>
        <v>5791666.6666666651</v>
      </c>
      <c r="V27" s="17">
        <f ca="1">IF($I27,c_lotfactor*INDEX(M_Onedeal!$R$8:$R$68,$J27),0)+AV27</f>
        <v>-6435000</v>
      </c>
      <c r="W27" s="17">
        <f ca="1">IF($I27,c_lotfactor*INDEX(M_Onedeal!$Y$8:$Y$68,$J27),0)+AW27</f>
        <v>32298.337358423589</v>
      </c>
      <c r="X27" s="17">
        <f ca="1">IF($I27,c_lotfactor*INDEX(M_Onedeal!$AA$8:$AA$68,$J27),0)+AX27</f>
        <v>5791666.6666666651</v>
      </c>
      <c r="Y27" s="17">
        <f ca="1">IF($I27,c_lotfactor*INDEX(M_Onedeal!$AD$8:$AD$68,$J27),0)+AY27</f>
        <v>124130.4070518192</v>
      </c>
      <c r="Z27" s="17">
        <f ca="1">IF($I27,c_lotfactor*INDEX(M_Onedeal!$AF$8:$AF$68,$J27),0)+AZ27</f>
        <v>3161683.1872628205</v>
      </c>
      <c r="AA27" s="17">
        <f ca="1">IF($I27,c_lotfactor*INDEX(M_Onedeal!$AG$8:$AG$68,$J27),0)+BA27</f>
        <v>34989119.787395522</v>
      </c>
      <c r="AB27" s="17">
        <f ca="1">IF($I27,c_lotfactor*INDEX(M_Onedeal!$AI$8:$AI$68,$J27),0)+BB27</f>
        <v>-4185160.6163692591</v>
      </c>
      <c r="AC27" s="17">
        <f ca="1">IF($I27,c_lotfactor*INDEX(M_Onedeal!$AQ$8:$AQ$68,$J27),0)+BC27</f>
        <v>57675</v>
      </c>
      <c r="AD27" s="17">
        <f ca="1">IF($I27,c_lotfactor*INDEX(M_Onedeal!$AR$8:$AR$68,$J27),0)+BD27</f>
        <v>57675</v>
      </c>
      <c r="AE27" s="17">
        <f ca="1">IF($I27,c_lotfactor*INDEX(M_Onedeal!$AK$8:$AK$68,$J27),0)+BE27</f>
        <v>-4300510.6163692595</v>
      </c>
      <c r="AF27" s="17">
        <f ca="1">IF($I27,c_lotfactor*INDEX(M_Onedeal!$AM$8:$AM$68,$J27),0)+BF27</f>
        <v>-6554714.7817811966</v>
      </c>
      <c r="AG27" s="17">
        <f ca="1">IF($I27,c_lotfactor*-INDEX(M_Onedeal!$AB$8:$AB$68,$J27,0))+BG27</f>
        <v>0</v>
      </c>
      <c r="AH27" s="17">
        <f ca="1">IF($I27,c_lotfactor*INDEX(M_Onedeal!$AN$8:$AN$68,$J27),0)+BH27</f>
        <v>1922499.9999999998</v>
      </c>
      <c r="AI27" s="17">
        <f ca="1">IF($I27,c_lotfactor*INDEX(M_Onedeal!$AO$8:$AO$68,$J27),0)+BI27</f>
        <v>287762.89689572848</v>
      </c>
      <c r="AJ27" s="17">
        <f ca="1">IF($I27,c_lotfactor*INDEX(M_Onedeal!$AP$8:$AP$68,$J27),0)+BJ27</f>
        <v>-143881.44844786418</v>
      </c>
      <c r="AL27" s="128">
        <v>1812.5000000000002</v>
      </c>
      <c r="AM27" s="128">
        <v>45.833333333333321</v>
      </c>
      <c r="AN27" s="128">
        <v>1766.666666666667</v>
      </c>
      <c r="AO27" s="128">
        <v>53939.840391741105</v>
      </c>
      <c r="AP27" s="128">
        <v>5286874.9999999991</v>
      </c>
      <c r="AQ27" s="128">
        <v>0</v>
      </c>
      <c r="AR27" s="128">
        <v>23069999.999999996</v>
      </c>
      <c r="AS27" s="128">
        <v>5286874.9999999991</v>
      </c>
      <c r="AT27" s="128">
        <v>5791666.6666666651</v>
      </c>
      <c r="AU27" s="128">
        <v>5791666.6666666651</v>
      </c>
      <c r="AV27" s="128">
        <v>-6915625</v>
      </c>
      <c r="AW27" s="128">
        <v>32298.337358423589</v>
      </c>
      <c r="AX27" s="128">
        <v>5791666.6666666651</v>
      </c>
      <c r="AY27" s="128">
        <v>115242.69195703714</v>
      </c>
      <c r="AZ27" s="128">
        <v>2886173.7068549315</v>
      </c>
      <c r="BA27" s="128">
        <v>32927038.448353879</v>
      </c>
      <c r="BB27" s="128">
        <v>-4381388.4208665881</v>
      </c>
      <c r="BC27" s="128">
        <v>52868.75</v>
      </c>
      <c r="BD27" s="128">
        <v>52868.75</v>
      </c>
      <c r="BE27" s="128">
        <v>-4487125.9208665881</v>
      </c>
      <c r="BF27" s="128">
        <v>-6554714.7817811966</v>
      </c>
      <c r="BG27" s="128">
        <v>0</v>
      </c>
      <c r="BH27" s="128">
        <v>1922499.9999999998</v>
      </c>
      <c r="BI27" s="128">
        <v>287762.89689572848</v>
      </c>
      <c r="BJ27" s="128">
        <v>-143881.44844786418</v>
      </c>
    </row>
    <row r="28" spans="2:62" ht="15" customHeight="1">
      <c r="B28" s="15">
        <f t="shared" si="1"/>
        <v>2000</v>
      </c>
      <c r="C28" s="15">
        <f t="shared" ca="1" si="7"/>
        <v>2000.0000000000005</v>
      </c>
      <c r="D28" s="332">
        <f t="shared" ca="1" si="2"/>
        <v>166.66666666666666</v>
      </c>
      <c r="E28" s="113">
        <f t="shared" ca="1" si="3"/>
        <v>1.6666666666666665</v>
      </c>
      <c r="G28" s="15">
        <f t="shared" si="4"/>
        <v>19</v>
      </c>
      <c r="H28" s="15">
        <f t="shared" si="5"/>
        <v>2</v>
      </c>
      <c r="I28" s="15">
        <f t="shared" si="6"/>
        <v>1</v>
      </c>
      <c r="J28" s="15">
        <f t="shared" si="0"/>
        <v>19</v>
      </c>
      <c r="L28" s="15">
        <f ca="1">IF($I28,c_lotfactor*INDEX(M_Onedeal!$E$8:$E$68,$J28),0)+AL28</f>
        <v>1979.166666666667</v>
      </c>
      <c r="M28" s="15">
        <f ca="1">IF($I28,c_lotfactor*INDEX(M_Onedeal!$H$8:$H$68,$J28),0)+AM28</f>
        <v>54.16666666666665</v>
      </c>
      <c r="N28" s="15">
        <f ca="1">IF($I28,c_lotfactor*INDEX(M_Onedeal!$I$8:$I$68,$J28),0)+AN28</f>
        <v>1925.0000000000005</v>
      </c>
      <c r="O28" s="15">
        <f ca="1">IF($I28,c_lotfactor*INDEX(M_Onedeal!$K$8:$K$68,$J28),0)+AO28</f>
        <v>59402.102709892104</v>
      </c>
      <c r="P28" s="15">
        <f ca="1">IF($I28,c_lotfactor*INDEX(M_Onedeal!$L$8:$L$68,$J28),0)+AP28</f>
        <v>6248124.9999999991</v>
      </c>
      <c r="Q28" s="15">
        <f ca="1">IF($I28,c_lotfactor*INDEX(M_Onedeal!$M$8:$M$68,$J28),0)+AQ28</f>
        <v>9612.5</v>
      </c>
      <c r="R28" s="15">
        <f ca="1">IF($I28,c_lotfactor*INDEX(M_Onedeal!$N$8:$N$68,$J28),0)+AR28</f>
        <v>25944137.499999996</v>
      </c>
      <c r="S28" s="15">
        <f ca="1">IF($I28,c_lotfactor*INDEX(M_Onedeal!$O$8:$O$68,$J28),0)+AS28</f>
        <v>6238512.4999999991</v>
      </c>
      <c r="T28" s="15">
        <f ca="1">IF($I28,c_lotfactor*INDEX(M_Onedeal!$P$8:$P$68,$J28),0)+AT28</f>
        <v>6208333.3333333321</v>
      </c>
      <c r="U28" s="15">
        <f ca="1">IF($I28,c_lotfactor*INDEX(M_Onedeal!$Q$8:$Q$68,$J28),0)+AU28</f>
        <v>6208333.3333333321</v>
      </c>
      <c r="V28" s="15">
        <f ca="1">IF($I28,c_lotfactor*INDEX(M_Onedeal!$R$8:$R$68,$J28),0)+AV28</f>
        <v>-6380654.166666666</v>
      </c>
      <c r="W28" s="15">
        <f ca="1">IF($I28,c_lotfactor*INDEX(M_Onedeal!$Y$8:$Y$68,$J28),0)+AW28</f>
        <v>34955.921502788391</v>
      </c>
      <c r="X28" s="15">
        <f ca="1">IF($I28,c_lotfactor*INDEX(M_Onedeal!$AA$8:$AA$68,$J28),0)+AX28</f>
        <v>6208333.3333333321</v>
      </c>
      <c r="Y28" s="15">
        <f ca="1">IF($I28,c_lotfactor*INDEX(M_Onedeal!$AD$8:$AD$68,$J28),0)+AY28</f>
        <v>133580.68628369772</v>
      </c>
      <c r="Z28" s="15">
        <f ca="1">IF($I28,c_lotfactor*INDEX(M_Onedeal!$AF$8:$AF$68,$J28),0)+AZ28</f>
        <v>3437192.6676707095</v>
      </c>
      <c r="AA28" s="15">
        <f ca="1">IF($I28,c_lotfactor*INDEX(M_Onedeal!$AG$8:$AG$68,$J28),0)+BA28</f>
        <v>37615829.867518246</v>
      </c>
      <c r="AB28" s="15">
        <f ca="1">IF($I28,c_lotfactor*INDEX(M_Onedeal!$AI$8:$AI$68,$J28),0)+BB28</f>
        <v>-3996450.2918646624</v>
      </c>
      <c r="AC28" s="15">
        <f ca="1">IF($I28,c_lotfactor*INDEX(M_Onedeal!$AQ$8:$AQ$68,$J28),0)+BC28</f>
        <v>62481.25</v>
      </c>
      <c r="AD28" s="15">
        <f ca="1">IF($I28,c_lotfactor*INDEX(M_Onedeal!$AR$8:$AR$68,$J28),0)+BD28</f>
        <v>62481.25</v>
      </c>
      <c r="AE28" s="15">
        <f ca="1">IF($I28,c_lotfactor*INDEX(M_Onedeal!$AK$8:$AK$68,$J28),0)+BE28</f>
        <v>-4121412.7918646624</v>
      </c>
      <c r="AF28" s="15">
        <f ca="1">IF($I28,c_lotfactor*INDEX(M_Onedeal!$AM$8:$AM$68,$J28),0)+BF28</f>
        <v>-6554714.7817811966</v>
      </c>
      <c r="AG28" s="15">
        <f ca="1">IF($I28,c_lotfactor*-INDEX(M_Onedeal!$AB$8:$AB$68,$J28,0))+BG28</f>
        <v>0</v>
      </c>
      <c r="AH28" s="15">
        <f ca="1">IF($I28,c_lotfactor*INDEX(M_Onedeal!$AN$8:$AN$68,$J28),0)+BH28</f>
        <v>1922499.9999999998</v>
      </c>
      <c r="AI28" s="15">
        <f ca="1">IF($I28,c_lotfactor*INDEX(M_Onedeal!$AO$8:$AO$68,$J28),0)+BI28</f>
        <v>287762.89689572848</v>
      </c>
      <c r="AJ28" s="15">
        <f ca="1">IF($I28,c_lotfactor*INDEX(M_Onedeal!$AP$8:$AP$68,$J28),0)+BJ28</f>
        <v>-143881.44844786418</v>
      </c>
      <c r="AL28" s="126">
        <v>1933.3333333333337</v>
      </c>
      <c r="AM28" s="126">
        <v>49.999999999999986</v>
      </c>
      <c r="AN28" s="126">
        <v>1883.3333333333337</v>
      </c>
      <c r="AO28" s="126">
        <v>57899.980572400578</v>
      </c>
      <c r="AP28" s="126">
        <v>5767499.9999999991</v>
      </c>
      <c r="AQ28" s="126">
        <v>4806.25</v>
      </c>
      <c r="AR28" s="126">
        <v>24987693.749999996</v>
      </c>
      <c r="AS28" s="126">
        <v>5762693.7499999991</v>
      </c>
      <c r="AT28" s="126">
        <v>6208333.3333333321</v>
      </c>
      <c r="AU28" s="126">
        <v>6208333.3333333321</v>
      </c>
      <c r="AV28" s="126">
        <v>-6856472.916666666</v>
      </c>
      <c r="AW28" s="126">
        <v>34955.921502788391</v>
      </c>
      <c r="AX28" s="126">
        <v>6208333.3333333321</v>
      </c>
      <c r="AY28" s="126">
        <v>125740.48119254984</v>
      </c>
      <c r="AZ28" s="126">
        <v>3161683.1872628205</v>
      </c>
      <c r="BA28" s="126">
        <v>35829258.008884497</v>
      </c>
      <c r="BB28" s="126">
        <v>-4188919.3563656257</v>
      </c>
      <c r="BC28" s="126">
        <v>57675</v>
      </c>
      <c r="BD28" s="126">
        <v>57675</v>
      </c>
      <c r="BE28" s="126">
        <v>-4304269.3563656257</v>
      </c>
      <c r="BF28" s="126">
        <v>-6554714.7817811966</v>
      </c>
      <c r="BG28" s="126">
        <v>0</v>
      </c>
      <c r="BH28" s="126">
        <v>1922499.9999999998</v>
      </c>
      <c r="BI28" s="126">
        <v>287762.89689572848</v>
      </c>
      <c r="BJ28" s="126">
        <v>-143881.44844786418</v>
      </c>
    </row>
    <row r="29" spans="2:62" ht="15" customHeight="1">
      <c r="B29" s="16">
        <f t="shared" si="1"/>
        <v>2000</v>
      </c>
      <c r="C29" s="16">
        <f t="shared" ca="1" si="7"/>
        <v>2166.666666666667</v>
      </c>
      <c r="D29" s="333">
        <f t="shared" ca="1" si="2"/>
        <v>166.66666666666666</v>
      </c>
      <c r="E29" s="115">
        <f t="shared" ca="1" si="3"/>
        <v>1.6666666666666665</v>
      </c>
      <c r="G29" s="16">
        <f t="shared" si="4"/>
        <v>20</v>
      </c>
      <c r="H29" s="16">
        <f t="shared" si="5"/>
        <v>2</v>
      </c>
      <c r="I29" s="16">
        <f t="shared" si="6"/>
        <v>1</v>
      </c>
      <c r="J29" s="16">
        <f t="shared" si="0"/>
        <v>20</v>
      </c>
      <c r="L29" s="16">
        <f ca="1">IF($I29,c_lotfactor*INDEX(M_Onedeal!$E$8:$E$68,$J29),0)+AL29</f>
        <v>2091.666666666667</v>
      </c>
      <c r="M29" s="16">
        <f ca="1">IF($I29,c_lotfactor*INDEX(M_Onedeal!$H$8:$H$68,$J29),0)+AM29</f>
        <v>58.333333333333314</v>
      </c>
      <c r="N29" s="16">
        <f ca="1">IF($I29,c_lotfactor*INDEX(M_Onedeal!$I$8:$I$68,$J29),0)+AN29</f>
        <v>2033.3333333333337</v>
      </c>
      <c r="O29" s="16">
        <f ca="1">IF($I29,c_lotfactor*INDEX(M_Onedeal!$K$8:$K$68,$J29),0)+AO29</f>
        <v>63089.129774644025</v>
      </c>
      <c r="P29" s="16">
        <f ca="1">IF($I29,c_lotfactor*INDEX(M_Onedeal!$L$8:$L$68,$J29),0)+AP29</f>
        <v>6728749.9999999991</v>
      </c>
      <c r="Q29" s="16">
        <f ca="1">IF($I29,c_lotfactor*INDEX(M_Onedeal!$M$8:$M$68,$J29),0)+AQ29</f>
        <v>196094.99999999997</v>
      </c>
      <c r="R29" s="16">
        <f ca="1">IF($I29,c_lotfactor*INDEX(M_Onedeal!$N$8:$N$68,$J29),0)+AR29</f>
        <v>27670542.499999996</v>
      </c>
      <c r="S29" s="16">
        <f ca="1">IF($I29,c_lotfactor*INDEX(M_Onedeal!$O$8:$O$68,$J29),0)+AS29</f>
        <v>6532654.9999999991</v>
      </c>
      <c r="T29" s="16">
        <f ca="1">IF($I29,c_lotfactor*INDEX(M_Onedeal!$P$8:$P$68,$J29),0)+AT29</f>
        <v>6624999.9999999981</v>
      </c>
      <c r="U29" s="16">
        <f ca="1">IF($I29,c_lotfactor*INDEX(M_Onedeal!$Q$8:$Q$68,$J29),0)+AU29</f>
        <v>6624999.9999999981</v>
      </c>
      <c r="V29" s="16">
        <f ca="1">IF($I29,c_lotfactor*INDEX(M_Onedeal!$R$8:$R$68,$J29),0)+AV29</f>
        <v>-6503178.3333333321</v>
      </c>
      <c r="W29" s="16">
        <f ca="1">IF($I29,c_lotfactor*INDEX(M_Onedeal!$Y$8:$Y$68,$J29),0)+AW29</f>
        <v>39197.707036042084</v>
      </c>
      <c r="X29" s="16">
        <f ca="1">IF($I29,c_lotfactor*INDEX(M_Onedeal!$AA$8:$AA$68,$J29),0)+AX29</f>
        <v>6624999.9999999981</v>
      </c>
      <c r="Y29" s="16">
        <f ca="1">IF($I29,c_lotfactor*INDEX(M_Onedeal!$AD$8:$AD$68,$J29),0)+AY29</f>
        <v>143567.65690083103</v>
      </c>
      <c r="Z29" s="16">
        <f ca="1">IF($I29,c_lotfactor*INDEX(M_Onedeal!$AF$8:$AF$68,$J29),0)+AZ29</f>
        <v>3712702.1480785985</v>
      </c>
      <c r="AA29" s="16">
        <f ca="1">IF($I29,c_lotfactor*INDEX(M_Onedeal!$AG$8:$AG$68,$J29),0)+BA29</f>
        <v>40383697.133899733</v>
      </c>
      <c r="AB29" s="16">
        <f ca="1">IF($I29,c_lotfactor*INDEX(M_Onedeal!$AI$8:$AI$68,$J29),0)+BB29</f>
        <v>-3983562.4573564306</v>
      </c>
      <c r="AC29" s="16">
        <f ca="1">IF($I29,c_lotfactor*INDEX(M_Onedeal!$AQ$8:$AQ$68,$J29),0)+BC29</f>
        <v>67287.5</v>
      </c>
      <c r="AD29" s="16">
        <f ca="1">IF($I29,c_lotfactor*INDEX(M_Onedeal!$AR$8:$AR$68,$J29),0)+BD29</f>
        <v>67287.5</v>
      </c>
      <c r="AE29" s="16">
        <f ca="1">IF($I29,c_lotfactor*INDEX(M_Onedeal!$AK$8:$AK$68,$J29),0)+BE29</f>
        <v>-4118137.4573564306</v>
      </c>
      <c r="AF29" s="16">
        <f ca="1">IF($I29,c_lotfactor*INDEX(M_Onedeal!$AM$8:$AM$68,$J29),0)+BF29</f>
        <v>-6554714.7817811966</v>
      </c>
      <c r="AG29" s="16">
        <f ca="1">IF($I29,c_lotfactor*-INDEX(M_Onedeal!$AB$8:$AB$68,$J29,0))+BG29</f>
        <v>0</v>
      </c>
      <c r="AH29" s="16">
        <f ca="1">IF($I29,c_lotfactor*INDEX(M_Onedeal!$AN$8:$AN$68,$J29),0)+BH29</f>
        <v>1922499.9999999998</v>
      </c>
      <c r="AI29" s="16">
        <f ca="1">IF($I29,c_lotfactor*INDEX(M_Onedeal!$AO$8:$AO$68,$J29),0)+BI29</f>
        <v>287762.89689572848</v>
      </c>
      <c r="AJ29" s="16">
        <f ca="1">IF($I29,c_lotfactor*INDEX(M_Onedeal!$AP$8:$AP$68,$J29),0)+BJ29</f>
        <v>-143881.44844786418</v>
      </c>
      <c r="AL29" s="127">
        <v>2050.0000000000005</v>
      </c>
      <c r="AM29" s="127">
        <v>54.16666666666665</v>
      </c>
      <c r="AN29" s="127">
        <v>1995.8333333333337</v>
      </c>
      <c r="AO29" s="127">
        <v>61723.564195106279</v>
      </c>
      <c r="AP29" s="127">
        <v>6248124.9999999991</v>
      </c>
      <c r="AQ29" s="127">
        <v>100450.62499999999</v>
      </c>
      <c r="AR29" s="127">
        <v>26809743.124999996</v>
      </c>
      <c r="AS29" s="127">
        <v>6147674.3749999991</v>
      </c>
      <c r="AT29" s="127">
        <v>6624999.9999999981</v>
      </c>
      <c r="AU29" s="127">
        <v>6624999.9999999981</v>
      </c>
      <c r="AV29" s="127">
        <v>-6888158.9583333321</v>
      </c>
      <c r="AW29" s="127">
        <v>39197.707036042084</v>
      </c>
      <c r="AX29" s="127">
        <v>6624999.9999999981</v>
      </c>
      <c r="AY29" s="127">
        <v>136774.96181331729</v>
      </c>
      <c r="AZ29" s="127">
        <v>3437192.6676707095</v>
      </c>
      <c r="BA29" s="127">
        <v>38872634.75567387</v>
      </c>
      <c r="BB29" s="127">
        <v>-4086240.9068610277</v>
      </c>
      <c r="BC29" s="127">
        <v>62481.25</v>
      </c>
      <c r="BD29" s="127">
        <v>62481.25</v>
      </c>
      <c r="BE29" s="127">
        <v>-4211203.4068610277</v>
      </c>
      <c r="BF29" s="127">
        <v>-6554714.7817811966</v>
      </c>
      <c r="BG29" s="127">
        <v>0</v>
      </c>
      <c r="BH29" s="127">
        <v>1922499.9999999998</v>
      </c>
      <c r="BI29" s="127">
        <v>287762.89689572848</v>
      </c>
      <c r="BJ29" s="127">
        <v>-143881.44844786418</v>
      </c>
    </row>
    <row r="30" spans="2:62" ht="15" customHeight="1">
      <c r="B30" s="17">
        <f t="shared" si="1"/>
        <v>2000</v>
      </c>
      <c r="C30" s="17">
        <f t="shared" ca="1" si="7"/>
        <v>2333.3333333333335</v>
      </c>
      <c r="D30" s="334">
        <f t="shared" ca="1" si="2"/>
        <v>166.66666666666666</v>
      </c>
      <c r="E30" s="116">
        <f t="shared" ca="1" si="3"/>
        <v>1.6666666666666665</v>
      </c>
      <c r="G30" s="17">
        <f t="shared" si="4"/>
        <v>21</v>
      </c>
      <c r="H30" s="17">
        <f t="shared" si="5"/>
        <v>2</v>
      </c>
      <c r="I30" s="17">
        <f t="shared" si="6"/>
        <v>1</v>
      </c>
      <c r="J30" s="17">
        <f t="shared" si="0"/>
        <v>21</v>
      </c>
      <c r="L30" s="17">
        <f ca="1">IF($I30,c_lotfactor*INDEX(M_Onedeal!$E$8:$E$68,$J30),0)+AL30</f>
        <v>2200.0000000000005</v>
      </c>
      <c r="M30" s="17">
        <f ca="1">IF($I30,c_lotfactor*INDEX(M_Onedeal!$H$8:$H$68,$J30),0)+AM30</f>
        <v>62.499999999999979</v>
      </c>
      <c r="N30" s="17">
        <f ca="1">IF($I30,c_lotfactor*INDEX(M_Onedeal!$I$8:$I$68,$J30),0)+AN30</f>
        <v>2137.5000000000005</v>
      </c>
      <c r="O30" s="17">
        <f ca="1">IF($I30,c_lotfactor*INDEX(M_Onedeal!$K$8:$K$68,$J30),0)+AO30</f>
        <v>66639.600281442181</v>
      </c>
      <c r="P30" s="17">
        <f ca="1">IF($I30,c_lotfactor*INDEX(M_Onedeal!$L$8:$L$68,$J30),0)+AP30</f>
        <v>7209374.9999999991</v>
      </c>
      <c r="Q30" s="17">
        <f ca="1">IF($I30,c_lotfactor*INDEX(M_Onedeal!$M$8:$M$68,$J30),0)+AQ30</f>
        <v>291739.37499999994</v>
      </c>
      <c r="R30" s="17">
        <f ca="1">IF($I30,c_lotfactor*INDEX(M_Onedeal!$N$8:$N$68,$J30),0)+AR30</f>
        <v>29301303.124999996</v>
      </c>
      <c r="S30" s="17">
        <f ca="1">IF($I30,c_lotfactor*INDEX(M_Onedeal!$O$8:$O$68,$J30),0)+AS30</f>
        <v>6917635.6249999991</v>
      </c>
      <c r="T30" s="17">
        <f ca="1">IF($I30,c_lotfactor*INDEX(M_Onedeal!$P$8:$P$68,$J30),0)+AT30</f>
        <v>7041666.6666666651</v>
      </c>
      <c r="U30" s="17">
        <f ca="1">IF($I30,c_lotfactor*INDEX(M_Onedeal!$Q$8:$Q$68,$J30),0)+AU30</f>
        <v>7041666.6666666651</v>
      </c>
      <c r="V30" s="17">
        <f ca="1">IF($I30,c_lotfactor*INDEX(M_Onedeal!$R$8:$R$68,$J30),0)+AV30</f>
        <v>-6534864.3749999991</v>
      </c>
      <c r="W30" s="17">
        <f ca="1">IF($I30,c_lotfactor*INDEX(M_Onedeal!$Y$8:$Y$68,$J30),0)+AW30</f>
        <v>45023.69395818466</v>
      </c>
      <c r="X30" s="17">
        <f ca="1">IF($I30,c_lotfactor*INDEX(M_Onedeal!$AA$8:$AA$68,$J30),0)+AX30</f>
        <v>7041666.6666666651</v>
      </c>
      <c r="Y30" s="17">
        <f ca="1">IF($I30,c_lotfactor*INDEX(M_Onedeal!$AD$8:$AD$68,$J30),0)+AY30</f>
        <v>154091.31890321898</v>
      </c>
      <c r="Z30" s="17">
        <f ca="1">IF($I30,c_lotfactor*INDEX(M_Onedeal!$AF$8:$AF$68,$J30),0)+AZ30</f>
        <v>3988211.6284864875</v>
      </c>
      <c r="AA30" s="17">
        <f ca="1">IF($I30,c_lotfactor*INDEX(M_Onedeal!$AG$8:$AG$68,$J30),0)+BA30</f>
        <v>43292721.586540014</v>
      </c>
      <c r="AB30" s="17">
        <f ca="1">IF($I30,c_lotfactor*INDEX(M_Onedeal!$AI$8:$AI$68,$J30),0)+BB30</f>
        <v>-3878788.9878445654</v>
      </c>
      <c r="AC30" s="17">
        <f ca="1">IF($I30,c_lotfactor*INDEX(M_Onedeal!$AQ$8:$AQ$68,$J30),0)+BC30</f>
        <v>72093.75</v>
      </c>
      <c r="AD30" s="17">
        <f ca="1">IF($I30,c_lotfactor*INDEX(M_Onedeal!$AR$8:$AR$68,$J30),0)+BD30</f>
        <v>72093.75</v>
      </c>
      <c r="AE30" s="17">
        <f ca="1">IF($I30,c_lotfactor*INDEX(M_Onedeal!$AK$8:$AK$68,$J30),0)+BE30</f>
        <v>-4022976.4878445654</v>
      </c>
      <c r="AF30" s="17">
        <f ca="1">IF($I30,c_lotfactor*INDEX(M_Onedeal!$AM$8:$AM$68,$J30),0)+BF30</f>
        <v>-6554714.7817811966</v>
      </c>
      <c r="AG30" s="17">
        <f ca="1">IF($I30,c_lotfactor*-INDEX(M_Onedeal!$AB$8:$AB$68,$J30,0))+BG30</f>
        <v>0</v>
      </c>
      <c r="AH30" s="17">
        <f ca="1">IF($I30,c_lotfactor*INDEX(M_Onedeal!$AN$8:$AN$68,$J30),0)+BH30</f>
        <v>1922499.9999999998</v>
      </c>
      <c r="AI30" s="17">
        <f ca="1">IF($I30,c_lotfactor*INDEX(M_Onedeal!$AO$8:$AO$68,$J30),0)+BI30</f>
        <v>287762.89689572848</v>
      </c>
      <c r="AJ30" s="17">
        <f ca="1">IF($I30,c_lotfactor*INDEX(M_Onedeal!$AP$8:$AP$68,$J30),0)+BJ30</f>
        <v>-143881.44844786418</v>
      </c>
      <c r="AL30" s="128">
        <v>2162.5000000000005</v>
      </c>
      <c r="AM30" s="128">
        <v>58.333333333333314</v>
      </c>
      <c r="AN30" s="128">
        <v>2104.166666666667</v>
      </c>
      <c r="AO30" s="128">
        <v>65410.591259858207</v>
      </c>
      <c r="AP30" s="128">
        <v>6728749.9999999991</v>
      </c>
      <c r="AQ30" s="128">
        <v>196094.99999999997</v>
      </c>
      <c r="AR30" s="128">
        <v>28536148.124999996</v>
      </c>
      <c r="AS30" s="128">
        <v>6532654.9999999991</v>
      </c>
      <c r="AT30" s="128">
        <v>7041666.6666666651</v>
      </c>
      <c r="AU30" s="128">
        <v>7041666.6666666651</v>
      </c>
      <c r="AV30" s="128">
        <v>-6919844.9999999991</v>
      </c>
      <c r="AW30" s="128">
        <v>45023.69395818466</v>
      </c>
      <c r="AX30" s="128">
        <v>7041666.6666666651</v>
      </c>
      <c r="AY30" s="128">
        <v>148346.13381933942</v>
      </c>
      <c r="AZ30" s="128">
        <v>3712702.1480785985</v>
      </c>
      <c r="BA30" s="128">
        <v>42057168.688722044</v>
      </c>
      <c r="BB30" s="128">
        <v>-3982514.9473527968</v>
      </c>
      <c r="BC30" s="128">
        <v>67287.5</v>
      </c>
      <c r="BD30" s="128">
        <v>67287.5</v>
      </c>
      <c r="BE30" s="128">
        <v>-4117089.9473527968</v>
      </c>
      <c r="BF30" s="128">
        <v>-6554714.7817811966</v>
      </c>
      <c r="BG30" s="128">
        <v>0</v>
      </c>
      <c r="BH30" s="128">
        <v>1922499.9999999998</v>
      </c>
      <c r="BI30" s="128">
        <v>287762.89689572848</v>
      </c>
      <c r="BJ30" s="128">
        <v>-143881.44844786418</v>
      </c>
    </row>
    <row r="31" spans="2:62" ht="15" customHeight="1">
      <c r="B31" s="15">
        <f t="shared" si="1"/>
        <v>2000</v>
      </c>
      <c r="C31" s="15">
        <f t="shared" ca="1" si="7"/>
        <v>2500</v>
      </c>
      <c r="D31" s="332">
        <f t="shared" ca="1" si="2"/>
        <v>42.698991722965275</v>
      </c>
      <c r="E31" s="113">
        <f t="shared" ca="1" si="3"/>
        <v>0.42698991722965274</v>
      </c>
      <c r="G31" s="15">
        <f t="shared" si="4"/>
        <v>22</v>
      </c>
      <c r="H31" s="15">
        <f t="shared" si="5"/>
        <v>2</v>
      </c>
      <c r="I31" s="15">
        <f t="shared" si="6"/>
        <v>1</v>
      </c>
      <c r="J31" s="15">
        <f t="shared" si="0"/>
        <v>22</v>
      </c>
      <c r="L31" s="15">
        <f ca="1">IF($I31,c_lotfactor*INDEX(M_Onedeal!$E$8:$E$68,$J31),0)+AL31</f>
        <v>2180.1989917229657</v>
      </c>
      <c r="M31" s="15">
        <f ca="1">IF($I31,c_lotfactor*INDEX(M_Onedeal!$H$8:$H$68,$J31),0)+AM31</f>
        <v>66.666666666666643</v>
      </c>
      <c r="N31" s="15">
        <f ca="1">IF($I31,c_lotfactor*INDEX(M_Onedeal!$I$8:$I$68,$J31),0)+AN31</f>
        <v>2113.5323250562988</v>
      </c>
      <c r="O31" s="15">
        <f ca="1">IF($I31,c_lotfactor*INDEX(M_Onedeal!$K$8:$K$68,$J31),0)+AO31</f>
        <v>70053.514230286542</v>
      </c>
      <c r="P31" s="15">
        <f ca="1">IF($I31,c_lotfactor*INDEX(M_Onedeal!$L$8:$L$68,$J31),0)+AP31</f>
        <v>7689999.9999999991</v>
      </c>
      <c r="Q31" s="15">
        <f ca="1">IF($I31,c_lotfactor*INDEX(M_Onedeal!$M$8:$M$68,$J31),0)+AQ31</f>
        <v>387383.74999999994</v>
      </c>
      <c r="R31" s="15">
        <f ca="1">IF($I31,c_lotfactor*INDEX(M_Onedeal!$N$8:$N$68,$J31),0)+AR31</f>
        <v>29406452.244524401</v>
      </c>
      <c r="S31" s="15">
        <f ca="1">IF($I31,c_lotfactor*INDEX(M_Onedeal!$O$8:$O$68,$J31),0)+AS31</f>
        <v>7302616.2499999991</v>
      </c>
      <c r="T31" s="15">
        <f ca="1">IF($I31,c_lotfactor*INDEX(M_Onedeal!$P$8:$P$68,$J31),0)+AT31</f>
        <v>7458333.3333333312</v>
      </c>
      <c r="U31" s="15">
        <f ca="1">IF($I31,c_lotfactor*INDEX(M_Onedeal!$Q$8:$Q$68,$J31),0)+AU31</f>
        <v>7458333.3333333312</v>
      </c>
      <c r="V31" s="15">
        <f ca="1">IF($I31,c_lotfactor*INDEX(M_Onedeal!$R$8:$R$68,$J31),0)+AV31</f>
        <v>-1798133.799957192</v>
      </c>
      <c r="W31" s="15">
        <f ca="1">IF($I31,c_lotfactor*INDEX(M_Onedeal!$Y$8:$Y$68,$J31),0)+AW31</f>
        <v>52433.882269216141</v>
      </c>
      <c r="X31" s="15">
        <f ca="1">IF($I31,c_lotfactor*INDEX(M_Onedeal!$AA$8:$AA$68,$J31),0)+AX31</f>
        <v>7458333.3333333312</v>
      </c>
      <c r="Y31" s="15">
        <f ca="1">IF($I31,c_lotfactor*INDEX(M_Onedeal!$AD$8:$AD$68,$J31),0)+AY31</f>
        <v>165151.67229086175</v>
      </c>
      <c r="Z31" s="15">
        <f ca="1">IF($I31,c_lotfactor*INDEX(M_Onedeal!$AF$8:$AF$68,$J31),0)+AZ31</f>
        <v>4263721.1088943761</v>
      </c>
      <c r="AA31" s="15">
        <f ca="1">IF($I31,c_lotfactor*INDEX(M_Onedeal!$AG$8:$AG$68,$J31),0)+BA31</f>
        <v>46449923.117228754</v>
      </c>
      <c r="AB31" s="15">
        <f ca="1">IF($I31,c_lotfactor*INDEX(M_Onedeal!$AI$8:$AI$68,$J31),0)+BB31</f>
        <v>1102468.5001700902</v>
      </c>
      <c r="AC31" s="15">
        <f ca="1">IF($I31,c_lotfactor*INDEX(M_Onedeal!$AQ$8:$AQ$68,$J31),0)+BC31</f>
        <v>76900</v>
      </c>
      <c r="AD31" s="15">
        <f ca="1">IF($I31,c_lotfactor*INDEX(M_Onedeal!$AR$8:$AR$68,$J31),0)+BD31</f>
        <v>76900</v>
      </c>
      <c r="AE31" s="15">
        <f ca="1">IF($I31,c_lotfactor*INDEX(M_Onedeal!$AK$8:$AK$68,$J31),0)+BE31</f>
        <v>948668.50017009024</v>
      </c>
      <c r="AF31" s="15">
        <f ca="1">IF($I31,c_lotfactor*INDEX(M_Onedeal!$AM$8:$AM$68,$J31),0)+BF31</f>
        <v>-1679278.2732820408</v>
      </c>
      <c r="AG31" s="15">
        <f ca="1">IF($I31,c_lotfactor*-INDEX(M_Onedeal!$AB$8:$AB$68,$J31,0))+BG31</f>
        <v>0</v>
      </c>
      <c r="AH31" s="15">
        <f ca="1">IF($I31,c_lotfactor*INDEX(M_Onedeal!$AN$8:$AN$68,$J31),0)+BH31</f>
        <v>492532.86952440441</v>
      </c>
      <c r="AI31" s="15">
        <f ca="1">IF($I31,c_lotfactor*INDEX(M_Onedeal!$AO$8:$AO$68,$J31),0)+BI31</f>
        <v>73723.11331636332</v>
      </c>
      <c r="AJ31" s="15">
        <f ca="1">IF($I31,c_lotfactor*INDEX(M_Onedeal!$AP$8:$AP$68,$J31),0)+BJ31</f>
        <v>-36861.556658181646</v>
      </c>
      <c r="AL31" s="126">
        <v>2146.8656583896322</v>
      </c>
      <c r="AM31" s="126">
        <v>62.499999999999979</v>
      </c>
      <c r="AN31" s="126">
        <v>2084.3656583896322</v>
      </c>
      <c r="AO31" s="126">
        <v>68961.061766656348</v>
      </c>
      <c r="AP31" s="126">
        <v>7209374.9999999991</v>
      </c>
      <c r="AQ31" s="126">
        <v>291739.37499999994</v>
      </c>
      <c r="AR31" s="126">
        <v>28736941.619524401</v>
      </c>
      <c r="AS31" s="126">
        <v>6917635.6249999991</v>
      </c>
      <c r="AT31" s="126">
        <v>7458333.3333333312</v>
      </c>
      <c r="AU31" s="126">
        <v>7458333.3333333312</v>
      </c>
      <c r="AV31" s="126">
        <v>-2183114.424957192</v>
      </c>
      <c r="AW31" s="126">
        <v>52433.882269216141</v>
      </c>
      <c r="AX31" s="126">
        <v>7458333.3333333312</v>
      </c>
      <c r="AY31" s="126">
        <v>160453.99721061633</v>
      </c>
      <c r="AZ31" s="126">
        <v>3988211.6284864875</v>
      </c>
      <c r="BA31" s="126">
        <v>45489879.699818671</v>
      </c>
      <c r="BB31" s="126">
        <v>997695.0306582246</v>
      </c>
      <c r="BC31" s="126">
        <v>72093.75</v>
      </c>
      <c r="BD31" s="126">
        <v>72093.75</v>
      </c>
      <c r="BE31" s="126">
        <v>853507.5306582246</v>
      </c>
      <c r="BF31" s="126">
        <v>-1679278.2732820408</v>
      </c>
      <c r="BG31" s="126">
        <v>0</v>
      </c>
      <c r="BH31" s="126">
        <v>492532.86952440441</v>
      </c>
      <c r="BI31" s="126">
        <v>73723.11331636332</v>
      </c>
      <c r="BJ31" s="126">
        <v>-36861.556658181646</v>
      </c>
    </row>
    <row r="32" spans="2:62" ht="15" customHeight="1">
      <c r="B32" s="16">
        <f t="shared" si="1"/>
        <v>2000</v>
      </c>
      <c r="C32" s="16">
        <f t="shared" ca="1" si="7"/>
        <v>2542.6989917229653</v>
      </c>
      <c r="D32" s="333">
        <f t="shared" ca="1" si="2"/>
        <v>0</v>
      </c>
      <c r="E32" s="115">
        <f t="shared" ca="1" si="3"/>
        <v>0</v>
      </c>
      <c r="G32" s="16">
        <f t="shared" si="4"/>
        <v>23</v>
      </c>
      <c r="H32" s="16">
        <f t="shared" si="5"/>
        <v>2</v>
      </c>
      <c r="I32" s="16">
        <f t="shared" si="6"/>
        <v>1</v>
      </c>
      <c r="J32" s="16">
        <f t="shared" si="0"/>
        <v>23</v>
      </c>
      <c r="L32" s="16">
        <f ca="1">IF($I32,c_lotfactor*INDEX(M_Onedeal!$E$8:$E$68,$J32),0)+AL32</f>
        <v>2113.5323250562988</v>
      </c>
      <c r="M32" s="16">
        <f ca="1">IF($I32,c_lotfactor*INDEX(M_Onedeal!$H$8:$H$68,$J32),0)+AM32</f>
        <v>70.833333333333314</v>
      </c>
      <c r="N32" s="16">
        <f ca="1">IF($I32,c_lotfactor*INDEX(M_Onedeal!$I$8:$I$68,$J32),0)+AN32</f>
        <v>2042.6989917229655</v>
      </c>
      <c r="O32" s="16">
        <f ca="1">IF($I32,c_lotfactor*INDEX(M_Onedeal!$K$8:$K$68,$J32),0)+AO32</f>
        <v>69268.007864094528</v>
      </c>
      <c r="P32" s="16">
        <f ca="1">IF($I32,c_lotfactor*INDEX(M_Onedeal!$L$8:$L$68,$J32),0)+AP32</f>
        <v>8170624.9999999991</v>
      </c>
      <c r="Q32" s="16">
        <f ca="1">IF($I32,c_lotfactor*INDEX(M_Onedeal!$M$8:$M$68,$J32),0)+AQ32</f>
        <v>483028.12499999994</v>
      </c>
      <c r="R32" s="16">
        <f ca="1">IF($I32,c_lotfactor*INDEX(M_Onedeal!$N$8:$N$68,$J32),0)+AR32</f>
        <v>28923424.119524404</v>
      </c>
      <c r="S32" s="16">
        <f ca="1">IF($I32,c_lotfactor*INDEX(M_Onedeal!$O$8:$O$68,$J32),0)+AS32</f>
        <v>7687596.8749999991</v>
      </c>
      <c r="T32" s="16">
        <f ca="1">IF($I32,c_lotfactor*INDEX(M_Onedeal!$P$8:$P$68,$J32),0)+AT32</f>
        <v>7874999.9999999981</v>
      </c>
      <c r="U32" s="16">
        <f ca="1">IF($I32,c_lotfactor*INDEX(M_Onedeal!$Q$8:$Q$68,$J32),0)+AU32</f>
        <v>7874999.9999999981</v>
      </c>
      <c r="V32" s="16">
        <f ca="1">IF($I32,c_lotfactor*INDEX(M_Onedeal!$R$8:$R$68,$J32),0)+AV32</f>
        <v>-187403.12499999983</v>
      </c>
      <c r="W32" s="16">
        <f ca="1">IF($I32,c_lotfactor*INDEX(M_Onedeal!$Y$8:$Y$68,$J32),0)+AW32</f>
        <v>61428.271969136484</v>
      </c>
      <c r="X32" s="16">
        <f ca="1">IF($I32,c_lotfactor*INDEX(M_Onedeal!$AA$8:$AA$68,$J32),0)+AX32</f>
        <v>7874999.9999999981</v>
      </c>
      <c r="Y32" s="16">
        <f ca="1">IF($I32,c_lotfactor*INDEX(M_Onedeal!$AD$8:$AD$68,$J32),0)+AY32</f>
        <v>176748.71706375916</v>
      </c>
      <c r="Z32" s="16">
        <f ca="1">IF($I32,c_lotfactor*INDEX(M_Onedeal!$AF$8:$AF$68,$J32),0)+AZ32</f>
        <v>4646250.4810919482</v>
      </c>
      <c r="AA32" s="16">
        <f ca="1">IF($I32,c_lotfactor*INDEX(M_Onedeal!$AG$8:$AG$68,$J32),0)+BA32</f>
        <v>49678530.397591673</v>
      </c>
      <c r="AB32" s="16">
        <f ca="1">IF($I32,c_lotfactor*INDEX(M_Onedeal!$AI$8:$AI$68,$J32),0)+BB32</f>
        <v>2888615.2629712657</v>
      </c>
      <c r="AC32" s="16">
        <f ca="1">IF($I32,c_lotfactor*INDEX(M_Onedeal!$AQ$8:$AQ$68,$J32),0)+BC32</f>
        <v>81706.25</v>
      </c>
      <c r="AD32" s="16">
        <f ca="1">IF($I32,c_lotfactor*INDEX(M_Onedeal!$AR$8:$AR$68,$J32),0)+BD32</f>
        <v>81706.25</v>
      </c>
      <c r="AE32" s="16">
        <f ca="1">IF($I32,c_lotfactor*INDEX(M_Onedeal!$AK$8:$AK$68,$J32),0)+BE32</f>
        <v>2725202.7629712657</v>
      </c>
      <c r="AF32" s="16">
        <f ca="1">IF($I32,c_lotfactor*INDEX(M_Onedeal!$AM$8:$AM$68,$J32),0)+BF32</f>
        <v>0</v>
      </c>
      <c r="AG32" s="16">
        <f ca="1">IF($I32,c_lotfactor*-INDEX(M_Onedeal!$AB$8:$AB$68,$J32,0))+BG32</f>
        <v>0</v>
      </c>
      <c r="AH32" s="16">
        <f ca="1">IF($I32,c_lotfactor*INDEX(M_Onedeal!$AN$8:$AN$68,$J32),0)+BH32</f>
        <v>0</v>
      </c>
      <c r="AI32" s="16">
        <f ca="1">IF($I32,c_lotfactor*INDEX(M_Onedeal!$AO$8:$AO$68,$J32),0)+BI32</f>
        <v>0</v>
      </c>
      <c r="AJ32" s="16">
        <f ca="1">IF($I32,c_lotfactor*INDEX(M_Onedeal!$AP$8:$AP$68,$J32),0)+BJ32</f>
        <v>0</v>
      </c>
      <c r="AL32" s="127">
        <v>2084.3656583896322</v>
      </c>
      <c r="AM32" s="127">
        <v>66.666666666666643</v>
      </c>
      <c r="AN32" s="127">
        <v>2017.6989917229655</v>
      </c>
      <c r="AO32" s="127">
        <v>68312.1119584181</v>
      </c>
      <c r="AP32" s="127">
        <v>7689999.9999999991</v>
      </c>
      <c r="AQ32" s="127">
        <v>387383.74999999994</v>
      </c>
      <c r="AR32" s="127">
        <v>28349557.869524404</v>
      </c>
      <c r="AS32" s="127">
        <v>7302616.2499999991</v>
      </c>
      <c r="AT32" s="127">
        <v>7874999.9999999981</v>
      </c>
      <c r="AU32" s="127">
        <v>7874999.9999999981</v>
      </c>
      <c r="AV32" s="127">
        <v>-572383.74999999977</v>
      </c>
      <c r="AW32" s="127">
        <v>61428.271969136484</v>
      </c>
      <c r="AX32" s="127">
        <v>7874999.9999999981</v>
      </c>
      <c r="AY32" s="127">
        <v>173098.55198714792</v>
      </c>
      <c r="AZ32" s="127">
        <v>4370741.0006840592</v>
      </c>
      <c r="BA32" s="127">
        <v>48993996.460589476</v>
      </c>
      <c r="BB32" s="127">
        <v>2782794.2834557658</v>
      </c>
      <c r="BC32" s="127">
        <v>76900</v>
      </c>
      <c r="BD32" s="127">
        <v>76900</v>
      </c>
      <c r="BE32" s="127">
        <v>2628994.2834557658</v>
      </c>
      <c r="BF32" s="127">
        <v>0</v>
      </c>
      <c r="BG32" s="127">
        <v>0</v>
      </c>
      <c r="BH32" s="127">
        <v>0</v>
      </c>
      <c r="BI32" s="127">
        <v>0</v>
      </c>
      <c r="BJ32" s="127">
        <v>0</v>
      </c>
    </row>
    <row r="33" spans="2:62" ht="15" customHeight="1" thickBot="1">
      <c r="B33" s="18">
        <f t="shared" si="1"/>
        <v>2000</v>
      </c>
      <c r="C33" s="18">
        <f t="shared" ca="1" si="7"/>
        <v>2542.6989917229653</v>
      </c>
      <c r="D33" s="335">
        <f t="shared" ca="1" si="2"/>
        <v>0</v>
      </c>
      <c r="E33" s="117">
        <f t="shared" ca="1" si="3"/>
        <v>0</v>
      </c>
      <c r="G33" s="18">
        <f t="shared" si="4"/>
        <v>24</v>
      </c>
      <c r="H33" s="18">
        <f t="shared" si="5"/>
        <v>2</v>
      </c>
      <c r="I33" s="18">
        <f t="shared" si="6"/>
        <v>1</v>
      </c>
      <c r="J33" s="18">
        <f t="shared" si="0"/>
        <v>24</v>
      </c>
      <c r="L33" s="18">
        <f ca="1">IF($I33,c_lotfactor*INDEX(M_Onedeal!$E$8:$E$68,$J33),0)+AL33</f>
        <v>2042.6989917229655</v>
      </c>
      <c r="M33" s="18">
        <f ca="1">IF($I33,c_lotfactor*INDEX(M_Onedeal!$H$8:$H$68,$J33),0)+AM33</f>
        <v>79.166666666666643</v>
      </c>
      <c r="N33" s="18">
        <f ca="1">IF($I33,c_lotfactor*INDEX(M_Onedeal!$I$8:$I$68,$J33),0)+AN33</f>
        <v>1963.5323250562985</v>
      </c>
      <c r="O33" s="18">
        <f ca="1">IF($I33,c_lotfactor*INDEX(M_Onedeal!$K$8:$K$68,$J33),0)+AO33</f>
        <v>66946.546378880346</v>
      </c>
      <c r="P33" s="18">
        <f ca="1">IF($I33,c_lotfactor*INDEX(M_Onedeal!$L$8:$L$68,$J33),0)+AP33</f>
        <v>9131874.9999999981</v>
      </c>
      <c r="Q33" s="18">
        <f ca="1">IF($I33,c_lotfactor*INDEX(M_Onedeal!$M$8:$M$68,$J33),0)+AQ33</f>
        <v>578672.49999999988</v>
      </c>
      <c r="R33" s="18">
        <f ca="1">IF($I33,c_lotfactor*INDEX(M_Onedeal!$N$8:$N$68,$J33),0)+AR33</f>
        <v>28344751.619524404</v>
      </c>
      <c r="S33" s="18">
        <f ca="1">IF($I33,c_lotfactor*INDEX(M_Onedeal!$O$8:$O$68,$J33),0)+AS33</f>
        <v>8553202.4999999981</v>
      </c>
      <c r="T33" s="18">
        <f ca="1">IF($I33,c_lotfactor*INDEX(M_Onedeal!$P$8:$P$68,$J33),0)+AT33</f>
        <v>8291666.6666666642</v>
      </c>
      <c r="U33" s="18">
        <f ca="1">IF($I33,c_lotfactor*INDEX(M_Onedeal!$Q$8:$Q$68,$J33),0)+AU33</f>
        <v>8291666.6666666642</v>
      </c>
      <c r="V33" s="18">
        <f ca="1">IF($I33,c_lotfactor*INDEX(M_Onedeal!$R$8:$R$68,$J33),0)+AV33</f>
        <v>261535.83333333343</v>
      </c>
      <c r="W33" s="18">
        <f ca="1">IF($I33,c_lotfactor*INDEX(M_Onedeal!$Y$8:$Y$68,$J33),0)+AW33</f>
        <v>61428.271969136484</v>
      </c>
      <c r="X33" s="18">
        <f ca="1">IF($I33,c_lotfactor*INDEX(M_Onedeal!$AA$8:$AA$68,$J33),0)+AX33</f>
        <v>8291666.6666666642</v>
      </c>
      <c r="Y33" s="18">
        <f ca="1">IF($I33,c_lotfactor*INDEX(M_Onedeal!$AD$8:$AD$68,$J33),0)+AY33</f>
        <v>188882.45322191139</v>
      </c>
      <c r="Z33" s="18">
        <f ca="1">IF($I33,c_lotfactor*INDEX(M_Onedeal!$AF$8:$AF$68,$J33),0)+AZ33</f>
        <v>5234537.8971128147</v>
      </c>
      <c r="AA33" s="18">
        <f ca="1">IF($I33,c_lotfactor*INDEX(M_Onedeal!$AG$8:$AG$68,$J33),0)+BA33</f>
        <v>52735658.626372784</v>
      </c>
      <c r="AB33" s="18">
        <f ca="1">IF($I33,c_lotfactor*INDEX(M_Onedeal!$AI$8:$AI$68,$J33),0)+BB33</f>
        <v>3191068.1909973351</v>
      </c>
      <c r="AC33" s="18">
        <f ca="1">IF($I33,c_lotfactor*INDEX(M_Onedeal!$AQ$8:$AQ$68,$J33),0)+BC33</f>
        <v>91318.75</v>
      </c>
      <c r="AD33" s="18">
        <f ca="1">IF($I33,c_lotfactor*INDEX(M_Onedeal!$AR$8:$AR$68,$J33),0)+BD33</f>
        <v>91318.75</v>
      </c>
      <c r="AE33" s="18">
        <f ca="1">IF($I33,c_lotfactor*INDEX(M_Onedeal!$AK$8:$AK$68,$J33),0)+BE33</f>
        <v>3008430.6909973351</v>
      </c>
      <c r="AF33" s="18">
        <f ca="1">IF($I33,c_lotfactor*INDEX(M_Onedeal!$AM$8:$AM$68,$J33),0)+BF33</f>
        <v>0</v>
      </c>
      <c r="AG33" s="18">
        <f ca="1">IF($I33,c_lotfactor*-INDEX(M_Onedeal!$AB$8:$AB$68,$J33,0))+BG33</f>
        <v>0</v>
      </c>
      <c r="AH33" s="18">
        <f ca="1">IF($I33,c_lotfactor*INDEX(M_Onedeal!$AN$8:$AN$68,$J33),0)+BH33</f>
        <v>0</v>
      </c>
      <c r="AI33" s="18">
        <f ca="1">IF($I33,c_lotfactor*INDEX(M_Onedeal!$AO$8:$AO$68,$J33),0)+BI33</f>
        <v>0</v>
      </c>
      <c r="AJ33" s="18">
        <f ca="1">IF($I33,c_lotfactor*INDEX(M_Onedeal!$AP$8:$AP$68,$J33),0)+BJ33</f>
        <v>0</v>
      </c>
      <c r="AL33" s="129">
        <v>2017.6989917229655</v>
      </c>
      <c r="AM33" s="129">
        <v>74.999999999999972</v>
      </c>
      <c r="AN33" s="129">
        <v>1942.6989917229653</v>
      </c>
      <c r="AO33" s="129">
        <v>66127.207031157697</v>
      </c>
      <c r="AP33" s="129">
        <v>8651249.9999999981</v>
      </c>
      <c r="AQ33" s="129">
        <v>483028.12499999994</v>
      </c>
      <c r="AR33" s="129">
        <v>27866529.744524404</v>
      </c>
      <c r="AS33" s="129">
        <v>8168221.8749999991</v>
      </c>
      <c r="AT33" s="129">
        <v>8291666.6666666642</v>
      </c>
      <c r="AU33" s="129">
        <v>8291666.6666666642</v>
      </c>
      <c r="AV33" s="129">
        <v>-123444.79166666651</v>
      </c>
      <c r="AW33" s="129">
        <v>61428.271969136484</v>
      </c>
      <c r="AX33" s="129">
        <v>8291666.6666666642</v>
      </c>
      <c r="AY33" s="129">
        <v>186279.79814893429</v>
      </c>
      <c r="AZ33" s="129">
        <v>4959028.4167049257</v>
      </c>
      <c r="BA33" s="129">
        <v>52326634.169778481</v>
      </c>
      <c r="BB33" s="129">
        <v>3084199.701478201</v>
      </c>
      <c r="BC33" s="129">
        <v>86512.5</v>
      </c>
      <c r="BD33" s="129">
        <v>86512.5</v>
      </c>
      <c r="BE33" s="129">
        <v>2911174.701478201</v>
      </c>
      <c r="BF33" s="129">
        <v>0</v>
      </c>
      <c r="BG33" s="129">
        <v>0</v>
      </c>
      <c r="BH33" s="129">
        <v>0</v>
      </c>
      <c r="BI33" s="129">
        <v>0</v>
      </c>
      <c r="BJ33" s="129">
        <v>0</v>
      </c>
    </row>
    <row r="34" spans="2:62" ht="15" customHeight="1">
      <c r="B34" s="19">
        <f t="shared" si="1"/>
        <v>2000</v>
      </c>
      <c r="C34" s="19">
        <f t="shared" ca="1" si="7"/>
        <v>2542.6989917229653</v>
      </c>
      <c r="D34" s="336">
        <f t="shared" ca="1" si="2"/>
        <v>0</v>
      </c>
      <c r="E34" s="118">
        <f t="shared" ca="1" si="3"/>
        <v>0</v>
      </c>
      <c r="G34" s="19">
        <f t="shared" si="4"/>
        <v>25</v>
      </c>
      <c r="H34" s="19">
        <f t="shared" si="5"/>
        <v>3</v>
      </c>
      <c r="I34" s="19">
        <f t="shared" si="6"/>
        <v>1</v>
      </c>
      <c r="J34" s="19">
        <f t="shared" si="0"/>
        <v>25</v>
      </c>
      <c r="L34" s="19">
        <f ca="1">IF($I34,c_lotfactor*INDEX(M_Onedeal!$E$8:$E$68,$J34),0)+AL34</f>
        <v>1963.5323250562985</v>
      </c>
      <c r="M34" s="19">
        <f ca="1">IF($I34,c_lotfactor*INDEX(M_Onedeal!$H$8:$H$68,$J34),0)+AM34</f>
        <v>87.499999999999986</v>
      </c>
      <c r="N34" s="19">
        <f ca="1">IF($I34,c_lotfactor*INDEX(M_Onedeal!$I$8:$I$68,$J34),0)+AN34</f>
        <v>1876.0323250562988</v>
      </c>
      <c r="O34" s="19">
        <f ca="1">IF($I34,c_lotfactor*INDEX(M_Onedeal!$K$8:$K$68,$J34),0)+AO34</f>
        <v>64351.971777758605</v>
      </c>
      <c r="P34" s="19">
        <f ca="1">IF($I34,c_lotfactor*INDEX(M_Onedeal!$L$8:$L$68,$J34),0)+AP34</f>
        <v>10093124.999999998</v>
      </c>
      <c r="Q34" s="19">
        <f ca="1">IF($I34,c_lotfactor*INDEX(M_Onedeal!$M$8:$M$68,$J34),0)+AQ34</f>
        <v>674316.87499999988</v>
      </c>
      <c r="R34" s="19">
        <f ca="1">IF($I34,c_lotfactor*INDEX(M_Onedeal!$N$8:$N$68,$J34),0)+AR34</f>
        <v>27670434.744524404</v>
      </c>
      <c r="S34" s="19">
        <f ca="1">IF($I34,c_lotfactor*INDEX(M_Onedeal!$O$8:$O$68,$J34),0)+AS34</f>
        <v>9418808.1249999981</v>
      </c>
      <c r="T34" s="19">
        <f ca="1">IF($I34,c_lotfactor*INDEX(M_Onedeal!$P$8:$P$68,$J34),0)+AT34</f>
        <v>8463494.9586148243</v>
      </c>
      <c r="U34" s="19">
        <f ca="1">IF($I34,c_lotfactor*INDEX(M_Onedeal!$Q$8:$Q$68,$J34),0)+AU34</f>
        <v>8463494.9586148243</v>
      </c>
      <c r="V34" s="19">
        <f ca="1">IF($I34,c_lotfactor*INDEX(M_Onedeal!$R$8:$R$68,$J34),0)+AV34</f>
        <v>955313.16638517426</v>
      </c>
      <c r="W34" s="19">
        <f ca="1">IF($I34,c_lotfactor*INDEX(M_Onedeal!$Y$8:$Y$68,$J34),0)+AW34</f>
        <v>61428.271969136484</v>
      </c>
      <c r="X34" s="19">
        <f ca="1">IF($I34,c_lotfactor*INDEX(M_Onedeal!$AA$8:$AA$68,$J34),0)+AX34</f>
        <v>8463494.9586148243</v>
      </c>
      <c r="Y34" s="19">
        <f ca="1">IF($I34,c_lotfactor*INDEX(M_Onedeal!$AD$8:$AD$68,$J34),0)+AY34</f>
        <v>200505.37076168411</v>
      </c>
      <c r="Z34" s="19">
        <f ca="1">IF($I34,c_lotfactor*INDEX(M_Onedeal!$AF$8:$AF$68,$J34),0)+AZ34</f>
        <v>5785698.5557009876</v>
      </c>
      <c r="AA34" s="19">
        <f ca="1">IF($I34,c_lotfactor*INDEX(M_Onedeal!$AG$8:$AG$68,$J34),0)+BA34</f>
        <v>55413455.027260631</v>
      </c>
      <c r="AB34" s="19">
        <f ca="1">IF($I34,c_lotfactor*INDEX(M_Onedeal!$AI$8:$AI$68,$J34),0)+BB34</f>
        <v>3494031.9376417845</v>
      </c>
      <c r="AC34" s="19">
        <f ca="1">IF($I34,c_lotfactor*INDEX(M_Onedeal!$AQ$8:$AQ$68,$J34),0)+BC34</f>
        <v>100931.25</v>
      </c>
      <c r="AD34" s="19">
        <f ca="1">IF($I34,c_lotfactor*INDEX(M_Onedeal!$AR$8:$AR$68,$J34),0)+BD34</f>
        <v>100931.25</v>
      </c>
      <c r="AE34" s="19">
        <f ca="1">IF($I34,c_lotfactor*INDEX(M_Onedeal!$AK$8:$AK$68,$J34),0)+BE34</f>
        <v>3292169.4376417845</v>
      </c>
      <c r="AF34" s="19">
        <f ca="1">IF($I34,c_lotfactor*INDEX(M_Onedeal!$AM$8:$AM$68,$J34),0)+BF34</f>
        <v>0</v>
      </c>
      <c r="AG34" s="19">
        <f ca="1">IF($I34,c_lotfactor*-INDEX(M_Onedeal!$AB$8:$AB$68,$J34,0))+BG34</f>
        <v>0</v>
      </c>
      <c r="AH34" s="19">
        <f ca="1">IF($I34,c_lotfactor*INDEX(M_Onedeal!$AN$8:$AN$68,$J34),0)+BH34</f>
        <v>0</v>
      </c>
      <c r="AI34" s="19">
        <f ca="1">IF($I34,c_lotfactor*INDEX(M_Onedeal!$AO$8:$AO$68,$J34),0)+BI34</f>
        <v>0</v>
      </c>
      <c r="AJ34" s="19">
        <f ca="1">IF($I34,c_lotfactor*INDEX(M_Onedeal!$AP$8:$AP$68,$J34),0)+BJ34</f>
        <v>0</v>
      </c>
      <c r="AL34" s="130">
        <v>1942.6989917229653</v>
      </c>
      <c r="AM34" s="130">
        <v>83.333333333333314</v>
      </c>
      <c r="AN34" s="130">
        <v>1859.365658389632</v>
      </c>
      <c r="AO34" s="130">
        <v>63669.188987989728</v>
      </c>
      <c r="AP34" s="130">
        <v>9612499.9999999981</v>
      </c>
      <c r="AQ34" s="130">
        <v>578672.49999999988</v>
      </c>
      <c r="AR34" s="130">
        <v>27287857.244524404</v>
      </c>
      <c r="AS34" s="130">
        <v>9033827.4999999981</v>
      </c>
      <c r="AT34" s="130">
        <v>8463494.9586148243</v>
      </c>
      <c r="AU34" s="130">
        <v>8463494.9586148243</v>
      </c>
      <c r="AV34" s="130">
        <v>570332.54138517426</v>
      </c>
      <c r="AW34" s="130">
        <v>61428.271969136484</v>
      </c>
      <c r="AX34" s="130">
        <v>8463494.9586148243</v>
      </c>
      <c r="AY34" s="130">
        <v>198950.22569234119</v>
      </c>
      <c r="AZ34" s="130">
        <v>5510189.0752930986</v>
      </c>
      <c r="BA34" s="130">
        <v>55279940.051074214</v>
      </c>
      <c r="BB34" s="130">
        <v>3386115.9381190166</v>
      </c>
      <c r="BC34" s="130">
        <v>96125</v>
      </c>
      <c r="BD34" s="130">
        <v>96125</v>
      </c>
      <c r="BE34" s="130">
        <v>3193865.9381190166</v>
      </c>
      <c r="BF34" s="130">
        <v>0</v>
      </c>
      <c r="BG34" s="130">
        <v>0</v>
      </c>
      <c r="BH34" s="130">
        <v>0</v>
      </c>
      <c r="BI34" s="130">
        <v>0</v>
      </c>
      <c r="BJ34" s="130">
        <v>0</v>
      </c>
    </row>
    <row r="35" spans="2:62" ht="15" customHeight="1">
      <c r="B35" s="16">
        <f t="shared" si="1"/>
        <v>2000</v>
      </c>
      <c r="C35" s="16">
        <f t="shared" ca="1" si="7"/>
        <v>2542.6989917229653</v>
      </c>
      <c r="D35" s="333">
        <f t="shared" ca="1" si="2"/>
        <v>0</v>
      </c>
      <c r="E35" s="115">
        <f t="shared" ca="1" si="3"/>
        <v>0</v>
      </c>
      <c r="G35" s="16">
        <f t="shared" si="4"/>
        <v>26</v>
      </c>
      <c r="H35" s="16">
        <f t="shared" si="5"/>
        <v>3</v>
      </c>
      <c r="I35" s="16">
        <f t="shared" si="6"/>
        <v>1</v>
      </c>
      <c r="J35" s="16">
        <f t="shared" si="0"/>
        <v>26</v>
      </c>
      <c r="L35" s="16">
        <f ca="1">IF($I35,c_lotfactor*INDEX(M_Onedeal!$E$8:$E$68,$J35),0)+AL35</f>
        <v>1876.0323250562988</v>
      </c>
      <c r="M35" s="16">
        <f ca="1">IF($I35,c_lotfactor*INDEX(M_Onedeal!$H$8:$H$68,$J35),0)+AM35</f>
        <v>95.8333333333333</v>
      </c>
      <c r="N35" s="16">
        <f ca="1">IF($I35,c_lotfactor*INDEX(M_Onedeal!$I$8:$I$68,$J35),0)+AN35</f>
        <v>1780.1989917229653</v>
      </c>
      <c r="O35" s="16">
        <f ca="1">IF($I35,c_lotfactor*INDEX(M_Onedeal!$K$8:$K$68,$J35),0)+AO35</f>
        <v>61484.284060729333</v>
      </c>
      <c r="P35" s="16">
        <f ca="1">IF($I35,c_lotfactor*INDEX(M_Onedeal!$L$8:$L$68,$J35),0)+AP35</f>
        <v>11054374.999999998</v>
      </c>
      <c r="Q35" s="16">
        <f ca="1">IF($I35,c_lotfactor*INDEX(M_Onedeal!$M$8:$M$68,$J35),0)+AQ35</f>
        <v>769961.24999999988</v>
      </c>
      <c r="R35" s="16">
        <f ca="1">IF($I35,c_lotfactor*INDEX(M_Onedeal!$N$8:$N$68,$J35),0)+AR35</f>
        <v>26900473.494524404</v>
      </c>
      <c r="S35" s="16">
        <f ca="1">IF($I35,c_lotfactor*INDEX(M_Onedeal!$O$8:$O$68,$J35),0)+AS35</f>
        <v>10284413.749999998</v>
      </c>
      <c r="T35" s="16">
        <f ca="1">IF($I35,c_lotfactor*INDEX(M_Onedeal!$P$8:$P$68,$J35),0)+AT35</f>
        <v>7630161.6252814913</v>
      </c>
      <c r="U35" s="16">
        <f ca="1">IF($I35,c_lotfactor*INDEX(M_Onedeal!$Q$8:$Q$68,$J35),0)+AU35</f>
        <v>7630161.6252814913</v>
      </c>
      <c r="V35" s="16">
        <f ca="1">IF($I35,c_lotfactor*INDEX(M_Onedeal!$R$8:$R$68,$J35),0)+AV35</f>
        <v>2654252.1247185078</v>
      </c>
      <c r="W35" s="16">
        <f ca="1">IF($I35,c_lotfactor*INDEX(M_Onedeal!$Y$8:$Y$68,$J35),0)+AW35</f>
        <v>59071.594837622906</v>
      </c>
      <c r="X35" s="16">
        <f ca="1">IF($I35,c_lotfactor*INDEX(M_Onedeal!$AA$8:$AA$68,$J35),0)+AX35</f>
        <v>7630161.6252814913</v>
      </c>
      <c r="Y35" s="16">
        <f ca="1">IF($I35,c_lotfactor*INDEX(M_Onedeal!$AD$8:$AD$68,$J35),0)+AY35</f>
        <v>210686.57380156385</v>
      </c>
      <c r="Z35" s="16">
        <f ca="1">IF($I35,c_lotfactor*INDEX(M_Onedeal!$AF$8:$AF$68,$J35),0)+AZ35</f>
        <v>6052729.0409385022</v>
      </c>
      <c r="AA35" s="16">
        <f ca="1">IF($I35,c_lotfactor*INDEX(M_Onedeal!$AG$8:$AG$68,$J35),0)+BA35</f>
        <v>56990887.611603633</v>
      </c>
      <c r="AB35" s="16">
        <f ca="1">IF($I35,c_lotfactor*INDEX(M_Onedeal!$AI$8:$AI$68,$J35),0)+BB35</f>
        <v>4080069.7300975574</v>
      </c>
      <c r="AC35" s="16">
        <f ca="1">IF($I35,c_lotfactor*INDEX(M_Onedeal!$AQ$8:$AQ$68,$J35),0)+BC35</f>
        <v>110543.75</v>
      </c>
      <c r="AD35" s="16">
        <f ca="1">IF($I35,c_lotfactor*INDEX(M_Onedeal!$AR$8:$AR$68,$J35),0)+BD35</f>
        <v>110543.75</v>
      </c>
      <c r="AE35" s="16">
        <f ca="1">IF($I35,c_lotfactor*INDEX(M_Onedeal!$AK$8:$AK$68,$J35),0)+BE35</f>
        <v>3858982.2300975574</v>
      </c>
      <c r="AF35" s="16">
        <f ca="1">IF($I35,c_lotfactor*INDEX(M_Onedeal!$AM$8:$AM$68,$J35),0)+BF35</f>
        <v>0</v>
      </c>
      <c r="AG35" s="16">
        <f ca="1">IF($I35,c_lotfactor*-INDEX(M_Onedeal!$AB$8:$AB$68,$J35,0))+BG35</f>
        <v>0</v>
      </c>
      <c r="AH35" s="16">
        <f ca="1">IF($I35,c_lotfactor*INDEX(M_Onedeal!$AN$8:$AN$68,$J35),0)+BH35</f>
        <v>0</v>
      </c>
      <c r="AI35" s="16">
        <f ca="1">IF($I35,c_lotfactor*INDEX(M_Onedeal!$AO$8:$AO$68,$J35),0)+BI35</f>
        <v>0</v>
      </c>
      <c r="AJ35" s="16">
        <f ca="1">IF($I35,c_lotfactor*INDEX(M_Onedeal!$AP$8:$AP$68,$J35),0)+BJ35</f>
        <v>0</v>
      </c>
      <c r="AL35" s="127">
        <v>1859.365658389632</v>
      </c>
      <c r="AM35" s="127">
        <v>91.666666666666629</v>
      </c>
      <c r="AN35" s="127">
        <v>1767.6989917229653</v>
      </c>
      <c r="AO35" s="127">
        <v>60938.057828914236</v>
      </c>
      <c r="AP35" s="127">
        <v>10573749.999999998</v>
      </c>
      <c r="AQ35" s="127">
        <v>674316.87499999988</v>
      </c>
      <c r="AR35" s="127">
        <v>26613540.369524404</v>
      </c>
      <c r="AS35" s="127">
        <v>9899433.1249999981</v>
      </c>
      <c r="AT35" s="127">
        <v>7630161.6252814913</v>
      </c>
      <c r="AU35" s="127">
        <v>7630161.6252814913</v>
      </c>
      <c r="AV35" s="127">
        <v>2269271.4997185078</v>
      </c>
      <c r="AW35" s="127">
        <v>59071.594837622906</v>
      </c>
      <c r="AX35" s="127">
        <v>7630161.6252814913</v>
      </c>
      <c r="AY35" s="127">
        <v>210178.93873585507</v>
      </c>
      <c r="AZ35" s="127">
        <v>5919214.0647520851</v>
      </c>
      <c r="BA35" s="127">
        <v>56990887.611603633</v>
      </c>
      <c r="BB35" s="127">
        <v>3829111.7163496832</v>
      </c>
      <c r="BC35" s="127">
        <v>105737.5</v>
      </c>
      <c r="BD35" s="127">
        <v>105737.5</v>
      </c>
      <c r="BE35" s="127">
        <v>3617636.7163496832</v>
      </c>
      <c r="BF35" s="127">
        <v>0</v>
      </c>
      <c r="BG35" s="127">
        <v>0</v>
      </c>
      <c r="BH35" s="127">
        <v>0</v>
      </c>
      <c r="BI35" s="127">
        <v>0</v>
      </c>
      <c r="BJ35" s="127">
        <v>0</v>
      </c>
    </row>
    <row r="36" spans="2:62" ht="15" customHeight="1">
      <c r="B36" s="17">
        <f t="shared" si="1"/>
        <v>2000</v>
      </c>
      <c r="C36" s="17">
        <f t="shared" ca="1" si="7"/>
        <v>2542.6989917229653</v>
      </c>
      <c r="D36" s="334">
        <f t="shared" ca="1" si="2"/>
        <v>0</v>
      </c>
      <c r="E36" s="116">
        <f t="shared" ca="1" si="3"/>
        <v>0</v>
      </c>
      <c r="G36" s="17">
        <f t="shared" si="4"/>
        <v>27</v>
      </c>
      <c r="H36" s="17">
        <f t="shared" si="5"/>
        <v>3</v>
      </c>
      <c r="I36" s="17">
        <f t="shared" si="6"/>
        <v>1</v>
      </c>
      <c r="J36" s="17">
        <f t="shared" si="0"/>
        <v>27</v>
      </c>
      <c r="L36" s="17">
        <f ca="1">IF($I36,c_lotfactor*INDEX(M_Onedeal!$E$8:$E$68,$J36),0)+AL36</f>
        <v>1780.1989917229653</v>
      </c>
      <c r="M36" s="17">
        <f ca="1">IF($I36,c_lotfactor*INDEX(M_Onedeal!$H$8:$H$68,$J36),0)+AM36</f>
        <v>91.769899172296505</v>
      </c>
      <c r="N36" s="17">
        <f ca="1">IF($I36,c_lotfactor*INDEX(M_Onedeal!$I$8:$I$68,$J36),0)+AN36</f>
        <v>1688.4290925506684</v>
      </c>
      <c r="O36" s="17">
        <f ca="1">IF($I36,c_lotfactor*INDEX(M_Onedeal!$K$8:$K$68,$J36),0)+AO36</f>
        <v>58343.483227792509</v>
      </c>
      <c r="P36" s="17">
        <f ca="1">IF($I36,c_lotfactor*INDEX(M_Onedeal!$L$8:$L$68,$J36),0)+AP36</f>
        <v>10585657.869524403</v>
      </c>
      <c r="Q36" s="17">
        <f ca="1">IF($I36,c_lotfactor*INDEX(M_Onedeal!$M$8:$M$68,$J36),0)+AQ36</f>
        <v>865605.62499999988</v>
      </c>
      <c r="R36" s="17">
        <f ca="1">IF($I36,c_lotfactor*INDEX(M_Onedeal!$N$8:$N$68,$J36),0)+AR36</f>
        <v>26034867.869524404</v>
      </c>
      <c r="S36" s="17">
        <f ca="1">IF($I36,c_lotfactor*INDEX(M_Onedeal!$O$8:$O$68,$J36),0)+AS36</f>
        <v>9720052.2445244025</v>
      </c>
      <c r="T36" s="17">
        <f ca="1">IF($I36,c_lotfactor*INDEX(M_Onedeal!$P$8:$P$68,$J36),0)+AT36</f>
        <v>6796828.2919481583</v>
      </c>
      <c r="U36" s="17">
        <f ca="1">IF($I36,c_lotfactor*INDEX(M_Onedeal!$Q$8:$Q$68,$J36),0)+AU36</f>
        <v>6796828.2919481583</v>
      </c>
      <c r="V36" s="17">
        <f ca="1">IF($I36,c_lotfactor*INDEX(M_Onedeal!$R$8:$R$68,$J36),0)+AV36</f>
        <v>2923223.9525762461</v>
      </c>
      <c r="W36" s="17">
        <f ca="1">IF($I36,c_lotfactor*INDEX(M_Onedeal!$Y$8:$Y$68,$J36),0)+AW36</f>
        <v>58259.86922142579</v>
      </c>
      <c r="X36" s="17">
        <f ca="1">IF($I36,c_lotfactor*INDEX(M_Onedeal!$AA$8:$AA$68,$J36),0)+AX36</f>
        <v>6796828.2919481583</v>
      </c>
      <c r="Y36" s="17">
        <f ca="1">IF($I36,c_lotfactor*INDEX(M_Onedeal!$AD$8:$AD$68,$J36),0)+AY36</f>
        <v>216684.10393995122</v>
      </c>
      <c r="Z36" s="17">
        <f ca="1">IF($I36,c_lotfactor*INDEX(M_Onedeal!$AF$8:$AF$68,$J36),0)+AZ36</f>
        <v>5375021.0720932558</v>
      </c>
      <c r="AA36" s="17">
        <f ca="1">IF($I36,c_lotfactor*INDEX(M_Onedeal!$AG$8:$AG$68,$J36),0)+BA36</f>
        <v>58412694.831458539</v>
      </c>
      <c r="AB36" s="17">
        <f ca="1">IF($I36,c_lotfactor*INDEX(M_Onedeal!$AI$8:$AI$68,$J36),0)+BB36</f>
        <v>4186606.9377126228</v>
      </c>
      <c r="AC36" s="17">
        <f ca="1">IF($I36,c_lotfactor*INDEX(M_Onedeal!$AQ$8:$AQ$68,$J36),0)+BC36</f>
        <v>105856.57869524404</v>
      </c>
      <c r="AD36" s="17">
        <f ca="1">IF($I36,c_lotfactor*INDEX(M_Onedeal!$AR$8:$AR$68,$J36),0)+BD36</f>
        <v>105856.57869524404</v>
      </c>
      <c r="AE36" s="17">
        <f ca="1">IF($I36,c_lotfactor*INDEX(M_Onedeal!$AK$8:$AK$68,$J36),0)+BE36</f>
        <v>3974893.780322135</v>
      </c>
      <c r="AF36" s="17">
        <f ca="1">IF($I36,c_lotfactor*INDEX(M_Onedeal!$AM$8:$AM$68,$J36),0)+BF36</f>
        <v>0</v>
      </c>
      <c r="AG36" s="17">
        <f ca="1">IF($I36,c_lotfactor*-INDEX(M_Onedeal!$AB$8:$AB$68,$J36,0))+BG36</f>
        <v>0</v>
      </c>
      <c r="AH36" s="17">
        <f ca="1">IF($I36,c_lotfactor*INDEX(M_Onedeal!$AN$8:$AN$68,$J36),0)+BH36</f>
        <v>0</v>
      </c>
      <c r="AI36" s="17">
        <f ca="1">IF($I36,c_lotfactor*INDEX(M_Onedeal!$AO$8:$AO$68,$J36),0)+BI36</f>
        <v>0</v>
      </c>
      <c r="AJ36" s="17">
        <f ca="1">IF($I36,c_lotfactor*INDEX(M_Onedeal!$AP$8:$AP$68,$J36),0)+BJ36</f>
        <v>0</v>
      </c>
      <c r="AL36" s="128">
        <v>1767.6989917229653</v>
      </c>
      <c r="AM36" s="128">
        <v>87.603232505629833</v>
      </c>
      <c r="AN36" s="128">
        <v>1680.0957592173352</v>
      </c>
      <c r="AO36" s="128">
        <v>57933.813553931184</v>
      </c>
      <c r="AP36" s="128">
        <v>10105032.869524403</v>
      </c>
      <c r="AQ36" s="128">
        <v>769961.24999999988</v>
      </c>
      <c r="AR36" s="128">
        <v>25843579.119524404</v>
      </c>
      <c r="AS36" s="128">
        <v>9335071.6195244025</v>
      </c>
      <c r="AT36" s="128">
        <v>6796828.2919481583</v>
      </c>
      <c r="AU36" s="128">
        <v>6796828.2919481583</v>
      </c>
      <c r="AV36" s="128">
        <v>2538243.3275762461</v>
      </c>
      <c r="AW36" s="128">
        <v>58259.86922142579</v>
      </c>
      <c r="AX36" s="128">
        <v>6796828.2919481583</v>
      </c>
      <c r="AY36" s="128">
        <v>216684.10393995122</v>
      </c>
      <c r="AZ36" s="128">
        <v>5375021.0720932558</v>
      </c>
      <c r="BA36" s="128">
        <v>58412694.831458539</v>
      </c>
      <c r="BB36" s="128">
        <v>3801626.3127126228</v>
      </c>
      <c r="BC36" s="128">
        <v>101050.32869524404</v>
      </c>
      <c r="BD36" s="128">
        <v>101050.32869524404</v>
      </c>
      <c r="BE36" s="128">
        <v>3599525.655322135</v>
      </c>
      <c r="BF36" s="128">
        <v>0</v>
      </c>
      <c r="BG36" s="128">
        <v>0</v>
      </c>
      <c r="BH36" s="128">
        <v>0</v>
      </c>
      <c r="BI36" s="128">
        <v>0</v>
      </c>
      <c r="BJ36" s="128">
        <v>0</v>
      </c>
    </row>
    <row r="37" spans="2:62" ht="15" customHeight="1">
      <c r="B37" s="15">
        <f t="shared" si="1"/>
        <v>2000</v>
      </c>
      <c r="C37" s="15">
        <f t="shared" ca="1" si="7"/>
        <v>2542.6989917229653</v>
      </c>
      <c r="D37" s="332">
        <f t="shared" ca="1" si="2"/>
        <v>0</v>
      </c>
      <c r="E37" s="113">
        <f t="shared" ca="1" si="3"/>
        <v>0</v>
      </c>
      <c r="G37" s="15">
        <f t="shared" si="4"/>
        <v>28</v>
      </c>
      <c r="H37" s="15">
        <f t="shared" si="5"/>
        <v>3</v>
      </c>
      <c r="I37" s="15">
        <f t="shared" si="6"/>
        <v>1</v>
      </c>
      <c r="J37" s="15">
        <f t="shared" si="0"/>
        <v>28</v>
      </c>
      <c r="L37" s="15">
        <f ca="1">IF($I37,c_lotfactor*INDEX(M_Onedeal!$E$8:$E$68,$J37),0)+AL37</f>
        <v>1688.4290925506684</v>
      </c>
      <c r="M37" s="15">
        <f ca="1">IF($I37,c_lotfactor*INDEX(M_Onedeal!$H$8:$H$68,$J37),0)+AM37</f>
        <v>104.16666666666661</v>
      </c>
      <c r="N37" s="15">
        <f ca="1">IF($I37,c_lotfactor*INDEX(M_Onedeal!$I$8:$I$68,$J37),0)+AN37</f>
        <v>1584.2624258840017</v>
      </c>
      <c r="O37" s="15">
        <f ca="1">IF($I37,c_lotfactor*INDEX(M_Onedeal!$K$8:$K$68,$J37),0)+AO37</f>
        <v>55335.855654656392</v>
      </c>
      <c r="P37" s="15">
        <f ca="1">IF($I37,c_lotfactor*INDEX(M_Onedeal!$L$8:$L$68,$J37),0)+AP37</f>
        <v>12015624.999999998</v>
      </c>
      <c r="Q37" s="15">
        <f ca="1">IF($I37,c_lotfactor*INDEX(M_Onedeal!$M$8:$M$68,$J37),0)+AQ37</f>
        <v>1152538.7499999998</v>
      </c>
      <c r="R37" s="15">
        <f ca="1">IF($I37,c_lotfactor*INDEX(M_Onedeal!$N$8:$N$68,$J37),0)+AR37</f>
        <v>24882329.119524404</v>
      </c>
      <c r="S37" s="15">
        <f ca="1">IF($I37,c_lotfactor*INDEX(M_Onedeal!$O$8:$O$68,$J37),0)+AS37</f>
        <v>10863086.249999998</v>
      </c>
      <c r="T37" s="15">
        <f ca="1">IF($I37,c_lotfactor*INDEX(M_Onedeal!$P$8:$P$68,$J37),0)+AT37</f>
        <v>5963494.9586148253</v>
      </c>
      <c r="U37" s="15">
        <f ca="1">IF($I37,c_lotfactor*INDEX(M_Onedeal!$Q$8:$Q$68,$J37),0)+AU37</f>
        <v>5963494.9586148253</v>
      </c>
      <c r="V37" s="15">
        <f ca="1">IF($I37,c_lotfactor*INDEX(M_Onedeal!$R$8:$R$68,$J37),0)+AV37</f>
        <v>4899591.2913851747</v>
      </c>
      <c r="W37" s="15">
        <f ca="1">IF($I37,c_lotfactor*INDEX(M_Onedeal!$Y$8:$Y$68,$J37),0)+AW37</f>
        <v>280641.0398198879</v>
      </c>
      <c r="X37" s="15">
        <f ca="1">IF($I37,c_lotfactor*INDEX(M_Onedeal!$AA$8:$AA$68,$J37),0)+AX37</f>
        <v>5963494.9586148253</v>
      </c>
      <c r="Y37" s="15">
        <f ca="1">IF($I37,c_lotfactor*INDEX(M_Onedeal!$AD$8:$AD$68,$J37),0)+AY37</f>
        <v>222089.93347377458</v>
      </c>
      <c r="Z37" s="15">
        <f ca="1">IF($I37,c_lotfactor*INDEX(M_Onedeal!$AF$8:$AF$68,$J37),0)+AZ37</f>
        <v>5368195.1039363071</v>
      </c>
      <c r="AA37" s="15">
        <f ca="1">IF($I37,c_lotfactor*INDEX(M_Onedeal!$AG$8:$AG$68,$J37),0)+BA37</f>
        <v>59007994.686137065</v>
      </c>
      <c r="AB37" s="15">
        <f ca="1">IF($I37,c_lotfactor*INDEX(M_Onedeal!$AI$8:$AI$68,$J37),0)+BB37</f>
        <v>5553442.2524098065</v>
      </c>
      <c r="AC37" s="15">
        <f ca="1">IF($I37,c_lotfactor*INDEX(M_Onedeal!$AQ$8:$AQ$68,$J37),0)+BC37</f>
        <v>120156.25</v>
      </c>
      <c r="AD37" s="15">
        <f ca="1">IF($I37,c_lotfactor*INDEX(M_Onedeal!$AR$8:$AR$68,$J37),0)+BD37</f>
        <v>120156.25</v>
      </c>
      <c r="AE37" s="15">
        <f ca="1">IF($I37,c_lotfactor*INDEX(M_Onedeal!$AK$8:$AK$68,$J37),0)+BE37</f>
        <v>5313129.7524098065</v>
      </c>
      <c r="AF37" s="15">
        <f ca="1">IF($I37,c_lotfactor*INDEX(M_Onedeal!$AM$8:$AM$68,$J37),0)+BF37</f>
        <v>0</v>
      </c>
      <c r="AG37" s="15">
        <f ca="1">IF($I37,c_lotfactor*-INDEX(M_Onedeal!$AB$8:$AB$68,$J37,0))+BG37</f>
        <v>0</v>
      </c>
      <c r="AH37" s="15">
        <f ca="1">IF($I37,c_lotfactor*INDEX(M_Onedeal!$AN$8:$AN$68,$J37),0)+BH37</f>
        <v>0</v>
      </c>
      <c r="AI37" s="15">
        <f ca="1">IF($I37,c_lotfactor*INDEX(M_Onedeal!$AO$8:$AO$68,$J37),0)+BI37</f>
        <v>0</v>
      </c>
      <c r="AJ37" s="15">
        <f ca="1">IF($I37,c_lotfactor*INDEX(M_Onedeal!$AP$8:$AP$68,$J37),0)+BJ37</f>
        <v>0</v>
      </c>
      <c r="AL37" s="126">
        <v>1680.0957592173352</v>
      </c>
      <c r="AM37" s="126">
        <v>95.833333333333286</v>
      </c>
      <c r="AN37" s="126">
        <v>1584.2624258840017</v>
      </c>
      <c r="AO37" s="126">
        <v>55062.74253874884</v>
      </c>
      <c r="AP37" s="126">
        <v>11054374.999999998</v>
      </c>
      <c r="AQ37" s="126">
        <v>961249.99999999988</v>
      </c>
      <c r="AR37" s="126">
        <v>24882329.119524404</v>
      </c>
      <c r="AS37" s="126">
        <v>10093124.999999998</v>
      </c>
      <c r="AT37" s="126">
        <v>5963494.9586148253</v>
      </c>
      <c r="AU37" s="126">
        <v>5963494.9586148253</v>
      </c>
      <c r="AV37" s="126">
        <v>4129630.0413851747</v>
      </c>
      <c r="AW37" s="126">
        <v>167473.72735659193</v>
      </c>
      <c r="AX37" s="126">
        <v>5963494.9586148253</v>
      </c>
      <c r="AY37" s="126">
        <v>222089.93347377458</v>
      </c>
      <c r="AZ37" s="126">
        <v>5368195.1039363071</v>
      </c>
      <c r="BA37" s="126">
        <v>59007994.686137065</v>
      </c>
      <c r="BB37" s="126">
        <v>4670313.6899465108</v>
      </c>
      <c r="BC37" s="126">
        <v>110543.75</v>
      </c>
      <c r="BD37" s="126">
        <v>110543.75</v>
      </c>
      <c r="BE37" s="126">
        <v>4449226.1899465108</v>
      </c>
      <c r="BF37" s="126">
        <v>0</v>
      </c>
      <c r="BG37" s="126">
        <v>0</v>
      </c>
      <c r="BH37" s="126">
        <v>0</v>
      </c>
      <c r="BI37" s="126">
        <v>0</v>
      </c>
      <c r="BJ37" s="126">
        <v>0</v>
      </c>
    </row>
    <row r="38" spans="2:62" ht="15" customHeight="1">
      <c r="B38" s="16">
        <f t="shared" si="1"/>
        <v>2000</v>
      </c>
      <c r="C38" s="16">
        <f t="shared" ca="1" si="7"/>
        <v>2542.6989917229653</v>
      </c>
      <c r="D38" s="333">
        <f t="shared" ca="1" si="2"/>
        <v>0</v>
      </c>
      <c r="E38" s="115">
        <f t="shared" ca="1" si="3"/>
        <v>0</v>
      </c>
      <c r="G38" s="16">
        <f t="shared" si="4"/>
        <v>29</v>
      </c>
      <c r="H38" s="16">
        <f t="shared" si="5"/>
        <v>3</v>
      </c>
      <c r="I38" s="16">
        <f t="shared" si="6"/>
        <v>1</v>
      </c>
      <c r="J38" s="16">
        <f t="shared" si="0"/>
        <v>29</v>
      </c>
      <c r="L38" s="16">
        <f ca="1">IF($I38,c_lotfactor*INDEX(M_Onedeal!$E$8:$E$68,$J38),0)+AL38</f>
        <v>1584.2624258840017</v>
      </c>
      <c r="M38" s="16">
        <f ca="1">IF($I38,c_lotfactor*INDEX(M_Onedeal!$H$8:$H$68,$J38),0)+AM38</f>
        <v>99.999999999999957</v>
      </c>
      <c r="N38" s="16">
        <f ca="1">IF($I38,c_lotfactor*INDEX(M_Onedeal!$I$8:$I$68,$J38),0)+AN38</f>
        <v>1484.2624258840017</v>
      </c>
      <c r="O38" s="16">
        <f ca="1">IF($I38,c_lotfactor*INDEX(M_Onedeal!$K$8:$K$68,$J38),0)+AO38</f>
        <v>51921.941705812023</v>
      </c>
      <c r="P38" s="16">
        <f ca="1">IF($I38,c_lotfactor*INDEX(M_Onedeal!$L$8:$L$68,$J38),0)+AP38</f>
        <v>11534999.999999998</v>
      </c>
      <c r="Q38" s="16">
        <f ca="1">IF($I38,c_lotfactor*INDEX(M_Onedeal!$M$8:$M$68,$J38),0)+AQ38</f>
        <v>961249.99999999988</v>
      </c>
      <c r="R38" s="16">
        <f ca="1">IF($I38,c_lotfactor*INDEX(M_Onedeal!$N$8:$N$68,$J38),0)+AR38</f>
        <v>23921079.119524404</v>
      </c>
      <c r="S38" s="16">
        <f ca="1">IF($I38,c_lotfactor*INDEX(M_Onedeal!$O$8:$O$68,$J38),0)+AS38</f>
        <v>10573749.999999998</v>
      </c>
      <c r="T38" s="16">
        <f ca="1">IF($I38,c_lotfactor*INDEX(M_Onedeal!$P$8:$P$68,$J38),0)+AT38</f>
        <v>5130161.6252814922</v>
      </c>
      <c r="U38" s="16">
        <f ca="1">IF($I38,c_lotfactor*INDEX(M_Onedeal!$Q$8:$Q$68,$J38),0)+AU38</f>
        <v>5130161.6252814922</v>
      </c>
      <c r="V38" s="16">
        <f ca="1">IF($I38,c_lotfactor*INDEX(M_Onedeal!$R$8:$R$68,$J38),0)+AV38</f>
        <v>5443588.3747185068</v>
      </c>
      <c r="W38" s="16">
        <f ca="1">IF($I38,c_lotfactor*INDEX(M_Onedeal!$Y$8:$Y$68,$J38),0)+AW38</f>
        <v>159801.88191398469</v>
      </c>
      <c r="X38" s="16">
        <f ca="1">IF($I38,c_lotfactor*INDEX(M_Onedeal!$AA$8:$AA$68,$J38),0)+AX38</f>
        <v>5130161.6252814922</v>
      </c>
      <c r="Y38" s="16">
        <f ca="1">IF($I38,c_lotfactor*INDEX(M_Onedeal!$AD$8:$AD$68,$J38),0)+AY38</f>
        <v>224353.31312958355</v>
      </c>
      <c r="Z38" s="16">
        <f ca="1">IF($I38,c_lotfactor*INDEX(M_Onedeal!$AF$8:$AF$68,$J38),0)+AZ38</f>
        <v>5643704.5843441961</v>
      </c>
      <c r="AA38" s="16">
        <f ca="1">IF($I38,c_lotfactor*INDEX(M_Onedeal!$AG$8:$AG$68,$J38),0)+BA38</f>
        <v>58494451.727074362</v>
      </c>
      <c r="AB38" s="16">
        <f ca="1">IF($I38,c_lotfactor*INDEX(M_Onedeal!$AI$8:$AI$68,$J38),0)+BB38</f>
        <v>4865493.9844402056</v>
      </c>
      <c r="AC38" s="16">
        <f ca="1">IF($I38,c_lotfactor*INDEX(M_Onedeal!$AQ$8:$AQ$68,$J38),0)+BC38</f>
        <v>115350</v>
      </c>
      <c r="AD38" s="16">
        <f ca="1">IF($I38,c_lotfactor*INDEX(M_Onedeal!$AR$8:$AR$68,$J38),0)+BD38</f>
        <v>115350</v>
      </c>
      <c r="AE38" s="16">
        <f ca="1">IF($I38,c_lotfactor*INDEX(M_Onedeal!$AK$8:$AK$68,$J38),0)+BE38</f>
        <v>4634793.9844402056</v>
      </c>
      <c r="AF38" s="16">
        <f ca="1">IF($I38,c_lotfactor*INDEX(M_Onedeal!$AM$8:$AM$68,$J38),0)+BF38</f>
        <v>0</v>
      </c>
      <c r="AG38" s="16">
        <f ca="1">IF($I38,c_lotfactor*-INDEX(M_Onedeal!$AB$8:$AB$68,$J38,0))+BG38</f>
        <v>0</v>
      </c>
      <c r="AH38" s="16">
        <f ca="1">IF($I38,c_lotfactor*INDEX(M_Onedeal!$AN$8:$AN$68,$J38),0)+BH38</f>
        <v>0</v>
      </c>
      <c r="AI38" s="16">
        <f ca="1">IF($I38,c_lotfactor*INDEX(M_Onedeal!$AO$8:$AO$68,$J38),0)+BI38</f>
        <v>0</v>
      </c>
      <c r="AJ38" s="16">
        <f ca="1">IF($I38,c_lotfactor*INDEX(M_Onedeal!$AP$8:$AP$68,$J38),0)+BJ38</f>
        <v>0</v>
      </c>
      <c r="AL38" s="127">
        <v>1584.2624258840017</v>
      </c>
      <c r="AM38" s="127">
        <v>99.999999999999957</v>
      </c>
      <c r="AN38" s="127">
        <v>1484.2624258840017</v>
      </c>
      <c r="AO38" s="127">
        <v>51921.941705812023</v>
      </c>
      <c r="AP38" s="127">
        <v>11534999.999999998</v>
      </c>
      <c r="AQ38" s="127">
        <v>961249.99999999988</v>
      </c>
      <c r="AR38" s="127">
        <v>23921079.119524404</v>
      </c>
      <c r="AS38" s="127">
        <v>10573749.999999998</v>
      </c>
      <c r="AT38" s="127">
        <v>5130161.6252814922</v>
      </c>
      <c r="AU38" s="127">
        <v>5130161.6252814922</v>
      </c>
      <c r="AV38" s="127">
        <v>5443588.3747185068</v>
      </c>
      <c r="AW38" s="127">
        <v>159801.88191398469</v>
      </c>
      <c r="AX38" s="127">
        <v>5130161.6252814922</v>
      </c>
      <c r="AY38" s="127">
        <v>224353.31312958355</v>
      </c>
      <c r="AZ38" s="127">
        <v>5643704.5843441961</v>
      </c>
      <c r="BA38" s="127">
        <v>58494451.727074362</v>
      </c>
      <c r="BB38" s="127">
        <v>4865493.9844402056</v>
      </c>
      <c r="BC38" s="127">
        <v>115350</v>
      </c>
      <c r="BD38" s="127">
        <v>115350</v>
      </c>
      <c r="BE38" s="127">
        <v>4634793.9844402056</v>
      </c>
      <c r="BF38" s="127">
        <v>0</v>
      </c>
      <c r="BG38" s="127">
        <v>0</v>
      </c>
      <c r="BH38" s="127">
        <v>0</v>
      </c>
      <c r="BI38" s="127">
        <v>0</v>
      </c>
      <c r="BJ38" s="127">
        <v>0</v>
      </c>
    </row>
    <row r="39" spans="2:62" ht="15" customHeight="1">
      <c r="B39" s="17">
        <f t="shared" si="1"/>
        <v>2000</v>
      </c>
      <c r="C39" s="17">
        <f t="shared" ca="1" si="7"/>
        <v>2542.6989917229653</v>
      </c>
      <c r="D39" s="334">
        <f t="shared" ca="1" si="2"/>
        <v>0</v>
      </c>
      <c r="E39" s="116">
        <f t="shared" ca="1" si="3"/>
        <v>0</v>
      </c>
      <c r="G39" s="17">
        <f t="shared" si="4"/>
        <v>30</v>
      </c>
      <c r="H39" s="17">
        <f t="shared" si="5"/>
        <v>3</v>
      </c>
      <c r="I39" s="17">
        <f t="shared" si="6"/>
        <v>1</v>
      </c>
      <c r="J39" s="17">
        <f t="shared" si="0"/>
        <v>30</v>
      </c>
      <c r="L39" s="17">
        <f ca="1">IF($I39,c_lotfactor*INDEX(M_Onedeal!$E$8:$E$68,$J39),0)+AL39</f>
        <v>1484.2624258840017</v>
      </c>
      <c r="M39" s="17">
        <f ca="1">IF($I39,c_lotfactor*INDEX(M_Onedeal!$H$8:$H$68,$J39),0)+AM39</f>
        <v>104.16666666666661</v>
      </c>
      <c r="N39" s="17">
        <f ca="1">IF($I39,c_lotfactor*INDEX(M_Onedeal!$I$8:$I$68,$J39),0)+AN39</f>
        <v>1380.0957592173354</v>
      </c>
      <c r="O39" s="17">
        <f ca="1">IF($I39,c_lotfactor*INDEX(M_Onedeal!$K$8:$K$68,$J39),0)+AO39</f>
        <v>48644.584314921427</v>
      </c>
      <c r="P39" s="17">
        <f ca="1">IF($I39,c_lotfactor*INDEX(M_Onedeal!$L$8:$L$68,$J39),0)+AP39</f>
        <v>12015624.999999998</v>
      </c>
      <c r="Q39" s="17">
        <f ca="1">IF($I39,c_lotfactor*INDEX(M_Onedeal!$M$8:$M$68,$J39),0)+AQ39</f>
        <v>961249.99999999988</v>
      </c>
      <c r="R39" s="17">
        <f ca="1">IF($I39,c_lotfactor*INDEX(M_Onedeal!$N$8:$N$68,$J39),0)+AR39</f>
        <v>22959829.119524404</v>
      </c>
      <c r="S39" s="17">
        <f ca="1">IF($I39,c_lotfactor*INDEX(M_Onedeal!$O$8:$O$68,$J39),0)+AS39</f>
        <v>11054374.999999998</v>
      </c>
      <c r="T39" s="17">
        <f ca="1">IF($I39,c_lotfactor*INDEX(M_Onedeal!$P$8:$P$68,$J39),0)+AT39</f>
        <v>4296828.2919481592</v>
      </c>
      <c r="U39" s="17">
        <f ca="1">IF($I39,c_lotfactor*INDEX(M_Onedeal!$Q$8:$Q$68,$J39),0)+AU39</f>
        <v>4296828.2919481592</v>
      </c>
      <c r="V39" s="17">
        <f ca="1">IF($I39,c_lotfactor*INDEX(M_Onedeal!$R$8:$R$68,$J39),0)+AV39</f>
        <v>6757546.708051838</v>
      </c>
      <c r="W39" s="17">
        <f ca="1">IF($I39,c_lotfactor*INDEX(M_Onedeal!$Y$8:$Y$68,$J39),0)+AW39</f>
        <v>148961.63369359967</v>
      </c>
      <c r="X39" s="17">
        <f ca="1">IF($I39,c_lotfactor*INDEX(M_Onedeal!$AA$8:$AA$68,$J39),0)+AX39</f>
        <v>4296828.2919481592</v>
      </c>
      <c r="Y39" s="17">
        <f ca="1">IF($I39,c_lotfactor*INDEX(M_Onedeal!$AD$8:$AD$68,$J39),0)+AY39</f>
        <v>222400.78000398056</v>
      </c>
      <c r="Z39" s="17">
        <f ca="1">IF($I39,c_lotfactor*INDEX(M_Onedeal!$AF$8:$AF$68,$J39),0)+AZ39</f>
        <v>5919214.0647520851</v>
      </c>
      <c r="AA39" s="17">
        <f ca="1">IF($I39,c_lotfactor*INDEX(M_Onedeal!$AG$8:$AG$68,$J39),0)+BA39</f>
        <v>56872065.954270437</v>
      </c>
      <c r="AB39" s="17">
        <f ca="1">IF($I39,c_lotfactor*INDEX(M_Onedeal!$AI$8:$AI$68,$J39),0)+BB39</f>
        <v>5061721.7889375351</v>
      </c>
      <c r="AC39" s="17">
        <f ca="1">IF($I39,c_lotfactor*INDEX(M_Onedeal!$AQ$8:$AQ$68,$J39),0)+BC39</f>
        <v>120156.25</v>
      </c>
      <c r="AD39" s="17">
        <f ca="1">IF($I39,c_lotfactor*INDEX(M_Onedeal!$AR$8:$AR$68,$J39),0)+BD39</f>
        <v>120156.25</v>
      </c>
      <c r="AE39" s="17">
        <f ca="1">IF($I39,c_lotfactor*INDEX(M_Onedeal!$AK$8:$AK$68,$J39),0)+BE39</f>
        <v>4821409.2889375351</v>
      </c>
      <c r="AF39" s="17">
        <f ca="1">IF($I39,c_lotfactor*INDEX(M_Onedeal!$AM$8:$AM$68,$J39),0)+BF39</f>
        <v>0</v>
      </c>
      <c r="AG39" s="17">
        <f ca="1">IF($I39,c_lotfactor*-INDEX(M_Onedeal!$AB$8:$AB$68,$J39,0))+BG39</f>
        <v>0</v>
      </c>
      <c r="AH39" s="17">
        <f ca="1">IF($I39,c_lotfactor*INDEX(M_Onedeal!$AN$8:$AN$68,$J39),0)+BH39</f>
        <v>0</v>
      </c>
      <c r="AI39" s="17">
        <f ca="1">IF($I39,c_lotfactor*INDEX(M_Onedeal!$AO$8:$AO$68,$J39),0)+BI39</f>
        <v>0</v>
      </c>
      <c r="AJ39" s="17">
        <f ca="1">IF($I39,c_lotfactor*INDEX(M_Onedeal!$AP$8:$AP$68,$J39),0)+BJ39</f>
        <v>0</v>
      </c>
      <c r="AL39" s="128">
        <v>1484.2624258840017</v>
      </c>
      <c r="AM39" s="128">
        <v>104.16666666666661</v>
      </c>
      <c r="AN39" s="128">
        <v>1380.0957592173354</v>
      </c>
      <c r="AO39" s="128">
        <v>48644.584314921427</v>
      </c>
      <c r="AP39" s="128">
        <v>12015624.999999998</v>
      </c>
      <c r="AQ39" s="128">
        <v>961249.99999999988</v>
      </c>
      <c r="AR39" s="128">
        <v>22959829.119524404</v>
      </c>
      <c r="AS39" s="128">
        <v>11054374.999999998</v>
      </c>
      <c r="AT39" s="128">
        <v>4296828.2919481592</v>
      </c>
      <c r="AU39" s="128">
        <v>4296828.2919481592</v>
      </c>
      <c r="AV39" s="128">
        <v>6757546.708051838</v>
      </c>
      <c r="AW39" s="128">
        <v>148961.63369359967</v>
      </c>
      <c r="AX39" s="128">
        <v>4296828.2919481592</v>
      </c>
      <c r="AY39" s="128">
        <v>222400.78000398056</v>
      </c>
      <c r="AZ39" s="128">
        <v>5919214.0647520851</v>
      </c>
      <c r="BA39" s="128">
        <v>56872065.954270437</v>
      </c>
      <c r="BB39" s="128">
        <v>5061721.7889375351</v>
      </c>
      <c r="BC39" s="128">
        <v>120156.25</v>
      </c>
      <c r="BD39" s="128">
        <v>120156.25</v>
      </c>
      <c r="BE39" s="128">
        <v>4821409.2889375351</v>
      </c>
      <c r="BF39" s="128">
        <v>0</v>
      </c>
      <c r="BG39" s="128">
        <v>0</v>
      </c>
      <c r="BH39" s="128">
        <v>0</v>
      </c>
      <c r="BI39" s="128">
        <v>0</v>
      </c>
      <c r="BJ39" s="128">
        <v>0</v>
      </c>
    </row>
    <row r="40" spans="2:62" ht="15" customHeight="1">
      <c r="B40" s="15">
        <f t="shared" si="1"/>
        <v>2000</v>
      </c>
      <c r="C40" s="15">
        <f t="shared" ca="1" si="7"/>
        <v>2542.6989917229653</v>
      </c>
      <c r="D40" s="332">
        <f t="shared" ca="1" si="2"/>
        <v>0</v>
      </c>
      <c r="E40" s="113">
        <f t="shared" ca="1" si="3"/>
        <v>0</v>
      </c>
      <c r="G40" s="15">
        <f t="shared" si="4"/>
        <v>31</v>
      </c>
      <c r="H40" s="15">
        <f t="shared" si="5"/>
        <v>3</v>
      </c>
      <c r="I40" s="15">
        <f t="shared" si="6"/>
        <v>1</v>
      </c>
      <c r="J40" s="15">
        <f t="shared" si="0"/>
        <v>31</v>
      </c>
      <c r="L40" s="15">
        <f ca="1">IF($I40,c_lotfactor*INDEX(M_Onedeal!$E$8:$E$68,$J40),0)+AL40</f>
        <v>1380.0957592173354</v>
      </c>
      <c r="M40" s="15">
        <f ca="1">IF($I40,c_lotfactor*INDEX(M_Onedeal!$H$8:$H$68,$J40),0)+AM40</f>
        <v>108.33333333333329</v>
      </c>
      <c r="N40" s="15">
        <f ca="1">IF($I40,c_lotfactor*INDEX(M_Onedeal!$I$8:$I$68,$J40),0)+AN40</f>
        <v>1271.7624258840019</v>
      </c>
      <c r="O40" s="15">
        <f ca="1">IF($I40,c_lotfactor*INDEX(M_Onedeal!$K$8:$K$68,$J40),0)+AO40</f>
        <v>45230.670366077051</v>
      </c>
      <c r="P40" s="15">
        <f ca="1">IF($I40,c_lotfactor*INDEX(M_Onedeal!$L$8:$L$68,$J40),0)+AP40</f>
        <v>12496249.999999998</v>
      </c>
      <c r="Q40" s="15">
        <f ca="1">IF($I40,c_lotfactor*INDEX(M_Onedeal!$M$8:$M$68,$J40),0)+AQ40</f>
        <v>966056.24999999988</v>
      </c>
      <c r="R40" s="15">
        <f ca="1">IF($I40,c_lotfactor*INDEX(M_Onedeal!$N$8:$N$68,$J40),0)+AR40</f>
        <v>21993772.869524404</v>
      </c>
      <c r="S40" s="15">
        <f ca="1">IF($I40,c_lotfactor*INDEX(M_Onedeal!$O$8:$O$68,$J40),0)+AS40</f>
        <v>11530193.749999998</v>
      </c>
      <c r="T40" s="15">
        <f ca="1">IF($I40,c_lotfactor*INDEX(M_Onedeal!$P$8:$P$68,$J40),0)+AT40</f>
        <v>3463494.9586148262</v>
      </c>
      <c r="U40" s="15">
        <f ca="1">IF($I40,c_lotfactor*INDEX(M_Onedeal!$Q$8:$Q$68,$J40),0)+AU40</f>
        <v>3463494.9586148262</v>
      </c>
      <c r="V40" s="15">
        <f ca="1">IF($I40,c_lotfactor*INDEX(M_Onedeal!$R$8:$R$68,$J40),0)+AV40</f>
        <v>8066698.791385171</v>
      </c>
      <c r="W40" s="15">
        <f ca="1">IF($I40,c_lotfactor*INDEX(M_Onedeal!$Y$8:$Y$68,$J40),0)+AW40</f>
        <v>134952.98269543683</v>
      </c>
      <c r="X40" s="15">
        <f ca="1">IF($I40,c_lotfactor*INDEX(M_Onedeal!$AA$8:$AA$68,$J40),0)+AX40</f>
        <v>3463494.9586148262</v>
      </c>
      <c r="Y40" s="15">
        <f ca="1">IF($I40,c_lotfactor*INDEX(M_Onedeal!$AD$8:$AD$68,$J40),0)+AY40</f>
        <v>216232.33409696564</v>
      </c>
      <c r="Z40" s="15">
        <f ca="1">IF($I40,c_lotfactor*INDEX(M_Onedeal!$AF$8:$AF$68,$J40),0)+AZ40</f>
        <v>6194723.5451599741</v>
      </c>
      <c r="AA40" s="15">
        <f ca="1">IF($I40,c_lotfactor*INDEX(M_Onedeal!$AG$8:$AG$68,$J40),0)+BA40</f>
        <v>54140837.367725298</v>
      </c>
      <c r="AB40" s="15">
        <f ca="1">IF($I40,c_lotfactor*INDEX(M_Onedeal!$AI$8:$AI$68,$J40),0)+BB40</f>
        <v>5254190.8534384975</v>
      </c>
      <c r="AC40" s="15">
        <f ca="1">IF($I40,c_lotfactor*INDEX(M_Onedeal!$AQ$8:$AQ$68,$J40),0)+BC40</f>
        <v>124962.5</v>
      </c>
      <c r="AD40" s="15">
        <f ca="1">IF($I40,c_lotfactor*INDEX(M_Onedeal!$AR$8:$AR$68,$J40),0)+BD40</f>
        <v>124962.5</v>
      </c>
      <c r="AE40" s="15">
        <f ca="1">IF($I40,c_lotfactor*INDEX(M_Onedeal!$AK$8:$AK$68,$J40),0)+BE40</f>
        <v>5004265.8534384975</v>
      </c>
      <c r="AF40" s="15">
        <f ca="1">IF($I40,c_lotfactor*INDEX(M_Onedeal!$AM$8:$AM$68,$J40),0)+BF40</f>
        <v>0</v>
      </c>
      <c r="AG40" s="15">
        <f ca="1">IF($I40,c_lotfactor*-INDEX(M_Onedeal!$AB$8:$AB$68,$J40,0))+BG40</f>
        <v>0</v>
      </c>
      <c r="AH40" s="15">
        <f ca="1">IF($I40,c_lotfactor*INDEX(M_Onedeal!$AN$8:$AN$68,$J40),0)+BH40</f>
        <v>0</v>
      </c>
      <c r="AI40" s="15">
        <f ca="1">IF($I40,c_lotfactor*INDEX(M_Onedeal!$AO$8:$AO$68,$J40),0)+BI40</f>
        <v>0</v>
      </c>
      <c r="AJ40" s="15">
        <f ca="1">IF($I40,c_lotfactor*INDEX(M_Onedeal!$AP$8:$AP$68,$J40),0)+BJ40</f>
        <v>0</v>
      </c>
      <c r="AL40" s="126">
        <v>1380.0957592173354</v>
      </c>
      <c r="AM40" s="126">
        <v>108.33333333333329</v>
      </c>
      <c r="AN40" s="126">
        <v>1271.7624258840019</v>
      </c>
      <c r="AO40" s="126">
        <v>45230.670366077051</v>
      </c>
      <c r="AP40" s="126">
        <v>12496249.999999998</v>
      </c>
      <c r="AQ40" s="126">
        <v>966056.24999999988</v>
      </c>
      <c r="AR40" s="126">
        <v>21993772.869524404</v>
      </c>
      <c r="AS40" s="126">
        <v>11530193.749999998</v>
      </c>
      <c r="AT40" s="126">
        <v>3463494.9586148262</v>
      </c>
      <c r="AU40" s="126">
        <v>3463494.9586148262</v>
      </c>
      <c r="AV40" s="126">
        <v>8066698.791385171</v>
      </c>
      <c r="AW40" s="126">
        <v>134952.98269543683</v>
      </c>
      <c r="AX40" s="126">
        <v>3463494.9586148262</v>
      </c>
      <c r="AY40" s="126">
        <v>216232.33409696564</v>
      </c>
      <c r="AZ40" s="126">
        <v>6194723.5451599741</v>
      </c>
      <c r="BA40" s="126">
        <v>54140837.367725298</v>
      </c>
      <c r="BB40" s="126">
        <v>5254190.8534384975</v>
      </c>
      <c r="BC40" s="126">
        <v>124962.5</v>
      </c>
      <c r="BD40" s="126">
        <v>124962.5</v>
      </c>
      <c r="BE40" s="126">
        <v>5004265.8534384975</v>
      </c>
      <c r="BF40" s="126">
        <v>0</v>
      </c>
      <c r="BG40" s="126">
        <v>0</v>
      </c>
      <c r="BH40" s="126">
        <v>0</v>
      </c>
      <c r="BI40" s="126">
        <v>0</v>
      </c>
      <c r="BJ40" s="126">
        <v>0</v>
      </c>
    </row>
    <row r="41" spans="2:62" ht="15" customHeight="1">
      <c r="B41" s="16">
        <f t="shared" si="1"/>
        <v>2000</v>
      </c>
      <c r="C41" s="16">
        <f t="shared" ca="1" si="7"/>
        <v>2542.6989917229653</v>
      </c>
      <c r="D41" s="333">
        <f t="shared" ca="1" si="2"/>
        <v>0</v>
      </c>
      <c r="E41" s="115">
        <f t="shared" ca="1" si="3"/>
        <v>0</v>
      </c>
      <c r="G41" s="16">
        <f t="shared" si="4"/>
        <v>32</v>
      </c>
      <c r="H41" s="16">
        <f t="shared" si="5"/>
        <v>3</v>
      </c>
      <c r="I41" s="16">
        <f t="shared" ref="I41:I72" si="8">IF(AND(G41&gt;=c_offset,$G41&lt;=c_offset+c_lotyears*12),1,0)</f>
        <v>1</v>
      </c>
      <c r="J41" s="16">
        <f t="shared" ref="J41:J72" si="9">$G41-c_offset+1</f>
        <v>32</v>
      </c>
      <c r="L41" s="16">
        <f ca="1">IF($I41,c_lotfactor*INDEX(M_Onedeal!$E$8:$E$68,$J41),0)+AL41</f>
        <v>1271.7624258840019</v>
      </c>
      <c r="M41" s="16">
        <f ca="1">IF($I41,c_lotfactor*INDEX(M_Onedeal!$H$8:$H$68,$J41),0)+AM41</f>
        <v>112.49999999999994</v>
      </c>
      <c r="N41" s="16">
        <f ca="1">IF($I41,c_lotfactor*INDEX(M_Onedeal!$I$8:$I$68,$J41),0)+AN41</f>
        <v>1159.2624258840019</v>
      </c>
      <c r="O41" s="16">
        <f ca="1">IF($I41,c_lotfactor*INDEX(M_Onedeal!$K$8:$K$68,$J41),0)+AO41</f>
        <v>41680.19985927891</v>
      </c>
      <c r="P41" s="16">
        <f ca="1">IF($I41,c_lotfactor*INDEX(M_Onedeal!$L$8:$L$68,$J41),0)+AP41</f>
        <v>12976874.999999998</v>
      </c>
      <c r="Q41" s="16">
        <f ca="1">IF($I41,c_lotfactor*INDEX(M_Onedeal!$M$8:$M$68,$J41),0)+AQ41</f>
        <v>1061700.6249999998</v>
      </c>
      <c r="R41" s="16">
        <f ca="1">IF($I41,c_lotfactor*INDEX(M_Onedeal!$N$8:$N$68,$J41),0)+AR41</f>
        <v>20932072.244524404</v>
      </c>
      <c r="S41" s="16">
        <f ca="1">IF($I41,c_lotfactor*INDEX(M_Onedeal!$O$8:$O$68,$J41),0)+AS41</f>
        <v>11915174.374999998</v>
      </c>
      <c r="T41" s="16">
        <f ca="1">IF($I41,c_lotfactor*INDEX(M_Onedeal!$P$8:$P$68,$J41),0)+AT41</f>
        <v>2630161.6252814927</v>
      </c>
      <c r="U41" s="16">
        <f ca="1">IF($I41,c_lotfactor*INDEX(M_Onedeal!$Q$8:$Q$68,$J41),0)+AU41</f>
        <v>2630161.6252814927</v>
      </c>
      <c r="V41" s="16">
        <f ca="1">IF($I41,c_lotfactor*INDEX(M_Onedeal!$R$8:$R$68,$J41),0)+AV41</f>
        <v>9285012.749718504</v>
      </c>
      <c r="W41" s="16">
        <f ca="1">IF($I41,c_lotfactor*INDEX(M_Onedeal!$Y$8:$Y$68,$J41),0)+AW41</f>
        <v>117775.92891949626</v>
      </c>
      <c r="X41" s="16">
        <f ca="1">IF($I41,c_lotfactor*INDEX(M_Onedeal!$AA$8:$AA$68,$J41),0)+AX41</f>
        <v>2630161.6252814927</v>
      </c>
      <c r="Y41" s="16">
        <f ca="1">IF($I41,c_lotfactor*INDEX(M_Onedeal!$AD$8:$AD$68,$J41),0)+AY41</f>
        <v>205847.97540853888</v>
      </c>
      <c r="Z41" s="16">
        <f ca="1">IF($I41,c_lotfactor*INDEX(M_Onedeal!$AF$8:$AF$68,$J41),0)+AZ41</f>
        <v>6470233.0255678631</v>
      </c>
      <c r="AA41" s="16">
        <f ca="1">IF($I41,c_lotfactor*INDEX(M_Onedeal!$AG$8:$AG$68,$J41),0)+BA41</f>
        <v>50300765.967438929</v>
      </c>
      <c r="AB41" s="16">
        <f ca="1">IF($I41,c_lotfactor*INDEX(M_Onedeal!$AI$8:$AI$68,$J41),0)+BB41</f>
        <v>5356869.3029430956</v>
      </c>
      <c r="AC41" s="16">
        <f ca="1">IF($I41,c_lotfactor*INDEX(M_Onedeal!$AQ$8:$AQ$68,$J41),0)+BC41</f>
        <v>129768.75</v>
      </c>
      <c r="AD41" s="16">
        <f ca="1">IF($I41,c_lotfactor*INDEX(M_Onedeal!$AR$8:$AR$68,$J41),0)+BD41</f>
        <v>129768.75</v>
      </c>
      <c r="AE41" s="16">
        <f ca="1">IF($I41,c_lotfactor*INDEX(M_Onedeal!$AK$8:$AK$68,$J41),0)+BE41</f>
        <v>5097331.8029430946</v>
      </c>
      <c r="AF41" s="16">
        <f ca="1">IF($I41,c_lotfactor*INDEX(M_Onedeal!$AM$8:$AM$68,$J41),0)+BF41</f>
        <v>0</v>
      </c>
      <c r="AG41" s="16">
        <f ca="1">IF($I41,c_lotfactor*-INDEX(M_Onedeal!$AB$8:$AB$68,$J41,0))+BG41</f>
        <v>0</v>
      </c>
      <c r="AH41" s="16">
        <f ca="1">IF($I41,c_lotfactor*INDEX(M_Onedeal!$AN$8:$AN$68,$J41),0)+BH41</f>
        <v>0</v>
      </c>
      <c r="AI41" s="16">
        <f ca="1">IF($I41,c_lotfactor*INDEX(M_Onedeal!$AO$8:$AO$68,$J41),0)+BI41</f>
        <v>0</v>
      </c>
      <c r="AJ41" s="16">
        <f ca="1">IF($I41,c_lotfactor*INDEX(M_Onedeal!$AP$8:$AP$68,$J41),0)+BJ41</f>
        <v>0</v>
      </c>
      <c r="AL41" s="127">
        <v>1271.7624258840019</v>
      </c>
      <c r="AM41" s="127">
        <v>112.49999999999994</v>
      </c>
      <c r="AN41" s="127">
        <v>1159.2624258840019</v>
      </c>
      <c r="AO41" s="127">
        <v>41680.19985927891</v>
      </c>
      <c r="AP41" s="127">
        <v>12976874.999999998</v>
      </c>
      <c r="AQ41" s="127">
        <v>1061700.6249999998</v>
      </c>
      <c r="AR41" s="127">
        <v>20932072.244524404</v>
      </c>
      <c r="AS41" s="127">
        <v>11915174.374999998</v>
      </c>
      <c r="AT41" s="127">
        <v>2630161.6252814927</v>
      </c>
      <c r="AU41" s="127">
        <v>2630161.6252814927</v>
      </c>
      <c r="AV41" s="127">
        <v>9285012.749718504</v>
      </c>
      <c r="AW41" s="127">
        <v>117775.92891949626</v>
      </c>
      <c r="AX41" s="127">
        <v>2630161.6252814927</v>
      </c>
      <c r="AY41" s="127">
        <v>205847.97540853888</v>
      </c>
      <c r="AZ41" s="127">
        <v>6470233.0255678631</v>
      </c>
      <c r="BA41" s="127">
        <v>50300765.967438929</v>
      </c>
      <c r="BB41" s="127">
        <v>5356869.3029430956</v>
      </c>
      <c r="BC41" s="127">
        <v>129768.75</v>
      </c>
      <c r="BD41" s="127">
        <v>129768.75</v>
      </c>
      <c r="BE41" s="127">
        <v>5097331.8029430946</v>
      </c>
      <c r="BF41" s="127">
        <v>0</v>
      </c>
      <c r="BG41" s="127">
        <v>0</v>
      </c>
      <c r="BH41" s="127">
        <v>0</v>
      </c>
      <c r="BI41" s="127">
        <v>0</v>
      </c>
      <c r="BJ41" s="127">
        <v>0</v>
      </c>
    </row>
    <row r="42" spans="2:62" ht="15" customHeight="1">
      <c r="B42" s="17">
        <f t="shared" ref="B42:B73" si="10">IF($H42&lt;=c_lotyears,INDEX(p_lotsperyear,$H42,1),0)</f>
        <v>2000</v>
      </c>
      <c r="C42" s="17">
        <f t="shared" ca="1" si="7"/>
        <v>2542.6989917229653</v>
      </c>
      <c r="D42" s="334">
        <f t="shared" ref="D42:D73" ca="1" si="11">MAX(0,MIN($B42/12,c_maxlots-C42))</f>
        <v>0</v>
      </c>
      <c r="E42" s="116">
        <f t="shared" ref="E42:E73" ca="1" si="12">IF(i_lotstotal&gt;0,D42/i_lotstotal,0)</f>
        <v>0</v>
      </c>
      <c r="G42" s="17">
        <f t="shared" si="4"/>
        <v>33</v>
      </c>
      <c r="H42" s="17">
        <f t="shared" si="5"/>
        <v>3</v>
      </c>
      <c r="I42" s="17">
        <f t="shared" si="8"/>
        <v>1</v>
      </c>
      <c r="J42" s="17">
        <f t="shared" si="9"/>
        <v>33</v>
      </c>
      <c r="L42" s="17">
        <f ca="1">IF($I42,c_lotfactor*INDEX(M_Onedeal!$E$8:$E$68,$J42),0)+AL42</f>
        <v>1159.2624258840019</v>
      </c>
      <c r="M42" s="17">
        <f ca="1">IF($I42,c_lotfactor*INDEX(M_Onedeal!$H$8:$H$68,$J42),0)+AM42</f>
        <v>110.46828291948155</v>
      </c>
      <c r="N42" s="17">
        <f ca="1">IF($I42,c_lotfactor*INDEX(M_Onedeal!$I$8:$I$68,$J42),0)+AN42</f>
        <v>1048.7941429645205</v>
      </c>
      <c r="O42" s="17">
        <f ca="1">IF($I42,c_lotfactor*INDEX(M_Onedeal!$K$8:$K$68,$J42),0)+AO42</f>
        <v>37993.172794526981</v>
      </c>
      <c r="P42" s="17">
        <f ca="1">IF($I42,c_lotfactor*INDEX(M_Onedeal!$L$8:$L$68,$J42),0)+AP42</f>
        <v>12742516.4347622</v>
      </c>
      <c r="Q42" s="17">
        <f ca="1">IF($I42,c_lotfactor*INDEX(M_Onedeal!$M$8:$M$68,$J42),0)+AQ42</f>
        <v>1157344.9999999998</v>
      </c>
      <c r="R42" s="17">
        <f ca="1">IF($I42,c_lotfactor*INDEX(M_Onedeal!$N$8:$N$68,$J42),0)+AR42</f>
        <v>19774727.244524404</v>
      </c>
      <c r="S42" s="17">
        <f ca="1">IF($I42,c_lotfactor*INDEX(M_Onedeal!$O$8:$O$68,$J42),0)+AS42</f>
        <v>11585171.4347622</v>
      </c>
      <c r="T42" s="17">
        <f ca="1">IF($I42,c_lotfactor*INDEX(M_Onedeal!$P$8:$P$68,$J42),0)+AT42</f>
        <v>1796828.2919481597</v>
      </c>
      <c r="U42" s="17">
        <f ca="1">IF($I42,c_lotfactor*INDEX(M_Onedeal!$Q$8:$Q$68,$J42),0)+AU42</f>
        <v>1796828.2919481597</v>
      </c>
      <c r="V42" s="17">
        <f ca="1">IF($I42,c_lotfactor*INDEX(M_Onedeal!$R$8:$R$68,$J42),0)+AV42</f>
        <v>9788343.1428140402</v>
      </c>
      <c r="W42" s="17">
        <f ca="1">IF($I42,c_lotfactor*INDEX(M_Onedeal!$Y$8:$Y$68,$J42),0)+AW42</f>
        <v>113167.31246329598</v>
      </c>
      <c r="X42" s="17">
        <f ca="1">IF($I42,c_lotfactor*INDEX(M_Onedeal!$AA$8:$AA$68,$J42),0)+AX42</f>
        <v>1796828.2919481597</v>
      </c>
      <c r="Y42" s="17">
        <f ca="1">IF($I42,c_lotfactor*INDEX(M_Onedeal!$AD$8:$AD$68,$J42),0)+AY42</f>
        <v>191247.70393870011</v>
      </c>
      <c r="Z42" s="17">
        <f ca="1">IF($I42,c_lotfactor*INDEX(M_Onedeal!$AF$8:$AF$68,$J42),0)+AZ42</f>
        <v>6335891.2694423934</v>
      </c>
      <c r="AA42" s="17">
        <f ca="1">IF($I42,c_lotfactor*INDEX(M_Onedeal!$AG$8:$AG$68,$J42),0)+BA42</f>
        <v>45761702.989944696</v>
      </c>
      <c r="AB42" s="17">
        <f ca="1">IF($I42,c_lotfactor*INDEX(M_Onedeal!$AI$8:$AI$68,$J42),0)+BB42</f>
        <v>5171199.773844406</v>
      </c>
      <c r="AC42" s="17">
        <f ca="1">IF($I42,c_lotfactor*INDEX(M_Onedeal!$AQ$8:$AQ$68,$J42),0)+BC42</f>
        <v>127425.16434762202</v>
      </c>
      <c r="AD42" s="17">
        <f ca="1">IF($I42,c_lotfactor*INDEX(M_Onedeal!$AR$8:$AR$68,$J42),0)+BD42</f>
        <v>127425.16434762202</v>
      </c>
      <c r="AE42" s="17">
        <f ca="1">IF($I42,c_lotfactor*INDEX(M_Onedeal!$AK$8:$AK$68,$J42),0)+BE42</f>
        <v>4916349.4451491619</v>
      </c>
      <c r="AF42" s="17">
        <f ca="1">IF($I42,c_lotfactor*INDEX(M_Onedeal!$AM$8:$AM$68,$J42),0)+BF42</f>
        <v>0</v>
      </c>
      <c r="AG42" s="17">
        <f ca="1">IF($I42,c_lotfactor*-INDEX(M_Onedeal!$AB$8:$AB$68,$J42,0))+BG42</f>
        <v>0</v>
      </c>
      <c r="AH42" s="17">
        <f ca="1">IF($I42,c_lotfactor*INDEX(M_Onedeal!$AN$8:$AN$68,$J42),0)+BH42</f>
        <v>0</v>
      </c>
      <c r="AI42" s="17">
        <f ca="1">IF($I42,c_lotfactor*INDEX(M_Onedeal!$AO$8:$AO$68,$J42),0)+BI42</f>
        <v>0</v>
      </c>
      <c r="AJ42" s="17">
        <f ca="1">IF($I42,c_lotfactor*INDEX(M_Onedeal!$AP$8:$AP$68,$J42),0)+BJ42</f>
        <v>0</v>
      </c>
      <c r="AL42" s="128">
        <v>1159.2624258840019</v>
      </c>
      <c r="AM42" s="128">
        <v>110.46828291948155</v>
      </c>
      <c r="AN42" s="128">
        <v>1048.7941429645205</v>
      </c>
      <c r="AO42" s="128">
        <v>37993.172794526981</v>
      </c>
      <c r="AP42" s="128">
        <v>12742516.4347622</v>
      </c>
      <c r="AQ42" s="128">
        <v>1157344.9999999998</v>
      </c>
      <c r="AR42" s="128">
        <v>19774727.244524404</v>
      </c>
      <c r="AS42" s="128">
        <v>11585171.4347622</v>
      </c>
      <c r="AT42" s="128">
        <v>1796828.2919481597</v>
      </c>
      <c r="AU42" s="128">
        <v>1796828.2919481597</v>
      </c>
      <c r="AV42" s="128">
        <v>9788343.1428140402</v>
      </c>
      <c r="AW42" s="128">
        <v>113167.31246329598</v>
      </c>
      <c r="AX42" s="128">
        <v>1796828.2919481597</v>
      </c>
      <c r="AY42" s="128">
        <v>191247.70393870011</v>
      </c>
      <c r="AZ42" s="128">
        <v>6335891.2694423934</v>
      </c>
      <c r="BA42" s="128">
        <v>45761702.989944696</v>
      </c>
      <c r="BB42" s="128">
        <v>5171199.773844406</v>
      </c>
      <c r="BC42" s="128">
        <v>127425.16434762202</v>
      </c>
      <c r="BD42" s="128">
        <v>127425.16434762202</v>
      </c>
      <c r="BE42" s="128">
        <v>4916349.4451491619</v>
      </c>
      <c r="BF42" s="128">
        <v>0</v>
      </c>
      <c r="BG42" s="128">
        <v>0</v>
      </c>
      <c r="BH42" s="128">
        <v>0</v>
      </c>
      <c r="BI42" s="128">
        <v>0</v>
      </c>
      <c r="BJ42" s="128">
        <v>0</v>
      </c>
    </row>
    <row r="43" spans="2:62" ht="15" customHeight="1">
      <c r="B43" s="15">
        <f t="shared" si="10"/>
        <v>2000</v>
      </c>
      <c r="C43" s="15">
        <f t="shared" ca="1" si="7"/>
        <v>2542.6989917229653</v>
      </c>
      <c r="D43" s="332">
        <f t="shared" ca="1" si="11"/>
        <v>0</v>
      </c>
      <c r="E43" s="113">
        <f t="shared" ca="1" si="12"/>
        <v>0</v>
      </c>
      <c r="G43" s="15">
        <f t="shared" si="4"/>
        <v>34</v>
      </c>
      <c r="H43" s="15">
        <f t="shared" si="5"/>
        <v>3</v>
      </c>
      <c r="I43" s="15">
        <f t="shared" si="8"/>
        <v>1</v>
      </c>
      <c r="J43" s="15">
        <f t="shared" si="9"/>
        <v>34</v>
      </c>
      <c r="L43" s="15">
        <f ca="1">IF($I43,c_lotfactor*INDEX(M_Onedeal!$E$8:$E$68,$J43),0)+AL43</f>
        <v>1048.7941429645205</v>
      </c>
      <c r="M43" s="15">
        <f ca="1">IF($I43,c_lotfactor*INDEX(M_Onedeal!$H$8:$H$68,$J43),0)+AM43</f>
        <v>106.30161625281488</v>
      </c>
      <c r="N43" s="15">
        <f ca="1">IF($I43,c_lotfactor*INDEX(M_Onedeal!$I$8:$I$68,$J43),0)+AN43</f>
        <v>942.49252671170552</v>
      </c>
      <c r="O43" s="15">
        <f ca="1">IF($I43,c_lotfactor*INDEX(M_Onedeal!$K$8:$K$68,$J43),0)+AO43</f>
        <v>34372.732359675414</v>
      </c>
      <c r="P43" s="15">
        <f ca="1">IF($I43,c_lotfactor*INDEX(M_Onedeal!$L$8:$L$68,$J43),0)+AP43</f>
        <v>12261891.4347622</v>
      </c>
      <c r="Q43" s="15">
        <f ca="1">IF($I43,c_lotfactor*INDEX(M_Onedeal!$M$8:$M$68,$J43),0)+AQ43</f>
        <v>1252989.3749999998</v>
      </c>
      <c r="R43" s="15">
        <f ca="1">IF($I43,c_lotfactor*INDEX(M_Onedeal!$N$8:$N$68,$J43),0)+AR43</f>
        <v>18521737.869524404</v>
      </c>
      <c r="S43" s="15">
        <f ca="1">IF($I43,c_lotfactor*INDEX(M_Onedeal!$O$8:$O$68,$J43),0)+AS43</f>
        <v>11008902.0597622</v>
      </c>
      <c r="T43" s="15">
        <f ca="1">IF($I43,c_lotfactor*INDEX(M_Onedeal!$P$8:$P$68,$J43),0)+AT43</f>
        <v>405640.42136817012</v>
      </c>
      <c r="U43" s="15">
        <f ca="1">IF($I43,c_lotfactor*INDEX(M_Onedeal!$Q$8:$Q$68,$J43),0)+AU43</f>
        <v>405640.42136817012</v>
      </c>
      <c r="V43" s="15">
        <f ca="1">IF($I43,c_lotfactor*INDEX(M_Onedeal!$R$8:$R$68,$J43),0)+AV43</f>
        <v>10603261.63839403</v>
      </c>
      <c r="W43" s="15">
        <f ca="1">IF($I43,c_lotfactor*INDEX(M_Onedeal!$Y$8:$Y$68,$J43),0)+AW43</f>
        <v>113167.31246329598</v>
      </c>
      <c r="X43" s="15">
        <f ca="1">IF($I43,c_lotfactor*INDEX(M_Onedeal!$AA$8:$AA$68,$J43),0)+AX43</f>
        <v>405640.42136817012</v>
      </c>
      <c r="Y43" s="15">
        <f ca="1">IF($I43,c_lotfactor*INDEX(M_Onedeal!$AD$8:$AD$68,$J43),0)+AY43</f>
        <v>173989.80824301892</v>
      </c>
      <c r="Z43" s="15">
        <f ca="1">IF($I43,c_lotfactor*INDEX(M_Onedeal!$AF$8:$AF$68,$J43),0)+AZ43</f>
        <v>6060381.7890345044</v>
      </c>
      <c r="AA43" s="15">
        <f ca="1">IF($I43,c_lotfactor*INDEX(M_Onedeal!$AG$8:$AG$68,$J43),0)+BA43</f>
        <v>40106961.622278355</v>
      </c>
      <c r="AB43" s="15">
        <f ca="1">IF($I43,c_lotfactor*INDEX(M_Onedeal!$AI$8:$AI$68,$J43),0)+BB43</f>
        <v>4887697.7749479767</v>
      </c>
      <c r="AC43" s="15">
        <f ca="1">IF($I43,c_lotfactor*INDEX(M_Onedeal!$AQ$8:$AQ$68,$J43),0)+BC43</f>
        <v>122618.91434762202</v>
      </c>
      <c r="AD43" s="15">
        <f ca="1">IF($I43,c_lotfactor*INDEX(M_Onedeal!$AR$8:$AR$68,$J43),0)+BD43</f>
        <v>122618.91434762202</v>
      </c>
      <c r="AE43" s="15">
        <f ca="1">IF($I43,c_lotfactor*INDEX(M_Onedeal!$AK$8:$AK$68,$J43),0)+BE43</f>
        <v>4642459.9462527316</v>
      </c>
      <c r="AF43" s="15">
        <f ca="1">IF($I43,c_lotfactor*INDEX(M_Onedeal!$AM$8:$AM$68,$J43),0)+BF43</f>
        <v>0</v>
      </c>
      <c r="AG43" s="15">
        <f ca="1">IF($I43,c_lotfactor*-INDEX(M_Onedeal!$AB$8:$AB$68,$J43,0))+BG43</f>
        <v>0</v>
      </c>
      <c r="AH43" s="15">
        <f ca="1">IF($I43,c_lotfactor*INDEX(M_Onedeal!$AN$8:$AN$68,$J43),0)+BH43</f>
        <v>0</v>
      </c>
      <c r="AI43" s="15">
        <f ca="1">IF($I43,c_lotfactor*INDEX(M_Onedeal!$AO$8:$AO$68,$J43),0)+BI43</f>
        <v>0</v>
      </c>
      <c r="AJ43" s="15">
        <f ca="1">IF($I43,c_lotfactor*INDEX(M_Onedeal!$AP$8:$AP$68,$J43),0)+BJ43</f>
        <v>0</v>
      </c>
      <c r="AL43" s="126">
        <v>1048.7941429645205</v>
      </c>
      <c r="AM43" s="126">
        <v>106.30161625281488</v>
      </c>
      <c r="AN43" s="126">
        <v>942.49252671170552</v>
      </c>
      <c r="AO43" s="126">
        <v>34372.732359675414</v>
      </c>
      <c r="AP43" s="126">
        <v>12261891.4347622</v>
      </c>
      <c r="AQ43" s="126">
        <v>1252989.3749999998</v>
      </c>
      <c r="AR43" s="126">
        <v>18521737.869524404</v>
      </c>
      <c r="AS43" s="126">
        <v>11008902.0597622</v>
      </c>
      <c r="AT43" s="126">
        <v>405640.42136817012</v>
      </c>
      <c r="AU43" s="126">
        <v>405640.42136817012</v>
      </c>
      <c r="AV43" s="126">
        <v>10603261.63839403</v>
      </c>
      <c r="AW43" s="126">
        <v>113167.31246329598</v>
      </c>
      <c r="AX43" s="126">
        <v>405640.42136817012</v>
      </c>
      <c r="AY43" s="126">
        <v>173989.80824301892</v>
      </c>
      <c r="AZ43" s="126">
        <v>6060381.7890345044</v>
      </c>
      <c r="BA43" s="126">
        <v>40106961.622278355</v>
      </c>
      <c r="BB43" s="126">
        <v>4887697.7749479767</v>
      </c>
      <c r="BC43" s="126">
        <v>122618.91434762202</v>
      </c>
      <c r="BD43" s="126">
        <v>122618.91434762202</v>
      </c>
      <c r="BE43" s="126">
        <v>4642459.9462527316</v>
      </c>
      <c r="BF43" s="126">
        <v>0</v>
      </c>
      <c r="BG43" s="126">
        <v>0</v>
      </c>
      <c r="BH43" s="126">
        <v>0</v>
      </c>
      <c r="BI43" s="126">
        <v>0</v>
      </c>
      <c r="BJ43" s="126">
        <v>0</v>
      </c>
    </row>
    <row r="44" spans="2:62" ht="15" customHeight="1">
      <c r="B44" s="16">
        <f t="shared" si="10"/>
        <v>2000</v>
      </c>
      <c r="C44" s="16">
        <f t="shared" ca="1" si="7"/>
        <v>2542.6989917229653</v>
      </c>
      <c r="D44" s="333">
        <f t="shared" ca="1" si="11"/>
        <v>0</v>
      </c>
      <c r="E44" s="115">
        <f t="shared" ca="1" si="12"/>
        <v>0</v>
      </c>
      <c r="G44" s="16">
        <f t="shared" si="4"/>
        <v>35</v>
      </c>
      <c r="H44" s="16">
        <f t="shared" si="5"/>
        <v>3</v>
      </c>
      <c r="I44" s="16">
        <f t="shared" si="8"/>
        <v>1</v>
      </c>
      <c r="J44" s="16">
        <f t="shared" si="9"/>
        <v>35</v>
      </c>
      <c r="L44" s="16">
        <f ca="1">IF($I44,c_lotfactor*INDEX(M_Onedeal!$E$8:$E$68,$J44),0)+AL44</f>
        <v>942.49252671170552</v>
      </c>
      <c r="M44" s="16">
        <f ca="1">IF($I44,c_lotfactor*INDEX(M_Onedeal!$H$8:$H$68,$J44),0)+AM44</f>
        <v>102.13494958614822</v>
      </c>
      <c r="N44" s="16">
        <f ca="1">IF($I44,c_lotfactor*INDEX(M_Onedeal!$I$8:$I$68,$J44),0)+AN44</f>
        <v>840.35757712555721</v>
      </c>
      <c r="O44" s="16">
        <f ca="1">IF($I44,c_lotfactor*INDEX(M_Onedeal!$K$8:$K$68,$J44),0)+AO44</f>
        <v>30888.848482777623</v>
      </c>
      <c r="P44" s="16">
        <f ca="1">IF($I44,c_lotfactor*INDEX(M_Onedeal!$L$8:$L$68,$J44),0)+AP44</f>
        <v>11781266.4347622</v>
      </c>
      <c r="Q44" s="16">
        <f ca="1">IF($I44,c_lotfactor*INDEX(M_Onedeal!$M$8:$M$68,$J44),0)+AQ44</f>
        <v>1348633.7499999998</v>
      </c>
      <c r="R44" s="16">
        <f ca="1">IF($I44,c_lotfactor*INDEX(M_Onedeal!$N$8:$N$68,$J44),0)+AR44</f>
        <v>17173104.119524404</v>
      </c>
      <c r="S44" s="16">
        <f ca="1">IF($I44,c_lotfactor*INDEX(M_Onedeal!$O$8:$O$68,$J44),0)+AS44</f>
        <v>10432632.6847622</v>
      </c>
      <c r="T44" s="16">
        <f ca="1">IF($I44,c_lotfactor*INDEX(M_Onedeal!$P$8:$P$68,$J44),0)+AT44</f>
        <v>0</v>
      </c>
      <c r="U44" s="16">
        <f ca="1">IF($I44,c_lotfactor*INDEX(M_Onedeal!$Q$8:$Q$68,$J44),0)+AU44</f>
        <v>0</v>
      </c>
      <c r="V44" s="16">
        <f ca="1">IF($I44,c_lotfactor*INDEX(M_Onedeal!$R$8:$R$68,$J44),0)+AV44</f>
        <v>10432632.6847622</v>
      </c>
      <c r="W44" s="16">
        <f ca="1">IF($I44,c_lotfactor*INDEX(M_Onedeal!$Y$8:$Y$68,$J44),0)+AW44</f>
        <v>113167.31246329598</v>
      </c>
      <c r="X44" s="16">
        <f ca="1">IF($I44,c_lotfactor*INDEX(M_Onedeal!$AA$8:$AA$68,$J44),0)+AX44</f>
        <v>0</v>
      </c>
      <c r="Y44" s="16">
        <f ca="1">IF($I44,c_lotfactor*INDEX(M_Onedeal!$AD$8:$AD$68,$J44),0)+AY44</f>
        <v>152490.01033470419</v>
      </c>
      <c r="Z44" s="16">
        <f ca="1">IF($I44,c_lotfactor*INDEX(M_Onedeal!$AF$8:$AF$68,$J44),0)+AZ44</f>
        <v>5784872.3086266154</v>
      </c>
      <c r="AA44" s="16">
        <f ca="1">IF($I44,c_lotfactor*INDEX(M_Onedeal!$AG$8:$AG$68,$J44),0)+BA44</f>
        <v>34322089.313651748</v>
      </c>
      <c r="AB44" s="16">
        <f ca="1">IF($I44,c_lotfactor*INDEX(M_Onedeal!$AI$8:$AI$68,$J44),0)+BB44</f>
        <v>4608437.6782641793</v>
      </c>
      <c r="AC44" s="16">
        <f ca="1">IF($I44,c_lotfactor*INDEX(M_Onedeal!$AQ$8:$AQ$68,$J44),0)+BC44</f>
        <v>117812.66434762202</v>
      </c>
      <c r="AD44" s="16">
        <f ca="1">IF($I44,c_lotfactor*INDEX(M_Onedeal!$AR$8:$AR$68,$J44),0)+BD44</f>
        <v>117812.66434762202</v>
      </c>
      <c r="AE44" s="16">
        <f ca="1">IF($I44,c_lotfactor*INDEX(M_Onedeal!$AK$8:$AK$68,$J44),0)+BE44</f>
        <v>4372812.3495689351</v>
      </c>
      <c r="AF44" s="16">
        <f ca="1">IF($I44,c_lotfactor*INDEX(M_Onedeal!$AM$8:$AM$68,$J44),0)+BF44</f>
        <v>0</v>
      </c>
      <c r="AG44" s="16">
        <f ca="1">IF($I44,c_lotfactor*-INDEX(M_Onedeal!$AB$8:$AB$68,$J44,0))+BG44</f>
        <v>0</v>
      </c>
      <c r="AH44" s="16">
        <f ca="1">IF($I44,c_lotfactor*INDEX(M_Onedeal!$AN$8:$AN$68,$J44),0)+BH44</f>
        <v>0</v>
      </c>
      <c r="AI44" s="16">
        <f ca="1">IF($I44,c_lotfactor*INDEX(M_Onedeal!$AO$8:$AO$68,$J44),0)+BI44</f>
        <v>0</v>
      </c>
      <c r="AJ44" s="16">
        <f ca="1">IF($I44,c_lotfactor*INDEX(M_Onedeal!$AP$8:$AP$68,$J44),0)+BJ44</f>
        <v>0</v>
      </c>
      <c r="AL44" s="127">
        <v>942.49252671170552</v>
      </c>
      <c r="AM44" s="127">
        <v>102.13494958614822</v>
      </c>
      <c r="AN44" s="127">
        <v>840.35757712555721</v>
      </c>
      <c r="AO44" s="127">
        <v>30888.848482777623</v>
      </c>
      <c r="AP44" s="127">
        <v>11781266.4347622</v>
      </c>
      <c r="AQ44" s="127">
        <v>1348633.7499999998</v>
      </c>
      <c r="AR44" s="127">
        <v>17173104.119524404</v>
      </c>
      <c r="AS44" s="127">
        <v>10432632.6847622</v>
      </c>
      <c r="AT44" s="127">
        <v>0</v>
      </c>
      <c r="AU44" s="127">
        <v>0</v>
      </c>
      <c r="AV44" s="127">
        <v>10432632.6847622</v>
      </c>
      <c r="AW44" s="127">
        <v>113167.31246329598</v>
      </c>
      <c r="AX44" s="127">
        <v>0</v>
      </c>
      <c r="AY44" s="127">
        <v>152490.01033470419</v>
      </c>
      <c r="AZ44" s="127">
        <v>5784872.3086266154</v>
      </c>
      <c r="BA44" s="127">
        <v>34322089.313651748</v>
      </c>
      <c r="BB44" s="127">
        <v>4608437.6782641793</v>
      </c>
      <c r="BC44" s="127">
        <v>117812.66434762202</v>
      </c>
      <c r="BD44" s="127">
        <v>117812.66434762202</v>
      </c>
      <c r="BE44" s="127">
        <v>4372812.3495689351</v>
      </c>
      <c r="BF44" s="127">
        <v>0</v>
      </c>
      <c r="BG44" s="127">
        <v>0</v>
      </c>
      <c r="BH44" s="127">
        <v>0</v>
      </c>
      <c r="BI44" s="127">
        <v>0</v>
      </c>
      <c r="BJ44" s="127">
        <v>0</v>
      </c>
    </row>
    <row r="45" spans="2:62" ht="15" customHeight="1" thickBot="1">
      <c r="B45" s="18">
        <f t="shared" si="10"/>
        <v>2000</v>
      </c>
      <c r="C45" s="18">
        <f t="shared" ca="1" si="7"/>
        <v>2542.6989917229653</v>
      </c>
      <c r="D45" s="335">
        <f t="shared" ca="1" si="11"/>
        <v>0</v>
      </c>
      <c r="E45" s="117">
        <f t="shared" ca="1" si="12"/>
        <v>0</v>
      </c>
      <c r="G45" s="18">
        <f t="shared" si="4"/>
        <v>36</v>
      </c>
      <c r="H45" s="18">
        <f t="shared" si="5"/>
        <v>3</v>
      </c>
      <c r="I45" s="18">
        <f t="shared" si="8"/>
        <v>1</v>
      </c>
      <c r="J45" s="18">
        <f t="shared" si="9"/>
        <v>36</v>
      </c>
      <c r="L45" s="18">
        <f ca="1">IF($I45,c_lotfactor*INDEX(M_Onedeal!$E$8:$E$68,$J45),0)+AL45</f>
        <v>840.35757712555721</v>
      </c>
      <c r="M45" s="18">
        <f ca="1">IF($I45,c_lotfactor*INDEX(M_Onedeal!$H$8:$H$68,$J45),0)+AM45</f>
        <v>97.968282919481567</v>
      </c>
      <c r="N45" s="18">
        <f ca="1">IF($I45,c_lotfactor*INDEX(M_Onedeal!$I$8:$I$68,$J45),0)+AN45</f>
        <v>742.38929420607565</v>
      </c>
      <c r="O45" s="18">
        <f ca="1">IF($I45,c_lotfactor*INDEX(M_Onedeal!$K$8:$K$68,$J45),0)+AO45</f>
        <v>27541.521163833608</v>
      </c>
      <c r="P45" s="18">
        <f ca="1">IF($I45,c_lotfactor*INDEX(M_Onedeal!$L$8:$L$68,$J45),0)+AP45</f>
        <v>11300641.4347622</v>
      </c>
      <c r="Q45" s="18">
        <f ca="1">IF($I45,c_lotfactor*INDEX(M_Onedeal!$M$8:$M$68,$J45),0)+AQ45</f>
        <v>1444278.1249999998</v>
      </c>
      <c r="R45" s="18">
        <f ca="1">IF($I45,c_lotfactor*INDEX(M_Onedeal!$N$8:$N$68,$J45),0)+AR45</f>
        <v>15728825.994524404</v>
      </c>
      <c r="S45" s="18">
        <f ca="1">IF($I45,c_lotfactor*INDEX(M_Onedeal!$O$8:$O$68,$J45),0)+AS45</f>
        <v>9856363.3097622003</v>
      </c>
      <c r="T45" s="18">
        <f ca="1">IF($I45,c_lotfactor*INDEX(M_Onedeal!$P$8:$P$68,$J45),0)+AT45</f>
        <v>0</v>
      </c>
      <c r="U45" s="18">
        <f ca="1">IF($I45,c_lotfactor*INDEX(M_Onedeal!$Q$8:$Q$68,$J45),0)+AU45</f>
        <v>0</v>
      </c>
      <c r="V45" s="18">
        <f ca="1">IF($I45,c_lotfactor*INDEX(M_Onedeal!$R$8:$R$68,$J45),0)+AV45</f>
        <v>9856363.3097622003</v>
      </c>
      <c r="W45" s="18">
        <f ca="1">IF($I45,c_lotfactor*INDEX(M_Onedeal!$Y$8:$Y$68,$J45),0)+AW45</f>
        <v>113167.31246329598</v>
      </c>
      <c r="X45" s="18">
        <f ca="1">IF($I45,c_lotfactor*INDEX(M_Onedeal!$AA$8:$AA$68,$J45),0)+AX45</f>
        <v>0</v>
      </c>
      <c r="Y45" s="18">
        <f ca="1">IF($I45,c_lotfactor*INDEX(M_Onedeal!$AD$8:$AD$68,$J45),0)+AY45</f>
        <v>130495.44374461341</v>
      </c>
      <c r="Z45" s="18">
        <f ca="1">IF($I45,c_lotfactor*INDEX(M_Onedeal!$AF$8:$AF$68,$J45),0)+AZ45</f>
        <v>5509362.8282187264</v>
      </c>
      <c r="AA45" s="18">
        <f ca="1">IF($I45,c_lotfactor*INDEX(M_Onedeal!$AG$8:$AG$68,$J45),0)+BA45</f>
        <v>28812726.485433023</v>
      </c>
      <c r="AB45" s="18">
        <f ca="1">IF($I45,c_lotfactor*INDEX(M_Onedeal!$AI$8:$AI$68,$J45),0)+BB45</f>
        <v>4329672.3502621586</v>
      </c>
      <c r="AC45" s="18">
        <f ca="1">IF($I45,c_lotfactor*INDEX(M_Onedeal!$AQ$8:$AQ$68,$J45),0)+BC45</f>
        <v>113006.41434762202</v>
      </c>
      <c r="AD45" s="18">
        <f ca="1">IF($I45,c_lotfactor*INDEX(M_Onedeal!$AR$8:$AR$68,$J45),0)+BD45</f>
        <v>113006.41434762202</v>
      </c>
      <c r="AE45" s="18">
        <f ca="1">IF($I45,c_lotfactor*INDEX(M_Onedeal!$AK$8:$AK$68,$J45),0)+BE45</f>
        <v>4103659.5215669149</v>
      </c>
      <c r="AF45" s="18">
        <f ca="1">IF($I45,c_lotfactor*INDEX(M_Onedeal!$AM$8:$AM$68,$J45),0)+BF45</f>
        <v>0</v>
      </c>
      <c r="AG45" s="18">
        <f ca="1">IF($I45,c_lotfactor*-INDEX(M_Onedeal!$AB$8:$AB$68,$J45,0))+BG45</f>
        <v>0</v>
      </c>
      <c r="AH45" s="18">
        <f ca="1">IF($I45,c_lotfactor*INDEX(M_Onedeal!$AN$8:$AN$68,$J45),0)+BH45</f>
        <v>0</v>
      </c>
      <c r="AI45" s="18">
        <f ca="1">IF($I45,c_lotfactor*INDEX(M_Onedeal!$AO$8:$AO$68,$J45),0)+BI45</f>
        <v>0</v>
      </c>
      <c r="AJ45" s="18">
        <f ca="1">IF($I45,c_lotfactor*INDEX(M_Onedeal!$AP$8:$AP$68,$J45),0)+BJ45</f>
        <v>0</v>
      </c>
      <c r="AL45" s="129">
        <v>840.35757712555721</v>
      </c>
      <c r="AM45" s="129">
        <v>97.968282919481567</v>
      </c>
      <c r="AN45" s="129">
        <v>742.38929420607565</v>
      </c>
      <c r="AO45" s="129">
        <v>27541.521163833608</v>
      </c>
      <c r="AP45" s="129">
        <v>11300641.4347622</v>
      </c>
      <c r="AQ45" s="129">
        <v>1444278.1249999998</v>
      </c>
      <c r="AR45" s="129">
        <v>15728825.994524404</v>
      </c>
      <c r="AS45" s="129">
        <v>9856363.3097622003</v>
      </c>
      <c r="AT45" s="129">
        <v>0</v>
      </c>
      <c r="AU45" s="129">
        <v>0</v>
      </c>
      <c r="AV45" s="129">
        <v>9856363.3097622003</v>
      </c>
      <c r="AW45" s="129">
        <v>113167.31246329598</v>
      </c>
      <c r="AX45" s="129">
        <v>0</v>
      </c>
      <c r="AY45" s="129">
        <v>130495.44374461341</v>
      </c>
      <c r="AZ45" s="129">
        <v>5509362.8282187264</v>
      </c>
      <c r="BA45" s="129">
        <v>28812726.485433023</v>
      </c>
      <c r="BB45" s="129">
        <v>4329672.3502621586</v>
      </c>
      <c r="BC45" s="129">
        <v>113006.41434762202</v>
      </c>
      <c r="BD45" s="129">
        <v>113006.41434762202</v>
      </c>
      <c r="BE45" s="129">
        <v>4103659.5215669149</v>
      </c>
      <c r="BF45" s="129">
        <v>0</v>
      </c>
      <c r="BG45" s="129">
        <v>0</v>
      </c>
      <c r="BH45" s="129">
        <v>0</v>
      </c>
      <c r="BI45" s="129">
        <v>0</v>
      </c>
      <c r="BJ45" s="129">
        <v>0</v>
      </c>
    </row>
    <row r="46" spans="2:62" ht="15" customHeight="1">
      <c r="B46" s="19">
        <f t="shared" si="10"/>
        <v>1000</v>
      </c>
      <c r="C46" s="19">
        <f t="shared" ca="1" si="7"/>
        <v>2542.6989917229653</v>
      </c>
      <c r="D46" s="336">
        <f t="shared" ca="1" si="11"/>
        <v>0</v>
      </c>
      <c r="E46" s="118">
        <f t="shared" ca="1" si="12"/>
        <v>0</v>
      </c>
      <c r="G46" s="19">
        <f t="shared" si="4"/>
        <v>37</v>
      </c>
      <c r="H46" s="19">
        <f t="shared" si="5"/>
        <v>4</v>
      </c>
      <c r="I46" s="19">
        <f t="shared" si="8"/>
        <v>1</v>
      </c>
      <c r="J46" s="19">
        <f t="shared" si="9"/>
        <v>37</v>
      </c>
      <c r="L46" s="19">
        <f ca="1">IF($I46,c_lotfactor*INDEX(M_Onedeal!$E$8:$E$68,$J46),0)+AL46</f>
        <v>742.38929420607565</v>
      </c>
      <c r="M46" s="19">
        <f ca="1">IF($I46,c_lotfactor*INDEX(M_Onedeal!$H$8:$H$68,$J46),0)+AM46</f>
        <v>93.801616252814895</v>
      </c>
      <c r="N46" s="19">
        <f ca="1">IF($I46,c_lotfactor*INDEX(M_Onedeal!$I$8:$I$68,$J46),0)+AN46</f>
        <v>648.58767795326071</v>
      </c>
      <c r="O46" s="19">
        <f ca="1">IF($I46,c_lotfactor*INDEX(M_Onedeal!$K$8:$K$68,$J46),0)+AO46</f>
        <v>24330.750402843365</v>
      </c>
      <c r="P46" s="19">
        <f ca="1">IF($I46,c_lotfactor*INDEX(M_Onedeal!$L$8:$L$68,$J46),0)+AP46</f>
        <v>10820016.4347622</v>
      </c>
      <c r="Q46" s="19">
        <f ca="1">IF($I46,c_lotfactor*INDEX(M_Onedeal!$M$8:$M$68,$J46),0)+AQ46</f>
        <v>1539922.4999999998</v>
      </c>
      <c r="R46" s="19">
        <f ca="1">IF($I46,c_lotfactor*INDEX(M_Onedeal!$N$8:$N$68,$J46),0)+AR46</f>
        <v>14188903.494524404</v>
      </c>
      <c r="S46" s="19">
        <f ca="1">IF($I46,c_lotfactor*INDEX(M_Onedeal!$O$8:$O$68,$J46),0)+AS46</f>
        <v>9280093.9347622003</v>
      </c>
      <c r="T46" s="19">
        <f ca="1">IF($I46,c_lotfactor*INDEX(M_Onedeal!$P$8:$P$68,$J46),0)+AT46</f>
        <v>0</v>
      </c>
      <c r="U46" s="19">
        <f ca="1">IF($I46,c_lotfactor*INDEX(M_Onedeal!$Q$8:$Q$68,$J46),0)+AU46</f>
        <v>0</v>
      </c>
      <c r="V46" s="19">
        <f ca="1">IF($I46,c_lotfactor*INDEX(M_Onedeal!$R$8:$R$68,$J46),0)+AV46</f>
        <v>9280093.9347622003</v>
      </c>
      <c r="W46" s="19">
        <f ca="1">IF($I46,c_lotfactor*INDEX(M_Onedeal!$Y$8:$Y$68,$J46),0)+AW46</f>
        <v>113167.31246329598</v>
      </c>
      <c r="X46" s="19">
        <f ca="1">IF($I46,c_lotfactor*INDEX(M_Onedeal!$AA$8:$AA$68,$J46),0)+AX46</f>
        <v>0</v>
      </c>
      <c r="Y46" s="19">
        <f ca="1">IF($I46,c_lotfactor*INDEX(M_Onedeal!$AD$8:$AD$68,$J46),0)+AY46</f>
        <v>109548.38715815682</v>
      </c>
      <c r="Z46" s="19">
        <f ca="1">IF($I46,c_lotfactor*INDEX(M_Onedeal!$AF$8:$AF$68,$J46),0)+AZ46</f>
        <v>5233853.3478108374</v>
      </c>
      <c r="AA46" s="19">
        <f ca="1">IF($I46,c_lotfactor*INDEX(M_Onedeal!$AG$8:$AG$68,$J46),0)+BA46</f>
        <v>23578873.137622185</v>
      </c>
      <c r="AB46" s="19">
        <f ca="1">IF($I46,c_lotfactor*INDEX(M_Onedeal!$AI$8:$AI$68,$J46),0)+BB46</f>
        <v>4049859.5122565045</v>
      </c>
      <c r="AC46" s="19">
        <f ca="1">IF($I46,c_lotfactor*INDEX(M_Onedeal!$AQ$8:$AQ$68,$J46),0)+BC46</f>
        <v>108200.16434762202</v>
      </c>
      <c r="AD46" s="19">
        <f ca="1">IF($I46,c_lotfactor*INDEX(M_Onedeal!$AR$8:$AR$68,$J46),0)+BD46</f>
        <v>108200.16434762202</v>
      </c>
      <c r="AE46" s="19">
        <f ca="1">IF($I46,c_lotfactor*INDEX(M_Onedeal!$AK$8:$AK$68,$J46),0)+BE46</f>
        <v>3833459.1835612599</v>
      </c>
      <c r="AF46" s="19">
        <f ca="1">IF($I46,c_lotfactor*INDEX(M_Onedeal!$AM$8:$AM$68,$J46),0)+BF46</f>
        <v>0</v>
      </c>
      <c r="AG46" s="19">
        <f ca="1">IF($I46,c_lotfactor*-INDEX(M_Onedeal!$AB$8:$AB$68,$J46,0))+BG46</f>
        <v>0</v>
      </c>
      <c r="AH46" s="19">
        <f ca="1">IF($I46,c_lotfactor*INDEX(M_Onedeal!$AN$8:$AN$68,$J46),0)+BH46</f>
        <v>0</v>
      </c>
      <c r="AI46" s="19">
        <f ca="1">IF($I46,c_lotfactor*INDEX(M_Onedeal!$AO$8:$AO$68,$J46),0)+BI46</f>
        <v>0</v>
      </c>
      <c r="AJ46" s="19">
        <f ca="1">IF($I46,c_lotfactor*INDEX(M_Onedeal!$AP$8:$AP$68,$J46),0)+BJ46</f>
        <v>0</v>
      </c>
      <c r="AL46" s="130">
        <v>742.38929420607565</v>
      </c>
      <c r="AM46" s="130">
        <v>93.801616252814895</v>
      </c>
      <c r="AN46" s="130">
        <v>648.58767795326071</v>
      </c>
      <c r="AO46" s="130">
        <v>24330.750402843365</v>
      </c>
      <c r="AP46" s="130">
        <v>10820016.4347622</v>
      </c>
      <c r="AQ46" s="130">
        <v>1539922.4999999998</v>
      </c>
      <c r="AR46" s="130">
        <v>14188903.494524404</v>
      </c>
      <c r="AS46" s="130">
        <v>9280093.9347622003</v>
      </c>
      <c r="AT46" s="130">
        <v>0</v>
      </c>
      <c r="AU46" s="130">
        <v>0</v>
      </c>
      <c r="AV46" s="130">
        <v>9280093.9347622003</v>
      </c>
      <c r="AW46" s="130">
        <v>113167.31246329598</v>
      </c>
      <c r="AX46" s="130">
        <v>0</v>
      </c>
      <c r="AY46" s="130">
        <v>109548.38715815682</v>
      </c>
      <c r="AZ46" s="130">
        <v>5233853.3478108374</v>
      </c>
      <c r="BA46" s="130">
        <v>23578873.137622185</v>
      </c>
      <c r="BB46" s="130">
        <v>4049859.5122565045</v>
      </c>
      <c r="BC46" s="130">
        <v>108200.16434762202</v>
      </c>
      <c r="BD46" s="130">
        <v>108200.16434762202</v>
      </c>
      <c r="BE46" s="130">
        <v>3833459.1835612599</v>
      </c>
      <c r="BF46" s="130">
        <v>0</v>
      </c>
      <c r="BG46" s="130">
        <v>0</v>
      </c>
      <c r="BH46" s="130">
        <v>0</v>
      </c>
      <c r="BI46" s="130">
        <v>0</v>
      </c>
      <c r="BJ46" s="130">
        <v>0</v>
      </c>
    </row>
    <row r="47" spans="2:62" ht="15" customHeight="1">
      <c r="B47" s="16">
        <f t="shared" si="10"/>
        <v>1000</v>
      </c>
      <c r="C47" s="16">
        <f t="shared" ca="1" si="7"/>
        <v>2542.6989917229653</v>
      </c>
      <c r="D47" s="333">
        <f t="shared" ca="1" si="11"/>
        <v>0</v>
      </c>
      <c r="E47" s="115">
        <f t="shared" ca="1" si="12"/>
        <v>0</v>
      </c>
      <c r="G47" s="16">
        <f t="shared" si="4"/>
        <v>38</v>
      </c>
      <c r="H47" s="16">
        <f t="shared" si="5"/>
        <v>4</v>
      </c>
      <c r="I47" s="16">
        <f t="shared" si="8"/>
        <v>1</v>
      </c>
      <c r="J47" s="16">
        <f t="shared" si="9"/>
        <v>38</v>
      </c>
      <c r="L47" s="16">
        <f ca="1">IF($I47,c_lotfactor*INDEX(M_Onedeal!$E$8:$E$68,$J47),0)+AL47</f>
        <v>648.58767795326071</v>
      </c>
      <c r="M47" s="16">
        <f ca="1">IF($I47,c_lotfactor*INDEX(M_Onedeal!$H$8:$H$68,$J47),0)+AM47</f>
        <v>89.634949586148238</v>
      </c>
      <c r="N47" s="16">
        <f ca="1">IF($I47,c_lotfactor*INDEX(M_Onedeal!$I$8:$I$68,$J47),0)+AN47</f>
        <v>558.9527283671124</v>
      </c>
      <c r="O47" s="16">
        <f ca="1">IF($I47,c_lotfactor*INDEX(M_Onedeal!$K$8:$K$68,$J47),0)+AO47</f>
        <v>21256.536199806895</v>
      </c>
      <c r="P47" s="16">
        <f ca="1">IF($I47,c_lotfactor*INDEX(M_Onedeal!$L$8:$L$68,$J47),0)+AP47</f>
        <v>10339391.4347622</v>
      </c>
      <c r="Q47" s="16">
        <f ca="1">IF($I47,c_lotfactor*INDEX(M_Onedeal!$M$8:$M$68,$J47),0)+AQ47</f>
        <v>1635566.8749999998</v>
      </c>
      <c r="R47" s="16">
        <f ca="1">IF($I47,c_lotfactor*INDEX(M_Onedeal!$N$8:$N$68,$J47),0)+AR47</f>
        <v>12553336.619524404</v>
      </c>
      <c r="S47" s="16">
        <f ca="1">IF($I47,c_lotfactor*INDEX(M_Onedeal!$O$8:$O$68,$J47),0)+AS47</f>
        <v>8703824.5597622003</v>
      </c>
      <c r="T47" s="16">
        <f ca="1">IF($I47,c_lotfactor*INDEX(M_Onedeal!$P$8:$P$68,$J47),0)+AT47</f>
        <v>0</v>
      </c>
      <c r="U47" s="16">
        <f ca="1">IF($I47,c_lotfactor*INDEX(M_Onedeal!$Q$8:$Q$68,$J47),0)+AU47</f>
        <v>0</v>
      </c>
      <c r="V47" s="16">
        <f ca="1">IF($I47,c_lotfactor*INDEX(M_Onedeal!$R$8:$R$68,$J47),0)+AV47</f>
        <v>8703824.5597622003</v>
      </c>
      <c r="W47" s="16">
        <f ca="1">IF($I47,c_lotfactor*INDEX(M_Onedeal!$Y$8:$Y$68,$J47),0)+AW47</f>
        <v>113167.31246329598</v>
      </c>
      <c r="X47" s="16">
        <f ca="1">IF($I47,c_lotfactor*INDEX(M_Onedeal!$AA$8:$AA$68,$J47),0)+AX47</f>
        <v>0</v>
      </c>
      <c r="Y47" s="16">
        <f ca="1">IF($I47,c_lotfactor*INDEX(M_Onedeal!$AD$8:$AD$68,$J47),0)+AY47</f>
        <v>89648.840575334369</v>
      </c>
      <c r="Z47" s="16">
        <f ca="1">IF($I47,c_lotfactor*INDEX(M_Onedeal!$AF$8:$AF$68,$J47),0)+AZ47</f>
        <v>4816349.3631814765</v>
      </c>
      <c r="AA47" s="16">
        <f ca="1">IF($I47,c_lotfactor*INDEX(M_Onedeal!$AG$8:$AG$68,$J47),0)+BA47</f>
        <v>18762523.774440713</v>
      </c>
      <c r="AB47" s="16">
        <f ca="1">IF($I47,c_lotfactor*INDEX(M_Onedeal!$AI$8:$AI$68,$J47),0)+BB47</f>
        <v>3910993.6684686877</v>
      </c>
      <c r="AC47" s="16">
        <f ca="1">IF($I47,c_lotfactor*INDEX(M_Onedeal!$AQ$8:$AQ$68,$J47),0)+BC47</f>
        <v>103393.91434762202</v>
      </c>
      <c r="AD47" s="16">
        <f ca="1">IF($I47,c_lotfactor*INDEX(M_Onedeal!$AR$8:$AR$68,$J47),0)+BD47</f>
        <v>103393.91434762202</v>
      </c>
      <c r="AE47" s="16">
        <f ca="1">IF($I47,c_lotfactor*INDEX(M_Onedeal!$AK$8:$AK$68,$J47),0)+BE47</f>
        <v>3704205.839773444</v>
      </c>
      <c r="AF47" s="16">
        <f ca="1">IF($I47,c_lotfactor*INDEX(M_Onedeal!$AM$8:$AM$68,$J47),0)+BF47</f>
        <v>0</v>
      </c>
      <c r="AG47" s="16">
        <f ca="1">IF($I47,c_lotfactor*-INDEX(M_Onedeal!$AB$8:$AB$68,$J47,0))+BG47</f>
        <v>0</v>
      </c>
      <c r="AH47" s="16">
        <f ca="1">IF($I47,c_lotfactor*INDEX(M_Onedeal!$AN$8:$AN$68,$J47),0)+BH47</f>
        <v>0</v>
      </c>
      <c r="AI47" s="16">
        <f ca="1">IF($I47,c_lotfactor*INDEX(M_Onedeal!$AO$8:$AO$68,$J47),0)+BI47</f>
        <v>0</v>
      </c>
      <c r="AJ47" s="16">
        <f ca="1">IF($I47,c_lotfactor*INDEX(M_Onedeal!$AP$8:$AP$68,$J47),0)+BJ47</f>
        <v>0</v>
      </c>
      <c r="AL47" s="127">
        <v>648.58767795326071</v>
      </c>
      <c r="AM47" s="127">
        <v>89.634949586148238</v>
      </c>
      <c r="AN47" s="127">
        <v>558.9527283671124</v>
      </c>
      <c r="AO47" s="127">
        <v>21256.536199806895</v>
      </c>
      <c r="AP47" s="127">
        <v>10339391.4347622</v>
      </c>
      <c r="AQ47" s="127">
        <v>1635566.8749999998</v>
      </c>
      <c r="AR47" s="127">
        <v>12553336.619524404</v>
      </c>
      <c r="AS47" s="127">
        <v>8703824.5597622003</v>
      </c>
      <c r="AT47" s="127">
        <v>0</v>
      </c>
      <c r="AU47" s="127">
        <v>0</v>
      </c>
      <c r="AV47" s="127">
        <v>8703824.5597622003</v>
      </c>
      <c r="AW47" s="127">
        <v>113167.31246329598</v>
      </c>
      <c r="AX47" s="127">
        <v>0</v>
      </c>
      <c r="AY47" s="127">
        <v>89648.840575334369</v>
      </c>
      <c r="AZ47" s="127">
        <v>4816349.3631814765</v>
      </c>
      <c r="BA47" s="127">
        <v>18762523.774440713</v>
      </c>
      <c r="BB47" s="127">
        <v>3910993.6684686877</v>
      </c>
      <c r="BC47" s="127">
        <v>103393.91434762202</v>
      </c>
      <c r="BD47" s="127">
        <v>103393.91434762202</v>
      </c>
      <c r="BE47" s="127">
        <v>3704205.839773444</v>
      </c>
      <c r="BF47" s="127">
        <v>0</v>
      </c>
      <c r="BG47" s="127">
        <v>0</v>
      </c>
      <c r="BH47" s="127">
        <v>0</v>
      </c>
      <c r="BI47" s="127">
        <v>0</v>
      </c>
      <c r="BJ47" s="127">
        <v>0</v>
      </c>
    </row>
    <row r="48" spans="2:62" ht="15" customHeight="1">
      <c r="B48" s="17">
        <f t="shared" si="10"/>
        <v>1000</v>
      </c>
      <c r="C48" s="17">
        <f t="shared" ca="1" si="7"/>
        <v>2542.6989917229653</v>
      </c>
      <c r="D48" s="334">
        <f t="shared" ca="1" si="11"/>
        <v>0</v>
      </c>
      <c r="E48" s="116">
        <f t="shared" ca="1" si="12"/>
        <v>0</v>
      </c>
      <c r="G48" s="17">
        <f t="shared" si="4"/>
        <v>39</v>
      </c>
      <c r="H48" s="17">
        <f t="shared" si="5"/>
        <v>4</v>
      </c>
      <c r="I48" s="17">
        <f t="shared" si="8"/>
        <v>1</v>
      </c>
      <c r="J48" s="17">
        <f t="shared" si="9"/>
        <v>39</v>
      </c>
      <c r="L48" s="17">
        <f ca="1">IF($I48,c_lotfactor*INDEX(M_Onedeal!$E$8:$E$68,$J48),0)+AL48</f>
        <v>558.9527283671124</v>
      </c>
      <c r="M48" s="17">
        <f ca="1">IF($I48,c_lotfactor*INDEX(M_Onedeal!$H$8:$H$68,$J48),0)+AM48</f>
        <v>85.468282919481567</v>
      </c>
      <c r="N48" s="17">
        <f ca="1">IF($I48,c_lotfactor*INDEX(M_Onedeal!$I$8:$I$68,$J48),0)+AN48</f>
        <v>473.48444544763083</v>
      </c>
      <c r="O48" s="17">
        <f ca="1">IF($I48,c_lotfactor*INDEX(M_Onedeal!$K$8:$K$68,$J48),0)+AO48</f>
        <v>18318.878554724201</v>
      </c>
      <c r="P48" s="17">
        <f ca="1">IF($I48,c_lotfactor*INDEX(M_Onedeal!$L$8:$L$68,$J48),0)+AP48</f>
        <v>9858766.4347622003</v>
      </c>
      <c r="Q48" s="17">
        <f ca="1">IF($I48,c_lotfactor*INDEX(M_Onedeal!$M$8:$M$68,$J48),0)+AQ48</f>
        <v>1731211.2499999998</v>
      </c>
      <c r="R48" s="17">
        <f ca="1">IF($I48,c_lotfactor*INDEX(M_Onedeal!$N$8:$N$68,$J48),0)+AR48</f>
        <v>10822125.369524404</v>
      </c>
      <c r="S48" s="17">
        <f ca="1">IF($I48,c_lotfactor*INDEX(M_Onedeal!$O$8:$O$68,$J48),0)+AS48</f>
        <v>8127555.1847622013</v>
      </c>
      <c r="T48" s="17">
        <f ca="1">IF($I48,c_lotfactor*INDEX(M_Onedeal!$P$8:$P$68,$J48),0)+AT48</f>
        <v>0</v>
      </c>
      <c r="U48" s="17">
        <f ca="1">IF($I48,c_lotfactor*INDEX(M_Onedeal!$Q$8:$Q$68,$J48),0)+AU48</f>
        <v>0</v>
      </c>
      <c r="V48" s="17">
        <f ca="1">IF($I48,c_lotfactor*INDEX(M_Onedeal!$R$8:$R$68,$J48),0)+AV48</f>
        <v>8127555.1847622013</v>
      </c>
      <c r="W48" s="17">
        <f ca="1">IF($I48,c_lotfactor*INDEX(M_Onedeal!$Y$8:$Y$68,$J48),0)+AW48</f>
        <v>113167.31246329598</v>
      </c>
      <c r="X48" s="17">
        <f ca="1">IF($I48,c_lotfactor*INDEX(M_Onedeal!$AA$8:$AA$68,$J48),0)+AX48</f>
        <v>0</v>
      </c>
      <c r="Y48" s="17">
        <f ca="1">IF($I48,c_lotfactor*INDEX(M_Onedeal!$AD$8:$AD$68,$J48),0)+AY48</f>
        <v>71336.67893407146</v>
      </c>
      <c r="Z48" s="17">
        <f ca="1">IF($I48,c_lotfactor*INDEX(M_Onedeal!$AF$8:$AF$68,$J48),0)+AZ48</f>
        <v>4265330.4023656985</v>
      </c>
      <c r="AA48" s="17">
        <f ca="1">IF($I48,c_lotfactor*INDEX(M_Onedeal!$AG$8:$AG$68,$J48),0)+BA48</f>
        <v>14497193.372075016</v>
      </c>
      <c r="AB48" s="17">
        <f ca="1">IF($I48,c_lotfactor*INDEX(M_Onedeal!$AI$8:$AI$68,$J48),0)+BB48</f>
        <v>3904055.4159257282</v>
      </c>
      <c r="AC48" s="17">
        <f ca="1">IF($I48,c_lotfactor*INDEX(M_Onedeal!$AQ$8:$AQ$68,$J48),0)+BC48</f>
        <v>98587.66434762202</v>
      </c>
      <c r="AD48" s="17">
        <f ca="1">IF($I48,c_lotfactor*INDEX(M_Onedeal!$AR$8:$AR$68,$J48),0)+BD48</f>
        <v>98587.66434762202</v>
      </c>
      <c r="AE48" s="17">
        <f ca="1">IF($I48,c_lotfactor*INDEX(M_Onedeal!$AK$8:$AK$68,$J48),0)+BE48</f>
        <v>3706880.087230484</v>
      </c>
      <c r="AF48" s="17">
        <f ca="1">IF($I48,c_lotfactor*INDEX(M_Onedeal!$AM$8:$AM$68,$J48),0)+BF48</f>
        <v>0</v>
      </c>
      <c r="AG48" s="17">
        <f ca="1">IF($I48,c_lotfactor*-INDEX(M_Onedeal!$AB$8:$AB$68,$J48,0))+BG48</f>
        <v>0</v>
      </c>
      <c r="AH48" s="17">
        <f ca="1">IF($I48,c_lotfactor*INDEX(M_Onedeal!$AN$8:$AN$68,$J48),0)+BH48</f>
        <v>0</v>
      </c>
      <c r="AI48" s="17">
        <f ca="1">IF($I48,c_lotfactor*INDEX(M_Onedeal!$AO$8:$AO$68,$J48),0)+BI48</f>
        <v>0</v>
      </c>
      <c r="AJ48" s="17">
        <f ca="1">IF($I48,c_lotfactor*INDEX(M_Onedeal!$AP$8:$AP$68,$J48),0)+BJ48</f>
        <v>0</v>
      </c>
      <c r="AL48" s="128">
        <v>558.9527283671124</v>
      </c>
      <c r="AM48" s="128">
        <v>85.468282919481567</v>
      </c>
      <c r="AN48" s="128">
        <v>473.48444544763083</v>
      </c>
      <c r="AO48" s="128">
        <v>18318.878554724201</v>
      </c>
      <c r="AP48" s="128">
        <v>9858766.4347622003</v>
      </c>
      <c r="AQ48" s="128">
        <v>1731211.2499999998</v>
      </c>
      <c r="AR48" s="128">
        <v>10822125.369524404</v>
      </c>
      <c r="AS48" s="128">
        <v>8127555.1847622013</v>
      </c>
      <c r="AT48" s="128">
        <v>0</v>
      </c>
      <c r="AU48" s="128">
        <v>0</v>
      </c>
      <c r="AV48" s="128">
        <v>8127555.1847622013</v>
      </c>
      <c r="AW48" s="128">
        <v>113167.31246329598</v>
      </c>
      <c r="AX48" s="128">
        <v>0</v>
      </c>
      <c r="AY48" s="128">
        <v>71336.67893407146</v>
      </c>
      <c r="AZ48" s="128">
        <v>4265330.4023656985</v>
      </c>
      <c r="BA48" s="128">
        <v>14497193.372075016</v>
      </c>
      <c r="BB48" s="128">
        <v>3904055.4159257282</v>
      </c>
      <c r="BC48" s="128">
        <v>98587.66434762202</v>
      </c>
      <c r="BD48" s="128">
        <v>98587.66434762202</v>
      </c>
      <c r="BE48" s="128">
        <v>3706880.087230484</v>
      </c>
      <c r="BF48" s="128">
        <v>0</v>
      </c>
      <c r="BG48" s="128">
        <v>0</v>
      </c>
      <c r="BH48" s="128">
        <v>0</v>
      </c>
      <c r="BI48" s="128">
        <v>0</v>
      </c>
      <c r="BJ48" s="128">
        <v>0</v>
      </c>
    </row>
    <row r="49" spans="2:62" ht="15" customHeight="1">
      <c r="B49" s="15">
        <f t="shared" si="10"/>
        <v>1000</v>
      </c>
      <c r="C49" s="15">
        <f t="shared" ca="1" si="7"/>
        <v>2542.6989917229653</v>
      </c>
      <c r="D49" s="332">
        <f t="shared" ca="1" si="11"/>
        <v>0</v>
      </c>
      <c r="E49" s="113">
        <f t="shared" ca="1" si="12"/>
        <v>0</v>
      </c>
      <c r="G49" s="15">
        <f t="shared" si="4"/>
        <v>40</v>
      </c>
      <c r="H49" s="15">
        <f t="shared" si="5"/>
        <v>4</v>
      </c>
      <c r="I49" s="15">
        <f t="shared" si="8"/>
        <v>1</v>
      </c>
      <c r="J49" s="15">
        <f t="shared" si="9"/>
        <v>40</v>
      </c>
      <c r="L49" s="15">
        <f ca="1">IF($I49,c_lotfactor*INDEX(M_Onedeal!$E$8:$E$68,$J49),0)+AL49</f>
        <v>473.48444544763083</v>
      </c>
      <c r="M49" s="15">
        <f ca="1">IF($I49,c_lotfactor*INDEX(M_Onedeal!$H$8:$H$68,$J49),0)+AM49</f>
        <v>85.468282919481567</v>
      </c>
      <c r="N49" s="15">
        <f ca="1">IF($I49,c_lotfactor*INDEX(M_Onedeal!$I$8:$I$68,$J49),0)+AN49</f>
        <v>388.01616252814927</v>
      </c>
      <c r="O49" s="15">
        <f ca="1">IF($I49,c_lotfactor*INDEX(M_Onedeal!$K$8:$K$68,$J49),0)+AO49</f>
        <v>15517.777467595282</v>
      </c>
      <c r="P49" s="15">
        <f ca="1">IF($I49,c_lotfactor*INDEX(M_Onedeal!$L$8:$L$68,$J49),0)+AP49</f>
        <v>9858766.4347622003</v>
      </c>
      <c r="Q49" s="15">
        <f ca="1">IF($I49,c_lotfactor*INDEX(M_Onedeal!$M$8:$M$68,$J49),0)+AQ49</f>
        <v>1915350.1643476218</v>
      </c>
      <c r="R49" s="15">
        <f ca="1">IF($I49,c_lotfactor*INDEX(M_Onedeal!$N$8:$N$68,$J49),0)+AR49</f>
        <v>8906775.2051767819</v>
      </c>
      <c r="S49" s="15">
        <f ca="1">IF($I49,c_lotfactor*INDEX(M_Onedeal!$O$8:$O$68,$J49),0)+AS49</f>
        <v>7943416.2704145797</v>
      </c>
      <c r="T49" s="15">
        <f ca="1">IF($I49,c_lotfactor*INDEX(M_Onedeal!$P$8:$P$68,$J49),0)+AT49</f>
        <v>0</v>
      </c>
      <c r="U49" s="15">
        <f ca="1">IF($I49,c_lotfactor*INDEX(M_Onedeal!$Q$8:$Q$68,$J49),0)+AU49</f>
        <v>0</v>
      </c>
      <c r="V49" s="15">
        <f ca="1">IF($I49,c_lotfactor*INDEX(M_Onedeal!$R$8:$R$68,$J49),0)+AV49</f>
        <v>7943416.2704145797</v>
      </c>
      <c r="W49" s="15">
        <f ca="1">IF($I49,c_lotfactor*INDEX(M_Onedeal!$Y$8:$Y$68,$J49),0)+AW49</f>
        <v>226334.62492659196</v>
      </c>
      <c r="X49" s="15">
        <f ca="1">IF($I49,c_lotfactor*INDEX(M_Onedeal!$AA$8:$AA$68,$J49),0)+AX49</f>
        <v>0</v>
      </c>
      <c r="Y49" s="15">
        <f ca="1">IF($I49,c_lotfactor*INDEX(M_Onedeal!$AD$8:$AD$68,$J49),0)+AY49</f>
        <v>55119.537300076874</v>
      </c>
      <c r="Z49" s="15">
        <f ca="1">IF($I49,c_lotfactor*INDEX(M_Onedeal!$AF$8:$AF$68,$J49),0)+AZ49</f>
        <v>3714311.44154992</v>
      </c>
      <c r="AA49" s="15">
        <f ca="1">IF($I49,c_lotfactor*INDEX(M_Onedeal!$AG$8:$AG$68,$J49),0)+BA49</f>
        <v>10782881.930525098</v>
      </c>
      <c r="AB49" s="15">
        <f ca="1">IF($I49,c_lotfactor*INDEX(M_Onedeal!$AI$8:$AI$68,$J49),0)+BB49</f>
        <v>4400319.9164911751</v>
      </c>
      <c r="AC49" s="15">
        <f ca="1">IF($I49,c_lotfactor*INDEX(M_Onedeal!$AQ$8:$AQ$68,$J49),0)+BC49</f>
        <v>98587.66434762202</v>
      </c>
      <c r="AD49" s="15">
        <f ca="1">IF($I49,c_lotfactor*INDEX(M_Onedeal!$AR$8:$AR$68,$J49),0)+BD49</f>
        <v>98587.66434762202</v>
      </c>
      <c r="AE49" s="15">
        <f ca="1">IF($I49,c_lotfactor*INDEX(M_Onedeal!$AK$8:$AK$68,$J49),0)+BE49</f>
        <v>4203144.5877959309</v>
      </c>
      <c r="AF49" s="15">
        <f ca="1">IF($I49,c_lotfactor*INDEX(M_Onedeal!$AM$8:$AM$68,$J49),0)+BF49</f>
        <v>0</v>
      </c>
      <c r="AG49" s="15">
        <f ca="1">IF($I49,c_lotfactor*-INDEX(M_Onedeal!$AB$8:$AB$68,$J49,0))+BG49</f>
        <v>0</v>
      </c>
      <c r="AH49" s="15">
        <f ca="1">IF($I49,c_lotfactor*INDEX(M_Onedeal!$AN$8:$AN$68,$J49),0)+BH49</f>
        <v>0</v>
      </c>
      <c r="AI49" s="15">
        <f ca="1">IF($I49,c_lotfactor*INDEX(M_Onedeal!$AO$8:$AO$68,$J49),0)+BI49</f>
        <v>0</v>
      </c>
      <c r="AJ49" s="15">
        <f ca="1">IF($I49,c_lotfactor*INDEX(M_Onedeal!$AP$8:$AP$68,$J49),0)+BJ49</f>
        <v>0</v>
      </c>
      <c r="AL49" s="126">
        <v>473.48444544763083</v>
      </c>
      <c r="AM49" s="126">
        <v>85.468282919481567</v>
      </c>
      <c r="AN49" s="126">
        <v>388.01616252814927</v>
      </c>
      <c r="AO49" s="126">
        <v>15517.777467595282</v>
      </c>
      <c r="AP49" s="126">
        <v>9858766.4347622003</v>
      </c>
      <c r="AQ49" s="126">
        <v>1915350.1643476218</v>
      </c>
      <c r="AR49" s="126">
        <v>8906775.2051767819</v>
      </c>
      <c r="AS49" s="126">
        <v>7943416.2704145797</v>
      </c>
      <c r="AT49" s="126">
        <v>0</v>
      </c>
      <c r="AU49" s="126">
        <v>0</v>
      </c>
      <c r="AV49" s="126">
        <v>7943416.2704145797</v>
      </c>
      <c r="AW49" s="126">
        <v>226334.62492659196</v>
      </c>
      <c r="AX49" s="126">
        <v>0</v>
      </c>
      <c r="AY49" s="126">
        <v>55119.537300076874</v>
      </c>
      <c r="AZ49" s="126">
        <v>3714311.44154992</v>
      </c>
      <c r="BA49" s="126">
        <v>10782881.930525098</v>
      </c>
      <c r="BB49" s="126">
        <v>4400319.9164911751</v>
      </c>
      <c r="BC49" s="126">
        <v>98587.66434762202</v>
      </c>
      <c r="BD49" s="126">
        <v>98587.66434762202</v>
      </c>
      <c r="BE49" s="126">
        <v>4203144.5877959309</v>
      </c>
      <c r="BF49" s="126">
        <v>0</v>
      </c>
      <c r="BG49" s="126">
        <v>0</v>
      </c>
      <c r="BH49" s="126">
        <v>0</v>
      </c>
      <c r="BI49" s="126">
        <v>0</v>
      </c>
      <c r="BJ49" s="126">
        <v>0</v>
      </c>
    </row>
    <row r="50" spans="2:62" ht="15" customHeight="1">
      <c r="B50" s="16">
        <f t="shared" si="10"/>
        <v>1000</v>
      </c>
      <c r="C50" s="16">
        <f t="shared" ca="1" si="7"/>
        <v>2542.6989917229653</v>
      </c>
      <c r="D50" s="333">
        <f t="shared" ca="1" si="11"/>
        <v>0</v>
      </c>
      <c r="E50" s="115">
        <f t="shared" ca="1" si="12"/>
        <v>0</v>
      </c>
      <c r="G50" s="16">
        <f t="shared" si="4"/>
        <v>41</v>
      </c>
      <c r="H50" s="16">
        <f t="shared" si="5"/>
        <v>4</v>
      </c>
      <c r="I50" s="16">
        <f t="shared" si="8"/>
        <v>1</v>
      </c>
      <c r="J50" s="16">
        <f t="shared" si="9"/>
        <v>41</v>
      </c>
      <c r="L50" s="16">
        <f ca="1">IF($I50,c_lotfactor*INDEX(M_Onedeal!$E$8:$E$68,$J50),0)+AL50</f>
        <v>388.01616252814927</v>
      </c>
      <c r="M50" s="16">
        <f ca="1">IF($I50,c_lotfactor*INDEX(M_Onedeal!$H$8:$H$68,$J50),0)+AM50</f>
        <v>77.134949586148238</v>
      </c>
      <c r="N50" s="16">
        <f ca="1">IF($I50,c_lotfactor*INDEX(M_Onedeal!$I$8:$I$68,$J50),0)+AN50</f>
        <v>310.88121294200101</v>
      </c>
      <c r="O50" s="16">
        <f ca="1">IF($I50,c_lotfactor*INDEX(M_Onedeal!$K$8:$K$68,$J50),0)+AO50</f>
        <v>12716.676380466364</v>
      </c>
      <c r="P50" s="16">
        <f ca="1">IF($I50,c_lotfactor*INDEX(M_Onedeal!$L$8:$L$68,$J50),0)+AP50</f>
        <v>8897516.4347622003</v>
      </c>
      <c r="Q50" s="16">
        <f ca="1">IF($I50,c_lotfactor*INDEX(M_Onedeal!$M$8:$M$68,$J50),0)+AQ50</f>
        <v>1770605.770517678</v>
      </c>
      <c r="R50" s="16">
        <f ca="1">IF($I50,c_lotfactor*INDEX(M_Onedeal!$N$8:$N$68,$J50),0)+AR50</f>
        <v>7136169.4346591039</v>
      </c>
      <c r="S50" s="16">
        <f ca="1">IF($I50,c_lotfactor*INDEX(M_Onedeal!$O$8:$O$68,$J50),0)+AS50</f>
        <v>7126910.6642445233</v>
      </c>
      <c r="T50" s="16">
        <f ca="1">IF($I50,c_lotfactor*INDEX(M_Onedeal!$P$8:$P$68,$J50),0)+AT50</f>
        <v>0</v>
      </c>
      <c r="U50" s="16">
        <f ca="1">IF($I50,c_lotfactor*INDEX(M_Onedeal!$Q$8:$Q$68,$J50),0)+AU50</f>
        <v>0</v>
      </c>
      <c r="V50" s="16">
        <f ca="1">IF($I50,c_lotfactor*INDEX(M_Onedeal!$R$8:$R$68,$J50),0)+AV50</f>
        <v>7126910.6642445233</v>
      </c>
      <c r="W50" s="16">
        <f ca="1">IF($I50,c_lotfactor*INDEX(M_Onedeal!$Y$8:$Y$68,$J50),0)+AW50</f>
        <v>226334.62492659196</v>
      </c>
      <c r="X50" s="16">
        <f ca="1">IF($I50,c_lotfactor*INDEX(M_Onedeal!$AA$8:$AA$68,$J50),0)+AX50</f>
        <v>0</v>
      </c>
      <c r="Y50" s="16">
        <f ca="1">IF($I50,c_lotfactor*INDEX(M_Onedeal!$AD$8:$AD$68,$J50),0)+AY50</f>
        <v>40997.415673350624</v>
      </c>
      <c r="Z50" s="16">
        <f ca="1">IF($I50,c_lotfactor*INDEX(M_Onedeal!$AF$8:$AF$68,$J50),0)+AZ50</f>
        <v>3163292.480734142</v>
      </c>
      <c r="AA50" s="16">
        <f ca="1">IF($I50,c_lotfactor*INDEX(M_Onedeal!$AG$8:$AG$68,$J50),0)+BA50</f>
        <v>7619589.4497909537</v>
      </c>
      <c r="AB50" s="16">
        <f ca="1">IF($I50,c_lotfactor*INDEX(M_Onedeal!$AI$8:$AI$68,$J50),0)+BB50</f>
        <v>4148955.3927636226</v>
      </c>
      <c r="AC50" s="16">
        <f ca="1">IF($I50,c_lotfactor*INDEX(M_Onedeal!$AQ$8:$AQ$68,$J50),0)+BC50</f>
        <v>88975.16434762202</v>
      </c>
      <c r="AD50" s="16">
        <f ca="1">IF($I50,c_lotfactor*INDEX(M_Onedeal!$AR$8:$AR$68,$J50),0)+BD50</f>
        <v>88975.16434762202</v>
      </c>
      <c r="AE50" s="16">
        <f ca="1">IF($I50,c_lotfactor*INDEX(M_Onedeal!$AK$8:$AK$68,$J50),0)+BE50</f>
        <v>3971005.0640683789</v>
      </c>
      <c r="AF50" s="16">
        <f ca="1">IF($I50,c_lotfactor*INDEX(M_Onedeal!$AM$8:$AM$68,$J50),0)+BF50</f>
        <v>0</v>
      </c>
      <c r="AG50" s="16">
        <f ca="1">IF($I50,c_lotfactor*-INDEX(M_Onedeal!$AB$8:$AB$68,$J50,0))+BG50</f>
        <v>0</v>
      </c>
      <c r="AH50" s="16">
        <f ca="1">IF($I50,c_lotfactor*INDEX(M_Onedeal!$AN$8:$AN$68,$J50),0)+BH50</f>
        <v>0</v>
      </c>
      <c r="AI50" s="16">
        <f ca="1">IF($I50,c_lotfactor*INDEX(M_Onedeal!$AO$8:$AO$68,$J50),0)+BI50</f>
        <v>0</v>
      </c>
      <c r="AJ50" s="16">
        <f ca="1">IF($I50,c_lotfactor*INDEX(M_Onedeal!$AP$8:$AP$68,$J50),0)+BJ50</f>
        <v>0</v>
      </c>
      <c r="AL50" s="127">
        <v>388.01616252814927</v>
      </c>
      <c r="AM50" s="127">
        <v>77.134949586148238</v>
      </c>
      <c r="AN50" s="127">
        <v>310.88121294200101</v>
      </c>
      <c r="AO50" s="127">
        <v>12716.676380466364</v>
      </c>
      <c r="AP50" s="127">
        <v>8897516.4347622003</v>
      </c>
      <c r="AQ50" s="127">
        <v>1770605.770517678</v>
      </c>
      <c r="AR50" s="127">
        <v>7136169.4346591039</v>
      </c>
      <c r="AS50" s="127">
        <v>7126910.6642445233</v>
      </c>
      <c r="AT50" s="127">
        <v>0</v>
      </c>
      <c r="AU50" s="127">
        <v>0</v>
      </c>
      <c r="AV50" s="127">
        <v>7126910.6642445233</v>
      </c>
      <c r="AW50" s="127">
        <v>226334.62492659196</v>
      </c>
      <c r="AX50" s="127">
        <v>0</v>
      </c>
      <c r="AY50" s="127">
        <v>40997.415673350624</v>
      </c>
      <c r="AZ50" s="127">
        <v>3163292.480734142</v>
      </c>
      <c r="BA50" s="127">
        <v>7619589.4497909537</v>
      </c>
      <c r="BB50" s="127">
        <v>4148955.3927636226</v>
      </c>
      <c r="BC50" s="127">
        <v>88975.16434762202</v>
      </c>
      <c r="BD50" s="127">
        <v>88975.16434762202</v>
      </c>
      <c r="BE50" s="127">
        <v>3971005.0640683789</v>
      </c>
      <c r="BF50" s="127">
        <v>0</v>
      </c>
      <c r="BG50" s="127">
        <v>0</v>
      </c>
      <c r="BH50" s="127">
        <v>0</v>
      </c>
      <c r="BI50" s="127">
        <v>0</v>
      </c>
      <c r="BJ50" s="127">
        <v>0</v>
      </c>
    </row>
    <row r="51" spans="2:62" ht="15" customHeight="1">
      <c r="B51" s="17">
        <f t="shared" si="10"/>
        <v>1000</v>
      </c>
      <c r="C51" s="17">
        <f t="shared" ca="1" si="7"/>
        <v>2542.6989917229653</v>
      </c>
      <c r="D51" s="334">
        <f t="shared" ca="1" si="11"/>
        <v>0</v>
      </c>
      <c r="E51" s="116">
        <f t="shared" ca="1" si="12"/>
        <v>0</v>
      </c>
      <c r="G51" s="17">
        <f t="shared" si="4"/>
        <v>42</v>
      </c>
      <c r="H51" s="17">
        <f t="shared" si="5"/>
        <v>4</v>
      </c>
      <c r="I51" s="17">
        <f t="shared" si="8"/>
        <v>1</v>
      </c>
      <c r="J51" s="17">
        <f t="shared" si="9"/>
        <v>42</v>
      </c>
      <c r="L51" s="17">
        <f ca="1">IF($I51,c_lotfactor*INDEX(M_Onedeal!$E$8:$E$68,$J51),0)+AL51</f>
        <v>310.88121294200101</v>
      </c>
      <c r="M51" s="17">
        <f ca="1">IF($I51,c_lotfactor*INDEX(M_Onedeal!$H$8:$H$68,$J51),0)+AM51</f>
        <v>68.80161625281491</v>
      </c>
      <c r="N51" s="17">
        <f ca="1">IF($I51,c_lotfactor*INDEX(M_Onedeal!$I$8:$I$68,$J51),0)+AN51</f>
        <v>242.0795966891861</v>
      </c>
      <c r="O51" s="17">
        <f ca="1">IF($I51,c_lotfactor*INDEX(M_Onedeal!$K$8:$K$68,$J51),0)+AO51</f>
        <v>10188.688409244995</v>
      </c>
      <c r="P51" s="17">
        <f ca="1">IF($I51,c_lotfactor*INDEX(M_Onedeal!$L$8:$L$68,$J51),0)+AP51</f>
        <v>7936266.4347622013</v>
      </c>
      <c r="Q51" s="17">
        <f ca="1">IF($I51,c_lotfactor*INDEX(M_Onedeal!$M$8:$M$68,$J51),0)+AQ51</f>
        <v>1579317.020517678</v>
      </c>
      <c r="R51" s="17">
        <f ca="1">IF($I51,c_lotfactor*INDEX(M_Onedeal!$N$8:$N$68,$J51),0)+AR51</f>
        <v>5556852.4141414259</v>
      </c>
      <c r="S51" s="17">
        <f ca="1">IF($I51,c_lotfactor*INDEX(M_Onedeal!$O$8:$O$68,$J51),0)+AS51</f>
        <v>6356949.4142445233</v>
      </c>
      <c r="T51" s="17">
        <f ca="1">IF($I51,c_lotfactor*INDEX(M_Onedeal!$P$8:$P$68,$J51),0)+AT51</f>
        <v>0</v>
      </c>
      <c r="U51" s="17">
        <f ca="1">IF($I51,c_lotfactor*INDEX(M_Onedeal!$Q$8:$Q$68,$J51),0)+AU51</f>
        <v>0</v>
      </c>
      <c r="V51" s="17">
        <f ca="1">IF($I51,c_lotfactor*INDEX(M_Onedeal!$R$8:$R$68,$J51),0)+AV51</f>
        <v>6356949.4142445233</v>
      </c>
      <c r="W51" s="17">
        <f ca="1">IF($I51,c_lotfactor*INDEX(M_Onedeal!$Y$8:$Y$68,$J51),0)+AW51</f>
        <v>226334.62492659196</v>
      </c>
      <c r="X51" s="17">
        <f ca="1">IF($I51,c_lotfactor*INDEX(M_Onedeal!$AA$8:$AA$68,$J51),0)+AX51</f>
        <v>0</v>
      </c>
      <c r="Y51" s="17">
        <f ca="1">IF($I51,c_lotfactor*INDEX(M_Onedeal!$AD$8:$AD$68,$J51),0)+AY51</f>
        <v>28970.314053892685</v>
      </c>
      <c r="Z51" s="17">
        <f ca="1">IF($I51,c_lotfactor*INDEX(M_Onedeal!$AF$8:$AF$68,$J51),0)+AZ51</f>
        <v>2612273.519918364</v>
      </c>
      <c r="AA51" s="17">
        <f ca="1">IF($I51,c_lotfactor*INDEX(M_Onedeal!$AG$8:$AG$68,$J51),0)+BA51</f>
        <v>5007315.9298725892</v>
      </c>
      <c r="AB51" s="17">
        <f ca="1">IF($I51,c_lotfactor*INDEX(M_Onedeal!$AI$8:$AI$68,$J51),0)+BB51</f>
        <v>3942040.2051988584</v>
      </c>
      <c r="AC51" s="17">
        <f ca="1">IF($I51,c_lotfactor*INDEX(M_Onedeal!$AQ$8:$AQ$68,$J51),0)+BC51</f>
        <v>79362.66434762202</v>
      </c>
      <c r="AD51" s="17">
        <f ca="1">IF($I51,c_lotfactor*INDEX(M_Onedeal!$AR$8:$AR$68,$J51),0)+BD51</f>
        <v>79362.66434762202</v>
      </c>
      <c r="AE51" s="17">
        <f ca="1">IF($I51,c_lotfactor*INDEX(M_Onedeal!$AK$8:$AK$68,$J51),0)+BE51</f>
        <v>3783314.8765036142</v>
      </c>
      <c r="AF51" s="17">
        <f ca="1">IF($I51,c_lotfactor*INDEX(M_Onedeal!$AM$8:$AM$68,$J51),0)+BF51</f>
        <v>0</v>
      </c>
      <c r="AG51" s="17">
        <f ca="1">IF($I51,c_lotfactor*-INDEX(M_Onedeal!$AB$8:$AB$68,$J51,0))+BG51</f>
        <v>0</v>
      </c>
      <c r="AH51" s="17">
        <f ca="1">IF($I51,c_lotfactor*INDEX(M_Onedeal!$AN$8:$AN$68,$J51),0)+BH51</f>
        <v>0</v>
      </c>
      <c r="AI51" s="17">
        <f ca="1">IF($I51,c_lotfactor*INDEX(M_Onedeal!$AO$8:$AO$68,$J51),0)+BI51</f>
        <v>0</v>
      </c>
      <c r="AJ51" s="17">
        <f ca="1">IF($I51,c_lotfactor*INDEX(M_Onedeal!$AP$8:$AP$68,$J51),0)+BJ51</f>
        <v>0</v>
      </c>
      <c r="AL51" s="128">
        <v>310.88121294200101</v>
      </c>
      <c r="AM51" s="128">
        <v>68.80161625281491</v>
      </c>
      <c r="AN51" s="128">
        <v>242.0795966891861</v>
      </c>
      <c r="AO51" s="128">
        <v>10188.688409244995</v>
      </c>
      <c r="AP51" s="128">
        <v>7936266.4347622013</v>
      </c>
      <c r="AQ51" s="128">
        <v>1579317.020517678</v>
      </c>
      <c r="AR51" s="128">
        <v>5556852.4141414259</v>
      </c>
      <c r="AS51" s="128">
        <v>6356949.4142445233</v>
      </c>
      <c r="AT51" s="128">
        <v>0</v>
      </c>
      <c r="AU51" s="128">
        <v>0</v>
      </c>
      <c r="AV51" s="128">
        <v>6356949.4142445233</v>
      </c>
      <c r="AW51" s="128">
        <v>226334.62492659196</v>
      </c>
      <c r="AX51" s="128">
        <v>0</v>
      </c>
      <c r="AY51" s="128">
        <v>28970.314053892685</v>
      </c>
      <c r="AZ51" s="128">
        <v>2612273.519918364</v>
      </c>
      <c r="BA51" s="128">
        <v>5007315.9298725892</v>
      </c>
      <c r="BB51" s="128">
        <v>3942040.2051988584</v>
      </c>
      <c r="BC51" s="128">
        <v>79362.66434762202</v>
      </c>
      <c r="BD51" s="128">
        <v>79362.66434762202</v>
      </c>
      <c r="BE51" s="128">
        <v>3783314.8765036142</v>
      </c>
      <c r="BF51" s="128">
        <v>0</v>
      </c>
      <c r="BG51" s="128">
        <v>0</v>
      </c>
      <c r="BH51" s="128">
        <v>0</v>
      </c>
      <c r="BI51" s="128">
        <v>0</v>
      </c>
      <c r="BJ51" s="128">
        <v>0</v>
      </c>
    </row>
    <row r="52" spans="2:62" ht="15" customHeight="1">
      <c r="B52" s="15">
        <f t="shared" si="10"/>
        <v>1000</v>
      </c>
      <c r="C52" s="15">
        <f t="shared" ca="1" si="7"/>
        <v>2542.6989917229653</v>
      </c>
      <c r="D52" s="332">
        <f t="shared" ca="1" si="11"/>
        <v>0</v>
      </c>
      <c r="E52" s="113">
        <f t="shared" ca="1" si="12"/>
        <v>0</v>
      </c>
      <c r="G52" s="15">
        <f t="shared" si="4"/>
        <v>43</v>
      </c>
      <c r="H52" s="15">
        <f t="shared" si="5"/>
        <v>4</v>
      </c>
      <c r="I52" s="15">
        <f t="shared" si="8"/>
        <v>1</v>
      </c>
      <c r="J52" s="15">
        <f t="shared" si="9"/>
        <v>43</v>
      </c>
      <c r="L52" s="15">
        <f ca="1">IF($I52,c_lotfactor*INDEX(M_Onedeal!$E$8:$E$68,$J52),0)+AL52</f>
        <v>242.0795966891861</v>
      </c>
      <c r="M52" s="15">
        <f ca="1">IF($I52,c_lotfactor*INDEX(M_Onedeal!$H$8:$H$68,$J52),0)+AM52</f>
        <v>60.468282919481581</v>
      </c>
      <c r="N52" s="15">
        <f ca="1">IF($I52,c_lotfactor*INDEX(M_Onedeal!$I$8:$I$68,$J52),0)+AN52</f>
        <v>181.61131376970451</v>
      </c>
      <c r="O52" s="15">
        <f ca="1">IF($I52,c_lotfactor*INDEX(M_Onedeal!$K$8:$K$68,$J52),0)+AO52</f>
        <v>7933.813553931177</v>
      </c>
      <c r="P52" s="15">
        <f ca="1">IF($I52,c_lotfactor*INDEX(M_Onedeal!$L$8:$L$68,$J52),0)+AP52</f>
        <v>6975016.4347622013</v>
      </c>
      <c r="Q52" s="15">
        <f ca="1">IF($I52,c_lotfactor*INDEX(M_Onedeal!$M$8:$M$68,$J52),0)+AQ52</f>
        <v>1388028.270517678</v>
      </c>
      <c r="R52" s="15">
        <f ca="1">IF($I52,c_lotfactor*INDEX(M_Onedeal!$N$8:$N$68,$J52),0)+AR52</f>
        <v>4168824.1436237479</v>
      </c>
      <c r="S52" s="15">
        <f ca="1">IF($I52,c_lotfactor*INDEX(M_Onedeal!$O$8:$O$68,$J52),0)+AS52</f>
        <v>5586988.1642445233</v>
      </c>
      <c r="T52" s="15">
        <f ca="1">IF($I52,c_lotfactor*INDEX(M_Onedeal!$P$8:$P$68,$J52),0)+AT52</f>
        <v>0</v>
      </c>
      <c r="U52" s="15">
        <f ca="1">IF($I52,c_lotfactor*INDEX(M_Onedeal!$Q$8:$Q$68,$J52),0)+AU52</f>
        <v>0</v>
      </c>
      <c r="V52" s="15">
        <f ca="1">IF($I52,c_lotfactor*INDEX(M_Onedeal!$R$8:$R$68,$J52),0)+AV52</f>
        <v>5586988.1642445233</v>
      </c>
      <c r="W52" s="15">
        <f ca="1">IF($I52,c_lotfactor*INDEX(M_Onedeal!$Y$8:$Y$68,$J52),0)+AW52</f>
        <v>226334.62492659196</v>
      </c>
      <c r="X52" s="15">
        <f ca="1">IF($I52,c_lotfactor*INDEX(M_Onedeal!$AA$8:$AA$68,$J52),0)+AX52</f>
        <v>0</v>
      </c>
      <c r="Y52" s="15">
        <f ca="1">IF($I52,c_lotfactor*INDEX(M_Onedeal!$AD$8:$AD$68,$J52),0)+AY52</f>
        <v>19038.232441703069</v>
      </c>
      <c r="Z52" s="15">
        <f ca="1">IF($I52,c_lotfactor*INDEX(M_Onedeal!$AF$8:$AF$68,$J52),0)+AZ52</f>
        <v>2061254.5591025865</v>
      </c>
      <c r="AA52" s="15">
        <f ca="1">IF($I52,c_lotfactor*INDEX(M_Onedeal!$AG$8:$AG$68,$J52),0)+BA52</f>
        <v>2946061.3707700018</v>
      </c>
      <c r="AB52" s="15">
        <f ca="1">IF($I52,c_lotfactor*INDEX(M_Onedeal!$AI$8:$AI$68,$J52),0)+BB52</f>
        <v>3733029.9976268257</v>
      </c>
      <c r="AC52" s="15">
        <f ca="1">IF($I52,c_lotfactor*INDEX(M_Onedeal!$AQ$8:$AQ$68,$J52),0)+BC52</f>
        <v>69750.16434762202</v>
      </c>
      <c r="AD52" s="15">
        <f ca="1">IF($I52,c_lotfactor*INDEX(M_Onedeal!$AR$8:$AR$68,$J52),0)+BD52</f>
        <v>69750.16434762202</v>
      </c>
      <c r="AE52" s="15">
        <f ca="1">IF($I52,c_lotfactor*INDEX(M_Onedeal!$AK$8:$AK$68,$J52),0)+BE52</f>
        <v>3593529.6689315815</v>
      </c>
      <c r="AF52" s="15">
        <f ca="1">IF($I52,c_lotfactor*INDEX(M_Onedeal!$AM$8:$AM$68,$J52),0)+BF52</f>
        <v>0</v>
      </c>
      <c r="AG52" s="15">
        <f ca="1">IF($I52,c_lotfactor*-INDEX(M_Onedeal!$AB$8:$AB$68,$J52,0))+BG52</f>
        <v>0</v>
      </c>
      <c r="AH52" s="15">
        <f ca="1">IF($I52,c_lotfactor*INDEX(M_Onedeal!$AN$8:$AN$68,$J52),0)+BH52</f>
        <v>0</v>
      </c>
      <c r="AI52" s="15">
        <f ca="1">IF($I52,c_lotfactor*INDEX(M_Onedeal!$AO$8:$AO$68,$J52),0)+BI52</f>
        <v>0</v>
      </c>
      <c r="AJ52" s="15">
        <f ca="1">IF($I52,c_lotfactor*INDEX(M_Onedeal!$AP$8:$AP$68,$J52),0)+BJ52</f>
        <v>0</v>
      </c>
      <c r="AL52" s="126">
        <v>242.0795966891861</v>
      </c>
      <c r="AM52" s="126">
        <v>60.468282919481581</v>
      </c>
      <c r="AN52" s="126">
        <v>181.61131376970451</v>
      </c>
      <c r="AO52" s="126">
        <v>7933.8135539311779</v>
      </c>
      <c r="AP52" s="126">
        <v>6975016.4347622013</v>
      </c>
      <c r="AQ52" s="126">
        <v>1388028.270517678</v>
      </c>
      <c r="AR52" s="126">
        <v>4168824.1436237479</v>
      </c>
      <c r="AS52" s="126">
        <v>5586988.1642445233</v>
      </c>
      <c r="AT52" s="126">
        <v>0</v>
      </c>
      <c r="AU52" s="126">
        <v>0</v>
      </c>
      <c r="AV52" s="126">
        <v>5586988.1642445233</v>
      </c>
      <c r="AW52" s="126">
        <v>226334.62492659196</v>
      </c>
      <c r="AX52" s="126">
        <v>0</v>
      </c>
      <c r="AY52" s="126">
        <v>19038.232441703069</v>
      </c>
      <c r="AZ52" s="126">
        <v>2061254.5591025865</v>
      </c>
      <c r="BA52" s="126">
        <v>2946061.3707700018</v>
      </c>
      <c r="BB52" s="126">
        <v>3733029.9976268257</v>
      </c>
      <c r="BC52" s="126">
        <v>69750.16434762202</v>
      </c>
      <c r="BD52" s="126">
        <v>69750.16434762202</v>
      </c>
      <c r="BE52" s="126">
        <v>3593529.6689315815</v>
      </c>
      <c r="BF52" s="126">
        <v>0</v>
      </c>
      <c r="BG52" s="126">
        <v>0</v>
      </c>
      <c r="BH52" s="126">
        <v>0</v>
      </c>
      <c r="BI52" s="126">
        <v>0</v>
      </c>
      <c r="BJ52" s="126">
        <v>0</v>
      </c>
    </row>
    <row r="53" spans="2:62" ht="15" customHeight="1">
      <c r="B53" s="16">
        <f t="shared" si="10"/>
        <v>1000</v>
      </c>
      <c r="C53" s="16">
        <f t="shared" ca="1" si="7"/>
        <v>2542.6989917229653</v>
      </c>
      <c r="D53" s="333">
        <f t="shared" ca="1" si="11"/>
        <v>0</v>
      </c>
      <c r="E53" s="115">
        <f t="shared" ca="1" si="12"/>
        <v>0</v>
      </c>
      <c r="G53" s="16">
        <f t="shared" si="4"/>
        <v>44</v>
      </c>
      <c r="H53" s="16">
        <f t="shared" si="5"/>
        <v>4</v>
      </c>
      <c r="I53" s="16">
        <f t="shared" si="8"/>
        <v>1</v>
      </c>
      <c r="J53" s="16">
        <f t="shared" si="9"/>
        <v>44</v>
      </c>
      <c r="L53" s="16">
        <f ca="1">IF($I53,c_lotfactor*INDEX(M_Onedeal!$E$8:$E$68,$J53),0)+AL53</f>
        <v>181.61131376970451</v>
      </c>
      <c r="M53" s="16">
        <f ca="1">IF($I53,c_lotfactor*INDEX(M_Onedeal!$H$8:$H$68,$J53),0)+AM53</f>
        <v>52.134949586148252</v>
      </c>
      <c r="N53" s="16">
        <f ca="1">IF($I53,c_lotfactor*INDEX(M_Onedeal!$I$8:$I$68,$J53),0)+AN53</f>
        <v>129.47636418355623</v>
      </c>
      <c r="O53" s="16">
        <f ca="1">IF($I53,c_lotfactor*INDEX(M_Onedeal!$K$8:$K$68,$J53),0)+AO53</f>
        <v>5952.051814524908</v>
      </c>
      <c r="P53" s="16">
        <f ca="1">IF($I53,c_lotfactor*INDEX(M_Onedeal!$L$8:$L$68,$J53),0)+AP53</f>
        <v>6013766.4347622013</v>
      </c>
      <c r="Q53" s="16">
        <f ca="1">IF($I53,c_lotfactor*INDEX(M_Onedeal!$M$8:$M$68,$J53),0)+AQ53</f>
        <v>1196739.520517678</v>
      </c>
      <c r="R53" s="16">
        <f ca="1">IF($I53,c_lotfactor*INDEX(M_Onedeal!$N$8:$N$68,$J53),0)+AR53</f>
        <v>2972084.6231060694</v>
      </c>
      <c r="S53" s="16">
        <f ca="1">IF($I53,c_lotfactor*INDEX(M_Onedeal!$O$8:$O$68,$J53),0)+AS53</f>
        <v>4817026.9142445233</v>
      </c>
      <c r="T53" s="16">
        <f ca="1">IF($I53,c_lotfactor*INDEX(M_Onedeal!$P$8:$P$68,$J53),0)+AT53</f>
        <v>0</v>
      </c>
      <c r="U53" s="16">
        <f ca="1">IF($I53,c_lotfactor*INDEX(M_Onedeal!$Q$8:$Q$68,$J53),0)+AU53</f>
        <v>0</v>
      </c>
      <c r="V53" s="16">
        <f ca="1">IF($I53,c_lotfactor*INDEX(M_Onedeal!$R$8:$R$68,$J53),0)+AV53</f>
        <v>4817026.9142445233</v>
      </c>
      <c r="W53" s="16">
        <f ca="1">IF($I53,c_lotfactor*INDEX(M_Onedeal!$Y$8:$Y$68,$J53),0)+AW53</f>
        <v>226334.62492659196</v>
      </c>
      <c r="X53" s="16">
        <f ca="1">IF($I53,c_lotfactor*INDEX(M_Onedeal!$AA$8:$AA$68,$J53),0)+AX53</f>
        <v>0</v>
      </c>
      <c r="Y53" s="16">
        <f ca="1">IF($I53,c_lotfactor*INDEX(M_Onedeal!$AD$8:$AD$68,$J53),0)+AY53</f>
        <v>11201.170836781777</v>
      </c>
      <c r="Z53" s="16">
        <f ca="1">IF($I53,c_lotfactor*INDEX(M_Onedeal!$AF$8:$AF$68,$J53),0)+AZ53</f>
        <v>1510235.5982868087</v>
      </c>
      <c r="AA53" s="16">
        <f ca="1">IF($I53,c_lotfactor*INDEX(M_Onedeal!$AG$8:$AG$68,$J53),0)+BA53</f>
        <v>1435825.7724831931</v>
      </c>
      <c r="AB53" s="16">
        <f ca="1">IF($I53,c_lotfactor*INDEX(M_Onedeal!$AI$8:$AI$68,$J53),0)+BB53</f>
        <v>3521924.7700475249</v>
      </c>
      <c r="AC53" s="16">
        <f ca="1">IF($I53,c_lotfactor*INDEX(M_Onedeal!$AQ$8:$AQ$68,$J53),0)+BC53</f>
        <v>60137.66434762202</v>
      </c>
      <c r="AD53" s="16">
        <f ca="1">IF($I53,c_lotfactor*INDEX(M_Onedeal!$AR$8:$AR$68,$J53),0)+BD53</f>
        <v>60137.66434762202</v>
      </c>
      <c r="AE53" s="16">
        <f ca="1">IF($I53,c_lotfactor*INDEX(M_Onedeal!$AK$8:$AK$68,$J53),0)+BE53</f>
        <v>3401649.4413522808</v>
      </c>
      <c r="AF53" s="16">
        <f ca="1">IF($I53,c_lotfactor*INDEX(M_Onedeal!$AM$8:$AM$68,$J53),0)+BF53</f>
        <v>0</v>
      </c>
      <c r="AG53" s="16">
        <f ca="1">IF($I53,c_lotfactor*-INDEX(M_Onedeal!$AB$8:$AB$68,$J53,0))+BG53</f>
        <v>0</v>
      </c>
      <c r="AH53" s="16">
        <f ca="1">IF($I53,c_lotfactor*INDEX(M_Onedeal!$AN$8:$AN$68,$J53),0)+BH53</f>
        <v>0</v>
      </c>
      <c r="AI53" s="16">
        <f ca="1">IF($I53,c_lotfactor*INDEX(M_Onedeal!$AO$8:$AO$68,$J53),0)+BI53</f>
        <v>0</v>
      </c>
      <c r="AJ53" s="16">
        <f ca="1">IF($I53,c_lotfactor*INDEX(M_Onedeal!$AP$8:$AP$68,$J53),0)+BJ53</f>
        <v>0</v>
      </c>
      <c r="AL53" s="127">
        <v>181.61131376970451</v>
      </c>
      <c r="AM53" s="127">
        <v>52.134949586148252</v>
      </c>
      <c r="AN53" s="127">
        <v>129.47636418355623</v>
      </c>
      <c r="AO53" s="127">
        <v>5952.0518145249089</v>
      </c>
      <c r="AP53" s="127">
        <v>6013766.4347622013</v>
      </c>
      <c r="AQ53" s="127">
        <v>1196739.520517678</v>
      </c>
      <c r="AR53" s="127">
        <v>2972084.6231060694</v>
      </c>
      <c r="AS53" s="127">
        <v>4817026.9142445233</v>
      </c>
      <c r="AT53" s="127">
        <v>0</v>
      </c>
      <c r="AU53" s="127">
        <v>0</v>
      </c>
      <c r="AV53" s="127">
        <v>4817026.9142445233</v>
      </c>
      <c r="AW53" s="127">
        <v>226334.62492659196</v>
      </c>
      <c r="AX53" s="127">
        <v>0</v>
      </c>
      <c r="AY53" s="127">
        <v>11201.170836781777</v>
      </c>
      <c r="AZ53" s="127">
        <v>1510235.5982868087</v>
      </c>
      <c r="BA53" s="127">
        <v>1435825.7724831931</v>
      </c>
      <c r="BB53" s="127">
        <v>3521924.7700475249</v>
      </c>
      <c r="BC53" s="127">
        <v>60137.66434762202</v>
      </c>
      <c r="BD53" s="127">
        <v>60137.66434762202</v>
      </c>
      <c r="BE53" s="127">
        <v>3401649.4413522808</v>
      </c>
      <c r="BF53" s="127">
        <v>0</v>
      </c>
      <c r="BG53" s="127">
        <v>0</v>
      </c>
      <c r="BH53" s="127">
        <v>0</v>
      </c>
      <c r="BI53" s="127">
        <v>0</v>
      </c>
      <c r="BJ53" s="127">
        <v>0</v>
      </c>
    </row>
    <row r="54" spans="2:62" ht="15" customHeight="1">
      <c r="B54" s="17">
        <f t="shared" si="10"/>
        <v>1000</v>
      </c>
      <c r="C54" s="17">
        <f t="shared" ca="1" si="7"/>
        <v>2542.6989917229653</v>
      </c>
      <c r="D54" s="334">
        <f t="shared" ca="1" si="11"/>
        <v>0</v>
      </c>
      <c r="E54" s="116">
        <f t="shared" ca="1" si="12"/>
        <v>0</v>
      </c>
      <c r="G54" s="17">
        <f t="shared" si="4"/>
        <v>45</v>
      </c>
      <c r="H54" s="17">
        <f t="shared" si="5"/>
        <v>4</v>
      </c>
      <c r="I54" s="17">
        <f t="shared" si="8"/>
        <v>1</v>
      </c>
      <c r="J54" s="17">
        <f t="shared" si="9"/>
        <v>45</v>
      </c>
      <c r="L54" s="17">
        <f ca="1">IF($I54,c_lotfactor*INDEX(M_Onedeal!$E$8:$E$68,$J54),0)+AL54</f>
        <v>129.47636418355623</v>
      </c>
      <c r="M54" s="17">
        <f ca="1">IF($I54,c_lotfactor*INDEX(M_Onedeal!$H$8:$H$68,$J54),0)+AM54</f>
        <v>43.801616252814924</v>
      </c>
      <c r="N54" s="17">
        <f ca="1">IF($I54,c_lotfactor*INDEX(M_Onedeal!$I$8:$I$68,$J54),0)+AN54</f>
        <v>85.674747930741304</v>
      </c>
      <c r="O54" s="17">
        <f ca="1">IF($I54,c_lotfactor*INDEX(M_Onedeal!$K$8:$K$68,$J54),0)+AO54</f>
        <v>4243.4031910261901</v>
      </c>
      <c r="P54" s="17">
        <f ca="1">IF($I54,c_lotfactor*INDEX(M_Onedeal!$L$8:$L$68,$J54),0)+AP54</f>
        <v>5052516.4347622013</v>
      </c>
      <c r="Q54" s="17">
        <f ca="1">IF($I54,c_lotfactor*INDEX(M_Onedeal!$M$8:$M$68,$J54),0)+AQ54</f>
        <v>1005450.7705176781</v>
      </c>
      <c r="R54" s="17">
        <f ca="1">IF($I54,c_lotfactor*INDEX(M_Onedeal!$N$8:$N$68,$J54),0)+AR54</f>
        <v>1966633.8525883912</v>
      </c>
      <c r="S54" s="17">
        <f ca="1">IF($I54,c_lotfactor*INDEX(M_Onedeal!$O$8:$O$68,$J54),0)+AS54</f>
        <v>4047065.6642445233</v>
      </c>
      <c r="T54" s="17">
        <f ca="1">IF($I54,c_lotfactor*INDEX(M_Onedeal!$P$8:$P$68,$J54),0)+AT54</f>
        <v>0</v>
      </c>
      <c r="U54" s="17">
        <f ca="1">IF($I54,c_lotfactor*INDEX(M_Onedeal!$Q$8:$Q$68,$J54),0)+AU54</f>
        <v>0</v>
      </c>
      <c r="V54" s="17">
        <f ca="1">IF($I54,c_lotfactor*INDEX(M_Onedeal!$R$8:$R$68,$J54),0)+AV54</f>
        <v>4047065.6642445233</v>
      </c>
      <c r="W54" s="17">
        <f ca="1">IF($I54,c_lotfactor*INDEX(M_Onedeal!$Y$8:$Y$68,$J54),0)+AW54</f>
        <v>226334.62492659196</v>
      </c>
      <c r="X54" s="17">
        <f ca="1">IF($I54,c_lotfactor*INDEX(M_Onedeal!$AA$8:$AA$68,$J54),0)+AX54</f>
        <v>0</v>
      </c>
      <c r="Y54" s="17">
        <f ca="1">IF($I54,c_lotfactor*INDEX(M_Onedeal!$AD$8:$AD$68,$J54),0)+AY54</f>
        <v>5459.1292391288061</v>
      </c>
      <c r="Z54" s="17">
        <f ca="1">IF($I54,c_lotfactor*INDEX(M_Onedeal!$AF$8:$AF$68,$J54),0)+AZ54</f>
        <v>959216.63747103105</v>
      </c>
      <c r="AA54" s="17">
        <f ca="1">IF($I54,c_lotfactor*INDEX(M_Onedeal!$AG$8:$AG$68,$J54),0)+BA54</f>
        <v>476609.13501216198</v>
      </c>
      <c r="AB54" s="17">
        <f ca="1">IF($I54,c_lotfactor*INDEX(M_Onedeal!$AI$8:$AI$68,$J54),0)+BB54</f>
        <v>3308724.5224609557</v>
      </c>
      <c r="AC54" s="17">
        <f ca="1">IF($I54,c_lotfactor*INDEX(M_Onedeal!$AQ$8:$AQ$68,$J54),0)+BC54</f>
        <v>50525.16434762202</v>
      </c>
      <c r="AD54" s="17">
        <f ca="1">IF($I54,c_lotfactor*INDEX(M_Onedeal!$AR$8:$AR$68,$J54),0)+BD54</f>
        <v>50525.16434762202</v>
      </c>
      <c r="AE54" s="17">
        <f ca="1">IF($I54,c_lotfactor*INDEX(M_Onedeal!$AK$8:$AK$68,$J54),0)+BE54</f>
        <v>3207674.1937657115</v>
      </c>
      <c r="AF54" s="17">
        <f ca="1">IF($I54,c_lotfactor*INDEX(M_Onedeal!$AM$8:$AM$68,$J54),0)+BF54</f>
        <v>0</v>
      </c>
      <c r="AG54" s="17">
        <f ca="1">IF($I54,c_lotfactor*-INDEX(M_Onedeal!$AB$8:$AB$68,$J54,0))+BG54</f>
        <v>0</v>
      </c>
      <c r="AH54" s="17">
        <f ca="1">IF($I54,c_lotfactor*INDEX(M_Onedeal!$AN$8:$AN$68,$J54),0)+BH54</f>
        <v>0</v>
      </c>
      <c r="AI54" s="17">
        <f ca="1">IF($I54,c_lotfactor*INDEX(M_Onedeal!$AO$8:$AO$68,$J54),0)+BI54</f>
        <v>0</v>
      </c>
      <c r="AJ54" s="17">
        <f ca="1">IF($I54,c_lotfactor*INDEX(M_Onedeal!$AP$8:$AP$68,$J54),0)+BJ54</f>
        <v>0</v>
      </c>
      <c r="AL54" s="128">
        <v>129.47636418355623</v>
      </c>
      <c r="AM54" s="128">
        <v>43.801616252814924</v>
      </c>
      <c r="AN54" s="128">
        <v>85.674747930741304</v>
      </c>
      <c r="AO54" s="128">
        <v>4243.4031910261911</v>
      </c>
      <c r="AP54" s="128">
        <v>5052516.4347622013</v>
      </c>
      <c r="AQ54" s="128">
        <v>1005450.7705176781</v>
      </c>
      <c r="AR54" s="128">
        <v>1966633.8525883912</v>
      </c>
      <c r="AS54" s="128">
        <v>4047065.6642445233</v>
      </c>
      <c r="AT54" s="128">
        <v>0</v>
      </c>
      <c r="AU54" s="128">
        <v>0</v>
      </c>
      <c r="AV54" s="128">
        <v>4047065.6642445233</v>
      </c>
      <c r="AW54" s="128">
        <v>226334.62492659196</v>
      </c>
      <c r="AX54" s="128">
        <v>0</v>
      </c>
      <c r="AY54" s="128">
        <v>5459.1292391288061</v>
      </c>
      <c r="AZ54" s="128">
        <v>959216.63747103105</v>
      </c>
      <c r="BA54" s="128">
        <v>476609.13501216198</v>
      </c>
      <c r="BB54" s="128">
        <v>3308724.5224609557</v>
      </c>
      <c r="BC54" s="128">
        <v>50525.16434762202</v>
      </c>
      <c r="BD54" s="128">
        <v>50525.16434762202</v>
      </c>
      <c r="BE54" s="128">
        <v>3207674.1937657115</v>
      </c>
      <c r="BF54" s="128">
        <v>0</v>
      </c>
      <c r="BG54" s="128">
        <v>0</v>
      </c>
      <c r="BH54" s="128">
        <v>0</v>
      </c>
      <c r="BI54" s="128">
        <v>0</v>
      </c>
      <c r="BJ54" s="128">
        <v>0</v>
      </c>
    </row>
    <row r="55" spans="2:62" ht="15" customHeight="1">
      <c r="B55" s="15">
        <f t="shared" si="10"/>
        <v>1000</v>
      </c>
      <c r="C55" s="15">
        <f t="shared" ca="1" si="7"/>
        <v>2542.6989917229653</v>
      </c>
      <c r="D55" s="332">
        <f t="shared" ca="1" si="11"/>
        <v>0</v>
      </c>
      <c r="E55" s="113">
        <f t="shared" ca="1" si="12"/>
        <v>0</v>
      </c>
      <c r="G55" s="15">
        <f t="shared" si="4"/>
        <v>46</v>
      </c>
      <c r="H55" s="15">
        <f t="shared" si="5"/>
        <v>4</v>
      </c>
      <c r="I55" s="15">
        <f t="shared" si="8"/>
        <v>1</v>
      </c>
      <c r="J55" s="15">
        <f t="shared" si="9"/>
        <v>46</v>
      </c>
      <c r="L55" s="15">
        <f ca="1">IF($I55,c_lotfactor*INDEX(M_Onedeal!$E$8:$E$68,$J55),0)+AL55</f>
        <v>85.674747930741304</v>
      </c>
      <c r="M55" s="15">
        <f ca="1">IF($I55,c_lotfactor*INDEX(M_Onedeal!$H$8:$H$68,$J55),0)+AM55</f>
        <v>35.468282919481595</v>
      </c>
      <c r="N55" s="15">
        <f ca="1">IF($I55,c_lotfactor*INDEX(M_Onedeal!$I$8:$I$68,$J55),0)+AN55</f>
        <v>50.206465011259709</v>
      </c>
      <c r="O55" s="15">
        <f ca="1">IF($I55,c_lotfactor*INDEX(M_Onedeal!$K$8:$K$68,$J55),0)+AO55</f>
        <v>2807.8676834350222</v>
      </c>
      <c r="P55" s="15">
        <f ca="1">IF($I55,c_lotfactor*INDEX(M_Onedeal!$L$8:$L$68,$J55),0)+AP55</f>
        <v>4091266.4347622017</v>
      </c>
      <c r="Q55" s="15">
        <f ca="1">IF($I55,c_lotfactor*INDEX(M_Onedeal!$M$8:$M$68,$J55),0)+AQ55</f>
        <v>814162.02051767812</v>
      </c>
      <c r="R55" s="15">
        <f ca="1">IF($I55,c_lotfactor*INDEX(M_Onedeal!$N$8:$N$68,$J55),0)+AR55</f>
        <v>1152471.8320707129</v>
      </c>
      <c r="S55" s="15">
        <f ca="1">IF($I55,c_lotfactor*INDEX(M_Onedeal!$O$8:$O$68,$J55),0)+AS55</f>
        <v>3277104.4142445233</v>
      </c>
      <c r="T55" s="15">
        <f ca="1">IF($I55,c_lotfactor*INDEX(M_Onedeal!$P$8:$P$68,$J55),0)+AT55</f>
        <v>0</v>
      </c>
      <c r="U55" s="15">
        <f ca="1">IF($I55,c_lotfactor*INDEX(M_Onedeal!$Q$8:$Q$68,$J55),0)+AU55</f>
        <v>0</v>
      </c>
      <c r="V55" s="15">
        <f ca="1">IF($I55,c_lotfactor*INDEX(M_Onedeal!$R$8:$R$68,$J55),0)+AV55</f>
        <v>3277104.4142445233</v>
      </c>
      <c r="W55" s="15">
        <f ca="1">IF($I55,c_lotfactor*INDEX(M_Onedeal!$Y$8:$Y$68,$J55),0)+AW55</f>
        <v>226334.62492659196</v>
      </c>
      <c r="X55" s="15">
        <f ca="1">IF($I55,c_lotfactor*INDEX(M_Onedeal!$AA$8:$AA$68,$J55),0)+AX55</f>
        <v>0</v>
      </c>
      <c r="Y55" s="15">
        <f ca="1">IF($I55,c_lotfactor*INDEX(M_Onedeal!$AD$8:$AD$68,$J55),0)+AY55</f>
        <v>1812.1076487441574</v>
      </c>
      <c r="Z55" s="15">
        <f ca="1">IF($I55,c_lotfactor*INDEX(M_Onedeal!$AF$8:$AF$68,$J55),0)+AZ55</f>
        <v>408197.67665525316</v>
      </c>
      <c r="AA55" s="15">
        <f ca="1">IF($I55,c_lotfactor*INDEX(M_Onedeal!$AG$8:$AG$68,$J55),0)+BA55</f>
        <v>68411.45835690877</v>
      </c>
      <c r="AB55" s="15">
        <f ca="1">IF($I55,c_lotfactor*INDEX(M_Onedeal!$AI$8:$AI$68,$J55),0)+BB55</f>
        <v>3093429.2548671179</v>
      </c>
      <c r="AC55" s="15">
        <f ca="1">IF($I55,c_lotfactor*INDEX(M_Onedeal!$AQ$8:$AQ$68,$J55),0)+BC55</f>
        <v>40912.66434762202</v>
      </c>
      <c r="AD55" s="15">
        <f ca="1">IF($I55,c_lotfactor*INDEX(M_Onedeal!$AR$8:$AR$68,$J55),0)+BD55</f>
        <v>40912.66434762202</v>
      </c>
      <c r="AE55" s="15">
        <f ca="1">IF($I55,c_lotfactor*INDEX(M_Onedeal!$AK$8:$AK$68,$J55),0)+BE55</f>
        <v>3011603.9261718742</v>
      </c>
      <c r="AF55" s="15">
        <f ca="1">IF($I55,c_lotfactor*INDEX(M_Onedeal!$AM$8:$AM$68,$J55),0)+BF55</f>
        <v>0</v>
      </c>
      <c r="AG55" s="15">
        <f ca="1">IF($I55,c_lotfactor*-INDEX(M_Onedeal!$AB$8:$AB$68,$J55,0))+BG55</f>
        <v>0</v>
      </c>
      <c r="AH55" s="15">
        <f ca="1">IF($I55,c_lotfactor*INDEX(M_Onedeal!$AN$8:$AN$68,$J55),0)+BH55</f>
        <v>0</v>
      </c>
      <c r="AI55" s="15">
        <f ca="1">IF($I55,c_lotfactor*INDEX(M_Onedeal!$AO$8:$AO$68,$J55),0)+BI55</f>
        <v>0</v>
      </c>
      <c r="AJ55" s="15">
        <f ca="1">IF($I55,c_lotfactor*INDEX(M_Onedeal!$AP$8:$AP$68,$J55),0)+BJ55</f>
        <v>0</v>
      </c>
      <c r="AL55" s="126">
        <v>85.674747930741304</v>
      </c>
      <c r="AM55" s="126">
        <v>35.468282919481595</v>
      </c>
      <c r="AN55" s="126">
        <v>50.206465011259709</v>
      </c>
      <c r="AO55" s="126">
        <v>2807.8676834350226</v>
      </c>
      <c r="AP55" s="126">
        <v>4091266.4347622017</v>
      </c>
      <c r="AQ55" s="126">
        <v>814162.02051767812</v>
      </c>
      <c r="AR55" s="126">
        <v>1152471.8320707129</v>
      </c>
      <c r="AS55" s="126">
        <v>3277104.4142445233</v>
      </c>
      <c r="AT55" s="126">
        <v>0</v>
      </c>
      <c r="AU55" s="126">
        <v>0</v>
      </c>
      <c r="AV55" s="126">
        <v>3277104.4142445233</v>
      </c>
      <c r="AW55" s="126">
        <v>226334.62492659196</v>
      </c>
      <c r="AX55" s="126">
        <v>0</v>
      </c>
      <c r="AY55" s="126">
        <v>1812.1076487441574</v>
      </c>
      <c r="AZ55" s="126">
        <v>408197.67665525316</v>
      </c>
      <c r="BA55" s="126">
        <v>68411.45835690877</v>
      </c>
      <c r="BB55" s="126">
        <v>3093429.2548671179</v>
      </c>
      <c r="BC55" s="126">
        <v>40912.66434762202</v>
      </c>
      <c r="BD55" s="126">
        <v>40912.66434762202</v>
      </c>
      <c r="BE55" s="126">
        <v>3011603.9261718742</v>
      </c>
      <c r="BF55" s="126">
        <v>0</v>
      </c>
      <c r="BG55" s="126">
        <v>0</v>
      </c>
      <c r="BH55" s="126">
        <v>0</v>
      </c>
      <c r="BI55" s="126">
        <v>0</v>
      </c>
      <c r="BJ55" s="126">
        <v>0</v>
      </c>
    </row>
    <row r="56" spans="2:62" ht="15" customHeight="1">
      <c r="B56" s="16">
        <f t="shared" si="10"/>
        <v>1000</v>
      </c>
      <c r="C56" s="16">
        <f t="shared" ca="1" si="7"/>
        <v>2542.6989917229653</v>
      </c>
      <c r="D56" s="333">
        <f t="shared" ca="1" si="11"/>
        <v>0</v>
      </c>
      <c r="E56" s="115">
        <f t="shared" ca="1" si="12"/>
        <v>0</v>
      </c>
      <c r="G56" s="16">
        <f t="shared" si="4"/>
        <v>47</v>
      </c>
      <c r="H56" s="16">
        <f t="shared" si="5"/>
        <v>4</v>
      </c>
      <c r="I56" s="16">
        <f t="shared" si="8"/>
        <v>1</v>
      </c>
      <c r="J56" s="16">
        <f t="shared" si="9"/>
        <v>47</v>
      </c>
      <c r="L56" s="16">
        <f ca="1">IF($I56,c_lotfactor*INDEX(M_Onedeal!$E$8:$E$68,$J56),0)+AL56</f>
        <v>50.206465011259709</v>
      </c>
      <c r="M56" s="16">
        <f ca="1">IF($I56,c_lotfactor*INDEX(M_Onedeal!$H$8:$H$68,$J56),0)+AM56</f>
        <v>27.134949586148259</v>
      </c>
      <c r="N56" s="16">
        <f ca="1">IF($I56,c_lotfactor*INDEX(M_Onedeal!$I$8:$I$68,$J56),0)+AN56</f>
        <v>23.071515425111457</v>
      </c>
      <c r="O56" s="16">
        <f ca="1">IF($I56,c_lotfactor*INDEX(M_Onedeal!$K$8:$K$68,$J56),0)+AO56</f>
        <v>1645.4452917514038</v>
      </c>
      <c r="P56" s="16">
        <f ca="1">IF($I56,c_lotfactor*INDEX(M_Onedeal!$L$8:$L$68,$J56),0)+AP56</f>
        <v>3130016.4347622017</v>
      </c>
      <c r="Q56" s="16">
        <f ca="1">IF($I56,c_lotfactor*INDEX(M_Onedeal!$M$8:$M$68,$J56),0)+AQ56</f>
        <v>622873.27051767812</v>
      </c>
      <c r="R56" s="16">
        <f ca="1">IF($I56,c_lotfactor*INDEX(M_Onedeal!$N$8:$N$68,$J56),0)+AR56</f>
        <v>529598.5615530347</v>
      </c>
      <c r="S56" s="16">
        <f ca="1">IF($I56,c_lotfactor*INDEX(M_Onedeal!$O$8:$O$68,$J56),0)+AS56</f>
        <v>2507143.1642445233</v>
      </c>
      <c r="T56" s="16">
        <f ca="1">IF($I56,c_lotfactor*INDEX(M_Onedeal!$P$8:$P$68,$J56),0)+AT56</f>
        <v>0</v>
      </c>
      <c r="U56" s="16">
        <f ca="1">IF($I56,c_lotfactor*INDEX(M_Onedeal!$Q$8:$Q$68,$J56),0)+AU56</f>
        <v>0</v>
      </c>
      <c r="V56" s="16">
        <f ca="1">IF($I56,c_lotfactor*INDEX(M_Onedeal!$R$8:$R$68,$J56),0)+AV56</f>
        <v>2507143.1642445233</v>
      </c>
      <c r="W56" s="16">
        <f ca="1">IF($I56,c_lotfactor*INDEX(M_Onedeal!$Y$8:$Y$68,$J56),0)+AW56</f>
        <v>226334.62492659196</v>
      </c>
      <c r="X56" s="16">
        <f ca="1">IF($I56,c_lotfactor*INDEX(M_Onedeal!$AA$8:$AA$68,$J56),0)+AX56</f>
        <v>0</v>
      </c>
      <c r="Y56" s="16">
        <f ca="1">IF($I56,c_lotfactor*INDEX(M_Onedeal!$AD$8:$AD$68,$J56),0)+AY56</f>
        <v>260.10606562783022</v>
      </c>
      <c r="Z56" s="16">
        <f ca="1">IF($I56,c_lotfactor*INDEX(M_Onedeal!$AF$8:$AF$68,$J56),0)+AZ56</f>
        <v>68411.45835690877</v>
      </c>
      <c r="AA56" s="16">
        <f ca="1">IF($I56,c_lotfactor*INDEX(M_Onedeal!$AG$8:$AG$68,$J56),0)+BA56</f>
        <v>0</v>
      </c>
      <c r="AB56" s="16">
        <f ca="1">IF($I56,c_lotfactor*INDEX(M_Onedeal!$AI$8:$AI$68,$J56),0)+BB56</f>
        <v>2664806.2247485793</v>
      </c>
      <c r="AC56" s="16">
        <f ca="1">IF($I56,c_lotfactor*INDEX(M_Onedeal!$AQ$8:$AQ$68,$J56),0)+BC56</f>
        <v>31300.164347622023</v>
      </c>
      <c r="AD56" s="16">
        <f ca="1">IF($I56,c_lotfactor*INDEX(M_Onedeal!$AR$8:$AR$68,$J56),0)+BD56</f>
        <v>31300.164347622023</v>
      </c>
      <c r="AE56" s="16">
        <f ca="1">IF($I56,c_lotfactor*INDEX(M_Onedeal!$AK$8:$AK$68,$J56),0)+BE56</f>
        <v>2602205.8960533352</v>
      </c>
      <c r="AF56" s="16">
        <f ca="1">IF($I56,c_lotfactor*INDEX(M_Onedeal!$AM$8:$AM$68,$J56),0)+BF56</f>
        <v>0</v>
      </c>
      <c r="AG56" s="16">
        <f ca="1">IF($I56,c_lotfactor*-INDEX(M_Onedeal!$AB$8:$AB$68,$J56,0))+BG56</f>
        <v>0</v>
      </c>
      <c r="AH56" s="16">
        <f ca="1">IF($I56,c_lotfactor*INDEX(M_Onedeal!$AN$8:$AN$68,$J56),0)+BH56</f>
        <v>0</v>
      </c>
      <c r="AI56" s="16">
        <f ca="1">IF($I56,c_lotfactor*INDEX(M_Onedeal!$AO$8:$AO$68,$J56),0)+BI56</f>
        <v>0</v>
      </c>
      <c r="AJ56" s="16">
        <f ca="1">IF($I56,c_lotfactor*INDEX(M_Onedeal!$AP$8:$AP$68,$J56),0)+BJ56</f>
        <v>0</v>
      </c>
      <c r="AL56" s="127">
        <v>50.206465011259709</v>
      </c>
      <c r="AM56" s="127">
        <v>27.134949586148259</v>
      </c>
      <c r="AN56" s="127">
        <v>23.071515425111457</v>
      </c>
      <c r="AO56" s="127">
        <v>1645.4452917514045</v>
      </c>
      <c r="AP56" s="127">
        <v>3130016.4347622017</v>
      </c>
      <c r="AQ56" s="127">
        <v>622873.27051767812</v>
      </c>
      <c r="AR56" s="127">
        <v>529598.5615530347</v>
      </c>
      <c r="AS56" s="127">
        <v>2507143.1642445233</v>
      </c>
      <c r="AT56" s="127">
        <v>0</v>
      </c>
      <c r="AU56" s="127">
        <v>0</v>
      </c>
      <c r="AV56" s="127">
        <v>2507143.1642445233</v>
      </c>
      <c r="AW56" s="127">
        <v>226334.62492659196</v>
      </c>
      <c r="AX56" s="127">
        <v>0</v>
      </c>
      <c r="AY56" s="127">
        <v>260.10606562783022</v>
      </c>
      <c r="AZ56" s="127">
        <v>68411.45835690877</v>
      </c>
      <c r="BA56" s="127">
        <v>0</v>
      </c>
      <c r="BB56" s="127">
        <v>2664806.2247485793</v>
      </c>
      <c r="BC56" s="127">
        <v>31300.164347622023</v>
      </c>
      <c r="BD56" s="127">
        <v>31300.164347622023</v>
      </c>
      <c r="BE56" s="127">
        <v>2602205.8960533352</v>
      </c>
      <c r="BF56" s="127">
        <v>0</v>
      </c>
      <c r="BG56" s="127">
        <v>0</v>
      </c>
      <c r="BH56" s="127">
        <v>0</v>
      </c>
      <c r="BI56" s="127">
        <v>0</v>
      </c>
      <c r="BJ56" s="127">
        <v>0</v>
      </c>
    </row>
    <row r="57" spans="2:62" ht="15" customHeight="1" thickBot="1">
      <c r="B57" s="18">
        <f t="shared" si="10"/>
        <v>1000</v>
      </c>
      <c r="C57" s="18">
        <f t="shared" ca="1" si="7"/>
        <v>2542.6989917229653</v>
      </c>
      <c r="D57" s="335">
        <f t="shared" ca="1" si="11"/>
        <v>0</v>
      </c>
      <c r="E57" s="117">
        <f t="shared" ca="1" si="12"/>
        <v>0</v>
      </c>
      <c r="G57" s="18">
        <f t="shared" si="4"/>
        <v>48</v>
      </c>
      <c r="H57" s="18">
        <f t="shared" si="5"/>
        <v>4</v>
      </c>
      <c r="I57" s="18">
        <f t="shared" si="8"/>
        <v>1</v>
      </c>
      <c r="J57" s="18">
        <f t="shared" si="9"/>
        <v>48</v>
      </c>
      <c r="L57" s="18">
        <f ca="1">IF($I57,c_lotfactor*INDEX(M_Onedeal!$E$8:$E$68,$J57),0)+AL57</f>
        <v>23.071515425111457</v>
      </c>
      <c r="M57" s="18">
        <f ca="1">IF($I57,c_lotfactor*INDEX(M_Onedeal!$H$8:$H$68,$J57),0)+AM57</f>
        <v>18.801616252814927</v>
      </c>
      <c r="N57" s="18">
        <f ca="1">IF($I57,c_lotfactor*INDEX(M_Onedeal!$I$8:$I$68,$J57),0)+AN57</f>
        <v>4.2698991722965278</v>
      </c>
      <c r="O57" s="18">
        <f ca="1">IF($I57,c_lotfactor*INDEX(M_Onedeal!$K$8:$K$68,$J57),0)+AO57</f>
        <v>756.13601597533568</v>
      </c>
      <c r="P57" s="18">
        <f ca="1">IF($I57,c_lotfactor*INDEX(M_Onedeal!$L$8:$L$68,$J57),0)+AP57</f>
        <v>2168766.4347622022</v>
      </c>
      <c r="Q57" s="18">
        <f ca="1">IF($I57,c_lotfactor*INDEX(M_Onedeal!$M$8:$M$68,$J57),0)+AQ57</f>
        <v>431584.52051767817</v>
      </c>
      <c r="R57" s="18">
        <f ca="1">IF($I57,c_lotfactor*INDEX(M_Onedeal!$N$8:$N$68,$J57),0)+AR57</f>
        <v>98014.04103535648</v>
      </c>
      <c r="S57" s="18">
        <f ca="1">IF($I57,c_lotfactor*INDEX(M_Onedeal!$O$8:$O$68,$J57),0)+AS57</f>
        <v>1737181.9142445237</v>
      </c>
      <c r="T57" s="18">
        <f ca="1">IF($I57,c_lotfactor*INDEX(M_Onedeal!$P$8:$P$68,$J57),0)+AT57</f>
        <v>0</v>
      </c>
      <c r="U57" s="18">
        <f ca="1">IF($I57,c_lotfactor*INDEX(M_Onedeal!$Q$8:$Q$68,$J57),0)+AU57</f>
        <v>0</v>
      </c>
      <c r="V57" s="18">
        <f ca="1">IF($I57,c_lotfactor*INDEX(M_Onedeal!$R$8:$R$68,$J57),0)+AV57</f>
        <v>1737181.9142445237</v>
      </c>
      <c r="W57" s="18">
        <f ca="1">IF($I57,c_lotfactor*INDEX(M_Onedeal!$Y$8:$Y$68,$J57),0)+AW57</f>
        <v>226334.62492659196</v>
      </c>
      <c r="X57" s="18">
        <f ca="1">IF($I57,c_lotfactor*INDEX(M_Onedeal!$AA$8:$AA$68,$J57),0)+AX57</f>
        <v>0</v>
      </c>
      <c r="Y57" s="18">
        <f ca="1">IF($I57,c_lotfactor*INDEX(M_Onedeal!$AD$8:$AD$68,$J57),0)+AY57</f>
        <v>0</v>
      </c>
      <c r="Z57" s="18">
        <f ca="1">IF($I57,c_lotfactor*INDEX(M_Onedeal!$AF$8:$AF$68,$J57),0)+AZ57</f>
        <v>0</v>
      </c>
      <c r="AA57" s="18">
        <f ca="1">IF($I57,c_lotfactor*INDEX(M_Onedeal!$AG$8:$AG$68,$J57),0)+BA57</f>
        <v>0</v>
      </c>
      <c r="AB57" s="18">
        <f ca="1">IF($I57,c_lotfactor*INDEX(M_Onedeal!$AI$8:$AI$68,$J57),0)+BB57</f>
        <v>1963516.5391711157</v>
      </c>
      <c r="AC57" s="18">
        <f ca="1">IF($I57,c_lotfactor*INDEX(M_Onedeal!$AQ$8:$AQ$68,$J57),0)+BC57</f>
        <v>21687.664347622023</v>
      </c>
      <c r="AD57" s="18">
        <f ca="1">IF($I57,c_lotfactor*INDEX(M_Onedeal!$AR$8:$AR$68,$J57),0)+BD57</f>
        <v>21687.664347622023</v>
      </c>
      <c r="AE57" s="18">
        <f ca="1">IF($I57,c_lotfactor*INDEX(M_Onedeal!$AK$8:$AK$68,$J57),0)+BE57</f>
        <v>1920141.2104758718</v>
      </c>
      <c r="AF57" s="18">
        <f ca="1">IF($I57,c_lotfactor*INDEX(M_Onedeal!$AM$8:$AM$68,$J57),0)+BF57</f>
        <v>0</v>
      </c>
      <c r="AG57" s="18">
        <f ca="1">IF($I57,c_lotfactor*-INDEX(M_Onedeal!$AB$8:$AB$68,$J57,0))+BG57</f>
        <v>0</v>
      </c>
      <c r="AH57" s="18">
        <f ca="1">IF($I57,c_lotfactor*INDEX(M_Onedeal!$AN$8:$AN$68,$J57),0)+BH57</f>
        <v>0</v>
      </c>
      <c r="AI57" s="18">
        <f ca="1">IF($I57,c_lotfactor*INDEX(M_Onedeal!$AO$8:$AO$68,$J57),0)+BI57</f>
        <v>0</v>
      </c>
      <c r="AJ57" s="18">
        <f ca="1">IF($I57,c_lotfactor*INDEX(M_Onedeal!$AP$8:$AP$68,$J57),0)+BJ57</f>
        <v>0</v>
      </c>
      <c r="AL57" s="129">
        <v>23.071515425111457</v>
      </c>
      <c r="AM57" s="129">
        <v>18.801616252814927</v>
      </c>
      <c r="AN57" s="129">
        <v>4.2698991722965278</v>
      </c>
      <c r="AO57" s="129">
        <v>756.13601597533625</v>
      </c>
      <c r="AP57" s="129">
        <v>2168766.4347622022</v>
      </c>
      <c r="AQ57" s="129">
        <v>431584.52051767817</v>
      </c>
      <c r="AR57" s="129">
        <v>98014.04103535648</v>
      </c>
      <c r="AS57" s="129">
        <v>1737181.9142445237</v>
      </c>
      <c r="AT57" s="129">
        <v>0</v>
      </c>
      <c r="AU57" s="129">
        <v>0</v>
      </c>
      <c r="AV57" s="129">
        <v>1737181.9142445237</v>
      </c>
      <c r="AW57" s="129">
        <v>226334.62492659196</v>
      </c>
      <c r="AX57" s="129">
        <v>0</v>
      </c>
      <c r="AY57" s="129">
        <v>0</v>
      </c>
      <c r="AZ57" s="129">
        <v>0</v>
      </c>
      <c r="BA57" s="129">
        <v>0</v>
      </c>
      <c r="BB57" s="129">
        <v>1963516.5391711157</v>
      </c>
      <c r="BC57" s="129">
        <v>21687.664347622023</v>
      </c>
      <c r="BD57" s="129">
        <v>21687.664347622023</v>
      </c>
      <c r="BE57" s="129">
        <v>1920141.2104758718</v>
      </c>
      <c r="BF57" s="129">
        <v>0</v>
      </c>
      <c r="BG57" s="129">
        <v>0</v>
      </c>
      <c r="BH57" s="129">
        <v>0</v>
      </c>
      <c r="BI57" s="129">
        <v>0</v>
      </c>
      <c r="BJ57" s="129">
        <v>0</v>
      </c>
    </row>
    <row r="58" spans="2:62" ht="15" customHeight="1">
      <c r="B58" s="15">
        <f t="shared" si="10"/>
        <v>0</v>
      </c>
      <c r="C58" s="15">
        <f t="shared" ca="1" si="7"/>
        <v>2542.6989917229653</v>
      </c>
      <c r="D58" s="332">
        <f t="shared" ca="1" si="11"/>
        <v>0</v>
      </c>
      <c r="E58" s="113">
        <f t="shared" ca="1" si="12"/>
        <v>0</v>
      </c>
      <c r="G58" s="15">
        <f t="shared" si="4"/>
        <v>49</v>
      </c>
      <c r="H58" s="15">
        <f t="shared" si="5"/>
        <v>5</v>
      </c>
      <c r="I58" s="15">
        <f t="shared" si="8"/>
        <v>1</v>
      </c>
      <c r="J58" s="15">
        <f t="shared" si="9"/>
        <v>49</v>
      </c>
      <c r="L58" s="15">
        <f ca="1">IF($I58,c_lotfactor*INDEX(M_Onedeal!$E$8:$E$68,$J58),0)+AL58</f>
        <v>4.2698991722965278</v>
      </c>
      <c r="M58" s="15">
        <f ca="1">IF($I58,c_lotfactor*INDEX(M_Onedeal!$H$8:$H$68,$J58),0)+AM58</f>
        <v>4.2698991722965278</v>
      </c>
      <c r="N58" s="15">
        <f ca="1">IF($I58,c_lotfactor*INDEX(M_Onedeal!$I$8:$I$68,$J58),0)+AN58</f>
        <v>0</v>
      </c>
      <c r="O58" s="15">
        <f ca="1">IF($I58,c_lotfactor*INDEX(M_Onedeal!$K$8:$K$68,$J58),0)+AO58</f>
        <v>139.93985610681762</v>
      </c>
      <c r="P58" s="15">
        <f ca="1">IF($I58,c_lotfactor*INDEX(M_Onedeal!$L$8:$L$68,$J58),0)+AP58</f>
        <v>492532.86952440441</v>
      </c>
      <c r="Q58" s="15">
        <f ca="1">IF($I58,c_lotfactor*INDEX(M_Onedeal!$M$8:$M$68,$J58),0)+AQ58</f>
        <v>98014.04103535648</v>
      </c>
      <c r="R58" s="15">
        <f ca="1">IF($I58,c_lotfactor*INDEX(M_Onedeal!$N$8:$N$68,$J58),0)+AR58</f>
        <v>0</v>
      </c>
      <c r="S58" s="15">
        <f ca="1">IF($I58,c_lotfactor*INDEX(M_Onedeal!$O$8:$O$68,$J58),0)+AS58</f>
        <v>394518.82848904794</v>
      </c>
      <c r="T58" s="15">
        <f ca="1">IF($I58,c_lotfactor*INDEX(M_Onedeal!$P$8:$P$68,$J58),0)+AT58</f>
        <v>0</v>
      </c>
      <c r="U58" s="15">
        <f ca="1">IF($I58,c_lotfactor*INDEX(M_Onedeal!$Q$8:$Q$68,$J58),0)+AU58</f>
        <v>0</v>
      </c>
      <c r="V58" s="15">
        <f ca="1">IF($I58,c_lotfactor*INDEX(M_Onedeal!$R$8:$R$68,$J58),0)+AV58</f>
        <v>394518.82848904794</v>
      </c>
      <c r="W58" s="15">
        <f ca="1">IF($I58,c_lotfactor*INDEX(M_Onedeal!$Y$8:$Y$68,$J58),0)+AW58</f>
        <v>57985.561658166007</v>
      </c>
      <c r="X58" s="15">
        <f ca="1">IF($I58,c_lotfactor*INDEX(M_Onedeal!$AA$8:$AA$68,$J58),0)+AX58</f>
        <v>0</v>
      </c>
      <c r="Y58" s="15">
        <f ca="1">IF($I58,c_lotfactor*INDEX(M_Onedeal!$AD$8:$AD$68,$J58),0)+AY58</f>
        <v>0</v>
      </c>
      <c r="Z58" s="15">
        <f ca="1">IF($I58,c_lotfactor*INDEX(M_Onedeal!$AF$8:$AF$68,$J58),0)+AZ58</f>
        <v>0</v>
      </c>
      <c r="AA58" s="15">
        <f ca="1">IF($I58,c_lotfactor*INDEX(M_Onedeal!$AG$8:$AG$68,$J58),0)+BA58</f>
        <v>0</v>
      </c>
      <c r="AB58" s="15">
        <f ca="1">IF($I58,c_lotfactor*INDEX(M_Onedeal!$AI$8:$AI$68,$J58),0)+BB58</f>
        <v>452504.39014721394</v>
      </c>
      <c r="AC58" s="15">
        <f ca="1">IF($I58,c_lotfactor*INDEX(M_Onedeal!$AQ$8:$AQ$68,$J58),0)+BC58</f>
        <v>4925.328695244044</v>
      </c>
      <c r="AD58" s="15">
        <f ca="1">IF($I58,c_lotfactor*INDEX(M_Onedeal!$AR$8:$AR$68,$J58),0)+BD58</f>
        <v>4925.328695244044</v>
      </c>
      <c r="AE58" s="15">
        <f ca="1">IF($I58,c_lotfactor*INDEX(M_Onedeal!$AK$8:$AK$68,$J58),0)+BE58</f>
        <v>442653.7327567258</v>
      </c>
      <c r="AF58" s="15">
        <f ca="1">IF($I58,c_lotfactor*INDEX(M_Onedeal!$AM$8:$AM$68,$J58),0)+BF58</f>
        <v>0</v>
      </c>
      <c r="AG58" s="15">
        <f ca="1">IF($I58,c_lotfactor*-INDEX(M_Onedeal!$AB$8:$AB$68,$J58,0))+BG58</f>
        <v>0</v>
      </c>
      <c r="AH58" s="15">
        <f ca="1">IF($I58,c_lotfactor*INDEX(M_Onedeal!$AN$8:$AN$68,$J58),0)+BH58</f>
        <v>0</v>
      </c>
      <c r="AI58" s="15">
        <f ca="1">IF($I58,c_lotfactor*INDEX(M_Onedeal!$AO$8:$AO$68,$J58),0)+BI58</f>
        <v>0</v>
      </c>
      <c r="AJ58" s="15">
        <f ca="1">IF($I58,c_lotfactor*INDEX(M_Onedeal!$AP$8:$AP$68,$J58),0)+BJ58</f>
        <v>0</v>
      </c>
      <c r="AL58" s="126">
        <v>4.2698991722965278</v>
      </c>
      <c r="AM58" s="126">
        <v>4.2698991722965278</v>
      </c>
      <c r="AN58" s="126">
        <v>0</v>
      </c>
      <c r="AO58" s="126">
        <v>139.93985610681821</v>
      </c>
      <c r="AP58" s="126">
        <v>492532.86952440441</v>
      </c>
      <c r="AQ58" s="126">
        <v>98014.04103535648</v>
      </c>
      <c r="AR58" s="126">
        <v>0</v>
      </c>
      <c r="AS58" s="126">
        <v>394518.82848904794</v>
      </c>
      <c r="AT58" s="126">
        <v>0</v>
      </c>
      <c r="AU58" s="126">
        <v>0</v>
      </c>
      <c r="AV58" s="126">
        <v>394518.82848904794</v>
      </c>
      <c r="AW58" s="126">
        <v>57985.561658166007</v>
      </c>
      <c r="AX58" s="126">
        <v>0</v>
      </c>
      <c r="AY58" s="126">
        <v>0</v>
      </c>
      <c r="AZ58" s="126">
        <v>0</v>
      </c>
      <c r="BA58" s="126">
        <v>0</v>
      </c>
      <c r="BB58" s="126">
        <v>452504.39014721394</v>
      </c>
      <c r="BC58" s="126">
        <v>4925.328695244044</v>
      </c>
      <c r="BD58" s="126">
        <v>4925.328695244044</v>
      </c>
      <c r="BE58" s="126">
        <v>442653.7327567258</v>
      </c>
      <c r="BF58" s="126">
        <v>0</v>
      </c>
      <c r="BG58" s="126">
        <v>0</v>
      </c>
      <c r="BH58" s="126">
        <v>0</v>
      </c>
      <c r="BI58" s="126">
        <v>0</v>
      </c>
      <c r="BJ58" s="126">
        <v>0</v>
      </c>
    </row>
    <row r="59" spans="2:62" ht="15" customHeight="1">
      <c r="B59" s="16">
        <f t="shared" si="10"/>
        <v>0</v>
      </c>
      <c r="C59" s="16">
        <f t="shared" ca="1" si="7"/>
        <v>2542.6989917229653</v>
      </c>
      <c r="D59" s="333">
        <f t="shared" ca="1" si="11"/>
        <v>0</v>
      </c>
      <c r="E59" s="115">
        <f t="shared" ca="1" si="12"/>
        <v>0</v>
      </c>
      <c r="G59" s="16">
        <f t="shared" si="4"/>
        <v>50</v>
      </c>
      <c r="H59" s="16">
        <f t="shared" si="5"/>
        <v>5</v>
      </c>
      <c r="I59" s="16">
        <f t="shared" si="8"/>
        <v>0</v>
      </c>
      <c r="J59" s="16">
        <f t="shared" si="9"/>
        <v>50</v>
      </c>
      <c r="L59" s="16">
        <f>IF($I59,c_lotfactor*INDEX(M_Onedeal!$E$8:$E$68,$J59),0)+AL59</f>
        <v>0</v>
      </c>
      <c r="M59" s="16">
        <f>IF($I59,c_lotfactor*INDEX(M_Onedeal!$H$8:$H$68,$J59),0)+AM59</f>
        <v>0</v>
      </c>
      <c r="N59" s="16">
        <f>IF($I59,c_lotfactor*INDEX(M_Onedeal!$I$8:$I$68,$J59),0)+AN59</f>
        <v>0</v>
      </c>
      <c r="O59" s="16">
        <f>IF($I59,c_lotfactor*INDEX(M_Onedeal!$K$8:$K$68,$J59),0)+AO59</f>
        <v>-1.7897284137870584E-11</v>
      </c>
      <c r="P59" s="16">
        <f>IF($I59,c_lotfactor*INDEX(M_Onedeal!$L$8:$L$68,$J59),0)+AP59</f>
        <v>0</v>
      </c>
      <c r="Q59" s="16">
        <f>IF($I59,c_lotfactor*INDEX(M_Onedeal!$M$8:$M$68,$J59),0)+AQ59</f>
        <v>0</v>
      </c>
      <c r="R59" s="16">
        <f>IF($I59,c_lotfactor*INDEX(M_Onedeal!$N$8:$N$68,$J59),0)+AR59</f>
        <v>0</v>
      </c>
      <c r="S59" s="16">
        <f>IF($I59,c_lotfactor*INDEX(M_Onedeal!$O$8:$O$68,$J59),0)+AS59</f>
        <v>0</v>
      </c>
      <c r="T59" s="16">
        <f>IF($I59,c_lotfactor*INDEX(M_Onedeal!$P$8:$P$68,$J59),0)+AT59</f>
        <v>0</v>
      </c>
      <c r="U59" s="16">
        <f>IF($I59,c_lotfactor*INDEX(M_Onedeal!$Q$8:$Q$68,$J59),0)+AU59</f>
        <v>0</v>
      </c>
      <c r="V59" s="16">
        <f>IF($I59,c_lotfactor*INDEX(M_Onedeal!$R$8:$R$68,$J59),0)+AV59</f>
        <v>0</v>
      </c>
      <c r="W59" s="16">
        <f>IF($I59,c_lotfactor*INDEX(M_Onedeal!$Y$8:$Y$68,$J59),0)+AW59</f>
        <v>0</v>
      </c>
      <c r="X59" s="16">
        <f>IF($I59,c_lotfactor*INDEX(M_Onedeal!$AA$8:$AA$68,$J59),0)+AX59</f>
        <v>0</v>
      </c>
      <c r="Y59" s="16">
        <f>IF($I59,c_lotfactor*INDEX(M_Onedeal!$AD$8:$AD$68,$J59),0)+AY59</f>
        <v>0</v>
      </c>
      <c r="Z59" s="16">
        <f>IF($I59,c_lotfactor*INDEX(M_Onedeal!$AF$8:$AF$68,$J59),0)+AZ59</f>
        <v>0</v>
      </c>
      <c r="AA59" s="16">
        <f>IF($I59,c_lotfactor*INDEX(M_Onedeal!$AG$8:$AG$68,$J59),0)+BA59</f>
        <v>0</v>
      </c>
      <c r="AB59" s="16">
        <f>IF($I59,c_lotfactor*INDEX(M_Onedeal!$AI$8:$AI$68,$J59),0)+BB59</f>
        <v>0</v>
      </c>
      <c r="AC59" s="16">
        <f>IF($I59,c_lotfactor*INDEX(M_Onedeal!$AQ$8:$AQ$68,$J59),0)+BC59</f>
        <v>0</v>
      </c>
      <c r="AD59" s="16">
        <f>IF($I59,c_lotfactor*INDEX(M_Onedeal!$AR$8:$AR$68,$J59),0)+BD59</f>
        <v>0</v>
      </c>
      <c r="AE59" s="16">
        <f>IF($I59,c_lotfactor*INDEX(M_Onedeal!$AK$8:$AK$68,$J59),0)+BE59</f>
        <v>0</v>
      </c>
      <c r="AF59" s="16">
        <f>IF($I59,c_lotfactor*INDEX(M_Onedeal!$AM$8:$AM$68,$J59),0)+BF59</f>
        <v>0</v>
      </c>
      <c r="AG59" s="16">
        <f>IF($I59,c_lotfactor*-INDEX(M_Onedeal!$AB$8:$AB$68,$J59,0))+BG59</f>
        <v>0</v>
      </c>
      <c r="AH59" s="16">
        <f>IF($I59,c_lotfactor*INDEX(M_Onedeal!$AN$8:$AN$68,$J59),0)+BH59</f>
        <v>0</v>
      </c>
      <c r="AI59" s="16">
        <f>IF($I59,c_lotfactor*INDEX(M_Onedeal!$AO$8:$AO$68,$J59),0)+BI59</f>
        <v>0</v>
      </c>
      <c r="AJ59" s="16">
        <f>IF($I59,c_lotfactor*INDEX(M_Onedeal!$AP$8:$AP$68,$J59),0)+BJ59</f>
        <v>0</v>
      </c>
      <c r="AL59" s="127">
        <v>0</v>
      </c>
      <c r="AM59" s="127">
        <v>0</v>
      </c>
      <c r="AN59" s="127">
        <v>0</v>
      </c>
      <c r="AO59" s="127">
        <v>-1.7897284137870584E-11</v>
      </c>
      <c r="AP59" s="127">
        <v>0</v>
      </c>
      <c r="AQ59" s="127">
        <v>0</v>
      </c>
      <c r="AR59" s="127">
        <v>0</v>
      </c>
      <c r="AS59" s="127">
        <v>0</v>
      </c>
      <c r="AT59" s="127">
        <v>0</v>
      </c>
      <c r="AU59" s="127">
        <v>0</v>
      </c>
      <c r="AV59" s="127">
        <v>0</v>
      </c>
      <c r="AW59" s="127">
        <v>0</v>
      </c>
      <c r="AX59" s="127">
        <v>0</v>
      </c>
      <c r="AY59" s="127">
        <v>0</v>
      </c>
      <c r="AZ59" s="127">
        <v>0</v>
      </c>
      <c r="BA59" s="127">
        <v>0</v>
      </c>
      <c r="BB59" s="127">
        <v>0</v>
      </c>
      <c r="BC59" s="127">
        <v>0</v>
      </c>
      <c r="BD59" s="127">
        <v>0</v>
      </c>
      <c r="BE59" s="127">
        <v>0</v>
      </c>
      <c r="BF59" s="127">
        <v>0</v>
      </c>
      <c r="BG59" s="127">
        <v>0</v>
      </c>
      <c r="BH59" s="127">
        <v>0</v>
      </c>
      <c r="BI59" s="127">
        <v>0</v>
      </c>
      <c r="BJ59" s="127">
        <v>0</v>
      </c>
    </row>
    <row r="60" spans="2:62" ht="15" customHeight="1">
      <c r="B60" s="17">
        <f t="shared" si="10"/>
        <v>0</v>
      </c>
      <c r="C60" s="17">
        <f t="shared" ca="1" si="7"/>
        <v>2542.6989917229653</v>
      </c>
      <c r="D60" s="334">
        <f t="shared" ca="1" si="11"/>
        <v>0</v>
      </c>
      <c r="E60" s="116">
        <f t="shared" ca="1" si="12"/>
        <v>0</v>
      </c>
      <c r="G60" s="17">
        <f t="shared" si="4"/>
        <v>51</v>
      </c>
      <c r="H60" s="17">
        <f t="shared" si="5"/>
        <v>5</v>
      </c>
      <c r="I60" s="17">
        <f t="shared" si="8"/>
        <v>0</v>
      </c>
      <c r="J60" s="17">
        <f t="shared" si="9"/>
        <v>51</v>
      </c>
      <c r="L60" s="17">
        <f>IF($I60,c_lotfactor*INDEX(M_Onedeal!$E$8:$E$68,$J60),0)+AL60</f>
        <v>0</v>
      </c>
      <c r="M60" s="17">
        <f>IF($I60,c_lotfactor*INDEX(M_Onedeal!$H$8:$H$68,$J60),0)+AM60</f>
        <v>0</v>
      </c>
      <c r="N60" s="17">
        <f>IF($I60,c_lotfactor*INDEX(M_Onedeal!$I$8:$I$68,$J60),0)+AN60</f>
        <v>0</v>
      </c>
      <c r="O60" s="17">
        <f>IF($I60,c_lotfactor*INDEX(M_Onedeal!$K$8:$K$68,$J60),0)+AO60</f>
        <v>-1.729085119865522E-11</v>
      </c>
      <c r="P60" s="17">
        <f>IF($I60,c_lotfactor*INDEX(M_Onedeal!$L$8:$L$68,$J60),0)+AP60</f>
        <v>0</v>
      </c>
      <c r="Q60" s="17">
        <f>IF($I60,c_lotfactor*INDEX(M_Onedeal!$M$8:$M$68,$J60),0)+AQ60</f>
        <v>0</v>
      </c>
      <c r="R60" s="17">
        <f>IF($I60,c_lotfactor*INDEX(M_Onedeal!$N$8:$N$68,$J60),0)+AR60</f>
        <v>0</v>
      </c>
      <c r="S60" s="17">
        <f>IF($I60,c_lotfactor*INDEX(M_Onedeal!$O$8:$O$68,$J60),0)+AS60</f>
        <v>0</v>
      </c>
      <c r="T60" s="17">
        <f>IF($I60,c_lotfactor*INDEX(M_Onedeal!$P$8:$P$68,$J60),0)+AT60</f>
        <v>0</v>
      </c>
      <c r="U60" s="17">
        <f>IF($I60,c_lotfactor*INDEX(M_Onedeal!$Q$8:$Q$68,$J60),0)+AU60</f>
        <v>0</v>
      </c>
      <c r="V60" s="17">
        <f>IF($I60,c_lotfactor*INDEX(M_Onedeal!$R$8:$R$68,$J60),0)+AV60</f>
        <v>0</v>
      </c>
      <c r="W60" s="17">
        <f>IF($I60,c_lotfactor*INDEX(M_Onedeal!$Y$8:$Y$68,$J60),0)+AW60</f>
        <v>0</v>
      </c>
      <c r="X60" s="17">
        <f>IF($I60,c_lotfactor*INDEX(M_Onedeal!$AA$8:$AA$68,$J60),0)+AX60</f>
        <v>0</v>
      </c>
      <c r="Y60" s="17">
        <f>IF($I60,c_lotfactor*INDEX(M_Onedeal!$AD$8:$AD$68,$J60),0)+AY60</f>
        <v>0</v>
      </c>
      <c r="Z60" s="17">
        <f>IF($I60,c_lotfactor*INDEX(M_Onedeal!$AF$8:$AF$68,$J60),0)+AZ60</f>
        <v>0</v>
      </c>
      <c r="AA60" s="17">
        <f>IF($I60,c_lotfactor*INDEX(M_Onedeal!$AG$8:$AG$68,$J60),0)+BA60</f>
        <v>0</v>
      </c>
      <c r="AB60" s="17">
        <f>IF($I60,c_lotfactor*INDEX(M_Onedeal!$AI$8:$AI$68,$J60),0)+BB60</f>
        <v>0</v>
      </c>
      <c r="AC60" s="17">
        <f>IF($I60,c_lotfactor*INDEX(M_Onedeal!$AQ$8:$AQ$68,$J60),0)+BC60</f>
        <v>0</v>
      </c>
      <c r="AD60" s="17">
        <f>IF($I60,c_lotfactor*INDEX(M_Onedeal!$AR$8:$AR$68,$J60),0)+BD60</f>
        <v>0</v>
      </c>
      <c r="AE60" s="17">
        <f>IF($I60,c_lotfactor*INDEX(M_Onedeal!$AK$8:$AK$68,$J60),0)+BE60</f>
        <v>0</v>
      </c>
      <c r="AF60" s="17">
        <f>IF($I60,c_lotfactor*INDEX(M_Onedeal!$AM$8:$AM$68,$J60),0)+BF60</f>
        <v>0</v>
      </c>
      <c r="AG60" s="17">
        <f>IF($I60,c_lotfactor*-INDEX(M_Onedeal!$AB$8:$AB$68,$J60,0))+BG60</f>
        <v>0</v>
      </c>
      <c r="AH60" s="17">
        <f>IF($I60,c_lotfactor*INDEX(M_Onedeal!$AN$8:$AN$68,$J60),0)+BH60</f>
        <v>0</v>
      </c>
      <c r="AI60" s="17">
        <f>IF($I60,c_lotfactor*INDEX(M_Onedeal!$AO$8:$AO$68,$J60),0)+BI60</f>
        <v>0</v>
      </c>
      <c r="AJ60" s="17">
        <f>IF($I60,c_lotfactor*INDEX(M_Onedeal!$AP$8:$AP$68,$J60),0)+BJ60</f>
        <v>0</v>
      </c>
      <c r="AL60" s="128">
        <v>0</v>
      </c>
      <c r="AM60" s="128">
        <v>0</v>
      </c>
      <c r="AN60" s="128">
        <v>0</v>
      </c>
      <c r="AO60" s="128">
        <v>-1.729085119865522E-11</v>
      </c>
      <c r="AP60" s="128">
        <v>0</v>
      </c>
      <c r="AQ60" s="128">
        <v>0</v>
      </c>
      <c r="AR60" s="128">
        <v>0</v>
      </c>
      <c r="AS60" s="128">
        <v>0</v>
      </c>
      <c r="AT60" s="128">
        <v>0</v>
      </c>
      <c r="AU60" s="128">
        <v>0</v>
      </c>
      <c r="AV60" s="128">
        <v>0</v>
      </c>
      <c r="AW60" s="128">
        <v>0</v>
      </c>
      <c r="AX60" s="128">
        <v>0</v>
      </c>
      <c r="AY60" s="128">
        <v>0</v>
      </c>
      <c r="AZ60" s="128">
        <v>0</v>
      </c>
      <c r="BA60" s="128">
        <v>0</v>
      </c>
      <c r="BB60" s="128">
        <v>0</v>
      </c>
      <c r="BC60" s="128">
        <v>0</v>
      </c>
      <c r="BD60" s="128">
        <v>0</v>
      </c>
      <c r="BE60" s="128">
        <v>0</v>
      </c>
      <c r="BF60" s="128">
        <v>0</v>
      </c>
      <c r="BG60" s="128">
        <v>0</v>
      </c>
      <c r="BH60" s="128">
        <v>0</v>
      </c>
      <c r="BI60" s="128">
        <v>0</v>
      </c>
      <c r="BJ60" s="128">
        <v>0</v>
      </c>
    </row>
    <row r="61" spans="2:62" ht="15" customHeight="1">
      <c r="B61" s="15">
        <f t="shared" si="10"/>
        <v>0</v>
      </c>
      <c r="C61" s="15">
        <f t="shared" ca="1" si="7"/>
        <v>2542.6989917229653</v>
      </c>
      <c r="D61" s="332">
        <f t="shared" ca="1" si="11"/>
        <v>0</v>
      </c>
      <c r="E61" s="113">
        <f t="shared" ca="1" si="12"/>
        <v>0</v>
      </c>
      <c r="G61" s="15">
        <f t="shared" si="4"/>
        <v>52</v>
      </c>
      <c r="H61" s="15">
        <f t="shared" si="5"/>
        <v>5</v>
      </c>
      <c r="I61" s="15">
        <f t="shared" si="8"/>
        <v>0</v>
      </c>
      <c r="J61" s="15">
        <f t="shared" si="9"/>
        <v>52</v>
      </c>
      <c r="L61" s="15">
        <f>IF($I61,c_lotfactor*INDEX(M_Onedeal!$E$8:$E$68,$J61),0)+AL61</f>
        <v>0</v>
      </c>
      <c r="M61" s="15">
        <f>IF($I61,c_lotfactor*INDEX(M_Onedeal!$H$8:$H$68,$J61),0)+AM61</f>
        <v>0</v>
      </c>
      <c r="N61" s="15">
        <f>IF($I61,c_lotfactor*INDEX(M_Onedeal!$I$8:$I$68,$J61),0)+AN61</f>
        <v>0</v>
      </c>
      <c r="O61" s="15">
        <f>IF($I61,c_lotfactor*INDEX(M_Onedeal!$K$8:$K$68,$J61),0)+AO61</f>
        <v>-1.668441825943986E-11</v>
      </c>
      <c r="P61" s="15">
        <f>IF($I61,c_lotfactor*INDEX(M_Onedeal!$L$8:$L$68,$J61),0)+AP61</f>
        <v>0</v>
      </c>
      <c r="Q61" s="15">
        <f>IF($I61,c_lotfactor*INDEX(M_Onedeal!$M$8:$M$68,$J61),0)+AQ61</f>
        <v>0</v>
      </c>
      <c r="R61" s="15">
        <f>IF($I61,c_lotfactor*INDEX(M_Onedeal!$N$8:$N$68,$J61),0)+AR61</f>
        <v>0</v>
      </c>
      <c r="S61" s="15">
        <f>IF($I61,c_lotfactor*INDEX(M_Onedeal!$O$8:$O$68,$J61),0)+AS61</f>
        <v>0</v>
      </c>
      <c r="T61" s="15">
        <f>IF($I61,c_lotfactor*INDEX(M_Onedeal!$P$8:$P$68,$J61),0)+AT61</f>
        <v>0</v>
      </c>
      <c r="U61" s="15">
        <f>IF($I61,c_lotfactor*INDEX(M_Onedeal!$Q$8:$Q$68,$J61),0)+AU61</f>
        <v>0</v>
      </c>
      <c r="V61" s="15">
        <f>IF($I61,c_lotfactor*INDEX(M_Onedeal!$R$8:$R$68,$J61),0)+AV61</f>
        <v>0</v>
      </c>
      <c r="W61" s="15">
        <f>IF($I61,c_lotfactor*INDEX(M_Onedeal!$Y$8:$Y$68,$J61),0)+AW61</f>
        <v>0</v>
      </c>
      <c r="X61" s="15">
        <f>IF($I61,c_lotfactor*INDEX(M_Onedeal!$AA$8:$AA$68,$J61),0)+AX61</f>
        <v>0</v>
      </c>
      <c r="Y61" s="15">
        <f>IF($I61,c_lotfactor*INDEX(M_Onedeal!$AD$8:$AD$68,$J61),0)+AY61</f>
        <v>0</v>
      </c>
      <c r="Z61" s="15">
        <f>IF($I61,c_lotfactor*INDEX(M_Onedeal!$AF$8:$AF$68,$J61),0)+AZ61</f>
        <v>0</v>
      </c>
      <c r="AA61" s="15">
        <f>IF($I61,c_lotfactor*INDEX(M_Onedeal!$AG$8:$AG$68,$J61),0)+BA61</f>
        <v>0</v>
      </c>
      <c r="AB61" s="15">
        <f>IF($I61,c_lotfactor*INDEX(M_Onedeal!$AI$8:$AI$68,$J61),0)+BB61</f>
        <v>0</v>
      </c>
      <c r="AC61" s="15">
        <f>IF($I61,c_lotfactor*INDEX(M_Onedeal!$AQ$8:$AQ$68,$J61),0)+BC61</f>
        <v>0</v>
      </c>
      <c r="AD61" s="15">
        <f>IF($I61,c_lotfactor*INDEX(M_Onedeal!$AR$8:$AR$68,$J61),0)+BD61</f>
        <v>0</v>
      </c>
      <c r="AE61" s="15">
        <f>IF($I61,c_lotfactor*INDEX(M_Onedeal!$AK$8:$AK$68,$J61),0)+BE61</f>
        <v>0</v>
      </c>
      <c r="AF61" s="15">
        <f>IF($I61,c_lotfactor*INDEX(M_Onedeal!$AM$8:$AM$68,$J61),0)+BF61</f>
        <v>0</v>
      </c>
      <c r="AG61" s="15">
        <f>IF($I61,c_lotfactor*-INDEX(M_Onedeal!$AB$8:$AB$68,$J61,0))+BG61</f>
        <v>0</v>
      </c>
      <c r="AH61" s="15">
        <f>IF($I61,c_lotfactor*INDEX(M_Onedeal!$AN$8:$AN$68,$J61),0)+BH61</f>
        <v>0</v>
      </c>
      <c r="AI61" s="15">
        <f>IF($I61,c_lotfactor*INDEX(M_Onedeal!$AO$8:$AO$68,$J61),0)+BI61</f>
        <v>0</v>
      </c>
      <c r="AJ61" s="15">
        <f>IF($I61,c_lotfactor*INDEX(M_Onedeal!$AP$8:$AP$68,$J61),0)+BJ61</f>
        <v>0</v>
      </c>
      <c r="AL61" s="126">
        <v>0</v>
      </c>
      <c r="AM61" s="126">
        <v>0</v>
      </c>
      <c r="AN61" s="126">
        <v>0</v>
      </c>
      <c r="AO61" s="126">
        <v>-1.668441825943986E-11</v>
      </c>
      <c r="AP61" s="126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126">
        <v>0</v>
      </c>
      <c r="AW61" s="126">
        <v>0</v>
      </c>
      <c r="AX61" s="126">
        <v>0</v>
      </c>
      <c r="AY61" s="126">
        <v>0</v>
      </c>
      <c r="AZ61" s="126">
        <v>0</v>
      </c>
      <c r="BA61" s="126">
        <v>0</v>
      </c>
      <c r="BB61" s="126">
        <v>0</v>
      </c>
      <c r="BC61" s="126">
        <v>0</v>
      </c>
      <c r="BD61" s="126">
        <v>0</v>
      </c>
      <c r="BE61" s="126">
        <v>0</v>
      </c>
      <c r="BF61" s="126">
        <v>0</v>
      </c>
      <c r="BG61" s="126">
        <v>0</v>
      </c>
      <c r="BH61" s="126">
        <v>0</v>
      </c>
      <c r="BI61" s="126">
        <v>0</v>
      </c>
      <c r="BJ61" s="126">
        <v>0</v>
      </c>
    </row>
    <row r="62" spans="2:62" ht="15" customHeight="1">
      <c r="B62" s="16">
        <f t="shared" si="10"/>
        <v>0</v>
      </c>
      <c r="C62" s="16">
        <f t="shared" ca="1" si="7"/>
        <v>2542.6989917229653</v>
      </c>
      <c r="D62" s="333">
        <f t="shared" ca="1" si="11"/>
        <v>0</v>
      </c>
      <c r="E62" s="115">
        <f t="shared" ca="1" si="12"/>
        <v>0</v>
      </c>
      <c r="G62" s="16">
        <f t="shared" si="4"/>
        <v>53</v>
      </c>
      <c r="H62" s="16">
        <f t="shared" si="5"/>
        <v>5</v>
      </c>
      <c r="I62" s="16">
        <f t="shared" si="8"/>
        <v>0</v>
      </c>
      <c r="J62" s="16">
        <f t="shared" si="9"/>
        <v>53</v>
      </c>
      <c r="L62" s="16">
        <f>IF($I62,c_lotfactor*INDEX(M_Onedeal!$E$8:$E$68,$J62),0)+AL62</f>
        <v>0</v>
      </c>
      <c r="M62" s="16">
        <f>IF($I62,c_lotfactor*INDEX(M_Onedeal!$H$8:$H$68,$J62),0)+AM62</f>
        <v>0</v>
      </c>
      <c r="N62" s="16">
        <f>IF($I62,c_lotfactor*INDEX(M_Onedeal!$I$8:$I$68,$J62),0)+AN62</f>
        <v>0</v>
      </c>
      <c r="O62" s="16">
        <f>IF($I62,c_lotfactor*INDEX(M_Onedeal!$K$8:$K$68,$J62),0)+AO62</f>
        <v>-1.6077985320224496E-11</v>
      </c>
      <c r="P62" s="16">
        <f>IF($I62,c_lotfactor*INDEX(M_Onedeal!$L$8:$L$68,$J62),0)+AP62</f>
        <v>0</v>
      </c>
      <c r="Q62" s="16">
        <f>IF($I62,c_lotfactor*INDEX(M_Onedeal!$M$8:$M$68,$J62),0)+AQ62</f>
        <v>0</v>
      </c>
      <c r="R62" s="16">
        <f>IF($I62,c_lotfactor*INDEX(M_Onedeal!$N$8:$N$68,$J62),0)+AR62</f>
        <v>0</v>
      </c>
      <c r="S62" s="16">
        <f>IF($I62,c_lotfactor*INDEX(M_Onedeal!$O$8:$O$68,$J62),0)+AS62</f>
        <v>0</v>
      </c>
      <c r="T62" s="16">
        <f>IF($I62,c_lotfactor*INDEX(M_Onedeal!$P$8:$P$68,$J62),0)+AT62</f>
        <v>0</v>
      </c>
      <c r="U62" s="16">
        <f>IF($I62,c_lotfactor*INDEX(M_Onedeal!$Q$8:$Q$68,$J62),0)+AU62</f>
        <v>0</v>
      </c>
      <c r="V62" s="16">
        <f>IF($I62,c_lotfactor*INDEX(M_Onedeal!$R$8:$R$68,$J62),0)+AV62</f>
        <v>0</v>
      </c>
      <c r="W62" s="16">
        <f>IF($I62,c_lotfactor*INDEX(M_Onedeal!$Y$8:$Y$68,$J62),0)+AW62</f>
        <v>0</v>
      </c>
      <c r="X62" s="16">
        <f>IF($I62,c_lotfactor*INDEX(M_Onedeal!$AA$8:$AA$68,$J62),0)+AX62</f>
        <v>0</v>
      </c>
      <c r="Y62" s="16">
        <f>IF($I62,c_lotfactor*INDEX(M_Onedeal!$AD$8:$AD$68,$J62),0)+AY62</f>
        <v>0</v>
      </c>
      <c r="Z62" s="16">
        <f>IF($I62,c_lotfactor*INDEX(M_Onedeal!$AF$8:$AF$68,$J62),0)+AZ62</f>
        <v>0</v>
      </c>
      <c r="AA62" s="16">
        <f>IF($I62,c_lotfactor*INDEX(M_Onedeal!$AG$8:$AG$68,$J62),0)+BA62</f>
        <v>0</v>
      </c>
      <c r="AB62" s="16">
        <f>IF($I62,c_lotfactor*INDEX(M_Onedeal!$AI$8:$AI$68,$J62),0)+BB62</f>
        <v>0</v>
      </c>
      <c r="AC62" s="16">
        <f>IF($I62,c_lotfactor*INDEX(M_Onedeal!$AQ$8:$AQ$68,$J62),0)+BC62</f>
        <v>0</v>
      </c>
      <c r="AD62" s="16">
        <f>IF($I62,c_lotfactor*INDEX(M_Onedeal!$AR$8:$AR$68,$J62),0)+BD62</f>
        <v>0</v>
      </c>
      <c r="AE62" s="16">
        <f>IF($I62,c_lotfactor*INDEX(M_Onedeal!$AK$8:$AK$68,$J62),0)+BE62</f>
        <v>0</v>
      </c>
      <c r="AF62" s="16">
        <f>IF($I62,c_lotfactor*INDEX(M_Onedeal!$AM$8:$AM$68,$J62),0)+BF62</f>
        <v>0</v>
      </c>
      <c r="AG62" s="16">
        <f>IF($I62,c_lotfactor*-INDEX(M_Onedeal!$AB$8:$AB$68,$J62,0))+BG62</f>
        <v>0</v>
      </c>
      <c r="AH62" s="16">
        <f>IF($I62,c_lotfactor*INDEX(M_Onedeal!$AN$8:$AN$68,$J62),0)+BH62</f>
        <v>0</v>
      </c>
      <c r="AI62" s="16">
        <f>IF($I62,c_lotfactor*INDEX(M_Onedeal!$AO$8:$AO$68,$J62),0)+BI62</f>
        <v>0</v>
      </c>
      <c r="AJ62" s="16">
        <f>IF($I62,c_lotfactor*INDEX(M_Onedeal!$AP$8:$AP$68,$J62),0)+BJ62</f>
        <v>0</v>
      </c>
      <c r="AL62" s="127">
        <v>0</v>
      </c>
      <c r="AM62" s="127">
        <v>0</v>
      </c>
      <c r="AN62" s="127">
        <v>0</v>
      </c>
      <c r="AO62" s="127">
        <v>-1.6077985320224496E-11</v>
      </c>
      <c r="AP62" s="127">
        <v>0</v>
      </c>
      <c r="AQ62" s="127">
        <v>0</v>
      </c>
      <c r="AR62" s="127">
        <v>0</v>
      </c>
      <c r="AS62" s="127">
        <v>0</v>
      </c>
      <c r="AT62" s="127">
        <v>0</v>
      </c>
      <c r="AU62" s="127">
        <v>0</v>
      </c>
      <c r="AV62" s="127">
        <v>0</v>
      </c>
      <c r="AW62" s="127">
        <v>0</v>
      </c>
      <c r="AX62" s="127">
        <v>0</v>
      </c>
      <c r="AY62" s="127">
        <v>0</v>
      </c>
      <c r="AZ62" s="127">
        <v>0</v>
      </c>
      <c r="BA62" s="127">
        <v>0</v>
      </c>
      <c r="BB62" s="127">
        <v>0</v>
      </c>
      <c r="BC62" s="127">
        <v>0</v>
      </c>
      <c r="BD62" s="127">
        <v>0</v>
      </c>
      <c r="BE62" s="127">
        <v>0</v>
      </c>
      <c r="BF62" s="127">
        <v>0</v>
      </c>
      <c r="BG62" s="127">
        <v>0</v>
      </c>
      <c r="BH62" s="127">
        <v>0</v>
      </c>
      <c r="BI62" s="127">
        <v>0</v>
      </c>
      <c r="BJ62" s="127">
        <v>0</v>
      </c>
    </row>
    <row r="63" spans="2:62" ht="15" customHeight="1">
      <c r="B63" s="17">
        <f t="shared" si="10"/>
        <v>0</v>
      </c>
      <c r="C63" s="17">
        <f t="shared" ca="1" si="7"/>
        <v>2542.6989917229653</v>
      </c>
      <c r="D63" s="334">
        <f t="shared" ca="1" si="11"/>
        <v>0</v>
      </c>
      <c r="E63" s="116">
        <f t="shared" ca="1" si="12"/>
        <v>0</v>
      </c>
      <c r="G63" s="17">
        <f t="shared" si="4"/>
        <v>54</v>
      </c>
      <c r="H63" s="17">
        <f t="shared" si="5"/>
        <v>5</v>
      </c>
      <c r="I63" s="17">
        <f t="shared" si="8"/>
        <v>0</v>
      </c>
      <c r="J63" s="17">
        <f t="shared" si="9"/>
        <v>54</v>
      </c>
      <c r="L63" s="17">
        <f>IF($I63,c_lotfactor*INDEX(M_Onedeal!$E$8:$E$68,$J63),0)+AL63</f>
        <v>0</v>
      </c>
      <c r="M63" s="17">
        <f>IF($I63,c_lotfactor*INDEX(M_Onedeal!$H$8:$H$68,$J63),0)+AM63</f>
        <v>0</v>
      </c>
      <c r="N63" s="17">
        <f>IF($I63,c_lotfactor*INDEX(M_Onedeal!$I$8:$I$68,$J63),0)+AN63</f>
        <v>0</v>
      </c>
      <c r="O63" s="17">
        <f>IF($I63,c_lotfactor*INDEX(M_Onedeal!$K$8:$K$68,$J63),0)+AO63</f>
        <v>-1.5471552381009136E-11</v>
      </c>
      <c r="P63" s="17">
        <f>IF($I63,c_lotfactor*INDEX(M_Onedeal!$L$8:$L$68,$J63),0)+AP63</f>
        <v>0</v>
      </c>
      <c r="Q63" s="17">
        <f>IF($I63,c_lotfactor*INDEX(M_Onedeal!$M$8:$M$68,$J63),0)+AQ63</f>
        <v>0</v>
      </c>
      <c r="R63" s="17">
        <f>IF($I63,c_lotfactor*INDEX(M_Onedeal!$N$8:$N$68,$J63),0)+AR63</f>
        <v>0</v>
      </c>
      <c r="S63" s="17">
        <f>IF($I63,c_lotfactor*INDEX(M_Onedeal!$O$8:$O$68,$J63),0)+AS63</f>
        <v>0</v>
      </c>
      <c r="T63" s="17">
        <f>IF($I63,c_lotfactor*INDEX(M_Onedeal!$P$8:$P$68,$J63),0)+AT63</f>
        <v>0</v>
      </c>
      <c r="U63" s="17">
        <f>IF($I63,c_lotfactor*INDEX(M_Onedeal!$Q$8:$Q$68,$J63),0)+AU63</f>
        <v>0</v>
      </c>
      <c r="V63" s="17">
        <f>IF($I63,c_lotfactor*INDEX(M_Onedeal!$R$8:$R$68,$J63),0)+AV63</f>
        <v>0</v>
      </c>
      <c r="W63" s="17">
        <f>IF($I63,c_lotfactor*INDEX(M_Onedeal!$Y$8:$Y$68,$J63),0)+AW63</f>
        <v>0</v>
      </c>
      <c r="X63" s="17">
        <f>IF($I63,c_lotfactor*INDEX(M_Onedeal!$AA$8:$AA$68,$J63),0)+AX63</f>
        <v>0</v>
      </c>
      <c r="Y63" s="17">
        <f>IF($I63,c_lotfactor*INDEX(M_Onedeal!$AD$8:$AD$68,$J63),0)+AY63</f>
        <v>0</v>
      </c>
      <c r="Z63" s="17">
        <f>IF($I63,c_lotfactor*INDEX(M_Onedeal!$AF$8:$AF$68,$J63),0)+AZ63</f>
        <v>0</v>
      </c>
      <c r="AA63" s="17">
        <f>IF($I63,c_lotfactor*INDEX(M_Onedeal!$AG$8:$AG$68,$J63),0)+BA63</f>
        <v>0</v>
      </c>
      <c r="AB63" s="17">
        <f>IF($I63,c_lotfactor*INDEX(M_Onedeal!$AI$8:$AI$68,$J63),0)+BB63</f>
        <v>0</v>
      </c>
      <c r="AC63" s="17">
        <f>IF($I63,c_lotfactor*INDEX(M_Onedeal!$AQ$8:$AQ$68,$J63),0)+BC63</f>
        <v>0</v>
      </c>
      <c r="AD63" s="17">
        <f>IF($I63,c_lotfactor*INDEX(M_Onedeal!$AR$8:$AR$68,$J63),0)+BD63</f>
        <v>0</v>
      </c>
      <c r="AE63" s="17">
        <f>IF($I63,c_lotfactor*INDEX(M_Onedeal!$AK$8:$AK$68,$J63),0)+BE63</f>
        <v>0</v>
      </c>
      <c r="AF63" s="17">
        <f>IF($I63,c_lotfactor*INDEX(M_Onedeal!$AM$8:$AM$68,$J63),0)+BF63</f>
        <v>0</v>
      </c>
      <c r="AG63" s="17">
        <f>IF($I63,c_lotfactor*-INDEX(M_Onedeal!$AB$8:$AB$68,$J63,0))+BG63</f>
        <v>0</v>
      </c>
      <c r="AH63" s="17">
        <f>IF($I63,c_lotfactor*INDEX(M_Onedeal!$AN$8:$AN$68,$J63),0)+BH63</f>
        <v>0</v>
      </c>
      <c r="AI63" s="17">
        <f>IF($I63,c_lotfactor*INDEX(M_Onedeal!$AO$8:$AO$68,$J63),0)+BI63</f>
        <v>0</v>
      </c>
      <c r="AJ63" s="17">
        <f>IF($I63,c_lotfactor*INDEX(M_Onedeal!$AP$8:$AP$68,$J63),0)+BJ63</f>
        <v>0</v>
      </c>
      <c r="AL63" s="128">
        <v>0</v>
      </c>
      <c r="AM63" s="128">
        <v>0</v>
      </c>
      <c r="AN63" s="128">
        <v>0</v>
      </c>
      <c r="AO63" s="128">
        <v>-1.5471552381009136E-11</v>
      </c>
      <c r="AP63" s="128">
        <v>0</v>
      </c>
      <c r="AQ63" s="128">
        <v>0</v>
      </c>
      <c r="AR63" s="128">
        <v>0</v>
      </c>
      <c r="AS63" s="128">
        <v>0</v>
      </c>
      <c r="AT63" s="128">
        <v>0</v>
      </c>
      <c r="AU63" s="128">
        <v>0</v>
      </c>
      <c r="AV63" s="128">
        <v>0</v>
      </c>
      <c r="AW63" s="128">
        <v>0</v>
      </c>
      <c r="AX63" s="128">
        <v>0</v>
      </c>
      <c r="AY63" s="128">
        <v>0</v>
      </c>
      <c r="AZ63" s="128">
        <v>0</v>
      </c>
      <c r="BA63" s="128">
        <v>0</v>
      </c>
      <c r="BB63" s="128">
        <v>0</v>
      </c>
      <c r="BC63" s="128">
        <v>0</v>
      </c>
      <c r="BD63" s="128">
        <v>0</v>
      </c>
      <c r="BE63" s="128">
        <v>0</v>
      </c>
      <c r="BF63" s="128">
        <v>0</v>
      </c>
      <c r="BG63" s="128">
        <v>0</v>
      </c>
      <c r="BH63" s="128">
        <v>0</v>
      </c>
      <c r="BI63" s="128">
        <v>0</v>
      </c>
      <c r="BJ63" s="128">
        <v>0</v>
      </c>
    </row>
    <row r="64" spans="2:62" ht="15" customHeight="1">
      <c r="B64" s="15">
        <f t="shared" si="10"/>
        <v>0</v>
      </c>
      <c r="C64" s="15">
        <f t="shared" ca="1" si="7"/>
        <v>2542.6989917229653</v>
      </c>
      <c r="D64" s="332">
        <f t="shared" ca="1" si="11"/>
        <v>0</v>
      </c>
      <c r="E64" s="113">
        <f t="shared" ca="1" si="12"/>
        <v>0</v>
      </c>
      <c r="G64" s="15">
        <f t="shared" si="4"/>
        <v>55</v>
      </c>
      <c r="H64" s="15">
        <f t="shared" si="5"/>
        <v>5</v>
      </c>
      <c r="I64" s="15">
        <f t="shared" si="8"/>
        <v>0</v>
      </c>
      <c r="J64" s="15">
        <f t="shared" si="9"/>
        <v>55</v>
      </c>
      <c r="L64" s="15">
        <f>IF($I64,c_lotfactor*INDEX(M_Onedeal!$E$8:$E$68,$J64),0)+AL64</f>
        <v>0</v>
      </c>
      <c r="M64" s="15">
        <f>IF($I64,c_lotfactor*INDEX(M_Onedeal!$H$8:$H$68,$J64),0)+AM64</f>
        <v>0</v>
      </c>
      <c r="N64" s="15">
        <f>IF($I64,c_lotfactor*INDEX(M_Onedeal!$I$8:$I$68,$J64),0)+AN64</f>
        <v>0</v>
      </c>
      <c r="O64" s="15">
        <f>IF($I64,c_lotfactor*INDEX(M_Onedeal!$K$8:$K$68,$J64),0)+AO64</f>
        <v>-1.4865119441793772E-11</v>
      </c>
      <c r="P64" s="15">
        <f>IF($I64,c_lotfactor*INDEX(M_Onedeal!$L$8:$L$68,$J64),0)+AP64</f>
        <v>0</v>
      </c>
      <c r="Q64" s="15">
        <f>IF($I64,c_lotfactor*INDEX(M_Onedeal!$M$8:$M$68,$J64),0)+AQ64</f>
        <v>0</v>
      </c>
      <c r="R64" s="15">
        <f>IF($I64,c_lotfactor*INDEX(M_Onedeal!$N$8:$N$68,$J64),0)+AR64</f>
        <v>0</v>
      </c>
      <c r="S64" s="15">
        <f>IF($I64,c_lotfactor*INDEX(M_Onedeal!$O$8:$O$68,$J64),0)+AS64</f>
        <v>0</v>
      </c>
      <c r="T64" s="15">
        <f>IF($I64,c_lotfactor*INDEX(M_Onedeal!$P$8:$P$68,$J64),0)+AT64</f>
        <v>0</v>
      </c>
      <c r="U64" s="15">
        <f>IF($I64,c_lotfactor*INDEX(M_Onedeal!$Q$8:$Q$68,$J64),0)+AU64</f>
        <v>0</v>
      </c>
      <c r="V64" s="15">
        <f>IF($I64,c_lotfactor*INDEX(M_Onedeal!$R$8:$R$68,$J64),0)+AV64</f>
        <v>0</v>
      </c>
      <c r="W64" s="15">
        <f>IF($I64,c_lotfactor*INDEX(M_Onedeal!$Y$8:$Y$68,$J64),0)+AW64</f>
        <v>0</v>
      </c>
      <c r="X64" s="15">
        <f>IF($I64,c_lotfactor*INDEX(M_Onedeal!$AA$8:$AA$68,$J64),0)+AX64</f>
        <v>0</v>
      </c>
      <c r="Y64" s="15">
        <f>IF($I64,c_lotfactor*INDEX(M_Onedeal!$AD$8:$AD$68,$J64),0)+AY64</f>
        <v>0</v>
      </c>
      <c r="Z64" s="15">
        <f>IF($I64,c_lotfactor*INDEX(M_Onedeal!$AF$8:$AF$68,$J64),0)+AZ64</f>
        <v>0</v>
      </c>
      <c r="AA64" s="15">
        <f>IF($I64,c_lotfactor*INDEX(M_Onedeal!$AG$8:$AG$68,$J64),0)+BA64</f>
        <v>0</v>
      </c>
      <c r="AB64" s="15">
        <f>IF($I64,c_lotfactor*INDEX(M_Onedeal!$AI$8:$AI$68,$J64),0)+BB64</f>
        <v>0</v>
      </c>
      <c r="AC64" s="15">
        <f>IF($I64,c_lotfactor*INDEX(M_Onedeal!$AQ$8:$AQ$68,$J64),0)+BC64</f>
        <v>0</v>
      </c>
      <c r="AD64" s="15">
        <f>IF($I64,c_lotfactor*INDEX(M_Onedeal!$AR$8:$AR$68,$J64),0)+BD64</f>
        <v>0</v>
      </c>
      <c r="AE64" s="15">
        <f>IF($I64,c_lotfactor*INDEX(M_Onedeal!$AK$8:$AK$68,$J64),0)+BE64</f>
        <v>0</v>
      </c>
      <c r="AF64" s="15">
        <f>IF($I64,c_lotfactor*INDEX(M_Onedeal!$AM$8:$AM$68,$J64),0)+BF64</f>
        <v>0</v>
      </c>
      <c r="AG64" s="15">
        <f>IF($I64,c_lotfactor*-INDEX(M_Onedeal!$AB$8:$AB$68,$J64,0))+BG64</f>
        <v>0</v>
      </c>
      <c r="AH64" s="15">
        <f>IF($I64,c_lotfactor*INDEX(M_Onedeal!$AN$8:$AN$68,$J64),0)+BH64</f>
        <v>0</v>
      </c>
      <c r="AI64" s="15">
        <f>IF($I64,c_lotfactor*INDEX(M_Onedeal!$AO$8:$AO$68,$J64),0)+BI64</f>
        <v>0</v>
      </c>
      <c r="AJ64" s="15">
        <f>IF($I64,c_lotfactor*INDEX(M_Onedeal!$AP$8:$AP$68,$J64),0)+BJ64</f>
        <v>0</v>
      </c>
      <c r="AL64" s="126">
        <v>0</v>
      </c>
      <c r="AM64" s="126">
        <v>0</v>
      </c>
      <c r="AN64" s="126">
        <v>0</v>
      </c>
      <c r="AO64" s="126">
        <v>-1.4865119441793772E-11</v>
      </c>
      <c r="AP64" s="126">
        <v>0</v>
      </c>
      <c r="AQ64" s="126">
        <v>0</v>
      </c>
      <c r="AR64" s="126">
        <v>0</v>
      </c>
      <c r="AS64" s="126">
        <v>0</v>
      </c>
      <c r="AT64" s="126">
        <v>0</v>
      </c>
      <c r="AU64" s="126">
        <v>0</v>
      </c>
      <c r="AV64" s="126">
        <v>0</v>
      </c>
      <c r="AW64" s="126">
        <v>0</v>
      </c>
      <c r="AX64" s="126">
        <v>0</v>
      </c>
      <c r="AY64" s="126">
        <v>0</v>
      </c>
      <c r="AZ64" s="126">
        <v>0</v>
      </c>
      <c r="BA64" s="126">
        <v>0</v>
      </c>
      <c r="BB64" s="126">
        <v>0</v>
      </c>
      <c r="BC64" s="126">
        <v>0</v>
      </c>
      <c r="BD64" s="126">
        <v>0</v>
      </c>
      <c r="BE64" s="126">
        <v>0</v>
      </c>
      <c r="BF64" s="126">
        <v>0</v>
      </c>
      <c r="BG64" s="126">
        <v>0</v>
      </c>
      <c r="BH64" s="126">
        <v>0</v>
      </c>
      <c r="BI64" s="126">
        <v>0</v>
      </c>
      <c r="BJ64" s="126">
        <v>0</v>
      </c>
    </row>
    <row r="65" spans="2:62" ht="15" customHeight="1">
      <c r="B65" s="16">
        <f t="shared" si="10"/>
        <v>0</v>
      </c>
      <c r="C65" s="16">
        <f t="shared" ca="1" si="7"/>
        <v>2542.6989917229653</v>
      </c>
      <c r="D65" s="333">
        <f t="shared" ca="1" si="11"/>
        <v>0</v>
      </c>
      <c r="E65" s="115">
        <f t="shared" ca="1" si="12"/>
        <v>0</v>
      </c>
      <c r="G65" s="16">
        <f t="shared" si="4"/>
        <v>56</v>
      </c>
      <c r="H65" s="16">
        <f t="shared" si="5"/>
        <v>5</v>
      </c>
      <c r="I65" s="16">
        <f t="shared" si="8"/>
        <v>0</v>
      </c>
      <c r="J65" s="16">
        <f t="shared" si="9"/>
        <v>56</v>
      </c>
      <c r="L65" s="16">
        <f>IF($I65,c_lotfactor*INDEX(M_Onedeal!$E$8:$E$68,$J65),0)+AL65</f>
        <v>0</v>
      </c>
      <c r="M65" s="16">
        <f>IF($I65,c_lotfactor*INDEX(M_Onedeal!$H$8:$H$68,$J65),0)+AM65</f>
        <v>0</v>
      </c>
      <c r="N65" s="16">
        <f>IF($I65,c_lotfactor*INDEX(M_Onedeal!$I$8:$I$68,$J65),0)+AN65</f>
        <v>0</v>
      </c>
      <c r="O65" s="16">
        <f>IF($I65,c_lotfactor*INDEX(M_Onedeal!$K$8:$K$68,$J65),0)+AO65</f>
        <v>-1.425868650257841E-11</v>
      </c>
      <c r="P65" s="16">
        <f>IF($I65,c_lotfactor*INDEX(M_Onedeal!$L$8:$L$68,$J65),0)+AP65</f>
        <v>0</v>
      </c>
      <c r="Q65" s="16">
        <f>IF($I65,c_lotfactor*INDEX(M_Onedeal!$M$8:$M$68,$J65),0)+AQ65</f>
        <v>0</v>
      </c>
      <c r="R65" s="16">
        <f>IF($I65,c_lotfactor*INDEX(M_Onedeal!$N$8:$N$68,$J65),0)+AR65</f>
        <v>0</v>
      </c>
      <c r="S65" s="16">
        <f>IF($I65,c_lotfactor*INDEX(M_Onedeal!$O$8:$O$68,$J65),0)+AS65</f>
        <v>0</v>
      </c>
      <c r="T65" s="16">
        <f>IF($I65,c_lotfactor*INDEX(M_Onedeal!$P$8:$P$68,$J65),0)+AT65</f>
        <v>0</v>
      </c>
      <c r="U65" s="16">
        <f>IF($I65,c_lotfactor*INDEX(M_Onedeal!$Q$8:$Q$68,$J65),0)+AU65</f>
        <v>0</v>
      </c>
      <c r="V65" s="16">
        <f>IF($I65,c_lotfactor*INDEX(M_Onedeal!$R$8:$R$68,$J65),0)+AV65</f>
        <v>0</v>
      </c>
      <c r="W65" s="16">
        <f>IF($I65,c_lotfactor*INDEX(M_Onedeal!$Y$8:$Y$68,$J65),0)+AW65</f>
        <v>0</v>
      </c>
      <c r="X65" s="16">
        <f>IF($I65,c_lotfactor*INDEX(M_Onedeal!$AA$8:$AA$68,$J65),0)+AX65</f>
        <v>0</v>
      </c>
      <c r="Y65" s="16">
        <f>IF($I65,c_lotfactor*INDEX(M_Onedeal!$AD$8:$AD$68,$J65),0)+AY65</f>
        <v>0</v>
      </c>
      <c r="Z65" s="16">
        <f>IF($I65,c_lotfactor*INDEX(M_Onedeal!$AF$8:$AF$68,$J65),0)+AZ65</f>
        <v>0</v>
      </c>
      <c r="AA65" s="16">
        <f>IF($I65,c_lotfactor*INDEX(M_Onedeal!$AG$8:$AG$68,$J65),0)+BA65</f>
        <v>0</v>
      </c>
      <c r="AB65" s="16">
        <f>IF($I65,c_lotfactor*INDEX(M_Onedeal!$AI$8:$AI$68,$J65),0)+BB65</f>
        <v>0</v>
      </c>
      <c r="AC65" s="16">
        <f>IF($I65,c_lotfactor*INDEX(M_Onedeal!$AQ$8:$AQ$68,$J65),0)+BC65</f>
        <v>0</v>
      </c>
      <c r="AD65" s="16">
        <f>IF($I65,c_lotfactor*INDEX(M_Onedeal!$AR$8:$AR$68,$J65),0)+BD65</f>
        <v>0</v>
      </c>
      <c r="AE65" s="16">
        <f>IF($I65,c_lotfactor*INDEX(M_Onedeal!$AK$8:$AK$68,$J65),0)+BE65</f>
        <v>0</v>
      </c>
      <c r="AF65" s="16">
        <f>IF($I65,c_lotfactor*INDEX(M_Onedeal!$AM$8:$AM$68,$J65),0)+BF65</f>
        <v>0</v>
      </c>
      <c r="AG65" s="16">
        <f>IF($I65,c_lotfactor*-INDEX(M_Onedeal!$AB$8:$AB$68,$J65,0))+BG65</f>
        <v>0</v>
      </c>
      <c r="AH65" s="16">
        <f>IF($I65,c_lotfactor*INDEX(M_Onedeal!$AN$8:$AN$68,$J65),0)+BH65</f>
        <v>0</v>
      </c>
      <c r="AI65" s="16">
        <f>IF($I65,c_lotfactor*INDEX(M_Onedeal!$AO$8:$AO$68,$J65),0)+BI65</f>
        <v>0</v>
      </c>
      <c r="AJ65" s="16">
        <f>IF($I65,c_lotfactor*INDEX(M_Onedeal!$AP$8:$AP$68,$J65),0)+BJ65</f>
        <v>0</v>
      </c>
      <c r="AL65" s="127">
        <v>0</v>
      </c>
      <c r="AM65" s="127">
        <v>0</v>
      </c>
      <c r="AN65" s="127">
        <v>0</v>
      </c>
      <c r="AO65" s="127">
        <v>-1.425868650257841E-11</v>
      </c>
      <c r="AP65" s="127">
        <v>0</v>
      </c>
      <c r="AQ65" s="127">
        <v>0</v>
      </c>
      <c r="AR65" s="127">
        <v>0</v>
      </c>
      <c r="AS65" s="127">
        <v>0</v>
      </c>
      <c r="AT65" s="127">
        <v>0</v>
      </c>
      <c r="AU65" s="127">
        <v>0</v>
      </c>
      <c r="AV65" s="127">
        <v>0</v>
      </c>
      <c r="AW65" s="127">
        <v>0</v>
      </c>
      <c r="AX65" s="127">
        <v>0</v>
      </c>
      <c r="AY65" s="127">
        <v>0</v>
      </c>
      <c r="AZ65" s="127">
        <v>0</v>
      </c>
      <c r="BA65" s="127">
        <v>0</v>
      </c>
      <c r="BB65" s="127">
        <v>0</v>
      </c>
      <c r="BC65" s="127">
        <v>0</v>
      </c>
      <c r="BD65" s="127">
        <v>0</v>
      </c>
      <c r="BE65" s="127">
        <v>0</v>
      </c>
      <c r="BF65" s="127">
        <v>0</v>
      </c>
      <c r="BG65" s="127">
        <v>0</v>
      </c>
      <c r="BH65" s="127">
        <v>0</v>
      </c>
      <c r="BI65" s="127">
        <v>0</v>
      </c>
      <c r="BJ65" s="127">
        <v>0</v>
      </c>
    </row>
    <row r="66" spans="2:62" ht="15" customHeight="1">
      <c r="B66" s="17">
        <f t="shared" si="10"/>
        <v>0</v>
      </c>
      <c r="C66" s="17">
        <f t="shared" ca="1" si="7"/>
        <v>2542.6989917229653</v>
      </c>
      <c r="D66" s="334">
        <f t="shared" ca="1" si="11"/>
        <v>0</v>
      </c>
      <c r="E66" s="116">
        <f t="shared" ca="1" si="12"/>
        <v>0</v>
      </c>
      <c r="G66" s="17">
        <f t="shared" si="4"/>
        <v>57</v>
      </c>
      <c r="H66" s="17">
        <f t="shared" si="5"/>
        <v>5</v>
      </c>
      <c r="I66" s="17">
        <f t="shared" si="8"/>
        <v>0</v>
      </c>
      <c r="J66" s="17">
        <f t="shared" si="9"/>
        <v>57</v>
      </c>
      <c r="L66" s="17">
        <f>IF($I66,c_lotfactor*INDEX(M_Onedeal!$E$8:$E$68,$J66),0)+AL66</f>
        <v>0</v>
      </c>
      <c r="M66" s="17">
        <f>IF($I66,c_lotfactor*INDEX(M_Onedeal!$H$8:$H$68,$J66),0)+AM66</f>
        <v>0</v>
      </c>
      <c r="N66" s="17">
        <f>IF($I66,c_lotfactor*INDEX(M_Onedeal!$I$8:$I$68,$J66),0)+AN66</f>
        <v>0</v>
      </c>
      <c r="O66" s="17">
        <f>IF($I66,c_lotfactor*INDEX(M_Onedeal!$K$8:$K$68,$J66),0)+AO66</f>
        <v>-1.3652253563363048E-11</v>
      </c>
      <c r="P66" s="17">
        <f>IF($I66,c_lotfactor*INDEX(M_Onedeal!$L$8:$L$68,$J66),0)+AP66</f>
        <v>0</v>
      </c>
      <c r="Q66" s="17">
        <f>IF($I66,c_lotfactor*INDEX(M_Onedeal!$M$8:$M$68,$J66),0)+AQ66</f>
        <v>0</v>
      </c>
      <c r="R66" s="17">
        <f>IF($I66,c_lotfactor*INDEX(M_Onedeal!$N$8:$N$68,$J66),0)+AR66</f>
        <v>0</v>
      </c>
      <c r="S66" s="17">
        <f>IF($I66,c_lotfactor*INDEX(M_Onedeal!$O$8:$O$68,$J66),0)+AS66</f>
        <v>0</v>
      </c>
      <c r="T66" s="17">
        <f>IF($I66,c_lotfactor*INDEX(M_Onedeal!$P$8:$P$68,$J66),0)+AT66</f>
        <v>0</v>
      </c>
      <c r="U66" s="17">
        <f>IF($I66,c_lotfactor*INDEX(M_Onedeal!$Q$8:$Q$68,$J66),0)+AU66</f>
        <v>0</v>
      </c>
      <c r="V66" s="17">
        <f>IF($I66,c_lotfactor*INDEX(M_Onedeal!$R$8:$R$68,$J66),0)+AV66</f>
        <v>0</v>
      </c>
      <c r="W66" s="17">
        <f>IF($I66,c_lotfactor*INDEX(M_Onedeal!$Y$8:$Y$68,$J66),0)+AW66</f>
        <v>0</v>
      </c>
      <c r="X66" s="17">
        <f>IF($I66,c_lotfactor*INDEX(M_Onedeal!$AA$8:$AA$68,$J66),0)+AX66</f>
        <v>0</v>
      </c>
      <c r="Y66" s="17">
        <f>IF($I66,c_lotfactor*INDEX(M_Onedeal!$AD$8:$AD$68,$J66),0)+AY66</f>
        <v>0</v>
      </c>
      <c r="Z66" s="17">
        <f>IF($I66,c_lotfactor*INDEX(M_Onedeal!$AF$8:$AF$68,$J66),0)+AZ66</f>
        <v>0</v>
      </c>
      <c r="AA66" s="17">
        <f>IF($I66,c_lotfactor*INDEX(M_Onedeal!$AG$8:$AG$68,$J66),0)+BA66</f>
        <v>0</v>
      </c>
      <c r="AB66" s="17">
        <f>IF($I66,c_lotfactor*INDEX(M_Onedeal!$AI$8:$AI$68,$J66),0)+BB66</f>
        <v>0</v>
      </c>
      <c r="AC66" s="17">
        <f>IF($I66,c_lotfactor*INDEX(M_Onedeal!$AQ$8:$AQ$68,$J66),0)+BC66</f>
        <v>0</v>
      </c>
      <c r="AD66" s="17">
        <f>IF($I66,c_lotfactor*INDEX(M_Onedeal!$AR$8:$AR$68,$J66),0)+BD66</f>
        <v>0</v>
      </c>
      <c r="AE66" s="17">
        <f>IF($I66,c_lotfactor*INDEX(M_Onedeal!$AK$8:$AK$68,$J66),0)+BE66</f>
        <v>0</v>
      </c>
      <c r="AF66" s="17">
        <f>IF($I66,c_lotfactor*INDEX(M_Onedeal!$AM$8:$AM$68,$J66),0)+BF66</f>
        <v>0</v>
      </c>
      <c r="AG66" s="17">
        <f>IF($I66,c_lotfactor*-INDEX(M_Onedeal!$AB$8:$AB$68,$J66,0))+BG66</f>
        <v>0</v>
      </c>
      <c r="AH66" s="17">
        <f>IF($I66,c_lotfactor*INDEX(M_Onedeal!$AN$8:$AN$68,$J66),0)+BH66</f>
        <v>0</v>
      </c>
      <c r="AI66" s="17">
        <f>IF($I66,c_lotfactor*INDEX(M_Onedeal!$AO$8:$AO$68,$J66),0)+BI66</f>
        <v>0</v>
      </c>
      <c r="AJ66" s="17">
        <f>IF($I66,c_lotfactor*INDEX(M_Onedeal!$AP$8:$AP$68,$J66),0)+BJ66</f>
        <v>0</v>
      </c>
      <c r="AL66" s="128">
        <v>0</v>
      </c>
      <c r="AM66" s="128">
        <v>0</v>
      </c>
      <c r="AN66" s="128">
        <v>0</v>
      </c>
      <c r="AO66" s="128">
        <v>-1.3652253563363048E-11</v>
      </c>
      <c r="AP66" s="128">
        <v>0</v>
      </c>
      <c r="AQ66" s="128">
        <v>0</v>
      </c>
      <c r="AR66" s="128">
        <v>0</v>
      </c>
      <c r="AS66" s="128">
        <v>0</v>
      </c>
      <c r="AT66" s="128">
        <v>0</v>
      </c>
      <c r="AU66" s="128">
        <v>0</v>
      </c>
      <c r="AV66" s="128">
        <v>0</v>
      </c>
      <c r="AW66" s="128">
        <v>0</v>
      </c>
      <c r="AX66" s="128">
        <v>0</v>
      </c>
      <c r="AY66" s="128">
        <v>0</v>
      </c>
      <c r="AZ66" s="128">
        <v>0</v>
      </c>
      <c r="BA66" s="128">
        <v>0</v>
      </c>
      <c r="BB66" s="128">
        <v>0</v>
      </c>
      <c r="BC66" s="128">
        <v>0</v>
      </c>
      <c r="BD66" s="128">
        <v>0</v>
      </c>
      <c r="BE66" s="128">
        <v>0</v>
      </c>
      <c r="BF66" s="128">
        <v>0</v>
      </c>
      <c r="BG66" s="128">
        <v>0</v>
      </c>
      <c r="BH66" s="128">
        <v>0</v>
      </c>
      <c r="BI66" s="128">
        <v>0</v>
      </c>
      <c r="BJ66" s="128">
        <v>0</v>
      </c>
    </row>
    <row r="67" spans="2:62" ht="15" customHeight="1">
      <c r="B67" s="15">
        <f t="shared" si="10"/>
        <v>0</v>
      </c>
      <c r="C67" s="15">
        <f t="shared" ca="1" si="7"/>
        <v>2542.6989917229653</v>
      </c>
      <c r="D67" s="332">
        <f t="shared" ca="1" si="11"/>
        <v>0</v>
      </c>
      <c r="E67" s="113">
        <f t="shared" ca="1" si="12"/>
        <v>0</v>
      </c>
      <c r="G67" s="15">
        <f t="shared" si="4"/>
        <v>58</v>
      </c>
      <c r="H67" s="15">
        <f t="shared" si="5"/>
        <v>5</v>
      </c>
      <c r="I67" s="15">
        <f t="shared" si="8"/>
        <v>0</v>
      </c>
      <c r="J67" s="15">
        <f t="shared" si="9"/>
        <v>58</v>
      </c>
      <c r="L67" s="15">
        <f>IF($I67,c_lotfactor*INDEX(M_Onedeal!$E$8:$E$68,$J67),0)+AL67</f>
        <v>0</v>
      </c>
      <c r="M67" s="15">
        <f>IF($I67,c_lotfactor*INDEX(M_Onedeal!$H$8:$H$68,$J67),0)+AM67</f>
        <v>0</v>
      </c>
      <c r="N67" s="15">
        <f>IF($I67,c_lotfactor*INDEX(M_Onedeal!$I$8:$I$68,$J67),0)+AN67</f>
        <v>0</v>
      </c>
      <c r="O67" s="15">
        <f>IF($I67,c_lotfactor*INDEX(M_Onedeal!$K$8:$K$68,$J67),0)+AO67</f>
        <v>-1.3045820624147685E-11</v>
      </c>
      <c r="P67" s="15">
        <f>IF($I67,c_lotfactor*INDEX(M_Onedeal!$L$8:$L$68,$J67),0)+AP67</f>
        <v>0</v>
      </c>
      <c r="Q67" s="15">
        <f>IF($I67,c_lotfactor*INDEX(M_Onedeal!$M$8:$M$68,$J67),0)+AQ67</f>
        <v>0</v>
      </c>
      <c r="R67" s="15">
        <f>IF($I67,c_lotfactor*INDEX(M_Onedeal!$N$8:$N$68,$J67),0)+AR67</f>
        <v>0</v>
      </c>
      <c r="S67" s="15">
        <f>IF($I67,c_lotfactor*INDEX(M_Onedeal!$O$8:$O$68,$J67),0)+AS67</f>
        <v>0</v>
      </c>
      <c r="T67" s="15">
        <f>IF($I67,c_lotfactor*INDEX(M_Onedeal!$P$8:$P$68,$J67),0)+AT67</f>
        <v>0</v>
      </c>
      <c r="U67" s="15">
        <f>IF($I67,c_lotfactor*INDEX(M_Onedeal!$Q$8:$Q$68,$J67),0)+AU67</f>
        <v>0</v>
      </c>
      <c r="V67" s="15">
        <f>IF($I67,c_lotfactor*INDEX(M_Onedeal!$R$8:$R$68,$J67),0)+AV67</f>
        <v>0</v>
      </c>
      <c r="W67" s="15">
        <f>IF($I67,c_lotfactor*INDEX(M_Onedeal!$Y$8:$Y$68,$J67),0)+AW67</f>
        <v>0</v>
      </c>
      <c r="X67" s="15">
        <f>IF($I67,c_lotfactor*INDEX(M_Onedeal!$AA$8:$AA$68,$J67),0)+AX67</f>
        <v>0</v>
      </c>
      <c r="Y67" s="15">
        <f>IF($I67,c_lotfactor*INDEX(M_Onedeal!$AD$8:$AD$68,$J67),0)+AY67</f>
        <v>0</v>
      </c>
      <c r="Z67" s="15">
        <f>IF($I67,c_lotfactor*INDEX(M_Onedeal!$AF$8:$AF$68,$J67),0)+AZ67</f>
        <v>0</v>
      </c>
      <c r="AA67" s="15">
        <f>IF($I67,c_lotfactor*INDEX(M_Onedeal!$AG$8:$AG$68,$J67),0)+BA67</f>
        <v>0</v>
      </c>
      <c r="AB67" s="15">
        <f>IF($I67,c_lotfactor*INDEX(M_Onedeal!$AI$8:$AI$68,$J67),0)+BB67</f>
        <v>0</v>
      </c>
      <c r="AC67" s="15">
        <f>IF($I67,c_lotfactor*INDEX(M_Onedeal!$AQ$8:$AQ$68,$J67),0)+BC67</f>
        <v>0</v>
      </c>
      <c r="AD67" s="15">
        <f>IF($I67,c_lotfactor*INDEX(M_Onedeal!$AR$8:$AR$68,$J67),0)+BD67</f>
        <v>0</v>
      </c>
      <c r="AE67" s="15">
        <f>IF($I67,c_lotfactor*INDEX(M_Onedeal!$AK$8:$AK$68,$J67),0)+BE67</f>
        <v>0</v>
      </c>
      <c r="AF67" s="15">
        <f>IF($I67,c_lotfactor*INDEX(M_Onedeal!$AM$8:$AM$68,$J67),0)+BF67</f>
        <v>0</v>
      </c>
      <c r="AG67" s="15">
        <f>IF($I67,c_lotfactor*-INDEX(M_Onedeal!$AB$8:$AB$68,$J67,0))+BG67</f>
        <v>0</v>
      </c>
      <c r="AH67" s="15">
        <f>IF($I67,c_lotfactor*INDEX(M_Onedeal!$AN$8:$AN$68,$J67),0)+BH67</f>
        <v>0</v>
      </c>
      <c r="AI67" s="15">
        <f>IF($I67,c_lotfactor*INDEX(M_Onedeal!$AO$8:$AO$68,$J67),0)+BI67</f>
        <v>0</v>
      </c>
      <c r="AJ67" s="15">
        <f>IF($I67,c_lotfactor*INDEX(M_Onedeal!$AP$8:$AP$68,$J67),0)+BJ67</f>
        <v>0</v>
      </c>
      <c r="AL67" s="126">
        <v>0</v>
      </c>
      <c r="AM67" s="126">
        <v>0</v>
      </c>
      <c r="AN67" s="126">
        <v>0</v>
      </c>
      <c r="AO67" s="126">
        <v>-1.3045820624147685E-11</v>
      </c>
      <c r="AP67" s="126">
        <v>0</v>
      </c>
      <c r="AQ67" s="126">
        <v>0</v>
      </c>
      <c r="AR67" s="126">
        <v>0</v>
      </c>
      <c r="AS67" s="126">
        <v>0</v>
      </c>
      <c r="AT67" s="126">
        <v>0</v>
      </c>
      <c r="AU67" s="126">
        <v>0</v>
      </c>
      <c r="AV67" s="126">
        <v>0</v>
      </c>
      <c r="AW67" s="126">
        <v>0</v>
      </c>
      <c r="AX67" s="126">
        <v>0</v>
      </c>
      <c r="AY67" s="126">
        <v>0</v>
      </c>
      <c r="AZ67" s="126">
        <v>0</v>
      </c>
      <c r="BA67" s="126">
        <v>0</v>
      </c>
      <c r="BB67" s="126">
        <v>0</v>
      </c>
      <c r="BC67" s="126">
        <v>0</v>
      </c>
      <c r="BD67" s="126">
        <v>0</v>
      </c>
      <c r="BE67" s="126">
        <v>0</v>
      </c>
      <c r="BF67" s="126">
        <v>0</v>
      </c>
      <c r="BG67" s="126">
        <v>0</v>
      </c>
      <c r="BH67" s="126">
        <v>0</v>
      </c>
      <c r="BI67" s="126">
        <v>0</v>
      </c>
      <c r="BJ67" s="126">
        <v>0</v>
      </c>
    </row>
    <row r="68" spans="2:62" ht="15" customHeight="1">
      <c r="B68" s="16">
        <f t="shared" si="10"/>
        <v>0</v>
      </c>
      <c r="C68" s="16">
        <f t="shared" ca="1" si="7"/>
        <v>2542.6989917229653</v>
      </c>
      <c r="D68" s="333">
        <f t="shared" ca="1" si="11"/>
        <v>0</v>
      </c>
      <c r="E68" s="115">
        <f t="shared" ca="1" si="12"/>
        <v>0</v>
      </c>
      <c r="G68" s="16">
        <f t="shared" si="4"/>
        <v>59</v>
      </c>
      <c r="H68" s="16">
        <f t="shared" si="5"/>
        <v>5</v>
      </c>
      <c r="I68" s="16">
        <f t="shared" si="8"/>
        <v>0</v>
      </c>
      <c r="J68" s="16">
        <f t="shared" si="9"/>
        <v>59</v>
      </c>
      <c r="L68" s="16">
        <f>IF($I68,c_lotfactor*INDEX(M_Onedeal!$E$8:$E$68,$J68),0)+AL68</f>
        <v>0</v>
      </c>
      <c r="M68" s="16">
        <f>IF($I68,c_lotfactor*INDEX(M_Onedeal!$H$8:$H$68,$J68),0)+AM68</f>
        <v>0</v>
      </c>
      <c r="N68" s="16">
        <f>IF($I68,c_lotfactor*INDEX(M_Onedeal!$I$8:$I$68,$J68),0)+AN68</f>
        <v>0</v>
      </c>
      <c r="O68" s="16">
        <f>IF($I68,c_lotfactor*INDEX(M_Onedeal!$K$8:$K$68,$J68),0)+AO68</f>
        <v>-1.2439387684932323E-11</v>
      </c>
      <c r="P68" s="16">
        <f>IF($I68,c_lotfactor*INDEX(M_Onedeal!$L$8:$L$68,$J68),0)+AP68</f>
        <v>0</v>
      </c>
      <c r="Q68" s="16">
        <f>IF($I68,c_lotfactor*INDEX(M_Onedeal!$M$8:$M$68,$J68),0)+AQ68</f>
        <v>0</v>
      </c>
      <c r="R68" s="16">
        <f>IF($I68,c_lotfactor*INDEX(M_Onedeal!$N$8:$N$68,$J68),0)+AR68</f>
        <v>0</v>
      </c>
      <c r="S68" s="16">
        <f>IF($I68,c_lotfactor*INDEX(M_Onedeal!$O$8:$O$68,$J68),0)+AS68</f>
        <v>0</v>
      </c>
      <c r="T68" s="16">
        <f>IF($I68,c_lotfactor*INDEX(M_Onedeal!$P$8:$P$68,$J68),0)+AT68</f>
        <v>0</v>
      </c>
      <c r="U68" s="16">
        <f>IF($I68,c_lotfactor*INDEX(M_Onedeal!$Q$8:$Q$68,$J68),0)+AU68</f>
        <v>0</v>
      </c>
      <c r="V68" s="16">
        <f>IF($I68,c_lotfactor*INDEX(M_Onedeal!$R$8:$R$68,$J68),0)+AV68</f>
        <v>0</v>
      </c>
      <c r="W68" s="16">
        <f>IF($I68,c_lotfactor*INDEX(M_Onedeal!$Y$8:$Y$68,$J68),0)+AW68</f>
        <v>0</v>
      </c>
      <c r="X68" s="16">
        <f>IF($I68,c_lotfactor*INDEX(M_Onedeal!$AA$8:$AA$68,$J68),0)+AX68</f>
        <v>0</v>
      </c>
      <c r="Y68" s="16">
        <f>IF($I68,c_lotfactor*INDEX(M_Onedeal!$AD$8:$AD$68,$J68),0)+AY68</f>
        <v>0</v>
      </c>
      <c r="Z68" s="16">
        <f>IF($I68,c_lotfactor*INDEX(M_Onedeal!$AF$8:$AF$68,$J68),0)+AZ68</f>
        <v>0</v>
      </c>
      <c r="AA68" s="16">
        <f>IF($I68,c_lotfactor*INDEX(M_Onedeal!$AG$8:$AG$68,$J68),0)+BA68</f>
        <v>0</v>
      </c>
      <c r="AB68" s="16">
        <f>IF($I68,c_lotfactor*INDEX(M_Onedeal!$AI$8:$AI$68,$J68),0)+BB68</f>
        <v>0</v>
      </c>
      <c r="AC68" s="16">
        <f>IF($I68,c_lotfactor*INDEX(M_Onedeal!$AQ$8:$AQ$68,$J68),0)+BC68</f>
        <v>0</v>
      </c>
      <c r="AD68" s="16">
        <f>IF($I68,c_lotfactor*INDEX(M_Onedeal!$AR$8:$AR$68,$J68),0)+BD68</f>
        <v>0</v>
      </c>
      <c r="AE68" s="16">
        <f>IF($I68,c_lotfactor*INDEX(M_Onedeal!$AK$8:$AK$68,$J68),0)+BE68</f>
        <v>0</v>
      </c>
      <c r="AF68" s="16">
        <f>IF($I68,c_lotfactor*INDEX(M_Onedeal!$AM$8:$AM$68,$J68),0)+BF68</f>
        <v>0</v>
      </c>
      <c r="AG68" s="16">
        <f>IF($I68,c_lotfactor*-INDEX(M_Onedeal!$AB$8:$AB$68,$J68,0))+BG68</f>
        <v>0</v>
      </c>
      <c r="AH68" s="16">
        <f>IF($I68,c_lotfactor*INDEX(M_Onedeal!$AN$8:$AN$68,$J68),0)+BH68</f>
        <v>0</v>
      </c>
      <c r="AI68" s="16">
        <f>IF($I68,c_lotfactor*INDEX(M_Onedeal!$AO$8:$AO$68,$J68),0)+BI68</f>
        <v>0</v>
      </c>
      <c r="AJ68" s="16">
        <f>IF($I68,c_lotfactor*INDEX(M_Onedeal!$AP$8:$AP$68,$J68),0)+BJ68</f>
        <v>0</v>
      </c>
      <c r="AL68" s="127">
        <v>0</v>
      </c>
      <c r="AM68" s="127">
        <v>0</v>
      </c>
      <c r="AN68" s="127">
        <v>0</v>
      </c>
      <c r="AO68" s="127">
        <v>-1.2439387684932323E-11</v>
      </c>
      <c r="AP68" s="127">
        <v>0</v>
      </c>
      <c r="AQ68" s="127">
        <v>0</v>
      </c>
      <c r="AR68" s="127">
        <v>0</v>
      </c>
      <c r="AS68" s="127">
        <v>0</v>
      </c>
      <c r="AT68" s="127">
        <v>0</v>
      </c>
      <c r="AU68" s="127">
        <v>0</v>
      </c>
      <c r="AV68" s="127">
        <v>0</v>
      </c>
      <c r="AW68" s="127">
        <v>0</v>
      </c>
      <c r="AX68" s="127">
        <v>0</v>
      </c>
      <c r="AY68" s="127">
        <v>0</v>
      </c>
      <c r="AZ68" s="127">
        <v>0</v>
      </c>
      <c r="BA68" s="127">
        <v>0</v>
      </c>
      <c r="BB68" s="127">
        <v>0</v>
      </c>
      <c r="BC68" s="127">
        <v>0</v>
      </c>
      <c r="BD68" s="127">
        <v>0</v>
      </c>
      <c r="BE68" s="127">
        <v>0</v>
      </c>
      <c r="BF68" s="127">
        <v>0</v>
      </c>
      <c r="BG68" s="127">
        <v>0</v>
      </c>
      <c r="BH68" s="127">
        <v>0</v>
      </c>
      <c r="BI68" s="127">
        <v>0</v>
      </c>
      <c r="BJ68" s="127">
        <v>0</v>
      </c>
    </row>
    <row r="69" spans="2:62" ht="15" customHeight="1" thickBot="1">
      <c r="B69" s="18">
        <f t="shared" si="10"/>
        <v>0</v>
      </c>
      <c r="C69" s="18">
        <f t="shared" ca="1" si="7"/>
        <v>2542.6989917229653</v>
      </c>
      <c r="D69" s="335">
        <f t="shared" ca="1" si="11"/>
        <v>0</v>
      </c>
      <c r="E69" s="117">
        <f t="shared" ca="1" si="12"/>
        <v>0</v>
      </c>
      <c r="G69" s="18">
        <f t="shared" si="4"/>
        <v>60</v>
      </c>
      <c r="H69" s="18">
        <f t="shared" si="5"/>
        <v>5</v>
      </c>
      <c r="I69" s="18">
        <f t="shared" si="8"/>
        <v>0</v>
      </c>
      <c r="J69" s="18">
        <f t="shared" si="9"/>
        <v>60</v>
      </c>
      <c r="L69" s="18">
        <f>IF($I69,c_lotfactor*INDEX(M_Onedeal!$E$8:$E$68,$J69),0)+AL69</f>
        <v>0</v>
      </c>
      <c r="M69" s="18">
        <f>IF($I69,c_lotfactor*INDEX(M_Onedeal!$H$8:$H$68,$J69),0)+AM69</f>
        <v>0</v>
      </c>
      <c r="N69" s="18">
        <f>IF($I69,c_lotfactor*INDEX(M_Onedeal!$I$8:$I$68,$J69),0)+AN69</f>
        <v>0</v>
      </c>
      <c r="O69" s="18">
        <f>IF($I69,c_lotfactor*INDEX(M_Onedeal!$K$8:$K$68,$J69),0)+AO69</f>
        <v>-1.1832954745716961E-11</v>
      </c>
      <c r="P69" s="18">
        <f>IF($I69,c_lotfactor*INDEX(M_Onedeal!$L$8:$L$68,$J69),0)+AP69</f>
        <v>0</v>
      </c>
      <c r="Q69" s="18">
        <f>IF($I69,c_lotfactor*INDEX(M_Onedeal!$M$8:$M$68,$J69),0)+AQ69</f>
        <v>0</v>
      </c>
      <c r="R69" s="18">
        <f>IF($I69,c_lotfactor*INDEX(M_Onedeal!$N$8:$N$68,$J69),0)+AR69</f>
        <v>0</v>
      </c>
      <c r="S69" s="18">
        <f>IF($I69,c_lotfactor*INDEX(M_Onedeal!$O$8:$O$68,$J69),0)+AS69</f>
        <v>0</v>
      </c>
      <c r="T69" s="18">
        <f>IF($I69,c_lotfactor*INDEX(M_Onedeal!$P$8:$P$68,$J69),0)+AT69</f>
        <v>0</v>
      </c>
      <c r="U69" s="18">
        <f>IF($I69,c_lotfactor*INDEX(M_Onedeal!$Q$8:$Q$68,$J69),0)+AU69</f>
        <v>0</v>
      </c>
      <c r="V69" s="18">
        <f>IF($I69,c_lotfactor*INDEX(M_Onedeal!$R$8:$R$68,$J69),0)+AV69</f>
        <v>0</v>
      </c>
      <c r="W69" s="18">
        <f>IF($I69,c_lotfactor*INDEX(M_Onedeal!$Y$8:$Y$68,$J69),0)+AW69</f>
        <v>0</v>
      </c>
      <c r="X69" s="18">
        <f>IF($I69,c_lotfactor*INDEX(M_Onedeal!$AA$8:$AA$68,$J69),0)+AX69</f>
        <v>0</v>
      </c>
      <c r="Y69" s="18">
        <f>IF($I69,c_lotfactor*INDEX(M_Onedeal!$AD$8:$AD$68,$J69),0)+AY69</f>
        <v>0</v>
      </c>
      <c r="Z69" s="18">
        <f>IF($I69,c_lotfactor*INDEX(M_Onedeal!$AF$8:$AF$68,$J69),0)+AZ69</f>
        <v>0</v>
      </c>
      <c r="AA69" s="18">
        <f>IF($I69,c_lotfactor*INDEX(M_Onedeal!$AG$8:$AG$68,$J69),0)+BA69</f>
        <v>0</v>
      </c>
      <c r="AB69" s="18">
        <f>IF($I69,c_lotfactor*INDEX(M_Onedeal!$AI$8:$AI$68,$J69),0)+BB69</f>
        <v>0</v>
      </c>
      <c r="AC69" s="18">
        <f>IF($I69,c_lotfactor*INDEX(M_Onedeal!$AQ$8:$AQ$68,$J69),0)+BC69</f>
        <v>0</v>
      </c>
      <c r="AD69" s="18">
        <f>IF($I69,c_lotfactor*INDEX(M_Onedeal!$AR$8:$AR$68,$J69),0)+BD69</f>
        <v>0</v>
      </c>
      <c r="AE69" s="18">
        <f>IF($I69,c_lotfactor*INDEX(M_Onedeal!$AK$8:$AK$68,$J69),0)+BE69</f>
        <v>0</v>
      </c>
      <c r="AF69" s="18">
        <f>IF($I69,c_lotfactor*INDEX(M_Onedeal!$AM$8:$AM$68,$J69),0)+BF69</f>
        <v>0</v>
      </c>
      <c r="AG69" s="18">
        <f>IF($I69,c_lotfactor*-INDEX(M_Onedeal!$AB$8:$AB$68,$J69,0))+BG69</f>
        <v>0</v>
      </c>
      <c r="AH69" s="18">
        <f>IF($I69,c_lotfactor*INDEX(M_Onedeal!$AN$8:$AN$68,$J69),0)+BH69</f>
        <v>0</v>
      </c>
      <c r="AI69" s="18">
        <f>IF($I69,c_lotfactor*INDEX(M_Onedeal!$AO$8:$AO$68,$J69),0)+BI69</f>
        <v>0</v>
      </c>
      <c r="AJ69" s="18">
        <f>IF($I69,c_lotfactor*INDEX(M_Onedeal!$AP$8:$AP$68,$J69),0)+BJ69</f>
        <v>0</v>
      </c>
      <c r="AL69" s="129">
        <v>0</v>
      </c>
      <c r="AM69" s="129">
        <v>0</v>
      </c>
      <c r="AN69" s="129">
        <v>0</v>
      </c>
      <c r="AO69" s="129">
        <v>-1.1832954745716961E-11</v>
      </c>
      <c r="AP69" s="129">
        <v>0</v>
      </c>
      <c r="AQ69" s="129">
        <v>0</v>
      </c>
      <c r="AR69" s="129">
        <v>0</v>
      </c>
      <c r="AS69" s="129">
        <v>0</v>
      </c>
      <c r="AT69" s="129">
        <v>0</v>
      </c>
      <c r="AU69" s="129">
        <v>0</v>
      </c>
      <c r="AV69" s="129">
        <v>0</v>
      </c>
      <c r="AW69" s="129">
        <v>0</v>
      </c>
      <c r="AX69" s="129">
        <v>0</v>
      </c>
      <c r="AY69" s="129">
        <v>0</v>
      </c>
      <c r="AZ69" s="129">
        <v>0</v>
      </c>
      <c r="BA69" s="129">
        <v>0</v>
      </c>
      <c r="BB69" s="129">
        <v>0</v>
      </c>
      <c r="BC69" s="129">
        <v>0</v>
      </c>
      <c r="BD69" s="129">
        <v>0</v>
      </c>
      <c r="BE69" s="129">
        <v>0</v>
      </c>
      <c r="BF69" s="129">
        <v>0</v>
      </c>
      <c r="BG69" s="129">
        <v>0</v>
      </c>
      <c r="BH69" s="129">
        <v>0</v>
      </c>
      <c r="BI69" s="129">
        <v>0</v>
      </c>
      <c r="BJ69" s="129">
        <v>0</v>
      </c>
    </row>
    <row r="70" spans="2:62" ht="15" customHeight="1">
      <c r="B70" s="19">
        <f t="shared" si="10"/>
        <v>0</v>
      </c>
      <c r="C70" s="19">
        <f t="shared" ca="1" si="7"/>
        <v>2542.6989917229653</v>
      </c>
      <c r="D70" s="336">
        <f t="shared" ca="1" si="11"/>
        <v>0</v>
      </c>
      <c r="E70" s="118">
        <f t="shared" ca="1" si="12"/>
        <v>0</v>
      </c>
      <c r="G70" s="19">
        <f t="shared" si="4"/>
        <v>61</v>
      </c>
      <c r="H70" s="19">
        <f t="shared" si="5"/>
        <v>6</v>
      </c>
      <c r="I70" s="19">
        <f t="shared" si="8"/>
        <v>0</v>
      </c>
      <c r="J70" s="19">
        <f t="shared" si="9"/>
        <v>61</v>
      </c>
      <c r="L70" s="19">
        <f>IF($I70,c_lotfactor*INDEX(M_Onedeal!$E$8:$E$68,$J70),0)+AL70</f>
        <v>0</v>
      </c>
      <c r="M70" s="19">
        <f>IF($I70,c_lotfactor*INDEX(M_Onedeal!$H$8:$H$68,$J70),0)+AM70</f>
        <v>0</v>
      </c>
      <c r="N70" s="19">
        <f>IF($I70,c_lotfactor*INDEX(M_Onedeal!$I$8:$I$68,$J70),0)+AN70</f>
        <v>0</v>
      </c>
      <c r="O70" s="19">
        <f>IF($I70,c_lotfactor*INDEX(M_Onedeal!$K$8:$K$68,$J70),0)+AO70</f>
        <v>-1.1226521806501599E-11</v>
      </c>
      <c r="P70" s="19">
        <f>IF($I70,c_lotfactor*INDEX(M_Onedeal!$L$8:$L$68,$J70),0)+AP70</f>
        <v>0</v>
      </c>
      <c r="Q70" s="19">
        <f>IF($I70,c_lotfactor*INDEX(M_Onedeal!$M$8:$M$68,$J70),0)+AQ70</f>
        <v>0</v>
      </c>
      <c r="R70" s="19">
        <f>IF($I70,c_lotfactor*INDEX(M_Onedeal!$N$8:$N$68,$J70),0)+AR70</f>
        <v>0</v>
      </c>
      <c r="S70" s="19">
        <f>IF($I70,c_lotfactor*INDEX(M_Onedeal!$O$8:$O$68,$J70),0)+AS70</f>
        <v>0</v>
      </c>
      <c r="T70" s="19">
        <f>IF($I70,c_lotfactor*INDEX(M_Onedeal!$P$8:$P$68,$J70),0)+AT70</f>
        <v>0</v>
      </c>
      <c r="U70" s="19">
        <f>IF($I70,c_lotfactor*INDEX(M_Onedeal!$Q$8:$Q$68,$J70),0)+AU70</f>
        <v>0</v>
      </c>
      <c r="V70" s="19">
        <f>IF($I70,c_lotfactor*INDEX(M_Onedeal!$R$8:$R$68,$J70),0)+AV70</f>
        <v>0</v>
      </c>
      <c r="W70" s="19">
        <f>IF($I70,c_lotfactor*INDEX(M_Onedeal!$Y$8:$Y$68,$J70),0)+AW70</f>
        <v>0</v>
      </c>
      <c r="X70" s="19">
        <f>IF($I70,c_lotfactor*INDEX(M_Onedeal!$AA$8:$AA$68,$J70),0)+AX70</f>
        <v>0</v>
      </c>
      <c r="Y70" s="19">
        <f>IF($I70,c_lotfactor*INDEX(M_Onedeal!$AD$8:$AD$68,$J70),0)+AY70</f>
        <v>0</v>
      </c>
      <c r="Z70" s="19">
        <f>IF($I70,c_lotfactor*INDEX(M_Onedeal!$AF$8:$AF$68,$J70),0)+AZ70</f>
        <v>0</v>
      </c>
      <c r="AA70" s="19">
        <f>IF($I70,c_lotfactor*INDEX(M_Onedeal!$AG$8:$AG$68,$J70),0)+BA70</f>
        <v>0</v>
      </c>
      <c r="AB70" s="19">
        <f>IF($I70,c_lotfactor*INDEX(M_Onedeal!$AI$8:$AI$68,$J70),0)+BB70</f>
        <v>0</v>
      </c>
      <c r="AC70" s="19">
        <f>IF($I70,c_lotfactor*INDEX(M_Onedeal!$AQ$8:$AQ$68,$J70),0)+BC70</f>
        <v>0</v>
      </c>
      <c r="AD70" s="19">
        <f>IF($I70,c_lotfactor*INDEX(M_Onedeal!$AR$8:$AR$68,$J70),0)+BD70</f>
        <v>0</v>
      </c>
      <c r="AE70" s="19">
        <f>IF($I70,c_lotfactor*INDEX(M_Onedeal!$AK$8:$AK$68,$J70),0)+BE70</f>
        <v>0</v>
      </c>
      <c r="AF70" s="19">
        <f>IF($I70,c_lotfactor*INDEX(M_Onedeal!$AM$8:$AM$68,$J70),0)+BF70</f>
        <v>0</v>
      </c>
      <c r="AG70" s="19">
        <f>IF($I70,c_lotfactor*-INDEX(M_Onedeal!$AB$8:$AB$68,$J70,0))+BG70</f>
        <v>0</v>
      </c>
      <c r="AH70" s="19">
        <f>IF($I70,c_lotfactor*INDEX(M_Onedeal!$AN$8:$AN$68,$J70),0)+BH70</f>
        <v>0</v>
      </c>
      <c r="AI70" s="19">
        <f>IF($I70,c_lotfactor*INDEX(M_Onedeal!$AO$8:$AO$68,$J70),0)+BI70</f>
        <v>0</v>
      </c>
      <c r="AJ70" s="19">
        <f>IF($I70,c_lotfactor*INDEX(M_Onedeal!$AP$8:$AP$68,$J70),0)+BJ70</f>
        <v>0</v>
      </c>
      <c r="AL70" s="130">
        <v>0</v>
      </c>
      <c r="AM70" s="130">
        <v>0</v>
      </c>
      <c r="AN70" s="130">
        <v>0</v>
      </c>
      <c r="AO70" s="130">
        <v>-1.1226521806501599E-11</v>
      </c>
      <c r="AP70" s="130">
        <v>0</v>
      </c>
      <c r="AQ70" s="130">
        <v>0</v>
      </c>
      <c r="AR70" s="130">
        <v>0</v>
      </c>
      <c r="AS70" s="130">
        <v>0</v>
      </c>
      <c r="AT70" s="130">
        <v>0</v>
      </c>
      <c r="AU70" s="130">
        <v>0</v>
      </c>
      <c r="AV70" s="130">
        <v>0</v>
      </c>
      <c r="AW70" s="130">
        <v>0</v>
      </c>
      <c r="AX70" s="130">
        <v>0</v>
      </c>
      <c r="AY70" s="130">
        <v>0</v>
      </c>
      <c r="AZ70" s="130">
        <v>0</v>
      </c>
      <c r="BA70" s="130">
        <v>0</v>
      </c>
      <c r="BB70" s="130">
        <v>0</v>
      </c>
      <c r="BC70" s="130">
        <v>0</v>
      </c>
      <c r="BD70" s="130">
        <v>0</v>
      </c>
      <c r="BE70" s="130">
        <v>0</v>
      </c>
      <c r="BF70" s="130">
        <v>0</v>
      </c>
      <c r="BG70" s="130">
        <v>0</v>
      </c>
      <c r="BH70" s="130">
        <v>0</v>
      </c>
      <c r="BI70" s="130">
        <v>0</v>
      </c>
      <c r="BJ70" s="130">
        <v>0</v>
      </c>
    </row>
    <row r="71" spans="2:62" ht="15" customHeight="1">
      <c r="B71" s="16">
        <f t="shared" si="10"/>
        <v>0</v>
      </c>
      <c r="C71" s="16">
        <f t="shared" ca="1" si="7"/>
        <v>2542.6989917229653</v>
      </c>
      <c r="D71" s="333">
        <f t="shared" ca="1" si="11"/>
        <v>0</v>
      </c>
      <c r="E71" s="115">
        <f t="shared" ca="1" si="12"/>
        <v>0</v>
      </c>
      <c r="G71" s="16">
        <f t="shared" si="4"/>
        <v>62</v>
      </c>
      <c r="H71" s="16">
        <f t="shared" si="5"/>
        <v>6</v>
      </c>
      <c r="I71" s="16">
        <f t="shared" si="8"/>
        <v>0</v>
      </c>
      <c r="J71" s="16">
        <f t="shared" si="9"/>
        <v>62</v>
      </c>
      <c r="L71" s="16">
        <f>IF($I71,c_lotfactor*INDEX(M_Onedeal!$E$8:$E$68,$J71),0)+AL71</f>
        <v>0</v>
      </c>
      <c r="M71" s="16">
        <f>IF($I71,c_lotfactor*INDEX(M_Onedeal!$H$8:$H$68,$J71),0)+AM71</f>
        <v>0</v>
      </c>
      <c r="N71" s="16">
        <f>IF($I71,c_lotfactor*INDEX(M_Onedeal!$I$8:$I$68,$J71),0)+AN71</f>
        <v>0</v>
      </c>
      <c r="O71" s="16">
        <f>IF($I71,c_lotfactor*INDEX(M_Onedeal!$K$8:$K$68,$J71),0)+AO71</f>
        <v>-1.0013655928070875E-11</v>
      </c>
      <c r="P71" s="16">
        <f>IF($I71,c_lotfactor*INDEX(M_Onedeal!$L$8:$L$68,$J71),0)+AP71</f>
        <v>0</v>
      </c>
      <c r="Q71" s="16">
        <f>IF($I71,c_lotfactor*INDEX(M_Onedeal!$M$8:$M$68,$J71),0)+AQ71</f>
        <v>0</v>
      </c>
      <c r="R71" s="16">
        <f>IF($I71,c_lotfactor*INDEX(M_Onedeal!$N$8:$N$68,$J71),0)+AR71</f>
        <v>0</v>
      </c>
      <c r="S71" s="16">
        <f>IF($I71,c_lotfactor*INDEX(M_Onedeal!$O$8:$O$68,$J71),0)+AS71</f>
        <v>0</v>
      </c>
      <c r="T71" s="16">
        <f>IF($I71,c_lotfactor*INDEX(M_Onedeal!$P$8:$P$68,$J71),0)+AT71</f>
        <v>0</v>
      </c>
      <c r="U71" s="16">
        <f>IF($I71,c_lotfactor*INDEX(M_Onedeal!$Q$8:$Q$68,$J71),0)+AU71</f>
        <v>0</v>
      </c>
      <c r="V71" s="16">
        <f>IF($I71,c_lotfactor*INDEX(M_Onedeal!$R$8:$R$68,$J71),0)+AV71</f>
        <v>0</v>
      </c>
      <c r="W71" s="16">
        <f>IF($I71,c_lotfactor*INDEX(M_Onedeal!$Y$8:$Y$68,$J71),0)+AW71</f>
        <v>0</v>
      </c>
      <c r="X71" s="16">
        <f>IF($I71,c_lotfactor*INDEX(M_Onedeal!$AA$8:$AA$68,$J71),0)+AX71</f>
        <v>0</v>
      </c>
      <c r="Y71" s="16">
        <f>IF($I71,c_lotfactor*INDEX(M_Onedeal!$AD$8:$AD$68,$J71),0)+AY71</f>
        <v>0</v>
      </c>
      <c r="Z71" s="16">
        <f>IF($I71,c_lotfactor*INDEX(M_Onedeal!$AF$8:$AF$68,$J71),0)+AZ71</f>
        <v>0</v>
      </c>
      <c r="AA71" s="16">
        <f>IF($I71,c_lotfactor*INDEX(M_Onedeal!$AG$8:$AG$68,$J71),0)+BA71</f>
        <v>0</v>
      </c>
      <c r="AB71" s="16">
        <f>IF($I71,c_lotfactor*INDEX(M_Onedeal!$AI$8:$AI$68,$J71),0)+BB71</f>
        <v>0</v>
      </c>
      <c r="AC71" s="16">
        <f>IF($I71,c_lotfactor*INDEX(M_Onedeal!$AQ$8:$AQ$68,$J71),0)+BC71</f>
        <v>0</v>
      </c>
      <c r="AD71" s="16">
        <f>IF($I71,c_lotfactor*INDEX(M_Onedeal!$AR$8:$AR$68,$J71),0)+BD71</f>
        <v>0</v>
      </c>
      <c r="AE71" s="16">
        <f>IF($I71,c_lotfactor*INDEX(M_Onedeal!$AK$8:$AK$68,$J71),0)+BE71</f>
        <v>0</v>
      </c>
      <c r="AF71" s="16">
        <f>IF($I71,c_lotfactor*INDEX(M_Onedeal!$AM$8:$AM$68,$J71),0)+BF71</f>
        <v>0</v>
      </c>
      <c r="AG71" s="16">
        <f>IF($I71,c_lotfactor*-INDEX(M_Onedeal!$AB$8:$AB$68,$J71,0))+BG71</f>
        <v>0</v>
      </c>
      <c r="AH71" s="16">
        <f>IF($I71,c_lotfactor*INDEX(M_Onedeal!$AN$8:$AN$68,$J71),0)+BH71</f>
        <v>0</v>
      </c>
      <c r="AI71" s="16">
        <f>IF($I71,c_lotfactor*INDEX(M_Onedeal!$AO$8:$AO$68,$J71),0)+BI71</f>
        <v>0</v>
      </c>
      <c r="AJ71" s="16">
        <f>IF($I71,c_lotfactor*INDEX(M_Onedeal!$AP$8:$AP$68,$J71),0)+BJ71</f>
        <v>0</v>
      </c>
      <c r="AL71" s="127">
        <v>0</v>
      </c>
      <c r="AM71" s="127">
        <v>0</v>
      </c>
      <c r="AN71" s="127">
        <v>0</v>
      </c>
      <c r="AO71" s="127">
        <v>-1.0013655928070875E-11</v>
      </c>
      <c r="AP71" s="127">
        <v>0</v>
      </c>
      <c r="AQ71" s="127">
        <v>0</v>
      </c>
      <c r="AR71" s="127">
        <v>0</v>
      </c>
      <c r="AS71" s="127">
        <v>0</v>
      </c>
      <c r="AT71" s="127">
        <v>0</v>
      </c>
      <c r="AU71" s="127">
        <v>0</v>
      </c>
      <c r="AV71" s="127">
        <v>0</v>
      </c>
      <c r="AW71" s="127">
        <v>0</v>
      </c>
      <c r="AX71" s="127">
        <v>0</v>
      </c>
      <c r="AY71" s="127">
        <v>0</v>
      </c>
      <c r="AZ71" s="127">
        <v>0</v>
      </c>
      <c r="BA71" s="127">
        <v>0</v>
      </c>
      <c r="BB71" s="127">
        <v>0</v>
      </c>
      <c r="BC71" s="127">
        <v>0</v>
      </c>
      <c r="BD71" s="127">
        <v>0</v>
      </c>
      <c r="BE71" s="127">
        <v>0</v>
      </c>
      <c r="BF71" s="127">
        <v>0</v>
      </c>
      <c r="BG71" s="127">
        <v>0</v>
      </c>
      <c r="BH71" s="127">
        <v>0</v>
      </c>
      <c r="BI71" s="127">
        <v>0</v>
      </c>
      <c r="BJ71" s="127">
        <v>0</v>
      </c>
    </row>
    <row r="72" spans="2:62" ht="15" customHeight="1">
      <c r="B72" s="17">
        <f t="shared" si="10"/>
        <v>0</v>
      </c>
      <c r="C72" s="17">
        <f t="shared" ca="1" si="7"/>
        <v>2542.6989917229653</v>
      </c>
      <c r="D72" s="334">
        <f t="shared" ca="1" si="11"/>
        <v>0</v>
      </c>
      <c r="E72" s="116">
        <f t="shared" ca="1" si="12"/>
        <v>0</v>
      </c>
      <c r="G72" s="17">
        <f t="shared" si="4"/>
        <v>63</v>
      </c>
      <c r="H72" s="17">
        <f t="shared" si="5"/>
        <v>6</v>
      </c>
      <c r="I72" s="17">
        <f t="shared" si="8"/>
        <v>0</v>
      </c>
      <c r="J72" s="17">
        <f t="shared" si="9"/>
        <v>63</v>
      </c>
      <c r="L72" s="17">
        <f>IF($I72,c_lotfactor*INDEX(M_Onedeal!$E$8:$E$68,$J72),0)+AL72</f>
        <v>0</v>
      </c>
      <c r="M72" s="17">
        <f>IF($I72,c_lotfactor*INDEX(M_Onedeal!$H$8:$H$68,$J72),0)+AM72</f>
        <v>0</v>
      </c>
      <c r="N72" s="17">
        <f>IF($I72,c_lotfactor*INDEX(M_Onedeal!$I$8:$I$68,$J72),0)+AN72</f>
        <v>0</v>
      </c>
      <c r="O72" s="17">
        <f>IF($I72,c_lotfactor*INDEX(M_Onedeal!$K$8:$K$68,$J72),0)+AO72</f>
        <v>-8.8007900496401507E-12</v>
      </c>
      <c r="P72" s="17">
        <f>IF($I72,c_lotfactor*INDEX(M_Onedeal!$L$8:$L$68,$J72),0)+AP72</f>
        <v>0</v>
      </c>
      <c r="Q72" s="17">
        <f>IF($I72,c_lotfactor*INDEX(M_Onedeal!$M$8:$M$68,$J72),0)+AQ72</f>
        <v>0</v>
      </c>
      <c r="R72" s="17">
        <f>IF($I72,c_lotfactor*INDEX(M_Onedeal!$N$8:$N$68,$J72),0)+AR72</f>
        <v>0</v>
      </c>
      <c r="S72" s="17">
        <f>IF($I72,c_lotfactor*INDEX(M_Onedeal!$O$8:$O$68,$J72),0)+AS72</f>
        <v>0</v>
      </c>
      <c r="T72" s="17">
        <f>IF($I72,c_lotfactor*INDEX(M_Onedeal!$P$8:$P$68,$J72),0)+AT72</f>
        <v>0</v>
      </c>
      <c r="U72" s="17">
        <f>IF($I72,c_lotfactor*INDEX(M_Onedeal!$Q$8:$Q$68,$J72),0)+AU72</f>
        <v>0</v>
      </c>
      <c r="V72" s="17">
        <f>IF($I72,c_lotfactor*INDEX(M_Onedeal!$R$8:$R$68,$J72),0)+AV72</f>
        <v>0</v>
      </c>
      <c r="W72" s="17">
        <f>IF($I72,c_lotfactor*INDEX(M_Onedeal!$Y$8:$Y$68,$J72),0)+AW72</f>
        <v>0</v>
      </c>
      <c r="X72" s="17">
        <f>IF($I72,c_lotfactor*INDEX(M_Onedeal!$AA$8:$AA$68,$J72),0)+AX72</f>
        <v>0</v>
      </c>
      <c r="Y72" s="17">
        <f>IF($I72,c_lotfactor*INDEX(M_Onedeal!$AD$8:$AD$68,$J72),0)+AY72</f>
        <v>0</v>
      </c>
      <c r="Z72" s="17">
        <f>IF($I72,c_lotfactor*INDEX(M_Onedeal!$AF$8:$AF$68,$J72),0)+AZ72</f>
        <v>0</v>
      </c>
      <c r="AA72" s="17">
        <f>IF($I72,c_lotfactor*INDEX(M_Onedeal!$AG$8:$AG$68,$J72),0)+BA72</f>
        <v>0</v>
      </c>
      <c r="AB72" s="17">
        <f>IF($I72,c_lotfactor*INDEX(M_Onedeal!$AI$8:$AI$68,$J72),0)+BB72</f>
        <v>0</v>
      </c>
      <c r="AC72" s="17">
        <f>IF($I72,c_lotfactor*INDEX(M_Onedeal!$AQ$8:$AQ$68,$J72),0)+BC72</f>
        <v>0</v>
      </c>
      <c r="AD72" s="17">
        <f>IF($I72,c_lotfactor*INDEX(M_Onedeal!$AR$8:$AR$68,$J72),0)+BD72</f>
        <v>0</v>
      </c>
      <c r="AE72" s="17">
        <f>IF($I72,c_lotfactor*INDEX(M_Onedeal!$AK$8:$AK$68,$J72),0)+BE72</f>
        <v>0</v>
      </c>
      <c r="AF72" s="17">
        <f>IF($I72,c_lotfactor*INDEX(M_Onedeal!$AM$8:$AM$68,$J72),0)+BF72</f>
        <v>0</v>
      </c>
      <c r="AG72" s="17">
        <f>IF($I72,c_lotfactor*-INDEX(M_Onedeal!$AB$8:$AB$68,$J72,0))+BG72</f>
        <v>0</v>
      </c>
      <c r="AH72" s="17">
        <f>IF($I72,c_lotfactor*INDEX(M_Onedeal!$AN$8:$AN$68,$J72),0)+BH72</f>
        <v>0</v>
      </c>
      <c r="AI72" s="17">
        <f>IF($I72,c_lotfactor*INDEX(M_Onedeal!$AO$8:$AO$68,$J72),0)+BI72</f>
        <v>0</v>
      </c>
      <c r="AJ72" s="17">
        <f>IF($I72,c_lotfactor*INDEX(M_Onedeal!$AP$8:$AP$68,$J72),0)+BJ72</f>
        <v>0</v>
      </c>
      <c r="AL72" s="128">
        <v>0</v>
      </c>
      <c r="AM72" s="128">
        <v>0</v>
      </c>
      <c r="AN72" s="128">
        <v>0</v>
      </c>
      <c r="AO72" s="128">
        <v>-8.8007900496401507E-12</v>
      </c>
      <c r="AP72" s="128">
        <v>0</v>
      </c>
      <c r="AQ72" s="128">
        <v>0</v>
      </c>
      <c r="AR72" s="128">
        <v>0</v>
      </c>
      <c r="AS72" s="128">
        <v>0</v>
      </c>
      <c r="AT72" s="128">
        <v>0</v>
      </c>
      <c r="AU72" s="128">
        <v>0</v>
      </c>
      <c r="AV72" s="128">
        <v>0</v>
      </c>
      <c r="AW72" s="128">
        <v>0</v>
      </c>
      <c r="AX72" s="128">
        <v>0</v>
      </c>
      <c r="AY72" s="128">
        <v>0</v>
      </c>
      <c r="AZ72" s="128">
        <v>0</v>
      </c>
      <c r="BA72" s="128">
        <v>0</v>
      </c>
      <c r="BB72" s="128">
        <v>0</v>
      </c>
      <c r="BC72" s="128">
        <v>0</v>
      </c>
      <c r="BD72" s="128">
        <v>0</v>
      </c>
      <c r="BE72" s="128">
        <v>0</v>
      </c>
      <c r="BF72" s="128">
        <v>0</v>
      </c>
      <c r="BG72" s="128">
        <v>0</v>
      </c>
      <c r="BH72" s="128">
        <v>0</v>
      </c>
      <c r="BI72" s="128">
        <v>0</v>
      </c>
      <c r="BJ72" s="128">
        <v>0</v>
      </c>
    </row>
    <row r="73" spans="2:62" ht="15" customHeight="1">
      <c r="B73" s="15">
        <f t="shared" si="10"/>
        <v>0</v>
      </c>
      <c r="C73" s="15">
        <f t="shared" ca="1" si="7"/>
        <v>2542.6989917229653</v>
      </c>
      <c r="D73" s="332">
        <f t="shared" ca="1" si="11"/>
        <v>0</v>
      </c>
      <c r="E73" s="113">
        <f t="shared" ca="1" si="12"/>
        <v>0</v>
      </c>
      <c r="G73" s="15">
        <f t="shared" si="4"/>
        <v>64</v>
      </c>
      <c r="H73" s="15">
        <f t="shared" si="5"/>
        <v>6</v>
      </c>
      <c r="I73" s="15">
        <f t="shared" ref="I73:I104" si="13">IF(AND(G73&gt;=c_offset,$G73&lt;=c_offset+c_lotyears*12),1,0)</f>
        <v>0</v>
      </c>
      <c r="J73" s="15">
        <f t="shared" ref="J73:J104" si="14">$G73-c_offset+1</f>
        <v>64</v>
      </c>
      <c r="L73" s="15">
        <f>IF($I73,c_lotfactor*INDEX(M_Onedeal!$E$8:$E$68,$J73),0)+AL73</f>
        <v>0</v>
      </c>
      <c r="M73" s="15">
        <f>IF($I73,c_lotfactor*INDEX(M_Onedeal!$H$8:$H$68,$J73),0)+AM73</f>
        <v>0</v>
      </c>
      <c r="N73" s="15">
        <f>IF($I73,c_lotfactor*INDEX(M_Onedeal!$I$8:$I$68,$J73),0)+AN73</f>
        <v>0</v>
      </c>
      <c r="O73" s="15">
        <f>IF($I73,c_lotfactor*INDEX(M_Onedeal!$K$8:$K$68,$J73),0)+AO73</f>
        <v>-7.5879241712094265E-12</v>
      </c>
      <c r="P73" s="15">
        <f>IF($I73,c_lotfactor*INDEX(M_Onedeal!$L$8:$L$68,$J73),0)+AP73</f>
        <v>0</v>
      </c>
      <c r="Q73" s="15">
        <f>IF($I73,c_lotfactor*INDEX(M_Onedeal!$M$8:$M$68,$J73),0)+AQ73</f>
        <v>0</v>
      </c>
      <c r="R73" s="15">
        <f>IF($I73,c_lotfactor*INDEX(M_Onedeal!$N$8:$N$68,$J73),0)+AR73</f>
        <v>0</v>
      </c>
      <c r="S73" s="15">
        <f>IF($I73,c_lotfactor*INDEX(M_Onedeal!$O$8:$O$68,$J73),0)+AS73</f>
        <v>0</v>
      </c>
      <c r="T73" s="15">
        <f>IF($I73,c_lotfactor*INDEX(M_Onedeal!$P$8:$P$68,$J73),0)+AT73</f>
        <v>0</v>
      </c>
      <c r="U73" s="15">
        <f>IF($I73,c_lotfactor*INDEX(M_Onedeal!$Q$8:$Q$68,$J73),0)+AU73</f>
        <v>0</v>
      </c>
      <c r="V73" s="15">
        <f>IF($I73,c_lotfactor*INDEX(M_Onedeal!$R$8:$R$68,$J73),0)+AV73</f>
        <v>0</v>
      </c>
      <c r="W73" s="15">
        <f>IF($I73,c_lotfactor*INDEX(M_Onedeal!$Y$8:$Y$68,$J73),0)+AW73</f>
        <v>0</v>
      </c>
      <c r="X73" s="15">
        <f>IF($I73,c_lotfactor*INDEX(M_Onedeal!$AA$8:$AA$68,$J73),0)+AX73</f>
        <v>0</v>
      </c>
      <c r="Y73" s="15">
        <f>IF($I73,c_lotfactor*INDEX(M_Onedeal!$AD$8:$AD$68,$J73),0)+AY73</f>
        <v>0</v>
      </c>
      <c r="Z73" s="15">
        <f>IF($I73,c_lotfactor*INDEX(M_Onedeal!$AF$8:$AF$68,$J73),0)+AZ73</f>
        <v>0</v>
      </c>
      <c r="AA73" s="15">
        <f>IF($I73,c_lotfactor*INDEX(M_Onedeal!$AG$8:$AG$68,$J73),0)+BA73</f>
        <v>0</v>
      </c>
      <c r="AB73" s="15">
        <f>IF($I73,c_lotfactor*INDEX(M_Onedeal!$AI$8:$AI$68,$J73),0)+BB73</f>
        <v>0</v>
      </c>
      <c r="AC73" s="15">
        <f>IF($I73,c_lotfactor*INDEX(M_Onedeal!$AQ$8:$AQ$68,$J73),0)+BC73</f>
        <v>0</v>
      </c>
      <c r="AD73" s="15">
        <f>IF($I73,c_lotfactor*INDEX(M_Onedeal!$AR$8:$AR$68,$J73),0)+BD73</f>
        <v>0</v>
      </c>
      <c r="AE73" s="15">
        <f>IF($I73,c_lotfactor*INDEX(M_Onedeal!$AK$8:$AK$68,$J73),0)+BE73</f>
        <v>0</v>
      </c>
      <c r="AF73" s="15">
        <f>IF($I73,c_lotfactor*INDEX(M_Onedeal!$AM$8:$AM$68,$J73),0)+BF73</f>
        <v>0</v>
      </c>
      <c r="AG73" s="15">
        <f>IF($I73,c_lotfactor*-INDEX(M_Onedeal!$AB$8:$AB$68,$J73,0))+BG73</f>
        <v>0</v>
      </c>
      <c r="AH73" s="15">
        <f>IF($I73,c_lotfactor*INDEX(M_Onedeal!$AN$8:$AN$68,$J73),0)+BH73</f>
        <v>0</v>
      </c>
      <c r="AI73" s="15">
        <f>IF($I73,c_lotfactor*INDEX(M_Onedeal!$AO$8:$AO$68,$J73),0)+BI73</f>
        <v>0</v>
      </c>
      <c r="AJ73" s="15">
        <f>IF($I73,c_lotfactor*INDEX(M_Onedeal!$AP$8:$AP$68,$J73),0)+BJ73</f>
        <v>0</v>
      </c>
      <c r="AL73" s="126">
        <v>0</v>
      </c>
      <c r="AM73" s="126">
        <v>0</v>
      </c>
      <c r="AN73" s="126">
        <v>0</v>
      </c>
      <c r="AO73" s="126">
        <v>-7.5879241712094265E-12</v>
      </c>
      <c r="AP73" s="126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126">
        <v>0</v>
      </c>
      <c r="AW73" s="126">
        <v>0</v>
      </c>
      <c r="AX73" s="126">
        <v>0</v>
      </c>
      <c r="AY73" s="126">
        <v>0</v>
      </c>
      <c r="AZ73" s="126">
        <v>0</v>
      </c>
      <c r="BA73" s="126">
        <v>0</v>
      </c>
      <c r="BB73" s="126">
        <v>0</v>
      </c>
      <c r="BC73" s="126">
        <v>0</v>
      </c>
      <c r="BD73" s="126">
        <v>0</v>
      </c>
      <c r="BE73" s="126">
        <v>0</v>
      </c>
      <c r="BF73" s="126">
        <v>0</v>
      </c>
      <c r="BG73" s="126">
        <v>0</v>
      </c>
      <c r="BH73" s="126">
        <v>0</v>
      </c>
      <c r="BI73" s="126">
        <v>0</v>
      </c>
      <c r="BJ73" s="126">
        <v>0</v>
      </c>
    </row>
    <row r="74" spans="2:62" ht="15" customHeight="1">
      <c r="B74" s="16">
        <f t="shared" ref="B74:B105" si="15">IF($H74&lt;=c_lotyears,INDEX(p_lotsperyear,$H74,1),0)</f>
        <v>0</v>
      </c>
      <c r="C74" s="16">
        <f t="shared" ca="1" si="7"/>
        <v>2542.6989917229653</v>
      </c>
      <c r="D74" s="333">
        <f t="shared" ref="D74:D105" ca="1" si="16">MAX(0,MIN($B74/12,c_maxlots-C74))</f>
        <v>0</v>
      </c>
      <c r="E74" s="115">
        <f t="shared" ref="E74:E105" ca="1" si="17">IF(i_lotstotal&gt;0,D74/i_lotstotal,0)</f>
        <v>0</v>
      </c>
      <c r="G74" s="16">
        <f t="shared" si="4"/>
        <v>65</v>
      </c>
      <c r="H74" s="16">
        <f t="shared" si="5"/>
        <v>6</v>
      </c>
      <c r="I74" s="16">
        <f t="shared" si="13"/>
        <v>0</v>
      </c>
      <c r="J74" s="16">
        <f t="shared" si="14"/>
        <v>65</v>
      </c>
      <c r="L74" s="16">
        <f>IF($I74,c_lotfactor*INDEX(M_Onedeal!$E$8:$E$68,$J74),0)+AL74</f>
        <v>0</v>
      </c>
      <c r="M74" s="16">
        <f>IF($I74,c_lotfactor*INDEX(M_Onedeal!$H$8:$H$68,$J74),0)+AM74</f>
        <v>0</v>
      </c>
      <c r="N74" s="16">
        <f>IF($I74,c_lotfactor*INDEX(M_Onedeal!$I$8:$I$68,$J74),0)+AN74</f>
        <v>0</v>
      </c>
      <c r="O74" s="16">
        <f>IF($I74,c_lotfactor*INDEX(M_Onedeal!$K$8:$K$68,$J74),0)+AO74</f>
        <v>-6.3750582927787023E-12</v>
      </c>
      <c r="P74" s="16">
        <f>IF($I74,c_lotfactor*INDEX(M_Onedeal!$L$8:$L$68,$J74),0)+AP74</f>
        <v>0</v>
      </c>
      <c r="Q74" s="16">
        <f>IF($I74,c_lotfactor*INDEX(M_Onedeal!$M$8:$M$68,$J74),0)+AQ74</f>
        <v>0</v>
      </c>
      <c r="R74" s="16">
        <f>IF($I74,c_lotfactor*INDEX(M_Onedeal!$N$8:$N$68,$J74),0)+AR74</f>
        <v>0</v>
      </c>
      <c r="S74" s="16">
        <f>IF($I74,c_lotfactor*INDEX(M_Onedeal!$O$8:$O$68,$J74),0)+AS74</f>
        <v>0</v>
      </c>
      <c r="T74" s="16">
        <f>IF($I74,c_lotfactor*INDEX(M_Onedeal!$P$8:$P$68,$J74),0)+AT74</f>
        <v>0</v>
      </c>
      <c r="U74" s="16">
        <f>IF($I74,c_lotfactor*INDEX(M_Onedeal!$Q$8:$Q$68,$J74),0)+AU74</f>
        <v>0</v>
      </c>
      <c r="V74" s="16">
        <f>IF($I74,c_lotfactor*INDEX(M_Onedeal!$R$8:$R$68,$J74),0)+AV74</f>
        <v>0</v>
      </c>
      <c r="W74" s="16">
        <f>IF($I74,c_lotfactor*INDEX(M_Onedeal!$Y$8:$Y$68,$J74),0)+AW74</f>
        <v>0</v>
      </c>
      <c r="X74" s="16">
        <f>IF($I74,c_lotfactor*INDEX(M_Onedeal!$AA$8:$AA$68,$J74),0)+AX74</f>
        <v>0</v>
      </c>
      <c r="Y74" s="16">
        <f>IF($I74,c_lotfactor*INDEX(M_Onedeal!$AD$8:$AD$68,$J74),0)+AY74</f>
        <v>0</v>
      </c>
      <c r="Z74" s="16">
        <f>IF($I74,c_lotfactor*INDEX(M_Onedeal!$AF$8:$AF$68,$J74),0)+AZ74</f>
        <v>0</v>
      </c>
      <c r="AA74" s="16">
        <f>IF($I74,c_lotfactor*INDEX(M_Onedeal!$AG$8:$AG$68,$J74),0)+BA74</f>
        <v>0</v>
      </c>
      <c r="AB74" s="16">
        <f>IF($I74,c_lotfactor*INDEX(M_Onedeal!$AI$8:$AI$68,$J74),0)+BB74</f>
        <v>0</v>
      </c>
      <c r="AC74" s="16">
        <f>IF($I74,c_lotfactor*INDEX(M_Onedeal!$AQ$8:$AQ$68,$J74),0)+BC74</f>
        <v>0</v>
      </c>
      <c r="AD74" s="16">
        <f>IF($I74,c_lotfactor*INDEX(M_Onedeal!$AR$8:$AR$68,$J74),0)+BD74</f>
        <v>0</v>
      </c>
      <c r="AE74" s="16">
        <f>IF($I74,c_lotfactor*INDEX(M_Onedeal!$AK$8:$AK$68,$J74),0)+BE74</f>
        <v>0</v>
      </c>
      <c r="AF74" s="16">
        <f>IF($I74,c_lotfactor*INDEX(M_Onedeal!$AM$8:$AM$68,$J74),0)+BF74</f>
        <v>0</v>
      </c>
      <c r="AG74" s="16">
        <f>IF($I74,c_lotfactor*-INDEX(M_Onedeal!$AB$8:$AB$68,$J74,0))+BG74</f>
        <v>0</v>
      </c>
      <c r="AH74" s="16">
        <f>IF($I74,c_lotfactor*INDEX(M_Onedeal!$AN$8:$AN$68,$J74),0)+BH74</f>
        <v>0</v>
      </c>
      <c r="AI74" s="16">
        <f>IF($I74,c_lotfactor*INDEX(M_Onedeal!$AO$8:$AO$68,$J74),0)+BI74</f>
        <v>0</v>
      </c>
      <c r="AJ74" s="16">
        <f>IF($I74,c_lotfactor*INDEX(M_Onedeal!$AP$8:$AP$68,$J74),0)+BJ74</f>
        <v>0</v>
      </c>
      <c r="AL74" s="127">
        <v>0</v>
      </c>
      <c r="AM74" s="127">
        <v>0</v>
      </c>
      <c r="AN74" s="127">
        <v>0</v>
      </c>
      <c r="AO74" s="127">
        <v>-6.3750582927787023E-12</v>
      </c>
      <c r="AP74" s="127">
        <v>0</v>
      </c>
      <c r="AQ74" s="127">
        <v>0</v>
      </c>
      <c r="AR74" s="127">
        <v>0</v>
      </c>
      <c r="AS74" s="127">
        <v>0</v>
      </c>
      <c r="AT74" s="127">
        <v>0</v>
      </c>
      <c r="AU74" s="127">
        <v>0</v>
      </c>
      <c r="AV74" s="127">
        <v>0</v>
      </c>
      <c r="AW74" s="127">
        <v>0</v>
      </c>
      <c r="AX74" s="127">
        <v>0</v>
      </c>
      <c r="AY74" s="127">
        <v>0</v>
      </c>
      <c r="AZ74" s="127">
        <v>0</v>
      </c>
      <c r="BA74" s="127">
        <v>0</v>
      </c>
      <c r="BB74" s="127">
        <v>0</v>
      </c>
      <c r="BC74" s="127">
        <v>0</v>
      </c>
      <c r="BD74" s="127">
        <v>0</v>
      </c>
      <c r="BE74" s="127">
        <v>0</v>
      </c>
      <c r="BF74" s="127">
        <v>0</v>
      </c>
      <c r="BG74" s="127">
        <v>0</v>
      </c>
      <c r="BH74" s="127">
        <v>0</v>
      </c>
      <c r="BI74" s="127">
        <v>0</v>
      </c>
      <c r="BJ74" s="127">
        <v>0</v>
      </c>
    </row>
    <row r="75" spans="2:62" ht="15" customHeight="1">
      <c r="B75" s="17">
        <f t="shared" si="15"/>
        <v>0</v>
      </c>
      <c r="C75" s="17">
        <f t="shared" ref="C75:C117" ca="1" si="18">C74+D74</f>
        <v>2542.6989917229653</v>
      </c>
      <c r="D75" s="334">
        <f t="shared" ca="1" si="16"/>
        <v>0</v>
      </c>
      <c r="E75" s="116">
        <f t="shared" ca="1" si="17"/>
        <v>0</v>
      </c>
      <c r="G75" s="17">
        <f t="shared" si="4"/>
        <v>66</v>
      </c>
      <c r="H75" s="17">
        <f t="shared" si="5"/>
        <v>6</v>
      </c>
      <c r="I75" s="17">
        <f t="shared" si="13"/>
        <v>0</v>
      </c>
      <c r="J75" s="17">
        <f t="shared" si="14"/>
        <v>66</v>
      </c>
      <c r="L75" s="17">
        <f>IF($I75,c_lotfactor*INDEX(M_Onedeal!$E$8:$E$68,$J75),0)+AL75</f>
        <v>0</v>
      </c>
      <c r="M75" s="17">
        <f>IF($I75,c_lotfactor*INDEX(M_Onedeal!$H$8:$H$68,$J75),0)+AM75</f>
        <v>0</v>
      </c>
      <c r="N75" s="17">
        <f>IF($I75,c_lotfactor*INDEX(M_Onedeal!$I$8:$I$68,$J75),0)+AN75</f>
        <v>0</v>
      </c>
      <c r="O75" s="17">
        <f>IF($I75,c_lotfactor*INDEX(M_Onedeal!$K$8:$K$68,$J75),0)+AO75</f>
        <v>-5.1621924143479781E-12</v>
      </c>
      <c r="P75" s="17">
        <f>IF($I75,c_lotfactor*INDEX(M_Onedeal!$L$8:$L$68,$J75),0)+AP75</f>
        <v>0</v>
      </c>
      <c r="Q75" s="17">
        <f>IF($I75,c_lotfactor*INDEX(M_Onedeal!$M$8:$M$68,$J75),0)+AQ75</f>
        <v>0</v>
      </c>
      <c r="R75" s="17">
        <f>IF($I75,c_lotfactor*INDEX(M_Onedeal!$N$8:$N$68,$J75),0)+AR75</f>
        <v>0</v>
      </c>
      <c r="S75" s="17">
        <f>IF($I75,c_lotfactor*INDEX(M_Onedeal!$O$8:$O$68,$J75),0)+AS75</f>
        <v>0</v>
      </c>
      <c r="T75" s="17">
        <f>IF($I75,c_lotfactor*INDEX(M_Onedeal!$P$8:$P$68,$J75),0)+AT75</f>
        <v>0</v>
      </c>
      <c r="U75" s="17">
        <f>IF($I75,c_lotfactor*INDEX(M_Onedeal!$Q$8:$Q$68,$J75),0)+AU75</f>
        <v>0</v>
      </c>
      <c r="V75" s="17">
        <f>IF($I75,c_lotfactor*INDEX(M_Onedeal!$R$8:$R$68,$J75),0)+AV75</f>
        <v>0</v>
      </c>
      <c r="W75" s="17">
        <f>IF($I75,c_lotfactor*INDEX(M_Onedeal!$Y$8:$Y$68,$J75),0)+AW75</f>
        <v>0</v>
      </c>
      <c r="X75" s="17">
        <f>IF($I75,c_lotfactor*INDEX(M_Onedeal!$AA$8:$AA$68,$J75),0)+AX75</f>
        <v>0</v>
      </c>
      <c r="Y75" s="17">
        <f>IF($I75,c_lotfactor*INDEX(M_Onedeal!$AD$8:$AD$68,$J75),0)+AY75</f>
        <v>0</v>
      </c>
      <c r="Z75" s="17">
        <f>IF($I75,c_lotfactor*INDEX(M_Onedeal!$AF$8:$AF$68,$J75),0)+AZ75</f>
        <v>0</v>
      </c>
      <c r="AA75" s="17">
        <f>IF($I75,c_lotfactor*INDEX(M_Onedeal!$AG$8:$AG$68,$J75),0)+BA75</f>
        <v>0</v>
      </c>
      <c r="AB75" s="17">
        <f>IF($I75,c_lotfactor*INDEX(M_Onedeal!$AI$8:$AI$68,$J75),0)+BB75</f>
        <v>0</v>
      </c>
      <c r="AC75" s="17">
        <f>IF($I75,c_lotfactor*INDEX(M_Onedeal!$AQ$8:$AQ$68,$J75),0)+BC75</f>
        <v>0</v>
      </c>
      <c r="AD75" s="17">
        <f>IF($I75,c_lotfactor*INDEX(M_Onedeal!$AR$8:$AR$68,$J75),0)+BD75</f>
        <v>0</v>
      </c>
      <c r="AE75" s="17">
        <f>IF($I75,c_lotfactor*INDEX(M_Onedeal!$AK$8:$AK$68,$J75),0)+BE75</f>
        <v>0</v>
      </c>
      <c r="AF75" s="17">
        <f>IF($I75,c_lotfactor*INDEX(M_Onedeal!$AM$8:$AM$68,$J75),0)+BF75</f>
        <v>0</v>
      </c>
      <c r="AG75" s="17">
        <f>IF($I75,c_lotfactor*-INDEX(M_Onedeal!$AB$8:$AB$68,$J75,0))+BG75</f>
        <v>0</v>
      </c>
      <c r="AH75" s="17">
        <f>IF($I75,c_lotfactor*INDEX(M_Onedeal!$AN$8:$AN$68,$J75),0)+BH75</f>
        <v>0</v>
      </c>
      <c r="AI75" s="17">
        <f>IF($I75,c_lotfactor*INDEX(M_Onedeal!$AO$8:$AO$68,$J75),0)+BI75</f>
        <v>0</v>
      </c>
      <c r="AJ75" s="17">
        <f>IF($I75,c_lotfactor*INDEX(M_Onedeal!$AP$8:$AP$68,$J75),0)+BJ75</f>
        <v>0</v>
      </c>
      <c r="AL75" s="128">
        <v>0</v>
      </c>
      <c r="AM75" s="128">
        <v>0</v>
      </c>
      <c r="AN75" s="128">
        <v>0</v>
      </c>
      <c r="AO75" s="128">
        <v>-5.1621924143479781E-12</v>
      </c>
      <c r="AP75" s="128">
        <v>0</v>
      </c>
      <c r="AQ75" s="128">
        <v>0</v>
      </c>
      <c r="AR75" s="128">
        <v>0</v>
      </c>
      <c r="AS75" s="128">
        <v>0</v>
      </c>
      <c r="AT75" s="128">
        <v>0</v>
      </c>
      <c r="AU75" s="128">
        <v>0</v>
      </c>
      <c r="AV75" s="128">
        <v>0</v>
      </c>
      <c r="AW75" s="128">
        <v>0</v>
      </c>
      <c r="AX75" s="128">
        <v>0</v>
      </c>
      <c r="AY75" s="128">
        <v>0</v>
      </c>
      <c r="AZ75" s="128">
        <v>0</v>
      </c>
      <c r="BA75" s="128">
        <v>0</v>
      </c>
      <c r="BB75" s="128">
        <v>0</v>
      </c>
      <c r="BC75" s="128">
        <v>0</v>
      </c>
      <c r="BD75" s="128">
        <v>0</v>
      </c>
      <c r="BE75" s="128">
        <v>0</v>
      </c>
      <c r="BF75" s="128">
        <v>0</v>
      </c>
      <c r="BG75" s="128">
        <v>0</v>
      </c>
      <c r="BH75" s="128">
        <v>0</v>
      </c>
      <c r="BI75" s="128">
        <v>0</v>
      </c>
      <c r="BJ75" s="128">
        <v>0</v>
      </c>
    </row>
    <row r="76" spans="2:62" ht="15" customHeight="1">
      <c r="B76" s="15">
        <f t="shared" si="15"/>
        <v>0</v>
      </c>
      <c r="C76" s="15">
        <f t="shared" ca="1" si="18"/>
        <v>2542.6989917229653</v>
      </c>
      <c r="D76" s="332">
        <f t="shared" ca="1" si="16"/>
        <v>0</v>
      </c>
      <c r="E76" s="113">
        <f t="shared" ca="1" si="17"/>
        <v>0</v>
      </c>
      <c r="G76" s="15">
        <f t="shared" si="4"/>
        <v>67</v>
      </c>
      <c r="H76" s="15">
        <f t="shared" si="5"/>
        <v>6</v>
      </c>
      <c r="I76" s="15">
        <f t="shared" si="13"/>
        <v>0</v>
      </c>
      <c r="J76" s="15">
        <f t="shared" si="14"/>
        <v>67</v>
      </c>
      <c r="L76" s="15">
        <f>IF($I76,c_lotfactor*INDEX(M_Onedeal!$E$8:$E$68,$J76),0)+AL76</f>
        <v>0</v>
      </c>
      <c r="M76" s="15">
        <f>IF($I76,c_lotfactor*INDEX(M_Onedeal!$H$8:$H$68,$J76),0)+AM76</f>
        <v>0</v>
      </c>
      <c r="N76" s="15">
        <f>IF($I76,c_lotfactor*INDEX(M_Onedeal!$I$8:$I$68,$J76),0)+AN76</f>
        <v>0</v>
      </c>
      <c r="O76" s="15">
        <f>IF($I76,c_lotfactor*INDEX(M_Onedeal!$K$8:$K$68,$J76),0)+AO76</f>
        <v>-3.9493265359172538E-12</v>
      </c>
      <c r="P76" s="15">
        <f>IF($I76,c_lotfactor*INDEX(M_Onedeal!$L$8:$L$68,$J76),0)+AP76</f>
        <v>0</v>
      </c>
      <c r="Q76" s="15">
        <f>IF($I76,c_lotfactor*INDEX(M_Onedeal!$M$8:$M$68,$J76),0)+AQ76</f>
        <v>0</v>
      </c>
      <c r="R76" s="15">
        <f>IF($I76,c_lotfactor*INDEX(M_Onedeal!$N$8:$N$68,$J76),0)+AR76</f>
        <v>0</v>
      </c>
      <c r="S76" s="15">
        <f>IF($I76,c_lotfactor*INDEX(M_Onedeal!$O$8:$O$68,$J76),0)+AS76</f>
        <v>0</v>
      </c>
      <c r="T76" s="15">
        <f>IF($I76,c_lotfactor*INDEX(M_Onedeal!$P$8:$P$68,$J76),0)+AT76</f>
        <v>0</v>
      </c>
      <c r="U76" s="15">
        <f>IF($I76,c_lotfactor*INDEX(M_Onedeal!$Q$8:$Q$68,$J76),0)+AU76</f>
        <v>0</v>
      </c>
      <c r="V76" s="15">
        <f>IF($I76,c_lotfactor*INDEX(M_Onedeal!$R$8:$R$68,$J76),0)+AV76</f>
        <v>0</v>
      </c>
      <c r="W76" s="15">
        <f>IF($I76,c_lotfactor*INDEX(M_Onedeal!$Y$8:$Y$68,$J76),0)+AW76</f>
        <v>0</v>
      </c>
      <c r="X76" s="15">
        <f>IF($I76,c_lotfactor*INDEX(M_Onedeal!$AA$8:$AA$68,$J76),0)+AX76</f>
        <v>0</v>
      </c>
      <c r="Y76" s="15">
        <f>IF($I76,c_lotfactor*INDEX(M_Onedeal!$AD$8:$AD$68,$J76),0)+AY76</f>
        <v>0</v>
      </c>
      <c r="Z76" s="15">
        <f>IF($I76,c_lotfactor*INDEX(M_Onedeal!$AF$8:$AF$68,$J76),0)+AZ76</f>
        <v>0</v>
      </c>
      <c r="AA76" s="15">
        <f>IF($I76,c_lotfactor*INDEX(M_Onedeal!$AG$8:$AG$68,$J76),0)+BA76</f>
        <v>0</v>
      </c>
      <c r="AB76" s="15">
        <f>IF($I76,c_lotfactor*INDEX(M_Onedeal!$AI$8:$AI$68,$J76),0)+BB76</f>
        <v>0</v>
      </c>
      <c r="AC76" s="15">
        <f>IF($I76,c_lotfactor*INDEX(M_Onedeal!$AQ$8:$AQ$68,$J76),0)+BC76</f>
        <v>0</v>
      </c>
      <c r="AD76" s="15">
        <f>IF($I76,c_lotfactor*INDEX(M_Onedeal!$AR$8:$AR$68,$J76),0)+BD76</f>
        <v>0</v>
      </c>
      <c r="AE76" s="15">
        <f>IF($I76,c_lotfactor*INDEX(M_Onedeal!$AK$8:$AK$68,$J76),0)+BE76</f>
        <v>0</v>
      </c>
      <c r="AF76" s="15">
        <f>IF($I76,c_lotfactor*INDEX(M_Onedeal!$AM$8:$AM$68,$J76),0)+BF76</f>
        <v>0</v>
      </c>
      <c r="AG76" s="15">
        <f>IF($I76,c_lotfactor*-INDEX(M_Onedeal!$AB$8:$AB$68,$J76,0))+BG76</f>
        <v>0</v>
      </c>
      <c r="AH76" s="15">
        <f>IF($I76,c_lotfactor*INDEX(M_Onedeal!$AN$8:$AN$68,$J76),0)+BH76</f>
        <v>0</v>
      </c>
      <c r="AI76" s="15">
        <f>IF($I76,c_lotfactor*INDEX(M_Onedeal!$AO$8:$AO$68,$J76),0)+BI76</f>
        <v>0</v>
      </c>
      <c r="AJ76" s="15">
        <f>IF($I76,c_lotfactor*INDEX(M_Onedeal!$AP$8:$AP$68,$J76),0)+BJ76</f>
        <v>0</v>
      </c>
      <c r="AL76" s="126">
        <v>0</v>
      </c>
      <c r="AM76" s="126">
        <v>0</v>
      </c>
      <c r="AN76" s="126">
        <v>0</v>
      </c>
      <c r="AO76" s="126">
        <v>-3.9493265359172538E-12</v>
      </c>
      <c r="AP76" s="126">
        <v>0</v>
      </c>
      <c r="AQ76" s="126">
        <v>0</v>
      </c>
      <c r="AR76" s="126">
        <v>0</v>
      </c>
      <c r="AS76" s="126">
        <v>0</v>
      </c>
      <c r="AT76" s="126">
        <v>0</v>
      </c>
      <c r="AU76" s="126">
        <v>0</v>
      </c>
      <c r="AV76" s="126">
        <v>0</v>
      </c>
      <c r="AW76" s="126">
        <v>0</v>
      </c>
      <c r="AX76" s="126">
        <v>0</v>
      </c>
      <c r="AY76" s="126">
        <v>0</v>
      </c>
      <c r="AZ76" s="126">
        <v>0</v>
      </c>
      <c r="BA76" s="126">
        <v>0</v>
      </c>
      <c r="BB76" s="126">
        <v>0</v>
      </c>
      <c r="BC76" s="126">
        <v>0</v>
      </c>
      <c r="BD76" s="126">
        <v>0</v>
      </c>
      <c r="BE76" s="126">
        <v>0</v>
      </c>
      <c r="BF76" s="126">
        <v>0</v>
      </c>
      <c r="BG76" s="126">
        <v>0</v>
      </c>
      <c r="BH76" s="126">
        <v>0</v>
      </c>
      <c r="BI76" s="126">
        <v>0</v>
      </c>
      <c r="BJ76" s="126">
        <v>0</v>
      </c>
    </row>
    <row r="77" spans="2:62" ht="15" customHeight="1">
      <c r="B77" s="16">
        <f t="shared" si="15"/>
        <v>0</v>
      </c>
      <c r="C77" s="16">
        <f t="shared" ca="1" si="18"/>
        <v>2542.6989917229653</v>
      </c>
      <c r="D77" s="333">
        <f t="shared" ca="1" si="16"/>
        <v>0</v>
      </c>
      <c r="E77" s="115">
        <f t="shared" ca="1" si="17"/>
        <v>0</v>
      </c>
      <c r="G77" s="16">
        <f t="shared" si="4"/>
        <v>68</v>
      </c>
      <c r="H77" s="16">
        <f t="shared" si="5"/>
        <v>6</v>
      </c>
      <c r="I77" s="16">
        <f t="shared" si="13"/>
        <v>0</v>
      </c>
      <c r="J77" s="16">
        <f t="shared" si="14"/>
        <v>68</v>
      </c>
      <c r="L77" s="16">
        <f>IF($I77,c_lotfactor*INDEX(M_Onedeal!$E$8:$E$68,$J77),0)+AL77</f>
        <v>0</v>
      </c>
      <c r="M77" s="16">
        <f>IF($I77,c_lotfactor*INDEX(M_Onedeal!$H$8:$H$68,$J77),0)+AM77</f>
        <v>0</v>
      </c>
      <c r="N77" s="16">
        <f>IF($I77,c_lotfactor*INDEX(M_Onedeal!$I$8:$I$68,$J77),0)+AN77</f>
        <v>0</v>
      </c>
      <c r="O77" s="16">
        <f>IF($I77,c_lotfactor*INDEX(M_Onedeal!$K$8:$K$68,$J77),0)+AO77</f>
        <v>-2.7364606574865304E-12</v>
      </c>
      <c r="P77" s="16">
        <f>IF($I77,c_lotfactor*INDEX(M_Onedeal!$L$8:$L$68,$J77),0)+AP77</f>
        <v>0</v>
      </c>
      <c r="Q77" s="16">
        <f>IF($I77,c_lotfactor*INDEX(M_Onedeal!$M$8:$M$68,$J77),0)+AQ77</f>
        <v>0</v>
      </c>
      <c r="R77" s="16">
        <f>IF($I77,c_lotfactor*INDEX(M_Onedeal!$N$8:$N$68,$J77),0)+AR77</f>
        <v>0</v>
      </c>
      <c r="S77" s="16">
        <f>IF($I77,c_lotfactor*INDEX(M_Onedeal!$O$8:$O$68,$J77),0)+AS77</f>
        <v>0</v>
      </c>
      <c r="T77" s="16">
        <f>IF($I77,c_lotfactor*INDEX(M_Onedeal!$P$8:$P$68,$J77),0)+AT77</f>
        <v>0</v>
      </c>
      <c r="U77" s="16">
        <f>IF($I77,c_lotfactor*INDEX(M_Onedeal!$Q$8:$Q$68,$J77),0)+AU77</f>
        <v>0</v>
      </c>
      <c r="V77" s="16">
        <f>IF($I77,c_lotfactor*INDEX(M_Onedeal!$R$8:$R$68,$J77),0)+AV77</f>
        <v>0</v>
      </c>
      <c r="W77" s="16">
        <f>IF($I77,c_lotfactor*INDEX(M_Onedeal!$Y$8:$Y$68,$J77),0)+AW77</f>
        <v>0</v>
      </c>
      <c r="X77" s="16">
        <f>IF($I77,c_lotfactor*INDEX(M_Onedeal!$AA$8:$AA$68,$J77),0)+AX77</f>
        <v>0</v>
      </c>
      <c r="Y77" s="16">
        <f>IF($I77,c_lotfactor*INDEX(M_Onedeal!$AD$8:$AD$68,$J77),0)+AY77</f>
        <v>0</v>
      </c>
      <c r="Z77" s="16">
        <f>IF($I77,c_lotfactor*INDEX(M_Onedeal!$AF$8:$AF$68,$J77),0)+AZ77</f>
        <v>0</v>
      </c>
      <c r="AA77" s="16">
        <f>IF($I77,c_lotfactor*INDEX(M_Onedeal!$AG$8:$AG$68,$J77),0)+BA77</f>
        <v>0</v>
      </c>
      <c r="AB77" s="16">
        <f>IF($I77,c_lotfactor*INDEX(M_Onedeal!$AI$8:$AI$68,$J77),0)+BB77</f>
        <v>0</v>
      </c>
      <c r="AC77" s="16">
        <f>IF($I77,c_lotfactor*INDEX(M_Onedeal!$AQ$8:$AQ$68,$J77),0)+BC77</f>
        <v>0</v>
      </c>
      <c r="AD77" s="16">
        <f>IF($I77,c_lotfactor*INDEX(M_Onedeal!$AR$8:$AR$68,$J77),0)+BD77</f>
        <v>0</v>
      </c>
      <c r="AE77" s="16">
        <f>IF($I77,c_lotfactor*INDEX(M_Onedeal!$AK$8:$AK$68,$J77),0)+BE77</f>
        <v>0</v>
      </c>
      <c r="AF77" s="16">
        <f>IF($I77,c_lotfactor*INDEX(M_Onedeal!$AM$8:$AM$68,$J77),0)+BF77</f>
        <v>0</v>
      </c>
      <c r="AG77" s="16">
        <f>IF($I77,c_lotfactor*-INDEX(M_Onedeal!$AB$8:$AB$68,$J77,0))+BG77</f>
        <v>0</v>
      </c>
      <c r="AH77" s="16">
        <f>IF($I77,c_lotfactor*INDEX(M_Onedeal!$AN$8:$AN$68,$J77),0)+BH77</f>
        <v>0</v>
      </c>
      <c r="AI77" s="16">
        <f>IF($I77,c_lotfactor*INDEX(M_Onedeal!$AO$8:$AO$68,$J77),0)+BI77</f>
        <v>0</v>
      </c>
      <c r="AJ77" s="16">
        <f>IF($I77,c_lotfactor*INDEX(M_Onedeal!$AP$8:$AP$68,$J77),0)+BJ77</f>
        <v>0</v>
      </c>
      <c r="AL77" s="127">
        <v>0</v>
      </c>
      <c r="AM77" s="127">
        <v>0</v>
      </c>
      <c r="AN77" s="127">
        <v>0</v>
      </c>
      <c r="AO77" s="127">
        <v>-2.7364606574865304E-12</v>
      </c>
      <c r="AP77" s="127">
        <v>0</v>
      </c>
      <c r="AQ77" s="127">
        <v>0</v>
      </c>
      <c r="AR77" s="127">
        <v>0</v>
      </c>
      <c r="AS77" s="127">
        <v>0</v>
      </c>
      <c r="AT77" s="127">
        <v>0</v>
      </c>
      <c r="AU77" s="127">
        <v>0</v>
      </c>
      <c r="AV77" s="127">
        <v>0</v>
      </c>
      <c r="AW77" s="127">
        <v>0</v>
      </c>
      <c r="AX77" s="127">
        <v>0</v>
      </c>
      <c r="AY77" s="127">
        <v>0</v>
      </c>
      <c r="AZ77" s="127">
        <v>0</v>
      </c>
      <c r="BA77" s="127">
        <v>0</v>
      </c>
      <c r="BB77" s="127">
        <v>0</v>
      </c>
      <c r="BC77" s="127">
        <v>0</v>
      </c>
      <c r="BD77" s="127">
        <v>0</v>
      </c>
      <c r="BE77" s="127">
        <v>0</v>
      </c>
      <c r="BF77" s="127">
        <v>0</v>
      </c>
      <c r="BG77" s="127">
        <v>0</v>
      </c>
      <c r="BH77" s="127">
        <v>0</v>
      </c>
      <c r="BI77" s="127">
        <v>0</v>
      </c>
      <c r="BJ77" s="127">
        <v>0</v>
      </c>
    </row>
    <row r="78" spans="2:62" ht="15" customHeight="1">
      <c r="B78" s="17">
        <f t="shared" si="15"/>
        <v>0</v>
      </c>
      <c r="C78" s="17">
        <f t="shared" ca="1" si="18"/>
        <v>2542.6989917229653</v>
      </c>
      <c r="D78" s="334">
        <f t="shared" ca="1" si="16"/>
        <v>0</v>
      </c>
      <c r="E78" s="116">
        <f t="shared" ca="1" si="17"/>
        <v>0</v>
      </c>
      <c r="G78" s="17">
        <f t="shared" si="4"/>
        <v>69</v>
      </c>
      <c r="H78" s="17">
        <f t="shared" si="5"/>
        <v>6</v>
      </c>
      <c r="I78" s="17">
        <f t="shared" si="13"/>
        <v>0</v>
      </c>
      <c r="J78" s="17">
        <f t="shared" si="14"/>
        <v>69</v>
      </c>
      <c r="L78" s="17">
        <f>IF($I78,c_lotfactor*INDEX(M_Onedeal!$E$8:$E$68,$J78),0)+AL78</f>
        <v>0</v>
      </c>
      <c r="M78" s="17">
        <f>IF($I78,c_lotfactor*INDEX(M_Onedeal!$H$8:$H$68,$J78),0)+AM78</f>
        <v>0</v>
      </c>
      <c r="N78" s="17">
        <f>IF($I78,c_lotfactor*INDEX(M_Onedeal!$I$8:$I$68,$J78),0)+AN78</f>
        <v>0</v>
      </c>
      <c r="O78" s="17">
        <f>IF($I78,c_lotfactor*INDEX(M_Onedeal!$K$8:$K$68,$J78),0)+AO78</f>
        <v>-1.5235947790558068E-12</v>
      </c>
      <c r="P78" s="17">
        <f>IF($I78,c_lotfactor*INDEX(M_Onedeal!$L$8:$L$68,$J78),0)+AP78</f>
        <v>0</v>
      </c>
      <c r="Q78" s="17">
        <f>IF($I78,c_lotfactor*INDEX(M_Onedeal!$M$8:$M$68,$J78),0)+AQ78</f>
        <v>0</v>
      </c>
      <c r="R78" s="17">
        <f>IF($I78,c_lotfactor*INDEX(M_Onedeal!$N$8:$N$68,$J78),0)+AR78</f>
        <v>0</v>
      </c>
      <c r="S78" s="17">
        <f>IF($I78,c_lotfactor*INDEX(M_Onedeal!$O$8:$O$68,$J78),0)+AS78</f>
        <v>0</v>
      </c>
      <c r="T78" s="17">
        <f>IF($I78,c_lotfactor*INDEX(M_Onedeal!$P$8:$P$68,$J78),0)+AT78</f>
        <v>0</v>
      </c>
      <c r="U78" s="17">
        <f>IF($I78,c_lotfactor*INDEX(M_Onedeal!$Q$8:$Q$68,$J78),0)+AU78</f>
        <v>0</v>
      </c>
      <c r="V78" s="17">
        <f>IF($I78,c_lotfactor*INDEX(M_Onedeal!$R$8:$R$68,$J78),0)+AV78</f>
        <v>0</v>
      </c>
      <c r="W78" s="17">
        <f>IF($I78,c_lotfactor*INDEX(M_Onedeal!$Y$8:$Y$68,$J78),0)+AW78</f>
        <v>0</v>
      </c>
      <c r="X78" s="17">
        <f>IF($I78,c_lotfactor*INDEX(M_Onedeal!$AA$8:$AA$68,$J78),0)+AX78</f>
        <v>0</v>
      </c>
      <c r="Y78" s="17">
        <f>IF($I78,c_lotfactor*INDEX(M_Onedeal!$AD$8:$AD$68,$J78),0)+AY78</f>
        <v>0</v>
      </c>
      <c r="Z78" s="17">
        <f>IF($I78,c_lotfactor*INDEX(M_Onedeal!$AF$8:$AF$68,$J78),0)+AZ78</f>
        <v>0</v>
      </c>
      <c r="AA78" s="17">
        <f>IF($I78,c_lotfactor*INDEX(M_Onedeal!$AG$8:$AG$68,$J78),0)+BA78</f>
        <v>0</v>
      </c>
      <c r="AB78" s="17">
        <f>IF($I78,c_lotfactor*INDEX(M_Onedeal!$AI$8:$AI$68,$J78),0)+BB78</f>
        <v>0</v>
      </c>
      <c r="AC78" s="17">
        <f>IF($I78,c_lotfactor*INDEX(M_Onedeal!$AQ$8:$AQ$68,$J78),0)+BC78</f>
        <v>0</v>
      </c>
      <c r="AD78" s="17">
        <f>IF($I78,c_lotfactor*INDEX(M_Onedeal!$AR$8:$AR$68,$J78),0)+BD78</f>
        <v>0</v>
      </c>
      <c r="AE78" s="17">
        <f>IF($I78,c_lotfactor*INDEX(M_Onedeal!$AK$8:$AK$68,$J78),0)+BE78</f>
        <v>0</v>
      </c>
      <c r="AF78" s="17">
        <f>IF($I78,c_lotfactor*INDEX(M_Onedeal!$AM$8:$AM$68,$J78),0)+BF78</f>
        <v>0</v>
      </c>
      <c r="AG78" s="17">
        <f>IF($I78,c_lotfactor*-INDEX(M_Onedeal!$AB$8:$AB$68,$J78,0))+BG78</f>
        <v>0</v>
      </c>
      <c r="AH78" s="17">
        <f>IF($I78,c_lotfactor*INDEX(M_Onedeal!$AN$8:$AN$68,$J78),0)+BH78</f>
        <v>0</v>
      </c>
      <c r="AI78" s="17">
        <f>IF($I78,c_lotfactor*INDEX(M_Onedeal!$AO$8:$AO$68,$J78),0)+BI78</f>
        <v>0</v>
      </c>
      <c r="AJ78" s="17">
        <f>IF($I78,c_lotfactor*INDEX(M_Onedeal!$AP$8:$AP$68,$J78),0)+BJ78</f>
        <v>0</v>
      </c>
      <c r="AL78" s="128">
        <v>0</v>
      </c>
      <c r="AM78" s="128">
        <v>0</v>
      </c>
      <c r="AN78" s="128">
        <v>0</v>
      </c>
      <c r="AO78" s="128">
        <v>-1.5235947790558068E-12</v>
      </c>
      <c r="AP78" s="128">
        <v>0</v>
      </c>
      <c r="AQ78" s="128">
        <v>0</v>
      </c>
      <c r="AR78" s="128">
        <v>0</v>
      </c>
      <c r="AS78" s="128">
        <v>0</v>
      </c>
      <c r="AT78" s="128">
        <v>0</v>
      </c>
      <c r="AU78" s="128">
        <v>0</v>
      </c>
      <c r="AV78" s="128">
        <v>0</v>
      </c>
      <c r="AW78" s="128">
        <v>0</v>
      </c>
      <c r="AX78" s="128">
        <v>0</v>
      </c>
      <c r="AY78" s="128">
        <v>0</v>
      </c>
      <c r="AZ78" s="128">
        <v>0</v>
      </c>
      <c r="BA78" s="128">
        <v>0</v>
      </c>
      <c r="BB78" s="128">
        <v>0</v>
      </c>
      <c r="BC78" s="128">
        <v>0</v>
      </c>
      <c r="BD78" s="128">
        <v>0</v>
      </c>
      <c r="BE78" s="128">
        <v>0</v>
      </c>
      <c r="BF78" s="128">
        <v>0</v>
      </c>
      <c r="BG78" s="128">
        <v>0</v>
      </c>
      <c r="BH78" s="128">
        <v>0</v>
      </c>
      <c r="BI78" s="128">
        <v>0</v>
      </c>
      <c r="BJ78" s="128">
        <v>0</v>
      </c>
    </row>
    <row r="79" spans="2:62" ht="15" customHeight="1">
      <c r="B79" s="15">
        <f t="shared" si="15"/>
        <v>0</v>
      </c>
      <c r="C79" s="15">
        <f t="shared" ca="1" si="18"/>
        <v>2542.6989917229653</v>
      </c>
      <c r="D79" s="332">
        <f t="shared" ca="1" si="16"/>
        <v>0</v>
      </c>
      <c r="E79" s="113">
        <f t="shared" ca="1" si="17"/>
        <v>0</v>
      </c>
      <c r="G79" s="15">
        <f t="shared" si="4"/>
        <v>70</v>
      </c>
      <c r="H79" s="15">
        <f t="shared" si="5"/>
        <v>6</v>
      </c>
      <c r="I79" s="15">
        <f t="shared" si="13"/>
        <v>0</v>
      </c>
      <c r="J79" s="15">
        <f t="shared" si="14"/>
        <v>70</v>
      </c>
      <c r="L79" s="15">
        <f>IF($I79,c_lotfactor*INDEX(M_Onedeal!$E$8:$E$68,$J79),0)+AL79</f>
        <v>0</v>
      </c>
      <c r="M79" s="15">
        <f>IF($I79,c_lotfactor*INDEX(M_Onedeal!$H$8:$H$68,$J79),0)+AM79</f>
        <v>0</v>
      </c>
      <c r="N79" s="15">
        <f>IF($I79,c_lotfactor*INDEX(M_Onedeal!$I$8:$I$68,$J79),0)+AN79</f>
        <v>0</v>
      </c>
      <c r="O79" s="15">
        <f>IF($I79,c_lotfactor*INDEX(M_Onedeal!$K$8:$K$68,$J79),0)+AO79</f>
        <v>-3.1072890062508293E-13</v>
      </c>
      <c r="P79" s="15">
        <f>IF($I79,c_lotfactor*INDEX(M_Onedeal!$L$8:$L$68,$J79),0)+AP79</f>
        <v>0</v>
      </c>
      <c r="Q79" s="15">
        <f>IF($I79,c_lotfactor*INDEX(M_Onedeal!$M$8:$M$68,$J79),0)+AQ79</f>
        <v>0</v>
      </c>
      <c r="R79" s="15">
        <f>IF($I79,c_lotfactor*INDEX(M_Onedeal!$N$8:$N$68,$J79),0)+AR79</f>
        <v>0</v>
      </c>
      <c r="S79" s="15">
        <f>IF($I79,c_lotfactor*INDEX(M_Onedeal!$O$8:$O$68,$J79),0)+AS79</f>
        <v>0</v>
      </c>
      <c r="T79" s="15">
        <f>IF($I79,c_lotfactor*INDEX(M_Onedeal!$P$8:$P$68,$J79),0)+AT79</f>
        <v>0</v>
      </c>
      <c r="U79" s="15">
        <f>IF($I79,c_lotfactor*INDEX(M_Onedeal!$Q$8:$Q$68,$J79),0)+AU79</f>
        <v>0</v>
      </c>
      <c r="V79" s="15">
        <f>IF($I79,c_lotfactor*INDEX(M_Onedeal!$R$8:$R$68,$J79),0)+AV79</f>
        <v>0</v>
      </c>
      <c r="W79" s="15">
        <f>IF($I79,c_lotfactor*INDEX(M_Onedeal!$Y$8:$Y$68,$J79),0)+AW79</f>
        <v>0</v>
      </c>
      <c r="X79" s="15">
        <f>IF($I79,c_lotfactor*INDEX(M_Onedeal!$AA$8:$AA$68,$J79),0)+AX79</f>
        <v>0</v>
      </c>
      <c r="Y79" s="15">
        <f>IF($I79,c_lotfactor*INDEX(M_Onedeal!$AD$8:$AD$68,$J79),0)+AY79</f>
        <v>0</v>
      </c>
      <c r="Z79" s="15">
        <f>IF($I79,c_lotfactor*INDEX(M_Onedeal!$AF$8:$AF$68,$J79),0)+AZ79</f>
        <v>0</v>
      </c>
      <c r="AA79" s="15">
        <f>IF($I79,c_lotfactor*INDEX(M_Onedeal!$AG$8:$AG$68,$J79),0)+BA79</f>
        <v>0</v>
      </c>
      <c r="AB79" s="15">
        <f>IF($I79,c_lotfactor*INDEX(M_Onedeal!$AI$8:$AI$68,$J79),0)+BB79</f>
        <v>0</v>
      </c>
      <c r="AC79" s="15">
        <f>IF($I79,c_lotfactor*INDEX(M_Onedeal!$AQ$8:$AQ$68,$J79),0)+BC79</f>
        <v>0</v>
      </c>
      <c r="AD79" s="15">
        <f>IF($I79,c_lotfactor*INDEX(M_Onedeal!$AR$8:$AR$68,$J79),0)+BD79</f>
        <v>0</v>
      </c>
      <c r="AE79" s="15">
        <f>IF($I79,c_lotfactor*INDEX(M_Onedeal!$AK$8:$AK$68,$J79),0)+BE79</f>
        <v>0</v>
      </c>
      <c r="AF79" s="15">
        <f>IF($I79,c_lotfactor*INDEX(M_Onedeal!$AM$8:$AM$68,$J79),0)+BF79</f>
        <v>0</v>
      </c>
      <c r="AG79" s="15">
        <f>IF($I79,c_lotfactor*-INDEX(M_Onedeal!$AB$8:$AB$68,$J79,0))+BG79</f>
        <v>0</v>
      </c>
      <c r="AH79" s="15">
        <f>IF($I79,c_lotfactor*INDEX(M_Onedeal!$AN$8:$AN$68,$J79),0)+BH79</f>
        <v>0</v>
      </c>
      <c r="AI79" s="15">
        <f>IF($I79,c_lotfactor*INDEX(M_Onedeal!$AO$8:$AO$68,$J79),0)+BI79</f>
        <v>0</v>
      </c>
      <c r="AJ79" s="15">
        <f>IF($I79,c_lotfactor*INDEX(M_Onedeal!$AP$8:$AP$68,$J79),0)+BJ79</f>
        <v>0</v>
      </c>
      <c r="AL79" s="126">
        <v>0</v>
      </c>
      <c r="AM79" s="126">
        <v>0</v>
      </c>
      <c r="AN79" s="126">
        <v>0</v>
      </c>
      <c r="AO79" s="126">
        <v>-3.1072890062508293E-13</v>
      </c>
      <c r="AP79" s="126">
        <v>0</v>
      </c>
      <c r="AQ79" s="126">
        <v>0</v>
      </c>
      <c r="AR79" s="126">
        <v>0</v>
      </c>
      <c r="AS79" s="126">
        <v>0</v>
      </c>
      <c r="AT79" s="126">
        <v>0</v>
      </c>
      <c r="AU79" s="126">
        <v>0</v>
      </c>
      <c r="AV79" s="126">
        <v>0</v>
      </c>
      <c r="AW79" s="126">
        <v>0</v>
      </c>
      <c r="AX79" s="126">
        <v>0</v>
      </c>
      <c r="AY79" s="126">
        <v>0</v>
      </c>
      <c r="AZ79" s="126">
        <v>0</v>
      </c>
      <c r="BA79" s="126">
        <v>0</v>
      </c>
      <c r="BB79" s="126">
        <v>0</v>
      </c>
      <c r="BC79" s="126">
        <v>0</v>
      </c>
      <c r="BD79" s="126">
        <v>0</v>
      </c>
      <c r="BE79" s="126">
        <v>0</v>
      </c>
      <c r="BF79" s="126">
        <v>0</v>
      </c>
      <c r="BG79" s="126">
        <v>0</v>
      </c>
      <c r="BH79" s="126">
        <v>0</v>
      </c>
      <c r="BI79" s="126">
        <v>0</v>
      </c>
      <c r="BJ79" s="126">
        <v>0</v>
      </c>
    </row>
    <row r="80" spans="2:62" ht="15" customHeight="1">
      <c r="B80" s="16">
        <f t="shared" si="15"/>
        <v>0</v>
      </c>
      <c r="C80" s="16">
        <f t="shared" ca="1" si="18"/>
        <v>2542.6989917229653</v>
      </c>
      <c r="D80" s="333">
        <f t="shared" ca="1" si="16"/>
        <v>0</v>
      </c>
      <c r="E80" s="115">
        <f t="shared" ca="1" si="17"/>
        <v>0</v>
      </c>
      <c r="G80" s="16">
        <f t="shared" si="4"/>
        <v>71</v>
      </c>
      <c r="H80" s="16">
        <f t="shared" si="5"/>
        <v>6</v>
      </c>
      <c r="I80" s="16">
        <f t="shared" si="13"/>
        <v>0</v>
      </c>
      <c r="J80" s="16">
        <f t="shared" si="14"/>
        <v>71</v>
      </c>
      <c r="L80" s="16">
        <f>IF($I80,c_lotfactor*INDEX(M_Onedeal!$E$8:$E$68,$J80),0)+AL80</f>
        <v>0</v>
      </c>
      <c r="M80" s="16">
        <f>IF($I80,c_lotfactor*INDEX(M_Onedeal!$H$8:$H$68,$J80),0)+AM80</f>
        <v>0</v>
      </c>
      <c r="N80" s="16">
        <f>IF($I80,c_lotfactor*INDEX(M_Onedeal!$I$8:$I$68,$J80),0)+AN80</f>
        <v>0</v>
      </c>
      <c r="O80" s="16">
        <f>IF($I80,c_lotfactor*INDEX(M_Onedeal!$K$8:$K$68,$J80),0)+AO80</f>
        <v>0</v>
      </c>
      <c r="P80" s="16">
        <f>IF($I80,c_lotfactor*INDEX(M_Onedeal!$L$8:$L$68,$J80),0)+AP80</f>
        <v>0</v>
      </c>
      <c r="Q80" s="16">
        <f>IF($I80,c_lotfactor*INDEX(M_Onedeal!$M$8:$M$68,$J80),0)+AQ80</f>
        <v>0</v>
      </c>
      <c r="R80" s="16">
        <f>IF($I80,c_lotfactor*INDEX(M_Onedeal!$N$8:$N$68,$J80),0)+AR80</f>
        <v>0</v>
      </c>
      <c r="S80" s="16">
        <f>IF($I80,c_lotfactor*INDEX(M_Onedeal!$O$8:$O$68,$J80),0)+AS80</f>
        <v>0</v>
      </c>
      <c r="T80" s="16">
        <f>IF($I80,c_lotfactor*INDEX(M_Onedeal!$P$8:$P$68,$J80),0)+AT80</f>
        <v>0</v>
      </c>
      <c r="U80" s="16">
        <f>IF($I80,c_lotfactor*INDEX(M_Onedeal!$Q$8:$Q$68,$J80),0)+AU80</f>
        <v>0</v>
      </c>
      <c r="V80" s="16">
        <f>IF($I80,c_lotfactor*INDEX(M_Onedeal!$R$8:$R$68,$J80),0)+AV80</f>
        <v>0</v>
      </c>
      <c r="W80" s="16">
        <f>IF($I80,c_lotfactor*INDEX(M_Onedeal!$Y$8:$Y$68,$J80),0)+AW80</f>
        <v>0</v>
      </c>
      <c r="X80" s="16">
        <f>IF($I80,c_lotfactor*INDEX(M_Onedeal!$AA$8:$AA$68,$J80),0)+AX80</f>
        <v>0</v>
      </c>
      <c r="Y80" s="16">
        <f>IF($I80,c_lotfactor*INDEX(M_Onedeal!$AD$8:$AD$68,$J80),0)+AY80</f>
        <v>0</v>
      </c>
      <c r="Z80" s="16">
        <f>IF($I80,c_lotfactor*INDEX(M_Onedeal!$AF$8:$AF$68,$J80),0)+AZ80</f>
        <v>0</v>
      </c>
      <c r="AA80" s="16">
        <f>IF($I80,c_lotfactor*INDEX(M_Onedeal!$AG$8:$AG$68,$J80),0)+BA80</f>
        <v>0</v>
      </c>
      <c r="AB80" s="16">
        <f>IF($I80,c_lotfactor*INDEX(M_Onedeal!$AI$8:$AI$68,$J80),0)+BB80</f>
        <v>0</v>
      </c>
      <c r="AC80" s="16">
        <f>IF($I80,c_lotfactor*INDEX(M_Onedeal!$AQ$8:$AQ$68,$J80),0)+BC80</f>
        <v>0</v>
      </c>
      <c r="AD80" s="16">
        <f>IF($I80,c_lotfactor*INDEX(M_Onedeal!$AR$8:$AR$68,$J80),0)+BD80</f>
        <v>0</v>
      </c>
      <c r="AE80" s="16">
        <f>IF($I80,c_lotfactor*INDEX(M_Onedeal!$AK$8:$AK$68,$J80),0)+BE80</f>
        <v>0</v>
      </c>
      <c r="AF80" s="16">
        <f>IF($I80,c_lotfactor*INDEX(M_Onedeal!$AM$8:$AM$68,$J80),0)+BF80</f>
        <v>0</v>
      </c>
      <c r="AG80" s="16">
        <f>IF($I80,c_lotfactor*-INDEX(M_Onedeal!$AB$8:$AB$68,$J80,0))+BG80</f>
        <v>0</v>
      </c>
      <c r="AH80" s="16">
        <f>IF($I80,c_lotfactor*INDEX(M_Onedeal!$AN$8:$AN$68,$J80),0)+BH80</f>
        <v>0</v>
      </c>
      <c r="AI80" s="16">
        <f>IF($I80,c_lotfactor*INDEX(M_Onedeal!$AO$8:$AO$68,$J80),0)+BI80</f>
        <v>0</v>
      </c>
      <c r="AJ80" s="16">
        <f>IF($I80,c_lotfactor*INDEX(M_Onedeal!$AP$8:$AP$68,$J80),0)+BJ80</f>
        <v>0</v>
      </c>
      <c r="AL80" s="127">
        <v>0</v>
      </c>
      <c r="AM80" s="127">
        <v>0</v>
      </c>
      <c r="AN80" s="127">
        <v>0</v>
      </c>
      <c r="AO80" s="127">
        <v>0</v>
      </c>
      <c r="AP80" s="127">
        <v>0</v>
      </c>
      <c r="AQ80" s="127">
        <v>0</v>
      </c>
      <c r="AR80" s="127">
        <v>0</v>
      </c>
      <c r="AS80" s="127">
        <v>0</v>
      </c>
      <c r="AT80" s="127">
        <v>0</v>
      </c>
      <c r="AU80" s="127">
        <v>0</v>
      </c>
      <c r="AV80" s="127">
        <v>0</v>
      </c>
      <c r="AW80" s="127">
        <v>0</v>
      </c>
      <c r="AX80" s="127">
        <v>0</v>
      </c>
      <c r="AY80" s="127">
        <v>0</v>
      </c>
      <c r="AZ80" s="127">
        <v>0</v>
      </c>
      <c r="BA80" s="127">
        <v>0</v>
      </c>
      <c r="BB80" s="127">
        <v>0</v>
      </c>
      <c r="BC80" s="127">
        <v>0</v>
      </c>
      <c r="BD80" s="127">
        <v>0</v>
      </c>
      <c r="BE80" s="127">
        <v>0</v>
      </c>
      <c r="BF80" s="127">
        <v>0</v>
      </c>
      <c r="BG80" s="127">
        <v>0</v>
      </c>
      <c r="BH80" s="127">
        <v>0</v>
      </c>
      <c r="BI80" s="127">
        <v>0</v>
      </c>
      <c r="BJ80" s="127">
        <v>0</v>
      </c>
    </row>
    <row r="81" spans="2:62" ht="15" customHeight="1" thickBot="1">
      <c r="B81" s="18">
        <f t="shared" si="15"/>
        <v>0</v>
      </c>
      <c r="C81" s="18">
        <f t="shared" ca="1" si="18"/>
        <v>2542.6989917229653</v>
      </c>
      <c r="D81" s="335">
        <f t="shared" ca="1" si="16"/>
        <v>0</v>
      </c>
      <c r="E81" s="117">
        <f t="shared" ca="1" si="17"/>
        <v>0</v>
      </c>
      <c r="G81" s="18">
        <f t="shared" si="4"/>
        <v>72</v>
      </c>
      <c r="H81" s="18">
        <f t="shared" si="5"/>
        <v>6</v>
      </c>
      <c r="I81" s="18">
        <f t="shared" si="13"/>
        <v>0</v>
      </c>
      <c r="J81" s="18">
        <f t="shared" si="14"/>
        <v>72</v>
      </c>
      <c r="L81" s="18">
        <f>IF($I81,c_lotfactor*INDEX(M_Onedeal!$E$8:$E$68,$J81),0)+AL81</f>
        <v>0</v>
      </c>
      <c r="M81" s="18">
        <f>IF($I81,c_lotfactor*INDEX(M_Onedeal!$H$8:$H$68,$J81),0)+AM81</f>
        <v>0</v>
      </c>
      <c r="N81" s="18">
        <f>IF($I81,c_lotfactor*INDEX(M_Onedeal!$I$8:$I$68,$J81),0)+AN81</f>
        <v>0</v>
      </c>
      <c r="O81" s="18">
        <f>IF($I81,c_lotfactor*INDEX(M_Onedeal!$K$8:$K$68,$J81),0)+AO81</f>
        <v>0</v>
      </c>
      <c r="P81" s="18">
        <f>IF($I81,c_lotfactor*INDEX(M_Onedeal!$L$8:$L$68,$J81),0)+AP81</f>
        <v>0</v>
      </c>
      <c r="Q81" s="18">
        <f>IF($I81,c_lotfactor*INDEX(M_Onedeal!$M$8:$M$68,$J81),0)+AQ81</f>
        <v>0</v>
      </c>
      <c r="R81" s="18">
        <f>IF($I81,c_lotfactor*INDEX(M_Onedeal!$N$8:$N$68,$J81),0)+AR81</f>
        <v>0</v>
      </c>
      <c r="S81" s="18">
        <f>IF($I81,c_lotfactor*INDEX(M_Onedeal!$O$8:$O$68,$J81),0)+AS81</f>
        <v>0</v>
      </c>
      <c r="T81" s="18">
        <f>IF($I81,c_lotfactor*INDEX(M_Onedeal!$P$8:$P$68,$J81),0)+AT81</f>
        <v>0</v>
      </c>
      <c r="U81" s="18">
        <f>IF($I81,c_lotfactor*INDEX(M_Onedeal!$Q$8:$Q$68,$J81),0)+AU81</f>
        <v>0</v>
      </c>
      <c r="V81" s="18">
        <f>IF($I81,c_lotfactor*INDEX(M_Onedeal!$R$8:$R$68,$J81),0)+AV81</f>
        <v>0</v>
      </c>
      <c r="W81" s="18">
        <f>IF($I81,c_lotfactor*INDEX(M_Onedeal!$Y$8:$Y$68,$J81),0)+AW81</f>
        <v>0</v>
      </c>
      <c r="X81" s="18">
        <f>IF($I81,c_lotfactor*INDEX(M_Onedeal!$AA$8:$AA$68,$J81),0)+AX81</f>
        <v>0</v>
      </c>
      <c r="Y81" s="18">
        <f>IF($I81,c_lotfactor*INDEX(M_Onedeal!$AD$8:$AD$68,$J81),0)+AY81</f>
        <v>0</v>
      </c>
      <c r="Z81" s="18">
        <f>IF($I81,c_lotfactor*INDEX(M_Onedeal!$AF$8:$AF$68,$J81),0)+AZ81</f>
        <v>0</v>
      </c>
      <c r="AA81" s="18">
        <f>IF($I81,c_lotfactor*INDEX(M_Onedeal!$AG$8:$AG$68,$J81),0)+BA81</f>
        <v>0</v>
      </c>
      <c r="AB81" s="18">
        <f>IF($I81,c_lotfactor*INDEX(M_Onedeal!$AI$8:$AI$68,$J81),0)+BB81</f>
        <v>0</v>
      </c>
      <c r="AC81" s="18">
        <f>IF($I81,c_lotfactor*INDEX(M_Onedeal!$AQ$8:$AQ$68,$J81),0)+BC81</f>
        <v>0</v>
      </c>
      <c r="AD81" s="18">
        <f>IF($I81,c_lotfactor*INDEX(M_Onedeal!$AR$8:$AR$68,$J81),0)+BD81</f>
        <v>0</v>
      </c>
      <c r="AE81" s="18">
        <f>IF($I81,c_lotfactor*INDEX(M_Onedeal!$AK$8:$AK$68,$J81),0)+BE81</f>
        <v>0</v>
      </c>
      <c r="AF81" s="18">
        <f>IF($I81,c_lotfactor*INDEX(M_Onedeal!$AM$8:$AM$68,$J81),0)+BF81</f>
        <v>0</v>
      </c>
      <c r="AG81" s="18">
        <f>IF($I81,c_lotfactor*-INDEX(M_Onedeal!$AB$8:$AB$68,$J81,0))+BG81</f>
        <v>0</v>
      </c>
      <c r="AH81" s="18">
        <f>IF($I81,c_lotfactor*INDEX(M_Onedeal!$AN$8:$AN$68,$J81),0)+BH81</f>
        <v>0</v>
      </c>
      <c r="AI81" s="18">
        <f>IF($I81,c_lotfactor*INDEX(M_Onedeal!$AO$8:$AO$68,$J81),0)+BI81</f>
        <v>0</v>
      </c>
      <c r="AJ81" s="18">
        <f>IF($I81,c_lotfactor*INDEX(M_Onedeal!$AP$8:$AP$68,$J81),0)+BJ81</f>
        <v>0</v>
      </c>
      <c r="AL81" s="129">
        <v>0</v>
      </c>
      <c r="AM81" s="129">
        <v>0</v>
      </c>
      <c r="AN81" s="129">
        <v>0</v>
      </c>
      <c r="AO81" s="129">
        <v>0</v>
      </c>
      <c r="AP81" s="129">
        <v>0</v>
      </c>
      <c r="AQ81" s="129">
        <v>0</v>
      </c>
      <c r="AR81" s="129">
        <v>0</v>
      </c>
      <c r="AS81" s="129">
        <v>0</v>
      </c>
      <c r="AT81" s="129">
        <v>0</v>
      </c>
      <c r="AU81" s="129">
        <v>0</v>
      </c>
      <c r="AV81" s="129">
        <v>0</v>
      </c>
      <c r="AW81" s="129">
        <v>0</v>
      </c>
      <c r="AX81" s="129">
        <v>0</v>
      </c>
      <c r="AY81" s="129">
        <v>0</v>
      </c>
      <c r="AZ81" s="129">
        <v>0</v>
      </c>
      <c r="BA81" s="129">
        <v>0</v>
      </c>
      <c r="BB81" s="129">
        <v>0</v>
      </c>
      <c r="BC81" s="129">
        <v>0</v>
      </c>
      <c r="BD81" s="129">
        <v>0</v>
      </c>
      <c r="BE81" s="129">
        <v>0</v>
      </c>
      <c r="BF81" s="129">
        <v>0</v>
      </c>
      <c r="BG81" s="129">
        <v>0</v>
      </c>
      <c r="BH81" s="129">
        <v>0</v>
      </c>
      <c r="BI81" s="129">
        <v>0</v>
      </c>
      <c r="BJ81" s="129">
        <v>0</v>
      </c>
    </row>
    <row r="82" spans="2:62" ht="15" customHeight="1">
      <c r="B82" s="19">
        <f t="shared" si="15"/>
        <v>0</v>
      </c>
      <c r="C82" s="19">
        <f t="shared" ca="1" si="18"/>
        <v>2542.6989917229653</v>
      </c>
      <c r="D82" s="336">
        <f t="shared" ca="1" si="16"/>
        <v>0</v>
      </c>
      <c r="E82" s="118">
        <f t="shared" ca="1" si="17"/>
        <v>0</v>
      </c>
      <c r="G82" s="19">
        <f t="shared" si="4"/>
        <v>73</v>
      </c>
      <c r="H82" s="19">
        <f t="shared" si="5"/>
        <v>7</v>
      </c>
      <c r="I82" s="19">
        <f t="shared" si="13"/>
        <v>0</v>
      </c>
      <c r="J82" s="19">
        <f t="shared" si="14"/>
        <v>73</v>
      </c>
      <c r="L82" s="19">
        <f>IF($I82,c_lotfactor*INDEX(M_Onedeal!$E$8:$E$68,$J82),0)+AL82</f>
        <v>0</v>
      </c>
      <c r="M82" s="19">
        <f>IF($I82,c_lotfactor*INDEX(M_Onedeal!$H$8:$H$68,$J82),0)+AM82</f>
        <v>0</v>
      </c>
      <c r="N82" s="19">
        <f>IF($I82,c_lotfactor*INDEX(M_Onedeal!$I$8:$I$68,$J82),0)+AN82</f>
        <v>0</v>
      </c>
      <c r="O82" s="19">
        <f>IF($I82,c_lotfactor*INDEX(M_Onedeal!$K$8:$K$68,$J82),0)+AO82</f>
        <v>0</v>
      </c>
      <c r="P82" s="19">
        <f>IF($I82,c_lotfactor*INDEX(M_Onedeal!$L$8:$L$68,$J82),0)+AP82</f>
        <v>0</v>
      </c>
      <c r="Q82" s="19">
        <f>IF($I82,c_lotfactor*INDEX(M_Onedeal!$M$8:$M$68,$J82),0)+AQ82</f>
        <v>0</v>
      </c>
      <c r="R82" s="19">
        <f>IF($I82,c_lotfactor*INDEX(M_Onedeal!$N$8:$N$68,$J82),0)+AR82</f>
        <v>0</v>
      </c>
      <c r="S82" s="19">
        <f>IF($I82,c_lotfactor*INDEX(M_Onedeal!$O$8:$O$68,$J82),0)+AS82</f>
        <v>0</v>
      </c>
      <c r="T82" s="19">
        <f>IF($I82,c_lotfactor*INDEX(M_Onedeal!$P$8:$P$68,$J82),0)+AT82</f>
        <v>0</v>
      </c>
      <c r="U82" s="19">
        <f>IF($I82,c_lotfactor*INDEX(M_Onedeal!$Q$8:$Q$68,$J82),0)+AU82</f>
        <v>0</v>
      </c>
      <c r="V82" s="19">
        <f>IF($I82,c_lotfactor*INDEX(M_Onedeal!$R$8:$R$68,$J82),0)+AV82</f>
        <v>0</v>
      </c>
      <c r="W82" s="19">
        <f>IF($I82,c_lotfactor*INDEX(M_Onedeal!$Y$8:$Y$68,$J82),0)+AW82</f>
        <v>0</v>
      </c>
      <c r="X82" s="19">
        <f>IF($I82,c_lotfactor*INDEX(M_Onedeal!$AA$8:$AA$68,$J82),0)+AX82</f>
        <v>0</v>
      </c>
      <c r="Y82" s="19">
        <f>IF($I82,c_lotfactor*INDEX(M_Onedeal!$AD$8:$AD$68,$J82),0)+AY82</f>
        <v>0</v>
      </c>
      <c r="Z82" s="19">
        <f>IF($I82,c_lotfactor*INDEX(M_Onedeal!$AF$8:$AF$68,$J82),0)+AZ82</f>
        <v>0</v>
      </c>
      <c r="AA82" s="19">
        <f>IF($I82,c_lotfactor*INDEX(M_Onedeal!$AG$8:$AG$68,$J82),0)+BA82</f>
        <v>0</v>
      </c>
      <c r="AB82" s="19">
        <f>IF($I82,c_lotfactor*INDEX(M_Onedeal!$AI$8:$AI$68,$J82),0)+BB82</f>
        <v>0</v>
      </c>
      <c r="AC82" s="19">
        <f>IF($I82,c_lotfactor*INDEX(M_Onedeal!$AQ$8:$AQ$68,$J82),0)+BC82</f>
        <v>0</v>
      </c>
      <c r="AD82" s="19">
        <f>IF($I82,c_lotfactor*INDEX(M_Onedeal!$AR$8:$AR$68,$J82),0)+BD82</f>
        <v>0</v>
      </c>
      <c r="AE82" s="19">
        <f>IF($I82,c_lotfactor*INDEX(M_Onedeal!$AK$8:$AK$68,$J82),0)+BE82</f>
        <v>0</v>
      </c>
      <c r="AF82" s="19">
        <f>IF($I82,c_lotfactor*INDEX(M_Onedeal!$AM$8:$AM$68,$J82),0)+BF82</f>
        <v>0</v>
      </c>
      <c r="AG82" s="19">
        <f>IF($I82,c_lotfactor*-INDEX(M_Onedeal!$AB$8:$AB$68,$J82,0))+BG82</f>
        <v>0</v>
      </c>
      <c r="AH82" s="19">
        <f>IF($I82,c_lotfactor*INDEX(M_Onedeal!$AN$8:$AN$68,$J82),0)+BH82</f>
        <v>0</v>
      </c>
      <c r="AI82" s="19">
        <f>IF($I82,c_lotfactor*INDEX(M_Onedeal!$AO$8:$AO$68,$J82),0)+BI82</f>
        <v>0</v>
      </c>
      <c r="AJ82" s="19">
        <f>IF($I82,c_lotfactor*INDEX(M_Onedeal!$AP$8:$AP$68,$J82),0)+BJ82</f>
        <v>0</v>
      </c>
      <c r="AL82" s="130">
        <v>0</v>
      </c>
      <c r="AM82" s="130">
        <v>0</v>
      </c>
      <c r="AN82" s="130">
        <v>0</v>
      </c>
      <c r="AO82" s="130">
        <v>0</v>
      </c>
      <c r="AP82" s="130">
        <v>0</v>
      </c>
      <c r="AQ82" s="130">
        <v>0</v>
      </c>
      <c r="AR82" s="130">
        <v>0</v>
      </c>
      <c r="AS82" s="130">
        <v>0</v>
      </c>
      <c r="AT82" s="130">
        <v>0</v>
      </c>
      <c r="AU82" s="130">
        <v>0</v>
      </c>
      <c r="AV82" s="130">
        <v>0</v>
      </c>
      <c r="AW82" s="130">
        <v>0</v>
      </c>
      <c r="AX82" s="130">
        <v>0</v>
      </c>
      <c r="AY82" s="130">
        <v>0</v>
      </c>
      <c r="AZ82" s="130">
        <v>0</v>
      </c>
      <c r="BA82" s="130">
        <v>0</v>
      </c>
      <c r="BB82" s="130">
        <v>0</v>
      </c>
      <c r="BC82" s="130">
        <v>0</v>
      </c>
      <c r="BD82" s="130">
        <v>0</v>
      </c>
      <c r="BE82" s="130">
        <v>0</v>
      </c>
      <c r="BF82" s="130">
        <v>0</v>
      </c>
      <c r="BG82" s="130">
        <v>0</v>
      </c>
      <c r="BH82" s="130">
        <v>0</v>
      </c>
      <c r="BI82" s="130">
        <v>0</v>
      </c>
      <c r="BJ82" s="130">
        <v>0</v>
      </c>
    </row>
    <row r="83" spans="2:62" ht="15" customHeight="1">
      <c r="B83" s="16">
        <f t="shared" si="15"/>
        <v>0</v>
      </c>
      <c r="C83" s="16">
        <f t="shared" ca="1" si="18"/>
        <v>2542.6989917229653</v>
      </c>
      <c r="D83" s="333">
        <f t="shared" ca="1" si="16"/>
        <v>0</v>
      </c>
      <c r="E83" s="115">
        <f t="shared" ca="1" si="17"/>
        <v>0</v>
      </c>
      <c r="G83" s="16">
        <f t="shared" si="4"/>
        <v>74</v>
      </c>
      <c r="H83" s="16">
        <f t="shared" si="5"/>
        <v>7</v>
      </c>
      <c r="I83" s="16">
        <f t="shared" si="13"/>
        <v>0</v>
      </c>
      <c r="J83" s="16">
        <f t="shared" si="14"/>
        <v>74</v>
      </c>
      <c r="L83" s="16">
        <f>IF($I83,c_lotfactor*INDEX(M_Onedeal!$E$8:$E$68,$J83),0)+AL83</f>
        <v>0</v>
      </c>
      <c r="M83" s="16">
        <f>IF($I83,c_lotfactor*INDEX(M_Onedeal!$H$8:$H$68,$J83),0)+AM83</f>
        <v>0</v>
      </c>
      <c r="N83" s="16">
        <f>IF($I83,c_lotfactor*INDEX(M_Onedeal!$I$8:$I$68,$J83),0)+AN83</f>
        <v>0</v>
      </c>
      <c r="O83" s="16">
        <f>IF($I83,c_lotfactor*INDEX(M_Onedeal!$K$8:$K$68,$J83),0)+AO83</f>
        <v>0</v>
      </c>
      <c r="P83" s="16">
        <f>IF($I83,c_lotfactor*INDEX(M_Onedeal!$L$8:$L$68,$J83),0)+AP83</f>
        <v>0</v>
      </c>
      <c r="Q83" s="16">
        <f>IF($I83,c_lotfactor*INDEX(M_Onedeal!$M$8:$M$68,$J83),0)+AQ83</f>
        <v>0</v>
      </c>
      <c r="R83" s="16">
        <f>IF($I83,c_lotfactor*INDEX(M_Onedeal!$N$8:$N$68,$J83),0)+AR83</f>
        <v>0</v>
      </c>
      <c r="S83" s="16">
        <f>IF($I83,c_lotfactor*INDEX(M_Onedeal!$O$8:$O$68,$J83),0)+AS83</f>
        <v>0</v>
      </c>
      <c r="T83" s="16">
        <f>IF($I83,c_lotfactor*INDEX(M_Onedeal!$P$8:$P$68,$J83),0)+AT83</f>
        <v>0</v>
      </c>
      <c r="U83" s="16">
        <f>IF($I83,c_lotfactor*INDEX(M_Onedeal!$Q$8:$Q$68,$J83),0)+AU83</f>
        <v>0</v>
      </c>
      <c r="V83" s="16">
        <f>IF($I83,c_lotfactor*INDEX(M_Onedeal!$R$8:$R$68,$J83),0)+AV83</f>
        <v>0</v>
      </c>
      <c r="W83" s="16">
        <f>IF($I83,c_lotfactor*INDEX(M_Onedeal!$Y$8:$Y$68,$J83),0)+AW83</f>
        <v>0</v>
      </c>
      <c r="X83" s="16">
        <f>IF($I83,c_lotfactor*INDEX(M_Onedeal!$AA$8:$AA$68,$J83),0)+AX83</f>
        <v>0</v>
      </c>
      <c r="Y83" s="16">
        <f>IF($I83,c_lotfactor*INDEX(M_Onedeal!$AD$8:$AD$68,$J83),0)+AY83</f>
        <v>0</v>
      </c>
      <c r="Z83" s="16">
        <f>IF($I83,c_lotfactor*INDEX(M_Onedeal!$AF$8:$AF$68,$J83),0)+AZ83</f>
        <v>0</v>
      </c>
      <c r="AA83" s="16">
        <f>IF($I83,c_lotfactor*INDEX(M_Onedeal!$AG$8:$AG$68,$J83),0)+BA83</f>
        <v>0</v>
      </c>
      <c r="AB83" s="16">
        <f>IF($I83,c_lotfactor*INDEX(M_Onedeal!$AI$8:$AI$68,$J83),0)+BB83</f>
        <v>0</v>
      </c>
      <c r="AC83" s="16">
        <f>IF($I83,c_lotfactor*INDEX(M_Onedeal!$AQ$8:$AQ$68,$J83),0)+BC83</f>
        <v>0</v>
      </c>
      <c r="AD83" s="16">
        <f>IF($I83,c_lotfactor*INDEX(M_Onedeal!$AR$8:$AR$68,$J83),0)+BD83</f>
        <v>0</v>
      </c>
      <c r="AE83" s="16">
        <f>IF($I83,c_lotfactor*INDEX(M_Onedeal!$AK$8:$AK$68,$J83),0)+BE83</f>
        <v>0</v>
      </c>
      <c r="AF83" s="16">
        <f>IF($I83,c_lotfactor*INDEX(M_Onedeal!$AM$8:$AM$68,$J83),0)+BF83</f>
        <v>0</v>
      </c>
      <c r="AG83" s="16">
        <f>IF($I83,c_lotfactor*-INDEX(M_Onedeal!$AB$8:$AB$68,$J83,0))+BG83</f>
        <v>0</v>
      </c>
      <c r="AH83" s="16">
        <f>IF($I83,c_lotfactor*INDEX(M_Onedeal!$AN$8:$AN$68,$J83),0)+BH83</f>
        <v>0</v>
      </c>
      <c r="AI83" s="16">
        <f>IF($I83,c_lotfactor*INDEX(M_Onedeal!$AO$8:$AO$68,$J83),0)+BI83</f>
        <v>0</v>
      </c>
      <c r="AJ83" s="16">
        <f>IF($I83,c_lotfactor*INDEX(M_Onedeal!$AP$8:$AP$68,$J83),0)+BJ83</f>
        <v>0</v>
      </c>
      <c r="AL83" s="127">
        <v>0</v>
      </c>
      <c r="AM83" s="127">
        <v>0</v>
      </c>
      <c r="AN83" s="127">
        <v>0</v>
      </c>
      <c r="AO83" s="127">
        <v>0</v>
      </c>
      <c r="AP83" s="127">
        <v>0</v>
      </c>
      <c r="AQ83" s="127">
        <v>0</v>
      </c>
      <c r="AR83" s="127">
        <v>0</v>
      </c>
      <c r="AS83" s="127">
        <v>0</v>
      </c>
      <c r="AT83" s="127">
        <v>0</v>
      </c>
      <c r="AU83" s="127">
        <v>0</v>
      </c>
      <c r="AV83" s="127">
        <v>0</v>
      </c>
      <c r="AW83" s="127">
        <v>0</v>
      </c>
      <c r="AX83" s="127">
        <v>0</v>
      </c>
      <c r="AY83" s="127">
        <v>0</v>
      </c>
      <c r="AZ83" s="127">
        <v>0</v>
      </c>
      <c r="BA83" s="127">
        <v>0</v>
      </c>
      <c r="BB83" s="127">
        <v>0</v>
      </c>
      <c r="BC83" s="127">
        <v>0</v>
      </c>
      <c r="BD83" s="127">
        <v>0</v>
      </c>
      <c r="BE83" s="127">
        <v>0</v>
      </c>
      <c r="BF83" s="127">
        <v>0</v>
      </c>
      <c r="BG83" s="127">
        <v>0</v>
      </c>
      <c r="BH83" s="127">
        <v>0</v>
      </c>
      <c r="BI83" s="127">
        <v>0</v>
      </c>
      <c r="BJ83" s="127">
        <v>0</v>
      </c>
    </row>
    <row r="84" spans="2:62" ht="15" customHeight="1">
      <c r="B84" s="17">
        <f t="shared" si="15"/>
        <v>0</v>
      </c>
      <c r="C84" s="17">
        <f t="shared" ca="1" si="18"/>
        <v>2542.6989917229653</v>
      </c>
      <c r="D84" s="334">
        <f t="shared" ca="1" si="16"/>
        <v>0</v>
      </c>
      <c r="E84" s="116">
        <f t="shared" ca="1" si="17"/>
        <v>0</v>
      </c>
      <c r="G84" s="17">
        <f t="shared" si="4"/>
        <v>75</v>
      </c>
      <c r="H84" s="17">
        <f t="shared" si="5"/>
        <v>7</v>
      </c>
      <c r="I84" s="17">
        <f t="shared" si="13"/>
        <v>0</v>
      </c>
      <c r="J84" s="17">
        <f t="shared" si="14"/>
        <v>75</v>
      </c>
      <c r="L84" s="17">
        <f>IF($I84,c_lotfactor*INDEX(M_Onedeal!$E$8:$E$68,$J84),0)+AL84</f>
        <v>0</v>
      </c>
      <c r="M84" s="17">
        <f>IF($I84,c_lotfactor*INDEX(M_Onedeal!$H$8:$H$68,$J84),0)+AM84</f>
        <v>0</v>
      </c>
      <c r="N84" s="17">
        <f>IF($I84,c_lotfactor*INDEX(M_Onedeal!$I$8:$I$68,$J84),0)+AN84</f>
        <v>0</v>
      </c>
      <c r="O84" s="17">
        <f>IF($I84,c_lotfactor*INDEX(M_Onedeal!$K$8:$K$68,$J84),0)+AO84</f>
        <v>0</v>
      </c>
      <c r="P84" s="17">
        <f>IF($I84,c_lotfactor*INDEX(M_Onedeal!$L$8:$L$68,$J84),0)+AP84</f>
        <v>0</v>
      </c>
      <c r="Q84" s="17">
        <f>IF($I84,c_lotfactor*INDEX(M_Onedeal!$M$8:$M$68,$J84),0)+AQ84</f>
        <v>0</v>
      </c>
      <c r="R84" s="17">
        <f>IF($I84,c_lotfactor*INDEX(M_Onedeal!$N$8:$N$68,$J84),0)+AR84</f>
        <v>0</v>
      </c>
      <c r="S84" s="17">
        <f>IF($I84,c_lotfactor*INDEX(M_Onedeal!$O$8:$O$68,$J84),0)+AS84</f>
        <v>0</v>
      </c>
      <c r="T84" s="17">
        <f>IF($I84,c_lotfactor*INDEX(M_Onedeal!$P$8:$P$68,$J84),0)+AT84</f>
        <v>0</v>
      </c>
      <c r="U84" s="17">
        <f>IF($I84,c_lotfactor*INDEX(M_Onedeal!$Q$8:$Q$68,$J84),0)+AU84</f>
        <v>0</v>
      </c>
      <c r="V84" s="17">
        <f>IF($I84,c_lotfactor*INDEX(M_Onedeal!$R$8:$R$68,$J84),0)+AV84</f>
        <v>0</v>
      </c>
      <c r="W84" s="17">
        <f>IF($I84,c_lotfactor*INDEX(M_Onedeal!$Y$8:$Y$68,$J84),0)+AW84</f>
        <v>0</v>
      </c>
      <c r="X84" s="17">
        <f>IF($I84,c_lotfactor*INDEX(M_Onedeal!$AA$8:$AA$68,$J84),0)+AX84</f>
        <v>0</v>
      </c>
      <c r="Y84" s="17">
        <f>IF($I84,c_lotfactor*INDEX(M_Onedeal!$AD$8:$AD$68,$J84),0)+AY84</f>
        <v>0</v>
      </c>
      <c r="Z84" s="17">
        <f>IF($I84,c_lotfactor*INDEX(M_Onedeal!$AF$8:$AF$68,$J84),0)+AZ84</f>
        <v>0</v>
      </c>
      <c r="AA84" s="17">
        <f>IF($I84,c_lotfactor*INDEX(M_Onedeal!$AG$8:$AG$68,$J84),0)+BA84</f>
        <v>0</v>
      </c>
      <c r="AB84" s="17">
        <f>IF($I84,c_lotfactor*INDEX(M_Onedeal!$AI$8:$AI$68,$J84),0)+BB84</f>
        <v>0</v>
      </c>
      <c r="AC84" s="17">
        <f>IF($I84,c_lotfactor*INDEX(M_Onedeal!$AQ$8:$AQ$68,$J84),0)+BC84</f>
        <v>0</v>
      </c>
      <c r="AD84" s="17">
        <f>IF($I84,c_lotfactor*INDEX(M_Onedeal!$AR$8:$AR$68,$J84),0)+BD84</f>
        <v>0</v>
      </c>
      <c r="AE84" s="17">
        <f>IF($I84,c_lotfactor*INDEX(M_Onedeal!$AK$8:$AK$68,$J84),0)+BE84</f>
        <v>0</v>
      </c>
      <c r="AF84" s="17">
        <f>IF($I84,c_lotfactor*INDEX(M_Onedeal!$AM$8:$AM$68,$J84),0)+BF84</f>
        <v>0</v>
      </c>
      <c r="AG84" s="17">
        <f>IF($I84,c_lotfactor*-INDEX(M_Onedeal!$AB$8:$AB$68,$J84,0))+BG84</f>
        <v>0</v>
      </c>
      <c r="AH84" s="17">
        <f>IF($I84,c_lotfactor*INDEX(M_Onedeal!$AN$8:$AN$68,$J84),0)+BH84</f>
        <v>0</v>
      </c>
      <c r="AI84" s="17">
        <f>IF($I84,c_lotfactor*INDEX(M_Onedeal!$AO$8:$AO$68,$J84),0)+BI84</f>
        <v>0</v>
      </c>
      <c r="AJ84" s="17">
        <f>IF($I84,c_lotfactor*INDEX(M_Onedeal!$AP$8:$AP$68,$J84),0)+BJ84</f>
        <v>0</v>
      </c>
      <c r="AL84" s="128">
        <v>0</v>
      </c>
      <c r="AM84" s="128">
        <v>0</v>
      </c>
      <c r="AN84" s="128">
        <v>0</v>
      </c>
      <c r="AO84" s="128">
        <v>0</v>
      </c>
      <c r="AP84" s="128">
        <v>0</v>
      </c>
      <c r="AQ84" s="128">
        <v>0</v>
      </c>
      <c r="AR84" s="128">
        <v>0</v>
      </c>
      <c r="AS84" s="128">
        <v>0</v>
      </c>
      <c r="AT84" s="128">
        <v>0</v>
      </c>
      <c r="AU84" s="128">
        <v>0</v>
      </c>
      <c r="AV84" s="128">
        <v>0</v>
      </c>
      <c r="AW84" s="128">
        <v>0</v>
      </c>
      <c r="AX84" s="128">
        <v>0</v>
      </c>
      <c r="AY84" s="128">
        <v>0</v>
      </c>
      <c r="AZ84" s="128">
        <v>0</v>
      </c>
      <c r="BA84" s="128">
        <v>0</v>
      </c>
      <c r="BB84" s="128">
        <v>0</v>
      </c>
      <c r="BC84" s="128">
        <v>0</v>
      </c>
      <c r="BD84" s="128">
        <v>0</v>
      </c>
      <c r="BE84" s="128">
        <v>0</v>
      </c>
      <c r="BF84" s="128">
        <v>0</v>
      </c>
      <c r="BG84" s="128">
        <v>0</v>
      </c>
      <c r="BH84" s="128">
        <v>0</v>
      </c>
      <c r="BI84" s="128">
        <v>0</v>
      </c>
      <c r="BJ84" s="128">
        <v>0</v>
      </c>
    </row>
    <row r="85" spans="2:62" ht="15" customHeight="1">
      <c r="B85" s="15">
        <f t="shared" si="15"/>
        <v>0</v>
      </c>
      <c r="C85" s="15">
        <f t="shared" ca="1" si="18"/>
        <v>2542.6989917229653</v>
      </c>
      <c r="D85" s="332">
        <f t="shared" ca="1" si="16"/>
        <v>0</v>
      </c>
      <c r="E85" s="113">
        <f t="shared" ca="1" si="17"/>
        <v>0</v>
      </c>
      <c r="G85" s="15">
        <f t="shared" si="4"/>
        <v>76</v>
      </c>
      <c r="H85" s="15">
        <f t="shared" si="5"/>
        <v>7</v>
      </c>
      <c r="I85" s="15">
        <f t="shared" si="13"/>
        <v>0</v>
      </c>
      <c r="J85" s="15">
        <f t="shared" si="14"/>
        <v>76</v>
      </c>
      <c r="L85" s="15">
        <f>IF($I85,c_lotfactor*INDEX(M_Onedeal!$E$8:$E$68,$J85),0)+AL85</f>
        <v>0</v>
      </c>
      <c r="M85" s="15">
        <f>IF($I85,c_lotfactor*INDEX(M_Onedeal!$H$8:$H$68,$J85),0)+AM85</f>
        <v>0</v>
      </c>
      <c r="N85" s="15">
        <f>IF($I85,c_lotfactor*INDEX(M_Onedeal!$I$8:$I$68,$J85),0)+AN85</f>
        <v>0</v>
      </c>
      <c r="O85" s="15">
        <f>IF($I85,c_lotfactor*INDEX(M_Onedeal!$K$8:$K$68,$J85),0)+AO85</f>
        <v>0</v>
      </c>
      <c r="P85" s="15">
        <f>IF($I85,c_lotfactor*INDEX(M_Onedeal!$L$8:$L$68,$J85),0)+AP85</f>
        <v>0</v>
      </c>
      <c r="Q85" s="15">
        <f>IF($I85,c_lotfactor*INDEX(M_Onedeal!$M$8:$M$68,$J85),0)+AQ85</f>
        <v>0</v>
      </c>
      <c r="R85" s="15">
        <f>IF($I85,c_lotfactor*INDEX(M_Onedeal!$N$8:$N$68,$J85),0)+AR85</f>
        <v>0</v>
      </c>
      <c r="S85" s="15">
        <f>IF($I85,c_lotfactor*INDEX(M_Onedeal!$O$8:$O$68,$J85),0)+AS85</f>
        <v>0</v>
      </c>
      <c r="T85" s="15">
        <f>IF($I85,c_lotfactor*INDEX(M_Onedeal!$P$8:$P$68,$J85),0)+AT85</f>
        <v>0</v>
      </c>
      <c r="U85" s="15">
        <f>IF($I85,c_lotfactor*INDEX(M_Onedeal!$Q$8:$Q$68,$J85),0)+AU85</f>
        <v>0</v>
      </c>
      <c r="V85" s="15">
        <f>IF($I85,c_lotfactor*INDEX(M_Onedeal!$R$8:$R$68,$J85),0)+AV85</f>
        <v>0</v>
      </c>
      <c r="W85" s="15">
        <f>IF($I85,c_lotfactor*INDEX(M_Onedeal!$Y$8:$Y$68,$J85),0)+AW85</f>
        <v>0</v>
      </c>
      <c r="X85" s="15">
        <f>IF($I85,c_lotfactor*INDEX(M_Onedeal!$AA$8:$AA$68,$J85),0)+AX85</f>
        <v>0</v>
      </c>
      <c r="Y85" s="15">
        <f>IF($I85,c_lotfactor*INDEX(M_Onedeal!$AD$8:$AD$68,$J85),0)+AY85</f>
        <v>0</v>
      </c>
      <c r="Z85" s="15">
        <f>IF($I85,c_lotfactor*INDEX(M_Onedeal!$AF$8:$AF$68,$J85),0)+AZ85</f>
        <v>0</v>
      </c>
      <c r="AA85" s="15">
        <f>IF($I85,c_lotfactor*INDEX(M_Onedeal!$AG$8:$AG$68,$J85),0)+BA85</f>
        <v>0</v>
      </c>
      <c r="AB85" s="15">
        <f>IF($I85,c_lotfactor*INDEX(M_Onedeal!$AI$8:$AI$68,$J85),0)+BB85</f>
        <v>0</v>
      </c>
      <c r="AC85" s="15">
        <f>IF($I85,c_lotfactor*INDEX(M_Onedeal!$AQ$8:$AQ$68,$J85),0)+BC85</f>
        <v>0</v>
      </c>
      <c r="AD85" s="15">
        <f>IF($I85,c_lotfactor*INDEX(M_Onedeal!$AR$8:$AR$68,$J85),0)+BD85</f>
        <v>0</v>
      </c>
      <c r="AE85" s="15">
        <f>IF($I85,c_lotfactor*INDEX(M_Onedeal!$AK$8:$AK$68,$J85),0)+BE85</f>
        <v>0</v>
      </c>
      <c r="AF85" s="15">
        <f>IF($I85,c_lotfactor*INDEX(M_Onedeal!$AM$8:$AM$68,$J85),0)+BF85</f>
        <v>0</v>
      </c>
      <c r="AG85" s="15">
        <f>IF($I85,c_lotfactor*-INDEX(M_Onedeal!$AB$8:$AB$68,$J85,0))+BG85</f>
        <v>0</v>
      </c>
      <c r="AH85" s="15">
        <f>IF($I85,c_lotfactor*INDEX(M_Onedeal!$AN$8:$AN$68,$J85),0)+BH85</f>
        <v>0</v>
      </c>
      <c r="AI85" s="15">
        <f>IF($I85,c_lotfactor*INDEX(M_Onedeal!$AO$8:$AO$68,$J85),0)+BI85</f>
        <v>0</v>
      </c>
      <c r="AJ85" s="15">
        <f>IF($I85,c_lotfactor*INDEX(M_Onedeal!$AP$8:$AP$68,$J85),0)+BJ85</f>
        <v>0</v>
      </c>
      <c r="AL85" s="126">
        <v>0</v>
      </c>
      <c r="AM85" s="126">
        <v>0</v>
      </c>
      <c r="AN85" s="126">
        <v>0</v>
      </c>
      <c r="AO85" s="126">
        <v>0</v>
      </c>
      <c r="AP85" s="126">
        <v>0</v>
      </c>
      <c r="AQ85" s="126">
        <v>0</v>
      </c>
      <c r="AR85" s="126">
        <v>0</v>
      </c>
      <c r="AS85" s="126">
        <v>0</v>
      </c>
      <c r="AT85" s="126">
        <v>0</v>
      </c>
      <c r="AU85" s="126">
        <v>0</v>
      </c>
      <c r="AV85" s="126">
        <v>0</v>
      </c>
      <c r="AW85" s="126">
        <v>0</v>
      </c>
      <c r="AX85" s="126">
        <v>0</v>
      </c>
      <c r="AY85" s="126">
        <v>0</v>
      </c>
      <c r="AZ85" s="126">
        <v>0</v>
      </c>
      <c r="BA85" s="126">
        <v>0</v>
      </c>
      <c r="BB85" s="126">
        <v>0</v>
      </c>
      <c r="BC85" s="126">
        <v>0</v>
      </c>
      <c r="BD85" s="126">
        <v>0</v>
      </c>
      <c r="BE85" s="126">
        <v>0</v>
      </c>
      <c r="BF85" s="126">
        <v>0</v>
      </c>
      <c r="BG85" s="126">
        <v>0</v>
      </c>
      <c r="BH85" s="126">
        <v>0</v>
      </c>
      <c r="BI85" s="126">
        <v>0</v>
      </c>
      <c r="BJ85" s="126">
        <v>0</v>
      </c>
    </row>
    <row r="86" spans="2:62" ht="15" customHeight="1">
      <c r="B86" s="16">
        <f t="shared" si="15"/>
        <v>0</v>
      </c>
      <c r="C86" s="16">
        <f t="shared" ca="1" si="18"/>
        <v>2542.6989917229653</v>
      </c>
      <c r="D86" s="333">
        <f t="shared" ca="1" si="16"/>
        <v>0</v>
      </c>
      <c r="E86" s="115">
        <f t="shared" ca="1" si="17"/>
        <v>0</v>
      </c>
      <c r="G86" s="16">
        <f t="shared" si="4"/>
        <v>77</v>
      </c>
      <c r="H86" s="16">
        <f t="shared" si="5"/>
        <v>7</v>
      </c>
      <c r="I86" s="16">
        <f t="shared" si="13"/>
        <v>0</v>
      </c>
      <c r="J86" s="16">
        <f t="shared" si="14"/>
        <v>77</v>
      </c>
      <c r="L86" s="16">
        <f>IF($I86,c_lotfactor*INDEX(M_Onedeal!$E$8:$E$68,$J86),0)+AL86</f>
        <v>0</v>
      </c>
      <c r="M86" s="16">
        <f>IF($I86,c_lotfactor*INDEX(M_Onedeal!$H$8:$H$68,$J86),0)+AM86</f>
        <v>0</v>
      </c>
      <c r="N86" s="16">
        <f>IF($I86,c_lotfactor*INDEX(M_Onedeal!$I$8:$I$68,$J86),0)+AN86</f>
        <v>0</v>
      </c>
      <c r="O86" s="16">
        <f>IF($I86,c_lotfactor*INDEX(M_Onedeal!$K$8:$K$68,$J86),0)+AO86</f>
        <v>0</v>
      </c>
      <c r="P86" s="16">
        <f>IF($I86,c_lotfactor*INDEX(M_Onedeal!$L$8:$L$68,$J86),0)+AP86</f>
        <v>0</v>
      </c>
      <c r="Q86" s="16">
        <f>IF($I86,c_lotfactor*INDEX(M_Onedeal!$M$8:$M$68,$J86),0)+AQ86</f>
        <v>0</v>
      </c>
      <c r="R86" s="16">
        <f>IF($I86,c_lotfactor*INDEX(M_Onedeal!$N$8:$N$68,$J86),0)+AR86</f>
        <v>0</v>
      </c>
      <c r="S86" s="16">
        <f>IF($I86,c_lotfactor*INDEX(M_Onedeal!$O$8:$O$68,$J86),0)+AS86</f>
        <v>0</v>
      </c>
      <c r="T86" s="16">
        <f>IF($I86,c_lotfactor*INDEX(M_Onedeal!$P$8:$P$68,$J86),0)+AT86</f>
        <v>0</v>
      </c>
      <c r="U86" s="16">
        <f>IF($I86,c_lotfactor*INDEX(M_Onedeal!$Q$8:$Q$68,$J86),0)+AU86</f>
        <v>0</v>
      </c>
      <c r="V86" s="16">
        <f>IF($I86,c_lotfactor*INDEX(M_Onedeal!$R$8:$R$68,$J86),0)+AV86</f>
        <v>0</v>
      </c>
      <c r="W86" s="16">
        <f>IF($I86,c_lotfactor*INDEX(M_Onedeal!$Y$8:$Y$68,$J86),0)+AW86</f>
        <v>0</v>
      </c>
      <c r="X86" s="16">
        <f>IF($I86,c_lotfactor*INDEX(M_Onedeal!$AA$8:$AA$68,$J86),0)+AX86</f>
        <v>0</v>
      </c>
      <c r="Y86" s="16">
        <f>IF($I86,c_lotfactor*INDEX(M_Onedeal!$AD$8:$AD$68,$J86),0)+AY86</f>
        <v>0</v>
      </c>
      <c r="Z86" s="16">
        <f>IF($I86,c_lotfactor*INDEX(M_Onedeal!$AF$8:$AF$68,$J86),0)+AZ86</f>
        <v>0</v>
      </c>
      <c r="AA86" s="16">
        <f>IF($I86,c_lotfactor*INDEX(M_Onedeal!$AG$8:$AG$68,$J86),0)+BA86</f>
        <v>0</v>
      </c>
      <c r="AB86" s="16">
        <f>IF($I86,c_lotfactor*INDEX(M_Onedeal!$AI$8:$AI$68,$J86),0)+BB86</f>
        <v>0</v>
      </c>
      <c r="AC86" s="16">
        <f>IF($I86,c_lotfactor*INDEX(M_Onedeal!$AQ$8:$AQ$68,$J86),0)+BC86</f>
        <v>0</v>
      </c>
      <c r="AD86" s="16">
        <f>IF($I86,c_lotfactor*INDEX(M_Onedeal!$AR$8:$AR$68,$J86),0)+BD86</f>
        <v>0</v>
      </c>
      <c r="AE86" s="16">
        <f>IF($I86,c_lotfactor*INDEX(M_Onedeal!$AK$8:$AK$68,$J86),0)+BE86</f>
        <v>0</v>
      </c>
      <c r="AF86" s="16">
        <f>IF($I86,c_lotfactor*INDEX(M_Onedeal!$AM$8:$AM$68,$J86),0)+BF86</f>
        <v>0</v>
      </c>
      <c r="AG86" s="16">
        <f>IF($I86,c_lotfactor*-INDEX(M_Onedeal!$AB$8:$AB$68,$J86,0))+BG86</f>
        <v>0</v>
      </c>
      <c r="AH86" s="16">
        <f>IF($I86,c_lotfactor*INDEX(M_Onedeal!$AN$8:$AN$68,$J86),0)+BH86</f>
        <v>0</v>
      </c>
      <c r="AI86" s="16">
        <f>IF($I86,c_lotfactor*INDEX(M_Onedeal!$AO$8:$AO$68,$J86),0)+BI86</f>
        <v>0</v>
      </c>
      <c r="AJ86" s="16">
        <f>IF($I86,c_lotfactor*INDEX(M_Onedeal!$AP$8:$AP$68,$J86),0)+BJ86</f>
        <v>0</v>
      </c>
      <c r="AL86" s="127">
        <v>0</v>
      </c>
      <c r="AM86" s="127">
        <v>0</v>
      </c>
      <c r="AN86" s="127">
        <v>0</v>
      </c>
      <c r="AO86" s="127">
        <v>0</v>
      </c>
      <c r="AP86" s="127">
        <v>0</v>
      </c>
      <c r="AQ86" s="127">
        <v>0</v>
      </c>
      <c r="AR86" s="127">
        <v>0</v>
      </c>
      <c r="AS86" s="127">
        <v>0</v>
      </c>
      <c r="AT86" s="127">
        <v>0</v>
      </c>
      <c r="AU86" s="127">
        <v>0</v>
      </c>
      <c r="AV86" s="127">
        <v>0</v>
      </c>
      <c r="AW86" s="127">
        <v>0</v>
      </c>
      <c r="AX86" s="127">
        <v>0</v>
      </c>
      <c r="AY86" s="127">
        <v>0</v>
      </c>
      <c r="AZ86" s="127">
        <v>0</v>
      </c>
      <c r="BA86" s="127">
        <v>0</v>
      </c>
      <c r="BB86" s="127">
        <v>0</v>
      </c>
      <c r="BC86" s="127">
        <v>0</v>
      </c>
      <c r="BD86" s="127">
        <v>0</v>
      </c>
      <c r="BE86" s="127">
        <v>0</v>
      </c>
      <c r="BF86" s="127">
        <v>0</v>
      </c>
      <c r="BG86" s="127">
        <v>0</v>
      </c>
      <c r="BH86" s="127">
        <v>0</v>
      </c>
      <c r="BI86" s="127">
        <v>0</v>
      </c>
      <c r="BJ86" s="127">
        <v>0</v>
      </c>
    </row>
    <row r="87" spans="2:62" ht="15" customHeight="1">
      <c r="B87" s="17">
        <f t="shared" si="15"/>
        <v>0</v>
      </c>
      <c r="C87" s="17">
        <f t="shared" ca="1" si="18"/>
        <v>2542.6989917229653</v>
      </c>
      <c r="D87" s="334">
        <f t="shared" ca="1" si="16"/>
        <v>0</v>
      </c>
      <c r="E87" s="116">
        <f t="shared" ca="1" si="17"/>
        <v>0</v>
      </c>
      <c r="G87" s="17">
        <f t="shared" si="4"/>
        <v>78</v>
      </c>
      <c r="H87" s="17">
        <f t="shared" si="5"/>
        <v>7</v>
      </c>
      <c r="I87" s="17">
        <f t="shared" si="13"/>
        <v>0</v>
      </c>
      <c r="J87" s="17">
        <f t="shared" si="14"/>
        <v>78</v>
      </c>
      <c r="L87" s="17">
        <f>IF($I87,c_lotfactor*INDEX(M_Onedeal!$E$8:$E$68,$J87),0)+AL87</f>
        <v>0</v>
      </c>
      <c r="M87" s="17">
        <f>IF($I87,c_lotfactor*INDEX(M_Onedeal!$H$8:$H$68,$J87),0)+AM87</f>
        <v>0</v>
      </c>
      <c r="N87" s="17">
        <f>IF($I87,c_lotfactor*INDEX(M_Onedeal!$I$8:$I$68,$J87),0)+AN87</f>
        <v>0</v>
      </c>
      <c r="O87" s="17">
        <f>IF($I87,c_lotfactor*INDEX(M_Onedeal!$K$8:$K$68,$J87),0)+AO87</f>
        <v>0</v>
      </c>
      <c r="P87" s="17">
        <f>IF($I87,c_lotfactor*INDEX(M_Onedeal!$L$8:$L$68,$J87),0)+AP87</f>
        <v>0</v>
      </c>
      <c r="Q87" s="17">
        <f>IF($I87,c_lotfactor*INDEX(M_Onedeal!$M$8:$M$68,$J87),0)+AQ87</f>
        <v>0</v>
      </c>
      <c r="R87" s="17">
        <f>IF($I87,c_lotfactor*INDEX(M_Onedeal!$N$8:$N$68,$J87),0)+AR87</f>
        <v>0</v>
      </c>
      <c r="S87" s="17">
        <f>IF($I87,c_lotfactor*INDEX(M_Onedeal!$O$8:$O$68,$J87),0)+AS87</f>
        <v>0</v>
      </c>
      <c r="T87" s="17">
        <f>IF($I87,c_lotfactor*INDEX(M_Onedeal!$P$8:$P$68,$J87),0)+AT87</f>
        <v>0</v>
      </c>
      <c r="U87" s="17">
        <f>IF($I87,c_lotfactor*INDEX(M_Onedeal!$Q$8:$Q$68,$J87),0)+AU87</f>
        <v>0</v>
      </c>
      <c r="V87" s="17">
        <f>IF($I87,c_lotfactor*INDEX(M_Onedeal!$R$8:$R$68,$J87),0)+AV87</f>
        <v>0</v>
      </c>
      <c r="W87" s="17">
        <f>IF($I87,c_lotfactor*INDEX(M_Onedeal!$Y$8:$Y$68,$J87),0)+AW87</f>
        <v>0</v>
      </c>
      <c r="X87" s="17">
        <f>IF($I87,c_lotfactor*INDEX(M_Onedeal!$AA$8:$AA$68,$J87),0)+AX87</f>
        <v>0</v>
      </c>
      <c r="Y87" s="17">
        <f>IF($I87,c_lotfactor*INDEX(M_Onedeal!$AD$8:$AD$68,$J87),0)+AY87</f>
        <v>0</v>
      </c>
      <c r="Z87" s="17">
        <f>IF($I87,c_lotfactor*INDEX(M_Onedeal!$AF$8:$AF$68,$J87),0)+AZ87</f>
        <v>0</v>
      </c>
      <c r="AA87" s="17">
        <f>IF($I87,c_lotfactor*INDEX(M_Onedeal!$AG$8:$AG$68,$J87),0)+BA87</f>
        <v>0</v>
      </c>
      <c r="AB87" s="17">
        <f>IF($I87,c_lotfactor*INDEX(M_Onedeal!$AI$8:$AI$68,$J87),0)+BB87</f>
        <v>0</v>
      </c>
      <c r="AC87" s="17">
        <f>IF($I87,c_lotfactor*INDEX(M_Onedeal!$AQ$8:$AQ$68,$J87),0)+BC87</f>
        <v>0</v>
      </c>
      <c r="AD87" s="17">
        <f>IF($I87,c_lotfactor*INDEX(M_Onedeal!$AR$8:$AR$68,$J87),0)+BD87</f>
        <v>0</v>
      </c>
      <c r="AE87" s="17">
        <f>IF($I87,c_lotfactor*INDEX(M_Onedeal!$AK$8:$AK$68,$J87),0)+BE87</f>
        <v>0</v>
      </c>
      <c r="AF87" s="17">
        <f>IF($I87,c_lotfactor*INDEX(M_Onedeal!$AM$8:$AM$68,$J87),0)+BF87</f>
        <v>0</v>
      </c>
      <c r="AG87" s="17">
        <f>IF($I87,c_lotfactor*-INDEX(M_Onedeal!$AB$8:$AB$68,$J87,0))+BG87</f>
        <v>0</v>
      </c>
      <c r="AH87" s="17">
        <f>IF($I87,c_lotfactor*INDEX(M_Onedeal!$AN$8:$AN$68,$J87),0)+BH87</f>
        <v>0</v>
      </c>
      <c r="AI87" s="17">
        <f>IF($I87,c_lotfactor*INDEX(M_Onedeal!$AO$8:$AO$68,$J87),0)+BI87</f>
        <v>0</v>
      </c>
      <c r="AJ87" s="17">
        <f>IF($I87,c_lotfactor*INDEX(M_Onedeal!$AP$8:$AP$68,$J87),0)+BJ87</f>
        <v>0</v>
      </c>
      <c r="AL87" s="128">
        <v>0</v>
      </c>
      <c r="AM87" s="128">
        <v>0</v>
      </c>
      <c r="AN87" s="128">
        <v>0</v>
      </c>
      <c r="AO87" s="128">
        <v>0</v>
      </c>
      <c r="AP87" s="128">
        <v>0</v>
      </c>
      <c r="AQ87" s="128">
        <v>0</v>
      </c>
      <c r="AR87" s="128">
        <v>0</v>
      </c>
      <c r="AS87" s="128">
        <v>0</v>
      </c>
      <c r="AT87" s="128">
        <v>0</v>
      </c>
      <c r="AU87" s="128">
        <v>0</v>
      </c>
      <c r="AV87" s="128">
        <v>0</v>
      </c>
      <c r="AW87" s="128">
        <v>0</v>
      </c>
      <c r="AX87" s="128">
        <v>0</v>
      </c>
      <c r="AY87" s="128">
        <v>0</v>
      </c>
      <c r="AZ87" s="128">
        <v>0</v>
      </c>
      <c r="BA87" s="128">
        <v>0</v>
      </c>
      <c r="BB87" s="128">
        <v>0</v>
      </c>
      <c r="BC87" s="128">
        <v>0</v>
      </c>
      <c r="BD87" s="128">
        <v>0</v>
      </c>
      <c r="BE87" s="128">
        <v>0</v>
      </c>
      <c r="BF87" s="128">
        <v>0</v>
      </c>
      <c r="BG87" s="128">
        <v>0</v>
      </c>
      <c r="BH87" s="128">
        <v>0</v>
      </c>
      <c r="BI87" s="128">
        <v>0</v>
      </c>
      <c r="BJ87" s="128">
        <v>0</v>
      </c>
    </row>
    <row r="88" spans="2:62" ht="15" customHeight="1">
      <c r="B88" s="15">
        <f t="shared" si="15"/>
        <v>0</v>
      </c>
      <c r="C88" s="15">
        <f t="shared" ca="1" si="18"/>
        <v>2542.6989917229653</v>
      </c>
      <c r="D88" s="332">
        <f t="shared" ca="1" si="16"/>
        <v>0</v>
      </c>
      <c r="E88" s="113">
        <f t="shared" ca="1" si="17"/>
        <v>0</v>
      </c>
      <c r="G88" s="15">
        <f t="shared" si="4"/>
        <v>79</v>
      </c>
      <c r="H88" s="15">
        <f t="shared" si="5"/>
        <v>7</v>
      </c>
      <c r="I88" s="15">
        <f t="shared" si="13"/>
        <v>0</v>
      </c>
      <c r="J88" s="15">
        <f t="shared" si="14"/>
        <v>79</v>
      </c>
      <c r="L88" s="15">
        <f>IF($I88,c_lotfactor*INDEX(M_Onedeal!$E$8:$E$68,$J88),0)+AL88</f>
        <v>0</v>
      </c>
      <c r="M88" s="15">
        <f>IF($I88,c_lotfactor*INDEX(M_Onedeal!$H$8:$H$68,$J88),0)+AM88</f>
        <v>0</v>
      </c>
      <c r="N88" s="15">
        <f>IF($I88,c_lotfactor*INDEX(M_Onedeal!$I$8:$I$68,$J88),0)+AN88</f>
        <v>0</v>
      </c>
      <c r="O88" s="15">
        <f>IF($I88,c_lotfactor*INDEX(M_Onedeal!$K$8:$K$68,$J88),0)+AO88</f>
        <v>0</v>
      </c>
      <c r="P88" s="15">
        <f>IF($I88,c_lotfactor*INDEX(M_Onedeal!$L$8:$L$68,$J88),0)+AP88</f>
        <v>0</v>
      </c>
      <c r="Q88" s="15">
        <f>IF($I88,c_lotfactor*INDEX(M_Onedeal!$M$8:$M$68,$J88),0)+AQ88</f>
        <v>0</v>
      </c>
      <c r="R88" s="15">
        <f>IF($I88,c_lotfactor*INDEX(M_Onedeal!$N$8:$N$68,$J88),0)+AR88</f>
        <v>0</v>
      </c>
      <c r="S88" s="15">
        <f>IF($I88,c_lotfactor*INDEX(M_Onedeal!$O$8:$O$68,$J88),0)+AS88</f>
        <v>0</v>
      </c>
      <c r="T88" s="15">
        <f>IF($I88,c_lotfactor*INDEX(M_Onedeal!$P$8:$P$68,$J88),0)+AT88</f>
        <v>0</v>
      </c>
      <c r="U88" s="15">
        <f>IF($I88,c_lotfactor*INDEX(M_Onedeal!$Q$8:$Q$68,$J88),0)+AU88</f>
        <v>0</v>
      </c>
      <c r="V88" s="15">
        <f>IF($I88,c_lotfactor*INDEX(M_Onedeal!$R$8:$R$68,$J88),0)+AV88</f>
        <v>0</v>
      </c>
      <c r="W88" s="15">
        <f>IF($I88,c_lotfactor*INDEX(M_Onedeal!$Y$8:$Y$68,$J88),0)+AW88</f>
        <v>0</v>
      </c>
      <c r="X88" s="15">
        <f>IF($I88,c_lotfactor*INDEX(M_Onedeal!$AA$8:$AA$68,$J88),0)+AX88</f>
        <v>0</v>
      </c>
      <c r="Y88" s="15">
        <f>IF($I88,c_lotfactor*INDEX(M_Onedeal!$AD$8:$AD$68,$J88),0)+AY88</f>
        <v>0</v>
      </c>
      <c r="Z88" s="15">
        <f>IF($I88,c_lotfactor*INDEX(M_Onedeal!$AF$8:$AF$68,$J88),0)+AZ88</f>
        <v>0</v>
      </c>
      <c r="AA88" s="15">
        <f>IF($I88,c_lotfactor*INDEX(M_Onedeal!$AG$8:$AG$68,$J88),0)+BA88</f>
        <v>0</v>
      </c>
      <c r="AB88" s="15">
        <f>IF($I88,c_lotfactor*INDEX(M_Onedeal!$AI$8:$AI$68,$J88),0)+BB88</f>
        <v>0</v>
      </c>
      <c r="AC88" s="15">
        <f>IF($I88,c_lotfactor*INDEX(M_Onedeal!$AQ$8:$AQ$68,$J88),0)+BC88</f>
        <v>0</v>
      </c>
      <c r="AD88" s="15">
        <f>IF($I88,c_lotfactor*INDEX(M_Onedeal!$AR$8:$AR$68,$J88),0)+BD88</f>
        <v>0</v>
      </c>
      <c r="AE88" s="15">
        <f>IF($I88,c_lotfactor*INDEX(M_Onedeal!$AK$8:$AK$68,$J88),0)+BE88</f>
        <v>0</v>
      </c>
      <c r="AF88" s="15">
        <f>IF($I88,c_lotfactor*INDEX(M_Onedeal!$AM$8:$AM$68,$J88),0)+BF88</f>
        <v>0</v>
      </c>
      <c r="AG88" s="15">
        <f>IF($I88,c_lotfactor*-INDEX(M_Onedeal!$AB$8:$AB$68,$J88,0))+BG88</f>
        <v>0</v>
      </c>
      <c r="AH88" s="15">
        <f>IF($I88,c_lotfactor*INDEX(M_Onedeal!$AN$8:$AN$68,$J88),0)+BH88</f>
        <v>0</v>
      </c>
      <c r="AI88" s="15">
        <f>IF($I88,c_lotfactor*INDEX(M_Onedeal!$AO$8:$AO$68,$J88),0)+BI88</f>
        <v>0</v>
      </c>
      <c r="AJ88" s="15">
        <f>IF($I88,c_lotfactor*INDEX(M_Onedeal!$AP$8:$AP$68,$J88),0)+BJ88</f>
        <v>0</v>
      </c>
      <c r="AL88" s="126">
        <v>0</v>
      </c>
      <c r="AM88" s="126">
        <v>0</v>
      </c>
      <c r="AN88" s="126">
        <v>0</v>
      </c>
      <c r="AO88" s="126">
        <v>0</v>
      </c>
      <c r="AP88" s="126">
        <v>0</v>
      </c>
      <c r="AQ88" s="126">
        <v>0</v>
      </c>
      <c r="AR88" s="126">
        <v>0</v>
      </c>
      <c r="AS88" s="126">
        <v>0</v>
      </c>
      <c r="AT88" s="126">
        <v>0</v>
      </c>
      <c r="AU88" s="126">
        <v>0</v>
      </c>
      <c r="AV88" s="126">
        <v>0</v>
      </c>
      <c r="AW88" s="126">
        <v>0</v>
      </c>
      <c r="AX88" s="126">
        <v>0</v>
      </c>
      <c r="AY88" s="126">
        <v>0</v>
      </c>
      <c r="AZ88" s="126">
        <v>0</v>
      </c>
      <c r="BA88" s="126">
        <v>0</v>
      </c>
      <c r="BB88" s="126">
        <v>0</v>
      </c>
      <c r="BC88" s="126">
        <v>0</v>
      </c>
      <c r="BD88" s="126">
        <v>0</v>
      </c>
      <c r="BE88" s="126">
        <v>0</v>
      </c>
      <c r="BF88" s="126">
        <v>0</v>
      </c>
      <c r="BG88" s="126">
        <v>0</v>
      </c>
      <c r="BH88" s="126">
        <v>0</v>
      </c>
      <c r="BI88" s="126">
        <v>0</v>
      </c>
      <c r="BJ88" s="126">
        <v>0</v>
      </c>
    </row>
    <row r="89" spans="2:62" ht="15" customHeight="1">
      <c r="B89" s="16">
        <f t="shared" si="15"/>
        <v>0</v>
      </c>
      <c r="C89" s="16">
        <f t="shared" ca="1" si="18"/>
        <v>2542.6989917229653</v>
      </c>
      <c r="D89" s="333">
        <f t="shared" ca="1" si="16"/>
        <v>0</v>
      </c>
      <c r="E89" s="115">
        <f t="shared" ca="1" si="17"/>
        <v>0</v>
      </c>
      <c r="G89" s="16">
        <f t="shared" si="4"/>
        <v>80</v>
      </c>
      <c r="H89" s="16">
        <f t="shared" si="5"/>
        <v>7</v>
      </c>
      <c r="I89" s="16">
        <f t="shared" si="13"/>
        <v>0</v>
      </c>
      <c r="J89" s="16">
        <f t="shared" si="14"/>
        <v>80</v>
      </c>
      <c r="L89" s="16">
        <f>IF($I89,c_lotfactor*INDEX(M_Onedeal!$E$8:$E$68,$J89),0)+AL89</f>
        <v>0</v>
      </c>
      <c r="M89" s="16">
        <f>IF($I89,c_lotfactor*INDEX(M_Onedeal!$H$8:$H$68,$J89),0)+AM89</f>
        <v>0</v>
      </c>
      <c r="N89" s="16">
        <f>IF($I89,c_lotfactor*INDEX(M_Onedeal!$I$8:$I$68,$J89),0)+AN89</f>
        <v>0</v>
      </c>
      <c r="O89" s="16">
        <f>IF($I89,c_lotfactor*INDEX(M_Onedeal!$K$8:$K$68,$J89),0)+AO89</f>
        <v>0</v>
      </c>
      <c r="P89" s="16">
        <f>IF($I89,c_lotfactor*INDEX(M_Onedeal!$L$8:$L$68,$J89),0)+AP89</f>
        <v>0</v>
      </c>
      <c r="Q89" s="16">
        <f>IF($I89,c_lotfactor*INDEX(M_Onedeal!$M$8:$M$68,$J89),0)+AQ89</f>
        <v>0</v>
      </c>
      <c r="R89" s="16">
        <f>IF($I89,c_lotfactor*INDEX(M_Onedeal!$N$8:$N$68,$J89),0)+AR89</f>
        <v>0</v>
      </c>
      <c r="S89" s="16">
        <f>IF($I89,c_lotfactor*INDEX(M_Onedeal!$O$8:$O$68,$J89),0)+AS89</f>
        <v>0</v>
      </c>
      <c r="T89" s="16">
        <f>IF($I89,c_lotfactor*INDEX(M_Onedeal!$P$8:$P$68,$J89),0)+AT89</f>
        <v>0</v>
      </c>
      <c r="U89" s="16">
        <f>IF($I89,c_lotfactor*INDEX(M_Onedeal!$Q$8:$Q$68,$J89),0)+AU89</f>
        <v>0</v>
      </c>
      <c r="V89" s="16">
        <f>IF($I89,c_lotfactor*INDEX(M_Onedeal!$R$8:$R$68,$J89),0)+AV89</f>
        <v>0</v>
      </c>
      <c r="W89" s="16">
        <f>IF($I89,c_lotfactor*INDEX(M_Onedeal!$Y$8:$Y$68,$J89),0)+AW89</f>
        <v>0</v>
      </c>
      <c r="X89" s="16">
        <f>IF($I89,c_lotfactor*INDEX(M_Onedeal!$AA$8:$AA$68,$J89),0)+AX89</f>
        <v>0</v>
      </c>
      <c r="Y89" s="16">
        <f>IF($I89,c_lotfactor*INDEX(M_Onedeal!$AD$8:$AD$68,$J89),0)+AY89</f>
        <v>0</v>
      </c>
      <c r="Z89" s="16">
        <f>IF($I89,c_lotfactor*INDEX(M_Onedeal!$AF$8:$AF$68,$J89),0)+AZ89</f>
        <v>0</v>
      </c>
      <c r="AA89" s="16">
        <f>IF($I89,c_lotfactor*INDEX(M_Onedeal!$AG$8:$AG$68,$J89),0)+BA89</f>
        <v>0</v>
      </c>
      <c r="AB89" s="16">
        <f>IF($I89,c_lotfactor*INDEX(M_Onedeal!$AI$8:$AI$68,$J89),0)+BB89</f>
        <v>0</v>
      </c>
      <c r="AC89" s="16">
        <f>IF($I89,c_lotfactor*INDEX(M_Onedeal!$AQ$8:$AQ$68,$J89),0)+BC89</f>
        <v>0</v>
      </c>
      <c r="AD89" s="16">
        <f>IF($I89,c_lotfactor*INDEX(M_Onedeal!$AR$8:$AR$68,$J89),0)+BD89</f>
        <v>0</v>
      </c>
      <c r="AE89" s="16">
        <f>IF($I89,c_lotfactor*INDEX(M_Onedeal!$AK$8:$AK$68,$J89),0)+BE89</f>
        <v>0</v>
      </c>
      <c r="AF89" s="16">
        <f>IF($I89,c_lotfactor*INDEX(M_Onedeal!$AM$8:$AM$68,$J89),0)+BF89</f>
        <v>0</v>
      </c>
      <c r="AG89" s="16">
        <f>IF($I89,c_lotfactor*-INDEX(M_Onedeal!$AB$8:$AB$68,$J89,0))+BG89</f>
        <v>0</v>
      </c>
      <c r="AH89" s="16">
        <f>IF($I89,c_lotfactor*INDEX(M_Onedeal!$AN$8:$AN$68,$J89),0)+BH89</f>
        <v>0</v>
      </c>
      <c r="AI89" s="16">
        <f>IF($I89,c_lotfactor*INDEX(M_Onedeal!$AO$8:$AO$68,$J89),0)+BI89</f>
        <v>0</v>
      </c>
      <c r="AJ89" s="16">
        <f>IF($I89,c_lotfactor*INDEX(M_Onedeal!$AP$8:$AP$68,$J89),0)+BJ89</f>
        <v>0</v>
      </c>
      <c r="AL89" s="127">
        <v>0</v>
      </c>
      <c r="AM89" s="127">
        <v>0</v>
      </c>
      <c r="AN89" s="127">
        <v>0</v>
      </c>
      <c r="AO89" s="127">
        <v>0</v>
      </c>
      <c r="AP89" s="127">
        <v>0</v>
      </c>
      <c r="AQ89" s="127">
        <v>0</v>
      </c>
      <c r="AR89" s="127">
        <v>0</v>
      </c>
      <c r="AS89" s="127">
        <v>0</v>
      </c>
      <c r="AT89" s="127">
        <v>0</v>
      </c>
      <c r="AU89" s="127">
        <v>0</v>
      </c>
      <c r="AV89" s="127">
        <v>0</v>
      </c>
      <c r="AW89" s="127">
        <v>0</v>
      </c>
      <c r="AX89" s="127">
        <v>0</v>
      </c>
      <c r="AY89" s="127">
        <v>0</v>
      </c>
      <c r="AZ89" s="127">
        <v>0</v>
      </c>
      <c r="BA89" s="127">
        <v>0</v>
      </c>
      <c r="BB89" s="127">
        <v>0</v>
      </c>
      <c r="BC89" s="127">
        <v>0</v>
      </c>
      <c r="BD89" s="127">
        <v>0</v>
      </c>
      <c r="BE89" s="127">
        <v>0</v>
      </c>
      <c r="BF89" s="127">
        <v>0</v>
      </c>
      <c r="BG89" s="127">
        <v>0</v>
      </c>
      <c r="BH89" s="127">
        <v>0</v>
      </c>
      <c r="BI89" s="127">
        <v>0</v>
      </c>
      <c r="BJ89" s="127">
        <v>0</v>
      </c>
    </row>
    <row r="90" spans="2:62" ht="15" customHeight="1">
      <c r="B90" s="17">
        <f t="shared" si="15"/>
        <v>0</v>
      </c>
      <c r="C90" s="17">
        <f t="shared" ca="1" si="18"/>
        <v>2542.6989917229653</v>
      </c>
      <c r="D90" s="334">
        <f t="shared" ca="1" si="16"/>
        <v>0</v>
      </c>
      <c r="E90" s="116">
        <f t="shared" ca="1" si="17"/>
        <v>0</v>
      </c>
      <c r="G90" s="17">
        <f t="shared" si="4"/>
        <v>81</v>
      </c>
      <c r="H90" s="17">
        <f t="shared" si="5"/>
        <v>7</v>
      </c>
      <c r="I90" s="17">
        <f t="shared" si="13"/>
        <v>0</v>
      </c>
      <c r="J90" s="17">
        <f t="shared" si="14"/>
        <v>81</v>
      </c>
      <c r="L90" s="17">
        <f>IF($I90,c_lotfactor*INDEX(M_Onedeal!$E$8:$E$68,$J90),0)+AL90</f>
        <v>0</v>
      </c>
      <c r="M90" s="17">
        <f>IF($I90,c_lotfactor*INDEX(M_Onedeal!$H$8:$H$68,$J90),0)+AM90</f>
        <v>0</v>
      </c>
      <c r="N90" s="17">
        <f>IF($I90,c_lotfactor*INDEX(M_Onedeal!$I$8:$I$68,$J90),0)+AN90</f>
        <v>0</v>
      </c>
      <c r="O90" s="17">
        <f>IF($I90,c_lotfactor*INDEX(M_Onedeal!$K$8:$K$68,$J90),0)+AO90</f>
        <v>0</v>
      </c>
      <c r="P90" s="17">
        <f>IF($I90,c_lotfactor*INDEX(M_Onedeal!$L$8:$L$68,$J90),0)+AP90</f>
        <v>0</v>
      </c>
      <c r="Q90" s="17">
        <f>IF($I90,c_lotfactor*INDEX(M_Onedeal!$M$8:$M$68,$J90),0)+AQ90</f>
        <v>0</v>
      </c>
      <c r="R90" s="17">
        <f>IF($I90,c_lotfactor*INDEX(M_Onedeal!$N$8:$N$68,$J90),0)+AR90</f>
        <v>0</v>
      </c>
      <c r="S90" s="17">
        <f>IF($I90,c_lotfactor*INDEX(M_Onedeal!$O$8:$O$68,$J90),0)+AS90</f>
        <v>0</v>
      </c>
      <c r="T90" s="17">
        <f>IF($I90,c_lotfactor*INDEX(M_Onedeal!$P$8:$P$68,$J90),0)+AT90</f>
        <v>0</v>
      </c>
      <c r="U90" s="17">
        <f>IF($I90,c_lotfactor*INDEX(M_Onedeal!$Q$8:$Q$68,$J90),0)+AU90</f>
        <v>0</v>
      </c>
      <c r="V90" s="17">
        <f>IF($I90,c_lotfactor*INDEX(M_Onedeal!$R$8:$R$68,$J90),0)+AV90</f>
        <v>0</v>
      </c>
      <c r="W90" s="17">
        <f>IF($I90,c_lotfactor*INDEX(M_Onedeal!$Y$8:$Y$68,$J90),0)+AW90</f>
        <v>0</v>
      </c>
      <c r="X90" s="17">
        <f>IF($I90,c_lotfactor*INDEX(M_Onedeal!$AA$8:$AA$68,$J90),0)+AX90</f>
        <v>0</v>
      </c>
      <c r="Y90" s="17">
        <f>IF($I90,c_lotfactor*INDEX(M_Onedeal!$AD$8:$AD$68,$J90),0)+AY90</f>
        <v>0</v>
      </c>
      <c r="Z90" s="17">
        <f>IF($I90,c_lotfactor*INDEX(M_Onedeal!$AF$8:$AF$68,$J90),0)+AZ90</f>
        <v>0</v>
      </c>
      <c r="AA90" s="17">
        <f>IF($I90,c_lotfactor*INDEX(M_Onedeal!$AG$8:$AG$68,$J90),0)+BA90</f>
        <v>0</v>
      </c>
      <c r="AB90" s="17">
        <f>IF($I90,c_lotfactor*INDEX(M_Onedeal!$AI$8:$AI$68,$J90),0)+BB90</f>
        <v>0</v>
      </c>
      <c r="AC90" s="17">
        <f>IF($I90,c_lotfactor*INDEX(M_Onedeal!$AQ$8:$AQ$68,$J90),0)+BC90</f>
        <v>0</v>
      </c>
      <c r="AD90" s="17">
        <f>IF($I90,c_lotfactor*INDEX(M_Onedeal!$AR$8:$AR$68,$J90),0)+BD90</f>
        <v>0</v>
      </c>
      <c r="AE90" s="17">
        <f>IF($I90,c_lotfactor*INDEX(M_Onedeal!$AK$8:$AK$68,$J90),0)+BE90</f>
        <v>0</v>
      </c>
      <c r="AF90" s="17">
        <f>IF($I90,c_lotfactor*INDEX(M_Onedeal!$AM$8:$AM$68,$J90),0)+BF90</f>
        <v>0</v>
      </c>
      <c r="AG90" s="17">
        <f>IF($I90,c_lotfactor*-INDEX(M_Onedeal!$AB$8:$AB$68,$J90,0))+BG90</f>
        <v>0</v>
      </c>
      <c r="AH90" s="17">
        <f>IF($I90,c_lotfactor*INDEX(M_Onedeal!$AN$8:$AN$68,$J90),0)+BH90</f>
        <v>0</v>
      </c>
      <c r="AI90" s="17">
        <f>IF($I90,c_lotfactor*INDEX(M_Onedeal!$AO$8:$AO$68,$J90),0)+BI90</f>
        <v>0</v>
      </c>
      <c r="AJ90" s="17">
        <f>IF($I90,c_lotfactor*INDEX(M_Onedeal!$AP$8:$AP$68,$J90),0)+BJ90</f>
        <v>0</v>
      </c>
      <c r="AL90" s="128">
        <v>0</v>
      </c>
      <c r="AM90" s="128">
        <v>0</v>
      </c>
      <c r="AN90" s="128">
        <v>0</v>
      </c>
      <c r="AO90" s="128">
        <v>0</v>
      </c>
      <c r="AP90" s="128">
        <v>0</v>
      </c>
      <c r="AQ90" s="128">
        <v>0</v>
      </c>
      <c r="AR90" s="128">
        <v>0</v>
      </c>
      <c r="AS90" s="128">
        <v>0</v>
      </c>
      <c r="AT90" s="128">
        <v>0</v>
      </c>
      <c r="AU90" s="128">
        <v>0</v>
      </c>
      <c r="AV90" s="128">
        <v>0</v>
      </c>
      <c r="AW90" s="128">
        <v>0</v>
      </c>
      <c r="AX90" s="128">
        <v>0</v>
      </c>
      <c r="AY90" s="128">
        <v>0</v>
      </c>
      <c r="AZ90" s="128">
        <v>0</v>
      </c>
      <c r="BA90" s="128">
        <v>0</v>
      </c>
      <c r="BB90" s="128">
        <v>0</v>
      </c>
      <c r="BC90" s="128">
        <v>0</v>
      </c>
      <c r="BD90" s="128">
        <v>0</v>
      </c>
      <c r="BE90" s="128">
        <v>0</v>
      </c>
      <c r="BF90" s="128">
        <v>0</v>
      </c>
      <c r="BG90" s="128">
        <v>0</v>
      </c>
      <c r="BH90" s="128">
        <v>0</v>
      </c>
      <c r="BI90" s="128">
        <v>0</v>
      </c>
      <c r="BJ90" s="128">
        <v>0</v>
      </c>
    </row>
    <row r="91" spans="2:62" ht="15" customHeight="1">
      <c r="B91" s="15">
        <f t="shared" si="15"/>
        <v>0</v>
      </c>
      <c r="C91" s="15">
        <f t="shared" ca="1" si="18"/>
        <v>2542.6989917229653</v>
      </c>
      <c r="D91" s="332">
        <f t="shared" ca="1" si="16"/>
        <v>0</v>
      </c>
      <c r="E91" s="113">
        <f t="shared" ca="1" si="17"/>
        <v>0</v>
      </c>
      <c r="G91" s="15">
        <f t="shared" si="4"/>
        <v>82</v>
      </c>
      <c r="H91" s="15">
        <f t="shared" si="5"/>
        <v>7</v>
      </c>
      <c r="I91" s="15">
        <f t="shared" si="13"/>
        <v>0</v>
      </c>
      <c r="J91" s="15">
        <f t="shared" si="14"/>
        <v>82</v>
      </c>
      <c r="L91" s="15">
        <f>IF($I91,c_lotfactor*INDEX(M_Onedeal!$E$8:$E$68,$J91),0)+AL91</f>
        <v>0</v>
      </c>
      <c r="M91" s="15">
        <f>IF($I91,c_lotfactor*INDEX(M_Onedeal!$H$8:$H$68,$J91),0)+AM91</f>
        <v>0</v>
      </c>
      <c r="N91" s="15">
        <f>IF($I91,c_lotfactor*INDEX(M_Onedeal!$I$8:$I$68,$J91),0)+AN91</f>
        <v>0</v>
      </c>
      <c r="O91" s="15">
        <f>IF($I91,c_lotfactor*INDEX(M_Onedeal!$K$8:$K$68,$J91),0)+AO91</f>
        <v>0</v>
      </c>
      <c r="P91" s="15">
        <f>IF($I91,c_lotfactor*INDEX(M_Onedeal!$L$8:$L$68,$J91),0)+AP91</f>
        <v>0</v>
      </c>
      <c r="Q91" s="15">
        <f>IF($I91,c_lotfactor*INDEX(M_Onedeal!$M$8:$M$68,$J91),0)+AQ91</f>
        <v>0</v>
      </c>
      <c r="R91" s="15">
        <f>IF($I91,c_lotfactor*INDEX(M_Onedeal!$N$8:$N$68,$J91),0)+AR91</f>
        <v>0</v>
      </c>
      <c r="S91" s="15">
        <f>IF($I91,c_lotfactor*INDEX(M_Onedeal!$O$8:$O$68,$J91),0)+AS91</f>
        <v>0</v>
      </c>
      <c r="T91" s="15">
        <f>IF($I91,c_lotfactor*INDEX(M_Onedeal!$P$8:$P$68,$J91),0)+AT91</f>
        <v>0</v>
      </c>
      <c r="U91" s="15">
        <f>IF($I91,c_lotfactor*INDEX(M_Onedeal!$Q$8:$Q$68,$J91),0)+AU91</f>
        <v>0</v>
      </c>
      <c r="V91" s="15">
        <f>IF($I91,c_lotfactor*INDEX(M_Onedeal!$R$8:$R$68,$J91),0)+AV91</f>
        <v>0</v>
      </c>
      <c r="W91" s="15">
        <f>IF($I91,c_lotfactor*INDEX(M_Onedeal!$Y$8:$Y$68,$J91),0)+AW91</f>
        <v>0</v>
      </c>
      <c r="X91" s="15">
        <f>IF($I91,c_lotfactor*INDEX(M_Onedeal!$AA$8:$AA$68,$J91),0)+AX91</f>
        <v>0</v>
      </c>
      <c r="Y91" s="15">
        <f>IF($I91,c_lotfactor*INDEX(M_Onedeal!$AD$8:$AD$68,$J91),0)+AY91</f>
        <v>0</v>
      </c>
      <c r="Z91" s="15">
        <f>IF($I91,c_lotfactor*INDEX(M_Onedeal!$AF$8:$AF$68,$J91),0)+AZ91</f>
        <v>0</v>
      </c>
      <c r="AA91" s="15">
        <f>IF($I91,c_lotfactor*INDEX(M_Onedeal!$AG$8:$AG$68,$J91),0)+BA91</f>
        <v>0</v>
      </c>
      <c r="AB91" s="15">
        <f>IF($I91,c_lotfactor*INDEX(M_Onedeal!$AI$8:$AI$68,$J91),0)+BB91</f>
        <v>0</v>
      </c>
      <c r="AC91" s="15">
        <f>IF($I91,c_lotfactor*INDEX(M_Onedeal!$AQ$8:$AQ$68,$J91),0)+BC91</f>
        <v>0</v>
      </c>
      <c r="AD91" s="15">
        <f>IF($I91,c_lotfactor*INDEX(M_Onedeal!$AR$8:$AR$68,$J91),0)+BD91</f>
        <v>0</v>
      </c>
      <c r="AE91" s="15">
        <f>IF($I91,c_lotfactor*INDEX(M_Onedeal!$AK$8:$AK$68,$J91),0)+BE91</f>
        <v>0</v>
      </c>
      <c r="AF91" s="15">
        <f>IF($I91,c_lotfactor*INDEX(M_Onedeal!$AM$8:$AM$68,$J91),0)+BF91</f>
        <v>0</v>
      </c>
      <c r="AG91" s="15">
        <f>IF($I91,c_lotfactor*-INDEX(M_Onedeal!$AB$8:$AB$68,$J91,0))+BG91</f>
        <v>0</v>
      </c>
      <c r="AH91" s="15">
        <f>IF($I91,c_lotfactor*INDEX(M_Onedeal!$AN$8:$AN$68,$J91),0)+BH91</f>
        <v>0</v>
      </c>
      <c r="AI91" s="15">
        <f>IF($I91,c_lotfactor*INDEX(M_Onedeal!$AO$8:$AO$68,$J91),0)+BI91</f>
        <v>0</v>
      </c>
      <c r="AJ91" s="15">
        <f>IF($I91,c_lotfactor*INDEX(M_Onedeal!$AP$8:$AP$68,$J91),0)+BJ91</f>
        <v>0</v>
      </c>
      <c r="AL91" s="126">
        <v>0</v>
      </c>
      <c r="AM91" s="126">
        <v>0</v>
      </c>
      <c r="AN91" s="126">
        <v>0</v>
      </c>
      <c r="AO91" s="126">
        <v>0</v>
      </c>
      <c r="AP91" s="126">
        <v>0</v>
      </c>
      <c r="AQ91" s="126">
        <v>0</v>
      </c>
      <c r="AR91" s="126">
        <v>0</v>
      </c>
      <c r="AS91" s="126">
        <v>0</v>
      </c>
      <c r="AT91" s="126">
        <v>0</v>
      </c>
      <c r="AU91" s="126">
        <v>0</v>
      </c>
      <c r="AV91" s="126">
        <v>0</v>
      </c>
      <c r="AW91" s="126">
        <v>0</v>
      </c>
      <c r="AX91" s="126">
        <v>0</v>
      </c>
      <c r="AY91" s="126">
        <v>0</v>
      </c>
      <c r="AZ91" s="126">
        <v>0</v>
      </c>
      <c r="BA91" s="126">
        <v>0</v>
      </c>
      <c r="BB91" s="126">
        <v>0</v>
      </c>
      <c r="BC91" s="126">
        <v>0</v>
      </c>
      <c r="BD91" s="126">
        <v>0</v>
      </c>
      <c r="BE91" s="126">
        <v>0</v>
      </c>
      <c r="BF91" s="126">
        <v>0</v>
      </c>
      <c r="BG91" s="126">
        <v>0</v>
      </c>
      <c r="BH91" s="126">
        <v>0</v>
      </c>
      <c r="BI91" s="126">
        <v>0</v>
      </c>
      <c r="BJ91" s="126">
        <v>0</v>
      </c>
    </row>
    <row r="92" spans="2:62" ht="15" customHeight="1">
      <c r="B92" s="16">
        <f t="shared" si="15"/>
        <v>0</v>
      </c>
      <c r="C92" s="16">
        <f t="shared" ca="1" si="18"/>
        <v>2542.6989917229653</v>
      </c>
      <c r="D92" s="333">
        <f t="shared" ca="1" si="16"/>
        <v>0</v>
      </c>
      <c r="E92" s="115">
        <f t="shared" ca="1" si="17"/>
        <v>0</v>
      </c>
      <c r="G92" s="16">
        <f t="shared" si="4"/>
        <v>83</v>
      </c>
      <c r="H92" s="16">
        <f t="shared" si="5"/>
        <v>7</v>
      </c>
      <c r="I92" s="16">
        <f t="shared" si="13"/>
        <v>0</v>
      </c>
      <c r="J92" s="16">
        <f t="shared" si="14"/>
        <v>83</v>
      </c>
      <c r="L92" s="16">
        <f>IF($I92,c_lotfactor*INDEX(M_Onedeal!$E$8:$E$68,$J92),0)+AL92</f>
        <v>0</v>
      </c>
      <c r="M92" s="16">
        <f>IF($I92,c_lotfactor*INDEX(M_Onedeal!$H$8:$H$68,$J92),0)+AM92</f>
        <v>0</v>
      </c>
      <c r="N92" s="16">
        <f>IF($I92,c_lotfactor*INDEX(M_Onedeal!$I$8:$I$68,$J92),0)+AN92</f>
        <v>0</v>
      </c>
      <c r="O92" s="16">
        <f>IF($I92,c_lotfactor*INDEX(M_Onedeal!$K$8:$K$68,$J92),0)+AO92</f>
        <v>0</v>
      </c>
      <c r="P92" s="16">
        <f>IF($I92,c_lotfactor*INDEX(M_Onedeal!$L$8:$L$68,$J92),0)+AP92</f>
        <v>0</v>
      </c>
      <c r="Q92" s="16">
        <f>IF($I92,c_lotfactor*INDEX(M_Onedeal!$M$8:$M$68,$J92),0)+AQ92</f>
        <v>0</v>
      </c>
      <c r="R92" s="16">
        <f>IF($I92,c_lotfactor*INDEX(M_Onedeal!$N$8:$N$68,$J92),0)+AR92</f>
        <v>0</v>
      </c>
      <c r="S92" s="16">
        <f>IF($I92,c_lotfactor*INDEX(M_Onedeal!$O$8:$O$68,$J92),0)+AS92</f>
        <v>0</v>
      </c>
      <c r="T92" s="16">
        <f>IF($I92,c_lotfactor*INDEX(M_Onedeal!$P$8:$P$68,$J92),0)+AT92</f>
        <v>0</v>
      </c>
      <c r="U92" s="16">
        <f>IF($I92,c_lotfactor*INDEX(M_Onedeal!$Q$8:$Q$68,$J92),0)+AU92</f>
        <v>0</v>
      </c>
      <c r="V92" s="16">
        <f>IF($I92,c_lotfactor*INDEX(M_Onedeal!$R$8:$R$68,$J92),0)+AV92</f>
        <v>0</v>
      </c>
      <c r="W92" s="16">
        <f>IF($I92,c_lotfactor*INDEX(M_Onedeal!$Y$8:$Y$68,$J92),0)+AW92</f>
        <v>0</v>
      </c>
      <c r="X92" s="16">
        <f>IF($I92,c_lotfactor*INDEX(M_Onedeal!$AA$8:$AA$68,$J92),0)+AX92</f>
        <v>0</v>
      </c>
      <c r="Y92" s="16">
        <f>IF($I92,c_lotfactor*INDEX(M_Onedeal!$AD$8:$AD$68,$J92),0)+AY92</f>
        <v>0</v>
      </c>
      <c r="Z92" s="16">
        <f>IF($I92,c_lotfactor*INDEX(M_Onedeal!$AF$8:$AF$68,$J92),0)+AZ92</f>
        <v>0</v>
      </c>
      <c r="AA92" s="16">
        <f>IF($I92,c_lotfactor*INDEX(M_Onedeal!$AG$8:$AG$68,$J92),0)+BA92</f>
        <v>0</v>
      </c>
      <c r="AB92" s="16">
        <f>IF($I92,c_lotfactor*INDEX(M_Onedeal!$AI$8:$AI$68,$J92),0)+BB92</f>
        <v>0</v>
      </c>
      <c r="AC92" s="16">
        <f>IF($I92,c_lotfactor*INDEX(M_Onedeal!$AQ$8:$AQ$68,$J92),0)+BC92</f>
        <v>0</v>
      </c>
      <c r="AD92" s="16">
        <f>IF($I92,c_lotfactor*INDEX(M_Onedeal!$AR$8:$AR$68,$J92),0)+BD92</f>
        <v>0</v>
      </c>
      <c r="AE92" s="16">
        <f>IF($I92,c_lotfactor*INDEX(M_Onedeal!$AK$8:$AK$68,$J92),0)+BE92</f>
        <v>0</v>
      </c>
      <c r="AF92" s="16">
        <f>IF($I92,c_lotfactor*INDEX(M_Onedeal!$AM$8:$AM$68,$J92),0)+BF92</f>
        <v>0</v>
      </c>
      <c r="AG92" s="16">
        <f>IF($I92,c_lotfactor*-INDEX(M_Onedeal!$AB$8:$AB$68,$J92,0))+BG92</f>
        <v>0</v>
      </c>
      <c r="AH92" s="16">
        <f>IF($I92,c_lotfactor*INDEX(M_Onedeal!$AN$8:$AN$68,$J92),0)+BH92</f>
        <v>0</v>
      </c>
      <c r="AI92" s="16">
        <f>IF($I92,c_lotfactor*INDEX(M_Onedeal!$AO$8:$AO$68,$J92),0)+BI92</f>
        <v>0</v>
      </c>
      <c r="AJ92" s="16">
        <f>IF($I92,c_lotfactor*INDEX(M_Onedeal!$AP$8:$AP$68,$J92),0)+BJ92</f>
        <v>0</v>
      </c>
      <c r="AL92" s="127">
        <v>0</v>
      </c>
      <c r="AM92" s="127">
        <v>0</v>
      </c>
      <c r="AN92" s="127">
        <v>0</v>
      </c>
      <c r="AO92" s="127">
        <v>0</v>
      </c>
      <c r="AP92" s="127">
        <v>0</v>
      </c>
      <c r="AQ92" s="127">
        <v>0</v>
      </c>
      <c r="AR92" s="127">
        <v>0</v>
      </c>
      <c r="AS92" s="127">
        <v>0</v>
      </c>
      <c r="AT92" s="127">
        <v>0</v>
      </c>
      <c r="AU92" s="127">
        <v>0</v>
      </c>
      <c r="AV92" s="127">
        <v>0</v>
      </c>
      <c r="AW92" s="127">
        <v>0</v>
      </c>
      <c r="AX92" s="127">
        <v>0</v>
      </c>
      <c r="AY92" s="127">
        <v>0</v>
      </c>
      <c r="AZ92" s="127">
        <v>0</v>
      </c>
      <c r="BA92" s="127">
        <v>0</v>
      </c>
      <c r="BB92" s="127">
        <v>0</v>
      </c>
      <c r="BC92" s="127">
        <v>0</v>
      </c>
      <c r="BD92" s="127">
        <v>0</v>
      </c>
      <c r="BE92" s="127">
        <v>0</v>
      </c>
      <c r="BF92" s="127">
        <v>0</v>
      </c>
      <c r="BG92" s="127">
        <v>0</v>
      </c>
      <c r="BH92" s="127">
        <v>0</v>
      </c>
      <c r="BI92" s="127">
        <v>0</v>
      </c>
      <c r="BJ92" s="127">
        <v>0</v>
      </c>
    </row>
    <row r="93" spans="2:62" ht="15" customHeight="1" thickBot="1">
      <c r="B93" s="18">
        <f t="shared" si="15"/>
        <v>0</v>
      </c>
      <c r="C93" s="18">
        <f t="shared" ca="1" si="18"/>
        <v>2542.6989917229653</v>
      </c>
      <c r="D93" s="335">
        <f t="shared" ca="1" si="16"/>
        <v>0</v>
      </c>
      <c r="E93" s="117">
        <f t="shared" ca="1" si="17"/>
        <v>0</v>
      </c>
      <c r="G93" s="18">
        <f t="shared" si="4"/>
        <v>84</v>
      </c>
      <c r="H93" s="18">
        <f t="shared" si="5"/>
        <v>7</v>
      </c>
      <c r="I93" s="18">
        <f t="shared" si="13"/>
        <v>0</v>
      </c>
      <c r="J93" s="18">
        <f t="shared" si="14"/>
        <v>84</v>
      </c>
      <c r="L93" s="18">
        <f>IF($I93,c_lotfactor*INDEX(M_Onedeal!$E$8:$E$68,$J93),0)+AL93</f>
        <v>0</v>
      </c>
      <c r="M93" s="18">
        <f>IF($I93,c_lotfactor*INDEX(M_Onedeal!$H$8:$H$68,$J93),0)+AM93</f>
        <v>0</v>
      </c>
      <c r="N93" s="18">
        <f>IF($I93,c_lotfactor*INDEX(M_Onedeal!$I$8:$I$68,$J93),0)+AN93</f>
        <v>0</v>
      </c>
      <c r="O93" s="18">
        <f>IF($I93,c_lotfactor*INDEX(M_Onedeal!$K$8:$K$68,$J93),0)+AO93</f>
        <v>0</v>
      </c>
      <c r="P93" s="18">
        <f>IF($I93,c_lotfactor*INDEX(M_Onedeal!$L$8:$L$68,$J93),0)+AP93</f>
        <v>0</v>
      </c>
      <c r="Q93" s="18">
        <f>IF($I93,c_lotfactor*INDEX(M_Onedeal!$M$8:$M$68,$J93),0)+AQ93</f>
        <v>0</v>
      </c>
      <c r="R93" s="18">
        <f>IF($I93,c_lotfactor*INDEX(M_Onedeal!$N$8:$N$68,$J93),0)+AR93</f>
        <v>0</v>
      </c>
      <c r="S93" s="18">
        <f>IF($I93,c_lotfactor*INDEX(M_Onedeal!$O$8:$O$68,$J93),0)+AS93</f>
        <v>0</v>
      </c>
      <c r="T93" s="18">
        <f>IF($I93,c_lotfactor*INDEX(M_Onedeal!$P$8:$P$68,$J93),0)+AT93</f>
        <v>0</v>
      </c>
      <c r="U93" s="18">
        <f>IF($I93,c_lotfactor*INDEX(M_Onedeal!$Q$8:$Q$68,$J93),0)+AU93</f>
        <v>0</v>
      </c>
      <c r="V93" s="18">
        <f>IF($I93,c_lotfactor*INDEX(M_Onedeal!$R$8:$R$68,$J93),0)+AV93</f>
        <v>0</v>
      </c>
      <c r="W93" s="18">
        <f>IF($I93,c_lotfactor*INDEX(M_Onedeal!$Y$8:$Y$68,$J93),0)+AW93</f>
        <v>0</v>
      </c>
      <c r="X93" s="18">
        <f>IF($I93,c_lotfactor*INDEX(M_Onedeal!$AA$8:$AA$68,$J93),0)+AX93</f>
        <v>0</v>
      </c>
      <c r="Y93" s="18">
        <f>IF($I93,c_lotfactor*INDEX(M_Onedeal!$AD$8:$AD$68,$J93),0)+AY93</f>
        <v>0</v>
      </c>
      <c r="Z93" s="18">
        <f>IF($I93,c_lotfactor*INDEX(M_Onedeal!$AF$8:$AF$68,$J93),0)+AZ93</f>
        <v>0</v>
      </c>
      <c r="AA93" s="18">
        <f>IF($I93,c_lotfactor*INDEX(M_Onedeal!$AG$8:$AG$68,$J93),0)+BA93</f>
        <v>0</v>
      </c>
      <c r="AB93" s="18">
        <f>IF($I93,c_lotfactor*INDEX(M_Onedeal!$AI$8:$AI$68,$J93),0)+BB93</f>
        <v>0</v>
      </c>
      <c r="AC93" s="18">
        <f>IF($I93,c_lotfactor*INDEX(M_Onedeal!$AQ$8:$AQ$68,$J93),0)+BC93</f>
        <v>0</v>
      </c>
      <c r="AD93" s="18">
        <f>IF($I93,c_lotfactor*INDEX(M_Onedeal!$AR$8:$AR$68,$J93),0)+BD93</f>
        <v>0</v>
      </c>
      <c r="AE93" s="18">
        <f>IF($I93,c_lotfactor*INDEX(M_Onedeal!$AK$8:$AK$68,$J93),0)+BE93</f>
        <v>0</v>
      </c>
      <c r="AF93" s="18">
        <f>IF($I93,c_lotfactor*INDEX(M_Onedeal!$AM$8:$AM$68,$J93),0)+BF93</f>
        <v>0</v>
      </c>
      <c r="AG93" s="18">
        <f>IF($I93,c_lotfactor*-INDEX(M_Onedeal!$AB$8:$AB$68,$J93,0))+BG93</f>
        <v>0</v>
      </c>
      <c r="AH93" s="18">
        <f>IF($I93,c_lotfactor*INDEX(M_Onedeal!$AN$8:$AN$68,$J93),0)+BH93</f>
        <v>0</v>
      </c>
      <c r="AI93" s="18">
        <f>IF($I93,c_lotfactor*INDEX(M_Onedeal!$AO$8:$AO$68,$J93),0)+BI93</f>
        <v>0</v>
      </c>
      <c r="AJ93" s="18">
        <f>IF($I93,c_lotfactor*INDEX(M_Onedeal!$AP$8:$AP$68,$J93),0)+BJ93</f>
        <v>0</v>
      </c>
      <c r="AL93" s="129">
        <v>0</v>
      </c>
      <c r="AM93" s="129">
        <v>0</v>
      </c>
      <c r="AN93" s="129">
        <v>0</v>
      </c>
      <c r="AO93" s="129">
        <v>0</v>
      </c>
      <c r="AP93" s="129">
        <v>0</v>
      </c>
      <c r="AQ93" s="129">
        <v>0</v>
      </c>
      <c r="AR93" s="129">
        <v>0</v>
      </c>
      <c r="AS93" s="129">
        <v>0</v>
      </c>
      <c r="AT93" s="129">
        <v>0</v>
      </c>
      <c r="AU93" s="129">
        <v>0</v>
      </c>
      <c r="AV93" s="129">
        <v>0</v>
      </c>
      <c r="AW93" s="129">
        <v>0</v>
      </c>
      <c r="AX93" s="129">
        <v>0</v>
      </c>
      <c r="AY93" s="129">
        <v>0</v>
      </c>
      <c r="AZ93" s="129">
        <v>0</v>
      </c>
      <c r="BA93" s="129">
        <v>0</v>
      </c>
      <c r="BB93" s="129">
        <v>0</v>
      </c>
      <c r="BC93" s="129">
        <v>0</v>
      </c>
      <c r="BD93" s="129">
        <v>0</v>
      </c>
      <c r="BE93" s="129">
        <v>0</v>
      </c>
      <c r="BF93" s="129">
        <v>0</v>
      </c>
      <c r="BG93" s="129">
        <v>0</v>
      </c>
      <c r="BH93" s="129">
        <v>0</v>
      </c>
      <c r="BI93" s="129">
        <v>0</v>
      </c>
      <c r="BJ93" s="129">
        <v>0</v>
      </c>
    </row>
    <row r="94" spans="2:62" ht="15" customHeight="1">
      <c r="B94" s="19">
        <f t="shared" si="15"/>
        <v>0</v>
      </c>
      <c r="C94" s="19">
        <f t="shared" ca="1" si="18"/>
        <v>2542.6989917229653</v>
      </c>
      <c r="D94" s="336">
        <f t="shared" ca="1" si="16"/>
        <v>0</v>
      </c>
      <c r="E94" s="118">
        <f t="shared" ca="1" si="17"/>
        <v>0</v>
      </c>
      <c r="G94" s="19">
        <f t="shared" si="4"/>
        <v>85</v>
      </c>
      <c r="H94" s="19">
        <f t="shared" si="5"/>
        <v>8</v>
      </c>
      <c r="I94" s="19">
        <f t="shared" si="13"/>
        <v>0</v>
      </c>
      <c r="J94" s="19">
        <f t="shared" si="14"/>
        <v>85</v>
      </c>
      <c r="L94" s="19">
        <f>IF($I94,c_lotfactor*INDEX(M_Onedeal!$E$8:$E$68,$J94),0)+AL94</f>
        <v>0</v>
      </c>
      <c r="M94" s="19">
        <f>IF($I94,c_lotfactor*INDEX(M_Onedeal!$H$8:$H$68,$J94),0)+AM94</f>
        <v>0</v>
      </c>
      <c r="N94" s="19">
        <f>IF($I94,c_lotfactor*INDEX(M_Onedeal!$I$8:$I$68,$J94),0)+AN94</f>
        <v>0</v>
      </c>
      <c r="O94" s="19">
        <f>IF($I94,c_lotfactor*INDEX(M_Onedeal!$K$8:$K$68,$J94),0)+AO94</f>
        <v>0</v>
      </c>
      <c r="P94" s="19">
        <f>IF($I94,c_lotfactor*INDEX(M_Onedeal!$L$8:$L$68,$J94),0)+AP94</f>
        <v>0</v>
      </c>
      <c r="Q94" s="19">
        <f>IF($I94,c_lotfactor*INDEX(M_Onedeal!$M$8:$M$68,$J94),0)+AQ94</f>
        <v>0</v>
      </c>
      <c r="R94" s="19">
        <f>IF($I94,c_lotfactor*INDEX(M_Onedeal!$N$8:$N$68,$J94),0)+AR94</f>
        <v>0</v>
      </c>
      <c r="S94" s="19">
        <f>IF($I94,c_lotfactor*INDEX(M_Onedeal!$O$8:$O$68,$J94),0)+AS94</f>
        <v>0</v>
      </c>
      <c r="T94" s="19">
        <f>IF($I94,c_lotfactor*INDEX(M_Onedeal!$P$8:$P$68,$J94),0)+AT94</f>
        <v>0</v>
      </c>
      <c r="U94" s="19">
        <f>IF($I94,c_lotfactor*INDEX(M_Onedeal!$Q$8:$Q$68,$J94),0)+AU94</f>
        <v>0</v>
      </c>
      <c r="V94" s="19">
        <f>IF($I94,c_lotfactor*INDEX(M_Onedeal!$R$8:$R$68,$J94),0)+AV94</f>
        <v>0</v>
      </c>
      <c r="W94" s="19">
        <f>IF($I94,c_lotfactor*INDEX(M_Onedeal!$Y$8:$Y$68,$J94),0)+AW94</f>
        <v>0</v>
      </c>
      <c r="X94" s="19">
        <f>IF($I94,c_lotfactor*INDEX(M_Onedeal!$AA$8:$AA$68,$J94),0)+AX94</f>
        <v>0</v>
      </c>
      <c r="Y94" s="19">
        <f>IF($I94,c_lotfactor*INDEX(M_Onedeal!$AD$8:$AD$68,$J94),0)+AY94</f>
        <v>0</v>
      </c>
      <c r="Z94" s="19">
        <f>IF($I94,c_lotfactor*INDEX(M_Onedeal!$AF$8:$AF$68,$J94),0)+AZ94</f>
        <v>0</v>
      </c>
      <c r="AA94" s="19">
        <f>IF($I94,c_lotfactor*INDEX(M_Onedeal!$AG$8:$AG$68,$J94),0)+BA94</f>
        <v>0</v>
      </c>
      <c r="AB94" s="19">
        <f>IF($I94,c_lotfactor*INDEX(M_Onedeal!$AI$8:$AI$68,$J94),0)+BB94</f>
        <v>0</v>
      </c>
      <c r="AC94" s="19">
        <f>IF($I94,c_lotfactor*INDEX(M_Onedeal!$AQ$8:$AQ$68,$J94),0)+BC94</f>
        <v>0</v>
      </c>
      <c r="AD94" s="19">
        <f>IF($I94,c_lotfactor*INDEX(M_Onedeal!$AR$8:$AR$68,$J94),0)+BD94</f>
        <v>0</v>
      </c>
      <c r="AE94" s="19">
        <f>IF($I94,c_lotfactor*INDEX(M_Onedeal!$AK$8:$AK$68,$J94),0)+BE94</f>
        <v>0</v>
      </c>
      <c r="AF94" s="19">
        <f>IF($I94,c_lotfactor*INDEX(M_Onedeal!$AM$8:$AM$68,$J94),0)+BF94</f>
        <v>0</v>
      </c>
      <c r="AG94" s="19">
        <f>IF($I94,c_lotfactor*-INDEX(M_Onedeal!$AB$8:$AB$68,$J94,0))+BG94</f>
        <v>0</v>
      </c>
      <c r="AH94" s="19">
        <f>IF($I94,c_lotfactor*INDEX(M_Onedeal!$AN$8:$AN$68,$J94),0)+BH94</f>
        <v>0</v>
      </c>
      <c r="AI94" s="19">
        <f>IF($I94,c_lotfactor*INDEX(M_Onedeal!$AO$8:$AO$68,$J94),0)+BI94</f>
        <v>0</v>
      </c>
      <c r="AJ94" s="19">
        <f>IF($I94,c_lotfactor*INDEX(M_Onedeal!$AP$8:$AP$68,$J94),0)+BJ94</f>
        <v>0</v>
      </c>
      <c r="AL94" s="130">
        <v>0</v>
      </c>
      <c r="AM94" s="130">
        <v>0</v>
      </c>
      <c r="AN94" s="130">
        <v>0</v>
      </c>
      <c r="AO94" s="130">
        <v>0</v>
      </c>
      <c r="AP94" s="130">
        <v>0</v>
      </c>
      <c r="AQ94" s="130">
        <v>0</v>
      </c>
      <c r="AR94" s="130">
        <v>0</v>
      </c>
      <c r="AS94" s="130">
        <v>0</v>
      </c>
      <c r="AT94" s="130">
        <v>0</v>
      </c>
      <c r="AU94" s="130">
        <v>0</v>
      </c>
      <c r="AV94" s="130">
        <v>0</v>
      </c>
      <c r="AW94" s="130">
        <v>0</v>
      </c>
      <c r="AX94" s="130">
        <v>0</v>
      </c>
      <c r="AY94" s="130">
        <v>0</v>
      </c>
      <c r="AZ94" s="130">
        <v>0</v>
      </c>
      <c r="BA94" s="130">
        <v>0</v>
      </c>
      <c r="BB94" s="130">
        <v>0</v>
      </c>
      <c r="BC94" s="130">
        <v>0</v>
      </c>
      <c r="BD94" s="130">
        <v>0</v>
      </c>
      <c r="BE94" s="130">
        <v>0</v>
      </c>
      <c r="BF94" s="130">
        <v>0</v>
      </c>
      <c r="BG94" s="130">
        <v>0</v>
      </c>
      <c r="BH94" s="130">
        <v>0</v>
      </c>
      <c r="BI94" s="130">
        <v>0</v>
      </c>
      <c r="BJ94" s="130">
        <v>0</v>
      </c>
    </row>
    <row r="95" spans="2:62" ht="15" customHeight="1">
      <c r="B95" s="16">
        <f t="shared" si="15"/>
        <v>0</v>
      </c>
      <c r="C95" s="16">
        <f t="shared" ca="1" si="18"/>
        <v>2542.6989917229653</v>
      </c>
      <c r="D95" s="333">
        <f t="shared" ca="1" si="16"/>
        <v>0</v>
      </c>
      <c r="E95" s="115">
        <f t="shared" ca="1" si="17"/>
        <v>0</v>
      </c>
      <c r="G95" s="16">
        <f t="shared" si="4"/>
        <v>86</v>
      </c>
      <c r="H95" s="16">
        <f t="shared" si="5"/>
        <v>8</v>
      </c>
      <c r="I95" s="16">
        <f t="shared" si="13"/>
        <v>0</v>
      </c>
      <c r="J95" s="16">
        <f t="shared" si="14"/>
        <v>86</v>
      </c>
      <c r="L95" s="16">
        <f>IF($I95,c_lotfactor*INDEX(M_Onedeal!$E$8:$E$68,$J95),0)+AL95</f>
        <v>0</v>
      </c>
      <c r="M95" s="16">
        <f>IF($I95,c_lotfactor*INDEX(M_Onedeal!$H$8:$H$68,$J95),0)+AM95</f>
        <v>0</v>
      </c>
      <c r="N95" s="16">
        <f>IF($I95,c_lotfactor*INDEX(M_Onedeal!$I$8:$I$68,$J95),0)+AN95</f>
        <v>0</v>
      </c>
      <c r="O95" s="16">
        <f>IF($I95,c_lotfactor*INDEX(M_Onedeal!$K$8:$K$68,$J95),0)+AO95</f>
        <v>0</v>
      </c>
      <c r="P95" s="16">
        <f>IF($I95,c_lotfactor*INDEX(M_Onedeal!$L$8:$L$68,$J95),0)+AP95</f>
        <v>0</v>
      </c>
      <c r="Q95" s="16">
        <f>IF($I95,c_lotfactor*INDEX(M_Onedeal!$M$8:$M$68,$J95),0)+AQ95</f>
        <v>0</v>
      </c>
      <c r="R95" s="16">
        <f>IF($I95,c_lotfactor*INDEX(M_Onedeal!$N$8:$N$68,$J95),0)+AR95</f>
        <v>0</v>
      </c>
      <c r="S95" s="16">
        <f>IF($I95,c_lotfactor*INDEX(M_Onedeal!$O$8:$O$68,$J95),0)+AS95</f>
        <v>0</v>
      </c>
      <c r="T95" s="16">
        <f>IF($I95,c_lotfactor*INDEX(M_Onedeal!$P$8:$P$68,$J95),0)+AT95</f>
        <v>0</v>
      </c>
      <c r="U95" s="16">
        <f>IF($I95,c_lotfactor*INDEX(M_Onedeal!$Q$8:$Q$68,$J95),0)+AU95</f>
        <v>0</v>
      </c>
      <c r="V95" s="16">
        <f>IF($I95,c_lotfactor*INDEX(M_Onedeal!$R$8:$R$68,$J95),0)+AV95</f>
        <v>0</v>
      </c>
      <c r="W95" s="16">
        <f>IF($I95,c_lotfactor*INDEX(M_Onedeal!$Y$8:$Y$68,$J95),0)+AW95</f>
        <v>0</v>
      </c>
      <c r="X95" s="16">
        <f>IF($I95,c_lotfactor*INDEX(M_Onedeal!$AA$8:$AA$68,$J95),0)+AX95</f>
        <v>0</v>
      </c>
      <c r="Y95" s="16">
        <f>IF($I95,c_lotfactor*INDEX(M_Onedeal!$AD$8:$AD$68,$J95),0)+AY95</f>
        <v>0</v>
      </c>
      <c r="Z95" s="16">
        <f>IF($I95,c_lotfactor*INDEX(M_Onedeal!$AF$8:$AF$68,$J95),0)+AZ95</f>
        <v>0</v>
      </c>
      <c r="AA95" s="16">
        <f>IF($I95,c_lotfactor*INDEX(M_Onedeal!$AG$8:$AG$68,$J95),0)+BA95</f>
        <v>0</v>
      </c>
      <c r="AB95" s="16">
        <f>IF($I95,c_lotfactor*INDEX(M_Onedeal!$AI$8:$AI$68,$J95),0)+BB95</f>
        <v>0</v>
      </c>
      <c r="AC95" s="16">
        <f>IF($I95,c_lotfactor*INDEX(M_Onedeal!$AQ$8:$AQ$68,$J95),0)+BC95</f>
        <v>0</v>
      </c>
      <c r="AD95" s="16">
        <f>IF($I95,c_lotfactor*INDEX(M_Onedeal!$AR$8:$AR$68,$J95),0)+BD95</f>
        <v>0</v>
      </c>
      <c r="AE95" s="16">
        <f>IF($I95,c_lotfactor*INDEX(M_Onedeal!$AK$8:$AK$68,$J95),0)+BE95</f>
        <v>0</v>
      </c>
      <c r="AF95" s="16">
        <f>IF($I95,c_lotfactor*INDEX(M_Onedeal!$AM$8:$AM$68,$J95),0)+BF95</f>
        <v>0</v>
      </c>
      <c r="AG95" s="16">
        <f>IF($I95,c_lotfactor*-INDEX(M_Onedeal!$AB$8:$AB$68,$J95,0))+BG95</f>
        <v>0</v>
      </c>
      <c r="AH95" s="16">
        <f>IF($I95,c_lotfactor*INDEX(M_Onedeal!$AN$8:$AN$68,$J95),0)+BH95</f>
        <v>0</v>
      </c>
      <c r="AI95" s="16">
        <f>IF($I95,c_lotfactor*INDEX(M_Onedeal!$AO$8:$AO$68,$J95),0)+BI95</f>
        <v>0</v>
      </c>
      <c r="AJ95" s="16">
        <f>IF($I95,c_lotfactor*INDEX(M_Onedeal!$AP$8:$AP$68,$J95),0)+BJ95</f>
        <v>0</v>
      </c>
      <c r="AL95" s="127">
        <v>0</v>
      </c>
      <c r="AM95" s="127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7">
        <v>0</v>
      </c>
      <c r="AX95" s="127">
        <v>0</v>
      </c>
      <c r="AY95" s="127">
        <v>0</v>
      </c>
      <c r="AZ95" s="127">
        <v>0</v>
      </c>
      <c r="BA95" s="127">
        <v>0</v>
      </c>
      <c r="BB95" s="127">
        <v>0</v>
      </c>
      <c r="BC95" s="127">
        <v>0</v>
      </c>
      <c r="BD95" s="127">
        <v>0</v>
      </c>
      <c r="BE95" s="127">
        <v>0</v>
      </c>
      <c r="BF95" s="127">
        <v>0</v>
      </c>
      <c r="BG95" s="127">
        <v>0</v>
      </c>
      <c r="BH95" s="127">
        <v>0</v>
      </c>
      <c r="BI95" s="127">
        <v>0</v>
      </c>
      <c r="BJ95" s="127">
        <v>0</v>
      </c>
    </row>
    <row r="96" spans="2:62" ht="15" customHeight="1">
      <c r="B96" s="17">
        <f t="shared" si="15"/>
        <v>0</v>
      </c>
      <c r="C96" s="17">
        <f t="shared" ca="1" si="18"/>
        <v>2542.6989917229653</v>
      </c>
      <c r="D96" s="334">
        <f t="shared" ca="1" si="16"/>
        <v>0</v>
      </c>
      <c r="E96" s="116">
        <f t="shared" ca="1" si="17"/>
        <v>0</v>
      </c>
      <c r="G96" s="17">
        <f t="shared" si="4"/>
        <v>87</v>
      </c>
      <c r="H96" s="17">
        <f t="shared" si="5"/>
        <v>8</v>
      </c>
      <c r="I96" s="17">
        <f t="shared" si="13"/>
        <v>0</v>
      </c>
      <c r="J96" s="17">
        <f t="shared" si="14"/>
        <v>87</v>
      </c>
      <c r="L96" s="17">
        <f>IF($I96,c_lotfactor*INDEX(M_Onedeal!$E$8:$E$68,$J96),0)+AL96</f>
        <v>0</v>
      </c>
      <c r="M96" s="17">
        <f>IF($I96,c_lotfactor*INDEX(M_Onedeal!$H$8:$H$68,$J96),0)+AM96</f>
        <v>0</v>
      </c>
      <c r="N96" s="17">
        <f>IF($I96,c_lotfactor*INDEX(M_Onedeal!$I$8:$I$68,$J96),0)+AN96</f>
        <v>0</v>
      </c>
      <c r="O96" s="17">
        <f>IF($I96,c_lotfactor*INDEX(M_Onedeal!$K$8:$K$68,$J96),0)+AO96</f>
        <v>0</v>
      </c>
      <c r="P96" s="17">
        <f>IF($I96,c_lotfactor*INDEX(M_Onedeal!$L$8:$L$68,$J96),0)+AP96</f>
        <v>0</v>
      </c>
      <c r="Q96" s="17">
        <f>IF($I96,c_lotfactor*INDEX(M_Onedeal!$M$8:$M$68,$J96),0)+AQ96</f>
        <v>0</v>
      </c>
      <c r="R96" s="17">
        <f>IF($I96,c_lotfactor*INDEX(M_Onedeal!$N$8:$N$68,$J96),0)+AR96</f>
        <v>0</v>
      </c>
      <c r="S96" s="17">
        <f>IF($I96,c_lotfactor*INDEX(M_Onedeal!$O$8:$O$68,$J96),0)+AS96</f>
        <v>0</v>
      </c>
      <c r="T96" s="17">
        <f>IF($I96,c_lotfactor*INDEX(M_Onedeal!$P$8:$P$68,$J96),0)+AT96</f>
        <v>0</v>
      </c>
      <c r="U96" s="17">
        <f>IF($I96,c_lotfactor*INDEX(M_Onedeal!$Q$8:$Q$68,$J96),0)+AU96</f>
        <v>0</v>
      </c>
      <c r="V96" s="17">
        <f>IF($I96,c_lotfactor*INDEX(M_Onedeal!$R$8:$R$68,$J96),0)+AV96</f>
        <v>0</v>
      </c>
      <c r="W96" s="17">
        <f>IF($I96,c_lotfactor*INDEX(M_Onedeal!$Y$8:$Y$68,$J96),0)+AW96</f>
        <v>0</v>
      </c>
      <c r="X96" s="17">
        <f>IF($I96,c_lotfactor*INDEX(M_Onedeal!$AA$8:$AA$68,$J96),0)+AX96</f>
        <v>0</v>
      </c>
      <c r="Y96" s="17">
        <f>IF($I96,c_lotfactor*INDEX(M_Onedeal!$AD$8:$AD$68,$J96),0)+AY96</f>
        <v>0</v>
      </c>
      <c r="Z96" s="17">
        <f>IF($I96,c_lotfactor*INDEX(M_Onedeal!$AF$8:$AF$68,$J96),0)+AZ96</f>
        <v>0</v>
      </c>
      <c r="AA96" s="17">
        <f>IF($I96,c_lotfactor*INDEX(M_Onedeal!$AG$8:$AG$68,$J96),0)+BA96</f>
        <v>0</v>
      </c>
      <c r="AB96" s="17">
        <f>IF($I96,c_lotfactor*INDEX(M_Onedeal!$AI$8:$AI$68,$J96),0)+BB96</f>
        <v>0</v>
      </c>
      <c r="AC96" s="17">
        <f>IF($I96,c_lotfactor*INDEX(M_Onedeal!$AQ$8:$AQ$68,$J96),0)+BC96</f>
        <v>0</v>
      </c>
      <c r="AD96" s="17">
        <f>IF($I96,c_lotfactor*INDEX(M_Onedeal!$AR$8:$AR$68,$J96),0)+BD96</f>
        <v>0</v>
      </c>
      <c r="AE96" s="17">
        <f>IF($I96,c_lotfactor*INDEX(M_Onedeal!$AK$8:$AK$68,$J96),0)+BE96</f>
        <v>0</v>
      </c>
      <c r="AF96" s="17">
        <f>IF($I96,c_lotfactor*INDEX(M_Onedeal!$AM$8:$AM$68,$J96),0)+BF96</f>
        <v>0</v>
      </c>
      <c r="AG96" s="17">
        <f>IF($I96,c_lotfactor*-INDEX(M_Onedeal!$AB$8:$AB$68,$J96,0))+BG96</f>
        <v>0</v>
      </c>
      <c r="AH96" s="17">
        <f>IF($I96,c_lotfactor*INDEX(M_Onedeal!$AN$8:$AN$68,$J96),0)+BH96</f>
        <v>0</v>
      </c>
      <c r="AI96" s="17">
        <f>IF($I96,c_lotfactor*INDEX(M_Onedeal!$AO$8:$AO$68,$J96),0)+BI96</f>
        <v>0</v>
      </c>
      <c r="AJ96" s="17">
        <f>IF($I96,c_lotfactor*INDEX(M_Onedeal!$AP$8:$AP$68,$J96),0)+BJ96</f>
        <v>0</v>
      </c>
      <c r="AL96" s="128">
        <v>0</v>
      </c>
      <c r="AM96" s="128">
        <v>0</v>
      </c>
      <c r="AN96" s="128">
        <v>0</v>
      </c>
      <c r="AO96" s="128">
        <v>0</v>
      </c>
      <c r="AP96" s="128">
        <v>0</v>
      </c>
      <c r="AQ96" s="128">
        <v>0</v>
      </c>
      <c r="AR96" s="128">
        <v>0</v>
      </c>
      <c r="AS96" s="128">
        <v>0</v>
      </c>
      <c r="AT96" s="128">
        <v>0</v>
      </c>
      <c r="AU96" s="128">
        <v>0</v>
      </c>
      <c r="AV96" s="128">
        <v>0</v>
      </c>
      <c r="AW96" s="128">
        <v>0</v>
      </c>
      <c r="AX96" s="128">
        <v>0</v>
      </c>
      <c r="AY96" s="128">
        <v>0</v>
      </c>
      <c r="AZ96" s="128">
        <v>0</v>
      </c>
      <c r="BA96" s="128">
        <v>0</v>
      </c>
      <c r="BB96" s="128">
        <v>0</v>
      </c>
      <c r="BC96" s="128">
        <v>0</v>
      </c>
      <c r="BD96" s="128">
        <v>0</v>
      </c>
      <c r="BE96" s="128">
        <v>0</v>
      </c>
      <c r="BF96" s="128">
        <v>0</v>
      </c>
      <c r="BG96" s="128">
        <v>0</v>
      </c>
      <c r="BH96" s="128">
        <v>0</v>
      </c>
      <c r="BI96" s="128">
        <v>0</v>
      </c>
      <c r="BJ96" s="128">
        <v>0</v>
      </c>
    </row>
    <row r="97" spans="2:62" ht="15" customHeight="1">
      <c r="B97" s="15">
        <f t="shared" si="15"/>
        <v>0</v>
      </c>
      <c r="C97" s="15">
        <f t="shared" ca="1" si="18"/>
        <v>2542.6989917229653</v>
      </c>
      <c r="D97" s="332">
        <f t="shared" ca="1" si="16"/>
        <v>0</v>
      </c>
      <c r="E97" s="113">
        <f t="shared" ca="1" si="17"/>
        <v>0</v>
      </c>
      <c r="G97" s="15">
        <f t="shared" si="4"/>
        <v>88</v>
      </c>
      <c r="H97" s="15">
        <f t="shared" si="5"/>
        <v>8</v>
      </c>
      <c r="I97" s="15">
        <f t="shared" si="13"/>
        <v>0</v>
      </c>
      <c r="J97" s="15">
        <f t="shared" si="14"/>
        <v>88</v>
      </c>
      <c r="L97" s="15">
        <f>IF($I97,c_lotfactor*INDEX(M_Onedeal!$E$8:$E$68,$J97),0)+AL97</f>
        <v>0</v>
      </c>
      <c r="M97" s="15">
        <f>IF($I97,c_lotfactor*INDEX(M_Onedeal!$H$8:$H$68,$J97),0)+AM97</f>
        <v>0</v>
      </c>
      <c r="N97" s="15">
        <f>IF($I97,c_lotfactor*INDEX(M_Onedeal!$I$8:$I$68,$J97),0)+AN97</f>
        <v>0</v>
      </c>
      <c r="O97" s="15">
        <f>IF($I97,c_lotfactor*INDEX(M_Onedeal!$K$8:$K$68,$J97),0)+AO97</f>
        <v>0</v>
      </c>
      <c r="P97" s="15">
        <f>IF($I97,c_lotfactor*INDEX(M_Onedeal!$L$8:$L$68,$J97),0)+AP97</f>
        <v>0</v>
      </c>
      <c r="Q97" s="15">
        <f>IF($I97,c_lotfactor*INDEX(M_Onedeal!$M$8:$M$68,$J97),0)+AQ97</f>
        <v>0</v>
      </c>
      <c r="R97" s="15">
        <f>IF($I97,c_lotfactor*INDEX(M_Onedeal!$N$8:$N$68,$J97),0)+AR97</f>
        <v>0</v>
      </c>
      <c r="S97" s="15">
        <f>IF($I97,c_lotfactor*INDEX(M_Onedeal!$O$8:$O$68,$J97),0)+AS97</f>
        <v>0</v>
      </c>
      <c r="T97" s="15">
        <f>IF($I97,c_lotfactor*INDEX(M_Onedeal!$P$8:$P$68,$J97),0)+AT97</f>
        <v>0</v>
      </c>
      <c r="U97" s="15">
        <f>IF($I97,c_lotfactor*INDEX(M_Onedeal!$Q$8:$Q$68,$J97),0)+AU97</f>
        <v>0</v>
      </c>
      <c r="V97" s="15">
        <f>IF($I97,c_lotfactor*INDEX(M_Onedeal!$R$8:$R$68,$J97),0)+AV97</f>
        <v>0</v>
      </c>
      <c r="W97" s="15">
        <f>IF($I97,c_lotfactor*INDEX(M_Onedeal!$Y$8:$Y$68,$J97),0)+AW97</f>
        <v>0</v>
      </c>
      <c r="X97" s="15">
        <f>IF($I97,c_lotfactor*INDEX(M_Onedeal!$AA$8:$AA$68,$J97),0)+AX97</f>
        <v>0</v>
      </c>
      <c r="Y97" s="15">
        <f>IF($I97,c_lotfactor*INDEX(M_Onedeal!$AD$8:$AD$68,$J97),0)+AY97</f>
        <v>0</v>
      </c>
      <c r="Z97" s="15">
        <f>IF($I97,c_lotfactor*INDEX(M_Onedeal!$AF$8:$AF$68,$J97),0)+AZ97</f>
        <v>0</v>
      </c>
      <c r="AA97" s="15">
        <f>IF($I97,c_lotfactor*INDEX(M_Onedeal!$AG$8:$AG$68,$J97),0)+BA97</f>
        <v>0</v>
      </c>
      <c r="AB97" s="15">
        <f>IF($I97,c_lotfactor*INDEX(M_Onedeal!$AI$8:$AI$68,$J97),0)+BB97</f>
        <v>0</v>
      </c>
      <c r="AC97" s="15">
        <f>IF($I97,c_lotfactor*INDEX(M_Onedeal!$AQ$8:$AQ$68,$J97),0)+BC97</f>
        <v>0</v>
      </c>
      <c r="AD97" s="15">
        <f>IF($I97,c_lotfactor*INDEX(M_Onedeal!$AR$8:$AR$68,$J97),0)+BD97</f>
        <v>0</v>
      </c>
      <c r="AE97" s="15">
        <f>IF($I97,c_lotfactor*INDEX(M_Onedeal!$AK$8:$AK$68,$J97),0)+BE97</f>
        <v>0</v>
      </c>
      <c r="AF97" s="15">
        <f>IF($I97,c_lotfactor*INDEX(M_Onedeal!$AM$8:$AM$68,$J97),0)+BF97</f>
        <v>0</v>
      </c>
      <c r="AG97" s="15">
        <f>IF($I97,c_lotfactor*-INDEX(M_Onedeal!$AB$8:$AB$68,$J97,0))+BG97</f>
        <v>0</v>
      </c>
      <c r="AH97" s="15">
        <f>IF($I97,c_lotfactor*INDEX(M_Onedeal!$AN$8:$AN$68,$J97),0)+BH97</f>
        <v>0</v>
      </c>
      <c r="AI97" s="15">
        <f>IF($I97,c_lotfactor*INDEX(M_Onedeal!$AO$8:$AO$68,$J97),0)+BI97</f>
        <v>0</v>
      </c>
      <c r="AJ97" s="15">
        <f>IF($I97,c_lotfactor*INDEX(M_Onedeal!$AP$8:$AP$68,$J97),0)+BJ97</f>
        <v>0</v>
      </c>
      <c r="AL97" s="126">
        <v>0</v>
      </c>
      <c r="AM97" s="126">
        <v>0</v>
      </c>
      <c r="AN97" s="126">
        <v>0</v>
      </c>
      <c r="AO97" s="126">
        <v>0</v>
      </c>
      <c r="AP97" s="126">
        <v>0</v>
      </c>
      <c r="AQ97" s="126">
        <v>0</v>
      </c>
      <c r="AR97" s="126">
        <v>0</v>
      </c>
      <c r="AS97" s="126">
        <v>0</v>
      </c>
      <c r="AT97" s="126">
        <v>0</v>
      </c>
      <c r="AU97" s="126">
        <v>0</v>
      </c>
      <c r="AV97" s="126">
        <v>0</v>
      </c>
      <c r="AW97" s="126">
        <v>0</v>
      </c>
      <c r="AX97" s="126">
        <v>0</v>
      </c>
      <c r="AY97" s="126">
        <v>0</v>
      </c>
      <c r="AZ97" s="126">
        <v>0</v>
      </c>
      <c r="BA97" s="126">
        <v>0</v>
      </c>
      <c r="BB97" s="126">
        <v>0</v>
      </c>
      <c r="BC97" s="126">
        <v>0</v>
      </c>
      <c r="BD97" s="126">
        <v>0</v>
      </c>
      <c r="BE97" s="126">
        <v>0</v>
      </c>
      <c r="BF97" s="126">
        <v>0</v>
      </c>
      <c r="BG97" s="126">
        <v>0</v>
      </c>
      <c r="BH97" s="126">
        <v>0</v>
      </c>
      <c r="BI97" s="126">
        <v>0</v>
      </c>
      <c r="BJ97" s="126">
        <v>0</v>
      </c>
    </row>
    <row r="98" spans="2:62" ht="15" customHeight="1">
      <c r="B98" s="16">
        <f t="shared" si="15"/>
        <v>0</v>
      </c>
      <c r="C98" s="16">
        <f t="shared" ca="1" si="18"/>
        <v>2542.6989917229653</v>
      </c>
      <c r="D98" s="333">
        <f t="shared" ca="1" si="16"/>
        <v>0</v>
      </c>
      <c r="E98" s="115">
        <f t="shared" ca="1" si="17"/>
        <v>0</v>
      </c>
      <c r="G98" s="16">
        <f t="shared" si="4"/>
        <v>89</v>
      </c>
      <c r="H98" s="16">
        <f t="shared" si="5"/>
        <v>8</v>
      </c>
      <c r="I98" s="16">
        <f t="shared" si="13"/>
        <v>0</v>
      </c>
      <c r="J98" s="16">
        <f t="shared" si="14"/>
        <v>89</v>
      </c>
      <c r="L98" s="16">
        <f>IF($I98,c_lotfactor*INDEX(M_Onedeal!$E$8:$E$68,$J98),0)+AL98</f>
        <v>0</v>
      </c>
      <c r="M98" s="16">
        <f>IF($I98,c_lotfactor*INDEX(M_Onedeal!$H$8:$H$68,$J98),0)+AM98</f>
        <v>0</v>
      </c>
      <c r="N98" s="16">
        <f>IF($I98,c_lotfactor*INDEX(M_Onedeal!$I$8:$I$68,$J98),0)+AN98</f>
        <v>0</v>
      </c>
      <c r="O98" s="16">
        <f>IF($I98,c_lotfactor*INDEX(M_Onedeal!$K$8:$K$68,$J98),0)+AO98</f>
        <v>0</v>
      </c>
      <c r="P98" s="16">
        <f>IF($I98,c_lotfactor*INDEX(M_Onedeal!$L$8:$L$68,$J98),0)+AP98</f>
        <v>0</v>
      </c>
      <c r="Q98" s="16">
        <f>IF($I98,c_lotfactor*INDEX(M_Onedeal!$M$8:$M$68,$J98),0)+AQ98</f>
        <v>0</v>
      </c>
      <c r="R98" s="16">
        <f>IF($I98,c_lotfactor*INDEX(M_Onedeal!$N$8:$N$68,$J98),0)+AR98</f>
        <v>0</v>
      </c>
      <c r="S98" s="16">
        <f>IF($I98,c_lotfactor*INDEX(M_Onedeal!$O$8:$O$68,$J98),0)+AS98</f>
        <v>0</v>
      </c>
      <c r="T98" s="16">
        <f>IF($I98,c_lotfactor*INDEX(M_Onedeal!$P$8:$P$68,$J98),0)+AT98</f>
        <v>0</v>
      </c>
      <c r="U98" s="16">
        <f>IF($I98,c_lotfactor*INDEX(M_Onedeal!$Q$8:$Q$68,$J98),0)+AU98</f>
        <v>0</v>
      </c>
      <c r="V98" s="16">
        <f>IF($I98,c_lotfactor*INDEX(M_Onedeal!$R$8:$R$68,$J98),0)+AV98</f>
        <v>0</v>
      </c>
      <c r="W98" s="16">
        <f>IF($I98,c_lotfactor*INDEX(M_Onedeal!$Y$8:$Y$68,$J98),0)+AW98</f>
        <v>0</v>
      </c>
      <c r="X98" s="16">
        <f>IF($I98,c_lotfactor*INDEX(M_Onedeal!$AA$8:$AA$68,$J98),0)+AX98</f>
        <v>0</v>
      </c>
      <c r="Y98" s="16">
        <f>IF($I98,c_lotfactor*INDEX(M_Onedeal!$AD$8:$AD$68,$J98),0)+AY98</f>
        <v>0</v>
      </c>
      <c r="Z98" s="16">
        <f>IF($I98,c_lotfactor*INDEX(M_Onedeal!$AF$8:$AF$68,$J98),0)+AZ98</f>
        <v>0</v>
      </c>
      <c r="AA98" s="16">
        <f>IF($I98,c_lotfactor*INDEX(M_Onedeal!$AG$8:$AG$68,$J98),0)+BA98</f>
        <v>0</v>
      </c>
      <c r="AB98" s="16">
        <f>IF($I98,c_lotfactor*INDEX(M_Onedeal!$AI$8:$AI$68,$J98),0)+BB98</f>
        <v>0</v>
      </c>
      <c r="AC98" s="16">
        <f>IF($I98,c_lotfactor*INDEX(M_Onedeal!$AQ$8:$AQ$68,$J98),0)+BC98</f>
        <v>0</v>
      </c>
      <c r="AD98" s="16">
        <f>IF($I98,c_lotfactor*INDEX(M_Onedeal!$AR$8:$AR$68,$J98),0)+BD98</f>
        <v>0</v>
      </c>
      <c r="AE98" s="16">
        <f>IF($I98,c_lotfactor*INDEX(M_Onedeal!$AK$8:$AK$68,$J98),0)+BE98</f>
        <v>0</v>
      </c>
      <c r="AF98" s="16">
        <f>IF($I98,c_lotfactor*INDEX(M_Onedeal!$AM$8:$AM$68,$J98),0)+BF98</f>
        <v>0</v>
      </c>
      <c r="AG98" s="16">
        <f>IF($I98,c_lotfactor*-INDEX(M_Onedeal!$AB$8:$AB$68,$J98,0))+BG98</f>
        <v>0</v>
      </c>
      <c r="AH98" s="16">
        <f>IF($I98,c_lotfactor*INDEX(M_Onedeal!$AN$8:$AN$68,$J98),0)+BH98</f>
        <v>0</v>
      </c>
      <c r="AI98" s="16">
        <f>IF($I98,c_lotfactor*INDEX(M_Onedeal!$AO$8:$AO$68,$J98),0)+BI98</f>
        <v>0</v>
      </c>
      <c r="AJ98" s="16">
        <f>IF($I98,c_lotfactor*INDEX(M_Onedeal!$AP$8:$AP$68,$J98),0)+BJ98</f>
        <v>0</v>
      </c>
      <c r="AL98" s="127">
        <v>0</v>
      </c>
      <c r="AM98" s="127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7">
        <v>0</v>
      </c>
      <c r="AX98" s="127">
        <v>0</v>
      </c>
      <c r="AY98" s="127">
        <v>0</v>
      </c>
      <c r="AZ98" s="127">
        <v>0</v>
      </c>
      <c r="BA98" s="127">
        <v>0</v>
      </c>
      <c r="BB98" s="127">
        <v>0</v>
      </c>
      <c r="BC98" s="127">
        <v>0</v>
      </c>
      <c r="BD98" s="127">
        <v>0</v>
      </c>
      <c r="BE98" s="127">
        <v>0</v>
      </c>
      <c r="BF98" s="127">
        <v>0</v>
      </c>
      <c r="BG98" s="127">
        <v>0</v>
      </c>
      <c r="BH98" s="127">
        <v>0</v>
      </c>
      <c r="BI98" s="127">
        <v>0</v>
      </c>
      <c r="BJ98" s="127">
        <v>0</v>
      </c>
    </row>
    <row r="99" spans="2:62" ht="15" customHeight="1">
      <c r="B99" s="17">
        <f t="shared" si="15"/>
        <v>0</v>
      </c>
      <c r="C99" s="17">
        <f t="shared" ca="1" si="18"/>
        <v>2542.6989917229653</v>
      </c>
      <c r="D99" s="334">
        <f t="shared" ca="1" si="16"/>
        <v>0</v>
      </c>
      <c r="E99" s="116">
        <f t="shared" ca="1" si="17"/>
        <v>0</v>
      </c>
      <c r="G99" s="17">
        <f t="shared" si="4"/>
        <v>90</v>
      </c>
      <c r="H99" s="17">
        <f t="shared" si="5"/>
        <v>8</v>
      </c>
      <c r="I99" s="17">
        <f t="shared" si="13"/>
        <v>0</v>
      </c>
      <c r="J99" s="17">
        <f t="shared" si="14"/>
        <v>90</v>
      </c>
      <c r="L99" s="17">
        <f>IF($I99,c_lotfactor*INDEX(M_Onedeal!$E$8:$E$68,$J99),0)+AL99</f>
        <v>0</v>
      </c>
      <c r="M99" s="17">
        <f>IF($I99,c_lotfactor*INDEX(M_Onedeal!$H$8:$H$68,$J99),0)+AM99</f>
        <v>0</v>
      </c>
      <c r="N99" s="17">
        <f>IF($I99,c_lotfactor*INDEX(M_Onedeal!$I$8:$I$68,$J99),0)+AN99</f>
        <v>0</v>
      </c>
      <c r="O99" s="17">
        <f>IF($I99,c_lotfactor*INDEX(M_Onedeal!$K$8:$K$68,$J99),0)+AO99</f>
        <v>0</v>
      </c>
      <c r="P99" s="17">
        <f>IF($I99,c_lotfactor*INDEX(M_Onedeal!$L$8:$L$68,$J99),0)+AP99</f>
        <v>0</v>
      </c>
      <c r="Q99" s="17">
        <f>IF($I99,c_lotfactor*INDEX(M_Onedeal!$M$8:$M$68,$J99),0)+AQ99</f>
        <v>0</v>
      </c>
      <c r="R99" s="17">
        <f>IF($I99,c_lotfactor*INDEX(M_Onedeal!$N$8:$N$68,$J99),0)+AR99</f>
        <v>0</v>
      </c>
      <c r="S99" s="17">
        <f>IF($I99,c_lotfactor*INDEX(M_Onedeal!$O$8:$O$68,$J99),0)+AS99</f>
        <v>0</v>
      </c>
      <c r="T99" s="17">
        <f>IF($I99,c_lotfactor*INDEX(M_Onedeal!$P$8:$P$68,$J99),0)+AT99</f>
        <v>0</v>
      </c>
      <c r="U99" s="17">
        <f>IF($I99,c_lotfactor*INDEX(M_Onedeal!$Q$8:$Q$68,$J99),0)+AU99</f>
        <v>0</v>
      </c>
      <c r="V99" s="17">
        <f>IF($I99,c_lotfactor*INDEX(M_Onedeal!$R$8:$R$68,$J99),0)+AV99</f>
        <v>0</v>
      </c>
      <c r="W99" s="17">
        <f>IF($I99,c_lotfactor*INDEX(M_Onedeal!$Y$8:$Y$68,$J99),0)+AW99</f>
        <v>0</v>
      </c>
      <c r="X99" s="17">
        <f>IF($I99,c_lotfactor*INDEX(M_Onedeal!$AA$8:$AA$68,$J99),0)+AX99</f>
        <v>0</v>
      </c>
      <c r="Y99" s="17">
        <f>IF($I99,c_lotfactor*INDEX(M_Onedeal!$AD$8:$AD$68,$J99),0)+AY99</f>
        <v>0</v>
      </c>
      <c r="Z99" s="17">
        <f>IF($I99,c_lotfactor*INDEX(M_Onedeal!$AF$8:$AF$68,$J99),0)+AZ99</f>
        <v>0</v>
      </c>
      <c r="AA99" s="17">
        <f>IF($I99,c_lotfactor*INDEX(M_Onedeal!$AG$8:$AG$68,$J99),0)+BA99</f>
        <v>0</v>
      </c>
      <c r="AB99" s="17">
        <f>IF($I99,c_lotfactor*INDEX(M_Onedeal!$AI$8:$AI$68,$J99),0)+BB99</f>
        <v>0</v>
      </c>
      <c r="AC99" s="17">
        <f>IF($I99,c_lotfactor*INDEX(M_Onedeal!$AQ$8:$AQ$68,$J99),0)+BC99</f>
        <v>0</v>
      </c>
      <c r="AD99" s="17">
        <f>IF($I99,c_lotfactor*INDEX(M_Onedeal!$AR$8:$AR$68,$J99),0)+BD99</f>
        <v>0</v>
      </c>
      <c r="AE99" s="17">
        <f>IF($I99,c_lotfactor*INDEX(M_Onedeal!$AK$8:$AK$68,$J99),0)+BE99</f>
        <v>0</v>
      </c>
      <c r="AF99" s="17">
        <f>IF($I99,c_lotfactor*INDEX(M_Onedeal!$AM$8:$AM$68,$J99),0)+BF99</f>
        <v>0</v>
      </c>
      <c r="AG99" s="17">
        <f>IF($I99,c_lotfactor*-INDEX(M_Onedeal!$AB$8:$AB$68,$J99,0))+BG99</f>
        <v>0</v>
      </c>
      <c r="AH99" s="17">
        <f>IF($I99,c_lotfactor*INDEX(M_Onedeal!$AN$8:$AN$68,$J99),0)+BH99</f>
        <v>0</v>
      </c>
      <c r="AI99" s="17">
        <f>IF($I99,c_lotfactor*INDEX(M_Onedeal!$AO$8:$AO$68,$J99),0)+BI99</f>
        <v>0</v>
      </c>
      <c r="AJ99" s="17">
        <f>IF($I99,c_lotfactor*INDEX(M_Onedeal!$AP$8:$AP$68,$J99),0)+BJ99</f>
        <v>0</v>
      </c>
      <c r="AL99" s="128">
        <v>0</v>
      </c>
      <c r="AM99" s="128">
        <v>0</v>
      </c>
      <c r="AN99" s="128">
        <v>0</v>
      </c>
      <c r="AO99" s="128">
        <v>0</v>
      </c>
      <c r="AP99" s="128">
        <v>0</v>
      </c>
      <c r="AQ99" s="128">
        <v>0</v>
      </c>
      <c r="AR99" s="128">
        <v>0</v>
      </c>
      <c r="AS99" s="128">
        <v>0</v>
      </c>
      <c r="AT99" s="128">
        <v>0</v>
      </c>
      <c r="AU99" s="128">
        <v>0</v>
      </c>
      <c r="AV99" s="128">
        <v>0</v>
      </c>
      <c r="AW99" s="128">
        <v>0</v>
      </c>
      <c r="AX99" s="128">
        <v>0</v>
      </c>
      <c r="AY99" s="128">
        <v>0</v>
      </c>
      <c r="AZ99" s="128">
        <v>0</v>
      </c>
      <c r="BA99" s="128">
        <v>0</v>
      </c>
      <c r="BB99" s="128">
        <v>0</v>
      </c>
      <c r="BC99" s="128">
        <v>0</v>
      </c>
      <c r="BD99" s="128">
        <v>0</v>
      </c>
      <c r="BE99" s="128">
        <v>0</v>
      </c>
      <c r="BF99" s="128">
        <v>0</v>
      </c>
      <c r="BG99" s="128">
        <v>0</v>
      </c>
      <c r="BH99" s="128">
        <v>0</v>
      </c>
      <c r="BI99" s="128">
        <v>0</v>
      </c>
      <c r="BJ99" s="128">
        <v>0</v>
      </c>
    </row>
    <row r="100" spans="2:62" ht="15" customHeight="1">
      <c r="B100" s="15">
        <f t="shared" si="15"/>
        <v>0</v>
      </c>
      <c r="C100" s="15">
        <f t="shared" ca="1" si="18"/>
        <v>2542.6989917229653</v>
      </c>
      <c r="D100" s="332">
        <f t="shared" ca="1" si="16"/>
        <v>0</v>
      </c>
      <c r="E100" s="113">
        <f t="shared" ca="1" si="17"/>
        <v>0</v>
      </c>
      <c r="G100" s="15">
        <f t="shared" si="4"/>
        <v>91</v>
      </c>
      <c r="H100" s="15">
        <f t="shared" si="5"/>
        <v>8</v>
      </c>
      <c r="I100" s="15">
        <f t="shared" si="13"/>
        <v>0</v>
      </c>
      <c r="J100" s="15">
        <f t="shared" si="14"/>
        <v>91</v>
      </c>
      <c r="L100" s="15">
        <f>IF($I100,INDEX(M_Onedeal!$E$8:$E$68,$J100),0)+AL100</f>
        <v>0</v>
      </c>
      <c r="M100" s="15">
        <f>IF($I100,INDEX(M_Onedeal!$H$8:$H$68,$J100),0)+AM100</f>
        <v>0</v>
      </c>
      <c r="N100" s="15">
        <f>IF($I100,INDEX(M_Onedeal!$I$8:$I$68,$J100),0)+AN100</f>
        <v>0</v>
      </c>
      <c r="O100" s="15">
        <f>IF($I100,c_lotfactor*INDEX(M_Onedeal!$K$8:$K$68,$J100),0)+AO100</f>
        <v>0</v>
      </c>
      <c r="P100" s="15">
        <f>IF($I100,INDEX(M_Onedeal!$L$8:$L$68,$J100),0)+AP100</f>
        <v>0</v>
      </c>
      <c r="Q100" s="15">
        <f>IF($I100,INDEX(M_Onedeal!$M$8:$M$68,$J100),0)+AQ100</f>
        <v>0</v>
      </c>
      <c r="R100" s="15">
        <f>IF($I100,INDEX(M_Onedeal!$N$8:$N$68,$J100),0)+AR100</f>
        <v>0</v>
      </c>
      <c r="S100" s="15">
        <f>IF($I100,INDEX(M_Onedeal!$O$8:$O$68,$J100),0)+AS100</f>
        <v>0</v>
      </c>
      <c r="T100" s="15">
        <f>IF($I100,INDEX(M_Onedeal!$P$8:$P$68,$J100),0)+AT100</f>
        <v>0</v>
      </c>
      <c r="U100" s="15">
        <f>IF($I100,INDEX(M_Onedeal!$Q$8:$Q$68,$J100),0)+AU100</f>
        <v>0</v>
      </c>
      <c r="V100" s="15">
        <f>IF($I100,INDEX(M_Onedeal!$R$8:$R$68,$J100),0)+AV100</f>
        <v>0</v>
      </c>
      <c r="W100" s="15">
        <f>IF($I100,INDEX(M_Onedeal!$Y$8:$Y$68,$J100),0)+AW100</f>
        <v>0</v>
      </c>
      <c r="X100" s="15">
        <f>IF($I100,INDEX(M_Onedeal!$AA$8:$AA$68,$J100),0)+AX100</f>
        <v>0</v>
      </c>
      <c r="Y100" s="15">
        <f>IF($I100,INDEX(M_Onedeal!$AD$8:$AD$68,$J100),0)+AY100</f>
        <v>0</v>
      </c>
      <c r="Z100" s="15">
        <f>IF($I100,INDEX(M_Onedeal!$AF$8:$AF$68,$J100),0)+AZ100</f>
        <v>0</v>
      </c>
      <c r="AA100" s="15">
        <f>IF($I100,INDEX(M_Onedeal!$AG$8:$AG$68,$J100),0)+BA100</f>
        <v>0</v>
      </c>
      <c r="AB100" s="15">
        <f>IF($I100,INDEX(M_Onedeal!$AI$8:$AI$68,$J100),0)+BB100</f>
        <v>0</v>
      </c>
      <c r="AC100" s="15">
        <f>IF($I100,INDEX(M_Onedeal!$AQ$8:$AQ$68,$J100),0)+BC100</f>
        <v>0</v>
      </c>
      <c r="AD100" s="15">
        <f>IF($I100,INDEX(M_Onedeal!$AR$8:$AR$68,$J100),0)+BD100</f>
        <v>0</v>
      </c>
      <c r="AE100" s="15">
        <f>IF($I100,INDEX(M_Onedeal!$AK$8:$AK$68,$J100),0)+BE100</f>
        <v>0</v>
      </c>
      <c r="AF100" s="15">
        <f>IF($I100,c_lotfactor*INDEX(M_Onedeal!$AM$8:$AM$68,$J100),0)+BF100</f>
        <v>0</v>
      </c>
      <c r="AG100" s="15">
        <f>IF($I100,c_lotfactor*-INDEX(M_Onedeal!$AB$8:$AB$68,$J100,0))+BG100</f>
        <v>0</v>
      </c>
      <c r="AH100" s="15">
        <f>IF($I100,c_lotfactor*INDEX(M_Onedeal!$AN$8:$AN$68,$J100),0)+BH100</f>
        <v>0</v>
      </c>
      <c r="AI100" s="15">
        <f>IF($I100,c_lotfactor*INDEX(M_Onedeal!$AO$8:$AO$68,$J100),0)+BI100</f>
        <v>0</v>
      </c>
      <c r="AJ100" s="15">
        <f>IF($I100,c_lotfactor*INDEX(M_Onedeal!$AP$8:$AP$68,$J100),0)+BJ100</f>
        <v>0</v>
      </c>
      <c r="AL100" s="126">
        <v>0</v>
      </c>
      <c r="AM100" s="126">
        <v>0</v>
      </c>
      <c r="AN100" s="126">
        <v>0</v>
      </c>
      <c r="AO100" s="126">
        <v>0</v>
      </c>
      <c r="AP100" s="126">
        <v>0</v>
      </c>
      <c r="AQ100" s="126">
        <v>0</v>
      </c>
      <c r="AR100" s="126">
        <v>0</v>
      </c>
      <c r="AS100" s="126">
        <v>0</v>
      </c>
      <c r="AT100" s="126">
        <v>0</v>
      </c>
      <c r="AU100" s="126">
        <v>0</v>
      </c>
      <c r="AV100" s="126">
        <v>0</v>
      </c>
      <c r="AW100" s="126">
        <v>0</v>
      </c>
      <c r="AX100" s="126">
        <v>0</v>
      </c>
      <c r="AY100" s="126">
        <v>0</v>
      </c>
      <c r="AZ100" s="126">
        <v>0</v>
      </c>
      <c r="BA100" s="126">
        <v>0</v>
      </c>
      <c r="BB100" s="126">
        <v>0</v>
      </c>
      <c r="BC100" s="126">
        <v>0</v>
      </c>
      <c r="BD100" s="126">
        <v>0</v>
      </c>
      <c r="BE100" s="126">
        <v>0</v>
      </c>
      <c r="BF100" s="126">
        <v>0</v>
      </c>
      <c r="BG100" s="126">
        <v>0</v>
      </c>
      <c r="BH100" s="126">
        <v>0</v>
      </c>
      <c r="BI100" s="126">
        <v>0</v>
      </c>
      <c r="BJ100" s="126">
        <v>0</v>
      </c>
    </row>
    <row r="101" spans="2:62" ht="15" customHeight="1">
      <c r="B101" s="16">
        <f t="shared" si="15"/>
        <v>0</v>
      </c>
      <c r="C101" s="16">
        <f t="shared" ca="1" si="18"/>
        <v>2542.6989917229653</v>
      </c>
      <c r="D101" s="333">
        <f t="shared" ca="1" si="16"/>
        <v>0</v>
      </c>
      <c r="E101" s="115">
        <f t="shared" ca="1" si="17"/>
        <v>0</v>
      </c>
      <c r="G101" s="16">
        <f t="shared" si="4"/>
        <v>92</v>
      </c>
      <c r="H101" s="16">
        <f t="shared" si="5"/>
        <v>8</v>
      </c>
      <c r="I101" s="16">
        <f t="shared" si="13"/>
        <v>0</v>
      </c>
      <c r="J101" s="16">
        <f t="shared" si="14"/>
        <v>92</v>
      </c>
      <c r="L101" s="16">
        <f>IF($I101,INDEX(M_Onedeal!$E$8:$E$68,$J101),0)+AL101</f>
        <v>0</v>
      </c>
      <c r="M101" s="16">
        <f>IF($I101,INDEX(M_Onedeal!$H$8:$H$68,$J101),0)+AM101</f>
        <v>0</v>
      </c>
      <c r="N101" s="16">
        <f>IF($I101,INDEX(M_Onedeal!$I$8:$I$68,$J101),0)+AN101</f>
        <v>0</v>
      </c>
      <c r="O101" s="16">
        <f>IF($I101,c_lotfactor*INDEX(M_Onedeal!$K$8:$K$68,$J101),0)+AO101</f>
        <v>0</v>
      </c>
      <c r="P101" s="16">
        <f>IF($I101,INDEX(M_Onedeal!$L$8:$L$68,$J101),0)+AP101</f>
        <v>0</v>
      </c>
      <c r="Q101" s="16">
        <f>IF($I101,INDEX(M_Onedeal!$M$8:$M$68,$J101),0)+AQ101</f>
        <v>0</v>
      </c>
      <c r="R101" s="16">
        <f>IF($I101,INDEX(M_Onedeal!$N$8:$N$68,$J101),0)+AR101</f>
        <v>0</v>
      </c>
      <c r="S101" s="16">
        <f>IF($I101,INDEX(M_Onedeal!$O$8:$O$68,$J101),0)+AS101</f>
        <v>0</v>
      </c>
      <c r="T101" s="16">
        <f>IF($I101,INDEX(M_Onedeal!$P$8:$P$68,$J101),0)+AT101</f>
        <v>0</v>
      </c>
      <c r="U101" s="16">
        <f>IF($I101,INDEX(M_Onedeal!$Q$8:$Q$68,$J101),0)+AU101</f>
        <v>0</v>
      </c>
      <c r="V101" s="16">
        <f>IF($I101,INDEX(M_Onedeal!$R$8:$R$68,$J101),0)+AV101</f>
        <v>0</v>
      </c>
      <c r="W101" s="16">
        <f>IF($I101,INDEX(M_Onedeal!$Y$8:$Y$68,$J101),0)+AW101</f>
        <v>0</v>
      </c>
      <c r="X101" s="16">
        <f>IF($I101,INDEX(M_Onedeal!$AA$8:$AA$68,$J101),0)+AX101</f>
        <v>0</v>
      </c>
      <c r="Y101" s="16">
        <f>IF($I101,INDEX(M_Onedeal!$AD$8:$AD$68,$J101),0)+AY101</f>
        <v>0</v>
      </c>
      <c r="Z101" s="16">
        <f>IF($I101,INDEX(M_Onedeal!$AF$8:$AF$68,$J101),0)+AZ101</f>
        <v>0</v>
      </c>
      <c r="AA101" s="16">
        <f>IF($I101,INDEX(M_Onedeal!$AG$8:$AG$68,$J101),0)+BA101</f>
        <v>0</v>
      </c>
      <c r="AB101" s="16">
        <f>IF($I101,INDEX(M_Onedeal!$AI$8:$AI$68,$J101),0)+BB101</f>
        <v>0</v>
      </c>
      <c r="AC101" s="16">
        <f>IF($I101,INDEX(M_Onedeal!$AQ$8:$AQ$68,$J101),0)+BC101</f>
        <v>0</v>
      </c>
      <c r="AD101" s="16">
        <f>IF($I101,INDEX(M_Onedeal!$AR$8:$AR$68,$J101),0)+BD101</f>
        <v>0</v>
      </c>
      <c r="AE101" s="16">
        <f>IF($I101,INDEX(M_Onedeal!$AK$8:$AK$68,$J101),0)+BE101</f>
        <v>0</v>
      </c>
      <c r="AF101" s="16">
        <f>IF($I101,c_lotfactor*INDEX(M_Onedeal!$AM$8:$AM$68,$J101),0)+BF101</f>
        <v>0</v>
      </c>
      <c r="AG101" s="16">
        <f>IF($I101,c_lotfactor*-INDEX(M_Onedeal!$AB$8:$AB$68,$J101,0))+BG101</f>
        <v>0</v>
      </c>
      <c r="AH101" s="16">
        <f>IF($I101,c_lotfactor*INDEX(M_Onedeal!$AN$8:$AN$68,$J101),0)+BH101</f>
        <v>0</v>
      </c>
      <c r="AI101" s="16">
        <f>IF($I101,c_lotfactor*INDEX(M_Onedeal!$AO$8:$AO$68,$J101),0)+BI101</f>
        <v>0</v>
      </c>
      <c r="AJ101" s="16">
        <f>IF($I101,c_lotfactor*INDEX(M_Onedeal!$AP$8:$AP$68,$J101),0)+BJ101</f>
        <v>0</v>
      </c>
      <c r="AL101" s="127">
        <v>0</v>
      </c>
      <c r="AM101" s="127">
        <v>0</v>
      </c>
      <c r="AN101" s="127">
        <v>0</v>
      </c>
      <c r="AO101" s="127">
        <v>0</v>
      </c>
      <c r="AP101" s="127">
        <v>0</v>
      </c>
      <c r="AQ101" s="127">
        <v>0</v>
      </c>
      <c r="AR101" s="127">
        <v>0</v>
      </c>
      <c r="AS101" s="127">
        <v>0</v>
      </c>
      <c r="AT101" s="127">
        <v>0</v>
      </c>
      <c r="AU101" s="127">
        <v>0</v>
      </c>
      <c r="AV101" s="127">
        <v>0</v>
      </c>
      <c r="AW101" s="127">
        <v>0</v>
      </c>
      <c r="AX101" s="127">
        <v>0</v>
      </c>
      <c r="AY101" s="127">
        <v>0</v>
      </c>
      <c r="AZ101" s="127">
        <v>0</v>
      </c>
      <c r="BA101" s="127">
        <v>0</v>
      </c>
      <c r="BB101" s="127">
        <v>0</v>
      </c>
      <c r="BC101" s="127">
        <v>0</v>
      </c>
      <c r="BD101" s="127">
        <v>0</v>
      </c>
      <c r="BE101" s="127">
        <v>0</v>
      </c>
      <c r="BF101" s="127">
        <v>0</v>
      </c>
      <c r="BG101" s="127">
        <v>0</v>
      </c>
      <c r="BH101" s="127">
        <v>0</v>
      </c>
      <c r="BI101" s="127">
        <v>0</v>
      </c>
      <c r="BJ101" s="127">
        <v>0</v>
      </c>
    </row>
    <row r="102" spans="2:62" ht="15" customHeight="1">
      <c r="B102" s="17">
        <f t="shared" si="15"/>
        <v>0</v>
      </c>
      <c r="C102" s="17">
        <f t="shared" ca="1" si="18"/>
        <v>2542.6989917229653</v>
      </c>
      <c r="D102" s="334">
        <f t="shared" ca="1" si="16"/>
        <v>0</v>
      </c>
      <c r="E102" s="116">
        <f t="shared" ca="1" si="17"/>
        <v>0</v>
      </c>
      <c r="G102" s="17">
        <f t="shared" si="4"/>
        <v>93</v>
      </c>
      <c r="H102" s="17">
        <f t="shared" si="5"/>
        <v>8</v>
      </c>
      <c r="I102" s="17">
        <f t="shared" si="13"/>
        <v>0</v>
      </c>
      <c r="J102" s="17">
        <f t="shared" si="14"/>
        <v>93</v>
      </c>
      <c r="L102" s="17">
        <f>IF($I102,INDEX(M_Onedeal!$E$8:$E$68,$J102),0)+AL102</f>
        <v>0</v>
      </c>
      <c r="M102" s="17">
        <f>IF($I102,INDEX(M_Onedeal!$H$8:$H$68,$J102),0)+AM102</f>
        <v>0</v>
      </c>
      <c r="N102" s="17">
        <f>IF($I102,INDEX(M_Onedeal!$I$8:$I$68,$J102),0)+AN102</f>
        <v>0</v>
      </c>
      <c r="O102" s="17">
        <f>IF($I102,c_lotfactor*INDEX(M_Onedeal!$K$8:$K$68,$J102),0)+AO102</f>
        <v>0</v>
      </c>
      <c r="P102" s="17">
        <f>IF($I102,INDEX(M_Onedeal!$L$8:$L$68,$J102),0)+AP102</f>
        <v>0</v>
      </c>
      <c r="Q102" s="17">
        <f>IF($I102,INDEX(M_Onedeal!$M$8:$M$68,$J102),0)+AQ102</f>
        <v>0</v>
      </c>
      <c r="R102" s="17">
        <f>IF($I102,INDEX(M_Onedeal!$N$8:$N$68,$J102),0)+AR102</f>
        <v>0</v>
      </c>
      <c r="S102" s="17">
        <f>IF($I102,INDEX(M_Onedeal!$O$8:$O$68,$J102),0)+AS102</f>
        <v>0</v>
      </c>
      <c r="T102" s="17">
        <f>IF($I102,INDEX(M_Onedeal!$P$8:$P$68,$J102),0)+AT102</f>
        <v>0</v>
      </c>
      <c r="U102" s="17">
        <f>IF($I102,INDEX(M_Onedeal!$Q$8:$Q$68,$J102),0)+AU102</f>
        <v>0</v>
      </c>
      <c r="V102" s="17">
        <f>IF($I102,INDEX(M_Onedeal!$R$8:$R$68,$J102),0)+AV102</f>
        <v>0</v>
      </c>
      <c r="W102" s="17">
        <f>IF($I102,INDEX(M_Onedeal!$Y$8:$Y$68,$J102),0)+AW102</f>
        <v>0</v>
      </c>
      <c r="X102" s="17">
        <f>IF($I102,INDEX(M_Onedeal!$AA$8:$AA$68,$J102),0)+AX102</f>
        <v>0</v>
      </c>
      <c r="Y102" s="17">
        <f>IF($I102,INDEX(M_Onedeal!$AD$8:$AD$68,$J102),0)+AY102</f>
        <v>0</v>
      </c>
      <c r="Z102" s="17">
        <f>IF($I102,INDEX(M_Onedeal!$AF$8:$AF$68,$J102),0)+AZ102</f>
        <v>0</v>
      </c>
      <c r="AA102" s="17">
        <f>IF($I102,INDEX(M_Onedeal!$AG$8:$AG$68,$J102),0)+BA102</f>
        <v>0</v>
      </c>
      <c r="AB102" s="17">
        <f>IF($I102,INDEX(M_Onedeal!$AI$8:$AI$68,$J102),0)+BB102</f>
        <v>0</v>
      </c>
      <c r="AC102" s="17">
        <f>IF($I102,INDEX(M_Onedeal!$AQ$8:$AQ$68,$J102),0)+BC102</f>
        <v>0</v>
      </c>
      <c r="AD102" s="17">
        <f>IF($I102,INDEX(M_Onedeal!$AR$8:$AR$68,$J102),0)+BD102</f>
        <v>0</v>
      </c>
      <c r="AE102" s="17">
        <f>IF($I102,INDEX(M_Onedeal!$AK$8:$AK$68,$J102),0)+BE102</f>
        <v>0</v>
      </c>
      <c r="AF102" s="17">
        <f>IF($I102,c_lotfactor*INDEX(M_Onedeal!$AM$8:$AM$68,$J102),0)+BF102</f>
        <v>0</v>
      </c>
      <c r="AG102" s="17">
        <f>IF($I102,c_lotfactor*-INDEX(M_Onedeal!$AB$8:$AB$68,$J102,0))+BG102</f>
        <v>0</v>
      </c>
      <c r="AH102" s="17">
        <f>IF($I102,c_lotfactor*INDEX(M_Onedeal!$AN$8:$AN$68,$J102),0)+BH102</f>
        <v>0</v>
      </c>
      <c r="AI102" s="17">
        <f>IF($I102,c_lotfactor*INDEX(M_Onedeal!$AO$8:$AO$68,$J102),0)+BI102</f>
        <v>0</v>
      </c>
      <c r="AJ102" s="17">
        <f>IF($I102,c_lotfactor*INDEX(M_Onedeal!$AP$8:$AP$68,$J102),0)+BJ102</f>
        <v>0</v>
      </c>
      <c r="AL102" s="128">
        <v>0</v>
      </c>
      <c r="AM102" s="128">
        <v>0</v>
      </c>
      <c r="AN102" s="128">
        <v>0</v>
      </c>
      <c r="AO102" s="128">
        <v>0</v>
      </c>
      <c r="AP102" s="128">
        <v>0</v>
      </c>
      <c r="AQ102" s="128">
        <v>0</v>
      </c>
      <c r="AR102" s="128">
        <v>0</v>
      </c>
      <c r="AS102" s="128">
        <v>0</v>
      </c>
      <c r="AT102" s="128">
        <v>0</v>
      </c>
      <c r="AU102" s="128">
        <v>0</v>
      </c>
      <c r="AV102" s="128">
        <v>0</v>
      </c>
      <c r="AW102" s="128">
        <v>0</v>
      </c>
      <c r="AX102" s="128">
        <v>0</v>
      </c>
      <c r="AY102" s="128">
        <v>0</v>
      </c>
      <c r="AZ102" s="128">
        <v>0</v>
      </c>
      <c r="BA102" s="128">
        <v>0</v>
      </c>
      <c r="BB102" s="128">
        <v>0</v>
      </c>
      <c r="BC102" s="128">
        <v>0</v>
      </c>
      <c r="BD102" s="128">
        <v>0</v>
      </c>
      <c r="BE102" s="128">
        <v>0</v>
      </c>
      <c r="BF102" s="128">
        <v>0</v>
      </c>
      <c r="BG102" s="128">
        <v>0</v>
      </c>
      <c r="BH102" s="128">
        <v>0</v>
      </c>
      <c r="BI102" s="128">
        <v>0</v>
      </c>
      <c r="BJ102" s="128">
        <v>0</v>
      </c>
    </row>
    <row r="103" spans="2:62" ht="15" customHeight="1">
      <c r="B103" s="15">
        <f t="shared" si="15"/>
        <v>0</v>
      </c>
      <c r="C103" s="15">
        <f t="shared" ca="1" si="18"/>
        <v>2542.6989917229653</v>
      </c>
      <c r="D103" s="332">
        <f t="shared" ca="1" si="16"/>
        <v>0</v>
      </c>
      <c r="E103" s="113">
        <f t="shared" ca="1" si="17"/>
        <v>0</v>
      </c>
      <c r="G103" s="15">
        <f t="shared" si="4"/>
        <v>94</v>
      </c>
      <c r="H103" s="15">
        <f t="shared" si="5"/>
        <v>8</v>
      </c>
      <c r="I103" s="15">
        <f t="shared" si="13"/>
        <v>0</v>
      </c>
      <c r="J103" s="15">
        <f t="shared" si="14"/>
        <v>94</v>
      </c>
      <c r="L103" s="15">
        <f>IF($I103,INDEX(M_Onedeal!$E$8:$E$68,$J103),0)+AL103</f>
        <v>0</v>
      </c>
      <c r="M103" s="15">
        <f>IF($I103,INDEX(M_Onedeal!$H$8:$H$68,$J103),0)+AM103</f>
        <v>0</v>
      </c>
      <c r="N103" s="15">
        <f>IF($I103,INDEX(M_Onedeal!$I$8:$I$68,$J103),0)+AN103</f>
        <v>0</v>
      </c>
      <c r="O103" s="15">
        <f>IF($I103,c_lotfactor*INDEX(M_Onedeal!$K$8:$K$68,$J103),0)+AO103</f>
        <v>0</v>
      </c>
      <c r="P103" s="15">
        <f>IF($I103,INDEX(M_Onedeal!$L$8:$L$68,$J103),0)+AP103</f>
        <v>0</v>
      </c>
      <c r="Q103" s="15">
        <f>IF($I103,INDEX(M_Onedeal!$M$8:$M$68,$J103),0)+AQ103</f>
        <v>0</v>
      </c>
      <c r="R103" s="15">
        <f>IF($I103,INDEX(M_Onedeal!$N$8:$N$68,$J103),0)+AR103</f>
        <v>0</v>
      </c>
      <c r="S103" s="15">
        <f>IF($I103,INDEX(M_Onedeal!$O$8:$O$68,$J103),0)+AS103</f>
        <v>0</v>
      </c>
      <c r="T103" s="15">
        <f>IF($I103,INDEX(M_Onedeal!$P$8:$P$68,$J103),0)+AT103</f>
        <v>0</v>
      </c>
      <c r="U103" s="15">
        <f>IF($I103,INDEX(M_Onedeal!$Q$8:$Q$68,$J103),0)+AU103</f>
        <v>0</v>
      </c>
      <c r="V103" s="15">
        <f>IF($I103,INDEX(M_Onedeal!$R$8:$R$68,$J103),0)+AV103</f>
        <v>0</v>
      </c>
      <c r="W103" s="15">
        <f>IF($I103,INDEX(M_Onedeal!$Y$8:$Y$68,$J103),0)+AW103</f>
        <v>0</v>
      </c>
      <c r="X103" s="15">
        <f>IF($I103,INDEX(M_Onedeal!$AA$8:$AA$68,$J103),0)+AX103</f>
        <v>0</v>
      </c>
      <c r="Y103" s="15">
        <f>IF($I103,INDEX(M_Onedeal!$AD$8:$AD$68,$J103),0)+AY103</f>
        <v>0</v>
      </c>
      <c r="Z103" s="15">
        <f>IF($I103,INDEX(M_Onedeal!$AF$8:$AF$68,$J103),0)+AZ103</f>
        <v>0</v>
      </c>
      <c r="AA103" s="15">
        <f>IF($I103,INDEX(M_Onedeal!$AG$8:$AG$68,$J103),0)+BA103</f>
        <v>0</v>
      </c>
      <c r="AB103" s="15">
        <f>IF($I103,INDEX(M_Onedeal!$AI$8:$AI$68,$J103),0)+BB103</f>
        <v>0</v>
      </c>
      <c r="AC103" s="15">
        <f>IF($I103,INDEX(M_Onedeal!$AQ$8:$AQ$68,$J103),0)+BC103</f>
        <v>0</v>
      </c>
      <c r="AD103" s="15">
        <f>IF($I103,INDEX(M_Onedeal!$AR$8:$AR$68,$J103),0)+BD103</f>
        <v>0</v>
      </c>
      <c r="AE103" s="15">
        <f>IF($I103,INDEX(M_Onedeal!$AK$8:$AK$68,$J103),0)+BE103</f>
        <v>0</v>
      </c>
      <c r="AF103" s="15">
        <f>IF($I103,c_lotfactor*INDEX(M_Onedeal!$AM$8:$AM$68,$J103),0)+BF103</f>
        <v>0</v>
      </c>
      <c r="AG103" s="15">
        <f>IF($I103,c_lotfactor*-INDEX(M_Onedeal!$AB$8:$AB$68,$J103,0))+BG103</f>
        <v>0</v>
      </c>
      <c r="AH103" s="15">
        <f>IF($I103,c_lotfactor*INDEX(M_Onedeal!$AN$8:$AN$68,$J103),0)+BH103</f>
        <v>0</v>
      </c>
      <c r="AI103" s="15">
        <f>IF($I103,c_lotfactor*INDEX(M_Onedeal!$AO$8:$AO$68,$J103),0)+BI103</f>
        <v>0</v>
      </c>
      <c r="AJ103" s="15">
        <f>IF($I103,c_lotfactor*INDEX(M_Onedeal!$AP$8:$AP$68,$J103),0)+BJ103</f>
        <v>0</v>
      </c>
      <c r="AL103" s="126">
        <v>0</v>
      </c>
      <c r="AM103" s="126">
        <v>0</v>
      </c>
      <c r="AN103" s="126">
        <v>0</v>
      </c>
      <c r="AO103" s="126">
        <v>0</v>
      </c>
      <c r="AP103" s="126">
        <v>0</v>
      </c>
      <c r="AQ103" s="126">
        <v>0</v>
      </c>
      <c r="AR103" s="126">
        <v>0</v>
      </c>
      <c r="AS103" s="126">
        <v>0</v>
      </c>
      <c r="AT103" s="126">
        <v>0</v>
      </c>
      <c r="AU103" s="126">
        <v>0</v>
      </c>
      <c r="AV103" s="126">
        <v>0</v>
      </c>
      <c r="AW103" s="126">
        <v>0</v>
      </c>
      <c r="AX103" s="126">
        <v>0</v>
      </c>
      <c r="AY103" s="126">
        <v>0</v>
      </c>
      <c r="AZ103" s="126">
        <v>0</v>
      </c>
      <c r="BA103" s="126">
        <v>0</v>
      </c>
      <c r="BB103" s="126">
        <v>0</v>
      </c>
      <c r="BC103" s="126">
        <v>0</v>
      </c>
      <c r="BD103" s="126">
        <v>0</v>
      </c>
      <c r="BE103" s="126">
        <v>0</v>
      </c>
      <c r="BF103" s="126">
        <v>0</v>
      </c>
      <c r="BG103" s="126">
        <v>0</v>
      </c>
      <c r="BH103" s="126">
        <v>0</v>
      </c>
      <c r="BI103" s="126">
        <v>0</v>
      </c>
      <c r="BJ103" s="126">
        <v>0</v>
      </c>
    </row>
    <row r="104" spans="2:62" ht="15" customHeight="1">
      <c r="B104" s="16">
        <f t="shared" si="15"/>
        <v>0</v>
      </c>
      <c r="C104" s="16">
        <f t="shared" ca="1" si="18"/>
        <v>2542.6989917229653</v>
      </c>
      <c r="D104" s="333">
        <f t="shared" ca="1" si="16"/>
        <v>0</v>
      </c>
      <c r="E104" s="115">
        <f t="shared" ca="1" si="17"/>
        <v>0</v>
      </c>
      <c r="G104" s="16">
        <f t="shared" si="4"/>
        <v>95</v>
      </c>
      <c r="H104" s="16">
        <f t="shared" si="5"/>
        <v>8</v>
      </c>
      <c r="I104" s="16">
        <f t="shared" si="13"/>
        <v>0</v>
      </c>
      <c r="J104" s="16">
        <f t="shared" si="14"/>
        <v>95</v>
      </c>
      <c r="L104" s="16">
        <f>IF($I104,INDEX(M_Onedeal!$E$8:$E$68,$J104),0)+AL104</f>
        <v>0</v>
      </c>
      <c r="M104" s="16">
        <f>IF($I104,INDEX(M_Onedeal!$H$8:$H$68,$J104),0)+AM104</f>
        <v>0</v>
      </c>
      <c r="N104" s="16">
        <f>IF($I104,INDEX(M_Onedeal!$I$8:$I$68,$J104),0)+AN104</f>
        <v>0</v>
      </c>
      <c r="O104" s="16">
        <f>IF($I104,c_lotfactor*INDEX(M_Onedeal!$K$8:$K$68,$J104),0)+AO104</f>
        <v>0</v>
      </c>
      <c r="P104" s="16">
        <f>IF($I104,INDEX(M_Onedeal!$L$8:$L$68,$J104),0)+AP104</f>
        <v>0</v>
      </c>
      <c r="Q104" s="16">
        <f>IF($I104,INDEX(M_Onedeal!$M$8:$M$68,$J104),0)+AQ104</f>
        <v>0</v>
      </c>
      <c r="R104" s="16">
        <f>IF($I104,INDEX(M_Onedeal!$N$8:$N$68,$J104),0)+AR104</f>
        <v>0</v>
      </c>
      <c r="S104" s="16">
        <f>IF($I104,INDEX(M_Onedeal!$O$8:$O$68,$J104),0)+AS104</f>
        <v>0</v>
      </c>
      <c r="T104" s="16">
        <f>IF($I104,INDEX(M_Onedeal!$P$8:$P$68,$J104),0)+AT104</f>
        <v>0</v>
      </c>
      <c r="U104" s="16">
        <f>IF($I104,INDEX(M_Onedeal!$Q$8:$Q$68,$J104),0)+AU104</f>
        <v>0</v>
      </c>
      <c r="V104" s="16">
        <f>IF($I104,INDEX(M_Onedeal!$R$8:$R$68,$J104),0)+AV104</f>
        <v>0</v>
      </c>
      <c r="W104" s="16">
        <f>IF($I104,INDEX(M_Onedeal!$Y$8:$Y$68,$J104),0)+AW104</f>
        <v>0</v>
      </c>
      <c r="X104" s="16">
        <f>IF($I104,INDEX(M_Onedeal!$AA$8:$AA$68,$J104),0)+AX104</f>
        <v>0</v>
      </c>
      <c r="Y104" s="16">
        <f>IF($I104,INDEX(M_Onedeal!$AD$8:$AD$68,$J104),0)+AY104</f>
        <v>0</v>
      </c>
      <c r="Z104" s="16">
        <f>IF($I104,INDEX(M_Onedeal!$AF$8:$AF$68,$J104),0)+AZ104</f>
        <v>0</v>
      </c>
      <c r="AA104" s="16">
        <f>IF($I104,INDEX(M_Onedeal!$AG$8:$AG$68,$J104),0)+BA104</f>
        <v>0</v>
      </c>
      <c r="AB104" s="16">
        <f>IF($I104,INDEX(M_Onedeal!$AI$8:$AI$68,$J104),0)+BB104</f>
        <v>0</v>
      </c>
      <c r="AC104" s="16">
        <f>IF($I104,INDEX(M_Onedeal!$AQ$8:$AQ$68,$J104),0)+BC104</f>
        <v>0</v>
      </c>
      <c r="AD104" s="16">
        <f>IF($I104,INDEX(M_Onedeal!$AR$8:$AR$68,$J104),0)+BD104</f>
        <v>0</v>
      </c>
      <c r="AE104" s="16">
        <f>IF($I104,INDEX(M_Onedeal!$AK$8:$AK$68,$J104),0)+BE104</f>
        <v>0</v>
      </c>
      <c r="AF104" s="16">
        <f>IF($I104,c_lotfactor*INDEX(M_Onedeal!$AM$8:$AM$68,$J104),0)+BF104</f>
        <v>0</v>
      </c>
      <c r="AG104" s="16">
        <f>IF($I104,c_lotfactor*-INDEX(M_Onedeal!$AB$8:$AB$68,$J104,0))+BG104</f>
        <v>0</v>
      </c>
      <c r="AH104" s="16">
        <f>IF($I104,c_lotfactor*INDEX(M_Onedeal!$AN$8:$AN$68,$J104),0)+BH104</f>
        <v>0</v>
      </c>
      <c r="AI104" s="16">
        <f>IF($I104,c_lotfactor*INDEX(M_Onedeal!$AO$8:$AO$68,$J104),0)+BI104</f>
        <v>0</v>
      </c>
      <c r="AJ104" s="16">
        <f>IF($I104,c_lotfactor*INDEX(M_Onedeal!$AP$8:$AP$68,$J104),0)+BJ104</f>
        <v>0</v>
      </c>
      <c r="AL104" s="127">
        <v>0</v>
      </c>
      <c r="AM104" s="127">
        <v>0</v>
      </c>
      <c r="AN104" s="127">
        <v>0</v>
      </c>
      <c r="AO104" s="127">
        <v>0</v>
      </c>
      <c r="AP104" s="127">
        <v>0</v>
      </c>
      <c r="AQ104" s="127">
        <v>0</v>
      </c>
      <c r="AR104" s="127">
        <v>0</v>
      </c>
      <c r="AS104" s="127">
        <v>0</v>
      </c>
      <c r="AT104" s="127">
        <v>0</v>
      </c>
      <c r="AU104" s="127">
        <v>0</v>
      </c>
      <c r="AV104" s="127">
        <v>0</v>
      </c>
      <c r="AW104" s="127">
        <v>0</v>
      </c>
      <c r="AX104" s="127">
        <v>0</v>
      </c>
      <c r="AY104" s="127">
        <v>0</v>
      </c>
      <c r="AZ104" s="127">
        <v>0</v>
      </c>
      <c r="BA104" s="127">
        <v>0</v>
      </c>
      <c r="BB104" s="127">
        <v>0</v>
      </c>
      <c r="BC104" s="127">
        <v>0</v>
      </c>
      <c r="BD104" s="127">
        <v>0</v>
      </c>
      <c r="BE104" s="127">
        <v>0</v>
      </c>
      <c r="BF104" s="127">
        <v>0</v>
      </c>
      <c r="BG104" s="127">
        <v>0</v>
      </c>
      <c r="BH104" s="127">
        <v>0</v>
      </c>
      <c r="BI104" s="127">
        <v>0</v>
      </c>
      <c r="BJ104" s="127">
        <v>0</v>
      </c>
    </row>
    <row r="105" spans="2:62" ht="15" customHeight="1" thickBot="1">
      <c r="B105" s="18">
        <f t="shared" si="15"/>
        <v>0</v>
      </c>
      <c r="C105" s="18">
        <f t="shared" ca="1" si="18"/>
        <v>2542.6989917229653</v>
      </c>
      <c r="D105" s="335">
        <f t="shared" ca="1" si="16"/>
        <v>0</v>
      </c>
      <c r="E105" s="117">
        <f t="shared" ca="1" si="17"/>
        <v>0</v>
      </c>
      <c r="G105" s="18">
        <f t="shared" si="4"/>
        <v>96</v>
      </c>
      <c r="H105" s="18">
        <f t="shared" si="5"/>
        <v>8</v>
      </c>
      <c r="I105" s="18">
        <f t="shared" ref="I105:I117" si="19">IF(AND(G105&gt;=c_offset,$G105&lt;=c_offset+c_lotyears*12),1,0)</f>
        <v>0</v>
      </c>
      <c r="J105" s="18">
        <f t="shared" ref="J105:J117" si="20">$G105-c_offset+1</f>
        <v>96</v>
      </c>
      <c r="L105" s="18">
        <f>IF($I105,INDEX(M_Onedeal!$E$8:$E$68,$J105),0)+AL105</f>
        <v>0</v>
      </c>
      <c r="M105" s="18">
        <f>IF($I105,INDEX(M_Onedeal!$H$8:$H$68,$J105),0)+AM105</f>
        <v>0</v>
      </c>
      <c r="N105" s="18">
        <f>IF($I105,INDEX(M_Onedeal!$I$8:$I$68,$J105),0)+AN105</f>
        <v>0</v>
      </c>
      <c r="O105" s="18">
        <f>IF($I105,c_lotfactor*INDEX(M_Onedeal!$K$8:$K$68,$J105),0)+AO105</f>
        <v>0</v>
      </c>
      <c r="P105" s="18">
        <f>IF($I105,INDEX(M_Onedeal!$L$8:$L$68,$J105),0)+AP105</f>
        <v>0</v>
      </c>
      <c r="Q105" s="18">
        <f>IF($I105,INDEX(M_Onedeal!$M$8:$M$68,$J105),0)+AQ105</f>
        <v>0</v>
      </c>
      <c r="R105" s="18">
        <f>IF($I105,INDEX(M_Onedeal!$N$8:$N$68,$J105),0)+AR105</f>
        <v>0</v>
      </c>
      <c r="S105" s="18">
        <f>IF($I105,INDEX(M_Onedeal!$O$8:$O$68,$J105),0)+AS105</f>
        <v>0</v>
      </c>
      <c r="T105" s="18">
        <f>IF($I105,INDEX(M_Onedeal!$P$8:$P$68,$J105),0)+AT105</f>
        <v>0</v>
      </c>
      <c r="U105" s="18">
        <f>IF($I105,INDEX(M_Onedeal!$Q$8:$Q$68,$J105),0)+AU105</f>
        <v>0</v>
      </c>
      <c r="V105" s="18">
        <f>IF($I105,INDEX(M_Onedeal!$R$8:$R$68,$J105),0)+AV105</f>
        <v>0</v>
      </c>
      <c r="W105" s="18">
        <f>IF($I105,INDEX(M_Onedeal!$Y$8:$Y$68,$J105),0)+AW105</f>
        <v>0</v>
      </c>
      <c r="X105" s="18">
        <f>IF($I105,INDEX(M_Onedeal!$AA$8:$AA$68,$J105),0)+AX105</f>
        <v>0</v>
      </c>
      <c r="Y105" s="18">
        <f>IF($I105,INDEX(M_Onedeal!$AD$8:$AD$68,$J105),0)+AY105</f>
        <v>0</v>
      </c>
      <c r="Z105" s="18">
        <f>IF($I105,INDEX(M_Onedeal!$AF$8:$AF$68,$J105),0)+AZ105</f>
        <v>0</v>
      </c>
      <c r="AA105" s="18">
        <f>IF($I105,INDEX(M_Onedeal!$AG$8:$AG$68,$J105),0)+BA105</f>
        <v>0</v>
      </c>
      <c r="AB105" s="18">
        <f>IF($I105,INDEX(M_Onedeal!$AI$8:$AI$68,$J105),0)+BB105</f>
        <v>0</v>
      </c>
      <c r="AC105" s="18">
        <f>IF($I105,INDEX(M_Onedeal!$AQ$8:$AQ$68,$J105),0)+BC105</f>
        <v>0</v>
      </c>
      <c r="AD105" s="18">
        <f>IF($I105,INDEX(M_Onedeal!$AR$8:$AR$68,$J105),0)+BD105</f>
        <v>0</v>
      </c>
      <c r="AE105" s="18">
        <f>IF($I105,INDEX(M_Onedeal!$AK$8:$AK$68,$J105),0)+BE105</f>
        <v>0</v>
      </c>
      <c r="AF105" s="18">
        <f>IF($I105,c_lotfactor*INDEX(M_Onedeal!$AM$8:$AM$68,$J105),0)+BF105</f>
        <v>0</v>
      </c>
      <c r="AG105" s="18">
        <f>IF($I105,c_lotfactor*-INDEX(M_Onedeal!$AB$8:$AB$68,$J105,0))+BG105</f>
        <v>0</v>
      </c>
      <c r="AH105" s="18">
        <f>IF($I105,c_lotfactor*INDEX(M_Onedeal!$AN$8:$AN$68,$J105),0)+BH105</f>
        <v>0</v>
      </c>
      <c r="AI105" s="18">
        <f>IF($I105,c_lotfactor*INDEX(M_Onedeal!$AO$8:$AO$68,$J105),0)+BI105</f>
        <v>0</v>
      </c>
      <c r="AJ105" s="18">
        <f>IF($I105,c_lotfactor*INDEX(M_Onedeal!$AP$8:$AP$68,$J105),0)+BJ105</f>
        <v>0</v>
      </c>
      <c r="AL105" s="129">
        <v>0</v>
      </c>
      <c r="AM105" s="129">
        <v>0</v>
      </c>
      <c r="AN105" s="129">
        <v>0</v>
      </c>
      <c r="AO105" s="129">
        <v>0</v>
      </c>
      <c r="AP105" s="129">
        <v>0</v>
      </c>
      <c r="AQ105" s="129">
        <v>0</v>
      </c>
      <c r="AR105" s="129">
        <v>0</v>
      </c>
      <c r="AS105" s="129">
        <v>0</v>
      </c>
      <c r="AT105" s="129">
        <v>0</v>
      </c>
      <c r="AU105" s="129">
        <v>0</v>
      </c>
      <c r="AV105" s="129">
        <v>0</v>
      </c>
      <c r="AW105" s="129">
        <v>0</v>
      </c>
      <c r="AX105" s="129">
        <v>0</v>
      </c>
      <c r="AY105" s="129">
        <v>0</v>
      </c>
      <c r="AZ105" s="129">
        <v>0</v>
      </c>
      <c r="BA105" s="129">
        <v>0</v>
      </c>
      <c r="BB105" s="129">
        <v>0</v>
      </c>
      <c r="BC105" s="129">
        <v>0</v>
      </c>
      <c r="BD105" s="129">
        <v>0</v>
      </c>
      <c r="BE105" s="129">
        <v>0</v>
      </c>
      <c r="BF105" s="129">
        <v>0</v>
      </c>
      <c r="BG105" s="129">
        <v>0</v>
      </c>
      <c r="BH105" s="129">
        <v>0</v>
      </c>
      <c r="BI105" s="129">
        <v>0</v>
      </c>
      <c r="BJ105" s="129">
        <v>0</v>
      </c>
    </row>
    <row r="106" spans="2:62" ht="15" customHeight="1">
      <c r="B106" s="19">
        <f t="shared" ref="B106:B117" si="21">IF($H106&lt;=c_lotyears,INDEX(p_lotsperyear,$H106,1),0)</f>
        <v>0</v>
      </c>
      <c r="C106" s="19">
        <f t="shared" ca="1" si="18"/>
        <v>2542.6989917229653</v>
      </c>
      <c r="D106" s="336">
        <f t="shared" ref="D106:D117" ca="1" si="22">MAX(0,MIN($B106/12,c_maxlots-C106))</f>
        <v>0</v>
      </c>
      <c r="E106" s="118">
        <f t="shared" ref="E106:E117" ca="1" si="23">IF(i_lotstotal&gt;0,D106/i_lotstotal,0)</f>
        <v>0</v>
      </c>
      <c r="G106" s="19">
        <f t="shared" si="4"/>
        <v>97</v>
      </c>
      <c r="H106" s="19">
        <f t="shared" si="5"/>
        <v>9</v>
      </c>
      <c r="I106" s="19">
        <f t="shared" si="19"/>
        <v>0</v>
      </c>
      <c r="J106" s="19">
        <f t="shared" si="20"/>
        <v>97</v>
      </c>
      <c r="L106" s="19">
        <f>IF($I106,INDEX(M_Onedeal!$E$8:$E$68,$J106),0)+AL106</f>
        <v>0</v>
      </c>
      <c r="M106" s="19">
        <f>IF($I106,INDEX(M_Onedeal!$H$8:$H$68,$J106),0)+AM106</f>
        <v>0</v>
      </c>
      <c r="N106" s="19">
        <f>IF($I106,INDEX(M_Onedeal!$I$8:$I$68,$J106),0)+AN106</f>
        <v>0</v>
      </c>
      <c r="O106" s="19">
        <f>IF($I106,c_lotfactor*INDEX(M_Onedeal!$K$8:$K$68,$J106),0)+AO106</f>
        <v>0</v>
      </c>
      <c r="P106" s="19">
        <f>IF($I106,INDEX(M_Onedeal!$L$8:$L$68,$J106),0)+AP106</f>
        <v>0</v>
      </c>
      <c r="Q106" s="19">
        <f>IF($I106,INDEX(M_Onedeal!$M$8:$M$68,$J106),0)+AQ106</f>
        <v>0</v>
      </c>
      <c r="R106" s="19">
        <f>IF($I106,INDEX(M_Onedeal!$N$8:$N$68,$J106),0)+AR106</f>
        <v>0</v>
      </c>
      <c r="S106" s="19">
        <f>IF($I106,INDEX(M_Onedeal!$O$8:$O$68,$J106),0)+AS106</f>
        <v>0</v>
      </c>
      <c r="T106" s="19">
        <f>IF($I106,INDEX(M_Onedeal!$P$8:$P$68,$J106),0)+AT106</f>
        <v>0</v>
      </c>
      <c r="U106" s="19">
        <f>IF($I106,INDEX(M_Onedeal!$Q$8:$Q$68,$J106),0)+AU106</f>
        <v>0</v>
      </c>
      <c r="V106" s="19">
        <f>IF($I106,INDEX(M_Onedeal!$R$8:$R$68,$J106),0)+AV106</f>
        <v>0</v>
      </c>
      <c r="W106" s="19">
        <f>IF($I106,INDEX(M_Onedeal!$Y$8:$Y$68,$J106),0)+AW106</f>
        <v>0</v>
      </c>
      <c r="X106" s="19">
        <f>IF($I106,INDEX(M_Onedeal!$AA$8:$AA$68,$J106),0)+AX106</f>
        <v>0</v>
      </c>
      <c r="Y106" s="19">
        <f>IF($I106,INDEX(M_Onedeal!$AD$8:$AD$68,$J106),0)+AY106</f>
        <v>0</v>
      </c>
      <c r="Z106" s="19">
        <f>IF($I106,INDEX(M_Onedeal!$AF$8:$AF$68,$J106),0)+AZ106</f>
        <v>0</v>
      </c>
      <c r="AA106" s="19">
        <f>IF($I106,INDEX(M_Onedeal!$AG$8:$AG$68,$J106),0)+BA106</f>
        <v>0</v>
      </c>
      <c r="AB106" s="19">
        <f>IF($I106,INDEX(M_Onedeal!$AI$8:$AI$68,$J106),0)+BB106</f>
        <v>0</v>
      </c>
      <c r="AC106" s="19">
        <f>IF($I106,INDEX(M_Onedeal!$AQ$8:$AQ$68,$J106),0)+BC106</f>
        <v>0</v>
      </c>
      <c r="AD106" s="19">
        <f>IF($I106,INDEX(M_Onedeal!$AR$8:$AR$68,$J106),0)+BD106</f>
        <v>0</v>
      </c>
      <c r="AE106" s="19">
        <f>IF($I106,INDEX(M_Onedeal!$AK$8:$AK$68,$J106),0)+BE106</f>
        <v>0</v>
      </c>
      <c r="AF106" s="19">
        <f>IF($I106,c_lotfactor*INDEX(M_Onedeal!$AM$8:$AM$68,$J106),0)+BF106</f>
        <v>0</v>
      </c>
      <c r="AG106" s="19">
        <f>IF($I106,c_lotfactor*-INDEX(M_Onedeal!$AB$8:$AB$68,$J106,0))+BG106</f>
        <v>0</v>
      </c>
      <c r="AH106" s="19">
        <f>IF($I106,c_lotfactor*INDEX(M_Onedeal!$AN$8:$AN$68,$J106),0)+BH106</f>
        <v>0</v>
      </c>
      <c r="AI106" s="19">
        <f>IF($I106,c_lotfactor*INDEX(M_Onedeal!$AO$8:$AO$68,$J106),0)+BI106</f>
        <v>0</v>
      </c>
      <c r="AJ106" s="19">
        <f>IF($I106,c_lotfactor*INDEX(M_Onedeal!$AP$8:$AP$68,$J106),0)+BJ106</f>
        <v>0</v>
      </c>
      <c r="AL106" s="130">
        <v>0</v>
      </c>
      <c r="AM106" s="130">
        <v>0</v>
      </c>
      <c r="AN106" s="130">
        <v>0</v>
      </c>
      <c r="AO106" s="130">
        <v>0</v>
      </c>
      <c r="AP106" s="130">
        <v>0</v>
      </c>
      <c r="AQ106" s="130">
        <v>0</v>
      </c>
      <c r="AR106" s="130">
        <v>0</v>
      </c>
      <c r="AS106" s="130">
        <v>0</v>
      </c>
      <c r="AT106" s="130">
        <v>0</v>
      </c>
      <c r="AU106" s="130">
        <v>0</v>
      </c>
      <c r="AV106" s="130">
        <v>0</v>
      </c>
      <c r="AW106" s="130">
        <v>0</v>
      </c>
      <c r="AX106" s="130">
        <v>0</v>
      </c>
      <c r="AY106" s="130">
        <v>0</v>
      </c>
      <c r="AZ106" s="130">
        <v>0</v>
      </c>
      <c r="BA106" s="130">
        <v>0</v>
      </c>
      <c r="BB106" s="130">
        <v>0</v>
      </c>
      <c r="BC106" s="130">
        <v>0</v>
      </c>
      <c r="BD106" s="130">
        <v>0</v>
      </c>
      <c r="BE106" s="130">
        <v>0</v>
      </c>
      <c r="BF106" s="130">
        <v>0</v>
      </c>
      <c r="BG106" s="130">
        <v>0</v>
      </c>
      <c r="BH106" s="130">
        <v>0</v>
      </c>
      <c r="BI106" s="130">
        <v>0</v>
      </c>
      <c r="BJ106" s="130">
        <v>0</v>
      </c>
    </row>
    <row r="107" spans="2:62" ht="15" customHeight="1">
      <c r="B107" s="16">
        <f t="shared" si="21"/>
        <v>0</v>
      </c>
      <c r="C107" s="16">
        <f t="shared" ca="1" si="18"/>
        <v>2542.6989917229653</v>
      </c>
      <c r="D107" s="333">
        <f t="shared" ca="1" si="22"/>
        <v>0</v>
      </c>
      <c r="E107" s="115">
        <f t="shared" ca="1" si="23"/>
        <v>0</v>
      </c>
      <c r="G107" s="16">
        <f t="shared" si="4"/>
        <v>98</v>
      </c>
      <c r="H107" s="16">
        <f t="shared" si="5"/>
        <v>9</v>
      </c>
      <c r="I107" s="16">
        <f t="shared" si="19"/>
        <v>0</v>
      </c>
      <c r="J107" s="16">
        <f t="shared" si="20"/>
        <v>98</v>
      </c>
      <c r="L107" s="16">
        <f>IF($I107,INDEX(M_Onedeal!$E$8:$E$68,$J107),0)+AL107</f>
        <v>0</v>
      </c>
      <c r="M107" s="16">
        <f>IF($I107,INDEX(M_Onedeal!$H$8:$H$68,$J107),0)+AM107</f>
        <v>0</v>
      </c>
      <c r="N107" s="16">
        <f>IF($I107,INDEX(M_Onedeal!$I$8:$I$68,$J107),0)+AN107</f>
        <v>0</v>
      </c>
      <c r="O107" s="16">
        <f>IF($I107,c_lotfactor*INDEX(M_Onedeal!$K$8:$K$68,$J107),0)+AO107</f>
        <v>0</v>
      </c>
      <c r="P107" s="16">
        <f>IF($I107,INDEX(M_Onedeal!$L$8:$L$68,$J107),0)+AP107</f>
        <v>0</v>
      </c>
      <c r="Q107" s="16">
        <f>IF($I107,INDEX(M_Onedeal!$M$8:$M$68,$J107),0)+AQ107</f>
        <v>0</v>
      </c>
      <c r="R107" s="16">
        <f>IF($I107,INDEX(M_Onedeal!$N$8:$N$68,$J107),0)+AR107</f>
        <v>0</v>
      </c>
      <c r="S107" s="16">
        <f>IF($I107,INDEX(M_Onedeal!$O$8:$O$68,$J107),0)+AS107</f>
        <v>0</v>
      </c>
      <c r="T107" s="16">
        <f>IF($I107,INDEX(M_Onedeal!$P$8:$P$68,$J107),0)+AT107</f>
        <v>0</v>
      </c>
      <c r="U107" s="16">
        <f>IF($I107,INDEX(M_Onedeal!$Q$8:$Q$68,$J107),0)+AU107</f>
        <v>0</v>
      </c>
      <c r="V107" s="16">
        <f>IF($I107,INDEX(M_Onedeal!$R$8:$R$68,$J107),0)+AV107</f>
        <v>0</v>
      </c>
      <c r="W107" s="16">
        <f>IF($I107,INDEX(M_Onedeal!$Y$8:$Y$68,$J107),0)+AW107</f>
        <v>0</v>
      </c>
      <c r="X107" s="16">
        <f>IF($I107,INDEX(M_Onedeal!$AA$8:$AA$68,$J107),0)+AX107</f>
        <v>0</v>
      </c>
      <c r="Y107" s="16">
        <f>IF($I107,INDEX(M_Onedeal!$AD$8:$AD$68,$J107),0)+AY107</f>
        <v>0</v>
      </c>
      <c r="Z107" s="16">
        <f>IF($I107,INDEX(M_Onedeal!$AF$8:$AF$68,$J107),0)+AZ107</f>
        <v>0</v>
      </c>
      <c r="AA107" s="16">
        <f>IF($I107,INDEX(M_Onedeal!$AG$8:$AG$68,$J107),0)+BA107</f>
        <v>0</v>
      </c>
      <c r="AB107" s="16">
        <f>IF($I107,INDEX(M_Onedeal!$AI$8:$AI$68,$J107),0)+BB107</f>
        <v>0</v>
      </c>
      <c r="AC107" s="16">
        <f>IF($I107,INDEX(M_Onedeal!$AQ$8:$AQ$68,$J107),0)+BC107</f>
        <v>0</v>
      </c>
      <c r="AD107" s="16">
        <f>IF($I107,INDEX(M_Onedeal!$AR$8:$AR$68,$J107),0)+BD107</f>
        <v>0</v>
      </c>
      <c r="AE107" s="16">
        <f>IF($I107,INDEX(M_Onedeal!$AK$8:$AK$68,$J107),0)+BE107</f>
        <v>0</v>
      </c>
      <c r="AF107" s="16">
        <f>IF($I107,c_lotfactor*INDEX(M_Onedeal!$AM$8:$AM$68,$J107),0)+BF107</f>
        <v>0</v>
      </c>
      <c r="AG107" s="16">
        <f>IF($I107,c_lotfactor*-INDEX(M_Onedeal!$AB$8:$AB$68,$J107,0))+BG107</f>
        <v>0</v>
      </c>
      <c r="AH107" s="16">
        <f>IF($I107,c_lotfactor*INDEX(M_Onedeal!$AN$8:$AN$68,$J107),0)+BH107</f>
        <v>0</v>
      </c>
      <c r="AI107" s="16">
        <f>IF($I107,c_lotfactor*INDEX(M_Onedeal!$AO$8:$AO$68,$J107),0)+BI107</f>
        <v>0</v>
      </c>
      <c r="AJ107" s="16">
        <f>IF($I107,c_lotfactor*INDEX(M_Onedeal!$AP$8:$AP$68,$J107),0)+BJ107</f>
        <v>0</v>
      </c>
      <c r="AL107" s="127">
        <v>0</v>
      </c>
      <c r="AM107" s="127">
        <v>0</v>
      </c>
      <c r="AN107" s="127">
        <v>0</v>
      </c>
      <c r="AO107" s="127">
        <v>0</v>
      </c>
      <c r="AP107" s="127">
        <v>0</v>
      </c>
      <c r="AQ107" s="127">
        <v>0</v>
      </c>
      <c r="AR107" s="127">
        <v>0</v>
      </c>
      <c r="AS107" s="127">
        <v>0</v>
      </c>
      <c r="AT107" s="127">
        <v>0</v>
      </c>
      <c r="AU107" s="127">
        <v>0</v>
      </c>
      <c r="AV107" s="127">
        <v>0</v>
      </c>
      <c r="AW107" s="127">
        <v>0</v>
      </c>
      <c r="AX107" s="127">
        <v>0</v>
      </c>
      <c r="AY107" s="127">
        <v>0</v>
      </c>
      <c r="AZ107" s="127">
        <v>0</v>
      </c>
      <c r="BA107" s="127">
        <v>0</v>
      </c>
      <c r="BB107" s="127">
        <v>0</v>
      </c>
      <c r="BC107" s="127">
        <v>0</v>
      </c>
      <c r="BD107" s="127">
        <v>0</v>
      </c>
      <c r="BE107" s="127">
        <v>0</v>
      </c>
      <c r="BF107" s="127">
        <v>0</v>
      </c>
      <c r="BG107" s="127">
        <v>0</v>
      </c>
      <c r="BH107" s="127">
        <v>0</v>
      </c>
      <c r="BI107" s="127">
        <v>0</v>
      </c>
      <c r="BJ107" s="127">
        <v>0</v>
      </c>
    </row>
    <row r="108" spans="2:62" ht="15" customHeight="1">
      <c r="B108" s="17">
        <f t="shared" si="21"/>
        <v>0</v>
      </c>
      <c r="C108" s="17">
        <f t="shared" ca="1" si="18"/>
        <v>2542.6989917229653</v>
      </c>
      <c r="D108" s="334">
        <f t="shared" ca="1" si="22"/>
        <v>0</v>
      </c>
      <c r="E108" s="116">
        <f t="shared" ca="1" si="23"/>
        <v>0</v>
      </c>
      <c r="G108" s="17">
        <f t="shared" si="4"/>
        <v>99</v>
      </c>
      <c r="H108" s="17">
        <f t="shared" si="5"/>
        <v>9</v>
      </c>
      <c r="I108" s="17">
        <f t="shared" si="19"/>
        <v>0</v>
      </c>
      <c r="J108" s="17">
        <f t="shared" si="20"/>
        <v>99</v>
      </c>
      <c r="L108" s="17">
        <f>IF($I108,INDEX(M_Onedeal!$E$8:$E$68,$J108),0)+AL108</f>
        <v>0</v>
      </c>
      <c r="M108" s="17">
        <f>IF($I108,INDEX(M_Onedeal!$H$8:$H$68,$J108),0)+AM108</f>
        <v>0</v>
      </c>
      <c r="N108" s="17">
        <f>IF($I108,INDEX(M_Onedeal!$I$8:$I$68,$J108),0)+AN108</f>
        <v>0</v>
      </c>
      <c r="O108" s="17">
        <f>IF($I108,c_lotfactor*INDEX(M_Onedeal!$K$8:$K$68,$J108),0)+AO108</f>
        <v>0</v>
      </c>
      <c r="P108" s="17">
        <f>IF($I108,INDEX(M_Onedeal!$L$8:$L$68,$J108),0)+AP108</f>
        <v>0</v>
      </c>
      <c r="Q108" s="17">
        <f>IF($I108,INDEX(M_Onedeal!$M$8:$M$68,$J108),0)+AQ108</f>
        <v>0</v>
      </c>
      <c r="R108" s="17">
        <f>IF($I108,INDEX(M_Onedeal!$N$8:$N$68,$J108),0)+AR108</f>
        <v>0</v>
      </c>
      <c r="S108" s="17">
        <f>IF($I108,INDEX(M_Onedeal!$O$8:$O$68,$J108),0)+AS108</f>
        <v>0</v>
      </c>
      <c r="T108" s="17">
        <f>IF($I108,INDEX(M_Onedeal!$P$8:$P$68,$J108),0)+AT108</f>
        <v>0</v>
      </c>
      <c r="U108" s="17">
        <f>IF($I108,INDEX(M_Onedeal!$Q$8:$Q$68,$J108),0)+AU108</f>
        <v>0</v>
      </c>
      <c r="V108" s="17">
        <f>IF($I108,INDEX(M_Onedeal!$R$8:$R$68,$J108),0)+AV108</f>
        <v>0</v>
      </c>
      <c r="W108" s="17">
        <f>IF($I108,INDEX(M_Onedeal!$Y$8:$Y$68,$J108),0)+AW108</f>
        <v>0</v>
      </c>
      <c r="X108" s="17">
        <f>IF($I108,INDEX(M_Onedeal!$AA$8:$AA$68,$J108),0)+AX108</f>
        <v>0</v>
      </c>
      <c r="Y108" s="17">
        <f>IF($I108,INDEX(M_Onedeal!$AD$8:$AD$68,$J108),0)+AY108</f>
        <v>0</v>
      </c>
      <c r="Z108" s="17">
        <f>IF($I108,INDEX(M_Onedeal!$AF$8:$AF$68,$J108),0)+AZ108</f>
        <v>0</v>
      </c>
      <c r="AA108" s="17">
        <f>IF($I108,INDEX(M_Onedeal!$AG$8:$AG$68,$J108),0)+BA108</f>
        <v>0</v>
      </c>
      <c r="AB108" s="17">
        <f>IF($I108,INDEX(M_Onedeal!$AI$8:$AI$68,$J108),0)+BB108</f>
        <v>0</v>
      </c>
      <c r="AC108" s="17">
        <f>IF($I108,INDEX(M_Onedeal!$AQ$8:$AQ$68,$J108),0)+BC108</f>
        <v>0</v>
      </c>
      <c r="AD108" s="17">
        <f>IF($I108,INDEX(M_Onedeal!$AR$8:$AR$68,$J108),0)+BD108</f>
        <v>0</v>
      </c>
      <c r="AE108" s="17">
        <f>IF($I108,INDEX(M_Onedeal!$AK$8:$AK$68,$J108),0)+BE108</f>
        <v>0</v>
      </c>
      <c r="AF108" s="17">
        <f>IF($I108,c_lotfactor*INDEX(M_Onedeal!$AM$8:$AM$68,$J108),0)+BF108</f>
        <v>0</v>
      </c>
      <c r="AG108" s="17">
        <f>IF($I108,c_lotfactor*-INDEX(M_Onedeal!$AB$8:$AB$68,$J108,0))+BG108</f>
        <v>0</v>
      </c>
      <c r="AH108" s="17">
        <f>IF($I108,c_lotfactor*INDEX(M_Onedeal!$AN$8:$AN$68,$J108),0)+BH108</f>
        <v>0</v>
      </c>
      <c r="AI108" s="17">
        <f>IF($I108,c_lotfactor*INDEX(M_Onedeal!$AO$8:$AO$68,$J108),0)+BI108</f>
        <v>0</v>
      </c>
      <c r="AJ108" s="17">
        <f>IF($I108,c_lotfactor*INDEX(M_Onedeal!$AP$8:$AP$68,$J108),0)+BJ108</f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28">
        <v>0</v>
      </c>
      <c r="BA108" s="128">
        <v>0</v>
      </c>
      <c r="BB108" s="128">
        <v>0</v>
      </c>
      <c r="BC108" s="128">
        <v>0</v>
      </c>
      <c r="BD108" s="128">
        <v>0</v>
      </c>
      <c r="BE108" s="128">
        <v>0</v>
      </c>
      <c r="BF108" s="128">
        <v>0</v>
      </c>
      <c r="BG108" s="128">
        <v>0</v>
      </c>
      <c r="BH108" s="128">
        <v>0</v>
      </c>
      <c r="BI108" s="128">
        <v>0</v>
      </c>
      <c r="BJ108" s="128">
        <v>0</v>
      </c>
    </row>
    <row r="109" spans="2:62" ht="15" customHeight="1">
      <c r="B109" s="15">
        <f t="shared" si="21"/>
        <v>0</v>
      </c>
      <c r="C109" s="15">
        <f t="shared" ca="1" si="18"/>
        <v>2542.6989917229653</v>
      </c>
      <c r="D109" s="332">
        <f t="shared" ca="1" si="22"/>
        <v>0</v>
      </c>
      <c r="E109" s="113">
        <f t="shared" ca="1" si="23"/>
        <v>0</v>
      </c>
      <c r="G109" s="15">
        <f t="shared" si="4"/>
        <v>100</v>
      </c>
      <c r="H109" s="15">
        <f t="shared" si="5"/>
        <v>9</v>
      </c>
      <c r="I109" s="15">
        <f t="shared" si="19"/>
        <v>0</v>
      </c>
      <c r="J109" s="15">
        <f t="shared" si="20"/>
        <v>100</v>
      </c>
      <c r="L109" s="15">
        <f>IF($I109,INDEX(M_Onedeal!$E$8:$E$68,$J109),0)+AL109</f>
        <v>0</v>
      </c>
      <c r="M109" s="15">
        <f>IF($I109,INDEX(M_Onedeal!$H$8:$H$68,$J109),0)+AM109</f>
        <v>0</v>
      </c>
      <c r="N109" s="15">
        <f>IF($I109,INDEX(M_Onedeal!$I$8:$I$68,$J109),0)+AN109</f>
        <v>0</v>
      </c>
      <c r="O109" s="15">
        <f>IF($I109,c_lotfactor*INDEX(M_Onedeal!$K$8:$K$68,$J109),0)+AO109</f>
        <v>0</v>
      </c>
      <c r="P109" s="15">
        <f>IF($I109,INDEX(M_Onedeal!$L$8:$L$68,$J109),0)+AP109</f>
        <v>0</v>
      </c>
      <c r="Q109" s="15">
        <f>IF($I109,INDEX(M_Onedeal!$M$8:$M$68,$J109),0)+AQ109</f>
        <v>0</v>
      </c>
      <c r="R109" s="15">
        <f>IF($I109,INDEX(M_Onedeal!$N$8:$N$68,$J109),0)+AR109</f>
        <v>0</v>
      </c>
      <c r="S109" s="15">
        <f>IF($I109,INDEX(M_Onedeal!$O$8:$O$68,$J109),0)+AS109</f>
        <v>0</v>
      </c>
      <c r="T109" s="15">
        <f>IF($I109,INDEX(M_Onedeal!$P$8:$P$68,$J109),0)+AT109</f>
        <v>0</v>
      </c>
      <c r="U109" s="15">
        <f>IF($I109,INDEX(M_Onedeal!$Q$8:$Q$68,$J109),0)+AU109</f>
        <v>0</v>
      </c>
      <c r="V109" s="15">
        <f>IF($I109,INDEX(M_Onedeal!$R$8:$R$68,$J109),0)+AV109</f>
        <v>0</v>
      </c>
      <c r="W109" s="15">
        <f>IF($I109,INDEX(M_Onedeal!$Y$8:$Y$68,$J109),0)+AW109</f>
        <v>0</v>
      </c>
      <c r="X109" s="15">
        <f>IF($I109,INDEX(M_Onedeal!$AA$8:$AA$68,$J109),0)+AX109</f>
        <v>0</v>
      </c>
      <c r="Y109" s="15">
        <f>IF($I109,INDEX(M_Onedeal!$AD$8:$AD$68,$J109),0)+AY109</f>
        <v>0</v>
      </c>
      <c r="Z109" s="15">
        <f>IF($I109,INDEX(M_Onedeal!$AF$8:$AF$68,$J109),0)+AZ109</f>
        <v>0</v>
      </c>
      <c r="AA109" s="15">
        <f>IF($I109,INDEX(M_Onedeal!$AG$8:$AG$68,$J109),0)+BA109</f>
        <v>0</v>
      </c>
      <c r="AB109" s="15">
        <f>IF($I109,INDEX(M_Onedeal!$AI$8:$AI$68,$J109),0)+BB109</f>
        <v>0</v>
      </c>
      <c r="AC109" s="15">
        <f>IF($I109,INDEX(M_Onedeal!$AQ$8:$AQ$68,$J109),0)+BC109</f>
        <v>0</v>
      </c>
      <c r="AD109" s="15">
        <f>IF($I109,INDEX(M_Onedeal!$AR$8:$AR$68,$J109),0)+BD109</f>
        <v>0</v>
      </c>
      <c r="AE109" s="15">
        <f>IF($I109,INDEX(M_Onedeal!$AK$8:$AK$68,$J109),0)+BE109</f>
        <v>0</v>
      </c>
      <c r="AF109" s="15">
        <f>IF($I109,c_lotfactor*INDEX(M_Onedeal!$AM$8:$AM$68,$J109),0)+BF109</f>
        <v>0</v>
      </c>
      <c r="AG109" s="15">
        <f>IF($I109,c_lotfactor*-INDEX(M_Onedeal!$AB$8:$AB$68,$J109,0))+BG109</f>
        <v>0</v>
      </c>
      <c r="AH109" s="15">
        <f>IF($I109,c_lotfactor*INDEX(M_Onedeal!$AN$8:$AN$68,$J109),0)+BH109</f>
        <v>0</v>
      </c>
      <c r="AI109" s="15">
        <f>IF($I109,c_lotfactor*INDEX(M_Onedeal!$AO$8:$AO$68,$J109),0)+BI109</f>
        <v>0</v>
      </c>
      <c r="AJ109" s="15">
        <f>IF($I109,c_lotfactor*INDEX(M_Onedeal!$AP$8:$AP$68,$J109),0)+BJ109</f>
        <v>0</v>
      </c>
      <c r="AL109" s="126">
        <v>0</v>
      </c>
      <c r="AM109" s="126">
        <v>0</v>
      </c>
      <c r="AN109" s="126">
        <v>0</v>
      </c>
      <c r="AO109" s="126">
        <v>0</v>
      </c>
      <c r="AP109" s="126">
        <v>0</v>
      </c>
      <c r="AQ109" s="126">
        <v>0</v>
      </c>
      <c r="AR109" s="126">
        <v>0</v>
      </c>
      <c r="AS109" s="126">
        <v>0</v>
      </c>
      <c r="AT109" s="126">
        <v>0</v>
      </c>
      <c r="AU109" s="126">
        <v>0</v>
      </c>
      <c r="AV109" s="126">
        <v>0</v>
      </c>
      <c r="AW109" s="126">
        <v>0</v>
      </c>
      <c r="AX109" s="126">
        <v>0</v>
      </c>
      <c r="AY109" s="126">
        <v>0</v>
      </c>
      <c r="AZ109" s="126">
        <v>0</v>
      </c>
      <c r="BA109" s="126">
        <v>0</v>
      </c>
      <c r="BB109" s="126">
        <v>0</v>
      </c>
      <c r="BC109" s="126">
        <v>0</v>
      </c>
      <c r="BD109" s="126">
        <v>0</v>
      </c>
      <c r="BE109" s="126">
        <v>0</v>
      </c>
      <c r="BF109" s="126">
        <v>0</v>
      </c>
      <c r="BG109" s="126">
        <v>0</v>
      </c>
      <c r="BH109" s="126">
        <v>0</v>
      </c>
      <c r="BI109" s="126">
        <v>0</v>
      </c>
      <c r="BJ109" s="126">
        <v>0</v>
      </c>
    </row>
    <row r="110" spans="2:62" ht="15" customHeight="1">
      <c r="B110" s="16">
        <f t="shared" si="21"/>
        <v>0</v>
      </c>
      <c r="C110" s="16">
        <f t="shared" ca="1" si="18"/>
        <v>2542.6989917229653</v>
      </c>
      <c r="D110" s="333">
        <f t="shared" ca="1" si="22"/>
        <v>0</v>
      </c>
      <c r="E110" s="115">
        <f t="shared" ca="1" si="23"/>
        <v>0</v>
      </c>
      <c r="G110" s="16">
        <f t="shared" si="4"/>
        <v>101</v>
      </c>
      <c r="H110" s="16">
        <f t="shared" si="5"/>
        <v>9</v>
      </c>
      <c r="I110" s="16">
        <f t="shared" si="19"/>
        <v>0</v>
      </c>
      <c r="J110" s="16">
        <f t="shared" si="20"/>
        <v>101</v>
      </c>
      <c r="L110" s="16">
        <f>IF($I110,INDEX(M_Onedeal!$E$8:$E$68,$J110),0)+AL110</f>
        <v>0</v>
      </c>
      <c r="M110" s="16">
        <f>IF($I110,INDEX(M_Onedeal!$H$8:$H$68,$J110),0)+AM110</f>
        <v>0</v>
      </c>
      <c r="N110" s="16">
        <f>IF($I110,INDEX(M_Onedeal!$I$8:$I$68,$J110),0)+AN110</f>
        <v>0</v>
      </c>
      <c r="O110" s="16">
        <f>IF($I110,c_lotfactor*INDEX(M_Onedeal!$K$8:$K$68,$J110),0)+AO110</f>
        <v>0</v>
      </c>
      <c r="P110" s="16">
        <f>IF($I110,INDEX(M_Onedeal!$L$8:$L$68,$J110),0)+AP110</f>
        <v>0</v>
      </c>
      <c r="Q110" s="16">
        <f>IF($I110,INDEX(M_Onedeal!$M$8:$M$68,$J110),0)+AQ110</f>
        <v>0</v>
      </c>
      <c r="R110" s="16">
        <f>IF($I110,INDEX(M_Onedeal!$N$8:$N$68,$J110),0)+AR110</f>
        <v>0</v>
      </c>
      <c r="S110" s="16">
        <f>IF($I110,INDEX(M_Onedeal!$O$8:$O$68,$J110),0)+AS110</f>
        <v>0</v>
      </c>
      <c r="T110" s="16">
        <f>IF($I110,INDEX(M_Onedeal!$P$8:$P$68,$J110),0)+AT110</f>
        <v>0</v>
      </c>
      <c r="U110" s="16">
        <f>IF($I110,INDEX(M_Onedeal!$Q$8:$Q$68,$J110),0)+AU110</f>
        <v>0</v>
      </c>
      <c r="V110" s="16">
        <f>IF($I110,INDEX(M_Onedeal!$R$8:$R$68,$J110),0)+AV110</f>
        <v>0</v>
      </c>
      <c r="W110" s="16">
        <f>IF($I110,INDEX(M_Onedeal!$Y$8:$Y$68,$J110),0)+AW110</f>
        <v>0</v>
      </c>
      <c r="X110" s="16">
        <f>IF($I110,INDEX(M_Onedeal!$AA$8:$AA$68,$J110),0)+AX110</f>
        <v>0</v>
      </c>
      <c r="Y110" s="16">
        <f>IF($I110,INDEX(M_Onedeal!$AD$8:$AD$68,$J110),0)+AY110</f>
        <v>0</v>
      </c>
      <c r="Z110" s="16">
        <f>IF($I110,INDEX(M_Onedeal!$AF$8:$AF$68,$J110),0)+AZ110</f>
        <v>0</v>
      </c>
      <c r="AA110" s="16">
        <f>IF($I110,INDEX(M_Onedeal!$AG$8:$AG$68,$J110),0)+BA110</f>
        <v>0</v>
      </c>
      <c r="AB110" s="16">
        <f>IF($I110,INDEX(M_Onedeal!$AI$8:$AI$68,$J110),0)+BB110</f>
        <v>0</v>
      </c>
      <c r="AC110" s="16">
        <f>IF($I110,INDEX(M_Onedeal!$AQ$8:$AQ$68,$J110),0)+BC110</f>
        <v>0</v>
      </c>
      <c r="AD110" s="16">
        <f>IF($I110,INDEX(M_Onedeal!$AR$8:$AR$68,$J110),0)+BD110</f>
        <v>0</v>
      </c>
      <c r="AE110" s="16">
        <f>IF($I110,INDEX(M_Onedeal!$AK$8:$AK$68,$J110),0)+BE110</f>
        <v>0</v>
      </c>
      <c r="AF110" s="16">
        <f>IF($I110,c_lotfactor*INDEX(M_Onedeal!$AM$8:$AM$68,$J110),0)+BF110</f>
        <v>0</v>
      </c>
      <c r="AG110" s="16">
        <f>IF($I110,c_lotfactor*-INDEX(M_Onedeal!$AB$8:$AB$68,$J110,0))+BG110</f>
        <v>0</v>
      </c>
      <c r="AH110" s="16">
        <f>IF($I110,c_lotfactor*INDEX(M_Onedeal!$AN$8:$AN$68,$J110),0)+BH110</f>
        <v>0</v>
      </c>
      <c r="AI110" s="16">
        <f>IF($I110,c_lotfactor*INDEX(M_Onedeal!$AO$8:$AO$68,$J110),0)+BI110</f>
        <v>0</v>
      </c>
      <c r="AJ110" s="16">
        <f>IF($I110,c_lotfactor*INDEX(M_Onedeal!$AP$8:$AP$68,$J110),0)+BJ110</f>
        <v>0</v>
      </c>
      <c r="AL110" s="127">
        <v>0</v>
      </c>
      <c r="AM110" s="127">
        <v>0</v>
      </c>
      <c r="AN110" s="127">
        <v>0</v>
      </c>
      <c r="AO110" s="127">
        <v>0</v>
      </c>
      <c r="AP110" s="127">
        <v>0</v>
      </c>
      <c r="AQ110" s="127">
        <v>0</v>
      </c>
      <c r="AR110" s="127">
        <v>0</v>
      </c>
      <c r="AS110" s="127">
        <v>0</v>
      </c>
      <c r="AT110" s="127">
        <v>0</v>
      </c>
      <c r="AU110" s="127">
        <v>0</v>
      </c>
      <c r="AV110" s="127">
        <v>0</v>
      </c>
      <c r="AW110" s="127">
        <v>0</v>
      </c>
      <c r="AX110" s="127">
        <v>0</v>
      </c>
      <c r="AY110" s="127">
        <v>0</v>
      </c>
      <c r="AZ110" s="127">
        <v>0</v>
      </c>
      <c r="BA110" s="127">
        <v>0</v>
      </c>
      <c r="BB110" s="127">
        <v>0</v>
      </c>
      <c r="BC110" s="127">
        <v>0</v>
      </c>
      <c r="BD110" s="127">
        <v>0</v>
      </c>
      <c r="BE110" s="127">
        <v>0</v>
      </c>
      <c r="BF110" s="127">
        <v>0</v>
      </c>
      <c r="BG110" s="127">
        <v>0</v>
      </c>
      <c r="BH110" s="127">
        <v>0</v>
      </c>
      <c r="BI110" s="127">
        <v>0</v>
      </c>
      <c r="BJ110" s="127">
        <v>0</v>
      </c>
    </row>
    <row r="111" spans="2:62" ht="15" customHeight="1">
      <c r="B111" s="17">
        <f t="shared" si="21"/>
        <v>0</v>
      </c>
      <c r="C111" s="17">
        <f t="shared" ca="1" si="18"/>
        <v>2542.6989917229653</v>
      </c>
      <c r="D111" s="334">
        <f t="shared" ca="1" si="22"/>
        <v>0</v>
      </c>
      <c r="E111" s="116">
        <f t="shared" ca="1" si="23"/>
        <v>0</v>
      </c>
      <c r="G111" s="17">
        <f t="shared" si="4"/>
        <v>102</v>
      </c>
      <c r="H111" s="17">
        <f t="shared" si="5"/>
        <v>9</v>
      </c>
      <c r="I111" s="17">
        <f t="shared" si="19"/>
        <v>0</v>
      </c>
      <c r="J111" s="17">
        <f t="shared" si="20"/>
        <v>102</v>
      </c>
      <c r="L111" s="17">
        <f>IF($I111,INDEX(M_Onedeal!$E$8:$E$68,$J111),0)+AL111</f>
        <v>0</v>
      </c>
      <c r="M111" s="17">
        <f>IF($I111,INDEX(M_Onedeal!$H$8:$H$68,$J111),0)+AM111</f>
        <v>0</v>
      </c>
      <c r="N111" s="17">
        <f>IF($I111,INDEX(M_Onedeal!$I$8:$I$68,$J111),0)+AN111</f>
        <v>0</v>
      </c>
      <c r="O111" s="17">
        <f>IF($I111,c_lotfactor*INDEX(M_Onedeal!$K$8:$K$68,$J111),0)+AO111</f>
        <v>0</v>
      </c>
      <c r="P111" s="17">
        <f>IF($I111,INDEX(M_Onedeal!$L$8:$L$68,$J111),0)+AP111</f>
        <v>0</v>
      </c>
      <c r="Q111" s="17">
        <f>IF($I111,INDEX(M_Onedeal!$M$8:$M$68,$J111),0)+AQ111</f>
        <v>0</v>
      </c>
      <c r="R111" s="17">
        <f>IF($I111,INDEX(M_Onedeal!$N$8:$N$68,$J111),0)+AR111</f>
        <v>0</v>
      </c>
      <c r="S111" s="17">
        <f>IF($I111,INDEX(M_Onedeal!$O$8:$O$68,$J111),0)+AS111</f>
        <v>0</v>
      </c>
      <c r="T111" s="17">
        <f>IF($I111,INDEX(M_Onedeal!$P$8:$P$68,$J111),0)+AT111</f>
        <v>0</v>
      </c>
      <c r="U111" s="17">
        <f>IF($I111,INDEX(M_Onedeal!$Q$8:$Q$68,$J111),0)+AU111</f>
        <v>0</v>
      </c>
      <c r="V111" s="17">
        <f>IF($I111,INDEX(M_Onedeal!$R$8:$R$68,$J111),0)+AV111</f>
        <v>0</v>
      </c>
      <c r="W111" s="17">
        <f>IF($I111,INDEX(M_Onedeal!$Y$8:$Y$68,$J111),0)+AW111</f>
        <v>0</v>
      </c>
      <c r="X111" s="17">
        <f>IF($I111,INDEX(M_Onedeal!$AA$8:$AA$68,$J111),0)+AX111</f>
        <v>0</v>
      </c>
      <c r="Y111" s="17">
        <f>IF($I111,INDEX(M_Onedeal!$AD$8:$AD$68,$J111),0)+AY111</f>
        <v>0</v>
      </c>
      <c r="Z111" s="17">
        <f>IF($I111,INDEX(M_Onedeal!$AF$8:$AF$68,$J111),0)+AZ111</f>
        <v>0</v>
      </c>
      <c r="AA111" s="17">
        <f>IF($I111,INDEX(M_Onedeal!$AG$8:$AG$68,$J111),0)+BA111</f>
        <v>0</v>
      </c>
      <c r="AB111" s="17">
        <f>IF($I111,INDEX(M_Onedeal!$AI$8:$AI$68,$J111),0)+BB111</f>
        <v>0</v>
      </c>
      <c r="AC111" s="17">
        <f>IF($I111,INDEX(M_Onedeal!$AQ$8:$AQ$68,$J111),0)+BC111</f>
        <v>0</v>
      </c>
      <c r="AD111" s="17">
        <f>IF($I111,INDEX(M_Onedeal!$AR$8:$AR$68,$J111),0)+BD111</f>
        <v>0</v>
      </c>
      <c r="AE111" s="17">
        <f>IF($I111,INDEX(M_Onedeal!$AK$8:$AK$68,$J111),0)+BE111</f>
        <v>0</v>
      </c>
      <c r="AF111" s="17">
        <f>IF($I111,c_lotfactor*INDEX(M_Onedeal!$AM$8:$AM$68,$J111),0)+BF111</f>
        <v>0</v>
      </c>
      <c r="AG111" s="17">
        <f>IF($I111,c_lotfactor*-INDEX(M_Onedeal!$AB$8:$AB$68,$J111,0))+BG111</f>
        <v>0</v>
      </c>
      <c r="AH111" s="17">
        <f>IF($I111,c_lotfactor*INDEX(M_Onedeal!$AN$8:$AN$68,$J111),0)+BH111</f>
        <v>0</v>
      </c>
      <c r="AI111" s="17">
        <f>IF($I111,c_lotfactor*INDEX(M_Onedeal!$AO$8:$AO$68,$J111),0)+BI111</f>
        <v>0</v>
      </c>
      <c r="AJ111" s="17">
        <f>IF($I111,c_lotfactor*INDEX(M_Onedeal!$AP$8:$AP$68,$J111),0)+BJ111</f>
        <v>0</v>
      </c>
      <c r="AL111" s="128">
        <v>0</v>
      </c>
      <c r="AM111" s="128">
        <v>0</v>
      </c>
      <c r="AN111" s="128">
        <v>0</v>
      </c>
      <c r="AO111" s="128">
        <v>0</v>
      </c>
      <c r="AP111" s="128">
        <v>0</v>
      </c>
      <c r="AQ111" s="128">
        <v>0</v>
      </c>
      <c r="AR111" s="128">
        <v>0</v>
      </c>
      <c r="AS111" s="128">
        <v>0</v>
      </c>
      <c r="AT111" s="128">
        <v>0</v>
      </c>
      <c r="AU111" s="128">
        <v>0</v>
      </c>
      <c r="AV111" s="128">
        <v>0</v>
      </c>
      <c r="AW111" s="128">
        <v>0</v>
      </c>
      <c r="AX111" s="128">
        <v>0</v>
      </c>
      <c r="AY111" s="128">
        <v>0</v>
      </c>
      <c r="AZ111" s="128">
        <v>0</v>
      </c>
      <c r="BA111" s="128">
        <v>0</v>
      </c>
      <c r="BB111" s="128">
        <v>0</v>
      </c>
      <c r="BC111" s="128">
        <v>0</v>
      </c>
      <c r="BD111" s="128">
        <v>0</v>
      </c>
      <c r="BE111" s="128">
        <v>0</v>
      </c>
      <c r="BF111" s="128">
        <v>0</v>
      </c>
      <c r="BG111" s="128">
        <v>0</v>
      </c>
      <c r="BH111" s="128">
        <v>0</v>
      </c>
      <c r="BI111" s="128">
        <v>0</v>
      </c>
      <c r="BJ111" s="128">
        <v>0</v>
      </c>
    </row>
    <row r="112" spans="2:62" ht="15" customHeight="1">
      <c r="B112" s="15">
        <f t="shared" si="21"/>
        <v>0</v>
      </c>
      <c r="C112" s="15">
        <f t="shared" ca="1" si="18"/>
        <v>2542.6989917229653</v>
      </c>
      <c r="D112" s="332">
        <f t="shared" ca="1" si="22"/>
        <v>0</v>
      </c>
      <c r="E112" s="113">
        <f t="shared" ca="1" si="23"/>
        <v>0</v>
      </c>
      <c r="G112" s="15">
        <f t="shared" si="4"/>
        <v>103</v>
      </c>
      <c r="H112" s="15">
        <f t="shared" si="5"/>
        <v>9</v>
      </c>
      <c r="I112" s="15">
        <f t="shared" si="19"/>
        <v>0</v>
      </c>
      <c r="J112" s="15">
        <f t="shared" si="20"/>
        <v>103</v>
      </c>
      <c r="L112" s="15">
        <f>IF($I112,INDEX(M_Onedeal!$E$8:$E$68,$J112),0)+AL112</f>
        <v>0</v>
      </c>
      <c r="M112" s="15">
        <f>IF($I112,INDEX(M_Onedeal!$H$8:$H$68,$J112),0)+AM112</f>
        <v>0</v>
      </c>
      <c r="N112" s="15">
        <f>IF($I112,INDEX(M_Onedeal!$I$8:$I$68,$J112),0)+AN112</f>
        <v>0</v>
      </c>
      <c r="O112" s="15">
        <f>IF($I112,c_lotfactor*INDEX(M_Onedeal!$K$8:$K$68,$J112),0)+AO112</f>
        <v>0</v>
      </c>
      <c r="P112" s="15">
        <f>IF($I112,INDEX(M_Onedeal!$L$8:$L$68,$J112),0)+AP112</f>
        <v>0</v>
      </c>
      <c r="Q112" s="15">
        <f>IF($I112,INDEX(M_Onedeal!$M$8:$M$68,$J112),0)+AQ112</f>
        <v>0</v>
      </c>
      <c r="R112" s="15">
        <f>IF($I112,INDEX(M_Onedeal!$N$8:$N$68,$J112),0)+AR112</f>
        <v>0</v>
      </c>
      <c r="S112" s="15">
        <f>IF($I112,INDEX(M_Onedeal!$O$8:$O$68,$J112),0)+AS112</f>
        <v>0</v>
      </c>
      <c r="T112" s="15">
        <f>IF($I112,INDEX(M_Onedeal!$P$8:$P$68,$J112),0)+AT112</f>
        <v>0</v>
      </c>
      <c r="U112" s="15">
        <f>IF($I112,INDEX(M_Onedeal!$Q$8:$Q$68,$J112),0)+AU112</f>
        <v>0</v>
      </c>
      <c r="V112" s="15">
        <f>IF($I112,INDEX(M_Onedeal!$R$8:$R$68,$J112),0)+AV112</f>
        <v>0</v>
      </c>
      <c r="W112" s="15">
        <f>IF($I112,INDEX(M_Onedeal!$Y$8:$Y$68,$J112),0)+AW112</f>
        <v>0</v>
      </c>
      <c r="X112" s="15">
        <f>IF($I112,INDEX(M_Onedeal!$AA$8:$AA$68,$J112),0)+AX112</f>
        <v>0</v>
      </c>
      <c r="Y112" s="15">
        <f>IF($I112,INDEX(M_Onedeal!$AD$8:$AD$68,$J112),0)+AY112</f>
        <v>0</v>
      </c>
      <c r="Z112" s="15">
        <f>IF($I112,INDEX(M_Onedeal!$AF$8:$AF$68,$J112),0)+AZ112</f>
        <v>0</v>
      </c>
      <c r="AA112" s="15">
        <f>IF($I112,INDEX(M_Onedeal!$AG$8:$AG$68,$J112),0)+BA112</f>
        <v>0</v>
      </c>
      <c r="AB112" s="15">
        <f>IF($I112,INDEX(M_Onedeal!$AI$8:$AI$68,$J112),0)+BB112</f>
        <v>0</v>
      </c>
      <c r="AC112" s="15">
        <f>IF($I112,INDEX(M_Onedeal!$AQ$8:$AQ$68,$J112),0)+BC112</f>
        <v>0</v>
      </c>
      <c r="AD112" s="15">
        <f>IF($I112,INDEX(M_Onedeal!$AR$8:$AR$68,$J112),0)+BD112</f>
        <v>0</v>
      </c>
      <c r="AE112" s="15">
        <f>IF($I112,INDEX(M_Onedeal!$AK$8:$AK$68,$J112),0)+BE112</f>
        <v>0</v>
      </c>
      <c r="AF112" s="15">
        <f>IF($I112,c_lotfactor*INDEX(M_Onedeal!$AM$8:$AM$68,$J112),0)+BF112</f>
        <v>0</v>
      </c>
      <c r="AG112" s="15">
        <f>IF($I112,c_lotfactor*-INDEX(M_Onedeal!$AB$8:$AB$68,$J112,0))+BG112</f>
        <v>0</v>
      </c>
      <c r="AH112" s="15">
        <f>IF($I112,c_lotfactor*INDEX(M_Onedeal!$AN$8:$AN$68,$J112),0)+BH112</f>
        <v>0</v>
      </c>
      <c r="AI112" s="15">
        <f>IF($I112,c_lotfactor*INDEX(M_Onedeal!$AO$8:$AO$68,$J112),0)+BI112</f>
        <v>0</v>
      </c>
      <c r="AJ112" s="15">
        <f>IF($I112,c_lotfactor*INDEX(M_Onedeal!$AP$8:$AP$68,$J112),0)+BJ112</f>
        <v>0</v>
      </c>
      <c r="AL112" s="126">
        <v>0</v>
      </c>
      <c r="AM112" s="126">
        <v>0</v>
      </c>
      <c r="AN112" s="126">
        <v>0</v>
      </c>
      <c r="AO112" s="126">
        <v>0</v>
      </c>
      <c r="AP112" s="126">
        <v>0</v>
      </c>
      <c r="AQ112" s="126">
        <v>0</v>
      </c>
      <c r="AR112" s="126">
        <v>0</v>
      </c>
      <c r="AS112" s="126">
        <v>0</v>
      </c>
      <c r="AT112" s="126">
        <v>0</v>
      </c>
      <c r="AU112" s="126">
        <v>0</v>
      </c>
      <c r="AV112" s="126">
        <v>0</v>
      </c>
      <c r="AW112" s="126">
        <v>0</v>
      </c>
      <c r="AX112" s="126">
        <v>0</v>
      </c>
      <c r="AY112" s="126">
        <v>0</v>
      </c>
      <c r="AZ112" s="126">
        <v>0</v>
      </c>
      <c r="BA112" s="126">
        <v>0</v>
      </c>
      <c r="BB112" s="126">
        <v>0</v>
      </c>
      <c r="BC112" s="126">
        <v>0</v>
      </c>
      <c r="BD112" s="126">
        <v>0</v>
      </c>
      <c r="BE112" s="126">
        <v>0</v>
      </c>
      <c r="BF112" s="126">
        <v>0</v>
      </c>
      <c r="BG112" s="126">
        <v>0</v>
      </c>
      <c r="BH112" s="126">
        <v>0</v>
      </c>
      <c r="BI112" s="126">
        <v>0</v>
      </c>
      <c r="BJ112" s="126">
        <v>0</v>
      </c>
    </row>
    <row r="113" spans="2:62" ht="15" customHeight="1">
      <c r="B113" s="16">
        <f t="shared" si="21"/>
        <v>0</v>
      </c>
      <c r="C113" s="16">
        <f t="shared" ca="1" si="18"/>
        <v>2542.6989917229653</v>
      </c>
      <c r="D113" s="333">
        <f t="shared" ca="1" si="22"/>
        <v>0</v>
      </c>
      <c r="E113" s="115">
        <f t="shared" ca="1" si="23"/>
        <v>0</v>
      </c>
      <c r="G113" s="16">
        <f t="shared" si="4"/>
        <v>104</v>
      </c>
      <c r="H113" s="16">
        <f t="shared" si="5"/>
        <v>9</v>
      </c>
      <c r="I113" s="16">
        <f t="shared" si="19"/>
        <v>0</v>
      </c>
      <c r="J113" s="16">
        <f t="shared" si="20"/>
        <v>104</v>
      </c>
      <c r="L113" s="16">
        <f>IF($I113,INDEX(M_Onedeal!$E$8:$E$68,$J113),0)+AL113</f>
        <v>0</v>
      </c>
      <c r="M113" s="16">
        <f>IF($I113,INDEX(M_Onedeal!$H$8:$H$68,$J113),0)+AM113</f>
        <v>0</v>
      </c>
      <c r="N113" s="16">
        <f>IF($I113,INDEX(M_Onedeal!$I$8:$I$68,$J113),0)+AN113</f>
        <v>0</v>
      </c>
      <c r="O113" s="16">
        <f>IF($I113,c_lotfactor*INDEX(M_Onedeal!$K$8:$K$68,$J113),0)+AO113</f>
        <v>0</v>
      </c>
      <c r="P113" s="16">
        <f>IF($I113,INDEX(M_Onedeal!$L$8:$L$68,$J113),0)+AP113</f>
        <v>0</v>
      </c>
      <c r="Q113" s="16">
        <f>IF($I113,INDEX(M_Onedeal!$M$8:$M$68,$J113),0)+AQ113</f>
        <v>0</v>
      </c>
      <c r="R113" s="16">
        <f>IF($I113,INDEX(M_Onedeal!$N$8:$N$68,$J113),0)+AR113</f>
        <v>0</v>
      </c>
      <c r="S113" s="16">
        <f>IF($I113,INDEX(M_Onedeal!$O$8:$O$68,$J113),0)+AS113</f>
        <v>0</v>
      </c>
      <c r="T113" s="16">
        <f>IF($I113,INDEX(M_Onedeal!$P$8:$P$68,$J113),0)+AT113</f>
        <v>0</v>
      </c>
      <c r="U113" s="16">
        <f>IF($I113,INDEX(M_Onedeal!$Q$8:$Q$68,$J113),0)+AU113</f>
        <v>0</v>
      </c>
      <c r="V113" s="16">
        <f>IF($I113,INDEX(M_Onedeal!$R$8:$R$68,$J113),0)+AV113</f>
        <v>0</v>
      </c>
      <c r="W113" s="16">
        <f>IF($I113,INDEX(M_Onedeal!$Y$8:$Y$68,$J113),0)+AW113</f>
        <v>0</v>
      </c>
      <c r="X113" s="16">
        <f>IF($I113,INDEX(M_Onedeal!$AA$8:$AA$68,$J113),0)+AX113</f>
        <v>0</v>
      </c>
      <c r="Y113" s="16">
        <f>IF($I113,INDEX(M_Onedeal!$AD$8:$AD$68,$J113),0)+AY113</f>
        <v>0</v>
      </c>
      <c r="Z113" s="16">
        <f>IF($I113,INDEX(M_Onedeal!$AF$8:$AF$68,$J113),0)+AZ113</f>
        <v>0</v>
      </c>
      <c r="AA113" s="16">
        <f>IF($I113,INDEX(M_Onedeal!$AG$8:$AG$68,$J113),0)+BA113</f>
        <v>0</v>
      </c>
      <c r="AB113" s="16">
        <f>IF($I113,INDEX(M_Onedeal!$AI$8:$AI$68,$J113),0)+BB113</f>
        <v>0</v>
      </c>
      <c r="AC113" s="16">
        <f>IF($I113,INDEX(M_Onedeal!$AQ$8:$AQ$68,$J113),0)+BC113</f>
        <v>0</v>
      </c>
      <c r="AD113" s="16">
        <f>IF($I113,INDEX(M_Onedeal!$AR$8:$AR$68,$J113),0)+BD113</f>
        <v>0</v>
      </c>
      <c r="AE113" s="16">
        <f>IF($I113,INDEX(M_Onedeal!$AK$8:$AK$68,$J113),0)+BE113</f>
        <v>0</v>
      </c>
      <c r="AF113" s="16">
        <f>IF($I113,c_lotfactor*INDEX(M_Onedeal!$AM$8:$AM$68,$J113),0)+BF113</f>
        <v>0</v>
      </c>
      <c r="AG113" s="16">
        <f>IF($I113,c_lotfactor*-INDEX(M_Onedeal!$AB$8:$AB$68,$J113,0))+BG113</f>
        <v>0</v>
      </c>
      <c r="AH113" s="16">
        <f>IF($I113,c_lotfactor*INDEX(M_Onedeal!$AN$8:$AN$68,$J113),0)+BH113</f>
        <v>0</v>
      </c>
      <c r="AI113" s="16">
        <f>IF($I113,c_lotfactor*INDEX(M_Onedeal!$AO$8:$AO$68,$J113),0)+BI113</f>
        <v>0</v>
      </c>
      <c r="AJ113" s="16">
        <f>IF($I113,c_lotfactor*INDEX(M_Onedeal!$AP$8:$AP$68,$J113),0)+BJ113</f>
        <v>0</v>
      </c>
      <c r="AL113" s="127">
        <v>0</v>
      </c>
      <c r="AM113" s="127">
        <v>0</v>
      </c>
      <c r="AN113" s="127">
        <v>0</v>
      </c>
      <c r="AO113" s="127">
        <v>0</v>
      </c>
      <c r="AP113" s="127">
        <v>0</v>
      </c>
      <c r="AQ113" s="127">
        <v>0</v>
      </c>
      <c r="AR113" s="127">
        <v>0</v>
      </c>
      <c r="AS113" s="127">
        <v>0</v>
      </c>
      <c r="AT113" s="127">
        <v>0</v>
      </c>
      <c r="AU113" s="127">
        <v>0</v>
      </c>
      <c r="AV113" s="127">
        <v>0</v>
      </c>
      <c r="AW113" s="127">
        <v>0</v>
      </c>
      <c r="AX113" s="127">
        <v>0</v>
      </c>
      <c r="AY113" s="127">
        <v>0</v>
      </c>
      <c r="AZ113" s="127">
        <v>0</v>
      </c>
      <c r="BA113" s="127">
        <v>0</v>
      </c>
      <c r="BB113" s="127">
        <v>0</v>
      </c>
      <c r="BC113" s="127">
        <v>0</v>
      </c>
      <c r="BD113" s="127">
        <v>0</v>
      </c>
      <c r="BE113" s="127">
        <v>0</v>
      </c>
      <c r="BF113" s="127">
        <v>0</v>
      </c>
      <c r="BG113" s="127">
        <v>0</v>
      </c>
      <c r="BH113" s="127">
        <v>0</v>
      </c>
      <c r="BI113" s="127">
        <v>0</v>
      </c>
      <c r="BJ113" s="127">
        <v>0</v>
      </c>
    </row>
    <row r="114" spans="2:62" ht="15" customHeight="1">
      <c r="B114" s="17">
        <f t="shared" si="21"/>
        <v>0</v>
      </c>
      <c r="C114" s="17">
        <f t="shared" ca="1" si="18"/>
        <v>2542.6989917229653</v>
      </c>
      <c r="D114" s="334">
        <f t="shared" ca="1" si="22"/>
        <v>0</v>
      </c>
      <c r="E114" s="116">
        <f t="shared" ca="1" si="23"/>
        <v>0</v>
      </c>
      <c r="G114" s="17">
        <f t="shared" si="4"/>
        <v>105</v>
      </c>
      <c r="H114" s="17">
        <f t="shared" si="5"/>
        <v>9</v>
      </c>
      <c r="I114" s="17">
        <f t="shared" si="19"/>
        <v>0</v>
      </c>
      <c r="J114" s="17">
        <f t="shared" si="20"/>
        <v>105</v>
      </c>
      <c r="L114" s="17">
        <f>IF($I114,INDEX(M_Onedeal!$E$8:$E$68,$J114),0)+AL114</f>
        <v>0</v>
      </c>
      <c r="M114" s="17">
        <f>IF($I114,INDEX(M_Onedeal!$H$8:$H$68,$J114),0)+AM114</f>
        <v>0</v>
      </c>
      <c r="N114" s="17">
        <f>IF($I114,INDEX(M_Onedeal!$I$8:$I$68,$J114),0)+AN114</f>
        <v>0</v>
      </c>
      <c r="O114" s="17">
        <f>IF($I114,c_lotfactor*INDEX(M_Onedeal!$K$8:$K$68,$J114),0)+AO114</f>
        <v>0</v>
      </c>
      <c r="P114" s="17">
        <f>IF($I114,INDEX(M_Onedeal!$L$8:$L$68,$J114),0)+AP114</f>
        <v>0</v>
      </c>
      <c r="Q114" s="17">
        <f>IF($I114,INDEX(M_Onedeal!$M$8:$M$68,$J114),0)+AQ114</f>
        <v>0</v>
      </c>
      <c r="R114" s="17">
        <f>IF($I114,INDEX(M_Onedeal!$N$8:$N$68,$J114),0)+AR114</f>
        <v>0</v>
      </c>
      <c r="S114" s="17">
        <f>IF($I114,INDEX(M_Onedeal!$O$8:$O$68,$J114),0)+AS114</f>
        <v>0</v>
      </c>
      <c r="T114" s="17">
        <f>IF($I114,INDEX(M_Onedeal!$P$8:$P$68,$J114),0)+AT114</f>
        <v>0</v>
      </c>
      <c r="U114" s="17">
        <f>IF($I114,INDEX(M_Onedeal!$Q$8:$Q$68,$J114),0)+AU114</f>
        <v>0</v>
      </c>
      <c r="V114" s="17">
        <f>IF($I114,INDEX(M_Onedeal!$R$8:$R$68,$J114),0)+AV114</f>
        <v>0</v>
      </c>
      <c r="W114" s="17">
        <f>IF($I114,INDEX(M_Onedeal!$Y$8:$Y$68,$J114),0)+AW114</f>
        <v>0</v>
      </c>
      <c r="X114" s="17">
        <f>IF($I114,INDEX(M_Onedeal!$AA$8:$AA$68,$J114),0)+AX114</f>
        <v>0</v>
      </c>
      <c r="Y114" s="17">
        <f>IF($I114,INDEX(M_Onedeal!$AD$8:$AD$68,$J114),0)+AY114</f>
        <v>0</v>
      </c>
      <c r="Z114" s="17">
        <f>IF($I114,INDEX(M_Onedeal!$AF$8:$AF$68,$J114),0)+AZ114</f>
        <v>0</v>
      </c>
      <c r="AA114" s="17">
        <f>IF($I114,INDEX(M_Onedeal!$AG$8:$AG$68,$J114),0)+BA114</f>
        <v>0</v>
      </c>
      <c r="AB114" s="17">
        <f>IF($I114,INDEX(M_Onedeal!$AI$8:$AI$68,$J114),0)+BB114</f>
        <v>0</v>
      </c>
      <c r="AC114" s="17">
        <f>IF($I114,INDEX(M_Onedeal!$AQ$8:$AQ$68,$J114),0)+BC114</f>
        <v>0</v>
      </c>
      <c r="AD114" s="17">
        <f>IF($I114,INDEX(M_Onedeal!$AR$8:$AR$68,$J114),0)+BD114</f>
        <v>0</v>
      </c>
      <c r="AE114" s="17">
        <f>IF($I114,INDEX(M_Onedeal!$AK$8:$AK$68,$J114),0)+BE114</f>
        <v>0</v>
      </c>
      <c r="AF114" s="17">
        <f>IF($I114,c_lotfactor*INDEX(M_Onedeal!$AM$8:$AM$68,$J114),0)+BF114</f>
        <v>0</v>
      </c>
      <c r="AG114" s="17">
        <f>IF($I114,c_lotfactor*-INDEX(M_Onedeal!$AB$8:$AB$68,$J114,0))+BG114</f>
        <v>0</v>
      </c>
      <c r="AH114" s="17">
        <f>IF($I114,c_lotfactor*INDEX(M_Onedeal!$AN$8:$AN$68,$J114),0)+BH114</f>
        <v>0</v>
      </c>
      <c r="AI114" s="17">
        <f>IF($I114,c_lotfactor*INDEX(M_Onedeal!$AO$8:$AO$68,$J114),0)+BI114</f>
        <v>0</v>
      </c>
      <c r="AJ114" s="17">
        <f>IF($I114,c_lotfactor*INDEX(M_Onedeal!$AP$8:$AP$68,$J114),0)+BJ114</f>
        <v>0</v>
      </c>
      <c r="AL114" s="128">
        <v>0</v>
      </c>
      <c r="AM114" s="128">
        <v>0</v>
      </c>
      <c r="AN114" s="128">
        <v>0</v>
      </c>
      <c r="AO114" s="128">
        <v>0</v>
      </c>
      <c r="AP114" s="128">
        <v>0</v>
      </c>
      <c r="AQ114" s="128">
        <v>0</v>
      </c>
      <c r="AR114" s="128">
        <v>0</v>
      </c>
      <c r="AS114" s="128">
        <v>0</v>
      </c>
      <c r="AT114" s="128">
        <v>0</v>
      </c>
      <c r="AU114" s="128">
        <v>0</v>
      </c>
      <c r="AV114" s="128">
        <v>0</v>
      </c>
      <c r="AW114" s="128">
        <v>0</v>
      </c>
      <c r="AX114" s="128">
        <v>0</v>
      </c>
      <c r="AY114" s="128">
        <v>0</v>
      </c>
      <c r="AZ114" s="128">
        <v>0</v>
      </c>
      <c r="BA114" s="128">
        <v>0</v>
      </c>
      <c r="BB114" s="128">
        <v>0</v>
      </c>
      <c r="BC114" s="128">
        <v>0</v>
      </c>
      <c r="BD114" s="128">
        <v>0</v>
      </c>
      <c r="BE114" s="128">
        <v>0</v>
      </c>
      <c r="BF114" s="128">
        <v>0</v>
      </c>
      <c r="BG114" s="128">
        <v>0</v>
      </c>
      <c r="BH114" s="128">
        <v>0</v>
      </c>
      <c r="BI114" s="128">
        <v>0</v>
      </c>
      <c r="BJ114" s="128">
        <v>0</v>
      </c>
    </row>
    <row r="115" spans="2:62" ht="15" customHeight="1">
      <c r="B115" s="15">
        <f t="shared" si="21"/>
        <v>0</v>
      </c>
      <c r="C115" s="15">
        <f t="shared" ca="1" si="18"/>
        <v>2542.6989917229653</v>
      </c>
      <c r="D115" s="332">
        <f t="shared" ca="1" si="22"/>
        <v>0</v>
      </c>
      <c r="E115" s="113">
        <f t="shared" ca="1" si="23"/>
        <v>0</v>
      </c>
      <c r="G115" s="15">
        <f t="shared" si="4"/>
        <v>106</v>
      </c>
      <c r="H115" s="15">
        <f t="shared" si="5"/>
        <v>9</v>
      </c>
      <c r="I115" s="15">
        <f t="shared" si="19"/>
        <v>0</v>
      </c>
      <c r="J115" s="15">
        <f t="shared" si="20"/>
        <v>106</v>
      </c>
      <c r="L115" s="15">
        <f>IF($I115,INDEX(M_Onedeal!$E$8:$E$68,$J115),0)+AL115</f>
        <v>0</v>
      </c>
      <c r="M115" s="15">
        <f>IF($I115,INDEX(M_Onedeal!$H$8:$H$68,$J115),0)+AM115</f>
        <v>0</v>
      </c>
      <c r="N115" s="15">
        <f>IF($I115,INDEX(M_Onedeal!$I$8:$I$68,$J115),0)+AN115</f>
        <v>0</v>
      </c>
      <c r="O115" s="15">
        <f>IF($I115,c_lotfactor*INDEX(M_Onedeal!$K$8:$K$68,$J115),0)+AO115</f>
        <v>0</v>
      </c>
      <c r="P115" s="15">
        <f>IF($I115,INDEX(M_Onedeal!$L$8:$L$68,$J115),0)+AP115</f>
        <v>0</v>
      </c>
      <c r="Q115" s="15">
        <f>IF($I115,INDEX(M_Onedeal!$M$8:$M$68,$J115),0)+AQ115</f>
        <v>0</v>
      </c>
      <c r="R115" s="15">
        <f>IF($I115,INDEX(M_Onedeal!$N$8:$N$68,$J115),0)+AR115</f>
        <v>0</v>
      </c>
      <c r="S115" s="15">
        <f>IF($I115,INDEX(M_Onedeal!$O$8:$O$68,$J115),0)+AS115</f>
        <v>0</v>
      </c>
      <c r="T115" s="15">
        <f>IF($I115,INDEX(M_Onedeal!$P$8:$P$68,$J115),0)+AT115</f>
        <v>0</v>
      </c>
      <c r="U115" s="15">
        <f>IF($I115,INDEX(M_Onedeal!$Q$8:$Q$68,$J115),0)+AU115</f>
        <v>0</v>
      </c>
      <c r="V115" s="15">
        <f>IF($I115,INDEX(M_Onedeal!$R$8:$R$68,$J115),0)+AV115</f>
        <v>0</v>
      </c>
      <c r="W115" s="15">
        <f>IF($I115,INDEX(M_Onedeal!$Y$8:$Y$68,$J115),0)+AW115</f>
        <v>0</v>
      </c>
      <c r="X115" s="15">
        <f>IF($I115,INDEX(M_Onedeal!$AA$8:$AA$68,$J115),0)+AX115</f>
        <v>0</v>
      </c>
      <c r="Y115" s="15">
        <f>IF($I115,INDEX(M_Onedeal!$AD$8:$AD$68,$J115),0)+AY115</f>
        <v>0</v>
      </c>
      <c r="Z115" s="15">
        <f>IF($I115,INDEX(M_Onedeal!$AF$8:$AF$68,$J115),0)+AZ115</f>
        <v>0</v>
      </c>
      <c r="AA115" s="15">
        <f>IF($I115,INDEX(M_Onedeal!$AG$8:$AG$68,$J115),0)+BA115</f>
        <v>0</v>
      </c>
      <c r="AB115" s="15">
        <f>IF($I115,INDEX(M_Onedeal!$AI$8:$AI$68,$J115),0)+BB115</f>
        <v>0</v>
      </c>
      <c r="AC115" s="15">
        <f>IF($I115,INDEX(M_Onedeal!$AQ$8:$AQ$68,$J115),0)+BC115</f>
        <v>0</v>
      </c>
      <c r="AD115" s="15">
        <f>IF($I115,INDEX(M_Onedeal!$AR$8:$AR$68,$J115),0)+BD115</f>
        <v>0</v>
      </c>
      <c r="AE115" s="15">
        <f>IF($I115,INDEX(M_Onedeal!$AK$8:$AK$68,$J115),0)+BE115</f>
        <v>0</v>
      </c>
      <c r="AF115" s="15">
        <f>IF($I115,c_lotfactor*INDEX(M_Onedeal!$AM$8:$AM$68,$J115),0)+BF115</f>
        <v>0</v>
      </c>
      <c r="AG115" s="15">
        <f>IF($I115,c_lotfactor*-INDEX(M_Onedeal!$AB$8:$AB$68,$J115,0))+BG115</f>
        <v>0</v>
      </c>
      <c r="AH115" s="15">
        <f>IF($I115,c_lotfactor*INDEX(M_Onedeal!$AN$8:$AN$68,$J115),0)+BH115</f>
        <v>0</v>
      </c>
      <c r="AI115" s="15">
        <f>IF($I115,c_lotfactor*INDEX(M_Onedeal!$AO$8:$AO$68,$J115),0)+BI115</f>
        <v>0</v>
      </c>
      <c r="AJ115" s="15">
        <f>IF($I115,c_lotfactor*INDEX(M_Onedeal!$AP$8:$AP$68,$J115),0)+BJ115</f>
        <v>0</v>
      </c>
      <c r="AL115" s="126">
        <v>0</v>
      </c>
      <c r="AM115" s="126">
        <v>0</v>
      </c>
      <c r="AN115" s="126">
        <v>0</v>
      </c>
      <c r="AO115" s="126">
        <v>0</v>
      </c>
      <c r="AP115" s="126">
        <v>0</v>
      </c>
      <c r="AQ115" s="126">
        <v>0</v>
      </c>
      <c r="AR115" s="126">
        <v>0</v>
      </c>
      <c r="AS115" s="126">
        <v>0</v>
      </c>
      <c r="AT115" s="126">
        <v>0</v>
      </c>
      <c r="AU115" s="126">
        <v>0</v>
      </c>
      <c r="AV115" s="126">
        <v>0</v>
      </c>
      <c r="AW115" s="126">
        <v>0</v>
      </c>
      <c r="AX115" s="126">
        <v>0</v>
      </c>
      <c r="AY115" s="126">
        <v>0</v>
      </c>
      <c r="AZ115" s="126">
        <v>0</v>
      </c>
      <c r="BA115" s="126">
        <v>0</v>
      </c>
      <c r="BB115" s="126">
        <v>0</v>
      </c>
      <c r="BC115" s="126">
        <v>0</v>
      </c>
      <c r="BD115" s="126">
        <v>0</v>
      </c>
      <c r="BE115" s="126">
        <v>0</v>
      </c>
      <c r="BF115" s="126">
        <v>0</v>
      </c>
      <c r="BG115" s="126">
        <v>0</v>
      </c>
      <c r="BH115" s="126">
        <v>0</v>
      </c>
      <c r="BI115" s="126">
        <v>0</v>
      </c>
      <c r="BJ115" s="126">
        <v>0</v>
      </c>
    </row>
    <row r="116" spans="2:62" ht="15" customHeight="1">
      <c r="B116" s="16">
        <f t="shared" si="21"/>
        <v>0</v>
      </c>
      <c r="C116" s="16">
        <f t="shared" ca="1" si="18"/>
        <v>2542.6989917229653</v>
      </c>
      <c r="D116" s="333">
        <f t="shared" ca="1" si="22"/>
        <v>0</v>
      </c>
      <c r="E116" s="115">
        <f t="shared" ca="1" si="23"/>
        <v>0</v>
      </c>
      <c r="G116" s="16">
        <f t="shared" si="4"/>
        <v>107</v>
      </c>
      <c r="H116" s="16">
        <f t="shared" si="5"/>
        <v>9</v>
      </c>
      <c r="I116" s="16">
        <f t="shared" si="19"/>
        <v>0</v>
      </c>
      <c r="J116" s="16">
        <f t="shared" si="20"/>
        <v>107</v>
      </c>
      <c r="L116" s="16">
        <f>IF($I116,INDEX(M_Onedeal!$E$8:$E$68,$J116),0)+AL116</f>
        <v>0</v>
      </c>
      <c r="M116" s="16">
        <f>IF($I116,INDEX(M_Onedeal!$H$8:$H$68,$J116),0)+AM116</f>
        <v>0</v>
      </c>
      <c r="N116" s="16">
        <f>IF($I116,INDEX(M_Onedeal!$I$8:$I$68,$J116),0)+AN116</f>
        <v>0</v>
      </c>
      <c r="O116" s="16">
        <f>IF($I116,c_lotfactor*INDEX(M_Onedeal!$K$8:$K$68,$J116),0)+AO116</f>
        <v>0</v>
      </c>
      <c r="P116" s="16">
        <f>IF($I116,INDEX(M_Onedeal!$L$8:$L$68,$J116),0)+AP116</f>
        <v>0</v>
      </c>
      <c r="Q116" s="16">
        <f>IF($I116,INDEX(M_Onedeal!$M$8:$M$68,$J116),0)+AQ116</f>
        <v>0</v>
      </c>
      <c r="R116" s="16">
        <f>IF($I116,INDEX(M_Onedeal!$N$8:$N$68,$J116),0)+AR116</f>
        <v>0</v>
      </c>
      <c r="S116" s="16">
        <f>IF($I116,INDEX(M_Onedeal!$O$8:$O$68,$J116),0)+AS116</f>
        <v>0</v>
      </c>
      <c r="T116" s="16">
        <f>IF($I116,INDEX(M_Onedeal!$P$8:$P$68,$J116),0)+AT116</f>
        <v>0</v>
      </c>
      <c r="U116" s="16">
        <f>IF($I116,INDEX(M_Onedeal!$Q$8:$Q$68,$J116),0)+AU116</f>
        <v>0</v>
      </c>
      <c r="V116" s="16">
        <f>IF($I116,INDEX(M_Onedeal!$R$8:$R$68,$J116),0)+AV116</f>
        <v>0</v>
      </c>
      <c r="W116" s="16">
        <f>IF($I116,INDEX(M_Onedeal!$Y$8:$Y$68,$J116),0)+AW116</f>
        <v>0</v>
      </c>
      <c r="X116" s="16">
        <f>IF($I116,INDEX(M_Onedeal!$AA$8:$AA$68,$J116),0)+AX116</f>
        <v>0</v>
      </c>
      <c r="Y116" s="16">
        <f>IF($I116,INDEX(M_Onedeal!$AD$8:$AD$68,$J116),0)+AY116</f>
        <v>0</v>
      </c>
      <c r="Z116" s="16">
        <f>IF($I116,INDEX(M_Onedeal!$AF$8:$AF$68,$J116),0)+AZ116</f>
        <v>0</v>
      </c>
      <c r="AA116" s="16">
        <f>IF($I116,INDEX(M_Onedeal!$AG$8:$AG$68,$J116),0)+BA116</f>
        <v>0</v>
      </c>
      <c r="AB116" s="16">
        <f>IF($I116,INDEX(M_Onedeal!$AI$8:$AI$68,$J116),0)+BB116</f>
        <v>0</v>
      </c>
      <c r="AC116" s="16">
        <f>IF($I116,INDEX(M_Onedeal!$AQ$8:$AQ$68,$J116),0)+BC116</f>
        <v>0</v>
      </c>
      <c r="AD116" s="16">
        <f>IF($I116,INDEX(M_Onedeal!$AR$8:$AR$68,$J116),0)+BD116</f>
        <v>0</v>
      </c>
      <c r="AE116" s="16">
        <f>IF($I116,INDEX(M_Onedeal!$AK$8:$AK$68,$J116),0)+BE116</f>
        <v>0</v>
      </c>
      <c r="AF116" s="16">
        <f>IF($I116,c_lotfactor*INDEX(M_Onedeal!$AM$8:$AM$68,$J116),0)+BF116</f>
        <v>0</v>
      </c>
      <c r="AG116" s="16">
        <f>IF($I116,c_lotfactor*-INDEX(M_Onedeal!$AB$8:$AB$68,$J116,0))+BG116</f>
        <v>0</v>
      </c>
      <c r="AH116" s="16">
        <f>IF($I116,c_lotfactor*INDEX(M_Onedeal!$AN$8:$AN$68,$J116),0)+BH116</f>
        <v>0</v>
      </c>
      <c r="AI116" s="16">
        <f>IF($I116,c_lotfactor*INDEX(M_Onedeal!$AO$8:$AO$68,$J116),0)+BI116</f>
        <v>0</v>
      </c>
      <c r="AJ116" s="16">
        <f>IF($I116,c_lotfactor*INDEX(M_Onedeal!$AP$8:$AP$68,$J116),0)+BJ116</f>
        <v>0</v>
      </c>
      <c r="AL116" s="127">
        <v>0</v>
      </c>
      <c r="AM116" s="127">
        <v>0</v>
      </c>
      <c r="AN116" s="127">
        <v>0</v>
      </c>
      <c r="AO116" s="127">
        <v>0</v>
      </c>
      <c r="AP116" s="127">
        <v>0</v>
      </c>
      <c r="AQ116" s="127">
        <v>0</v>
      </c>
      <c r="AR116" s="127">
        <v>0</v>
      </c>
      <c r="AS116" s="127">
        <v>0</v>
      </c>
      <c r="AT116" s="127">
        <v>0</v>
      </c>
      <c r="AU116" s="127">
        <v>0</v>
      </c>
      <c r="AV116" s="127">
        <v>0</v>
      </c>
      <c r="AW116" s="127">
        <v>0</v>
      </c>
      <c r="AX116" s="127">
        <v>0</v>
      </c>
      <c r="AY116" s="127">
        <v>0</v>
      </c>
      <c r="AZ116" s="127">
        <v>0</v>
      </c>
      <c r="BA116" s="127">
        <v>0</v>
      </c>
      <c r="BB116" s="127">
        <v>0</v>
      </c>
      <c r="BC116" s="127">
        <v>0</v>
      </c>
      <c r="BD116" s="127">
        <v>0</v>
      </c>
      <c r="BE116" s="127">
        <v>0</v>
      </c>
      <c r="BF116" s="127">
        <v>0</v>
      </c>
      <c r="BG116" s="127">
        <v>0</v>
      </c>
      <c r="BH116" s="127">
        <v>0</v>
      </c>
      <c r="BI116" s="127">
        <v>0</v>
      </c>
      <c r="BJ116" s="127">
        <v>0</v>
      </c>
    </row>
    <row r="117" spans="2:62" ht="15" customHeight="1" thickBot="1">
      <c r="B117" s="18">
        <f t="shared" si="21"/>
        <v>0</v>
      </c>
      <c r="C117" s="18">
        <f t="shared" ca="1" si="18"/>
        <v>2542.6989917229653</v>
      </c>
      <c r="D117" s="335">
        <f t="shared" ca="1" si="22"/>
        <v>0</v>
      </c>
      <c r="E117" s="117">
        <f t="shared" ca="1" si="23"/>
        <v>0</v>
      </c>
      <c r="G117" s="18">
        <f t="shared" si="4"/>
        <v>108</v>
      </c>
      <c r="H117" s="18">
        <f t="shared" si="5"/>
        <v>9</v>
      </c>
      <c r="I117" s="18">
        <f t="shared" si="19"/>
        <v>0</v>
      </c>
      <c r="J117" s="18">
        <f t="shared" si="20"/>
        <v>108</v>
      </c>
      <c r="L117" s="18">
        <f>IF($I117,INDEX(M_Onedeal!$E$8:$E$68,$J117),0)+AL117</f>
        <v>0</v>
      </c>
      <c r="M117" s="18">
        <f>IF($I117,INDEX(M_Onedeal!$H$8:$H$68,$J117),0)+AM117</f>
        <v>0</v>
      </c>
      <c r="N117" s="18">
        <f>IF($I117,INDEX(M_Onedeal!$I$8:$I$68,$J117),0)+AN117</f>
        <v>0</v>
      </c>
      <c r="O117" s="18">
        <f>IF($I117,c_lotfactor*INDEX(M_Onedeal!$K$8:$K$68,$J117),0)+AO117</f>
        <v>0</v>
      </c>
      <c r="P117" s="18">
        <f>IF($I117,INDEX(M_Onedeal!$L$8:$L$68,$J117),0)+AP117</f>
        <v>0</v>
      </c>
      <c r="Q117" s="18">
        <f>IF($I117,INDEX(M_Onedeal!$M$8:$M$68,$J117),0)+AQ117</f>
        <v>0</v>
      </c>
      <c r="R117" s="18">
        <f>IF($I117,INDEX(M_Onedeal!$N$8:$N$68,$J117),0)+AR117</f>
        <v>0</v>
      </c>
      <c r="S117" s="18">
        <f>IF($I117,INDEX(M_Onedeal!$O$8:$O$68,$J117),0)+AS117</f>
        <v>0</v>
      </c>
      <c r="T117" s="18">
        <f>IF($I117,INDEX(M_Onedeal!$P$8:$P$68,$J117),0)+AT117</f>
        <v>0</v>
      </c>
      <c r="U117" s="18">
        <f>IF($I117,INDEX(M_Onedeal!$Q$8:$Q$68,$J117),0)+AU117</f>
        <v>0</v>
      </c>
      <c r="V117" s="18">
        <f>IF($I117,INDEX(M_Onedeal!$R$8:$R$68,$J117),0)+AV117</f>
        <v>0</v>
      </c>
      <c r="W117" s="18">
        <f>IF($I117,INDEX(M_Onedeal!$Y$8:$Y$68,$J117),0)+AW117</f>
        <v>0</v>
      </c>
      <c r="X117" s="18">
        <f>IF($I117,INDEX(M_Onedeal!$AA$8:$AA$68,$J117),0)+AX117</f>
        <v>0</v>
      </c>
      <c r="Y117" s="18">
        <f>IF($I117,INDEX(M_Onedeal!$AD$8:$AD$68,$J117),0)+AY117</f>
        <v>0</v>
      </c>
      <c r="Z117" s="18">
        <f>IF($I117,INDEX(M_Onedeal!$AF$8:$AF$68,$J117),0)+AZ117</f>
        <v>0</v>
      </c>
      <c r="AA117" s="18">
        <f>IF($I117,INDEX(M_Onedeal!$AG$8:$AG$68,$J117),0)+BA117</f>
        <v>0</v>
      </c>
      <c r="AB117" s="18">
        <f>IF($I117,INDEX(M_Onedeal!$AI$8:$AI$68,$J117),0)+BB117</f>
        <v>0</v>
      </c>
      <c r="AC117" s="18">
        <f>IF($I117,INDEX(M_Onedeal!$AQ$8:$AQ$68,$J117),0)+BC117</f>
        <v>0</v>
      </c>
      <c r="AD117" s="18">
        <f>IF($I117,INDEX(M_Onedeal!$AR$8:$AR$68,$J117),0)+BD117</f>
        <v>0</v>
      </c>
      <c r="AE117" s="18">
        <f>IF($I117,INDEX(M_Onedeal!$AK$8:$AK$68,$J117),0)+BE117</f>
        <v>0</v>
      </c>
      <c r="AF117" s="18">
        <f>IF($I117,c_lotfactor*INDEX(M_Onedeal!$AM$8:$AM$68,$J117),0)+BF117</f>
        <v>0</v>
      </c>
      <c r="AG117" s="18">
        <f>IF($I117,c_lotfactor*-INDEX(M_Onedeal!$AB$8:$AB$68,$J117,0))+BG117</f>
        <v>0</v>
      </c>
      <c r="AH117" s="18">
        <f>IF($I117,c_lotfactor*INDEX(M_Onedeal!$AN$8:$AN$68,$J117),0)+BH117</f>
        <v>0</v>
      </c>
      <c r="AI117" s="18">
        <f>IF($I117,c_lotfactor*INDEX(M_Onedeal!$AO$8:$AO$68,$J117),0)+BI117</f>
        <v>0</v>
      </c>
      <c r="AJ117" s="18">
        <f>IF($I117,c_lotfactor*INDEX(M_Onedeal!$AP$8:$AP$68,$J117),0)+BJ117</f>
        <v>0</v>
      </c>
      <c r="AL117" s="129">
        <v>0</v>
      </c>
      <c r="AM117" s="129">
        <v>0</v>
      </c>
      <c r="AN117" s="129">
        <v>0</v>
      </c>
      <c r="AO117" s="129">
        <v>0</v>
      </c>
      <c r="AP117" s="129">
        <v>0</v>
      </c>
      <c r="AQ117" s="129">
        <v>0</v>
      </c>
      <c r="AR117" s="129">
        <v>0</v>
      </c>
      <c r="AS117" s="129">
        <v>0</v>
      </c>
      <c r="AT117" s="129">
        <v>0</v>
      </c>
      <c r="AU117" s="129">
        <v>0</v>
      </c>
      <c r="AV117" s="129">
        <v>0</v>
      </c>
      <c r="AW117" s="129">
        <v>0</v>
      </c>
      <c r="AX117" s="129">
        <v>0</v>
      </c>
      <c r="AY117" s="129">
        <v>0</v>
      </c>
      <c r="AZ117" s="129">
        <v>0</v>
      </c>
      <c r="BA117" s="129">
        <v>0</v>
      </c>
      <c r="BB117" s="129">
        <v>0</v>
      </c>
      <c r="BC117" s="129">
        <v>0</v>
      </c>
      <c r="BD117" s="129">
        <v>0</v>
      </c>
      <c r="BE117" s="129">
        <v>0</v>
      </c>
      <c r="BF117" s="129">
        <v>0</v>
      </c>
      <c r="BG117" s="129">
        <v>0</v>
      </c>
      <c r="BH117" s="129">
        <v>0</v>
      </c>
      <c r="BI117" s="129">
        <v>0</v>
      </c>
      <c r="BJ117" s="129">
        <v>0</v>
      </c>
    </row>
    <row r="118" spans="2:62" ht="15" customHeight="1">
      <c r="B118" s="32">
        <f>SUM(B10:B117)</f>
        <v>72000</v>
      </c>
      <c r="C118" s="23" t="s">
        <v>324</v>
      </c>
      <c r="D118" s="32">
        <f ca="1">SUM(D10:D117)</f>
        <v>2542.6989917229653</v>
      </c>
      <c r="E118" s="23" t="s">
        <v>324</v>
      </c>
      <c r="G118" s="20" t="s">
        <v>327</v>
      </c>
      <c r="H118" s="20" t="s">
        <v>327</v>
      </c>
      <c r="I118" s="32">
        <f>SUM(I10:I117)</f>
        <v>49</v>
      </c>
      <c r="J118" s="23" t="s">
        <v>324</v>
      </c>
      <c r="L118" s="43" t="s">
        <v>324</v>
      </c>
      <c r="M118" s="32">
        <f t="shared" ref="M118:V118" ca="1" si="24">SUM(M10:M117)</f>
        <v>2626.0323250562974</v>
      </c>
      <c r="N118" s="23" t="s">
        <v>324</v>
      </c>
      <c r="O118" s="32">
        <f t="shared" ref="O118" ca="1" si="25">SUM(O10:O117)</f>
        <v>1549160.3608633589</v>
      </c>
      <c r="P118" s="32">
        <f t="shared" ca="1" si="24"/>
        <v>302912828.69524395</v>
      </c>
      <c r="Q118" s="32">
        <f t="shared" ca="1" si="24"/>
        <v>30291282.869524393</v>
      </c>
      <c r="R118" s="208" t="s">
        <v>324</v>
      </c>
      <c r="S118" s="32">
        <f t="shared" ca="1" si="24"/>
        <v>272621545.82571977</v>
      </c>
      <c r="T118" s="32">
        <f t="shared" ca="1" si="24"/>
        <v>143118761.71556827</v>
      </c>
      <c r="U118" s="32">
        <f t="shared" ca="1" si="24"/>
        <v>143118761.71556827</v>
      </c>
      <c r="V118" s="32">
        <f t="shared" ca="1" si="24"/>
        <v>28492450.726860818</v>
      </c>
      <c r="W118" s="32">
        <f ca="1">SUM(W10:W117)</f>
        <v>4534048.015200153</v>
      </c>
      <c r="X118" s="32">
        <f ca="1">SUM(X10:X117)</f>
        <v>143118761.71556827</v>
      </c>
      <c r="Y118" s="32">
        <f ca="1">SUM(Y10:Y117)</f>
        <v>4534048.0152001576</v>
      </c>
      <c r="Z118" s="32">
        <f ca="1">SUM(Z10:Z117)</f>
        <v>140843085.39744079</v>
      </c>
      <c r="AA118" s="23" t="s">
        <v>324</v>
      </c>
      <c r="AB118" s="32">
        <f ca="1">SUM(AB10:AB117)</f>
        <v>26225426.843861595</v>
      </c>
      <c r="AC118" s="32">
        <f ca="1">SUM(AC10:AC117)</f>
        <v>3029128.2869524416</v>
      </c>
      <c r="AD118" s="32">
        <f ca="1">SUM(AD10:AD117)</f>
        <v>3029128.2869524416</v>
      </c>
      <c r="AE118" s="32">
        <f ca="1">SUM(AE10:AE117)</f>
        <v>20167170.269956719</v>
      </c>
      <c r="AF118" s="32">
        <f t="shared" ref="AF118:AG118" ca="1" si="26">SUM(AF10:AF117)</f>
        <v>-103277357.39089058</v>
      </c>
      <c r="AG118" s="32">
        <f t="shared" ca="1" si="26"/>
        <v>0</v>
      </c>
      <c r="AH118" s="32">
        <f ca="1">SUM(AH10:AH117)</f>
        <v>30291282.869524401</v>
      </c>
      <c r="AI118" s="32">
        <f ca="1">SUM(AI10:AI117)</f>
        <v>4534048.0152001558</v>
      </c>
      <c r="AJ118" s="32">
        <f ca="1">SUM(AJ10:AJ117)</f>
        <v>-2267024.0076000774</v>
      </c>
      <c r="AL118" s="43" t="s">
        <v>324</v>
      </c>
      <c r="AM118" s="32">
        <f>SUM(AM10:AM117)</f>
        <v>2542.6989917229635</v>
      </c>
      <c r="AN118" s="23" t="s">
        <v>324</v>
      </c>
      <c r="AO118" s="32">
        <f t="shared" ref="AO118" si="27">SUM(AO10:AO117)</f>
        <v>1499999.9999999998</v>
      </c>
      <c r="AP118" s="32">
        <f t="shared" ref="AP118:AZ118" si="28">SUM(AP10:AP117)</f>
        <v>293300328.69524401</v>
      </c>
      <c r="AQ118" s="32">
        <f t="shared" si="28"/>
        <v>29330032.869524393</v>
      </c>
      <c r="AR118" s="32">
        <f t="shared" si="28"/>
        <v>685530858.25939381</v>
      </c>
      <c r="AS118" s="32">
        <f t="shared" si="28"/>
        <v>263970295.82571974</v>
      </c>
      <c r="AT118" s="32">
        <f t="shared" si="28"/>
        <v>138577095.04890162</v>
      </c>
      <c r="AU118" s="32">
        <f t="shared" si="28"/>
        <v>138577095.04890162</v>
      </c>
      <c r="AV118" s="32">
        <f t="shared" si="28"/>
        <v>27588284.060194161</v>
      </c>
      <c r="AW118" s="32">
        <f t="shared" si="28"/>
        <v>4390166.5667522885</v>
      </c>
      <c r="AX118" s="32">
        <f t="shared" si="28"/>
        <v>138577095.04890162</v>
      </c>
      <c r="AY118" s="32">
        <f t="shared" si="28"/>
        <v>4390166.5667522931</v>
      </c>
      <c r="AZ118" s="32">
        <f t="shared" si="28"/>
        <v>136373634.02354407</v>
      </c>
      <c r="BA118" s="23" t="s">
        <v>324</v>
      </c>
      <c r="BB118" s="32">
        <f t="shared" ref="BB118" si="29">SUM(BB10:BB117)</f>
        <v>25393200.897464842</v>
      </c>
      <c r="BC118" s="32">
        <f t="shared" ref="BC118:BJ118" si="30">SUM(BC10:BC117)</f>
        <v>2933003.2869524416</v>
      </c>
      <c r="BD118" s="32">
        <f t="shared" si="30"/>
        <v>2933003.2869524416</v>
      </c>
      <c r="BE118" s="32">
        <f t="shared" si="30"/>
        <v>19527194.323559951</v>
      </c>
      <c r="BF118" s="32">
        <f t="shared" si="30"/>
        <v>-99999999.999999985</v>
      </c>
      <c r="BG118" s="32">
        <f t="shared" si="30"/>
        <v>0</v>
      </c>
      <c r="BH118" s="32">
        <f t="shared" si="30"/>
        <v>29330032.869524401</v>
      </c>
      <c r="BI118" s="32">
        <f t="shared" si="30"/>
        <v>4390166.5667522913</v>
      </c>
      <c r="BJ118" s="32">
        <f t="shared" si="30"/>
        <v>-2195083.2833761452</v>
      </c>
    </row>
    <row r="119" spans="2:62" ht="15" customHeight="1">
      <c r="BG119" s="14"/>
    </row>
    <row r="120" spans="2:62" ht="15" customHeight="1">
      <c r="B120" s="22">
        <f t="shared" ref="B120:D128" si="31">SUMIF($H$10:$H$117,$H120,B$10:B$117)</f>
        <v>12000</v>
      </c>
      <c r="C120" s="23">
        <f t="shared" ref="C120:C128" ca="1" si="32">INDEX(C$9:C$117,(12*($H120))+1,0)</f>
        <v>916.66666666666674</v>
      </c>
      <c r="D120" s="22">
        <f t="shared" ca="1" si="31"/>
        <v>1000.0000000000001</v>
      </c>
      <c r="E120" s="23" t="s">
        <v>324</v>
      </c>
      <c r="G120" s="21" t="s">
        <v>208</v>
      </c>
      <c r="H120" s="21">
        <v>1</v>
      </c>
      <c r="I120" s="22">
        <f t="shared" ref="I120:I128" si="33">SUMIF($H$10:$H$117,$H120,I$10:I$117)</f>
        <v>12</v>
      </c>
      <c r="J120" s="23" t="s">
        <v>324</v>
      </c>
      <c r="L120" s="43">
        <f t="shared" ref="L120:L128" ca="1" si="34">INDEX(L$9:L$117,(12*($H120-1))+2,0)</f>
        <v>166.66666666666666</v>
      </c>
      <c r="M120" s="22">
        <f t="shared" ref="M120:M128" ca="1" si="35">SUMIF($H$10:$H$117,$H120,M$10:M$117)</f>
        <v>74.999999999999972</v>
      </c>
      <c r="N120" s="23">
        <f t="shared" ref="N120:N128" ca="1" si="36">INDEX(N$9:N$117,(12*($H120))+1,0)</f>
        <v>1008.3333333333335</v>
      </c>
      <c r="O120" s="22">
        <f t="shared" ref="O120:Z128" ca="1" si="37">SUMIF($H$10:$H$117,$H120,O$10:O$117)</f>
        <v>202923.04511930957</v>
      </c>
      <c r="P120" s="22">
        <f t="shared" ca="1" si="37"/>
        <v>8651249.9999999981</v>
      </c>
      <c r="Q120" s="22">
        <f t="shared" ca="1" si="37"/>
        <v>0</v>
      </c>
      <c r="R120" s="23">
        <f t="shared" ref="R120:R128" ca="1" si="38">INDEX(R$9:R$117,(12*($H120))+1,0)</f>
        <v>12496249.999999998</v>
      </c>
      <c r="S120" s="22">
        <f t="shared" ca="1" si="37"/>
        <v>8651249.9999999981</v>
      </c>
      <c r="T120" s="22">
        <f t="shared" ca="1" si="37"/>
        <v>22499999.999999993</v>
      </c>
      <c r="U120" s="22">
        <f t="shared" ca="1" si="37"/>
        <v>22499999.999999993</v>
      </c>
      <c r="V120" s="22">
        <f t="shared" ca="1" si="37"/>
        <v>-55519166.666666664</v>
      </c>
      <c r="W120" s="22">
        <f t="shared" ca="1" si="37"/>
        <v>144065.4715293737</v>
      </c>
      <c r="X120" s="22">
        <f t="shared" ca="1" si="37"/>
        <v>22499999.999999993</v>
      </c>
      <c r="Y120" s="22">
        <f t="shared" ca="1" si="37"/>
        <v>190569.87580894597</v>
      </c>
      <c r="Z120" s="22">
        <f t="shared" ca="1" si="37"/>
        <v>4092862.7861063429</v>
      </c>
      <c r="AA120" s="23">
        <f t="shared" ref="AA120:AA128" ca="1" si="39">INDEX(AA$9:AA$117,(12*($H120))+1,0)</f>
        <v>17468614.024301801</v>
      </c>
      <c r="AB120" s="23"/>
      <c r="AC120" s="22">
        <f t="shared" ref="AC120:AG128" ca="1" si="40">SUMIF($H$10:$H$117,$H120,AC$10:AC$117)</f>
        <v>86512.5</v>
      </c>
      <c r="AD120" s="22">
        <f t="shared" ca="1" si="40"/>
        <v>86512.5</v>
      </c>
      <c r="AE120" s="22">
        <f t="shared" ca="1" si="40"/>
        <v>-39133096.133199349</v>
      </c>
      <c r="AF120" s="22">
        <f t="shared" ca="1" si="40"/>
        <v>-42605646.081577778</v>
      </c>
      <c r="AG120" s="22">
        <f t="shared" ca="1" si="40"/>
        <v>0</v>
      </c>
      <c r="AH120" s="22">
        <f t="shared" ref="AH120:AI128" ca="1" si="41">SUMIF($H$10:$H$117,$H120,AH$10:AH$117)</f>
        <v>12496249.999999998</v>
      </c>
      <c r="AI120" s="22">
        <f t="shared" ca="1" si="41"/>
        <v>1870458.8298222353</v>
      </c>
      <c r="AJ120" s="22">
        <f t="shared" ref="AJ120:AJ128" ca="1" si="42">SUMIF($H$10:$H$117,$H120,AJ$10:AJ$117)</f>
        <v>-935229.4149111174</v>
      </c>
      <c r="AL120" s="43">
        <f t="shared" ref="AL120:AL128" si="43">INDEX(AL$9:AL$117,(12*($H120-1))+2,0)</f>
        <v>83.333333333333329</v>
      </c>
      <c r="AM120" s="22">
        <f t="shared" ref="AM120:AM128" si="44">SUMIF($H$10:$H$117,$H120,AM$10:AM$117)</f>
        <v>62.499999999999986</v>
      </c>
      <c r="AN120" s="23">
        <f t="shared" ref="AN120:AN128" si="45">INDEX(AN$9:AN$117,(12*($H120))+1,0)</f>
        <v>937.50000000000011</v>
      </c>
      <c r="AO120" s="22">
        <f t="shared" ref="AO120:AZ128" si="46">SUMIF($H$10:$H$117,$H120,AO$10:AO$117)</f>
        <v>174519.28106492438</v>
      </c>
      <c r="AP120" s="22">
        <f t="shared" si="46"/>
        <v>7209374.9999999991</v>
      </c>
      <c r="AQ120" s="22">
        <f t="shared" si="46"/>
        <v>0</v>
      </c>
      <c r="AR120" s="22">
        <f t="shared" si="46"/>
        <v>74977499.999999985</v>
      </c>
      <c r="AS120" s="22">
        <f t="shared" si="46"/>
        <v>7209374.9999999991</v>
      </c>
      <c r="AT120" s="22">
        <f t="shared" si="46"/>
        <v>18749999.999999996</v>
      </c>
      <c r="AU120" s="22">
        <f t="shared" si="46"/>
        <v>18749999.999999996</v>
      </c>
      <c r="AV120" s="22">
        <f t="shared" si="46"/>
        <v>-50005625</v>
      </c>
      <c r="AW120" s="22">
        <f t="shared" si="46"/>
        <v>113351.33554480548</v>
      </c>
      <c r="AX120" s="22">
        <f t="shared" si="46"/>
        <v>18749999.999999996</v>
      </c>
      <c r="AY120" s="22">
        <f t="shared" si="46"/>
        <v>146108.74597282428</v>
      </c>
      <c r="AZ120" s="22">
        <f t="shared" si="46"/>
        <v>3338549.6336985994</v>
      </c>
      <c r="BA120" s="23">
        <f t="shared" ref="BA120:BA128" si="47">INDEX(BA$9:BA$117,(12*($H120))+1,0)</f>
        <v>14545142.469479494</v>
      </c>
      <c r="BB120" s="22">
        <f t="shared" ref="BB120:BE128" si="48">SUMIF($H$10:$H$117,$H120,BB$10:BB$117)</f>
        <v>-36284313.307233527</v>
      </c>
      <c r="BC120" s="22">
        <f t="shared" si="48"/>
        <v>72093.75</v>
      </c>
      <c r="BD120" s="22">
        <f t="shared" si="48"/>
        <v>72093.75</v>
      </c>
      <c r="BE120" s="22">
        <f t="shared" si="48"/>
        <v>-36428500.807233527</v>
      </c>
      <c r="BF120" s="22">
        <f t="shared" ref="BF120:BG128" si="49">SUMIF($H$10:$H$117,$H120,BF$10:BF$117)</f>
        <v>-39328288.69068718</v>
      </c>
      <c r="BG120" s="22">
        <f t="shared" si="49"/>
        <v>0</v>
      </c>
      <c r="BH120" s="22">
        <f t="shared" ref="BH120:BJ128" si="50">SUMIF($H$10:$H$117,$H120,BH$10:BH$117)</f>
        <v>11534999.999999998</v>
      </c>
      <c r="BI120" s="22">
        <f t="shared" si="50"/>
        <v>1726577.381374371</v>
      </c>
      <c r="BJ120" s="22">
        <f t="shared" si="50"/>
        <v>-863288.69068718527</v>
      </c>
    </row>
    <row r="121" spans="2:62" ht="15" customHeight="1">
      <c r="B121" s="22">
        <f t="shared" si="31"/>
        <v>24000</v>
      </c>
      <c r="C121" s="23">
        <f t="shared" ca="1" si="32"/>
        <v>2542.6989917229653</v>
      </c>
      <c r="D121" s="22">
        <f t="shared" ca="1" si="31"/>
        <v>1542.6989917229653</v>
      </c>
      <c r="E121" s="23" t="s">
        <v>324</v>
      </c>
      <c r="G121" s="21" t="s">
        <v>208</v>
      </c>
      <c r="H121" s="21">
        <f t="shared" ref="H121:H128" si="51">H120+1</f>
        <v>2</v>
      </c>
      <c r="I121" s="22">
        <f t="shared" si="33"/>
        <v>12</v>
      </c>
      <c r="J121" s="23" t="s">
        <v>324</v>
      </c>
      <c r="L121" s="43">
        <f t="shared" ca="1" si="34"/>
        <v>1175</v>
      </c>
      <c r="M121" s="22">
        <f t="shared" ca="1" si="35"/>
        <v>587.49999999999989</v>
      </c>
      <c r="N121" s="23">
        <f t="shared" ca="1" si="36"/>
        <v>1963.5323250562985</v>
      </c>
      <c r="O121" s="22">
        <f t="shared" ca="1" si="37"/>
        <v>662640.08515477739</v>
      </c>
      <c r="P121" s="22">
        <f t="shared" ca="1" si="37"/>
        <v>67768124.999999985</v>
      </c>
      <c r="Q121" s="22">
        <f t="shared" ca="1" si="37"/>
        <v>1946531.2499999995</v>
      </c>
      <c r="R121" s="23">
        <f t="shared" ca="1" si="38"/>
        <v>28344751.619524404</v>
      </c>
      <c r="S121" s="22">
        <f t="shared" ca="1" si="37"/>
        <v>65821593.749999993</v>
      </c>
      <c r="T121" s="22">
        <f t="shared" ca="1" si="37"/>
        <v>74041666.666666657</v>
      </c>
      <c r="U121" s="22">
        <f t="shared" ca="1" si="37"/>
        <v>74041666.666666657</v>
      </c>
      <c r="V121" s="22">
        <f t="shared" ca="1" si="37"/>
        <v>-67559989.633290514</v>
      </c>
      <c r="W121" s="22">
        <f t="shared" ca="1" si="37"/>
        <v>481920.9673596244</v>
      </c>
      <c r="X121" s="22">
        <f t="shared" ca="1" si="37"/>
        <v>74041666.666666657</v>
      </c>
      <c r="Y121" s="22">
        <f t="shared" ca="1" si="37"/>
        <v>1543062.8685872622</v>
      </c>
      <c r="Z121" s="22">
        <f t="shared" ca="1" si="37"/>
        <v>37437468.938085981</v>
      </c>
      <c r="AA121" s="23">
        <f t="shared" ca="1" si="39"/>
        <v>52735658.626372784</v>
      </c>
      <c r="AB121" s="23"/>
      <c r="AC121" s="22">
        <f t="shared" ca="1" si="40"/>
        <v>677681.25</v>
      </c>
      <c r="AD121" s="22">
        <f t="shared" ca="1" si="40"/>
        <v>677681.25</v>
      </c>
      <c r="AE121" s="22">
        <f t="shared" ca="1" si="40"/>
        <v>-36113458.698052786</v>
      </c>
      <c r="AF121" s="22">
        <f t="shared" ca="1" si="40"/>
        <v>-60671711.309312813</v>
      </c>
      <c r="AG121" s="22">
        <f t="shared" ca="1" si="40"/>
        <v>0</v>
      </c>
      <c r="AH121" s="22">
        <f t="shared" ca="1" si="41"/>
        <v>17795032.869524401</v>
      </c>
      <c r="AI121" s="22">
        <f t="shared" ca="1" si="41"/>
        <v>2663589.1853779196</v>
      </c>
      <c r="AJ121" s="22">
        <f t="shared" ca="1" si="42"/>
        <v>-1331794.5926889593</v>
      </c>
      <c r="AL121" s="43">
        <f t="shared" si="43"/>
        <v>1104.1666666666667</v>
      </c>
      <c r="AM121" s="22">
        <f t="shared" si="44"/>
        <v>537.49999999999977</v>
      </c>
      <c r="AN121" s="23">
        <f t="shared" si="45"/>
        <v>1942.6989917229653</v>
      </c>
      <c r="AO121" s="22">
        <f t="shared" si="46"/>
        <v>643795.28015715641</v>
      </c>
      <c r="AP121" s="22">
        <f t="shared" si="46"/>
        <v>62000624.999999993</v>
      </c>
      <c r="AQ121" s="22">
        <f t="shared" si="46"/>
        <v>1463503.1249999998</v>
      </c>
      <c r="AR121" s="22">
        <f t="shared" si="46"/>
        <v>274869114.2335732</v>
      </c>
      <c r="AS121" s="22">
        <f t="shared" si="46"/>
        <v>60537121.874999993</v>
      </c>
      <c r="AT121" s="22">
        <f t="shared" si="46"/>
        <v>73249999.999999985</v>
      </c>
      <c r="AU121" s="22">
        <f t="shared" si="46"/>
        <v>73249999.999999985</v>
      </c>
      <c r="AV121" s="22">
        <f t="shared" si="46"/>
        <v>-72052794.841623858</v>
      </c>
      <c r="AW121" s="22">
        <f t="shared" si="46"/>
        <v>481920.9673596244</v>
      </c>
      <c r="AX121" s="22">
        <f t="shared" si="46"/>
        <v>73249999.999999985</v>
      </c>
      <c r="AY121" s="22">
        <f t="shared" si="46"/>
        <v>1445705.3301105713</v>
      </c>
      <c r="AZ121" s="22">
        <f t="shared" si="46"/>
        <v>34131355.173191309</v>
      </c>
      <c r="BA121" s="23">
        <f t="shared" si="47"/>
        <v>52326634.169778481</v>
      </c>
      <c r="BB121" s="22">
        <f t="shared" si="48"/>
        <v>-36639096.769681439</v>
      </c>
      <c r="BC121" s="22">
        <f t="shared" si="48"/>
        <v>620006.25</v>
      </c>
      <c r="BD121" s="22">
        <f t="shared" si="48"/>
        <v>620006.25</v>
      </c>
      <c r="BE121" s="22">
        <f t="shared" si="48"/>
        <v>-37879109.269681439</v>
      </c>
      <c r="BF121" s="22">
        <f t="shared" si="49"/>
        <v>-60671711.309312813</v>
      </c>
      <c r="BG121" s="22">
        <f t="shared" si="49"/>
        <v>0</v>
      </c>
      <c r="BH121" s="22">
        <f t="shared" si="50"/>
        <v>17795032.869524401</v>
      </c>
      <c r="BI121" s="22">
        <f t="shared" si="50"/>
        <v>2663589.1853779196</v>
      </c>
      <c r="BJ121" s="22">
        <f t="shared" si="50"/>
        <v>-1331794.5926889593</v>
      </c>
    </row>
    <row r="122" spans="2:62" ht="15" customHeight="1">
      <c r="B122" s="22">
        <f t="shared" si="31"/>
        <v>24000</v>
      </c>
      <c r="C122" s="23">
        <f t="shared" ca="1" si="32"/>
        <v>2542.6989917229653</v>
      </c>
      <c r="D122" s="22">
        <f t="shared" ca="1" si="31"/>
        <v>0</v>
      </c>
      <c r="E122" s="23" t="s">
        <v>324</v>
      </c>
      <c r="G122" s="21" t="s">
        <v>208</v>
      </c>
      <c r="H122" s="21">
        <f t="shared" si="51"/>
        <v>3</v>
      </c>
      <c r="I122" s="22">
        <f t="shared" si="33"/>
        <v>12</v>
      </c>
      <c r="J122" s="23" t="s">
        <v>324</v>
      </c>
      <c r="L122" s="43">
        <f t="shared" ca="1" si="34"/>
        <v>1963.5323250562985</v>
      </c>
      <c r="M122" s="22">
        <f t="shared" ca="1" si="35"/>
        <v>1221.1430308502222</v>
      </c>
      <c r="N122" s="23">
        <f t="shared" ca="1" si="36"/>
        <v>742.38929420607565</v>
      </c>
      <c r="O122" s="22">
        <f t="shared" ca="1" si="37"/>
        <v>557789.26576783974</v>
      </c>
      <c r="P122" s="22">
        <f t="shared" ca="1" si="37"/>
        <v>140858848.60857317</v>
      </c>
      <c r="Q122" s="22">
        <f t="shared" ca="1" si="37"/>
        <v>12615925.624999998</v>
      </c>
      <c r="R122" s="23">
        <f t="shared" ca="1" si="38"/>
        <v>15728825.994524404</v>
      </c>
      <c r="S122" s="22">
        <f t="shared" ca="1" si="37"/>
        <v>128242922.98357317</v>
      </c>
      <c r="T122" s="22">
        <f t="shared" ca="1" si="37"/>
        <v>46577095.048901603</v>
      </c>
      <c r="U122" s="22">
        <f t="shared" ca="1" si="37"/>
        <v>46577095.048901603</v>
      </c>
      <c r="V122" s="22">
        <f t="shared" ca="1" si="37"/>
        <v>81665827.934671581</v>
      </c>
      <c r="W122" s="22">
        <f t="shared" ca="1" si="37"/>
        <v>1473562.452923774</v>
      </c>
      <c r="X122" s="22">
        <f t="shared" ca="1" si="37"/>
        <v>46577095.048901603</v>
      </c>
      <c r="Y122" s="22">
        <f t="shared" ca="1" si="37"/>
        <v>2367023.3508770787</v>
      </c>
      <c r="Z122" s="22">
        <f t="shared" ca="1" si="37"/>
        <v>70500027.187815398</v>
      </c>
      <c r="AA122" s="23">
        <f t="shared" ca="1" si="39"/>
        <v>28812726.485433023</v>
      </c>
      <c r="AB122" s="23"/>
      <c r="AC122" s="22">
        <f t="shared" ca="1" si="40"/>
        <v>1408588.4860857322</v>
      </c>
      <c r="AD122" s="22">
        <f t="shared" ca="1" si="40"/>
        <v>1408588.4860857322</v>
      </c>
      <c r="AE122" s="22">
        <f t="shared" ca="1" si="40"/>
        <v>54032257.392768353</v>
      </c>
      <c r="AF122" s="22">
        <f t="shared" ca="1" si="40"/>
        <v>0</v>
      </c>
      <c r="AG122" s="22">
        <f t="shared" ca="1" si="40"/>
        <v>0</v>
      </c>
      <c r="AH122" s="22">
        <f t="shared" ca="1" si="41"/>
        <v>0</v>
      </c>
      <c r="AI122" s="22">
        <f t="shared" ca="1" si="41"/>
        <v>0</v>
      </c>
      <c r="AJ122" s="22">
        <f t="shared" ca="1" si="42"/>
        <v>0</v>
      </c>
      <c r="AL122" s="43">
        <f t="shared" si="43"/>
        <v>1942.6989917229653</v>
      </c>
      <c r="AM122" s="22">
        <f t="shared" si="44"/>
        <v>1200.3096975168887</v>
      </c>
      <c r="AN122" s="23">
        <f t="shared" si="45"/>
        <v>742.38929420607565</v>
      </c>
      <c r="AO122" s="22">
        <f t="shared" si="46"/>
        <v>555877.47395648691</v>
      </c>
      <c r="AP122" s="22">
        <f t="shared" si="46"/>
        <v>138455723.60857317</v>
      </c>
      <c r="AQ122" s="22">
        <f t="shared" si="46"/>
        <v>12137703.749999998</v>
      </c>
      <c r="AR122" s="22">
        <f t="shared" si="46"/>
        <v>265632454.43429291</v>
      </c>
      <c r="AS122" s="22">
        <f t="shared" si="46"/>
        <v>126318019.85857317</v>
      </c>
      <c r="AT122" s="22">
        <f t="shared" si="46"/>
        <v>46577095.048901603</v>
      </c>
      <c r="AU122" s="22">
        <f t="shared" si="46"/>
        <v>46577095.048901603</v>
      </c>
      <c r="AV122" s="22">
        <f t="shared" si="46"/>
        <v>79740924.809671581</v>
      </c>
      <c r="AW122" s="22">
        <f t="shared" si="46"/>
        <v>1360395.1404604781</v>
      </c>
      <c r="AX122" s="22">
        <f t="shared" si="46"/>
        <v>46577095.048901603</v>
      </c>
      <c r="AY122" s="22">
        <f t="shared" si="46"/>
        <v>2364960.5707420269</v>
      </c>
      <c r="AZ122" s="22">
        <f t="shared" si="46"/>
        <v>70091002.731221095</v>
      </c>
      <c r="BA122" s="23">
        <f t="shared" si="47"/>
        <v>28812726.485433023</v>
      </c>
      <c r="BB122" s="22">
        <f t="shared" si="48"/>
        <v>55222451.164205886</v>
      </c>
      <c r="BC122" s="22">
        <f t="shared" si="48"/>
        <v>1384557.2360857322</v>
      </c>
      <c r="BD122" s="22">
        <f t="shared" si="48"/>
        <v>1384557.2360857322</v>
      </c>
      <c r="BE122" s="22">
        <f t="shared" si="48"/>
        <v>52453336.692034416</v>
      </c>
      <c r="BF122" s="22">
        <f t="shared" si="49"/>
        <v>0</v>
      </c>
      <c r="BG122" s="22">
        <f t="shared" si="49"/>
        <v>0</v>
      </c>
      <c r="BH122" s="22">
        <f t="shared" si="50"/>
        <v>0</v>
      </c>
      <c r="BI122" s="22">
        <f t="shared" si="50"/>
        <v>0</v>
      </c>
      <c r="BJ122" s="22">
        <f t="shared" si="50"/>
        <v>0</v>
      </c>
    </row>
    <row r="123" spans="2:62" ht="15" customHeight="1">
      <c r="B123" s="22">
        <f t="shared" si="31"/>
        <v>12000</v>
      </c>
      <c r="C123" s="23">
        <f t="shared" ca="1" si="32"/>
        <v>2542.6989917229653</v>
      </c>
      <c r="D123" s="22">
        <f t="shared" ca="1" si="31"/>
        <v>0</v>
      </c>
      <c r="E123" s="23" t="s">
        <v>324</v>
      </c>
      <c r="G123" s="21" t="s">
        <v>208</v>
      </c>
      <c r="H123" s="21">
        <f t="shared" si="51"/>
        <v>4</v>
      </c>
      <c r="I123" s="22">
        <f t="shared" si="33"/>
        <v>12</v>
      </c>
      <c r="J123" s="23" t="s">
        <v>324</v>
      </c>
      <c r="L123" s="43">
        <f t="shared" ca="1" si="34"/>
        <v>742.38929420607565</v>
      </c>
      <c r="M123" s="22">
        <f t="shared" ca="1" si="35"/>
        <v>738.11939503377903</v>
      </c>
      <c r="N123" s="23">
        <f t="shared" ca="1" si="36"/>
        <v>4.2698991722965278</v>
      </c>
      <c r="O123" s="22">
        <f t="shared" ca="1" si="37"/>
        <v>125668.02496532512</v>
      </c>
      <c r="P123" s="22">
        <f t="shared" ca="1" si="37"/>
        <v>85142072.217146397</v>
      </c>
      <c r="Q123" s="22">
        <f t="shared" ca="1" si="37"/>
        <v>15630811.953489047</v>
      </c>
      <c r="R123" s="23">
        <f t="shared" ca="1" si="38"/>
        <v>98014.04103535648</v>
      </c>
      <c r="S123" s="22">
        <f t="shared" ca="1" si="37"/>
        <v>69511260.263657376</v>
      </c>
      <c r="T123" s="22">
        <f t="shared" ca="1" si="37"/>
        <v>0</v>
      </c>
      <c r="U123" s="22">
        <f t="shared" ca="1" si="37"/>
        <v>0</v>
      </c>
      <c r="V123" s="22">
        <f t="shared" ca="1" si="37"/>
        <v>69511260.263657376</v>
      </c>
      <c r="W123" s="22">
        <f t="shared" ca="1" si="37"/>
        <v>2376513.5617292156</v>
      </c>
      <c r="X123" s="22">
        <f t="shared" ca="1" si="37"/>
        <v>0</v>
      </c>
      <c r="Y123" s="22">
        <f t="shared" ca="1" si="37"/>
        <v>433391.91992686846</v>
      </c>
      <c r="Z123" s="22">
        <f t="shared" ca="1" si="37"/>
        <v>28812726.485433027</v>
      </c>
      <c r="AA123" s="23">
        <f t="shared" ca="1" si="39"/>
        <v>0</v>
      </c>
      <c r="AB123" s="23"/>
      <c r="AC123" s="22">
        <f t="shared" ca="1" si="40"/>
        <v>851420.72217146447</v>
      </c>
      <c r="AD123" s="22">
        <f t="shared" ca="1" si="40"/>
        <v>851420.72217146447</v>
      </c>
      <c r="AE123" s="22">
        <f t="shared" ca="1" si="40"/>
        <v>40938813.975683764</v>
      </c>
      <c r="AF123" s="22">
        <f t="shared" ca="1" si="40"/>
        <v>0</v>
      </c>
      <c r="AG123" s="22">
        <f t="shared" ca="1" si="40"/>
        <v>0</v>
      </c>
      <c r="AH123" s="22">
        <f t="shared" ca="1" si="41"/>
        <v>0</v>
      </c>
      <c r="AI123" s="22">
        <f t="shared" ca="1" si="41"/>
        <v>0</v>
      </c>
      <c r="AJ123" s="22">
        <f t="shared" ca="1" si="42"/>
        <v>0</v>
      </c>
      <c r="AL123" s="43">
        <f t="shared" si="43"/>
        <v>742.38929420607565</v>
      </c>
      <c r="AM123" s="22">
        <f t="shared" si="44"/>
        <v>738.11939503377903</v>
      </c>
      <c r="AN123" s="23">
        <f t="shared" si="45"/>
        <v>4.2698991722965278</v>
      </c>
      <c r="AO123" s="22">
        <f t="shared" si="46"/>
        <v>125668.02496532512</v>
      </c>
      <c r="AP123" s="22">
        <f t="shared" si="46"/>
        <v>85142072.217146397</v>
      </c>
      <c r="AQ123" s="22">
        <f t="shared" si="46"/>
        <v>15630811.953489047</v>
      </c>
      <c r="AR123" s="22">
        <f t="shared" si="46"/>
        <v>70051789.59152782</v>
      </c>
      <c r="AS123" s="22">
        <f t="shared" si="46"/>
        <v>69511260.263657376</v>
      </c>
      <c r="AT123" s="22">
        <f t="shared" si="46"/>
        <v>0</v>
      </c>
      <c r="AU123" s="22">
        <f t="shared" si="46"/>
        <v>0</v>
      </c>
      <c r="AV123" s="22">
        <f t="shared" si="46"/>
        <v>69511260.263657376</v>
      </c>
      <c r="AW123" s="22">
        <f t="shared" si="46"/>
        <v>2376513.5617292156</v>
      </c>
      <c r="AX123" s="22">
        <f t="shared" si="46"/>
        <v>0</v>
      </c>
      <c r="AY123" s="22">
        <f t="shared" si="46"/>
        <v>433391.91992686846</v>
      </c>
      <c r="AZ123" s="22">
        <f t="shared" si="46"/>
        <v>28812726.485433027</v>
      </c>
      <c r="BA123" s="23">
        <f t="shared" si="47"/>
        <v>0</v>
      </c>
      <c r="BB123" s="22">
        <f t="shared" si="48"/>
        <v>42641655.42002669</v>
      </c>
      <c r="BC123" s="22">
        <f t="shared" si="48"/>
        <v>851420.72217146447</v>
      </c>
      <c r="BD123" s="22">
        <f t="shared" si="48"/>
        <v>851420.72217146447</v>
      </c>
      <c r="BE123" s="22">
        <f t="shared" si="48"/>
        <v>40938813.975683764</v>
      </c>
      <c r="BF123" s="22">
        <f t="shared" si="49"/>
        <v>0</v>
      </c>
      <c r="BG123" s="22">
        <f t="shared" si="49"/>
        <v>0</v>
      </c>
      <c r="BH123" s="22">
        <f t="shared" si="50"/>
        <v>0</v>
      </c>
      <c r="BI123" s="22">
        <f t="shared" si="50"/>
        <v>0</v>
      </c>
      <c r="BJ123" s="22">
        <f t="shared" si="50"/>
        <v>0</v>
      </c>
    </row>
    <row r="124" spans="2:62" ht="15" customHeight="1">
      <c r="B124" s="22">
        <f t="shared" si="31"/>
        <v>0</v>
      </c>
      <c r="C124" s="23">
        <f t="shared" ca="1" si="32"/>
        <v>2542.6989917229653</v>
      </c>
      <c r="D124" s="22">
        <f t="shared" ca="1" si="31"/>
        <v>0</v>
      </c>
      <c r="E124" s="23" t="s">
        <v>324</v>
      </c>
      <c r="G124" s="21" t="s">
        <v>208</v>
      </c>
      <c r="H124" s="21">
        <f t="shared" si="51"/>
        <v>5</v>
      </c>
      <c r="I124" s="22">
        <f t="shared" si="33"/>
        <v>1</v>
      </c>
      <c r="J124" s="23" t="s">
        <v>324</v>
      </c>
      <c r="L124" s="43">
        <f t="shared" ca="1" si="34"/>
        <v>4.2698991722965278</v>
      </c>
      <c r="M124" s="22">
        <f t="shared" ca="1" si="35"/>
        <v>4.2698991722965278</v>
      </c>
      <c r="N124" s="23">
        <f t="shared" si="36"/>
        <v>0</v>
      </c>
      <c r="O124" s="22">
        <f t="shared" ca="1" si="37"/>
        <v>139.9398561066541</v>
      </c>
      <c r="P124" s="22">
        <f t="shared" ca="1" si="37"/>
        <v>492532.86952440441</v>
      </c>
      <c r="Q124" s="22">
        <f t="shared" ca="1" si="37"/>
        <v>98014.04103535648</v>
      </c>
      <c r="R124" s="23">
        <f t="shared" si="38"/>
        <v>0</v>
      </c>
      <c r="S124" s="22">
        <f t="shared" ca="1" si="37"/>
        <v>394518.82848904794</v>
      </c>
      <c r="T124" s="22">
        <f t="shared" ca="1" si="37"/>
        <v>0</v>
      </c>
      <c r="U124" s="22">
        <f t="shared" ca="1" si="37"/>
        <v>0</v>
      </c>
      <c r="V124" s="22">
        <f t="shared" ca="1" si="37"/>
        <v>394518.82848904794</v>
      </c>
      <c r="W124" s="22">
        <f t="shared" ca="1" si="37"/>
        <v>57985.561658166007</v>
      </c>
      <c r="X124" s="22">
        <f t="shared" ca="1" si="37"/>
        <v>0</v>
      </c>
      <c r="Y124" s="22">
        <f t="shared" ca="1" si="37"/>
        <v>0</v>
      </c>
      <c r="Z124" s="22">
        <f t="shared" ca="1" si="37"/>
        <v>0</v>
      </c>
      <c r="AA124" s="23">
        <f t="shared" si="39"/>
        <v>0</v>
      </c>
      <c r="AB124" s="23"/>
      <c r="AC124" s="22">
        <f t="shared" ca="1" si="40"/>
        <v>4925.328695244044</v>
      </c>
      <c r="AD124" s="22">
        <f t="shared" ca="1" si="40"/>
        <v>4925.328695244044</v>
      </c>
      <c r="AE124" s="22">
        <f t="shared" ca="1" si="40"/>
        <v>442653.7327567258</v>
      </c>
      <c r="AF124" s="22">
        <f t="shared" ca="1" si="40"/>
        <v>0</v>
      </c>
      <c r="AG124" s="22">
        <f t="shared" ca="1" si="40"/>
        <v>0</v>
      </c>
      <c r="AH124" s="22">
        <f t="shared" ca="1" si="41"/>
        <v>0</v>
      </c>
      <c r="AI124" s="22">
        <f t="shared" ca="1" si="41"/>
        <v>0</v>
      </c>
      <c r="AJ124" s="22">
        <f t="shared" ca="1" si="42"/>
        <v>0</v>
      </c>
      <c r="AL124" s="43">
        <f t="shared" si="43"/>
        <v>4.2698991722965278</v>
      </c>
      <c r="AM124" s="22">
        <f t="shared" si="44"/>
        <v>4.2698991722965278</v>
      </c>
      <c r="AN124" s="23">
        <f t="shared" si="45"/>
        <v>0</v>
      </c>
      <c r="AO124" s="22">
        <f t="shared" si="46"/>
        <v>139.9398561066547</v>
      </c>
      <c r="AP124" s="22">
        <f t="shared" si="46"/>
        <v>492532.86952440441</v>
      </c>
      <c r="AQ124" s="22">
        <f t="shared" si="46"/>
        <v>98014.04103535648</v>
      </c>
      <c r="AR124" s="22">
        <f t="shared" si="46"/>
        <v>0</v>
      </c>
      <c r="AS124" s="22">
        <f t="shared" si="46"/>
        <v>394518.82848904794</v>
      </c>
      <c r="AT124" s="22">
        <f t="shared" si="46"/>
        <v>0</v>
      </c>
      <c r="AU124" s="22">
        <f t="shared" si="46"/>
        <v>0</v>
      </c>
      <c r="AV124" s="22">
        <f t="shared" si="46"/>
        <v>394518.82848904794</v>
      </c>
      <c r="AW124" s="22">
        <f t="shared" si="46"/>
        <v>57985.561658166007</v>
      </c>
      <c r="AX124" s="22">
        <f t="shared" si="46"/>
        <v>0</v>
      </c>
      <c r="AY124" s="22">
        <f t="shared" si="46"/>
        <v>0</v>
      </c>
      <c r="AZ124" s="22">
        <f t="shared" si="46"/>
        <v>0</v>
      </c>
      <c r="BA124" s="23">
        <f t="shared" si="47"/>
        <v>0</v>
      </c>
      <c r="BB124" s="22">
        <f t="shared" si="48"/>
        <v>452504.39014721394</v>
      </c>
      <c r="BC124" s="22">
        <f t="shared" si="48"/>
        <v>4925.328695244044</v>
      </c>
      <c r="BD124" s="22">
        <f t="shared" si="48"/>
        <v>4925.328695244044</v>
      </c>
      <c r="BE124" s="22">
        <f t="shared" si="48"/>
        <v>442653.7327567258</v>
      </c>
      <c r="BF124" s="22">
        <f t="shared" si="49"/>
        <v>0</v>
      </c>
      <c r="BG124" s="22">
        <f t="shared" si="49"/>
        <v>0</v>
      </c>
      <c r="BH124" s="22">
        <f t="shared" si="50"/>
        <v>0</v>
      </c>
      <c r="BI124" s="22">
        <f t="shared" si="50"/>
        <v>0</v>
      </c>
      <c r="BJ124" s="22">
        <f t="shared" si="50"/>
        <v>0</v>
      </c>
    </row>
    <row r="125" spans="2:62" ht="15" customHeight="1">
      <c r="B125" s="22">
        <f t="shared" si="31"/>
        <v>0</v>
      </c>
      <c r="C125" s="23">
        <f t="shared" ca="1" si="32"/>
        <v>2542.6989917229653</v>
      </c>
      <c r="D125" s="22">
        <f t="shared" ca="1" si="31"/>
        <v>0</v>
      </c>
      <c r="E125" s="23" t="s">
        <v>324</v>
      </c>
      <c r="G125" s="21" t="s">
        <v>208</v>
      </c>
      <c r="H125" s="21">
        <f t="shared" si="51"/>
        <v>6</v>
      </c>
      <c r="I125" s="22">
        <f t="shared" si="33"/>
        <v>0</v>
      </c>
      <c r="J125" s="23" t="s">
        <v>324</v>
      </c>
      <c r="L125" s="43">
        <f t="shared" si="34"/>
        <v>0</v>
      </c>
      <c r="M125" s="22">
        <f t="shared" si="35"/>
        <v>0</v>
      </c>
      <c r="N125" s="23">
        <f t="shared" si="36"/>
        <v>0</v>
      </c>
      <c r="O125" s="22">
        <f t="shared" si="37"/>
        <v>-5.7686253535633411E-11</v>
      </c>
      <c r="P125" s="22">
        <f t="shared" si="37"/>
        <v>0</v>
      </c>
      <c r="Q125" s="22">
        <f t="shared" si="37"/>
        <v>0</v>
      </c>
      <c r="R125" s="23">
        <f t="shared" si="38"/>
        <v>0</v>
      </c>
      <c r="S125" s="22">
        <f t="shared" si="37"/>
        <v>0</v>
      </c>
      <c r="T125" s="22">
        <f t="shared" si="37"/>
        <v>0</v>
      </c>
      <c r="U125" s="22">
        <f t="shared" si="37"/>
        <v>0</v>
      </c>
      <c r="V125" s="22">
        <f t="shared" si="37"/>
        <v>0</v>
      </c>
      <c r="W125" s="22">
        <f t="shared" si="37"/>
        <v>0</v>
      </c>
      <c r="X125" s="22">
        <f t="shared" si="37"/>
        <v>0</v>
      </c>
      <c r="Y125" s="22">
        <f t="shared" si="37"/>
        <v>0</v>
      </c>
      <c r="Z125" s="22">
        <f t="shared" si="37"/>
        <v>0</v>
      </c>
      <c r="AA125" s="23">
        <f t="shared" si="39"/>
        <v>0</v>
      </c>
      <c r="AB125" s="23"/>
      <c r="AC125" s="22">
        <f t="shared" si="40"/>
        <v>0</v>
      </c>
      <c r="AD125" s="22">
        <f t="shared" si="40"/>
        <v>0</v>
      </c>
      <c r="AE125" s="22">
        <f t="shared" si="40"/>
        <v>0</v>
      </c>
      <c r="AF125" s="22">
        <f t="shared" si="40"/>
        <v>0</v>
      </c>
      <c r="AG125" s="22">
        <f t="shared" si="40"/>
        <v>0</v>
      </c>
      <c r="AH125" s="22">
        <f t="shared" si="41"/>
        <v>0</v>
      </c>
      <c r="AI125" s="22">
        <f t="shared" si="41"/>
        <v>0</v>
      </c>
      <c r="AJ125" s="22">
        <f t="shared" si="42"/>
        <v>0</v>
      </c>
      <c r="AL125" s="43">
        <f t="shared" si="43"/>
        <v>0</v>
      </c>
      <c r="AM125" s="22">
        <f t="shared" si="44"/>
        <v>0</v>
      </c>
      <c r="AN125" s="23">
        <f t="shared" si="45"/>
        <v>0</v>
      </c>
      <c r="AO125" s="22">
        <f t="shared" si="46"/>
        <v>-5.7686253535633411E-11</v>
      </c>
      <c r="AP125" s="22">
        <f t="shared" si="46"/>
        <v>0</v>
      </c>
      <c r="AQ125" s="22">
        <f t="shared" si="46"/>
        <v>0</v>
      </c>
      <c r="AR125" s="22">
        <f t="shared" si="46"/>
        <v>0</v>
      </c>
      <c r="AS125" s="22">
        <f t="shared" si="46"/>
        <v>0</v>
      </c>
      <c r="AT125" s="22">
        <f t="shared" si="46"/>
        <v>0</v>
      </c>
      <c r="AU125" s="22">
        <f t="shared" si="46"/>
        <v>0</v>
      </c>
      <c r="AV125" s="22">
        <f t="shared" si="46"/>
        <v>0</v>
      </c>
      <c r="AW125" s="22">
        <f t="shared" si="46"/>
        <v>0</v>
      </c>
      <c r="AX125" s="22">
        <f t="shared" si="46"/>
        <v>0</v>
      </c>
      <c r="AY125" s="22">
        <f t="shared" si="46"/>
        <v>0</v>
      </c>
      <c r="AZ125" s="22">
        <f t="shared" si="46"/>
        <v>0</v>
      </c>
      <c r="BA125" s="23">
        <f t="shared" si="47"/>
        <v>0</v>
      </c>
      <c r="BB125" s="22">
        <f t="shared" si="48"/>
        <v>0</v>
      </c>
      <c r="BC125" s="22">
        <f t="shared" si="48"/>
        <v>0</v>
      </c>
      <c r="BD125" s="22">
        <f t="shared" si="48"/>
        <v>0</v>
      </c>
      <c r="BE125" s="22">
        <f t="shared" si="48"/>
        <v>0</v>
      </c>
      <c r="BF125" s="22">
        <f t="shared" si="49"/>
        <v>0</v>
      </c>
      <c r="BG125" s="22">
        <f t="shared" si="49"/>
        <v>0</v>
      </c>
      <c r="BH125" s="22">
        <f t="shared" si="50"/>
        <v>0</v>
      </c>
      <c r="BI125" s="22">
        <f t="shared" si="50"/>
        <v>0</v>
      </c>
      <c r="BJ125" s="22">
        <f t="shared" si="50"/>
        <v>0</v>
      </c>
    </row>
    <row r="126" spans="2:62" ht="15" customHeight="1">
      <c r="B126" s="22">
        <f t="shared" si="31"/>
        <v>0</v>
      </c>
      <c r="C126" s="23">
        <f t="shared" ca="1" si="32"/>
        <v>2542.6989917229653</v>
      </c>
      <c r="D126" s="22">
        <f t="shared" ca="1" si="31"/>
        <v>0</v>
      </c>
      <c r="E126" s="23" t="s">
        <v>324</v>
      </c>
      <c r="G126" s="21" t="s">
        <v>208</v>
      </c>
      <c r="H126" s="21">
        <f t="shared" si="51"/>
        <v>7</v>
      </c>
      <c r="I126" s="22">
        <f t="shared" si="33"/>
        <v>0</v>
      </c>
      <c r="J126" s="23" t="s">
        <v>324</v>
      </c>
      <c r="L126" s="43">
        <f t="shared" si="34"/>
        <v>0</v>
      </c>
      <c r="M126" s="22">
        <f t="shared" si="35"/>
        <v>0</v>
      </c>
      <c r="N126" s="23">
        <f t="shared" si="36"/>
        <v>0</v>
      </c>
      <c r="O126" s="22">
        <f t="shared" si="37"/>
        <v>0</v>
      </c>
      <c r="P126" s="22">
        <f t="shared" si="37"/>
        <v>0</v>
      </c>
      <c r="Q126" s="22">
        <f t="shared" si="37"/>
        <v>0</v>
      </c>
      <c r="R126" s="23">
        <f t="shared" si="38"/>
        <v>0</v>
      </c>
      <c r="S126" s="22">
        <f t="shared" si="37"/>
        <v>0</v>
      </c>
      <c r="T126" s="22">
        <f t="shared" si="37"/>
        <v>0</v>
      </c>
      <c r="U126" s="22">
        <f t="shared" si="37"/>
        <v>0</v>
      </c>
      <c r="V126" s="22">
        <f t="shared" si="37"/>
        <v>0</v>
      </c>
      <c r="W126" s="22">
        <f t="shared" si="37"/>
        <v>0</v>
      </c>
      <c r="X126" s="22">
        <f t="shared" si="37"/>
        <v>0</v>
      </c>
      <c r="Y126" s="22">
        <f t="shared" si="37"/>
        <v>0</v>
      </c>
      <c r="Z126" s="22">
        <f t="shared" si="37"/>
        <v>0</v>
      </c>
      <c r="AA126" s="23">
        <f t="shared" si="39"/>
        <v>0</v>
      </c>
      <c r="AB126" s="23"/>
      <c r="AC126" s="22">
        <f t="shared" si="40"/>
        <v>0</v>
      </c>
      <c r="AD126" s="22">
        <f t="shared" si="40"/>
        <v>0</v>
      </c>
      <c r="AE126" s="22">
        <f t="shared" si="40"/>
        <v>0</v>
      </c>
      <c r="AF126" s="22">
        <f t="shared" si="40"/>
        <v>0</v>
      </c>
      <c r="AG126" s="22">
        <f t="shared" si="40"/>
        <v>0</v>
      </c>
      <c r="AH126" s="22">
        <f t="shared" si="41"/>
        <v>0</v>
      </c>
      <c r="AI126" s="22">
        <f t="shared" si="41"/>
        <v>0</v>
      </c>
      <c r="AJ126" s="22">
        <f t="shared" si="42"/>
        <v>0</v>
      </c>
      <c r="AL126" s="43">
        <f t="shared" si="43"/>
        <v>0</v>
      </c>
      <c r="AM126" s="22">
        <f t="shared" si="44"/>
        <v>0</v>
      </c>
      <c r="AN126" s="23">
        <f t="shared" si="45"/>
        <v>0</v>
      </c>
      <c r="AO126" s="22">
        <f t="shared" si="46"/>
        <v>0</v>
      </c>
      <c r="AP126" s="22">
        <f t="shared" si="46"/>
        <v>0</v>
      </c>
      <c r="AQ126" s="22">
        <f t="shared" si="46"/>
        <v>0</v>
      </c>
      <c r="AR126" s="22">
        <f t="shared" si="46"/>
        <v>0</v>
      </c>
      <c r="AS126" s="22">
        <f t="shared" si="46"/>
        <v>0</v>
      </c>
      <c r="AT126" s="22">
        <f t="shared" si="46"/>
        <v>0</v>
      </c>
      <c r="AU126" s="22">
        <f t="shared" si="46"/>
        <v>0</v>
      </c>
      <c r="AV126" s="22">
        <f t="shared" si="46"/>
        <v>0</v>
      </c>
      <c r="AW126" s="22">
        <f t="shared" si="46"/>
        <v>0</v>
      </c>
      <c r="AX126" s="22">
        <f t="shared" si="46"/>
        <v>0</v>
      </c>
      <c r="AY126" s="22">
        <f t="shared" si="46"/>
        <v>0</v>
      </c>
      <c r="AZ126" s="22">
        <f t="shared" si="46"/>
        <v>0</v>
      </c>
      <c r="BA126" s="23">
        <f t="shared" si="47"/>
        <v>0</v>
      </c>
      <c r="BB126" s="22">
        <f t="shared" si="48"/>
        <v>0</v>
      </c>
      <c r="BC126" s="22">
        <f t="shared" si="48"/>
        <v>0</v>
      </c>
      <c r="BD126" s="22">
        <f t="shared" si="48"/>
        <v>0</v>
      </c>
      <c r="BE126" s="22">
        <f t="shared" si="48"/>
        <v>0</v>
      </c>
      <c r="BF126" s="22">
        <f t="shared" si="49"/>
        <v>0</v>
      </c>
      <c r="BG126" s="22">
        <f t="shared" si="49"/>
        <v>0</v>
      </c>
      <c r="BH126" s="22">
        <f t="shared" si="50"/>
        <v>0</v>
      </c>
      <c r="BI126" s="22">
        <f t="shared" si="50"/>
        <v>0</v>
      </c>
      <c r="BJ126" s="22">
        <f t="shared" si="50"/>
        <v>0</v>
      </c>
    </row>
    <row r="127" spans="2:62" ht="15" customHeight="1">
      <c r="B127" s="22">
        <f t="shared" si="31"/>
        <v>0</v>
      </c>
      <c r="C127" s="23">
        <f t="shared" ca="1" si="32"/>
        <v>2542.6989917229653</v>
      </c>
      <c r="D127" s="22">
        <f t="shared" ca="1" si="31"/>
        <v>0</v>
      </c>
      <c r="E127" s="23" t="s">
        <v>324</v>
      </c>
      <c r="G127" s="21" t="s">
        <v>208</v>
      </c>
      <c r="H127" s="21">
        <f t="shared" si="51"/>
        <v>8</v>
      </c>
      <c r="I127" s="22">
        <f t="shared" si="33"/>
        <v>0</v>
      </c>
      <c r="J127" s="23" t="s">
        <v>324</v>
      </c>
      <c r="L127" s="43">
        <f t="shared" si="34"/>
        <v>0</v>
      </c>
      <c r="M127" s="22">
        <f t="shared" si="35"/>
        <v>0</v>
      </c>
      <c r="N127" s="23">
        <f t="shared" si="36"/>
        <v>0</v>
      </c>
      <c r="O127" s="22">
        <f t="shared" si="37"/>
        <v>0</v>
      </c>
      <c r="P127" s="22">
        <f t="shared" si="37"/>
        <v>0</v>
      </c>
      <c r="Q127" s="22">
        <f t="shared" si="37"/>
        <v>0</v>
      </c>
      <c r="R127" s="23">
        <f t="shared" si="38"/>
        <v>0</v>
      </c>
      <c r="S127" s="22">
        <f t="shared" si="37"/>
        <v>0</v>
      </c>
      <c r="T127" s="22">
        <f t="shared" si="37"/>
        <v>0</v>
      </c>
      <c r="U127" s="22">
        <f t="shared" si="37"/>
        <v>0</v>
      </c>
      <c r="V127" s="22">
        <f t="shared" si="37"/>
        <v>0</v>
      </c>
      <c r="W127" s="22">
        <f t="shared" si="37"/>
        <v>0</v>
      </c>
      <c r="X127" s="22">
        <f t="shared" si="37"/>
        <v>0</v>
      </c>
      <c r="Y127" s="22">
        <f t="shared" si="37"/>
        <v>0</v>
      </c>
      <c r="Z127" s="22">
        <f t="shared" si="37"/>
        <v>0</v>
      </c>
      <c r="AA127" s="23">
        <f t="shared" si="39"/>
        <v>0</v>
      </c>
      <c r="AB127" s="23"/>
      <c r="AC127" s="22">
        <f t="shared" si="40"/>
        <v>0</v>
      </c>
      <c r="AD127" s="22">
        <f t="shared" si="40"/>
        <v>0</v>
      </c>
      <c r="AE127" s="22">
        <f t="shared" si="40"/>
        <v>0</v>
      </c>
      <c r="AF127" s="22">
        <f t="shared" si="40"/>
        <v>0</v>
      </c>
      <c r="AG127" s="22">
        <f t="shared" si="40"/>
        <v>0</v>
      </c>
      <c r="AH127" s="22">
        <f t="shared" si="41"/>
        <v>0</v>
      </c>
      <c r="AI127" s="22">
        <f t="shared" si="41"/>
        <v>0</v>
      </c>
      <c r="AJ127" s="22">
        <f t="shared" si="42"/>
        <v>0</v>
      </c>
      <c r="AL127" s="43">
        <f t="shared" si="43"/>
        <v>0</v>
      </c>
      <c r="AM127" s="22">
        <f t="shared" si="44"/>
        <v>0</v>
      </c>
      <c r="AN127" s="23">
        <f t="shared" si="45"/>
        <v>0</v>
      </c>
      <c r="AO127" s="22">
        <f t="shared" si="46"/>
        <v>0</v>
      </c>
      <c r="AP127" s="22">
        <f t="shared" si="46"/>
        <v>0</v>
      </c>
      <c r="AQ127" s="22">
        <f t="shared" si="46"/>
        <v>0</v>
      </c>
      <c r="AR127" s="22">
        <f t="shared" si="46"/>
        <v>0</v>
      </c>
      <c r="AS127" s="22">
        <f t="shared" si="46"/>
        <v>0</v>
      </c>
      <c r="AT127" s="22">
        <f t="shared" si="46"/>
        <v>0</v>
      </c>
      <c r="AU127" s="22">
        <f t="shared" si="46"/>
        <v>0</v>
      </c>
      <c r="AV127" s="22">
        <f t="shared" si="46"/>
        <v>0</v>
      </c>
      <c r="AW127" s="22">
        <f t="shared" si="46"/>
        <v>0</v>
      </c>
      <c r="AX127" s="22">
        <f t="shared" si="46"/>
        <v>0</v>
      </c>
      <c r="AY127" s="22">
        <f t="shared" si="46"/>
        <v>0</v>
      </c>
      <c r="AZ127" s="22">
        <f t="shared" si="46"/>
        <v>0</v>
      </c>
      <c r="BA127" s="23">
        <f t="shared" si="47"/>
        <v>0</v>
      </c>
      <c r="BB127" s="22">
        <f t="shared" si="48"/>
        <v>0</v>
      </c>
      <c r="BC127" s="22">
        <f t="shared" si="48"/>
        <v>0</v>
      </c>
      <c r="BD127" s="22">
        <f t="shared" si="48"/>
        <v>0</v>
      </c>
      <c r="BE127" s="22">
        <f t="shared" si="48"/>
        <v>0</v>
      </c>
      <c r="BF127" s="22">
        <f t="shared" si="49"/>
        <v>0</v>
      </c>
      <c r="BG127" s="22">
        <f t="shared" si="49"/>
        <v>0</v>
      </c>
      <c r="BH127" s="22">
        <f t="shared" si="50"/>
        <v>0</v>
      </c>
      <c r="BI127" s="22">
        <f t="shared" si="50"/>
        <v>0</v>
      </c>
      <c r="BJ127" s="22">
        <f t="shared" si="50"/>
        <v>0</v>
      </c>
    </row>
    <row r="128" spans="2:62" ht="15" customHeight="1">
      <c r="B128" s="22">
        <f t="shared" si="31"/>
        <v>0</v>
      </c>
      <c r="C128" s="23">
        <f t="shared" ca="1" si="32"/>
        <v>2542.6989917229653</v>
      </c>
      <c r="D128" s="22">
        <f t="shared" ca="1" si="31"/>
        <v>0</v>
      </c>
      <c r="E128" s="23" t="s">
        <v>324</v>
      </c>
      <c r="G128" s="21" t="s">
        <v>208</v>
      </c>
      <c r="H128" s="21">
        <f t="shared" si="51"/>
        <v>9</v>
      </c>
      <c r="I128" s="22">
        <f t="shared" si="33"/>
        <v>0</v>
      </c>
      <c r="J128" s="23" t="s">
        <v>324</v>
      </c>
      <c r="L128" s="43">
        <f t="shared" si="34"/>
        <v>0</v>
      </c>
      <c r="M128" s="22">
        <f t="shared" si="35"/>
        <v>0</v>
      </c>
      <c r="N128" s="23">
        <f t="shared" si="36"/>
        <v>0</v>
      </c>
      <c r="O128" s="22">
        <f t="shared" si="37"/>
        <v>0</v>
      </c>
      <c r="P128" s="22">
        <f t="shared" si="37"/>
        <v>0</v>
      </c>
      <c r="Q128" s="22">
        <f t="shared" si="37"/>
        <v>0</v>
      </c>
      <c r="R128" s="23">
        <f t="shared" si="38"/>
        <v>0</v>
      </c>
      <c r="S128" s="22">
        <f t="shared" si="37"/>
        <v>0</v>
      </c>
      <c r="T128" s="22">
        <f t="shared" si="37"/>
        <v>0</v>
      </c>
      <c r="U128" s="22">
        <f t="shared" si="37"/>
        <v>0</v>
      </c>
      <c r="V128" s="22">
        <f t="shared" si="37"/>
        <v>0</v>
      </c>
      <c r="W128" s="22">
        <f t="shared" si="37"/>
        <v>0</v>
      </c>
      <c r="X128" s="22">
        <f t="shared" si="37"/>
        <v>0</v>
      </c>
      <c r="Y128" s="22">
        <f t="shared" si="37"/>
        <v>0</v>
      </c>
      <c r="Z128" s="22">
        <f t="shared" si="37"/>
        <v>0</v>
      </c>
      <c r="AA128" s="23">
        <f t="shared" si="39"/>
        <v>0</v>
      </c>
      <c r="AB128" s="23"/>
      <c r="AC128" s="22">
        <f t="shared" si="40"/>
        <v>0</v>
      </c>
      <c r="AD128" s="22">
        <f t="shared" si="40"/>
        <v>0</v>
      </c>
      <c r="AE128" s="22">
        <f t="shared" si="40"/>
        <v>0</v>
      </c>
      <c r="AF128" s="22">
        <f t="shared" si="40"/>
        <v>0</v>
      </c>
      <c r="AG128" s="22">
        <f t="shared" si="40"/>
        <v>0</v>
      </c>
      <c r="AH128" s="22">
        <f t="shared" si="41"/>
        <v>0</v>
      </c>
      <c r="AI128" s="22">
        <f t="shared" si="41"/>
        <v>0</v>
      </c>
      <c r="AJ128" s="22">
        <f t="shared" si="42"/>
        <v>0</v>
      </c>
      <c r="AL128" s="43">
        <f t="shared" si="43"/>
        <v>0</v>
      </c>
      <c r="AM128" s="22">
        <f t="shared" si="44"/>
        <v>0</v>
      </c>
      <c r="AN128" s="23">
        <f t="shared" si="45"/>
        <v>0</v>
      </c>
      <c r="AO128" s="22">
        <f t="shared" si="46"/>
        <v>0</v>
      </c>
      <c r="AP128" s="22">
        <f t="shared" si="46"/>
        <v>0</v>
      </c>
      <c r="AQ128" s="22">
        <f t="shared" si="46"/>
        <v>0</v>
      </c>
      <c r="AR128" s="22">
        <f t="shared" si="46"/>
        <v>0</v>
      </c>
      <c r="AS128" s="22">
        <f t="shared" si="46"/>
        <v>0</v>
      </c>
      <c r="AT128" s="22">
        <f t="shared" si="46"/>
        <v>0</v>
      </c>
      <c r="AU128" s="22">
        <f t="shared" si="46"/>
        <v>0</v>
      </c>
      <c r="AV128" s="22">
        <f t="shared" si="46"/>
        <v>0</v>
      </c>
      <c r="AW128" s="22">
        <f t="shared" si="46"/>
        <v>0</v>
      </c>
      <c r="AX128" s="22">
        <f t="shared" si="46"/>
        <v>0</v>
      </c>
      <c r="AY128" s="22">
        <f t="shared" si="46"/>
        <v>0</v>
      </c>
      <c r="AZ128" s="22">
        <f t="shared" si="46"/>
        <v>0</v>
      </c>
      <c r="BA128" s="23">
        <f t="shared" si="47"/>
        <v>0</v>
      </c>
      <c r="BB128" s="22">
        <f t="shared" si="48"/>
        <v>0</v>
      </c>
      <c r="BC128" s="22">
        <f t="shared" si="48"/>
        <v>0</v>
      </c>
      <c r="BD128" s="22">
        <f t="shared" si="48"/>
        <v>0</v>
      </c>
      <c r="BE128" s="22">
        <f t="shared" si="48"/>
        <v>0</v>
      </c>
      <c r="BF128" s="22">
        <f t="shared" si="49"/>
        <v>0</v>
      </c>
      <c r="BG128" s="22">
        <f t="shared" si="49"/>
        <v>0</v>
      </c>
      <c r="BH128" s="22">
        <f t="shared" si="50"/>
        <v>0</v>
      </c>
      <c r="BI128" s="22">
        <f t="shared" si="50"/>
        <v>0</v>
      </c>
      <c r="BJ128" s="22">
        <f t="shared" si="50"/>
        <v>0</v>
      </c>
    </row>
    <row r="129" spans="2:62" ht="15" customHeight="1">
      <c r="B129" s="20">
        <f>SUM(B120:B128)</f>
        <v>72000</v>
      </c>
      <c r="C129" s="23" t="s">
        <v>324</v>
      </c>
      <c r="D129" s="20">
        <f ca="1">SUM(D120:D128)</f>
        <v>2542.6989917229653</v>
      </c>
      <c r="E129" s="23" t="s">
        <v>324</v>
      </c>
      <c r="G129" s="24" t="s">
        <v>327</v>
      </c>
      <c r="H129" s="24" t="s">
        <v>327</v>
      </c>
      <c r="I129" s="20">
        <f>SUM(I120:I128)</f>
        <v>49</v>
      </c>
      <c r="J129" s="23" t="s">
        <v>324</v>
      </c>
      <c r="L129" s="43" t="s">
        <v>324</v>
      </c>
      <c r="M129" s="20">
        <f t="shared" ref="M129:V129" ca="1" si="52">SUM(M120:M128)</f>
        <v>2626.0323250562979</v>
      </c>
      <c r="N129" s="23" t="s">
        <v>324</v>
      </c>
      <c r="O129" s="20">
        <f t="shared" ref="O129" ca="1" si="53">SUM(O120:O128)</f>
        <v>1549160.3608633585</v>
      </c>
      <c r="P129" s="20">
        <f t="shared" ca="1" si="52"/>
        <v>302912828.69524395</v>
      </c>
      <c r="Q129" s="20">
        <f t="shared" ca="1" si="52"/>
        <v>30291282.869524401</v>
      </c>
      <c r="R129" s="23" t="s">
        <v>324</v>
      </c>
      <c r="S129" s="20">
        <f t="shared" ca="1" si="52"/>
        <v>272621545.82571959</v>
      </c>
      <c r="T129" s="20">
        <f t="shared" ca="1" si="52"/>
        <v>143118761.71556824</v>
      </c>
      <c r="U129" s="20">
        <f t="shared" ca="1" si="52"/>
        <v>143118761.71556824</v>
      </c>
      <c r="V129" s="20">
        <f t="shared" ca="1" si="52"/>
        <v>28492450.726860818</v>
      </c>
      <c r="W129" s="20">
        <f ca="1">SUM(W120:W128)</f>
        <v>4534048.0152001539</v>
      </c>
      <c r="X129" s="20">
        <f ca="1">SUM(X120:X128)</f>
        <v>143118761.71556824</v>
      </c>
      <c r="Y129" s="20">
        <f t="shared" ref="Y129:AC129" ca="1" si="54">SUM(Y120:Y128)</f>
        <v>4534048.0152001558</v>
      </c>
      <c r="Z129" s="20">
        <f t="shared" ca="1" si="54"/>
        <v>140843085.39744073</v>
      </c>
      <c r="AA129" s="23" t="s">
        <v>324</v>
      </c>
      <c r="AB129" s="23"/>
      <c r="AC129" s="20">
        <f t="shared" ca="1" si="54"/>
        <v>3029128.2869524411</v>
      </c>
      <c r="AD129" s="20">
        <f t="shared" ref="AD129" ca="1" si="55">SUM(AD120:AD128)</f>
        <v>3029128.2869524411</v>
      </c>
      <c r="AE129" s="20">
        <f t="shared" ref="AE129" ca="1" si="56">SUM(AE120:AE128)</f>
        <v>20167170.269956715</v>
      </c>
      <c r="AF129" s="20">
        <f t="shared" ref="AF129:AG129" ca="1" si="57">SUM(AF120:AF128)</f>
        <v>-103277357.3908906</v>
      </c>
      <c r="AG129" s="20">
        <f t="shared" ca="1" si="57"/>
        <v>0</v>
      </c>
      <c r="AH129" s="20">
        <f ca="1">SUM(AH120:AH128)</f>
        <v>30291282.869524397</v>
      </c>
      <c r="AI129" s="20">
        <f ca="1">SUM(AI120:AI128)</f>
        <v>4534048.0152001549</v>
      </c>
      <c r="AJ129" s="20">
        <f ca="1">SUM(AJ120:AJ128)</f>
        <v>-2267024.0076000765</v>
      </c>
      <c r="AL129" s="43" t="s">
        <v>324</v>
      </c>
      <c r="AM129" s="20">
        <f t="shared" ref="AM129:AW129" si="58">SUM(AM120:AM128)</f>
        <v>2542.6989917229639</v>
      </c>
      <c r="AN129" s="23" t="s">
        <v>324</v>
      </c>
      <c r="AO129" s="20">
        <f t="shared" ref="AO129" si="59">SUM(AO120:AO128)</f>
        <v>1499999.9999999995</v>
      </c>
      <c r="AP129" s="20">
        <f t="shared" si="58"/>
        <v>293300328.69524395</v>
      </c>
      <c r="AQ129" s="20">
        <f t="shared" si="58"/>
        <v>29330032.869524401</v>
      </c>
      <c r="AR129" s="20">
        <f t="shared" si="58"/>
        <v>685530858.25939393</v>
      </c>
      <c r="AS129" s="20">
        <f t="shared" si="58"/>
        <v>263970295.82571957</v>
      </c>
      <c r="AT129" s="20">
        <f t="shared" si="58"/>
        <v>138577095.04890159</v>
      </c>
      <c r="AU129" s="20">
        <f t="shared" si="58"/>
        <v>138577095.04890159</v>
      </c>
      <c r="AV129" s="20">
        <f t="shared" si="58"/>
        <v>27588284.060194146</v>
      </c>
      <c r="AW129" s="20">
        <f t="shared" si="58"/>
        <v>4390166.5667522904</v>
      </c>
      <c r="AX129" s="20">
        <f>SUM(AX120:AX128)</f>
        <v>138577095.04890159</v>
      </c>
      <c r="AY129" s="20">
        <f>SUM(AY120:AY128)</f>
        <v>4390166.5667522913</v>
      </c>
      <c r="AZ129" s="20">
        <f>SUM(AZ120:AZ128)</f>
        <v>136373634.02354401</v>
      </c>
      <c r="BA129" s="23" t="s">
        <v>324</v>
      </c>
      <c r="BB129" s="20">
        <f t="shared" ref="BB129" si="60">SUM(BB120:BB128)</f>
        <v>25393200.897464823</v>
      </c>
      <c r="BC129" s="20">
        <f t="shared" ref="BC129:BD129" si="61">SUM(BC120:BC128)</f>
        <v>2933003.2869524406</v>
      </c>
      <c r="BD129" s="20">
        <f t="shared" si="61"/>
        <v>2933003.2869524406</v>
      </c>
      <c r="BE129" s="20">
        <f t="shared" ref="BE129" si="62">SUM(BE120:BE128)</f>
        <v>19527194.32355994</v>
      </c>
      <c r="BF129" s="20">
        <f>SUM(BF120:BF128)</f>
        <v>-100000000</v>
      </c>
      <c r="BG129" s="20">
        <f>SUM(BG120:BG128)</f>
        <v>0</v>
      </c>
      <c r="BH129" s="20">
        <f>SUM(BH120:BH128)</f>
        <v>29330032.869524397</v>
      </c>
      <c r="BI129" s="20">
        <f>SUM(BI120:BI128)</f>
        <v>4390166.5667522904</v>
      </c>
      <c r="BJ129" s="20">
        <f>SUM(BJ120:BJ128)</f>
        <v>-2195083.2833761447</v>
      </c>
    </row>
    <row r="130" spans="2:62" ht="15" customHeight="1"/>
    <row r="131" spans="2:62" ht="15" customHeight="1"/>
    <row r="132" spans="2:62" ht="15" customHeight="1"/>
    <row r="133" spans="2:62" ht="15" customHeight="1"/>
    <row r="134" spans="2:62" ht="15" customHeight="1"/>
    <row r="135" spans="2:62" ht="15" customHeight="1"/>
    <row r="136" spans="2:62" ht="15" customHeight="1"/>
    <row r="137" spans="2:62" ht="15" customHeight="1"/>
    <row r="138" spans="2:62" ht="15" customHeight="1"/>
    <row r="139" spans="2:62" ht="15" customHeight="1"/>
    <row r="140" spans="2:62" ht="15" customHeight="1"/>
    <row r="141" spans="2:62" ht="15" customHeight="1"/>
    <row r="142" spans="2:62" ht="15" customHeight="1"/>
    <row r="143" spans="2:62" ht="15" customHeight="1"/>
    <row r="144" spans="2:62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</sheetData>
  <phoneticPr fontId="9" type="noConversion"/>
  <printOptions horizontalCentered="1"/>
  <pageMargins left="0.25" right="0.25" top="0.25" bottom="0.25" header="0.25" footer="0.25"/>
  <pageSetup paperSize="5" scale="50" orientation="landscape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0000"/>
  </sheetPr>
  <dimension ref="A1:BK289"/>
  <sheetViews>
    <sheetView zoomScale="85" zoomScaleNormal="85" zoomScalePageLayoutView="85" workbookViewId="0">
      <pane ySplit="7" topLeftCell="A8" activePane="bottomLeft" state="frozen"/>
      <selection activeCell="B12" sqref="B12"/>
      <selection pane="bottomLeft" activeCell="K9" sqref="K9"/>
    </sheetView>
  </sheetViews>
  <sheetFormatPr baseColWidth="10" defaultColWidth="8.83203125" defaultRowHeight="13"/>
  <cols>
    <col min="1" max="1" width="5.6640625" customWidth="1"/>
    <col min="2" max="5" width="7.6640625" customWidth="1"/>
    <col min="6" max="6" width="5.6640625" customWidth="1"/>
    <col min="7" max="9" width="12.6640625" customWidth="1"/>
    <col min="10" max="10" width="5.6640625" customWidth="1"/>
    <col min="11" max="16" width="12.6640625" customWidth="1"/>
    <col min="17" max="17" width="8.83203125" customWidth="1"/>
    <col min="18" max="26" width="12.6640625" customWidth="1"/>
    <col min="27" max="27" width="8.83203125" customWidth="1"/>
    <col min="28" max="30" width="12.6640625" customWidth="1"/>
    <col min="31" max="31" width="8.83203125" customWidth="1"/>
    <col min="32" max="37" width="12.6640625" customWidth="1"/>
    <col min="38" max="38" width="8.83203125" customWidth="1"/>
    <col min="39" max="47" width="12.6640625" customWidth="1"/>
    <col min="48" max="48" width="8.83203125" customWidth="1"/>
    <col min="49" max="51" width="12.6640625" customWidth="1"/>
    <col min="52" max="52" width="8.83203125" customWidth="1"/>
    <col min="53" max="63" width="12.6640625" customWidth="1"/>
  </cols>
  <sheetData>
    <row r="1" spans="1:63" ht="15" customHeight="1">
      <c r="AZ1" s="3" t="s">
        <v>230</v>
      </c>
      <c r="BA1" s="66">
        <f>BA117+BA8</f>
        <v>16696780.066326044</v>
      </c>
      <c r="BB1" s="66">
        <f>BB117+BB8</f>
        <v>360543.8864711991</v>
      </c>
      <c r="BC1" s="66">
        <f>BC117+BC8</f>
        <v>17057323.952797204</v>
      </c>
      <c r="BD1" s="14"/>
      <c r="BE1" s="14"/>
    </row>
    <row r="2" spans="1:63" ht="15" customHeight="1">
      <c r="C2" s="119"/>
      <c r="G2" s="67">
        <f>12*IRR(G8:G116,0.01)</f>
        <v>0.11408817285640893</v>
      </c>
      <c r="I2" s="67">
        <f>12*IRR(I8:I116,0.01)</f>
        <v>0.10524714517080902</v>
      </c>
      <c r="K2" s="67">
        <f>12*IRR(K8:K116,0.01)</f>
        <v>0.10524714517080902</v>
      </c>
      <c r="L2" s="72"/>
      <c r="M2" s="72"/>
      <c r="N2" s="72"/>
      <c r="O2" s="156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67">
        <f>+BA2</f>
        <v>0.10051444343672422</v>
      </c>
      <c r="AF2" s="67">
        <f>12*IRR(AF8:AF116,0.01)</f>
        <v>0.10524714517080902</v>
      </c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3" t="s">
        <v>292</v>
      </c>
      <c r="BA2" s="67">
        <f>12*IRR(BA8:BA116,0.01)</f>
        <v>0.10051444343672422</v>
      </c>
      <c r="BB2" s="67">
        <f>12*IRR(BB8:BB116,0.01)</f>
        <v>0.10524714517080902</v>
      </c>
      <c r="BC2" s="67">
        <f ca="1">IF(c_equity_tot&gt;0,12*IRR(BC8:BC116,0.01),0)</f>
        <v>0.10060998679449895</v>
      </c>
      <c r="BD2" s="14"/>
      <c r="BE2" s="14"/>
      <c r="BJ2" s="4"/>
      <c r="BK2" s="4"/>
    </row>
    <row r="3" spans="1:63" ht="15" customHeight="1">
      <c r="C3" s="119"/>
      <c r="G3" s="67">
        <f>4*(((1+G2/12)^3)-1)</f>
        <v>0.11517628625230802</v>
      </c>
      <c r="I3" s="67">
        <f>4*(((1+I2/12)^3)-1)</f>
        <v>0.1061729239554845</v>
      </c>
      <c r="K3" s="67">
        <f>4*(((1+K2/12)^3)-1)</f>
        <v>0.1061729239554845</v>
      </c>
      <c r="L3" s="72"/>
      <c r="M3" s="72"/>
      <c r="N3" s="73">
        <f>12*IRR(N8:N116,0.01)</f>
        <v>9.5689685146845171E-2</v>
      </c>
      <c r="O3" s="72"/>
      <c r="P3" s="72"/>
      <c r="Q3" s="72"/>
      <c r="R3" s="72"/>
      <c r="S3" s="72"/>
      <c r="T3" s="72"/>
      <c r="U3" s="72"/>
      <c r="V3" s="72"/>
      <c r="W3" s="72"/>
      <c r="X3" s="157"/>
      <c r="Y3" s="72"/>
      <c r="Z3" s="72"/>
      <c r="AA3" s="72"/>
      <c r="AB3" s="72"/>
      <c r="AC3" s="72"/>
      <c r="AD3" s="72"/>
      <c r="AF3" s="67">
        <f>4*(((1+AF2/12)^3)-1)</f>
        <v>0.1061729239554845</v>
      </c>
      <c r="AG3" s="72"/>
      <c r="AH3" s="72"/>
      <c r="AI3" s="73">
        <f>12*IRR(AI8:AI116,0.01)</f>
        <v>9.5689685146845171E-2</v>
      </c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3" t="s">
        <v>293</v>
      </c>
      <c r="BA3" s="67">
        <f>4*(((1+BA2/12)^3)-1)</f>
        <v>0.10135872360582887</v>
      </c>
      <c r="BB3" s="67">
        <f>4*(((1+BB2/12)^3)-1)</f>
        <v>0.1061729239554845</v>
      </c>
      <c r="BC3" s="67">
        <f ca="1">4*(((1+BC2/12)^3)-1)</f>
        <v>0.10145587501532471</v>
      </c>
      <c r="BD3" s="14"/>
      <c r="BE3" s="14"/>
      <c r="BJ3" s="4"/>
      <c r="BK3" s="4"/>
    </row>
    <row r="4" spans="1:63" ht="15" customHeight="1" thickBot="1">
      <c r="C4" s="119"/>
      <c r="G4" s="67">
        <f>((((G3/4)+1)^2)-1)*2</f>
        <v>0.11683448336666702</v>
      </c>
      <c r="I4" s="67">
        <f>((((I3/4)+1)^2)-1)*2</f>
        <v>0.10758201017814173</v>
      </c>
      <c r="K4" s="67">
        <f>((((K3/4)+1)^2)-1)*2</f>
        <v>0.10758201017814173</v>
      </c>
      <c r="L4" s="72"/>
      <c r="M4" s="72"/>
      <c r="N4" s="73">
        <f>1*(((1+N3/12)^12)-1)</f>
        <v>0.10000000000000031</v>
      </c>
      <c r="O4" s="72"/>
      <c r="P4" s="72"/>
      <c r="Q4" s="72"/>
      <c r="R4" s="72"/>
      <c r="S4" s="72"/>
      <c r="T4" s="72"/>
      <c r="U4" s="72"/>
      <c r="V4" s="72"/>
      <c r="W4" s="72"/>
      <c r="X4" s="157"/>
      <c r="Y4" s="72"/>
      <c r="Z4" s="72"/>
      <c r="AA4" s="72"/>
      <c r="AB4" s="72"/>
      <c r="AC4" s="72"/>
      <c r="AD4" s="72"/>
      <c r="AF4" s="67">
        <f>((((AF3/4)+1)^2)-1)*2</f>
        <v>0.10758201017814173</v>
      </c>
      <c r="AG4" s="72"/>
      <c r="AH4" s="72"/>
      <c r="AI4" s="73">
        <f>1*(((1+AI3/12)^12)-1)</f>
        <v>0.10000000000000031</v>
      </c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3" t="s">
        <v>294</v>
      </c>
      <c r="BA4" s="67">
        <f>((((BA3/4)+1)^2)-1)*2</f>
        <v>0.1026429224622043</v>
      </c>
      <c r="BB4" s="67">
        <f>((((BB3/4)+1)^2)-1)*2</f>
        <v>0.10758201017814173</v>
      </c>
      <c r="BC4" s="67">
        <f ca="1">((((BC3/4)+1)^2)-1)*2</f>
        <v>0.10274253683721524</v>
      </c>
      <c r="BD4" s="14"/>
      <c r="BE4" s="14"/>
    </row>
    <row r="5" spans="1:63" ht="15" customHeight="1" thickBot="1">
      <c r="G5" s="67">
        <f>1*(((1+G2/12)^12)-1)</f>
        <v>0.12024705749255626</v>
      </c>
      <c r="I5" s="67">
        <f>1*(((1+I2/12)^12)-1)</f>
        <v>0.11047548240663474</v>
      </c>
      <c r="K5" s="67">
        <f>1*(((1+K2/12)^12)-1)</f>
        <v>0.11047548240663474</v>
      </c>
      <c r="L5" s="72"/>
      <c r="M5" s="72"/>
      <c r="N5" s="74">
        <f>NPV(c_hurdle1_inst/12,N9:N116)</f>
        <v>-1.4379047027224485E-8</v>
      </c>
      <c r="O5" s="72"/>
      <c r="P5" s="75">
        <f>IF(P117+N117&gt;0,P117/(P117+N117),0)</f>
        <v>0</v>
      </c>
      <c r="Q5" s="72"/>
      <c r="R5" s="72"/>
      <c r="S5" s="72"/>
      <c r="T5" s="75">
        <f>IF(T117+N117&gt;0,T117/(T117+N117),0)</f>
        <v>0</v>
      </c>
      <c r="U5" s="72"/>
      <c r="V5" s="72"/>
      <c r="W5" s="72"/>
      <c r="X5" s="76">
        <f>NPV(c_hurdle2_inst/12,N10:N116)+NPV(c_hurdle2_inst/12,X10:X116)</f>
        <v>-26874702.544250399</v>
      </c>
      <c r="Y5" s="72"/>
      <c r="Z5" s="75">
        <f>IF(Z117+X117&gt;0,Z117/(Z117+X117),0)</f>
        <v>0.5</v>
      </c>
      <c r="AA5" s="72"/>
      <c r="AB5" s="77">
        <v>3</v>
      </c>
      <c r="AC5" s="72"/>
      <c r="AD5" s="75">
        <f>IF(AB117&gt;0,AD117/AB117,0)</f>
        <v>0</v>
      </c>
      <c r="AF5" s="67">
        <f>1*(((1+AF2/12)^12)-1)</f>
        <v>0.11047548240663474</v>
      </c>
      <c r="AG5" s="72"/>
      <c r="AH5" s="72"/>
      <c r="AI5" s="74">
        <f>NPV(c_hurdle1_hnw/12,AI9:AI116)</f>
        <v>-1.8316682646376573E-10</v>
      </c>
      <c r="AJ5" s="72"/>
      <c r="AK5" s="75">
        <f>IF(AK117+AI117&gt;0,AK117/(AK117+AI117),0)</f>
        <v>0</v>
      </c>
      <c r="AL5" s="72"/>
      <c r="AM5" s="72"/>
      <c r="AN5" s="72"/>
      <c r="AO5" s="75">
        <f>IF(AO117+AI117&gt;0,AO117/(AO117+AI117),0)</f>
        <v>0</v>
      </c>
      <c r="AP5" s="72"/>
      <c r="AQ5" s="72"/>
      <c r="AR5" s="72"/>
      <c r="AS5" s="76">
        <f>NPV(c_hurdle2_hnw/12,AR9:AR116)+NPV(c_hurdle2_hnw/12,AQ9:AQ116)</f>
        <v>-5.2386894822120667E-10</v>
      </c>
      <c r="AT5" s="72"/>
      <c r="AU5" s="75">
        <f>IF(AU117+AS117&gt;0,AU117/(AU117+AS117),0)</f>
        <v>0</v>
      </c>
      <c r="AV5" s="72"/>
      <c r="AW5" s="77">
        <v>3</v>
      </c>
      <c r="AX5" s="72"/>
      <c r="AY5" s="75">
        <f>IF(AW117&gt;0,AY117/AW117,0)</f>
        <v>0</v>
      </c>
      <c r="AZ5" s="3" t="s">
        <v>295</v>
      </c>
      <c r="BA5" s="67">
        <f>1*(((1+BA2/12)^12)-1)</f>
        <v>0.10527681484509976</v>
      </c>
      <c r="BB5" s="67">
        <f>1*(((1+BB2/12)^12)-1)</f>
        <v>0.11047548240663474</v>
      </c>
      <c r="BC5" s="67">
        <f ca="1">1*(((1+BC2/12)^12)-1)</f>
        <v>0.10538154405615185</v>
      </c>
      <c r="BD5" s="66">
        <f>MAX(BD8:BD116)</f>
        <v>81316200.772973001</v>
      </c>
      <c r="BE5" s="14"/>
      <c r="BH5" s="66">
        <f>NPV(i_gpdiscrate/12,BH9:BH116)</f>
        <v>749999.99999999988</v>
      </c>
      <c r="BI5" s="66">
        <f>NPV(i_gpdiscrate/12,BI9:BI116)</f>
        <v>969870.37076272152</v>
      </c>
      <c r="BJ5" s="66">
        <f>NPV(i_gpdiscrate/12,BJ9:BJ116)</f>
        <v>749999.99999999988</v>
      </c>
      <c r="BK5" s="66">
        <f>NPV(i_gpdiscrate/12,BK9:BK116)</f>
        <v>0</v>
      </c>
    </row>
    <row r="6" spans="1:63" ht="30" customHeight="1" thickBot="1">
      <c r="B6" s="9" t="s">
        <v>325</v>
      </c>
      <c r="C6" s="112"/>
      <c r="D6" s="112"/>
      <c r="E6" s="79"/>
      <c r="G6" s="151"/>
      <c r="H6" s="151"/>
      <c r="I6" s="151"/>
      <c r="K6" s="81"/>
      <c r="L6" s="82" t="s">
        <v>156</v>
      </c>
      <c r="M6" s="83"/>
      <c r="N6" s="83"/>
      <c r="O6" s="83"/>
      <c r="P6" s="84"/>
      <c r="Q6" s="72"/>
      <c r="R6" s="82" t="s">
        <v>157</v>
      </c>
      <c r="S6" s="96"/>
      <c r="T6" s="96"/>
      <c r="U6" s="85"/>
      <c r="V6" s="85"/>
      <c r="W6" s="86"/>
      <c r="X6" s="83"/>
      <c r="Y6" s="83"/>
      <c r="Z6" s="84"/>
      <c r="AA6" s="72"/>
      <c r="AB6" s="82" t="s">
        <v>158</v>
      </c>
      <c r="AC6" s="86"/>
      <c r="AD6" s="84"/>
      <c r="AF6" s="87"/>
      <c r="AG6" s="88" t="s">
        <v>159</v>
      </c>
      <c r="AH6" s="89"/>
      <c r="AI6" s="89"/>
      <c r="AJ6" s="89"/>
      <c r="AK6" s="90"/>
      <c r="AL6" s="72"/>
      <c r="AM6" s="88" t="s">
        <v>160</v>
      </c>
      <c r="AN6" s="91"/>
      <c r="AO6" s="91"/>
      <c r="AP6" s="91"/>
      <c r="AQ6" s="91"/>
      <c r="AR6" s="92"/>
      <c r="AS6" s="89"/>
      <c r="AT6" s="89"/>
      <c r="AU6" s="90"/>
      <c r="AV6" s="72"/>
      <c r="AW6" s="88" t="s">
        <v>161</v>
      </c>
      <c r="AX6" s="92"/>
      <c r="AY6" s="90"/>
      <c r="BA6" s="94" t="s">
        <v>173</v>
      </c>
      <c r="BB6" s="99"/>
      <c r="BC6" s="99"/>
      <c r="BD6" s="99"/>
      <c r="BE6" s="99"/>
      <c r="BF6" s="99"/>
      <c r="BG6" s="99"/>
      <c r="BH6" s="99"/>
      <c r="BI6" s="99"/>
      <c r="BJ6" s="95"/>
      <c r="BK6" s="95"/>
    </row>
    <row r="7" spans="1:63" ht="75" customHeight="1">
      <c r="B7" s="12" t="s">
        <v>257</v>
      </c>
      <c r="C7" s="12" t="s">
        <v>326</v>
      </c>
      <c r="D7" s="12" t="s">
        <v>106</v>
      </c>
      <c r="E7" s="12" t="s">
        <v>107</v>
      </c>
      <c r="F7" s="150"/>
      <c r="G7" s="100" t="s">
        <v>112</v>
      </c>
      <c r="H7" s="100" t="s">
        <v>58</v>
      </c>
      <c r="I7" s="100" t="s">
        <v>112</v>
      </c>
      <c r="K7" s="11" t="s">
        <v>134</v>
      </c>
      <c r="L7" s="80" t="s">
        <v>127</v>
      </c>
      <c r="M7" s="80" t="s">
        <v>128</v>
      </c>
      <c r="N7" s="80" t="s">
        <v>129</v>
      </c>
      <c r="O7" s="80" t="s">
        <v>298</v>
      </c>
      <c r="P7" s="97" t="s">
        <v>165</v>
      </c>
      <c r="Q7" s="72"/>
      <c r="R7" s="80" t="s">
        <v>130</v>
      </c>
      <c r="S7" s="80" t="s">
        <v>171</v>
      </c>
      <c r="T7" s="97" t="s">
        <v>290</v>
      </c>
      <c r="U7" s="80" t="s">
        <v>170</v>
      </c>
      <c r="V7" s="80" t="s">
        <v>127</v>
      </c>
      <c r="W7" s="80" t="s">
        <v>300</v>
      </c>
      <c r="X7" s="80" t="s">
        <v>131</v>
      </c>
      <c r="Y7" s="80" t="s">
        <v>298</v>
      </c>
      <c r="Z7" s="97" t="s">
        <v>166</v>
      </c>
      <c r="AA7" s="72"/>
      <c r="AB7" s="80" t="s">
        <v>132</v>
      </c>
      <c r="AC7" s="80" t="s">
        <v>209</v>
      </c>
      <c r="AD7" s="97" t="s">
        <v>167</v>
      </c>
      <c r="AE7" s="150"/>
      <c r="AF7" s="11" t="s">
        <v>164</v>
      </c>
      <c r="AG7" s="93" t="s">
        <v>127</v>
      </c>
      <c r="AH7" s="93" t="s">
        <v>128</v>
      </c>
      <c r="AI7" s="93" t="s">
        <v>129</v>
      </c>
      <c r="AJ7" s="93" t="s">
        <v>298</v>
      </c>
      <c r="AK7" s="98" t="s">
        <v>165</v>
      </c>
      <c r="AL7" s="72"/>
      <c r="AM7" s="93" t="s">
        <v>130</v>
      </c>
      <c r="AN7" s="93" t="s">
        <v>171</v>
      </c>
      <c r="AO7" s="98" t="s">
        <v>290</v>
      </c>
      <c r="AP7" s="93" t="s">
        <v>170</v>
      </c>
      <c r="AQ7" s="93" t="s">
        <v>127</v>
      </c>
      <c r="AR7" s="93" t="s">
        <v>300</v>
      </c>
      <c r="AS7" s="93" t="s">
        <v>131</v>
      </c>
      <c r="AT7" s="93" t="s">
        <v>298</v>
      </c>
      <c r="AU7" s="98" t="s">
        <v>166</v>
      </c>
      <c r="AV7" s="72"/>
      <c r="AW7" s="93" t="s">
        <v>132</v>
      </c>
      <c r="AX7" s="93" t="s">
        <v>209</v>
      </c>
      <c r="AY7" s="98" t="s">
        <v>167</v>
      </c>
      <c r="AZ7" s="150"/>
      <c r="BA7" s="100" t="s">
        <v>183</v>
      </c>
      <c r="BB7" s="100" t="s">
        <v>184</v>
      </c>
      <c r="BC7" s="100" t="s">
        <v>185</v>
      </c>
      <c r="BD7" s="100" t="s">
        <v>47</v>
      </c>
      <c r="BE7" s="100" t="s">
        <v>70</v>
      </c>
      <c r="BF7" s="100" t="s">
        <v>71</v>
      </c>
      <c r="BG7" s="100" t="s">
        <v>172</v>
      </c>
      <c r="BH7" s="12" t="str">
        <f>i_gpnamea&amp;" Share of Management Fee"</f>
        <v>Crescent Share of Management Fee</v>
      </c>
      <c r="BI7" s="12" t="str">
        <f>i_gpnamea&amp;" Share of Promote"</f>
        <v>Crescent Share of Promote</v>
      </c>
      <c r="BJ7" s="102" t="str">
        <f>i_gpnameb&amp;" Share of Management Fee"</f>
        <v>LAO Share of Management Fee</v>
      </c>
      <c r="BK7" s="102" t="str">
        <f>i_gpnameb&amp;" Share of Promote"</f>
        <v>LAO Share of Promote</v>
      </c>
    </row>
    <row r="8" spans="1:63" ht="15" customHeight="1" thickBot="1">
      <c r="B8" s="106">
        <v>0</v>
      </c>
      <c r="C8" s="106">
        <v>0</v>
      </c>
      <c r="D8" s="106">
        <v>0</v>
      </c>
      <c r="E8" s="106">
        <f t="shared" ref="E8:E39" si="0">$B8-c_offset+1</f>
        <v>0</v>
      </c>
      <c r="F8" s="14"/>
      <c r="G8" s="136" t="s">
        <v>133</v>
      </c>
      <c r="H8" s="136" t="s">
        <v>133</v>
      </c>
      <c r="I8" s="136" t="s">
        <v>133</v>
      </c>
      <c r="K8" s="136" t="s">
        <v>133</v>
      </c>
      <c r="L8" s="56" t="s">
        <v>133</v>
      </c>
      <c r="M8" s="56" t="s">
        <v>133</v>
      </c>
      <c r="N8" s="137">
        <v>0</v>
      </c>
      <c r="O8" s="137">
        <v>0</v>
      </c>
      <c r="P8" s="137" t="s">
        <v>133</v>
      </c>
      <c r="Q8" s="72"/>
      <c r="R8" s="137" t="s">
        <v>133</v>
      </c>
      <c r="S8" s="137">
        <v>0</v>
      </c>
      <c r="T8" s="137">
        <v>0</v>
      </c>
      <c r="U8" s="137" t="s">
        <v>133</v>
      </c>
      <c r="V8" s="137" t="s">
        <v>133</v>
      </c>
      <c r="W8" s="137" t="s">
        <v>133</v>
      </c>
      <c r="X8" s="137">
        <v>0</v>
      </c>
      <c r="Y8" s="137">
        <v>0</v>
      </c>
      <c r="Z8" s="137" t="s">
        <v>133</v>
      </c>
      <c r="AA8" s="72"/>
      <c r="AB8" s="137" t="s">
        <v>133</v>
      </c>
      <c r="AC8" s="137" t="s">
        <v>133</v>
      </c>
      <c r="AD8" s="137" t="s">
        <v>133</v>
      </c>
      <c r="AE8" s="14"/>
      <c r="AF8" s="137" t="s">
        <v>133</v>
      </c>
      <c r="AG8" s="137" t="s">
        <v>133</v>
      </c>
      <c r="AH8" s="137" t="s">
        <v>133</v>
      </c>
      <c r="AI8" s="137">
        <v>0</v>
      </c>
      <c r="AJ8" s="137">
        <v>0</v>
      </c>
      <c r="AK8" s="137" t="s">
        <v>133</v>
      </c>
      <c r="AL8" s="72"/>
      <c r="AM8" s="137" t="s">
        <v>133</v>
      </c>
      <c r="AN8" s="137">
        <v>0</v>
      </c>
      <c r="AO8" s="137">
        <v>0</v>
      </c>
      <c r="AP8" s="137" t="s">
        <v>133</v>
      </c>
      <c r="AQ8" s="137" t="s">
        <v>133</v>
      </c>
      <c r="AR8" s="137" t="s">
        <v>133</v>
      </c>
      <c r="AS8" s="137">
        <v>0</v>
      </c>
      <c r="AT8" s="137">
        <v>0</v>
      </c>
      <c r="AU8" s="137" t="s">
        <v>133</v>
      </c>
      <c r="AV8" s="72"/>
      <c r="AW8" s="137" t="s">
        <v>133</v>
      </c>
      <c r="AX8" s="137" t="s">
        <v>133</v>
      </c>
      <c r="AY8" s="137" t="s">
        <v>133</v>
      </c>
      <c r="AZ8" s="14"/>
      <c r="BA8" s="137">
        <v>0</v>
      </c>
      <c r="BB8" s="137">
        <v>0</v>
      </c>
      <c r="BC8" s="137">
        <v>0</v>
      </c>
      <c r="BD8" s="137">
        <v>0</v>
      </c>
      <c r="BE8" s="137" t="s">
        <v>133</v>
      </c>
      <c r="BF8" s="137" t="s">
        <v>133</v>
      </c>
      <c r="BG8" s="137" t="s">
        <v>133</v>
      </c>
      <c r="BH8" s="137" t="s">
        <v>133</v>
      </c>
      <c r="BI8" s="137" t="s">
        <v>133</v>
      </c>
      <c r="BJ8" s="137" t="s">
        <v>133</v>
      </c>
      <c r="BK8" s="137" t="s">
        <v>133</v>
      </c>
    </row>
    <row r="9" spans="1:63" ht="15" customHeight="1">
      <c r="A9" s="14"/>
      <c r="B9" s="15">
        <f t="shared" ref="B9:B40" si="1">$B8+1</f>
        <v>1</v>
      </c>
      <c r="C9" s="15">
        <f t="shared" ref="C9:C40" si="2">IF($B9&gt;0,1+TRUNC(($B9-1)/12),"")</f>
        <v>1</v>
      </c>
      <c r="D9" s="15">
        <f t="shared" ref="D9:D40" si="3">IF(AND(B9&gt;=c_offset,$B9&lt;=c_offset+c_lotyears*12),1,0)</f>
        <v>1</v>
      </c>
      <c r="E9" s="15">
        <f t="shared" si="0"/>
        <v>1</v>
      </c>
      <c r="G9" s="15">
        <f>M_MultDeal!BE10+IF($B9=1,-i_transfee*i_maxequity,0)</f>
        <v>-3277357.3908905983</v>
      </c>
      <c r="H9" s="15">
        <f>M_MultDeal!AO10</f>
        <v>0</v>
      </c>
      <c r="I9" s="15">
        <f>G9-H9</f>
        <v>-3277357.3908905983</v>
      </c>
      <c r="K9" s="15">
        <f t="shared" ref="K9:K40" si="4">($G9-$H9)*i_pctequity_inst</f>
        <v>-3211810.2430727864</v>
      </c>
      <c r="L9" s="15">
        <f t="shared" ref="L9:L40" si="5">O8*c_hurdle1_inst/12</f>
        <v>0</v>
      </c>
      <c r="M9" s="15">
        <f t="shared" ref="M9:M40" si="6">N9-L9</f>
        <v>-3211810.2430727864</v>
      </c>
      <c r="N9" s="15">
        <f t="shared" ref="N9:N40" si="7">IF(OR(O8&gt;0,$B9=1),MIN(L9+O8,IF(K9&gt;0,K9*c_invsplit1_inst,K9)),0)</f>
        <v>-3211810.2430727864</v>
      </c>
      <c r="O9" s="15">
        <f t="shared" ref="O9:O40" si="8">O8-M9</f>
        <v>3211810.2430727864</v>
      </c>
      <c r="P9" s="15">
        <f t="shared" ref="P9:P40" si="9">IF(AND(c_invsplit1_inst&gt;0,K9&gt;0),(1-c_invsplit1_inst)*N9/c_invsplit1_inst,0)</f>
        <v>0</v>
      </c>
      <c r="Q9" s="72"/>
      <c r="R9" s="15">
        <f t="shared" ref="R9:R40" si="10">K9-N9-P9</f>
        <v>0</v>
      </c>
      <c r="S9" s="15">
        <f t="shared" ref="S9:S40" si="11">S8+T8</f>
        <v>0</v>
      </c>
      <c r="T9" s="15">
        <f t="shared" ref="T9:T40" si="12">IF(i_promotecatchup,MAX(MIN(R9,i_split2_inst*N$117/(1-i_split2_inst)-S9),0),0)</f>
        <v>0</v>
      </c>
      <c r="U9" s="15">
        <f t="shared" ref="U9:U40" si="13">R9-T9</f>
        <v>0</v>
      </c>
      <c r="V9" s="15">
        <f t="shared" ref="V9:V40" si="14">Y8*c_hurdle2_inst/12</f>
        <v>0</v>
      </c>
      <c r="W9" s="15">
        <f>N9+X9-V9</f>
        <v>-3211810.2430727864</v>
      </c>
      <c r="X9" s="15">
        <f t="shared" ref="X9:X40" si="15">IF(Y8&gt;0,MIN(V9+Y8-N9,U9*IF(U9&gt;0,c_invsplit2_inst,1)),0)</f>
        <v>0</v>
      </c>
      <c r="Y9" s="15">
        <f>Y8-W9</f>
        <v>3211810.2430727864</v>
      </c>
      <c r="Z9" s="15">
        <f t="shared" ref="Z9:Z40" si="16">IF(AND(c_invsplit2_inst&gt;0,X9&gt;0),(1-c_invsplit2_inst)*X9/c_invsplit2_inst,0)</f>
        <v>0</v>
      </c>
      <c r="AA9" s="72"/>
      <c r="AB9" s="15">
        <f>U9-X9-Z9</f>
        <v>0</v>
      </c>
      <c r="AC9" s="15">
        <f t="shared" ref="AC9:AC40" si="17">AB9*c_invsplit3_inst</f>
        <v>0</v>
      </c>
      <c r="AD9" s="15">
        <f t="shared" ref="AD9:AD40" si="18">AB9-AC9</f>
        <v>0</v>
      </c>
      <c r="AF9" s="15">
        <f t="shared" ref="AF9:AF40" si="19">($G9-$H9)*i_pctequity_hnw</f>
        <v>-65547.147817811972</v>
      </c>
      <c r="AG9" s="15">
        <f t="shared" ref="AG9:AG40" si="20">AJ8*c_hurdle1_hnw/12</f>
        <v>0</v>
      </c>
      <c r="AH9" s="15">
        <f t="shared" ref="AH9:AH40" si="21">AI9-AG9</f>
        <v>-65547.147817811972</v>
      </c>
      <c r="AI9" s="15">
        <f t="shared" ref="AI9:AI40" si="22">IF(OR(AJ8&gt;0,$B9=1),MIN(AG9+AJ8,IF(AF9&gt;0,AF9*c_invsplit1_hnw,AF9)),0)</f>
        <v>-65547.147817811972</v>
      </c>
      <c r="AJ9" s="15">
        <f t="shared" ref="AJ9:AJ40" si="23">AJ8-AH9</f>
        <v>65547.147817811972</v>
      </c>
      <c r="AK9" s="15">
        <f t="shared" ref="AK9:AK40" si="24">IF(AND(c_invsplit1_hnw&gt;0,AF9&gt;0),(1-c_invsplit1_hnw)*AI9/c_invsplit1_hnw,0)</f>
        <v>0</v>
      </c>
      <c r="AL9" s="72"/>
      <c r="AM9" s="15">
        <f t="shared" ref="AM9:AM40" si="25">AF9-AI9-AK9</f>
        <v>0</v>
      </c>
      <c r="AN9" s="15">
        <f t="shared" ref="AN9:AN40" si="26">AN8+AO8</f>
        <v>0</v>
      </c>
      <c r="AO9" s="15">
        <f t="shared" ref="AO9:AO40" si="27">IF(i_promotecatchup,MAX(MIN(AM9,i_split2_hnw*AI$117/(1-i_split2_hnw)-AN9),0),0)</f>
        <v>0</v>
      </c>
      <c r="AP9" s="15">
        <f t="shared" ref="AP9:AP72" si="28">AM9-AO9</f>
        <v>0</v>
      </c>
      <c r="AQ9" s="15">
        <f t="shared" ref="AQ9:AQ40" si="29">AT8*c_hurdle2_hnw/12</f>
        <v>0</v>
      </c>
      <c r="AR9" s="15">
        <f>AI9+AS9-AQ9</f>
        <v>-65547.147817811972</v>
      </c>
      <c r="AS9" s="15">
        <f t="shared" ref="AS9:AS40" si="30">IF(AT8&gt;0,MIN(AQ9+AT8-AI9,AP9*IF(AP9&gt;0,c_invsplit2_hnw,1)),0)</f>
        <v>0</v>
      </c>
      <c r="AT9" s="15">
        <f>AT8-AR9</f>
        <v>65547.147817811972</v>
      </c>
      <c r="AU9" s="15">
        <f t="shared" ref="AU9:AU40" si="31">IF(AND(c_invsplit2_hnw&gt;0,AS9&gt;0),(1-c_invsplit2_hnw)*AS9/c_invsplit2_hnw,0)</f>
        <v>0</v>
      </c>
      <c r="AV9" s="72"/>
      <c r="AW9" s="15">
        <f>AP9-AS9-AU9</f>
        <v>0</v>
      </c>
      <c r="AX9" s="15">
        <f t="shared" ref="AX9:AX40" si="32">AW9*c_invsplit3_hnw</f>
        <v>0</v>
      </c>
      <c r="AY9" s="15">
        <f t="shared" ref="AY9:AY40" si="33">AW9-AX9</f>
        <v>0</v>
      </c>
      <c r="BA9" s="15">
        <f>N9+X9+AC9</f>
        <v>-3211810.2430727864</v>
      </c>
      <c r="BB9" s="15">
        <f>AI9+AS9+AX9</f>
        <v>-65547.147817811972</v>
      </c>
      <c r="BC9" s="15">
        <f t="shared" ref="BC9:BC40" si="34">BB9+BA9</f>
        <v>-3277357.3908905983</v>
      </c>
      <c r="BD9" s="15">
        <f t="shared" ref="BD9:BD40" si="35">MAX(0,BD8-BC9)</f>
        <v>3277357.3908905983</v>
      </c>
      <c r="BE9" s="15">
        <f t="shared" ref="BE9:BE40" si="36">P9+T9+Z9+AD9</f>
        <v>0</v>
      </c>
      <c r="BF9" s="15">
        <f t="shared" ref="BF9:BF40" si="37">AK9+AO9+AU9+AY9</f>
        <v>0</v>
      </c>
      <c r="BG9" s="15">
        <f>BF9+BE9</f>
        <v>0</v>
      </c>
      <c r="BH9" s="15">
        <f t="shared" ref="BH9:BH40" si="38">i_gpmgtfeepcta*H9</f>
        <v>0</v>
      </c>
      <c r="BI9" s="15">
        <f t="shared" ref="BI9:BI40" si="39">i_gppromotepcta*BG9</f>
        <v>0</v>
      </c>
      <c r="BJ9" s="15">
        <f t="shared" ref="BJ9:BJ40" si="40">i_gpmgtfeepctb*H9</f>
        <v>0</v>
      </c>
      <c r="BK9" s="15">
        <f t="shared" ref="BK9:BK40" si="41">i_gppromotepctb*$BG9</f>
        <v>0</v>
      </c>
    </row>
    <row r="10" spans="1:63" ht="15" customHeight="1">
      <c r="B10" s="16">
        <f t="shared" si="1"/>
        <v>2</v>
      </c>
      <c r="C10" s="16">
        <f t="shared" si="2"/>
        <v>1</v>
      </c>
      <c r="D10" s="16">
        <f t="shared" si="3"/>
        <v>1</v>
      </c>
      <c r="E10" s="16">
        <f t="shared" si="0"/>
        <v>2</v>
      </c>
      <c r="G10" s="16">
        <f>M_MultDeal!BE11+IF($B10=1,-i_transfee*i_maxequity,0)</f>
        <v>-3277357.3908905983</v>
      </c>
      <c r="H10" s="16">
        <f>M_MultDeal!AO11</f>
        <v>2731.1311590754985</v>
      </c>
      <c r="I10" s="16">
        <f t="shared" ref="I10:I73" si="42">G10-H10</f>
        <v>-3280088.5220496738</v>
      </c>
      <c r="K10" s="16">
        <f t="shared" si="4"/>
        <v>-3214486.7516086805</v>
      </c>
      <c r="L10" s="16">
        <f t="shared" si="5"/>
        <v>25611.425909253932</v>
      </c>
      <c r="M10" s="16">
        <f t="shared" si="6"/>
        <v>-3240098.1775179342</v>
      </c>
      <c r="N10" s="16">
        <f t="shared" si="7"/>
        <v>-3214486.7516086805</v>
      </c>
      <c r="O10" s="16">
        <f t="shared" si="8"/>
        <v>6451908.4205907211</v>
      </c>
      <c r="P10" s="16">
        <f t="shared" si="9"/>
        <v>0</v>
      </c>
      <c r="R10" s="16">
        <f t="shared" si="10"/>
        <v>0</v>
      </c>
      <c r="S10" s="16">
        <f t="shared" si="11"/>
        <v>0</v>
      </c>
      <c r="T10" s="16">
        <f t="shared" si="12"/>
        <v>0</v>
      </c>
      <c r="U10" s="16">
        <f t="shared" si="13"/>
        <v>0</v>
      </c>
      <c r="V10" s="16">
        <f t="shared" si="14"/>
        <v>189563.08492680339</v>
      </c>
      <c r="W10" s="16">
        <f t="shared" ref="W10:W73" si="43">IF($B10&lt;&gt;1,N10+X10-V10,0)</f>
        <v>-3404049.8365354841</v>
      </c>
      <c r="X10" s="16">
        <f t="shared" si="15"/>
        <v>0</v>
      </c>
      <c r="Y10" s="16">
        <f t="shared" ref="Y10:Y73" si="44">Y9-W10</f>
        <v>6615860.0796082709</v>
      </c>
      <c r="Z10" s="16">
        <f t="shared" si="16"/>
        <v>0</v>
      </c>
      <c r="AA10" s="72"/>
      <c r="AB10" s="16">
        <f t="shared" ref="AB10:AB73" si="45">U10-X10-Z10</f>
        <v>0</v>
      </c>
      <c r="AC10" s="16">
        <f t="shared" si="17"/>
        <v>0</v>
      </c>
      <c r="AD10" s="16">
        <f t="shared" si="18"/>
        <v>0</v>
      </c>
      <c r="AF10" s="15">
        <f t="shared" si="19"/>
        <v>-65601.770440993481</v>
      </c>
      <c r="AG10" s="16">
        <f t="shared" si="20"/>
        <v>522.68216141334563</v>
      </c>
      <c r="AH10" s="16">
        <f t="shared" si="21"/>
        <v>-66124.452602406833</v>
      </c>
      <c r="AI10" s="16">
        <f t="shared" si="22"/>
        <v>-65601.770440993481</v>
      </c>
      <c r="AJ10" s="16">
        <f t="shared" si="23"/>
        <v>131671.60042021881</v>
      </c>
      <c r="AK10" s="16">
        <f t="shared" si="24"/>
        <v>0</v>
      </c>
      <c r="AM10" s="16">
        <f t="shared" si="25"/>
        <v>0</v>
      </c>
      <c r="AN10" s="16">
        <f t="shared" si="26"/>
        <v>0</v>
      </c>
      <c r="AO10" s="16">
        <f t="shared" si="27"/>
        <v>0</v>
      </c>
      <c r="AP10" s="16">
        <f t="shared" si="28"/>
        <v>0</v>
      </c>
      <c r="AQ10" s="16">
        <f t="shared" si="29"/>
        <v>522.68216141334563</v>
      </c>
      <c r="AR10" s="16">
        <f t="shared" ref="AR10:AR73" si="46">AI10+AS10-AQ10</f>
        <v>-66124.452602406833</v>
      </c>
      <c r="AS10" s="16">
        <f t="shared" si="30"/>
        <v>0</v>
      </c>
      <c r="AT10" s="16">
        <f t="shared" ref="AT10:AT73" si="47">AT9-AR10</f>
        <v>131671.60042021881</v>
      </c>
      <c r="AU10" s="16">
        <f t="shared" si="31"/>
        <v>0</v>
      </c>
      <c r="AV10" s="72"/>
      <c r="AW10" s="16">
        <f t="shared" ref="AW10:AW73" si="48">AP10-AS10-AU10</f>
        <v>0</v>
      </c>
      <c r="AX10" s="16">
        <f t="shared" si="32"/>
        <v>0</v>
      </c>
      <c r="AY10" s="16">
        <f t="shared" si="33"/>
        <v>0</v>
      </c>
      <c r="BA10" s="16">
        <f t="shared" ref="BA10:BA73" si="49">N10+X10+AC10</f>
        <v>-3214486.7516086805</v>
      </c>
      <c r="BB10" s="16">
        <f t="shared" ref="BB10:BB73" si="50">AI10+AS10+AX10</f>
        <v>-65601.770440993481</v>
      </c>
      <c r="BC10" s="16">
        <f t="shared" si="34"/>
        <v>-3280088.5220496738</v>
      </c>
      <c r="BD10" s="16">
        <f t="shared" si="35"/>
        <v>6557445.9129402721</v>
      </c>
      <c r="BE10" s="16">
        <f t="shared" si="36"/>
        <v>0</v>
      </c>
      <c r="BF10" s="16">
        <f t="shared" si="37"/>
        <v>0</v>
      </c>
      <c r="BG10" s="16">
        <f t="shared" ref="BG10:BG73" si="51">BF10+BE10</f>
        <v>0</v>
      </c>
      <c r="BH10" s="16">
        <f t="shared" si="38"/>
        <v>1365.5655795377493</v>
      </c>
      <c r="BI10" s="16">
        <f t="shared" si="39"/>
        <v>0</v>
      </c>
      <c r="BJ10" s="16">
        <f t="shared" si="40"/>
        <v>1365.5655795377493</v>
      </c>
      <c r="BK10" s="16">
        <f t="shared" si="41"/>
        <v>0</v>
      </c>
    </row>
    <row r="11" spans="1:63" ht="15" customHeight="1">
      <c r="B11" s="17">
        <f t="shared" si="1"/>
        <v>3</v>
      </c>
      <c r="C11" s="17">
        <f t="shared" si="2"/>
        <v>1</v>
      </c>
      <c r="D11" s="17">
        <f t="shared" si="3"/>
        <v>1</v>
      </c>
      <c r="E11" s="17">
        <f t="shared" si="0"/>
        <v>3</v>
      </c>
      <c r="G11" s="17">
        <f>M_MultDeal!BE12+IF($B11=1,-i_transfee*i_maxequity,0)</f>
        <v>-3277357.3908905983</v>
      </c>
      <c r="H11" s="17">
        <f>M_MultDeal!AO12</f>
        <v>5462.2623181509971</v>
      </c>
      <c r="I11" s="17">
        <f t="shared" si="42"/>
        <v>-3282819.6532087494</v>
      </c>
      <c r="K11" s="17">
        <f t="shared" si="4"/>
        <v>-3217163.2601445741</v>
      </c>
      <c r="L11" s="17">
        <f t="shared" si="5"/>
        <v>51448.423780217097</v>
      </c>
      <c r="M11" s="17">
        <f t="shared" si="6"/>
        <v>-3268611.6839247914</v>
      </c>
      <c r="N11" s="17">
        <f t="shared" si="7"/>
        <v>-3217163.2601445741</v>
      </c>
      <c r="O11" s="17">
        <f t="shared" si="8"/>
        <v>9720520.1045155115</v>
      </c>
      <c r="P11" s="17">
        <f t="shared" si="9"/>
        <v>0</v>
      </c>
      <c r="R11" s="17">
        <f t="shared" si="10"/>
        <v>0</v>
      </c>
      <c r="S11" s="17">
        <f t="shared" si="11"/>
        <v>0</v>
      </c>
      <c r="T11" s="17">
        <f t="shared" si="12"/>
        <v>0</v>
      </c>
      <c r="U11" s="17">
        <f t="shared" si="13"/>
        <v>0</v>
      </c>
      <c r="V11" s="17">
        <f t="shared" si="14"/>
        <v>390472.27302407287</v>
      </c>
      <c r="W11" s="17">
        <f t="shared" si="43"/>
        <v>-3607635.533168647</v>
      </c>
      <c r="X11" s="17">
        <f t="shared" si="15"/>
        <v>0</v>
      </c>
      <c r="Y11" s="17">
        <f t="shared" si="44"/>
        <v>10223495.612776918</v>
      </c>
      <c r="Z11" s="17">
        <f t="shared" si="16"/>
        <v>0</v>
      </c>
      <c r="AA11" s="72"/>
      <c r="AB11" s="17">
        <f t="shared" si="45"/>
        <v>0</v>
      </c>
      <c r="AC11" s="17">
        <f t="shared" si="17"/>
        <v>0</v>
      </c>
      <c r="AD11" s="17">
        <f t="shared" si="18"/>
        <v>0</v>
      </c>
      <c r="AF11" s="15">
        <f t="shared" si="19"/>
        <v>-65656.39306417499</v>
      </c>
      <c r="AG11" s="17">
        <f t="shared" si="20"/>
        <v>1049.9678322493287</v>
      </c>
      <c r="AH11" s="17">
        <f t="shared" si="21"/>
        <v>-66706.360896424318</v>
      </c>
      <c r="AI11" s="17">
        <f t="shared" si="22"/>
        <v>-65656.39306417499</v>
      </c>
      <c r="AJ11" s="17">
        <f t="shared" si="23"/>
        <v>198377.96131664311</v>
      </c>
      <c r="AK11" s="17">
        <f t="shared" si="24"/>
        <v>0</v>
      </c>
      <c r="AM11" s="17">
        <f t="shared" si="25"/>
        <v>0</v>
      </c>
      <c r="AN11" s="17">
        <f t="shared" si="26"/>
        <v>0</v>
      </c>
      <c r="AO11" s="17">
        <f t="shared" si="27"/>
        <v>0</v>
      </c>
      <c r="AP11" s="17">
        <f t="shared" si="28"/>
        <v>0</v>
      </c>
      <c r="AQ11" s="17">
        <f t="shared" si="29"/>
        <v>1049.9678322493287</v>
      </c>
      <c r="AR11" s="17">
        <f t="shared" si="46"/>
        <v>-66706.360896424318</v>
      </c>
      <c r="AS11" s="17">
        <f t="shared" si="30"/>
        <v>0</v>
      </c>
      <c r="AT11" s="17">
        <f t="shared" si="47"/>
        <v>198377.96131664311</v>
      </c>
      <c r="AU11" s="17">
        <f t="shared" si="31"/>
        <v>0</v>
      </c>
      <c r="AV11" s="72"/>
      <c r="AW11" s="17">
        <f t="shared" si="48"/>
        <v>0</v>
      </c>
      <c r="AX11" s="17">
        <f t="shared" si="32"/>
        <v>0</v>
      </c>
      <c r="AY11" s="17">
        <f t="shared" si="33"/>
        <v>0</v>
      </c>
      <c r="BA11" s="17">
        <f t="shared" si="49"/>
        <v>-3217163.2601445741</v>
      </c>
      <c r="BB11" s="17">
        <f t="shared" si="50"/>
        <v>-65656.39306417499</v>
      </c>
      <c r="BC11" s="17">
        <f t="shared" si="34"/>
        <v>-3282819.6532087489</v>
      </c>
      <c r="BD11" s="17">
        <f t="shared" si="35"/>
        <v>9840265.5661490206</v>
      </c>
      <c r="BE11" s="17">
        <f t="shared" si="36"/>
        <v>0</v>
      </c>
      <c r="BF11" s="17">
        <f t="shared" si="37"/>
        <v>0</v>
      </c>
      <c r="BG11" s="17">
        <f t="shared" si="51"/>
        <v>0</v>
      </c>
      <c r="BH11" s="17">
        <f t="shared" si="38"/>
        <v>2731.1311590754985</v>
      </c>
      <c r="BI11" s="17">
        <f t="shared" si="39"/>
        <v>0</v>
      </c>
      <c r="BJ11" s="17">
        <f t="shared" si="40"/>
        <v>2731.1311590754985</v>
      </c>
      <c r="BK11" s="17">
        <f t="shared" si="41"/>
        <v>0</v>
      </c>
    </row>
    <row r="12" spans="1:63" ht="15" customHeight="1">
      <c r="B12" s="15">
        <f t="shared" si="1"/>
        <v>4</v>
      </c>
      <c r="C12" s="15">
        <f t="shared" si="2"/>
        <v>1</v>
      </c>
      <c r="D12" s="15">
        <f t="shared" si="3"/>
        <v>1</v>
      </c>
      <c r="E12" s="15">
        <f t="shared" si="0"/>
        <v>4</v>
      </c>
      <c r="G12" s="15">
        <f>M_MultDeal!BE13+IF($B12=1,-i_transfee*i_maxequity,0)</f>
        <v>-3277357.3908905983</v>
      </c>
      <c r="H12" s="15">
        <f>M_MultDeal!AO13</f>
        <v>8193.3934772264947</v>
      </c>
      <c r="I12" s="15">
        <f t="shared" si="42"/>
        <v>-3285550.7843678249</v>
      </c>
      <c r="K12" s="15">
        <f t="shared" si="4"/>
        <v>-3219839.7686804682</v>
      </c>
      <c r="L12" s="15">
        <f t="shared" si="5"/>
        <v>77512.792355388985</v>
      </c>
      <c r="M12" s="15">
        <f t="shared" si="6"/>
        <v>-3297352.5610358571</v>
      </c>
      <c r="N12" s="15">
        <f t="shared" si="7"/>
        <v>-3219839.7686804682</v>
      </c>
      <c r="O12" s="15">
        <f t="shared" si="8"/>
        <v>13017872.665551368</v>
      </c>
      <c r="P12" s="15">
        <f t="shared" si="9"/>
        <v>0</v>
      </c>
      <c r="R12" s="15">
        <f t="shared" si="10"/>
        <v>0</v>
      </c>
      <c r="S12" s="15">
        <f t="shared" si="11"/>
        <v>0</v>
      </c>
      <c r="T12" s="15">
        <f t="shared" si="12"/>
        <v>0</v>
      </c>
      <c r="U12" s="15">
        <f t="shared" si="13"/>
        <v>0</v>
      </c>
      <c r="V12" s="15">
        <f t="shared" si="14"/>
        <v>603397.2185229481</v>
      </c>
      <c r="W12" s="15">
        <f t="shared" si="43"/>
        <v>-3823236.9872034164</v>
      </c>
      <c r="X12" s="15">
        <f t="shared" si="15"/>
        <v>0</v>
      </c>
      <c r="Y12" s="15">
        <f t="shared" si="44"/>
        <v>14046732.599980336</v>
      </c>
      <c r="Z12" s="15">
        <f t="shared" si="16"/>
        <v>0</v>
      </c>
      <c r="AA12" s="72"/>
      <c r="AB12" s="15">
        <f t="shared" si="45"/>
        <v>0</v>
      </c>
      <c r="AC12" s="15">
        <f t="shared" si="17"/>
        <v>0</v>
      </c>
      <c r="AD12" s="15">
        <f t="shared" si="18"/>
        <v>0</v>
      </c>
      <c r="AF12" s="15">
        <f t="shared" si="19"/>
        <v>-65711.015687356499</v>
      </c>
      <c r="AG12" s="15">
        <f t="shared" si="20"/>
        <v>1581.8937215385506</v>
      </c>
      <c r="AH12" s="15">
        <f t="shared" si="21"/>
        <v>-67292.909408895051</v>
      </c>
      <c r="AI12" s="15">
        <f t="shared" si="22"/>
        <v>-65711.015687356499</v>
      </c>
      <c r="AJ12" s="15">
        <f t="shared" si="23"/>
        <v>265670.87072553817</v>
      </c>
      <c r="AK12" s="15">
        <f t="shared" si="24"/>
        <v>0</v>
      </c>
      <c r="AM12" s="15">
        <f t="shared" si="25"/>
        <v>0</v>
      </c>
      <c r="AN12" s="15">
        <f t="shared" si="26"/>
        <v>0</v>
      </c>
      <c r="AO12" s="15">
        <f t="shared" si="27"/>
        <v>0</v>
      </c>
      <c r="AP12" s="15">
        <f t="shared" si="28"/>
        <v>0</v>
      </c>
      <c r="AQ12" s="15">
        <f t="shared" si="29"/>
        <v>1581.8937215385506</v>
      </c>
      <c r="AR12" s="15">
        <f t="shared" si="46"/>
        <v>-67292.909408895051</v>
      </c>
      <c r="AS12" s="15">
        <f t="shared" si="30"/>
        <v>0</v>
      </c>
      <c r="AT12" s="15">
        <f t="shared" si="47"/>
        <v>265670.87072553817</v>
      </c>
      <c r="AU12" s="15">
        <f t="shared" si="31"/>
        <v>0</v>
      </c>
      <c r="AV12" s="72"/>
      <c r="AW12" s="15">
        <f t="shared" si="48"/>
        <v>0</v>
      </c>
      <c r="AX12" s="15">
        <f t="shared" si="32"/>
        <v>0</v>
      </c>
      <c r="AY12" s="15">
        <f t="shared" si="33"/>
        <v>0</v>
      </c>
      <c r="BA12" s="15">
        <f t="shared" si="49"/>
        <v>-3219839.7686804682</v>
      </c>
      <c r="BB12" s="15">
        <f t="shared" si="50"/>
        <v>-65711.015687356499</v>
      </c>
      <c r="BC12" s="15">
        <f t="shared" si="34"/>
        <v>-3285550.7843678249</v>
      </c>
      <c r="BD12" s="15">
        <f t="shared" si="35"/>
        <v>13125816.350516845</v>
      </c>
      <c r="BE12" s="15">
        <f t="shared" si="36"/>
        <v>0</v>
      </c>
      <c r="BF12" s="15">
        <f t="shared" si="37"/>
        <v>0</v>
      </c>
      <c r="BG12" s="15">
        <f t="shared" si="51"/>
        <v>0</v>
      </c>
      <c r="BH12" s="15">
        <f t="shared" si="38"/>
        <v>4096.6967386132474</v>
      </c>
      <c r="BI12" s="15">
        <f t="shared" si="39"/>
        <v>0</v>
      </c>
      <c r="BJ12" s="15">
        <f t="shared" si="40"/>
        <v>4096.6967386132474</v>
      </c>
      <c r="BK12" s="15">
        <f t="shared" si="41"/>
        <v>0</v>
      </c>
    </row>
    <row r="13" spans="1:63" ht="15" customHeight="1">
      <c r="B13" s="16">
        <f t="shared" si="1"/>
        <v>5</v>
      </c>
      <c r="C13" s="16">
        <f t="shared" si="2"/>
        <v>1</v>
      </c>
      <c r="D13" s="16">
        <f t="shared" si="3"/>
        <v>1</v>
      </c>
      <c r="E13" s="16">
        <f t="shared" si="0"/>
        <v>5</v>
      </c>
      <c r="G13" s="16">
        <f>M_MultDeal!BE14+IF($B13=1,-i_transfee*i_maxequity,0)</f>
        <v>-3277357.3908905983</v>
      </c>
      <c r="H13" s="16">
        <f>M_MultDeal!AO14</f>
        <v>10924.524636301994</v>
      </c>
      <c r="I13" s="16">
        <f t="shared" si="42"/>
        <v>-3288281.9155269004</v>
      </c>
      <c r="K13" s="16">
        <f t="shared" si="4"/>
        <v>-3222516.2772163623</v>
      </c>
      <c r="L13" s="16">
        <f t="shared" si="5"/>
        <v>103806.34472069437</v>
      </c>
      <c r="M13" s="16">
        <f t="shared" si="6"/>
        <v>-3326322.6219370565</v>
      </c>
      <c r="N13" s="16">
        <f t="shared" si="7"/>
        <v>-3222516.2772163623</v>
      </c>
      <c r="O13" s="16">
        <f t="shared" si="8"/>
        <v>16344195.287488425</v>
      </c>
      <c r="P13" s="16">
        <f t="shared" si="9"/>
        <v>0</v>
      </c>
      <c r="R13" s="16">
        <f t="shared" si="10"/>
        <v>0</v>
      </c>
      <c r="S13" s="16">
        <f t="shared" si="11"/>
        <v>0</v>
      </c>
      <c r="T13" s="16">
        <f t="shared" si="12"/>
        <v>0</v>
      </c>
      <c r="U13" s="16">
        <f t="shared" si="13"/>
        <v>0</v>
      </c>
      <c r="V13" s="16">
        <f t="shared" si="14"/>
        <v>829047.09907353856</v>
      </c>
      <c r="W13" s="16">
        <f t="shared" si="43"/>
        <v>-4051563.3762899009</v>
      </c>
      <c r="X13" s="16">
        <f t="shared" si="15"/>
        <v>0</v>
      </c>
      <c r="Y13" s="16">
        <f t="shared" si="44"/>
        <v>18098295.976270236</v>
      </c>
      <c r="Z13" s="16">
        <f t="shared" si="16"/>
        <v>0</v>
      </c>
      <c r="AA13" s="72"/>
      <c r="AB13" s="16">
        <f t="shared" si="45"/>
        <v>0</v>
      </c>
      <c r="AC13" s="16">
        <f t="shared" si="17"/>
        <v>0</v>
      </c>
      <c r="AD13" s="16">
        <f t="shared" si="18"/>
        <v>0</v>
      </c>
      <c r="AF13" s="15">
        <f t="shared" si="19"/>
        <v>-65765.638310538008</v>
      </c>
      <c r="AG13" s="16">
        <f t="shared" si="20"/>
        <v>2118.4968310345794</v>
      </c>
      <c r="AH13" s="16">
        <f t="shared" si="21"/>
        <v>-67884.135141572595</v>
      </c>
      <c r="AI13" s="16">
        <f t="shared" si="22"/>
        <v>-65765.638310538008</v>
      </c>
      <c r="AJ13" s="16">
        <f t="shared" si="23"/>
        <v>333555.0058671108</v>
      </c>
      <c r="AK13" s="16">
        <f t="shared" si="24"/>
        <v>0</v>
      </c>
      <c r="AM13" s="16">
        <f t="shared" si="25"/>
        <v>0</v>
      </c>
      <c r="AN13" s="16">
        <f t="shared" si="26"/>
        <v>0</v>
      </c>
      <c r="AO13" s="16">
        <f t="shared" si="27"/>
        <v>0</v>
      </c>
      <c r="AP13" s="16">
        <f t="shared" si="28"/>
        <v>0</v>
      </c>
      <c r="AQ13" s="16">
        <f t="shared" si="29"/>
        <v>2118.4968310345794</v>
      </c>
      <c r="AR13" s="16">
        <f t="shared" si="46"/>
        <v>-67884.135141572595</v>
      </c>
      <c r="AS13" s="16">
        <f t="shared" si="30"/>
        <v>0</v>
      </c>
      <c r="AT13" s="16">
        <f t="shared" si="47"/>
        <v>333555.0058671108</v>
      </c>
      <c r="AU13" s="16">
        <f t="shared" si="31"/>
        <v>0</v>
      </c>
      <c r="AV13" s="72"/>
      <c r="AW13" s="16">
        <f t="shared" si="48"/>
        <v>0</v>
      </c>
      <c r="AX13" s="16">
        <f t="shared" si="32"/>
        <v>0</v>
      </c>
      <c r="AY13" s="16">
        <f t="shared" si="33"/>
        <v>0</v>
      </c>
      <c r="BA13" s="16">
        <f t="shared" si="49"/>
        <v>-3222516.2772163623</v>
      </c>
      <c r="BB13" s="16">
        <f t="shared" si="50"/>
        <v>-65765.638310538008</v>
      </c>
      <c r="BC13" s="16">
        <f t="shared" si="34"/>
        <v>-3288281.9155269004</v>
      </c>
      <c r="BD13" s="16">
        <f t="shared" si="35"/>
        <v>16414098.266043745</v>
      </c>
      <c r="BE13" s="16">
        <f t="shared" si="36"/>
        <v>0</v>
      </c>
      <c r="BF13" s="16">
        <f t="shared" si="37"/>
        <v>0</v>
      </c>
      <c r="BG13" s="16">
        <f t="shared" si="51"/>
        <v>0</v>
      </c>
      <c r="BH13" s="16">
        <f t="shared" si="38"/>
        <v>5462.2623181509971</v>
      </c>
      <c r="BI13" s="16">
        <f t="shared" si="39"/>
        <v>0</v>
      </c>
      <c r="BJ13" s="16">
        <f t="shared" si="40"/>
        <v>5462.2623181509971</v>
      </c>
      <c r="BK13" s="16">
        <f t="shared" si="41"/>
        <v>0</v>
      </c>
    </row>
    <row r="14" spans="1:63" ht="15" customHeight="1">
      <c r="B14" s="17">
        <f t="shared" si="1"/>
        <v>6</v>
      </c>
      <c r="C14" s="17">
        <f t="shared" si="2"/>
        <v>1</v>
      </c>
      <c r="D14" s="17">
        <f t="shared" si="3"/>
        <v>1</v>
      </c>
      <c r="E14" s="17">
        <f t="shared" si="0"/>
        <v>6</v>
      </c>
      <c r="G14" s="17">
        <f>M_MultDeal!BE15+IF($B14=1,-i_transfee*i_maxequity,0)</f>
        <v>-2889519.7544691204</v>
      </c>
      <c r="H14" s="17">
        <f>M_MultDeal!AO15</f>
        <v>13655.655795377494</v>
      </c>
      <c r="I14" s="17">
        <f t="shared" si="42"/>
        <v>-2903175.4102644981</v>
      </c>
      <c r="K14" s="17">
        <f t="shared" si="4"/>
        <v>-2845111.9020592081</v>
      </c>
      <c r="L14" s="17">
        <f t="shared" si="5"/>
        <v>130330.90841985983</v>
      </c>
      <c r="M14" s="17">
        <f t="shared" si="6"/>
        <v>-2975442.8104790682</v>
      </c>
      <c r="N14" s="17">
        <f t="shared" si="7"/>
        <v>-2845111.9020592081</v>
      </c>
      <c r="O14" s="17">
        <f t="shared" si="8"/>
        <v>19319638.097967494</v>
      </c>
      <c r="P14" s="17">
        <f t="shared" si="9"/>
        <v>0</v>
      </c>
      <c r="R14" s="17">
        <f t="shared" si="10"/>
        <v>0</v>
      </c>
      <c r="S14" s="17">
        <f t="shared" si="11"/>
        <v>0</v>
      </c>
      <c r="T14" s="17">
        <f t="shared" si="12"/>
        <v>0</v>
      </c>
      <c r="U14" s="17">
        <f t="shared" si="13"/>
        <v>0</v>
      </c>
      <c r="V14" s="17">
        <f t="shared" si="14"/>
        <v>1068172.9484422691</v>
      </c>
      <c r="W14" s="17">
        <f t="shared" si="43"/>
        <v>-3913284.8505014773</v>
      </c>
      <c r="X14" s="17">
        <f t="shared" si="15"/>
        <v>0</v>
      </c>
      <c r="Y14" s="17">
        <f t="shared" si="44"/>
        <v>22011580.826771714</v>
      </c>
      <c r="Z14" s="17">
        <f t="shared" si="16"/>
        <v>0</v>
      </c>
      <c r="AA14" s="72"/>
      <c r="AB14" s="17">
        <f t="shared" si="45"/>
        <v>0</v>
      </c>
      <c r="AC14" s="17">
        <f t="shared" si="17"/>
        <v>0</v>
      </c>
      <c r="AD14" s="17">
        <f t="shared" si="18"/>
        <v>0</v>
      </c>
      <c r="AF14" s="15">
        <f t="shared" si="19"/>
        <v>-58063.50820528996</v>
      </c>
      <c r="AG14" s="17">
        <f t="shared" si="20"/>
        <v>2659.8144575481606</v>
      </c>
      <c r="AH14" s="17">
        <f t="shared" si="21"/>
        <v>-60723.322662838124</v>
      </c>
      <c r="AI14" s="17">
        <f t="shared" si="22"/>
        <v>-58063.50820528996</v>
      </c>
      <c r="AJ14" s="17">
        <f t="shared" si="23"/>
        <v>394278.32852994895</v>
      </c>
      <c r="AK14" s="17">
        <f t="shared" si="24"/>
        <v>0</v>
      </c>
      <c r="AM14" s="17">
        <f t="shared" si="25"/>
        <v>0</v>
      </c>
      <c r="AN14" s="17">
        <f t="shared" si="26"/>
        <v>0</v>
      </c>
      <c r="AO14" s="17">
        <f t="shared" si="27"/>
        <v>0</v>
      </c>
      <c r="AP14" s="17">
        <f t="shared" si="28"/>
        <v>0</v>
      </c>
      <c r="AQ14" s="17">
        <f t="shared" si="29"/>
        <v>2659.8144575481606</v>
      </c>
      <c r="AR14" s="17">
        <f t="shared" si="46"/>
        <v>-60723.322662838124</v>
      </c>
      <c r="AS14" s="17">
        <f t="shared" si="30"/>
        <v>0</v>
      </c>
      <c r="AT14" s="17">
        <f t="shared" si="47"/>
        <v>394278.32852994895</v>
      </c>
      <c r="AU14" s="17">
        <f t="shared" si="31"/>
        <v>0</v>
      </c>
      <c r="AV14" s="72"/>
      <c r="AW14" s="17">
        <f t="shared" si="48"/>
        <v>0</v>
      </c>
      <c r="AX14" s="17">
        <f t="shared" si="32"/>
        <v>0</v>
      </c>
      <c r="AY14" s="17">
        <f t="shared" si="33"/>
        <v>0</v>
      </c>
      <c r="BA14" s="17">
        <f t="shared" si="49"/>
        <v>-2845111.9020592081</v>
      </c>
      <c r="BB14" s="17">
        <f t="shared" si="50"/>
        <v>-58063.50820528996</v>
      </c>
      <c r="BC14" s="17">
        <f t="shared" si="34"/>
        <v>-2903175.4102644981</v>
      </c>
      <c r="BD14" s="17">
        <f t="shared" si="35"/>
        <v>19317273.676308244</v>
      </c>
      <c r="BE14" s="17">
        <f t="shared" si="36"/>
        <v>0</v>
      </c>
      <c r="BF14" s="17">
        <f t="shared" si="37"/>
        <v>0</v>
      </c>
      <c r="BG14" s="17">
        <f t="shared" si="51"/>
        <v>0</v>
      </c>
      <c r="BH14" s="17">
        <f t="shared" si="38"/>
        <v>6827.8278976887468</v>
      </c>
      <c r="BI14" s="17">
        <f t="shared" si="39"/>
        <v>0</v>
      </c>
      <c r="BJ14" s="17">
        <f t="shared" si="40"/>
        <v>6827.8278976887468</v>
      </c>
      <c r="BK14" s="17">
        <f t="shared" si="41"/>
        <v>0</v>
      </c>
    </row>
    <row r="15" spans="1:63" ht="15" customHeight="1">
      <c r="B15" s="15">
        <f t="shared" si="1"/>
        <v>7</v>
      </c>
      <c r="C15" s="15">
        <f t="shared" si="2"/>
        <v>1</v>
      </c>
      <c r="D15" s="15">
        <f t="shared" si="3"/>
        <v>1</v>
      </c>
      <c r="E15" s="15">
        <f t="shared" si="0"/>
        <v>7</v>
      </c>
      <c r="G15" s="15">
        <f>M_MultDeal!BE16+IF($B15=1,-i_transfee*i_maxequity,0)</f>
        <v>-2889519.7544691204</v>
      </c>
      <c r="H15" s="15">
        <f>M_MultDeal!AO16</f>
        <v>16113.673838545445</v>
      </c>
      <c r="I15" s="15">
        <f t="shared" si="42"/>
        <v>-2905633.428307666</v>
      </c>
      <c r="K15" s="15">
        <f t="shared" si="4"/>
        <v>-2847520.7597415126</v>
      </c>
      <c r="L15" s="15">
        <f t="shared" si="5"/>
        <v>154057.50722879203</v>
      </c>
      <c r="M15" s="15">
        <f t="shared" si="6"/>
        <v>-3001578.2669703048</v>
      </c>
      <c r="N15" s="15">
        <f t="shared" si="7"/>
        <v>-2847520.7597415126</v>
      </c>
      <c r="O15" s="15">
        <f t="shared" si="8"/>
        <v>22321216.364937797</v>
      </c>
      <c r="P15" s="15">
        <f t="shared" si="9"/>
        <v>0</v>
      </c>
      <c r="R15" s="15">
        <f t="shared" si="10"/>
        <v>0</v>
      </c>
      <c r="S15" s="15">
        <f t="shared" si="11"/>
        <v>0</v>
      </c>
      <c r="T15" s="15">
        <f t="shared" si="12"/>
        <v>0</v>
      </c>
      <c r="U15" s="15">
        <f t="shared" si="13"/>
        <v>0</v>
      </c>
      <c r="V15" s="15">
        <f t="shared" si="14"/>
        <v>1299137.5112019544</v>
      </c>
      <c r="W15" s="15">
        <f t="shared" si="43"/>
        <v>-4146658.270943467</v>
      </c>
      <c r="X15" s="15">
        <f t="shared" si="15"/>
        <v>0</v>
      </c>
      <c r="Y15" s="15">
        <f t="shared" si="44"/>
        <v>26158239.09771518</v>
      </c>
      <c r="Z15" s="15">
        <f t="shared" si="16"/>
        <v>0</v>
      </c>
      <c r="AA15" s="72"/>
      <c r="AB15" s="15">
        <f t="shared" si="45"/>
        <v>0</v>
      </c>
      <c r="AC15" s="15">
        <f t="shared" si="17"/>
        <v>0</v>
      </c>
      <c r="AD15" s="15">
        <f t="shared" si="18"/>
        <v>0</v>
      </c>
      <c r="AF15" s="15">
        <f t="shared" si="19"/>
        <v>-58112.668566153319</v>
      </c>
      <c r="AG15" s="15">
        <f t="shared" si="20"/>
        <v>3144.0307597712667</v>
      </c>
      <c r="AH15" s="15">
        <f t="shared" si="21"/>
        <v>-61256.699325924586</v>
      </c>
      <c r="AI15" s="15">
        <f t="shared" si="22"/>
        <v>-58112.668566153319</v>
      </c>
      <c r="AJ15" s="15">
        <f t="shared" si="23"/>
        <v>455535.02785587352</v>
      </c>
      <c r="AK15" s="15">
        <f t="shared" si="24"/>
        <v>0</v>
      </c>
      <c r="AM15" s="15">
        <f t="shared" si="25"/>
        <v>0</v>
      </c>
      <c r="AN15" s="15">
        <f t="shared" si="26"/>
        <v>0</v>
      </c>
      <c r="AO15" s="15">
        <f t="shared" si="27"/>
        <v>0</v>
      </c>
      <c r="AP15" s="15">
        <f t="shared" si="28"/>
        <v>0</v>
      </c>
      <c r="AQ15" s="15">
        <f t="shared" si="29"/>
        <v>3144.0307597712667</v>
      </c>
      <c r="AR15" s="15">
        <f t="shared" si="46"/>
        <v>-61256.699325924586</v>
      </c>
      <c r="AS15" s="15">
        <f t="shared" si="30"/>
        <v>0</v>
      </c>
      <c r="AT15" s="15">
        <f t="shared" si="47"/>
        <v>455535.02785587352</v>
      </c>
      <c r="AU15" s="15">
        <f t="shared" si="31"/>
        <v>0</v>
      </c>
      <c r="AV15" s="72"/>
      <c r="AW15" s="15">
        <f t="shared" si="48"/>
        <v>0</v>
      </c>
      <c r="AX15" s="15">
        <f t="shared" si="32"/>
        <v>0</v>
      </c>
      <c r="AY15" s="15">
        <f t="shared" si="33"/>
        <v>0</v>
      </c>
      <c r="BA15" s="15">
        <f t="shared" si="49"/>
        <v>-2847520.7597415126</v>
      </c>
      <c r="BB15" s="15">
        <f t="shared" si="50"/>
        <v>-58112.668566153319</v>
      </c>
      <c r="BC15" s="15">
        <f t="shared" si="34"/>
        <v>-2905633.428307666</v>
      </c>
      <c r="BD15" s="15">
        <f t="shared" si="35"/>
        <v>22222907.104615912</v>
      </c>
      <c r="BE15" s="15">
        <f t="shared" si="36"/>
        <v>0</v>
      </c>
      <c r="BF15" s="15">
        <f t="shared" si="37"/>
        <v>0</v>
      </c>
      <c r="BG15" s="15">
        <f t="shared" si="51"/>
        <v>0</v>
      </c>
      <c r="BH15" s="15">
        <f t="shared" si="38"/>
        <v>8056.8369192727223</v>
      </c>
      <c r="BI15" s="15">
        <f t="shared" si="39"/>
        <v>0</v>
      </c>
      <c r="BJ15" s="15">
        <f t="shared" si="40"/>
        <v>8056.8369192727223</v>
      </c>
      <c r="BK15" s="15">
        <f t="shared" si="41"/>
        <v>0</v>
      </c>
    </row>
    <row r="16" spans="1:63" ht="15" customHeight="1">
      <c r="B16" s="16">
        <f t="shared" si="1"/>
        <v>8</v>
      </c>
      <c r="C16" s="16">
        <f t="shared" si="2"/>
        <v>1</v>
      </c>
      <c r="D16" s="16">
        <f t="shared" si="3"/>
        <v>1</v>
      </c>
      <c r="E16" s="16">
        <f t="shared" si="0"/>
        <v>8</v>
      </c>
      <c r="G16" s="16">
        <f>M_MultDeal!BE17+IF($B16=1,-i_transfee*i_maxequity,0)</f>
        <v>-2889519.7544691204</v>
      </c>
      <c r="H16" s="16">
        <f>M_MultDeal!AO17</f>
        <v>18571.691881713392</v>
      </c>
      <c r="I16" s="16">
        <f t="shared" si="42"/>
        <v>-2908091.4463508339</v>
      </c>
      <c r="K16" s="16">
        <f t="shared" si="4"/>
        <v>-2849929.617423817</v>
      </c>
      <c r="L16" s="16">
        <f t="shared" si="5"/>
        <v>177992.5138379588</v>
      </c>
      <c r="M16" s="16">
        <f t="shared" si="6"/>
        <v>-3027922.1312617757</v>
      </c>
      <c r="N16" s="16">
        <f t="shared" si="7"/>
        <v>-2849929.617423817</v>
      </c>
      <c r="O16" s="16">
        <f t="shared" si="8"/>
        <v>25349138.496199574</v>
      </c>
      <c r="P16" s="16">
        <f t="shared" si="9"/>
        <v>0</v>
      </c>
      <c r="R16" s="16">
        <f t="shared" si="10"/>
        <v>0</v>
      </c>
      <c r="S16" s="16">
        <f t="shared" si="11"/>
        <v>0</v>
      </c>
      <c r="T16" s="16">
        <f t="shared" si="12"/>
        <v>0</v>
      </c>
      <c r="U16" s="16">
        <f t="shared" si="13"/>
        <v>0</v>
      </c>
      <c r="V16" s="16">
        <f t="shared" si="14"/>
        <v>1543875.9217829166</v>
      </c>
      <c r="W16" s="16">
        <f t="shared" si="43"/>
        <v>-4393805.5392067339</v>
      </c>
      <c r="X16" s="16">
        <f t="shared" si="15"/>
        <v>0</v>
      </c>
      <c r="Y16" s="16">
        <f t="shared" si="44"/>
        <v>30552044.636921912</v>
      </c>
      <c r="Z16" s="16">
        <f t="shared" si="16"/>
        <v>0</v>
      </c>
      <c r="AA16" s="72"/>
      <c r="AB16" s="16">
        <f t="shared" si="45"/>
        <v>0</v>
      </c>
      <c r="AC16" s="16">
        <f t="shared" si="17"/>
        <v>0</v>
      </c>
      <c r="AD16" s="16">
        <f t="shared" si="18"/>
        <v>0</v>
      </c>
      <c r="AF16" s="15">
        <f t="shared" si="19"/>
        <v>-58161.828927016679</v>
      </c>
      <c r="AG16" s="16">
        <f t="shared" si="20"/>
        <v>3632.5002824073235</v>
      </c>
      <c r="AH16" s="16">
        <f t="shared" si="21"/>
        <v>-61794.329209424002</v>
      </c>
      <c r="AI16" s="16">
        <f t="shared" si="22"/>
        <v>-58161.828927016679</v>
      </c>
      <c r="AJ16" s="16">
        <f t="shared" si="23"/>
        <v>517329.35706529755</v>
      </c>
      <c r="AK16" s="16">
        <f t="shared" si="24"/>
        <v>0</v>
      </c>
      <c r="AM16" s="16">
        <f t="shared" si="25"/>
        <v>0</v>
      </c>
      <c r="AN16" s="16">
        <f t="shared" si="26"/>
        <v>0</v>
      </c>
      <c r="AO16" s="16">
        <f t="shared" si="27"/>
        <v>0</v>
      </c>
      <c r="AP16" s="16">
        <f t="shared" si="28"/>
        <v>0</v>
      </c>
      <c r="AQ16" s="16">
        <f t="shared" si="29"/>
        <v>3632.5002824073235</v>
      </c>
      <c r="AR16" s="16">
        <f t="shared" si="46"/>
        <v>-61794.329209424002</v>
      </c>
      <c r="AS16" s="16">
        <f t="shared" si="30"/>
        <v>0</v>
      </c>
      <c r="AT16" s="16">
        <f t="shared" si="47"/>
        <v>517329.35706529755</v>
      </c>
      <c r="AU16" s="16">
        <f t="shared" si="31"/>
        <v>0</v>
      </c>
      <c r="AV16" s="72"/>
      <c r="AW16" s="16">
        <f t="shared" si="48"/>
        <v>0</v>
      </c>
      <c r="AX16" s="16">
        <f t="shared" si="32"/>
        <v>0</v>
      </c>
      <c r="AY16" s="16">
        <f t="shared" si="33"/>
        <v>0</v>
      </c>
      <c r="BA16" s="16">
        <f t="shared" si="49"/>
        <v>-2849929.617423817</v>
      </c>
      <c r="BB16" s="16">
        <f t="shared" si="50"/>
        <v>-58161.828927016679</v>
      </c>
      <c r="BC16" s="16">
        <f t="shared" si="34"/>
        <v>-2908091.4463508339</v>
      </c>
      <c r="BD16" s="16">
        <f t="shared" si="35"/>
        <v>25130998.550966747</v>
      </c>
      <c r="BE16" s="16">
        <f t="shared" si="36"/>
        <v>0</v>
      </c>
      <c r="BF16" s="16">
        <f t="shared" si="37"/>
        <v>0</v>
      </c>
      <c r="BG16" s="16">
        <f t="shared" si="51"/>
        <v>0</v>
      </c>
      <c r="BH16" s="16">
        <f t="shared" si="38"/>
        <v>9285.845940856696</v>
      </c>
      <c r="BI16" s="16">
        <f t="shared" si="39"/>
        <v>0</v>
      </c>
      <c r="BJ16" s="16">
        <f t="shared" si="40"/>
        <v>9285.845940856696</v>
      </c>
      <c r="BK16" s="16">
        <f t="shared" si="41"/>
        <v>0</v>
      </c>
    </row>
    <row r="17" spans="2:63" ht="15" customHeight="1">
      <c r="B17" s="17">
        <f t="shared" si="1"/>
        <v>9</v>
      </c>
      <c r="C17" s="17">
        <f t="shared" si="2"/>
        <v>1</v>
      </c>
      <c r="D17" s="17">
        <f t="shared" si="3"/>
        <v>1</v>
      </c>
      <c r="E17" s="17">
        <f t="shared" si="0"/>
        <v>9</v>
      </c>
      <c r="G17" s="17">
        <f>M_MultDeal!BE18+IF($B17=1,-i_transfee*i_maxequity,0)</f>
        <v>-2889519.7544691204</v>
      </c>
      <c r="H17" s="17">
        <f>M_MultDeal!AO18</f>
        <v>21029.709924881343</v>
      </c>
      <c r="I17" s="17">
        <f t="shared" si="42"/>
        <v>-2910549.4643940018</v>
      </c>
      <c r="K17" s="17">
        <f t="shared" si="4"/>
        <v>-2852338.4751061215</v>
      </c>
      <c r="L17" s="17">
        <f t="shared" si="5"/>
        <v>202137.5901204258</v>
      </c>
      <c r="M17" s="17">
        <f t="shared" si="6"/>
        <v>-3054476.0652265474</v>
      </c>
      <c r="N17" s="17">
        <f t="shared" si="7"/>
        <v>-2852338.4751061215</v>
      </c>
      <c r="O17" s="17">
        <f t="shared" si="8"/>
        <v>28403614.561426122</v>
      </c>
      <c r="P17" s="17">
        <f t="shared" si="9"/>
        <v>0</v>
      </c>
      <c r="R17" s="17">
        <f t="shared" si="10"/>
        <v>0</v>
      </c>
      <c r="S17" s="17">
        <f t="shared" si="11"/>
        <v>0</v>
      </c>
      <c r="T17" s="17">
        <f t="shared" si="12"/>
        <v>0</v>
      </c>
      <c r="U17" s="17">
        <f t="shared" si="13"/>
        <v>0</v>
      </c>
      <c r="V17" s="17">
        <f t="shared" si="14"/>
        <v>1803201.1214508943</v>
      </c>
      <c r="W17" s="17">
        <f t="shared" si="43"/>
        <v>-4655539.5965570156</v>
      </c>
      <c r="X17" s="17">
        <f t="shared" si="15"/>
        <v>0</v>
      </c>
      <c r="Y17" s="17">
        <f t="shared" si="44"/>
        <v>35207584.233478926</v>
      </c>
      <c r="Z17" s="17">
        <f t="shared" si="16"/>
        <v>0</v>
      </c>
      <c r="AA17" s="72"/>
      <c r="AB17" s="17">
        <f t="shared" si="45"/>
        <v>0</v>
      </c>
      <c r="AC17" s="17">
        <f t="shared" si="17"/>
        <v>0</v>
      </c>
      <c r="AD17" s="17">
        <f t="shared" si="18"/>
        <v>0</v>
      </c>
      <c r="AF17" s="15">
        <f t="shared" si="19"/>
        <v>-58210.989287880038</v>
      </c>
      <c r="AG17" s="17">
        <f t="shared" si="20"/>
        <v>4125.2569412331804</v>
      </c>
      <c r="AH17" s="17">
        <f t="shared" si="21"/>
        <v>-62336.246229113218</v>
      </c>
      <c r="AI17" s="17">
        <f t="shared" si="22"/>
        <v>-58210.989287880038</v>
      </c>
      <c r="AJ17" s="17">
        <f t="shared" si="23"/>
        <v>579665.60329441074</v>
      </c>
      <c r="AK17" s="17">
        <f t="shared" si="24"/>
        <v>0</v>
      </c>
      <c r="AM17" s="17">
        <f t="shared" si="25"/>
        <v>0</v>
      </c>
      <c r="AN17" s="17">
        <f t="shared" si="26"/>
        <v>0</v>
      </c>
      <c r="AO17" s="17">
        <f t="shared" si="27"/>
        <v>0</v>
      </c>
      <c r="AP17" s="17">
        <f t="shared" si="28"/>
        <v>0</v>
      </c>
      <c r="AQ17" s="17">
        <f t="shared" si="29"/>
        <v>4125.2569412331804</v>
      </c>
      <c r="AR17" s="17">
        <f t="shared" si="46"/>
        <v>-62336.246229113218</v>
      </c>
      <c r="AS17" s="17">
        <f t="shared" si="30"/>
        <v>0</v>
      </c>
      <c r="AT17" s="17">
        <f t="shared" si="47"/>
        <v>579665.60329441074</v>
      </c>
      <c r="AU17" s="17">
        <f t="shared" si="31"/>
        <v>0</v>
      </c>
      <c r="AV17" s="72"/>
      <c r="AW17" s="17">
        <f t="shared" si="48"/>
        <v>0</v>
      </c>
      <c r="AX17" s="17">
        <f t="shared" si="32"/>
        <v>0</v>
      </c>
      <c r="AY17" s="17">
        <f t="shared" si="33"/>
        <v>0</v>
      </c>
      <c r="BA17" s="17">
        <f t="shared" si="49"/>
        <v>-2852338.4751061215</v>
      </c>
      <c r="BB17" s="17">
        <f t="shared" si="50"/>
        <v>-58210.989287880038</v>
      </c>
      <c r="BC17" s="17">
        <f t="shared" si="34"/>
        <v>-2910549.4643940018</v>
      </c>
      <c r="BD17" s="17">
        <f t="shared" si="35"/>
        <v>28041548.01536075</v>
      </c>
      <c r="BE17" s="17">
        <f t="shared" si="36"/>
        <v>0</v>
      </c>
      <c r="BF17" s="17">
        <f t="shared" si="37"/>
        <v>0</v>
      </c>
      <c r="BG17" s="17">
        <f t="shared" si="51"/>
        <v>0</v>
      </c>
      <c r="BH17" s="17">
        <f t="shared" si="38"/>
        <v>10514.854962440671</v>
      </c>
      <c r="BI17" s="17">
        <f t="shared" si="39"/>
        <v>0</v>
      </c>
      <c r="BJ17" s="17">
        <f t="shared" si="40"/>
        <v>10514.854962440671</v>
      </c>
      <c r="BK17" s="17">
        <f t="shared" si="41"/>
        <v>0</v>
      </c>
    </row>
    <row r="18" spans="2:63" ht="15" customHeight="1">
      <c r="B18" s="15">
        <f t="shared" si="1"/>
        <v>10</v>
      </c>
      <c r="C18" s="15">
        <f t="shared" si="2"/>
        <v>1</v>
      </c>
      <c r="D18" s="15">
        <f t="shared" si="3"/>
        <v>1</v>
      </c>
      <c r="E18" s="15">
        <f t="shared" si="0"/>
        <v>10</v>
      </c>
      <c r="G18" s="15">
        <f>M_MultDeal!BE19+IF($B18=1,-i_transfee*i_maxequity,0)</f>
        <v>-2889519.7544691204</v>
      </c>
      <c r="H18" s="15">
        <f>M_MultDeal!AO19</f>
        <v>23487.727968049294</v>
      </c>
      <c r="I18" s="15">
        <f t="shared" si="42"/>
        <v>-2913007.4824371696</v>
      </c>
      <c r="K18" s="15">
        <f t="shared" si="4"/>
        <v>-2854747.3327884264</v>
      </c>
      <c r="L18" s="15">
        <f t="shared" si="5"/>
        <v>226494.41120126771</v>
      </c>
      <c r="M18" s="15">
        <f t="shared" si="6"/>
        <v>-3081241.7439896939</v>
      </c>
      <c r="N18" s="15">
        <f t="shared" si="7"/>
        <v>-2854747.3327884264</v>
      </c>
      <c r="O18" s="15">
        <f t="shared" si="8"/>
        <v>31484856.305415817</v>
      </c>
      <c r="P18" s="15">
        <f t="shared" si="9"/>
        <v>0</v>
      </c>
      <c r="R18" s="15">
        <f t="shared" si="10"/>
        <v>0</v>
      </c>
      <c r="S18" s="15">
        <f t="shared" si="11"/>
        <v>0</v>
      </c>
      <c r="T18" s="15">
        <f t="shared" si="12"/>
        <v>0</v>
      </c>
      <c r="U18" s="15">
        <f t="shared" si="13"/>
        <v>0</v>
      </c>
      <c r="V18" s="15">
        <f t="shared" si="14"/>
        <v>2077974.0317825812</v>
      </c>
      <c r="W18" s="15">
        <f t="shared" si="43"/>
        <v>-4932721.3645710079</v>
      </c>
      <c r="X18" s="15">
        <f t="shared" si="15"/>
        <v>0</v>
      </c>
      <c r="Y18" s="15">
        <f t="shared" si="44"/>
        <v>40140305.598049931</v>
      </c>
      <c r="Z18" s="15">
        <f t="shared" si="16"/>
        <v>0</v>
      </c>
      <c r="AA18" s="72"/>
      <c r="AB18" s="15">
        <f t="shared" si="45"/>
        <v>0</v>
      </c>
      <c r="AC18" s="15">
        <f t="shared" si="17"/>
        <v>0</v>
      </c>
      <c r="AD18" s="15">
        <f t="shared" si="18"/>
        <v>0</v>
      </c>
      <c r="AF18" s="15">
        <f t="shared" si="19"/>
        <v>-58260.149648743391</v>
      </c>
      <c r="AG18" s="15">
        <f t="shared" si="20"/>
        <v>4622.3349224748517</v>
      </c>
      <c r="AH18" s="15">
        <f t="shared" si="21"/>
        <v>-62882.484571218243</v>
      </c>
      <c r="AI18" s="15">
        <f t="shared" si="22"/>
        <v>-58260.149648743391</v>
      </c>
      <c r="AJ18" s="15">
        <f t="shared" si="23"/>
        <v>642548.087865629</v>
      </c>
      <c r="AK18" s="15">
        <f t="shared" si="24"/>
        <v>0</v>
      </c>
      <c r="AM18" s="15">
        <f t="shared" si="25"/>
        <v>0</v>
      </c>
      <c r="AN18" s="15">
        <f t="shared" si="26"/>
        <v>0</v>
      </c>
      <c r="AO18" s="15">
        <f t="shared" si="27"/>
        <v>0</v>
      </c>
      <c r="AP18" s="15">
        <f t="shared" si="28"/>
        <v>0</v>
      </c>
      <c r="AQ18" s="15">
        <f t="shared" si="29"/>
        <v>4622.3349224748517</v>
      </c>
      <c r="AR18" s="15">
        <f t="shared" si="46"/>
        <v>-62882.484571218243</v>
      </c>
      <c r="AS18" s="15">
        <f t="shared" si="30"/>
        <v>0</v>
      </c>
      <c r="AT18" s="15">
        <f t="shared" si="47"/>
        <v>642548.087865629</v>
      </c>
      <c r="AU18" s="15">
        <f t="shared" si="31"/>
        <v>0</v>
      </c>
      <c r="AV18" s="72"/>
      <c r="AW18" s="15">
        <f t="shared" si="48"/>
        <v>0</v>
      </c>
      <c r="AX18" s="15">
        <f t="shared" si="32"/>
        <v>0</v>
      </c>
      <c r="AY18" s="15">
        <f t="shared" si="33"/>
        <v>0</v>
      </c>
      <c r="BA18" s="15">
        <f t="shared" si="49"/>
        <v>-2854747.3327884264</v>
      </c>
      <c r="BB18" s="15">
        <f t="shared" si="50"/>
        <v>-58260.149648743391</v>
      </c>
      <c r="BC18" s="15">
        <f t="shared" si="34"/>
        <v>-2913007.4824371696</v>
      </c>
      <c r="BD18" s="15">
        <f t="shared" si="35"/>
        <v>30954555.497797921</v>
      </c>
      <c r="BE18" s="15">
        <f t="shared" si="36"/>
        <v>0</v>
      </c>
      <c r="BF18" s="15">
        <f t="shared" si="37"/>
        <v>0</v>
      </c>
      <c r="BG18" s="15">
        <f t="shared" si="51"/>
        <v>0</v>
      </c>
      <c r="BH18" s="15">
        <f t="shared" si="38"/>
        <v>11743.863984024647</v>
      </c>
      <c r="BI18" s="15">
        <f t="shared" si="39"/>
        <v>0</v>
      </c>
      <c r="BJ18" s="15">
        <f t="shared" si="40"/>
        <v>11743.863984024647</v>
      </c>
      <c r="BK18" s="15">
        <f t="shared" si="41"/>
        <v>0</v>
      </c>
    </row>
    <row r="19" spans="2:63" ht="15" customHeight="1">
      <c r="B19" s="16">
        <f t="shared" si="1"/>
        <v>11</v>
      </c>
      <c r="C19" s="16">
        <f t="shared" si="2"/>
        <v>1</v>
      </c>
      <c r="D19" s="16">
        <f t="shared" si="3"/>
        <v>1</v>
      </c>
      <c r="E19" s="16">
        <f t="shared" si="0"/>
        <v>11</v>
      </c>
      <c r="G19" s="16">
        <f>M_MultDeal!BE20+IF($B19=1,-i_transfee*i_maxequity,0)</f>
        <v>-2889519.7544691204</v>
      </c>
      <c r="H19" s="16">
        <f>M_MultDeal!AO20</f>
        <v>25945.746011217241</v>
      </c>
      <c r="I19" s="16">
        <f t="shared" si="42"/>
        <v>-2915465.5004803375</v>
      </c>
      <c r="K19" s="16">
        <f t="shared" si="4"/>
        <v>-2857156.1904707309</v>
      </c>
      <c r="L19" s="16">
        <f t="shared" si="5"/>
        <v>251064.66556324184</v>
      </c>
      <c r="M19" s="16">
        <f t="shared" si="6"/>
        <v>-3108220.8560339729</v>
      </c>
      <c r="N19" s="16">
        <f t="shared" si="7"/>
        <v>-2857156.1904707309</v>
      </c>
      <c r="O19" s="16">
        <f t="shared" si="8"/>
        <v>34593077.16144979</v>
      </c>
      <c r="P19" s="16">
        <f t="shared" si="9"/>
        <v>0</v>
      </c>
      <c r="R19" s="16">
        <f t="shared" si="10"/>
        <v>0</v>
      </c>
      <c r="S19" s="16">
        <f t="shared" si="11"/>
        <v>0</v>
      </c>
      <c r="T19" s="16">
        <f t="shared" si="12"/>
        <v>0</v>
      </c>
      <c r="U19" s="16">
        <f t="shared" si="13"/>
        <v>0</v>
      </c>
      <c r="V19" s="16">
        <f t="shared" si="14"/>
        <v>2369106.3864941234</v>
      </c>
      <c r="W19" s="16">
        <f t="shared" si="43"/>
        <v>-5226262.5769648543</v>
      </c>
      <c r="X19" s="16">
        <f t="shared" si="15"/>
        <v>0</v>
      </c>
      <c r="Y19" s="16">
        <f t="shared" si="44"/>
        <v>45366568.175014786</v>
      </c>
      <c r="Z19" s="16">
        <f t="shared" si="16"/>
        <v>0</v>
      </c>
      <c r="AA19" s="72"/>
      <c r="AB19" s="16">
        <f t="shared" si="45"/>
        <v>0</v>
      </c>
      <c r="AC19" s="16">
        <f t="shared" si="17"/>
        <v>0</v>
      </c>
      <c r="AD19" s="16">
        <f t="shared" si="18"/>
        <v>0</v>
      </c>
      <c r="AF19" s="15">
        <f t="shared" si="19"/>
        <v>-58309.31000960675</v>
      </c>
      <c r="AG19" s="16">
        <f t="shared" si="20"/>
        <v>5123.7686849641204</v>
      </c>
      <c r="AH19" s="16">
        <f t="shared" si="21"/>
        <v>-63433.078694570868</v>
      </c>
      <c r="AI19" s="16">
        <f t="shared" si="22"/>
        <v>-58309.31000960675</v>
      </c>
      <c r="AJ19" s="16">
        <f t="shared" si="23"/>
        <v>705981.16656019981</v>
      </c>
      <c r="AK19" s="16">
        <f t="shared" si="24"/>
        <v>0</v>
      </c>
      <c r="AM19" s="16">
        <f t="shared" si="25"/>
        <v>0</v>
      </c>
      <c r="AN19" s="16">
        <f t="shared" si="26"/>
        <v>0</v>
      </c>
      <c r="AO19" s="16">
        <f t="shared" si="27"/>
        <v>0</v>
      </c>
      <c r="AP19" s="16">
        <f t="shared" si="28"/>
        <v>0</v>
      </c>
      <c r="AQ19" s="16">
        <f t="shared" si="29"/>
        <v>5123.7686849641204</v>
      </c>
      <c r="AR19" s="16">
        <f t="shared" si="46"/>
        <v>-63433.078694570868</v>
      </c>
      <c r="AS19" s="16">
        <f t="shared" si="30"/>
        <v>0</v>
      </c>
      <c r="AT19" s="16">
        <f t="shared" si="47"/>
        <v>705981.16656019981</v>
      </c>
      <c r="AU19" s="16">
        <f t="shared" si="31"/>
        <v>0</v>
      </c>
      <c r="AV19" s="72"/>
      <c r="AW19" s="16">
        <f t="shared" si="48"/>
        <v>0</v>
      </c>
      <c r="AX19" s="16">
        <f t="shared" si="32"/>
        <v>0</v>
      </c>
      <c r="AY19" s="16">
        <f t="shared" si="33"/>
        <v>0</v>
      </c>
      <c r="BA19" s="16">
        <f t="shared" si="49"/>
        <v>-2857156.1904707309</v>
      </c>
      <c r="BB19" s="16">
        <f t="shared" si="50"/>
        <v>-58309.31000960675</v>
      </c>
      <c r="BC19" s="16">
        <f t="shared" si="34"/>
        <v>-2915465.5004803375</v>
      </c>
      <c r="BD19" s="16">
        <f t="shared" si="35"/>
        <v>33870020.99827826</v>
      </c>
      <c r="BE19" s="16">
        <f t="shared" si="36"/>
        <v>0</v>
      </c>
      <c r="BF19" s="16">
        <f t="shared" si="37"/>
        <v>0</v>
      </c>
      <c r="BG19" s="16">
        <f t="shared" si="51"/>
        <v>0</v>
      </c>
      <c r="BH19" s="16">
        <f t="shared" si="38"/>
        <v>12972.873005608621</v>
      </c>
      <c r="BI19" s="16">
        <f t="shared" si="39"/>
        <v>0</v>
      </c>
      <c r="BJ19" s="16">
        <f t="shared" si="40"/>
        <v>12972.873005608621</v>
      </c>
      <c r="BK19" s="16">
        <f t="shared" si="41"/>
        <v>0</v>
      </c>
    </row>
    <row r="20" spans="2:63" ht="15" customHeight="1" thickBot="1">
      <c r="B20" s="18">
        <f t="shared" si="1"/>
        <v>12</v>
      </c>
      <c r="C20" s="18">
        <f t="shared" si="2"/>
        <v>1</v>
      </c>
      <c r="D20" s="18">
        <f t="shared" si="3"/>
        <v>1</v>
      </c>
      <c r="E20" s="18">
        <f t="shared" si="0"/>
        <v>12</v>
      </c>
      <c r="G20" s="18">
        <f>M_MultDeal!BE21+IF($B20=1,-i_transfee*i_maxequity,0)</f>
        <v>-2704595.3259658185</v>
      </c>
      <c r="H20" s="18">
        <f>M_MultDeal!AO21</f>
        <v>28403.764054385192</v>
      </c>
      <c r="I20" s="18">
        <f t="shared" si="42"/>
        <v>-2732999.0900202035</v>
      </c>
      <c r="K20" s="18">
        <f t="shared" si="4"/>
        <v>-2678339.1082197996</v>
      </c>
      <c r="L20" s="18">
        <f t="shared" si="5"/>
        <v>275850.05515330425</v>
      </c>
      <c r="M20" s="18">
        <f t="shared" si="6"/>
        <v>-2954189.1633731038</v>
      </c>
      <c r="N20" s="18">
        <f t="shared" si="7"/>
        <v>-2678339.1082197996</v>
      </c>
      <c r="O20" s="18">
        <f t="shared" si="8"/>
        <v>37547266.324822895</v>
      </c>
      <c r="P20" s="18">
        <f t="shared" si="9"/>
        <v>0</v>
      </c>
      <c r="R20" s="18">
        <f t="shared" si="10"/>
        <v>0</v>
      </c>
      <c r="S20" s="18">
        <f t="shared" si="11"/>
        <v>0</v>
      </c>
      <c r="T20" s="18">
        <f t="shared" si="12"/>
        <v>0</v>
      </c>
      <c r="U20" s="18">
        <f t="shared" si="13"/>
        <v>0</v>
      </c>
      <c r="V20" s="18">
        <f t="shared" si="14"/>
        <v>2677563.7304059295</v>
      </c>
      <c r="W20" s="18">
        <f t="shared" si="43"/>
        <v>-5355902.8386257291</v>
      </c>
      <c r="X20" s="18">
        <f t="shared" si="15"/>
        <v>0</v>
      </c>
      <c r="Y20" s="18">
        <f t="shared" si="44"/>
        <v>50722471.013640516</v>
      </c>
      <c r="Z20" s="18">
        <f t="shared" si="16"/>
        <v>0</v>
      </c>
      <c r="AA20" s="72"/>
      <c r="AB20" s="18">
        <f t="shared" si="45"/>
        <v>0</v>
      </c>
      <c r="AC20" s="18">
        <f t="shared" si="17"/>
        <v>0</v>
      </c>
      <c r="AD20" s="18">
        <f t="shared" si="18"/>
        <v>0</v>
      </c>
      <c r="AF20" s="15">
        <f t="shared" si="19"/>
        <v>-54659.981800404072</v>
      </c>
      <c r="AG20" s="18">
        <f t="shared" si="20"/>
        <v>5629.5929623123311</v>
      </c>
      <c r="AH20" s="18">
        <f t="shared" si="21"/>
        <v>-60289.574762716402</v>
      </c>
      <c r="AI20" s="18">
        <f t="shared" si="22"/>
        <v>-54659.981800404072</v>
      </c>
      <c r="AJ20" s="18">
        <f t="shared" si="23"/>
        <v>766270.74132291623</v>
      </c>
      <c r="AK20" s="18">
        <f t="shared" si="24"/>
        <v>0</v>
      </c>
      <c r="AM20" s="18">
        <f t="shared" si="25"/>
        <v>0</v>
      </c>
      <c r="AN20" s="18">
        <f t="shared" si="26"/>
        <v>0</v>
      </c>
      <c r="AO20" s="18">
        <f t="shared" si="27"/>
        <v>0</v>
      </c>
      <c r="AP20" s="18">
        <f t="shared" si="28"/>
        <v>0</v>
      </c>
      <c r="AQ20" s="18">
        <f t="shared" si="29"/>
        <v>5629.5929623123311</v>
      </c>
      <c r="AR20" s="18">
        <f t="shared" si="46"/>
        <v>-60289.574762716402</v>
      </c>
      <c r="AS20" s="18">
        <f t="shared" si="30"/>
        <v>0</v>
      </c>
      <c r="AT20" s="18">
        <f t="shared" si="47"/>
        <v>766270.74132291623</v>
      </c>
      <c r="AU20" s="18">
        <f t="shared" si="31"/>
        <v>0</v>
      </c>
      <c r="AV20" s="72"/>
      <c r="AW20" s="18">
        <f t="shared" si="48"/>
        <v>0</v>
      </c>
      <c r="AX20" s="18">
        <f t="shared" si="32"/>
        <v>0</v>
      </c>
      <c r="AY20" s="18">
        <f t="shared" si="33"/>
        <v>0</v>
      </c>
      <c r="BA20" s="18">
        <f t="shared" si="49"/>
        <v>-2678339.1082197996</v>
      </c>
      <c r="BB20" s="18">
        <f t="shared" si="50"/>
        <v>-54659.981800404072</v>
      </c>
      <c r="BC20" s="18">
        <f t="shared" si="34"/>
        <v>-2732999.0900202035</v>
      </c>
      <c r="BD20" s="18">
        <f t="shared" si="35"/>
        <v>36603020.088298462</v>
      </c>
      <c r="BE20" s="18">
        <f t="shared" si="36"/>
        <v>0</v>
      </c>
      <c r="BF20" s="18">
        <f t="shared" si="37"/>
        <v>0</v>
      </c>
      <c r="BG20" s="18">
        <f t="shared" si="51"/>
        <v>0</v>
      </c>
      <c r="BH20" s="18">
        <f t="shared" si="38"/>
        <v>14201.882027192596</v>
      </c>
      <c r="BI20" s="18">
        <f t="shared" si="39"/>
        <v>0</v>
      </c>
      <c r="BJ20" s="18">
        <f t="shared" si="40"/>
        <v>14201.882027192596</v>
      </c>
      <c r="BK20" s="18">
        <f t="shared" si="41"/>
        <v>0</v>
      </c>
    </row>
    <row r="21" spans="2:63" ht="15" customHeight="1">
      <c r="B21" s="19">
        <f t="shared" si="1"/>
        <v>13</v>
      </c>
      <c r="C21" s="19">
        <f t="shared" si="2"/>
        <v>2</v>
      </c>
      <c r="D21" s="19">
        <f t="shared" si="3"/>
        <v>1</v>
      </c>
      <c r="E21" s="19">
        <f t="shared" si="0"/>
        <v>13</v>
      </c>
      <c r="G21" s="19">
        <f>M_MultDeal!BE22+IF($B21=1,-i_transfee*i_maxequity,0)</f>
        <v>-5797564.9797383696</v>
      </c>
      <c r="H21" s="19">
        <f>M_MultDeal!AO22</f>
        <v>30725.225539599363</v>
      </c>
      <c r="I21" s="19">
        <f t="shared" si="42"/>
        <v>-5828290.2052779691</v>
      </c>
      <c r="K21" s="19">
        <f t="shared" si="4"/>
        <v>-5711724.4011724098</v>
      </c>
      <c r="L21" s="19">
        <f t="shared" si="5"/>
        <v>299407.17439558712</v>
      </c>
      <c r="M21" s="19">
        <f t="shared" si="6"/>
        <v>-6011131.5755679971</v>
      </c>
      <c r="N21" s="19">
        <f t="shared" si="7"/>
        <v>-5711724.4011724098</v>
      </c>
      <c r="O21" s="19">
        <f t="shared" si="8"/>
        <v>43558397.900390893</v>
      </c>
      <c r="P21" s="19">
        <f t="shared" si="9"/>
        <v>0</v>
      </c>
      <c r="R21" s="19">
        <f t="shared" si="10"/>
        <v>0</v>
      </c>
      <c r="S21" s="19">
        <f t="shared" si="11"/>
        <v>0</v>
      </c>
      <c r="T21" s="19">
        <f t="shared" si="12"/>
        <v>0</v>
      </c>
      <c r="U21" s="19">
        <f t="shared" si="13"/>
        <v>0</v>
      </c>
      <c r="V21" s="19">
        <f t="shared" si="14"/>
        <v>2993672.5250795465</v>
      </c>
      <c r="W21" s="19">
        <f t="shared" si="43"/>
        <v>-8705396.9262519553</v>
      </c>
      <c r="X21" s="19">
        <f t="shared" si="15"/>
        <v>0</v>
      </c>
      <c r="Y21" s="19">
        <f t="shared" si="44"/>
        <v>59427867.939892471</v>
      </c>
      <c r="Z21" s="19">
        <f t="shared" si="16"/>
        <v>0</v>
      </c>
      <c r="AA21" s="72"/>
      <c r="AB21" s="19">
        <f t="shared" si="45"/>
        <v>0</v>
      </c>
      <c r="AC21" s="19">
        <f t="shared" si="17"/>
        <v>0</v>
      </c>
      <c r="AD21" s="19">
        <f t="shared" si="18"/>
        <v>0</v>
      </c>
      <c r="AF21" s="15">
        <f t="shared" si="19"/>
        <v>-116565.80410555938</v>
      </c>
      <c r="AG21" s="19">
        <f t="shared" si="20"/>
        <v>6110.3504978691244</v>
      </c>
      <c r="AH21" s="19">
        <f t="shared" si="21"/>
        <v>-122676.1546034285</v>
      </c>
      <c r="AI21" s="19">
        <f t="shared" si="22"/>
        <v>-116565.80410555938</v>
      </c>
      <c r="AJ21" s="19">
        <f t="shared" si="23"/>
        <v>888946.89592634467</v>
      </c>
      <c r="AK21" s="19">
        <f t="shared" si="24"/>
        <v>0</v>
      </c>
      <c r="AM21" s="19">
        <f t="shared" si="25"/>
        <v>0</v>
      </c>
      <c r="AN21" s="19">
        <f t="shared" si="26"/>
        <v>0</v>
      </c>
      <c r="AO21" s="19">
        <f t="shared" si="27"/>
        <v>0</v>
      </c>
      <c r="AP21" s="19">
        <f t="shared" si="28"/>
        <v>0</v>
      </c>
      <c r="AQ21" s="19">
        <f t="shared" si="29"/>
        <v>6110.3504978691244</v>
      </c>
      <c r="AR21" s="19">
        <f t="shared" si="46"/>
        <v>-122676.1546034285</v>
      </c>
      <c r="AS21" s="19">
        <f t="shared" si="30"/>
        <v>0</v>
      </c>
      <c r="AT21" s="19">
        <f t="shared" si="47"/>
        <v>888946.89592634467</v>
      </c>
      <c r="AU21" s="19">
        <f t="shared" si="31"/>
        <v>0</v>
      </c>
      <c r="AV21" s="72"/>
      <c r="AW21" s="19">
        <f t="shared" si="48"/>
        <v>0</v>
      </c>
      <c r="AX21" s="19">
        <f t="shared" si="32"/>
        <v>0</v>
      </c>
      <c r="AY21" s="19">
        <f t="shared" si="33"/>
        <v>0</v>
      </c>
      <c r="BA21" s="19">
        <f t="shared" si="49"/>
        <v>-5711724.4011724098</v>
      </c>
      <c r="BB21" s="19">
        <f t="shared" si="50"/>
        <v>-116565.80410555938</v>
      </c>
      <c r="BC21" s="19">
        <f t="shared" si="34"/>
        <v>-5828290.2052779691</v>
      </c>
      <c r="BD21" s="19">
        <f t="shared" si="35"/>
        <v>42431310.293576434</v>
      </c>
      <c r="BE21" s="19">
        <f t="shared" si="36"/>
        <v>0</v>
      </c>
      <c r="BF21" s="19">
        <f t="shared" si="37"/>
        <v>0</v>
      </c>
      <c r="BG21" s="19">
        <f t="shared" si="51"/>
        <v>0</v>
      </c>
      <c r="BH21" s="19">
        <f t="shared" si="38"/>
        <v>15362.612769799682</v>
      </c>
      <c r="BI21" s="19">
        <f t="shared" si="39"/>
        <v>0</v>
      </c>
      <c r="BJ21" s="19">
        <f t="shared" si="40"/>
        <v>15362.612769799682</v>
      </c>
      <c r="BK21" s="19">
        <f t="shared" si="41"/>
        <v>0</v>
      </c>
    </row>
    <row r="22" spans="2:63" ht="15" customHeight="1">
      <c r="B22" s="16">
        <f t="shared" si="1"/>
        <v>14</v>
      </c>
      <c r="C22" s="16">
        <f t="shared" si="2"/>
        <v>2</v>
      </c>
      <c r="D22" s="16">
        <f t="shared" si="3"/>
        <v>1</v>
      </c>
      <c r="E22" s="16">
        <f t="shared" si="0"/>
        <v>14</v>
      </c>
      <c r="G22" s="16">
        <f>M_MultDeal!BE23+IF($B22=1,-i_transfee*i_maxequity,0)</f>
        <v>-5615139.7152555771</v>
      </c>
      <c r="H22" s="16">
        <f>M_MultDeal!AO23</f>
        <v>35641.261625935265</v>
      </c>
      <c r="I22" s="16">
        <f t="shared" si="42"/>
        <v>-5650780.9768815124</v>
      </c>
      <c r="K22" s="16">
        <f t="shared" si="4"/>
        <v>-5537765.3573438823</v>
      </c>
      <c r="L22" s="16">
        <f t="shared" si="5"/>
        <v>347340.78171578387</v>
      </c>
      <c r="M22" s="16">
        <f t="shared" si="6"/>
        <v>-5885106.1390596665</v>
      </c>
      <c r="N22" s="16">
        <f t="shared" si="7"/>
        <v>-5537765.3573438823</v>
      </c>
      <c r="O22" s="16">
        <f t="shared" si="8"/>
        <v>49443504.039450556</v>
      </c>
      <c r="P22" s="16">
        <f t="shared" si="9"/>
        <v>0</v>
      </c>
      <c r="R22" s="16">
        <f t="shared" si="10"/>
        <v>0</v>
      </c>
      <c r="S22" s="16">
        <f t="shared" si="11"/>
        <v>0</v>
      </c>
      <c r="T22" s="16">
        <f t="shared" si="12"/>
        <v>0</v>
      </c>
      <c r="U22" s="16">
        <f t="shared" si="13"/>
        <v>0</v>
      </c>
      <c r="V22" s="16">
        <f t="shared" si="14"/>
        <v>3507470.5928239976</v>
      </c>
      <c r="W22" s="16">
        <f t="shared" si="43"/>
        <v>-9045235.9501678795</v>
      </c>
      <c r="X22" s="16">
        <f t="shared" si="15"/>
        <v>0</v>
      </c>
      <c r="Y22" s="16">
        <f t="shared" si="44"/>
        <v>68473103.89006035</v>
      </c>
      <c r="Z22" s="16">
        <f t="shared" si="16"/>
        <v>0</v>
      </c>
      <c r="AA22" s="72"/>
      <c r="AB22" s="16">
        <f t="shared" si="45"/>
        <v>0</v>
      </c>
      <c r="AC22" s="16">
        <f t="shared" si="17"/>
        <v>0</v>
      </c>
      <c r="AD22" s="16">
        <f t="shared" si="18"/>
        <v>0</v>
      </c>
      <c r="AF22" s="15">
        <f t="shared" si="19"/>
        <v>-113015.61953763025</v>
      </c>
      <c r="AG22" s="16">
        <f t="shared" si="20"/>
        <v>7088.5873819547714</v>
      </c>
      <c r="AH22" s="16">
        <f t="shared" si="21"/>
        <v>-120104.20691958502</v>
      </c>
      <c r="AI22" s="16">
        <f t="shared" si="22"/>
        <v>-113015.61953763025</v>
      </c>
      <c r="AJ22" s="16">
        <f t="shared" si="23"/>
        <v>1009051.1028459297</v>
      </c>
      <c r="AK22" s="16">
        <f t="shared" si="24"/>
        <v>0</v>
      </c>
      <c r="AM22" s="16">
        <f t="shared" si="25"/>
        <v>0</v>
      </c>
      <c r="AN22" s="16">
        <f t="shared" si="26"/>
        <v>0</v>
      </c>
      <c r="AO22" s="16">
        <f t="shared" si="27"/>
        <v>0</v>
      </c>
      <c r="AP22" s="16">
        <f t="shared" si="28"/>
        <v>0</v>
      </c>
      <c r="AQ22" s="16">
        <f t="shared" si="29"/>
        <v>7088.5873819547714</v>
      </c>
      <c r="AR22" s="16">
        <f t="shared" si="46"/>
        <v>-120104.20691958502</v>
      </c>
      <c r="AS22" s="16">
        <f t="shared" si="30"/>
        <v>0</v>
      </c>
      <c r="AT22" s="16">
        <f t="shared" si="47"/>
        <v>1009051.1028459297</v>
      </c>
      <c r="AU22" s="16">
        <f t="shared" si="31"/>
        <v>0</v>
      </c>
      <c r="AV22" s="72"/>
      <c r="AW22" s="16">
        <f t="shared" si="48"/>
        <v>0</v>
      </c>
      <c r="AX22" s="16">
        <f t="shared" si="32"/>
        <v>0</v>
      </c>
      <c r="AY22" s="16">
        <f t="shared" si="33"/>
        <v>0</v>
      </c>
      <c r="BA22" s="16">
        <f t="shared" si="49"/>
        <v>-5537765.3573438823</v>
      </c>
      <c r="BB22" s="16">
        <f t="shared" si="50"/>
        <v>-113015.61953763025</v>
      </c>
      <c r="BC22" s="16">
        <f t="shared" si="34"/>
        <v>-5650780.9768815124</v>
      </c>
      <c r="BD22" s="16">
        <f t="shared" si="35"/>
        <v>48082091.270457946</v>
      </c>
      <c r="BE22" s="16">
        <f t="shared" si="36"/>
        <v>0</v>
      </c>
      <c r="BF22" s="16">
        <f t="shared" si="37"/>
        <v>0</v>
      </c>
      <c r="BG22" s="16">
        <f t="shared" si="51"/>
        <v>0</v>
      </c>
      <c r="BH22" s="16">
        <f t="shared" si="38"/>
        <v>17820.630812967633</v>
      </c>
      <c r="BI22" s="16">
        <f t="shared" si="39"/>
        <v>0</v>
      </c>
      <c r="BJ22" s="16">
        <f t="shared" si="40"/>
        <v>17820.630812967633</v>
      </c>
      <c r="BK22" s="16">
        <f t="shared" si="41"/>
        <v>0</v>
      </c>
    </row>
    <row r="23" spans="2:63" ht="15" customHeight="1">
      <c r="B23" s="17">
        <f t="shared" si="1"/>
        <v>15</v>
      </c>
      <c r="C23" s="17">
        <f t="shared" si="2"/>
        <v>2</v>
      </c>
      <c r="D23" s="17">
        <f t="shared" si="3"/>
        <v>1</v>
      </c>
      <c r="E23" s="17">
        <f t="shared" si="0"/>
        <v>15</v>
      </c>
      <c r="G23" s="17">
        <f>M_MultDeal!BE24+IF($B23=1,-i_transfee*i_maxequity,0)</f>
        <v>-5431666.9407691509</v>
      </c>
      <c r="H23" s="17">
        <f>M_MultDeal!AO24</f>
        <v>40420.741154317388</v>
      </c>
      <c r="I23" s="17">
        <f t="shared" si="42"/>
        <v>-5472087.6819234686</v>
      </c>
      <c r="K23" s="17">
        <f t="shared" si="4"/>
        <v>-5362645.928284999</v>
      </c>
      <c r="L23" s="17">
        <f t="shared" si="5"/>
        <v>394269.44450764923</v>
      </c>
      <c r="M23" s="17">
        <f t="shared" si="6"/>
        <v>-5756915.3727926482</v>
      </c>
      <c r="N23" s="17">
        <f t="shared" si="7"/>
        <v>-5362645.928284999</v>
      </c>
      <c r="O23" s="17">
        <f t="shared" si="8"/>
        <v>55200419.412243202</v>
      </c>
      <c r="P23" s="17">
        <f t="shared" si="9"/>
        <v>0</v>
      </c>
      <c r="R23" s="17">
        <f t="shared" si="10"/>
        <v>0</v>
      </c>
      <c r="S23" s="17">
        <f t="shared" si="11"/>
        <v>0</v>
      </c>
      <c r="T23" s="17">
        <f t="shared" si="12"/>
        <v>0</v>
      </c>
      <c r="U23" s="17">
        <f t="shared" si="13"/>
        <v>0</v>
      </c>
      <c r="V23" s="17">
        <f t="shared" si="14"/>
        <v>4041326.1760742161</v>
      </c>
      <c r="W23" s="17">
        <f t="shared" si="43"/>
        <v>-9403972.1043592151</v>
      </c>
      <c r="X23" s="17">
        <f t="shared" si="15"/>
        <v>0</v>
      </c>
      <c r="Y23" s="17">
        <f t="shared" si="44"/>
        <v>77877075.99441956</v>
      </c>
      <c r="Z23" s="17">
        <f t="shared" si="16"/>
        <v>0</v>
      </c>
      <c r="AA23" s="72"/>
      <c r="AB23" s="17">
        <f t="shared" si="45"/>
        <v>0</v>
      </c>
      <c r="AC23" s="17">
        <f t="shared" si="17"/>
        <v>0</v>
      </c>
      <c r="AD23" s="17">
        <f t="shared" si="18"/>
        <v>0</v>
      </c>
      <c r="AF23" s="15">
        <f t="shared" si="19"/>
        <v>-109441.75363846938</v>
      </c>
      <c r="AG23" s="17">
        <f t="shared" si="20"/>
        <v>8046.3151940336575</v>
      </c>
      <c r="AH23" s="17">
        <f t="shared" si="21"/>
        <v>-117488.06883250304</v>
      </c>
      <c r="AI23" s="17">
        <f t="shared" si="22"/>
        <v>-109441.75363846938</v>
      </c>
      <c r="AJ23" s="17">
        <f t="shared" si="23"/>
        <v>1126539.1716784327</v>
      </c>
      <c r="AK23" s="17">
        <f t="shared" si="24"/>
        <v>0</v>
      </c>
      <c r="AM23" s="17">
        <f t="shared" si="25"/>
        <v>0</v>
      </c>
      <c r="AN23" s="17">
        <f t="shared" si="26"/>
        <v>0</v>
      </c>
      <c r="AO23" s="17">
        <f t="shared" si="27"/>
        <v>0</v>
      </c>
      <c r="AP23" s="17">
        <f t="shared" si="28"/>
        <v>0</v>
      </c>
      <c r="AQ23" s="17">
        <f t="shared" si="29"/>
        <v>8046.3151940336575</v>
      </c>
      <c r="AR23" s="17">
        <f t="shared" si="46"/>
        <v>-117488.06883250304</v>
      </c>
      <c r="AS23" s="17">
        <f t="shared" si="30"/>
        <v>0</v>
      </c>
      <c r="AT23" s="17">
        <f t="shared" si="47"/>
        <v>1126539.1716784327</v>
      </c>
      <c r="AU23" s="17">
        <f t="shared" si="31"/>
        <v>0</v>
      </c>
      <c r="AV23" s="72"/>
      <c r="AW23" s="17">
        <f t="shared" si="48"/>
        <v>0</v>
      </c>
      <c r="AX23" s="17">
        <f t="shared" si="32"/>
        <v>0</v>
      </c>
      <c r="AY23" s="17">
        <f t="shared" si="33"/>
        <v>0</v>
      </c>
      <c r="BA23" s="17">
        <f t="shared" si="49"/>
        <v>-5362645.928284999</v>
      </c>
      <c r="BB23" s="17">
        <f t="shared" si="50"/>
        <v>-109441.75363846938</v>
      </c>
      <c r="BC23" s="17">
        <f t="shared" si="34"/>
        <v>-5472087.6819234686</v>
      </c>
      <c r="BD23" s="17">
        <f t="shared" si="35"/>
        <v>53554178.952381417</v>
      </c>
      <c r="BE23" s="17">
        <f t="shared" si="36"/>
        <v>0</v>
      </c>
      <c r="BF23" s="17">
        <f t="shared" si="37"/>
        <v>0</v>
      </c>
      <c r="BG23" s="17">
        <f t="shared" si="51"/>
        <v>0</v>
      </c>
      <c r="BH23" s="17">
        <f t="shared" si="38"/>
        <v>20210.370577158694</v>
      </c>
      <c r="BI23" s="17">
        <f t="shared" si="39"/>
        <v>0</v>
      </c>
      <c r="BJ23" s="17">
        <f t="shared" si="40"/>
        <v>20210.370577158694</v>
      </c>
      <c r="BK23" s="17">
        <f t="shared" si="41"/>
        <v>0</v>
      </c>
    </row>
    <row r="24" spans="2:63" ht="15" customHeight="1">
      <c r="B24" s="15">
        <f t="shared" si="1"/>
        <v>16</v>
      </c>
      <c r="C24" s="15">
        <f t="shared" si="2"/>
        <v>2</v>
      </c>
      <c r="D24" s="15">
        <f t="shared" si="3"/>
        <v>1</v>
      </c>
      <c r="E24" s="15">
        <f t="shared" si="0"/>
        <v>16</v>
      </c>
      <c r="G24" s="15">
        <f>M_MultDeal!BE25+IF($B24=1,-i_transfee*i_maxequity,0)</f>
        <v>-5247146.6562790908</v>
      </c>
      <c r="H24" s="15">
        <f>M_MultDeal!AO25</f>
        <v>45063.664124745737</v>
      </c>
      <c r="I24" s="15">
        <f t="shared" si="42"/>
        <v>-5292210.3204038367</v>
      </c>
      <c r="K24" s="15">
        <f t="shared" si="4"/>
        <v>-5186366.1139957597</v>
      </c>
      <c r="L24" s="15">
        <f t="shared" si="5"/>
        <v>440175.89612761274</v>
      </c>
      <c r="M24" s="15">
        <f t="shared" si="6"/>
        <v>-5626542.0101233721</v>
      </c>
      <c r="N24" s="15">
        <f t="shared" si="7"/>
        <v>-5186366.1139957597</v>
      </c>
      <c r="O24" s="15">
        <f t="shared" si="8"/>
        <v>60826961.422366574</v>
      </c>
      <c r="P24" s="15">
        <f t="shared" si="9"/>
        <v>0</v>
      </c>
      <c r="R24" s="15">
        <f t="shared" si="10"/>
        <v>0</v>
      </c>
      <c r="S24" s="15">
        <f t="shared" si="11"/>
        <v>0</v>
      </c>
      <c r="T24" s="15">
        <f t="shared" si="12"/>
        <v>0</v>
      </c>
      <c r="U24" s="15">
        <f t="shared" si="13"/>
        <v>0</v>
      </c>
      <c r="V24" s="15">
        <f t="shared" si="14"/>
        <v>4596354.595487454</v>
      </c>
      <c r="W24" s="15">
        <f t="shared" si="43"/>
        <v>-9782720.7094832137</v>
      </c>
      <c r="X24" s="15">
        <f t="shared" si="15"/>
        <v>0</v>
      </c>
      <c r="Y24" s="15">
        <f t="shared" si="44"/>
        <v>87659796.703902781</v>
      </c>
      <c r="Z24" s="15">
        <f t="shared" si="16"/>
        <v>0</v>
      </c>
      <c r="AA24" s="72"/>
      <c r="AB24" s="15">
        <f t="shared" si="45"/>
        <v>0</v>
      </c>
      <c r="AC24" s="15">
        <f t="shared" si="17"/>
        <v>0</v>
      </c>
      <c r="AD24" s="15">
        <f t="shared" si="18"/>
        <v>0</v>
      </c>
      <c r="AF24" s="15">
        <f t="shared" si="19"/>
        <v>-105844.20640807673</v>
      </c>
      <c r="AG24" s="15">
        <f t="shared" si="20"/>
        <v>8983.1815536247486</v>
      </c>
      <c r="AH24" s="15">
        <f t="shared" si="21"/>
        <v>-114827.38796170148</v>
      </c>
      <c r="AI24" s="15">
        <f t="shared" si="22"/>
        <v>-105844.20640807673</v>
      </c>
      <c r="AJ24" s="15">
        <f t="shared" si="23"/>
        <v>1241366.5596401342</v>
      </c>
      <c r="AK24" s="15">
        <f t="shared" si="24"/>
        <v>0</v>
      </c>
      <c r="AM24" s="15">
        <f t="shared" si="25"/>
        <v>0</v>
      </c>
      <c r="AN24" s="15">
        <f t="shared" si="26"/>
        <v>0</v>
      </c>
      <c r="AO24" s="15">
        <f t="shared" si="27"/>
        <v>0</v>
      </c>
      <c r="AP24" s="15">
        <f t="shared" si="28"/>
        <v>0</v>
      </c>
      <c r="AQ24" s="15">
        <f t="shared" si="29"/>
        <v>8983.1815536247486</v>
      </c>
      <c r="AR24" s="15">
        <f t="shared" si="46"/>
        <v>-114827.38796170148</v>
      </c>
      <c r="AS24" s="15">
        <f t="shared" si="30"/>
        <v>0</v>
      </c>
      <c r="AT24" s="15">
        <f t="shared" si="47"/>
        <v>1241366.5596401342</v>
      </c>
      <c r="AU24" s="15">
        <f t="shared" si="31"/>
        <v>0</v>
      </c>
      <c r="AV24" s="72"/>
      <c r="AW24" s="15">
        <f t="shared" si="48"/>
        <v>0</v>
      </c>
      <c r="AX24" s="15">
        <f t="shared" si="32"/>
        <v>0</v>
      </c>
      <c r="AY24" s="15">
        <f t="shared" si="33"/>
        <v>0</v>
      </c>
      <c r="BA24" s="15">
        <f t="shared" si="49"/>
        <v>-5186366.1139957597</v>
      </c>
      <c r="BB24" s="15">
        <f t="shared" si="50"/>
        <v>-105844.20640807673</v>
      </c>
      <c r="BC24" s="15">
        <f t="shared" si="34"/>
        <v>-5292210.3204038367</v>
      </c>
      <c r="BD24" s="15">
        <f t="shared" si="35"/>
        <v>58846389.272785254</v>
      </c>
      <c r="BE24" s="15">
        <f t="shared" si="36"/>
        <v>0</v>
      </c>
      <c r="BF24" s="15">
        <f t="shared" si="37"/>
        <v>0</v>
      </c>
      <c r="BG24" s="15">
        <f t="shared" si="51"/>
        <v>0</v>
      </c>
      <c r="BH24" s="15">
        <f t="shared" si="38"/>
        <v>22531.832062372869</v>
      </c>
      <c r="BI24" s="15">
        <f t="shared" si="39"/>
        <v>0</v>
      </c>
      <c r="BJ24" s="15">
        <f t="shared" si="40"/>
        <v>22531.832062372869</v>
      </c>
      <c r="BK24" s="15">
        <f t="shared" si="41"/>
        <v>0</v>
      </c>
    </row>
    <row r="25" spans="2:63" ht="15" customHeight="1">
      <c r="B25" s="16">
        <f t="shared" si="1"/>
        <v>17</v>
      </c>
      <c r="C25" s="16">
        <f t="shared" si="2"/>
        <v>2</v>
      </c>
      <c r="D25" s="16">
        <f t="shared" si="3"/>
        <v>1</v>
      </c>
      <c r="E25" s="16">
        <f t="shared" si="0"/>
        <v>17</v>
      </c>
      <c r="G25" s="16">
        <f>M_MultDeal!BE26+IF($B25=1,-i_transfee*i_maxequity,0)</f>
        <v>-5061578.8617853951</v>
      </c>
      <c r="H25" s="16">
        <f>M_MultDeal!AO26</f>
        <v>49570.030537220307</v>
      </c>
      <c r="I25" s="16">
        <f t="shared" si="42"/>
        <v>-5111148.8923226157</v>
      </c>
      <c r="K25" s="16">
        <f t="shared" si="4"/>
        <v>-5008925.9144761637</v>
      </c>
      <c r="L25" s="16">
        <f t="shared" si="5"/>
        <v>485042.73224546295</v>
      </c>
      <c r="M25" s="16">
        <f t="shared" si="6"/>
        <v>-5493968.6467216266</v>
      </c>
      <c r="N25" s="16">
        <f t="shared" si="7"/>
        <v>-5008925.9144761637</v>
      </c>
      <c r="O25" s="16">
        <f t="shared" si="8"/>
        <v>66320930.069088198</v>
      </c>
      <c r="P25" s="16">
        <f t="shared" si="9"/>
        <v>0</v>
      </c>
      <c r="R25" s="16">
        <f t="shared" si="10"/>
        <v>0</v>
      </c>
      <c r="S25" s="16">
        <f t="shared" si="11"/>
        <v>0</v>
      </c>
      <c r="T25" s="16">
        <f t="shared" si="12"/>
        <v>0</v>
      </c>
      <c r="U25" s="16">
        <f t="shared" si="13"/>
        <v>0</v>
      </c>
      <c r="V25" s="16">
        <f t="shared" si="14"/>
        <v>5173736.9986560773</v>
      </c>
      <c r="W25" s="16">
        <f t="shared" si="43"/>
        <v>-10182662.913132241</v>
      </c>
      <c r="X25" s="16">
        <f t="shared" si="15"/>
        <v>0</v>
      </c>
      <c r="Y25" s="16">
        <f t="shared" si="44"/>
        <v>97842459.617035016</v>
      </c>
      <c r="Z25" s="16">
        <f t="shared" si="16"/>
        <v>0</v>
      </c>
      <c r="AA25" s="72"/>
      <c r="AB25" s="16">
        <f t="shared" si="45"/>
        <v>0</v>
      </c>
      <c r="AC25" s="16">
        <f t="shared" si="17"/>
        <v>0</v>
      </c>
      <c r="AD25" s="16">
        <f t="shared" si="18"/>
        <v>0</v>
      </c>
      <c r="AF25" s="15">
        <f t="shared" si="19"/>
        <v>-102222.97784645231</v>
      </c>
      <c r="AG25" s="16">
        <f t="shared" si="20"/>
        <v>9898.8312703155698</v>
      </c>
      <c r="AH25" s="16">
        <f t="shared" si="21"/>
        <v>-112121.80911676788</v>
      </c>
      <c r="AI25" s="16">
        <f t="shared" si="22"/>
        <v>-102222.97784645231</v>
      </c>
      <c r="AJ25" s="16">
        <f t="shared" si="23"/>
        <v>1353488.3687569022</v>
      </c>
      <c r="AK25" s="16">
        <f t="shared" si="24"/>
        <v>0</v>
      </c>
      <c r="AM25" s="16">
        <f t="shared" si="25"/>
        <v>0</v>
      </c>
      <c r="AN25" s="16">
        <f t="shared" si="26"/>
        <v>0</v>
      </c>
      <c r="AO25" s="16">
        <f t="shared" si="27"/>
        <v>0</v>
      </c>
      <c r="AP25" s="16">
        <f t="shared" si="28"/>
        <v>0</v>
      </c>
      <c r="AQ25" s="16">
        <f t="shared" si="29"/>
        <v>9898.8312703155698</v>
      </c>
      <c r="AR25" s="16">
        <f t="shared" si="46"/>
        <v>-112121.80911676788</v>
      </c>
      <c r="AS25" s="16">
        <f t="shared" si="30"/>
        <v>0</v>
      </c>
      <c r="AT25" s="16">
        <f t="shared" si="47"/>
        <v>1353488.3687569022</v>
      </c>
      <c r="AU25" s="16">
        <f t="shared" si="31"/>
        <v>0</v>
      </c>
      <c r="AV25" s="72"/>
      <c r="AW25" s="16">
        <f t="shared" si="48"/>
        <v>0</v>
      </c>
      <c r="AX25" s="16">
        <f t="shared" si="32"/>
        <v>0</v>
      </c>
      <c r="AY25" s="16">
        <f t="shared" si="33"/>
        <v>0</v>
      </c>
      <c r="BA25" s="16">
        <f t="shared" si="49"/>
        <v>-5008925.9144761637</v>
      </c>
      <c r="BB25" s="16">
        <f t="shared" si="50"/>
        <v>-102222.97784645231</v>
      </c>
      <c r="BC25" s="16">
        <f t="shared" si="34"/>
        <v>-5111148.8923226157</v>
      </c>
      <c r="BD25" s="16">
        <f t="shared" si="35"/>
        <v>63957538.165107869</v>
      </c>
      <c r="BE25" s="16">
        <f t="shared" si="36"/>
        <v>0</v>
      </c>
      <c r="BF25" s="16">
        <f t="shared" si="37"/>
        <v>0</v>
      </c>
      <c r="BG25" s="16">
        <f t="shared" si="51"/>
        <v>0</v>
      </c>
      <c r="BH25" s="16">
        <f t="shared" si="38"/>
        <v>24785.015268610154</v>
      </c>
      <c r="BI25" s="16">
        <f t="shared" si="39"/>
        <v>0</v>
      </c>
      <c r="BJ25" s="16">
        <f t="shared" si="40"/>
        <v>24785.015268610154</v>
      </c>
      <c r="BK25" s="16">
        <f t="shared" si="41"/>
        <v>0</v>
      </c>
    </row>
    <row r="26" spans="2:63" ht="15" customHeight="1">
      <c r="B26" s="17">
        <f t="shared" si="1"/>
        <v>18</v>
      </c>
      <c r="C26" s="17">
        <f t="shared" si="2"/>
        <v>2</v>
      </c>
      <c r="D26" s="17">
        <f t="shared" si="3"/>
        <v>1</v>
      </c>
      <c r="E26" s="17">
        <f t="shared" si="0"/>
        <v>18</v>
      </c>
      <c r="G26" s="17">
        <f>M_MultDeal!BE27+IF($B26=1,-i_transfee*i_maxequity,0)</f>
        <v>-4487125.9208665881</v>
      </c>
      <c r="H26" s="17">
        <f>M_MultDeal!AO27</f>
        <v>53939.840391741105</v>
      </c>
      <c r="I26" s="17">
        <f t="shared" si="42"/>
        <v>-4541065.7612583293</v>
      </c>
      <c r="K26" s="17">
        <f t="shared" si="4"/>
        <v>-4450244.446033163</v>
      </c>
      <c r="L26" s="17">
        <f t="shared" si="5"/>
        <v>528852.40974641556</v>
      </c>
      <c r="M26" s="17">
        <f t="shared" si="6"/>
        <v>-4979096.8557795789</v>
      </c>
      <c r="N26" s="17">
        <f t="shared" si="7"/>
        <v>-4450244.446033163</v>
      </c>
      <c r="O26" s="17">
        <f t="shared" si="8"/>
        <v>71300026.924867779</v>
      </c>
      <c r="P26" s="17">
        <f t="shared" si="9"/>
        <v>0</v>
      </c>
      <c r="R26" s="17">
        <f t="shared" si="10"/>
        <v>0</v>
      </c>
      <c r="S26" s="17">
        <f t="shared" si="11"/>
        <v>0</v>
      </c>
      <c r="T26" s="17">
        <f t="shared" si="12"/>
        <v>0</v>
      </c>
      <c r="U26" s="17">
        <f t="shared" si="13"/>
        <v>0</v>
      </c>
      <c r="V26" s="17">
        <f t="shared" si="14"/>
        <v>5774724.2452551769</v>
      </c>
      <c r="W26" s="17">
        <f t="shared" si="43"/>
        <v>-10224968.691288341</v>
      </c>
      <c r="X26" s="17">
        <f t="shared" si="15"/>
        <v>0</v>
      </c>
      <c r="Y26" s="17">
        <f t="shared" si="44"/>
        <v>108067428.30832335</v>
      </c>
      <c r="Z26" s="17">
        <f t="shared" si="16"/>
        <v>0</v>
      </c>
      <c r="AA26" s="72"/>
      <c r="AB26" s="17">
        <f t="shared" si="45"/>
        <v>0</v>
      </c>
      <c r="AC26" s="17">
        <f t="shared" si="17"/>
        <v>0</v>
      </c>
      <c r="AD26" s="17">
        <f t="shared" si="18"/>
        <v>0</v>
      </c>
      <c r="AF26" s="15">
        <f t="shared" si="19"/>
        <v>-90821.315225166589</v>
      </c>
      <c r="AG26" s="17">
        <f t="shared" si="20"/>
        <v>10792.90632135542</v>
      </c>
      <c r="AH26" s="17">
        <f t="shared" si="21"/>
        <v>-101614.22154652201</v>
      </c>
      <c r="AI26" s="17">
        <f t="shared" si="22"/>
        <v>-90821.315225166589</v>
      </c>
      <c r="AJ26" s="17">
        <f t="shared" si="23"/>
        <v>1455102.5903034243</v>
      </c>
      <c r="AK26" s="17">
        <f t="shared" si="24"/>
        <v>0</v>
      </c>
      <c r="AM26" s="17">
        <f t="shared" si="25"/>
        <v>0</v>
      </c>
      <c r="AN26" s="17">
        <f t="shared" si="26"/>
        <v>0</v>
      </c>
      <c r="AO26" s="17">
        <f t="shared" si="27"/>
        <v>0</v>
      </c>
      <c r="AP26" s="17">
        <f t="shared" si="28"/>
        <v>0</v>
      </c>
      <c r="AQ26" s="17">
        <f t="shared" si="29"/>
        <v>10792.90632135542</v>
      </c>
      <c r="AR26" s="17">
        <f t="shared" si="46"/>
        <v>-101614.22154652201</v>
      </c>
      <c r="AS26" s="17">
        <f t="shared" si="30"/>
        <v>0</v>
      </c>
      <c r="AT26" s="17">
        <f t="shared" si="47"/>
        <v>1455102.5903034243</v>
      </c>
      <c r="AU26" s="17">
        <f t="shared" si="31"/>
        <v>0</v>
      </c>
      <c r="AV26" s="72"/>
      <c r="AW26" s="17">
        <f t="shared" si="48"/>
        <v>0</v>
      </c>
      <c r="AX26" s="17">
        <f t="shared" si="32"/>
        <v>0</v>
      </c>
      <c r="AY26" s="17">
        <f t="shared" si="33"/>
        <v>0</v>
      </c>
      <c r="BA26" s="17">
        <f t="shared" si="49"/>
        <v>-4450244.446033163</v>
      </c>
      <c r="BB26" s="17">
        <f t="shared" si="50"/>
        <v>-90821.315225166589</v>
      </c>
      <c r="BC26" s="17">
        <f t="shared" si="34"/>
        <v>-4541065.7612583293</v>
      </c>
      <c r="BD26" s="17">
        <f t="shared" si="35"/>
        <v>68498603.926366195</v>
      </c>
      <c r="BE26" s="17">
        <f t="shared" si="36"/>
        <v>0</v>
      </c>
      <c r="BF26" s="17">
        <f t="shared" si="37"/>
        <v>0</v>
      </c>
      <c r="BG26" s="17">
        <f t="shared" si="51"/>
        <v>0</v>
      </c>
      <c r="BH26" s="17">
        <f t="shared" si="38"/>
        <v>26969.920195870553</v>
      </c>
      <c r="BI26" s="17">
        <f t="shared" si="39"/>
        <v>0</v>
      </c>
      <c r="BJ26" s="17">
        <f t="shared" si="40"/>
        <v>26969.920195870553</v>
      </c>
      <c r="BK26" s="17">
        <f t="shared" si="41"/>
        <v>0</v>
      </c>
    </row>
    <row r="27" spans="2:63" ht="15" customHeight="1">
      <c r="B27" s="15">
        <f t="shared" si="1"/>
        <v>19</v>
      </c>
      <c r="C27" s="15">
        <f t="shared" si="2"/>
        <v>2</v>
      </c>
      <c r="D27" s="15">
        <f t="shared" si="3"/>
        <v>1</v>
      </c>
      <c r="E27" s="15">
        <f t="shared" si="0"/>
        <v>19</v>
      </c>
      <c r="G27" s="15">
        <f>M_MultDeal!BE28+IF($B27=1,-i_transfee*i_maxequity,0)</f>
        <v>-4304269.3563656257</v>
      </c>
      <c r="H27" s="15">
        <f>M_MultDeal!AO28</f>
        <v>57899.980572400578</v>
      </c>
      <c r="I27" s="15">
        <f t="shared" si="42"/>
        <v>-4362169.3369380264</v>
      </c>
      <c r="K27" s="15">
        <f t="shared" si="4"/>
        <v>-4274925.950199266</v>
      </c>
      <c r="L27" s="15">
        <f t="shared" si="5"/>
        <v>568556.42728351511</v>
      </c>
      <c r="M27" s="15">
        <f t="shared" si="6"/>
        <v>-4843482.3774827812</v>
      </c>
      <c r="N27" s="15">
        <f t="shared" si="7"/>
        <v>-4274925.950199266</v>
      </c>
      <c r="O27" s="15">
        <f t="shared" si="8"/>
        <v>76143509.302350566</v>
      </c>
      <c r="P27" s="15">
        <f t="shared" si="9"/>
        <v>0</v>
      </c>
      <c r="R27" s="15">
        <f t="shared" si="10"/>
        <v>0</v>
      </c>
      <c r="S27" s="15">
        <f t="shared" si="11"/>
        <v>0</v>
      </c>
      <c r="T27" s="15">
        <f t="shared" si="12"/>
        <v>0</v>
      </c>
      <c r="U27" s="15">
        <f t="shared" si="13"/>
        <v>0</v>
      </c>
      <c r="V27" s="15">
        <f t="shared" si="14"/>
        <v>6378208.4058095114</v>
      </c>
      <c r="W27" s="15">
        <f t="shared" si="43"/>
        <v>-10653134.356008777</v>
      </c>
      <c r="X27" s="15">
        <f t="shared" si="15"/>
        <v>0</v>
      </c>
      <c r="Y27" s="15">
        <f t="shared" si="44"/>
        <v>118720562.66433214</v>
      </c>
      <c r="Z27" s="15">
        <f t="shared" si="16"/>
        <v>0</v>
      </c>
      <c r="AA27" s="72"/>
      <c r="AB27" s="15">
        <f t="shared" si="45"/>
        <v>0</v>
      </c>
      <c r="AC27" s="15">
        <f t="shared" si="17"/>
        <v>0</v>
      </c>
      <c r="AD27" s="15">
        <f t="shared" si="18"/>
        <v>0</v>
      </c>
      <c r="AF27" s="15">
        <f t="shared" si="19"/>
        <v>-87243.386738760528</v>
      </c>
      <c r="AG27" s="15">
        <f t="shared" si="20"/>
        <v>11603.192393541125</v>
      </c>
      <c r="AH27" s="15">
        <f t="shared" si="21"/>
        <v>-98846.579132301646</v>
      </c>
      <c r="AI27" s="15">
        <f t="shared" si="22"/>
        <v>-87243.386738760528</v>
      </c>
      <c r="AJ27" s="15">
        <f t="shared" si="23"/>
        <v>1553949.169435726</v>
      </c>
      <c r="AK27" s="15">
        <f t="shared" si="24"/>
        <v>0</v>
      </c>
      <c r="AM27" s="15">
        <f t="shared" si="25"/>
        <v>0</v>
      </c>
      <c r="AN27" s="15">
        <f t="shared" si="26"/>
        <v>0</v>
      </c>
      <c r="AO27" s="15">
        <f t="shared" si="27"/>
        <v>0</v>
      </c>
      <c r="AP27" s="15">
        <f t="shared" si="28"/>
        <v>0</v>
      </c>
      <c r="AQ27" s="15">
        <f t="shared" si="29"/>
        <v>11603.192393541125</v>
      </c>
      <c r="AR27" s="15">
        <f t="shared" si="46"/>
        <v>-98846.579132301646</v>
      </c>
      <c r="AS27" s="15">
        <f t="shared" si="30"/>
        <v>0</v>
      </c>
      <c r="AT27" s="15">
        <f t="shared" si="47"/>
        <v>1553949.169435726</v>
      </c>
      <c r="AU27" s="15">
        <f t="shared" si="31"/>
        <v>0</v>
      </c>
      <c r="AV27" s="72"/>
      <c r="AW27" s="15">
        <f t="shared" si="48"/>
        <v>0</v>
      </c>
      <c r="AX27" s="15">
        <f t="shared" si="32"/>
        <v>0</v>
      </c>
      <c r="AY27" s="15">
        <f t="shared" si="33"/>
        <v>0</v>
      </c>
      <c r="BA27" s="15">
        <f t="shared" si="49"/>
        <v>-4274925.950199266</v>
      </c>
      <c r="BB27" s="15">
        <f t="shared" si="50"/>
        <v>-87243.386738760528</v>
      </c>
      <c r="BC27" s="15">
        <f t="shared" si="34"/>
        <v>-4362169.3369380264</v>
      </c>
      <c r="BD27" s="15">
        <f t="shared" si="35"/>
        <v>72860773.263304219</v>
      </c>
      <c r="BE27" s="15">
        <f t="shared" si="36"/>
        <v>0</v>
      </c>
      <c r="BF27" s="15">
        <f t="shared" si="37"/>
        <v>0</v>
      </c>
      <c r="BG27" s="15">
        <f t="shared" si="51"/>
        <v>0</v>
      </c>
      <c r="BH27" s="15">
        <f t="shared" si="38"/>
        <v>28949.990286200289</v>
      </c>
      <c r="BI27" s="15">
        <f t="shared" si="39"/>
        <v>0</v>
      </c>
      <c r="BJ27" s="15">
        <f t="shared" si="40"/>
        <v>28949.990286200289</v>
      </c>
      <c r="BK27" s="15">
        <f t="shared" si="41"/>
        <v>0</v>
      </c>
    </row>
    <row r="28" spans="2:63" ht="15" customHeight="1">
      <c r="B28" s="16">
        <f t="shared" si="1"/>
        <v>20</v>
      </c>
      <c r="C28" s="16">
        <f t="shared" si="2"/>
        <v>2</v>
      </c>
      <c r="D28" s="16">
        <f t="shared" si="3"/>
        <v>1</v>
      </c>
      <c r="E28" s="16">
        <f t="shared" si="0"/>
        <v>20</v>
      </c>
      <c r="G28" s="16">
        <f>M_MultDeal!BE29+IF($B28=1,-i_transfee*i_maxequity,0)</f>
        <v>-4211203.4068610277</v>
      </c>
      <c r="H28" s="16">
        <f>M_MultDeal!AO29</f>
        <v>61723.564195106279</v>
      </c>
      <c r="I28" s="16">
        <f t="shared" si="42"/>
        <v>-4272926.9710561344</v>
      </c>
      <c r="K28" s="16">
        <f t="shared" si="4"/>
        <v>-4187468.4316350115</v>
      </c>
      <c r="L28" s="16">
        <f t="shared" si="5"/>
        <v>607179.03592648346</v>
      </c>
      <c r="M28" s="16">
        <f t="shared" si="6"/>
        <v>-4794647.4675614946</v>
      </c>
      <c r="N28" s="16">
        <f t="shared" si="7"/>
        <v>-4187468.4316350115</v>
      </c>
      <c r="O28" s="16">
        <f t="shared" si="8"/>
        <v>80938156.769912064</v>
      </c>
      <c r="P28" s="16">
        <f t="shared" si="9"/>
        <v>0</v>
      </c>
      <c r="R28" s="16">
        <f t="shared" si="10"/>
        <v>0</v>
      </c>
      <c r="S28" s="16">
        <f t="shared" si="11"/>
        <v>0</v>
      </c>
      <c r="T28" s="16">
        <f t="shared" si="12"/>
        <v>0</v>
      </c>
      <c r="U28" s="16">
        <f t="shared" si="13"/>
        <v>0</v>
      </c>
      <c r="V28" s="16">
        <f t="shared" si="14"/>
        <v>7006963.1764315488</v>
      </c>
      <c r="W28" s="16">
        <f t="shared" si="43"/>
        <v>-11194431.608066561</v>
      </c>
      <c r="X28" s="16">
        <f t="shared" si="15"/>
        <v>0</v>
      </c>
      <c r="Y28" s="16">
        <f t="shared" si="44"/>
        <v>129914994.2723987</v>
      </c>
      <c r="Z28" s="16">
        <f t="shared" si="16"/>
        <v>0</v>
      </c>
      <c r="AA28" s="72"/>
      <c r="AB28" s="16">
        <f t="shared" si="45"/>
        <v>0</v>
      </c>
      <c r="AC28" s="16">
        <f t="shared" si="17"/>
        <v>0</v>
      </c>
      <c r="AD28" s="16">
        <f t="shared" si="18"/>
        <v>0</v>
      </c>
      <c r="AF28" s="15">
        <f t="shared" si="19"/>
        <v>-85458.539421122696</v>
      </c>
      <c r="AG28" s="16">
        <f t="shared" si="20"/>
        <v>12391.40889645885</v>
      </c>
      <c r="AH28" s="16">
        <f t="shared" si="21"/>
        <v>-97849.94831758154</v>
      </c>
      <c r="AI28" s="16">
        <f t="shared" si="22"/>
        <v>-85458.539421122696</v>
      </c>
      <c r="AJ28" s="16">
        <f t="shared" si="23"/>
        <v>1651799.1177533076</v>
      </c>
      <c r="AK28" s="16">
        <f t="shared" si="24"/>
        <v>0</v>
      </c>
      <c r="AM28" s="16">
        <f t="shared" si="25"/>
        <v>0</v>
      </c>
      <c r="AN28" s="16">
        <f t="shared" si="26"/>
        <v>0</v>
      </c>
      <c r="AO28" s="16">
        <f t="shared" si="27"/>
        <v>0</v>
      </c>
      <c r="AP28" s="16">
        <f t="shared" si="28"/>
        <v>0</v>
      </c>
      <c r="AQ28" s="16">
        <f t="shared" si="29"/>
        <v>12391.40889645885</v>
      </c>
      <c r="AR28" s="16">
        <f t="shared" si="46"/>
        <v>-97849.94831758154</v>
      </c>
      <c r="AS28" s="16">
        <f t="shared" si="30"/>
        <v>0</v>
      </c>
      <c r="AT28" s="16">
        <f t="shared" si="47"/>
        <v>1651799.1177533076</v>
      </c>
      <c r="AU28" s="16">
        <f t="shared" si="31"/>
        <v>0</v>
      </c>
      <c r="AV28" s="72"/>
      <c r="AW28" s="16">
        <f t="shared" si="48"/>
        <v>0</v>
      </c>
      <c r="AX28" s="16">
        <f t="shared" si="32"/>
        <v>0</v>
      </c>
      <c r="AY28" s="16">
        <f t="shared" si="33"/>
        <v>0</v>
      </c>
      <c r="BA28" s="16">
        <f t="shared" si="49"/>
        <v>-4187468.4316350115</v>
      </c>
      <c r="BB28" s="16">
        <f t="shared" si="50"/>
        <v>-85458.539421122696</v>
      </c>
      <c r="BC28" s="16">
        <f t="shared" si="34"/>
        <v>-4272926.9710561344</v>
      </c>
      <c r="BD28" s="16">
        <f t="shared" si="35"/>
        <v>77133700.234360352</v>
      </c>
      <c r="BE28" s="16">
        <f t="shared" si="36"/>
        <v>0</v>
      </c>
      <c r="BF28" s="16">
        <f t="shared" si="37"/>
        <v>0</v>
      </c>
      <c r="BG28" s="16">
        <f t="shared" si="51"/>
        <v>0</v>
      </c>
      <c r="BH28" s="16">
        <f t="shared" si="38"/>
        <v>30861.782097553139</v>
      </c>
      <c r="BI28" s="16">
        <f t="shared" si="39"/>
        <v>0</v>
      </c>
      <c r="BJ28" s="16">
        <f t="shared" si="40"/>
        <v>30861.782097553139</v>
      </c>
      <c r="BK28" s="16">
        <f t="shared" si="41"/>
        <v>0</v>
      </c>
    </row>
    <row r="29" spans="2:63" ht="15" customHeight="1">
      <c r="B29" s="17">
        <f t="shared" si="1"/>
        <v>21</v>
      </c>
      <c r="C29" s="17">
        <f t="shared" si="2"/>
        <v>2</v>
      </c>
      <c r="D29" s="17">
        <f t="shared" si="3"/>
        <v>1</v>
      </c>
      <c r="E29" s="17">
        <f t="shared" si="0"/>
        <v>21</v>
      </c>
      <c r="G29" s="17">
        <f>M_MultDeal!BE30+IF($B29=1,-i_transfee*i_maxequity,0)</f>
        <v>-4117089.9473527968</v>
      </c>
      <c r="H29" s="17">
        <f>M_MultDeal!AO30</f>
        <v>65410.591259858207</v>
      </c>
      <c r="I29" s="17">
        <f t="shared" si="42"/>
        <v>-4182500.5386126549</v>
      </c>
      <c r="K29" s="17">
        <f t="shared" si="4"/>
        <v>-4098850.5278404015</v>
      </c>
      <c r="L29" s="17">
        <f t="shared" si="5"/>
        <v>645412.22813990677</v>
      </c>
      <c r="M29" s="17">
        <f t="shared" si="6"/>
        <v>-4744262.7559803082</v>
      </c>
      <c r="N29" s="17">
        <f t="shared" si="7"/>
        <v>-4098850.5278404015</v>
      </c>
      <c r="O29" s="17">
        <f t="shared" si="8"/>
        <v>85682419.525892377</v>
      </c>
      <c r="P29" s="17">
        <f t="shared" si="9"/>
        <v>0</v>
      </c>
      <c r="R29" s="17">
        <f t="shared" si="10"/>
        <v>0</v>
      </c>
      <c r="S29" s="17">
        <f t="shared" si="11"/>
        <v>0</v>
      </c>
      <c r="T29" s="17">
        <f t="shared" si="12"/>
        <v>0</v>
      </c>
      <c r="U29" s="17">
        <f t="shared" si="13"/>
        <v>0</v>
      </c>
      <c r="V29" s="17">
        <f t="shared" si="14"/>
        <v>7667665.6554164281</v>
      </c>
      <c r="W29" s="17">
        <f t="shared" si="43"/>
        <v>-11766516.183256829</v>
      </c>
      <c r="X29" s="17">
        <f t="shared" si="15"/>
        <v>0</v>
      </c>
      <c r="Y29" s="17">
        <f t="shared" si="44"/>
        <v>141681510.45565552</v>
      </c>
      <c r="Z29" s="17">
        <f t="shared" si="16"/>
        <v>0</v>
      </c>
      <c r="AA29" s="72"/>
      <c r="AB29" s="17">
        <f t="shared" si="45"/>
        <v>0</v>
      </c>
      <c r="AC29" s="17">
        <f t="shared" si="17"/>
        <v>0</v>
      </c>
      <c r="AD29" s="17">
        <f t="shared" si="18"/>
        <v>0</v>
      </c>
      <c r="AF29" s="15">
        <f t="shared" si="19"/>
        <v>-83650.010772253096</v>
      </c>
      <c r="AG29" s="17">
        <f t="shared" si="20"/>
        <v>13171.678125304219</v>
      </c>
      <c r="AH29" s="17">
        <f t="shared" si="21"/>
        <v>-96821.688897557309</v>
      </c>
      <c r="AI29" s="17">
        <f t="shared" si="22"/>
        <v>-83650.010772253096</v>
      </c>
      <c r="AJ29" s="17">
        <f t="shared" si="23"/>
        <v>1748620.8066508649</v>
      </c>
      <c r="AK29" s="17">
        <f t="shared" si="24"/>
        <v>0</v>
      </c>
      <c r="AM29" s="17">
        <f t="shared" si="25"/>
        <v>0</v>
      </c>
      <c r="AN29" s="17">
        <f t="shared" si="26"/>
        <v>0</v>
      </c>
      <c r="AO29" s="17">
        <f t="shared" si="27"/>
        <v>0</v>
      </c>
      <c r="AP29" s="17">
        <f t="shared" si="28"/>
        <v>0</v>
      </c>
      <c r="AQ29" s="17">
        <f t="shared" si="29"/>
        <v>13171.678125304219</v>
      </c>
      <c r="AR29" s="17">
        <f t="shared" si="46"/>
        <v>-96821.688897557309</v>
      </c>
      <c r="AS29" s="17">
        <f t="shared" si="30"/>
        <v>0</v>
      </c>
      <c r="AT29" s="17">
        <f t="shared" si="47"/>
        <v>1748620.8066508649</v>
      </c>
      <c r="AU29" s="17">
        <f t="shared" si="31"/>
        <v>0</v>
      </c>
      <c r="AV29" s="72"/>
      <c r="AW29" s="17">
        <f t="shared" si="48"/>
        <v>0</v>
      </c>
      <c r="AX29" s="17">
        <f t="shared" si="32"/>
        <v>0</v>
      </c>
      <c r="AY29" s="17">
        <f t="shared" si="33"/>
        <v>0</v>
      </c>
      <c r="BA29" s="17">
        <f t="shared" si="49"/>
        <v>-4098850.5278404015</v>
      </c>
      <c r="BB29" s="17">
        <f t="shared" si="50"/>
        <v>-83650.010772253096</v>
      </c>
      <c r="BC29" s="17">
        <f t="shared" si="34"/>
        <v>-4182500.5386126544</v>
      </c>
      <c r="BD29" s="17">
        <f t="shared" si="35"/>
        <v>81316200.772973001</v>
      </c>
      <c r="BE29" s="17">
        <f t="shared" si="36"/>
        <v>0</v>
      </c>
      <c r="BF29" s="17">
        <f t="shared" si="37"/>
        <v>0</v>
      </c>
      <c r="BG29" s="17">
        <f t="shared" si="51"/>
        <v>0</v>
      </c>
      <c r="BH29" s="17">
        <f t="shared" si="38"/>
        <v>32705.295629929104</v>
      </c>
      <c r="BI29" s="17">
        <f t="shared" si="39"/>
        <v>0</v>
      </c>
      <c r="BJ29" s="17">
        <f t="shared" si="40"/>
        <v>32705.295629929104</v>
      </c>
      <c r="BK29" s="17">
        <f t="shared" si="41"/>
        <v>0</v>
      </c>
    </row>
    <row r="30" spans="2:63" ht="15" customHeight="1">
      <c r="B30" s="15">
        <f t="shared" si="1"/>
        <v>22</v>
      </c>
      <c r="C30" s="15">
        <f t="shared" si="2"/>
        <v>2</v>
      </c>
      <c r="D30" s="15">
        <f t="shared" si="3"/>
        <v>1</v>
      </c>
      <c r="E30" s="15">
        <f t="shared" si="0"/>
        <v>22</v>
      </c>
      <c r="G30" s="15">
        <f>M_MultDeal!BE31+IF($B30=1,-i_transfee*i_maxequity,0)</f>
        <v>853507.5306582246</v>
      </c>
      <c r="H30" s="15">
        <f>M_MultDeal!AO31</f>
        <v>68961.061766656348</v>
      </c>
      <c r="I30" s="15">
        <f t="shared" si="42"/>
        <v>784546.46889156825</v>
      </c>
      <c r="K30" s="15">
        <f t="shared" si="4"/>
        <v>768855.53951373685</v>
      </c>
      <c r="L30" s="15">
        <f t="shared" si="5"/>
        <v>683243.64558771171</v>
      </c>
      <c r="M30" s="15">
        <f t="shared" si="6"/>
        <v>85611.893926025135</v>
      </c>
      <c r="N30" s="15">
        <f t="shared" si="7"/>
        <v>768855.53951373685</v>
      </c>
      <c r="O30" s="15">
        <f t="shared" si="8"/>
        <v>85596807.631966352</v>
      </c>
      <c r="P30" s="15">
        <f t="shared" si="9"/>
        <v>0</v>
      </c>
      <c r="R30" s="15">
        <f t="shared" si="10"/>
        <v>0</v>
      </c>
      <c r="S30" s="15">
        <f t="shared" si="11"/>
        <v>0</v>
      </c>
      <c r="T30" s="15">
        <f t="shared" si="12"/>
        <v>0</v>
      </c>
      <c r="U30" s="15">
        <f t="shared" si="13"/>
        <v>0</v>
      </c>
      <c r="V30" s="15">
        <f t="shared" si="14"/>
        <v>8362132.9301721649</v>
      </c>
      <c r="W30" s="15">
        <f t="shared" si="43"/>
        <v>-7593277.390658428</v>
      </c>
      <c r="X30" s="15">
        <f t="shared" si="15"/>
        <v>0</v>
      </c>
      <c r="Y30" s="15">
        <f t="shared" si="44"/>
        <v>149274787.84631395</v>
      </c>
      <c r="Z30" s="15">
        <f t="shared" si="16"/>
        <v>0</v>
      </c>
      <c r="AA30" s="72"/>
      <c r="AB30" s="15">
        <f t="shared" si="45"/>
        <v>0</v>
      </c>
      <c r="AC30" s="15">
        <f t="shared" si="17"/>
        <v>0</v>
      </c>
      <c r="AD30" s="15">
        <f t="shared" si="18"/>
        <v>0</v>
      </c>
      <c r="AF30" s="15">
        <f t="shared" si="19"/>
        <v>15690.929377831366</v>
      </c>
      <c r="AG30" s="15">
        <f t="shared" si="20"/>
        <v>13943.747869136974</v>
      </c>
      <c r="AH30" s="15">
        <f t="shared" si="21"/>
        <v>1747.1815086943916</v>
      </c>
      <c r="AI30" s="15">
        <f t="shared" si="22"/>
        <v>15690.929377831366</v>
      </c>
      <c r="AJ30" s="15">
        <f t="shared" si="23"/>
        <v>1746873.6251421706</v>
      </c>
      <c r="AK30" s="15">
        <f t="shared" si="24"/>
        <v>0</v>
      </c>
      <c r="AM30" s="15">
        <f t="shared" si="25"/>
        <v>0</v>
      </c>
      <c r="AN30" s="15">
        <f t="shared" si="26"/>
        <v>0</v>
      </c>
      <c r="AO30" s="15">
        <f t="shared" si="27"/>
        <v>0</v>
      </c>
      <c r="AP30" s="15">
        <f t="shared" si="28"/>
        <v>0</v>
      </c>
      <c r="AQ30" s="15">
        <f t="shared" si="29"/>
        <v>13943.747869136974</v>
      </c>
      <c r="AR30" s="15">
        <f t="shared" si="46"/>
        <v>1747.1815086943916</v>
      </c>
      <c r="AS30" s="15">
        <f t="shared" si="30"/>
        <v>0</v>
      </c>
      <c r="AT30" s="15">
        <f t="shared" si="47"/>
        <v>1746873.6251421706</v>
      </c>
      <c r="AU30" s="15">
        <f t="shared" si="31"/>
        <v>0</v>
      </c>
      <c r="AV30" s="72"/>
      <c r="AW30" s="15">
        <f t="shared" si="48"/>
        <v>0</v>
      </c>
      <c r="AX30" s="15">
        <f t="shared" si="32"/>
        <v>0</v>
      </c>
      <c r="AY30" s="15">
        <f t="shared" si="33"/>
        <v>0</v>
      </c>
      <c r="BA30" s="15">
        <f t="shared" si="49"/>
        <v>768855.53951373685</v>
      </c>
      <c r="BB30" s="15">
        <f t="shared" si="50"/>
        <v>15690.929377831366</v>
      </c>
      <c r="BC30" s="15">
        <f t="shared" si="34"/>
        <v>784546.46889156825</v>
      </c>
      <c r="BD30" s="15">
        <f t="shared" si="35"/>
        <v>80531654.30408144</v>
      </c>
      <c r="BE30" s="15">
        <f t="shared" si="36"/>
        <v>0</v>
      </c>
      <c r="BF30" s="15">
        <f t="shared" si="37"/>
        <v>0</v>
      </c>
      <c r="BG30" s="15">
        <f t="shared" si="51"/>
        <v>0</v>
      </c>
      <c r="BH30" s="15">
        <f t="shared" si="38"/>
        <v>34480.530883328174</v>
      </c>
      <c r="BI30" s="15">
        <f t="shared" si="39"/>
        <v>0</v>
      </c>
      <c r="BJ30" s="15">
        <f t="shared" si="40"/>
        <v>34480.530883328174</v>
      </c>
      <c r="BK30" s="15">
        <f t="shared" si="41"/>
        <v>0</v>
      </c>
    </row>
    <row r="31" spans="2:63" ht="15" customHeight="1">
      <c r="B31" s="16">
        <f t="shared" si="1"/>
        <v>23</v>
      </c>
      <c r="C31" s="16">
        <f t="shared" si="2"/>
        <v>2</v>
      </c>
      <c r="D31" s="16">
        <f t="shared" si="3"/>
        <v>1</v>
      </c>
      <c r="E31" s="16">
        <f t="shared" si="0"/>
        <v>23</v>
      </c>
      <c r="G31" s="16">
        <f>M_MultDeal!BE32+IF($B31=1,-i_transfee*i_maxequity,0)</f>
        <v>2628994.2834557658</v>
      </c>
      <c r="H31" s="16">
        <f>M_MultDeal!AO32</f>
        <v>68312.1119584181</v>
      </c>
      <c r="I31" s="16">
        <f t="shared" si="42"/>
        <v>2560682.1714973478</v>
      </c>
      <c r="K31" s="16">
        <f t="shared" si="4"/>
        <v>2509468.5280674007</v>
      </c>
      <c r="L31" s="16">
        <f t="shared" si="5"/>
        <v>682560.96432316117</v>
      </c>
      <c r="M31" s="16">
        <f t="shared" si="6"/>
        <v>1826907.5637442395</v>
      </c>
      <c r="N31" s="16">
        <f t="shared" si="7"/>
        <v>2509468.5280674007</v>
      </c>
      <c r="O31" s="16">
        <f t="shared" si="8"/>
        <v>83769900.068222106</v>
      </c>
      <c r="P31" s="16">
        <f t="shared" si="9"/>
        <v>0</v>
      </c>
      <c r="R31" s="16">
        <f t="shared" si="10"/>
        <v>0</v>
      </c>
      <c r="S31" s="16">
        <f t="shared" si="11"/>
        <v>0</v>
      </c>
      <c r="T31" s="16">
        <f t="shared" si="12"/>
        <v>0</v>
      </c>
      <c r="U31" s="16">
        <f t="shared" si="13"/>
        <v>0</v>
      </c>
      <c r="V31" s="16">
        <f t="shared" si="14"/>
        <v>8810292.9950398393</v>
      </c>
      <c r="W31" s="16">
        <f t="shared" si="43"/>
        <v>-6300824.4669724386</v>
      </c>
      <c r="X31" s="16">
        <f t="shared" si="15"/>
        <v>0</v>
      </c>
      <c r="Y31" s="16">
        <f t="shared" si="44"/>
        <v>155575612.31328639</v>
      </c>
      <c r="Z31" s="16">
        <f t="shared" si="16"/>
        <v>0</v>
      </c>
      <c r="AA31" s="72"/>
      <c r="AB31" s="16">
        <f t="shared" si="45"/>
        <v>0</v>
      </c>
      <c r="AC31" s="16">
        <f t="shared" si="17"/>
        <v>0</v>
      </c>
      <c r="AD31" s="16">
        <f t="shared" si="18"/>
        <v>0</v>
      </c>
      <c r="AF31" s="15">
        <f t="shared" si="19"/>
        <v>51213.643429946955</v>
      </c>
      <c r="AG31" s="16">
        <f t="shared" si="20"/>
        <v>13929.81559843186</v>
      </c>
      <c r="AH31" s="16">
        <f t="shared" si="21"/>
        <v>37283.827831515096</v>
      </c>
      <c r="AI31" s="16">
        <f t="shared" si="22"/>
        <v>51213.643429946955</v>
      </c>
      <c r="AJ31" s="16">
        <f t="shared" si="23"/>
        <v>1709589.7973106555</v>
      </c>
      <c r="AK31" s="16">
        <f t="shared" si="24"/>
        <v>0</v>
      </c>
      <c r="AM31" s="16">
        <f t="shared" si="25"/>
        <v>0</v>
      </c>
      <c r="AN31" s="16">
        <f t="shared" si="26"/>
        <v>0</v>
      </c>
      <c r="AO31" s="16">
        <f t="shared" si="27"/>
        <v>0</v>
      </c>
      <c r="AP31" s="16">
        <f t="shared" si="28"/>
        <v>0</v>
      </c>
      <c r="AQ31" s="16">
        <f t="shared" si="29"/>
        <v>13929.81559843186</v>
      </c>
      <c r="AR31" s="16">
        <f t="shared" si="46"/>
        <v>37283.827831515096</v>
      </c>
      <c r="AS31" s="16">
        <f t="shared" si="30"/>
        <v>0</v>
      </c>
      <c r="AT31" s="16">
        <f t="shared" si="47"/>
        <v>1709589.7973106555</v>
      </c>
      <c r="AU31" s="16">
        <f t="shared" si="31"/>
        <v>0</v>
      </c>
      <c r="AV31" s="72"/>
      <c r="AW31" s="16">
        <f t="shared" si="48"/>
        <v>0</v>
      </c>
      <c r="AX31" s="16">
        <f t="shared" si="32"/>
        <v>0</v>
      </c>
      <c r="AY31" s="16">
        <f t="shared" si="33"/>
        <v>0</v>
      </c>
      <c r="BA31" s="16">
        <f t="shared" si="49"/>
        <v>2509468.5280674007</v>
      </c>
      <c r="BB31" s="16">
        <f t="shared" si="50"/>
        <v>51213.643429946955</v>
      </c>
      <c r="BC31" s="16">
        <f t="shared" si="34"/>
        <v>2560682.1714973478</v>
      </c>
      <c r="BD31" s="16">
        <f t="shared" si="35"/>
        <v>77970972.132584095</v>
      </c>
      <c r="BE31" s="16">
        <f t="shared" si="36"/>
        <v>0</v>
      </c>
      <c r="BF31" s="16">
        <f t="shared" si="37"/>
        <v>0</v>
      </c>
      <c r="BG31" s="16">
        <f t="shared" si="51"/>
        <v>0</v>
      </c>
      <c r="BH31" s="16">
        <f t="shared" si="38"/>
        <v>34156.05597920905</v>
      </c>
      <c r="BI31" s="16">
        <f t="shared" si="39"/>
        <v>0</v>
      </c>
      <c r="BJ31" s="16">
        <f t="shared" si="40"/>
        <v>34156.05597920905</v>
      </c>
      <c r="BK31" s="16">
        <f t="shared" si="41"/>
        <v>0</v>
      </c>
    </row>
    <row r="32" spans="2:63" ht="15" customHeight="1" thickBot="1">
      <c r="B32" s="18">
        <f t="shared" si="1"/>
        <v>24</v>
      </c>
      <c r="C32" s="18">
        <f t="shared" si="2"/>
        <v>2</v>
      </c>
      <c r="D32" s="18">
        <f t="shared" si="3"/>
        <v>1</v>
      </c>
      <c r="E32" s="18">
        <f t="shared" si="0"/>
        <v>24</v>
      </c>
      <c r="G32" s="18">
        <f>M_MultDeal!BE33+IF($B32=1,-i_transfee*i_maxequity,0)</f>
        <v>2911174.701478201</v>
      </c>
      <c r="H32" s="18">
        <f>M_MultDeal!AO33</f>
        <v>66127.207031157697</v>
      </c>
      <c r="I32" s="18">
        <f t="shared" si="42"/>
        <v>2845047.4944470432</v>
      </c>
      <c r="K32" s="18">
        <f t="shared" si="4"/>
        <v>2788146.5445581023</v>
      </c>
      <c r="L32" s="18">
        <f t="shared" si="5"/>
        <v>667992.94685923809</v>
      </c>
      <c r="M32" s="18">
        <f t="shared" si="6"/>
        <v>2120153.5976988641</v>
      </c>
      <c r="N32" s="18">
        <f t="shared" si="7"/>
        <v>2788146.5445581023</v>
      </c>
      <c r="O32" s="18">
        <f t="shared" si="8"/>
        <v>81649746.470523238</v>
      </c>
      <c r="P32" s="18">
        <f t="shared" si="9"/>
        <v>0</v>
      </c>
      <c r="R32" s="18">
        <f t="shared" si="10"/>
        <v>0</v>
      </c>
      <c r="S32" s="18">
        <f t="shared" si="11"/>
        <v>0</v>
      </c>
      <c r="T32" s="18">
        <f t="shared" si="12"/>
        <v>0</v>
      </c>
      <c r="U32" s="18">
        <f t="shared" si="13"/>
        <v>0</v>
      </c>
      <c r="V32" s="18">
        <f t="shared" si="14"/>
        <v>9182171.6656797566</v>
      </c>
      <c r="W32" s="18">
        <f t="shared" si="43"/>
        <v>-6394025.1211216543</v>
      </c>
      <c r="X32" s="18">
        <f t="shared" si="15"/>
        <v>0</v>
      </c>
      <c r="Y32" s="18">
        <f t="shared" si="44"/>
        <v>161969637.43440804</v>
      </c>
      <c r="Z32" s="18">
        <f t="shared" si="16"/>
        <v>0</v>
      </c>
      <c r="AA32" s="72"/>
      <c r="AB32" s="18">
        <f t="shared" si="45"/>
        <v>0</v>
      </c>
      <c r="AC32" s="18">
        <f t="shared" si="17"/>
        <v>0</v>
      </c>
      <c r="AD32" s="18">
        <f t="shared" si="18"/>
        <v>0</v>
      </c>
      <c r="AF32" s="15">
        <f t="shared" si="19"/>
        <v>56900.949888940864</v>
      </c>
      <c r="AG32" s="18">
        <f t="shared" si="20"/>
        <v>13632.509119576289</v>
      </c>
      <c r="AH32" s="18">
        <f t="shared" si="21"/>
        <v>43268.440769364577</v>
      </c>
      <c r="AI32" s="18">
        <f t="shared" si="22"/>
        <v>56900.949888940864</v>
      </c>
      <c r="AJ32" s="18">
        <f t="shared" si="23"/>
        <v>1666321.3565412909</v>
      </c>
      <c r="AK32" s="18">
        <f t="shared" si="24"/>
        <v>0</v>
      </c>
      <c r="AM32" s="18">
        <f t="shared" si="25"/>
        <v>0</v>
      </c>
      <c r="AN32" s="18">
        <f t="shared" si="26"/>
        <v>0</v>
      </c>
      <c r="AO32" s="18">
        <f t="shared" si="27"/>
        <v>0</v>
      </c>
      <c r="AP32" s="18">
        <f t="shared" si="28"/>
        <v>0</v>
      </c>
      <c r="AQ32" s="18">
        <f t="shared" si="29"/>
        <v>13632.509119576289</v>
      </c>
      <c r="AR32" s="18">
        <f t="shared" si="46"/>
        <v>43268.440769364577</v>
      </c>
      <c r="AS32" s="18">
        <f t="shared" si="30"/>
        <v>0</v>
      </c>
      <c r="AT32" s="18">
        <f t="shared" si="47"/>
        <v>1666321.3565412909</v>
      </c>
      <c r="AU32" s="18">
        <f t="shared" si="31"/>
        <v>0</v>
      </c>
      <c r="AV32" s="72"/>
      <c r="AW32" s="18">
        <f t="shared" si="48"/>
        <v>0</v>
      </c>
      <c r="AX32" s="18">
        <f t="shared" si="32"/>
        <v>0</v>
      </c>
      <c r="AY32" s="18">
        <f t="shared" si="33"/>
        <v>0</v>
      </c>
      <c r="BA32" s="18">
        <f t="shared" si="49"/>
        <v>2788146.5445581023</v>
      </c>
      <c r="BB32" s="18">
        <f t="shared" si="50"/>
        <v>56900.949888940864</v>
      </c>
      <c r="BC32" s="18">
        <f t="shared" si="34"/>
        <v>2845047.4944470432</v>
      </c>
      <c r="BD32" s="18">
        <f t="shared" si="35"/>
        <v>75125924.638137057</v>
      </c>
      <c r="BE32" s="18">
        <f t="shared" si="36"/>
        <v>0</v>
      </c>
      <c r="BF32" s="18">
        <f t="shared" si="37"/>
        <v>0</v>
      </c>
      <c r="BG32" s="18">
        <f t="shared" si="51"/>
        <v>0</v>
      </c>
      <c r="BH32" s="18">
        <f t="shared" si="38"/>
        <v>33063.603515578849</v>
      </c>
      <c r="BI32" s="18">
        <f t="shared" si="39"/>
        <v>0</v>
      </c>
      <c r="BJ32" s="18">
        <f t="shared" si="40"/>
        <v>33063.603515578849</v>
      </c>
      <c r="BK32" s="18">
        <f t="shared" si="41"/>
        <v>0</v>
      </c>
    </row>
    <row r="33" spans="2:63" ht="15" customHeight="1">
      <c r="B33" s="19">
        <f t="shared" si="1"/>
        <v>25</v>
      </c>
      <c r="C33" s="19">
        <f t="shared" si="2"/>
        <v>3</v>
      </c>
      <c r="D33" s="19">
        <f t="shared" si="3"/>
        <v>1</v>
      </c>
      <c r="E33" s="19">
        <f t="shared" si="0"/>
        <v>25</v>
      </c>
      <c r="G33" s="19">
        <f>M_MultDeal!BE34+IF($B33=1,-i_transfee*i_maxequity,0)</f>
        <v>3193865.9381190166</v>
      </c>
      <c r="H33" s="19">
        <f>M_MultDeal!AO34</f>
        <v>63669.188987989728</v>
      </c>
      <c r="I33" s="19">
        <f t="shared" si="42"/>
        <v>3130196.7491310267</v>
      </c>
      <c r="K33" s="19">
        <f t="shared" si="4"/>
        <v>3067592.814148406</v>
      </c>
      <c r="L33" s="19">
        <f t="shared" si="5"/>
        <v>651086.54434034182</v>
      </c>
      <c r="M33" s="19">
        <f t="shared" si="6"/>
        <v>2416506.2698080642</v>
      </c>
      <c r="N33" s="19">
        <f t="shared" si="7"/>
        <v>3067592.814148406</v>
      </c>
      <c r="O33" s="19">
        <f t="shared" si="8"/>
        <v>79233240.200715169</v>
      </c>
      <c r="P33" s="19">
        <f t="shared" si="9"/>
        <v>0</v>
      </c>
      <c r="R33" s="19">
        <f t="shared" si="10"/>
        <v>0</v>
      </c>
      <c r="S33" s="19">
        <f t="shared" si="11"/>
        <v>0</v>
      </c>
      <c r="T33" s="19">
        <f t="shared" si="12"/>
        <v>0</v>
      </c>
      <c r="U33" s="19">
        <f t="shared" si="13"/>
        <v>0</v>
      </c>
      <c r="V33" s="19">
        <f t="shared" si="14"/>
        <v>9559551.0982516166</v>
      </c>
      <c r="W33" s="19">
        <f t="shared" si="43"/>
        <v>-6491958.284103211</v>
      </c>
      <c r="X33" s="19">
        <f t="shared" si="15"/>
        <v>0</v>
      </c>
      <c r="Y33" s="19">
        <f t="shared" si="44"/>
        <v>168461595.71851125</v>
      </c>
      <c r="Z33" s="19">
        <f t="shared" si="16"/>
        <v>0</v>
      </c>
      <c r="AA33" s="72"/>
      <c r="AB33" s="19">
        <f t="shared" si="45"/>
        <v>0</v>
      </c>
      <c r="AC33" s="19">
        <f t="shared" si="17"/>
        <v>0</v>
      </c>
      <c r="AD33" s="19">
        <f t="shared" si="18"/>
        <v>0</v>
      </c>
      <c r="AF33" s="15">
        <f t="shared" si="19"/>
        <v>62603.934982620536</v>
      </c>
      <c r="AG33" s="19">
        <f t="shared" si="20"/>
        <v>13287.480496741671</v>
      </c>
      <c r="AH33" s="19">
        <f t="shared" si="21"/>
        <v>49316.454485878865</v>
      </c>
      <c r="AI33" s="19">
        <f t="shared" si="22"/>
        <v>62603.934982620536</v>
      </c>
      <c r="AJ33" s="19">
        <f t="shared" si="23"/>
        <v>1617004.9020554121</v>
      </c>
      <c r="AK33" s="19">
        <f t="shared" si="24"/>
        <v>0</v>
      </c>
      <c r="AM33" s="19">
        <f t="shared" si="25"/>
        <v>0</v>
      </c>
      <c r="AN33" s="19">
        <f t="shared" si="26"/>
        <v>0</v>
      </c>
      <c r="AO33" s="19">
        <f t="shared" si="27"/>
        <v>0</v>
      </c>
      <c r="AP33" s="19">
        <f t="shared" si="28"/>
        <v>0</v>
      </c>
      <c r="AQ33" s="19">
        <f t="shared" si="29"/>
        <v>13287.480496741671</v>
      </c>
      <c r="AR33" s="19">
        <f t="shared" si="46"/>
        <v>49316.454485878865</v>
      </c>
      <c r="AS33" s="19">
        <f t="shared" si="30"/>
        <v>0</v>
      </c>
      <c r="AT33" s="19">
        <f t="shared" si="47"/>
        <v>1617004.9020554121</v>
      </c>
      <c r="AU33" s="19">
        <f t="shared" si="31"/>
        <v>0</v>
      </c>
      <c r="AV33" s="72"/>
      <c r="AW33" s="19">
        <f t="shared" si="48"/>
        <v>0</v>
      </c>
      <c r="AX33" s="19">
        <f t="shared" si="32"/>
        <v>0</v>
      </c>
      <c r="AY33" s="19">
        <f t="shared" si="33"/>
        <v>0</v>
      </c>
      <c r="BA33" s="19">
        <f t="shared" si="49"/>
        <v>3067592.814148406</v>
      </c>
      <c r="BB33" s="19">
        <f t="shared" si="50"/>
        <v>62603.934982620536</v>
      </c>
      <c r="BC33" s="19">
        <f t="shared" si="34"/>
        <v>3130196.7491310267</v>
      </c>
      <c r="BD33" s="19">
        <f t="shared" si="35"/>
        <v>71995727.889006034</v>
      </c>
      <c r="BE33" s="19">
        <f t="shared" si="36"/>
        <v>0</v>
      </c>
      <c r="BF33" s="19">
        <f t="shared" si="37"/>
        <v>0</v>
      </c>
      <c r="BG33" s="19">
        <f t="shared" si="51"/>
        <v>0</v>
      </c>
      <c r="BH33" s="19">
        <f t="shared" si="38"/>
        <v>31834.594493994864</v>
      </c>
      <c r="BI33" s="19">
        <f t="shared" si="39"/>
        <v>0</v>
      </c>
      <c r="BJ33" s="19">
        <f t="shared" si="40"/>
        <v>31834.594493994864</v>
      </c>
      <c r="BK33" s="19">
        <f t="shared" si="41"/>
        <v>0</v>
      </c>
    </row>
    <row r="34" spans="2:63" ht="15" customHeight="1">
      <c r="B34" s="16">
        <f t="shared" si="1"/>
        <v>26</v>
      </c>
      <c r="C34" s="16">
        <f t="shared" si="2"/>
        <v>3</v>
      </c>
      <c r="D34" s="16">
        <f t="shared" si="3"/>
        <v>1</v>
      </c>
      <c r="E34" s="16">
        <f t="shared" si="0"/>
        <v>26</v>
      </c>
      <c r="G34" s="16">
        <f>M_MultDeal!BE35+IF($B34=1,-i_transfee*i_maxequity,0)</f>
        <v>3617636.7163496832</v>
      </c>
      <c r="H34" s="16">
        <f>M_MultDeal!AO35</f>
        <v>60938.057828914236</v>
      </c>
      <c r="I34" s="16">
        <f t="shared" si="42"/>
        <v>3556698.6585207689</v>
      </c>
      <c r="K34" s="16">
        <f t="shared" si="4"/>
        <v>3485564.6853503534</v>
      </c>
      <c r="L34" s="16">
        <f t="shared" si="5"/>
        <v>631816.98399756581</v>
      </c>
      <c r="M34" s="16">
        <f t="shared" si="6"/>
        <v>2853747.7013527877</v>
      </c>
      <c r="N34" s="16">
        <f t="shared" si="7"/>
        <v>3485564.6853503534</v>
      </c>
      <c r="O34" s="16">
        <f t="shared" si="8"/>
        <v>76379492.499362379</v>
      </c>
      <c r="P34" s="16">
        <f t="shared" si="9"/>
        <v>0</v>
      </c>
      <c r="R34" s="16">
        <f t="shared" si="10"/>
        <v>0</v>
      </c>
      <c r="S34" s="16">
        <f t="shared" si="11"/>
        <v>0</v>
      </c>
      <c r="T34" s="16">
        <f t="shared" si="12"/>
        <v>0</v>
      </c>
      <c r="U34" s="16">
        <f t="shared" si="13"/>
        <v>0</v>
      </c>
      <c r="V34" s="16">
        <f t="shared" si="14"/>
        <v>9942710.6084390413</v>
      </c>
      <c r="W34" s="16">
        <f t="shared" si="43"/>
        <v>-6457145.9230886884</v>
      </c>
      <c r="X34" s="16">
        <f t="shared" si="15"/>
        <v>0</v>
      </c>
      <c r="Y34" s="16">
        <f t="shared" si="44"/>
        <v>174918741.64159995</v>
      </c>
      <c r="Z34" s="16">
        <f t="shared" si="16"/>
        <v>0</v>
      </c>
      <c r="AA34" s="72"/>
      <c r="AB34" s="16">
        <f t="shared" si="45"/>
        <v>0</v>
      </c>
      <c r="AC34" s="16">
        <f t="shared" si="17"/>
        <v>0</v>
      </c>
      <c r="AD34" s="16">
        <f t="shared" si="18"/>
        <v>0</v>
      </c>
      <c r="AF34" s="15">
        <f t="shared" si="19"/>
        <v>71133.973170415382</v>
      </c>
      <c r="AG34" s="16">
        <f t="shared" si="20"/>
        <v>12894.224163215635</v>
      </c>
      <c r="AH34" s="16">
        <f t="shared" si="21"/>
        <v>58239.749007199745</v>
      </c>
      <c r="AI34" s="16">
        <f t="shared" si="22"/>
        <v>71133.973170415382</v>
      </c>
      <c r="AJ34" s="16">
        <f t="shared" si="23"/>
        <v>1558765.1530482124</v>
      </c>
      <c r="AK34" s="16">
        <f t="shared" si="24"/>
        <v>0</v>
      </c>
      <c r="AM34" s="16">
        <f t="shared" si="25"/>
        <v>0</v>
      </c>
      <c r="AN34" s="16">
        <f t="shared" si="26"/>
        <v>0</v>
      </c>
      <c r="AO34" s="16">
        <f t="shared" si="27"/>
        <v>0</v>
      </c>
      <c r="AP34" s="16">
        <f t="shared" si="28"/>
        <v>0</v>
      </c>
      <c r="AQ34" s="16">
        <f t="shared" si="29"/>
        <v>12894.224163215635</v>
      </c>
      <c r="AR34" s="16">
        <f t="shared" si="46"/>
        <v>58239.749007199745</v>
      </c>
      <c r="AS34" s="16">
        <f t="shared" si="30"/>
        <v>0</v>
      </c>
      <c r="AT34" s="16">
        <f t="shared" si="47"/>
        <v>1558765.1530482124</v>
      </c>
      <c r="AU34" s="16">
        <f t="shared" si="31"/>
        <v>0</v>
      </c>
      <c r="AV34" s="72"/>
      <c r="AW34" s="16">
        <f t="shared" si="48"/>
        <v>0</v>
      </c>
      <c r="AX34" s="16">
        <f t="shared" si="32"/>
        <v>0</v>
      </c>
      <c r="AY34" s="16">
        <f t="shared" si="33"/>
        <v>0</v>
      </c>
      <c r="BA34" s="16">
        <f t="shared" si="49"/>
        <v>3485564.6853503534</v>
      </c>
      <c r="BB34" s="16">
        <f t="shared" si="50"/>
        <v>71133.973170415382</v>
      </c>
      <c r="BC34" s="16">
        <f t="shared" si="34"/>
        <v>3556698.6585207689</v>
      </c>
      <c r="BD34" s="16">
        <f t="shared" si="35"/>
        <v>68439029.23048526</v>
      </c>
      <c r="BE34" s="16">
        <f t="shared" si="36"/>
        <v>0</v>
      </c>
      <c r="BF34" s="16">
        <f t="shared" si="37"/>
        <v>0</v>
      </c>
      <c r="BG34" s="16">
        <f t="shared" si="51"/>
        <v>0</v>
      </c>
      <c r="BH34" s="16">
        <f t="shared" si="38"/>
        <v>30469.028914457118</v>
      </c>
      <c r="BI34" s="16">
        <f t="shared" si="39"/>
        <v>0</v>
      </c>
      <c r="BJ34" s="16">
        <f t="shared" si="40"/>
        <v>30469.028914457118</v>
      </c>
      <c r="BK34" s="16">
        <f t="shared" si="41"/>
        <v>0</v>
      </c>
    </row>
    <row r="35" spans="2:63" ht="15" customHeight="1">
      <c r="B35" s="17">
        <f t="shared" si="1"/>
        <v>27</v>
      </c>
      <c r="C35" s="17">
        <f t="shared" si="2"/>
        <v>3</v>
      </c>
      <c r="D35" s="17">
        <f t="shared" si="3"/>
        <v>1</v>
      </c>
      <c r="E35" s="17">
        <f t="shared" si="0"/>
        <v>27</v>
      </c>
      <c r="G35" s="17">
        <f>M_MultDeal!BE36+IF($B35=1,-i_transfee*i_maxequity,0)</f>
        <v>3599525.655322135</v>
      </c>
      <c r="H35" s="17">
        <f>M_MultDeal!AO36</f>
        <v>57933.813553931184</v>
      </c>
      <c r="I35" s="17">
        <f t="shared" si="42"/>
        <v>3541591.8417682038</v>
      </c>
      <c r="K35" s="17">
        <f t="shared" si="4"/>
        <v>3470760.0049328394</v>
      </c>
      <c r="L35" s="17">
        <f t="shared" si="5"/>
        <v>609060.79907831736</v>
      </c>
      <c r="M35" s="17">
        <f t="shared" si="6"/>
        <v>2861699.2058545221</v>
      </c>
      <c r="N35" s="17">
        <f t="shared" si="7"/>
        <v>3470760.0049328394</v>
      </c>
      <c r="O35" s="17">
        <f t="shared" si="8"/>
        <v>73517793.293507859</v>
      </c>
      <c r="P35" s="17">
        <f t="shared" si="9"/>
        <v>0</v>
      </c>
      <c r="R35" s="17">
        <f t="shared" si="10"/>
        <v>0</v>
      </c>
      <c r="S35" s="17">
        <f t="shared" si="11"/>
        <v>0</v>
      </c>
      <c r="T35" s="17">
        <f t="shared" si="12"/>
        <v>0</v>
      </c>
      <c r="U35" s="17">
        <f t="shared" si="13"/>
        <v>0</v>
      </c>
      <c r="V35" s="17">
        <f t="shared" si="14"/>
        <v>10323815.470920635</v>
      </c>
      <c r="W35" s="17">
        <f t="shared" si="43"/>
        <v>-6853055.465987796</v>
      </c>
      <c r="X35" s="17">
        <f t="shared" si="15"/>
        <v>0</v>
      </c>
      <c r="Y35" s="17">
        <f t="shared" si="44"/>
        <v>181771797.10758775</v>
      </c>
      <c r="Z35" s="17">
        <f t="shared" si="16"/>
        <v>0</v>
      </c>
      <c r="AA35" s="72"/>
      <c r="AB35" s="17">
        <f t="shared" si="45"/>
        <v>0</v>
      </c>
      <c r="AC35" s="17">
        <f t="shared" si="17"/>
        <v>0</v>
      </c>
      <c r="AD35" s="17">
        <f t="shared" si="18"/>
        <v>0</v>
      </c>
      <c r="AF35" s="15">
        <f t="shared" si="19"/>
        <v>70831.836835364084</v>
      </c>
      <c r="AG35" s="17">
        <f t="shared" si="20"/>
        <v>12429.812226088114</v>
      </c>
      <c r="AH35" s="17">
        <f t="shared" si="21"/>
        <v>58402.02460927597</v>
      </c>
      <c r="AI35" s="17">
        <f t="shared" si="22"/>
        <v>70831.836835364084</v>
      </c>
      <c r="AJ35" s="17">
        <f t="shared" si="23"/>
        <v>1500363.1284389365</v>
      </c>
      <c r="AK35" s="17">
        <f t="shared" si="24"/>
        <v>0</v>
      </c>
      <c r="AM35" s="17">
        <f t="shared" si="25"/>
        <v>0</v>
      </c>
      <c r="AN35" s="17">
        <f t="shared" si="26"/>
        <v>0</v>
      </c>
      <c r="AO35" s="17">
        <f t="shared" si="27"/>
        <v>0</v>
      </c>
      <c r="AP35" s="17">
        <f t="shared" si="28"/>
        <v>0</v>
      </c>
      <c r="AQ35" s="17">
        <f t="shared" si="29"/>
        <v>12429.812226088114</v>
      </c>
      <c r="AR35" s="17">
        <f t="shared" si="46"/>
        <v>58402.02460927597</v>
      </c>
      <c r="AS35" s="17">
        <f t="shared" si="30"/>
        <v>0</v>
      </c>
      <c r="AT35" s="17">
        <f t="shared" si="47"/>
        <v>1500363.1284389365</v>
      </c>
      <c r="AU35" s="17">
        <f t="shared" si="31"/>
        <v>0</v>
      </c>
      <c r="AV35" s="72"/>
      <c r="AW35" s="17">
        <f t="shared" si="48"/>
        <v>0</v>
      </c>
      <c r="AX35" s="17">
        <f t="shared" si="32"/>
        <v>0</v>
      </c>
      <c r="AY35" s="17">
        <f t="shared" si="33"/>
        <v>0</v>
      </c>
      <c r="BA35" s="17">
        <f t="shared" si="49"/>
        <v>3470760.0049328394</v>
      </c>
      <c r="BB35" s="17">
        <f t="shared" si="50"/>
        <v>70831.836835364084</v>
      </c>
      <c r="BC35" s="17">
        <f t="shared" si="34"/>
        <v>3541591.8417682033</v>
      </c>
      <c r="BD35" s="17">
        <f t="shared" si="35"/>
        <v>64897437.388717055</v>
      </c>
      <c r="BE35" s="17">
        <f t="shared" si="36"/>
        <v>0</v>
      </c>
      <c r="BF35" s="17">
        <f t="shared" si="37"/>
        <v>0</v>
      </c>
      <c r="BG35" s="17">
        <f t="shared" si="51"/>
        <v>0</v>
      </c>
      <c r="BH35" s="17">
        <f t="shared" si="38"/>
        <v>28966.906776965592</v>
      </c>
      <c r="BI35" s="17">
        <f t="shared" si="39"/>
        <v>0</v>
      </c>
      <c r="BJ35" s="17">
        <f t="shared" si="40"/>
        <v>28966.906776965592</v>
      </c>
      <c r="BK35" s="17">
        <f t="shared" si="41"/>
        <v>0</v>
      </c>
    </row>
    <row r="36" spans="2:63" ht="15" customHeight="1">
      <c r="B36" s="15">
        <f t="shared" si="1"/>
        <v>28</v>
      </c>
      <c r="C36" s="15">
        <f t="shared" si="2"/>
        <v>3</v>
      </c>
      <c r="D36" s="15">
        <f t="shared" si="3"/>
        <v>1</v>
      </c>
      <c r="E36" s="15">
        <f t="shared" si="0"/>
        <v>28</v>
      </c>
      <c r="G36" s="15">
        <f>M_MultDeal!BE37+IF($B36=1,-i_transfee*i_maxequity,0)</f>
        <v>4449226.1899465108</v>
      </c>
      <c r="H36" s="15">
        <f>M_MultDeal!AO37</f>
        <v>55062.74253874884</v>
      </c>
      <c r="I36" s="15">
        <f t="shared" si="42"/>
        <v>4394163.4474077616</v>
      </c>
      <c r="K36" s="15">
        <f t="shared" si="4"/>
        <v>4306280.1784596061</v>
      </c>
      <c r="L36" s="15">
        <f t="shared" si="5"/>
        <v>586241.20774555102</v>
      </c>
      <c r="M36" s="15">
        <f t="shared" si="6"/>
        <v>3720038.970714055</v>
      </c>
      <c r="N36" s="15">
        <f t="shared" si="7"/>
        <v>4306280.1784596061</v>
      </c>
      <c r="O36" s="15">
        <f t="shared" si="8"/>
        <v>69797754.322793812</v>
      </c>
      <c r="P36" s="15">
        <f t="shared" si="9"/>
        <v>0</v>
      </c>
      <c r="R36" s="15">
        <f t="shared" si="10"/>
        <v>0</v>
      </c>
      <c r="S36" s="15">
        <f t="shared" si="11"/>
        <v>0</v>
      </c>
      <c r="T36" s="15">
        <f t="shared" si="12"/>
        <v>0</v>
      </c>
      <c r="U36" s="15">
        <f t="shared" si="13"/>
        <v>0</v>
      </c>
      <c r="V36" s="15">
        <f t="shared" si="14"/>
        <v>10728287.166628374</v>
      </c>
      <c r="W36" s="15">
        <f t="shared" si="43"/>
        <v>-6422006.9881687677</v>
      </c>
      <c r="X36" s="15">
        <f t="shared" si="15"/>
        <v>0</v>
      </c>
      <c r="Y36" s="15">
        <f t="shared" si="44"/>
        <v>188193804.09575653</v>
      </c>
      <c r="Z36" s="15">
        <f t="shared" si="16"/>
        <v>0</v>
      </c>
      <c r="AA36" s="72"/>
      <c r="AB36" s="15">
        <f t="shared" si="45"/>
        <v>0</v>
      </c>
      <c r="AC36" s="15">
        <f t="shared" si="17"/>
        <v>0</v>
      </c>
      <c r="AD36" s="15">
        <f t="shared" si="18"/>
        <v>0</v>
      </c>
      <c r="AF36" s="15">
        <f t="shared" si="19"/>
        <v>87883.268948155237</v>
      </c>
      <c r="AG36" s="15">
        <f t="shared" si="20"/>
        <v>11964.106280521455</v>
      </c>
      <c r="AH36" s="15">
        <f t="shared" si="21"/>
        <v>75919.162667633776</v>
      </c>
      <c r="AI36" s="15">
        <f t="shared" si="22"/>
        <v>87883.268948155237</v>
      </c>
      <c r="AJ36" s="15">
        <f t="shared" si="23"/>
        <v>1424443.9657713028</v>
      </c>
      <c r="AK36" s="15">
        <f t="shared" si="24"/>
        <v>0</v>
      </c>
      <c r="AM36" s="15">
        <f t="shared" si="25"/>
        <v>0</v>
      </c>
      <c r="AN36" s="15">
        <f t="shared" si="26"/>
        <v>0</v>
      </c>
      <c r="AO36" s="15">
        <f t="shared" si="27"/>
        <v>0</v>
      </c>
      <c r="AP36" s="15">
        <f t="shared" si="28"/>
        <v>0</v>
      </c>
      <c r="AQ36" s="15">
        <f t="shared" si="29"/>
        <v>11964.106280521455</v>
      </c>
      <c r="AR36" s="15">
        <f t="shared" si="46"/>
        <v>75919.162667633776</v>
      </c>
      <c r="AS36" s="15">
        <f t="shared" si="30"/>
        <v>0</v>
      </c>
      <c r="AT36" s="15">
        <f t="shared" si="47"/>
        <v>1424443.9657713028</v>
      </c>
      <c r="AU36" s="15">
        <f t="shared" si="31"/>
        <v>0</v>
      </c>
      <c r="AV36" s="72"/>
      <c r="AW36" s="15">
        <f t="shared" si="48"/>
        <v>0</v>
      </c>
      <c r="AX36" s="15">
        <f t="shared" si="32"/>
        <v>0</v>
      </c>
      <c r="AY36" s="15">
        <f t="shared" si="33"/>
        <v>0</v>
      </c>
      <c r="BA36" s="15">
        <f t="shared" si="49"/>
        <v>4306280.1784596061</v>
      </c>
      <c r="BB36" s="15">
        <f t="shared" si="50"/>
        <v>87883.268948155237</v>
      </c>
      <c r="BC36" s="15">
        <f t="shared" si="34"/>
        <v>4394163.4474077616</v>
      </c>
      <c r="BD36" s="15">
        <f t="shared" si="35"/>
        <v>60503273.941309296</v>
      </c>
      <c r="BE36" s="15">
        <f t="shared" si="36"/>
        <v>0</v>
      </c>
      <c r="BF36" s="15">
        <f t="shared" si="37"/>
        <v>0</v>
      </c>
      <c r="BG36" s="15">
        <f t="shared" si="51"/>
        <v>0</v>
      </c>
      <c r="BH36" s="15">
        <f t="shared" si="38"/>
        <v>27531.37126937442</v>
      </c>
      <c r="BI36" s="15">
        <f t="shared" si="39"/>
        <v>0</v>
      </c>
      <c r="BJ36" s="15">
        <f t="shared" si="40"/>
        <v>27531.37126937442</v>
      </c>
      <c r="BK36" s="15">
        <f t="shared" si="41"/>
        <v>0</v>
      </c>
    </row>
    <row r="37" spans="2:63" ht="15" customHeight="1">
      <c r="B37" s="16">
        <f t="shared" si="1"/>
        <v>29</v>
      </c>
      <c r="C37" s="16">
        <f t="shared" si="2"/>
        <v>3</v>
      </c>
      <c r="D37" s="16">
        <f t="shared" si="3"/>
        <v>1</v>
      </c>
      <c r="E37" s="16">
        <f t="shared" si="0"/>
        <v>29</v>
      </c>
      <c r="G37" s="16">
        <f>M_MultDeal!BE38+IF($B37=1,-i_transfee*i_maxequity,0)</f>
        <v>4634793.9844402056</v>
      </c>
      <c r="H37" s="16">
        <f>M_MultDeal!AO38</f>
        <v>51921.941705812023</v>
      </c>
      <c r="I37" s="16">
        <f t="shared" si="42"/>
        <v>4582872.0427343938</v>
      </c>
      <c r="K37" s="16">
        <f t="shared" si="4"/>
        <v>4491214.6018797057</v>
      </c>
      <c r="L37" s="16">
        <f t="shared" si="5"/>
        <v>556577.09459208266</v>
      </c>
      <c r="M37" s="16">
        <f t="shared" si="6"/>
        <v>3934637.5072876229</v>
      </c>
      <c r="N37" s="16">
        <f t="shared" si="7"/>
        <v>4491214.6018797057</v>
      </c>
      <c r="O37" s="16">
        <f t="shared" si="8"/>
        <v>65863116.81550619</v>
      </c>
      <c r="P37" s="16">
        <f t="shared" si="9"/>
        <v>0</v>
      </c>
      <c r="R37" s="16">
        <f t="shared" si="10"/>
        <v>0</v>
      </c>
      <c r="S37" s="16">
        <f t="shared" si="11"/>
        <v>0</v>
      </c>
      <c r="T37" s="16">
        <f t="shared" si="12"/>
        <v>0</v>
      </c>
      <c r="U37" s="16">
        <f t="shared" si="13"/>
        <v>0</v>
      </c>
      <c r="V37" s="16">
        <f t="shared" si="14"/>
        <v>11107318.106804369</v>
      </c>
      <c r="W37" s="16">
        <f t="shared" si="43"/>
        <v>-6616103.5049246633</v>
      </c>
      <c r="X37" s="16">
        <f t="shared" si="15"/>
        <v>0</v>
      </c>
      <c r="Y37" s="16">
        <f t="shared" si="44"/>
        <v>194809907.60068119</v>
      </c>
      <c r="Z37" s="16">
        <f t="shared" si="16"/>
        <v>0</v>
      </c>
      <c r="AA37" s="72"/>
      <c r="AB37" s="16">
        <f t="shared" si="45"/>
        <v>0</v>
      </c>
      <c r="AC37" s="16">
        <f t="shared" si="17"/>
        <v>0</v>
      </c>
      <c r="AD37" s="16">
        <f t="shared" si="18"/>
        <v>0</v>
      </c>
      <c r="AF37" s="15">
        <f t="shared" si="19"/>
        <v>91657.440854687884</v>
      </c>
      <c r="AG37" s="16">
        <f t="shared" si="20"/>
        <v>11358.716216164956</v>
      </c>
      <c r="AH37" s="16">
        <f t="shared" si="21"/>
        <v>80298.724638522923</v>
      </c>
      <c r="AI37" s="16">
        <f t="shared" si="22"/>
        <v>91657.440854687884</v>
      </c>
      <c r="AJ37" s="16">
        <f t="shared" si="23"/>
        <v>1344145.24113278</v>
      </c>
      <c r="AK37" s="16">
        <f t="shared" si="24"/>
        <v>0</v>
      </c>
      <c r="AM37" s="16">
        <f t="shared" si="25"/>
        <v>0</v>
      </c>
      <c r="AN37" s="16">
        <f t="shared" si="26"/>
        <v>0</v>
      </c>
      <c r="AO37" s="16">
        <f t="shared" si="27"/>
        <v>0</v>
      </c>
      <c r="AP37" s="16">
        <f t="shared" si="28"/>
        <v>0</v>
      </c>
      <c r="AQ37" s="16">
        <f t="shared" si="29"/>
        <v>11358.716216164956</v>
      </c>
      <c r="AR37" s="16">
        <f t="shared" si="46"/>
        <v>80298.724638522923</v>
      </c>
      <c r="AS37" s="16">
        <f t="shared" si="30"/>
        <v>0</v>
      </c>
      <c r="AT37" s="16">
        <f t="shared" si="47"/>
        <v>1344145.24113278</v>
      </c>
      <c r="AU37" s="16">
        <f t="shared" si="31"/>
        <v>0</v>
      </c>
      <c r="AV37" s="72"/>
      <c r="AW37" s="16">
        <f t="shared" si="48"/>
        <v>0</v>
      </c>
      <c r="AX37" s="16">
        <f t="shared" si="32"/>
        <v>0</v>
      </c>
      <c r="AY37" s="16">
        <f t="shared" si="33"/>
        <v>0</v>
      </c>
      <c r="BA37" s="16">
        <f t="shared" si="49"/>
        <v>4491214.6018797057</v>
      </c>
      <c r="BB37" s="16">
        <f t="shared" si="50"/>
        <v>91657.440854687884</v>
      </c>
      <c r="BC37" s="16">
        <f t="shared" si="34"/>
        <v>4582872.0427343938</v>
      </c>
      <c r="BD37" s="16">
        <f t="shared" si="35"/>
        <v>55920401.898574904</v>
      </c>
      <c r="BE37" s="16">
        <f t="shared" si="36"/>
        <v>0</v>
      </c>
      <c r="BF37" s="16">
        <f t="shared" si="37"/>
        <v>0</v>
      </c>
      <c r="BG37" s="16">
        <f t="shared" si="51"/>
        <v>0</v>
      </c>
      <c r="BH37" s="16">
        <f t="shared" si="38"/>
        <v>25960.970852906012</v>
      </c>
      <c r="BI37" s="16">
        <f t="shared" si="39"/>
        <v>0</v>
      </c>
      <c r="BJ37" s="16">
        <f t="shared" si="40"/>
        <v>25960.970852906012</v>
      </c>
      <c r="BK37" s="16">
        <f t="shared" si="41"/>
        <v>0</v>
      </c>
    </row>
    <row r="38" spans="2:63" ht="15" customHeight="1">
      <c r="B38" s="17">
        <f t="shared" si="1"/>
        <v>30</v>
      </c>
      <c r="C38" s="17">
        <f t="shared" si="2"/>
        <v>3</v>
      </c>
      <c r="D38" s="17">
        <f t="shared" si="3"/>
        <v>1</v>
      </c>
      <c r="E38" s="17">
        <f t="shared" si="0"/>
        <v>30</v>
      </c>
      <c r="G38" s="17">
        <f>M_MultDeal!BE39+IF($B38=1,-i_transfee*i_maxequity,0)</f>
        <v>4821409.2889375351</v>
      </c>
      <c r="H38" s="17">
        <f>M_MultDeal!AO39</f>
        <v>48644.584314921427</v>
      </c>
      <c r="I38" s="17">
        <f t="shared" si="42"/>
        <v>4772764.7046226133</v>
      </c>
      <c r="K38" s="17">
        <f t="shared" si="4"/>
        <v>4677309.4105301611</v>
      </c>
      <c r="L38" s="17">
        <f t="shared" si="5"/>
        <v>525201.74257213925</v>
      </c>
      <c r="M38" s="17">
        <f t="shared" si="6"/>
        <v>4152107.6679580221</v>
      </c>
      <c r="N38" s="17">
        <f t="shared" si="7"/>
        <v>4677309.4105301611</v>
      </c>
      <c r="O38" s="17">
        <f t="shared" si="8"/>
        <v>61711009.147548169</v>
      </c>
      <c r="P38" s="17">
        <f t="shared" si="9"/>
        <v>0</v>
      </c>
      <c r="R38" s="17">
        <f t="shared" si="10"/>
        <v>0</v>
      </c>
      <c r="S38" s="17">
        <f t="shared" si="11"/>
        <v>0</v>
      </c>
      <c r="T38" s="17">
        <f t="shared" si="12"/>
        <v>0</v>
      </c>
      <c r="U38" s="17">
        <f t="shared" si="13"/>
        <v>0</v>
      </c>
      <c r="V38" s="17">
        <f t="shared" si="14"/>
        <v>11497804.74694556</v>
      </c>
      <c r="W38" s="17">
        <f t="shared" si="43"/>
        <v>-6820495.3364153989</v>
      </c>
      <c r="X38" s="17">
        <f t="shared" si="15"/>
        <v>0</v>
      </c>
      <c r="Y38" s="17">
        <f t="shared" si="44"/>
        <v>201630402.9370966</v>
      </c>
      <c r="Z38" s="17">
        <f t="shared" si="16"/>
        <v>0</v>
      </c>
      <c r="AA38" s="72"/>
      <c r="AB38" s="17">
        <f t="shared" si="45"/>
        <v>0</v>
      </c>
      <c r="AC38" s="17">
        <f t="shared" si="17"/>
        <v>0</v>
      </c>
      <c r="AD38" s="17">
        <f t="shared" si="18"/>
        <v>0</v>
      </c>
      <c r="AF38" s="15">
        <f t="shared" si="19"/>
        <v>95455.29409245227</v>
      </c>
      <c r="AG38" s="17">
        <f t="shared" si="20"/>
        <v>10718.402909635499</v>
      </c>
      <c r="AH38" s="17">
        <f t="shared" si="21"/>
        <v>84736.891182816777</v>
      </c>
      <c r="AI38" s="17">
        <f t="shared" si="22"/>
        <v>95455.29409245227</v>
      </c>
      <c r="AJ38" s="17">
        <f t="shared" si="23"/>
        <v>1259408.3499499632</v>
      </c>
      <c r="AK38" s="17">
        <f t="shared" si="24"/>
        <v>0</v>
      </c>
      <c r="AM38" s="17">
        <f t="shared" si="25"/>
        <v>0</v>
      </c>
      <c r="AN38" s="17">
        <f t="shared" si="26"/>
        <v>0</v>
      </c>
      <c r="AO38" s="17">
        <f t="shared" si="27"/>
        <v>0</v>
      </c>
      <c r="AP38" s="17">
        <f t="shared" si="28"/>
        <v>0</v>
      </c>
      <c r="AQ38" s="17">
        <f t="shared" si="29"/>
        <v>10718.402909635499</v>
      </c>
      <c r="AR38" s="17">
        <f t="shared" si="46"/>
        <v>84736.891182816777</v>
      </c>
      <c r="AS38" s="17">
        <f t="shared" si="30"/>
        <v>0</v>
      </c>
      <c r="AT38" s="17">
        <f t="shared" si="47"/>
        <v>1259408.3499499632</v>
      </c>
      <c r="AU38" s="17">
        <f t="shared" si="31"/>
        <v>0</v>
      </c>
      <c r="AV38" s="72"/>
      <c r="AW38" s="17">
        <f t="shared" si="48"/>
        <v>0</v>
      </c>
      <c r="AX38" s="17">
        <f t="shared" si="32"/>
        <v>0</v>
      </c>
      <c r="AY38" s="17">
        <f t="shared" si="33"/>
        <v>0</v>
      </c>
      <c r="BA38" s="17">
        <f t="shared" si="49"/>
        <v>4677309.4105301611</v>
      </c>
      <c r="BB38" s="17">
        <f t="shared" si="50"/>
        <v>95455.29409245227</v>
      </c>
      <c r="BC38" s="17">
        <f t="shared" si="34"/>
        <v>4772764.7046226133</v>
      </c>
      <c r="BD38" s="17">
        <f t="shared" si="35"/>
        <v>51147637.193952292</v>
      </c>
      <c r="BE38" s="17">
        <f t="shared" si="36"/>
        <v>0</v>
      </c>
      <c r="BF38" s="17">
        <f t="shared" si="37"/>
        <v>0</v>
      </c>
      <c r="BG38" s="17">
        <f t="shared" si="51"/>
        <v>0</v>
      </c>
      <c r="BH38" s="17">
        <f t="shared" si="38"/>
        <v>24322.292157460713</v>
      </c>
      <c r="BI38" s="17">
        <f t="shared" si="39"/>
        <v>0</v>
      </c>
      <c r="BJ38" s="17">
        <f t="shared" si="40"/>
        <v>24322.292157460713</v>
      </c>
      <c r="BK38" s="17">
        <f t="shared" si="41"/>
        <v>0</v>
      </c>
    </row>
    <row r="39" spans="2:63" ht="15" customHeight="1">
      <c r="B39" s="15">
        <f t="shared" si="1"/>
        <v>31</v>
      </c>
      <c r="C39" s="15">
        <f t="shared" si="2"/>
        <v>3</v>
      </c>
      <c r="D39" s="15">
        <f t="shared" si="3"/>
        <v>1</v>
      </c>
      <c r="E39" s="15">
        <f t="shared" si="0"/>
        <v>31</v>
      </c>
      <c r="G39" s="15">
        <f>M_MultDeal!BE40+IF($B39=1,-i_transfee*i_maxequity,0)</f>
        <v>5004265.8534384975</v>
      </c>
      <c r="H39" s="15">
        <f>M_MultDeal!AO40</f>
        <v>45230.670366077051</v>
      </c>
      <c r="I39" s="15">
        <f t="shared" si="42"/>
        <v>4959035.1830724208</v>
      </c>
      <c r="K39" s="15">
        <f t="shared" si="4"/>
        <v>4859854.4794109724</v>
      </c>
      <c r="L39" s="15">
        <f t="shared" si="5"/>
        <v>492092.25295191392</v>
      </c>
      <c r="M39" s="15">
        <f t="shared" si="6"/>
        <v>4367762.2264590589</v>
      </c>
      <c r="N39" s="15">
        <f t="shared" si="7"/>
        <v>4859854.4794109724</v>
      </c>
      <c r="O39" s="15">
        <f t="shared" si="8"/>
        <v>57343246.921089113</v>
      </c>
      <c r="P39" s="15">
        <f t="shared" si="9"/>
        <v>0</v>
      </c>
      <c r="R39" s="15">
        <f t="shared" si="10"/>
        <v>0</v>
      </c>
      <c r="S39" s="15">
        <f t="shared" si="11"/>
        <v>0</v>
      </c>
      <c r="T39" s="15">
        <f t="shared" si="12"/>
        <v>0</v>
      </c>
      <c r="U39" s="15">
        <f t="shared" si="13"/>
        <v>0</v>
      </c>
      <c r="V39" s="15">
        <f t="shared" si="14"/>
        <v>11900354.723080771</v>
      </c>
      <c r="W39" s="15">
        <f t="shared" si="43"/>
        <v>-7040500.2436697986</v>
      </c>
      <c r="X39" s="15">
        <f t="shared" si="15"/>
        <v>0</v>
      </c>
      <c r="Y39" s="15">
        <f t="shared" si="44"/>
        <v>208670903.1807664</v>
      </c>
      <c r="Z39" s="15">
        <f t="shared" si="16"/>
        <v>0</v>
      </c>
      <c r="AA39" s="72"/>
      <c r="AB39" s="15">
        <f t="shared" si="45"/>
        <v>0</v>
      </c>
      <c r="AC39" s="15">
        <f t="shared" si="17"/>
        <v>0</v>
      </c>
      <c r="AD39" s="15">
        <f t="shared" si="18"/>
        <v>0</v>
      </c>
      <c r="AF39" s="15">
        <f t="shared" si="19"/>
        <v>99180.703661448424</v>
      </c>
      <c r="AG39" s="15">
        <f t="shared" si="20"/>
        <v>10042.699039834981</v>
      </c>
      <c r="AH39" s="15">
        <f t="shared" si="21"/>
        <v>89138.004621613451</v>
      </c>
      <c r="AI39" s="15">
        <f t="shared" si="22"/>
        <v>99180.703661448424</v>
      </c>
      <c r="AJ39" s="15">
        <f t="shared" si="23"/>
        <v>1170270.3453283496</v>
      </c>
      <c r="AK39" s="15">
        <f t="shared" si="24"/>
        <v>0</v>
      </c>
      <c r="AM39" s="15">
        <f t="shared" si="25"/>
        <v>0</v>
      </c>
      <c r="AN39" s="15">
        <f t="shared" si="26"/>
        <v>0</v>
      </c>
      <c r="AO39" s="15">
        <f t="shared" si="27"/>
        <v>0</v>
      </c>
      <c r="AP39" s="15">
        <f t="shared" si="28"/>
        <v>0</v>
      </c>
      <c r="AQ39" s="15">
        <f t="shared" si="29"/>
        <v>10042.699039834981</v>
      </c>
      <c r="AR39" s="15">
        <f t="shared" si="46"/>
        <v>89138.004621613451</v>
      </c>
      <c r="AS39" s="15">
        <f t="shared" si="30"/>
        <v>0</v>
      </c>
      <c r="AT39" s="15">
        <f t="shared" si="47"/>
        <v>1170270.3453283496</v>
      </c>
      <c r="AU39" s="15">
        <f t="shared" si="31"/>
        <v>0</v>
      </c>
      <c r="AV39" s="72"/>
      <c r="AW39" s="15">
        <f t="shared" si="48"/>
        <v>0</v>
      </c>
      <c r="AX39" s="15">
        <f t="shared" si="32"/>
        <v>0</v>
      </c>
      <c r="AY39" s="15">
        <f t="shared" si="33"/>
        <v>0</v>
      </c>
      <c r="BA39" s="15">
        <f t="shared" si="49"/>
        <v>4859854.4794109724</v>
      </c>
      <c r="BB39" s="15">
        <f t="shared" si="50"/>
        <v>99180.703661448424</v>
      </c>
      <c r="BC39" s="15">
        <f t="shared" si="34"/>
        <v>4959035.1830724208</v>
      </c>
      <c r="BD39" s="15">
        <f t="shared" si="35"/>
        <v>46188602.010879874</v>
      </c>
      <c r="BE39" s="15">
        <f t="shared" si="36"/>
        <v>0</v>
      </c>
      <c r="BF39" s="15">
        <f t="shared" si="37"/>
        <v>0</v>
      </c>
      <c r="BG39" s="15">
        <f t="shared" si="51"/>
        <v>0</v>
      </c>
      <c r="BH39" s="15">
        <f t="shared" si="38"/>
        <v>22615.335183038525</v>
      </c>
      <c r="BI39" s="15">
        <f t="shared" si="39"/>
        <v>0</v>
      </c>
      <c r="BJ39" s="15">
        <f t="shared" si="40"/>
        <v>22615.335183038525</v>
      </c>
      <c r="BK39" s="15">
        <f t="shared" si="41"/>
        <v>0</v>
      </c>
    </row>
    <row r="40" spans="2:63" ht="15" customHeight="1">
      <c r="B40" s="16">
        <f t="shared" si="1"/>
        <v>32</v>
      </c>
      <c r="C40" s="16">
        <f t="shared" si="2"/>
        <v>3</v>
      </c>
      <c r="D40" s="16">
        <f t="shared" si="3"/>
        <v>1</v>
      </c>
      <c r="E40" s="16">
        <f t="shared" ref="E40:E71" si="52">$B40-c_offset+1</f>
        <v>32</v>
      </c>
      <c r="G40" s="16">
        <f>M_MultDeal!BE41+IF($B40=1,-i_transfee*i_maxequity,0)</f>
        <v>5097331.8029430946</v>
      </c>
      <c r="H40" s="16">
        <f>M_MultDeal!AO41</f>
        <v>41680.19985927891</v>
      </c>
      <c r="I40" s="16">
        <f t="shared" si="42"/>
        <v>5055651.6030838154</v>
      </c>
      <c r="K40" s="16">
        <f t="shared" si="4"/>
        <v>4954538.5710221389</v>
      </c>
      <c r="L40" s="16">
        <f t="shared" si="5"/>
        <v>457263.103598068</v>
      </c>
      <c r="M40" s="16">
        <f t="shared" si="6"/>
        <v>4497275.4674240705</v>
      </c>
      <c r="N40" s="16">
        <f t="shared" si="7"/>
        <v>4954538.5710221389</v>
      </c>
      <c r="O40" s="16">
        <f t="shared" si="8"/>
        <v>52845971.45366504</v>
      </c>
      <c r="P40" s="16">
        <f t="shared" si="9"/>
        <v>0</v>
      </c>
      <c r="R40" s="16">
        <f t="shared" si="10"/>
        <v>0</v>
      </c>
      <c r="S40" s="16">
        <f t="shared" si="11"/>
        <v>0</v>
      </c>
      <c r="T40" s="16">
        <f t="shared" si="12"/>
        <v>0</v>
      </c>
      <c r="U40" s="16">
        <f t="shared" si="13"/>
        <v>0</v>
      </c>
      <c r="V40" s="16">
        <f t="shared" si="14"/>
        <v>12315889.528879605</v>
      </c>
      <c r="W40" s="16">
        <f t="shared" si="43"/>
        <v>-7361350.9578574663</v>
      </c>
      <c r="X40" s="16">
        <f t="shared" si="15"/>
        <v>0</v>
      </c>
      <c r="Y40" s="16">
        <f t="shared" si="44"/>
        <v>216032254.13862386</v>
      </c>
      <c r="Z40" s="16">
        <f t="shared" si="16"/>
        <v>0</v>
      </c>
      <c r="AA40" s="72"/>
      <c r="AB40" s="16">
        <f t="shared" si="45"/>
        <v>0</v>
      </c>
      <c r="AC40" s="16">
        <f t="shared" si="17"/>
        <v>0</v>
      </c>
      <c r="AD40" s="16">
        <f t="shared" si="18"/>
        <v>0</v>
      </c>
      <c r="AF40" s="15">
        <f t="shared" si="19"/>
        <v>101113.03206167631</v>
      </c>
      <c r="AG40" s="16">
        <f t="shared" si="20"/>
        <v>9331.9000734299625</v>
      </c>
      <c r="AH40" s="16">
        <f t="shared" si="21"/>
        <v>91781.131988246343</v>
      </c>
      <c r="AI40" s="16">
        <f t="shared" si="22"/>
        <v>101113.03206167631</v>
      </c>
      <c r="AJ40" s="16">
        <f t="shared" si="23"/>
        <v>1078489.2133401032</v>
      </c>
      <c r="AK40" s="16">
        <f t="shared" si="24"/>
        <v>0</v>
      </c>
      <c r="AM40" s="16">
        <f t="shared" si="25"/>
        <v>0</v>
      </c>
      <c r="AN40" s="16">
        <f t="shared" si="26"/>
        <v>0</v>
      </c>
      <c r="AO40" s="16">
        <f t="shared" si="27"/>
        <v>0</v>
      </c>
      <c r="AP40" s="16">
        <f t="shared" si="28"/>
        <v>0</v>
      </c>
      <c r="AQ40" s="16">
        <f t="shared" si="29"/>
        <v>9331.9000734299625</v>
      </c>
      <c r="AR40" s="16">
        <f t="shared" si="46"/>
        <v>91781.131988246343</v>
      </c>
      <c r="AS40" s="16">
        <f t="shared" si="30"/>
        <v>0</v>
      </c>
      <c r="AT40" s="16">
        <f t="shared" si="47"/>
        <v>1078489.2133401032</v>
      </c>
      <c r="AU40" s="16">
        <f t="shared" si="31"/>
        <v>0</v>
      </c>
      <c r="AV40" s="72"/>
      <c r="AW40" s="16">
        <f t="shared" si="48"/>
        <v>0</v>
      </c>
      <c r="AX40" s="16">
        <f t="shared" si="32"/>
        <v>0</v>
      </c>
      <c r="AY40" s="16">
        <f t="shared" si="33"/>
        <v>0</v>
      </c>
      <c r="BA40" s="16">
        <f t="shared" si="49"/>
        <v>4954538.5710221389</v>
      </c>
      <c r="BB40" s="16">
        <f t="shared" si="50"/>
        <v>101113.03206167631</v>
      </c>
      <c r="BC40" s="16">
        <f t="shared" si="34"/>
        <v>5055651.6030838154</v>
      </c>
      <c r="BD40" s="16">
        <f t="shared" si="35"/>
        <v>41132950.407796055</v>
      </c>
      <c r="BE40" s="16">
        <f t="shared" si="36"/>
        <v>0</v>
      </c>
      <c r="BF40" s="16">
        <f t="shared" si="37"/>
        <v>0</v>
      </c>
      <c r="BG40" s="16">
        <f t="shared" si="51"/>
        <v>0</v>
      </c>
      <c r="BH40" s="16">
        <f t="shared" si="38"/>
        <v>20840.099929639455</v>
      </c>
      <c r="BI40" s="16">
        <f t="shared" si="39"/>
        <v>0</v>
      </c>
      <c r="BJ40" s="16">
        <f t="shared" si="40"/>
        <v>20840.099929639455</v>
      </c>
      <c r="BK40" s="16">
        <f t="shared" si="41"/>
        <v>0</v>
      </c>
    </row>
    <row r="41" spans="2:63" ht="15" customHeight="1">
      <c r="B41" s="17">
        <f t="shared" ref="B41:B72" si="53">$B40+1</f>
        <v>33</v>
      </c>
      <c r="C41" s="17">
        <f t="shared" ref="C41:C72" si="54">IF($B41&gt;0,1+TRUNC(($B41-1)/12),"")</f>
        <v>3</v>
      </c>
      <c r="D41" s="17">
        <f t="shared" ref="D41:D72" si="55">IF(AND(B41&gt;=c_offset,$B41&lt;=c_offset+c_lotyears*12),1,0)</f>
        <v>1</v>
      </c>
      <c r="E41" s="17">
        <f t="shared" si="52"/>
        <v>33</v>
      </c>
      <c r="G41" s="17">
        <f>M_MultDeal!BE42+IF($B41=1,-i_transfee*i_maxequity,0)</f>
        <v>4916349.4451491619</v>
      </c>
      <c r="H41" s="17">
        <f>M_MultDeal!AO42</f>
        <v>37993.172794526981</v>
      </c>
      <c r="I41" s="17">
        <f t="shared" si="42"/>
        <v>4878356.2723546345</v>
      </c>
      <c r="K41" s="17">
        <f t="shared" ref="K41:K72" si="56">($G41-$H41)*i_pctequity_inst</f>
        <v>4780789.1469075419</v>
      </c>
      <c r="L41" s="17">
        <f t="shared" ref="L41:L72" si="57">O40*c_hurdle1_inst/12</f>
        <v>421401.19747336465</v>
      </c>
      <c r="M41" s="17">
        <f t="shared" ref="M41:M72" si="58">N41-L41</f>
        <v>4359387.949434177</v>
      </c>
      <c r="N41" s="17">
        <f t="shared" ref="N41:N72" si="59">IF(OR(O40&gt;0,$B41=1),MIN(L41+O40,IF(K41&gt;0,K41*c_invsplit1_inst,K41)),0)</f>
        <v>4780789.1469075419</v>
      </c>
      <c r="O41" s="17">
        <f t="shared" ref="O41:O72" si="60">O40-M41</f>
        <v>48486583.504230864</v>
      </c>
      <c r="P41" s="17">
        <f t="shared" ref="P41:P72" si="61">IF(AND(c_invsplit1_inst&gt;0,K41&gt;0),(1-c_invsplit1_inst)*N41/c_invsplit1_inst,0)</f>
        <v>0</v>
      </c>
      <c r="R41" s="17">
        <f t="shared" ref="R41:R72" si="62">K41-N41-P41</f>
        <v>0</v>
      </c>
      <c r="S41" s="17">
        <f t="shared" ref="S41:S72" si="63">S40+T40</f>
        <v>0</v>
      </c>
      <c r="T41" s="17">
        <f t="shared" ref="T41:T72" si="64">IF(i_promotecatchup,MAX(MIN(R41,i_split2_inst*N$117/(1-i_split2_inst)-S41),0),0)</f>
        <v>0</v>
      </c>
      <c r="U41" s="17">
        <f t="shared" ref="U41:U72" si="65">R41-T41</f>
        <v>0</v>
      </c>
      <c r="V41" s="17">
        <f t="shared" ref="V41:V72" si="66">Y40*c_hurdle2_inst/12</f>
        <v>12750361.148057612</v>
      </c>
      <c r="W41" s="17">
        <f t="shared" si="43"/>
        <v>-7969572.0011500698</v>
      </c>
      <c r="X41" s="17">
        <f t="shared" ref="X41:X72" si="67">IF(Y40&gt;0,MIN(V41+Y40-N41,U41*IF(U41&gt;0,c_invsplit2_inst,1)),0)</f>
        <v>0</v>
      </c>
      <c r="Y41" s="17">
        <f t="shared" si="44"/>
        <v>224001826.13977394</v>
      </c>
      <c r="Z41" s="17">
        <f t="shared" ref="Z41:Z72" si="68">IF(AND(c_invsplit2_inst&gt;0,X41&gt;0),(1-c_invsplit2_inst)*X41/c_invsplit2_inst,0)</f>
        <v>0</v>
      </c>
      <c r="AA41" s="72"/>
      <c r="AB41" s="17">
        <f t="shared" si="45"/>
        <v>0</v>
      </c>
      <c r="AC41" s="17">
        <f t="shared" ref="AC41:AC72" si="69">AB41*c_invsplit3_inst</f>
        <v>0</v>
      </c>
      <c r="AD41" s="17">
        <f t="shared" ref="AD41:AD72" si="70">AB41-AC41</f>
        <v>0</v>
      </c>
      <c r="AF41" s="15">
        <f t="shared" ref="AF41:AF72" si="71">($G41-$H41)*i_pctequity_hnw</f>
        <v>97567.125447092694</v>
      </c>
      <c r="AG41" s="17">
        <f t="shared" ref="AG41:AG72" si="72">AJ40*c_hurdle1_hnw/12</f>
        <v>8600.0244382319343</v>
      </c>
      <c r="AH41" s="17">
        <f t="shared" ref="AH41:AH72" si="73">AI41-AG41</f>
        <v>88967.101008860758</v>
      </c>
      <c r="AI41" s="17">
        <f t="shared" ref="AI41:AI72" si="74">IF(OR(AJ40&gt;0,$B41=1),MIN(AG41+AJ40,IF(AF41&gt;0,AF41*c_invsplit1_hnw,AF41)),0)</f>
        <v>97567.125447092694</v>
      </c>
      <c r="AJ41" s="17">
        <f t="shared" ref="AJ41:AJ72" si="75">AJ40-AH41</f>
        <v>989522.11233124242</v>
      </c>
      <c r="AK41" s="17">
        <f t="shared" ref="AK41:AK72" si="76">IF(AND(c_invsplit1_hnw&gt;0,AF41&gt;0),(1-c_invsplit1_hnw)*AI41/c_invsplit1_hnw,0)</f>
        <v>0</v>
      </c>
      <c r="AM41" s="17">
        <f t="shared" ref="AM41:AM72" si="77">AF41-AI41-AK41</f>
        <v>0</v>
      </c>
      <c r="AN41" s="17">
        <f t="shared" ref="AN41:AN72" si="78">AN40+AO40</f>
        <v>0</v>
      </c>
      <c r="AO41" s="17">
        <f t="shared" ref="AO41:AO72" si="79">IF(i_promotecatchup,MAX(MIN(AM41,i_split2_hnw*AI$117/(1-i_split2_hnw)-AN41),0),0)</f>
        <v>0</v>
      </c>
      <c r="AP41" s="17">
        <f t="shared" si="28"/>
        <v>0</v>
      </c>
      <c r="AQ41" s="17">
        <f t="shared" ref="AQ41:AQ72" si="80">AT40*c_hurdle2_hnw/12</f>
        <v>8600.0244382319343</v>
      </c>
      <c r="AR41" s="17">
        <f t="shared" si="46"/>
        <v>88967.101008860758</v>
      </c>
      <c r="AS41" s="17">
        <f t="shared" ref="AS41:AS72" si="81">IF(AT40&gt;0,MIN(AQ41+AT40-AI41,AP41*IF(AP41&gt;0,c_invsplit2_hnw,1)),0)</f>
        <v>0</v>
      </c>
      <c r="AT41" s="17">
        <f t="shared" si="47"/>
        <v>989522.11233124242</v>
      </c>
      <c r="AU41" s="17">
        <f t="shared" ref="AU41:AU72" si="82">IF(AND(c_invsplit2_hnw&gt;0,AS41&gt;0),(1-c_invsplit2_hnw)*AS41/c_invsplit2_hnw,0)</f>
        <v>0</v>
      </c>
      <c r="AV41" s="72"/>
      <c r="AW41" s="17">
        <f t="shared" si="48"/>
        <v>0</v>
      </c>
      <c r="AX41" s="17">
        <f t="shared" ref="AX41:AX72" si="83">AW41*c_invsplit3_hnw</f>
        <v>0</v>
      </c>
      <c r="AY41" s="17">
        <f t="shared" ref="AY41:AY72" si="84">AW41-AX41</f>
        <v>0</v>
      </c>
      <c r="BA41" s="17">
        <f t="shared" si="49"/>
        <v>4780789.1469075419</v>
      </c>
      <c r="BB41" s="17">
        <f t="shared" si="50"/>
        <v>97567.125447092694</v>
      </c>
      <c r="BC41" s="17">
        <f t="shared" ref="BC41:BC72" si="85">BB41+BA41</f>
        <v>4878356.2723546345</v>
      </c>
      <c r="BD41" s="17">
        <f t="shared" ref="BD41:BD72" si="86">MAX(0,BD40-BC41)</f>
        <v>36254594.135441422</v>
      </c>
      <c r="BE41" s="17">
        <f t="shared" ref="BE41:BE72" si="87">P41+T41+Z41+AD41</f>
        <v>0</v>
      </c>
      <c r="BF41" s="17">
        <f t="shared" ref="BF41:BF72" si="88">AK41+AO41+AU41+AY41</f>
        <v>0</v>
      </c>
      <c r="BG41" s="17">
        <f t="shared" si="51"/>
        <v>0</v>
      </c>
      <c r="BH41" s="17">
        <f t="shared" ref="BH41:BH72" si="89">i_gpmgtfeepcta*H41</f>
        <v>18996.586397263491</v>
      </c>
      <c r="BI41" s="17">
        <f t="shared" ref="BI41:BI72" si="90">i_gppromotepcta*BG41</f>
        <v>0</v>
      </c>
      <c r="BJ41" s="17">
        <f t="shared" ref="BJ41:BJ72" si="91">i_gpmgtfeepctb*H41</f>
        <v>18996.586397263491</v>
      </c>
      <c r="BK41" s="17">
        <f t="shared" ref="BK41:BK72" si="92">i_gppromotepctb*$BG41</f>
        <v>0</v>
      </c>
    </row>
    <row r="42" spans="2:63" ht="15" customHeight="1">
      <c r="B42" s="15">
        <f t="shared" si="53"/>
        <v>34</v>
      </c>
      <c r="C42" s="15">
        <f t="shared" si="54"/>
        <v>3</v>
      </c>
      <c r="D42" s="15">
        <f t="shared" si="55"/>
        <v>1</v>
      </c>
      <c r="E42" s="15">
        <f t="shared" si="52"/>
        <v>34</v>
      </c>
      <c r="G42" s="15">
        <f>M_MultDeal!BE43+IF($B42=1,-i_transfee*i_maxequity,0)</f>
        <v>4642459.9462527316</v>
      </c>
      <c r="H42" s="15">
        <f>M_MultDeal!AO43</f>
        <v>34372.732359675414</v>
      </c>
      <c r="I42" s="15">
        <f t="shared" si="42"/>
        <v>4608087.2138930559</v>
      </c>
      <c r="K42" s="15">
        <f t="shared" si="56"/>
        <v>4515925.4696151949</v>
      </c>
      <c r="L42" s="15">
        <f t="shared" si="57"/>
        <v>386638.82578050572</v>
      </c>
      <c r="M42" s="15">
        <f t="shared" si="58"/>
        <v>4129286.6438346892</v>
      </c>
      <c r="N42" s="15">
        <f t="shared" si="59"/>
        <v>4515925.4696151949</v>
      </c>
      <c r="O42" s="15">
        <f t="shared" si="60"/>
        <v>44357296.860396177</v>
      </c>
      <c r="P42" s="15">
        <f t="shared" si="61"/>
        <v>0</v>
      </c>
      <c r="R42" s="15">
        <f t="shared" si="62"/>
        <v>0</v>
      </c>
      <c r="S42" s="15">
        <f t="shared" si="63"/>
        <v>0</v>
      </c>
      <c r="T42" s="15">
        <f t="shared" si="64"/>
        <v>0</v>
      </c>
      <c r="U42" s="15">
        <f t="shared" si="65"/>
        <v>0</v>
      </c>
      <c r="V42" s="15">
        <f t="shared" si="66"/>
        <v>13220730.360355454</v>
      </c>
      <c r="W42" s="15">
        <f t="shared" si="43"/>
        <v>-8704804.8907402586</v>
      </c>
      <c r="X42" s="15">
        <f t="shared" si="67"/>
        <v>0</v>
      </c>
      <c r="Y42" s="15">
        <f t="shared" si="44"/>
        <v>232706631.03051418</v>
      </c>
      <c r="Z42" s="15">
        <f t="shared" si="68"/>
        <v>0</v>
      </c>
      <c r="AA42" s="72"/>
      <c r="AB42" s="15">
        <f t="shared" si="45"/>
        <v>0</v>
      </c>
      <c r="AC42" s="15">
        <f t="shared" si="69"/>
        <v>0</v>
      </c>
      <c r="AD42" s="15">
        <f t="shared" si="70"/>
        <v>0</v>
      </c>
      <c r="AF42" s="15">
        <f t="shared" si="71"/>
        <v>92161.744277861115</v>
      </c>
      <c r="AG42" s="15">
        <f t="shared" si="72"/>
        <v>7890.5882812348127</v>
      </c>
      <c r="AH42" s="15">
        <f t="shared" si="73"/>
        <v>84271.155996626301</v>
      </c>
      <c r="AI42" s="15">
        <f t="shared" si="74"/>
        <v>92161.744277861115</v>
      </c>
      <c r="AJ42" s="15">
        <f t="shared" si="75"/>
        <v>905250.95633461606</v>
      </c>
      <c r="AK42" s="15">
        <f t="shared" si="76"/>
        <v>0</v>
      </c>
      <c r="AM42" s="15">
        <f t="shared" si="77"/>
        <v>0</v>
      </c>
      <c r="AN42" s="15">
        <f t="shared" si="78"/>
        <v>0</v>
      </c>
      <c r="AO42" s="15">
        <f t="shared" si="79"/>
        <v>0</v>
      </c>
      <c r="AP42" s="15">
        <f t="shared" si="28"/>
        <v>0</v>
      </c>
      <c r="AQ42" s="15">
        <f t="shared" si="80"/>
        <v>7890.5882812348127</v>
      </c>
      <c r="AR42" s="15">
        <f t="shared" si="46"/>
        <v>84271.155996626301</v>
      </c>
      <c r="AS42" s="15">
        <f t="shared" si="81"/>
        <v>0</v>
      </c>
      <c r="AT42" s="15">
        <f t="shared" si="47"/>
        <v>905250.95633461606</v>
      </c>
      <c r="AU42" s="15">
        <f t="shared" si="82"/>
        <v>0</v>
      </c>
      <c r="AV42" s="72"/>
      <c r="AW42" s="15">
        <f t="shared" si="48"/>
        <v>0</v>
      </c>
      <c r="AX42" s="15">
        <f t="shared" si="83"/>
        <v>0</v>
      </c>
      <c r="AY42" s="15">
        <f t="shared" si="84"/>
        <v>0</v>
      </c>
      <c r="BA42" s="15">
        <f t="shared" si="49"/>
        <v>4515925.4696151949</v>
      </c>
      <c r="BB42" s="15">
        <f t="shared" si="50"/>
        <v>92161.744277861115</v>
      </c>
      <c r="BC42" s="15">
        <f t="shared" si="85"/>
        <v>4608087.2138930559</v>
      </c>
      <c r="BD42" s="15">
        <f t="shared" si="86"/>
        <v>31646506.921548367</v>
      </c>
      <c r="BE42" s="15">
        <f t="shared" si="87"/>
        <v>0</v>
      </c>
      <c r="BF42" s="15">
        <f t="shared" si="88"/>
        <v>0</v>
      </c>
      <c r="BG42" s="15">
        <f t="shared" si="51"/>
        <v>0</v>
      </c>
      <c r="BH42" s="15">
        <f t="shared" si="89"/>
        <v>17186.366179837707</v>
      </c>
      <c r="BI42" s="15">
        <f t="shared" si="90"/>
        <v>0</v>
      </c>
      <c r="BJ42" s="15">
        <f t="shared" si="91"/>
        <v>17186.366179837707</v>
      </c>
      <c r="BK42" s="15">
        <f t="shared" si="92"/>
        <v>0</v>
      </c>
    </row>
    <row r="43" spans="2:63" ht="15" customHeight="1">
      <c r="B43" s="16">
        <f t="shared" si="53"/>
        <v>35</v>
      </c>
      <c r="C43" s="16">
        <f t="shared" si="54"/>
        <v>3</v>
      </c>
      <c r="D43" s="16">
        <f t="shared" si="55"/>
        <v>1</v>
      </c>
      <c r="E43" s="16">
        <f t="shared" si="52"/>
        <v>35</v>
      </c>
      <c r="G43" s="16">
        <f>M_MultDeal!BE44+IF($B43=1,-i_transfee*i_maxequity,0)</f>
        <v>4372812.3495689351</v>
      </c>
      <c r="H43" s="16">
        <f>M_MultDeal!AO44</f>
        <v>30888.848482777623</v>
      </c>
      <c r="I43" s="16">
        <f t="shared" si="42"/>
        <v>4341923.5010861577</v>
      </c>
      <c r="K43" s="16">
        <f t="shared" si="56"/>
        <v>4255085.0310644349</v>
      </c>
      <c r="L43" s="16">
        <f t="shared" si="57"/>
        <v>353711.31421137118</v>
      </c>
      <c r="M43" s="16">
        <f t="shared" si="58"/>
        <v>3901373.7168530636</v>
      </c>
      <c r="N43" s="16">
        <f t="shared" si="59"/>
        <v>4255085.0310644349</v>
      </c>
      <c r="O43" s="16">
        <f t="shared" si="60"/>
        <v>40455923.143543109</v>
      </c>
      <c r="P43" s="16">
        <f t="shared" si="61"/>
        <v>0</v>
      </c>
      <c r="R43" s="16">
        <f t="shared" si="62"/>
        <v>0</v>
      </c>
      <c r="S43" s="16">
        <f t="shared" si="63"/>
        <v>0</v>
      </c>
      <c r="T43" s="16">
        <f t="shared" si="64"/>
        <v>0</v>
      </c>
      <c r="U43" s="16">
        <f t="shared" si="65"/>
        <v>0</v>
      </c>
      <c r="V43" s="16">
        <f t="shared" si="66"/>
        <v>13734493.485787161</v>
      </c>
      <c r="W43" s="16">
        <f t="shared" si="43"/>
        <v>-9479408.4547227249</v>
      </c>
      <c r="X43" s="16">
        <f t="shared" si="67"/>
        <v>0</v>
      </c>
      <c r="Y43" s="16">
        <f t="shared" si="44"/>
        <v>242186039.48523691</v>
      </c>
      <c r="Z43" s="16">
        <f t="shared" si="68"/>
        <v>0</v>
      </c>
      <c r="AA43" s="72"/>
      <c r="AB43" s="16">
        <f t="shared" si="45"/>
        <v>0</v>
      </c>
      <c r="AC43" s="16">
        <f t="shared" si="69"/>
        <v>0</v>
      </c>
      <c r="AD43" s="16">
        <f t="shared" si="70"/>
        <v>0</v>
      </c>
      <c r="AF43" s="15">
        <f t="shared" si="71"/>
        <v>86838.470021723158</v>
      </c>
      <c r="AG43" s="16">
        <f t="shared" si="72"/>
        <v>7218.5982492116573</v>
      </c>
      <c r="AH43" s="16">
        <f t="shared" si="73"/>
        <v>79619.871772511498</v>
      </c>
      <c r="AI43" s="16">
        <f t="shared" si="74"/>
        <v>86838.470021723158</v>
      </c>
      <c r="AJ43" s="16">
        <f t="shared" si="75"/>
        <v>825631.08456210454</v>
      </c>
      <c r="AK43" s="16">
        <f t="shared" si="76"/>
        <v>0</v>
      </c>
      <c r="AM43" s="16">
        <f t="shared" si="77"/>
        <v>0</v>
      </c>
      <c r="AN43" s="16">
        <f t="shared" si="78"/>
        <v>0</v>
      </c>
      <c r="AO43" s="16">
        <f t="shared" si="79"/>
        <v>0</v>
      </c>
      <c r="AP43" s="16">
        <f t="shared" si="28"/>
        <v>0</v>
      </c>
      <c r="AQ43" s="16">
        <f t="shared" si="80"/>
        <v>7218.5982492116573</v>
      </c>
      <c r="AR43" s="16">
        <f t="shared" si="46"/>
        <v>79619.871772511498</v>
      </c>
      <c r="AS43" s="16">
        <f t="shared" si="81"/>
        <v>0</v>
      </c>
      <c r="AT43" s="16">
        <f t="shared" si="47"/>
        <v>825631.08456210454</v>
      </c>
      <c r="AU43" s="16">
        <f t="shared" si="82"/>
        <v>0</v>
      </c>
      <c r="AV43" s="72"/>
      <c r="AW43" s="16">
        <f t="shared" si="48"/>
        <v>0</v>
      </c>
      <c r="AX43" s="16">
        <f t="shared" si="83"/>
        <v>0</v>
      </c>
      <c r="AY43" s="16">
        <f t="shared" si="84"/>
        <v>0</v>
      </c>
      <c r="BA43" s="16">
        <f t="shared" si="49"/>
        <v>4255085.0310644349</v>
      </c>
      <c r="BB43" s="16">
        <f t="shared" si="50"/>
        <v>86838.470021723158</v>
      </c>
      <c r="BC43" s="16">
        <f t="shared" si="85"/>
        <v>4341923.5010861577</v>
      </c>
      <c r="BD43" s="16">
        <f t="shared" si="86"/>
        <v>27304583.42046221</v>
      </c>
      <c r="BE43" s="16">
        <f t="shared" si="87"/>
        <v>0</v>
      </c>
      <c r="BF43" s="16">
        <f t="shared" si="88"/>
        <v>0</v>
      </c>
      <c r="BG43" s="16">
        <f t="shared" si="51"/>
        <v>0</v>
      </c>
      <c r="BH43" s="16">
        <f t="shared" si="89"/>
        <v>15444.424241388811</v>
      </c>
      <c r="BI43" s="16">
        <f t="shared" si="90"/>
        <v>0</v>
      </c>
      <c r="BJ43" s="16">
        <f t="shared" si="91"/>
        <v>15444.424241388811</v>
      </c>
      <c r="BK43" s="16">
        <f t="shared" si="92"/>
        <v>0</v>
      </c>
    </row>
    <row r="44" spans="2:63" ht="15" customHeight="1" thickBot="1">
      <c r="B44" s="18">
        <f t="shared" si="53"/>
        <v>36</v>
      </c>
      <c r="C44" s="18">
        <f t="shared" si="54"/>
        <v>3</v>
      </c>
      <c r="D44" s="18">
        <f t="shared" si="55"/>
        <v>1</v>
      </c>
      <c r="E44" s="18">
        <f t="shared" si="52"/>
        <v>36</v>
      </c>
      <c r="G44" s="18">
        <f>M_MultDeal!BE45+IF($B44=1,-i_transfee*i_maxequity,0)</f>
        <v>4103659.5215669149</v>
      </c>
      <c r="H44" s="18">
        <f>M_MultDeal!AO45</f>
        <v>27541.521163833608</v>
      </c>
      <c r="I44" s="18">
        <f t="shared" si="42"/>
        <v>4076118.0004030811</v>
      </c>
      <c r="K44" s="18">
        <f t="shared" si="56"/>
        <v>3994595.6403950192</v>
      </c>
      <c r="L44" s="18">
        <f t="shared" si="57"/>
        <v>322601.21232755057</v>
      </c>
      <c r="M44" s="18">
        <f t="shared" si="58"/>
        <v>3671994.4280674686</v>
      </c>
      <c r="N44" s="18">
        <f t="shared" si="59"/>
        <v>3994595.6403950192</v>
      </c>
      <c r="O44" s="18">
        <f t="shared" si="60"/>
        <v>36783928.715475641</v>
      </c>
      <c r="P44" s="18">
        <f t="shared" si="61"/>
        <v>0</v>
      </c>
      <c r="R44" s="18">
        <f t="shared" si="62"/>
        <v>0</v>
      </c>
      <c r="S44" s="18">
        <f t="shared" si="63"/>
        <v>0</v>
      </c>
      <c r="T44" s="18">
        <f t="shared" si="64"/>
        <v>0</v>
      </c>
      <c r="U44" s="18">
        <f t="shared" si="65"/>
        <v>0</v>
      </c>
      <c r="V44" s="18">
        <f t="shared" si="66"/>
        <v>14293974.206615582</v>
      </c>
      <c r="W44" s="18">
        <f t="shared" si="43"/>
        <v>-10299378.566220563</v>
      </c>
      <c r="X44" s="18">
        <f t="shared" si="67"/>
        <v>0</v>
      </c>
      <c r="Y44" s="18">
        <f t="shared" si="44"/>
        <v>252485418.05145746</v>
      </c>
      <c r="Z44" s="18">
        <f t="shared" si="68"/>
        <v>0</v>
      </c>
      <c r="AA44" s="72"/>
      <c r="AB44" s="18">
        <f t="shared" si="45"/>
        <v>0</v>
      </c>
      <c r="AC44" s="18">
        <f t="shared" si="69"/>
        <v>0</v>
      </c>
      <c r="AD44" s="18">
        <f t="shared" si="70"/>
        <v>0</v>
      </c>
      <c r="AF44" s="15">
        <f t="shared" si="71"/>
        <v>81522.360008061616</v>
      </c>
      <c r="AG44" s="18">
        <f t="shared" si="72"/>
        <v>6583.6982107663398</v>
      </c>
      <c r="AH44" s="18">
        <f t="shared" si="73"/>
        <v>74938.661797295281</v>
      </c>
      <c r="AI44" s="18">
        <f t="shared" si="74"/>
        <v>81522.360008061616</v>
      </c>
      <c r="AJ44" s="18">
        <f t="shared" si="75"/>
        <v>750692.42276480922</v>
      </c>
      <c r="AK44" s="18">
        <f t="shared" si="76"/>
        <v>0</v>
      </c>
      <c r="AM44" s="18">
        <f t="shared" si="77"/>
        <v>0</v>
      </c>
      <c r="AN44" s="18">
        <f t="shared" si="78"/>
        <v>0</v>
      </c>
      <c r="AO44" s="18">
        <f t="shared" si="79"/>
        <v>0</v>
      </c>
      <c r="AP44" s="18">
        <f t="shared" si="28"/>
        <v>0</v>
      </c>
      <c r="AQ44" s="18">
        <f t="shared" si="80"/>
        <v>6583.6982107663398</v>
      </c>
      <c r="AR44" s="18">
        <f t="shared" si="46"/>
        <v>74938.661797295281</v>
      </c>
      <c r="AS44" s="18">
        <f t="shared" si="81"/>
        <v>0</v>
      </c>
      <c r="AT44" s="18">
        <f t="shared" si="47"/>
        <v>750692.42276480922</v>
      </c>
      <c r="AU44" s="18">
        <f t="shared" si="82"/>
        <v>0</v>
      </c>
      <c r="AV44" s="72"/>
      <c r="AW44" s="18">
        <f t="shared" si="48"/>
        <v>0</v>
      </c>
      <c r="AX44" s="18">
        <f t="shared" si="83"/>
        <v>0</v>
      </c>
      <c r="AY44" s="18">
        <f t="shared" si="84"/>
        <v>0</v>
      </c>
      <c r="BA44" s="18">
        <f t="shared" si="49"/>
        <v>3994595.6403950192</v>
      </c>
      <c r="BB44" s="18">
        <f t="shared" si="50"/>
        <v>81522.360008061616</v>
      </c>
      <c r="BC44" s="18">
        <f t="shared" si="85"/>
        <v>4076118.0004030806</v>
      </c>
      <c r="BD44" s="18">
        <f t="shared" si="86"/>
        <v>23228465.42005913</v>
      </c>
      <c r="BE44" s="18">
        <f t="shared" si="87"/>
        <v>0</v>
      </c>
      <c r="BF44" s="18">
        <f t="shared" si="88"/>
        <v>0</v>
      </c>
      <c r="BG44" s="18">
        <f t="shared" si="51"/>
        <v>0</v>
      </c>
      <c r="BH44" s="18">
        <f t="shared" si="89"/>
        <v>13770.760581916804</v>
      </c>
      <c r="BI44" s="18">
        <f t="shared" si="90"/>
        <v>0</v>
      </c>
      <c r="BJ44" s="18">
        <f t="shared" si="91"/>
        <v>13770.760581916804</v>
      </c>
      <c r="BK44" s="18">
        <f t="shared" si="92"/>
        <v>0</v>
      </c>
    </row>
    <row r="45" spans="2:63" ht="15" customHeight="1">
      <c r="B45" s="19">
        <f t="shared" si="53"/>
        <v>37</v>
      </c>
      <c r="C45" s="19">
        <f t="shared" si="54"/>
        <v>4</v>
      </c>
      <c r="D45" s="19">
        <f t="shared" si="55"/>
        <v>1</v>
      </c>
      <c r="E45" s="19">
        <f t="shared" si="52"/>
        <v>37</v>
      </c>
      <c r="G45" s="19">
        <f>M_MultDeal!BE46+IF($B45=1,-i_transfee*i_maxequity,0)</f>
        <v>3833459.1835612599</v>
      </c>
      <c r="H45" s="19">
        <f>M_MultDeal!AO46</f>
        <v>24330.750402843365</v>
      </c>
      <c r="I45" s="19">
        <f t="shared" si="42"/>
        <v>3809128.4331584163</v>
      </c>
      <c r="K45" s="19">
        <f t="shared" si="56"/>
        <v>3732945.8644952481</v>
      </c>
      <c r="L45" s="19">
        <f t="shared" si="57"/>
        <v>293320.21310398838</v>
      </c>
      <c r="M45" s="19">
        <f t="shared" si="58"/>
        <v>3439625.6513912599</v>
      </c>
      <c r="N45" s="19">
        <f t="shared" si="59"/>
        <v>3732945.8644952481</v>
      </c>
      <c r="O45" s="19">
        <f t="shared" si="60"/>
        <v>33344303.064084381</v>
      </c>
      <c r="P45" s="19">
        <f t="shared" si="61"/>
        <v>0</v>
      </c>
      <c r="R45" s="19">
        <f t="shared" si="62"/>
        <v>0</v>
      </c>
      <c r="S45" s="19">
        <f t="shared" si="63"/>
        <v>0</v>
      </c>
      <c r="T45" s="19">
        <f t="shared" si="64"/>
        <v>0</v>
      </c>
      <c r="U45" s="19">
        <f t="shared" si="65"/>
        <v>0</v>
      </c>
      <c r="V45" s="19">
        <f t="shared" si="66"/>
        <v>14901850.085351771</v>
      </c>
      <c r="W45" s="19">
        <f t="shared" si="43"/>
        <v>-11168904.220856523</v>
      </c>
      <c r="X45" s="19">
        <f t="shared" si="67"/>
        <v>0</v>
      </c>
      <c r="Y45" s="19">
        <f t="shared" si="44"/>
        <v>263654322.27231398</v>
      </c>
      <c r="Z45" s="19">
        <f t="shared" si="68"/>
        <v>0</v>
      </c>
      <c r="AA45" s="72"/>
      <c r="AB45" s="19">
        <f t="shared" si="45"/>
        <v>0</v>
      </c>
      <c r="AC45" s="19">
        <f t="shared" si="69"/>
        <v>0</v>
      </c>
      <c r="AD45" s="19">
        <f t="shared" si="70"/>
        <v>0</v>
      </c>
      <c r="AF45" s="15">
        <f t="shared" si="71"/>
        <v>76182.568663168335</v>
      </c>
      <c r="AG45" s="19">
        <f t="shared" si="72"/>
        <v>5986.1267980405819</v>
      </c>
      <c r="AH45" s="19">
        <f t="shared" si="73"/>
        <v>70196.441865127752</v>
      </c>
      <c r="AI45" s="19">
        <f t="shared" si="74"/>
        <v>76182.568663168335</v>
      </c>
      <c r="AJ45" s="19">
        <f t="shared" si="75"/>
        <v>680495.98089968145</v>
      </c>
      <c r="AK45" s="19">
        <f t="shared" si="76"/>
        <v>0</v>
      </c>
      <c r="AM45" s="19">
        <f t="shared" si="77"/>
        <v>0</v>
      </c>
      <c r="AN45" s="19">
        <f t="shared" si="78"/>
        <v>0</v>
      </c>
      <c r="AO45" s="19">
        <f t="shared" si="79"/>
        <v>0</v>
      </c>
      <c r="AP45" s="19">
        <f t="shared" si="28"/>
        <v>0</v>
      </c>
      <c r="AQ45" s="19">
        <f t="shared" si="80"/>
        <v>5986.1267980405819</v>
      </c>
      <c r="AR45" s="19">
        <f t="shared" si="46"/>
        <v>70196.441865127752</v>
      </c>
      <c r="AS45" s="19">
        <f t="shared" si="81"/>
        <v>0</v>
      </c>
      <c r="AT45" s="19">
        <f t="shared" si="47"/>
        <v>680495.98089968145</v>
      </c>
      <c r="AU45" s="19">
        <f t="shared" si="82"/>
        <v>0</v>
      </c>
      <c r="AV45" s="72"/>
      <c r="AW45" s="19">
        <f t="shared" si="48"/>
        <v>0</v>
      </c>
      <c r="AX45" s="19">
        <f t="shared" si="83"/>
        <v>0</v>
      </c>
      <c r="AY45" s="19">
        <f t="shared" si="84"/>
        <v>0</v>
      </c>
      <c r="BA45" s="19">
        <f t="shared" si="49"/>
        <v>3732945.8644952481</v>
      </c>
      <c r="BB45" s="19">
        <f t="shared" si="50"/>
        <v>76182.568663168335</v>
      </c>
      <c r="BC45" s="19">
        <f t="shared" si="85"/>
        <v>3809128.4331584163</v>
      </c>
      <c r="BD45" s="19">
        <f t="shared" si="86"/>
        <v>19419336.986900713</v>
      </c>
      <c r="BE45" s="19">
        <f t="shared" si="87"/>
        <v>0</v>
      </c>
      <c r="BF45" s="19">
        <f t="shared" si="88"/>
        <v>0</v>
      </c>
      <c r="BG45" s="19">
        <f t="shared" si="51"/>
        <v>0</v>
      </c>
      <c r="BH45" s="19">
        <f t="shared" si="89"/>
        <v>12165.375201421683</v>
      </c>
      <c r="BI45" s="19">
        <f t="shared" si="90"/>
        <v>0</v>
      </c>
      <c r="BJ45" s="19">
        <f t="shared" si="91"/>
        <v>12165.375201421683</v>
      </c>
      <c r="BK45" s="19">
        <f t="shared" si="92"/>
        <v>0</v>
      </c>
    </row>
    <row r="46" spans="2:63" ht="15" customHeight="1">
      <c r="B46" s="16">
        <f t="shared" si="53"/>
        <v>38</v>
      </c>
      <c r="C46" s="16">
        <f t="shared" si="54"/>
        <v>4</v>
      </c>
      <c r="D46" s="16">
        <f t="shared" si="55"/>
        <v>1</v>
      </c>
      <c r="E46" s="16">
        <f t="shared" si="52"/>
        <v>38</v>
      </c>
      <c r="G46" s="16">
        <f>M_MultDeal!BE47+IF($B46=1,-i_transfee*i_maxequity,0)</f>
        <v>3704205.839773444</v>
      </c>
      <c r="H46" s="16">
        <f>M_MultDeal!AO47</f>
        <v>21256.536199806895</v>
      </c>
      <c r="I46" s="16">
        <f t="shared" si="42"/>
        <v>3682949.3035736373</v>
      </c>
      <c r="K46" s="16">
        <f t="shared" si="56"/>
        <v>3609290.3175021643</v>
      </c>
      <c r="L46" s="16">
        <f t="shared" si="57"/>
        <v>265892.15513693489</v>
      </c>
      <c r="M46" s="16">
        <f t="shared" si="58"/>
        <v>3343398.1623652293</v>
      </c>
      <c r="N46" s="16">
        <f t="shared" si="59"/>
        <v>3609290.3175021643</v>
      </c>
      <c r="O46" s="16">
        <f t="shared" si="60"/>
        <v>30000904.901719153</v>
      </c>
      <c r="P46" s="16">
        <f t="shared" si="61"/>
        <v>0</v>
      </c>
      <c r="R46" s="16">
        <f t="shared" si="62"/>
        <v>0</v>
      </c>
      <c r="S46" s="16">
        <f t="shared" si="63"/>
        <v>0</v>
      </c>
      <c r="T46" s="16">
        <f t="shared" si="64"/>
        <v>0</v>
      </c>
      <c r="U46" s="16">
        <f t="shared" si="65"/>
        <v>0</v>
      </c>
      <c r="V46" s="16">
        <f t="shared" si="66"/>
        <v>15561045.921694824</v>
      </c>
      <c r="W46" s="16">
        <f t="shared" si="43"/>
        <v>-11951755.604192659</v>
      </c>
      <c r="X46" s="16">
        <f t="shared" si="67"/>
        <v>0</v>
      </c>
      <c r="Y46" s="16">
        <f t="shared" si="44"/>
        <v>275606077.87650663</v>
      </c>
      <c r="Z46" s="16">
        <f t="shared" si="68"/>
        <v>0</v>
      </c>
      <c r="AA46" s="72"/>
      <c r="AB46" s="16">
        <f t="shared" si="45"/>
        <v>0</v>
      </c>
      <c r="AC46" s="16">
        <f t="shared" si="69"/>
        <v>0</v>
      </c>
      <c r="AD46" s="16">
        <f t="shared" si="70"/>
        <v>0</v>
      </c>
      <c r="AF46" s="15">
        <f t="shared" si="71"/>
        <v>73658.98607147274</v>
      </c>
      <c r="AG46" s="16">
        <f t="shared" si="72"/>
        <v>5426.3705129986738</v>
      </c>
      <c r="AH46" s="16">
        <f t="shared" si="73"/>
        <v>68232.615558474063</v>
      </c>
      <c r="AI46" s="16">
        <f t="shared" si="74"/>
        <v>73658.98607147274</v>
      </c>
      <c r="AJ46" s="16">
        <f t="shared" si="75"/>
        <v>612263.36534120736</v>
      </c>
      <c r="AK46" s="16">
        <f t="shared" si="76"/>
        <v>0</v>
      </c>
      <c r="AM46" s="16">
        <f t="shared" si="77"/>
        <v>0</v>
      </c>
      <c r="AN46" s="16">
        <f t="shared" si="78"/>
        <v>0</v>
      </c>
      <c r="AO46" s="16">
        <f t="shared" si="79"/>
        <v>0</v>
      </c>
      <c r="AP46" s="16">
        <f t="shared" si="28"/>
        <v>0</v>
      </c>
      <c r="AQ46" s="16">
        <f t="shared" si="80"/>
        <v>5426.3705129986738</v>
      </c>
      <c r="AR46" s="16">
        <f t="shared" si="46"/>
        <v>68232.615558474063</v>
      </c>
      <c r="AS46" s="16">
        <f t="shared" si="81"/>
        <v>0</v>
      </c>
      <c r="AT46" s="16">
        <f t="shared" si="47"/>
        <v>612263.36534120736</v>
      </c>
      <c r="AU46" s="16">
        <f t="shared" si="82"/>
        <v>0</v>
      </c>
      <c r="AV46" s="72"/>
      <c r="AW46" s="16">
        <f t="shared" si="48"/>
        <v>0</v>
      </c>
      <c r="AX46" s="16">
        <f t="shared" si="83"/>
        <v>0</v>
      </c>
      <c r="AY46" s="16">
        <f t="shared" si="84"/>
        <v>0</v>
      </c>
      <c r="BA46" s="16">
        <f t="shared" si="49"/>
        <v>3609290.3175021643</v>
      </c>
      <c r="BB46" s="16">
        <f t="shared" si="50"/>
        <v>73658.98607147274</v>
      </c>
      <c r="BC46" s="16">
        <f t="shared" si="85"/>
        <v>3682949.3035736368</v>
      </c>
      <c r="BD46" s="16">
        <f t="shared" si="86"/>
        <v>15736387.683327077</v>
      </c>
      <c r="BE46" s="16">
        <f t="shared" si="87"/>
        <v>0</v>
      </c>
      <c r="BF46" s="16">
        <f t="shared" si="88"/>
        <v>0</v>
      </c>
      <c r="BG46" s="16">
        <f t="shared" si="51"/>
        <v>0</v>
      </c>
      <c r="BH46" s="16">
        <f t="shared" si="89"/>
        <v>10628.268099903447</v>
      </c>
      <c r="BI46" s="16">
        <f t="shared" si="90"/>
        <v>0</v>
      </c>
      <c r="BJ46" s="16">
        <f t="shared" si="91"/>
        <v>10628.268099903447</v>
      </c>
      <c r="BK46" s="16">
        <f t="shared" si="92"/>
        <v>0</v>
      </c>
    </row>
    <row r="47" spans="2:63" ht="15" customHeight="1">
      <c r="B47" s="17">
        <f t="shared" si="53"/>
        <v>39</v>
      </c>
      <c r="C47" s="17">
        <f t="shared" si="54"/>
        <v>4</v>
      </c>
      <c r="D47" s="17">
        <f t="shared" si="55"/>
        <v>1</v>
      </c>
      <c r="E47" s="17">
        <f t="shared" si="52"/>
        <v>39</v>
      </c>
      <c r="G47" s="17">
        <f>M_MultDeal!BE48+IF($B47=1,-i_transfee*i_maxequity,0)</f>
        <v>3706880.087230484</v>
      </c>
      <c r="H47" s="17">
        <f>M_MultDeal!AO48</f>
        <v>18318.878554724201</v>
      </c>
      <c r="I47" s="17">
        <f t="shared" si="42"/>
        <v>3688561.2086757598</v>
      </c>
      <c r="K47" s="17">
        <f t="shared" si="56"/>
        <v>3614789.9845022447</v>
      </c>
      <c r="L47" s="17">
        <f t="shared" si="57"/>
        <v>239231.42868049582</v>
      </c>
      <c r="M47" s="17">
        <f t="shared" si="58"/>
        <v>3375558.5558217489</v>
      </c>
      <c r="N47" s="17">
        <f t="shared" si="59"/>
        <v>3614789.9845022447</v>
      </c>
      <c r="O47" s="17">
        <f t="shared" si="60"/>
        <v>26625346.345897403</v>
      </c>
      <c r="P47" s="17">
        <f t="shared" si="61"/>
        <v>0</v>
      </c>
      <c r="R47" s="17">
        <f t="shared" si="62"/>
        <v>0</v>
      </c>
      <c r="S47" s="17">
        <f t="shared" si="63"/>
        <v>0</v>
      </c>
      <c r="T47" s="17">
        <f t="shared" si="64"/>
        <v>0</v>
      </c>
      <c r="U47" s="17">
        <f t="shared" si="65"/>
        <v>0</v>
      </c>
      <c r="V47" s="17">
        <f t="shared" si="66"/>
        <v>16266446.144982746</v>
      </c>
      <c r="W47" s="17">
        <f t="shared" si="43"/>
        <v>-12651656.160480501</v>
      </c>
      <c r="X47" s="17">
        <f t="shared" si="67"/>
        <v>0</v>
      </c>
      <c r="Y47" s="17">
        <f t="shared" si="44"/>
        <v>288257734.03698713</v>
      </c>
      <c r="Z47" s="17">
        <f t="shared" si="68"/>
        <v>0</v>
      </c>
      <c r="AA47" s="72"/>
      <c r="AB47" s="17">
        <f t="shared" si="45"/>
        <v>0</v>
      </c>
      <c r="AC47" s="17">
        <f t="shared" si="69"/>
        <v>0</v>
      </c>
      <c r="AD47" s="17">
        <f t="shared" si="70"/>
        <v>0</v>
      </c>
      <c r="AF47" s="15">
        <f t="shared" si="71"/>
        <v>73771.224173515206</v>
      </c>
      <c r="AG47" s="17">
        <f t="shared" si="72"/>
        <v>4882.2740547039975</v>
      </c>
      <c r="AH47" s="17">
        <f t="shared" si="73"/>
        <v>68888.950118811204</v>
      </c>
      <c r="AI47" s="17">
        <f t="shared" si="74"/>
        <v>73771.224173515206</v>
      </c>
      <c r="AJ47" s="17">
        <f t="shared" si="75"/>
        <v>543374.41522239614</v>
      </c>
      <c r="AK47" s="17">
        <f t="shared" si="76"/>
        <v>0</v>
      </c>
      <c r="AM47" s="17">
        <f t="shared" si="77"/>
        <v>0</v>
      </c>
      <c r="AN47" s="17">
        <f t="shared" si="78"/>
        <v>0</v>
      </c>
      <c r="AO47" s="17">
        <f t="shared" si="79"/>
        <v>0</v>
      </c>
      <c r="AP47" s="17">
        <f t="shared" si="28"/>
        <v>0</v>
      </c>
      <c r="AQ47" s="17">
        <f t="shared" si="80"/>
        <v>4882.2740547039975</v>
      </c>
      <c r="AR47" s="17">
        <f t="shared" si="46"/>
        <v>68888.950118811204</v>
      </c>
      <c r="AS47" s="17">
        <f t="shared" si="81"/>
        <v>0</v>
      </c>
      <c r="AT47" s="17">
        <f t="shared" si="47"/>
        <v>543374.41522239614</v>
      </c>
      <c r="AU47" s="17">
        <f t="shared" si="82"/>
        <v>0</v>
      </c>
      <c r="AV47" s="72"/>
      <c r="AW47" s="17">
        <f t="shared" si="48"/>
        <v>0</v>
      </c>
      <c r="AX47" s="17">
        <f t="shared" si="83"/>
        <v>0</v>
      </c>
      <c r="AY47" s="17">
        <f t="shared" si="84"/>
        <v>0</v>
      </c>
      <c r="BA47" s="17">
        <f t="shared" si="49"/>
        <v>3614789.9845022447</v>
      </c>
      <c r="BB47" s="17">
        <f t="shared" si="50"/>
        <v>73771.224173515206</v>
      </c>
      <c r="BC47" s="17">
        <f t="shared" si="85"/>
        <v>3688561.2086757598</v>
      </c>
      <c r="BD47" s="17">
        <f t="shared" si="86"/>
        <v>12047826.474651318</v>
      </c>
      <c r="BE47" s="17">
        <f t="shared" si="87"/>
        <v>0</v>
      </c>
      <c r="BF47" s="17">
        <f t="shared" si="88"/>
        <v>0</v>
      </c>
      <c r="BG47" s="17">
        <f t="shared" si="51"/>
        <v>0</v>
      </c>
      <c r="BH47" s="17">
        <f t="shared" si="89"/>
        <v>9159.4392773621003</v>
      </c>
      <c r="BI47" s="17">
        <f t="shared" si="90"/>
        <v>0</v>
      </c>
      <c r="BJ47" s="17">
        <f t="shared" si="91"/>
        <v>9159.4392773621003</v>
      </c>
      <c r="BK47" s="17">
        <f t="shared" si="92"/>
        <v>0</v>
      </c>
    </row>
    <row r="48" spans="2:63" ht="15" customHeight="1">
      <c r="B48" s="15">
        <f t="shared" si="53"/>
        <v>40</v>
      </c>
      <c r="C48" s="15">
        <f t="shared" si="54"/>
        <v>4</v>
      </c>
      <c r="D48" s="15">
        <f t="shared" si="55"/>
        <v>1</v>
      </c>
      <c r="E48" s="15">
        <f t="shared" si="52"/>
        <v>40</v>
      </c>
      <c r="G48" s="15">
        <f>M_MultDeal!BE49+IF($B48=1,-i_transfee*i_maxequity,0)</f>
        <v>4203144.5877959309</v>
      </c>
      <c r="H48" s="15">
        <f>M_MultDeal!AO49</f>
        <v>15517.777467595282</v>
      </c>
      <c r="I48" s="15">
        <f t="shared" si="42"/>
        <v>4187626.8103283355</v>
      </c>
      <c r="K48" s="15">
        <f t="shared" si="56"/>
        <v>4103874.2741217688</v>
      </c>
      <c r="L48" s="15">
        <f t="shared" si="57"/>
        <v>212314.25073038557</v>
      </c>
      <c r="M48" s="15">
        <f t="shared" si="58"/>
        <v>3891560.0233913832</v>
      </c>
      <c r="N48" s="15">
        <f t="shared" si="59"/>
        <v>4103874.2741217688</v>
      </c>
      <c r="O48" s="15">
        <f t="shared" si="60"/>
        <v>22733786.322506018</v>
      </c>
      <c r="P48" s="15">
        <f t="shared" si="61"/>
        <v>0</v>
      </c>
      <c r="R48" s="15">
        <f t="shared" si="62"/>
        <v>0</v>
      </c>
      <c r="S48" s="15">
        <f t="shared" si="63"/>
        <v>0</v>
      </c>
      <c r="T48" s="15">
        <f t="shared" si="64"/>
        <v>0</v>
      </c>
      <c r="U48" s="15">
        <f t="shared" si="65"/>
        <v>0</v>
      </c>
      <c r="V48" s="15">
        <f t="shared" si="66"/>
        <v>17013154.944603298</v>
      </c>
      <c r="W48" s="15">
        <f t="shared" si="43"/>
        <v>-12909280.670481529</v>
      </c>
      <c r="X48" s="15">
        <f t="shared" si="67"/>
        <v>0</v>
      </c>
      <c r="Y48" s="15">
        <f t="shared" si="44"/>
        <v>301167014.70746863</v>
      </c>
      <c r="Z48" s="15">
        <f t="shared" si="68"/>
        <v>0</v>
      </c>
      <c r="AA48" s="72"/>
      <c r="AB48" s="15">
        <f t="shared" si="45"/>
        <v>0</v>
      </c>
      <c r="AC48" s="15">
        <f t="shared" si="69"/>
        <v>0</v>
      </c>
      <c r="AD48" s="15">
        <f t="shared" si="70"/>
        <v>0</v>
      </c>
      <c r="AF48" s="15">
        <f t="shared" si="71"/>
        <v>83752.536206566714</v>
      </c>
      <c r="AG48" s="15">
        <f t="shared" si="72"/>
        <v>4332.9438924568503</v>
      </c>
      <c r="AH48" s="15">
        <f t="shared" si="73"/>
        <v>79419.592314109861</v>
      </c>
      <c r="AI48" s="15">
        <f t="shared" si="74"/>
        <v>83752.536206566714</v>
      </c>
      <c r="AJ48" s="15">
        <f t="shared" si="75"/>
        <v>463954.8229082863</v>
      </c>
      <c r="AK48" s="15">
        <f t="shared" si="76"/>
        <v>0</v>
      </c>
      <c r="AM48" s="15">
        <f t="shared" si="77"/>
        <v>0</v>
      </c>
      <c r="AN48" s="15">
        <f t="shared" si="78"/>
        <v>0</v>
      </c>
      <c r="AO48" s="15">
        <f t="shared" si="79"/>
        <v>0</v>
      </c>
      <c r="AP48" s="15">
        <f t="shared" si="28"/>
        <v>0</v>
      </c>
      <c r="AQ48" s="15">
        <f t="shared" si="80"/>
        <v>4332.9438924568503</v>
      </c>
      <c r="AR48" s="15">
        <f t="shared" si="46"/>
        <v>79419.592314109861</v>
      </c>
      <c r="AS48" s="15">
        <f t="shared" si="81"/>
        <v>0</v>
      </c>
      <c r="AT48" s="15">
        <f t="shared" si="47"/>
        <v>463954.8229082863</v>
      </c>
      <c r="AU48" s="15">
        <f t="shared" si="82"/>
        <v>0</v>
      </c>
      <c r="AV48" s="72"/>
      <c r="AW48" s="15">
        <f t="shared" si="48"/>
        <v>0</v>
      </c>
      <c r="AX48" s="15">
        <f t="shared" si="83"/>
        <v>0</v>
      </c>
      <c r="AY48" s="15">
        <f t="shared" si="84"/>
        <v>0</v>
      </c>
      <c r="BA48" s="15">
        <f t="shared" si="49"/>
        <v>4103874.2741217688</v>
      </c>
      <c r="BB48" s="15">
        <f t="shared" si="50"/>
        <v>83752.536206566714</v>
      </c>
      <c r="BC48" s="15">
        <f t="shared" si="85"/>
        <v>4187626.8103283355</v>
      </c>
      <c r="BD48" s="15">
        <f t="shared" si="86"/>
        <v>7860199.6643229825</v>
      </c>
      <c r="BE48" s="15">
        <f t="shared" si="87"/>
        <v>0</v>
      </c>
      <c r="BF48" s="15">
        <f t="shared" si="88"/>
        <v>0</v>
      </c>
      <c r="BG48" s="15">
        <f t="shared" si="51"/>
        <v>0</v>
      </c>
      <c r="BH48" s="15">
        <f t="shared" si="89"/>
        <v>7758.8887337976412</v>
      </c>
      <c r="BI48" s="15">
        <f t="shared" si="90"/>
        <v>0</v>
      </c>
      <c r="BJ48" s="15">
        <f t="shared" si="91"/>
        <v>7758.8887337976412</v>
      </c>
      <c r="BK48" s="15">
        <f t="shared" si="92"/>
        <v>0</v>
      </c>
    </row>
    <row r="49" spans="2:63" ht="15" customHeight="1">
      <c r="B49" s="16">
        <f t="shared" si="53"/>
        <v>41</v>
      </c>
      <c r="C49" s="16">
        <f t="shared" si="54"/>
        <v>4</v>
      </c>
      <c r="D49" s="16">
        <f t="shared" si="55"/>
        <v>1</v>
      </c>
      <c r="E49" s="16">
        <f t="shared" si="52"/>
        <v>41</v>
      </c>
      <c r="G49" s="16">
        <f>M_MultDeal!BE50+IF($B49=1,-i_transfee*i_maxequity,0)</f>
        <v>3971005.0640683789</v>
      </c>
      <c r="H49" s="16">
        <f>M_MultDeal!AO50</f>
        <v>12716.676380466364</v>
      </c>
      <c r="I49" s="16">
        <f t="shared" si="42"/>
        <v>3958288.3876879127</v>
      </c>
      <c r="K49" s="16">
        <f t="shared" si="56"/>
        <v>3879122.6199341542</v>
      </c>
      <c r="L49" s="16">
        <f t="shared" si="57"/>
        <v>181282.40461635464</v>
      </c>
      <c r="M49" s="16">
        <f t="shared" si="58"/>
        <v>3697840.2153177997</v>
      </c>
      <c r="N49" s="16">
        <f t="shared" si="59"/>
        <v>3879122.6199341542</v>
      </c>
      <c r="O49" s="16">
        <f t="shared" si="60"/>
        <v>19035946.107188217</v>
      </c>
      <c r="P49" s="16">
        <f t="shared" si="61"/>
        <v>0</v>
      </c>
      <c r="R49" s="16">
        <f t="shared" si="62"/>
        <v>0</v>
      </c>
      <c r="S49" s="16">
        <f t="shared" si="63"/>
        <v>0</v>
      </c>
      <c r="T49" s="16">
        <f t="shared" si="64"/>
        <v>0</v>
      </c>
      <c r="U49" s="16">
        <f t="shared" si="65"/>
        <v>0</v>
      </c>
      <c r="V49" s="16">
        <f t="shared" si="66"/>
        <v>17775068.906787202</v>
      </c>
      <c r="W49" s="16">
        <f t="shared" si="43"/>
        <v>-13895946.286853047</v>
      </c>
      <c r="X49" s="16">
        <f t="shared" si="67"/>
        <v>0</v>
      </c>
      <c r="Y49" s="16">
        <f t="shared" si="44"/>
        <v>315062960.9943217</v>
      </c>
      <c r="Z49" s="16">
        <f t="shared" si="68"/>
        <v>0</v>
      </c>
      <c r="AA49" s="72"/>
      <c r="AB49" s="16">
        <f t="shared" si="45"/>
        <v>0</v>
      </c>
      <c r="AC49" s="16">
        <f t="shared" si="69"/>
        <v>0</v>
      </c>
      <c r="AD49" s="16">
        <f t="shared" si="70"/>
        <v>0</v>
      </c>
      <c r="AF49" s="15">
        <f t="shared" si="71"/>
        <v>79165.767753758249</v>
      </c>
      <c r="AG49" s="16">
        <f t="shared" si="72"/>
        <v>3699.6409105378521</v>
      </c>
      <c r="AH49" s="16">
        <f t="shared" si="73"/>
        <v>75466.126843220394</v>
      </c>
      <c r="AI49" s="16">
        <f t="shared" si="74"/>
        <v>79165.767753758249</v>
      </c>
      <c r="AJ49" s="16">
        <f t="shared" si="75"/>
        <v>388488.69606506592</v>
      </c>
      <c r="AK49" s="16">
        <f t="shared" si="76"/>
        <v>0</v>
      </c>
      <c r="AM49" s="16">
        <f t="shared" si="77"/>
        <v>0</v>
      </c>
      <c r="AN49" s="16">
        <f t="shared" si="78"/>
        <v>0</v>
      </c>
      <c r="AO49" s="16">
        <f t="shared" si="79"/>
        <v>0</v>
      </c>
      <c r="AP49" s="16">
        <f t="shared" si="28"/>
        <v>0</v>
      </c>
      <c r="AQ49" s="16">
        <f t="shared" si="80"/>
        <v>3699.6409105378521</v>
      </c>
      <c r="AR49" s="16">
        <f t="shared" si="46"/>
        <v>75466.126843220394</v>
      </c>
      <c r="AS49" s="16">
        <f t="shared" si="81"/>
        <v>0</v>
      </c>
      <c r="AT49" s="16">
        <f t="shared" si="47"/>
        <v>388488.69606506592</v>
      </c>
      <c r="AU49" s="16">
        <f t="shared" si="82"/>
        <v>0</v>
      </c>
      <c r="AV49" s="72"/>
      <c r="AW49" s="16">
        <f t="shared" si="48"/>
        <v>0</v>
      </c>
      <c r="AX49" s="16">
        <f t="shared" si="83"/>
        <v>0</v>
      </c>
      <c r="AY49" s="16">
        <f t="shared" si="84"/>
        <v>0</v>
      </c>
      <c r="BA49" s="16">
        <f t="shared" si="49"/>
        <v>3879122.6199341542</v>
      </c>
      <c r="BB49" s="16">
        <f t="shared" si="50"/>
        <v>79165.767753758249</v>
      </c>
      <c r="BC49" s="16">
        <f t="shared" si="85"/>
        <v>3958288.3876879127</v>
      </c>
      <c r="BD49" s="16">
        <f t="shared" si="86"/>
        <v>3901911.2766350699</v>
      </c>
      <c r="BE49" s="16">
        <f t="shared" si="87"/>
        <v>0</v>
      </c>
      <c r="BF49" s="16">
        <f t="shared" si="88"/>
        <v>0</v>
      </c>
      <c r="BG49" s="16">
        <f t="shared" si="51"/>
        <v>0</v>
      </c>
      <c r="BH49" s="16">
        <f t="shared" si="89"/>
        <v>6358.3381902331821</v>
      </c>
      <c r="BI49" s="16">
        <f t="shared" si="90"/>
        <v>0</v>
      </c>
      <c r="BJ49" s="16">
        <f t="shared" si="91"/>
        <v>6358.3381902331821</v>
      </c>
      <c r="BK49" s="16">
        <f t="shared" si="92"/>
        <v>0</v>
      </c>
    </row>
    <row r="50" spans="2:63" ht="15" customHeight="1">
      <c r="B50" s="17">
        <f t="shared" si="53"/>
        <v>42</v>
      </c>
      <c r="C50" s="17">
        <f t="shared" si="54"/>
        <v>4</v>
      </c>
      <c r="D50" s="17">
        <f t="shared" si="55"/>
        <v>1</v>
      </c>
      <c r="E50" s="17">
        <f t="shared" si="52"/>
        <v>42</v>
      </c>
      <c r="G50" s="17">
        <f>M_MultDeal!BE51+IF($B50=1,-i_transfee*i_maxequity,0)</f>
        <v>3783314.8765036142</v>
      </c>
      <c r="H50" s="17">
        <f>M_MultDeal!AO51</f>
        <v>10188.688409244995</v>
      </c>
      <c r="I50" s="17">
        <f t="shared" si="42"/>
        <v>3773126.1880943691</v>
      </c>
      <c r="K50" s="17">
        <f t="shared" si="56"/>
        <v>3697663.6643324816</v>
      </c>
      <c r="L50" s="17">
        <f t="shared" si="57"/>
        <v>151795.30745576278</v>
      </c>
      <c r="M50" s="17">
        <f t="shared" si="58"/>
        <v>3545868.3568767188</v>
      </c>
      <c r="N50" s="17">
        <f t="shared" si="59"/>
        <v>3697663.6643324816</v>
      </c>
      <c r="O50" s="17">
        <f t="shared" si="60"/>
        <v>15490077.750311498</v>
      </c>
      <c r="P50" s="17">
        <f t="shared" si="61"/>
        <v>0</v>
      </c>
      <c r="R50" s="17">
        <f t="shared" si="62"/>
        <v>0</v>
      </c>
      <c r="S50" s="17">
        <f t="shared" si="63"/>
        <v>0</v>
      </c>
      <c r="T50" s="17">
        <f t="shared" si="64"/>
        <v>0</v>
      </c>
      <c r="U50" s="17">
        <f t="shared" si="65"/>
        <v>0</v>
      </c>
      <c r="V50" s="17">
        <f t="shared" si="66"/>
        <v>18595216.501681503</v>
      </c>
      <c r="W50" s="17">
        <f t="shared" si="43"/>
        <v>-14897552.837349022</v>
      </c>
      <c r="X50" s="17">
        <f t="shared" si="67"/>
        <v>0</v>
      </c>
      <c r="Y50" s="17">
        <f t="shared" si="44"/>
        <v>329960513.8316707</v>
      </c>
      <c r="Z50" s="17">
        <f t="shared" si="68"/>
        <v>0</v>
      </c>
      <c r="AA50" s="72"/>
      <c r="AB50" s="17">
        <f t="shared" si="45"/>
        <v>0</v>
      </c>
      <c r="AC50" s="17">
        <f t="shared" si="69"/>
        <v>0</v>
      </c>
      <c r="AD50" s="17">
        <f t="shared" si="70"/>
        <v>0</v>
      </c>
      <c r="AF50" s="15">
        <f t="shared" si="71"/>
        <v>75462.52376188738</v>
      </c>
      <c r="AG50" s="17">
        <f t="shared" si="72"/>
        <v>3097.863417464549</v>
      </c>
      <c r="AH50" s="17">
        <f t="shared" si="73"/>
        <v>72364.660344422824</v>
      </c>
      <c r="AI50" s="17">
        <f t="shared" si="74"/>
        <v>75462.52376188738</v>
      </c>
      <c r="AJ50" s="17">
        <f t="shared" si="75"/>
        <v>316124.03572064312</v>
      </c>
      <c r="AK50" s="17">
        <f t="shared" si="76"/>
        <v>0</v>
      </c>
      <c r="AM50" s="17">
        <f t="shared" si="77"/>
        <v>0</v>
      </c>
      <c r="AN50" s="17">
        <f t="shared" si="78"/>
        <v>0</v>
      </c>
      <c r="AO50" s="17">
        <f t="shared" si="79"/>
        <v>0</v>
      </c>
      <c r="AP50" s="17">
        <f t="shared" si="28"/>
        <v>0</v>
      </c>
      <c r="AQ50" s="17">
        <f t="shared" si="80"/>
        <v>3097.863417464549</v>
      </c>
      <c r="AR50" s="17">
        <f t="shared" si="46"/>
        <v>72364.660344422824</v>
      </c>
      <c r="AS50" s="17">
        <f t="shared" si="81"/>
        <v>0</v>
      </c>
      <c r="AT50" s="17">
        <f t="shared" si="47"/>
        <v>316124.03572064312</v>
      </c>
      <c r="AU50" s="17">
        <f t="shared" si="82"/>
        <v>0</v>
      </c>
      <c r="AV50" s="72"/>
      <c r="AW50" s="17">
        <f t="shared" si="48"/>
        <v>0</v>
      </c>
      <c r="AX50" s="17">
        <f t="shared" si="83"/>
        <v>0</v>
      </c>
      <c r="AY50" s="17">
        <f t="shared" si="84"/>
        <v>0</v>
      </c>
      <c r="BA50" s="17">
        <f t="shared" si="49"/>
        <v>3697663.6643324816</v>
      </c>
      <c r="BB50" s="17">
        <f t="shared" si="50"/>
        <v>75462.52376188738</v>
      </c>
      <c r="BC50" s="17">
        <f t="shared" si="85"/>
        <v>3773126.1880943691</v>
      </c>
      <c r="BD50" s="17">
        <f t="shared" si="86"/>
        <v>128785.08854070073</v>
      </c>
      <c r="BE50" s="17">
        <f t="shared" si="87"/>
        <v>0</v>
      </c>
      <c r="BF50" s="17">
        <f t="shared" si="88"/>
        <v>0</v>
      </c>
      <c r="BG50" s="17">
        <f t="shared" si="51"/>
        <v>0</v>
      </c>
      <c r="BH50" s="17">
        <f t="shared" si="89"/>
        <v>5094.3442046224973</v>
      </c>
      <c r="BI50" s="17">
        <f t="shared" si="90"/>
        <v>0</v>
      </c>
      <c r="BJ50" s="17">
        <f t="shared" si="91"/>
        <v>5094.3442046224973</v>
      </c>
      <c r="BK50" s="17">
        <f t="shared" si="92"/>
        <v>0</v>
      </c>
    </row>
    <row r="51" spans="2:63" ht="15" customHeight="1">
      <c r="B51" s="15">
        <f t="shared" si="53"/>
        <v>43</v>
      </c>
      <c r="C51" s="15">
        <f t="shared" si="54"/>
        <v>4</v>
      </c>
      <c r="D51" s="15">
        <f t="shared" si="55"/>
        <v>1</v>
      </c>
      <c r="E51" s="15">
        <f t="shared" si="52"/>
        <v>43</v>
      </c>
      <c r="G51" s="15">
        <f>M_MultDeal!BE52+IF($B51=1,-i_transfee*i_maxequity,0)</f>
        <v>3593529.6689315815</v>
      </c>
      <c r="H51" s="15">
        <f>M_MultDeal!AO52</f>
        <v>7933.8135539311779</v>
      </c>
      <c r="I51" s="15">
        <f t="shared" si="42"/>
        <v>3585595.8553776504</v>
      </c>
      <c r="K51" s="15">
        <f t="shared" si="56"/>
        <v>3513883.9382700971</v>
      </c>
      <c r="L51" s="15">
        <f t="shared" si="57"/>
        <v>123520.05523562158</v>
      </c>
      <c r="M51" s="15">
        <f t="shared" si="58"/>
        <v>3390363.8830344756</v>
      </c>
      <c r="N51" s="15">
        <f t="shared" si="59"/>
        <v>3513883.9382700971</v>
      </c>
      <c r="O51" s="15">
        <f t="shared" si="60"/>
        <v>12099713.867277022</v>
      </c>
      <c r="P51" s="15">
        <f t="shared" si="61"/>
        <v>0</v>
      </c>
      <c r="R51" s="15">
        <f t="shared" si="62"/>
        <v>0</v>
      </c>
      <c r="S51" s="15">
        <f t="shared" si="63"/>
        <v>0</v>
      </c>
      <c r="T51" s="15">
        <f t="shared" si="64"/>
        <v>0</v>
      </c>
      <c r="U51" s="15">
        <f t="shared" si="65"/>
        <v>0</v>
      </c>
      <c r="V51" s="15">
        <f t="shared" si="66"/>
        <v>19474479.552728422</v>
      </c>
      <c r="W51" s="15">
        <f t="shared" si="43"/>
        <v>-15960595.614458324</v>
      </c>
      <c r="X51" s="15">
        <f t="shared" si="67"/>
        <v>0</v>
      </c>
      <c r="Y51" s="15">
        <f t="shared" si="44"/>
        <v>345921109.44612902</v>
      </c>
      <c r="Z51" s="15">
        <f t="shared" si="68"/>
        <v>0</v>
      </c>
      <c r="AA51" s="72"/>
      <c r="AB51" s="15">
        <f t="shared" si="45"/>
        <v>0</v>
      </c>
      <c r="AC51" s="15">
        <f t="shared" si="69"/>
        <v>0</v>
      </c>
      <c r="AD51" s="15">
        <f t="shared" si="70"/>
        <v>0</v>
      </c>
      <c r="AF51" s="15">
        <f t="shared" si="71"/>
        <v>71711.917107553003</v>
      </c>
      <c r="AG51" s="15">
        <f t="shared" si="72"/>
        <v>2520.8174537881982</v>
      </c>
      <c r="AH51" s="15">
        <f t="shared" si="73"/>
        <v>69191.099653764802</v>
      </c>
      <c r="AI51" s="15">
        <f t="shared" si="74"/>
        <v>71711.917107553003</v>
      </c>
      <c r="AJ51" s="15">
        <f t="shared" si="75"/>
        <v>246932.93606687832</v>
      </c>
      <c r="AK51" s="15">
        <f t="shared" si="76"/>
        <v>0</v>
      </c>
      <c r="AM51" s="15">
        <f t="shared" si="77"/>
        <v>0</v>
      </c>
      <c r="AN51" s="15">
        <f t="shared" si="78"/>
        <v>0</v>
      </c>
      <c r="AO51" s="15">
        <f t="shared" si="79"/>
        <v>0</v>
      </c>
      <c r="AP51" s="15">
        <f t="shared" si="28"/>
        <v>0</v>
      </c>
      <c r="AQ51" s="15">
        <f t="shared" si="80"/>
        <v>2520.8174537881982</v>
      </c>
      <c r="AR51" s="15">
        <f t="shared" si="46"/>
        <v>69191.099653764802</v>
      </c>
      <c r="AS51" s="15">
        <f t="shared" si="81"/>
        <v>0</v>
      </c>
      <c r="AT51" s="15">
        <f t="shared" si="47"/>
        <v>246932.93606687832</v>
      </c>
      <c r="AU51" s="15">
        <f t="shared" si="82"/>
        <v>0</v>
      </c>
      <c r="AV51" s="72"/>
      <c r="AW51" s="15">
        <f t="shared" si="48"/>
        <v>0</v>
      </c>
      <c r="AX51" s="15">
        <f t="shared" si="83"/>
        <v>0</v>
      </c>
      <c r="AY51" s="15">
        <f t="shared" si="84"/>
        <v>0</v>
      </c>
      <c r="BA51" s="15">
        <f t="shared" si="49"/>
        <v>3513883.9382700971</v>
      </c>
      <c r="BB51" s="15">
        <f t="shared" si="50"/>
        <v>71711.917107553003</v>
      </c>
      <c r="BC51" s="15">
        <f t="shared" si="85"/>
        <v>3585595.8553776504</v>
      </c>
      <c r="BD51" s="15">
        <f t="shared" si="86"/>
        <v>0</v>
      </c>
      <c r="BE51" s="15">
        <f t="shared" si="87"/>
        <v>0</v>
      </c>
      <c r="BF51" s="15">
        <f t="shared" si="88"/>
        <v>0</v>
      </c>
      <c r="BG51" s="15">
        <f t="shared" si="51"/>
        <v>0</v>
      </c>
      <c r="BH51" s="15">
        <f t="shared" si="89"/>
        <v>3966.906776965589</v>
      </c>
      <c r="BI51" s="15">
        <f t="shared" si="90"/>
        <v>0</v>
      </c>
      <c r="BJ51" s="15">
        <f t="shared" si="91"/>
        <v>3966.906776965589</v>
      </c>
      <c r="BK51" s="15">
        <f t="shared" si="92"/>
        <v>0</v>
      </c>
    </row>
    <row r="52" spans="2:63" ht="15" customHeight="1">
      <c r="B52" s="16">
        <f t="shared" si="53"/>
        <v>44</v>
      </c>
      <c r="C52" s="16">
        <f t="shared" si="54"/>
        <v>4</v>
      </c>
      <c r="D52" s="16">
        <f t="shared" si="55"/>
        <v>1</v>
      </c>
      <c r="E52" s="16">
        <f t="shared" si="52"/>
        <v>44</v>
      </c>
      <c r="G52" s="16">
        <f>M_MultDeal!BE53+IF($B52=1,-i_transfee*i_maxequity,0)</f>
        <v>3401649.4413522808</v>
      </c>
      <c r="H52" s="16">
        <f>M_MultDeal!AO53</f>
        <v>5952.0518145249089</v>
      </c>
      <c r="I52" s="16">
        <f t="shared" si="42"/>
        <v>3395697.3895377559</v>
      </c>
      <c r="K52" s="16">
        <f t="shared" si="56"/>
        <v>3327783.4417470009</v>
      </c>
      <c r="L52" s="16">
        <f t="shared" si="57"/>
        <v>96484.817527221225</v>
      </c>
      <c r="M52" s="16">
        <f t="shared" si="58"/>
        <v>3231298.6242197799</v>
      </c>
      <c r="N52" s="16">
        <f t="shared" si="59"/>
        <v>3327783.4417470009</v>
      </c>
      <c r="O52" s="16">
        <f t="shared" si="60"/>
        <v>8868415.2430572435</v>
      </c>
      <c r="P52" s="16">
        <f t="shared" si="61"/>
        <v>0</v>
      </c>
      <c r="Q52" s="72"/>
      <c r="R52" s="16">
        <f t="shared" si="62"/>
        <v>0</v>
      </c>
      <c r="S52" s="16">
        <f t="shared" si="63"/>
        <v>0</v>
      </c>
      <c r="T52" s="16">
        <f t="shared" si="64"/>
        <v>0</v>
      </c>
      <c r="U52" s="16">
        <f t="shared" si="65"/>
        <v>0</v>
      </c>
      <c r="V52" s="16">
        <f t="shared" si="66"/>
        <v>20416484.065128054</v>
      </c>
      <c r="W52" s="16">
        <f t="shared" si="43"/>
        <v>-17088700.623381052</v>
      </c>
      <c r="X52" s="16">
        <f t="shared" si="67"/>
        <v>0</v>
      </c>
      <c r="Y52" s="16">
        <f t="shared" si="44"/>
        <v>363009810.0695101</v>
      </c>
      <c r="Z52" s="16">
        <f t="shared" si="68"/>
        <v>0</v>
      </c>
      <c r="AA52" s="72"/>
      <c r="AB52" s="16">
        <f t="shared" si="45"/>
        <v>0</v>
      </c>
      <c r="AC52" s="16">
        <f t="shared" si="69"/>
        <v>0</v>
      </c>
      <c r="AD52" s="16">
        <f t="shared" si="70"/>
        <v>0</v>
      </c>
      <c r="AF52" s="15">
        <f t="shared" si="71"/>
        <v>67913.947790755119</v>
      </c>
      <c r="AG52" s="16">
        <f t="shared" si="72"/>
        <v>1969.077908718803</v>
      </c>
      <c r="AH52" s="16">
        <f t="shared" si="73"/>
        <v>65944.869882036321</v>
      </c>
      <c r="AI52" s="16">
        <f t="shared" si="74"/>
        <v>67913.947790755119</v>
      </c>
      <c r="AJ52" s="16">
        <f t="shared" si="75"/>
        <v>180988.066184842</v>
      </c>
      <c r="AK52" s="16">
        <f t="shared" si="76"/>
        <v>0</v>
      </c>
      <c r="AL52" s="72"/>
      <c r="AM52" s="16">
        <f t="shared" si="77"/>
        <v>0</v>
      </c>
      <c r="AN52" s="16">
        <f t="shared" si="78"/>
        <v>0</v>
      </c>
      <c r="AO52" s="16">
        <f t="shared" si="79"/>
        <v>0</v>
      </c>
      <c r="AP52" s="16">
        <f t="shared" si="28"/>
        <v>0</v>
      </c>
      <c r="AQ52" s="16">
        <f t="shared" si="80"/>
        <v>1969.077908718803</v>
      </c>
      <c r="AR52" s="16">
        <f t="shared" si="46"/>
        <v>65944.869882036321</v>
      </c>
      <c r="AS52" s="16">
        <f t="shared" si="81"/>
        <v>0</v>
      </c>
      <c r="AT52" s="16">
        <f t="shared" si="47"/>
        <v>180988.066184842</v>
      </c>
      <c r="AU52" s="16">
        <f t="shared" si="82"/>
        <v>0</v>
      </c>
      <c r="AV52" s="72"/>
      <c r="AW52" s="16">
        <f t="shared" si="48"/>
        <v>0</v>
      </c>
      <c r="AX52" s="16">
        <f t="shared" si="83"/>
        <v>0</v>
      </c>
      <c r="AY52" s="16">
        <f t="shared" si="84"/>
        <v>0</v>
      </c>
      <c r="BA52" s="16">
        <f t="shared" si="49"/>
        <v>3327783.4417470009</v>
      </c>
      <c r="BB52" s="16">
        <f t="shared" si="50"/>
        <v>67913.947790755119</v>
      </c>
      <c r="BC52" s="16">
        <f t="shared" si="85"/>
        <v>3395697.3895377559</v>
      </c>
      <c r="BD52" s="16">
        <f t="shared" si="86"/>
        <v>0</v>
      </c>
      <c r="BE52" s="16">
        <f t="shared" si="87"/>
        <v>0</v>
      </c>
      <c r="BF52" s="16">
        <f t="shared" si="88"/>
        <v>0</v>
      </c>
      <c r="BG52" s="16">
        <f t="shared" si="51"/>
        <v>0</v>
      </c>
      <c r="BH52" s="16">
        <f t="shared" si="89"/>
        <v>2976.0259072624544</v>
      </c>
      <c r="BI52" s="16">
        <f t="shared" si="90"/>
        <v>0</v>
      </c>
      <c r="BJ52" s="16">
        <f t="shared" si="91"/>
        <v>2976.0259072624544</v>
      </c>
      <c r="BK52" s="16">
        <f t="shared" si="92"/>
        <v>0</v>
      </c>
    </row>
    <row r="53" spans="2:63" ht="15" customHeight="1">
      <c r="B53" s="17">
        <f t="shared" si="53"/>
        <v>45</v>
      </c>
      <c r="C53" s="17">
        <f t="shared" si="54"/>
        <v>4</v>
      </c>
      <c r="D53" s="17">
        <f t="shared" si="55"/>
        <v>1</v>
      </c>
      <c r="E53" s="17">
        <f t="shared" si="52"/>
        <v>45</v>
      </c>
      <c r="G53" s="17">
        <f>M_MultDeal!BE54+IF($B53=1,-i_transfee*i_maxequity,0)</f>
        <v>3207674.1937657115</v>
      </c>
      <c r="H53" s="17">
        <f>M_MultDeal!AO54</f>
        <v>4243.4031910261911</v>
      </c>
      <c r="I53" s="17">
        <f t="shared" si="42"/>
        <v>3203430.7905746852</v>
      </c>
      <c r="K53" s="17">
        <f t="shared" si="56"/>
        <v>3139362.1747631915</v>
      </c>
      <c r="L53" s="17">
        <f t="shared" si="57"/>
        <v>70717.988529969167</v>
      </c>
      <c r="M53" s="17">
        <f t="shared" si="58"/>
        <v>3068644.1862332225</v>
      </c>
      <c r="N53" s="17">
        <f t="shared" si="59"/>
        <v>3139362.1747631915</v>
      </c>
      <c r="O53" s="17">
        <f t="shared" si="60"/>
        <v>5799771.056824021</v>
      </c>
      <c r="P53" s="17">
        <f t="shared" si="61"/>
        <v>0</v>
      </c>
      <c r="Q53" s="72"/>
      <c r="R53" s="17">
        <f t="shared" si="62"/>
        <v>0</v>
      </c>
      <c r="S53" s="17">
        <f t="shared" si="63"/>
        <v>0</v>
      </c>
      <c r="T53" s="17">
        <f t="shared" si="64"/>
        <v>0</v>
      </c>
      <c r="U53" s="17">
        <f t="shared" si="65"/>
        <v>0</v>
      </c>
      <c r="V53" s="17">
        <f t="shared" si="66"/>
        <v>21425070.053215425</v>
      </c>
      <c r="W53" s="17">
        <f t="shared" si="43"/>
        <v>-18285707.878452234</v>
      </c>
      <c r="X53" s="17">
        <f t="shared" si="67"/>
        <v>0</v>
      </c>
      <c r="Y53" s="17">
        <f t="shared" si="44"/>
        <v>381295517.94796234</v>
      </c>
      <c r="Z53" s="17">
        <f t="shared" si="68"/>
        <v>0</v>
      </c>
      <c r="AA53" s="72"/>
      <c r="AB53" s="17">
        <f t="shared" si="45"/>
        <v>0</v>
      </c>
      <c r="AC53" s="17">
        <f t="shared" si="69"/>
        <v>0</v>
      </c>
      <c r="AD53" s="17">
        <f t="shared" si="70"/>
        <v>0</v>
      </c>
      <c r="AF53" s="15">
        <f t="shared" si="71"/>
        <v>64068.615811493706</v>
      </c>
      <c r="AG53" s="17">
        <f t="shared" si="72"/>
        <v>1443.2242557136587</v>
      </c>
      <c r="AH53" s="17">
        <f t="shared" si="73"/>
        <v>62625.39155578005</v>
      </c>
      <c r="AI53" s="17">
        <f t="shared" si="74"/>
        <v>64068.615811493706</v>
      </c>
      <c r="AJ53" s="17">
        <f t="shared" si="75"/>
        <v>118362.67462906195</v>
      </c>
      <c r="AK53" s="17">
        <f t="shared" si="76"/>
        <v>0</v>
      </c>
      <c r="AL53" s="72"/>
      <c r="AM53" s="17">
        <f t="shared" si="77"/>
        <v>0</v>
      </c>
      <c r="AN53" s="17">
        <f t="shared" si="78"/>
        <v>0</v>
      </c>
      <c r="AO53" s="17">
        <f t="shared" si="79"/>
        <v>0</v>
      </c>
      <c r="AP53" s="17">
        <f t="shared" si="28"/>
        <v>0</v>
      </c>
      <c r="AQ53" s="17">
        <f t="shared" si="80"/>
        <v>1443.2242557136587</v>
      </c>
      <c r="AR53" s="17">
        <f t="shared" si="46"/>
        <v>62625.39155578005</v>
      </c>
      <c r="AS53" s="17">
        <f t="shared" si="81"/>
        <v>0</v>
      </c>
      <c r="AT53" s="17">
        <f t="shared" si="47"/>
        <v>118362.67462906195</v>
      </c>
      <c r="AU53" s="17">
        <f t="shared" si="82"/>
        <v>0</v>
      </c>
      <c r="AV53" s="72"/>
      <c r="AW53" s="17">
        <f t="shared" si="48"/>
        <v>0</v>
      </c>
      <c r="AX53" s="17">
        <f t="shared" si="83"/>
        <v>0</v>
      </c>
      <c r="AY53" s="17">
        <f t="shared" si="84"/>
        <v>0</v>
      </c>
      <c r="BA53" s="17">
        <f t="shared" si="49"/>
        <v>3139362.1747631915</v>
      </c>
      <c r="BB53" s="17">
        <f t="shared" si="50"/>
        <v>64068.615811493706</v>
      </c>
      <c r="BC53" s="17">
        <f t="shared" si="85"/>
        <v>3203430.7905746852</v>
      </c>
      <c r="BD53" s="17">
        <f t="shared" si="86"/>
        <v>0</v>
      </c>
      <c r="BE53" s="17">
        <f t="shared" si="87"/>
        <v>0</v>
      </c>
      <c r="BF53" s="17">
        <f t="shared" si="88"/>
        <v>0</v>
      </c>
      <c r="BG53" s="17">
        <f t="shared" si="51"/>
        <v>0</v>
      </c>
      <c r="BH53" s="17">
        <f t="shared" si="89"/>
        <v>2121.7015955130955</v>
      </c>
      <c r="BI53" s="17">
        <f t="shared" si="90"/>
        <v>0</v>
      </c>
      <c r="BJ53" s="17">
        <f t="shared" si="91"/>
        <v>2121.7015955130955</v>
      </c>
      <c r="BK53" s="17">
        <f t="shared" si="92"/>
        <v>0</v>
      </c>
    </row>
    <row r="54" spans="2:63" ht="15" customHeight="1">
      <c r="B54" s="15">
        <f t="shared" si="53"/>
        <v>46</v>
      </c>
      <c r="C54" s="15">
        <f t="shared" si="54"/>
        <v>4</v>
      </c>
      <c r="D54" s="15">
        <f t="shared" si="55"/>
        <v>1</v>
      </c>
      <c r="E54" s="15">
        <f t="shared" si="52"/>
        <v>46</v>
      </c>
      <c r="G54" s="15">
        <f>M_MultDeal!BE55+IF($B54=1,-i_transfee*i_maxequity,0)</f>
        <v>3011603.9261718742</v>
      </c>
      <c r="H54" s="15">
        <f>M_MultDeal!AO55</f>
        <v>2807.8676834350226</v>
      </c>
      <c r="I54" s="15">
        <f t="shared" si="42"/>
        <v>3008796.0584884393</v>
      </c>
      <c r="K54" s="15">
        <f t="shared" si="56"/>
        <v>2948620.1373186703</v>
      </c>
      <c r="L54" s="15">
        <f t="shared" si="57"/>
        <v>46248.188862606337</v>
      </c>
      <c r="M54" s="15">
        <f t="shared" si="58"/>
        <v>2902371.9484560639</v>
      </c>
      <c r="N54" s="15">
        <f t="shared" si="59"/>
        <v>2948620.1373186703</v>
      </c>
      <c r="O54" s="15">
        <f t="shared" si="60"/>
        <v>2897399.1083679572</v>
      </c>
      <c r="P54" s="15">
        <f t="shared" si="61"/>
        <v>0</v>
      </c>
      <c r="Q54" s="72"/>
      <c r="R54" s="15">
        <f t="shared" si="62"/>
        <v>0</v>
      </c>
      <c r="S54" s="15">
        <f t="shared" si="63"/>
        <v>0</v>
      </c>
      <c r="T54" s="15">
        <f t="shared" si="64"/>
        <v>0</v>
      </c>
      <c r="U54" s="15">
        <f t="shared" si="65"/>
        <v>0</v>
      </c>
      <c r="V54" s="15">
        <f t="shared" si="66"/>
        <v>22504304.171415854</v>
      </c>
      <c r="W54" s="15">
        <f t="shared" si="43"/>
        <v>-19555684.034097183</v>
      </c>
      <c r="X54" s="15">
        <f t="shared" si="67"/>
        <v>0</v>
      </c>
      <c r="Y54" s="15">
        <f t="shared" si="44"/>
        <v>400851201.98205954</v>
      </c>
      <c r="Z54" s="15">
        <f t="shared" si="68"/>
        <v>0</v>
      </c>
      <c r="AA54" s="72"/>
      <c r="AB54" s="15">
        <f t="shared" si="45"/>
        <v>0</v>
      </c>
      <c r="AC54" s="15">
        <f t="shared" si="69"/>
        <v>0</v>
      </c>
      <c r="AD54" s="15">
        <f t="shared" si="70"/>
        <v>0</v>
      </c>
      <c r="AF54" s="15">
        <f t="shared" si="71"/>
        <v>60175.921169768786</v>
      </c>
      <c r="AG54" s="15">
        <f t="shared" si="72"/>
        <v>943.84058903278481</v>
      </c>
      <c r="AH54" s="15">
        <f t="shared" si="73"/>
        <v>59232.080580736001</v>
      </c>
      <c r="AI54" s="15">
        <f t="shared" si="74"/>
        <v>60175.921169768786</v>
      </c>
      <c r="AJ54" s="15">
        <f t="shared" si="75"/>
        <v>59130.594048325947</v>
      </c>
      <c r="AK54" s="15">
        <f t="shared" si="76"/>
        <v>0</v>
      </c>
      <c r="AL54" s="72"/>
      <c r="AM54" s="15">
        <f t="shared" si="77"/>
        <v>0</v>
      </c>
      <c r="AN54" s="15">
        <f t="shared" si="78"/>
        <v>0</v>
      </c>
      <c r="AO54" s="15">
        <f t="shared" si="79"/>
        <v>0</v>
      </c>
      <c r="AP54" s="15">
        <f t="shared" si="28"/>
        <v>0</v>
      </c>
      <c r="AQ54" s="15">
        <f t="shared" si="80"/>
        <v>943.84058903278481</v>
      </c>
      <c r="AR54" s="15">
        <f t="shared" si="46"/>
        <v>59232.080580736001</v>
      </c>
      <c r="AS54" s="15">
        <f t="shared" si="81"/>
        <v>0</v>
      </c>
      <c r="AT54" s="15">
        <f t="shared" si="47"/>
        <v>59130.594048325947</v>
      </c>
      <c r="AU54" s="15">
        <f t="shared" si="82"/>
        <v>0</v>
      </c>
      <c r="AV54" s="72"/>
      <c r="AW54" s="15">
        <f t="shared" si="48"/>
        <v>0</v>
      </c>
      <c r="AX54" s="15">
        <f t="shared" si="83"/>
        <v>0</v>
      </c>
      <c r="AY54" s="15">
        <f t="shared" si="84"/>
        <v>0</v>
      </c>
      <c r="BA54" s="15">
        <f t="shared" si="49"/>
        <v>2948620.1373186703</v>
      </c>
      <c r="BB54" s="15">
        <f t="shared" si="50"/>
        <v>60175.921169768786</v>
      </c>
      <c r="BC54" s="15">
        <f t="shared" si="85"/>
        <v>3008796.0584884388</v>
      </c>
      <c r="BD54" s="15">
        <f t="shared" si="86"/>
        <v>0</v>
      </c>
      <c r="BE54" s="15">
        <f t="shared" si="87"/>
        <v>0</v>
      </c>
      <c r="BF54" s="15">
        <f t="shared" si="88"/>
        <v>0</v>
      </c>
      <c r="BG54" s="15">
        <f t="shared" si="51"/>
        <v>0</v>
      </c>
      <c r="BH54" s="15">
        <f t="shared" si="89"/>
        <v>1403.9338417175113</v>
      </c>
      <c r="BI54" s="15">
        <f t="shared" si="90"/>
        <v>0</v>
      </c>
      <c r="BJ54" s="15">
        <f t="shared" si="91"/>
        <v>1403.9338417175113</v>
      </c>
      <c r="BK54" s="15">
        <f t="shared" si="92"/>
        <v>0</v>
      </c>
    </row>
    <row r="55" spans="2:63" ht="15" customHeight="1">
      <c r="B55" s="16">
        <f t="shared" si="53"/>
        <v>47</v>
      </c>
      <c r="C55" s="16">
        <f t="shared" si="54"/>
        <v>4</v>
      </c>
      <c r="D55" s="16">
        <f t="shared" si="55"/>
        <v>1</v>
      </c>
      <c r="E55" s="16">
        <f t="shared" si="52"/>
        <v>47</v>
      </c>
      <c r="G55" s="16">
        <f>M_MultDeal!BE56+IF($B55=1,-i_transfee*i_maxequity,0)</f>
        <v>2602205.8960533352</v>
      </c>
      <c r="H55" s="16">
        <f>M_MultDeal!AO56</f>
        <v>1645.4452917514045</v>
      </c>
      <c r="I55" s="16">
        <f t="shared" si="42"/>
        <v>2600560.4507615836</v>
      </c>
      <c r="K55" s="16">
        <f t="shared" si="56"/>
        <v>2548549.2417463521</v>
      </c>
      <c r="L55" s="16">
        <f t="shared" si="57"/>
        <v>23104.267368706645</v>
      </c>
      <c r="M55" s="16">
        <f t="shared" si="58"/>
        <v>2525444.9743776452</v>
      </c>
      <c r="N55" s="16">
        <f t="shared" si="59"/>
        <v>2548549.2417463521</v>
      </c>
      <c r="O55" s="16">
        <f t="shared" si="60"/>
        <v>371954.133990312</v>
      </c>
      <c r="P55" s="16">
        <f t="shared" si="61"/>
        <v>0</v>
      </c>
      <c r="Q55" s="72"/>
      <c r="R55" s="16">
        <f t="shared" si="62"/>
        <v>0</v>
      </c>
      <c r="S55" s="16">
        <f t="shared" si="63"/>
        <v>0</v>
      </c>
      <c r="T55" s="16">
        <f t="shared" si="64"/>
        <v>0</v>
      </c>
      <c r="U55" s="16">
        <f t="shared" si="65"/>
        <v>0</v>
      </c>
      <c r="V55" s="16">
        <f t="shared" si="66"/>
        <v>23658493.090687349</v>
      </c>
      <c r="W55" s="16">
        <f t="shared" si="43"/>
        <v>-21109943.848940998</v>
      </c>
      <c r="X55" s="16">
        <f t="shared" si="67"/>
        <v>0</v>
      </c>
      <c r="Y55" s="16">
        <f t="shared" si="44"/>
        <v>421961145.83100057</v>
      </c>
      <c r="Z55" s="16">
        <f t="shared" si="68"/>
        <v>0</v>
      </c>
      <c r="AA55" s="72"/>
      <c r="AB55" s="16">
        <f t="shared" si="45"/>
        <v>0</v>
      </c>
      <c r="AC55" s="16">
        <f t="shared" si="69"/>
        <v>0</v>
      </c>
      <c r="AD55" s="16">
        <f t="shared" si="70"/>
        <v>0</v>
      </c>
      <c r="AF55" s="15">
        <f t="shared" si="71"/>
        <v>52011.209015231674</v>
      </c>
      <c r="AG55" s="16">
        <f t="shared" si="72"/>
        <v>471.51566058585223</v>
      </c>
      <c r="AH55" s="16">
        <f t="shared" si="73"/>
        <v>51539.693354645824</v>
      </c>
      <c r="AI55" s="16">
        <f t="shared" si="74"/>
        <v>52011.209015231674</v>
      </c>
      <c r="AJ55" s="16">
        <f t="shared" si="75"/>
        <v>7590.9006936801234</v>
      </c>
      <c r="AK55" s="16">
        <f t="shared" si="76"/>
        <v>0</v>
      </c>
      <c r="AL55" s="72"/>
      <c r="AM55" s="16">
        <f t="shared" si="77"/>
        <v>0</v>
      </c>
      <c r="AN55" s="16">
        <f t="shared" si="78"/>
        <v>0</v>
      </c>
      <c r="AO55" s="16">
        <f t="shared" si="79"/>
        <v>0</v>
      </c>
      <c r="AP55" s="16">
        <f t="shared" si="28"/>
        <v>0</v>
      </c>
      <c r="AQ55" s="16">
        <f t="shared" si="80"/>
        <v>471.51566058585223</v>
      </c>
      <c r="AR55" s="16">
        <f t="shared" si="46"/>
        <v>51539.693354645824</v>
      </c>
      <c r="AS55" s="16">
        <f t="shared" si="81"/>
        <v>0</v>
      </c>
      <c r="AT55" s="16">
        <f t="shared" si="47"/>
        <v>7590.9006936801234</v>
      </c>
      <c r="AU55" s="16">
        <f t="shared" si="82"/>
        <v>0</v>
      </c>
      <c r="AV55" s="72"/>
      <c r="AW55" s="16">
        <f t="shared" si="48"/>
        <v>0</v>
      </c>
      <c r="AX55" s="16">
        <f t="shared" si="83"/>
        <v>0</v>
      </c>
      <c r="AY55" s="16">
        <f t="shared" si="84"/>
        <v>0</v>
      </c>
      <c r="BA55" s="16">
        <f t="shared" si="49"/>
        <v>2548549.2417463521</v>
      </c>
      <c r="BB55" s="16">
        <f t="shared" si="50"/>
        <v>52011.209015231674</v>
      </c>
      <c r="BC55" s="16">
        <f t="shared" si="85"/>
        <v>2600560.4507615836</v>
      </c>
      <c r="BD55" s="16">
        <f t="shared" si="86"/>
        <v>0</v>
      </c>
      <c r="BE55" s="16">
        <f t="shared" si="87"/>
        <v>0</v>
      </c>
      <c r="BF55" s="16">
        <f t="shared" si="88"/>
        <v>0</v>
      </c>
      <c r="BG55" s="16">
        <f t="shared" si="51"/>
        <v>0</v>
      </c>
      <c r="BH55" s="16">
        <f t="shared" si="89"/>
        <v>822.72264587570226</v>
      </c>
      <c r="BI55" s="16">
        <f t="shared" si="90"/>
        <v>0</v>
      </c>
      <c r="BJ55" s="16">
        <f t="shared" si="91"/>
        <v>822.72264587570226</v>
      </c>
      <c r="BK55" s="16">
        <f t="shared" si="92"/>
        <v>0</v>
      </c>
    </row>
    <row r="56" spans="2:63" ht="15" customHeight="1" thickBot="1">
      <c r="B56" s="18">
        <f t="shared" si="53"/>
        <v>48</v>
      </c>
      <c r="C56" s="18">
        <f t="shared" si="54"/>
        <v>4</v>
      </c>
      <c r="D56" s="18">
        <f t="shared" si="55"/>
        <v>1</v>
      </c>
      <c r="E56" s="18">
        <f t="shared" si="52"/>
        <v>48</v>
      </c>
      <c r="G56" s="18">
        <f>M_MultDeal!BE57+IF($B56=1,-i_transfee*i_maxequity,0)</f>
        <v>1920141.2104758718</v>
      </c>
      <c r="H56" s="18">
        <f>M_MultDeal!AO57</f>
        <v>756.13601597533625</v>
      </c>
      <c r="I56" s="18">
        <f t="shared" si="42"/>
        <v>1919385.0744598964</v>
      </c>
      <c r="K56" s="18">
        <f t="shared" si="56"/>
        <v>1880997.3729706984</v>
      </c>
      <c r="L56" s="18">
        <f t="shared" si="57"/>
        <v>2966.0144975500348</v>
      </c>
      <c r="M56" s="18">
        <f t="shared" si="58"/>
        <v>371954.133990312</v>
      </c>
      <c r="N56" s="18">
        <f t="shared" si="59"/>
        <v>374920.14848786202</v>
      </c>
      <c r="O56" s="18">
        <f t="shared" si="60"/>
        <v>0</v>
      </c>
      <c r="P56" s="18">
        <f t="shared" si="61"/>
        <v>0</v>
      </c>
      <c r="Q56" s="72"/>
      <c r="R56" s="18">
        <f t="shared" si="62"/>
        <v>1506077.2244828364</v>
      </c>
      <c r="S56" s="18">
        <f t="shared" si="63"/>
        <v>0</v>
      </c>
      <c r="T56" s="18">
        <f t="shared" si="64"/>
        <v>0</v>
      </c>
      <c r="U56" s="18">
        <f t="shared" si="65"/>
        <v>1506077.2244828364</v>
      </c>
      <c r="V56" s="18">
        <f t="shared" si="66"/>
        <v>24904415.413547996</v>
      </c>
      <c r="W56" s="18">
        <f t="shared" si="43"/>
        <v>-23776456.652818717</v>
      </c>
      <c r="X56" s="18">
        <f t="shared" si="67"/>
        <v>753038.61224141822</v>
      </c>
      <c r="Y56" s="18">
        <f t="shared" si="44"/>
        <v>445737602.48381931</v>
      </c>
      <c r="Z56" s="18">
        <f t="shared" si="68"/>
        <v>753038.61224141822</v>
      </c>
      <c r="AA56" s="72"/>
      <c r="AB56" s="18">
        <f t="shared" si="45"/>
        <v>0</v>
      </c>
      <c r="AC56" s="18">
        <f t="shared" si="69"/>
        <v>0</v>
      </c>
      <c r="AD56" s="18">
        <f t="shared" si="70"/>
        <v>0</v>
      </c>
      <c r="AF56" s="15">
        <f t="shared" si="71"/>
        <v>38387.701489197927</v>
      </c>
      <c r="AG56" s="18">
        <f t="shared" si="72"/>
        <v>60.530908113268303</v>
      </c>
      <c r="AH56" s="18">
        <f t="shared" si="73"/>
        <v>7590.9006936801234</v>
      </c>
      <c r="AI56" s="18">
        <f t="shared" si="74"/>
        <v>7651.4316017933916</v>
      </c>
      <c r="AJ56" s="18">
        <f t="shared" si="75"/>
        <v>0</v>
      </c>
      <c r="AK56" s="18">
        <f t="shared" si="76"/>
        <v>0</v>
      </c>
      <c r="AL56" s="72"/>
      <c r="AM56" s="18">
        <f t="shared" si="77"/>
        <v>30736.269887404535</v>
      </c>
      <c r="AN56" s="18">
        <f t="shared" si="78"/>
        <v>0</v>
      </c>
      <c r="AO56" s="18">
        <f t="shared" si="79"/>
        <v>0</v>
      </c>
      <c r="AP56" s="18">
        <f t="shared" si="28"/>
        <v>30736.269887404535</v>
      </c>
      <c r="AQ56" s="18">
        <f t="shared" si="80"/>
        <v>60.530908113268303</v>
      </c>
      <c r="AR56" s="18">
        <f t="shared" si="46"/>
        <v>7590.9006936801234</v>
      </c>
      <c r="AS56" s="18">
        <f t="shared" si="81"/>
        <v>0</v>
      </c>
      <c r="AT56" s="18">
        <f t="shared" si="47"/>
        <v>0</v>
      </c>
      <c r="AU56" s="18">
        <f t="shared" si="82"/>
        <v>0</v>
      </c>
      <c r="AV56" s="72"/>
      <c r="AW56" s="18">
        <f t="shared" si="48"/>
        <v>30736.269887404535</v>
      </c>
      <c r="AX56" s="18">
        <f t="shared" si="83"/>
        <v>30736.269887404535</v>
      </c>
      <c r="AY56" s="18">
        <f t="shared" si="84"/>
        <v>0</v>
      </c>
      <c r="BA56" s="18">
        <f t="shared" si="49"/>
        <v>1127958.7607292803</v>
      </c>
      <c r="BB56" s="18">
        <f t="shared" si="50"/>
        <v>38387.701489197927</v>
      </c>
      <c r="BC56" s="18">
        <f t="shared" si="85"/>
        <v>1166346.4622184783</v>
      </c>
      <c r="BD56" s="18">
        <f t="shared" si="86"/>
        <v>0</v>
      </c>
      <c r="BE56" s="18">
        <f t="shared" si="87"/>
        <v>753038.61224141822</v>
      </c>
      <c r="BF56" s="18">
        <f t="shared" si="88"/>
        <v>0</v>
      </c>
      <c r="BG56" s="18">
        <f t="shared" si="51"/>
        <v>753038.61224141822</v>
      </c>
      <c r="BH56" s="18">
        <f t="shared" si="89"/>
        <v>378.06800798766812</v>
      </c>
      <c r="BI56" s="18">
        <f t="shared" si="90"/>
        <v>753038.61224141822</v>
      </c>
      <c r="BJ56" s="18">
        <f t="shared" si="91"/>
        <v>378.06800798766812</v>
      </c>
      <c r="BK56" s="18">
        <f t="shared" si="92"/>
        <v>0</v>
      </c>
    </row>
    <row r="57" spans="2:63" ht="15" customHeight="1">
      <c r="B57" s="15">
        <f t="shared" si="53"/>
        <v>49</v>
      </c>
      <c r="C57" s="15">
        <f t="shared" si="54"/>
        <v>5</v>
      </c>
      <c r="D57" s="15">
        <f t="shared" si="55"/>
        <v>1</v>
      </c>
      <c r="E57" s="15">
        <f t="shared" si="52"/>
        <v>49</v>
      </c>
      <c r="G57" s="15">
        <f>M_MultDeal!BE58+IF($B57=1,-i_transfee*i_maxequity,0)</f>
        <v>442653.7327567258</v>
      </c>
      <c r="H57" s="15">
        <f>M_MultDeal!AO58</f>
        <v>139.93985610681821</v>
      </c>
      <c r="I57" s="15">
        <f t="shared" si="42"/>
        <v>442513.79290061898</v>
      </c>
      <c r="K57" s="15">
        <f t="shared" si="56"/>
        <v>433663.5170426066</v>
      </c>
      <c r="L57" s="15">
        <f t="shared" si="57"/>
        <v>0</v>
      </c>
      <c r="M57" s="15">
        <f t="shared" si="58"/>
        <v>0</v>
      </c>
      <c r="N57" s="15">
        <f t="shared" si="59"/>
        <v>0</v>
      </c>
      <c r="O57" s="15">
        <f t="shared" si="60"/>
        <v>0</v>
      </c>
      <c r="P57" s="15">
        <f t="shared" si="61"/>
        <v>0</v>
      </c>
      <c r="Q57" s="72"/>
      <c r="R57" s="15">
        <f t="shared" si="62"/>
        <v>433663.5170426066</v>
      </c>
      <c r="S57" s="15">
        <f t="shared" si="63"/>
        <v>0</v>
      </c>
      <c r="T57" s="15">
        <f t="shared" si="64"/>
        <v>0</v>
      </c>
      <c r="U57" s="15">
        <f t="shared" si="65"/>
        <v>433663.5170426066</v>
      </c>
      <c r="V57" s="15">
        <f t="shared" si="66"/>
        <v>26307717.019381564</v>
      </c>
      <c r="W57" s="15">
        <f t="shared" si="43"/>
        <v>-26090885.260860261</v>
      </c>
      <c r="X57" s="15">
        <f t="shared" si="67"/>
        <v>216831.7585213033</v>
      </c>
      <c r="Y57" s="15">
        <f t="shared" si="44"/>
        <v>471828487.74467957</v>
      </c>
      <c r="Z57" s="15">
        <f t="shared" si="68"/>
        <v>216831.7585213033</v>
      </c>
      <c r="AA57" s="72"/>
      <c r="AB57" s="15">
        <f t="shared" si="45"/>
        <v>0</v>
      </c>
      <c r="AC57" s="15">
        <f t="shared" si="69"/>
        <v>0</v>
      </c>
      <c r="AD57" s="15">
        <f t="shared" si="70"/>
        <v>0</v>
      </c>
      <c r="AF57" s="15">
        <f t="shared" si="71"/>
        <v>8850.2758580123791</v>
      </c>
      <c r="AG57" s="15">
        <f t="shared" si="72"/>
        <v>0</v>
      </c>
      <c r="AH57" s="15">
        <f t="shared" si="73"/>
        <v>0</v>
      </c>
      <c r="AI57" s="15">
        <f t="shared" si="74"/>
        <v>0</v>
      </c>
      <c r="AJ57" s="15">
        <f t="shared" si="75"/>
        <v>0</v>
      </c>
      <c r="AK57" s="15">
        <f t="shared" si="76"/>
        <v>0</v>
      </c>
      <c r="AL57" s="72"/>
      <c r="AM57" s="15">
        <f t="shared" si="77"/>
        <v>8850.2758580123791</v>
      </c>
      <c r="AN57" s="15">
        <f t="shared" si="78"/>
        <v>0</v>
      </c>
      <c r="AO57" s="15">
        <f t="shared" si="79"/>
        <v>0</v>
      </c>
      <c r="AP57" s="15">
        <f t="shared" si="28"/>
        <v>8850.2758580123791</v>
      </c>
      <c r="AQ57" s="15">
        <f t="shared" si="80"/>
        <v>0</v>
      </c>
      <c r="AR57" s="15">
        <f t="shared" si="46"/>
        <v>0</v>
      </c>
      <c r="AS57" s="15">
        <f t="shared" si="81"/>
        <v>0</v>
      </c>
      <c r="AT57" s="15">
        <f t="shared" si="47"/>
        <v>0</v>
      </c>
      <c r="AU57" s="15">
        <f t="shared" si="82"/>
        <v>0</v>
      </c>
      <c r="AV57" s="72"/>
      <c r="AW57" s="15">
        <f t="shared" si="48"/>
        <v>8850.2758580123791</v>
      </c>
      <c r="AX57" s="15">
        <f t="shared" si="83"/>
        <v>8850.2758580123791</v>
      </c>
      <c r="AY57" s="15">
        <f t="shared" si="84"/>
        <v>0</v>
      </c>
      <c r="BA57" s="15">
        <f t="shared" si="49"/>
        <v>216831.7585213033</v>
      </c>
      <c r="BB57" s="15">
        <f t="shared" si="50"/>
        <v>8850.2758580123791</v>
      </c>
      <c r="BC57" s="15">
        <f t="shared" si="85"/>
        <v>225682.03437931568</v>
      </c>
      <c r="BD57" s="15">
        <f t="shared" si="86"/>
        <v>0</v>
      </c>
      <c r="BE57" s="15">
        <f t="shared" si="87"/>
        <v>216831.7585213033</v>
      </c>
      <c r="BF57" s="15">
        <f t="shared" si="88"/>
        <v>0</v>
      </c>
      <c r="BG57" s="15">
        <f t="shared" si="51"/>
        <v>216831.7585213033</v>
      </c>
      <c r="BH57" s="15">
        <f t="shared" si="89"/>
        <v>69.969928053409106</v>
      </c>
      <c r="BI57" s="15">
        <f t="shared" si="90"/>
        <v>216831.7585213033</v>
      </c>
      <c r="BJ57" s="15">
        <f t="shared" si="91"/>
        <v>69.969928053409106</v>
      </c>
      <c r="BK57" s="15">
        <f t="shared" si="92"/>
        <v>0</v>
      </c>
    </row>
    <row r="58" spans="2:63" ht="15" customHeight="1">
      <c r="B58" s="16">
        <f t="shared" si="53"/>
        <v>50</v>
      </c>
      <c r="C58" s="16">
        <f t="shared" si="54"/>
        <v>5</v>
      </c>
      <c r="D58" s="16">
        <f t="shared" si="55"/>
        <v>0</v>
      </c>
      <c r="E58" s="16">
        <f t="shared" si="52"/>
        <v>50</v>
      </c>
      <c r="G58" s="16">
        <f>M_MultDeal!BE59+IF($B58=1,-i_transfee*i_maxequity,0)</f>
        <v>0</v>
      </c>
      <c r="H58" s="16">
        <f>M_MultDeal!AO59</f>
        <v>-1.7897284137870584E-11</v>
      </c>
      <c r="I58" s="16">
        <f t="shared" si="42"/>
        <v>1.7897284137870584E-11</v>
      </c>
      <c r="K58" s="16">
        <f t="shared" si="56"/>
        <v>1.7539338455113171E-11</v>
      </c>
      <c r="L58" s="16">
        <f t="shared" si="57"/>
        <v>0</v>
      </c>
      <c r="M58" s="16">
        <f t="shared" si="58"/>
        <v>0</v>
      </c>
      <c r="N58" s="16">
        <f t="shared" si="59"/>
        <v>0</v>
      </c>
      <c r="O58" s="16">
        <f t="shared" si="60"/>
        <v>0</v>
      </c>
      <c r="P58" s="16">
        <f t="shared" si="61"/>
        <v>0</v>
      </c>
      <c r="Q58" s="72"/>
      <c r="R58" s="16">
        <f t="shared" si="62"/>
        <v>1.7539338455113171E-11</v>
      </c>
      <c r="S58" s="16">
        <f t="shared" si="63"/>
        <v>0</v>
      </c>
      <c r="T58" s="16">
        <f t="shared" si="64"/>
        <v>0</v>
      </c>
      <c r="U58" s="16">
        <f t="shared" si="65"/>
        <v>1.7539338455113171E-11</v>
      </c>
      <c r="V58" s="16">
        <f t="shared" si="66"/>
        <v>27847617.674841255</v>
      </c>
      <c r="W58" s="16">
        <f t="shared" si="43"/>
        <v>-27847617.674841255</v>
      </c>
      <c r="X58" s="16">
        <f t="shared" si="67"/>
        <v>8.7696692275565855E-12</v>
      </c>
      <c r="Y58" s="16">
        <f t="shared" si="44"/>
        <v>499676105.41952085</v>
      </c>
      <c r="Z58" s="16">
        <f t="shared" si="68"/>
        <v>8.7696692275565855E-12</v>
      </c>
      <c r="AA58" s="72"/>
      <c r="AB58" s="16">
        <f t="shared" si="45"/>
        <v>0</v>
      </c>
      <c r="AC58" s="16">
        <f t="shared" si="69"/>
        <v>0</v>
      </c>
      <c r="AD58" s="16">
        <f t="shared" si="70"/>
        <v>0</v>
      </c>
      <c r="AF58" s="15">
        <f t="shared" si="71"/>
        <v>3.579456827574117E-13</v>
      </c>
      <c r="AG58" s="16">
        <f t="shared" si="72"/>
        <v>0</v>
      </c>
      <c r="AH58" s="16">
        <f t="shared" si="73"/>
        <v>0</v>
      </c>
      <c r="AI58" s="16">
        <f t="shared" si="74"/>
        <v>0</v>
      </c>
      <c r="AJ58" s="16">
        <f t="shared" si="75"/>
        <v>0</v>
      </c>
      <c r="AK58" s="16">
        <f t="shared" si="76"/>
        <v>0</v>
      </c>
      <c r="AL58" s="72"/>
      <c r="AM58" s="16">
        <f t="shared" si="77"/>
        <v>3.579456827574117E-13</v>
      </c>
      <c r="AN58" s="16">
        <f t="shared" si="78"/>
        <v>0</v>
      </c>
      <c r="AO58" s="16">
        <f t="shared" si="79"/>
        <v>0</v>
      </c>
      <c r="AP58" s="16">
        <f t="shared" si="28"/>
        <v>3.579456827574117E-13</v>
      </c>
      <c r="AQ58" s="16">
        <f t="shared" si="80"/>
        <v>0</v>
      </c>
      <c r="AR58" s="16">
        <f t="shared" si="46"/>
        <v>0</v>
      </c>
      <c r="AS58" s="16">
        <f t="shared" si="81"/>
        <v>0</v>
      </c>
      <c r="AT58" s="16">
        <f t="shared" si="47"/>
        <v>0</v>
      </c>
      <c r="AU58" s="16">
        <f t="shared" si="82"/>
        <v>0</v>
      </c>
      <c r="AV58" s="72"/>
      <c r="AW58" s="16">
        <f t="shared" si="48"/>
        <v>3.579456827574117E-13</v>
      </c>
      <c r="AX58" s="16">
        <f t="shared" si="83"/>
        <v>3.579456827574117E-13</v>
      </c>
      <c r="AY58" s="16">
        <f t="shared" si="84"/>
        <v>0</v>
      </c>
      <c r="BA58" s="16">
        <f t="shared" si="49"/>
        <v>8.7696692275565855E-12</v>
      </c>
      <c r="BB58" s="16">
        <f t="shared" si="50"/>
        <v>3.579456827574117E-13</v>
      </c>
      <c r="BC58" s="16">
        <f t="shared" si="85"/>
        <v>9.1276149103139968E-12</v>
      </c>
      <c r="BD58" s="16">
        <f t="shared" si="86"/>
        <v>0</v>
      </c>
      <c r="BE58" s="16">
        <f t="shared" si="87"/>
        <v>8.7696692275565855E-12</v>
      </c>
      <c r="BF58" s="16">
        <f t="shared" si="88"/>
        <v>0</v>
      </c>
      <c r="BG58" s="16">
        <f t="shared" si="51"/>
        <v>8.7696692275565855E-12</v>
      </c>
      <c r="BH58" s="16">
        <f t="shared" si="89"/>
        <v>-8.948642068935292E-12</v>
      </c>
      <c r="BI58" s="16">
        <f t="shared" si="90"/>
        <v>8.7696692275565855E-12</v>
      </c>
      <c r="BJ58" s="16">
        <f t="shared" si="91"/>
        <v>-8.948642068935292E-12</v>
      </c>
      <c r="BK58" s="16">
        <f t="shared" si="92"/>
        <v>0</v>
      </c>
    </row>
    <row r="59" spans="2:63" ht="15" customHeight="1">
      <c r="B59" s="17">
        <f t="shared" si="53"/>
        <v>51</v>
      </c>
      <c r="C59" s="17">
        <f t="shared" si="54"/>
        <v>5</v>
      </c>
      <c r="D59" s="17">
        <f t="shared" si="55"/>
        <v>0</v>
      </c>
      <c r="E59" s="17">
        <f t="shared" si="52"/>
        <v>51</v>
      </c>
      <c r="G59" s="17">
        <f>M_MultDeal!BE60+IF($B59=1,-i_transfee*i_maxequity,0)</f>
        <v>0</v>
      </c>
      <c r="H59" s="17">
        <f>M_MultDeal!AO60</f>
        <v>-1.729085119865522E-11</v>
      </c>
      <c r="I59" s="17">
        <f t="shared" si="42"/>
        <v>1.729085119865522E-11</v>
      </c>
      <c r="K59" s="17">
        <f t="shared" si="56"/>
        <v>1.6945034174682114E-11</v>
      </c>
      <c r="L59" s="17">
        <f t="shared" si="57"/>
        <v>0</v>
      </c>
      <c r="M59" s="17">
        <f t="shared" si="58"/>
        <v>0</v>
      </c>
      <c r="N59" s="17">
        <f t="shared" si="59"/>
        <v>0</v>
      </c>
      <c r="O59" s="17">
        <f t="shared" si="60"/>
        <v>0</v>
      </c>
      <c r="P59" s="17">
        <f t="shared" si="61"/>
        <v>0</v>
      </c>
      <c r="Q59" s="72"/>
      <c r="R59" s="17">
        <f t="shared" si="62"/>
        <v>1.6945034174682114E-11</v>
      </c>
      <c r="S59" s="17">
        <f t="shared" si="63"/>
        <v>0</v>
      </c>
      <c r="T59" s="17">
        <f t="shared" si="64"/>
        <v>0</v>
      </c>
      <c r="U59" s="17">
        <f t="shared" si="65"/>
        <v>1.6945034174682114E-11</v>
      </c>
      <c r="V59" s="17">
        <f t="shared" si="66"/>
        <v>29491201.795568984</v>
      </c>
      <c r="W59" s="17">
        <f t="shared" si="43"/>
        <v>-29491201.795568984</v>
      </c>
      <c r="X59" s="17">
        <f t="shared" si="67"/>
        <v>8.4725170873410572E-12</v>
      </c>
      <c r="Y59" s="17">
        <f t="shared" si="44"/>
        <v>529167307.21508986</v>
      </c>
      <c r="Z59" s="17">
        <f t="shared" si="68"/>
        <v>8.4725170873410572E-12</v>
      </c>
      <c r="AA59" s="72"/>
      <c r="AB59" s="17">
        <f t="shared" si="45"/>
        <v>0</v>
      </c>
      <c r="AC59" s="17">
        <f t="shared" si="69"/>
        <v>0</v>
      </c>
      <c r="AD59" s="17">
        <f t="shared" si="70"/>
        <v>0</v>
      </c>
      <c r="AF59" s="15">
        <f t="shared" si="71"/>
        <v>3.4581702397310443E-13</v>
      </c>
      <c r="AG59" s="17">
        <f t="shared" si="72"/>
        <v>0</v>
      </c>
      <c r="AH59" s="17">
        <f t="shared" si="73"/>
        <v>0</v>
      </c>
      <c r="AI59" s="17">
        <f t="shared" si="74"/>
        <v>0</v>
      </c>
      <c r="AJ59" s="17">
        <f t="shared" si="75"/>
        <v>0</v>
      </c>
      <c r="AK59" s="17">
        <f t="shared" si="76"/>
        <v>0</v>
      </c>
      <c r="AL59" s="72"/>
      <c r="AM59" s="17">
        <f t="shared" si="77"/>
        <v>3.4581702397310443E-13</v>
      </c>
      <c r="AN59" s="17">
        <f t="shared" si="78"/>
        <v>0</v>
      </c>
      <c r="AO59" s="17">
        <f t="shared" si="79"/>
        <v>0</v>
      </c>
      <c r="AP59" s="17">
        <f t="shared" si="28"/>
        <v>3.4581702397310443E-13</v>
      </c>
      <c r="AQ59" s="17">
        <f t="shared" si="80"/>
        <v>0</v>
      </c>
      <c r="AR59" s="17">
        <f t="shared" si="46"/>
        <v>0</v>
      </c>
      <c r="AS59" s="17">
        <f t="shared" si="81"/>
        <v>0</v>
      </c>
      <c r="AT59" s="17">
        <f t="shared" si="47"/>
        <v>0</v>
      </c>
      <c r="AU59" s="17">
        <f t="shared" si="82"/>
        <v>0</v>
      </c>
      <c r="AV59" s="72"/>
      <c r="AW59" s="17">
        <f t="shared" si="48"/>
        <v>3.4581702397310443E-13</v>
      </c>
      <c r="AX59" s="17">
        <f t="shared" si="83"/>
        <v>3.4581702397310443E-13</v>
      </c>
      <c r="AY59" s="17">
        <f t="shared" si="84"/>
        <v>0</v>
      </c>
      <c r="BA59" s="17">
        <f t="shared" si="49"/>
        <v>8.4725170873410572E-12</v>
      </c>
      <c r="BB59" s="17">
        <f t="shared" si="50"/>
        <v>3.4581702397310443E-13</v>
      </c>
      <c r="BC59" s="17">
        <f t="shared" si="85"/>
        <v>8.8183341113141615E-12</v>
      </c>
      <c r="BD59" s="17">
        <f t="shared" si="86"/>
        <v>0</v>
      </c>
      <c r="BE59" s="17">
        <f t="shared" si="87"/>
        <v>8.4725170873410572E-12</v>
      </c>
      <c r="BF59" s="17">
        <f t="shared" si="88"/>
        <v>0</v>
      </c>
      <c r="BG59" s="17">
        <f t="shared" si="51"/>
        <v>8.4725170873410572E-12</v>
      </c>
      <c r="BH59" s="17">
        <f t="shared" si="89"/>
        <v>-8.6454255993276101E-12</v>
      </c>
      <c r="BI59" s="17">
        <f t="shared" si="90"/>
        <v>8.4725170873410572E-12</v>
      </c>
      <c r="BJ59" s="17">
        <f t="shared" si="91"/>
        <v>-8.6454255993276101E-12</v>
      </c>
      <c r="BK59" s="17">
        <f t="shared" si="92"/>
        <v>0</v>
      </c>
    </row>
    <row r="60" spans="2:63" ht="15" customHeight="1">
      <c r="B60" s="15">
        <f t="shared" si="53"/>
        <v>52</v>
      </c>
      <c r="C60" s="15">
        <f t="shared" si="54"/>
        <v>5</v>
      </c>
      <c r="D60" s="15">
        <f t="shared" si="55"/>
        <v>0</v>
      </c>
      <c r="E60" s="15">
        <f t="shared" si="52"/>
        <v>52</v>
      </c>
      <c r="G60" s="15">
        <f>M_MultDeal!BE61+IF($B60=1,-i_transfee*i_maxequity,0)</f>
        <v>0</v>
      </c>
      <c r="H60" s="15">
        <f>M_MultDeal!AO61</f>
        <v>-1.668441825943986E-11</v>
      </c>
      <c r="I60" s="15">
        <f t="shared" si="42"/>
        <v>1.668441825943986E-11</v>
      </c>
      <c r="K60" s="15">
        <f t="shared" si="56"/>
        <v>1.6350729894251061E-11</v>
      </c>
      <c r="L60" s="15">
        <f t="shared" si="57"/>
        <v>0</v>
      </c>
      <c r="M60" s="15">
        <f t="shared" si="58"/>
        <v>0</v>
      </c>
      <c r="N60" s="15">
        <f t="shared" si="59"/>
        <v>0</v>
      </c>
      <c r="O60" s="15">
        <f t="shared" si="60"/>
        <v>0</v>
      </c>
      <c r="P60" s="15">
        <f t="shared" si="61"/>
        <v>0</v>
      </c>
      <c r="Q60" s="72"/>
      <c r="R60" s="15">
        <f t="shared" si="62"/>
        <v>1.6350729894251061E-11</v>
      </c>
      <c r="S60" s="15">
        <f t="shared" si="63"/>
        <v>0</v>
      </c>
      <c r="T60" s="15">
        <f t="shared" si="64"/>
        <v>0</v>
      </c>
      <c r="U60" s="15">
        <f t="shared" si="65"/>
        <v>1.6350729894251061E-11</v>
      </c>
      <c r="V60" s="15">
        <f t="shared" si="66"/>
        <v>31231791.297275808</v>
      </c>
      <c r="W60" s="15">
        <f t="shared" si="43"/>
        <v>-31231791.297275808</v>
      </c>
      <c r="X60" s="15">
        <f t="shared" si="67"/>
        <v>8.1753649471255305E-12</v>
      </c>
      <c r="Y60" s="15">
        <f t="shared" si="44"/>
        <v>560399098.5123657</v>
      </c>
      <c r="Z60" s="15">
        <f t="shared" si="68"/>
        <v>8.1753649471255305E-12</v>
      </c>
      <c r="AA60" s="72"/>
      <c r="AB60" s="15">
        <f t="shared" si="45"/>
        <v>0</v>
      </c>
      <c r="AC60" s="15">
        <f t="shared" si="69"/>
        <v>0</v>
      </c>
      <c r="AD60" s="15">
        <f t="shared" si="70"/>
        <v>0</v>
      </c>
      <c r="AF60" s="15">
        <f t="shared" si="71"/>
        <v>3.3368836518879721E-13</v>
      </c>
      <c r="AG60" s="15">
        <f t="shared" si="72"/>
        <v>0</v>
      </c>
      <c r="AH60" s="15">
        <f t="shared" si="73"/>
        <v>0</v>
      </c>
      <c r="AI60" s="15">
        <f t="shared" si="74"/>
        <v>0</v>
      </c>
      <c r="AJ60" s="15">
        <f t="shared" si="75"/>
        <v>0</v>
      </c>
      <c r="AK60" s="15">
        <f t="shared" si="76"/>
        <v>0</v>
      </c>
      <c r="AL60" s="72"/>
      <c r="AM60" s="15">
        <f t="shared" si="77"/>
        <v>3.3368836518879721E-13</v>
      </c>
      <c r="AN60" s="15">
        <f t="shared" si="78"/>
        <v>0</v>
      </c>
      <c r="AO60" s="15">
        <f t="shared" si="79"/>
        <v>0</v>
      </c>
      <c r="AP60" s="15">
        <f t="shared" si="28"/>
        <v>3.3368836518879721E-13</v>
      </c>
      <c r="AQ60" s="15">
        <f t="shared" si="80"/>
        <v>0</v>
      </c>
      <c r="AR60" s="15">
        <f t="shared" si="46"/>
        <v>0</v>
      </c>
      <c r="AS60" s="15">
        <f t="shared" si="81"/>
        <v>0</v>
      </c>
      <c r="AT60" s="15">
        <f t="shared" si="47"/>
        <v>0</v>
      </c>
      <c r="AU60" s="15">
        <f t="shared" si="82"/>
        <v>0</v>
      </c>
      <c r="AV60" s="72"/>
      <c r="AW60" s="15">
        <f t="shared" si="48"/>
        <v>3.3368836518879721E-13</v>
      </c>
      <c r="AX60" s="15">
        <f t="shared" si="83"/>
        <v>3.3368836518879721E-13</v>
      </c>
      <c r="AY60" s="15">
        <f t="shared" si="84"/>
        <v>0</v>
      </c>
      <c r="BA60" s="15">
        <f t="shared" si="49"/>
        <v>8.1753649471255305E-12</v>
      </c>
      <c r="BB60" s="15">
        <f t="shared" si="50"/>
        <v>3.3368836518879721E-13</v>
      </c>
      <c r="BC60" s="15">
        <f t="shared" si="85"/>
        <v>8.5090533123143277E-12</v>
      </c>
      <c r="BD60" s="15">
        <f t="shared" si="86"/>
        <v>0</v>
      </c>
      <c r="BE60" s="15">
        <f t="shared" si="87"/>
        <v>8.1753649471255305E-12</v>
      </c>
      <c r="BF60" s="15">
        <f t="shared" si="88"/>
        <v>0</v>
      </c>
      <c r="BG60" s="15">
        <f t="shared" si="51"/>
        <v>8.1753649471255305E-12</v>
      </c>
      <c r="BH60" s="15">
        <f t="shared" si="89"/>
        <v>-8.3422091297199299E-12</v>
      </c>
      <c r="BI60" s="15">
        <f t="shared" si="90"/>
        <v>8.1753649471255305E-12</v>
      </c>
      <c r="BJ60" s="15">
        <f t="shared" si="91"/>
        <v>-8.3422091297199299E-12</v>
      </c>
      <c r="BK60" s="15">
        <f t="shared" si="92"/>
        <v>0</v>
      </c>
    </row>
    <row r="61" spans="2:63" ht="15" customHeight="1">
      <c r="B61" s="16">
        <f t="shared" si="53"/>
        <v>53</v>
      </c>
      <c r="C61" s="16">
        <f t="shared" si="54"/>
        <v>5</v>
      </c>
      <c r="D61" s="16">
        <f t="shared" si="55"/>
        <v>0</v>
      </c>
      <c r="E61" s="16">
        <f t="shared" si="52"/>
        <v>53</v>
      </c>
      <c r="G61" s="16">
        <f>M_MultDeal!BE62+IF($B61=1,-i_transfee*i_maxequity,0)</f>
        <v>0</v>
      </c>
      <c r="H61" s="16">
        <f>M_MultDeal!AO62</f>
        <v>-1.6077985320224496E-11</v>
      </c>
      <c r="I61" s="16">
        <f t="shared" si="42"/>
        <v>1.6077985320224496E-11</v>
      </c>
      <c r="K61" s="16">
        <f t="shared" si="56"/>
        <v>1.5756425613820007E-11</v>
      </c>
      <c r="L61" s="16">
        <f t="shared" si="57"/>
        <v>0</v>
      </c>
      <c r="M61" s="16">
        <f t="shared" si="58"/>
        <v>0</v>
      </c>
      <c r="N61" s="16">
        <f t="shared" si="59"/>
        <v>0</v>
      </c>
      <c r="O61" s="16">
        <f t="shared" si="60"/>
        <v>0</v>
      </c>
      <c r="P61" s="16">
        <f t="shared" si="61"/>
        <v>0</v>
      </c>
      <c r="Q61" s="72"/>
      <c r="R61" s="16">
        <f t="shared" si="62"/>
        <v>1.5756425613820007E-11</v>
      </c>
      <c r="S61" s="16">
        <f t="shared" si="63"/>
        <v>0</v>
      </c>
      <c r="T61" s="16">
        <f t="shared" si="64"/>
        <v>0</v>
      </c>
      <c r="U61" s="16">
        <f t="shared" si="65"/>
        <v>1.5756425613820007E-11</v>
      </c>
      <c r="V61" s="16">
        <f t="shared" si="66"/>
        <v>33075111.499292966</v>
      </c>
      <c r="W61" s="16">
        <f t="shared" si="43"/>
        <v>-33075111.499292966</v>
      </c>
      <c r="X61" s="16">
        <f t="shared" si="67"/>
        <v>7.8782128069100037E-12</v>
      </c>
      <c r="Y61" s="16">
        <f t="shared" si="44"/>
        <v>593474210.01165867</v>
      </c>
      <c r="Z61" s="16">
        <f t="shared" si="68"/>
        <v>7.8782128069100037E-12</v>
      </c>
      <c r="AA61" s="72"/>
      <c r="AB61" s="16">
        <f t="shared" si="45"/>
        <v>0</v>
      </c>
      <c r="AC61" s="16">
        <f t="shared" si="69"/>
        <v>0</v>
      </c>
      <c r="AD61" s="16">
        <f t="shared" si="70"/>
        <v>0</v>
      </c>
      <c r="AF61" s="15">
        <f t="shared" si="71"/>
        <v>3.2155970640448994E-13</v>
      </c>
      <c r="AG61" s="16">
        <f t="shared" si="72"/>
        <v>0</v>
      </c>
      <c r="AH61" s="16">
        <f t="shared" si="73"/>
        <v>0</v>
      </c>
      <c r="AI61" s="16">
        <f t="shared" si="74"/>
        <v>0</v>
      </c>
      <c r="AJ61" s="16">
        <f t="shared" si="75"/>
        <v>0</v>
      </c>
      <c r="AK61" s="16">
        <f t="shared" si="76"/>
        <v>0</v>
      </c>
      <c r="AL61" s="72"/>
      <c r="AM61" s="16">
        <f t="shared" si="77"/>
        <v>3.2155970640448994E-13</v>
      </c>
      <c r="AN61" s="16">
        <f t="shared" si="78"/>
        <v>0</v>
      </c>
      <c r="AO61" s="16">
        <f t="shared" si="79"/>
        <v>0</v>
      </c>
      <c r="AP61" s="16">
        <f t="shared" si="28"/>
        <v>3.2155970640448994E-13</v>
      </c>
      <c r="AQ61" s="16">
        <f t="shared" si="80"/>
        <v>0</v>
      </c>
      <c r="AR61" s="16">
        <f t="shared" si="46"/>
        <v>0</v>
      </c>
      <c r="AS61" s="16">
        <f t="shared" si="81"/>
        <v>0</v>
      </c>
      <c r="AT61" s="16">
        <f t="shared" si="47"/>
        <v>0</v>
      </c>
      <c r="AU61" s="16">
        <f t="shared" si="82"/>
        <v>0</v>
      </c>
      <c r="AV61" s="72"/>
      <c r="AW61" s="16">
        <f t="shared" si="48"/>
        <v>3.2155970640448994E-13</v>
      </c>
      <c r="AX61" s="16">
        <f t="shared" si="83"/>
        <v>3.2155970640448994E-13</v>
      </c>
      <c r="AY61" s="16">
        <f t="shared" si="84"/>
        <v>0</v>
      </c>
      <c r="BA61" s="16">
        <f t="shared" si="49"/>
        <v>7.8782128069100037E-12</v>
      </c>
      <c r="BB61" s="16">
        <f t="shared" si="50"/>
        <v>3.2155970640448994E-13</v>
      </c>
      <c r="BC61" s="16">
        <f t="shared" si="85"/>
        <v>8.199772513314494E-12</v>
      </c>
      <c r="BD61" s="16">
        <f t="shared" si="86"/>
        <v>0</v>
      </c>
      <c r="BE61" s="16">
        <f t="shared" si="87"/>
        <v>7.8782128069100037E-12</v>
      </c>
      <c r="BF61" s="16">
        <f t="shared" si="88"/>
        <v>0</v>
      </c>
      <c r="BG61" s="16">
        <f t="shared" si="51"/>
        <v>7.8782128069100037E-12</v>
      </c>
      <c r="BH61" s="16">
        <f t="shared" si="89"/>
        <v>-8.038992660112248E-12</v>
      </c>
      <c r="BI61" s="16">
        <f t="shared" si="90"/>
        <v>7.8782128069100037E-12</v>
      </c>
      <c r="BJ61" s="16">
        <f t="shared" si="91"/>
        <v>-8.038992660112248E-12</v>
      </c>
      <c r="BK61" s="16">
        <f t="shared" si="92"/>
        <v>0</v>
      </c>
    </row>
    <row r="62" spans="2:63" ht="15" customHeight="1">
      <c r="B62" s="17">
        <f t="shared" si="53"/>
        <v>54</v>
      </c>
      <c r="C62" s="17">
        <f t="shared" si="54"/>
        <v>5</v>
      </c>
      <c r="D62" s="17">
        <f t="shared" si="55"/>
        <v>0</v>
      </c>
      <c r="E62" s="17">
        <f t="shared" si="52"/>
        <v>54</v>
      </c>
      <c r="G62" s="17">
        <f>M_MultDeal!BE63+IF($B62=1,-i_transfee*i_maxequity,0)</f>
        <v>0</v>
      </c>
      <c r="H62" s="17">
        <f>M_MultDeal!AO63</f>
        <v>-1.5471552381009136E-11</v>
      </c>
      <c r="I62" s="17">
        <f t="shared" si="42"/>
        <v>1.5471552381009136E-11</v>
      </c>
      <c r="K62" s="17">
        <f t="shared" si="56"/>
        <v>1.5162121333388954E-11</v>
      </c>
      <c r="L62" s="17">
        <f t="shared" si="57"/>
        <v>0</v>
      </c>
      <c r="M62" s="17">
        <f t="shared" si="58"/>
        <v>0</v>
      </c>
      <c r="N62" s="17">
        <f t="shared" si="59"/>
        <v>0</v>
      </c>
      <c r="O62" s="17">
        <f t="shared" si="60"/>
        <v>0</v>
      </c>
      <c r="P62" s="17">
        <f t="shared" si="61"/>
        <v>0</v>
      </c>
      <c r="Q62" s="72"/>
      <c r="R62" s="17">
        <f t="shared" si="62"/>
        <v>1.5162121333388954E-11</v>
      </c>
      <c r="S62" s="17">
        <f t="shared" si="63"/>
        <v>0</v>
      </c>
      <c r="T62" s="17">
        <f t="shared" si="64"/>
        <v>0</v>
      </c>
      <c r="U62" s="17">
        <f t="shared" si="65"/>
        <v>1.5162121333388954E-11</v>
      </c>
      <c r="V62" s="17">
        <f t="shared" si="66"/>
        <v>35027225.632942885</v>
      </c>
      <c r="W62" s="17">
        <f t="shared" si="43"/>
        <v>-35027225.632942885</v>
      </c>
      <c r="X62" s="17">
        <f t="shared" si="67"/>
        <v>7.581060666694477E-12</v>
      </c>
      <c r="Y62" s="17">
        <f t="shared" si="44"/>
        <v>628501435.64460158</v>
      </c>
      <c r="Z62" s="17">
        <f t="shared" si="68"/>
        <v>7.581060666694477E-12</v>
      </c>
      <c r="AA62" s="72"/>
      <c r="AB62" s="17">
        <f t="shared" si="45"/>
        <v>0</v>
      </c>
      <c r="AC62" s="17">
        <f t="shared" si="69"/>
        <v>0</v>
      </c>
      <c r="AD62" s="17">
        <f t="shared" si="70"/>
        <v>0</v>
      </c>
      <c r="AF62" s="15">
        <f t="shared" si="71"/>
        <v>3.0943104762018272E-13</v>
      </c>
      <c r="AG62" s="17">
        <f t="shared" si="72"/>
        <v>0</v>
      </c>
      <c r="AH62" s="17">
        <f t="shared" si="73"/>
        <v>0</v>
      </c>
      <c r="AI62" s="17">
        <f t="shared" si="74"/>
        <v>0</v>
      </c>
      <c r="AJ62" s="17">
        <f t="shared" si="75"/>
        <v>0</v>
      </c>
      <c r="AK62" s="17">
        <f t="shared" si="76"/>
        <v>0</v>
      </c>
      <c r="AL62" s="72"/>
      <c r="AM62" s="17">
        <f t="shared" si="77"/>
        <v>3.0943104762018272E-13</v>
      </c>
      <c r="AN62" s="17">
        <f t="shared" si="78"/>
        <v>0</v>
      </c>
      <c r="AO62" s="17">
        <f t="shared" si="79"/>
        <v>0</v>
      </c>
      <c r="AP62" s="17">
        <f t="shared" si="28"/>
        <v>3.0943104762018272E-13</v>
      </c>
      <c r="AQ62" s="17">
        <f t="shared" si="80"/>
        <v>0</v>
      </c>
      <c r="AR62" s="17">
        <f t="shared" si="46"/>
        <v>0</v>
      </c>
      <c r="AS62" s="17">
        <f t="shared" si="81"/>
        <v>0</v>
      </c>
      <c r="AT62" s="17">
        <f t="shared" si="47"/>
        <v>0</v>
      </c>
      <c r="AU62" s="17">
        <f t="shared" si="82"/>
        <v>0</v>
      </c>
      <c r="AV62" s="72"/>
      <c r="AW62" s="17">
        <f t="shared" si="48"/>
        <v>3.0943104762018272E-13</v>
      </c>
      <c r="AX62" s="17">
        <f t="shared" si="83"/>
        <v>3.0943104762018272E-13</v>
      </c>
      <c r="AY62" s="17">
        <f t="shared" si="84"/>
        <v>0</v>
      </c>
      <c r="BA62" s="17">
        <f t="shared" si="49"/>
        <v>7.581060666694477E-12</v>
      </c>
      <c r="BB62" s="17">
        <f t="shared" si="50"/>
        <v>3.0943104762018272E-13</v>
      </c>
      <c r="BC62" s="17">
        <f t="shared" si="85"/>
        <v>7.8904917143146602E-12</v>
      </c>
      <c r="BD62" s="17">
        <f t="shared" si="86"/>
        <v>0</v>
      </c>
      <c r="BE62" s="17">
        <f t="shared" si="87"/>
        <v>7.581060666694477E-12</v>
      </c>
      <c r="BF62" s="17">
        <f t="shared" si="88"/>
        <v>0</v>
      </c>
      <c r="BG62" s="17">
        <f t="shared" si="51"/>
        <v>7.581060666694477E-12</v>
      </c>
      <c r="BH62" s="17">
        <f t="shared" si="89"/>
        <v>-7.7357761905045678E-12</v>
      </c>
      <c r="BI62" s="17">
        <f t="shared" si="90"/>
        <v>7.581060666694477E-12</v>
      </c>
      <c r="BJ62" s="17">
        <f t="shared" si="91"/>
        <v>-7.7357761905045678E-12</v>
      </c>
      <c r="BK62" s="17">
        <f t="shared" si="92"/>
        <v>0</v>
      </c>
    </row>
    <row r="63" spans="2:63" ht="15" customHeight="1">
      <c r="B63" s="15">
        <f t="shared" si="53"/>
        <v>55</v>
      </c>
      <c r="C63" s="15">
        <f t="shared" si="54"/>
        <v>5</v>
      </c>
      <c r="D63" s="15">
        <f t="shared" si="55"/>
        <v>0</v>
      </c>
      <c r="E63" s="15">
        <f t="shared" si="52"/>
        <v>55</v>
      </c>
      <c r="G63" s="15">
        <f>M_MultDeal!BE64+IF($B63=1,-i_transfee*i_maxequity,0)</f>
        <v>0</v>
      </c>
      <c r="H63" s="15">
        <f>M_MultDeal!AO64</f>
        <v>-1.4865119441793772E-11</v>
      </c>
      <c r="I63" s="15">
        <f t="shared" si="42"/>
        <v>1.4865119441793772E-11</v>
      </c>
      <c r="K63" s="15">
        <f t="shared" si="56"/>
        <v>1.4567817052957897E-11</v>
      </c>
      <c r="L63" s="15">
        <f t="shared" si="57"/>
        <v>0</v>
      </c>
      <c r="M63" s="15">
        <f t="shared" si="58"/>
        <v>0</v>
      </c>
      <c r="N63" s="15">
        <f t="shared" si="59"/>
        <v>0</v>
      </c>
      <c r="O63" s="15">
        <f t="shared" si="60"/>
        <v>0</v>
      </c>
      <c r="P63" s="15">
        <f t="shared" si="61"/>
        <v>0</v>
      </c>
      <c r="Q63" s="72"/>
      <c r="R63" s="15">
        <f t="shared" si="62"/>
        <v>1.4567817052957897E-11</v>
      </c>
      <c r="S63" s="15">
        <f t="shared" si="63"/>
        <v>0</v>
      </c>
      <c r="T63" s="15">
        <f t="shared" si="64"/>
        <v>0</v>
      </c>
      <c r="U63" s="15">
        <f t="shared" si="65"/>
        <v>1.4567817052957897E-11</v>
      </c>
      <c r="V63" s="15">
        <f t="shared" si="66"/>
        <v>37094554.785320021</v>
      </c>
      <c r="W63" s="15">
        <f t="shared" si="43"/>
        <v>-37094554.785320021</v>
      </c>
      <c r="X63" s="15">
        <f t="shared" si="67"/>
        <v>7.2839085264789486E-12</v>
      </c>
      <c r="Y63" s="15">
        <f t="shared" si="44"/>
        <v>665595990.42992163</v>
      </c>
      <c r="Z63" s="15">
        <f t="shared" si="68"/>
        <v>7.2839085264789486E-12</v>
      </c>
      <c r="AA63" s="72"/>
      <c r="AB63" s="15">
        <f t="shared" si="45"/>
        <v>0</v>
      </c>
      <c r="AC63" s="15">
        <f t="shared" si="69"/>
        <v>0</v>
      </c>
      <c r="AD63" s="15">
        <f t="shared" si="70"/>
        <v>0</v>
      </c>
      <c r="AF63" s="15">
        <f t="shared" si="71"/>
        <v>2.9730238883587545E-13</v>
      </c>
      <c r="AG63" s="15">
        <f t="shared" si="72"/>
        <v>0</v>
      </c>
      <c r="AH63" s="15">
        <f t="shared" si="73"/>
        <v>0</v>
      </c>
      <c r="AI63" s="15">
        <f t="shared" si="74"/>
        <v>0</v>
      </c>
      <c r="AJ63" s="15">
        <f t="shared" si="75"/>
        <v>0</v>
      </c>
      <c r="AK63" s="15">
        <f t="shared" si="76"/>
        <v>0</v>
      </c>
      <c r="AL63" s="72"/>
      <c r="AM63" s="15">
        <f t="shared" si="77"/>
        <v>2.9730238883587545E-13</v>
      </c>
      <c r="AN63" s="15">
        <f t="shared" si="78"/>
        <v>0</v>
      </c>
      <c r="AO63" s="15">
        <f t="shared" si="79"/>
        <v>0</v>
      </c>
      <c r="AP63" s="15">
        <f t="shared" si="28"/>
        <v>2.9730238883587545E-13</v>
      </c>
      <c r="AQ63" s="15">
        <f t="shared" si="80"/>
        <v>0</v>
      </c>
      <c r="AR63" s="15">
        <f t="shared" si="46"/>
        <v>0</v>
      </c>
      <c r="AS63" s="15">
        <f t="shared" si="81"/>
        <v>0</v>
      </c>
      <c r="AT63" s="15">
        <f t="shared" si="47"/>
        <v>0</v>
      </c>
      <c r="AU63" s="15">
        <f t="shared" si="82"/>
        <v>0</v>
      </c>
      <c r="AV63" s="72"/>
      <c r="AW63" s="15">
        <f t="shared" si="48"/>
        <v>2.9730238883587545E-13</v>
      </c>
      <c r="AX63" s="15">
        <f t="shared" si="83"/>
        <v>2.9730238883587545E-13</v>
      </c>
      <c r="AY63" s="15">
        <f t="shared" si="84"/>
        <v>0</v>
      </c>
      <c r="BA63" s="15">
        <f t="shared" si="49"/>
        <v>7.2839085264789486E-12</v>
      </c>
      <c r="BB63" s="15">
        <f t="shared" si="50"/>
        <v>2.9730238883587545E-13</v>
      </c>
      <c r="BC63" s="15">
        <f t="shared" si="85"/>
        <v>7.5812109153148248E-12</v>
      </c>
      <c r="BD63" s="15">
        <f t="shared" si="86"/>
        <v>0</v>
      </c>
      <c r="BE63" s="15">
        <f t="shared" si="87"/>
        <v>7.2839085264789486E-12</v>
      </c>
      <c r="BF63" s="15">
        <f t="shared" si="88"/>
        <v>0</v>
      </c>
      <c r="BG63" s="15">
        <f t="shared" si="51"/>
        <v>7.2839085264789486E-12</v>
      </c>
      <c r="BH63" s="15">
        <f t="shared" si="89"/>
        <v>-7.4325597208968859E-12</v>
      </c>
      <c r="BI63" s="15">
        <f t="shared" si="90"/>
        <v>7.2839085264789486E-12</v>
      </c>
      <c r="BJ63" s="15">
        <f t="shared" si="91"/>
        <v>-7.4325597208968859E-12</v>
      </c>
      <c r="BK63" s="15">
        <f t="shared" si="92"/>
        <v>0</v>
      </c>
    </row>
    <row r="64" spans="2:63" ht="15" customHeight="1">
      <c r="B64" s="16">
        <f t="shared" si="53"/>
        <v>56</v>
      </c>
      <c r="C64" s="16">
        <f t="shared" si="54"/>
        <v>5</v>
      </c>
      <c r="D64" s="16">
        <f t="shared" si="55"/>
        <v>0</v>
      </c>
      <c r="E64" s="16">
        <f t="shared" si="52"/>
        <v>56</v>
      </c>
      <c r="G64" s="16">
        <f>M_MultDeal!BE65+IF($B64=1,-i_transfee*i_maxequity,0)</f>
        <v>0</v>
      </c>
      <c r="H64" s="16">
        <f>M_MultDeal!AO65</f>
        <v>-1.425868650257841E-11</v>
      </c>
      <c r="I64" s="16">
        <f t="shared" si="42"/>
        <v>1.425868650257841E-11</v>
      </c>
      <c r="K64" s="16">
        <f t="shared" si="56"/>
        <v>1.3973512772526841E-11</v>
      </c>
      <c r="L64" s="16">
        <f t="shared" si="57"/>
        <v>0</v>
      </c>
      <c r="M64" s="16">
        <f t="shared" si="58"/>
        <v>0</v>
      </c>
      <c r="N64" s="16">
        <f t="shared" si="59"/>
        <v>0</v>
      </c>
      <c r="O64" s="16">
        <f t="shared" si="60"/>
        <v>0</v>
      </c>
      <c r="P64" s="16">
        <f t="shared" si="61"/>
        <v>0</v>
      </c>
      <c r="Q64" s="72"/>
      <c r="R64" s="16">
        <f t="shared" si="62"/>
        <v>1.3973512772526841E-11</v>
      </c>
      <c r="S64" s="16">
        <f t="shared" si="63"/>
        <v>0</v>
      </c>
      <c r="T64" s="16">
        <f t="shared" si="64"/>
        <v>0</v>
      </c>
      <c r="U64" s="16">
        <f t="shared" si="65"/>
        <v>1.3973512772526841E-11</v>
      </c>
      <c r="V64" s="16">
        <f t="shared" si="66"/>
        <v>39283899.020166285</v>
      </c>
      <c r="W64" s="16">
        <f t="shared" si="43"/>
        <v>-39283899.020166285</v>
      </c>
      <c r="X64" s="16">
        <f t="shared" si="67"/>
        <v>6.9867563862634203E-12</v>
      </c>
      <c r="Y64" s="16">
        <f t="shared" si="44"/>
        <v>704879889.4500879</v>
      </c>
      <c r="Z64" s="16">
        <f t="shared" si="68"/>
        <v>6.9867563862634203E-12</v>
      </c>
      <c r="AA64" s="72"/>
      <c r="AB64" s="16">
        <f t="shared" si="45"/>
        <v>0</v>
      </c>
      <c r="AC64" s="16">
        <f t="shared" si="69"/>
        <v>0</v>
      </c>
      <c r="AD64" s="16">
        <f t="shared" si="70"/>
        <v>0</v>
      </c>
      <c r="AF64" s="15">
        <f t="shared" si="71"/>
        <v>2.8517373005156819E-13</v>
      </c>
      <c r="AG64" s="16">
        <f t="shared" si="72"/>
        <v>0</v>
      </c>
      <c r="AH64" s="16">
        <f t="shared" si="73"/>
        <v>0</v>
      </c>
      <c r="AI64" s="16">
        <f t="shared" si="74"/>
        <v>0</v>
      </c>
      <c r="AJ64" s="16">
        <f t="shared" si="75"/>
        <v>0</v>
      </c>
      <c r="AK64" s="16">
        <f t="shared" si="76"/>
        <v>0</v>
      </c>
      <c r="AL64" s="72"/>
      <c r="AM64" s="16">
        <f t="shared" si="77"/>
        <v>2.8517373005156819E-13</v>
      </c>
      <c r="AN64" s="16">
        <f t="shared" si="78"/>
        <v>0</v>
      </c>
      <c r="AO64" s="16">
        <f t="shared" si="79"/>
        <v>0</v>
      </c>
      <c r="AP64" s="16">
        <f t="shared" si="28"/>
        <v>2.8517373005156819E-13</v>
      </c>
      <c r="AQ64" s="16">
        <f t="shared" si="80"/>
        <v>0</v>
      </c>
      <c r="AR64" s="16">
        <f t="shared" si="46"/>
        <v>0</v>
      </c>
      <c r="AS64" s="16">
        <f t="shared" si="81"/>
        <v>0</v>
      </c>
      <c r="AT64" s="16">
        <f t="shared" si="47"/>
        <v>0</v>
      </c>
      <c r="AU64" s="16">
        <f t="shared" si="82"/>
        <v>0</v>
      </c>
      <c r="AV64" s="72"/>
      <c r="AW64" s="16">
        <f t="shared" si="48"/>
        <v>2.8517373005156819E-13</v>
      </c>
      <c r="AX64" s="16">
        <f t="shared" si="83"/>
        <v>2.8517373005156819E-13</v>
      </c>
      <c r="AY64" s="16">
        <f t="shared" si="84"/>
        <v>0</v>
      </c>
      <c r="BA64" s="16">
        <f t="shared" si="49"/>
        <v>6.9867563862634203E-12</v>
      </c>
      <c r="BB64" s="16">
        <f t="shared" si="50"/>
        <v>2.8517373005156819E-13</v>
      </c>
      <c r="BC64" s="16">
        <f t="shared" si="85"/>
        <v>7.2719301163149886E-12</v>
      </c>
      <c r="BD64" s="16">
        <f t="shared" si="86"/>
        <v>0</v>
      </c>
      <c r="BE64" s="16">
        <f t="shared" si="87"/>
        <v>6.9867563862634203E-12</v>
      </c>
      <c r="BF64" s="16">
        <f t="shared" si="88"/>
        <v>0</v>
      </c>
      <c r="BG64" s="16">
        <f t="shared" si="51"/>
        <v>6.9867563862634203E-12</v>
      </c>
      <c r="BH64" s="16">
        <f t="shared" si="89"/>
        <v>-7.1293432512892049E-12</v>
      </c>
      <c r="BI64" s="16">
        <f t="shared" si="90"/>
        <v>6.9867563862634203E-12</v>
      </c>
      <c r="BJ64" s="16">
        <f t="shared" si="91"/>
        <v>-7.1293432512892049E-12</v>
      </c>
      <c r="BK64" s="16">
        <f t="shared" si="92"/>
        <v>0</v>
      </c>
    </row>
    <row r="65" spans="2:63" ht="15" customHeight="1">
      <c r="B65" s="17">
        <f t="shared" si="53"/>
        <v>57</v>
      </c>
      <c r="C65" s="17">
        <f t="shared" si="54"/>
        <v>5</v>
      </c>
      <c r="D65" s="17">
        <f t="shared" si="55"/>
        <v>0</v>
      </c>
      <c r="E65" s="17">
        <f t="shared" si="52"/>
        <v>57</v>
      </c>
      <c r="G65" s="17">
        <f>M_MultDeal!BE66+IF($B65=1,-i_transfee*i_maxequity,0)</f>
        <v>0</v>
      </c>
      <c r="H65" s="17">
        <f>M_MultDeal!AO66</f>
        <v>-1.3652253563363048E-11</v>
      </c>
      <c r="I65" s="17">
        <f t="shared" si="42"/>
        <v>1.3652253563363048E-11</v>
      </c>
      <c r="K65" s="17">
        <f t="shared" si="56"/>
        <v>1.3379208492095787E-11</v>
      </c>
      <c r="L65" s="17">
        <f t="shared" si="57"/>
        <v>0</v>
      </c>
      <c r="M65" s="17">
        <f t="shared" si="58"/>
        <v>0</v>
      </c>
      <c r="N65" s="17">
        <f t="shared" si="59"/>
        <v>0</v>
      </c>
      <c r="O65" s="17">
        <f t="shared" si="60"/>
        <v>0</v>
      </c>
      <c r="P65" s="17">
        <f t="shared" si="61"/>
        <v>0</v>
      </c>
      <c r="Q65" s="72"/>
      <c r="R65" s="17">
        <f t="shared" si="62"/>
        <v>1.3379208492095787E-11</v>
      </c>
      <c r="S65" s="17">
        <f t="shared" si="63"/>
        <v>0</v>
      </c>
      <c r="T65" s="17">
        <f t="shared" si="64"/>
        <v>0</v>
      </c>
      <c r="U65" s="17">
        <f t="shared" si="65"/>
        <v>1.3379208492095787E-11</v>
      </c>
      <c r="V65" s="17">
        <f t="shared" si="66"/>
        <v>41602459.745314009</v>
      </c>
      <c r="W65" s="17">
        <f t="shared" si="43"/>
        <v>-41602459.745314009</v>
      </c>
      <c r="X65" s="17">
        <f t="shared" si="67"/>
        <v>6.6896042460478935E-12</v>
      </c>
      <c r="Y65" s="17">
        <f t="shared" si="44"/>
        <v>746482349.19540191</v>
      </c>
      <c r="Z65" s="17">
        <f t="shared" si="68"/>
        <v>6.6896042460478935E-12</v>
      </c>
      <c r="AA65" s="72"/>
      <c r="AB65" s="17">
        <f t="shared" si="45"/>
        <v>0</v>
      </c>
      <c r="AC65" s="17">
        <f t="shared" si="69"/>
        <v>0</v>
      </c>
      <c r="AD65" s="17">
        <f t="shared" si="70"/>
        <v>0</v>
      </c>
      <c r="AF65" s="15">
        <f t="shared" si="71"/>
        <v>2.7304507126726097E-13</v>
      </c>
      <c r="AG65" s="17">
        <f t="shared" si="72"/>
        <v>0</v>
      </c>
      <c r="AH65" s="17">
        <f t="shared" si="73"/>
        <v>0</v>
      </c>
      <c r="AI65" s="17">
        <f t="shared" si="74"/>
        <v>0</v>
      </c>
      <c r="AJ65" s="17">
        <f t="shared" si="75"/>
        <v>0</v>
      </c>
      <c r="AK65" s="17">
        <f t="shared" si="76"/>
        <v>0</v>
      </c>
      <c r="AL65" s="72"/>
      <c r="AM65" s="17">
        <f t="shared" si="77"/>
        <v>2.7304507126726097E-13</v>
      </c>
      <c r="AN65" s="17">
        <f t="shared" si="78"/>
        <v>0</v>
      </c>
      <c r="AO65" s="17">
        <f t="shared" si="79"/>
        <v>0</v>
      </c>
      <c r="AP65" s="17">
        <f t="shared" si="28"/>
        <v>2.7304507126726097E-13</v>
      </c>
      <c r="AQ65" s="17">
        <f t="shared" si="80"/>
        <v>0</v>
      </c>
      <c r="AR65" s="17">
        <f t="shared" si="46"/>
        <v>0</v>
      </c>
      <c r="AS65" s="17">
        <f t="shared" si="81"/>
        <v>0</v>
      </c>
      <c r="AT65" s="17">
        <f t="shared" si="47"/>
        <v>0</v>
      </c>
      <c r="AU65" s="17">
        <f t="shared" si="82"/>
        <v>0</v>
      </c>
      <c r="AV65" s="72"/>
      <c r="AW65" s="17">
        <f t="shared" si="48"/>
        <v>2.7304507126726097E-13</v>
      </c>
      <c r="AX65" s="17">
        <f t="shared" si="83"/>
        <v>2.7304507126726097E-13</v>
      </c>
      <c r="AY65" s="17">
        <f t="shared" si="84"/>
        <v>0</v>
      </c>
      <c r="BA65" s="17">
        <f t="shared" si="49"/>
        <v>6.6896042460478935E-12</v>
      </c>
      <c r="BB65" s="17">
        <f t="shared" si="50"/>
        <v>2.7304507126726097E-13</v>
      </c>
      <c r="BC65" s="17">
        <f t="shared" si="85"/>
        <v>6.9626493173151541E-12</v>
      </c>
      <c r="BD65" s="17">
        <f t="shared" si="86"/>
        <v>0</v>
      </c>
      <c r="BE65" s="17">
        <f t="shared" si="87"/>
        <v>6.6896042460478935E-12</v>
      </c>
      <c r="BF65" s="17">
        <f t="shared" si="88"/>
        <v>0</v>
      </c>
      <c r="BG65" s="17">
        <f t="shared" si="51"/>
        <v>6.6896042460478935E-12</v>
      </c>
      <c r="BH65" s="17">
        <f t="shared" si="89"/>
        <v>-6.8261267816815238E-12</v>
      </c>
      <c r="BI65" s="17">
        <f t="shared" si="90"/>
        <v>6.6896042460478935E-12</v>
      </c>
      <c r="BJ65" s="17">
        <f t="shared" si="91"/>
        <v>-6.8261267816815238E-12</v>
      </c>
      <c r="BK65" s="17">
        <f t="shared" si="92"/>
        <v>0</v>
      </c>
    </row>
    <row r="66" spans="2:63" ht="15" customHeight="1">
      <c r="B66" s="15">
        <f t="shared" si="53"/>
        <v>58</v>
      </c>
      <c r="C66" s="15">
        <f t="shared" si="54"/>
        <v>5</v>
      </c>
      <c r="D66" s="15">
        <f t="shared" si="55"/>
        <v>0</v>
      </c>
      <c r="E66" s="15">
        <f t="shared" si="52"/>
        <v>58</v>
      </c>
      <c r="G66" s="15">
        <f>M_MultDeal!BE67+IF($B66=1,-i_transfee*i_maxequity,0)</f>
        <v>0</v>
      </c>
      <c r="H66" s="15">
        <f>M_MultDeal!AO67</f>
        <v>-1.3045820624147685E-11</v>
      </c>
      <c r="I66" s="15">
        <f t="shared" si="42"/>
        <v>1.3045820624147685E-11</v>
      </c>
      <c r="K66" s="15">
        <f t="shared" si="56"/>
        <v>1.2784904211664732E-11</v>
      </c>
      <c r="L66" s="15">
        <f t="shared" si="57"/>
        <v>0</v>
      </c>
      <c r="M66" s="15">
        <f t="shared" si="58"/>
        <v>0</v>
      </c>
      <c r="N66" s="15">
        <f t="shared" si="59"/>
        <v>0</v>
      </c>
      <c r="O66" s="15">
        <f t="shared" si="60"/>
        <v>0</v>
      </c>
      <c r="P66" s="15">
        <f t="shared" si="61"/>
        <v>0</v>
      </c>
      <c r="Q66" s="72"/>
      <c r="R66" s="15">
        <f t="shared" si="62"/>
        <v>1.2784904211664732E-11</v>
      </c>
      <c r="S66" s="15">
        <f t="shared" si="63"/>
        <v>0</v>
      </c>
      <c r="T66" s="15">
        <f t="shared" si="64"/>
        <v>0</v>
      </c>
      <c r="U66" s="15">
        <f t="shared" si="65"/>
        <v>1.2784904211664732E-11</v>
      </c>
      <c r="V66" s="15">
        <f t="shared" si="66"/>
        <v>44057863.40026965</v>
      </c>
      <c r="W66" s="15">
        <f t="shared" si="43"/>
        <v>-44057863.40026965</v>
      </c>
      <c r="X66" s="15">
        <f t="shared" si="67"/>
        <v>6.392452105832366E-12</v>
      </c>
      <c r="Y66" s="15">
        <f t="shared" si="44"/>
        <v>790540212.59567153</v>
      </c>
      <c r="Z66" s="15">
        <f t="shared" si="68"/>
        <v>6.392452105832366E-12</v>
      </c>
      <c r="AA66" s="72"/>
      <c r="AB66" s="15">
        <f t="shared" si="45"/>
        <v>0</v>
      </c>
      <c r="AC66" s="15">
        <f t="shared" si="69"/>
        <v>0</v>
      </c>
      <c r="AD66" s="15">
        <f t="shared" si="70"/>
        <v>0</v>
      </c>
      <c r="AF66" s="15">
        <f t="shared" si="71"/>
        <v>2.609164124829537E-13</v>
      </c>
      <c r="AG66" s="15">
        <f t="shared" si="72"/>
        <v>0</v>
      </c>
      <c r="AH66" s="15">
        <f t="shared" si="73"/>
        <v>0</v>
      </c>
      <c r="AI66" s="15">
        <f t="shared" si="74"/>
        <v>0</v>
      </c>
      <c r="AJ66" s="15">
        <f t="shared" si="75"/>
        <v>0</v>
      </c>
      <c r="AK66" s="15">
        <f t="shared" si="76"/>
        <v>0</v>
      </c>
      <c r="AL66" s="72"/>
      <c r="AM66" s="15">
        <f t="shared" si="77"/>
        <v>2.609164124829537E-13</v>
      </c>
      <c r="AN66" s="15">
        <f t="shared" si="78"/>
        <v>0</v>
      </c>
      <c r="AO66" s="15">
        <f t="shared" si="79"/>
        <v>0</v>
      </c>
      <c r="AP66" s="15">
        <f t="shared" si="28"/>
        <v>2.609164124829537E-13</v>
      </c>
      <c r="AQ66" s="15">
        <f t="shared" si="80"/>
        <v>0</v>
      </c>
      <c r="AR66" s="15">
        <f t="shared" si="46"/>
        <v>0</v>
      </c>
      <c r="AS66" s="15">
        <f t="shared" si="81"/>
        <v>0</v>
      </c>
      <c r="AT66" s="15">
        <f t="shared" si="47"/>
        <v>0</v>
      </c>
      <c r="AU66" s="15">
        <f t="shared" si="82"/>
        <v>0</v>
      </c>
      <c r="AV66" s="72"/>
      <c r="AW66" s="15">
        <f t="shared" si="48"/>
        <v>2.609164124829537E-13</v>
      </c>
      <c r="AX66" s="15">
        <f t="shared" si="83"/>
        <v>2.609164124829537E-13</v>
      </c>
      <c r="AY66" s="15">
        <f t="shared" si="84"/>
        <v>0</v>
      </c>
      <c r="BA66" s="15">
        <f t="shared" si="49"/>
        <v>6.392452105832366E-12</v>
      </c>
      <c r="BB66" s="15">
        <f t="shared" si="50"/>
        <v>2.609164124829537E-13</v>
      </c>
      <c r="BC66" s="15">
        <f t="shared" si="85"/>
        <v>6.6533685183153195E-12</v>
      </c>
      <c r="BD66" s="15">
        <f t="shared" si="86"/>
        <v>0</v>
      </c>
      <c r="BE66" s="15">
        <f t="shared" si="87"/>
        <v>6.392452105832366E-12</v>
      </c>
      <c r="BF66" s="15">
        <f t="shared" si="88"/>
        <v>0</v>
      </c>
      <c r="BG66" s="15">
        <f t="shared" si="51"/>
        <v>6.392452105832366E-12</v>
      </c>
      <c r="BH66" s="15">
        <f t="shared" si="89"/>
        <v>-6.5229103120738427E-12</v>
      </c>
      <c r="BI66" s="15">
        <f t="shared" si="90"/>
        <v>6.392452105832366E-12</v>
      </c>
      <c r="BJ66" s="15">
        <f t="shared" si="91"/>
        <v>-6.5229103120738427E-12</v>
      </c>
      <c r="BK66" s="15">
        <f t="shared" si="92"/>
        <v>0</v>
      </c>
    </row>
    <row r="67" spans="2:63" ht="15" customHeight="1">
      <c r="B67" s="16">
        <f t="shared" si="53"/>
        <v>59</v>
      </c>
      <c r="C67" s="16">
        <f t="shared" si="54"/>
        <v>5</v>
      </c>
      <c r="D67" s="16">
        <f t="shared" si="55"/>
        <v>0</v>
      </c>
      <c r="E67" s="16">
        <f t="shared" si="52"/>
        <v>59</v>
      </c>
      <c r="G67" s="16">
        <f>M_MultDeal!BE68+IF($B67=1,-i_transfee*i_maxequity,0)</f>
        <v>0</v>
      </c>
      <c r="H67" s="16">
        <f>M_MultDeal!AO68</f>
        <v>-1.2439387684932323E-11</v>
      </c>
      <c r="I67" s="16">
        <f t="shared" si="42"/>
        <v>1.2439387684932323E-11</v>
      </c>
      <c r="K67" s="16">
        <f t="shared" si="56"/>
        <v>1.2190599931233677E-11</v>
      </c>
      <c r="L67" s="16">
        <f t="shared" si="57"/>
        <v>0</v>
      </c>
      <c r="M67" s="16">
        <f t="shared" si="58"/>
        <v>0</v>
      </c>
      <c r="N67" s="16">
        <f t="shared" si="59"/>
        <v>0</v>
      </c>
      <c r="O67" s="16">
        <f t="shared" si="60"/>
        <v>0</v>
      </c>
      <c r="P67" s="16">
        <f t="shared" si="61"/>
        <v>0</v>
      </c>
      <c r="Q67" s="72"/>
      <c r="R67" s="16">
        <f t="shared" si="62"/>
        <v>1.2190599931233677E-11</v>
      </c>
      <c r="S67" s="16">
        <f t="shared" si="63"/>
        <v>0</v>
      </c>
      <c r="T67" s="16">
        <f t="shared" si="64"/>
        <v>0</v>
      </c>
      <c r="U67" s="16">
        <f t="shared" si="65"/>
        <v>1.2190599931233677E-11</v>
      </c>
      <c r="V67" s="16">
        <f t="shared" si="66"/>
        <v>46658186.541853689</v>
      </c>
      <c r="W67" s="16">
        <f t="shared" si="43"/>
        <v>-46658186.541853689</v>
      </c>
      <c r="X67" s="16">
        <f t="shared" si="67"/>
        <v>6.0952999656168384E-12</v>
      </c>
      <c r="Y67" s="16">
        <f t="shared" si="44"/>
        <v>837198399.1375252</v>
      </c>
      <c r="Z67" s="16">
        <f t="shared" si="68"/>
        <v>6.0952999656168384E-12</v>
      </c>
      <c r="AA67" s="72"/>
      <c r="AB67" s="16">
        <f t="shared" si="45"/>
        <v>0</v>
      </c>
      <c r="AC67" s="16">
        <f t="shared" si="69"/>
        <v>0</v>
      </c>
      <c r="AD67" s="16">
        <f t="shared" si="70"/>
        <v>0</v>
      </c>
      <c r="AF67" s="15">
        <f t="shared" si="71"/>
        <v>2.4878775369864648E-13</v>
      </c>
      <c r="AG67" s="16">
        <f t="shared" si="72"/>
        <v>0</v>
      </c>
      <c r="AH67" s="16">
        <f t="shared" si="73"/>
        <v>0</v>
      </c>
      <c r="AI67" s="16">
        <f t="shared" si="74"/>
        <v>0</v>
      </c>
      <c r="AJ67" s="16">
        <f t="shared" si="75"/>
        <v>0</v>
      </c>
      <c r="AK67" s="16">
        <f t="shared" si="76"/>
        <v>0</v>
      </c>
      <c r="AL67" s="72"/>
      <c r="AM67" s="16">
        <f t="shared" si="77"/>
        <v>2.4878775369864648E-13</v>
      </c>
      <c r="AN67" s="16">
        <f t="shared" si="78"/>
        <v>0</v>
      </c>
      <c r="AO67" s="16">
        <f t="shared" si="79"/>
        <v>0</v>
      </c>
      <c r="AP67" s="16">
        <f t="shared" si="28"/>
        <v>2.4878775369864648E-13</v>
      </c>
      <c r="AQ67" s="16">
        <f t="shared" si="80"/>
        <v>0</v>
      </c>
      <c r="AR67" s="16">
        <f t="shared" si="46"/>
        <v>0</v>
      </c>
      <c r="AS67" s="16">
        <f t="shared" si="81"/>
        <v>0</v>
      </c>
      <c r="AT67" s="16">
        <f t="shared" si="47"/>
        <v>0</v>
      </c>
      <c r="AU67" s="16">
        <f t="shared" si="82"/>
        <v>0</v>
      </c>
      <c r="AV67" s="72"/>
      <c r="AW67" s="16">
        <f t="shared" si="48"/>
        <v>2.4878775369864648E-13</v>
      </c>
      <c r="AX67" s="16">
        <f t="shared" si="83"/>
        <v>2.4878775369864648E-13</v>
      </c>
      <c r="AY67" s="16">
        <f t="shared" si="84"/>
        <v>0</v>
      </c>
      <c r="BA67" s="16">
        <f t="shared" si="49"/>
        <v>6.0952999656168384E-12</v>
      </c>
      <c r="BB67" s="16">
        <f t="shared" si="50"/>
        <v>2.4878775369864648E-13</v>
      </c>
      <c r="BC67" s="16">
        <f t="shared" si="85"/>
        <v>6.344087719315485E-12</v>
      </c>
      <c r="BD67" s="16">
        <f t="shared" si="86"/>
        <v>0</v>
      </c>
      <c r="BE67" s="16">
        <f t="shared" si="87"/>
        <v>6.0952999656168384E-12</v>
      </c>
      <c r="BF67" s="16">
        <f t="shared" si="88"/>
        <v>0</v>
      </c>
      <c r="BG67" s="16">
        <f t="shared" si="51"/>
        <v>6.0952999656168384E-12</v>
      </c>
      <c r="BH67" s="16">
        <f t="shared" si="89"/>
        <v>-6.2196938424661617E-12</v>
      </c>
      <c r="BI67" s="16">
        <f t="shared" si="90"/>
        <v>6.0952999656168384E-12</v>
      </c>
      <c r="BJ67" s="16">
        <f t="shared" si="91"/>
        <v>-6.2196938424661617E-12</v>
      </c>
      <c r="BK67" s="16">
        <f t="shared" si="92"/>
        <v>0</v>
      </c>
    </row>
    <row r="68" spans="2:63" ht="15" customHeight="1" thickBot="1">
      <c r="B68" s="18">
        <f t="shared" si="53"/>
        <v>60</v>
      </c>
      <c r="C68" s="18">
        <f t="shared" si="54"/>
        <v>5</v>
      </c>
      <c r="D68" s="18">
        <f t="shared" si="55"/>
        <v>0</v>
      </c>
      <c r="E68" s="18">
        <f t="shared" si="52"/>
        <v>60</v>
      </c>
      <c r="G68" s="18">
        <f>M_MultDeal!BE69+IF($B68=1,-i_transfee*i_maxequity,0)</f>
        <v>0</v>
      </c>
      <c r="H68" s="18">
        <f>M_MultDeal!AO69</f>
        <v>-1.1832954745716961E-11</v>
      </c>
      <c r="I68" s="18">
        <f t="shared" si="42"/>
        <v>1.1832954745716961E-11</v>
      </c>
      <c r="K68" s="18">
        <f t="shared" si="56"/>
        <v>1.1596295650802622E-11</v>
      </c>
      <c r="L68" s="18">
        <f t="shared" si="57"/>
        <v>0</v>
      </c>
      <c r="M68" s="18">
        <f t="shared" si="58"/>
        <v>0</v>
      </c>
      <c r="N68" s="18">
        <f t="shared" si="59"/>
        <v>0</v>
      </c>
      <c r="O68" s="18">
        <f t="shared" si="60"/>
        <v>0</v>
      </c>
      <c r="P68" s="18">
        <f t="shared" si="61"/>
        <v>0</v>
      </c>
      <c r="Q68" s="72"/>
      <c r="R68" s="18">
        <f t="shared" si="62"/>
        <v>1.1596295650802622E-11</v>
      </c>
      <c r="S68" s="18">
        <f t="shared" si="63"/>
        <v>0</v>
      </c>
      <c r="T68" s="18">
        <f t="shared" si="64"/>
        <v>0</v>
      </c>
      <c r="U68" s="18">
        <f t="shared" si="65"/>
        <v>1.1596295650802622E-11</v>
      </c>
      <c r="V68" s="18">
        <f t="shared" si="66"/>
        <v>49411982.410411052</v>
      </c>
      <c r="W68" s="18">
        <f t="shared" si="43"/>
        <v>-49411982.410411052</v>
      </c>
      <c r="X68" s="18">
        <f t="shared" si="67"/>
        <v>5.7981478254013109E-12</v>
      </c>
      <c r="Y68" s="18">
        <f t="shared" si="44"/>
        <v>886610381.5479362</v>
      </c>
      <c r="Z68" s="18">
        <f t="shared" si="68"/>
        <v>5.7981478254013109E-12</v>
      </c>
      <c r="AA68" s="72"/>
      <c r="AB68" s="18">
        <f t="shared" si="45"/>
        <v>0</v>
      </c>
      <c r="AC68" s="18">
        <f t="shared" si="69"/>
        <v>0</v>
      </c>
      <c r="AD68" s="18">
        <f t="shared" si="70"/>
        <v>0</v>
      </c>
      <c r="AF68" s="15">
        <f t="shared" si="71"/>
        <v>2.3665909491433921E-13</v>
      </c>
      <c r="AG68" s="18">
        <f t="shared" si="72"/>
        <v>0</v>
      </c>
      <c r="AH68" s="18">
        <f t="shared" si="73"/>
        <v>0</v>
      </c>
      <c r="AI68" s="18">
        <f t="shared" si="74"/>
        <v>0</v>
      </c>
      <c r="AJ68" s="18">
        <f t="shared" si="75"/>
        <v>0</v>
      </c>
      <c r="AK68" s="18">
        <f t="shared" si="76"/>
        <v>0</v>
      </c>
      <c r="AL68" s="72"/>
      <c r="AM68" s="18">
        <f t="shared" si="77"/>
        <v>2.3665909491433921E-13</v>
      </c>
      <c r="AN68" s="18">
        <f t="shared" si="78"/>
        <v>0</v>
      </c>
      <c r="AO68" s="18">
        <f t="shared" si="79"/>
        <v>0</v>
      </c>
      <c r="AP68" s="18">
        <f t="shared" si="28"/>
        <v>2.3665909491433921E-13</v>
      </c>
      <c r="AQ68" s="18">
        <f t="shared" si="80"/>
        <v>0</v>
      </c>
      <c r="AR68" s="18">
        <f t="shared" si="46"/>
        <v>0</v>
      </c>
      <c r="AS68" s="18">
        <f t="shared" si="81"/>
        <v>0</v>
      </c>
      <c r="AT68" s="18">
        <f t="shared" si="47"/>
        <v>0</v>
      </c>
      <c r="AU68" s="18">
        <f t="shared" si="82"/>
        <v>0</v>
      </c>
      <c r="AV68" s="72"/>
      <c r="AW68" s="18">
        <f t="shared" si="48"/>
        <v>2.3665909491433921E-13</v>
      </c>
      <c r="AX68" s="18">
        <f t="shared" si="83"/>
        <v>2.3665909491433921E-13</v>
      </c>
      <c r="AY68" s="18">
        <f t="shared" si="84"/>
        <v>0</v>
      </c>
      <c r="BA68" s="18">
        <f t="shared" si="49"/>
        <v>5.7981478254013109E-12</v>
      </c>
      <c r="BB68" s="18">
        <f t="shared" si="50"/>
        <v>2.3665909491433921E-13</v>
      </c>
      <c r="BC68" s="18">
        <f t="shared" si="85"/>
        <v>6.0348069203156504E-12</v>
      </c>
      <c r="BD68" s="18">
        <f t="shared" si="86"/>
        <v>0</v>
      </c>
      <c r="BE68" s="18">
        <f t="shared" si="87"/>
        <v>5.7981478254013109E-12</v>
      </c>
      <c r="BF68" s="18">
        <f t="shared" si="88"/>
        <v>0</v>
      </c>
      <c r="BG68" s="18">
        <f t="shared" si="51"/>
        <v>5.7981478254013109E-12</v>
      </c>
      <c r="BH68" s="18">
        <f t="shared" si="89"/>
        <v>-5.9164773728584806E-12</v>
      </c>
      <c r="BI68" s="18">
        <f t="shared" si="90"/>
        <v>5.7981478254013109E-12</v>
      </c>
      <c r="BJ68" s="18">
        <f t="shared" si="91"/>
        <v>-5.9164773728584806E-12</v>
      </c>
      <c r="BK68" s="18">
        <f t="shared" si="92"/>
        <v>0</v>
      </c>
    </row>
    <row r="69" spans="2:63" ht="15" customHeight="1">
      <c r="B69" s="19">
        <f t="shared" si="53"/>
        <v>61</v>
      </c>
      <c r="C69" s="19">
        <f t="shared" si="54"/>
        <v>6</v>
      </c>
      <c r="D69" s="19">
        <f t="shared" si="55"/>
        <v>0</v>
      </c>
      <c r="E69" s="19">
        <f t="shared" si="52"/>
        <v>61</v>
      </c>
      <c r="G69" s="19">
        <f>M_MultDeal!BE70+IF($B69=1,-i_transfee*i_maxequity,0)</f>
        <v>0</v>
      </c>
      <c r="H69" s="19">
        <f>M_MultDeal!AO70</f>
        <v>-1.1226521806501599E-11</v>
      </c>
      <c r="I69" s="19">
        <f t="shared" si="42"/>
        <v>1.1226521806501599E-11</v>
      </c>
      <c r="K69" s="19">
        <f t="shared" si="56"/>
        <v>1.1001991370371567E-11</v>
      </c>
      <c r="L69" s="19">
        <f t="shared" si="57"/>
        <v>0</v>
      </c>
      <c r="M69" s="19">
        <f t="shared" si="58"/>
        <v>0</v>
      </c>
      <c r="N69" s="19">
        <f t="shared" si="59"/>
        <v>0</v>
      </c>
      <c r="O69" s="19">
        <f t="shared" si="60"/>
        <v>0</v>
      </c>
      <c r="P69" s="19">
        <f t="shared" si="61"/>
        <v>0</v>
      </c>
      <c r="Q69" s="72"/>
      <c r="R69" s="19">
        <f t="shared" si="62"/>
        <v>1.1001991370371567E-11</v>
      </c>
      <c r="S69" s="19">
        <f t="shared" si="63"/>
        <v>0</v>
      </c>
      <c r="T69" s="19">
        <f t="shared" si="64"/>
        <v>0</v>
      </c>
      <c r="U69" s="19">
        <f t="shared" si="65"/>
        <v>1.1001991370371567E-11</v>
      </c>
      <c r="V69" s="19">
        <f t="shared" si="66"/>
        <v>52328309.063976109</v>
      </c>
      <c r="W69" s="19">
        <f t="shared" si="43"/>
        <v>-52328309.063976109</v>
      </c>
      <c r="X69" s="19">
        <f t="shared" si="67"/>
        <v>5.5009956851857833E-12</v>
      </c>
      <c r="Y69" s="19">
        <f t="shared" si="44"/>
        <v>938938690.61191225</v>
      </c>
      <c r="Z69" s="19">
        <f t="shared" si="68"/>
        <v>5.5009956851857833E-12</v>
      </c>
      <c r="AA69" s="72"/>
      <c r="AB69" s="19">
        <f t="shared" si="45"/>
        <v>0</v>
      </c>
      <c r="AC69" s="19">
        <f t="shared" si="69"/>
        <v>0</v>
      </c>
      <c r="AD69" s="19">
        <f t="shared" si="70"/>
        <v>0</v>
      </c>
      <c r="AF69" s="15">
        <f t="shared" si="71"/>
        <v>2.24530436130032E-13</v>
      </c>
      <c r="AG69" s="19">
        <f t="shared" si="72"/>
        <v>0</v>
      </c>
      <c r="AH69" s="19">
        <f t="shared" si="73"/>
        <v>0</v>
      </c>
      <c r="AI69" s="19">
        <f t="shared" si="74"/>
        <v>0</v>
      </c>
      <c r="AJ69" s="19">
        <f t="shared" si="75"/>
        <v>0</v>
      </c>
      <c r="AK69" s="19">
        <f t="shared" si="76"/>
        <v>0</v>
      </c>
      <c r="AL69" s="72"/>
      <c r="AM69" s="19">
        <f t="shared" si="77"/>
        <v>2.24530436130032E-13</v>
      </c>
      <c r="AN69" s="19">
        <f t="shared" si="78"/>
        <v>0</v>
      </c>
      <c r="AO69" s="19">
        <f t="shared" si="79"/>
        <v>0</v>
      </c>
      <c r="AP69" s="19">
        <f t="shared" si="28"/>
        <v>2.24530436130032E-13</v>
      </c>
      <c r="AQ69" s="19">
        <f t="shared" si="80"/>
        <v>0</v>
      </c>
      <c r="AR69" s="19">
        <f t="shared" si="46"/>
        <v>0</v>
      </c>
      <c r="AS69" s="19">
        <f t="shared" si="81"/>
        <v>0</v>
      </c>
      <c r="AT69" s="19">
        <f t="shared" si="47"/>
        <v>0</v>
      </c>
      <c r="AU69" s="19">
        <f t="shared" si="82"/>
        <v>0</v>
      </c>
      <c r="AV69" s="72"/>
      <c r="AW69" s="19">
        <f t="shared" si="48"/>
        <v>2.24530436130032E-13</v>
      </c>
      <c r="AX69" s="19">
        <f t="shared" si="83"/>
        <v>2.24530436130032E-13</v>
      </c>
      <c r="AY69" s="19">
        <f t="shared" si="84"/>
        <v>0</v>
      </c>
      <c r="BA69" s="19">
        <f t="shared" si="49"/>
        <v>5.5009956851857833E-12</v>
      </c>
      <c r="BB69" s="19">
        <f t="shared" si="50"/>
        <v>2.24530436130032E-13</v>
      </c>
      <c r="BC69" s="19">
        <f t="shared" si="85"/>
        <v>5.725526121315815E-12</v>
      </c>
      <c r="BD69" s="19">
        <f t="shared" si="86"/>
        <v>0</v>
      </c>
      <c r="BE69" s="19">
        <f t="shared" si="87"/>
        <v>5.5009956851857833E-12</v>
      </c>
      <c r="BF69" s="19">
        <f t="shared" si="88"/>
        <v>0</v>
      </c>
      <c r="BG69" s="19">
        <f t="shared" si="51"/>
        <v>5.5009956851857833E-12</v>
      </c>
      <c r="BH69" s="19">
        <f t="shared" si="89"/>
        <v>-5.6132609032507996E-12</v>
      </c>
      <c r="BI69" s="19">
        <f t="shared" si="90"/>
        <v>5.5009956851857833E-12</v>
      </c>
      <c r="BJ69" s="19">
        <f t="shared" si="91"/>
        <v>-5.6132609032507996E-12</v>
      </c>
      <c r="BK69" s="19">
        <f t="shared" si="92"/>
        <v>0</v>
      </c>
    </row>
    <row r="70" spans="2:63" ht="15" customHeight="1">
      <c r="B70" s="16">
        <f t="shared" si="53"/>
        <v>62</v>
      </c>
      <c r="C70" s="16">
        <f t="shared" si="54"/>
        <v>6</v>
      </c>
      <c r="D70" s="16">
        <f t="shared" si="55"/>
        <v>0</v>
      </c>
      <c r="E70" s="16">
        <f t="shared" si="52"/>
        <v>62</v>
      </c>
      <c r="G70" s="16">
        <f>M_MultDeal!BE71+IF($B70=1,-i_transfee*i_maxequity,0)</f>
        <v>0</v>
      </c>
      <c r="H70" s="16">
        <f>M_MultDeal!AO71</f>
        <v>-1.0013655928070875E-11</v>
      </c>
      <c r="I70" s="16">
        <f t="shared" si="42"/>
        <v>1.0013655928070875E-11</v>
      </c>
      <c r="K70" s="16">
        <f t="shared" si="56"/>
        <v>9.8133828095094565E-12</v>
      </c>
      <c r="L70" s="16">
        <f t="shared" si="57"/>
        <v>0</v>
      </c>
      <c r="M70" s="16">
        <f t="shared" si="58"/>
        <v>0</v>
      </c>
      <c r="N70" s="16">
        <f t="shared" si="59"/>
        <v>0</v>
      </c>
      <c r="O70" s="16">
        <f t="shared" si="60"/>
        <v>0</v>
      </c>
      <c r="P70" s="16">
        <f t="shared" si="61"/>
        <v>0</v>
      </c>
      <c r="R70" s="16">
        <f t="shared" si="62"/>
        <v>9.8133828095094565E-12</v>
      </c>
      <c r="S70" s="16">
        <f t="shared" si="63"/>
        <v>0</v>
      </c>
      <c r="T70" s="16">
        <f t="shared" si="64"/>
        <v>0</v>
      </c>
      <c r="U70" s="16">
        <f t="shared" si="65"/>
        <v>9.8133828095094565E-12</v>
      </c>
      <c r="V70" s="16">
        <f t="shared" si="66"/>
        <v>55416759.172934093</v>
      </c>
      <c r="W70" s="16">
        <f t="shared" si="43"/>
        <v>-55416759.172934093</v>
      </c>
      <c r="X70" s="16">
        <f t="shared" si="67"/>
        <v>4.9066914047547282E-12</v>
      </c>
      <c r="Y70" s="16">
        <f t="shared" si="44"/>
        <v>994355449.78484631</v>
      </c>
      <c r="Z70" s="16">
        <f t="shared" si="68"/>
        <v>4.9066914047547282E-12</v>
      </c>
      <c r="AA70" s="72"/>
      <c r="AB70" s="16">
        <f t="shared" si="45"/>
        <v>0</v>
      </c>
      <c r="AC70" s="16">
        <f t="shared" si="69"/>
        <v>0</v>
      </c>
      <c r="AD70" s="16">
        <f t="shared" si="70"/>
        <v>0</v>
      </c>
      <c r="AF70" s="15">
        <f t="shared" si="71"/>
        <v>2.0027311856141751E-13</v>
      </c>
      <c r="AG70" s="16">
        <f t="shared" si="72"/>
        <v>0</v>
      </c>
      <c r="AH70" s="16">
        <f t="shared" si="73"/>
        <v>0</v>
      </c>
      <c r="AI70" s="16">
        <f t="shared" si="74"/>
        <v>0</v>
      </c>
      <c r="AJ70" s="16">
        <f t="shared" si="75"/>
        <v>0</v>
      </c>
      <c r="AK70" s="16">
        <f t="shared" si="76"/>
        <v>0</v>
      </c>
      <c r="AM70" s="16">
        <f t="shared" si="77"/>
        <v>2.0027311856141751E-13</v>
      </c>
      <c r="AN70" s="16">
        <f t="shared" si="78"/>
        <v>0</v>
      </c>
      <c r="AO70" s="16">
        <f t="shared" si="79"/>
        <v>0</v>
      </c>
      <c r="AP70" s="16">
        <f t="shared" si="28"/>
        <v>2.0027311856141751E-13</v>
      </c>
      <c r="AQ70" s="16">
        <f t="shared" si="80"/>
        <v>0</v>
      </c>
      <c r="AR70" s="16">
        <f t="shared" si="46"/>
        <v>0</v>
      </c>
      <c r="AS70" s="16">
        <f t="shared" si="81"/>
        <v>0</v>
      </c>
      <c r="AT70" s="16">
        <f t="shared" si="47"/>
        <v>0</v>
      </c>
      <c r="AU70" s="16">
        <f t="shared" si="82"/>
        <v>0</v>
      </c>
      <c r="AV70" s="72"/>
      <c r="AW70" s="16">
        <f t="shared" si="48"/>
        <v>2.0027311856141751E-13</v>
      </c>
      <c r="AX70" s="16">
        <f t="shared" si="83"/>
        <v>2.0027311856141751E-13</v>
      </c>
      <c r="AY70" s="16">
        <f t="shared" si="84"/>
        <v>0</v>
      </c>
      <c r="BA70" s="16">
        <f t="shared" si="49"/>
        <v>4.9066914047547282E-12</v>
      </c>
      <c r="BB70" s="16">
        <f t="shared" si="50"/>
        <v>2.0027311856141751E-13</v>
      </c>
      <c r="BC70" s="16">
        <f t="shared" si="85"/>
        <v>5.1069645233161459E-12</v>
      </c>
      <c r="BD70" s="16">
        <f t="shared" si="86"/>
        <v>0</v>
      </c>
      <c r="BE70" s="16">
        <f t="shared" si="87"/>
        <v>4.9066914047547282E-12</v>
      </c>
      <c r="BF70" s="16">
        <f t="shared" si="88"/>
        <v>0</v>
      </c>
      <c r="BG70" s="16">
        <f t="shared" si="51"/>
        <v>4.9066914047547282E-12</v>
      </c>
      <c r="BH70" s="16">
        <f t="shared" si="89"/>
        <v>-5.0068279640354375E-12</v>
      </c>
      <c r="BI70" s="16">
        <f t="shared" si="90"/>
        <v>4.9066914047547282E-12</v>
      </c>
      <c r="BJ70" s="16">
        <f t="shared" si="91"/>
        <v>-5.0068279640354375E-12</v>
      </c>
      <c r="BK70" s="16">
        <f t="shared" si="92"/>
        <v>0</v>
      </c>
    </row>
    <row r="71" spans="2:63" ht="15" customHeight="1">
      <c r="B71" s="17">
        <f t="shared" si="53"/>
        <v>63</v>
      </c>
      <c r="C71" s="17">
        <f t="shared" si="54"/>
        <v>6</v>
      </c>
      <c r="D71" s="17">
        <f t="shared" si="55"/>
        <v>0</v>
      </c>
      <c r="E71" s="17">
        <f t="shared" si="52"/>
        <v>63</v>
      </c>
      <c r="G71" s="17">
        <f>M_MultDeal!BE72+IF($B71=1,-i_transfee*i_maxequity,0)</f>
        <v>0</v>
      </c>
      <c r="H71" s="17">
        <f>M_MultDeal!AO72</f>
        <v>-8.8007900496401507E-12</v>
      </c>
      <c r="I71" s="17">
        <f t="shared" si="42"/>
        <v>8.8007900496401507E-12</v>
      </c>
      <c r="K71" s="17">
        <f t="shared" si="56"/>
        <v>8.6247742486473479E-12</v>
      </c>
      <c r="L71" s="17">
        <f t="shared" si="57"/>
        <v>0</v>
      </c>
      <c r="M71" s="17">
        <f t="shared" si="58"/>
        <v>0</v>
      </c>
      <c r="N71" s="17">
        <f t="shared" si="59"/>
        <v>0</v>
      </c>
      <c r="O71" s="17">
        <f t="shared" si="60"/>
        <v>0</v>
      </c>
      <c r="P71" s="17">
        <f t="shared" si="61"/>
        <v>0</v>
      </c>
      <c r="R71" s="17">
        <f t="shared" si="62"/>
        <v>8.6247742486473479E-12</v>
      </c>
      <c r="S71" s="17">
        <f t="shared" si="63"/>
        <v>0</v>
      </c>
      <c r="T71" s="17">
        <f t="shared" si="64"/>
        <v>0</v>
      </c>
      <c r="U71" s="17">
        <f t="shared" si="65"/>
        <v>8.6247742486473479E-12</v>
      </c>
      <c r="V71" s="17">
        <f t="shared" si="66"/>
        <v>58687491.573182262</v>
      </c>
      <c r="W71" s="17">
        <f t="shared" si="43"/>
        <v>-58687491.573182262</v>
      </c>
      <c r="X71" s="17">
        <f t="shared" si="67"/>
        <v>4.3123871243236739E-12</v>
      </c>
      <c r="Y71" s="17">
        <f t="shared" si="44"/>
        <v>1053042941.3580285</v>
      </c>
      <c r="Z71" s="17">
        <f t="shared" si="68"/>
        <v>4.3123871243236739E-12</v>
      </c>
      <c r="AA71" s="72"/>
      <c r="AB71" s="17">
        <f t="shared" si="45"/>
        <v>0</v>
      </c>
      <c r="AC71" s="17">
        <f t="shared" si="69"/>
        <v>0</v>
      </c>
      <c r="AD71" s="17">
        <f t="shared" si="70"/>
        <v>0</v>
      </c>
      <c r="AF71" s="15">
        <f t="shared" si="71"/>
        <v>1.7601580099280302E-13</v>
      </c>
      <c r="AG71" s="17">
        <f t="shared" si="72"/>
        <v>0</v>
      </c>
      <c r="AH71" s="17">
        <f t="shared" si="73"/>
        <v>0</v>
      </c>
      <c r="AI71" s="17">
        <f t="shared" si="74"/>
        <v>0</v>
      </c>
      <c r="AJ71" s="17">
        <f t="shared" si="75"/>
        <v>0</v>
      </c>
      <c r="AK71" s="17">
        <f t="shared" si="76"/>
        <v>0</v>
      </c>
      <c r="AM71" s="17">
        <f t="shared" si="77"/>
        <v>1.7601580099280302E-13</v>
      </c>
      <c r="AN71" s="17">
        <f t="shared" si="78"/>
        <v>0</v>
      </c>
      <c r="AO71" s="17">
        <f t="shared" si="79"/>
        <v>0</v>
      </c>
      <c r="AP71" s="17">
        <f t="shared" si="28"/>
        <v>1.7601580099280302E-13</v>
      </c>
      <c r="AQ71" s="17">
        <f t="shared" si="80"/>
        <v>0</v>
      </c>
      <c r="AR71" s="17">
        <f t="shared" si="46"/>
        <v>0</v>
      </c>
      <c r="AS71" s="17">
        <f t="shared" si="81"/>
        <v>0</v>
      </c>
      <c r="AT71" s="17">
        <f t="shared" si="47"/>
        <v>0</v>
      </c>
      <c r="AU71" s="17">
        <f t="shared" si="82"/>
        <v>0</v>
      </c>
      <c r="AV71" s="72"/>
      <c r="AW71" s="17">
        <f t="shared" si="48"/>
        <v>1.7601580099280302E-13</v>
      </c>
      <c r="AX71" s="17">
        <f t="shared" si="83"/>
        <v>1.7601580099280302E-13</v>
      </c>
      <c r="AY71" s="17">
        <f t="shared" si="84"/>
        <v>0</v>
      </c>
      <c r="BA71" s="17">
        <f t="shared" si="49"/>
        <v>4.3123871243236739E-12</v>
      </c>
      <c r="BB71" s="17">
        <f t="shared" si="50"/>
        <v>1.7601580099280302E-13</v>
      </c>
      <c r="BC71" s="17">
        <f t="shared" si="85"/>
        <v>4.4884029253164768E-12</v>
      </c>
      <c r="BD71" s="17">
        <f t="shared" si="86"/>
        <v>0</v>
      </c>
      <c r="BE71" s="17">
        <f t="shared" si="87"/>
        <v>4.3123871243236739E-12</v>
      </c>
      <c r="BF71" s="17">
        <f t="shared" si="88"/>
        <v>0</v>
      </c>
      <c r="BG71" s="17">
        <f t="shared" si="51"/>
        <v>4.3123871243236739E-12</v>
      </c>
      <c r="BH71" s="17">
        <f t="shared" si="89"/>
        <v>-4.4003950248200754E-12</v>
      </c>
      <c r="BI71" s="17">
        <f t="shared" si="90"/>
        <v>4.3123871243236739E-12</v>
      </c>
      <c r="BJ71" s="17">
        <f t="shared" si="91"/>
        <v>-4.4003950248200754E-12</v>
      </c>
      <c r="BK71" s="17">
        <f t="shared" si="92"/>
        <v>0</v>
      </c>
    </row>
    <row r="72" spans="2:63" ht="15" customHeight="1">
      <c r="B72" s="15">
        <f t="shared" si="53"/>
        <v>64</v>
      </c>
      <c r="C72" s="15">
        <f t="shared" si="54"/>
        <v>6</v>
      </c>
      <c r="D72" s="15">
        <f t="shared" si="55"/>
        <v>0</v>
      </c>
      <c r="E72" s="15">
        <f t="shared" ref="E72:E103" si="93">$B72-c_offset+1</f>
        <v>64</v>
      </c>
      <c r="G72" s="15">
        <f>M_MultDeal!BE73+IF($B72=1,-i_transfee*i_maxequity,0)</f>
        <v>0</v>
      </c>
      <c r="H72" s="15">
        <f>M_MultDeal!AO73</f>
        <v>-7.5879241712094265E-12</v>
      </c>
      <c r="I72" s="15">
        <f t="shared" si="42"/>
        <v>7.5879241712094265E-12</v>
      </c>
      <c r="K72" s="15">
        <f t="shared" si="56"/>
        <v>7.4361656877852377E-12</v>
      </c>
      <c r="L72" s="15">
        <f t="shared" si="57"/>
        <v>0</v>
      </c>
      <c r="M72" s="15">
        <f t="shared" si="58"/>
        <v>0</v>
      </c>
      <c r="N72" s="15">
        <f t="shared" si="59"/>
        <v>0</v>
      </c>
      <c r="O72" s="15">
        <f t="shared" si="60"/>
        <v>0</v>
      </c>
      <c r="P72" s="15">
        <f t="shared" si="61"/>
        <v>0</v>
      </c>
      <c r="R72" s="15">
        <f t="shared" si="62"/>
        <v>7.4361656877852377E-12</v>
      </c>
      <c r="S72" s="15">
        <f t="shared" si="63"/>
        <v>0</v>
      </c>
      <c r="T72" s="15">
        <f t="shared" si="64"/>
        <v>0</v>
      </c>
      <c r="U72" s="15">
        <f t="shared" si="65"/>
        <v>7.4361656877852377E-12</v>
      </c>
      <c r="V72" s="15">
        <f t="shared" si="66"/>
        <v>62151264.681578845</v>
      </c>
      <c r="W72" s="15">
        <f t="shared" si="43"/>
        <v>-62151264.681578845</v>
      </c>
      <c r="X72" s="15">
        <f t="shared" si="67"/>
        <v>3.7180828438926189E-12</v>
      </c>
      <c r="Y72" s="15">
        <f t="shared" si="44"/>
        <v>1115194206.0396073</v>
      </c>
      <c r="Z72" s="15">
        <f t="shared" si="68"/>
        <v>3.7180828438926189E-12</v>
      </c>
      <c r="AA72" s="72"/>
      <c r="AB72" s="15">
        <f t="shared" si="45"/>
        <v>0</v>
      </c>
      <c r="AC72" s="15">
        <f t="shared" si="69"/>
        <v>0</v>
      </c>
      <c r="AD72" s="15">
        <f t="shared" si="70"/>
        <v>0</v>
      </c>
      <c r="AF72" s="15">
        <f t="shared" si="71"/>
        <v>1.5175848342418854E-13</v>
      </c>
      <c r="AG72" s="15">
        <f t="shared" si="72"/>
        <v>0</v>
      </c>
      <c r="AH72" s="15">
        <f t="shared" si="73"/>
        <v>0</v>
      </c>
      <c r="AI72" s="15">
        <f t="shared" si="74"/>
        <v>0</v>
      </c>
      <c r="AJ72" s="15">
        <f t="shared" si="75"/>
        <v>0</v>
      </c>
      <c r="AK72" s="15">
        <f t="shared" si="76"/>
        <v>0</v>
      </c>
      <c r="AM72" s="15">
        <f t="shared" si="77"/>
        <v>1.5175848342418854E-13</v>
      </c>
      <c r="AN72" s="15">
        <f t="shared" si="78"/>
        <v>0</v>
      </c>
      <c r="AO72" s="15">
        <f t="shared" si="79"/>
        <v>0</v>
      </c>
      <c r="AP72" s="15">
        <f t="shared" si="28"/>
        <v>1.5175848342418854E-13</v>
      </c>
      <c r="AQ72" s="15">
        <f t="shared" si="80"/>
        <v>0</v>
      </c>
      <c r="AR72" s="15">
        <f t="shared" si="46"/>
        <v>0</v>
      </c>
      <c r="AS72" s="15">
        <f t="shared" si="81"/>
        <v>0</v>
      </c>
      <c r="AT72" s="15">
        <f t="shared" si="47"/>
        <v>0</v>
      </c>
      <c r="AU72" s="15">
        <f t="shared" si="82"/>
        <v>0</v>
      </c>
      <c r="AV72" s="72"/>
      <c r="AW72" s="15">
        <f t="shared" si="48"/>
        <v>1.5175848342418854E-13</v>
      </c>
      <c r="AX72" s="15">
        <f t="shared" si="83"/>
        <v>1.5175848342418854E-13</v>
      </c>
      <c r="AY72" s="15">
        <f t="shared" si="84"/>
        <v>0</v>
      </c>
      <c r="BA72" s="15">
        <f t="shared" si="49"/>
        <v>3.7180828438926189E-12</v>
      </c>
      <c r="BB72" s="15">
        <f t="shared" si="50"/>
        <v>1.5175848342418854E-13</v>
      </c>
      <c r="BC72" s="15">
        <f t="shared" si="85"/>
        <v>3.8698413273168076E-12</v>
      </c>
      <c r="BD72" s="15">
        <f t="shared" si="86"/>
        <v>0</v>
      </c>
      <c r="BE72" s="15">
        <f t="shared" si="87"/>
        <v>3.7180828438926189E-12</v>
      </c>
      <c r="BF72" s="15">
        <f t="shared" si="88"/>
        <v>0</v>
      </c>
      <c r="BG72" s="15">
        <f t="shared" si="51"/>
        <v>3.7180828438926189E-12</v>
      </c>
      <c r="BH72" s="15">
        <f t="shared" si="89"/>
        <v>-3.7939620856047132E-12</v>
      </c>
      <c r="BI72" s="15">
        <f t="shared" si="90"/>
        <v>3.7180828438926189E-12</v>
      </c>
      <c r="BJ72" s="15">
        <f t="shared" si="91"/>
        <v>-3.7939620856047132E-12</v>
      </c>
      <c r="BK72" s="15">
        <f t="shared" si="92"/>
        <v>0</v>
      </c>
    </row>
    <row r="73" spans="2:63" ht="15" customHeight="1">
      <c r="B73" s="16">
        <f t="shared" ref="B73:B104" si="94">$B72+1</f>
        <v>65</v>
      </c>
      <c r="C73" s="16">
        <f t="shared" ref="C73:C104" si="95">IF($B73&gt;0,1+TRUNC(($B73-1)/12),"")</f>
        <v>6</v>
      </c>
      <c r="D73" s="16">
        <f t="shared" ref="D73:D104" si="96">IF(AND(B73&gt;=c_offset,$B73&lt;=c_offset+c_lotyears*12),1,0)</f>
        <v>0</v>
      </c>
      <c r="E73" s="16">
        <f t="shared" si="93"/>
        <v>65</v>
      </c>
      <c r="G73" s="16">
        <f>M_MultDeal!BE74+IF($B73=1,-i_transfee*i_maxequity,0)</f>
        <v>0</v>
      </c>
      <c r="H73" s="16">
        <f>M_MultDeal!AO74</f>
        <v>-6.3750582927787023E-12</v>
      </c>
      <c r="I73" s="16">
        <f t="shared" si="42"/>
        <v>6.3750582927787023E-12</v>
      </c>
      <c r="K73" s="16">
        <f t="shared" ref="K73:K104" si="97">($G73-$H73)*i_pctequity_inst</f>
        <v>6.2475571269231283E-12</v>
      </c>
      <c r="L73" s="16">
        <f t="shared" ref="L73:L104" si="98">O72*c_hurdle1_inst/12</f>
        <v>0</v>
      </c>
      <c r="M73" s="16">
        <f t="shared" ref="M73:M104" si="99">N73-L73</f>
        <v>0</v>
      </c>
      <c r="N73" s="16">
        <f t="shared" ref="N73:N104" si="100">IF(OR(O72&gt;0,$B73=1),MIN(L73+O72,IF(K73&gt;0,K73*c_invsplit1_inst,K73)),0)</f>
        <v>0</v>
      </c>
      <c r="O73" s="16">
        <f t="shared" ref="O73:O104" si="101">O72-M73</f>
        <v>0</v>
      </c>
      <c r="P73" s="16">
        <f t="shared" ref="P73:P104" si="102">IF(AND(c_invsplit1_inst&gt;0,K73&gt;0),(1-c_invsplit1_inst)*N73/c_invsplit1_inst,0)</f>
        <v>0</v>
      </c>
      <c r="R73" s="16">
        <f t="shared" ref="R73:R104" si="103">K73-N73-P73</f>
        <v>6.2475571269231283E-12</v>
      </c>
      <c r="S73" s="16">
        <f t="shared" ref="S73:S104" si="104">S72+T72</f>
        <v>0</v>
      </c>
      <c r="T73" s="16">
        <f t="shared" ref="T73:T104" si="105">IF(i_promotecatchup,MAX(MIN(R73,i_split2_inst*N$117/(1-i_split2_inst)-S73),0),0)</f>
        <v>0</v>
      </c>
      <c r="U73" s="16">
        <f t="shared" ref="U73:U104" si="106">R73-T73</f>
        <v>6.2475571269231283E-12</v>
      </c>
      <c r="V73" s="16">
        <f t="shared" ref="V73:V104" si="107">Y72*c_hurdle2_inst/12</f>
        <v>65819471.883592971</v>
      </c>
      <c r="W73" s="16">
        <f t="shared" si="43"/>
        <v>-65819471.883592971</v>
      </c>
      <c r="X73" s="16">
        <f t="shared" ref="X73:X104" si="108">IF(Y72&gt;0,MIN(V73+Y72-N73,U73*IF(U73&gt;0,c_invsplit2_inst,1)),0)</f>
        <v>3.1237785634615642E-12</v>
      </c>
      <c r="Y73" s="16">
        <f t="shared" si="44"/>
        <v>1181013677.9232004</v>
      </c>
      <c r="Z73" s="16">
        <f t="shared" ref="Z73:Z104" si="109">IF(AND(c_invsplit2_inst&gt;0,X73&gt;0),(1-c_invsplit2_inst)*X73/c_invsplit2_inst,0)</f>
        <v>3.1237785634615642E-12</v>
      </c>
      <c r="AA73" s="72"/>
      <c r="AB73" s="16">
        <f t="shared" si="45"/>
        <v>0</v>
      </c>
      <c r="AC73" s="16">
        <f t="shared" ref="AC73:AC104" si="110">AB73*c_invsplit3_inst</f>
        <v>0</v>
      </c>
      <c r="AD73" s="16">
        <f t="shared" ref="AD73:AD104" si="111">AB73-AC73</f>
        <v>0</v>
      </c>
      <c r="AF73" s="15">
        <f t="shared" ref="AF73:AF104" si="112">($G73-$H73)*i_pctequity_hnw</f>
        <v>1.2750116585557405E-13</v>
      </c>
      <c r="AG73" s="16">
        <f t="shared" ref="AG73:AG104" si="113">AJ72*c_hurdle1_hnw/12</f>
        <v>0</v>
      </c>
      <c r="AH73" s="16">
        <f t="shared" ref="AH73:AH104" si="114">AI73-AG73</f>
        <v>0</v>
      </c>
      <c r="AI73" s="16">
        <f t="shared" ref="AI73:AI104" si="115">IF(OR(AJ72&gt;0,$B73=1),MIN(AG73+AJ72,IF(AF73&gt;0,AF73*c_invsplit1_hnw,AF73)),0)</f>
        <v>0</v>
      </c>
      <c r="AJ73" s="16">
        <f t="shared" ref="AJ73:AJ104" si="116">AJ72-AH73</f>
        <v>0</v>
      </c>
      <c r="AK73" s="16">
        <f t="shared" ref="AK73:AK104" si="117">IF(AND(c_invsplit1_hnw&gt;0,AF73&gt;0),(1-c_invsplit1_hnw)*AI73/c_invsplit1_hnw,0)</f>
        <v>0</v>
      </c>
      <c r="AM73" s="16">
        <f t="shared" ref="AM73:AM104" si="118">AF73-AI73-AK73</f>
        <v>1.2750116585557405E-13</v>
      </c>
      <c r="AN73" s="16">
        <f t="shared" ref="AN73:AN104" si="119">AN72+AO72</f>
        <v>0</v>
      </c>
      <c r="AO73" s="16">
        <f t="shared" ref="AO73:AO104" si="120">IF(i_promotecatchup,MAX(MIN(AM73,i_split2_hnw*AI$117/(1-i_split2_hnw)-AN73),0),0)</f>
        <v>0</v>
      </c>
      <c r="AP73" s="16">
        <f t="shared" ref="AP73:AP116" si="121">AM73-AO73</f>
        <v>1.2750116585557405E-13</v>
      </c>
      <c r="AQ73" s="16">
        <f t="shared" ref="AQ73:AQ104" si="122">AT72*c_hurdle2_hnw/12</f>
        <v>0</v>
      </c>
      <c r="AR73" s="16">
        <f t="shared" si="46"/>
        <v>0</v>
      </c>
      <c r="AS73" s="16">
        <f t="shared" ref="AS73:AS104" si="123">IF(AT72&gt;0,MIN(AQ73+AT72-AI73,AP73*IF(AP73&gt;0,c_invsplit2_hnw,1)),0)</f>
        <v>0</v>
      </c>
      <c r="AT73" s="16">
        <f t="shared" si="47"/>
        <v>0</v>
      </c>
      <c r="AU73" s="16">
        <f t="shared" ref="AU73:AU104" si="124">IF(AND(c_invsplit2_hnw&gt;0,AS73&gt;0),(1-c_invsplit2_hnw)*AS73/c_invsplit2_hnw,0)</f>
        <v>0</v>
      </c>
      <c r="AV73" s="72"/>
      <c r="AW73" s="16">
        <f t="shared" si="48"/>
        <v>1.2750116585557405E-13</v>
      </c>
      <c r="AX73" s="16">
        <f t="shared" ref="AX73:AX104" si="125">AW73*c_invsplit3_hnw</f>
        <v>1.2750116585557405E-13</v>
      </c>
      <c r="AY73" s="16">
        <f t="shared" ref="AY73:AY104" si="126">AW73-AX73</f>
        <v>0</v>
      </c>
      <c r="BA73" s="16">
        <f t="shared" si="49"/>
        <v>3.1237785634615642E-12</v>
      </c>
      <c r="BB73" s="16">
        <f t="shared" si="50"/>
        <v>1.2750116585557405E-13</v>
      </c>
      <c r="BC73" s="16">
        <f t="shared" ref="BC73:BC104" si="127">BB73+BA73</f>
        <v>3.2512797293171381E-12</v>
      </c>
      <c r="BD73" s="16">
        <f t="shared" ref="BD73:BD104" si="128">MAX(0,BD72-BC73)</f>
        <v>0</v>
      </c>
      <c r="BE73" s="16">
        <f t="shared" ref="BE73:BE104" si="129">P73+T73+Z73+AD73</f>
        <v>3.1237785634615642E-12</v>
      </c>
      <c r="BF73" s="16">
        <f t="shared" ref="BF73:BF104" si="130">AK73+AO73+AU73+AY73</f>
        <v>0</v>
      </c>
      <c r="BG73" s="16">
        <f t="shared" si="51"/>
        <v>3.1237785634615642E-12</v>
      </c>
      <c r="BH73" s="16">
        <f t="shared" ref="BH73:BH104" si="131">i_gpmgtfeepcta*H73</f>
        <v>-3.1875291463893511E-12</v>
      </c>
      <c r="BI73" s="16">
        <f t="shared" ref="BI73:BI104" si="132">i_gppromotepcta*BG73</f>
        <v>3.1237785634615642E-12</v>
      </c>
      <c r="BJ73" s="16">
        <f t="shared" ref="BJ73:BJ104" si="133">i_gpmgtfeepctb*H73</f>
        <v>-3.1875291463893511E-12</v>
      </c>
      <c r="BK73" s="16">
        <f t="shared" ref="BK73:BK104" si="134">i_gppromotepctb*$BG73</f>
        <v>0</v>
      </c>
    </row>
    <row r="74" spans="2:63" ht="15" customHeight="1">
      <c r="B74" s="17">
        <f t="shared" si="94"/>
        <v>66</v>
      </c>
      <c r="C74" s="17">
        <f t="shared" si="95"/>
        <v>6</v>
      </c>
      <c r="D74" s="17">
        <f t="shared" si="96"/>
        <v>0</v>
      </c>
      <c r="E74" s="17">
        <f t="shared" si="93"/>
        <v>66</v>
      </c>
      <c r="G74" s="17">
        <f>M_MultDeal!BE75+IF($B74=1,-i_transfee*i_maxequity,0)</f>
        <v>0</v>
      </c>
      <c r="H74" s="17">
        <f>M_MultDeal!AO75</f>
        <v>-5.1621924143479781E-12</v>
      </c>
      <c r="I74" s="17">
        <f t="shared" ref="I74:I116" si="135">G74-H74</f>
        <v>5.1621924143479781E-12</v>
      </c>
      <c r="K74" s="17">
        <f t="shared" si="97"/>
        <v>5.0589485660610181E-12</v>
      </c>
      <c r="L74" s="17">
        <f t="shared" si="98"/>
        <v>0</v>
      </c>
      <c r="M74" s="17">
        <f t="shared" si="99"/>
        <v>0</v>
      </c>
      <c r="N74" s="17">
        <f t="shared" si="100"/>
        <v>0</v>
      </c>
      <c r="O74" s="17">
        <f t="shared" si="101"/>
        <v>0</v>
      </c>
      <c r="P74" s="17">
        <f t="shared" si="102"/>
        <v>0</v>
      </c>
      <c r="R74" s="17">
        <f t="shared" si="103"/>
        <v>5.0589485660610181E-12</v>
      </c>
      <c r="S74" s="17">
        <f t="shared" si="104"/>
        <v>0</v>
      </c>
      <c r="T74" s="17">
        <f t="shared" si="105"/>
        <v>0</v>
      </c>
      <c r="U74" s="17">
        <f t="shared" si="106"/>
        <v>5.0589485660610181E-12</v>
      </c>
      <c r="V74" s="17">
        <f t="shared" si="107"/>
        <v>69704179.009556308</v>
      </c>
      <c r="W74" s="17">
        <f t="shared" ref="W74:W116" si="136">IF($B74&lt;&gt;1,N74+X74-V74,0)</f>
        <v>-69704179.009556308</v>
      </c>
      <c r="X74" s="17">
        <f t="shared" si="108"/>
        <v>2.5294742830305091E-12</v>
      </c>
      <c r="Y74" s="17">
        <f t="shared" ref="Y74:Y116" si="137">Y73-W74</f>
        <v>1250717856.9327567</v>
      </c>
      <c r="Z74" s="17">
        <f t="shared" si="109"/>
        <v>2.5294742830305091E-12</v>
      </c>
      <c r="AA74" s="72"/>
      <c r="AB74" s="17">
        <f t="shared" ref="AB74:AB116" si="138">U74-X74-Z74</f>
        <v>0</v>
      </c>
      <c r="AC74" s="17">
        <f t="shared" si="110"/>
        <v>0</v>
      </c>
      <c r="AD74" s="17">
        <f t="shared" si="111"/>
        <v>0</v>
      </c>
      <c r="AF74" s="15">
        <f t="shared" si="112"/>
        <v>1.0324384828695956E-13</v>
      </c>
      <c r="AG74" s="17">
        <f t="shared" si="113"/>
        <v>0</v>
      </c>
      <c r="AH74" s="17">
        <f t="shared" si="114"/>
        <v>0</v>
      </c>
      <c r="AI74" s="17">
        <f t="shared" si="115"/>
        <v>0</v>
      </c>
      <c r="AJ74" s="17">
        <f t="shared" si="116"/>
        <v>0</v>
      </c>
      <c r="AK74" s="17">
        <f t="shared" si="117"/>
        <v>0</v>
      </c>
      <c r="AM74" s="17">
        <f t="shared" si="118"/>
        <v>1.0324384828695956E-13</v>
      </c>
      <c r="AN74" s="17">
        <f t="shared" si="119"/>
        <v>0</v>
      </c>
      <c r="AO74" s="17">
        <f t="shared" si="120"/>
        <v>0</v>
      </c>
      <c r="AP74" s="17">
        <f t="shared" si="121"/>
        <v>1.0324384828695956E-13</v>
      </c>
      <c r="AQ74" s="17">
        <f t="shared" si="122"/>
        <v>0</v>
      </c>
      <c r="AR74" s="17">
        <f t="shared" ref="AR74:AR116" si="139">AI74+AS74-AQ74</f>
        <v>0</v>
      </c>
      <c r="AS74" s="17">
        <f t="shared" si="123"/>
        <v>0</v>
      </c>
      <c r="AT74" s="17">
        <f t="shared" ref="AT74:AT116" si="140">AT73-AR74</f>
        <v>0</v>
      </c>
      <c r="AU74" s="17">
        <f t="shared" si="124"/>
        <v>0</v>
      </c>
      <c r="AV74" s="72"/>
      <c r="AW74" s="17">
        <f t="shared" ref="AW74:AW116" si="141">AP74-AS74-AU74</f>
        <v>1.0324384828695956E-13</v>
      </c>
      <c r="AX74" s="17">
        <f t="shared" si="125"/>
        <v>1.0324384828695956E-13</v>
      </c>
      <c r="AY74" s="17">
        <f t="shared" si="126"/>
        <v>0</v>
      </c>
      <c r="BA74" s="17">
        <f t="shared" ref="BA74:BA116" si="142">N74+X74+AC74</f>
        <v>2.5294742830305091E-12</v>
      </c>
      <c r="BB74" s="17">
        <f t="shared" ref="BB74:BB116" si="143">AI74+AS74+AX74</f>
        <v>1.0324384828695956E-13</v>
      </c>
      <c r="BC74" s="17">
        <f t="shared" si="127"/>
        <v>2.6327181313174686E-12</v>
      </c>
      <c r="BD74" s="17">
        <f t="shared" si="128"/>
        <v>0</v>
      </c>
      <c r="BE74" s="17">
        <f t="shared" si="129"/>
        <v>2.5294742830305091E-12</v>
      </c>
      <c r="BF74" s="17">
        <f t="shared" si="130"/>
        <v>0</v>
      </c>
      <c r="BG74" s="17">
        <f t="shared" ref="BG74:BG116" si="144">BF74+BE74</f>
        <v>2.5294742830305091E-12</v>
      </c>
      <c r="BH74" s="17">
        <f t="shared" si="131"/>
        <v>-2.581096207173989E-12</v>
      </c>
      <c r="BI74" s="17">
        <f t="shared" si="132"/>
        <v>2.5294742830305091E-12</v>
      </c>
      <c r="BJ74" s="17">
        <f t="shared" si="133"/>
        <v>-2.581096207173989E-12</v>
      </c>
      <c r="BK74" s="17">
        <f t="shared" si="134"/>
        <v>0</v>
      </c>
    </row>
    <row r="75" spans="2:63" ht="15" customHeight="1">
      <c r="B75" s="15">
        <f t="shared" si="94"/>
        <v>67</v>
      </c>
      <c r="C75" s="15">
        <f t="shared" si="95"/>
        <v>6</v>
      </c>
      <c r="D75" s="15">
        <f t="shared" si="96"/>
        <v>0</v>
      </c>
      <c r="E75" s="15">
        <f t="shared" si="93"/>
        <v>67</v>
      </c>
      <c r="G75" s="15">
        <f>M_MultDeal!BE76+IF($B75=1,-i_transfee*i_maxequity,0)</f>
        <v>0</v>
      </c>
      <c r="H75" s="15">
        <f>M_MultDeal!AO76</f>
        <v>-3.9493265359172538E-12</v>
      </c>
      <c r="I75" s="15">
        <f t="shared" si="135"/>
        <v>3.9493265359172538E-12</v>
      </c>
      <c r="K75" s="15">
        <f t="shared" si="97"/>
        <v>3.8703400051989088E-12</v>
      </c>
      <c r="L75" s="15">
        <f t="shared" si="98"/>
        <v>0</v>
      </c>
      <c r="M75" s="15">
        <f t="shared" si="99"/>
        <v>0</v>
      </c>
      <c r="N75" s="15">
        <f t="shared" si="100"/>
        <v>0</v>
      </c>
      <c r="O75" s="15">
        <f t="shared" si="101"/>
        <v>0</v>
      </c>
      <c r="P75" s="15">
        <f t="shared" si="102"/>
        <v>0</v>
      </c>
      <c r="R75" s="15">
        <f t="shared" si="103"/>
        <v>3.8703400051989088E-12</v>
      </c>
      <c r="S75" s="15">
        <f t="shared" si="104"/>
        <v>0</v>
      </c>
      <c r="T75" s="15">
        <f t="shared" si="105"/>
        <v>0</v>
      </c>
      <c r="U75" s="15">
        <f t="shared" si="106"/>
        <v>3.8703400051989088E-12</v>
      </c>
      <c r="V75" s="15">
        <f t="shared" si="107"/>
        <v>73818164.022786811</v>
      </c>
      <c r="W75" s="15">
        <f t="shared" si="136"/>
        <v>-73818164.022786811</v>
      </c>
      <c r="X75" s="15">
        <f t="shared" si="108"/>
        <v>1.9351700025994544E-12</v>
      </c>
      <c r="Y75" s="15">
        <f t="shared" si="137"/>
        <v>1324536020.9555435</v>
      </c>
      <c r="Z75" s="15">
        <f t="shared" si="109"/>
        <v>1.9351700025994544E-12</v>
      </c>
      <c r="AA75" s="72"/>
      <c r="AB75" s="15">
        <f t="shared" si="138"/>
        <v>0</v>
      </c>
      <c r="AC75" s="15">
        <f t="shared" si="110"/>
        <v>0</v>
      </c>
      <c r="AD75" s="15">
        <f t="shared" si="111"/>
        <v>0</v>
      </c>
      <c r="AF75" s="15">
        <f t="shared" si="112"/>
        <v>7.8986530718345077E-14</v>
      </c>
      <c r="AG75" s="15">
        <f t="shared" si="113"/>
        <v>0</v>
      </c>
      <c r="AH75" s="15">
        <f t="shared" si="114"/>
        <v>0</v>
      </c>
      <c r="AI75" s="15">
        <f t="shared" si="115"/>
        <v>0</v>
      </c>
      <c r="AJ75" s="15">
        <f t="shared" si="116"/>
        <v>0</v>
      </c>
      <c r="AK75" s="15">
        <f t="shared" si="117"/>
        <v>0</v>
      </c>
      <c r="AM75" s="15">
        <f t="shared" si="118"/>
        <v>7.8986530718345077E-14</v>
      </c>
      <c r="AN75" s="15">
        <f t="shared" si="119"/>
        <v>0</v>
      </c>
      <c r="AO75" s="15">
        <f t="shared" si="120"/>
        <v>0</v>
      </c>
      <c r="AP75" s="15">
        <f t="shared" si="121"/>
        <v>7.8986530718345077E-14</v>
      </c>
      <c r="AQ75" s="15">
        <f t="shared" si="122"/>
        <v>0</v>
      </c>
      <c r="AR75" s="15">
        <f t="shared" si="139"/>
        <v>0</v>
      </c>
      <c r="AS75" s="15">
        <f t="shared" si="123"/>
        <v>0</v>
      </c>
      <c r="AT75" s="15">
        <f t="shared" si="140"/>
        <v>0</v>
      </c>
      <c r="AU75" s="15">
        <f t="shared" si="124"/>
        <v>0</v>
      </c>
      <c r="AV75" s="72"/>
      <c r="AW75" s="15">
        <f t="shared" si="141"/>
        <v>7.8986530718345077E-14</v>
      </c>
      <c r="AX75" s="15">
        <f t="shared" si="125"/>
        <v>7.8986530718345077E-14</v>
      </c>
      <c r="AY75" s="15">
        <f t="shared" si="126"/>
        <v>0</v>
      </c>
      <c r="BA75" s="15">
        <f t="shared" si="142"/>
        <v>1.9351700025994544E-12</v>
      </c>
      <c r="BB75" s="15">
        <f t="shared" si="143"/>
        <v>7.8986530718345077E-14</v>
      </c>
      <c r="BC75" s="15">
        <f t="shared" si="127"/>
        <v>2.0141565333177995E-12</v>
      </c>
      <c r="BD75" s="15">
        <f t="shared" si="128"/>
        <v>0</v>
      </c>
      <c r="BE75" s="15">
        <f t="shared" si="129"/>
        <v>1.9351700025994544E-12</v>
      </c>
      <c r="BF75" s="15">
        <f t="shared" si="130"/>
        <v>0</v>
      </c>
      <c r="BG75" s="15">
        <f t="shared" si="144"/>
        <v>1.9351700025994544E-12</v>
      </c>
      <c r="BH75" s="15">
        <f t="shared" si="131"/>
        <v>-1.9746632679586269E-12</v>
      </c>
      <c r="BI75" s="15">
        <f t="shared" si="132"/>
        <v>1.9351700025994544E-12</v>
      </c>
      <c r="BJ75" s="15">
        <f t="shared" si="133"/>
        <v>-1.9746632679586269E-12</v>
      </c>
      <c r="BK75" s="15">
        <f t="shared" si="134"/>
        <v>0</v>
      </c>
    </row>
    <row r="76" spans="2:63" ht="15" customHeight="1">
      <c r="B76" s="16">
        <f t="shared" si="94"/>
        <v>68</v>
      </c>
      <c r="C76" s="16">
        <f t="shared" si="95"/>
        <v>6</v>
      </c>
      <c r="D76" s="16">
        <f t="shared" si="96"/>
        <v>0</v>
      </c>
      <c r="E76" s="16">
        <f t="shared" si="93"/>
        <v>68</v>
      </c>
      <c r="G76" s="16">
        <f>M_MultDeal!BE77+IF($B76=1,-i_transfee*i_maxequity,0)</f>
        <v>0</v>
      </c>
      <c r="H76" s="16">
        <f>M_MultDeal!AO77</f>
        <v>-2.7364606574865304E-12</v>
      </c>
      <c r="I76" s="16">
        <f t="shared" si="135"/>
        <v>2.7364606574865304E-12</v>
      </c>
      <c r="K76" s="16">
        <f t="shared" si="97"/>
        <v>2.6817314443367998E-12</v>
      </c>
      <c r="L76" s="16">
        <f t="shared" si="98"/>
        <v>0</v>
      </c>
      <c r="M76" s="16">
        <f t="shared" si="99"/>
        <v>0</v>
      </c>
      <c r="N76" s="16">
        <f t="shared" si="100"/>
        <v>0</v>
      </c>
      <c r="O76" s="16">
        <f t="shared" si="101"/>
        <v>0</v>
      </c>
      <c r="P76" s="16">
        <f t="shared" si="102"/>
        <v>0</v>
      </c>
      <c r="R76" s="16">
        <f t="shared" si="103"/>
        <v>2.6817314443367998E-12</v>
      </c>
      <c r="S76" s="16">
        <f t="shared" si="104"/>
        <v>0</v>
      </c>
      <c r="T76" s="16">
        <f t="shared" si="105"/>
        <v>0</v>
      </c>
      <c r="U76" s="16">
        <f t="shared" si="106"/>
        <v>2.6817314443367998E-12</v>
      </c>
      <c r="V76" s="16">
        <f t="shared" si="107"/>
        <v>78174959.050130874</v>
      </c>
      <c r="W76" s="16">
        <f t="shared" si="136"/>
        <v>-78174959.050130874</v>
      </c>
      <c r="X76" s="16">
        <f t="shared" si="108"/>
        <v>1.3408657221683999E-12</v>
      </c>
      <c r="Y76" s="16">
        <f t="shared" si="137"/>
        <v>1402710980.0056744</v>
      </c>
      <c r="Z76" s="16">
        <f t="shared" si="109"/>
        <v>1.3408657221683999E-12</v>
      </c>
      <c r="AA76" s="72"/>
      <c r="AB76" s="16">
        <f t="shared" si="138"/>
        <v>0</v>
      </c>
      <c r="AC76" s="16">
        <f t="shared" si="110"/>
        <v>0</v>
      </c>
      <c r="AD76" s="16">
        <f t="shared" si="111"/>
        <v>0</v>
      </c>
      <c r="AF76" s="15">
        <f t="shared" si="112"/>
        <v>5.4729213149730609E-14</v>
      </c>
      <c r="AG76" s="16">
        <f t="shared" si="113"/>
        <v>0</v>
      </c>
      <c r="AH76" s="16">
        <f t="shared" si="114"/>
        <v>0</v>
      </c>
      <c r="AI76" s="16">
        <f t="shared" si="115"/>
        <v>0</v>
      </c>
      <c r="AJ76" s="16">
        <f t="shared" si="116"/>
        <v>0</v>
      </c>
      <c r="AK76" s="16">
        <f t="shared" si="117"/>
        <v>0</v>
      </c>
      <c r="AM76" s="16">
        <f t="shared" si="118"/>
        <v>5.4729213149730609E-14</v>
      </c>
      <c r="AN76" s="16">
        <f t="shared" si="119"/>
        <v>0</v>
      </c>
      <c r="AO76" s="16">
        <f t="shared" si="120"/>
        <v>0</v>
      </c>
      <c r="AP76" s="16">
        <f t="shared" si="121"/>
        <v>5.4729213149730609E-14</v>
      </c>
      <c r="AQ76" s="16">
        <f t="shared" si="122"/>
        <v>0</v>
      </c>
      <c r="AR76" s="16">
        <f t="shared" si="139"/>
        <v>0</v>
      </c>
      <c r="AS76" s="16">
        <f t="shared" si="123"/>
        <v>0</v>
      </c>
      <c r="AT76" s="16">
        <f t="shared" si="140"/>
        <v>0</v>
      </c>
      <c r="AU76" s="16">
        <f t="shared" si="124"/>
        <v>0</v>
      </c>
      <c r="AV76" s="72"/>
      <c r="AW76" s="16">
        <f t="shared" si="141"/>
        <v>5.4729213149730609E-14</v>
      </c>
      <c r="AX76" s="16">
        <f t="shared" si="125"/>
        <v>5.4729213149730609E-14</v>
      </c>
      <c r="AY76" s="16">
        <f t="shared" si="126"/>
        <v>0</v>
      </c>
      <c r="BA76" s="16">
        <f t="shared" si="142"/>
        <v>1.3408657221683999E-12</v>
      </c>
      <c r="BB76" s="16">
        <f t="shared" si="143"/>
        <v>5.4729213149730609E-14</v>
      </c>
      <c r="BC76" s="16">
        <f t="shared" si="127"/>
        <v>1.3955949353181305E-12</v>
      </c>
      <c r="BD76" s="16">
        <f t="shared" si="128"/>
        <v>0</v>
      </c>
      <c r="BE76" s="16">
        <f t="shared" si="129"/>
        <v>1.3408657221683999E-12</v>
      </c>
      <c r="BF76" s="16">
        <f t="shared" si="130"/>
        <v>0</v>
      </c>
      <c r="BG76" s="16">
        <f t="shared" si="144"/>
        <v>1.3408657221683999E-12</v>
      </c>
      <c r="BH76" s="16">
        <f t="shared" si="131"/>
        <v>-1.3682303287432652E-12</v>
      </c>
      <c r="BI76" s="16">
        <f t="shared" si="132"/>
        <v>1.3408657221683999E-12</v>
      </c>
      <c r="BJ76" s="16">
        <f t="shared" si="133"/>
        <v>-1.3682303287432652E-12</v>
      </c>
      <c r="BK76" s="16">
        <f t="shared" si="134"/>
        <v>0</v>
      </c>
    </row>
    <row r="77" spans="2:63" ht="15" customHeight="1">
      <c r="B77" s="17">
        <f t="shared" si="94"/>
        <v>69</v>
      </c>
      <c r="C77" s="17">
        <f t="shared" si="95"/>
        <v>6</v>
      </c>
      <c r="D77" s="17">
        <f t="shared" si="96"/>
        <v>0</v>
      </c>
      <c r="E77" s="17">
        <f t="shared" si="93"/>
        <v>69</v>
      </c>
      <c r="G77" s="17">
        <f>M_MultDeal!BE78+IF($B77=1,-i_transfee*i_maxequity,0)</f>
        <v>0</v>
      </c>
      <c r="H77" s="17">
        <f>M_MultDeal!AO78</f>
        <v>-1.5235947790558068E-12</v>
      </c>
      <c r="I77" s="17">
        <f t="shared" si="135"/>
        <v>1.5235947790558068E-12</v>
      </c>
      <c r="K77" s="17">
        <f t="shared" si="97"/>
        <v>1.4931228834746906E-12</v>
      </c>
      <c r="L77" s="17">
        <f t="shared" si="98"/>
        <v>0</v>
      </c>
      <c r="M77" s="17">
        <f t="shared" si="99"/>
        <v>0</v>
      </c>
      <c r="N77" s="17">
        <f t="shared" si="100"/>
        <v>0</v>
      </c>
      <c r="O77" s="17">
        <f t="shared" si="101"/>
        <v>0</v>
      </c>
      <c r="P77" s="17">
        <f t="shared" si="102"/>
        <v>0</v>
      </c>
      <c r="R77" s="17">
        <f t="shared" si="103"/>
        <v>1.4931228834746906E-12</v>
      </c>
      <c r="S77" s="17">
        <f t="shared" si="104"/>
        <v>0</v>
      </c>
      <c r="T77" s="17">
        <f t="shared" si="105"/>
        <v>0</v>
      </c>
      <c r="U77" s="17">
        <f t="shared" si="106"/>
        <v>1.4931228834746906E-12</v>
      </c>
      <c r="V77" s="17">
        <f t="shared" si="107"/>
        <v>82788894.893174857</v>
      </c>
      <c r="W77" s="17">
        <f t="shared" si="136"/>
        <v>-82788894.893174857</v>
      </c>
      <c r="X77" s="17">
        <f t="shared" si="108"/>
        <v>7.465614417373453E-13</v>
      </c>
      <c r="Y77" s="17">
        <f t="shared" si="137"/>
        <v>1485499874.8988492</v>
      </c>
      <c r="Z77" s="17">
        <f t="shared" si="109"/>
        <v>7.465614417373453E-13</v>
      </c>
      <c r="AA77" s="72"/>
      <c r="AB77" s="17">
        <f t="shared" si="138"/>
        <v>0</v>
      </c>
      <c r="AC77" s="17">
        <f t="shared" si="110"/>
        <v>0</v>
      </c>
      <c r="AD77" s="17">
        <f t="shared" si="111"/>
        <v>0</v>
      </c>
      <c r="AF77" s="15">
        <f t="shared" si="112"/>
        <v>3.0471895581116135E-14</v>
      </c>
      <c r="AG77" s="17">
        <f t="shared" si="113"/>
        <v>0</v>
      </c>
      <c r="AH77" s="17">
        <f t="shared" si="114"/>
        <v>0</v>
      </c>
      <c r="AI77" s="17">
        <f t="shared" si="115"/>
        <v>0</v>
      </c>
      <c r="AJ77" s="17">
        <f t="shared" si="116"/>
        <v>0</v>
      </c>
      <c r="AK77" s="17">
        <f t="shared" si="117"/>
        <v>0</v>
      </c>
      <c r="AM77" s="17">
        <f t="shared" si="118"/>
        <v>3.0471895581116135E-14</v>
      </c>
      <c r="AN77" s="17">
        <f t="shared" si="119"/>
        <v>0</v>
      </c>
      <c r="AO77" s="17">
        <f t="shared" si="120"/>
        <v>0</v>
      </c>
      <c r="AP77" s="17">
        <f t="shared" si="121"/>
        <v>3.0471895581116135E-14</v>
      </c>
      <c r="AQ77" s="17">
        <f t="shared" si="122"/>
        <v>0</v>
      </c>
      <c r="AR77" s="17">
        <f t="shared" si="139"/>
        <v>0</v>
      </c>
      <c r="AS77" s="17">
        <f t="shared" si="123"/>
        <v>0</v>
      </c>
      <c r="AT77" s="17">
        <f t="shared" si="140"/>
        <v>0</v>
      </c>
      <c r="AU77" s="17">
        <f t="shared" si="124"/>
        <v>0</v>
      </c>
      <c r="AV77" s="72"/>
      <c r="AW77" s="17">
        <f t="shared" si="141"/>
        <v>3.0471895581116135E-14</v>
      </c>
      <c r="AX77" s="17">
        <f t="shared" si="125"/>
        <v>3.0471895581116135E-14</v>
      </c>
      <c r="AY77" s="17">
        <f t="shared" si="126"/>
        <v>0</v>
      </c>
      <c r="BA77" s="17">
        <f t="shared" si="142"/>
        <v>7.465614417373453E-13</v>
      </c>
      <c r="BB77" s="17">
        <f t="shared" si="143"/>
        <v>3.0471895581116135E-14</v>
      </c>
      <c r="BC77" s="17">
        <f t="shared" si="127"/>
        <v>7.770333373184614E-13</v>
      </c>
      <c r="BD77" s="17">
        <f t="shared" si="128"/>
        <v>0</v>
      </c>
      <c r="BE77" s="17">
        <f t="shared" si="129"/>
        <v>7.465614417373453E-13</v>
      </c>
      <c r="BF77" s="17">
        <f t="shared" si="130"/>
        <v>0</v>
      </c>
      <c r="BG77" s="17">
        <f t="shared" si="144"/>
        <v>7.465614417373453E-13</v>
      </c>
      <c r="BH77" s="17">
        <f t="shared" si="131"/>
        <v>-7.617973895279034E-13</v>
      </c>
      <c r="BI77" s="17">
        <f t="shared" si="132"/>
        <v>7.465614417373453E-13</v>
      </c>
      <c r="BJ77" s="17">
        <f t="shared" si="133"/>
        <v>-7.617973895279034E-13</v>
      </c>
      <c r="BK77" s="17">
        <f t="shared" si="134"/>
        <v>0</v>
      </c>
    </row>
    <row r="78" spans="2:63" ht="15" customHeight="1">
      <c r="B78" s="15">
        <f t="shared" si="94"/>
        <v>70</v>
      </c>
      <c r="C78" s="15">
        <f t="shared" si="95"/>
        <v>6</v>
      </c>
      <c r="D78" s="15">
        <f t="shared" si="96"/>
        <v>0</v>
      </c>
      <c r="E78" s="15">
        <f t="shared" si="93"/>
        <v>70</v>
      </c>
      <c r="G78" s="15">
        <f>M_MultDeal!BE79+IF($B78=1,-i_transfee*i_maxequity,0)</f>
        <v>0</v>
      </c>
      <c r="H78" s="15">
        <f>M_MultDeal!AO79</f>
        <v>-3.1072890062508293E-13</v>
      </c>
      <c r="I78" s="15">
        <f t="shared" si="135"/>
        <v>3.1072890062508293E-13</v>
      </c>
      <c r="K78" s="15">
        <f t="shared" si="97"/>
        <v>3.0451432261258126E-13</v>
      </c>
      <c r="L78" s="15">
        <f t="shared" si="98"/>
        <v>0</v>
      </c>
      <c r="M78" s="15">
        <f t="shared" si="99"/>
        <v>0</v>
      </c>
      <c r="N78" s="15">
        <f t="shared" si="100"/>
        <v>0</v>
      </c>
      <c r="O78" s="15">
        <f t="shared" si="101"/>
        <v>0</v>
      </c>
      <c r="P78" s="15">
        <f t="shared" si="102"/>
        <v>0</v>
      </c>
      <c r="R78" s="15">
        <f t="shared" si="103"/>
        <v>3.0451432261258126E-13</v>
      </c>
      <c r="S78" s="15">
        <f t="shared" si="104"/>
        <v>0</v>
      </c>
      <c r="T78" s="15">
        <f t="shared" si="105"/>
        <v>0</v>
      </c>
      <c r="U78" s="15">
        <f t="shared" si="106"/>
        <v>3.0451432261258126E-13</v>
      </c>
      <c r="V78" s="15">
        <f t="shared" si="107"/>
        <v>87675148.166536584</v>
      </c>
      <c r="W78" s="15">
        <f t="shared" si="136"/>
        <v>-87675148.166536584</v>
      </c>
      <c r="X78" s="15">
        <f t="shared" si="108"/>
        <v>1.5225716130629063E-13</v>
      </c>
      <c r="Y78" s="15">
        <f t="shared" si="137"/>
        <v>1573175023.0653858</v>
      </c>
      <c r="Z78" s="15">
        <f t="shared" si="109"/>
        <v>1.5225716130629063E-13</v>
      </c>
      <c r="AA78" s="72"/>
      <c r="AB78" s="15">
        <f t="shared" si="138"/>
        <v>0</v>
      </c>
      <c r="AC78" s="15">
        <f t="shared" si="110"/>
        <v>0</v>
      </c>
      <c r="AD78" s="15">
        <f t="shared" si="111"/>
        <v>0</v>
      </c>
      <c r="AF78" s="15">
        <f t="shared" si="112"/>
        <v>6.214578012501659E-15</v>
      </c>
      <c r="AG78" s="15">
        <f t="shared" si="113"/>
        <v>0</v>
      </c>
      <c r="AH78" s="15">
        <f t="shared" si="114"/>
        <v>0</v>
      </c>
      <c r="AI78" s="15">
        <f t="shared" si="115"/>
        <v>0</v>
      </c>
      <c r="AJ78" s="15">
        <f t="shared" si="116"/>
        <v>0</v>
      </c>
      <c r="AK78" s="15">
        <f t="shared" si="117"/>
        <v>0</v>
      </c>
      <c r="AM78" s="15">
        <f t="shared" si="118"/>
        <v>6.214578012501659E-15</v>
      </c>
      <c r="AN78" s="15">
        <f t="shared" si="119"/>
        <v>0</v>
      </c>
      <c r="AO78" s="15">
        <f t="shared" si="120"/>
        <v>0</v>
      </c>
      <c r="AP78" s="15">
        <f t="shared" si="121"/>
        <v>6.214578012501659E-15</v>
      </c>
      <c r="AQ78" s="15">
        <f t="shared" si="122"/>
        <v>0</v>
      </c>
      <c r="AR78" s="15">
        <f t="shared" si="139"/>
        <v>0</v>
      </c>
      <c r="AS78" s="15">
        <f t="shared" si="123"/>
        <v>0</v>
      </c>
      <c r="AT78" s="15">
        <f t="shared" si="140"/>
        <v>0</v>
      </c>
      <c r="AU78" s="15">
        <f t="shared" si="124"/>
        <v>0</v>
      </c>
      <c r="AV78" s="72"/>
      <c r="AW78" s="15">
        <f t="shared" si="141"/>
        <v>6.214578012501659E-15</v>
      </c>
      <c r="AX78" s="15">
        <f t="shared" si="125"/>
        <v>6.214578012501659E-15</v>
      </c>
      <c r="AY78" s="15">
        <f t="shared" si="126"/>
        <v>0</v>
      </c>
      <c r="BA78" s="15">
        <f t="shared" si="142"/>
        <v>1.5225716130629063E-13</v>
      </c>
      <c r="BB78" s="15">
        <f t="shared" si="143"/>
        <v>6.214578012501659E-15</v>
      </c>
      <c r="BC78" s="15">
        <f t="shared" si="127"/>
        <v>1.584717393187923E-13</v>
      </c>
      <c r="BD78" s="15">
        <f t="shared" si="128"/>
        <v>0</v>
      </c>
      <c r="BE78" s="15">
        <f t="shared" si="129"/>
        <v>1.5225716130629063E-13</v>
      </c>
      <c r="BF78" s="15">
        <f t="shared" si="130"/>
        <v>0</v>
      </c>
      <c r="BG78" s="15">
        <f t="shared" si="144"/>
        <v>1.5225716130629063E-13</v>
      </c>
      <c r="BH78" s="15">
        <f t="shared" si="131"/>
        <v>-1.5536445031254147E-13</v>
      </c>
      <c r="BI78" s="15">
        <f t="shared" si="132"/>
        <v>1.5225716130629063E-13</v>
      </c>
      <c r="BJ78" s="15">
        <f t="shared" si="133"/>
        <v>-1.5536445031254147E-13</v>
      </c>
      <c r="BK78" s="15">
        <f t="shared" si="134"/>
        <v>0</v>
      </c>
    </row>
    <row r="79" spans="2:63" ht="15" customHeight="1">
      <c r="B79" s="16">
        <f t="shared" si="94"/>
        <v>71</v>
      </c>
      <c r="C79" s="16">
        <f t="shared" si="95"/>
        <v>6</v>
      </c>
      <c r="D79" s="16">
        <f t="shared" si="96"/>
        <v>0</v>
      </c>
      <c r="E79" s="16">
        <f t="shared" si="93"/>
        <v>71</v>
      </c>
      <c r="G79" s="16">
        <f>M_MultDeal!BE80+IF($B79=1,-i_transfee*i_maxequity,0)</f>
        <v>0</v>
      </c>
      <c r="H79" s="16">
        <f>M_MultDeal!AO80</f>
        <v>0</v>
      </c>
      <c r="I79" s="16">
        <f t="shared" si="135"/>
        <v>0</v>
      </c>
      <c r="K79" s="16">
        <f t="shared" si="97"/>
        <v>0</v>
      </c>
      <c r="L79" s="16">
        <f t="shared" si="98"/>
        <v>0</v>
      </c>
      <c r="M79" s="16">
        <f t="shared" si="99"/>
        <v>0</v>
      </c>
      <c r="N79" s="16">
        <f t="shared" si="100"/>
        <v>0</v>
      </c>
      <c r="O79" s="16">
        <f t="shared" si="101"/>
        <v>0</v>
      </c>
      <c r="P79" s="16">
        <f t="shared" si="102"/>
        <v>0</v>
      </c>
      <c r="R79" s="16">
        <f t="shared" si="103"/>
        <v>0</v>
      </c>
      <c r="S79" s="16">
        <f t="shared" si="104"/>
        <v>0</v>
      </c>
      <c r="T79" s="16">
        <f t="shared" si="105"/>
        <v>0</v>
      </c>
      <c r="U79" s="16">
        <f t="shared" si="106"/>
        <v>0</v>
      </c>
      <c r="V79" s="16">
        <f t="shared" si="107"/>
        <v>92849791.218288794</v>
      </c>
      <c r="W79" s="16">
        <f t="shared" si="136"/>
        <v>-92849791.218288794</v>
      </c>
      <c r="X79" s="16">
        <f t="shared" si="108"/>
        <v>0</v>
      </c>
      <c r="Y79" s="16">
        <f t="shared" si="137"/>
        <v>1666024814.2836747</v>
      </c>
      <c r="Z79" s="16">
        <f t="shared" si="109"/>
        <v>0</v>
      </c>
      <c r="AA79" s="72"/>
      <c r="AB79" s="16">
        <f t="shared" si="138"/>
        <v>0</v>
      </c>
      <c r="AC79" s="16">
        <f t="shared" si="110"/>
        <v>0</v>
      </c>
      <c r="AD79" s="16">
        <f t="shared" si="111"/>
        <v>0</v>
      </c>
      <c r="AF79" s="15">
        <f t="shared" si="112"/>
        <v>0</v>
      </c>
      <c r="AG79" s="16">
        <f t="shared" si="113"/>
        <v>0</v>
      </c>
      <c r="AH79" s="16">
        <f t="shared" si="114"/>
        <v>0</v>
      </c>
      <c r="AI79" s="16">
        <f t="shared" si="115"/>
        <v>0</v>
      </c>
      <c r="AJ79" s="16">
        <f t="shared" si="116"/>
        <v>0</v>
      </c>
      <c r="AK79" s="16">
        <f t="shared" si="117"/>
        <v>0</v>
      </c>
      <c r="AM79" s="16">
        <f t="shared" si="118"/>
        <v>0</v>
      </c>
      <c r="AN79" s="16">
        <f t="shared" si="119"/>
        <v>0</v>
      </c>
      <c r="AO79" s="16">
        <f t="shared" si="120"/>
        <v>0</v>
      </c>
      <c r="AP79" s="16">
        <f t="shared" si="121"/>
        <v>0</v>
      </c>
      <c r="AQ79" s="16">
        <f t="shared" si="122"/>
        <v>0</v>
      </c>
      <c r="AR79" s="16">
        <f t="shared" si="139"/>
        <v>0</v>
      </c>
      <c r="AS79" s="16">
        <f t="shared" si="123"/>
        <v>0</v>
      </c>
      <c r="AT79" s="16">
        <f t="shared" si="140"/>
        <v>0</v>
      </c>
      <c r="AU79" s="16">
        <f t="shared" si="124"/>
        <v>0</v>
      </c>
      <c r="AV79" s="72"/>
      <c r="AW79" s="16">
        <f t="shared" si="141"/>
        <v>0</v>
      </c>
      <c r="AX79" s="16">
        <f t="shared" si="125"/>
        <v>0</v>
      </c>
      <c r="AY79" s="16">
        <f t="shared" si="126"/>
        <v>0</v>
      </c>
      <c r="BA79" s="16">
        <f t="shared" si="142"/>
        <v>0</v>
      </c>
      <c r="BB79" s="16">
        <f t="shared" si="143"/>
        <v>0</v>
      </c>
      <c r="BC79" s="16">
        <f t="shared" si="127"/>
        <v>0</v>
      </c>
      <c r="BD79" s="16">
        <f t="shared" si="128"/>
        <v>0</v>
      </c>
      <c r="BE79" s="16">
        <f t="shared" si="129"/>
        <v>0</v>
      </c>
      <c r="BF79" s="16">
        <f t="shared" si="130"/>
        <v>0</v>
      </c>
      <c r="BG79" s="16">
        <f t="shared" si="144"/>
        <v>0</v>
      </c>
      <c r="BH79" s="16">
        <f t="shared" si="131"/>
        <v>0</v>
      </c>
      <c r="BI79" s="16">
        <f t="shared" si="132"/>
        <v>0</v>
      </c>
      <c r="BJ79" s="16">
        <f t="shared" si="133"/>
        <v>0</v>
      </c>
      <c r="BK79" s="16">
        <f t="shared" si="134"/>
        <v>0</v>
      </c>
    </row>
    <row r="80" spans="2:63" ht="15" customHeight="1" thickBot="1">
      <c r="B80" s="18">
        <f t="shared" si="94"/>
        <v>72</v>
      </c>
      <c r="C80" s="18">
        <f t="shared" si="95"/>
        <v>6</v>
      </c>
      <c r="D80" s="18">
        <f t="shared" si="96"/>
        <v>0</v>
      </c>
      <c r="E80" s="18">
        <f t="shared" si="93"/>
        <v>72</v>
      </c>
      <c r="G80" s="18">
        <f>M_MultDeal!BE81+IF($B80=1,-i_transfee*i_maxequity,0)</f>
        <v>0</v>
      </c>
      <c r="H80" s="18">
        <f>M_MultDeal!AO81</f>
        <v>0</v>
      </c>
      <c r="I80" s="18">
        <f t="shared" si="135"/>
        <v>0</v>
      </c>
      <c r="K80" s="18">
        <f t="shared" si="97"/>
        <v>0</v>
      </c>
      <c r="L80" s="18">
        <f t="shared" si="98"/>
        <v>0</v>
      </c>
      <c r="M80" s="18">
        <f t="shared" si="99"/>
        <v>0</v>
      </c>
      <c r="N80" s="18">
        <f t="shared" si="100"/>
        <v>0</v>
      </c>
      <c r="O80" s="18">
        <f t="shared" si="101"/>
        <v>0</v>
      </c>
      <c r="P80" s="18">
        <f t="shared" si="102"/>
        <v>0</v>
      </c>
      <c r="R80" s="18">
        <f t="shared" si="103"/>
        <v>0</v>
      </c>
      <c r="S80" s="18">
        <f t="shared" si="104"/>
        <v>0</v>
      </c>
      <c r="T80" s="18">
        <f t="shared" si="105"/>
        <v>0</v>
      </c>
      <c r="U80" s="18">
        <f t="shared" si="106"/>
        <v>0</v>
      </c>
      <c r="V80" s="18">
        <f t="shared" si="107"/>
        <v>98329844.996717945</v>
      </c>
      <c r="W80" s="18">
        <f t="shared" si="136"/>
        <v>-98329844.996717945</v>
      </c>
      <c r="X80" s="18">
        <f t="shared" si="108"/>
        <v>0</v>
      </c>
      <c r="Y80" s="18">
        <f t="shared" si="137"/>
        <v>1764354659.2803926</v>
      </c>
      <c r="Z80" s="18">
        <f t="shared" si="109"/>
        <v>0</v>
      </c>
      <c r="AA80" s="72"/>
      <c r="AB80" s="18">
        <f t="shared" si="138"/>
        <v>0</v>
      </c>
      <c r="AC80" s="18">
        <f t="shared" si="110"/>
        <v>0</v>
      </c>
      <c r="AD80" s="18">
        <f t="shared" si="111"/>
        <v>0</v>
      </c>
      <c r="AF80" s="15">
        <f t="shared" si="112"/>
        <v>0</v>
      </c>
      <c r="AG80" s="18">
        <f t="shared" si="113"/>
        <v>0</v>
      </c>
      <c r="AH80" s="18">
        <f t="shared" si="114"/>
        <v>0</v>
      </c>
      <c r="AI80" s="18">
        <f t="shared" si="115"/>
        <v>0</v>
      </c>
      <c r="AJ80" s="18">
        <f t="shared" si="116"/>
        <v>0</v>
      </c>
      <c r="AK80" s="18">
        <f t="shared" si="117"/>
        <v>0</v>
      </c>
      <c r="AM80" s="18">
        <f t="shared" si="118"/>
        <v>0</v>
      </c>
      <c r="AN80" s="18">
        <f t="shared" si="119"/>
        <v>0</v>
      </c>
      <c r="AO80" s="18">
        <f t="shared" si="120"/>
        <v>0</v>
      </c>
      <c r="AP80" s="18">
        <f t="shared" si="121"/>
        <v>0</v>
      </c>
      <c r="AQ80" s="18">
        <f t="shared" si="122"/>
        <v>0</v>
      </c>
      <c r="AR80" s="18">
        <f t="shared" si="139"/>
        <v>0</v>
      </c>
      <c r="AS80" s="18">
        <f t="shared" si="123"/>
        <v>0</v>
      </c>
      <c r="AT80" s="18">
        <f t="shared" si="140"/>
        <v>0</v>
      </c>
      <c r="AU80" s="18">
        <f t="shared" si="124"/>
        <v>0</v>
      </c>
      <c r="AV80" s="72"/>
      <c r="AW80" s="18">
        <f t="shared" si="141"/>
        <v>0</v>
      </c>
      <c r="AX80" s="18">
        <f t="shared" si="125"/>
        <v>0</v>
      </c>
      <c r="AY80" s="18">
        <f t="shared" si="126"/>
        <v>0</v>
      </c>
      <c r="BA80" s="18">
        <f t="shared" si="142"/>
        <v>0</v>
      </c>
      <c r="BB80" s="18">
        <f t="shared" si="143"/>
        <v>0</v>
      </c>
      <c r="BC80" s="18">
        <f t="shared" si="127"/>
        <v>0</v>
      </c>
      <c r="BD80" s="18">
        <f t="shared" si="128"/>
        <v>0</v>
      </c>
      <c r="BE80" s="18">
        <f t="shared" si="129"/>
        <v>0</v>
      </c>
      <c r="BF80" s="18">
        <f t="shared" si="130"/>
        <v>0</v>
      </c>
      <c r="BG80" s="18">
        <f t="shared" si="144"/>
        <v>0</v>
      </c>
      <c r="BH80" s="18">
        <f t="shared" si="131"/>
        <v>0</v>
      </c>
      <c r="BI80" s="18">
        <f t="shared" si="132"/>
        <v>0</v>
      </c>
      <c r="BJ80" s="18">
        <f t="shared" si="133"/>
        <v>0</v>
      </c>
      <c r="BK80" s="18">
        <f t="shared" si="134"/>
        <v>0</v>
      </c>
    </row>
    <row r="81" spans="2:63" ht="15" customHeight="1">
      <c r="B81" s="19">
        <f t="shared" si="94"/>
        <v>73</v>
      </c>
      <c r="C81" s="19">
        <f t="shared" si="95"/>
        <v>7</v>
      </c>
      <c r="D81" s="19">
        <f t="shared" si="96"/>
        <v>0</v>
      </c>
      <c r="E81" s="19">
        <f t="shared" si="93"/>
        <v>73</v>
      </c>
      <c r="G81" s="19">
        <f>M_MultDeal!BE82+IF($B81=1,-i_transfee*i_maxequity,0)</f>
        <v>0</v>
      </c>
      <c r="H81" s="19">
        <f>M_MultDeal!AO82</f>
        <v>0</v>
      </c>
      <c r="I81" s="19">
        <f t="shared" si="135"/>
        <v>0</v>
      </c>
      <c r="K81" s="19">
        <f t="shared" si="97"/>
        <v>0</v>
      </c>
      <c r="L81" s="19">
        <f t="shared" si="98"/>
        <v>0</v>
      </c>
      <c r="M81" s="19">
        <f t="shared" si="99"/>
        <v>0</v>
      </c>
      <c r="N81" s="19">
        <f t="shared" si="100"/>
        <v>0</v>
      </c>
      <c r="O81" s="19">
        <f t="shared" si="101"/>
        <v>0</v>
      </c>
      <c r="P81" s="19">
        <f t="shared" si="102"/>
        <v>0</v>
      </c>
      <c r="Q81" s="72"/>
      <c r="R81" s="19">
        <f t="shared" si="103"/>
        <v>0</v>
      </c>
      <c r="S81" s="19">
        <f t="shared" si="104"/>
        <v>0</v>
      </c>
      <c r="T81" s="19">
        <f t="shared" si="105"/>
        <v>0</v>
      </c>
      <c r="U81" s="19">
        <f t="shared" si="106"/>
        <v>0</v>
      </c>
      <c r="V81" s="19">
        <f t="shared" si="107"/>
        <v>104133335.03731243</v>
      </c>
      <c r="W81" s="19">
        <f t="shared" si="136"/>
        <v>-104133335.03731243</v>
      </c>
      <c r="X81" s="19">
        <f t="shared" si="108"/>
        <v>0</v>
      </c>
      <c r="Y81" s="19">
        <f t="shared" si="137"/>
        <v>1868487994.3177052</v>
      </c>
      <c r="Z81" s="19">
        <f t="shared" si="109"/>
        <v>0</v>
      </c>
      <c r="AA81" s="72"/>
      <c r="AB81" s="19">
        <f t="shared" si="138"/>
        <v>0</v>
      </c>
      <c r="AC81" s="19">
        <f t="shared" si="110"/>
        <v>0</v>
      </c>
      <c r="AD81" s="19">
        <f t="shared" si="111"/>
        <v>0</v>
      </c>
      <c r="AF81" s="15">
        <f t="shared" si="112"/>
        <v>0</v>
      </c>
      <c r="AG81" s="19">
        <f t="shared" si="113"/>
        <v>0</v>
      </c>
      <c r="AH81" s="19">
        <f t="shared" si="114"/>
        <v>0</v>
      </c>
      <c r="AI81" s="19">
        <f t="shared" si="115"/>
        <v>0</v>
      </c>
      <c r="AJ81" s="19">
        <f t="shared" si="116"/>
        <v>0</v>
      </c>
      <c r="AK81" s="19">
        <f t="shared" si="117"/>
        <v>0</v>
      </c>
      <c r="AL81" s="72"/>
      <c r="AM81" s="19">
        <f t="shared" si="118"/>
        <v>0</v>
      </c>
      <c r="AN81" s="19">
        <f t="shared" si="119"/>
        <v>0</v>
      </c>
      <c r="AO81" s="19">
        <f t="shared" si="120"/>
        <v>0</v>
      </c>
      <c r="AP81" s="19">
        <f t="shared" si="121"/>
        <v>0</v>
      </c>
      <c r="AQ81" s="19">
        <f t="shared" si="122"/>
        <v>0</v>
      </c>
      <c r="AR81" s="19">
        <f t="shared" si="139"/>
        <v>0</v>
      </c>
      <c r="AS81" s="19">
        <f t="shared" si="123"/>
        <v>0</v>
      </c>
      <c r="AT81" s="19">
        <f t="shared" si="140"/>
        <v>0</v>
      </c>
      <c r="AU81" s="19">
        <f t="shared" si="124"/>
        <v>0</v>
      </c>
      <c r="AV81" s="72"/>
      <c r="AW81" s="19">
        <f t="shared" si="141"/>
        <v>0</v>
      </c>
      <c r="AX81" s="19">
        <f t="shared" si="125"/>
        <v>0</v>
      </c>
      <c r="AY81" s="19">
        <f t="shared" si="126"/>
        <v>0</v>
      </c>
      <c r="BA81" s="19">
        <f t="shared" si="142"/>
        <v>0</v>
      </c>
      <c r="BB81" s="19">
        <f t="shared" si="143"/>
        <v>0</v>
      </c>
      <c r="BC81" s="19">
        <f t="shared" si="127"/>
        <v>0</v>
      </c>
      <c r="BD81" s="19">
        <f t="shared" si="128"/>
        <v>0</v>
      </c>
      <c r="BE81" s="19">
        <f t="shared" si="129"/>
        <v>0</v>
      </c>
      <c r="BF81" s="19">
        <f t="shared" si="130"/>
        <v>0</v>
      </c>
      <c r="BG81" s="19">
        <f t="shared" si="144"/>
        <v>0</v>
      </c>
      <c r="BH81" s="19">
        <f t="shared" si="131"/>
        <v>0</v>
      </c>
      <c r="BI81" s="19">
        <f t="shared" si="132"/>
        <v>0</v>
      </c>
      <c r="BJ81" s="19">
        <f t="shared" si="133"/>
        <v>0</v>
      </c>
      <c r="BK81" s="19">
        <f t="shared" si="134"/>
        <v>0</v>
      </c>
    </row>
    <row r="82" spans="2:63" ht="15" customHeight="1">
      <c r="B82" s="16">
        <f t="shared" si="94"/>
        <v>74</v>
      </c>
      <c r="C82" s="16">
        <f t="shared" si="95"/>
        <v>7</v>
      </c>
      <c r="D82" s="16">
        <f t="shared" si="96"/>
        <v>0</v>
      </c>
      <c r="E82" s="16">
        <f t="shared" si="93"/>
        <v>74</v>
      </c>
      <c r="G82" s="16">
        <f>M_MultDeal!BE83+IF($B82=1,-i_transfee*i_maxequity,0)</f>
        <v>0</v>
      </c>
      <c r="H82" s="16">
        <f>M_MultDeal!AO83</f>
        <v>0</v>
      </c>
      <c r="I82" s="16">
        <f t="shared" si="135"/>
        <v>0</v>
      </c>
      <c r="K82" s="16">
        <f t="shared" si="97"/>
        <v>0</v>
      </c>
      <c r="L82" s="16">
        <f t="shared" si="98"/>
        <v>0</v>
      </c>
      <c r="M82" s="16">
        <f t="shared" si="99"/>
        <v>0</v>
      </c>
      <c r="N82" s="16">
        <f t="shared" si="100"/>
        <v>0</v>
      </c>
      <c r="O82" s="16">
        <f t="shared" si="101"/>
        <v>0</v>
      </c>
      <c r="P82" s="16">
        <f t="shared" si="102"/>
        <v>0</v>
      </c>
      <c r="R82" s="16">
        <f t="shared" si="103"/>
        <v>0</v>
      </c>
      <c r="S82" s="16">
        <f t="shared" si="104"/>
        <v>0</v>
      </c>
      <c r="T82" s="16">
        <f t="shared" si="105"/>
        <v>0</v>
      </c>
      <c r="U82" s="16">
        <f t="shared" si="106"/>
        <v>0</v>
      </c>
      <c r="V82" s="16">
        <f t="shared" si="107"/>
        <v>110279350.75413883</v>
      </c>
      <c r="W82" s="16">
        <f t="shared" si="136"/>
        <v>-110279350.75413883</v>
      </c>
      <c r="X82" s="16">
        <f t="shared" si="108"/>
        <v>0</v>
      </c>
      <c r="Y82" s="16">
        <f t="shared" si="137"/>
        <v>1978767345.0718441</v>
      </c>
      <c r="Z82" s="16">
        <f t="shared" si="109"/>
        <v>0</v>
      </c>
      <c r="AA82" s="72"/>
      <c r="AB82" s="16">
        <f t="shared" si="138"/>
        <v>0</v>
      </c>
      <c r="AC82" s="16">
        <f t="shared" si="110"/>
        <v>0</v>
      </c>
      <c r="AD82" s="16">
        <f t="shared" si="111"/>
        <v>0</v>
      </c>
      <c r="AF82" s="15">
        <f t="shared" si="112"/>
        <v>0</v>
      </c>
      <c r="AG82" s="16">
        <f t="shared" si="113"/>
        <v>0</v>
      </c>
      <c r="AH82" s="16">
        <f t="shared" si="114"/>
        <v>0</v>
      </c>
      <c r="AI82" s="16">
        <f t="shared" si="115"/>
        <v>0</v>
      </c>
      <c r="AJ82" s="16">
        <f t="shared" si="116"/>
        <v>0</v>
      </c>
      <c r="AK82" s="16">
        <f t="shared" si="117"/>
        <v>0</v>
      </c>
      <c r="AM82" s="16">
        <f t="shared" si="118"/>
        <v>0</v>
      </c>
      <c r="AN82" s="16">
        <f t="shared" si="119"/>
        <v>0</v>
      </c>
      <c r="AO82" s="16">
        <f t="shared" si="120"/>
        <v>0</v>
      </c>
      <c r="AP82" s="16">
        <f t="shared" si="121"/>
        <v>0</v>
      </c>
      <c r="AQ82" s="16">
        <f t="shared" si="122"/>
        <v>0</v>
      </c>
      <c r="AR82" s="16">
        <f t="shared" si="139"/>
        <v>0</v>
      </c>
      <c r="AS82" s="16">
        <f t="shared" si="123"/>
        <v>0</v>
      </c>
      <c r="AT82" s="16">
        <f t="shared" si="140"/>
        <v>0</v>
      </c>
      <c r="AU82" s="16">
        <f t="shared" si="124"/>
        <v>0</v>
      </c>
      <c r="AV82" s="72"/>
      <c r="AW82" s="16">
        <f t="shared" si="141"/>
        <v>0</v>
      </c>
      <c r="AX82" s="16">
        <f t="shared" si="125"/>
        <v>0</v>
      </c>
      <c r="AY82" s="16">
        <f t="shared" si="126"/>
        <v>0</v>
      </c>
      <c r="BA82" s="16">
        <f t="shared" si="142"/>
        <v>0</v>
      </c>
      <c r="BB82" s="16">
        <f t="shared" si="143"/>
        <v>0</v>
      </c>
      <c r="BC82" s="16">
        <f t="shared" si="127"/>
        <v>0</v>
      </c>
      <c r="BD82" s="16">
        <f t="shared" si="128"/>
        <v>0</v>
      </c>
      <c r="BE82" s="16">
        <f t="shared" si="129"/>
        <v>0</v>
      </c>
      <c r="BF82" s="16">
        <f t="shared" si="130"/>
        <v>0</v>
      </c>
      <c r="BG82" s="16">
        <f t="shared" si="144"/>
        <v>0</v>
      </c>
      <c r="BH82" s="16">
        <f t="shared" si="131"/>
        <v>0</v>
      </c>
      <c r="BI82" s="16">
        <f t="shared" si="132"/>
        <v>0</v>
      </c>
      <c r="BJ82" s="16">
        <f t="shared" si="133"/>
        <v>0</v>
      </c>
      <c r="BK82" s="16">
        <f t="shared" si="134"/>
        <v>0</v>
      </c>
    </row>
    <row r="83" spans="2:63" ht="15" customHeight="1">
      <c r="B83" s="17">
        <f t="shared" si="94"/>
        <v>75</v>
      </c>
      <c r="C83" s="17">
        <f t="shared" si="95"/>
        <v>7</v>
      </c>
      <c r="D83" s="17">
        <f t="shared" si="96"/>
        <v>0</v>
      </c>
      <c r="E83" s="17">
        <f t="shared" si="93"/>
        <v>75</v>
      </c>
      <c r="G83" s="17">
        <f>M_MultDeal!BE84+IF($B83=1,-i_transfee*i_maxequity,0)</f>
        <v>0</v>
      </c>
      <c r="H83" s="17">
        <f>M_MultDeal!AO84</f>
        <v>0</v>
      </c>
      <c r="I83" s="17">
        <f t="shared" si="135"/>
        <v>0</v>
      </c>
      <c r="K83" s="17">
        <f t="shared" si="97"/>
        <v>0</v>
      </c>
      <c r="L83" s="17">
        <f t="shared" si="98"/>
        <v>0</v>
      </c>
      <c r="M83" s="17">
        <f t="shared" si="99"/>
        <v>0</v>
      </c>
      <c r="N83" s="17">
        <f t="shared" si="100"/>
        <v>0</v>
      </c>
      <c r="O83" s="17">
        <f t="shared" si="101"/>
        <v>0</v>
      </c>
      <c r="P83" s="17">
        <f t="shared" si="102"/>
        <v>0</v>
      </c>
      <c r="R83" s="17">
        <f t="shared" si="103"/>
        <v>0</v>
      </c>
      <c r="S83" s="17">
        <f t="shared" si="104"/>
        <v>0</v>
      </c>
      <c r="T83" s="17">
        <f t="shared" si="105"/>
        <v>0</v>
      </c>
      <c r="U83" s="17">
        <f t="shared" si="106"/>
        <v>0</v>
      </c>
      <c r="V83" s="17">
        <f t="shared" si="107"/>
        <v>116788108.23063271</v>
      </c>
      <c r="W83" s="17">
        <f t="shared" si="136"/>
        <v>-116788108.23063271</v>
      </c>
      <c r="X83" s="17">
        <f t="shared" si="108"/>
        <v>0</v>
      </c>
      <c r="Y83" s="17">
        <f t="shared" si="137"/>
        <v>2095555453.3024769</v>
      </c>
      <c r="Z83" s="17">
        <f t="shared" si="109"/>
        <v>0</v>
      </c>
      <c r="AA83" s="72"/>
      <c r="AB83" s="17">
        <f t="shared" si="138"/>
        <v>0</v>
      </c>
      <c r="AC83" s="17">
        <f t="shared" si="110"/>
        <v>0</v>
      </c>
      <c r="AD83" s="17">
        <f t="shared" si="111"/>
        <v>0</v>
      </c>
      <c r="AF83" s="15">
        <f t="shared" si="112"/>
        <v>0</v>
      </c>
      <c r="AG83" s="17">
        <f t="shared" si="113"/>
        <v>0</v>
      </c>
      <c r="AH83" s="17">
        <f t="shared" si="114"/>
        <v>0</v>
      </c>
      <c r="AI83" s="17">
        <f t="shared" si="115"/>
        <v>0</v>
      </c>
      <c r="AJ83" s="17">
        <f t="shared" si="116"/>
        <v>0</v>
      </c>
      <c r="AK83" s="17">
        <f t="shared" si="117"/>
        <v>0</v>
      </c>
      <c r="AM83" s="17">
        <f t="shared" si="118"/>
        <v>0</v>
      </c>
      <c r="AN83" s="17">
        <f t="shared" si="119"/>
        <v>0</v>
      </c>
      <c r="AO83" s="17">
        <f t="shared" si="120"/>
        <v>0</v>
      </c>
      <c r="AP83" s="17">
        <f t="shared" si="121"/>
        <v>0</v>
      </c>
      <c r="AQ83" s="17">
        <f t="shared" si="122"/>
        <v>0</v>
      </c>
      <c r="AR83" s="17">
        <f t="shared" si="139"/>
        <v>0</v>
      </c>
      <c r="AS83" s="17">
        <f t="shared" si="123"/>
        <v>0</v>
      </c>
      <c r="AT83" s="17">
        <f t="shared" si="140"/>
        <v>0</v>
      </c>
      <c r="AU83" s="17">
        <f t="shared" si="124"/>
        <v>0</v>
      </c>
      <c r="AV83" s="72"/>
      <c r="AW83" s="17">
        <f t="shared" si="141"/>
        <v>0</v>
      </c>
      <c r="AX83" s="17">
        <f t="shared" si="125"/>
        <v>0</v>
      </c>
      <c r="AY83" s="17">
        <f t="shared" si="126"/>
        <v>0</v>
      </c>
      <c r="BA83" s="17">
        <f t="shared" si="142"/>
        <v>0</v>
      </c>
      <c r="BB83" s="17">
        <f t="shared" si="143"/>
        <v>0</v>
      </c>
      <c r="BC83" s="17">
        <f t="shared" si="127"/>
        <v>0</v>
      </c>
      <c r="BD83" s="17">
        <f t="shared" si="128"/>
        <v>0</v>
      </c>
      <c r="BE83" s="17">
        <f t="shared" si="129"/>
        <v>0</v>
      </c>
      <c r="BF83" s="17">
        <f t="shared" si="130"/>
        <v>0</v>
      </c>
      <c r="BG83" s="17">
        <f t="shared" si="144"/>
        <v>0</v>
      </c>
      <c r="BH83" s="17">
        <f t="shared" si="131"/>
        <v>0</v>
      </c>
      <c r="BI83" s="17">
        <f t="shared" si="132"/>
        <v>0</v>
      </c>
      <c r="BJ83" s="17">
        <f t="shared" si="133"/>
        <v>0</v>
      </c>
      <c r="BK83" s="17">
        <f t="shared" si="134"/>
        <v>0</v>
      </c>
    </row>
    <row r="84" spans="2:63" ht="15" customHeight="1">
      <c r="B84" s="15">
        <f t="shared" si="94"/>
        <v>76</v>
      </c>
      <c r="C84" s="15">
        <f t="shared" si="95"/>
        <v>7</v>
      </c>
      <c r="D84" s="15">
        <f t="shared" si="96"/>
        <v>0</v>
      </c>
      <c r="E84" s="15">
        <f t="shared" si="93"/>
        <v>76</v>
      </c>
      <c r="G84" s="15">
        <f>M_MultDeal!BE85+IF($B84=1,-i_transfee*i_maxequity,0)</f>
        <v>0</v>
      </c>
      <c r="H84" s="15">
        <f>M_MultDeal!AO85</f>
        <v>0</v>
      </c>
      <c r="I84" s="15">
        <f t="shared" si="135"/>
        <v>0</v>
      </c>
      <c r="K84" s="15">
        <f t="shared" si="97"/>
        <v>0</v>
      </c>
      <c r="L84" s="15">
        <f t="shared" si="98"/>
        <v>0</v>
      </c>
      <c r="M84" s="15">
        <f t="shared" si="99"/>
        <v>0</v>
      </c>
      <c r="N84" s="15">
        <f t="shared" si="100"/>
        <v>0</v>
      </c>
      <c r="O84" s="15">
        <f t="shared" si="101"/>
        <v>0</v>
      </c>
      <c r="P84" s="15">
        <f t="shared" si="102"/>
        <v>0</v>
      </c>
      <c r="R84" s="15">
        <f t="shared" si="103"/>
        <v>0</v>
      </c>
      <c r="S84" s="15">
        <f t="shared" si="104"/>
        <v>0</v>
      </c>
      <c r="T84" s="15">
        <f t="shared" si="105"/>
        <v>0</v>
      </c>
      <c r="U84" s="15">
        <f t="shared" si="106"/>
        <v>0</v>
      </c>
      <c r="V84" s="15">
        <f t="shared" si="107"/>
        <v>123681016.7163419</v>
      </c>
      <c r="W84" s="15">
        <f t="shared" si="136"/>
        <v>-123681016.7163419</v>
      </c>
      <c r="X84" s="15">
        <f t="shared" si="108"/>
        <v>0</v>
      </c>
      <c r="Y84" s="15">
        <f t="shared" si="137"/>
        <v>2219236470.0188189</v>
      </c>
      <c r="Z84" s="15">
        <f t="shared" si="109"/>
        <v>0</v>
      </c>
      <c r="AA84" s="72"/>
      <c r="AB84" s="15">
        <f t="shared" si="138"/>
        <v>0</v>
      </c>
      <c r="AC84" s="15">
        <f t="shared" si="110"/>
        <v>0</v>
      </c>
      <c r="AD84" s="15">
        <f t="shared" si="111"/>
        <v>0</v>
      </c>
      <c r="AF84" s="15">
        <f t="shared" si="112"/>
        <v>0</v>
      </c>
      <c r="AG84" s="15">
        <f t="shared" si="113"/>
        <v>0</v>
      </c>
      <c r="AH84" s="15">
        <f t="shared" si="114"/>
        <v>0</v>
      </c>
      <c r="AI84" s="15">
        <f t="shared" si="115"/>
        <v>0</v>
      </c>
      <c r="AJ84" s="15">
        <f t="shared" si="116"/>
        <v>0</v>
      </c>
      <c r="AK84" s="15">
        <f t="shared" si="117"/>
        <v>0</v>
      </c>
      <c r="AM84" s="15">
        <f t="shared" si="118"/>
        <v>0</v>
      </c>
      <c r="AN84" s="15">
        <f t="shared" si="119"/>
        <v>0</v>
      </c>
      <c r="AO84" s="15">
        <f t="shared" si="120"/>
        <v>0</v>
      </c>
      <c r="AP84" s="15">
        <f t="shared" si="121"/>
        <v>0</v>
      </c>
      <c r="AQ84" s="15">
        <f t="shared" si="122"/>
        <v>0</v>
      </c>
      <c r="AR84" s="15">
        <f t="shared" si="139"/>
        <v>0</v>
      </c>
      <c r="AS84" s="15">
        <f t="shared" si="123"/>
        <v>0</v>
      </c>
      <c r="AT84" s="15">
        <f t="shared" si="140"/>
        <v>0</v>
      </c>
      <c r="AU84" s="15">
        <f t="shared" si="124"/>
        <v>0</v>
      </c>
      <c r="AV84" s="72"/>
      <c r="AW84" s="15">
        <f t="shared" si="141"/>
        <v>0</v>
      </c>
      <c r="AX84" s="15">
        <f t="shared" si="125"/>
        <v>0</v>
      </c>
      <c r="AY84" s="15">
        <f t="shared" si="126"/>
        <v>0</v>
      </c>
      <c r="BA84" s="15">
        <f t="shared" si="142"/>
        <v>0</v>
      </c>
      <c r="BB84" s="15">
        <f t="shared" si="143"/>
        <v>0</v>
      </c>
      <c r="BC84" s="15">
        <f t="shared" si="127"/>
        <v>0</v>
      </c>
      <c r="BD84" s="15">
        <f t="shared" si="128"/>
        <v>0</v>
      </c>
      <c r="BE84" s="15">
        <f t="shared" si="129"/>
        <v>0</v>
      </c>
      <c r="BF84" s="15">
        <f t="shared" si="130"/>
        <v>0</v>
      </c>
      <c r="BG84" s="15">
        <f t="shared" si="144"/>
        <v>0</v>
      </c>
      <c r="BH84" s="15">
        <f t="shared" si="131"/>
        <v>0</v>
      </c>
      <c r="BI84" s="15">
        <f t="shared" si="132"/>
        <v>0</v>
      </c>
      <c r="BJ84" s="15">
        <f t="shared" si="133"/>
        <v>0</v>
      </c>
      <c r="BK84" s="15">
        <f t="shared" si="134"/>
        <v>0</v>
      </c>
    </row>
    <row r="85" spans="2:63" ht="15" customHeight="1">
      <c r="B85" s="16">
        <f t="shared" si="94"/>
        <v>77</v>
      </c>
      <c r="C85" s="16">
        <f t="shared" si="95"/>
        <v>7</v>
      </c>
      <c r="D85" s="16">
        <f t="shared" si="96"/>
        <v>0</v>
      </c>
      <c r="E85" s="16">
        <f t="shared" si="93"/>
        <v>77</v>
      </c>
      <c r="G85" s="16">
        <f>M_MultDeal!BE86+IF($B85=1,-i_transfee*i_maxequity,0)</f>
        <v>0</v>
      </c>
      <c r="H85" s="16">
        <f>M_MultDeal!AO86</f>
        <v>0</v>
      </c>
      <c r="I85" s="16">
        <f t="shared" si="135"/>
        <v>0</v>
      </c>
      <c r="K85" s="16">
        <f t="shared" si="97"/>
        <v>0</v>
      </c>
      <c r="L85" s="16">
        <f t="shared" si="98"/>
        <v>0</v>
      </c>
      <c r="M85" s="16">
        <f t="shared" si="99"/>
        <v>0</v>
      </c>
      <c r="N85" s="16">
        <f t="shared" si="100"/>
        <v>0</v>
      </c>
      <c r="O85" s="16">
        <f t="shared" si="101"/>
        <v>0</v>
      </c>
      <c r="P85" s="16">
        <f t="shared" si="102"/>
        <v>0</v>
      </c>
      <c r="R85" s="16">
        <f t="shared" si="103"/>
        <v>0</v>
      </c>
      <c r="S85" s="16">
        <f t="shared" si="104"/>
        <v>0</v>
      </c>
      <c r="T85" s="16">
        <f t="shared" si="105"/>
        <v>0</v>
      </c>
      <c r="U85" s="16">
        <f t="shared" si="106"/>
        <v>0</v>
      </c>
      <c r="V85" s="16">
        <f t="shared" si="107"/>
        <v>130980749.04835004</v>
      </c>
      <c r="W85" s="16">
        <f t="shared" si="136"/>
        <v>-130980749.04835004</v>
      </c>
      <c r="X85" s="16">
        <f t="shared" si="108"/>
        <v>0</v>
      </c>
      <c r="Y85" s="16">
        <f t="shared" si="137"/>
        <v>2350217219.0671687</v>
      </c>
      <c r="Z85" s="16">
        <f t="shared" si="109"/>
        <v>0</v>
      </c>
      <c r="AA85" s="72"/>
      <c r="AB85" s="16">
        <f t="shared" si="138"/>
        <v>0</v>
      </c>
      <c r="AC85" s="16">
        <f t="shared" si="110"/>
        <v>0</v>
      </c>
      <c r="AD85" s="16">
        <f t="shared" si="111"/>
        <v>0</v>
      </c>
      <c r="AF85" s="15">
        <f t="shared" si="112"/>
        <v>0</v>
      </c>
      <c r="AG85" s="16">
        <f t="shared" si="113"/>
        <v>0</v>
      </c>
      <c r="AH85" s="16">
        <f t="shared" si="114"/>
        <v>0</v>
      </c>
      <c r="AI85" s="16">
        <f t="shared" si="115"/>
        <v>0</v>
      </c>
      <c r="AJ85" s="16">
        <f t="shared" si="116"/>
        <v>0</v>
      </c>
      <c r="AK85" s="16">
        <f t="shared" si="117"/>
        <v>0</v>
      </c>
      <c r="AM85" s="16">
        <f t="shared" si="118"/>
        <v>0</v>
      </c>
      <c r="AN85" s="16">
        <f t="shared" si="119"/>
        <v>0</v>
      </c>
      <c r="AO85" s="16">
        <f t="shared" si="120"/>
        <v>0</v>
      </c>
      <c r="AP85" s="16">
        <f t="shared" si="121"/>
        <v>0</v>
      </c>
      <c r="AQ85" s="16">
        <f t="shared" si="122"/>
        <v>0</v>
      </c>
      <c r="AR85" s="16">
        <f t="shared" si="139"/>
        <v>0</v>
      </c>
      <c r="AS85" s="16">
        <f t="shared" si="123"/>
        <v>0</v>
      </c>
      <c r="AT85" s="16">
        <f t="shared" si="140"/>
        <v>0</v>
      </c>
      <c r="AU85" s="16">
        <f t="shared" si="124"/>
        <v>0</v>
      </c>
      <c r="AV85" s="72"/>
      <c r="AW85" s="16">
        <f t="shared" si="141"/>
        <v>0</v>
      </c>
      <c r="AX85" s="16">
        <f t="shared" si="125"/>
        <v>0</v>
      </c>
      <c r="AY85" s="16">
        <f t="shared" si="126"/>
        <v>0</v>
      </c>
      <c r="BA85" s="16">
        <f t="shared" si="142"/>
        <v>0</v>
      </c>
      <c r="BB85" s="16">
        <f t="shared" si="143"/>
        <v>0</v>
      </c>
      <c r="BC85" s="16">
        <f t="shared" si="127"/>
        <v>0</v>
      </c>
      <c r="BD85" s="16">
        <f t="shared" si="128"/>
        <v>0</v>
      </c>
      <c r="BE85" s="16">
        <f t="shared" si="129"/>
        <v>0</v>
      </c>
      <c r="BF85" s="16">
        <f t="shared" si="130"/>
        <v>0</v>
      </c>
      <c r="BG85" s="16">
        <f t="shared" si="144"/>
        <v>0</v>
      </c>
      <c r="BH85" s="16">
        <f t="shared" si="131"/>
        <v>0</v>
      </c>
      <c r="BI85" s="16">
        <f t="shared" si="132"/>
        <v>0</v>
      </c>
      <c r="BJ85" s="16">
        <f t="shared" si="133"/>
        <v>0</v>
      </c>
      <c r="BK85" s="16">
        <f t="shared" si="134"/>
        <v>0</v>
      </c>
    </row>
    <row r="86" spans="2:63" ht="15" customHeight="1">
      <c r="B86" s="17">
        <f t="shared" si="94"/>
        <v>78</v>
      </c>
      <c r="C86" s="17">
        <f t="shared" si="95"/>
        <v>7</v>
      </c>
      <c r="D86" s="17">
        <f t="shared" si="96"/>
        <v>0</v>
      </c>
      <c r="E86" s="17">
        <f t="shared" si="93"/>
        <v>78</v>
      </c>
      <c r="G86" s="17">
        <f>M_MultDeal!BE87+IF($B86=1,-i_transfee*i_maxequity,0)</f>
        <v>0</v>
      </c>
      <c r="H86" s="17">
        <f>M_MultDeal!AO87</f>
        <v>0</v>
      </c>
      <c r="I86" s="17">
        <f t="shared" si="135"/>
        <v>0</v>
      </c>
      <c r="K86" s="17">
        <f t="shared" si="97"/>
        <v>0</v>
      </c>
      <c r="L86" s="17">
        <f t="shared" si="98"/>
        <v>0</v>
      </c>
      <c r="M86" s="17">
        <f t="shared" si="99"/>
        <v>0</v>
      </c>
      <c r="N86" s="17">
        <f t="shared" si="100"/>
        <v>0</v>
      </c>
      <c r="O86" s="17">
        <f t="shared" si="101"/>
        <v>0</v>
      </c>
      <c r="P86" s="17">
        <f t="shared" si="102"/>
        <v>0</v>
      </c>
      <c r="R86" s="17">
        <f t="shared" si="103"/>
        <v>0</v>
      </c>
      <c r="S86" s="17">
        <f t="shared" si="104"/>
        <v>0</v>
      </c>
      <c r="T86" s="17">
        <f t="shared" si="105"/>
        <v>0</v>
      </c>
      <c r="U86" s="17">
        <f t="shared" si="106"/>
        <v>0</v>
      </c>
      <c r="V86" s="17">
        <f t="shared" si="107"/>
        <v>138711316.22901705</v>
      </c>
      <c r="W86" s="17">
        <f t="shared" si="136"/>
        <v>-138711316.22901705</v>
      </c>
      <c r="X86" s="17">
        <f t="shared" si="108"/>
        <v>0</v>
      </c>
      <c r="Y86" s="17">
        <f t="shared" si="137"/>
        <v>2488928535.296186</v>
      </c>
      <c r="Z86" s="17">
        <f t="shared" si="109"/>
        <v>0</v>
      </c>
      <c r="AA86" s="72"/>
      <c r="AB86" s="17">
        <f t="shared" si="138"/>
        <v>0</v>
      </c>
      <c r="AC86" s="17">
        <f t="shared" si="110"/>
        <v>0</v>
      </c>
      <c r="AD86" s="17">
        <f t="shared" si="111"/>
        <v>0</v>
      </c>
      <c r="AF86" s="15">
        <f t="shared" si="112"/>
        <v>0</v>
      </c>
      <c r="AG86" s="17">
        <f t="shared" si="113"/>
        <v>0</v>
      </c>
      <c r="AH86" s="17">
        <f t="shared" si="114"/>
        <v>0</v>
      </c>
      <c r="AI86" s="17">
        <f t="shared" si="115"/>
        <v>0</v>
      </c>
      <c r="AJ86" s="17">
        <f t="shared" si="116"/>
        <v>0</v>
      </c>
      <c r="AK86" s="17">
        <f t="shared" si="117"/>
        <v>0</v>
      </c>
      <c r="AM86" s="17">
        <f t="shared" si="118"/>
        <v>0</v>
      </c>
      <c r="AN86" s="17">
        <f t="shared" si="119"/>
        <v>0</v>
      </c>
      <c r="AO86" s="17">
        <f t="shared" si="120"/>
        <v>0</v>
      </c>
      <c r="AP86" s="17">
        <f t="shared" si="121"/>
        <v>0</v>
      </c>
      <c r="AQ86" s="17">
        <f t="shared" si="122"/>
        <v>0</v>
      </c>
      <c r="AR86" s="17">
        <f t="shared" si="139"/>
        <v>0</v>
      </c>
      <c r="AS86" s="17">
        <f t="shared" si="123"/>
        <v>0</v>
      </c>
      <c r="AT86" s="17">
        <f t="shared" si="140"/>
        <v>0</v>
      </c>
      <c r="AU86" s="17">
        <f t="shared" si="124"/>
        <v>0</v>
      </c>
      <c r="AV86" s="72"/>
      <c r="AW86" s="17">
        <f t="shared" si="141"/>
        <v>0</v>
      </c>
      <c r="AX86" s="17">
        <f t="shared" si="125"/>
        <v>0</v>
      </c>
      <c r="AY86" s="17">
        <f t="shared" si="126"/>
        <v>0</v>
      </c>
      <c r="BA86" s="17">
        <f t="shared" si="142"/>
        <v>0</v>
      </c>
      <c r="BB86" s="17">
        <f t="shared" si="143"/>
        <v>0</v>
      </c>
      <c r="BC86" s="17">
        <f t="shared" si="127"/>
        <v>0</v>
      </c>
      <c r="BD86" s="17">
        <f t="shared" si="128"/>
        <v>0</v>
      </c>
      <c r="BE86" s="17">
        <f t="shared" si="129"/>
        <v>0</v>
      </c>
      <c r="BF86" s="17">
        <f t="shared" si="130"/>
        <v>0</v>
      </c>
      <c r="BG86" s="17">
        <f t="shared" si="144"/>
        <v>0</v>
      </c>
      <c r="BH86" s="17">
        <f t="shared" si="131"/>
        <v>0</v>
      </c>
      <c r="BI86" s="17">
        <f t="shared" si="132"/>
        <v>0</v>
      </c>
      <c r="BJ86" s="17">
        <f t="shared" si="133"/>
        <v>0</v>
      </c>
      <c r="BK86" s="17">
        <f t="shared" si="134"/>
        <v>0</v>
      </c>
    </row>
    <row r="87" spans="2:63" ht="15" customHeight="1">
      <c r="B87" s="15">
        <f t="shared" si="94"/>
        <v>79</v>
      </c>
      <c r="C87" s="15">
        <f t="shared" si="95"/>
        <v>7</v>
      </c>
      <c r="D87" s="15">
        <f t="shared" si="96"/>
        <v>0</v>
      </c>
      <c r="E87" s="15">
        <f t="shared" si="93"/>
        <v>79</v>
      </c>
      <c r="G87" s="15">
        <f>M_MultDeal!BE88+IF($B87=1,-i_transfee*i_maxequity,0)</f>
        <v>0</v>
      </c>
      <c r="H87" s="15">
        <f>M_MultDeal!AO88</f>
        <v>0</v>
      </c>
      <c r="I87" s="15">
        <f t="shared" si="135"/>
        <v>0</v>
      </c>
      <c r="K87" s="15">
        <f t="shared" si="97"/>
        <v>0</v>
      </c>
      <c r="L87" s="15">
        <f t="shared" si="98"/>
        <v>0</v>
      </c>
      <c r="M87" s="15">
        <f t="shared" si="99"/>
        <v>0</v>
      </c>
      <c r="N87" s="15">
        <f t="shared" si="100"/>
        <v>0</v>
      </c>
      <c r="O87" s="15">
        <f t="shared" si="101"/>
        <v>0</v>
      </c>
      <c r="P87" s="15">
        <f t="shared" si="102"/>
        <v>0</v>
      </c>
      <c r="R87" s="15">
        <f t="shared" si="103"/>
        <v>0</v>
      </c>
      <c r="S87" s="15">
        <f t="shared" si="104"/>
        <v>0</v>
      </c>
      <c r="T87" s="15">
        <f t="shared" si="105"/>
        <v>0</v>
      </c>
      <c r="U87" s="15">
        <f t="shared" si="106"/>
        <v>0</v>
      </c>
      <c r="V87" s="15">
        <f t="shared" si="107"/>
        <v>146898146.40534577</v>
      </c>
      <c r="W87" s="15">
        <f t="shared" si="136"/>
        <v>-146898146.40534577</v>
      </c>
      <c r="X87" s="15">
        <f t="shared" si="108"/>
        <v>0</v>
      </c>
      <c r="Y87" s="15">
        <f t="shared" si="137"/>
        <v>2635826681.7015319</v>
      </c>
      <c r="Z87" s="15">
        <f t="shared" si="109"/>
        <v>0</v>
      </c>
      <c r="AA87" s="72"/>
      <c r="AB87" s="15">
        <f t="shared" si="138"/>
        <v>0</v>
      </c>
      <c r="AC87" s="15">
        <f t="shared" si="110"/>
        <v>0</v>
      </c>
      <c r="AD87" s="15">
        <f t="shared" si="111"/>
        <v>0</v>
      </c>
      <c r="AF87" s="15">
        <f t="shared" si="112"/>
        <v>0</v>
      </c>
      <c r="AG87" s="15">
        <f t="shared" si="113"/>
        <v>0</v>
      </c>
      <c r="AH87" s="15">
        <f t="shared" si="114"/>
        <v>0</v>
      </c>
      <c r="AI87" s="15">
        <f t="shared" si="115"/>
        <v>0</v>
      </c>
      <c r="AJ87" s="15">
        <f t="shared" si="116"/>
        <v>0</v>
      </c>
      <c r="AK87" s="15">
        <f t="shared" si="117"/>
        <v>0</v>
      </c>
      <c r="AM87" s="15">
        <f t="shared" si="118"/>
        <v>0</v>
      </c>
      <c r="AN87" s="15">
        <f t="shared" si="119"/>
        <v>0</v>
      </c>
      <c r="AO87" s="15">
        <f t="shared" si="120"/>
        <v>0</v>
      </c>
      <c r="AP87" s="15">
        <f t="shared" si="121"/>
        <v>0</v>
      </c>
      <c r="AQ87" s="15">
        <f t="shared" si="122"/>
        <v>0</v>
      </c>
      <c r="AR87" s="15">
        <f t="shared" si="139"/>
        <v>0</v>
      </c>
      <c r="AS87" s="15">
        <f t="shared" si="123"/>
        <v>0</v>
      </c>
      <c r="AT87" s="15">
        <f t="shared" si="140"/>
        <v>0</v>
      </c>
      <c r="AU87" s="15">
        <f t="shared" si="124"/>
        <v>0</v>
      </c>
      <c r="AV87" s="72"/>
      <c r="AW87" s="15">
        <f t="shared" si="141"/>
        <v>0</v>
      </c>
      <c r="AX87" s="15">
        <f t="shared" si="125"/>
        <v>0</v>
      </c>
      <c r="AY87" s="15">
        <f t="shared" si="126"/>
        <v>0</v>
      </c>
      <c r="BA87" s="15">
        <f t="shared" si="142"/>
        <v>0</v>
      </c>
      <c r="BB87" s="15">
        <f t="shared" si="143"/>
        <v>0</v>
      </c>
      <c r="BC87" s="15">
        <f t="shared" si="127"/>
        <v>0</v>
      </c>
      <c r="BD87" s="15">
        <f t="shared" si="128"/>
        <v>0</v>
      </c>
      <c r="BE87" s="15">
        <f t="shared" si="129"/>
        <v>0</v>
      </c>
      <c r="BF87" s="15">
        <f t="shared" si="130"/>
        <v>0</v>
      </c>
      <c r="BG87" s="15">
        <f t="shared" si="144"/>
        <v>0</v>
      </c>
      <c r="BH87" s="15">
        <f t="shared" si="131"/>
        <v>0</v>
      </c>
      <c r="BI87" s="15">
        <f t="shared" si="132"/>
        <v>0</v>
      </c>
      <c r="BJ87" s="15">
        <f t="shared" si="133"/>
        <v>0</v>
      </c>
      <c r="BK87" s="15">
        <f t="shared" si="134"/>
        <v>0</v>
      </c>
    </row>
    <row r="88" spans="2:63" ht="15" customHeight="1">
      <c r="B88" s="16">
        <f t="shared" si="94"/>
        <v>80</v>
      </c>
      <c r="C88" s="16">
        <f t="shared" si="95"/>
        <v>7</v>
      </c>
      <c r="D88" s="16">
        <f t="shared" si="96"/>
        <v>0</v>
      </c>
      <c r="E88" s="16">
        <f t="shared" si="93"/>
        <v>80</v>
      </c>
      <c r="G88" s="16">
        <f>M_MultDeal!BE89+IF($B88=1,-i_transfee*i_maxequity,0)</f>
        <v>0</v>
      </c>
      <c r="H88" s="16">
        <f>M_MultDeal!AO89</f>
        <v>0</v>
      </c>
      <c r="I88" s="16">
        <f t="shared" si="135"/>
        <v>0</v>
      </c>
      <c r="K88" s="16">
        <f t="shared" si="97"/>
        <v>0</v>
      </c>
      <c r="L88" s="16">
        <f t="shared" si="98"/>
        <v>0</v>
      </c>
      <c r="M88" s="16">
        <f t="shared" si="99"/>
        <v>0</v>
      </c>
      <c r="N88" s="16">
        <f t="shared" si="100"/>
        <v>0</v>
      </c>
      <c r="O88" s="16">
        <f t="shared" si="101"/>
        <v>0</v>
      </c>
      <c r="P88" s="16">
        <f t="shared" si="102"/>
        <v>0</v>
      </c>
      <c r="R88" s="16">
        <f t="shared" si="103"/>
        <v>0</v>
      </c>
      <c r="S88" s="16">
        <f t="shared" si="104"/>
        <v>0</v>
      </c>
      <c r="T88" s="16">
        <f t="shared" si="105"/>
        <v>0</v>
      </c>
      <c r="U88" s="16">
        <f t="shared" si="106"/>
        <v>0</v>
      </c>
      <c r="V88" s="16">
        <f t="shared" si="107"/>
        <v>155568168.50976047</v>
      </c>
      <c r="W88" s="16">
        <f t="shared" si="136"/>
        <v>-155568168.50976047</v>
      </c>
      <c r="X88" s="16">
        <f t="shared" si="108"/>
        <v>0</v>
      </c>
      <c r="Y88" s="16">
        <f t="shared" si="137"/>
        <v>2791394850.2112923</v>
      </c>
      <c r="Z88" s="16">
        <f t="shared" si="109"/>
        <v>0</v>
      </c>
      <c r="AA88" s="72"/>
      <c r="AB88" s="16">
        <f t="shared" si="138"/>
        <v>0</v>
      </c>
      <c r="AC88" s="16">
        <f t="shared" si="110"/>
        <v>0</v>
      </c>
      <c r="AD88" s="16">
        <f t="shared" si="111"/>
        <v>0</v>
      </c>
      <c r="AF88" s="15">
        <f t="shared" si="112"/>
        <v>0</v>
      </c>
      <c r="AG88" s="16">
        <f t="shared" si="113"/>
        <v>0</v>
      </c>
      <c r="AH88" s="16">
        <f t="shared" si="114"/>
        <v>0</v>
      </c>
      <c r="AI88" s="16">
        <f t="shared" si="115"/>
        <v>0</v>
      </c>
      <c r="AJ88" s="16">
        <f t="shared" si="116"/>
        <v>0</v>
      </c>
      <c r="AK88" s="16">
        <f t="shared" si="117"/>
        <v>0</v>
      </c>
      <c r="AM88" s="16">
        <f t="shared" si="118"/>
        <v>0</v>
      </c>
      <c r="AN88" s="16">
        <f t="shared" si="119"/>
        <v>0</v>
      </c>
      <c r="AO88" s="16">
        <f t="shared" si="120"/>
        <v>0</v>
      </c>
      <c r="AP88" s="16">
        <f t="shared" si="121"/>
        <v>0</v>
      </c>
      <c r="AQ88" s="16">
        <f t="shared" si="122"/>
        <v>0</v>
      </c>
      <c r="AR88" s="16">
        <f t="shared" si="139"/>
        <v>0</v>
      </c>
      <c r="AS88" s="16">
        <f t="shared" si="123"/>
        <v>0</v>
      </c>
      <c r="AT88" s="16">
        <f t="shared" si="140"/>
        <v>0</v>
      </c>
      <c r="AU88" s="16">
        <f t="shared" si="124"/>
        <v>0</v>
      </c>
      <c r="AV88" s="72"/>
      <c r="AW88" s="16">
        <f t="shared" si="141"/>
        <v>0</v>
      </c>
      <c r="AX88" s="16">
        <f t="shared" si="125"/>
        <v>0</v>
      </c>
      <c r="AY88" s="16">
        <f t="shared" si="126"/>
        <v>0</v>
      </c>
      <c r="BA88" s="16">
        <f t="shared" si="142"/>
        <v>0</v>
      </c>
      <c r="BB88" s="16">
        <f t="shared" si="143"/>
        <v>0</v>
      </c>
      <c r="BC88" s="16">
        <f t="shared" si="127"/>
        <v>0</v>
      </c>
      <c r="BD88" s="16">
        <f t="shared" si="128"/>
        <v>0</v>
      </c>
      <c r="BE88" s="16">
        <f t="shared" si="129"/>
        <v>0</v>
      </c>
      <c r="BF88" s="16">
        <f t="shared" si="130"/>
        <v>0</v>
      </c>
      <c r="BG88" s="16">
        <f t="shared" si="144"/>
        <v>0</v>
      </c>
      <c r="BH88" s="16">
        <f t="shared" si="131"/>
        <v>0</v>
      </c>
      <c r="BI88" s="16">
        <f t="shared" si="132"/>
        <v>0</v>
      </c>
      <c r="BJ88" s="16">
        <f t="shared" si="133"/>
        <v>0</v>
      </c>
      <c r="BK88" s="16">
        <f t="shared" si="134"/>
        <v>0</v>
      </c>
    </row>
    <row r="89" spans="2:63" ht="15" customHeight="1">
      <c r="B89" s="17">
        <f t="shared" si="94"/>
        <v>81</v>
      </c>
      <c r="C89" s="17">
        <f t="shared" si="95"/>
        <v>7</v>
      </c>
      <c r="D89" s="17">
        <f t="shared" si="96"/>
        <v>0</v>
      </c>
      <c r="E89" s="17">
        <f t="shared" si="93"/>
        <v>81</v>
      </c>
      <c r="G89" s="17">
        <f>M_MultDeal!BE90+IF($B89=1,-i_transfee*i_maxequity,0)</f>
        <v>0</v>
      </c>
      <c r="H89" s="17">
        <f>M_MultDeal!AO90</f>
        <v>0</v>
      </c>
      <c r="I89" s="17">
        <f t="shared" si="135"/>
        <v>0</v>
      </c>
      <c r="K89" s="17">
        <f t="shared" si="97"/>
        <v>0</v>
      </c>
      <c r="L89" s="17">
        <f t="shared" si="98"/>
        <v>0</v>
      </c>
      <c r="M89" s="17">
        <f t="shared" si="99"/>
        <v>0</v>
      </c>
      <c r="N89" s="17">
        <f t="shared" si="100"/>
        <v>0</v>
      </c>
      <c r="O89" s="17">
        <f t="shared" si="101"/>
        <v>0</v>
      </c>
      <c r="P89" s="17">
        <f t="shared" si="102"/>
        <v>0</v>
      </c>
      <c r="R89" s="17">
        <f t="shared" si="103"/>
        <v>0</v>
      </c>
      <c r="S89" s="17">
        <f t="shared" si="104"/>
        <v>0</v>
      </c>
      <c r="T89" s="17">
        <f t="shared" si="105"/>
        <v>0</v>
      </c>
      <c r="U89" s="17">
        <f t="shared" si="106"/>
        <v>0</v>
      </c>
      <c r="V89" s="17">
        <f t="shared" si="107"/>
        <v>164749900.83741799</v>
      </c>
      <c r="W89" s="17">
        <f t="shared" si="136"/>
        <v>-164749900.83741799</v>
      </c>
      <c r="X89" s="17">
        <f t="shared" si="108"/>
        <v>0</v>
      </c>
      <c r="Y89" s="17">
        <f t="shared" si="137"/>
        <v>2956144751.0487103</v>
      </c>
      <c r="Z89" s="17">
        <f t="shared" si="109"/>
        <v>0</v>
      </c>
      <c r="AA89" s="72"/>
      <c r="AB89" s="17">
        <f t="shared" si="138"/>
        <v>0</v>
      </c>
      <c r="AC89" s="17">
        <f t="shared" si="110"/>
        <v>0</v>
      </c>
      <c r="AD89" s="17">
        <f t="shared" si="111"/>
        <v>0</v>
      </c>
      <c r="AF89" s="15">
        <f t="shared" si="112"/>
        <v>0</v>
      </c>
      <c r="AG89" s="17">
        <f t="shared" si="113"/>
        <v>0</v>
      </c>
      <c r="AH89" s="17">
        <f t="shared" si="114"/>
        <v>0</v>
      </c>
      <c r="AI89" s="17">
        <f t="shared" si="115"/>
        <v>0</v>
      </c>
      <c r="AJ89" s="17">
        <f t="shared" si="116"/>
        <v>0</v>
      </c>
      <c r="AK89" s="17">
        <f t="shared" si="117"/>
        <v>0</v>
      </c>
      <c r="AM89" s="17">
        <f t="shared" si="118"/>
        <v>0</v>
      </c>
      <c r="AN89" s="17">
        <f t="shared" si="119"/>
        <v>0</v>
      </c>
      <c r="AO89" s="17">
        <f t="shared" si="120"/>
        <v>0</v>
      </c>
      <c r="AP89" s="17">
        <f t="shared" si="121"/>
        <v>0</v>
      </c>
      <c r="AQ89" s="17">
        <f t="shared" si="122"/>
        <v>0</v>
      </c>
      <c r="AR89" s="17">
        <f t="shared" si="139"/>
        <v>0</v>
      </c>
      <c r="AS89" s="17">
        <f t="shared" si="123"/>
        <v>0</v>
      </c>
      <c r="AT89" s="17">
        <f t="shared" si="140"/>
        <v>0</v>
      </c>
      <c r="AU89" s="17">
        <f t="shared" si="124"/>
        <v>0</v>
      </c>
      <c r="AV89" s="72"/>
      <c r="AW89" s="17">
        <f t="shared" si="141"/>
        <v>0</v>
      </c>
      <c r="AX89" s="17">
        <f t="shared" si="125"/>
        <v>0</v>
      </c>
      <c r="AY89" s="17">
        <f t="shared" si="126"/>
        <v>0</v>
      </c>
      <c r="BA89" s="17">
        <f t="shared" si="142"/>
        <v>0</v>
      </c>
      <c r="BB89" s="17">
        <f t="shared" si="143"/>
        <v>0</v>
      </c>
      <c r="BC89" s="17">
        <f t="shared" si="127"/>
        <v>0</v>
      </c>
      <c r="BD89" s="17">
        <f t="shared" si="128"/>
        <v>0</v>
      </c>
      <c r="BE89" s="17">
        <f t="shared" si="129"/>
        <v>0</v>
      </c>
      <c r="BF89" s="17">
        <f t="shared" si="130"/>
        <v>0</v>
      </c>
      <c r="BG89" s="17">
        <f t="shared" si="144"/>
        <v>0</v>
      </c>
      <c r="BH89" s="17">
        <f t="shared" si="131"/>
        <v>0</v>
      </c>
      <c r="BI89" s="17">
        <f t="shared" si="132"/>
        <v>0</v>
      </c>
      <c r="BJ89" s="17">
        <f t="shared" si="133"/>
        <v>0</v>
      </c>
      <c r="BK89" s="17">
        <f t="shared" si="134"/>
        <v>0</v>
      </c>
    </row>
    <row r="90" spans="2:63" ht="15" customHeight="1">
      <c r="B90" s="15">
        <f t="shared" si="94"/>
        <v>82</v>
      </c>
      <c r="C90" s="15">
        <f t="shared" si="95"/>
        <v>7</v>
      </c>
      <c r="D90" s="15">
        <f t="shared" si="96"/>
        <v>0</v>
      </c>
      <c r="E90" s="15">
        <f t="shared" si="93"/>
        <v>82</v>
      </c>
      <c r="G90" s="15">
        <f>M_MultDeal!BE91+IF($B90=1,-i_transfee*i_maxequity,0)</f>
        <v>0</v>
      </c>
      <c r="H90" s="15">
        <f>M_MultDeal!AO91</f>
        <v>0</v>
      </c>
      <c r="I90" s="15">
        <f t="shared" si="135"/>
        <v>0</v>
      </c>
      <c r="K90" s="15">
        <f t="shared" si="97"/>
        <v>0</v>
      </c>
      <c r="L90" s="15">
        <f t="shared" si="98"/>
        <v>0</v>
      </c>
      <c r="M90" s="15">
        <f t="shared" si="99"/>
        <v>0</v>
      </c>
      <c r="N90" s="15">
        <f t="shared" si="100"/>
        <v>0</v>
      </c>
      <c r="O90" s="15">
        <f t="shared" si="101"/>
        <v>0</v>
      </c>
      <c r="P90" s="15">
        <f t="shared" si="102"/>
        <v>0</v>
      </c>
      <c r="R90" s="15">
        <f t="shared" si="103"/>
        <v>0</v>
      </c>
      <c r="S90" s="15">
        <f t="shared" si="104"/>
        <v>0</v>
      </c>
      <c r="T90" s="15">
        <f t="shared" si="105"/>
        <v>0</v>
      </c>
      <c r="U90" s="15">
        <f t="shared" si="106"/>
        <v>0</v>
      </c>
      <c r="V90" s="15">
        <f t="shared" si="107"/>
        <v>174473544.8514078</v>
      </c>
      <c r="W90" s="15">
        <f t="shared" si="136"/>
        <v>-174473544.8514078</v>
      </c>
      <c r="X90" s="15">
        <f t="shared" si="108"/>
        <v>0</v>
      </c>
      <c r="Y90" s="15">
        <f t="shared" si="137"/>
        <v>3130618295.9001184</v>
      </c>
      <c r="Z90" s="15">
        <f t="shared" si="109"/>
        <v>0</v>
      </c>
      <c r="AA90" s="72"/>
      <c r="AB90" s="15">
        <f t="shared" si="138"/>
        <v>0</v>
      </c>
      <c r="AC90" s="15">
        <f t="shared" si="110"/>
        <v>0</v>
      </c>
      <c r="AD90" s="15">
        <f t="shared" si="111"/>
        <v>0</v>
      </c>
      <c r="AF90" s="15">
        <f t="shared" si="112"/>
        <v>0</v>
      </c>
      <c r="AG90" s="15">
        <f t="shared" si="113"/>
        <v>0</v>
      </c>
      <c r="AH90" s="15">
        <f t="shared" si="114"/>
        <v>0</v>
      </c>
      <c r="AI90" s="15">
        <f t="shared" si="115"/>
        <v>0</v>
      </c>
      <c r="AJ90" s="15">
        <f t="shared" si="116"/>
        <v>0</v>
      </c>
      <c r="AK90" s="15">
        <f t="shared" si="117"/>
        <v>0</v>
      </c>
      <c r="AM90" s="15">
        <f t="shared" si="118"/>
        <v>0</v>
      </c>
      <c r="AN90" s="15">
        <f t="shared" si="119"/>
        <v>0</v>
      </c>
      <c r="AO90" s="15">
        <f t="shared" si="120"/>
        <v>0</v>
      </c>
      <c r="AP90" s="15">
        <f t="shared" si="121"/>
        <v>0</v>
      </c>
      <c r="AQ90" s="15">
        <f t="shared" si="122"/>
        <v>0</v>
      </c>
      <c r="AR90" s="15">
        <f t="shared" si="139"/>
        <v>0</v>
      </c>
      <c r="AS90" s="15">
        <f t="shared" si="123"/>
        <v>0</v>
      </c>
      <c r="AT90" s="15">
        <f t="shared" si="140"/>
        <v>0</v>
      </c>
      <c r="AU90" s="15">
        <f t="shared" si="124"/>
        <v>0</v>
      </c>
      <c r="AV90" s="72"/>
      <c r="AW90" s="15">
        <f t="shared" si="141"/>
        <v>0</v>
      </c>
      <c r="AX90" s="15">
        <f t="shared" si="125"/>
        <v>0</v>
      </c>
      <c r="AY90" s="15">
        <f t="shared" si="126"/>
        <v>0</v>
      </c>
      <c r="BA90" s="15">
        <f t="shared" si="142"/>
        <v>0</v>
      </c>
      <c r="BB90" s="15">
        <f t="shared" si="143"/>
        <v>0</v>
      </c>
      <c r="BC90" s="15">
        <f t="shared" si="127"/>
        <v>0</v>
      </c>
      <c r="BD90" s="15">
        <f t="shared" si="128"/>
        <v>0</v>
      </c>
      <c r="BE90" s="15">
        <f t="shared" si="129"/>
        <v>0</v>
      </c>
      <c r="BF90" s="15">
        <f t="shared" si="130"/>
        <v>0</v>
      </c>
      <c r="BG90" s="15">
        <f t="shared" si="144"/>
        <v>0</v>
      </c>
      <c r="BH90" s="15">
        <f t="shared" si="131"/>
        <v>0</v>
      </c>
      <c r="BI90" s="15">
        <f t="shared" si="132"/>
        <v>0</v>
      </c>
      <c r="BJ90" s="15">
        <f t="shared" si="133"/>
        <v>0</v>
      </c>
      <c r="BK90" s="15">
        <f t="shared" si="134"/>
        <v>0</v>
      </c>
    </row>
    <row r="91" spans="2:63" ht="15" customHeight="1">
      <c r="B91" s="16">
        <f t="shared" si="94"/>
        <v>83</v>
      </c>
      <c r="C91" s="16">
        <f t="shared" si="95"/>
        <v>7</v>
      </c>
      <c r="D91" s="16">
        <f t="shared" si="96"/>
        <v>0</v>
      </c>
      <c r="E91" s="16">
        <f t="shared" si="93"/>
        <v>83</v>
      </c>
      <c r="G91" s="16">
        <f>M_MultDeal!BE92+IF($B91=1,-i_transfee*i_maxequity,0)</f>
        <v>0</v>
      </c>
      <c r="H91" s="16">
        <f>M_MultDeal!AO92</f>
        <v>0</v>
      </c>
      <c r="I91" s="16">
        <f t="shared" si="135"/>
        <v>0</v>
      </c>
      <c r="K91" s="16">
        <f t="shared" si="97"/>
        <v>0</v>
      </c>
      <c r="L91" s="16">
        <f t="shared" si="98"/>
        <v>0</v>
      </c>
      <c r="M91" s="16">
        <f t="shared" si="99"/>
        <v>0</v>
      </c>
      <c r="N91" s="16">
        <f t="shared" si="100"/>
        <v>0</v>
      </c>
      <c r="O91" s="16">
        <f t="shared" si="101"/>
        <v>0</v>
      </c>
      <c r="P91" s="16">
        <f t="shared" si="102"/>
        <v>0</v>
      </c>
      <c r="R91" s="16">
        <f t="shared" si="103"/>
        <v>0</v>
      </c>
      <c r="S91" s="16">
        <f t="shared" si="104"/>
        <v>0</v>
      </c>
      <c r="T91" s="16">
        <f t="shared" si="105"/>
        <v>0</v>
      </c>
      <c r="U91" s="16">
        <f t="shared" si="106"/>
        <v>0</v>
      </c>
      <c r="V91" s="16">
        <f t="shared" si="107"/>
        <v>184771084.52439475</v>
      </c>
      <c r="W91" s="16">
        <f t="shared" si="136"/>
        <v>-184771084.52439475</v>
      </c>
      <c r="X91" s="16">
        <f t="shared" si="108"/>
        <v>0</v>
      </c>
      <c r="Y91" s="16">
        <f t="shared" si="137"/>
        <v>3315389380.4245129</v>
      </c>
      <c r="Z91" s="16">
        <f t="shared" si="109"/>
        <v>0</v>
      </c>
      <c r="AA91" s="72"/>
      <c r="AB91" s="16">
        <f t="shared" si="138"/>
        <v>0</v>
      </c>
      <c r="AC91" s="16">
        <f t="shared" si="110"/>
        <v>0</v>
      </c>
      <c r="AD91" s="16">
        <f t="shared" si="111"/>
        <v>0</v>
      </c>
      <c r="AF91" s="15">
        <f t="shared" si="112"/>
        <v>0</v>
      </c>
      <c r="AG91" s="16">
        <f t="shared" si="113"/>
        <v>0</v>
      </c>
      <c r="AH91" s="16">
        <f t="shared" si="114"/>
        <v>0</v>
      </c>
      <c r="AI91" s="16">
        <f t="shared" si="115"/>
        <v>0</v>
      </c>
      <c r="AJ91" s="16">
        <f t="shared" si="116"/>
        <v>0</v>
      </c>
      <c r="AK91" s="16">
        <f t="shared" si="117"/>
        <v>0</v>
      </c>
      <c r="AM91" s="16">
        <f t="shared" si="118"/>
        <v>0</v>
      </c>
      <c r="AN91" s="16">
        <f t="shared" si="119"/>
        <v>0</v>
      </c>
      <c r="AO91" s="16">
        <f t="shared" si="120"/>
        <v>0</v>
      </c>
      <c r="AP91" s="16">
        <f t="shared" si="121"/>
        <v>0</v>
      </c>
      <c r="AQ91" s="16">
        <f t="shared" si="122"/>
        <v>0</v>
      </c>
      <c r="AR91" s="16">
        <f t="shared" si="139"/>
        <v>0</v>
      </c>
      <c r="AS91" s="16">
        <f t="shared" si="123"/>
        <v>0</v>
      </c>
      <c r="AT91" s="16">
        <f t="shared" si="140"/>
        <v>0</v>
      </c>
      <c r="AU91" s="16">
        <f t="shared" si="124"/>
        <v>0</v>
      </c>
      <c r="AV91" s="72"/>
      <c r="AW91" s="16">
        <f t="shared" si="141"/>
        <v>0</v>
      </c>
      <c r="AX91" s="16">
        <f t="shared" si="125"/>
        <v>0</v>
      </c>
      <c r="AY91" s="16">
        <f t="shared" si="126"/>
        <v>0</v>
      </c>
      <c r="BA91" s="16">
        <f t="shared" si="142"/>
        <v>0</v>
      </c>
      <c r="BB91" s="16">
        <f t="shared" si="143"/>
        <v>0</v>
      </c>
      <c r="BC91" s="16">
        <f t="shared" si="127"/>
        <v>0</v>
      </c>
      <c r="BD91" s="16">
        <f t="shared" si="128"/>
        <v>0</v>
      </c>
      <c r="BE91" s="16">
        <f t="shared" si="129"/>
        <v>0</v>
      </c>
      <c r="BF91" s="16">
        <f t="shared" si="130"/>
        <v>0</v>
      </c>
      <c r="BG91" s="16">
        <f t="shared" si="144"/>
        <v>0</v>
      </c>
      <c r="BH91" s="16">
        <f t="shared" si="131"/>
        <v>0</v>
      </c>
      <c r="BI91" s="16">
        <f t="shared" si="132"/>
        <v>0</v>
      </c>
      <c r="BJ91" s="16">
        <f t="shared" si="133"/>
        <v>0</v>
      </c>
      <c r="BK91" s="16">
        <f t="shared" si="134"/>
        <v>0</v>
      </c>
    </row>
    <row r="92" spans="2:63" ht="15" customHeight="1" thickBot="1">
      <c r="B92" s="18">
        <f t="shared" si="94"/>
        <v>84</v>
      </c>
      <c r="C92" s="18">
        <f t="shared" si="95"/>
        <v>7</v>
      </c>
      <c r="D92" s="18">
        <f t="shared" si="96"/>
        <v>0</v>
      </c>
      <c r="E92" s="18">
        <f t="shared" si="93"/>
        <v>84</v>
      </c>
      <c r="G92" s="18">
        <f>M_MultDeal!BE93+IF($B92=1,-i_transfee*i_maxequity,0)</f>
        <v>0</v>
      </c>
      <c r="H92" s="18">
        <f>M_MultDeal!AO93</f>
        <v>0</v>
      </c>
      <c r="I92" s="18">
        <f t="shared" si="135"/>
        <v>0</v>
      </c>
      <c r="K92" s="18">
        <f t="shared" si="97"/>
        <v>0</v>
      </c>
      <c r="L92" s="18">
        <f t="shared" si="98"/>
        <v>0</v>
      </c>
      <c r="M92" s="18">
        <f t="shared" si="99"/>
        <v>0</v>
      </c>
      <c r="N92" s="18">
        <f t="shared" si="100"/>
        <v>0</v>
      </c>
      <c r="O92" s="18">
        <f t="shared" si="101"/>
        <v>0</v>
      </c>
      <c r="P92" s="18">
        <f t="shared" si="102"/>
        <v>0</v>
      </c>
      <c r="R92" s="18">
        <f t="shared" si="103"/>
        <v>0</v>
      </c>
      <c r="S92" s="18">
        <f t="shared" si="104"/>
        <v>0</v>
      </c>
      <c r="T92" s="18">
        <f t="shared" si="105"/>
        <v>0</v>
      </c>
      <c r="U92" s="18">
        <f t="shared" si="106"/>
        <v>0</v>
      </c>
      <c r="V92" s="18">
        <f t="shared" si="107"/>
        <v>195676391.54346874</v>
      </c>
      <c r="W92" s="18">
        <f t="shared" si="136"/>
        <v>-195676391.54346874</v>
      </c>
      <c r="X92" s="18">
        <f t="shared" si="108"/>
        <v>0</v>
      </c>
      <c r="Y92" s="18">
        <f t="shared" si="137"/>
        <v>3511065771.9679818</v>
      </c>
      <c r="Z92" s="18">
        <f t="shared" si="109"/>
        <v>0</v>
      </c>
      <c r="AA92" s="72"/>
      <c r="AB92" s="18">
        <f t="shared" si="138"/>
        <v>0</v>
      </c>
      <c r="AC92" s="18">
        <f t="shared" si="110"/>
        <v>0</v>
      </c>
      <c r="AD92" s="18">
        <f t="shared" si="111"/>
        <v>0</v>
      </c>
      <c r="AF92" s="15">
        <f t="shared" si="112"/>
        <v>0</v>
      </c>
      <c r="AG92" s="18">
        <f t="shared" si="113"/>
        <v>0</v>
      </c>
      <c r="AH92" s="18">
        <f t="shared" si="114"/>
        <v>0</v>
      </c>
      <c r="AI92" s="18">
        <f t="shared" si="115"/>
        <v>0</v>
      </c>
      <c r="AJ92" s="18">
        <f t="shared" si="116"/>
        <v>0</v>
      </c>
      <c r="AK92" s="18">
        <f t="shared" si="117"/>
        <v>0</v>
      </c>
      <c r="AM92" s="18">
        <f t="shared" si="118"/>
        <v>0</v>
      </c>
      <c r="AN92" s="18">
        <f t="shared" si="119"/>
        <v>0</v>
      </c>
      <c r="AO92" s="18">
        <f t="shared" si="120"/>
        <v>0</v>
      </c>
      <c r="AP92" s="18">
        <f t="shared" si="121"/>
        <v>0</v>
      </c>
      <c r="AQ92" s="18">
        <f t="shared" si="122"/>
        <v>0</v>
      </c>
      <c r="AR92" s="18">
        <f t="shared" si="139"/>
        <v>0</v>
      </c>
      <c r="AS92" s="18">
        <f t="shared" si="123"/>
        <v>0</v>
      </c>
      <c r="AT92" s="18">
        <f t="shared" si="140"/>
        <v>0</v>
      </c>
      <c r="AU92" s="18">
        <f t="shared" si="124"/>
        <v>0</v>
      </c>
      <c r="AV92" s="72"/>
      <c r="AW92" s="18">
        <f t="shared" si="141"/>
        <v>0</v>
      </c>
      <c r="AX92" s="18">
        <f t="shared" si="125"/>
        <v>0</v>
      </c>
      <c r="AY92" s="18">
        <f t="shared" si="126"/>
        <v>0</v>
      </c>
      <c r="BA92" s="18">
        <f t="shared" si="142"/>
        <v>0</v>
      </c>
      <c r="BB92" s="18">
        <f t="shared" si="143"/>
        <v>0</v>
      </c>
      <c r="BC92" s="18">
        <f t="shared" si="127"/>
        <v>0</v>
      </c>
      <c r="BD92" s="18">
        <f t="shared" si="128"/>
        <v>0</v>
      </c>
      <c r="BE92" s="18">
        <f t="shared" si="129"/>
        <v>0</v>
      </c>
      <c r="BF92" s="18">
        <f t="shared" si="130"/>
        <v>0</v>
      </c>
      <c r="BG92" s="18">
        <f t="shared" si="144"/>
        <v>0</v>
      </c>
      <c r="BH92" s="18">
        <f t="shared" si="131"/>
        <v>0</v>
      </c>
      <c r="BI92" s="18">
        <f t="shared" si="132"/>
        <v>0</v>
      </c>
      <c r="BJ92" s="18">
        <f t="shared" si="133"/>
        <v>0</v>
      </c>
      <c r="BK92" s="18">
        <f t="shared" si="134"/>
        <v>0</v>
      </c>
    </row>
    <row r="93" spans="2:63" ht="15" customHeight="1">
      <c r="B93" s="19">
        <f t="shared" si="94"/>
        <v>85</v>
      </c>
      <c r="C93" s="19">
        <f t="shared" si="95"/>
        <v>8</v>
      </c>
      <c r="D93" s="19">
        <f t="shared" si="96"/>
        <v>0</v>
      </c>
      <c r="E93" s="19">
        <f t="shared" si="93"/>
        <v>85</v>
      </c>
      <c r="G93" s="19">
        <f>M_MultDeal!BE94+IF($B93=1,-i_transfee*i_maxequity,0)</f>
        <v>0</v>
      </c>
      <c r="H93" s="19">
        <f>M_MultDeal!AO94</f>
        <v>0</v>
      </c>
      <c r="I93" s="19">
        <f t="shared" si="135"/>
        <v>0</v>
      </c>
      <c r="K93" s="19">
        <f t="shared" si="97"/>
        <v>0</v>
      </c>
      <c r="L93" s="19">
        <f t="shared" si="98"/>
        <v>0</v>
      </c>
      <c r="M93" s="19">
        <f t="shared" si="99"/>
        <v>0</v>
      </c>
      <c r="N93" s="19">
        <f t="shared" si="100"/>
        <v>0</v>
      </c>
      <c r="O93" s="19">
        <f t="shared" si="101"/>
        <v>0</v>
      </c>
      <c r="P93" s="19">
        <f t="shared" si="102"/>
        <v>0</v>
      </c>
      <c r="Q93" s="72"/>
      <c r="R93" s="19">
        <f t="shared" si="103"/>
        <v>0</v>
      </c>
      <c r="S93" s="19">
        <f t="shared" si="104"/>
        <v>0</v>
      </c>
      <c r="T93" s="19">
        <f t="shared" si="105"/>
        <v>0</v>
      </c>
      <c r="U93" s="19">
        <f t="shared" si="106"/>
        <v>0</v>
      </c>
      <c r="V93" s="19">
        <f t="shared" si="107"/>
        <v>207225336.72425178</v>
      </c>
      <c r="W93" s="19">
        <f t="shared" si="136"/>
        <v>-207225336.72425178</v>
      </c>
      <c r="X93" s="19">
        <f t="shared" si="108"/>
        <v>0</v>
      </c>
      <c r="Y93" s="19">
        <f t="shared" si="137"/>
        <v>3718291108.6922336</v>
      </c>
      <c r="Z93" s="19">
        <f t="shared" si="109"/>
        <v>0</v>
      </c>
      <c r="AA93" s="72"/>
      <c r="AB93" s="19">
        <f t="shared" si="138"/>
        <v>0</v>
      </c>
      <c r="AC93" s="19">
        <f t="shared" si="110"/>
        <v>0</v>
      </c>
      <c r="AD93" s="19">
        <f t="shared" si="111"/>
        <v>0</v>
      </c>
      <c r="AF93" s="15">
        <f t="shared" si="112"/>
        <v>0</v>
      </c>
      <c r="AG93" s="19">
        <f t="shared" si="113"/>
        <v>0</v>
      </c>
      <c r="AH93" s="19">
        <f t="shared" si="114"/>
        <v>0</v>
      </c>
      <c r="AI93" s="19">
        <f t="shared" si="115"/>
        <v>0</v>
      </c>
      <c r="AJ93" s="19">
        <f t="shared" si="116"/>
        <v>0</v>
      </c>
      <c r="AK93" s="19">
        <f t="shared" si="117"/>
        <v>0</v>
      </c>
      <c r="AL93" s="72"/>
      <c r="AM93" s="19">
        <f t="shared" si="118"/>
        <v>0</v>
      </c>
      <c r="AN93" s="19">
        <f t="shared" si="119"/>
        <v>0</v>
      </c>
      <c r="AO93" s="19">
        <f t="shared" si="120"/>
        <v>0</v>
      </c>
      <c r="AP93" s="19">
        <f t="shared" si="121"/>
        <v>0</v>
      </c>
      <c r="AQ93" s="19">
        <f t="shared" si="122"/>
        <v>0</v>
      </c>
      <c r="AR93" s="19">
        <f t="shared" si="139"/>
        <v>0</v>
      </c>
      <c r="AS93" s="19">
        <f t="shared" si="123"/>
        <v>0</v>
      </c>
      <c r="AT93" s="19">
        <f t="shared" si="140"/>
        <v>0</v>
      </c>
      <c r="AU93" s="19">
        <f t="shared" si="124"/>
        <v>0</v>
      </c>
      <c r="AV93" s="72"/>
      <c r="AW93" s="19">
        <f t="shared" si="141"/>
        <v>0</v>
      </c>
      <c r="AX93" s="19">
        <f t="shared" si="125"/>
        <v>0</v>
      </c>
      <c r="AY93" s="19">
        <f t="shared" si="126"/>
        <v>0</v>
      </c>
      <c r="BA93" s="19">
        <f t="shared" si="142"/>
        <v>0</v>
      </c>
      <c r="BB93" s="19">
        <f t="shared" si="143"/>
        <v>0</v>
      </c>
      <c r="BC93" s="19">
        <f t="shared" si="127"/>
        <v>0</v>
      </c>
      <c r="BD93" s="19">
        <f t="shared" si="128"/>
        <v>0</v>
      </c>
      <c r="BE93" s="19">
        <f t="shared" si="129"/>
        <v>0</v>
      </c>
      <c r="BF93" s="19">
        <f t="shared" si="130"/>
        <v>0</v>
      </c>
      <c r="BG93" s="19">
        <f t="shared" si="144"/>
        <v>0</v>
      </c>
      <c r="BH93" s="19">
        <f t="shared" si="131"/>
        <v>0</v>
      </c>
      <c r="BI93" s="19">
        <f t="shared" si="132"/>
        <v>0</v>
      </c>
      <c r="BJ93" s="19">
        <f t="shared" si="133"/>
        <v>0</v>
      </c>
      <c r="BK93" s="19">
        <f t="shared" si="134"/>
        <v>0</v>
      </c>
    </row>
    <row r="94" spans="2:63" ht="15" customHeight="1">
      <c r="B94" s="16">
        <f t="shared" si="94"/>
        <v>86</v>
      </c>
      <c r="C94" s="16">
        <f t="shared" si="95"/>
        <v>8</v>
      </c>
      <c r="D94" s="16">
        <f t="shared" si="96"/>
        <v>0</v>
      </c>
      <c r="E94" s="16">
        <f t="shared" si="93"/>
        <v>86</v>
      </c>
      <c r="G94" s="16">
        <f>M_MultDeal!BE95+IF($B94=1,-i_transfee*i_maxequity,0)</f>
        <v>0</v>
      </c>
      <c r="H94" s="16">
        <f>M_MultDeal!AO95</f>
        <v>0</v>
      </c>
      <c r="I94" s="16">
        <f t="shared" si="135"/>
        <v>0</v>
      </c>
      <c r="K94" s="16">
        <f t="shared" si="97"/>
        <v>0</v>
      </c>
      <c r="L94" s="16">
        <f t="shared" si="98"/>
        <v>0</v>
      </c>
      <c r="M94" s="16">
        <f t="shared" si="99"/>
        <v>0</v>
      </c>
      <c r="N94" s="16">
        <f t="shared" si="100"/>
        <v>0</v>
      </c>
      <c r="O94" s="16">
        <f t="shared" si="101"/>
        <v>0</v>
      </c>
      <c r="P94" s="16">
        <f t="shared" si="102"/>
        <v>0</v>
      </c>
      <c r="R94" s="16">
        <f t="shared" si="103"/>
        <v>0</v>
      </c>
      <c r="S94" s="16">
        <f t="shared" si="104"/>
        <v>0</v>
      </c>
      <c r="T94" s="16">
        <f t="shared" si="105"/>
        <v>0</v>
      </c>
      <c r="U94" s="16">
        <f t="shared" si="106"/>
        <v>0</v>
      </c>
      <c r="V94" s="16">
        <f t="shared" si="107"/>
        <v>219455908.00073627</v>
      </c>
      <c r="W94" s="16">
        <f t="shared" si="136"/>
        <v>-219455908.00073627</v>
      </c>
      <c r="X94" s="16">
        <f t="shared" si="108"/>
        <v>0</v>
      </c>
      <c r="Y94" s="16">
        <f t="shared" si="137"/>
        <v>3937747016.6929698</v>
      </c>
      <c r="Z94" s="16">
        <f t="shared" si="109"/>
        <v>0</v>
      </c>
      <c r="AA94" s="72"/>
      <c r="AB94" s="16">
        <f t="shared" si="138"/>
        <v>0</v>
      </c>
      <c r="AC94" s="16">
        <f t="shared" si="110"/>
        <v>0</v>
      </c>
      <c r="AD94" s="16">
        <f t="shared" si="111"/>
        <v>0</v>
      </c>
      <c r="AF94" s="15">
        <f t="shared" si="112"/>
        <v>0</v>
      </c>
      <c r="AG94" s="16">
        <f t="shared" si="113"/>
        <v>0</v>
      </c>
      <c r="AH94" s="16">
        <f t="shared" si="114"/>
        <v>0</v>
      </c>
      <c r="AI94" s="16">
        <f t="shared" si="115"/>
        <v>0</v>
      </c>
      <c r="AJ94" s="16">
        <f t="shared" si="116"/>
        <v>0</v>
      </c>
      <c r="AK94" s="16">
        <f t="shared" si="117"/>
        <v>0</v>
      </c>
      <c r="AM94" s="16">
        <f t="shared" si="118"/>
        <v>0</v>
      </c>
      <c r="AN94" s="16">
        <f t="shared" si="119"/>
        <v>0</v>
      </c>
      <c r="AO94" s="16">
        <f t="shared" si="120"/>
        <v>0</v>
      </c>
      <c r="AP94" s="16">
        <f t="shared" si="121"/>
        <v>0</v>
      </c>
      <c r="AQ94" s="16">
        <f t="shared" si="122"/>
        <v>0</v>
      </c>
      <c r="AR94" s="16">
        <f t="shared" si="139"/>
        <v>0</v>
      </c>
      <c r="AS94" s="16">
        <f t="shared" si="123"/>
        <v>0</v>
      </c>
      <c r="AT94" s="16">
        <f t="shared" si="140"/>
        <v>0</v>
      </c>
      <c r="AU94" s="16">
        <f t="shared" si="124"/>
        <v>0</v>
      </c>
      <c r="AV94" s="72"/>
      <c r="AW94" s="16">
        <f t="shared" si="141"/>
        <v>0</v>
      </c>
      <c r="AX94" s="16">
        <f t="shared" si="125"/>
        <v>0</v>
      </c>
      <c r="AY94" s="16">
        <f t="shared" si="126"/>
        <v>0</v>
      </c>
      <c r="BA94" s="16">
        <f t="shared" si="142"/>
        <v>0</v>
      </c>
      <c r="BB94" s="16">
        <f t="shared" si="143"/>
        <v>0</v>
      </c>
      <c r="BC94" s="16">
        <f t="shared" si="127"/>
        <v>0</v>
      </c>
      <c r="BD94" s="16">
        <f t="shared" si="128"/>
        <v>0</v>
      </c>
      <c r="BE94" s="16">
        <f t="shared" si="129"/>
        <v>0</v>
      </c>
      <c r="BF94" s="16">
        <f t="shared" si="130"/>
        <v>0</v>
      </c>
      <c r="BG94" s="16">
        <f t="shared" si="144"/>
        <v>0</v>
      </c>
      <c r="BH94" s="16">
        <f t="shared" si="131"/>
        <v>0</v>
      </c>
      <c r="BI94" s="16">
        <f t="shared" si="132"/>
        <v>0</v>
      </c>
      <c r="BJ94" s="16">
        <f t="shared" si="133"/>
        <v>0</v>
      </c>
      <c r="BK94" s="16">
        <f t="shared" si="134"/>
        <v>0</v>
      </c>
    </row>
    <row r="95" spans="2:63" ht="15" customHeight="1">
      <c r="B95" s="17">
        <f t="shared" si="94"/>
        <v>87</v>
      </c>
      <c r="C95" s="17">
        <f t="shared" si="95"/>
        <v>8</v>
      </c>
      <c r="D95" s="17">
        <f t="shared" si="96"/>
        <v>0</v>
      </c>
      <c r="E95" s="17">
        <f t="shared" si="93"/>
        <v>87</v>
      </c>
      <c r="G95" s="17">
        <f>M_MultDeal!BE96+IF($B95=1,-i_transfee*i_maxequity,0)</f>
        <v>0</v>
      </c>
      <c r="H95" s="17">
        <f>M_MultDeal!AO96</f>
        <v>0</v>
      </c>
      <c r="I95" s="17">
        <f t="shared" si="135"/>
        <v>0</v>
      </c>
      <c r="K95" s="17">
        <f t="shared" si="97"/>
        <v>0</v>
      </c>
      <c r="L95" s="17">
        <f t="shared" si="98"/>
        <v>0</v>
      </c>
      <c r="M95" s="17">
        <f t="shared" si="99"/>
        <v>0</v>
      </c>
      <c r="N95" s="17">
        <f t="shared" si="100"/>
        <v>0</v>
      </c>
      <c r="O95" s="17">
        <f t="shared" si="101"/>
        <v>0</v>
      </c>
      <c r="P95" s="17">
        <f t="shared" si="102"/>
        <v>0</v>
      </c>
      <c r="R95" s="17">
        <f t="shared" si="103"/>
        <v>0</v>
      </c>
      <c r="S95" s="17">
        <f t="shared" si="104"/>
        <v>0</v>
      </c>
      <c r="T95" s="17">
        <f t="shared" si="105"/>
        <v>0</v>
      </c>
      <c r="U95" s="17">
        <f t="shared" si="106"/>
        <v>0</v>
      </c>
      <c r="V95" s="17">
        <f t="shared" si="107"/>
        <v>232408335.37895906</v>
      </c>
      <c r="W95" s="17">
        <f t="shared" si="136"/>
        <v>-232408335.37895906</v>
      </c>
      <c r="X95" s="17">
        <f t="shared" si="108"/>
        <v>0</v>
      </c>
      <c r="Y95" s="17">
        <f t="shared" si="137"/>
        <v>4170155352.071929</v>
      </c>
      <c r="Z95" s="17">
        <f t="shared" si="109"/>
        <v>0</v>
      </c>
      <c r="AA95" s="72"/>
      <c r="AB95" s="17">
        <f t="shared" si="138"/>
        <v>0</v>
      </c>
      <c r="AC95" s="17">
        <f t="shared" si="110"/>
        <v>0</v>
      </c>
      <c r="AD95" s="17">
        <f t="shared" si="111"/>
        <v>0</v>
      </c>
      <c r="AF95" s="15">
        <f t="shared" si="112"/>
        <v>0</v>
      </c>
      <c r="AG95" s="17">
        <f t="shared" si="113"/>
        <v>0</v>
      </c>
      <c r="AH95" s="17">
        <f t="shared" si="114"/>
        <v>0</v>
      </c>
      <c r="AI95" s="17">
        <f t="shared" si="115"/>
        <v>0</v>
      </c>
      <c r="AJ95" s="17">
        <f t="shared" si="116"/>
        <v>0</v>
      </c>
      <c r="AK95" s="17">
        <f t="shared" si="117"/>
        <v>0</v>
      </c>
      <c r="AM95" s="17">
        <f t="shared" si="118"/>
        <v>0</v>
      </c>
      <c r="AN95" s="17">
        <f t="shared" si="119"/>
        <v>0</v>
      </c>
      <c r="AO95" s="17">
        <f t="shared" si="120"/>
        <v>0</v>
      </c>
      <c r="AP95" s="17">
        <f t="shared" si="121"/>
        <v>0</v>
      </c>
      <c r="AQ95" s="17">
        <f t="shared" si="122"/>
        <v>0</v>
      </c>
      <c r="AR95" s="17">
        <f t="shared" si="139"/>
        <v>0</v>
      </c>
      <c r="AS95" s="17">
        <f t="shared" si="123"/>
        <v>0</v>
      </c>
      <c r="AT95" s="17">
        <f t="shared" si="140"/>
        <v>0</v>
      </c>
      <c r="AU95" s="17">
        <f t="shared" si="124"/>
        <v>0</v>
      </c>
      <c r="AV95" s="72"/>
      <c r="AW95" s="17">
        <f t="shared" si="141"/>
        <v>0</v>
      </c>
      <c r="AX95" s="17">
        <f t="shared" si="125"/>
        <v>0</v>
      </c>
      <c r="AY95" s="17">
        <f t="shared" si="126"/>
        <v>0</v>
      </c>
      <c r="BA95" s="17">
        <f t="shared" si="142"/>
        <v>0</v>
      </c>
      <c r="BB95" s="17">
        <f t="shared" si="143"/>
        <v>0</v>
      </c>
      <c r="BC95" s="17">
        <f t="shared" si="127"/>
        <v>0</v>
      </c>
      <c r="BD95" s="17">
        <f t="shared" si="128"/>
        <v>0</v>
      </c>
      <c r="BE95" s="17">
        <f t="shared" si="129"/>
        <v>0</v>
      </c>
      <c r="BF95" s="17">
        <f t="shared" si="130"/>
        <v>0</v>
      </c>
      <c r="BG95" s="17">
        <f t="shared" si="144"/>
        <v>0</v>
      </c>
      <c r="BH95" s="17">
        <f t="shared" si="131"/>
        <v>0</v>
      </c>
      <c r="BI95" s="17">
        <f t="shared" si="132"/>
        <v>0</v>
      </c>
      <c r="BJ95" s="17">
        <f t="shared" si="133"/>
        <v>0</v>
      </c>
      <c r="BK95" s="17">
        <f t="shared" si="134"/>
        <v>0</v>
      </c>
    </row>
    <row r="96" spans="2:63" ht="15" customHeight="1">
      <c r="B96" s="15">
        <f t="shared" si="94"/>
        <v>88</v>
      </c>
      <c r="C96" s="15">
        <f t="shared" si="95"/>
        <v>8</v>
      </c>
      <c r="D96" s="15">
        <f t="shared" si="96"/>
        <v>0</v>
      </c>
      <c r="E96" s="15">
        <f t="shared" si="93"/>
        <v>88</v>
      </c>
      <c r="G96" s="15">
        <f>M_MultDeal!BE97+IF($B96=1,-i_transfee*i_maxequity,0)</f>
        <v>0</v>
      </c>
      <c r="H96" s="15">
        <f>M_MultDeal!AO97</f>
        <v>0</v>
      </c>
      <c r="I96" s="15">
        <f t="shared" si="135"/>
        <v>0</v>
      </c>
      <c r="K96" s="15">
        <f t="shared" si="97"/>
        <v>0</v>
      </c>
      <c r="L96" s="15">
        <f t="shared" si="98"/>
        <v>0</v>
      </c>
      <c r="M96" s="15">
        <f t="shared" si="99"/>
        <v>0</v>
      </c>
      <c r="N96" s="15">
        <f t="shared" si="100"/>
        <v>0</v>
      </c>
      <c r="O96" s="15">
        <f t="shared" si="101"/>
        <v>0</v>
      </c>
      <c r="P96" s="15">
        <f t="shared" si="102"/>
        <v>0</v>
      </c>
      <c r="R96" s="15">
        <f t="shared" si="103"/>
        <v>0</v>
      </c>
      <c r="S96" s="15">
        <f t="shared" si="104"/>
        <v>0</v>
      </c>
      <c r="T96" s="15">
        <f t="shared" si="105"/>
        <v>0</v>
      </c>
      <c r="U96" s="15">
        <f t="shared" si="106"/>
        <v>0</v>
      </c>
      <c r="V96" s="15">
        <f t="shared" si="107"/>
        <v>246125223.26552036</v>
      </c>
      <c r="W96" s="15">
        <f t="shared" si="136"/>
        <v>-246125223.26552036</v>
      </c>
      <c r="X96" s="15">
        <f t="shared" si="108"/>
        <v>0</v>
      </c>
      <c r="Y96" s="15">
        <f t="shared" si="137"/>
        <v>4416280575.3374491</v>
      </c>
      <c r="Z96" s="15">
        <f t="shared" si="109"/>
        <v>0</v>
      </c>
      <c r="AA96" s="72"/>
      <c r="AB96" s="15">
        <f t="shared" si="138"/>
        <v>0</v>
      </c>
      <c r="AC96" s="15">
        <f t="shared" si="110"/>
        <v>0</v>
      </c>
      <c r="AD96" s="15">
        <f t="shared" si="111"/>
        <v>0</v>
      </c>
      <c r="AF96" s="15">
        <f t="shared" si="112"/>
        <v>0</v>
      </c>
      <c r="AG96" s="15">
        <f t="shared" si="113"/>
        <v>0</v>
      </c>
      <c r="AH96" s="15">
        <f t="shared" si="114"/>
        <v>0</v>
      </c>
      <c r="AI96" s="15">
        <f t="shared" si="115"/>
        <v>0</v>
      </c>
      <c r="AJ96" s="15">
        <f t="shared" si="116"/>
        <v>0</v>
      </c>
      <c r="AK96" s="15">
        <f t="shared" si="117"/>
        <v>0</v>
      </c>
      <c r="AM96" s="15">
        <f t="shared" si="118"/>
        <v>0</v>
      </c>
      <c r="AN96" s="15">
        <f t="shared" si="119"/>
        <v>0</v>
      </c>
      <c r="AO96" s="15">
        <f t="shared" si="120"/>
        <v>0</v>
      </c>
      <c r="AP96" s="15">
        <f t="shared" si="121"/>
        <v>0</v>
      </c>
      <c r="AQ96" s="15">
        <f t="shared" si="122"/>
        <v>0</v>
      </c>
      <c r="AR96" s="15">
        <f t="shared" si="139"/>
        <v>0</v>
      </c>
      <c r="AS96" s="15">
        <f t="shared" si="123"/>
        <v>0</v>
      </c>
      <c r="AT96" s="15">
        <f t="shared" si="140"/>
        <v>0</v>
      </c>
      <c r="AU96" s="15">
        <f t="shared" si="124"/>
        <v>0</v>
      </c>
      <c r="AV96" s="72"/>
      <c r="AW96" s="15">
        <f t="shared" si="141"/>
        <v>0</v>
      </c>
      <c r="AX96" s="15">
        <f t="shared" si="125"/>
        <v>0</v>
      </c>
      <c r="AY96" s="15">
        <f t="shared" si="126"/>
        <v>0</v>
      </c>
      <c r="BA96" s="15">
        <f t="shared" si="142"/>
        <v>0</v>
      </c>
      <c r="BB96" s="15">
        <f t="shared" si="143"/>
        <v>0</v>
      </c>
      <c r="BC96" s="15">
        <f t="shared" si="127"/>
        <v>0</v>
      </c>
      <c r="BD96" s="15">
        <f t="shared" si="128"/>
        <v>0</v>
      </c>
      <c r="BE96" s="15">
        <f t="shared" si="129"/>
        <v>0</v>
      </c>
      <c r="BF96" s="15">
        <f t="shared" si="130"/>
        <v>0</v>
      </c>
      <c r="BG96" s="15">
        <f t="shared" si="144"/>
        <v>0</v>
      </c>
      <c r="BH96" s="15">
        <f t="shared" si="131"/>
        <v>0</v>
      </c>
      <c r="BI96" s="15">
        <f t="shared" si="132"/>
        <v>0</v>
      </c>
      <c r="BJ96" s="15">
        <f t="shared" si="133"/>
        <v>0</v>
      </c>
      <c r="BK96" s="15">
        <f t="shared" si="134"/>
        <v>0</v>
      </c>
    </row>
    <row r="97" spans="2:63" ht="15" customHeight="1">
      <c r="B97" s="16">
        <f t="shared" si="94"/>
        <v>89</v>
      </c>
      <c r="C97" s="16">
        <f t="shared" si="95"/>
        <v>8</v>
      </c>
      <c r="D97" s="16">
        <f t="shared" si="96"/>
        <v>0</v>
      </c>
      <c r="E97" s="16">
        <f t="shared" si="93"/>
        <v>89</v>
      </c>
      <c r="G97" s="16">
        <f>M_MultDeal!BE98+IF($B97=1,-i_transfee*i_maxequity,0)</f>
        <v>0</v>
      </c>
      <c r="H97" s="16">
        <f>M_MultDeal!AO98</f>
        <v>0</v>
      </c>
      <c r="I97" s="16">
        <f t="shared" si="135"/>
        <v>0</v>
      </c>
      <c r="K97" s="16">
        <f t="shared" si="97"/>
        <v>0</v>
      </c>
      <c r="L97" s="16">
        <f t="shared" si="98"/>
        <v>0</v>
      </c>
      <c r="M97" s="16">
        <f t="shared" si="99"/>
        <v>0</v>
      </c>
      <c r="N97" s="16">
        <f t="shared" si="100"/>
        <v>0</v>
      </c>
      <c r="O97" s="16">
        <f t="shared" si="101"/>
        <v>0</v>
      </c>
      <c r="P97" s="16">
        <f t="shared" si="102"/>
        <v>0</v>
      </c>
      <c r="R97" s="16">
        <f t="shared" si="103"/>
        <v>0</v>
      </c>
      <c r="S97" s="16">
        <f t="shared" si="104"/>
        <v>0</v>
      </c>
      <c r="T97" s="16">
        <f t="shared" si="105"/>
        <v>0</v>
      </c>
      <c r="U97" s="16">
        <f t="shared" si="106"/>
        <v>0</v>
      </c>
      <c r="V97" s="16">
        <f t="shared" si="107"/>
        <v>260651690.60621655</v>
      </c>
      <c r="W97" s="16">
        <f t="shared" si="136"/>
        <v>-260651690.60621655</v>
      </c>
      <c r="X97" s="16">
        <f t="shared" si="108"/>
        <v>0</v>
      </c>
      <c r="Y97" s="16">
        <f t="shared" si="137"/>
        <v>4676932265.9436655</v>
      </c>
      <c r="Z97" s="16">
        <f t="shared" si="109"/>
        <v>0</v>
      </c>
      <c r="AA97" s="72"/>
      <c r="AB97" s="16">
        <f t="shared" si="138"/>
        <v>0</v>
      </c>
      <c r="AC97" s="16">
        <f t="shared" si="110"/>
        <v>0</v>
      </c>
      <c r="AD97" s="16">
        <f t="shared" si="111"/>
        <v>0</v>
      </c>
      <c r="AF97" s="15">
        <f t="shared" si="112"/>
        <v>0</v>
      </c>
      <c r="AG97" s="16">
        <f t="shared" si="113"/>
        <v>0</v>
      </c>
      <c r="AH97" s="16">
        <f t="shared" si="114"/>
        <v>0</v>
      </c>
      <c r="AI97" s="16">
        <f t="shared" si="115"/>
        <v>0</v>
      </c>
      <c r="AJ97" s="16">
        <f t="shared" si="116"/>
        <v>0</v>
      </c>
      <c r="AK97" s="16">
        <f t="shared" si="117"/>
        <v>0</v>
      </c>
      <c r="AM97" s="16">
        <f t="shared" si="118"/>
        <v>0</v>
      </c>
      <c r="AN97" s="16">
        <f t="shared" si="119"/>
        <v>0</v>
      </c>
      <c r="AO97" s="16">
        <f t="shared" si="120"/>
        <v>0</v>
      </c>
      <c r="AP97" s="16">
        <f t="shared" si="121"/>
        <v>0</v>
      </c>
      <c r="AQ97" s="16">
        <f t="shared" si="122"/>
        <v>0</v>
      </c>
      <c r="AR97" s="16">
        <f t="shared" si="139"/>
        <v>0</v>
      </c>
      <c r="AS97" s="16">
        <f t="shared" si="123"/>
        <v>0</v>
      </c>
      <c r="AT97" s="16">
        <f t="shared" si="140"/>
        <v>0</v>
      </c>
      <c r="AU97" s="16">
        <f t="shared" si="124"/>
        <v>0</v>
      </c>
      <c r="AV97" s="72"/>
      <c r="AW97" s="16">
        <f t="shared" si="141"/>
        <v>0</v>
      </c>
      <c r="AX97" s="16">
        <f t="shared" si="125"/>
        <v>0</v>
      </c>
      <c r="AY97" s="16">
        <f t="shared" si="126"/>
        <v>0</v>
      </c>
      <c r="BA97" s="16">
        <f t="shared" si="142"/>
        <v>0</v>
      </c>
      <c r="BB97" s="16">
        <f t="shared" si="143"/>
        <v>0</v>
      </c>
      <c r="BC97" s="16">
        <f t="shared" si="127"/>
        <v>0</v>
      </c>
      <c r="BD97" s="16">
        <f t="shared" si="128"/>
        <v>0</v>
      </c>
      <c r="BE97" s="16">
        <f t="shared" si="129"/>
        <v>0</v>
      </c>
      <c r="BF97" s="16">
        <f t="shared" si="130"/>
        <v>0</v>
      </c>
      <c r="BG97" s="16">
        <f t="shared" si="144"/>
        <v>0</v>
      </c>
      <c r="BH97" s="16">
        <f t="shared" si="131"/>
        <v>0</v>
      </c>
      <c r="BI97" s="16">
        <f t="shared" si="132"/>
        <v>0</v>
      </c>
      <c r="BJ97" s="16">
        <f t="shared" si="133"/>
        <v>0</v>
      </c>
      <c r="BK97" s="16">
        <f t="shared" si="134"/>
        <v>0</v>
      </c>
    </row>
    <row r="98" spans="2:63" ht="15" customHeight="1">
      <c r="B98" s="17">
        <f t="shared" si="94"/>
        <v>90</v>
      </c>
      <c r="C98" s="17">
        <f t="shared" si="95"/>
        <v>8</v>
      </c>
      <c r="D98" s="17">
        <f t="shared" si="96"/>
        <v>0</v>
      </c>
      <c r="E98" s="17">
        <f t="shared" si="93"/>
        <v>90</v>
      </c>
      <c r="G98" s="17">
        <f>M_MultDeal!BE99+IF($B98=1,-i_transfee*i_maxequity,0)</f>
        <v>0</v>
      </c>
      <c r="H98" s="17">
        <f>M_MultDeal!AO99</f>
        <v>0</v>
      </c>
      <c r="I98" s="17">
        <f t="shared" si="135"/>
        <v>0</v>
      </c>
      <c r="K98" s="17">
        <f t="shared" si="97"/>
        <v>0</v>
      </c>
      <c r="L98" s="17">
        <f t="shared" si="98"/>
        <v>0</v>
      </c>
      <c r="M98" s="17">
        <f t="shared" si="99"/>
        <v>0</v>
      </c>
      <c r="N98" s="17">
        <f t="shared" si="100"/>
        <v>0</v>
      </c>
      <c r="O98" s="17">
        <f t="shared" si="101"/>
        <v>0</v>
      </c>
      <c r="P98" s="17">
        <f t="shared" si="102"/>
        <v>0</v>
      </c>
      <c r="R98" s="17">
        <f t="shared" si="103"/>
        <v>0</v>
      </c>
      <c r="S98" s="17">
        <f t="shared" si="104"/>
        <v>0</v>
      </c>
      <c r="T98" s="17">
        <f t="shared" si="105"/>
        <v>0</v>
      </c>
      <c r="U98" s="17">
        <f t="shared" si="106"/>
        <v>0</v>
      </c>
      <c r="V98" s="17">
        <f t="shared" si="107"/>
        <v>276035519.29574394</v>
      </c>
      <c r="W98" s="17">
        <f t="shared" si="136"/>
        <v>-276035519.29574394</v>
      </c>
      <c r="X98" s="17">
        <f t="shared" si="108"/>
        <v>0</v>
      </c>
      <c r="Y98" s="17">
        <f t="shared" si="137"/>
        <v>4952967785.2394094</v>
      </c>
      <c r="Z98" s="17">
        <f t="shared" si="109"/>
        <v>0</v>
      </c>
      <c r="AA98" s="72"/>
      <c r="AB98" s="17">
        <f t="shared" si="138"/>
        <v>0</v>
      </c>
      <c r="AC98" s="17">
        <f t="shared" si="110"/>
        <v>0</v>
      </c>
      <c r="AD98" s="17">
        <f t="shared" si="111"/>
        <v>0</v>
      </c>
      <c r="AF98" s="15">
        <f t="shared" si="112"/>
        <v>0</v>
      </c>
      <c r="AG98" s="17">
        <f t="shared" si="113"/>
        <v>0</v>
      </c>
      <c r="AH98" s="17">
        <f t="shared" si="114"/>
        <v>0</v>
      </c>
      <c r="AI98" s="17">
        <f t="shared" si="115"/>
        <v>0</v>
      </c>
      <c r="AJ98" s="17">
        <f t="shared" si="116"/>
        <v>0</v>
      </c>
      <c r="AK98" s="17">
        <f t="shared" si="117"/>
        <v>0</v>
      </c>
      <c r="AM98" s="17">
        <f t="shared" si="118"/>
        <v>0</v>
      </c>
      <c r="AN98" s="17">
        <f t="shared" si="119"/>
        <v>0</v>
      </c>
      <c r="AO98" s="17">
        <f t="shared" si="120"/>
        <v>0</v>
      </c>
      <c r="AP98" s="17">
        <f t="shared" si="121"/>
        <v>0</v>
      </c>
      <c r="AQ98" s="17">
        <f t="shared" si="122"/>
        <v>0</v>
      </c>
      <c r="AR98" s="17">
        <f t="shared" si="139"/>
        <v>0</v>
      </c>
      <c r="AS98" s="17">
        <f t="shared" si="123"/>
        <v>0</v>
      </c>
      <c r="AT98" s="17">
        <f t="shared" si="140"/>
        <v>0</v>
      </c>
      <c r="AU98" s="17">
        <f t="shared" si="124"/>
        <v>0</v>
      </c>
      <c r="AV98" s="72"/>
      <c r="AW98" s="17">
        <f t="shared" si="141"/>
        <v>0</v>
      </c>
      <c r="AX98" s="17">
        <f t="shared" si="125"/>
        <v>0</v>
      </c>
      <c r="AY98" s="17">
        <f t="shared" si="126"/>
        <v>0</v>
      </c>
      <c r="BA98" s="17">
        <f t="shared" si="142"/>
        <v>0</v>
      </c>
      <c r="BB98" s="17">
        <f t="shared" si="143"/>
        <v>0</v>
      </c>
      <c r="BC98" s="17">
        <f t="shared" si="127"/>
        <v>0</v>
      </c>
      <c r="BD98" s="17">
        <f t="shared" si="128"/>
        <v>0</v>
      </c>
      <c r="BE98" s="17">
        <f t="shared" si="129"/>
        <v>0</v>
      </c>
      <c r="BF98" s="17">
        <f t="shared" si="130"/>
        <v>0</v>
      </c>
      <c r="BG98" s="17">
        <f t="shared" si="144"/>
        <v>0</v>
      </c>
      <c r="BH98" s="17">
        <f t="shared" si="131"/>
        <v>0</v>
      </c>
      <c r="BI98" s="17">
        <f t="shared" si="132"/>
        <v>0</v>
      </c>
      <c r="BJ98" s="17">
        <f t="shared" si="133"/>
        <v>0</v>
      </c>
      <c r="BK98" s="17">
        <f t="shared" si="134"/>
        <v>0</v>
      </c>
    </row>
    <row r="99" spans="2:63" ht="15" customHeight="1">
      <c r="B99" s="15">
        <f t="shared" si="94"/>
        <v>91</v>
      </c>
      <c r="C99" s="15">
        <f t="shared" si="95"/>
        <v>8</v>
      </c>
      <c r="D99" s="15">
        <f t="shared" si="96"/>
        <v>0</v>
      </c>
      <c r="E99" s="15">
        <f t="shared" si="93"/>
        <v>91</v>
      </c>
      <c r="G99" s="15">
        <f>M_MultDeal!BE100+IF($B99=1,-i_transfee*i_maxequity,0)</f>
        <v>0</v>
      </c>
      <c r="H99" s="15">
        <f>M_MultDeal!AO100</f>
        <v>0</v>
      </c>
      <c r="I99" s="15">
        <f t="shared" si="135"/>
        <v>0</v>
      </c>
      <c r="K99" s="15">
        <f t="shared" si="97"/>
        <v>0</v>
      </c>
      <c r="L99" s="15">
        <f t="shared" si="98"/>
        <v>0</v>
      </c>
      <c r="M99" s="15">
        <f t="shared" si="99"/>
        <v>0</v>
      </c>
      <c r="N99" s="15">
        <f t="shared" si="100"/>
        <v>0</v>
      </c>
      <c r="O99" s="15">
        <f t="shared" si="101"/>
        <v>0</v>
      </c>
      <c r="P99" s="15">
        <f t="shared" si="102"/>
        <v>0</v>
      </c>
      <c r="R99" s="15">
        <f t="shared" si="103"/>
        <v>0</v>
      </c>
      <c r="S99" s="15">
        <f t="shared" si="104"/>
        <v>0</v>
      </c>
      <c r="T99" s="15">
        <f t="shared" si="105"/>
        <v>0</v>
      </c>
      <c r="U99" s="15">
        <f t="shared" si="106"/>
        <v>0</v>
      </c>
      <c r="V99" s="15">
        <f t="shared" si="107"/>
        <v>292327311.34663802</v>
      </c>
      <c r="W99" s="15">
        <f t="shared" si="136"/>
        <v>-292327311.34663802</v>
      </c>
      <c r="X99" s="15">
        <f t="shared" si="108"/>
        <v>0</v>
      </c>
      <c r="Y99" s="15">
        <f t="shared" si="137"/>
        <v>5245295096.5860472</v>
      </c>
      <c r="Z99" s="15">
        <f t="shared" si="109"/>
        <v>0</v>
      </c>
      <c r="AA99" s="72"/>
      <c r="AB99" s="15">
        <f t="shared" si="138"/>
        <v>0</v>
      </c>
      <c r="AC99" s="15">
        <f t="shared" si="110"/>
        <v>0</v>
      </c>
      <c r="AD99" s="15">
        <f t="shared" si="111"/>
        <v>0</v>
      </c>
      <c r="AF99" s="15">
        <f t="shared" si="112"/>
        <v>0</v>
      </c>
      <c r="AG99" s="15">
        <f t="shared" si="113"/>
        <v>0</v>
      </c>
      <c r="AH99" s="15">
        <f t="shared" si="114"/>
        <v>0</v>
      </c>
      <c r="AI99" s="15">
        <f t="shared" si="115"/>
        <v>0</v>
      </c>
      <c r="AJ99" s="15">
        <f t="shared" si="116"/>
        <v>0</v>
      </c>
      <c r="AK99" s="15">
        <f t="shared" si="117"/>
        <v>0</v>
      </c>
      <c r="AM99" s="15">
        <f t="shared" si="118"/>
        <v>0</v>
      </c>
      <c r="AN99" s="15">
        <f t="shared" si="119"/>
        <v>0</v>
      </c>
      <c r="AO99" s="15">
        <f t="shared" si="120"/>
        <v>0</v>
      </c>
      <c r="AP99" s="15">
        <f t="shared" si="121"/>
        <v>0</v>
      </c>
      <c r="AQ99" s="15">
        <f t="shared" si="122"/>
        <v>0</v>
      </c>
      <c r="AR99" s="15">
        <f t="shared" si="139"/>
        <v>0</v>
      </c>
      <c r="AS99" s="15">
        <f t="shared" si="123"/>
        <v>0</v>
      </c>
      <c r="AT99" s="15">
        <f t="shared" si="140"/>
        <v>0</v>
      </c>
      <c r="AU99" s="15">
        <f t="shared" si="124"/>
        <v>0</v>
      </c>
      <c r="AV99" s="72"/>
      <c r="AW99" s="15">
        <f t="shared" si="141"/>
        <v>0</v>
      </c>
      <c r="AX99" s="15">
        <f t="shared" si="125"/>
        <v>0</v>
      </c>
      <c r="AY99" s="15">
        <f t="shared" si="126"/>
        <v>0</v>
      </c>
      <c r="BA99" s="15">
        <f t="shared" si="142"/>
        <v>0</v>
      </c>
      <c r="BB99" s="15">
        <f t="shared" si="143"/>
        <v>0</v>
      </c>
      <c r="BC99" s="15">
        <f t="shared" si="127"/>
        <v>0</v>
      </c>
      <c r="BD99" s="15">
        <f t="shared" si="128"/>
        <v>0</v>
      </c>
      <c r="BE99" s="15">
        <f t="shared" si="129"/>
        <v>0</v>
      </c>
      <c r="BF99" s="15">
        <f t="shared" si="130"/>
        <v>0</v>
      </c>
      <c r="BG99" s="15">
        <f t="shared" si="144"/>
        <v>0</v>
      </c>
      <c r="BH99" s="15">
        <f t="shared" si="131"/>
        <v>0</v>
      </c>
      <c r="BI99" s="15">
        <f t="shared" si="132"/>
        <v>0</v>
      </c>
      <c r="BJ99" s="15">
        <f t="shared" si="133"/>
        <v>0</v>
      </c>
      <c r="BK99" s="15">
        <f t="shared" si="134"/>
        <v>0</v>
      </c>
    </row>
    <row r="100" spans="2:63" ht="15" customHeight="1">
      <c r="B100" s="16">
        <f t="shared" si="94"/>
        <v>92</v>
      </c>
      <c r="C100" s="16">
        <f t="shared" si="95"/>
        <v>8</v>
      </c>
      <c r="D100" s="16">
        <f t="shared" si="96"/>
        <v>0</v>
      </c>
      <c r="E100" s="16">
        <f t="shared" si="93"/>
        <v>92</v>
      </c>
      <c r="G100" s="16">
        <f>M_MultDeal!BE101+IF($B100=1,-i_transfee*i_maxequity,0)</f>
        <v>0</v>
      </c>
      <c r="H100" s="16">
        <f>M_MultDeal!AO101</f>
        <v>0</v>
      </c>
      <c r="I100" s="16">
        <f t="shared" si="135"/>
        <v>0</v>
      </c>
      <c r="K100" s="16">
        <f t="shared" si="97"/>
        <v>0</v>
      </c>
      <c r="L100" s="16">
        <f t="shared" si="98"/>
        <v>0</v>
      </c>
      <c r="M100" s="16">
        <f t="shared" si="99"/>
        <v>0</v>
      </c>
      <c r="N100" s="16">
        <f t="shared" si="100"/>
        <v>0</v>
      </c>
      <c r="O100" s="16">
        <f t="shared" si="101"/>
        <v>0</v>
      </c>
      <c r="P100" s="16">
        <f t="shared" si="102"/>
        <v>0</v>
      </c>
      <c r="R100" s="16">
        <f t="shared" si="103"/>
        <v>0</v>
      </c>
      <c r="S100" s="16">
        <f t="shared" si="104"/>
        <v>0</v>
      </c>
      <c r="T100" s="16">
        <f t="shared" si="105"/>
        <v>0</v>
      </c>
      <c r="U100" s="16">
        <f t="shared" si="106"/>
        <v>0</v>
      </c>
      <c r="V100" s="16">
        <f t="shared" si="107"/>
        <v>309580655.33442324</v>
      </c>
      <c r="W100" s="16">
        <f t="shared" si="136"/>
        <v>-309580655.33442324</v>
      </c>
      <c r="X100" s="16">
        <f t="shared" si="108"/>
        <v>0</v>
      </c>
      <c r="Y100" s="16">
        <f t="shared" si="137"/>
        <v>5554875751.9204702</v>
      </c>
      <c r="Z100" s="16">
        <f t="shared" si="109"/>
        <v>0</v>
      </c>
      <c r="AA100" s="72"/>
      <c r="AB100" s="16">
        <f t="shared" si="138"/>
        <v>0</v>
      </c>
      <c r="AC100" s="16">
        <f t="shared" si="110"/>
        <v>0</v>
      </c>
      <c r="AD100" s="16">
        <f t="shared" si="111"/>
        <v>0</v>
      </c>
      <c r="AF100" s="15">
        <f t="shared" si="112"/>
        <v>0</v>
      </c>
      <c r="AG100" s="16">
        <f t="shared" si="113"/>
        <v>0</v>
      </c>
      <c r="AH100" s="16">
        <f t="shared" si="114"/>
        <v>0</v>
      </c>
      <c r="AI100" s="16">
        <f t="shared" si="115"/>
        <v>0</v>
      </c>
      <c r="AJ100" s="16">
        <f t="shared" si="116"/>
        <v>0</v>
      </c>
      <c r="AK100" s="16">
        <f t="shared" si="117"/>
        <v>0</v>
      </c>
      <c r="AM100" s="16">
        <f t="shared" si="118"/>
        <v>0</v>
      </c>
      <c r="AN100" s="16">
        <f t="shared" si="119"/>
        <v>0</v>
      </c>
      <c r="AO100" s="16">
        <f t="shared" si="120"/>
        <v>0</v>
      </c>
      <c r="AP100" s="16">
        <f t="shared" si="121"/>
        <v>0</v>
      </c>
      <c r="AQ100" s="16">
        <f t="shared" si="122"/>
        <v>0</v>
      </c>
      <c r="AR100" s="16">
        <f t="shared" si="139"/>
        <v>0</v>
      </c>
      <c r="AS100" s="16">
        <f t="shared" si="123"/>
        <v>0</v>
      </c>
      <c r="AT100" s="16">
        <f t="shared" si="140"/>
        <v>0</v>
      </c>
      <c r="AU100" s="16">
        <f t="shared" si="124"/>
        <v>0</v>
      </c>
      <c r="AV100" s="72"/>
      <c r="AW100" s="16">
        <f t="shared" si="141"/>
        <v>0</v>
      </c>
      <c r="AX100" s="16">
        <f t="shared" si="125"/>
        <v>0</v>
      </c>
      <c r="AY100" s="16">
        <f t="shared" si="126"/>
        <v>0</v>
      </c>
      <c r="BA100" s="16">
        <f t="shared" si="142"/>
        <v>0</v>
      </c>
      <c r="BB100" s="16">
        <f t="shared" si="143"/>
        <v>0</v>
      </c>
      <c r="BC100" s="16">
        <f t="shared" si="127"/>
        <v>0</v>
      </c>
      <c r="BD100" s="16">
        <f t="shared" si="128"/>
        <v>0</v>
      </c>
      <c r="BE100" s="16">
        <f t="shared" si="129"/>
        <v>0</v>
      </c>
      <c r="BF100" s="16">
        <f t="shared" si="130"/>
        <v>0</v>
      </c>
      <c r="BG100" s="16">
        <f t="shared" si="144"/>
        <v>0</v>
      </c>
      <c r="BH100" s="16">
        <f t="shared" si="131"/>
        <v>0</v>
      </c>
      <c r="BI100" s="16">
        <f t="shared" si="132"/>
        <v>0</v>
      </c>
      <c r="BJ100" s="16">
        <f t="shared" si="133"/>
        <v>0</v>
      </c>
      <c r="BK100" s="16">
        <f t="shared" si="134"/>
        <v>0</v>
      </c>
    </row>
    <row r="101" spans="2:63" ht="15" customHeight="1">
      <c r="B101" s="17">
        <f t="shared" si="94"/>
        <v>93</v>
      </c>
      <c r="C101" s="17">
        <f t="shared" si="95"/>
        <v>8</v>
      </c>
      <c r="D101" s="17">
        <f t="shared" si="96"/>
        <v>0</v>
      </c>
      <c r="E101" s="17">
        <f t="shared" si="93"/>
        <v>93</v>
      </c>
      <c r="G101" s="17">
        <f>M_MultDeal!BE102+IF($B101=1,-i_transfee*i_maxequity,0)</f>
        <v>0</v>
      </c>
      <c r="H101" s="17">
        <f>M_MultDeal!AO102</f>
        <v>0</v>
      </c>
      <c r="I101" s="17">
        <f t="shared" si="135"/>
        <v>0</v>
      </c>
      <c r="K101" s="17">
        <f t="shared" si="97"/>
        <v>0</v>
      </c>
      <c r="L101" s="17">
        <f t="shared" si="98"/>
        <v>0</v>
      </c>
      <c r="M101" s="17">
        <f t="shared" si="99"/>
        <v>0</v>
      </c>
      <c r="N101" s="17">
        <f t="shared" si="100"/>
        <v>0</v>
      </c>
      <c r="O101" s="17">
        <f t="shared" si="101"/>
        <v>0</v>
      </c>
      <c r="P101" s="17">
        <f t="shared" si="102"/>
        <v>0</v>
      </c>
      <c r="R101" s="17">
        <f t="shared" si="103"/>
        <v>0</v>
      </c>
      <c r="S101" s="17">
        <f t="shared" si="104"/>
        <v>0</v>
      </c>
      <c r="T101" s="17">
        <f t="shared" si="105"/>
        <v>0</v>
      </c>
      <c r="U101" s="17">
        <f t="shared" si="106"/>
        <v>0</v>
      </c>
      <c r="V101" s="17">
        <f t="shared" si="107"/>
        <v>327852302.66646171</v>
      </c>
      <c r="W101" s="17">
        <f t="shared" si="136"/>
        <v>-327852302.66646171</v>
      </c>
      <c r="X101" s="17">
        <f t="shared" si="108"/>
        <v>0</v>
      </c>
      <c r="Y101" s="17">
        <f t="shared" si="137"/>
        <v>5882728054.5869322</v>
      </c>
      <c r="Z101" s="17">
        <f t="shared" si="109"/>
        <v>0</v>
      </c>
      <c r="AA101" s="72"/>
      <c r="AB101" s="17">
        <f t="shared" si="138"/>
        <v>0</v>
      </c>
      <c r="AC101" s="17">
        <f t="shared" si="110"/>
        <v>0</v>
      </c>
      <c r="AD101" s="17">
        <f t="shared" si="111"/>
        <v>0</v>
      </c>
      <c r="AF101" s="15">
        <f t="shared" si="112"/>
        <v>0</v>
      </c>
      <c r="AG101" s="17">
        <f t="shared" si="113"/>
        <v>0</v>
      </c>
      <c r="AH101" s="17">
        <f t="shared" si="114"/>
        <v>0</v>
      </c>
      <c r="AI101" s="17">
        <f t="shared" si="115"/>
        <v>0</v>
      </c>
      <c r="AJ101" s="17">
        <f t="shared" si="116"/>
        <v>0</v>
      </c>
      <c r="AK101" s="17">
        <f t="shared" si="117"/>
        <v>0</v>
      </c>
      <c r="AM101" s="17">
        <f t="shared" si="118"/>
        <v>0</v>
      </c>
      <c r="AN101" s="17">
        <f t="shared" si="119"/>
        <v>0</v>
      </c>
      <c r="AO101" s="17">
        <f t="shared" si="120"/>
        <v>0</v>
      </c>
      <c r="AP101" s="17">
        <f t="shared" si="121"/>
        <v>0</v>
      </c>
      <c r="AQ101" s="17">
        <f t="shared" si="122"/>
        <v>0</v>
      </c>
      <c r="AR101" s="17">
        <f t="shared" si="139"/>
        <v>0</v>
      </c>
      <c r="AS101" s="17">
        <f t="shared" si="123"/>
        <v>0</v>
      </c>
      <c r="AT101" s="17">
        <f t="shared" si="140"/>
        <v>0</v>
      </c>
      <c r="AU101" s="17">
        <f t="shared" si="124"/>
        <v>0</v>
      </c>
      <c r="AV101" s="72"/>
      <c r="AW101" s="17">
        <f t="shared" si="141"/>
        <v>0</v>
      </c>
      <c r="AX101" s="17">
        <f t="shared" si="125"/>
        <v>0</v>
      </c>
      <c r="AY101" s="17">
        <f t="shared" si="126"/>
        <v>0</v>
      </c>
      <c r="BA101" s="17">
        <f t="shared" si="142"/>
        <v>0</v>
      </c>
      <c r="BB101" s="17">
        <f t="shared" si="143"/>
        <v>0</v>
      </c>
      <c r="BC101" s="17">
        <f t="shared" si="127"/>
        <v>0</v>
      </c>
      <c r="BD101" s="17">
        <f t="shared" si="128"/>
        <v>0</v>
      </c>
      <c r="BE101" s="17">
        <f t="shared" si="129"/>
        <v>0</v>
      </c>
      <c r="BF101" s="17">
        <f t="shared" si="130"/>
        <v>0</v>
      </c>
      <c r="BG101" s="17">
        <f t="shared" si="144"/>
        <v>0</v>
      </c>
      <c r="BH101" s="17">
        <f t="shared" si="131"/>
        <v>0</v>
      </c>
      <c r="BI101" s="17">
        <f t="shared" si="132"/>
        <v>0</v>
      </c>
      <c r="BJ101" s="17">
        <f t="shared" si="133"/>
        <v>0</v>
      </c>
      <c r="BK101" s="17">
        <f t="shared" si="134"/>
        <v>0</v>
      </c>
    </row>
    <row r="102" spans="2:63" ht="15" customHeight="1">
      <c r="B102" s="15">
        <f t="shared" si="94"/>
        <v>94</v>
      </c>
      <c r="C102" s="15">
        <f t="shared" si="95"/>
        <v>8</v>
      </c>
      <c r="D102" s="15">
        <f t="shared" si="96"/>
        <v>0</v>
      </c>
      <c r="E102" s="15">
        <f t="shared" si="93"/>
        <v>94</v>
      </c>
      <c r="G102" s="15">
        <f>M_MultDeal!BE103+IF($B102=1,-i_transfee*i_maxequity,0)</f>
        <v>0</v>
      </c>
      <c r="H102" s="15">
        <f>M_MultDeal!AO103</f>
        <v>0</v>
      </c>
      <c r="I102" s="15">
        <f t="shared" si="135"/>
        <v>0</v>
      </c>
      <c r="K102" s="15">
        <f t="shared" si="97"/>
        <v>0</v>
      </c>
      <c r="L102" s="15">
        <f t="shared" si="98"/>
        <v>0</v>
      </c>
      <c r="M102" s="15">
        <f t="shared" si="99"/>
        <v>0</v>
      </c>
      <c r="N102" s="15">
        <f t="shared" si="100"/>
        <v>0</v>
      </c>
      <c r="O102" s="15">
        <f t="shared" si="101"/>
        <v>0</v>
      </c>
      <c r="P102" s="15">
        <f t="shared" si="102"/>
        <v>0</v>
      </c>
      <c r="R102" s="15">
        <f t="shared" si="103"/>
        <v>0</v>
      </c>
      <c r="S102" s="15">
        <f t="shared" si="104"/>
        <v>0</v>
      </c>
      <c r="T102" s="15">
        <f t="shared" si="105"/>
        <v>0</v>
      </c>
      <c r="U102" s="15">
        <f t="shared" si="106"/>
        <v>0</v>
      </c>
      <c r="V102" s="15">
        <f t="shared" si="107"/>
        <v>347202354.25430149</v>
      </c>
      <c r="W102" s="15">
        <f t="shared" si="136"/>
        <v>-347202354.25430149</v>
      </c>
      <c r="X102" s="15">
        <f t="shared" si="108"/>
        <v>0</v>
      </c>
      <c r="Y102" s="15">
        <f t="shared" si="137"/>
        <v>6229930408.8412333</v>
      </c>
      <c r="Z102" s="15">
        <f t="shared" si="109"/>
        <v>0</v>
      </c>
      <c r="AA102" s="72"/>
      <c r="AB102" s="15">
        <f t="shared" si="138"/>
        <v>0</v>
      </c>
      <c r="AC102" s="15">
        <f t="shared" si="110"/>
        <v>0</v>
      </c>
      <c r="AD102" s="15">
        <f t="shared" si="111"/>
        <v>0</v>
      </c>
      <c r="AF102" s="15">
        <f t="shared" si="112"/>
        <v>0</v>
      </c>
      <c r="AG102" s="15">
        <f t="shared" si="113"/>
        <v>0</v>
      </c>
      <c r="AH102" s="15">
        <f t="shared" si="114"/>
        <v>0</v>
      </c>
      <c r="AI102" s="15">
        <f t="shared" si="115"/>
        <v>0</v>
      </c>
      <c r="AJ102" s="15">
        <f t="shared" si="116"/>
        <v>0</v>
      </c>
      <c r="AK102" s="15">
        <f t="shared" si="117"/>
        <v>0</v>
      </c>
      <c r="AM102" s="15">
        <f t="shared" si="118"/>
        <v>0</v>
      </c>
      <c r="AN102" s="15">
        <f t="shared" si="119"/>
        <v>0</v>
      </c>
      <c r="AO102" s="15">
        <f t="shared" si="120"/>
        <v>0</v>
      </c>
      <c r="AP102" s="15">
        <f t="shared" si="121"/>
        <v>0</v>
      </c>
      <c r="AQ102" s="15">
        <f t="shared" si="122"/>
        <v>0</v>
      </c>
      <c r="AR102" s="15">
        <f t="shared" si="139"/>
        <v>0</v>
      </c>
      <c r="AS102" s="15">
        <f t="shared" si="123"/>
        <v>0</v>
      </c>
      <c r="AT102" s="15">
        <f t="shared" si="140"/>
        <v>0</v>
      </c>
      <c r="AU102" s="15">
        <f t="shared" si="124"/>
        <v>0</v>
      </c>
      <c r="AV102" s="72"/>
      <c r="AW102" s="15">
        <f t="shared" si="141"/>
        <v>0</v>
      </c>
      <c r="AX102" s="15">
        <f t="shared" si="125"/>
        <v>0</v>
      </c>
      <c r="AY102" s="15">
        <f t="shared" si="126"/>
        <v>0</v>
      </c>
      <c r="BA102" s="15">
        <f t="shared" si="142"/>
        <v>0</v>
      </c>
      <c r="BB102" s="15">
        <f t="shared" si="143"/>
        <v>0</v>
      </c>
      <c r="BC102" s="15">
        <f t="shared" si="127"/>
        <v>0</v>
      </c>
      <c r="BD102" s="15">
        <f t="shared" si="128"/>
        <v>0</v>
      </c>
      <c r="BE102" s="15">
        <f t="shared" si="129"/>
        <v>0</v>
      </c>
      <c r="BF102" s="15">
        <f t="shared" si="130"/>
        <v>0</v>
      </c>
      <c r="BG102" s="15">
        <f t="shared" si="144"/>
        <v>0</v>
      </c>
      <c r="BH102" s="15">
        <f t="shared" si="131"/>
        <v>0</v>
      </c>
      <c r="BI102" s="15">
        <f t="shared" si="132"/>
        <v>0</v>
      </c>
      <c r="BJ102" s="15">
        <f t="shared" si="133"/>
        <v>0</v>
      </c>
      <c r="BK102" s="15">
        <f t="shared" si="134"/>
        <v>0</v>
      </c>
    </row>
    <row r="103" spans="2:63" ht="15" customHeight="1">
      <c r="B103" s="16">
        <f t="shared" si="94"/>
        <v>95</v>
      </c>
      <c r="C103" s="16">
        <f t="shared" si="95"/>
        <v>8</v>
      </c>
      <c r="D103" s="16">
        <f t="shared" si="96"/>
        <v>0</v>
      </c>
      <c r="E103" s="16">
        <f t="shared" si="93"/>
        <v>95</v>
      </c>
      <c r="G103" s="16">
        <f>M_MultDeal!BE104+IF($B103=1,-i_transfee*i_maxequity,0)</f>
        <v>0</v>
      </c>
      <c r="H103" s="16">
        <f>M_MultDeal!AO104</f>
        <v>0</v>
      </c>
      <c r="I103" s="16">
        <f t="shared" si="135"/>
        <v>0</v>
      </c>
      <c r="K103" s="16">
        <f t="shared" si="97"/>
        <v>0</v>
      </c>
      <c r="L103" s="16">
        <f t="shared" si="98"/>
        <v>0</v>
      </c>
      <c r="M103" s="16">
        <f t="shared" si="99"/>
        <v>0</v>
      </c>
      <c r="N103" s="16">
        <f t="shared" si="100"/>
        <v>0</v>
      </c>
      <c r="O103" s="16">
        <f t="shared" si="101"/>
        <v>0</v>
      </c>
      <c r="P103" s="16">
        <f t="shared" si="102"/>
        <v>0</v>
      </c>
      <c r="R103" s="16">
        <f t="shared" si="103"/>
        <v>0</v>
      </c>
      <c r="S103" s="16">
        <f t="shared" si="104"/>
        <v>0</v>
      </c>
      <c r="T103" s="16">
        <f t="shared" si="105"/>
        <v>0</v>
      </c>
      <c r="U103" s="16">
        <f t="shared" si="106"/>
        <v>0</v>
      </c>
      <c r="V103" s="16">
        <f t="shared" si="107"/>
        <v>367694458.20354539</v>
      </c>
      <c r="W103" s="16">
        <f t="shared" si="136"/>
        <v>-367694458.20354539</v>
      </c>
      <c r="X103" s="16">
        <f t="shared" si="108"/>
        <v>0</v>
      </c>
      <c r="Y103" s="16">
        <f t="shared" si="137"/>
        <v>6597624867.0447788</v>
      </c>
      <c r="Z103" s="16">
        <f t="shared" si="109"/>
        <v>0</v>
      </c>
      <c r="AA103" s="72"/>
      <c r="AB103" s="16">
        <f t="shared" si="138"/>
        <v>0</v>
      </c>
      <c r="AC103" s="16">
        <f t="shared" si="110"/>
        <v>0</v>
      </c>
      <c r="AD103" s="16">
        <f t="shared" si="111"/>
        <v>0</v>
      </c>
      <c r="AF103" s="15">
        <f t="shared" si="112"/>
        <v>0</v>
      </c>
      <c r="AG103" s="16">
        <f t="shared" si="113"/>
        <v>0</v>
      </c>
      <c r="AH103" s="16">
        <f t="shared" si="114"/>
        <v>0</v>
      </c>
      <c r="AI103" s="16">
        <f t="shared" si="115"/>
        <v>0</v>
      </c>
      <c r="AJ103" s="16">
        <f t="shared" si="116"/>
        <v>0</v>
      </c>
      <c r="AK103" s="16">
        <f t="shared" si="117"/>
        <v>0</v>
      </c>
      <c r="AM103" s="16">
        <f t="shared" si="118"/>
        <v>0</v>
      </c>
      <c r="AN103" s="16">
        <f t="shared" si="119"/>
        <v>0</v>
      </c>
      <c r="AO103" s="16">
        <f t="shared" si="120"/>
        <v>0</v>
      </c>
      <c r="AP103" s="16">
        <f t="shared" si="121"/>
        <v>0</v>
      </c>
      <c r="AQ103" s="16">
        <f t="shared" si="122"/>
        <v>0</v>
      </c>
      <c r="AR103" s="16">
        <f t="shared" si="139"/>
        <v>0</v>
      </c>
      <c r="AS103" s="16">
        <f t="shared" si="123"/>
        <v>0</v>
      </c>
      <c r="AT103" s="16">
        <f t="shared" si="140"/>
        <v>0</v>
      </c>
      <c r="AU103" s="16">
        <f t="shared" si="124"/>
        <v>0</v>
      </c>
      <c r="AV103" s="72"/>
      <c r="AW103" s="16">
        <f t="shared" si="141"/>
        <v>0</v>
      </c>
      <c r="AX103" s="16">
        <f t="shared" si="125"/>
        <v>0</v>
      </c>
      <c r="AY103" s="16">
        <f t="shared" si="126"/>
        <v>0</v>
      </c>
      <c r="BA103" s="16">
        <f t="shared" si="142"/>
        <v>0</v>
      </c>
      <c r="BB103" s="16">
        <f t="shared" si="143"/>
        <v>0</v>
      </c>
      <c r="BC103" s="16">
        <f t="shared" si="127"/>
        <v>0</v>
      </c>
      <c r="BD103" s="16">
        <f t="shared" si="128"/>
        <v>0</v>
      </c>
      <c r="BE103" s="16">
        <f t="shared" si="129"/>
        <v>0</v>
      </c>
      <c r="BF103" s="16">
        <f t="shared" si="130"/>
        <v>0</v>
      </c>
      <c r="BG103" s="16">
        <f t="shared" si="144"/>
        <v>0</v>
      </c>
      <c r="BH103" s="16">
        <f t="shared" si="131"/>
        <v>0</v>
      </c>
      <c r="BI103" s="16">
        <f t="shared" si="132"/>
        <v>0</v>
      </c>
      <c r="BJ103" s="16">
        <f t="shared" si="133"/>
        <v>0</v>
      </c>
      <c r="BK103" s="16">
        <f t="shared" si="134"/>
        <v>0</v>
      </c>
    </row>
    <row r="104" spans="2:63" ht="15" customHeight="1" thickBot="1">
      <c r="B104" s="18">
        <f t="shared" si="94"/>
        <v>96</v>
      </c>
      <c r="C104" s="18">
        <f t="shared" si="95"/>
        <v>8</v>
      </c>
      <c r="D104" s="18">
        <f t="shared" si="96"/>
        <v>0</v>
      </c>
      <c r="E104" s="18">
        <f t="shared" ref="E104:E116" si="145">$B104-c_offset+1</f>
        <v>96</v>
      </c>
      <c r="G104" s="18">
        <f>M_MultDeal!BE105+IF($B104=1,-i_transfee*i_maxequity,0)</f>
        <v>0</v>
      </c>
      <c r="H104" s="18">
        <f>M_MultDeal!AO105</f>
        <v>0</v>
      </c>
      <c r="I104" s="18">
        <f t="shared" si="135"/>
        <v>0</v>
      </c>
      <c r="K104" s="18">
        <f t="shared" si="97"/>
        <v>0</v>
      </c>
      <c r="L104" s="18">
        <f t="shared" si="98"/>
        <v>0</v>
      </c>
      <c r="M104" s="18">
        <f t="shared" si="99"/>
        <v>0</v>
      </c>
      <c r="N104" s="18">
        <f t="shared" si="100"/>
        <v>0</v>
      </c>
      <c r="O104" s="18">
        <f t="shared" si="101"/>
        <v>0</v>
      </c>
      <c r="P104" s="18">
        <f t="shared" si="102"/>
        <v>0</v>
      </c>
      <c r="R104" s="18">
        <f t="shared" si="103"/>
        <v>0</v>
      </c>
      <c r="S104" s="18">
        <f t="shared" si="104"/>
        <v>0</v>
      </c>
      <c r="T104" s="18">
        <f t="shared" si="105"/>
        <v>0</v>
      </c>
      <c r="U104" s="18">
        <f t="shared" si="106"/>
        <v>0</v>
      </c>
      <c r="V104" s="18">
        <f t="shared" si="107"/>
        <v>389396019.17150265</v>
      </c>
      <c r="W104" s="18">
        <f t="shared" si="136"/>
        <v>-389396019.17150265</v>
      </c>
      <c r="X104" s="18">
        <f t="shared" si="108"/>
        <v>0</v>
      </c>
      <c r="Y104" s="18">
        <f t="shared" si="137"/>
        <v>6987020886.2162819</v>
      </c>
      <c r="Z104" s="18">
        <f t="shared" si="109"/>
        <v>0</v>
      </c>
      <c r="AA104" s="72"/>
      <c r="AB104" s="18">
        <f t="shared" si="138"/>
        <v>0</v>
      </c>
      <c r="AC104" s="18">
        <f t="shared" si="110"/>
        <v>0</v>
      </c>
      <c r="AD104" s="18">
        <f t="shared" si="111"/>
        <v>0</v>
      </c>
      <c r="AF104" s="15">
        <f t="shared" si="112"/>
        <v>0</v>
      </c>
      <c r="AG104" s="18">
        <f t="shared" si="113"/>
        <v>0</v>
      </c>
      <c r="AH104" s="18">
        <f t="shared" si="114"/>
        <v>0</v>
      </c>
      <c r="AI104" s="18">
        <f t="shared" si="115"/>
        <v>0</v>
      </c>
      <c r="AJ104" s="18">
        <f t="shared" si="116"/>
        <v>0</v>
      </c>
      <c r="AK104" s="18">
        <f t="shared" si="117"/>
        <v>0</v>
      </c>
      <c r="AM104" s="18">
        <f t="shared" si="118"/>
        <v>0</v>
      </c>
      <c r="AN104" s="18">
        <f t="shared" si="119"/>
        <v>0</v>
      </c>
      <c r="AO104" s="18">
        <f t="shared" si="120"/>
        <v>0</v>
      </c>
      <c r="AP104" s="18">
        <f t="shared" si="121"/>
        <v>0</v>
      </c>
      <c r="AQ104" s="18">
        <f t="shared" si="122"/>
        <v>0</v>
      </c>
      <c r="AR104" s="18">
        <f t="shared" si="139"/>
        <v>0</v>
      </c>
      <c r="AS104" s="18">
        <f t="shared" si="123"/>
        <v>0</v>
      </c>
      <c r="AT104" s="18">
        <f t="shared" si="140"/>
        <v>0</v>
      </c>
      <c r="AU104" s="18">
        <f t="shared" si="124"/>
        <v>0</v>
      </c>
      <c r="AV104" s="72"/>
      <c r="AW104" s="18">
        <f t="shared" si="141"/>
        <v>0</v>
      </c>
      <c r="AX104" s="18">
        <f t="shared" si="125"/>
        <v>0</v>
      </c>
      <c r="AY104" s="18">
        <f t="shared" si="126"/>
        <v>0</v>
      </c>
      <c r="BA104" s="18">
        <f t="shared" si="142"/>
        <v>0</v>
      </c>
      <c r="BB104" s="18">
        <f t="shared" si="143"/>
        <v>0</v>
      </c>
      <c r="BC104" s="18">
        <f t="shared" si="127"/>
        <v>0</v>
      </c>
      <c r="BD104" s="18">
        <f t="shared" si="128"/>
        <v>0</v>
      </c>
      <c r="BE104" s="18">
        <f t="shared" si="129"/>
        <v>0</v>
      </c>
      <c r="BF104" s="18">
        <f t="shared" si="130"/>
        <v>0</v>
      </c>
      <c r="BG104" s="18">
        <f t="shared" si="144"/>
        <v>0</v>
      </c>
      <c r="BH104" s="18">
        <f t="shared" si="131"/>
        <v>0</v>
      </c>
      <c r="BI104" s="18">
        <f t="shared" si="132"/>
        <v>0</v>
      </c>
      <c r="BJ104" s="18">
        <f t="shared" si="133"/>
        <v>0</v>
      </c>
      <c r="BK104" s="18">
        <f t="shared" si="134"/>
        <v>0</v>
      </c>
    </row>
    <row r="105" spans="2:63" ht="15" customHeight="1">
      <c r="B105" s="19">
        <f t="shared" ref="B105:B116" si="146">$B104+1</f>
        <v>97</v>
      </c>
      <c r="C105" s="19">
        <f t="shared" ref="C105:C116" si="147">IF($B105&gt;0,1+TRUNC(($B105-1)/12),"")</f>
        <v>9</v>
      </c>
      <c r="D105" s="19">
        <f t="shared" ref="D105:D116" si="148">IF(AND(B105&gt;=c_offset,$B105&lt;=c_offset+c_lotyears*12),1,0)</f>
        <v>0</v>
      </c>
      <c r="E105" s="19">
        <f t="shared" si="145"/>
        <v>97</v>
      </c>
      <c r="G105" s="19">
        <f>M_MultDeal!BE106+IF($B105=1,-i_transfee*i_maxequity,0)</f>
        <v>0</v>
      </c>
      <c r="H105" s="19">
        <f>M_MultDeal!AO106</f>
        <v>0</v>
      </c>
      <c r="I105" s="19">
        <f t="shared" si="135"/>
        <v>0</v>
      </c>
      <c r="K105" s="19">
        <f t="shared" ref="K105:K116" si="149">($G105-$H105)*i_pctequity_inst</f>
        <v>0</v>
      </c>
      <c r="L105" s="19">
        <f t="shared" ref="L105:L116" si="150">O104*c_hurdle1_inst/12</f>
        <v>0</v>
      </c>
      <c r="M105" s="19">
        <f t="shared" ref="M105:M116" si="151">N105-L105</f>
        <v>0</v>
      </c>
      <c r="N105" s="19">
        <f t="shared" ref="N105:N116" si="152">IF(OR(O104&gt;0,$B105=1),MIN(L105+O104,IF(K105&gt;0,K105*c_invsplit1_inst,K105)),0)</f>
        <v>0</v>
      </c>
      <c r="O105" s="19">
        <f t="shared" ref="O105:O116" si="153">O104-M105</f>
        <v>0</v>
      </c>
      <c r="P105" s="19">
        <f t="shared" ref="P105:P116" si="154">IF(AND(c_invsplit1_inst&gt;0,K105&gt;0),(1-c_invsplit1_inst)*N105/c_invsplit1_inst,0)</f>
        <v>0</v>
      </c>
      <c r="Q105" s="72"/>
      <c r="R105" s="19">
        <f t="shared" ref="R105:R116" si="155">K105-N105-P105</f>
        <v>0</v>
      </c>
      <c r="S105" s="19">
        <f t="shared" ref="S105:S116" si="156">S104+T104</f>
        <v>0</v>
      </c>
      <c r="T105" s="19">
        <f t="shared" ref="T105:T116" si="157">IF(i_promotecatchup,MAX(MIN(R105,i_split2_inst*N$117/(1-i_split2_inst)-S105),0),0)</f>
        <v>0</v>
      </c>
      <c r="U105" s="19">
        <f t="shared" ref="U105:U116" si="158">R105-T105</f>
        <v>0</v>
      </c>
      <c r="V105" s="19">
        <f t="shared" ref="V105:V116" si="159">Y104*c_hurdle2_inst/12</f>
        <v>412378420.08126092</v>
      </c>
      <c r="W105" s="19">
        <f t="shared" si="136"/>
        <v>-412378420.08126092</v>
      </c>
      <c r="X105" s="19">
        <f t="shared" ref="X105:X116" si="160">IF(Y104&gt;0,MIN(V105+Y104-N105,U105*IF(U105&gt;0,c_invsplit2_inst,1)),0)</f>
        <v>0</v>
      </c>
      <c r="Y105" s="19">
        <f t="shared" si="137"/>
        <v>7399399306.2975426</v>
      </c>
      <c r="Z105" s="19">
        <f t="shared" ref="Z105:Z116" si="161">IF(AND(c_invsplit2_inst&gt;0,X105&gt;0),(1-c_invsplit2_inst)*X105/c_invsplit2_inst,0)</f>
        <v>0</v>
      </c>
      <c r="AA105" s="72"/>
      <c r="AB105" s="19">
        <f t="shared" si="138"/>
        <v>0</v>
      </c>
      <c r="AC105" s="19">
        <f t="shared" ref="AC105:AC116" si="162">AB105*c_invsplit3_inst</f>
        <v>0</v>
      </c>
      <c r="AD105" s="19">
        <f t="shared" ref="AD105:AD116" si="163">AB105-AC105</f>
        <v>0</v>
      </c>
      <c r="AF105" s="15">
        <f t="shared" ref="AF105:AF116" si="164">($G105-$H105)*i_pctequity_hnw</f>
        <v>0</v>
      </c>
      <c r="AG105" s="19">
        <f t="shared" ref="AG105:AG116" si="165">AJ104*c_hurdle1_hnw/12</f>
        <v>0</v>
      </c>
      <c r="AH105" s="19">
        <f t="shared" ref="AH105:AH116" si="166">AI105-AG105</f>
        <v>0</v>
      </c>
      <c r="AI105" s="19">
        <f t="shared" ref="AI105:AI116" si="167">IF(OR(AJ104&gt;0,$B105=1),MIN(AG105+AJ104,IF(AF105&gt;0,AF105*c_invsplit1_hnw,AF105)),0)</f>
        <v>0</v>
      </c>
      <c r="AJ105" s="19">
        <f t="shared" ref="AJ105:AJ116" si="168">AJ104-AH105</f>
        <v>0</v>
      </c>
      <c r="AK105" s="19">
        <f t="shared" ref="AK105:AK116" si="169">IF(AND(c_invsplit1_hnw&gt;0,AF105&gt;0),(1-c_invsplit1_hnw)*AI105/c_invsplit1_hnw,0)</f>
        <v>0</v>
      </c>
      <c r="AL105" s="72"/>
      <c r="AM105" s="19">
        <f t="shared" ref="AM105:AM116" si="170">AF105-AI105-AK105</f>
        <v>0</v>
      </c>
      <c r="AN105" s="19">
        <f t="shared" ref="AN105:AN116" si="171">AN104+AO104</f>
        <v>0</v>
      </c>
      <c r="AO105" s="19">
        <f t="shared" ref="AO105:AO116" si="172">IF(i_promotecatchup,MAX(MIN(AM105,i_split2_hnw*AI$117/(1-i_split2_hnw)-AN105),0),0)</f>
        <v>0</v>
      </c>
      <c r="AP105" s="19">
        <f t="shared" si="121"/>
        <v>0</v>
      </c>
      <c r="AQ105" s="19">
        <f t="shared" ref="AQ105:AQ116" si="173">AT104*c_hurdle2_hnw/12</f>
        <v>0</v>
      </c>
      <c r="AR105" s="19">
        <f t="shared" si="139"/>
        <v>0</v>
      </c>
      <c r="AS105" s="19">
        <f t="shared" ref="AS105:AS116" si="174">IF(AT104&gt;0,MIN(AQ105+AT104-AI105,AP105*IF(AP105&gt;0,c_invsplit2_hnw,1)),0)</f>
        <v>0</v>
      </c>
      <c r="AT105" s="19">
        <f t="shared" si="140"/>
        <v>0</v>
      </c>
      <c r="AU105" s="19">
        <f t="shared" ref="AU105:AU116" si="175">IF(AND(c_invsplit2_hnw&gt;0,AS105&gt;0),(1-c_invsplit2_hnw)*AS105/c_invsplit2_hnw,0)</f>
        <v>0</v>
      </c>
      <c r="AV105" s="72"/>
      <c r="AW105" s="19">
        <f t="shared" si="141"/>
        <v>0</v>
      </c>
      <c r="AX105" s="19">
        <f t="shared" ref="AX105:AX116" si="176">AW105*c_invsplit3_hnw</f>
        <v>0</v>
      </c>
      <c r="AY105" s="19">
        <f t="shared" ref="AY105:AY116" si="177">AW105-AX105</f>
        <v>0</v>
      </c>
      <c r="BA105" s="19">
        <f t="shared" si="142"/>
        <v>0</v>
      </c>
      <c r="BB105" s="19">
        <f t="shared" si="143"/>
        <v>0</v>
      </c>
      <c r="BC105" s="19">
        <f t="shared" ref="BC105:BC116" si="178">BB105+BA105</f>
        <v>0</v>
      </c>
      <c r="BD105" s="19">
        <f t="shared" ref="BD105:BD116" si="179">MAX(0,BD104-BC105)</f>
        <v>0</v>
      </c>
      <c r="BE105" s="19">
        <f t="shared" ref="BE105:BE116" si="180">P105+T105+Z105+AD105</f>
        <v>0</v>
      </c>
      <c r="BF105" s="19">
        <f t="shared" ref="BF105:BF116" si="181">AK105+AO105+AU105+AY105</f>
        <v>0</v>
      </c>
      <c r="BG105" s="19">
        <f t="shared" si="144"/>
        <v>0</v>
      </c>
      <c r="BH105" s="19">
        <f t="shared" ref="BH105:BH116" si="182">i_gpmgtfeepcta*H105</f>
        <v>0</v>
      </c>
      <c r="BI105" s="19">
        <f t="shared" ref="BI105:BI116" si="183">i_gppromotepcta*BG105</f>
        <v>0</v>
      </c>
      <c r="BJ105" s="19">
        <f t="shared" ref="BJ105:BJ116" si="184">i_gpmgtfeepctb*H105</f>
        <v>0</v>
      </c>
      <c r="BK105" s="19">
        <f t="shared" ref="BK105:BK116" si="185">i_gppromotepctb*$BG105</f>
        <v>0</v>
      </c>
    </row>
    <row r="106" spans="2:63" ht="15" customHeight="1">
      <c r="B106" s="16">
        <f t="shared" si="146"/>
        <v>98</v>
      </c>
      <c r="C106" s="16">
        <f t="shared" si="147"/>
        <v>9</v>
      </c>
      <c r="D106" s="16">
        <f t="shared" si="148"/>
        <v>0</v>
      </c>
      <c r="E106" s="16">
        <f t="shared" si="145"/>
        <v>98</v>
      </c>
      <c r="G106" s="16">
        <f>M_MultDeal!BE107+IF($B106=1,-i_transfee*i_maxequity,0)</f>
        <v>0</v>
      </c>
      <c r="H106" s="16">
        <f>M_MultDeal!AO107</f>
        <v>0</v>
      </c>
      <c r="I106" s="16">
        <f t="shared" si="135"/>
        <v>0</v>
      </c>
      <c r="K106" s="16">
        <f t="shared" si="149"/>
        <v>0</v>
      </c>
      <c r="L106" s="16">
        <f t="shared" si="150"/>
        <v>0</v>
      </c>
      <c r="M106" s="16">
        <f t="shared" si="151"/>
        <v>0</v>
      </c>
      <c r="N106" s="16">
        <f t="shared" si="152"/>
        <v>0</v>
      </c>
      <c r="O106" s="16">
        <f t="shared" si="153"/>
        <v>0</v>
      </c>
      <c r="P106" s="16">
        <f t="shared" si="154"/>
        <v>0</v>
      </c>
      <c r="R106" s="16">
        <f t="shared" si="155"/>
        <v>0</v>
      </c>
      <c r="S106" s="16">
        <f t="shared" si="156"/>
        <v>0</v>
      </c>
      <c r="T106" s="16">
        <f t="shared" si="157"/>
        <v>0</v>
      </c>
      <c r="U106" s="16">
        <f t="shared" si="158"/>
        <v>0</v>
      </c>
      <c r="V106" s="16">
        <f t="shared" si="159"/>
        <v>436717256.9214651</v>
      </c>
      <c r="W106" s="16">
        <f t="shared" si="136"/>
        <v>-436717256.9214651</v>
      </c>
      <c r="X106" s="16">
        <f t="shared" si="160"/>
        <v>0</v>
      </c>
      <c r="Y106" s="16">
        <f t="shared" si="137"/>
        <v>7836116563.2190075</v>
      </c>
      <c r="Z106" s="16">
        <f t="shared" si="161"/>
        <v>0</v>
      </c>
      <c r="AA106" s="72"/>
      <c r="AB106" s="16">
        <f t="shared" si="138"/>
        <v>0</v>
      </c>
      <c r="AC106" s="16">
        <f t="shared" si="162"/>
        <v>0</v>
      </c>
      <c r="AD106" s="16">
        <f t="shared" si="163"/>
        <v>0</v>
      </c>
      <c r="AF106" s="15">
        <f t="shared" si="164"/>
        <v>0</v>
      </c>
      <c r="AG106" s="16">
        <f t="shared" si="165"/>
        <v>0</v>
      </c>
      <c r="AH106" s="16">
        <f t="shared" si="166"/>
        <v>0</v>
      </c>
      <c r="AI106" s="16">
        <f t="shared" si="167"/>
        <v>0</v>
      </c>
      <c r="AJ106" s="16">
        <f t="shared" si="168"/>
        <v>0</v>
      </c>
      <c r="AK106" s="16">
        <f t="shared" si="169"/>
        <v>0</v>
      </c>
      <c r="AM106" s="16">
        <f t="shared" si="170"/>
        <v>0</v>
      </c>
      <c r="AN106" s="16">
        <f t="shared" si="171"/>
        <v>0</v>
      </c>
      <c r="AO106" s="16">
        <f t="shared" si="172"/>
        <v>0</v>
      </c>
      <c r="AP106" s="16">
        <f t="shared" si="121"/>
        <v>0</v>
      </c>
      <c r="AQ106" s="16">
        <f t="shared" si="173"/>
        <v>0</v>
      </c>
      <c r="AR106" s="16">
        <f t="shared" si="139"/>
        <v>0</v>
      </c>
      <c r="AS106" s="16">
        <f t="shared" si="174"/>
        <v>0</v>
      </c>
      <c r="AT106" s="16">
        <f t="shared" si="140"/>
        <v>0</v>
      </c>
      <c r="AU106" s="16">
        <f t="shared" si="175"/>
        <v>0</v>
      </c>
      <c r="AV106" s="72"/>
      <c r="AW106" s="16">
        <f t="shared" si="141"/>
        <v>0</v>
      </c>
      <c r="AX106" s="16">
        <f t="shared" si="176"/>
        <v>0</v>
      </c>
      <c r="AY106" s="16">
        <f t="shared" si="177"/>
        <v>0</v>
      </c>
      <c r="BA106" s="16">
        <f t="shared" si="142"/>
        <v>0</v>
      </c>
      <c r="BB106" s="16">
        <f t="shared" si="143"/>
        <v>0</v>
      </c>
      <c r="BC106" s="16">
        <f t="shared" si="178"/>
        <v>0</v>
      </c>
      <c r="BD106" s="16">
        <f t="shared" si="179"/>
        <v>0</v>
      </c>
      <c r="BE106" s="16">
        <f t="shared" si="180"/>
        <v>0</v>
      </c>
      <c r="BF106" s="16">
        <f t="shared" si="181"/>
        <v>0</v>
      </c>
      <c r="BG106" s="16">
        <f t="shared" si="144"/>
        <v>0</v>
      </c>
      <c r="BH106" s="16">
        <f t="shared" si="182"/>
        <v>0</v>
      </c>
      <c r="BI106" s="16">
        <f t="shared" si="183"/>
        <v>0</v>
      </c>
      <c r="BJ106" s="16">
        <f t="shared" si="184"/>
        <v>0</v>
      </c>
      <c r="BK106" s="16">
        <f t="shared" si="185"/>
        <v>0</v>
      </c>
    </row>
    <row r="107" spans="2:63" ht="15" customHeight="1">
      <c r="B107" s="17">
        <f t="shared" si="146"/>
        <v>99</v>
      </c>
      <c r="C107" s="17">
        <f t="shared" si="147"/>
        <v>9</v>
      </c>
      <c r="D107" s="17">
        <f t="shared" si="148"/>
        <v>0</v>
      </c>
      <c r="E107" s="17">
        <f t="shared" si="145"/>
        <v>99</v>
      </c>
      <c r="G107" s="17">
        <f>M_MultDeal!BE108+IF($B107=1,-i_transfee*i_maxequity,0)</f>
        <v>0</v>
      </c>
      <c r="H107" s="17">
        <f>M_MultDeal!AO108</f>
        <v>0</v>
      </c>
      <c r="I107" s="17">
        <f t="shared" si="135"/>
        <v>0</v>
      </c>
      <c r="K107" s="17">
        <f t="shared" si="149"/>
        <v>0</v>
      </c>
      <c r="L107" s="17">
        <f t="shared" si="150"/>
        <v>0</v>
      </c>
      <c r="M107" s="17">
        <f t="shared" si="151"/>
        <v>0</v>
      </c>
      <c r="N107" s="17">
        <f t="shared" si="152"/>
        <v>0</v>
      </c>
      <c r="O107" s="17">
        <f t="shared" si="153"/>
        <v>0</v>
      </c>
      <c r="P107" s="17">
        <f t="shared" si="154"/>
        <v>0</v>
      </c>
      <c r="R107" s="17">
        <f t="shared" si="155"/>
        <v>0</v>
      </c>
      <c r="S107" s="17">
        <f t="shared" si="156"/>
        <v>0</v>
      </c>
      <c r="T107" s="17">
        <f t="shared" si="157"/>
        <v>0</v>
      </c>
      <c r="U107" s="17">
        <f t="shared" si="158"/>
        <v>0</v>
      </c>
      <c r="V107" s="17">
        <f t="shared" si="159"/>
        <v>462492587.40412837</v>
      </c>
      <c r="W107" s="17">
        <f t="shared" si="136"/>
        <v>-462492587.40412837</v>
      </c>
      <c r="X107" s="17">
        <f t="shared" si="160"/>
        <v>0</v>
      </c>
      <c r="Y107" s="17">
        <f t="shared" si="137"/>
        <v>8298609150.6231356</v>
      </c>
      <c r="Z107" s="17">
        <f t="shared" si="161"/>
        <v>0</v>
      </c>
      <c r="AA107" s="72"/>
      <c r="AB107" s="17">
        <f t="shared" si="138"/>
        <v>0</v>
      </c>
      <c r="AC107" s="17">
        <f t="shared" si="162"/>
        <v>0</v>
      </c>
      <c r="AD107" s="17">
        <f t="shared" si="163"/>
        <v>0</v>
      </c>
      <c r="AF107" s="15">
        <f t="shared" si="164"/>
        <v>0</v>
      </c>
      <c r="AG107" s="17">
        <f t="shared" si="165"/>
        <v>0</v>
      </c>
      <c r="AH107" s="17">
        <f t="shared" si="166"/>
        <v>0</v>
      </c>
      <c r="AI107" s="17">
        <f t="shared" si="167"/>
        <v>0</v>
      </c>
      <c r="AJ107" s="17">
        <f t="shared" si="168"/>
        <v>0</v>
      </c>
      <c r="AK107" s="17">
        <f t="shared" si="169"/>
        <v>0</v>
      </c>
      <c r="AM107" s="17">
        <f t="shared" si="170"/>
        <v>0</v>
      </c>
      <c r="AN107" s="17">
        <f t="shared" si="171"/>
        <v>0</v>
      </c>
      <c r="AO107" s="17">
        <f t="shared" si="172"/>
        <v>0</v>
      </c>
      <c r="AP107" s="17">
        <f t="shared" si="121"/>
        <v>0</v>
      </c>
      <c r="AQ107" s="17">
        <f t="shared" si="173"/>
        <v>0</v>
      </c>
      <c r="AR107" s="17">
        <f t="shared" si="139"/>
        <v>0</v>
      </c>
      <c r="AS107" s="17">
        <f t="shared" si="174"/>
        <v>0</v>
      </c>
      <c r="AT107" s="17">
        <f t="shared" si="140"/>
        <v>0</v>
      </c>
      <c r="AU107" s="17">
        <f t="shared" si="175"/>
        <v>0</v>
      </c>
      <c r="AV107" s="72"/>
      <c r="AW107" s="17">
        <f t="shared" si="141"/>
        <v>0</v>
      </c>
      <c r="AX107" s="17">
        <f t="shared" si="176"/>
        <v>0</v>
      </c>
      <c r="AY107" s="17">
        <f t="shared" si="177"/>
        <v>0</v>
      </c>
      <c r="BA107" s="17">
        <f t="shared" si="142"/>
        <v>0</v>
      </c>
      <c r="BB107" s="17">
        <f t="shared" si="143"/>
        <v>0</v>
      </c>
      <c r="BC107" s="17">
        <f t="shared" si="178"/>
        <v>0</v>
      </c>
      <c r="BD107" s="17">
        <f t="shared" si="179"/>
        <v>0</v>
      </c>
      <c r="BE107" s="17">
        <f t="shared" si="180"/>
        <v>0</v>
      </c>
      <c r="BF107" s="17">
        <f t="shared" si="181"/>
        <v>0</v>
      </c>
      <c r="BG107" s="17">
        <f t="shared" si="144"/>
        <v>0</v>
      </c>
      <c r="BH107" s="17">
        <f t="shared" si="182"/>
        <v>0</v>
      </c>
      <c r="BI107" s="17">
        <f t="shared" si="183"/>
        <v>0</v>
      </c>
      <c r="BJ107" s="17">
        <f t="shared" si="184"/>
        <v>0</v>
      </c>
      <c r="BK107" s="17">
        <f t="shared" si="185"/>
        <v>0</v>
      </c>
    </row>
    <row r="108" spans="2:63" ht="15" customHeight="1">
      <c r="B108" s="15">
        <f t="shared" si="146"/>
        <v>100</v>
      </c>
      <c r="C108" s="15">
        <f t="shared" si="147"/>
        <v>9</v>
      </c>
      <c r="D108" s="15">
        <f t="shared" si="148"/>
        <v>0</v>
      </c>
      <c r="E108" s="15">
        <f t="shared" si="145"/>
        <v>100</v>
      </c>
      <c r="G108" s="15">
        <f>M_MultDeal!BE109+IF($B108=1,-i_transfee*i_maxequity,0)</f>
        <v>0</v>
      </c>
      <c r="H108" s="15">
        <f>M_MultDeal!AO109</f>
        <v>0</v>
      </c>
      <c r="I108" s="15">
        <f t="shared" si="135"/>
        <v>0</v>
      </c>
      <c r="K108" s="15">
        <f t="shared" si="149"/>
        <v>0</v>
      </c>
      <c r="L108" s="15">
        <f t="shared" si="150"/>
        <v>0</v>
      </c>
      <c r="M108" s="15">
        <f t="shared" si="151"/>
        <v>0</v>
      </c>
      <c r="N108" s="15">
        <f t="shared" si="152"/>
        <v>0</v>
      </c>
      <c r="O108" s="15">
        <f t="shared" si="153"/>
        <v>0</v>
      </c>
      <c r="P108" s="15">
        <f t="shared" si="154"/>
        <v>0</v>
      </c>
      <c r="R108" s="15">
        <f t="shared" si="155"/>
        <v>0</v>
      </c>
      <c r="S108" s="15">
        <f t="shared" si="156"/>
        <v>0</v>
      </c>
      <c r="T108" s="15">
        <f t="shared" si="157"/>
        <v>0</v>
      </c>
      <c r="U108" s="15">
        <f t="shared" si="158"/>
        <v>0</v>
      </c>
      <c r="V108" s="15">
        <f t="shared" si="159"/>
        <v>489789194.29838538</v>
      </c>
      <c r="W108" s="15">
        <f t="shared" si="136"/>
        <v>-489789194.29838538</v>
      </c>
      <c r="X108" s="15">
        <f t="shared" si="160"/>
        <v>0</v>
      </c>
      <c r="Y108" s="15">
        <f t="shared" si="137"/>
        <v>8788398344.9215202</v>
      </c>
      <c r="Z108" s="15">
        <f t="shared" si="161"/>
        <v>0</v>
      </c>
      <c r="AA108" s="72"/>
      <c r="AB108" s="15">
        <f t="shared" si="138"/>
        <v>0</v>
      </c>
      <c r="AC108" s="15">
        <f t="shared" si="162"/>
        <v>0</v>
      </c>
      <c r="AD108" s="15">
        <f t="shared" si="163"/>
        <v>0</v>
      </c>
      <c r="AF108" s="15">
        <f t="shared" si="164"/>
        <v>0</v>
      </c>
      <c r="AG108" s="15">
        <f t="shared" si="165"/>
        <v>0</v>
      </c>
      <c r="AH108" s="15">
        <f t="shared" si="166"/>
        <v>0</v>
      </c>
      <c r="AI108" s="15">
        <f t="shared" si="167"/>
        <v>0</v>
      </c>
      <c r="AJ108" s="15">
        <f t="shared" si="168"/>
        <v>0</v>
      </c>
      <c r="AK108" s="15">
        <f t="shared" si="169"/>
        <v>0</v>
      </c>
      <c r="AM108" s="15">
        <f t="shared" si="170"/>
        <v>0</v>
      </c>
      <c r="AN108" s="15">
        <f t="shared" si="171"/>
        <v>0</v>
      </c>
      <c r="AO108" s="15">
        <f t="shared" si="172"/>
        <v>0</v>
      </c>
      <c r="AP108" s="15">
        <f t="shared" si="121"/>
        <v>0</v>
      </c>
      <c r="AQ108" s="15">
        <f t="shared" si="173"/>
        <v>0</v>
      </c>
      <c r="AR108" s="15">
        <f t="shared" si="139"/>
        <v>0</v>
      </c>
      <c r="AS108" s="15">
        <f t="shared" si="174"/>
        <v>0</v>
      </c>
      <c r="AT108" s="15">
        <f t="shared" si="140"/>
        <v>0</v>
      </c>
      <c r="AU108" s="15">
        <f t="shared" si="175"/>
        <v>0</v>
      </c>
      <c r="AV108" s="72"/>
      <c r="AW108" s="15">
        <f t="shared" si="141"/>
        <v>0</v>
      </c>
      <c r="AX108" s="15">
        <f t="shared" si="176"/>
        <v>0</v>
      </c>
      <c r="AY108" s="15">
        <f t="shared" si="177"/>
        <v>0</v>
      </c>
      <c r="BA108" s="15">
        <f t="shared" si="142"/>
        <v>0</v>
      </c>
      <c r="BB108" s="15">
        <f t="shared" si="143"/>
        <v>0</v>
      </c>
      <c r="BC108" s="15">
        <f t="shared" si="178"/>
        <v>0</v>
      </c>
      <c r="BD108" s="15">
        <f t="shared" si="179"/>
        <v>0</v>
      </c>
      <c r="BE108" s="15">
        <f t="shared" si="180"/>
        <v>0</v>
      </c>
      <c r="BF108" s="15">
        <f t="shared" si="181"/>
        <v>0</v>
      </c>
      <c r="BG108" s="15">
        <f t="shared" si="144"/>
        <v>0</v>
      </c>
      <c r="BH108" s="15">
        <f t="shared" si="182"/>
        <v>0</v>
      </c>
      <c r="BI108" s="15">
        <f t="shared" si="183"/>
        <v>0</v>
      </c>
      <c r="BJ108" s="15">
        <f t="shared" si="184"/>
        <v>0</v>
      </c>
      <c r="BK108" s="15">
        <f t="shared" si="185"/>
        <v>0</v>
      </c>
    </row>
    <row r="109" spans="2:63" ht="15" customHeight="1">
      <c r="B109" s="16">
        <f t="shared" si="146"/>
        <v>101</v>
      </c>
      <c r="C109" s="16">
        <f t="shared" si="147"/>
        <v>9</v>
      </c>
      <c r="D109" s="16">
        <f t="shared" si="148"/>
        <v>0</v>
      </c>
      <c r="E109" s="16">
        <f t="shared" si="145"/>
        <v>101</v>
      </c>
      <c r="G109" s="16">
        <f>M_MultDeal!BE110+IF($B109=1,-i_transfee*i_maxequity,0)</f>
        <v>0</v>
      </c>
      <c r="H109" s="16">
        <f>M_MultDeal!AO110</f>
        <v>0</v>
      </c>
      <c r="I109" s="16">
        <f t="shared" si="135"/>
        <v>0</v>
      </c>
      <c r="K109" s="16">
        <f t="shared" si="149"/>
        <v>0</v>
      </c>
      <c r="L109" s="16">
        <f t="shared" si="150"/>
        <v>0</v>
      </c>
      <c r="M109" s="16">
        <f t="shared" si="151"/>
        <v>0</v>
      </c>
      <c r="N109" s="16">
        <f t="shared" si="152"/>
        <v>0</v>
      </c>
      <c r="O109" s="16">
        <f t="shared" si="153"/>
        <v>0</v>
      </c>
      <c r="P109" s="16">
        <f t="shared" si="154"/>
        <v>0</v>
      </c>
      <c r="R109" s="16">
        <f t="shared" si="155"/>
        <v>0</v>
      </c>
      <c r="S109" s="16">
        <f t="shared" si="156"/>
        <v>0</v>
      </c>
      <c r="T109" s="16">
        <f t="shared" si="157"/>
        <v>0</v>
      </c>
      <c r="U109" s="16">
        <f t="shared" si="158"/>
        <v>0</v>
      </c>
      <c r="V109" s="16">
        <f t="shared" si="159"/>
        <v>518696864.30637074</v>
      </c>
      <c r="W109" s="16">
        <f t="shared" si="136"/>
        <v>-518696864.30637074</v>
      </c>
      <c r="X109" s="16">
        <f t="shared" si="160"/>
        <v>0</v>
      </c>
      <c r="Y109" s="16">
        <f t="shared" si="137"/>
        <v>9307095209.22789</v>
      </c>
      <c r="Z109" s="16">
        <f t="shared" si="161"/>
        <v>0</v>
      </c>
      <c r="AA109" s="72"/>
      <c r="AB109" s="16">
        <f t="shared" si="138"/>
        <v>0</v>
      </c>
      <c r="AC109" s="16">
        <f t="shared" si="162"/>
        <v>0</v>
      </c>
      <c r="AD109" s="16">
        <f t="shared" si="163"/>
        <v>0</v>
      </c>
      <c r="AF109" s="15">
        <f t="shared" si="164"/>
        <v>0</v>
      </c>
      <c r="AG109" s="16">
        <f t="shared" si="165"/>
        <v>0</v>
      </c>
      <c r="AH109" s="16">
        <f t="shared" si="166"/>
        <v>0</v>
      </c>
      <c r="AI109" s="16">
        <f t="shared" si="167"/>
        <v>0</v>
      </c>
      <c r="AJ109" s="16">
        <f t="shared" si="168"/>
        <v>0</v>
      </c>
      <c r="AK109" s="16">
        <f t="shared" si="169"/>
        <v>0</v>
      </c>
      <c r="AM109" s="16">
        <f t="shared" si="170"/>
        <v>0</v>
      </c>
      <c r="AN109" s="16">
        <f t="shared" si="171"/>
        <v>0</v>
      </c>
      <c r="AO109" s="16">
        <f t="shared" si="172"/>
        <v>0</v>
      </c>
      <c r="AP109" s="16">
        <f t="shared" si="121"/>
        <v>0</v>
      </c>
      <c r="AQ109" s="16">
        <f t="shared" si="173"/>
        <v>0</v>
      </c>
      <c r="AR109" s="16">
        <f t="shared" si="139"/>
        <v>0</v>
      </c>
      <c r="AS109" s="16">
        <f t="shared" si="174"/>
        <v>0</v>
      </c>
      <c r="AT109" s="16">
        <f t="shared" si="140"/>
        <v>0</v>
      </c>
      <c r="AU109" s="16">
        <f t="shared" si="175"/>
        <v>0</v>
      </c>
      <c r="AV109" s="72"/>
      <c r="AW109" s="16">
        <f t="shared" si="141"/>
        <v>0</v>
      </c>
      <c r="AX109" s="16">
        <f t="shared" si="176"/>
        <v>0</v>
      </c>
      <c r="AY109" s="16">
        <f t="shared" si="177"/>
        <v>0</v>
      </c>
      <c r="BA109" s="16">
        <f t="shared" si="142"/>
        <v>0</v>
      </c>
      <c r="BB109" s="16">
        <f t="shared" si="143"/>
        <v>0</v>
      </c>
      <c r="BC109" s="16">
        <f t="shared" si="178"/>
        <v>0</v>
      </c>
      <c r="BD109" s="16">
        <f t="shared" si="179"/>
        <v>0</v>
      </c>
      <c r="BE109" s="16">
        <f t="shared" si="180"/>
        <v>0</v>
      </c>
      <c r="BF109" s="16">
        <f t="shared" si="181"/>
        <v>0</v>
      </c>
      <c r="BG109" s="16">
        <f t="shared" si="144"/>
        <v>0</v>
      </c>
      <c r="BH109" s="16">
        <f t="shared" si="182"/>
        <v>0</v>
      </c>
      <c r="BI109" s="16">
        <f t="shared" si="183"/>
        <v>0</v>
      </c>
      <c r="BJ109" s="16">
        <f t="shared" si="184"/>
        <v>0</v>
      </c>
      <c r="BK109" s="16">
        <f t="shared" si="185"/>
        <v>0</v>
      </c>
    </row>
    <row r="110" spans="2:63" ht="15" customHeight="1">
      <c r="B110" s="17">
        <f t="shared" si="146"/>
        <v>102</v>
      </c>
      <c r="C110" s="17">
        <f t="shared" si="147"/>
        <v>9</v>
      </c>
      <c r="D110" s="17">
        <f t="shared" si="148"/>
        <v>0</v>
      </c>
      <c r="E110" s="17">
        <f t="shared" si="145"/>
        <v>102</v>
      </c>
      <c r="G110" s="17">
        <f>M_MultDeal!BE111+IF($B110=1,-i_transfee*i_maxequity,0)</f>
        <v>0</v>
      </c>
      <c r="H110" s="17">
        <f>M_MultDeal!AO111</f>
        <v>0</v>
      </c>
      <c r="I110" s="17">
        <f t="shared" si="135"/>
        <v>0</v>
      </c>
      <c r="K110" s="17">
        <f t="shared" si="149"/>
        <v>0</v>
      </c>
      <c r="L110" s="17">
        <f t="shared" si="150"/>
        <v>0</v>
      </c>
      <c r="M110" s="17">
        <f t="shared" si="151"/>
        <v>0</v>
      </c>
      <c r="N110" s="17">
        <f t="shared" si="152"/>
        <v>0</v>
      </c>
      <c r="O110" s="17">
        <f t="shared" si="153"/>
        <v>0</v>
      </c>
      <c r="P110" s="17">
        <f t="shared" si="154"/>
        <v>0</v>
      </c>
      <c r="R110" s="17">
        <f t="shared" si="155"/>
        <v>0</v>
      </c>
      <c r="S110" s="17">
        <f t="shared" si="156"/>
        <v>0</v>
      </c>
      <c r="T110" s="17">
        <f t="shared" si="157"/>
        <v>0</v>
      </c>
      <c r="U110" s="17">
        <f t="shared" si="158"/>
        <v>0</v>
      </c>
      <c r="V110" s="17">
        <f t="shared" si="159"/>
        <v>549310683.39853013</v>
      </c>
      <c r="W110" s="17">
        <f t="shared" si="136"/>
        <v>-549310683.39853013</v>
      </c>
      <c r="X110" s="17">
        <f t="shared" si="160"/>
        <v>0</v>
      </c>
      <c r="Y110" s="17">
        <f t="shared" si="137"/>
        <v>9856405892.626421</v>
      </c>
      <c r="Z110" s="17">
        <f t="shared" si="161"/>
        <v>0</v>
      </c>
      <c r="AA110" s="72"/>
      <c r="AB110" s="17">
        <f t="shared" si="138"/>
        <v>0</v>
      </c>
      <c r="AC110" s="17">
        <f t="shared" si="162"/>
        <v>0</v>
      </c>
      <c r="AD110" s="17">
        <f t="shared" si="163"/>
        <v>0</v>
      </c>
      <c r="AF110" s="15">
        <f t="shared" si="164"/>
        <v>0</v>
      </c>
      <c r="AG110" s="17">
        <f t="shared" si="165"/>
        <v>0</v>
      </c>
      <c r="AH110" s="17">
        <f t="shared" si="166"/>
        <v>0</v>
      </c>
      <c r="AI110" s="17">
        <f t="shared" si="167"/>
        <v>0</v>
      </c>
      <c r="AJ110" s="17">
        <f t="shared" si="168"/>
        <v>0</v>
      </c>
      <c r="AK110" s="17">
        <f t="shared" si="169"/>
        <v>0</v>
      </c>
      <c r="AM110" s="17">
        <f t="shared" si="170"/>
        <v>0</v>
      </c>
      <c r="AN110" s="17">
        <f t="shared" si="171"/>
        <v>0</v>
      </c>
      <c r="AO110" s="17">
        <f t="shared" si="172"/>
        <v>0</v>
      </c>
      <c r="AP110" s="17">
        <f t="shared" si="121"/>
        <v>0</v>
      </c>
      <c r="AQ110" s="17">
        <f t="shared" si="173"/>
        <v>0</v>
      </c>
      <c r="AR110" s="17">
        <f t="shared" si="139"/>
        <v>0</v>
      </c>
      <c r="AS110" s="17">
        <f t="shared" si="174"/>
        <v>0</v>
      </c>
      <c r="AT110" s="17">
        <f t="shared" si="140"/>
        <v>0</v>
      </c>
      <c r="AU110" s="17">
        <f t="shared" si="175"/>
        <v>0</v>
      </c>
      <c r="AV110" s="72"/>
      <c r="AW110" s="17">
        <f t="shared" si="141"/>
        <v>0</v>
      </c>
      <c r="AX110" s="17">
        <f t="shared" si="176"/>
        <v>0</v>
      </c>
      <c r="AY110" s="17">
        <f t="shared" si="177"/>
        <v>0</v>
      </c>
      <c r="BA110" s="17">
        <f t="shared" si="142"/>
        <v>0</v>
      </c>
      <c r="BB110" s="17">
        <f t="shared" si="143"/>
        <v>0</v>
      </c>
      <c r="BC110" s="17">
        <f t="shared" si="178"/>
        <v>0</v>
      </c>
      <c r="BD110" s="17">
        <f t="shared" si="179"/>
        <v>0</v>
      </c>
      <c r="BE110" s="17">
        <f t="shared" si="180"/>
        <v>0</v>
      </c>
      <c r="BF110" s="17">
        <f t="shared" si="181"/>
        <v>0</v>
      </c>
      <c r="BG110" s="17">
        <f t="shared" si="144"/>
        <v>0</v>
      </c>
      <c r="BH110" s="17">
        <f t="shared" si="182"/>
        <v>0</v>
      </c>
      <c r="BI110" s="17">
        <f t="shared" si="183"/>
        <v>0</v>
      </c>
      <c r="BJ110" s="17">
        <f t="shared" si="184"/>
        <v>0</v>
      </c>
      <c r="BK110" s="17">
        <f t="shared" si="185"/>
        <v>0</v>
      </c>
    </row>
    <row r="111" spans="2:63" ht="15" customHeight="1">
      <c r="B111" s="15">
        <f t="shared" si="146"/>
        <v>103</v>
      </c>
      <c r="C111" s="15">
        <f t="shared" si="147"/>
        <v>9</v>
      </c>
      <c r="D111" s="15">
        <f t="shared" si="148"/>
        <v>0</v>
      </c>
      <c r="E111" s="15">
        <f t="shared" si="145"/>
        <v>103</v>
      </c>
      <c r="G111" s="15">
        <f>M_MultDeal!BE112+IF($B111=1,-i_transfee*i_maxequity,0)</f>
        <v>0</v>
      </c>
      <c r="H111" s="15">
        <f>M_MultDeal!AO112</f>
        <v>0</v>
      </c>
      <c r="I111" s="15">
        <f t="shared" si="135"/>
        <v>0</v>
      </c>
      <c r="K111" s="15">
        <f t="shared" si="149"/>
        <v>0</v>
      </c>
      <c r="L111" s="15">
        <f t="shared" si="150"/>
        <v>0</v>
      </c>
      <c r="M111" s="15">
        <f t="shared" si="151"/>
        <v>0</v>
      </c>
      <c r="N111" s="15">
        <f t="shared" si="152"/>
        <v>0</v>
      </c>
      <c r="O111" s="15">
        <f t="shared" si="153"/>
        <v>0</v>
      </c>
      <c r="P111" s="15">
        <f t="shared" si="154"/>
        <v>0</v>
      </c>
      <c r="R111" s="15">
        <f t="shared" si="155"/>
        <v>0</v>
      </c>
      <c r="S111" s="15">
        <f t="shared" si="156"/>
        <v>0</v>
      </c>
      <c r="T111" s="15">
        <f t="shared" si="157"/>
        <v>0</v>
      </c>
      <c r="U111" s="15">
        <f t="shared" si="158"/>
        <v>0</v>
      </c>
      <c r="V111" s="15">
        <f t="shared" si="159"/>
        <v>581731349.57980943</v>
      </c>
      <c r="W111" s="15">
        <f t="shared" si="136"/>
        <v>-581731349.57980943</v>
      </c>
      <c r="X111" s="15">
        <f t="shared" si="160"/>
        <v>0</v>
      </c>
      <c r="Y111" s="15">
        <f t="shared" si="137"/>
        <v>10438137242.20623</v>
      </c>
      <c r="Z111" s="15">
        <f t="shared" si="161"/>
        <v>0</v>
      </c>
      <c r="AA111" s="72"/>
      <c r="AB111" s="15">
        <f t="shared" si="138"/>
        <v>0</v>
      </c>
      <c r="AC111" s="15">
        <f t="shared" si="162"/>
        <v>0</v>
      </c>
      <c r="AD111" s="15">
        <f t="shared" si="163"/>
        <v>0</v>
      </c>
      <c r="AF111" s="15">
        <f t="shared" si="164"/>
        <v>0</v>
      </c>
      <c r="AG111" s="15">
        <f t="shared" si="165"/>
        <v>0</v>
      </c>
      <c r="AH111" s="15">
        <f t="shared" si="166"/>
        <v>0</v>
      </c>
      <c r="AI111" s="15">
        <f t="shared" si="167"/>
        <v>0</v>
      </c>
      <c r="AJ111" s="15">
        <f t="shared" si="168"/>
        <v>0</v>
      </c>
      <c r="AK111" s="15">
        <f t="shared" si="169"/>
        <v>0</v>
      </c>
      <c r="AM111" s="15">
        <f t="shared" si="170"/>
        <v>0</v>
      </c>
      <c r="AN111" s="15">
        <f t="shared" si="171"/>
        <v>0</v>
      </c>
      <c r="AO111" s="15">
        <f t="shared" si="172"/>
        <v>0</v>
      </c>
      <c r="AP111" s="15">
        <f t="shared" si="121"/>
        <v>0</v>
      </c>
      <c r="AQ111" s="15">
        <f t="shared" si="173"/>
        <v>0</v>
      </c>
      <c r="AR111" s="15">
        <f t="shared" si="139"/>
        <v>0</v>
      </c>
      <c r="AS111" s="15">
        <f t="shared" si="174"/>
        <v>0</v>
      </c>
      <c r="AT111" s="15">
        <f t="shared" si="140"/>
        <v>0</v>
      </c>
      <c r="AU111" s="15">
        <f t="shared" si="175"/>
        <v>0</v>
      </c>
      <c r="AV111" s="72"/>
      <c r="AW111" s="15">
        <f t="shared" si="141"/>
        <v>0</v>
      </c>
      <c r="AX111" s="15">
        <f t="shared" si="176"/>
        <v>0</v>
      </c>
      <c r="AY111" s="15">
        <f t="shared" si="177"/>
        <v>0</v>
      </c>
      <c r="BA111" s="15">
        <f t="shared" si="142"/>
        <v>0</v>
      </c>
      <c r="BB111" s="15">
        <f t="shared" si="143"/>
        <v>0</v>
      </c>
      <c r="BC111" s="15">
        <f t="shared" si="178"/>
        <v>0</v>
      </c>
      <c r="BD111" s="15">
        <f t="shared" si="179"/>
        <v>0</v>
      </c>
      <c r="BE111" s="15">
        <f t="shared" si="180"/>
        <v>0</v>
      </c>
      <c r="BF111" s="15">
        <f t="shared" si="181"/>
        <v>0</v>
      </c>
      <c r="BG111" s="15">
        <f t="shared" si="144"/>
        <v>0</v>
      </c>
      <c r="BH111" s="15">
        <f t="shared" si="182"/>
        <v>0</v>
      </c>
      <c r="BI111" s="15">
        <f t="shared" si="183"/>
        <v>0</v>
      </c>
      <c r="BJ111" s="15">
        <f t="shared" si="184"/>
        <v>0</v>
      </c>
      <c r="BK111" s="15">
        <f t="shared" si="185"/>
        <v>0</v>
      </c>
    </row>
    <row r="112" spans="2:63" ht="15" customHeight="1">
      <c r="B112" s="16">
        <f t="shared" si="146"/>
        <v>104</v>
      </c>
      <c r="C112" s="16">
        <f t="shared" si="147"/>
        <v>9</v>
      </c>
      <c r="D112" s="16">
        <f t="shared" si="148"/>
        <v>0</v>
      </c>
      <c r="E112" s="16">
        <f t="shared" si="145"/>
        <v>104</v>
      </c>
      <c r="G112" s="16">
        <f>M_MultDeal!BE113+IF($B112=1,-i_transfee*i_maxequity,0)</f>
        <v>0</v>
      </c>
      <c r="H112" s="16">
        <f>M_MultDeal!AO113</f>
        <v>0</v>
      </c>
      <c r="I112" s="16">
        <f t="shared" si="135"/>
        <v>0</v>
      </c>
      <c r="K112" s="16">
        <f t="shared" si="149"/>
        <v>0</v>
      </c>
      <c r="L112" s="16">
        <f t="shared" si="150"/>
        <v>0</v>
      </c>
      <c r="M112" s="16">
        <f t="shared" si="151"/>
        <v>0</v>
      </c>
      <c r="N112" s="16">
        <f t="shared" si="152"/>
        <v>0</v>
      </c>
      <c r="O112" s="16">
        <f t="shared" si="153"/>
        <v>0</v>
      </c>
      <c r="P112" s="16">
        <f t="shared" si="154"/>
        <v>0</v>
      </c>
      <c r="R112" s="16">
        <f t="shared" si="155"/>
        <v>0</v>
      </c>
      <c r="S112" s="16">
        <f t="shared" si="156"/>
        <v>0</v>
      </c>
      <c r="T112" s="16">
        <f t="shared" si="157"/>
        <v>0</v>
      </c>
      <c r="U112" s="16">
        <f t="shared" si="158"/>
        <v>0</v>
      </c>
      <c r="V112" s="16">
        <f t="shared" si="159"/>
        <v>616065504.115502</v>
      </c>
      <c r="W112" s="16">
        <f t="shared" si="136"/>
        <v>-616065504.115502</v>
      </c>
      <c r="X112" s="16">
        <f t="shared" si="160"/>
        <v>0</v>
      </c>
      <c r="Y112" s="16">
        <f t="shared" si="137"/>
        <v>11054202746.321732</v>
      </c>
      <c r="Z112" s="16">
        <f t="shared" si="161"/>
        <v>0</v>
      </c>
      <c r="AA112" s="72"/>
      <c r="AB112" s="16">
        <f t="shared" si="138"/>
        <v>0</v>
      </c>
      <c r="AC112" s="16">
        <f t="shared" si="162"/>
        <v>0</v>
      </c>
      <c r="AD112" s="16">
        <f t="shared" si="163"/>
        <v>0</v>
      </c>
      <c r="AF112" s="15">
        <f t="shared" si="164"/>
        <v>0</v>
      </c>
      <c r="AG112" s="16">
        <f t="shared" si="165"/>
        <v>0</v>
      </c>
      <c r="AH112" s="16">
        <f t="shared" si="166"/>
        <v>0</v>
      </c>
      <c r="AI112" s="16">
        <f t="shared" si="167"/>
        <v>0</v>
      </c>
      <c r="AJ112" s="16">
        <f t="shared" si="168"/>
        <v>0</v>
      </c>
      <c r="AK112" s="16">
        <f t="shared" si="169"/>
        <v>0</v>
      </c>
      <c r="AM112" s="16">
        <f t="shared" si="170"/>
        <v>0</v>
      </c>
      <c r="AN112" s="16">
        <f t="shared" si="171"/>
        <v>0</v>
      </c>
      <c r="AO112" s="16">
        <f t="shared" si="172"/>
        <v>0</v>
      </c>
      <c r="AP112" s="16">
        <f t="shared" si="121"/>
        <v>0</v>
      </c>
      <c r="AQ112" s="16">
        <f t="shared" si="173"/>
        <v>0</v>
      </c>
      <c r="AR112" s="16">
        <f t="shared" si="139"/>
        <v>0</v>
      </c>
      <c r="AS112" s="16">
        <f t="shared" si="174"/>
        <v>0</v>
      </c>
      <c r="AT112" s="16">
        <f t="shared" si="140"/>
        <v>0</v>
      </c>
      <c r="AU112" s="16">
        <f t="shared" si="175"/>
        <v>0</v>
      </c>
      <c r="AV112" s="72"/>
      <c r="AW112" s="16">
        <f t="shared" si="141"/>
        <v>0</v>
      </c>
      <c r="AX112" s="16">
        <f t="shared" si="176"/>
        <v>0</v>
      </c>
      <c r="AY112" s="16">
        <f t="shared" si="177"/>
        <v>0</v>
      </c>
      <c r="BA112" s="16">
        <f t="shared" si="142"/>
        <v>0</v>
      </c>
      <c r="BB112" s="16">
        <f t="shared" si="143"/>
        <v>0</v>
      </c>
      <c r="BC112" s="16">
        <f t="shared" si="178"/>
        <v>0</v>
      </c>
      <c r="BD112" s="16">
        <f t="shared" si="179"/>
        <v>0</v>
      </c>
      <c r="BE112" s="16">
        <f t="shared" si="180"/>
        <v>0</v>
      </c>
      <c r="BF112" s="16">
        <f t="shared" si="181"/>
        <v>0</v>
      </c>
      <c r="BG112" s="16">
        <f t="shared" si="144"/>
        <v>0</v>
      </c>
      <c r="BH112" s="16">
        <f t="shared" si="182"/>
        <v>0</v>
      </c>
      <c r="BI112" s="16">
        <f t="shared" si="183"/>
        <v>0</v>
      </c>
      <c r="BJ112" s="16">
        <f t="shared" si="184"/>
        <v>0</v>
      </c>
      <c r="BK112" s="16">
        <f t="shared" si="185"/>
        <v>0</v>
      </c>
    </row>
    <row r="113" spans="2:63" ht="15" customHeight="1">
      <c r="B113" s="17">
        <f t="shared" si="146"/>
        <v>105</v>
      </c>
      <c r="C113" s="17">
        <f t="shared" si="147"/>
        <v>9</v>
      </c>
      <c r="D113" s="17">
        <f t="shared" si="148"/>
        <v>0</v>
      </c>
      <c r="E113" s="17">
        <f t="shared" si="145"/>
        <v>105</v>
      </c>
      <c r="G113" s="17">
        <f>M_MultDeal!BE114+IF($B113=1,-i_transfee*i_maxequity,0)</f>
        <v>0</v>
      </c>
      <c r="H113" s="17">
        <f>M_MultDeal!AO114</f>
        <v>0</v>
      </c>
      <c r="I113" s="17">
        <f t="shared" si="135"/>
        <v>0</v>
      </c>
      <c r="K113" s="17">
        <f t="shared" si="149"/>
        <v>0</v>
      </c>
      <c r="L113" s="17">
        <f t="shared" si="150"/>
        <v>0</v>
      </c>
      <c r="M113" s="17">
        <f t="shared" si="151"/>
        <v>0</v>
      </c>
      <c r="N113" s="17">
        <f t="shared" si="152"/>
        <v>0</v>
      </c>
      <c r="O113" s="17">
        <f t="shared" si="153"/>
        <v>0</v>
      </c>
      <c r="P113" s="17">
        <f t="shared" si="154"/>
        <v>0</v>
      </c>
      <c r="R113" s="17">
        <f t="shared" si="155"/>
        <v>0</v>
      </c>
      <c r="S113" s="17">
        <f t="shared" si="156"/>
        <v>0</v>
      </c>
      <c r="T113" s="17">
        <f t="shared" si="157"/>
        <v>0</v>
      </c>
      <c r="U113" s="17">
        <f t="shared" si="158"/>
        <v>0</v>
      </c>
      <c r="V113" s="17">
        <f t="shared" si="159"/>
        <v>652426082.30625856</v>
      </c>
      <c r="W113" s="17">
        <f t="shared" si="136"/>
        <v>-652426082.30625856</v>
      </c>
      <c r="X113" s="17">
        <f t="shared" si="160"/>
        <v>0</v>
      </c>
      <c r="Y113" s="17">
        <f t="shared" si="137"/>
        <v>11706628828.627991</v>
      </c>
      <c r="Z113" s="17">
        <f t="shared" si="161"/>
        <v>0</v>
      </c>
      <c r="AA113" s="72"/>
      <c r="AB113" s="17">
        <f t="shared" si="138"/>
        <v>0</v>
      </c>
      <c r="AC113" s="17">
        <f t="shared" si="162"/>
        <v>0</v>
      </c>
      <c r="AD113" s="17">
        <f t="shared" si="163"/>
        <v>0</v>
      </c>
      <c r="AF113" s="15">
        <f t="shared" si="164"/>
        <v>0</v>
      </c>
      <c r="AG113" s="17">
        <f t="shared" si="165"/>
        <v>0</v>
      </c>
      <c r="AH113" s="17">
        <f t="shared" si="166"/>
        <v>0</v>
      </c>
      <c r="AI113" s="17">
        <f t="shared" si="167"/>
        <v>0</v>
      </c>
      <c r="AJ113" s="17">
        <f t="shared" si="168"/>
        <v>0</v>
      </c>
      <c r="AK113" s="17">
        <f t="shared" si="169"/>
        <v>0</v>
      </c>
      <c r="AM113" s="17">
        <f t="shared" si="170"/>
        <v>0</v>
      </c>
      <c r="AN113" s="17">
        <f t="shared" si="171"/>
        <v>0</v>
      </c>
      <c r="AO113" s="17">
        <f t="shared" si="172"/>
        <v>0</v>
      </c>
      <c r="AP113" s="17">
        <f t="shared" si="121"/>
        <v>0</v>
      </c>
      <c r="AQ113" s="17">
        <f t="shared" si="173"/>
        <v>0</v>
      </c>
      <c r="AR113" s="17">
        <f t="shared" si="139"/>
        <v>0</v>
      </c>
      <c r="AS113" s="17">
        <f t="shared" si="174"/>
        <v>0</v>
      </c>
      <c r="AT113" s="17">
        <f t="shared" si="140"/>
        <v>0</v>
      </c>
      <c r="AU113" s="17">
        <f t="shared" si="175"/>
        <v>0</v>
      </c>
      <c r="AV113" s="72"/>
      <c r="AW113" s="17">
        <f t="shared" si="141"/>
        <v>0</v>
      </c>
      <c r="AX113" s="17">
        <f t="shared" si="176"/>
        <v>0</v>
      </c>
      <c r="AY113" s="17">
        <f t="shared" si="177"/>
        <v>0</v>
      </c>
      <c r="BA113" s="17">
        <f t="shared" si="142"/>
        <v>0</v>
      </c>
      <c r="BB113" s="17">
        <f t="shared" si="143"/>
        <v>0</v>
      </c>
      <c r="BC113" s="17">
        <f t="shared" si="178"/>
        <v>0</v>
      </c>
      <c r="BD113" s="17">
        <f t="shared" si="179"/>
        <v>0</v>
      </c>
      <c r="BE113" s="17">
        <f t="shared" si="180"/>
        <v>0</v>
      </c>
      <c r="BF113" s="17">
        <f t="shared" si="181"/>
        <v>0</v>
      </c>
      <c r="BG113" s="17">
        <f t="shared" si="144"/>
        <v>0</v>
      </c>
      <c r="BH113" s="17">
        <f t="shared" si="182"/>
        <v>0</v>
      </c>
      <c r="BI113" s="17">
        <f t="shared" si="183"/>
        <v>0</v>
      </c>
      <c r="BJ113" s="17">
        <f t="shared" si="184"/>
        <v>0</v>
      </c>
      <c r="BK113" s="17">
        <f t="shared" si="185"/>
        <v>0</v>
      </c>
    </row>
    <row r="114" spans="2:63" ht="15" customHeight="1">
      <c r="B114" s="15">
        <f t="shared" si="146"/>
        <v>106</v>
      </c>
      <c r="C114" s="15">
        <f t="shared" si="147"/>
        <v>9</v>
      </c>
      <c r="D114" s="15">
        <f t="shared" si="148"/>
        <v>0</v>
      </c>
      <c r="E114" s="15">
        <f t="shared" si="145"/>
        <v>106</v>
      </c>
      <c r="G114" s="15">
        <f>M_MultDeal!BE115+IF($B114=1,-i_transfee*i_maxequity,0)</f>
        <v>0</v>
      </c>
      <c r="H114" s="15">
        <f>M_MultDeal!AO115</f>
        <v>0</v>
      </c>
      <c r="I114" s="15">
        <f t="shared" si="135"/>
        <v>0</v>
      </c>
      <c r="K114" s="15">
        <f t="shared" si="149"/>
        <v>0</v>
      </c>
      <c r="L114" s="15">
        <f t="shared" si="150"/>
        <v>0</v>
      </c>
      <c r="M114" s="15">
        <f t="shared" si="151"/>
        <v>0</v>
      </c>
      <c r="N114" s="15">
        <f t="shared" si="152"/>
        <v>0</v>
      </c>
      <c r="O114" s="15">
        <f t="shared" si="153"/>
        <v>0</v>
      </c>
      <c r="P114" s="15">
        <f t="shared" si="154"/>
        <v>0</v>
      </c>
      <c r="R114" s="15">
        <f t="shared" si="155"/>
        <v>0</v>
      </c>
      <c r="S114" s="15">
        <f t="shared" si="156"/>
        <v>0</v>
      </c>
      <c r="T114" s="15">
        <f t="shared" si="157"/>
        <v>0</v>
      </c>
      <c r="U114" s="15">
        <f t="shared" si="158"/>
        <v>0</v>
      </c>
      <c r="V114" s="15">
        <f t="shared" si="159"/>
        <v>690932684.96605957</v>
      </c>
      <c r="W114" s="15">
        <f t="shared" si="136"/>
        <v>-690932684.96605957</v>
      </c>
      <c r="X114" s="15">
        <f t="shared" si="160"/>
        <v>0</v>
      </c>
      <c r="Y114" s="15">
        <f t="shared" si="137"/>
        <v>12397561513.594049</v>
      </c>
      <c r="Z114" s="15">
        <f t="shared" si="161"/>
        <v>0</v>
      </c>
      <c r="AA114" s="72"/>
      <c r="AB114" s="15">
        <f t="shared" si="138"/>
        <v>0</v>
      </c>
      <c r="AC114" s="15">
        <f t="shared" si="162"/>
        <v>0</v>
      </c>
      <c r="AD114" s="15">
        <f t="shared" si="163"/>
        <v>0</v>
      </c>
      <c r="AF114" s="15">
        <f t="shared" si="164"/>
        <v>0</v>
      </c>
      <c r="AG114" s="15">
        <f t="shared" si="165"/>
        <v>0</v>
      </c>
      <c r="AH114" s="15">
        <f t="shared" si="166"/>
        <v>0</v>
      </c>
      <c r="AI114" s="15">
        <f t="shared" si="167"/>
        <v>0</v>
      </c>
      <c r="AJ114" s="15">
        <f t="shared" si="168"/>
        <v>0</v>
      </c>
      <c r="AK114" s="15">
        <f t="shared" si="169"/>
        <v>0</v>
      </c>
      <c r="AM114" s="15">
        <f t="shared" si="170"/>
        <v>0</v>
      </c>
      <c r="AN114" s="15">
        <f t="shared" si="171"/>
        <v>0</v>
      </c>
      <c r="AO114" s="15">
        <f t="shared" si="172"/>
        <v>0</v>
      </c>
      <c r="AP114" s="15">
        <f t="shared" si="121"/>
        <v>0</v>
      </c>
      <c r="AQ114" s="15">
        <f t="shared" si="173"/>
        <v>0</v>
      </c>
      <c r="AR114" s="15">
        <f t="shared" si="139"/>
        <v>0</v>
      </c>
      <c r="AS114" s="15">
        <f t="shared" si="174"/>
        <v>0</v>
      </c>
      <c r="AT114" s="15">
        <f t="shared" si="140"/>
        <v>0</v>
      </c>
      <c r="AU114" s="15">
        <f t="shared" si="175"/>
        <v>0</v>
      </c>
      <c r="AV114" s="72"/>
      <c r="AW114" s="15">
        <f t="shared" si="141"/>
        <v>0</v>
      </c>
      <c r="AX114" s="15">
        <f t="shared" si="176"/>
        <v>0</v>
      </c>
      <c r="AY114" s="15">
        <f t="shared" si="177"/>
        <v>0</v>
      </c>
      <c r="BA114" s="15">
        <f t="shared" si="142"/>
        <v>0</v>
      </c>
      <c r="BB114" s="15">
        <f t="shared" si="143"/>
        <v>0</v>
      </c>
      <c r="BC114" s="15">
        <f t="shared" si="178"/>
        <v>0</v>
      </c>
      <c r="BD114" s="15">
        <f t="shared" si="179"/>
        <v>0</v>
      </c>
      <c r="BE114" s="15">
        <f t="shared" si="180"/>
        <v>0</v>
      </c>
      <c r="BF114" s="15">
        <f t="shared" si="181"/>
        <v>0</v>
      </c>
      <c r="BG114" s="15">
        <f t="shared" si="144"/>
        <v>0</v>
      </c>
      <c r="BH114" s="15">
        <f t="shared" si="182"/>
        <v>0</v>
      </c>
      <c r="BI114" s="15">
        <f t="shared" si="183"/>
        <v>0</v>
      </c>
      <c r="BJ114" s="15">
        <f t="shared" si="184"/>
        <v>0</v>
      </c>
      <c r="BK114" s="15">
        <f t="shared" si="185"/>
        <v>0</v>
      </c>
    </row>
    <row r="115" spans="2:63" ht="15" customHeight="1">
      <c r="B115" s="16">
        <f t="shared" si="146"/>
        <v>107</v>
      </c>
      <c r="C115" s="16">
        <f t="shared" si="147"/>
        <v>9</v>
      </c>
      <c r="D115" s="16">
        <f t="shared" si="148"/>
        <v>0</v>
      </c>
      <c r="E115" s="16">
        <f t="shared" si="145"/>
        <v>107</v>
      </c>
      <c r="G115" s="16">
        <f>M_MultDeal!BE116+IF($B115=1,-i_transfee*i_maxequity,0)</f>
        <v>0</v>
      </c>
      <c r="H115" s="16">
        <f>M_MultDeal!AO116</f>
        <v>0</v>
      </c>
      <c r="I115" s="16">
        <f t="shared" si="135"/>
        <v>0</v>
      </c>
      <c r="K115" s="16">
        <f t="shared" si="149"/>
        <v>0</v>
      </c>
      <c r="L115" s="16">
        <f t="shared" si="150"/>
        <v>0</v>
      </c>
      <c r="M115" s="16">
        <f t="shared" si="151"/>
        <v>0</v>
      </c>
      <c r="N115" s="16">
        <f t="shared" si="152"/>
        <v>0</v>
      </c>
      <c r="O115" s="16">
        <f t="shared" si="153"/>
        <v>0</v>
      </c>
      <c r="P115" s="16">
        <f t="shared" si="154"/>
        <v>0</v>
      </c>
      <c r="R115" s="16">
        <f t="shared" si="155"/>
        <v>0</v>
      </c>
      <c r="S115" s="16">
        <f t="shared" si="156"/>
        <v>0</v>
      </c>
      <c r="T115" s="16">
        <f t="shared" si="157"/>
        <v>0</v>
      </c>
      <c r="U115" s="16">
        <f t="shared" si="158"/>
        <v>0</v>
      </c>
      <c r="V115" s="16">
        <f t="shared" si="159"/>
        <v>731711971.82505512</v>
      </c>
      <c r="W115" s="16">
        <f t="shared" si="136"/>
        <v>-731711971.82505512</v>
      </c>
      <c r="X115" s="16">
        <f t="shared" si="160"/>
        <v>0</v>
      </c>
      <c r="Y115" s="16">
        <f t="shared" si="137"/>
        <v>13129273485.419106</v>
      </c>
      <c r="Z115" s="16">
        <f t="shared" si="161"/>
        <v>0</v>
      </c>
      <c r="AA115" s="72"/>
      <c r="AB115" s="16">
        <f t="shared" si="138"/>
        <v>0</v>
      </c>
      <c r="AC115" s="16">
        <f t="shared" si="162"/>
        <v>0</v>
      </c>
      <c r="AD115" s="16">
        <f t="shared" si="163"/>
        <v>0</v>
      </c>
      <c r="AF115" s="15">
        <f t="shared" si="164"/>
        <v>0</v>
      </c>
      <c r="AG115" s="16">
        <f t="shared" si="165"/>
        <v>0</v>
      </c>
      <c r="AH115" s="16">
        <f t="shared" si="166"/>
        <v>0</v>
      </c>
      <c r="AI115" s="16">
        <f t="shared" si="167"/>
        <v>0</v>
      </c>
      <c r="AJ115" s="16">
        <f t="shared" si="168"/>
        <v>0</v>
      </c>
      <c r="AK115" s="16">
        <f t="shared" si="169"/>
        <v>0</v>
      </c>
      <c r="AM115" s="16">
        <f t="shared" si="170"/>
        <v>0</v>
      </c>
      <c r="AN115" s="16">
        <f t="shared" si="171"/>
        <v>0</v>
      </c>
      <c r="AO115" s="16">
        <f t="shared" si="172"/>
        <v>0</v>
      </c>
      <c r="AP115" s="16">
        <f t="shared" si="121"/>
        <v>0</v>
      </c>
      <c r="AQ115" s="16">
        <f t="shared" si="173"/>
        <v>0</v>
      </c>
      <c r="AR115" s="16">
        <f t="shared" si="139"/>
        <v>0</v>
      </c>
      <c r="AS115" s="16">
        <f t="shared" si="174"/>
        <v>0</v>
      </c>
      <c r="AT115" s="16">
        <f t="shared" si="140"/>
        <v>0</v>
      </c>
      <c r="AU115" s="16">
        <f t="shared" si="175"/>
        <v>0</v>
      </c>
      <c r="AV115" s="72"/>
      <c r="AW115" s="16">
        <f t="shared" si="141"/>
        <v>0</v>
      </c>
      <c r="AX115" s="16">
        <f t="shared" si="176"/>
        <v>0</v>
      </c>
      <c r="AY115" s="16">
        <f t="shared" si="177"/>
        <v>0</v>
      </c>
      <c r="BA115" s="16">
        <f t="shared" si="142"/>
        <v>0</v>
      </c>
      <c r="BB115" s="16">
        <f t="shared" si="143"/>
        <v>0</v>
      </c>
      <c r="BC115" s="16">
        <f t="shared" si="178"/>
        <v>0</v>
      </c>
      <c r="BD115" s="16">
        <f t="shared" si="179"/>
        <v>0</v>
      </c>
      <c r="BE115" s="16">
        <f t="shared" si="180"/>
        <v>0</v>
      </c>
      <c r="BF115" s="16">
        <f t="shared" si="181"/>
        <v>0</v>
      </c>
      <c r="BG115" s="16">
        <f t="shared" si="144"/>
        <v>0</v>
      </c>
      <c r="BH115" s="16">
        <f t="shared" si="182"/>
        <v>0</v>
      </c>
      <c r="BI115" s="16">
        <f t="shared" si="183"/>
        <v>0</v>
      </c>
      <c r="BJ115" s="16">
        <f t="shared" si="184"/>
        <v>0</v>
      </c>
      <c r="BK115" s="16">
        <f t="shared" si="185"/>
        <v>0</v>
      </c>
    </row>
    <row r="116" spans="2:63" ht="15" customHeight="1" thickBot="1">
      <c r="B116" s="18">
        <f t="shared" si="146"/>
        <v>108</v>
      </c>
      <c r="C116" s="18">
        <f t="shared" si="147"/>
        <v>9</v>
      </c>
      <c r="D116" s="18">
        <f t="shared" si="148"/>
        <v>0</v>
      </c>
      <c r="E116" s="18">
        <f t="shared" si="145"/>
        <v>108</v>
      </c>
      <c r="G116" s="18">
        <f>M_MultDeal!BE117+IF($B116=1,-i_transfee*i_maxequity,0)</f>
        <v>0</v>
      </c>
      <c r="H116" s="18">
        <f>M_MultDeal!AO117</f>
        <v>0</v>
      </c>
      <c r="I116" s="18">
        <f t="shared" si="135"/>
        <v>0</v>
      </c>
      <c r="K116" s="18">
        <f t="shared" si="149"/>
        <v>0</v>
      </c>
      <c r="L116" s="18">
        <f t="shared" si="150"/>
        <v>0</v>
      </c>
      <c r="M116" s="18">
        <f t="shared" si="151"/>
        <v>0</v>
      </c>
      <c r="N116" s="18">
        <f t="shared" si="152"/>
        <v>0</v>
      </c>
      <c r="O116" s="18">
        <f t="shared" si="153"/>
        <v>0</v>
      </c>
      <c r="P116" s="18">
        <f t="shared" si="154"/>
        <v>0</v>
      </c>
      <c r="R116" s="18">
        <f t="shared" si="155"/>
        <v>0</v>
      </c>
      <c r="S116" s="18">
        <f t="shared" si="156"/>
        <v>0</v>
      </c>
      <c r="T116" s="18">
        <f t="shared" si="157"/>
        <v>0</v>
      </c>
      <c r="U116" s="18">
        <f t="shared" si="158"/>
        <v>0</v>
      </c>
      <c r="V116" s="18">
        <f t="shared" si="159"/>
        <v>774898078.15129006</v>
      </c>
      <c r="W116" s="18">
        <f t="shared" si="136"/>
        <v>-774898078.15129006</v>
      </c>
      <c r="X116" s="18">
        <f t="shared" si="160"/>
        <v>0</v>
      </c>
      <c r="Y116" s="18">
        <f t="shared" si="137"/>
        <v>13904171563.570396</v>
      </c>
      <c r="Z116" s="18">
        <f t="shared" si="161"/>
        <v>0</v>
      </c>
      <c r="AA116" s="72"/>
      <c r="AB116" s="18">
        <f t="shared" si="138"/>
        <v>0</v>
      </c>
      <c r="AC116" s="18">
        <f t="shared" si="162"/>
        <v>0</v>
      </c>
      <c r="AD116" s="18">
        <f t="shared" si="163"/>
        <v>0</v>
      </c>
      <c r="AF116" s="15">
        <f t="shared" si="164"/>
        <v>0</v>
      </c>
      <c r="AG116" s="18">
        <f t="shared" si="165"/>
        <v>0</v>
      </c>
      <c r="AH116" s="18">
        <f t="shared" si="166"/>
        <v>0</v>
      </c>
      <c r="AI116" s="18">
        <f t="shared" si="167"/>
        <v>0</v>
      </c>
      <c r="AJ116" s="18">
        <f t="shared" si="168"/>
        <v>0</v>
      </c>
      <c r="AK116" s="18">
        <f t="shared" si="169"/>
        <v>0</v>
      </c>
      <c r="AM116" s="18">
        <f t="shared" si="170"/>
        <v>0</v>
      </c>
      <c r="AN116" s="18">
        <f t="shared" si="171"/>
        <v>0</v>
      </c>
      <c r="AO116" s="18">
        <f t="shared" si="172"/>
        <v>0</v>
      </c>
      <c r="AP116" s="18">
        <f t="shared" si="121"/>
        <v>0</v>
      </c>
      <c r="AQ116" s="18">
        <f t="shared" si="173"/>
        <v>0</v>
      </c>
      <c r="AR116" s="18">
        <f t="shared" si="139"/>
        <v>0</v>
      </c>
      <c r="AS116" s="18">
        <f t="shared" si="174"/>
        <v>0</v>
      </c>
      <c r="AT116" s="18">
        <f t="shared" si="140"/>
        <v>0</v>
      </c>
      <c r="AU116" s="18">
        <f t="shared" si="175"/>
        <v>0</v>
      </c>
      <c r="AV116" s="72"/>
      <c r="AW116" s="18">
        <f t="shared" si="141"/>
        <v>0</v>
      </c>
      <c r="AX116" s="18">
        <f t="shared" si="176"/>
        <v>0</v>
      </c>
      <c r="AY116" s="18">
        <f t="shared" si="177"/>
        <v>0</v>
      </c>
      <c r="BA116" s="18">
        <f t="shared" si="142"/>
        <v>0</v>
      </c>
      <c r="BB116" s="18">
        <f t="shared" si="143"/>
        <v>0</v>
      </c>
      <c r="BC116" s="18">
        <f t="shared" si="178"/>
        <v>0</v>
      </c>
      <c r="BD116" s="18">
        <f t="shared" si="179"/>
        <v>0</v>
      </c>
      <c r="BE116" s="18">
        <f t="shared" si="180"/>
        <v>0</v>
      </c>
      <c r="BF116" s="18">
        <f t="shared" si="181"/>
        <v>0</v>
      </c>
      <c r="BG116" s="18">
        <f t="shared" si="144"/>
        <v>0</v>
      </c>
      <c r="BH116" s="18">
        <f t="shared" si="182"/>
        <v>0</v>
      </c>
      <c r="BI116" s="18">
        <f t="shared" si="183"/>
        <v>0</v>
      </c>
      <c r="BJ116" s="18">
        <f t="shared" si="184"/>
        <v>0</v>
      </c>
      <c r="BK116" s="18">
        <f t="shared" si="185"/>
        <v>0</v>
      </c>
    </row>
    <row r="117" spans="2:63" ht="15" customHeight="1">
      <c r="B117" s="20" t="s">
        <v>327</v>
      </c>
      <c r="C117" s="20" t="s">
        <v>327</v>
      </c>
      <c r="D117" s="32">
        <f>SUM(D9:D116)</f>
        <v>49</v>
      </c>
      <c r="E117" s="23" t="s">
        <v>324</v>
      </c>
      <c r="G117" s="32">
        <f>SUM(G9:G116)</f>
        <v>19527194.323559951</v>
      </c>
      <c r="H117" s="32">
        <f>SUM(H9:H116)</f>
        <v>1499999.9999999998</v>
      </c>
      <c r="I117" s="32">
        <f>SUM(I9:I116)</f>
        <v>18027194.323559932</v>
      </c>
      <c r="K117" s="32">
        <f>SUM(K9:K116)</f>
        <v>17666650.437088765</v>
      </c>
      <c r="L117" s="32">
        <f>SUM(L9:L116)</f>
        <v>15726909.695563303</v>
      </c>
      <c r="M117" s="32">
        <f>SUM(M9:M116)</f>
        <v>0</v>
      </c>
      <c r="N117" s="32">
        <f>SUM(N9:N116)</f>
        <v>15726909.695563324</v>
      </c>
      <c r="O117" s="23" t="s">
        <v>324</v>
      </c>
      <c r="P117" s="32">
        <f>SUM(P9:P116)</f>
        <v>0</v>
      </c>
      <c r="R117" s="32">
        <f>SUM(R9:R116)</f>
        <v>1939740.741525443</v>
      </c>
      <c r="S117" s="23" t="s">
        <v>324</v>
      </c>
      <c r="T117" s="32">
        <f>SUM(T9:T116)</f>
        <v>0</v>
      </c>
      <c r="U117" s="32">
        <f>SUM(U9:U116)</f>
        <v>1939740.741525443</v>
      </c>
      <c r="V117" s="32">
        <f>SUM(V9:V116)</f>
        <v>13920868343.636723</v>
      </c>
      <c r="W117" s="32">
        <f>SUM(W9:W116)</f>
        <v>-13904171563.570396</v>
      </c>
      <c r="X117" s="32">
        <f>SUM(X9:X116)</f>
        <v>969870.37076272152</v>
      </c>
      <c r="Y117" s="23" t="s">
        <v>324</v>
      </c>
      <c r="Z117" s="32">
        <f>SUM(Z9:Z116)</f>
        <v>969870.37076272152</v>
      </c>
      <c r="AB117" s="32">
        <f>SUM(AB9:AB116)</f>
        <v>0</v>
      </c>
      <c r="AC117" s="32">
        <f>SUM(AC9:AC116)</f>
        <v>0</v>
      </c>
      <c r="AD117" s="32">
        <f>SUM(AD9:AD116)</f>
        <v>0</v>
      </c>
      <c r="AF117" s="32">
        <f>SUM(AF9:AF116)</f>
        <v>360543.8864711991</v>
      </c>
      <c r="AG117" s="32">
        <f>SUM(AG9:AG116)</f>
        <v>320957.34072578169</v>
      </c>
      <c r="AH117" s="32">
        <f>SUM(AH9:AH116)</f>
        <v>0</v>
      </c>
      <c r="AI117" s="32">
        <f>SUM(AI9:AI116)</f>
        <v>320957.34072578221</v>
      </c>
      <c r="AJ117" s="23" t="s">
        <v>324</v>
      </c>
      <c r="AK117" s="32">
        <f>SUM(AK9:AK116)</f>
        <v>0</v>
      </c>
      <c r="AM117" s="32">
        <f>SUM(AM9:AM116)</f>
        <v>39586.545745416915</v>
      </c>
      <c r="AN117" s="23" t="s">
        <v>324</v>
      </c>
      <c r="AO117" s="32">
        <f>SUM(AO9:AO116)</f>
        <v>0</v>
      </c>
      <c r="AP117" s="32">
        <f>SUM(AP9:AP116)</f>
        <v>39586.545745416915</v>
      </c>
      <c r="AQ117" s="32">
        <f>SUM(AQ9:AQ116)</f>
        <v>320957.34072578169</v>
      </c>
      <c r="AR117" s="32">
        <f>SUM(AR9:AR116)</f>
        <v>0</v>
      </c>
      <c r="AS117" s="32">
        <f>SUM(AS9:AS116)</f>
        <v>0</v>
      </c>
      <c r="AT117" s="23" t="s">
        <v>324</v>
      </c>
      <c r="AU117" s="32">
        <f>SUM(AU9:AU116)</f>
        <v>0</v>
      </c>
      <c r="AW117" s="32">
        <f>SUM(AW9:AW116)</f>
        <v>39586.545745416915</v>
      </c>
      <c r="AX117" s="32">
        <f>SUM(AX9:AX116)</f>
        <v>39586.545745416915</v>
      </c>
      <c r="AY117" s="32">
        <f>SUM(AY9:AY116)</f>
        <v>0</v>
      </c>
      <c r="BA117" s="32">
        <f>SUM(BA9:BA116)</f>
        <v>16696780.066326044</v>
      </c>
      <c r="BB117" s="32">
        <f>SUM(BB9:BB116)</f>
        <v>360543.8864711991</v>
      </c>
      <c r="BC117" s="32">
        <f>SUM(BC9:BC116)</f>
        <v>17057323.952797204</v>
      </c>
      <c r="BD117" s="23" t="s">
        <v>324</v>
      </c>
      <c r="BE117" s="32">
        <f t="shared" ref="BE117:BK117" si="186">SUM(BE9:BE116)</f>
        <v>969870.37076272152</v>
      </c>
      <c r="BF117" s="32">
        <f t="shared" si="186"/>
        <v>0</v>
      </c>
      <c r="BG117" s="32">
        <f t="shared" si="186"/>
        <v>969870.37076272152</v>
      </c>
      <c r="BH117" s="32">
        <f t="shared" si="186"/>
        <v>749999.99999999988</v>
      </c>
      <c r="BI117" s="32">
        <f t="shared" si="186"/>
        <v>969870.37076272152</v>
      </c>
      <c r="BJ117" s="32">
        <f t="shared" si="186"/>
        <v>749999.99999999988</v>
      </c>
      <c r="BK117" s="32">
        <f t="shared" si="186"/>
        <v>0</v>
      </c>
    </row>
    <row r="118" spans="2:63" ht="15" customHeight="1"/>
    <row r="119" spans="2:63" ht="15" customHeight="1">
      <c r="B119" s="21" t="s">
        <v>208</v>
      </c>
      <c r="C119" s="21">
        <v>1</v>
      </c>
      <c r="D119" s="22">
        <f t="shared" ref="D119:D127" si="187">SUMIF($C$9:$C$116,$C119,D$9:D$116)</f>
        <v>12</v>
      </c>
      <c r="E119" s="23" t="s">
        <v>324</v>
      </c>
      <c r="G119" s="22">
        <f t="shared" ref="G119:I127" si="188">SUMIF($C$9:$C$116,$C119,G$9:G$116)</f>
        <v>-36428500.807233527</v>
      </c>
      <c r="H119" s="22">
        <f t="shared" si="188"/>
        <v>174519.28106492438</v>
      </c>
      <c r="I119" s="22">
        <f t="shared" si="188"/>
        <v>-36603020.088298462</v>
      </c>
      <c r="K119" s="22">
        <f t="shared" ref="K119:N127" si="189">SUMIF($C$9:$C$116,$C119,K$9:K$116)</f>
        <v>-35870959.68653249</v>
      </c>
      <c r="L119" s="22">
        <f t="shared" si="189"/>
        <v>1676306.6382904046</v>
      </c>
      <c r="M119" s="22">
        <f t="shared" si="189"/>
        <v>-37547266.324822895</v>
      </c>
      <c r="N119" s="22">
        <f t="shared" si="189"/>
        <v>-35870959.68653249</v>
      </c>
      <c r="O119" s="23">
        <f t="shared" ref="O119:O127" si="190">INDEX(O$8:O$116,(12*($C119))+1,0)</f>
        <v>37547266.324822895</v>
      </c>
      <c r="P119" s="22">
        <f t="shared" ref="P119:P127" si="191">SUMIF($C$9:$C$116,$C119,P$9:P$116)</f>
        <v>0</v>
      </c>
      <c r="Q119" s="72"/>
      <c r="R119" s="22">
        <f t="shared" ref="R119:R127" si="192">SUMIF($C$9:$C$116,$C119,R$9:R$116)</f>
        <v>0</v>
      </c>
      <c r="S119" s="23">
        <f t="shared" ref="S119:S127" si="193">INDEX(S$8:S$116,(12*($C119))+1,0)</f>
        <v>0</v>
      </c>
      <c r="T119" s="22">
        <f t="shared" ref="T119:X127" si="194">SUMIF($C$9:$C$116,$C119,T$9:T$116)</f>
        <v>0</v>
      </c>
      <c r="U119" s="22">
        <f t="shared" si="194"/>
        <v>0</v>
      </c>
      <c r="V119" s="22">
        <f t="shared" si="194"/>
        <v>14851511.327108033</v>
      </c>
      <c r="W119" s="22">
        <f t="shared" si="194"/>
        <v>-50722471.013640516</v>
      </c>
      <c r="X119" s="22">
        <f t="shared" si="194"/>
        <v>0</v>
      </c>
      <c r="Y119" s="23">
        <f t="shared" ref="Y119:Y127" si="195">INDEX(Y$8:Y$116,(12*($C119))+1,0)</f>
        <v>50722471.013640516</v>
      </c>
      <c r="Z119" s="22">
        <f t="shared" ref="Z119:Z127" si="196">SUMIF($C$9:$C$116,$C119,Z$9:Z$116)</f>
        <v>0</v>
      </c>
      <c r="AA119" s="72"/>
      <c r="AB119" s="22">
        <f t="shared" ref="AB119:AD127" si="197">SUMIF($C$9:$C$116,$C119,AB$9:AB$116)</f>
        <v>0</v>
      </c>
      <c r="AC119" s="22">
        <f t="shared" si="197"/>
        <v>0</v>
      </c>
      <c r="AD119" s="22">
        <f t="shared" si="197"/>
        <v>0</v>
      </c>
      <c r="AF119" s="22">
        <f t="shared" ref="AF119:AI127" si="198">SUMIF($C$9:$C$116,$C119,AF$9:AF$116)</f>
        <v>-732060.40176596912</v>
      </c>
      <c r="AG119" s="22">
        <f t="shared" si="198"/>
        <v>34210.339556947045</v>
      </c>
      <c r="AH119" s="22">
        <f t="shared" si="198"/>
        <v>-766270.74132291623</v>
      </c>
      <c r="AI119" s="22">
        <f t="shared" si="198"/>
        <v>-732060.40176596912</v>
      </c>
      <c r="AJ119" s="23">
        <f t="shared" ref="AJ119:AJ127" si="199">INDEX(AJ$8:AJ$116,(12*($C119))+1,0)</f>
        <v>766270.74132291623</v>
      </c>
      <c r="AK119" s="22">
        <f t="shared" ref="AK119:AK127" si="200">SUMIF($C$9:$C$116,$C119,AK$9:AK$116)</f>
        <v>0</v>
      </c>
      <c r="AL119" s="72"/>
      <c r="AM119" s="22">
        <f t="shared" ref="AM119:AM127" si="201">SUMIF($C$9:$C$116,$C119,AM$9:AM$116)</f>
        <v>0</v>
      </c>
      <c r="AN119" s="23">
        <f t="shared" ref="AN119:AN127" si="202">INDEX(AN$8:AN$116,(12*($C119))+1,0)</f>
        <v>0</v>
      </c>
      <c r="AO119" s="22">
        <f t="shared" ref="AO119:AS127" si="203">SUMIF($C$9:$C$116,$C119,AO$9:AO$116)</f>
        <v>0</v>
      </c>
      <c r="AP119" s="22">
        <f t="shared" si="203"/>
        <v>0</v>
      </c>
      <c r="AQ119" s="22">
        <f t="shared" si="203"/>
        <v>34210.339556947045</v>
      </c>
      <c r="AR119" s="22">
        <f t="shared" si="203"/>
        <v>-766270.74132291623</v>
      </c>
      <c r="AS119" s="22">
        <f t="shared" si="203"/>
        <v>0</v>
      </c>
      <c r="AT119" s="23">
        <f t="shared" ref="AT119:AT127" si="204">INDEX(AT$8:AT$116,(12*($C119))+1,0)</f>
        <v>766270.74132291623</v>
      </c>
      <c r="AU119" s="22">
        <f t="shared" ref="AU119:AU127" si="205">SUMIF($C$9:$C$116,$C119,AU$9:AU$116)</f>
        <v>0</v>
      </c>
      <c r="AV119" s="72"/>
      <c r="AW119" s="22">
        <f t="shared" ref="AW119:AY127" si="206">SUMIF($C$9:$C$116,$C119,AW$9:AW$116)</f>
        <v>0</v>
      </c>
      <c r="AX119" s="22">
        <f t="shared" si="206"/>
        <v>0</v>
      </c>
      <c r="AY119" s="22">
        <f t="shared" si="206"/>
        <v>0</v>
      </c>
      <c r="BA119" s="22">
        <f t="shared" ref="BA119:BC127" si="207">SUMIF($C$9:$C$116,$C119,BA$9:BA$116)</f>
        <v>-35870959.68653249</v>
      </c>
      <c r="BB119" s="22">
        <f t="shared" si="207"/>
        <v>-732060.40176596912</v>
      </c>
      <c r="BC119" s="22">
        <f t="shared" si="207"/>
        <v>-36603020.088298462</v>
      </c>
      <c r="BD119" s="23">
        <f t="shared" ref="BD119:BD127" si="208">INDEX(BD$8:BD$116,(12*($C119))+1,0)</f>
        <v>36603020.088298462</v>
      </c>
      <c r="BE119" s="22">
        <f t="shared" ref="BE119:BI127" si="209">SUMIF($C$9:$C$116,$C119,BE$9:BE$116)</f>
        <v>0</v>
      </c>
      <c r="BF119" s="22">
        <f t="shared" si="209"/>
        <v>0</v>
      </c>
      <c r="BG119" s="22">
        <f t="shared" si="209"/>
        <v>0</v>
      </c>
      <c r="BH119" s="22">
        <f t="shared" si="209"/>
        <v>87259.640532462188</v>
      </c>
      <c r="BI119" s="22">
        <f t="shared" si="209"/>
        <v>0</v>
      </c>
      <c r="BJ119" s="22">
        <f t="shared" ref="BJ119:BK127" si="210">SUMIF($C$9:$C$116,$C119,BJ$9:BJ$116)</f>
        <v>87259.640532462188</v>
      </c>
      <c r="BK119" s="22">
        <f t="shared" si="210"/>
        <v>0</v>
      </c>
    </row>
    <row r="120" spans="2:63" ht="15" customHeight="1">
      <c r="B120" s="21" t="s">
        <v>208</v>
      </c>
      <c r="C120" s="21">
        <f t="shared" ref="C120:C127" si="211">C119+1</f>
        <v>2</v>
      </c>
      <c r="D120" s="22">
        <f t="shared" si="187"/>
        <v>12</v>
      </c>
      <c r="E120" s="23" t="s">
        <v>324</v>
      </c>
      <c r="G120" s="22">
        <f t="shared" si="188"/>
        <v>-37879109.269681439</v>
      </c>
      <c r="H120" s="22">
        <f t="shared" si="188"/>
        <v>643795.28015715641</v>
      </c>
      <c r="I120" s="22">
        <f t="shared" si="188"/>
        <v>-38522904.549838588</v>
      </c>
      <c r="K120" s="22">
        <f t="shared" si="189"/>
        <v>-37752446.458841823</v>
      </c>
      <c r="L120" s="22">
        <f t="shared" si="189"/>
        <v>6350033.6868585274</v>
      </c>
      <c r="M120" s="22">
        <f t="shared" si="189"/>
        <v>-44102480.145700336</v>
      </c>
      <c r="N120" s="22">
        <f t="shared" si="189"/>
        <v>-37752446.458841823</v>
      </c>
      <c r="O120" s="23">
        <f t="shared" si="190"/>
        <v>81649746.470523238</v>
      </c>
      <c r="P120" s="22">
        <f t="shared" si="191"/>
        <v>0</v>
      </c>
      <c r="Q120" s="72"/>
      <c r="R120" s="22">
        <f t="shared" si="192"/>
        <v>0</v>
      </c>
      <c r="S120" s="23">
        <f t="shared" si="193"/>
        <v>0</v>
      </c>
      <c r="T120" s="22">
        <f t="shared" si="194"/>
        <v>0</v>
      </c>
      <c r="U120" s="22">
        <f t="shared" si="194"/>
        <v>0</v>
      </c>
      <c r="V120" s="22">
        <f t="shared" si="194"/>
        <v>73494719.961925715</v>
      </c>
      <c r="W120" s="22">
        <f t="shared" si="194"/>
        <v>-111247166.42076755</v>
      </c>
      <c r="X120" s="22">
        <f t="shared" si="194"/>
        <v>0</v>
      </c>
      <c r="Y120" s="23">
        <f t="shared" si="195"/>
        <v>161969637.43440804</v>
      </c>
      <c r="Z120" s="22">
        <f t="shared" si="196"/>
        <v>0</v>
      </c>
      <c r="AA120" s="72"/>
      <c r="AB120" s="22">
        <f t="shared" si="197"/>
        <v>0</v>
      </c>
      <c r="AC120" s="22">
        <f t="shared" si="197"/>
        <v>0</v>
      </c>
      <c r="AD120" s="22">
        <f t="shared" si="197"/>
        <v>0</v>
      </c>
      <c r="AF120" s="22">
        <f t="shared" si="198"/>
        <v>-770458.09099677182</v>
      </c>
      <c r="AG120" s="22">
        <f t="shared" si="198"/>
        <v>129592.52422160261</v>
      </c>
      <c r="AH120" s="22">
        <f t="shared" si="198"/>
        <v>-900050.6152183743</v>
      </c>
      <c r="AI120" s="22">
        <f t="shared" si="198"/>
        <v>-770458.09099677182</v>
      </c>
      <c r="AJ120" s="23">
        <f t="shared" si="199"/>
        <v>1666321.3565412909</v>
      </c>
      <c r="AK120" s="22">
        <f t="shared" si="200"/>
        <v>0</v>
      </c>
      <c r="AL120" s="72"/>
      <c r="AM120" s="22">
        <f t="shared" si="201"/>
        <v>0</v>
      </c>
      <c r="AN120" s="23">
        <f t="shared" si="202"/>
        <v>0</v>
      </c>
      <c r="AO120" s="22">
        <f t="shared" si="203"/>
        <v>0</v>
      </c>
      <c r="AP120" s="22">
        <f t="shared" si="203"/>
        <v>0</v>
      </c>
      <c r="AQ120" s="22">
        <f t="shared" si="203"/>
        <v>129592.52422160261</v>
      </c>
      <c r="AR120" s="22">
        <f t="shared" si="203"/>
        <v>-900050.6152183743</v>
      </c>
      <c r="AS120" s="22">
        <f t="shared" si="203"/>
        <v>0</v>
      </c>
      <c r="AT120" s="23">
        <f t="shared" si="204"/>
        <v>1666321.3565412909</v>
      </c>
      <c r="AU120" s="22">
        <f t="shared" si="205"/>
        <v>0</v>
      </c>
      <c r="AV120" s="72"/>
      <c r="AW120" s="22">
        <f t="shared" si="206"/>
        <v>0</v>
      </c>
      <c r="AX120" s="22">
        <f t="shared" si="206"/>
        <v>0</v>
      </c>
      <c r="AY120" s="22">
        <f t="shared" si="206"/>
        <v>0</v>
      </c>
      <c r="BA120" s="22">
        <f t="shared" si="207"/>
        <v>-37752446.458841823</v>
      </c>
      <c r="BB120" s="22">
        <f t="shared" si="207"/>
        <v>-770458.09099677182</v>
      </c>
      <c r="BC120" s="22">
        <f t="shared" si="207"/>
        <v>-38522904.549838588</v>
      </c>
      <c r="BD120" s="23">
        <f t="shared" si="208"/>
        <v>75125924.638137057</v>
      </c>
      <c r="BE120" s="22">
        <f t="shared" si="209"/>
        <v>0</v>
      </c>
      <c r="BF120" s="22">
        <f t="shared" si="209"/>
        <v>0</v>
      </c>
      <c r="BG120" s="22">
        <f t="shared" si="209"/>
        <v>0</v>
      </c>
      <c r="BH120" s="22">
        <f t="shared" si="209"/>
        <v>321897.6400785782</v>
      </c>
      <c r="BI120" s="22">
        <f t="shared" si="209"/>
        <v>0</v>
      </c>
      <c r="BJ120" s="22">
        <f t="shared" si="210"/>
        <v>321897.6400785782</v>
      </c>
      <c r="BK120" s="22">
        <f t="shared" si="210"/>
        <v>0</v>
      </c>
    </row>
    <row r="121" spans="2:63" ht="15" customHeight="1">
      <c r="B121" s="21" t="s">
        <v>208</v>
      </c>
      <c r="C121" s="21">
        <f t="shared" si="211"/>
        <v>3</v>
      </c>
      <c r="D121" s="22">
        <f t="shared" si="187"/>
        <v>12</v>
      </c>
      <c r="E121" s="23" t="s">
        <v>324</v>
      </c>
      <c r="G121" s="22">
        <f t="shared" si="188"/>
        <v>52453336.692034416</v>
      </c>
      <c r="H121" s="22">
        <f t="shared" si="188"/>
        <v>555877.47395648691</v>
      </c>
      <c r="I121" s="22">
        <f t="shared" si="188"/>
        <v>51897459.218077935</v>
      </c>
      <c r="K121" s="22">
        <f t="shared" si="189"/>
        <v>50859510.033716366</v>
      </c>
      <c r="L121" s="22">
        <f t="shared" si="189"/>
        <v>5993692.2786687715</v>
      </c>
      <c r="M121" s="22">
        <f t="shared" si="189"/>
        <v>44865817.755047597</v>
      </c>
      <c r="N121" s="22">
        <f t="shared" si="189"/>
        <v>50859510.033716366</v>
      </c>
      <c r="O121" s="23">
        <f t="shared" si="190"/>
        <v>36783928.715475641</v>
      </c>
      <c r="P121" s="22">
        <f t="shared" si="191"/>
        <v>0</v>
      </c>
      <c r="Q121" s="72"/>
      <c r="R121" s="22">
        <f t="shared" si="192"/>
        <v>0</v>
      </c>
      <c r="S121" s="23">
        <f t="shared" si="193"/>
        <v>0</v>
      </c>
      <c r="T121" s="22">
        <f t="shared" si="194"/>
        <v>0</v>
      </c>
      <c r="U121" s="22">
        <f t="shared" si="194"/>
        <v>0</v>
      </c>
      <c r="V121" s="22">
        <f t="shared" si="194"/>
        <v>141375290.65076578</v>
      </c>
      <c r="W121" s="22">
        <f t="shared" si="194"/>
        <v>-90515780.617049411</v>
      </c>
      <c r="X121" s="22">
        <f t="shared" si="194"/>
        <v>0</v>
      </c>
      <c r="Y121" s="23">
        <f t="shared" si="195"/>
        <v>252485418.05145746</v>
      </c>
      <c r="Z121" s="22">
        <f t="shared" si="196"/>
        <v>0</v>
      </c>
      <c r="AA121" s="72"/>
      <c r="AB121" s="22">
        <f t="shared" si="197"/>
        <v>0</v>
      </c>
      <c r="AC121" s="22">
        <f t="shared" si="197"/>
        <v>0</v>
      </c>
      <c r="AD121" s="22">
        <f t="shared" si="197"/>
        <v>0</v>
      </c>
      <c r="AF121" s="22">
        <f t="shared" si="198"/>
        <v>1037949.1843615586</v>
      </c>
      <c r="AG121" s="22">
        <f t="shared" si="198"/>
        <v>122320.25058507702</v>
      </c>
      <c r="AH121" s="22">
        <f t="shared" si="198"/>
        <v>915628.93377648166</v>
      </c>
      <c r="AI121" s="22">
        <f t="shared" si="198"/>
        <v>1037949.1843615586</v>
      </c>
      <c r="AJ121" s="23">
        <f t="shared" si="199"/>
        <v>750692.42276480922</v>
      </c>
      <c r="AK121" s="22">
        <f t="shared" si="200"/>
        <v>0</v>
      </c>
      <c r="AL121" s="72"/>
      <c r="AM121" s="22">
        <f t="shared" si="201"/>
        <v>0</v>
      </c>
      <c r="AN121" s="23">
        <f t="shared" si="202"/>
        <v>0</v>
      </c>
      <c r="AO121" s="22">
        <f t="shared" si="203"/>
        <v>0</v>
      </c>
      <c r="AP121" s="22">
        <f t="shared" si="203"/>
        <v>0</v>
      </c>
      <c r="AQ121" s="22">
        <f t="shared" si="203"/>
        <v>122320.25058507702</v>
      </c>
      <c r="AR121" s="22">
        <f t="shared" si="203"/>
        <v>915628.93377648166</v>
      </c>
      <c r="AS121" s="22">
        <f t="shared" si="203"/>
        <v>0</v>
      </c>
      <c r="AT121" s="23">
        <f t="shared" si="204"/>
        <v>750692.42276480922</v>
      </c>
      <c r="AU121" s="22">
        <f t="shared" si="205"/>
        <v>0</v>
      </c>
      <c r="AV121" s="72"/>
      <c r="AW121" s="22">
        <f t="shared" si="206"/>
        <v>0</v>
      </c>
      <c r="AX121" s="22">
        <f t="shared" si="206"/>
        <v>0</v>
      </c>
      <c r="AY121" s="22">
        <f t="shared" si="206"/>
        <v>0</v>
      </c>
      <c r="BA121" s="22">
        <f t="shared" si="207"/>
        <v>50859510.033716366</v>
      </c>
      <c r="BB121" s="22">
        <f t="shared" si="207"/>
        <v>1037949.1843615586</v>
      </c>
      <c r="BC121" s="22">
        <f t="shared" si="207"/>
        <v>51897459.218077935</v>
      </c>
      <c r="BD121" s="23">
        <f t="shared" si="208"/>
        <v>23228465.42005913</v>
      </c>
      <c r="BE121" s="22">
        <f t="shared" si="209"/>
        <v>0</v>
      </c>
      <c r="BF121" s="22">
        <f t="shared" si="209"/>
        <v>0</v>
      </c>
      <c r="BG121" s="22">
        <f t="shared" si="209"/>
        <v>0</v>
      </c>
      <c r="BH121" s="22">
        <f t="shared" si="209"/>
        <v>277938.73697824345</v>
      </c>
      <c r="BI121" s="22">
        <f t="shared" si="209"/>
        <v>0</v>
      </c>
      <c r="BJ121" s="22">
        <f t="shared" si="210"/>
        <v>277938.73697824345</v>
      </c>
      <c r="BK121" s="22">
        <f t="shared" si="210"/>
        <v>0</v>
      </c>
    </row>
    <row r="122" spans="2:63" ht="15" customHeight="1">
      <c r="B122" s="21" t="s">
        <v>208</v>
      </c>
      <c r="C122" s="21">
        <f t="shared" si="211"/>
        <v>4</v>
      </c>
      <c r="D122" s="22">
        <f t="shared" si="187"/>
        <v>12</v>
      </c>
      <c r="E122" s="23" t="s">
        <v>324</v>
      </c>
      <c r="G122" s="22">
        <f t="shared" si="188"/>
        <v>40938813.975683764</v>
      </c>
      <c r="H122" s="22">
        <f t="shared" si="188"/>
        <v>125668.02496532512</v>
      </c>
      <c r="I122" s="22">
        <f t="shared" si="188"/>
        <v>40813145.950718448</v>
      </c>
      <c r="K122" s="22">
        <f t="shared" si="189"/>
        <v>39996883.031704076</v>
      </c>
      <c r="L122" s="22">
        <f t="shared" si="189"/>
        <v>1706877.0917455971</v>
      </c>
      <c r="M122" s="22">
        <f t="shared" si="189"/>
        <v>36783928.715475641</v>
      </c>
      <c r="N122" s="22">
        <f t="shared" si="189"/>
        <v>38490805.807221234</v>
      </c>
      <c r="O122" s="23">
        <f t="shared" si="190"/>
        <v>0</v>
      </c>
      <c r="P122" s="22">
        <f t="shared" si="191"/>
        <v>0</v>
      </c>
      <c r="Q122" s="72"/>
      <c r="R122" s="22">
        <f t="shared" si="192"/>
        <v>1506077.2244828364</v>
      </c>
      <c r="S122" s="23">
        <f t="shared" si="193"/>
        <v>0</v>
      </c>
      <c r="T122" s="22">
        <f t="shared" si="194"/>
        <v>0</v>
      </c>
      <c r="U122" s="22">
        <f t="shared" si="194"/>
        <v>1506077.2244828364</v>
      </c>
      <c r="V122" s="22">
        <f t="shared" si="194"/>
        <v>232496028.85182446</v>
      </c>
      <c r="W122" s="22">
        <f t="shared" si="194"/>
        <v>-193252184.43236178</v>
      </c>
      <c r="X122" s="22">
        <f t="shared" si="194"/>
        <v>753038.61224141822</v>
      </c>
      <c r="Y122" s="23">
        <f t="shared" si="195"/>
        <v>445737602.48381931</v>
      </c>
      <c r="Z122" s="22">
        <f t="shared" si="196"/>
        <v>753038.61224141822</v>
      </c>
      <c r="AA122" s="72"/>
      <c r="AB122" s="22">
        <f t="shared" si="197"/>
        <v>0</v>
      </c>
      <c r="AC122" s="22">
        <f t="shared" si="197"/>
        <v>0</v>
      </c>
      <c r="AD122" s="22">
        <f t="shared" si="197"/>
        <v>0</v>
      </c>
      <c r="AF122" s="22">
        <f t="shared" si="198"/>
        <v>816262.91901436879</v>
      </c>
      <c r="AG122" s="22">
        <f t="shared" si="198"/>
        <v>34834.226362155059</v>
      </c>
      <c r="AH122" s="22">
        <f t="shared" si="198"/>
        <v>750692.42276480934</v>
      </c>
      <c r="AI122" s="22">
        <f t="shared" si="198"/>
        <v>785526.64912696427</v>
      </c>
      <c r="AJ122" s="23">
        <f t="shared" si="199"/>
        <v>0</v>
      </c>
      <c r="AK122" s="22">
        <f t="shared" si="200"/>
        <v>0</v>
      </c>
      <c r="AL122" s="72"/>
      <c r="AM122" s="22">
        <f t="shared" si="201"/>
        <v>30736.269887404535</v>
      </c>
      <c r="AN122" s="23">
        <f t="shared" si="202"/>
        <v>0</v>
      </c>
      <c r="AO122" s="22">
        <f t="shared" si="203"/>
        <v>0</v>
      </c>
      <c r="AP122" s="22">
        <f t="shared" si="203"/>
        <v>30736.269887404535</v>
      </c>
      <c r="AQ122" s="22">
        <f t="shared" si="203"/>
        <v>34834.226362155059</v>
      </c>
      <c r="AR122" s="22">
        <f t="shared" si="203"/>
        <v>750692.42276480934</v>
      </c>
      <c r="AS122" s="22">
        <f t="shared" si="203"/>
        <v>0</v>
      </c>
      <c r="AT122" s="23">
        <f t="shared" si="204"/>
        <v>0</v>
      </c>
      <c r="AU122" s="22">
        <f t="shared" si="205"/>
        <v>0</v>
      </c>
      <c r="AV122" s="72"/>
      <c r="AW122" s="22">
        <f t="shared" si="206"/>
        <v>30736.269887404535</v>
      </c>
      <c r="AX122" s="22">
        <f t="shared" si="206"/>
        <v>30736.269887404535</v>
      </c>
      <c r="AY122" s="22">
        <f t="shared" si="206"/>
        <v>0</v>
      </c>
      <c r="BA122" s="22">
        <f t="shared" si="207"/>
        <v>39243844.419462658</v>
      </c>
      <c r="BB122" s="22">
        <f t="shared" si="207"/>
        <v>816262.91901436879</v>
      </c>
      <c r="BC122" s="22">
        <f t="shared" si="207"/>
        <v>40060107.338477023</v>
      </c>
      <c r="BD122" s="23">
        <f t="shared" si="208"/>
        <v>0</v>
      </c>
      <c r="BE122" s="22">
        <f t="shared" si="209"/>
        <v>753038.61224141822</v>
      </c>
      <c r="BF122" s="22">
        <f t="shared" si="209"/>
        <v>0</v>
      </c>
      <c r="BG122" s="22">
        <f t="shared" si="209"/>
        <v>753038.61224141822</v>
      </c>
      <c r="BH122" s="22">
        <f t="shared" si="209"/>
        <v>62834.012482662562</v>
      </c>
      <c r="BI122" s="22">
        <f t="shared" si="209"/>
        <v>753038.61224141822</v>
      </c>
      <c r="BJ122" s="22">
        <f t="shared" si="210"/>
        <v>62834.012482662562</v>
      </c>
      <c r="BK122" s="22">
        <f t="shared" si="210"/>
        <v>0</v>
      </c>
    </row>
    <row r="123" spans="2:63" ht="15" customHeight="1">
      <c r="B123" s="21" t="s">
        <v>208</v>
      </c>
      <c r="C123" s="21">
        <f t="shared" si="211"/>
        <v>5</v>
      </c>
      <c r="D123" s="22">
        <f t="shared" si="187"/>
        <v>1</v>
      </c>
      <c r="E123" s="23" t="s">
        <v>324</v>
      </c>
      <c r="G123" s="22">
        <f t="shared" si="188"/>
        <v>442653.7327567258</v>
      </c>
      <c r="H123" s="22">
        <f t="shared" si="188"/>
        <v>139.9398561066547</v>
      </c>
      <c r="I123" s="22">
        <f t="shared" si="188"/>
        <v>442513.79290061898</v>
      </c>
      <c r="K123" s="22">
        <f t="shared" si="189"/>
        <v>433663.5170426066</v>
      </c>
      <c r="L123" s="22">
        <f t="shared" si="189"/>
        <v>0</v>
      </c>
      <c r="M123" s="22">
        <f t="shared" si="189"/>
        <v>0</v>
      </c>
      <c r="N123" s="22">
        <f t="shared" si="189"/>
        <v>0</v>
      </c>
      <c r="O123" s="23">
        <f t="shared" si="190"/>
        <v>0</v>
      </c>
      <c r="P123" s="22">
        <f t="shared" si="191"/>
        <v>0</v>
      </c>
      <c r="Q123" s="72"/>
      <c r="R123" s="22">
        <f t="shared" si="192"/>
        <v>433663.5170426066</v>
      </c>
      <c r="S123" s="23">
        <f t="shared" si="193"/>
        <v>0</v>
      </c>
      <c r="T123" s="22">
        <f t="shared" si="194"/>
        <v>0</v>
      </c>
      <c r="U123" s="22">
        <f t="shared" si="194"/>
        <v>433663.5170426066</v>
      </c>
      <c r="V123" s="22">
        <f t="shared" si="194"/>
        <v>441089610.82263815</v>
      </c>
      <c r="W123" s="22">
        <f t="shared" si="194"/>
        <v>-440872779.06411684</v>
      </c>
      <c r="X123" s="22">
        <f t="shared" si="194"/>
        <v>216831.7585213033</v>
      </c>
      <c r="Y123" s="23">
        <f t="shared" si="195"/>
        <v>886610381.5479362</v>
      </c>
      <c r="Z123" s="22">
        <f t="shared" si="196"/>
        <v>216831.7585213033</v>
      </c>
      <c r="AA123" s="72"/>
      <c r="AB123" s="22">
        <f t="shared" si="197"/>
        <v>0</v>
      </c>
      <c r="AC123" s="22">
        <f t="shared" si="197"/>
        <v>0</v>
      </c>
      <c r="AD123" s="22">
        <f t="shared" si="197"/>
        <v>0</v>
      </c>
      <c r="AF123" s="22">
        <f t="shared" si="198"/>
        <v>8850.2758580123791</v>
      </c>
      <c r="AG123" s="22">
        <f t="shared" si="198"/>
        <v>0</v>
      </c>
      <c r="AH123" s="22">
        <f t="shared" si="198"/>
        <v>0</v>
      </c>
      <c r="AI123" s="22">
        <f t="shared" si="198"/>
        <v>0</v>
      </c>
      <c r="AJ123" s="23">
        <f t="shared" si="199"/>
        <v>0</v>
      </c>
      <c r="AK123" s="22">
        <f t="shared" si="200"/>
        <v>0</v>
      </c>
      <c r="AL123" s="72"/>
      <c r="AM123" s="22">
        <f t="shared" si="201"/>
        <v>8850.2758580123791</v>
      </c>
      <c r="AN123" s="23">
        <f t="shared" si="202"/>
        <v>0</v>
      </c>
      <c r="AO123" s="22">
        <f t="shared" si="203"/>
        <v>0</v>
      </c>
      <c r="AP123" s="22">
        <f t="shared" si="203"/>
        <v>8850.2758580123791</v>
      </c>
      <c r="AQ123" s="22">
        <f t="shared" si="203"/>
        <v>0</v>
      </c>
      <c r="AR123" s="22">
        <f t="shared" si="203"/>
        <v>0</v>
      </c>
      <c r="AS123" s="22">
        <f t="shared" si="203"/>
        <v>0</v>
      </c>
      <c r="AT123" s="23">
        <f t="shared" si="204"/>
        <v>0</v>
      </c>
      <c r="AU123" s="22">
        <f t="shared" si="205"/>
        <v>0</v>
      </c>
      <c r="AV123" s="72"/>
      <c r="AW123" s="22">
        <f t="shared" si="206"/>
        <v>8850.2758580123791</v>
      </c>
      <c r="AX123" s="22">
        <f t="shared" si="206"/>
        <v>8850.2758580123791</v>
      </c>
      <c r="AY123" s="22">
        <f t="shared" si="206"/>
        <v>0</v>
      </c>
      <c r="BA123" s="22">
        <f t="shared" si="207"/>
        <v>216831.7585213033</v>
      </c>
      <c r="BB123" s="22">
        <f t="shared" si="207"/>
        <v>8850.2758580123791</v>
      </c>
      <c r="BC123" s="22">
        <f t="shared" si="207"/>
        <v>225682.03437931568</v>
      </c>
      <c r="BD123" s="23">
        <f t="shared" si="208"/>
        <v>0</v>
      </c>
      <c r="BE123" s="22">
        <f t="shared" si="209"/>
        <v>216831.7585213033</v>
      </c>
      <c r="BF123" s="22">
        <f t="shared" si="209"/>
        <v>0</v>
      </c>
      <c r="BG123" s="22">
        <f t="shared" si="209"/>
        <v>216831.7585213033</v>
      </c>
      <c r="BH123" s="22">
        <f t="shared" si="209"/>
        <v>69.969928053327351</v>
      </c>
      <c r="BI123" s="22">
        <f t="shared" si="209"/>
        <v>216831.7585213033</v>
      </c>
      <c r="BJ123" s="22">
        <f t="shared" si="210"/>
        <v>69.969928053327351</v>
      </c>
      <c r="BK123" s="22">
        <f t="shared" si="210"/>
        <v>0</v>
      </c>
    </row>
    <row r="124" spans="2:63" ht="15" customHeight="1">
      <c r="B124" s="21" t="s">
        <v>208</v>
      </c>
      <c r="C124" s="21">
        <f t="shared" si="211"/>
        <v>6</v>
      </c>
      <c r="D124" s="22">
        <f t="shared" si="187"/>
        <v>0</v>
      </c>
      <c r="E124" s="23" t="s">
        <v>324</v>
      </c>
      <c r="G124" s="22">
        <f t="shared" si="188"/>
        <v>0</v>
      </c>
      <c r="H124" s="22">
        <f t="shared" si="188"/>
        <v>-5.7686253535633411E-11</v>
      </c>
      <c r="I124" s="22">
        <f t="shared" si="188"/>
        <v>5.7686253535633411E-11</v>
      </c>
      <c r="K124" s="22">
        <f t="shared" si="189"/>
        <v>5.6532528464920731E-11</v>
      </c>
      <c r="L124" s="22">
        <f t="shared" si="189"/>
        <v>0</v>
      </c>
      <c r="M124" s="22">
        <f t="shared" si="189"/>
        <v>0</v>
      </c>
      <c r="N124" s="22">
        <f t="shared" si="189"/>
        <v>0</v>
      </c>
      <c r="O124" s="23">
        <f t="shared" si="190"/>
        <v>0</v>
      </c>
      <c r="P124" s="22">
        <f t="shared" si="191"/>
        <v>0</v>
      </c>
      <c r="Q124" s="72"/>
      <c r="R124" s="22">
        <f t="shared" si="192"/>
        <v>5.6532528464920731E-11</v>
      </c>
      <c r="S124" s="23">
        <f t="shared" si="193"/>
        <v>0</v>
      </c>
      <c r="T124" s="22">
        <f t="shared" si="194"/>
        <v>0</v>
      </c>
      <c r="U124" s="22">
        <f t="shared" si="194"/>
        <v>5.6532528464920731E-11</v>
      </c>
      <c r="V124" s="22">
        <f t="shared" si="194"/>
        <v>877744277.73245645</v>
      </c>
      <c r="W124" s="22">
        <f t="shared" si="194"/>
        <v>-877744277.73245645</v>
      </c>
      <c r="X124" s="22">
        <f t="shared" si="194"/>
        <v>2.8266264232460365E-11</v>
      </c>
      <c r="Y124" s="23">
        <f t="shared" si="195"/>
        <v>1764354659.2803926</v>
      </c>
      <c r="Z124" s="22">
        <f t="shared" si="196"/>
        <v>2.8266264232460365E-11</v>
      </c>
      <c r="AA124" s="72"/>
      <c r="AB124" s="22">
        <f t="shared" si="197"/>
        <v>0</v>
      </c>
      <c r="AC124" s="22">
        <f t="shared" si="197"/>
        <v>0</v>
      </c>
      <c r="AD124" s="22">
        <f t="shared" si="197"/>
        <v>0</v>
      </c>
      <c r="AF124" s="22">
        <f t="shared" si="198"/>
        <v>1.1537250707126683E-12</v>
      </c>
      <c r="AG124" s="22">
        <f t="shared" si="198"/>
        <v>0</v>
      </c>
      <c r="AH124" s="22">
        <f t="shared" si="198"/>
        <v>0</v>
      </c>
      <c r="AI124" s="22">
        <f t="shared" si="198"/>
        <v>0</v>
      </c>
      <c r="AJ124" s="23">
        <f t="shared" si="199"/>
        <v>0</v>
      </c>
      <c r="AK124" s="22">
        <f t="shared" si="200"/>
        <v>0</v>
      </c>
      <c r="AL124" s="72"/>
      <c r="AM124" s="22">
        <f t="shared" si="201"/>
        <v>1.1537250707126683E-12</v>
      </c>
      <c r="AN124" s="23">
        <f t="shared" si="202"/>
        <v>0</v>
      </c>
      <c r="AO124" s="22">
        <f t="shared" si="203"/>
        <v>0</v>
      </c>
      <c r="AP124" s="22">
        <f t="shared" si="203"/>
        <v>1.1537250707126683E-12</v>
      </c>
      <c r="AQ124" s="22">
        <f t="shared" si="203"/>
        <v>0</v>
      </c>
      <c r="AR124" s="22">
        <f t="shared" si="203"/>
        <v>0</v>
      </c>
      <c r="AS124" s="22">
        <f t="shared" si="203"/>
        <v>0</v>
      </c>
      <c r="AT124" s="23">
        <f t="shared" si="204"/>
        <v>0</v>
      </c>
      <c r="AU124" s="22">
        <f t="shared" si="205"/>
        <v>0</v>
      </c>
      <c r="AV124" s="72"/>
      <c r="AW124" s="22">
        <f t="shared" si="206"/>
        <v>1.1537250707126683E-12</v>
      </c>
      <c r="AX124" s="22">
        <f t="shared" si="206"/>
        <v>1.1537250707126683E-12</v>
      </c>
      <c r="AY124" s="22">
        <f t="shared" si="206"/>
        <v>0</v>
      </c>
      <c r="BA124" s="22">
        <f t="shared" si="207"/>
        <v>2.8266264232460365E-11</v>
      </c>
      <c r="BB124" s="22">
        <f t="shared" si="207"/>
        <v>1.1537250707126683E-12</v>
      </c>
      <c r="BC124" s="22">
        <f t="shared" si="207"/>
        <v>2.9419989303173036E-11</v>
      </c>
      <c r="BD124" s="23">
        <f t="shared" si="208"/>
        <v>0</v>
      </c>
      <c r="BE124" s="22">
        <f t="shared" si="209"/>
        <v>2.8266264232460365E-11</v>
      </c>
      <c r="BF124" s="22">
        <f t="shared" si="209"/>
        <v>0</v>
      </c>
      <c r="BG124" s="22">
        <f t="shared" si="209"/>
        <v>2.8266264232460365E-11</v>
      </c>
      <c r="BH124" s="22">
        <f t="shared" si="209"/>
        <v>-2.8843126767816706E-11</v>
      </c>
      <c r="BI124" s="22">
        <f t="shared" si="209"/>
        <v>2.8266264232460365E-11</v>
      </c>
      <c r="BJ124" s="22">
        <f t="shared" si="210"/>
        <v>-2.8843126767816706E-11</v>
      </c>
      <c r="BK124" s="22">
        <f t="shared" si="210"/>
        <v>0</v>
      </c>
    </row>
    <row r="125" spans="2:63" ht="15" customHeight="1">
      <c r="B125" s="21" t="s">
        <v>208</v>
      </c>
      <c r="C125" s="21">
        <f t="shared" si="211"/>
        <v>7</v>
      </c>
      <c r="D125" s="22">
        <f t="shared" si="187"/>
        <v>0</v>
      </c>
      <c r="E125" s="23" t="s">
        <v>324</v>
      </c>
      <c r="G125" s="22">
        <f t="shared" si="188"/>
        <v>0</v>
      </c>
      <c r="H125" s="22">
        <f t="shared" si="188"/>
        <v>0</v>
      </c>
      <c r="I125" s="22">
        <f t="shared" si="188"/>
        <v>0</v>
      </c>
      <c r="K125" s="22">
        <f t="shared" si="189"/>
        <v>0</v>
      </c>
      <c r="L125" s="22">
        <f t="shared" si="189"/>
        <v>0</v>
      </c>
      <c r="M125" s="22">
        <f t="shared" si="189"/>
        <v>0</v>
      </c>
      <c r="N125" s="22">
        <f t="shared" si="189"/>
        <v>0</v>
      </c>
      <c r="O125" s="23">
        <f t="shared" si="190"/>
        <v>0</v>
      </c>
      <c r="P125" s="22">
        <f t="shared" si="191"/>
        <v>0</v>
      </c>
      <c r="R125" s="22">
        <f t="shared" si="192"/>
        <v>0</v>
      </c>
      <c r="S125" s="23">
        <f t="shared" si="193"/>
        <v>0</v>
      </c>
      <c r="T125" s="22">
        <f t="shared" si="194"/>
        <v>0</v>
      </c>
      <c r="U125" s="22">
        <f t="shared" si="194"/>
        <v>0</v>
      </c>
      <c r="V125" s="22">
        <f t="shared" si="194"/>
        <v>1746711112.6875885</v>
      </c>
      <c r="W125" s="22">
        <f t="shared" si="194"/>
        <v>-1746711112.6875885</v>
      </c>
      <c r="X125" s="22">
        <f t="shared" si="194"/>
        <v>0</v>
      </c>
      <c r="Y125" s="23">
        <f t="shared" si="195"/>
        <v>3511065771.9679818</v>
      </c>
      <c r="Z125" s="22">
        <f t="shared" si="196"/>
        <v>0</v>
      </c>
      <c r="AB125" s="22">
        <f t="shared" si="197"/>
        <v>0</v>
      </c>
      <c r="AC125" s="22">
        <f t="shared" si="197"/>
        <v>0</v>
      </c>
      <c r="AD125" s="22">
        <f t="shared" si="197"/>
        <v>0</v>
      </c>
      <c r="AF125" s="22">
        <f t="shared" si="198"/>
        <v>0</v>
      </c>
      <c r="AG125" s="22">
        <f t="shared" si="198"/>
        <v>0</v>
      </c>
      <c r="AH125" s="22">
        <f t="shared" si="198"/>
        <v>0</v>
      </c>
      <c r="AI125" s="22">
        <f t="shared" si="198"/>
        <v>0</v>
      </c>
      <c r="AJ125" s="23">
        <f t="shared" si="199"/>
        <v>0</v>
      </c>
      <c r="AK125" s="22">
        <f t="shared" si="200"/>
        <v>0</v>
      </c>
      <c r="AM125" s="22">
        <f t="shared" si="201"/>
        <v>0</v>
      </c>
      <c r="AN125" s="23">
        <f t="shared" si="202"/>
        <v>0</v>
      </c>
      <c r="AO125" s="22">
        <f t="shared" si="203"/>
        <v>0</v>
      </c>
      <c r="AP125" s="22">
        <f t="shared" si="203"/>
        <v>0</v>
      </c>
      <c r="AQ125" s="22">
        <f t="shared" si="203"/>
        <v>0</v>
      </c>
      <c r="AR125" s="22">
        <f t="shared" si="203"/>
        <v>0</v>
      </c>
      <c r="AS125" s="22">
        <f t="shared" si="203"/>
        <v>0</v>
      </c>
      <c r="AT125" s="23">
        <f t="shared" si="204"/>
        <v>0</v>
      </c>
      <c r="AU125" s="22">
        <f t="shared" si="205"/>
        <v>0</v>
      </c>
      <c r="AW125" s="22">
        <f t="shared" si="206"/>
        <v>0</v>
      </c>
      <c r="AX125" s="22">
        <f t="shared" si="206"/>
        <v>0</v>
      </c>
      <c r="AY125" s="22">
        <f t="shared" si="206"/>
        <v>0</v>
      </c>
      <c r="BA125" s="22">
        <f t="shared" si="207"/>
        <v>0</v>
      </c>
      <c r="BB125" s="22">
        <f t="shared" si="207"/>
        <v>0</v>
      </c>
      <c r="BC125" s="22">
        <f t="shared" si="207"/>
        <v>0</v>
      </c>
      <c r="BD125" s="23">
        <f t="shared" si="208"/>
        <v>0</v>
      </c>
      <c r="BE125" s="22">
        <f t="shared" si="209"/>
        <v>0</v>
      </c>
      <c r="BF125" s="22">
        <f t="shared" si="209"/>
        <v>0</v>
      </c>
      <c r="BG125" s="22">
        <f t="shared" si="209"/>
        <v>0</v>
      </c>
      <c r="BH125" s="22">
        <f t="shared" si="209"/>
        <v>0</v>
      </c>
      <c r="BI125" s="22">
        <f t="shared" si="209"/>
        <v>0</v>
      </c>
      <c r="BJ125" s="22">
        <f t="shared" si="210"/>
        <v>0</v>
      </c>
      <c r="BK125" s="22">
        <f t="shared" si="210"/>
        <v>0</v>
      </c>
    </row>
    <row r="126" spans="2:63" ht="15" customHeight="1">
      <c r="B126" s="21" t="s">
        <v>208</v>
      </c>
      <c r="C126" s="21">
        <f t="shared" si="211"/>
        <v>8</v>
      </c>
      <c r="D126" s="22">
        <f t="shared" si="187"/>
        <v>0</v>
      </c>
      <c r="E126" s="23" t="s">
        <v>324</v>
      </c>
      <c r="G126" s="22">
        <f t="shared" si="188"/>
        <v>0</v>
      </c>
      <c r="H126" s="22">
        <f t="shared" si="188"/>
        <v>0</v>
      </c>
      <c r="I126" s="22">
        <f t="shared" si="188"/>
        <v>0</v>
      </c>
      <c r="K126" s="22">
        <f t="shared" si="189"/>
        <v>0</v>
      </c>
      <c r="L126" s="22">
        <f t="shared" si="189"/>
        <v>0</v>
      </c>
      <c r="M126" s="22">
        <f t="shared" si="189"/>
        <v>0</v>
      </c>
      <c r="N126" s="22">
        <f t="shared" si="189"/>
        <v>0</v>
      </c>
      <c r="O126" s="23">
        <f t="shared" si="190"/>
        <v>0</v>
      </c>
      <c r="P126" s="22">
        <f t="shared" si="191"/>
        <v>0</v>
      </c>
      <c r="R126" s="22">
        <f t="shared" si="192"/>
        <v>0</v>
      </c>
      <c r="S126" s="23">
        <f t="shared" si="193"/>
        <v>0</v>
      </c>
      <c r="T126" s="22">
        <f t="shared" si="194"/>
        <v>0</v>
      </c>
      <c r="U126" s="22">
        <f t="shared" si="194"/>
        <v>0</v>
      </c>
      <c r="V126" s="22">
        <f t="shared" si="194"/>
        <v>3475955114.2483006</v>
      </c>
      <c r="W126" s="22">
        <f t="shared" si="194"/>
        <v>-3475955114.2483006</v>
      </c>
      <c r="X126" s="22">
        <f t="shared" si="194"/>
        <v>0</v>
      </c>
      <c r="Y126" s="23">
        <f t="shared" si="195"/>
        <v>6987020886.2162819</v>
      </c>
      <c r="Z126" s="22">
        <f t="shared" si="196"/>
        <v>0</v>
      </c>
      <c r="AB126" s="22">
        <f t="shared" si="197"/>
        <v>0</v>
      </c>
      <c r="AC126" s="22">
        <f t="shared" si="197"/>
        <v>0</v>
      </c>
      <c r="AD126" s="22">
        <f t="shared" si="197"/>
        <v>0</v>
      </c>
      <c r="AF126" s="22">
        <f t="shared" si="198"/>
        <v>0</v>
      </c>
      <c r="AG126" s="22">
        <f t="shared" si="198"/>
        <v>0</v>
      </c>
      <c r="AH126" s="22">
        <f t="shared" si="198"/>
        <v>0</v>
      </c>
      <c r="AI126" s="22">
        <f t="shared" si="198"/>
        <v>0</v>
      </c>
      <c r="AJ126" s="23">
        <f t="shared" si="199"/>
        <v>0</v>
      </c>
      <c r="AK126" s="22">
        <f t="shared" si="200"/>
        <v>0</v>
      </c>
      <c r="AM126" s="22">
        <f t="shared" si="201"/>
        <v>0</v>
      </c>
      <c r="AN126" s="23">
        <f t="shared" si="202"/>
        <v>0</v>
      </c>
      <c r="AO126" s="22">
        <f t="shared" si="203"/>
        <v>0</v>
      </c>
      <c r="AP126" s="22">
        <f t="shared" si="203"/>
        <v>0</v>
      </c>
      <c r="AQ126" s="22">
        <f t="shared" si="203"/>
        <v>0</v>
      </c>
      <c r="AR126" s="22">
        <f t="shared" si="203"/>
        <v>0</v>
      </c>
      <c r="AS126" s="22">
        <f t="shared" si="203"/>
        <v>0</v>
      </c>
      <c r="AT126" s="23">
        <f t="shared" si="204"/>
        <v>0</v>
      </c>
      <c r="AU126" s="22">
        <f t="shared" si="205"/>
        <v>0</v>
      </c>
      <c r="AW126" s="22">
        <f t="shared" si="206"/>
        <v>0</v>
      </c>
      <c r="AX126" s="22">
        <f t="shared" si="206"/>
        <v>0</v>
      </c>
      <c r="AY126" s="22">
        <f t="shared" si="206"/>
        <v>0</v>
      </c>
      <c r="BA126" s="22">
        <f t="shared" si="207"/>
        <v>0</v>
      </c>
      <c r="BB126" s="22">
        <f t="shared" si="207"/>
        <v>0</v>
      </c>
      <c r="BC126" s="22">
        <f t="shared" si="207"/>
        <v>0</v>
      </c>
      <c r="BD126" s="23">
        <f t="shared" si="208"/>
        <v>0</v>
      </c>
      <c r="BE126" s="22">
        <f t="shared" si="209"/>
        <v>0</v>
      </c>
      <c r="BF126" s="22">
        <f t="shared" si="209"/>
        <v>0</v>
      </c>
      <c r="BG126" s="22">
        <f t="shared" si="209"/>
        <v>0</v>
      </c>
      <c r="BH126" s="22">
        <f t="shared" si="209"/>
        <v>0</v>
      </c>
      <c r="BI126" s="22">
        <f t="shared" si="209"/>
        <v>0</v>
      </c>
      <c r="BJ126" s="22">
        <f t="shared" si="210"/>
        <v>0</v>
      </c>
      <c r="BK126" s="22">
        <f t="shared" si="210"/>
        <v>0</v>
      </c>
    </row>
    <row r="127" spans="2:63" ht="15" customHeight="1">
      <c r="B127" s="21" t="s">
        <v>208</v>
      </c>
      <c r="C127" s="21">
        <f t="shared" si="211"/>
        <v>9</v>
      </c>
      <c r="D127" s="22">
        <f t="shared" si="187"/>
        <v>0</v>
      </c>
      <c r="E127" s="23" t="s">
        <v>324</v>
      </c>
      <c r="G127" s="22">
        <f t="shared" si="188"/>
        <v>0</v>
      </c>
      <c r="H127" s="22">
        <f t="shared" si="188"/>
        <v>0</v>
      </c>
      <c r="I127" s="22">
        <f t="shared" si="188"/>
        <v>0</v>
      </c>
      <c r="K127" s="22">
        <f t="shared" si="189"/>
        <v>0</v>
      </c>
      <c r="L127" s="22">
        <f t="shared" si="189"/>
        <v>0</v>
      </c>
      <c r="M127" s="22">
        <f t="shared" si="189"/>
        <v>0</v>
      </c>
      <c r="N127" s="22">
        <f t="shared" si="189"/>
        <v>0</v>
      </c>
      <c r="O127" s="23">
        <f t="shared" si="190"/>
        <v>0</v>
      </c>
      <c r="P127" s="22">
        <f t="shared" si="191"/>
        <v>0</v>
      </c>
      <c r="R127" s="22">
        <f t="shared" si="192"/>
        <v>0</v>
      </c>
      <c r="S127" s="23">
        <f t="shared" si="193"/>
        <v>0</v>
      </c>
      <c r="T127" s="22">
        <f t="shared" si="194"/>
        <v>0</v>
      </c>
      <c r="U127" s="22">
        <f t="shared" si="194"/>
        <v>0</v>
      </c>
      <c r="V127" s="22">
        <f t="shared" si="194"/>
        <v>6917150677.3541155</v>
      </c>
      <c r="W127" s="22">
        <f t="shared" si="194"/>
        <v>-6917150677.3541155</v>
      </c>
      <c r="X127" s="22">
        <f t="shared" si="194"/>
        <v>0</v>
      </c>
      <c r="Y127" s="23">
        <f t="shared" si="195"/>
        <v>13904171563.570396</v>
      </c>
      <c r="Z127" s="22">
        <f t="shared" si="196"/>
        <v>0</v>
      </c>
      <c r="AB127" s="22">
        <f t="shared" si="197"/>
        <v>0</v>
      </c>
      <c r="AC127" s="22">
        <f t="shared" si="197"/>
        <v>0</v>
      </c>
      <c r="AD127" s="22">
        <f t="shared" si="197"/>
        <v>0</v>
      </c>
      <c r="AF127" s="22">
        <f t="shared" si="198"/>
        <v>0</v>
      </c>
      <c r="AG127" s="22">
        <f t="shared" si="198"/>
        <v>0</v>
      </c>
      <c r="AH127" s="22">
        <f t="shared" si="198"/>
        <v>0</v>
      </c>
      <c r="AI127" s="22">
        <f t="shared" si="198"/>
        <v>0</v>
      </c>
      <c r="AJ127" s="23">
        <f t="shared" si="199"/>
        <v>0</v>
      </c>
      <c r="AK127" s="22">
        <f t="shared" si="200"/>
        <v>0</v>
      </c>
      <c r="AM127" s="22">
        <f t="shared" si="201"/>
        <v>0</v>
      </c>
      <c r="AN127" s="23">
        <f t="shared" si="202"/>
        <v>0</v>
      </c>
      <c r="AO127" s="22">
        <f t="shared" si="203"/>
        <v>0</v>
      </c>
      <c r="AP127" s="22">
        <f t="shared" si="203"/>
        <v>0</v>
      </c>
      <c r="AQ127" s="22">
        <f t="shared" si="203"/>
        <v>0</v>
      </c>
      <c r="AR127" s="22">
        <f t="shared" si="203"/>
        <v>0</v>
      </c>
      <c r="AS127" s="22">
        <f t="shared" si="203"/>
        <v>0</v>
      </c>
      <c r="AT127" s="23">
        <f t="shared" si="204"/>
        <v>0</v>
      </c>
      <c r="AU127" s="22">
        <f t="shared" si="205"/>
        <v>0</v>
      </c>
      <c r="AW127" s="22">
        <f t="shared" si="206"/>
        <v>0</v>
      </c>
      <c r="AX127" s="22">
        <f t="shared" si="206"/>
        <v>0</v>
      </c>
      <c r="AY127" s="22">
        <f t="shared" si="206"/>
        <v>0</v>
      </c>
      <c r="BA127" s="22">
        <f t="shared" si="207"/>
        <v>0</v>
      </c>
      <c r="BB127" s="22">
        <f t="shared" si="207"/>
        <v>0</v>
      </c>
      <c r="BC127" s="22">
        <f t="shared" si="207"/>
        <v>0</v>
      </c>
      <c r="BD127" s="23">
        <f t="shared" si="208"/>
        <v>0</v>
      </c>
      <c r="BE127" s="22">
        <f t="shared" si="209"/>
        <v>0</v>
      </c>
      <c r="BF127" s="22">
        <f t="shared" si="209"/>
        <v>0</v>
      </c>
      <c r="BG127" s="22">
        <f t="shared" si="209"/>
        <v>0</v>
      </c>
      <c r="BH127" s="22">
        <f t="shared" si="209"/>
        <v>0</v>
      </c>
      <c r="BI127" s="22">
        <f t="shared" si="209"/>
        <v>0</v>
      </c>
      <c r="BJ127" s="22">
        <f t="shared" si="210"/>
        <v>0</v>
      </c>
      <c r="BK127" s="22">
        <f t="shared" si="210"/>
        <v>0</v>
      </c>
    </row>
    <row r="128" spans="2:63" ht="15" customHeight="1">
      <c r="B128" s="24" t="s">
        <v>327</v>
      </c>
      <c r="C128" s="24" t="s">
        <v>327</v>
      </c>
      <c r="D128" s="20">
        <f>SUM(D119:D127)</f>
        <v>49</v>
      </c>
      <c r="E128" s="23" t="s">
        <v>324</v>
      </c>
      <c r="G128" s="20">
        <f>SUM(G119:G127)</f>
        <v>19527194.32355994</v>
      </c>
      <c r="H128" s="20">
        <f>SUM(H119:H127)</f>
        <v>1499999.9999999995</v>
      </c>
      <c r="I128" s="20">
        <f>SUM(I119:I127)</f>
        <v>18027194.323559958</v>
      </c>
      <c r="K128" s="20">
        <f>SUM(K119:K127)</f>
        <v>17666650.437088735</v>
      </c>
      <c r="L128" s="20">
        <f>SUM(L119:L127)</f>
        <v>15726909.6955633</v>
      </c>
      <c r="M128" s="20">
        <f>SUM(M119:M127)</f>
        <v>0</v>
      </c>
      <c r="N128" s="20">
        <f>SUM(N119:N127)</f>
        <v>15726909.695563287</v>
      </c>
      <c r="O128" s="23" t="s">
        <v>324</v>
      </c>
      <c r="P128" s="20">
        <f>SUM(P119:P127)</f>
        <v>0</v>
      </c>
      <c r="R128" s="20">
        <f>SUM(R119:R127)</f>
        <v>1939740.741525443</v>
      </c>
      <c r="S128" s="23" t="s">
        <v>324</v>
      </c>
      <c r="T128" s="20">
        <f>SUM(T119:T127)</f>
        <v>0</v>
      </c>
      <c r="U128" s="20">
        <f>SUM(U119:U127)</f>
        <v>1939740.741525443</v>
      </c>
      <c r="V128" s="20">
        <f>SUM(V119:V127)</f>
        <v>13920868343.636723</v>
      </c>
      <c r="W128" s="20">
        <f>SUM(W119:W127)</f>
        <v>-13904171563.570396</v>
      </c>
      <c r="X128" s="20">
        <f>SUM(X119:X127)</f>
        <v>969870.37076272152</v>
      </c>
      <c r="Y128" s="23" t="s">
        <v>324</v>
      </c>
      <c r="Z128" s="20">
        <f>SUM(Z119:Z127)</f>
        <v>969870.37076272152</v>
      </c>
      <c r="AB128" s="20">
        <f>SUM(AB119:AB127)</f>
        <v>0</v>
      </c>
      <c r="AC128" s="20">
        <f>SUM(AC119:AC127)</f>
        <v>0</v>
      </c>
      <c r="AD128" s="20">
        <f>SUM(AD119:AD127)</f>
        <v>0</v>
      </c>
      <c r="AF128" s="20">
        <f>SUM(AF119:AF127)</f>
        <v>360543.88647119887</v>
      </c>
      <c r="AG128" s="20">
        <f>SUM(AG119:AG127)</f>
        <v>320957.34072578175</v>
      </c>
      <c r="AH128" s="20">
        <f>SUM(AH119:AH127)</f>
        <v>5.8207660913467407E-10</v>
      </c>
      <c r="AI128" s="20">
        <f>SUM(AI119:AI127)</f>
        <v>320957.34072578198</v>
      </c>
      <c r="AJ128" s="23" t="s">
        <v>324</v>
      </c>
      <c r="AK128" s="20">
        <f>SUM(AK119:AK127)</f>
        <v>0</v>
      </c>
      <c r="AM128" s="20">
        <f>SUM(AM119:AM127)</f>
        <v>39586.545745416915</v>
      </c>
      <c r="AN128" s="23" t="s">
        <v>324</v>
      </c>
      <c r="AO128" s="20">
        <f>SUM(AO119:AO127)</f>
        <v>0</v>
      </c>
      <c r="AP128" s="20">
        <f>SUM(AP119:AP127)</f>
        <v>39586.545745416915</v>
      </c>
      <c r="AQ128" s="20">
        <f>SUM(AQ119:AQ127)</f>
        <v>320957.34072578175</v>
      </c>
      <c r="AR128" s="20">
        <f>SUM(AR119:AR127)</f>
        <v>5.8207660913467407E-10</v>
      </c>
      <c r="AS128" s="20">
        <f>SUM(AS119:AS127)</f>
        <v>0</v>
      </c>
      <c r="AT128" s="23" t="s">
        <v>324</v>
      </c>
      <c r="AU128" s="20">
        <f>SUM(AU119:AU127)</f>
        <v>0</v>
      </c>
      <c r="AW128" s="20">
        <f>SUM(AW119:AW127)</f>
        <v>39586.545745416915</v>
      </c>
      <c r="AX128" s="20">
        <f>SUM(AX119:AX127)</f>
        <v>39586.545745416915</v>
      </c>
      <c r="AY128" s="20">
        <f>SUM(AY119:AY127)</f>
        <v>0</v>
      </c>
      <c r="BA128" s="20">
        <f>SUM(BA119:BA127)</f>
        <v>16696780.066326015</v>
      </c>
      <c r="BB128" s="20">
        <f>SUM(BB119:BB127)</f>
        <v>360543.88647119887</v>
      </c>
      <c r="BC128" s="20">
        <f>SUM(BC119:BC127)</f>
        <v>17057323.95279723</v>
      </c>
      <c r="BD128" s="23" t="s">
        <v>324</v>
      </c>
      <c r="BE128" s="20">
        <f t="shared" ref="BE128:BK128" si="212">SUM(BE119:BE127)</f>
        <v>969870.37076272152</v>
      </c>
      <c r="BF128" s="20">
        <f t="shared" si="212"/>
        <v>0</v>
      </c>
      <c r="BG128" s="20">
        <f t="shared" si="212"/>
        <v>969870.37076272152</v>
      </c>
      <c r="BH128" s="20">
        <f t="shared" si="212"/>
        <v>749999.99999999977</v>
      </c>
      <c r="BI128" s="20">
        <f t="shared" si="212"/>
        <v>969870.37076272152</v>
      </c>
      <c r="BJ128" s="20">
        <f t="shared" si="212"/>
        <v>749999.99999999977</v>
      </c>
      <c r="BK128" s="20">
        <f t="shared" si="212"/>
        <v>0</v>
      </c>
    </row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</sheetData>
  <phoneticPr fontId="9" type="noConversion"/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96</vt:i4>
      </vt:variant>
    </vt:vector>
  </HeadingPairs>
  <TitlesOfParts>
    <vt:vector size="104" baseType="lpstr">
      <vt:lpstr>Inputs</vt:lpstr>
      <vt:lpstr>R_Inputs</vt:lpstr>
      <vt:lpstr>M_Onedeal</vt:lpstr>
      <vt:lpstr>R_Onedeal</vt:lpstr>
      <vt:lpstr>R_MultDeal</vt:lpstr>
      <vt:lpstr>R_SingleFund</vt:lpstr>
      <vt:lpstr>M_MultDeal</vt:lpstr>
      <vt:lpstr>M_Singlefund</vt:lpstr>
      <vt:lpstr>array_lotfactor</vt:lpstr>
      <vt:lpstr>c_equity_init</vt:lpstr>
      <vt:lpstr>c_equity_perlot</vt:lpstr>
      <vt:lpstr>c_equity_tot</vt:lpstr>
      <vt:lpstr>c_hurdle1_hnw</vt:lpstr>
      <vt:lpstr>c_hurdle1_inst</vt:lpstr>
      <vt:lpstr>c_hurdle2_hnw</vt:lpstr>
      <vt:lpstr>c_hurdle2_inst</vt:lpstr>
      <vt:lpstr>c_improvecosts</vt:lpstr>
      <vt:lpstr>c_improvemonth</vt:lpstr>
      <vt:lpstr>c_initialseniordebt</vt:lpstr>
      <vt:lpstr>c_invsplit1_hnw</vt:lpstr>
      <vt:lpstr>c_invsplit1_inst</vt:lpstr>
      <vt:lpstr>c_invsplit2_hnw</vt:lpstr>
      <vt:lpstr>c_invsplit2_inst</vt:lpstr>
      <vt:lpstr>c_invsplit3_hnw</vt:lpstr>
      <vt:lpstr>c_invsplit3_inst</vt:lpstr>
      <vt:lpstr>c_lastsalemonth</vt:lpstr>
      <vt:lpstr>c_lotfactor</vt:lpstr>
      <vt:lpstr>c_lotyears</vt:lpstr>
      <vt:lpstr>c_maxlots</vt:lpstr>
      <vt:lpstr>c_maxterm</vt:lpstr>
      <vt:lpstr>c_monthfactor</vt:lpstr>
      <vt:lpstr>c_offset</vt:lpstr>
      <vt:lpstr>c_optionpmt</vt:lpstr>
      <vt:lpstr>c_releaseprice</vt:lpstr>
      <vt:lpstr>c_seniordebt</vt:lpstr>
      <vt:lpstr>c_seniorfee</vt:lpstr>
      <vt:lpstr>c_seniorintreserve</vt:lpstr>
      <vt:lpstr>c_totalcosts</vt:lpstr>
      <vt:lpstr>c_toteqinfusion</vt:lpstr>
      <vt:lpstr>cfs_from</vt:lpstr>
      <vt:lpstr>cfs_to</vt:lpstr>
      <vt:lpstr>R_Inputs!col_income</vt:lpstr>
      <vt:lpstr>funds_to</vt:lpstr>
      <vt:lpstr>i_amfee</vt:lpstr>
      <vt:lpstr>i_company</vt:lpstr>
      <vt:lpstr>i_costvector</vt:lpstr>
      <vt:lpstr>i_equity</vt:lpstr>
      <vt:lpstr>i_gpdiscrate</vt:lpstr>
      <vt:lpstr>i_gpmgtfee</vt:lpstr>
      <vt:lpstr>i_gpmgtfeepcta</vt:lpstr>
      <vt:lpstr>i_gpmgtfeepctb</vt:lpstr>
      <vt:lpstr>i_gpnamea</vt:lpstr>
      <vt:lpstr>i_gpnameb</vt:lpstr>
      <vt:lpstr>i_gppromotepcta</vt:lpstr>
      <vt:lpstr>i_gppromotepctb</vt:lpstr>
      <vt:lpstr>i_hurdle1_hnw</vt:lpstr>
      <vt:lpstr>i_hurdle1_inst</vt:lpstr>
      <vt:lpstr>i_hurdle2_hnw</vt:lpstr>
      <vt:lpstr>i_hurdle2_inst</vt:lpstr>
      <vt:lpstr>i_institutional</vt:lpstr>
      <vt:lpstr>i_landcost</vt:lpstr>
      <vt:lpstr>i_lotimprovecost</vt:lpstr>
      <vt:lpstr>i_lotsalesprice</vt:lpstr>
      <vt:lpstr>i_lotstotal</vt:lpstr>
      <vt:lpstr>i_maxequity</vt:lpstr>
      <vt:lpstr>i_maxoptionpct</vt:lpstr>
      <vt:lpstr>i_optionpct</vt:lpstr>
      <vt:lpstr>i_optionrefund</vt:lpstr>
      <vt:lpstr>i_othercosts</vt:lpstr>
      <vt:lpstr>i_partner</vt:lpstr>
      <vt:lpstr>i_pctequity_hnw</vt:lpstr>
      <vt:lpstr>i_pctequity_inst</vt:lpstr>
      <vt:lpstr>i_prime</vt:lpstr>
      <vt:lpstr>i_primecap</vt:lpstr>
      <vt:lpstr>i_primeincrease</vt:lpstr>
      <vt:lpstr>i_primespread</vt:lpstr>
      <vt:lpstr>i_promotecatchup</vt:lpstr>
      <vt:lpstr>i_releaseprice</vt:lpstr>
      <vt:lpstr>i_scendesc</vt:lpstr>
      <vt:lpstr>i_senior360</vt:lpstr>
      <vt:lpstr>i_seniordrawovertime</vt:lpstr>
      <vt:lpstr>i_seniorfee</vt:lpstr>
      <vt:lpstr>i_seniorintreserve</vt:lpstr>
      <vt:lpstr>i_seniorpct</vt:lpstr>
      <vt:lpstr>i_soldvector</vt:lpstr>
      <vt:lpstr>i_split1_hnw</vt:lpstr>
      <vt:lpstr>i_split1_inst</vt:lpstr>
      <vt:lpstr>i_split2_hnw</vt:lpstr>
      <vt:lpstr>i_split2_inst</vt:lpstr>
      <vt:lpstr>i_split3_hnw</vt:lpstr>
      <vt:lpstr>i_split3_inst</vt:lpstr>
      <vt:lpstr>i_transfee</vt:lpstr>
      <vt:lpstr>p_lotsperyear</vt:lpstr>
      <vt:lpstr>Inputs!Print_Area</vt:lpstr>
      <vt:lpstr>M_Onedeal!Print_Area</vt:lpstr>
      <vt:lpstr>R_Inputs!Print_Area</vt:lpstr>
      <vt:lpstr>R_MultDeal!Print_Area</vt:lpstr>
      <vt:lpstr>R_Onedeal!Print_Area</vt:lpstr>
      <vt:lpstr>R_SingleFund!Print_Area</vt:lpstr>
      <vt:lpstr>M_MultDeal!Print_Titles</vt:lpstr>
      <vt:lpstr>M_Onedeal!Print_Titles</vt:lpstr>
      <vt:lpstr>R_MultDeal!Print_Titles</vt:lpstr>
      <vt:lpstr>R_Onedeal!Print_Titles</vt:lpstr>
      <vt:lpstr>R_SingleFund!Print_Titles</vt:lpstr>
    </vt:vector>
  </TitlesOfParts>
  <Company>Condor Capital Advisors,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Inca Lot Financing Model</dc:title>
  <dc:creator>Ron Kaminker</dc:creator>
  <dc:description>Proprietary and Confidential_x000d_
Condor capital Advisors. LLC_x000d_
1800 Avenue of the Stars, #320_x000d_
LA CA 90067_x000d_
310 272 1390_x000d_
Ron@condoradvisors.com</dc:description>
  <cp:lastModifiedBy>Gregg Wolin</cp:lastModifiedBy>
  <cp:lastPrinted>2013-06-24T22:33:01Z</cp:lastPrinted>
  <dcterms:created xsi:type="dcterms:W3CDTF">1998-06-23T22:11:24Z</dcterms:created>
  <dcterms:modified xsi:type="dcterms:W3CDTF">2025-04-30T14:23:07Z</dcterms:modified>
</cp:coreProperties>
</file>