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05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OneDrive-CrescentBayHoldings\2Pursuit\_Clarendon - SunValley\00 - Investment Summary &amp; Proforma\"/>
    </mc:Choice>
  </mc:AlternateContent>
  <xr:revisionPtr revIDLastSave="0" documentId="13_ncr:1_{8ABDF96A-A747-448E-A8AA-F4CE5DFBA43E}" xr6:coauthVersionLast="47" xr6:coauthVersionMax="47" xr10:uidLastSave="{00000000-0000-0000-0000-000000000000}"/>
  <bookViews>
    <workbookView xWindow="10500" yWindow="0" windowWidth="27990" windowHeight="20985" tabRatio="384" xr2:uid="{763D7D09-4926-A343-A46A-2EBD09320A0E}"/>
  </bookViews>
  <sheets>
    <sheet name="Project" sheetId="14" r:id="rId1"/>
    <sheet name="Reports" sheetId="16" r:id="rId2"/>
    <sheet name="CALCS" sheetId="4" r:id="rId3"/>
    <sheet name="Paramount" sheetId="15" state="hidden" r:id="rId4"/>
  </sheets>
  <definedNames>
    <definedName name="_Order1" hidden="1">0</definedName>
    <definedName name="c_date.Complete">Project!$A$11</definedName>
    <definedName name="c_date.Sale">Project!$G$13</definedName>
    <definedName name="c_equity.Total">Project!$P$18</definedName>
    <definedName name="c_EquityShare.LP">Project!$Q$36</definedName>
    <definedName name="c_period.Complete">Project!$I$32</definedName>
    <definedName name="c_rate.Hurdle1.MO">(1+i_rate.Hurdle1)^(1/12)-1</definedName>
    <definedName name="c_rate.Hurdle2.MO">(1+i_rate.Hurdle2)^(1/12)-1</definedName>
    <definedName name="c_rate.Hurdle3.MO">(1+i_rate.Hurdle3)^(1/12)-1</definedName>
    <definedName name="c_rate.Pref.MO">(((i_rate.Pref/1+1)^(1/12))-1)</definedName>
    <definedName name="c_SeniorLoan.CloseMonth">CALCS!$G$42</definedName>
    <definedName name="cv_Period.MO">CALCS!$AA$5:$AA$359</definedName>
    <definedName name="i_address">Project!$E$9</definedName>
    <definedName name="i_date.Start">Project!$F$20</definedName>
    <definedName name="i_EquityShare.GP">Project!$P$36</definedName>
    <definedName name="i_rate.Conting">Project!$F$39</definedName>
    <definedName name="i_rate.Hurdle1">Project!$N$42</definedName>
    <definedName name="i_rate.Hurdle2">Project!$N$43</definedName>
    <definedName name="i_rate.Hurdle3">Project!$N$44</definedName>
    <definedName name="i_rate.Pref">Project!$N$41</definedName>
    <definedName name="IntroPrintArea" hidden="1">#REF!</definedName>
    <definedName name="list_month.Names">TEXT(DATE(2023, _xlfn.SEQUENCE(12, 1, 1), 1), "mmm")</definedName>
    <definedName name="Max_Row" hidden="1">MATCH(MAX(#REF!),#REF!,0)+9</definedName>
    <definedName name="_xlnm.Print_Area" localSheetId="0">Project!$AC$9:$AO$61</definedName>
    <definedName name="rng_assumptions.Basic">Project!$F$10:$F$31</definedName>
    <definedName name="rng_assumptions.Indirect">Project!$F$35:$F$40</definedName>
    <definedName name="rng_costStart.Active">Project!$H$24:$H$31</definedName>
    <definedName name="rng_costToCompl.Active">Project!$I$24:$I$31</definedName>
    <definedName name="rng_debt">Project!$P$12:$P$17</definedName>
    <definedName name="rng_promoteRates">Project!$O$42:$O$45</definedName>
    <definedName name="rng_results.Active">Project!$G$48:$G$53</definedName>
    <definedName name="rng_waterfallHurdles">Project!$N$41:$N$44</definedName>
    <definedName name="rpt_Proforma">Reports!$C$7:$H$50</definedName>
    <definedName name="test">Project!$P$12,Project!$P$13:$P$17</definedName>
    <definedName name="TOC_Hdg_1" hidden="1">#REF!</definedName>
    <definedName name="TOC_Hdg_10" hidden="1">#REF!</definedName>
    <definedName name="TOC_Hdg_11" hidden="1">#REF!</definedName>
    <definedName name="TOC_Hdg_12" hidden="1">#REF!</definedName>
    <definedName name="TOC_Hdg_13" hidden="1">#REF!</definedName>
    <definedName name="TOC_Hdg_15" hidden="1">#REF!</definedName>
    <definedName name="TOC_Hdg_16" hidden="1">#REF!</definedName>
    <definedName name="TOC_Hdg_17" hidden="1">#REF!</definedName>
    <definedName name="TOC_Hdg_2" hidden="1">#REF!</definedName>
    <definedName name="TOC_Hdg_21" hidden="1">#REF!</definedName>
    <definedName name="TOC_Hdg_24" hidden="1">#REF!</definedName>
    <definedName name="TOC_Hdg_3" hidden="1">#REF!</definedName>
    <definedName name="TOC_Hdg_32" hidden="1">#REF!</definedName>
    <definedName name="TOC_Hdg_5" hidden="1">#REF!</definedName>
    <definedName name="TOC_Hdg_6" hidden="1">#REF!</definedName>
    <definedName name="TOC_Hdg_7" hidden="1">#REF!</definedName>
    <definedName name="TOC_Hdg_8" hidden="1">#REF!</definedName>
    <definedName name="TOC_Hdg_9" hidden="1">#REF!</definedName>
    <definedName name="vertex42_copyright" hidden="1">"© 2017 Vertex42 LLC"</definedName>
    <definedName name="vertex42_id" hidden="1">"construction-schedule.xlsx"</definedName>
    <definedName name="vertex42_title" hidden="1">"Construction Schedule Template"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7" i="14" l="1"/>
  <c r="H25" i="14"/>
  <c r="V32" i="14"/>
  <c r="U80" i="14" a="1"/>
  <c r="U80" i="14" s="1"/>
  <c r="U71" i="14" a="1"/>
  <c r="U71" i="14" s="1"/>
  <c r="U70" i="14"/>
  <c r="N58" i="14" a="1"/>
  <c r="N58" i="14" s="1"/>
  <c r="W9" i="14"/>
  <c r="X9" i="14" s="1"/>
  <c r="Y9" i="14" s="1"/>
  <c r="BJ175" i="4"/>
  <c r="BJ174" i="4"/>
  <c r="BJ173" i="4"/>
  <c r="BJ172" i="4"/>
  <c r="BJ171" i="4"/>
  <c r="BJ170" i="4"/>
  <c r="BJ169" i="4"/>
  <c r="BJ168" i="4"/>
  <c r="BJ167" i="4"/>
  <c r="BJ166" i="4"/>
  <c r="BJ165" i="4"/>
  <c r="BJ164" i="4"/>
  <c r="BJ163" i="4"/>
  <c r="BJ162" i="4"/>
  <c r="BJ161" i="4"/>
  <c r="BJ160" i="4"/>
  <c r="BJ159" i="4"/>
  <c r="BJ158" i="4"/>
  <c r="BJ157" i="4"/>
  <c r="BJ156" i="4"/>
  <c r="BJ155" i="4"/>
  <c r="BJ154" i="4"/>
  <c r="BJ153" i="4"/>
  <c r="BJ152" i="4"/>
  <c r="BJ151" i="4"/>
  <c r="BJ150" i="4"/>
  <c r="BJ149" i="4"/>
  <c r="BJ148" i="4"/>
  <c r="BJ147" i="4"/>
  <c r="BJ146" i="4"/>
  <c r="BJ145" i="4"/>
  <c r="BJ144" i="4"/>
  <c r="BJ143" i="4"/>
  <c r="BJ142" i="4"/>
  <c r="BJ141" i="4"/>
  <c r="BJ140" i="4"/>
  <c r="BJ139" i="4"/>
  <c r="BJ138" i="4"/>
  <c r="BJ137" i="4"/>
  <c r="BJ136" i="4"/>
  <c r="BJ135" i="4"/>
  <c r="BJ134" i="4"/>
  <c r="BJ133" i="4"/>
  <c r="BJ132" i="4"/>
  <c r="BJ131" i="4"/>
  <c r="BJ130" i="4"/>
  <c r="BJ129" i="4"/>
  <c r="BJ128" i="4"/>
  <c r="BJ127" i="4"/>
  <c r="BJ126" i="4"/>
  <c r="BJ125" i="4"/>
  <c r="BJ124" i="4"/>
  <c r="BJ123" i="4"/>
  <c r="BJ122" i="4"/>
  <c r="BJ121" i="4"/>
  <c r="BJ120" i="4"/>
  <c r="BJ119" i="4"/>
  <c r="BJ118" i="4"/>
  <c r="BJ117" i="4"/>
  <c r="BJ116" i="4"/>
  <c r="BJ115" i="4"/>
  <c r="BJ114" i="4"/>
  <c r="BJ113" i="4"/>
  <c r="BJ112" i="4"/>
  <c r="BJ111" i="4"/>
  <c r="BJ110" i="4"/>
  <c r="BJ109" i="4"/>
  <c r="BJ108" i="4"/>
  <c r="BJ107" i="4"/>
  <c r="BJ106" i="4"/>
  <c r="BJ105" i="4"/>
  <c r="BJ104" i="4"/>
  <c r="BJ103" i="4"/>
  <c r="CD188" i="4"/>
  <c r="BR188" i="4"/>
  <c r="CD187" i="4"/>
  <c r="BR187" i="4"/>
  <c r="CD186" i="4"/>
  <c r="BR186" i="4"/>
  <c r="CD185" i="4"/>
  <c r="BR185" i="4"/>
  <c r="CR175" i="4" a="1"/>
  <c r="CR175" i="4" s="1"/>
  <c r="CQ175" i="4"/>
  <c r="CF175" i="4" a="1"/>
  <c r="CF175" i="4" s="1"/>
  <c r="CE175" i="4"/>
  <c r="BU175" i="4" a="1"/>
  <c r="BU175" i="4" s="1"/>
  <c r="BT175" i="4"/>
  <c r="BQ175" i="4"/>
  <c r="BL175" i="4"/>
  <c r="BV175" i="4" s="1"/>
  <c r="BI175" i="4"/>
  <c r="CR174" i="4" a="1"/>
  <c r="CR174" i="4" s="1"/>
  <c r="CQ174" i="4"/>
  <c r="CF174" i="4" a="1"/>
  <c r="CF174" i="4" s="1"/>
  <c r="CE174" i="4"/>
  <c r="BU174" i="4" a="1"/>
  <c r="BU174" i="4" s="1"/>
  <c r="BT174" i="4"/>
  <c r="BQ174" i="4"/>
  <c r="BL174" i="4"/>
  <c r="BI174" i="4"/>
  <c r="BK174" i="4" s="1" a="1"/>
  <c r="BK174" i="4" s="1"/>
  <c r="CR173" i="4" a="1"/>
  <c r="CR173" i="4" s="1"/>
  <c r="CQ173" i="4"/>
  <c r="CF173" i="4" a="1"/>
  <c r="CF173" i="4" s="1"/>
  <c r="CE173" i="4"/>
  <c r="BU173" i="4" a="1"/>
  <c r="BU173" i="4" s="1"/>
  <c r="BT173" i="4"/>
  <c r="BQ173" i="4"/>
  <c r="BL173" i="4"/>
  <c r="BV173" i="4" s="1"/>
  <c r="BI173" i="4"/>
  <c r="BK173" i="4" s="1" a="1"/>
  <c r="BK173" i="4" s="1"/>
  <c r="CR172" i="4" a="1"/>
  <c r="CR172" i="4" s="1"/>
  <c r="CQ172" i="4"/>
  <c r="CF172" i="4" a="1"/>
  <c r="CF172" i="4" s="1"/>
  <c r="CE172" i="4"/>
  <c r="BU172" i="4" a="1"/>
  <c r="BU172" i="4" s="1"/>
  <c r="BT172" i="4"/>
  <c r="BQ172" i="4"/>
  <c r="BL172" i="4"/>
  <c r="BV172" i="4" s="1"/>
  <c r="BI172" i="4"/>
  <c r="BK172" i="4" s="1" a="1"/>
  <c r="BK172" i="4" s="1"/>
  <c r="CR171" i="4" a="1"/>
  <c r="CR171" i="4" s="1"/>
  <c r="CQ171" i="4"/>
  <c r="CF171" i="4" a="1"/>
  <c r="CF171" i="4" s="1"/>
  <c r="CE171" i="4"/>
  <c r="BU171" i="4" a="1"/>
  <c r="BU171" i="4" s="1"/>
  <c r="BT171" i="4"/>
  <c r="BQ171" i="4"/>
  <c r="BL171" i="4"/>
  <c r="BV171" i="4" s="1"/>
  <c r="BI171" i="4"/>
  <c r="CR170" i="4" a="1"/>
  <c r="CR170" i="4" s="1"/>
  <c r="CQ170" i="4"/>
  <c r="CF170" i="4" a="1"/>
  <c r="CF170" i="4" s="1"/>
  <c r="CE170" i="4"/>
  <c r="BU170" i="4" a="1"/>
  <c r="BU170" i="4" s="1"/>
  <c r="BT170" i="4"/>
  <c r="BQ170" i="4"/>
  <c r="BL170" i="4"/>
  <c r="BV170" i="4" s="1"/>
  <c r="BI170" i="4"/>
  <c r="CR169" i="4" a="1"/>
  <c r="CR169" i="4" s="1"/>
  <c r="CQ169" i="4"/>
  <c r="CF169" i="4" a="1"/>
  <c r="CF169" i="4" s="1"/>
  <c r="CE169" i="4"/>
  <c r="BU169" i="4" a="1"/>
  <c r="BU169" i="4" s="1"/>
  <c r="BT169" i="4"/>
  <c r="BQ169" i="4"/>
  <c r="BL169" i="4"/>
  <c r="BI169" i="4"/>
  <c r="CR168" i="4" a="1"/>
  <c r="CR168" i="4" s="1"/>
  <c r="CQ168" i="4"/>
  <c r="CF168" i="4" a="1"/>
  <c r="CF168" i="4" s="1"/>
  <c r="CE168" i="4"/>
  <c r="BU168" i="4" a="1"/>
  <c r="BU168" i="4" s="1"/>
  <c r="BT168" i="4"/>
  <c r="BQ168" i="4"/>
  <c r="BL168" i="4"/>
  <c r="BI168" i="4"/>
  <c r="CR167" i="4" a="1"/>
  <c r="CR167" i="4" s="1"/>
  <c r="CQ167" i="4"/>
  <c r="CF167" i="4" a="1"/>
  <c r="CF167" i="4" s="1"/>
  <c r="CE167" i="4"/>
  <c r="BU167" i="4" a="1"/>
  <c r="BU167" i="4" s="1"/>
  <c r="BT167" i="4"/>
  <c r="BQ167" i="4"/>
  <c r="BL167" i="4"/>
  <c r="BV167" i="4" s="1"/>
  <c r="BI167" i="4"/>
  <c r="BO167" i="4" s="1"/>
  <c r="CR166" i="4" a="1"/>
  <c r="CR166" i="4" s="1"/>
  <c r="CQ166" i="4"/>
  <c r="CF166" i="4" a="1"/>
  <c r="CF166" i="4" s="1"/>
  <c r="CE166" i="4"/>
  <c r="BU166" i="4" a="1"/>
  <c r="BU166" i="4" s="1"/>
  <c r="BT166" i="4"/>
  <c r="BQ166" i="4"/>
  <c r="BL166" i="4"/>
  <c r="BV166" i="4" s="1"/>
  <c r="BI166" i="4"/>
  <c r="BO166" i="4" s="1"/>
  <c r="CR165" i="4" a="1"/>
  <c r="CR165" i="4" s="1"/>
  <c r="CQ165" i="4"/>
  <c r="CF165" i="4" a="1"/>
  <c r="CF165" i="4" s="1"/>
  <c r="CE165" i="4"/>
  <c r="BU165" i="4" a="1"/>
  <c r="BU165" i="4" s="1"/>
  <c r="BT165" i="4"/>
  <c r="BQ165" i="4"/>
  <c r="BL165" i="4"/>
  <c r="BI165" i="4"/>
  <c r="BK165" i="4" s="1" a="1"/>
  <c r="BK165" i="4" s="1"/>
  <c r="CR164" i="4" a="1"/>
  <c r="CR164" i="4" s="1"/>
  <c r="CQ164" i="4"/>
  <c r="CF164" i="4" a="1"/>
  <c r="CF164" i="4" s="1"/>
  <c r="CE164" i="4"/>
  <c r="BU164" i="4" a="1"/>
  <c r="BU164" i="4" s="1"/>
  <c r="BT164" i="4"/>
  <c r="BQ164" i="4"/>
  <c r="BL164" i="4"/>
  <c r="BI164" i="4"/>
  <c r="BO164" i="4" s="1"/>
  <c r="CR163" i="4" a="1"/>
  <c r="CR163" i="4" s="1"/>
  <c r="CQ163" i="4"/>
  <c r="CF163" i="4" a="1"/>
  <c r="CF163" i="4" s="1"/>
  <c r="CE163" i="4"/>
  <c r="BU163" i="4" a="1"/>
  <c r="BU163" i="4" s="1"/>
  <c r="BT163" i="4"/>
  <c r="BQ163" i="4"/>
  <c r="BL163" i="4"/>
  <c r="BV163" i="4" s="1"/>
  <c r="BI163" i="4"/>
  <c r="CR162" i="4" a="1"/>
  <c r="CR162" i="4" s="1"/>
  <c r="CQ162" i="4"/>
  <c r="CF162" i="4" a="1"/>
  <c r="CF162" i="4" s="1"/>
  <c r="CE162" i="4"/>
  <c r="BU162" i="4" a="1"/>
  <c r="BU162" i="4" s="1"/>
  <c r="BT162" i="4"/>
  <c r="BQ162" i="4"/>
  <c r="BL162" i="4"/>
  <c r="BV162" i="4" s="1"/>
  <c r="BI162" i="4"/>
  <c r="BK162" i="4" s="1" a="1"/>
  <c r="BK162" i="4" s="1"/>
  <c r="CR161" i="4" a="1"/>
  <c r="CR161" i="4" s="1"/>
  <c r="CQ161" i="4"/>
  <c r="CF161" i="4" a="1"/>
  <c r="CF161" i="4" s="1"/>
  <c r="CE161" i="4"/>
  <c r="BU161" i="4" a="1"/>
  <c r="BU161" i="4" s="1"/>
  <c r="BT161" i="4"/>
  <c r="BQ161" i="4"/>
  <c r="BL161" i="4"/>
  <c r="BV161" i="4" s="1"/>
  <c r="BI161" i="4"/>
  <c r="BK161" i="4" s="1" a="1"/>
  <c r="BK161" i="4" s="1"/>
  <c r="CR160" i="4" a="1"/>
  <c r="CR160" i="4" s="1"/>
  <c r="CQ160" i="4"/>
  <c r="CF160" i="4" a="1"/>
  <c r="CF160" i="4" s="1"/>
  <c r="CE160" i="4"/>
  <c r="BU160" i="4" a="1"/>
  <c r="BU160" i="4" s="1"/>
  <c r="BT160" i="4"/>
  <c r="BQ160" i="4"/>
  <c r="BL160" i="4"/>
  <c r="BI160" i="4"/>
  <c r="BK160" i="4" s="1" a="1"/>
  <c r="BK160" i="4" s="1"/>
  <c r="CR159" i="4" a="1"/>
  <c r="CR159" i="4" s="1"/>
  <c r="CQ159" i="4"/>
  <c r="CF159" i="4" a="1"/>
  <c r="CF159" i="4" s="1"/>
  <c r="CE159" i="4"/>
  <c r="BU159" i="4" a="1"/>
  <c r="BU159" i="4" s="1"/>
  <c r="BT159" i="4"/>
  <c r="BQ159" i="4"/>
  <c r="BL159" i="4"/>
  <c r="BI159" i="4"/>
  <c r="BK159" i="4" s="1" a="1"/>
  <c r="BK159" i="4" s="1"/>
  <c r="CR158" i="4" a="1"/>
  <c r="CR158" i="4" s="1"/>
  <c r="CQ158" i="4"/>
  <c r="CF158" i="4" a="1"/>
  <c r="CF158" i="4" s="1"/>
  <c r="CE158" i="4"/>
  <c r="BU158" i="4" a="1"/>
  <c r="BU158" i="4" s="1"/>
  <c r="BT158" i="4"/>
  <c r="BQ158" i="4"/>
  <c r="BL158" i="4"/>
  <c r="BV158" i="4" s="1"/>
  <c r="BI158" i="4"/>
  <c r="CR157" i="4" a="1"/>
  <c r="CR157" i="4" s="1"/>
  <c r="CQ157" i="4"/>
  <c r="CF157" i="4" a="1"/>
  <c r="CF157" i="4" s="1"/>
  <c r="CE157" i="4"/>
  <c r="BU157" i="4" a="1"/>
  <c r="BU157" i="4" s="1"/>
  <c r="BT157" i="4"/>
  <c r="BQ157" i="4"/>
  <c r="BL157" i="4"/>
  <c r="BI157" i="4"/>
  <c r="BK157" i="4" s="1" a="1"/>
  <c r="BK157" i="4" s="1"/>
  <c r="CR156" i="4" a="1"/>
  <c r="CR156" i="4" s="1"/>
  <c r="CQ156" i="4"/>
  <c r="CF156" i="4" a="1"/>
  <c r="CF156" i="4" s="1"/>
  <c r="CE156" i="4"/>
  <c r="BU156" i="4" a="1"/>
  <c r="BU156" i="4" s="1"/>
  <c r="BT156" i="4"/>
  <c r="BQ156" i="4"/>
  <c r="BL156" i="4"/>
  <c r="BV156" i="4" s="1"/>
  <c r="BI156" i="4"/>
  <c r="BK156" i="4" s="1" a="1"/>
  <c r="BK156" i="4" s="1"/>
  <c r="CR155" i="4" a="1"/>
  <c r="CR155" i="4" s="1"/>
  <c r="CQ155" i="4"/>
  <c r="CF155" i="4" a="1"/>
  <c r="CF155" i="4" s="1"/>
  <c r="CE155" i="4"/>
  <c r="BU155" i="4" a="1"/>
  <c r="BU155" i="4" s="1"/>
  <c r="BT155" i="4"/>
  <c r="BQ155" i="4"/>
  <c r="BL155" i="4"/>
  <c r="BV155" i="4" s="1"/>
  <c r="BI155" i="4"/>
  <c r="CR154" i="4" a="1"/>
  <c r="CR154" i="4" s="1"/>
  <c r="CQ154" i="4"/>
  <c r="CF154" i="4" a="1"/>
  <c r="CF154" i="4" s="1"/>
  <c r="CE154" i="4"/>
  <c r="BU154" i="4" a="1"/>
  <c r="BU154" i="4" s="1"/>
  <c r="BT154" i="4"/>
  <c r="BQ154" i="4"/>
  <c r="BL154" i="4"/>
  <c r="BI154" i="4"/>
  <c r="BK154" i="4" s="1" a="1"/>
  <c r="BK154" i="4" s="1"/>
  <c r="CR153" i="4" a="1"/>
  <c r="CR153" i="4" s="1"/>
  <c r="CQ153" i="4"/>
  <c r="CF153" i="4" a="1"/>
  <c r="CF153" i="4" s="1"/>
  <c r="CE153" i="4"/>
  <c r="BU153" i="4" a="1"/>
  <c r="BU153" i="4" s="1"/>
  <c r="BT153" i="4"/>
  <c r="BQ153" i="4"/>
  <c r="BL153" i="4"/>
  <c r="BV153" i="4" s="1"/>
  <c r="BI153" i="4"/>
  <c r="BO153" i="4" s="1"/>
  <c r="CR152" i="4" a="1"/>
  <c r="CR152" i="4" s="1"/>
  <c r="CQ152" i="4"/>
  <c r="CF152" i="4" a="1"/>
  <c r="CF152" i="4" s="1"/>
  <c r="CE152" i="4"/>
  <c r="BU152" i="4" a="1"/>
  <c r="BU152" i="4" s="1"/>
  <c r="BT152" i="4"/>
  <c r="BQ152" i="4"/>
  <c r="BL152" i="4"/>
  <c r="BV152" i="4" s="1"/>
  <c r="BI152" i="4"/>
  <c r="CR151" i="4" a="1"/>
  <c r="CR151" i="4" s="1"/>
  <c r="CQ151" i="4"/>
  <c r="CF151" i="4" a="1"/>
  <c r="CF151" i="4" s="1"/>
  <c r="CE151" i="4"/>
  <c r="BU151" i="4" a="1"/>
  <c r="BU151" i="4" s="1"/>
  <c r="BT151" i="4"/>
  <c r="BQ151" i="4"/>
  <c r="BL151" i="4"/>
  <c r="BV151" i="4" s="1"/>
  <c r="BI151" i="4"/>
  <c r="BK151" i="4" s="1" a="1"/>
  <c r="BK151" i="4" s="1"/>
  <c r="CR150" i="4" a="1"/>
  <c r="CR150" i="4" s="1"/>
  <c r="CQ150" i="4"/>
  <c r="CF150" i="4" a="1"/>
  <c r="CF150" i="4" s="1"/>
  <c r="CE150" i="4"/>
  <c r="BU150" i="4" a="1"/>
  <c r="BU150" i="4" s="1"/>
  <c r="BT150" i="4"/>
  <c r="BQ150" i="4"/>
  <c r="BL150" i="4"/>
  <c r="BV150" i="4" s="1"/>
  <c r="BI150" i="4"/>
  <c r="CR149" i="4" a="1"/>
  <c r="CR149" i="4" s="1"/>
  <c r="CQ149" i="4"/>
  <c r="CF149" i="4" a="1"/>
  <c r="CF149" i="4" s="1"/>
  <c r="CE149" i="4"/>
  <c r="BU149" i="4" a="1"/>
  <c r="BU149" i="4" s="1"/>
  <c r="BT149" i="4"/>
  <c r="BQ149" i="4"/>
  <c r="BL149" i="4"/>
  <c r="BV149" i="4" s="1"/>
  <c r="BI149" i="4"/>
  <c r="BK149" i="4" s="1" a="1"/>
  <c r="BK149" i="4" s="1"/>
  <c r="CR148" i="4" a="1"/>
  <c r="CR148" i="4" s="1"/>
  <c r="CQ148" i="4"/>
  <c r="CF148" i="4" a="1"/>
  <c r="CF148" i="4" s="1"/>
  <c r="CE148" i="4"/>
  <c r="BU148" i="4" a="1"/>
  <c r="BU148" i="4" s="1"/>
  <c r="BT148" i="4"/>
  <c r="BQ148" i="4"/>
  <c r="BL148" i="4"/>
  <c r="BI148" i="4"/>
  <c r="BK148" i="4" s="1" a="1"/>
  <c r="BK148" i="4" s="1"/>
  <c r="CR147" i="4" a="1"/>
  <c r="CR147" i="4" s="1"/>
  <c r="CQ147" i="4"/>
  <c r="CF147" i="4" a="1"/>
  <c r="CF147" i="4" s="1"/>
  <c r="CE147" i="4"/>
  <c r="BU147" i="4" a="1"/>
  <c r="BU147" i="4" s="1"/>
  <c r="BT147" i="4"/>
  <c r="BQ147" i="4"/>
  <c r="BL147" i="4"/>
  <c r="BI147" i="4"/>
  <c r="BK147" i="4" s="1" a="1"/>
  <c r="BK147" i="4" s="1"/>
  <c r="CR146" i="4" a="1"/>
  <c r="CR146" i="4" s="1"/>
  <c r="CQ146" i="4"/>
  <c r="CF146" i="4" a="1"/>
  <c r="CF146" i="4" s="1"/>
  <c r="CE146" i="4"/>
  <c r="BU146" i="4" a="1"/>
  <c r="BU146" i="4" s="1"/>
  <c r="BT146" i="4"/>
  <c r="BQ146" i="4"/>
  <c r="BL146" i="4"/>
  <c r="BV146" i="4" s="1"/>
  <c r="BI146" i="4"/>
  <c r="CR145" i="4" a="1"/>
  <c r="CR145" i="4" s="1"/>
  <c r="CQ145" i="4"/>
  <c r="CF145" i="4" a="1"/>
  <c r="CF145" i="4" s="1"/>
  <c r="CE145" i="4"/>
  <c r="BU145" i="4" a="1"/>
  <c r="BU145" i="4" s="1"/>
  <c r="BT145" i="4"/>
  <c r="BQ145" i="4"/>
  <c r="BL145" i="4"/>
  <c r="BI145" i="4"/>
  <c r="CR144" i="4" a="1"/>
  <c r="CR144" i="4" s="1"/>
  <c r="CQ144" i="4"/>
  <c r="CF144" i="4" a="1"/>
  <c r="CF144" i="4" s="1"/>
  <c r="CE144" i="4"/>
  <c r="BU144" i="4" a="1"/>
  <c r="BU144" i="4" s="1"/>
  <c r="BT144" i="4"/>
  <c r="BQ144" i="4"/>
  <c r="BL144" i="4"/>
  <c r="BV144" i="4" s="1"/>
  <c r="BI144" i="4"/>
  <c r="BK144" i="4" s="1" a="1"/>
  <c r="BK144" i="4" s="1"/>
  <c r="CR143" i="4" a="1"/>
  <c r="CR143" i="4" s="1"/>
  <c r="CQ143" i="4"/>
  <c r="CF143" i="4" a="1"/>
  <c r="CF143" i="4" s="1"/>
  <c r="CE143" i="4"/>
  <c r="BU143" i="4" a="1"/>
  <c r="BU143" i="4" s="1"/>
  <c r="BT143" i="4"/>
  <c r="BQ143" i="4"/>
  <c r="BL143" i="4"/>
  <c r="BI143" i="4"/>
  <c r="BK143" i="4" s="1" a="1"/>
  <c r="BK143" i="4" s="1"/>
  <c r="CR142" i="4" a="1"/>
  <c r="CR142" i="4" s="1"/>
  <c r="CQ142" i="4"/>
  <c r="CF142" i="4" a="1"/>
  <c r="CF142" i="4" s="1"/>
  <c r="CE142" i="4"/>
  <c r="BU142" i="4" a="1"/>
  <c r="BU142" i="4" s="1"/>
  <c r="BT142" i="4"/>
  <c r="BQ142" i="4"/>
  <c r="BL142" i="4"/>
  <c r="BI142" i="4"/>
  <c r="BK142" i="4" s="1" a="1"/>
  <c r="BK142" i="4" s="1"/>
  <c r="CR141" i="4" a="1"/>
  <c r="CR141" i="4" s="1"/>
  <c r="CQ141" i="4"/>
  <c r="CF141" i="4" a="1"/>
  <c r="CF141" i="4" s="1"/>
  <c r="CE141" i="4"/>
  <c r="BU141" i="4" a="1"/>
  <c r="BU141" i="4" s="1"/>
  <c r="BT141" i="4"/>
  <c r="BQ141" i="4"/>
  <c r="BL141" i="4"/>
  <c r="BI141" i="4"/>
  <c r="BO141" i="4" s="1"/>
  <c r="CR140" i="4" a="1"/>
  <c r="CR140" i="4" s="1"/>
  <c r="CQ140" i="4"/>
  <c r="CF140" i="4" a="1"/>
  <c r="CF140" i="4" s="1"/>
  <c r="CE140" i="4"/>
  <c r="BU140" i="4" a="1"/>
  <c r="BU140" i="4" s="1"/>
  <c r="BT140" i="4"/>
  <c r="BQ140" i="4"/>
  <c r="BL140" i="4"/>
  <c r="BI140" i="4"/>
  <c r="BO140" i="4" s="1"/>
  <c r="CR139" i="4" a="1"/>
  <c r="CR139" i="4" s="1"/>
  <c r="CQ139" i="4"/>
  <c r="CF139" i="4" a="1"/>
  <c r="CF139" i="4" s="1"/>
  <c r="CE139" i="4"/>
  <c r="BU139" i="4" a="1"/>
  <c r="BU139" i="4" s="1"/>
  <c r="BT139" i="4"/>
  <c r="BQ139" i="4"/>
  <c r="BL139" i="4"/>
  <c r="BI139" i="4"/>
  <c r="BK139" i="4" s="1" a="1"/>
  <c r="BK139" i="4" s="1"/>
  <c r="CR138" i="4" a="1"/>
  <c r="CR138" i="4" s="1"/>
  <c r="CQ138" i="4"/>
  <c r="CF138" i="4" a="1"/>
  <c r="CF138" i="4" s="1"/>
  <c r="CE138" i="4"/>
  <c r="BU138" i="4" a="1"/>
  <c r="BU138" i="4" s="1"/>
  <c r="BT138" i="4"/>
  <c r="BQ138" i="4"/>
  <c r="BL138" i="4"/>
  <c r="BV138" i="4" s="1"/>
  <c r="BI138" i="4"/>
  <c r="BK138" i="4" s="1" a="1"/>
  <c r="BK138" i="4" s="1"/>
  <c r="CR137" i="4" a="1"/>
  <c r="CR137" i="4" s="1"/>
  <c r="CQ137" i="4"/>
  <c r="CF137" i="4" a="1"/>
  <c r="CF137" i="4" s="1"/>
  <c r="CE137" i="4"/>
  <c r="BU137" i="4" a="1"/>
  <c r="BU137" i="4" s="1"/>
  <c r="BT137" i="4"/>
  <c r="BQ137" i="4"/>
  <c r="BL137" i="4"/>
  <c r="BV137" i="4" s="1"/>
  <c r="BI137" i="4"/>
  <c r="BO137" i="4" s="1"/>
  <c r="CR136" i="4" a="1"/>
  <c r="CR136" i="4" s="1"/>
  <c r="CQ136" i="4"/>
  <c r="CF136" i="4" a="1"/>
  <c r="CF136" i="4" s="1"/>
  <c r="CE136" i="4"/>
  <c r="BU136" i="4" a="1"/>
  <c r="BU136" i="4" s="1"/>
  <c r="BT136" i="4"/>
  <c r="BQ136" i="4"/>
  <c r="BL136" i="4"/>
  <c r="BI136" i="4"/>
  <c r="BK136" i="4" s="1" a="1"/>
  <c r="BK136" i="4" s="1"/>
  <c r="CR135" i="4" a="1"/>
  <c r="CR135" i="4" s="1"/>
  <c r="CQ135" i="4"/>
  <c r="CF135" i="4" a="1"/>
  <c r="CF135" i="4" s="1"/>
  <c r="CE135" i="4"/>
  <c r="BU135" i="4" a="1"/>
  <c r="BU135" i="4" s="1"/>
  <c r="BT135" i="4"/>
  <c r="BQ135" i="4"/>
  <c r="BL135" i="4"/>
  <c r="BV135" i="4" s="1"/>
  <c r="BI135" i="4"/>
  <c r="BE135" i="4"/>
  <c r="CR134" i="4" a="1"/>
  <c r="CR134" i="4" s="1"/>
  <c r="CQ134" i="4"/>
  <c r="CF134" i="4" a="1"/>
  <c r="CF134" i="4" s="1"/>
  <c r="CE134" i="4"/>
  <c r="BU134" i="4" a="1"/>
  <c r="BU134" i="4" s="1"/>
  <c r="BT134" i="4"/>
  <c r="BQ134" i="4"/>
  <c r="BL134" i="4"/>
  <c r="BI134" i="4"/>
  <c r="CR133" i="4" a="1"/>
  <c r="CR133" i="4" s="1"/>
  <c r="CQ133" i="4"/>
  <c r="CF133" i="4" a="1"/>
  <c r="CF133" i="4" s="1"/>
  <c r="CE133" i="4"/>
  <c r="BU133" i="4" a="1"/>
  <c r="BU133" i="4" s="1"/>
  <c r="BT133" i="4"/>
  <c r="BQ133" i="4"/>
  <c r="BL133" i="4"/>
  <c r="BI133" i="4"/>
  <c r="BO133" i="4" s="1"/>
  <c r="CR132" i="4" a="1"/>
  <c r="CR132" i="4" s="1"/>
  <c r="CQ132" i="4"/>
  <c r="CF132" i="4" a="1"/>
  <c r="CF132" i="4" s="1"/>
  <c r="CE132" i="4"/>
  <c r="BU132" i="4" a="1"/>
  <c r="BU132" i="4" s="1"/>
  <c r="BT132" i="4"/>
  <c r="BQ132" i="4"/>
  <c r="BL132" i="4"/>
  <c r="BI132" i="4"/>
  <c r="BK132" i="4" s="1" a="1"/>
  <c r="BK132" i="4" s="1"/>
  <c r="CR131" i="4" a="1"/>
  <c r="CR131" i="4" s="1"/>
  <c r="CQ131" i="4"/>
  <c r="CF131" i="4" a="1"/>
  <c r="CF131" i="4" s="1"/>
  <c r="CE131" i="4"/>
  <c r="BU131" i="4" a="1"/>
  <c r="BU131" i="4" s="1"/>
  <c r="BT131" i="4"/>
  <c r="BQ131" i="4"/>
  <c r="BL131" i="4"/>
  <c r="BI131" i="4"/>
  <c r="BO131" i="4" s="1"/>
  <c r="CR130" i="4" a="1"/>
  <c r="CR130" i="4" s="1"/>
  <c r="CQ130" i="4"/>
  <c r="CF130" i="4" a="1"/>
  <c r="CF130" i="4" s="1"/>
  <c r="CE130" i="4"/>
  <c r="BU130" i="4" a="1"/>
  <c r="BU130" i="4" s="1"/>
  <c r="BT130" i="4"/>
  <c r="BQ130" i="4"/>
  <c r="BL130" i="4"/>
  <c r="BI130" i="4"/>
  <c r="BO130" i="4" s="1"/>
  <c r="CR129" i="4" a="1"/>
  <c r="CR129" i="4" s="1"/>
  <c r="CQ129" i="4"/>
  <c r="CF129" i="4" a="1"/>
  <c r="CF129" i="4" s="1"/>
  <c r="CE129" i="4"/>
  <c r="BU129" i="4" a="1"/>
  <c r="BU129" i="4" s="1"/>
  <c r="BT129" i="4"/>
  <c r="BQ129" i="4"/>
  <c r="BL129" i="4"/>
  <c r="BV129" i="4" s="1"/>
  <c r="BI129" i="4"/>
  <c r="BO129" i="4" s="1"/>
  <c r="BE129" i="4"/>
  <c r="CR128" i="4" a="1"/>
  <c r="CR128" i="4" s="1"/>
  <c r="CQ128" i="4"/>
  <c r="CF128" i="4" a="1"/>
  <c r="CF128" i="4" s="1"/>
  <c r="CE128" i="4"/>
  <c r="BU128" i="4" a="1"/>
  <c r="BU128" i="4" s="1"/>
  <c r="BT128" i="4"/>
  <c r="BQ128" i="4"/>
  <c r="BL128" i="4"/>
  <c r="BV128" i="4" s="1"/>
  <c r="BI128" i="4"/>
  <c r="BK128" i="4" s="1" a="1"/>
  <c r="BK128" i="4" s="1"/>
  <c r="CR127" i="4" a="1"/>
  <c r="CR127" i="4" s="1"/>
  <c r="CQ127" i="4"/>
  <c r="CF127" i="4" a="1"/>
  <c r="CF127" i="4" s="1"/>
  <c r="CE127" i="4"/>
  <c r="BU127" i="4" a="1"/>
  <c r="BU127" i="4" s="1"/>
  <c r="BT127" i="4"/>
  <c r="BQ127" i="4"/>
  <c r="BL127" i="4"/>
  <c r="BV127" i="4" s="1"/>
  <c r="BI127" i="4"/>
  <c r="BO127" i="4" s="1"/>
  <c r="CR126" i="4" a="1"/>
  <c r="CR126" i="4" s="1"/>
  <c r="CQ126" i="4"/>
  <c r="CF126" i="4" a="1"/>
  <c r="CF126" i="4" s="1"/>
  <c r="CE126" i="4"/>
  <c r="BU126" i="4" a="1"/>
  <c r="BU126" i="4" s="1"/>
  <c r="BT126" i="4"/>
  <c r="BQ126" i="4"/>
  <c r="BL126" i="4"/>
  <c r="BI126" i="4"/>
  <c r="BO126" i="4" s="1"/>
  <c r="CR125" i="4" a="1"/>
  <c r="CR125" i="4" s="1"/>
  <c r="CQ125" i="4"/>
  <c r="CF125" i="4" a="1"/>
  <c r="CF125" i="4" s="1"/>
  <c r="CE125" i="4"/>
  <c r="BU125" i="4" a="1"/>
  <c r="BU125" i="4" s="1"/>
  <c r="BT125" i="4"/>
  <c r="BQ125" i="4"/>
  <c r="BL125" i="4"/>
  <c r="BI125" i="4"/>
  <c r="BK125" i="4" s="1" a="1"/>
  <c r="BK125" i="4" s="1"/>
  <c r="CR124" i="4" a="1"/>
  <c r="CR124" i="4" s="1"/>
  <c r="CQ124" i="4"/>
  <c r="CF124" i="4" a="1"/>
  <c r="CF124" i="4" s="1"/>
  <c r="CE124" i="4"/>
  <c r="BU124" i="4" a="1"/>
  <c r="BU124" i="4" s="1"/>
  <c r="BT124" i="4"/>
  <c r="BQ124" i="4"/>
  <c r="BL124" i="4"/>
  <c r="BI124" i="4"/>
  <c r="BK124" i="4" s="1" a="1"/>
  <c r="BK124" i="4" s="1"/>
  <c r="CR123" i="4" a="1"/>
  <c r="CR123" i="4" s="1"/>
  <c r="CQ123" i="4"/>
  <c r="CF123" i="4" a="1"/>
  <c r="CF123" i="4" s="1"/>
  <c r="CE123" i="4"/>
  <c r="BU123" i="4" a="1"/>
  <c r="BU123" i="4" s="1"/>
  <c r="BT123" i="4"/>
  <c r="BQ123" i="4"/>
  <c r="BL123" i="4"/>
  <c r="BI123" i="4"/>
  <c r="BK123" i="4" s="1" a="1"/>
  <c r="BK123" i="4" s="1"/>
  <c r="CR122" i="4" a="1"/>
  <c r="CR122" i="4" s="1"/>
  <c r="CQ122" i="4"/>
  <c r="CF122" i="4" a="1"/>
  <c r="CF122" i="4" s="1"/>
  <c r="CE122" i="4"/>
  <c r="BU122" i="4" a="1"/>
  <c r="BU122" i="4" s="1"/>
  <c r="BT122" i="4"/>
  <c r="BQ122" i="4"/>
  <c r="BL122" i="4"/>
  <c r="BI122" i="4"/>
  <c r="BO122" i="4" s="1"/>
  <c r="CR121" i="4" a="1"/>
  <c r="CR121" i="4" s="1"/>
  <c r="CQ121" i="4"/>
  <c r="CF121" i="4" a="1"/>
  <c r="CF121" i="4" s="1"/>
  <c r="CE121" i="4"/>
  <c r="BU121" i="4" a="1"/>
  <c r="BU121" i="4" s="1"/>
  <c r="BT121" i="4"/>
  <c r="BQ121" i="4"/>
  <c r="BL121" i="4"/>
  <c r="BI121" i="4"/>
  <c r="CR120" i="4" a="1"/>
  <c r="CR120" i="4" s="1"/>
  <c r="CQ120" i="4"/>
  <c r="CF120" i="4" a="1"/>
  <c r="CF120" i="4" s="1"/>
  <c r="CE120" i="4"/>
  <c r="BU120" i="4" a="1"/>
  <c r="BU120" i="4" s="1"/>
  <c r="BT120" i="4"/>
  <c r="BQ120" i="4"/>
  <c r="BL120" i="4"/>
  <c r="BI120" i="4"/>
  <c r="BO120" i="4" s="1"/>
  <c r="CR119" i="4" a="1"/>
  <c r="CR119" i="4" s="1"/>
  <c r="CQ119" i="4"/>
  <c r="CF119" i="4" a="1"/>
  <c r="CF119" i="4" s="1"/>
  <c r="CE119" i="4"/>
  <c r="BU119" i="4" a="1"/>
  <c r="BU119" i="4" s="1"/>
  <c r="BT119" i="4"/>
  <c r="BQ119" i="4"/>
  <c r="BL119" i="4"/>
  <c r="BV119" i="4" s="1"/>
  <c r="BI119" i="4"/>
  <c r="BK119" i="4" s="1" a="1"/>
  <c r="BK119" i="4" s="1"/>
  <c r="CR118" i="4" a="1"/>
  <c r="CR118" i="4" s="1"/>
  <c r="CQ118" i="4"/>
  <c r="CF118" i="4" a="1"/>
  <c r="CF118" i="4" s="1"/>
  <c r="CE118" i="4"/>
  <c r="BU118" i="4" a="1"/>
  <c r="BU118" i="4" s="1"/>
  <c r="BT118" i="4"/>
  <c r="BQ118" i="4"/>
  <c r="BL118" i="4"/>
  <c r="BI118" i="4"/>
  <c r="CR117" i="4" a="1"/>
  <c r="CR117" i="4" s="1"/>
  <c r="CQ117" i="4"/>
  <c r="CF117" i="4" a="1"/>
  <c r="CF117" i="4" s="1"/>
  <c r="CE117" i="4"/>
  <c r="BU117" i="4" a="1"/>
  <c r="BU117" i="4" s="1"/>
  <c r="BT117" i="4"/>
  <c r="BQ117" i="4"/>
  <c r="BL117" i="4"/>
  <c r="BI117" i="4"/>
  <c r="BO117" i="4" s="1"/>
  <c r="CR116" i="4" a="1"/>
  <c r="CR116" i="4" s="1"/>
  <c r="CQ116" i="4"/>
  <c r="CF116" i="4" a="1"/>
  <c r="CF116" i="4" s="1"/>
  <c r="CE116" i="4"/>
  <c r="BU116" i="4" a="1"/>
  <c r="BU116" i="4" s="1"/>
  <c r="BT116" i="4"/>
  <c r="BQ116" i="4"/>
  <c r="BL116" i="4"/>
  <c r="BI116" i="4"/>
  <c r="BK116" i="4" s="1" a="1"/>
  <c r="BK116" i="4" s="1"/>
  <c r="CR115" i="4" a="1"/>
  <c r="CR115" i="4" s="1"/>
  <c r="CQ115" i="4"/>
  <c r="CF115" i="4" a="1"/>
  <c r="CF115" i="4" s="1"/>
  <c r="CE115" i="4"/>
  <c r="BU115" i="4" a="1"/>
  <c r="BU115" i="4" s="1"/>
  <c r="BT115" i="4"/>
  <c r="BQ115" i="4"/>
  <c r="BL115" i="4"/>
  <c r="BI115" i="4"/>
  <c r="CR114" i="4" a="1"/>
  <c r="CR114" i="4" s="1"/>
  <c r="CQ114" i="4"/>
  <c r="CF114" i="4" a="1"/>
  <c r="CF114" i="4" s="1"/>
  <c r="CE114" i="4"/>
  <c r="BU114" i="4" a="1"/>
  <c r="BU114" i="4" s="1"/>
  <c r="BT114" i="4"/>
  <c r="BQ114" i="4"/>
  <c r="BL114" i="4"/>
  <c r="BV114" i="4" s="1"/>
  <c r="BI114" i="4"/>
  <c r="CR113" i="4" a="1"/>
  <c r="CR113" i="4" s="1"/>
  <c r="CQ113" i="4"/>
  <c r="CF113" i="4" a="1"/>
  <c r="CF113" i="4" s="1"/>
  <c r="CE113" i="4"/>
  <c r="BU113" i="4" a="1"/>
  <c r="BU113" i="4" s="1"/>
  <c r="BT113" i="4"/>
  <c r="BQ113" i="4"/>
  <c r="BL113" i="4"/>
  <c r="BV113" i="4" s="1"/>
  <c r="BI113" i="4"/>
  <c r="BK113" i="4" s="1" a="1"/>
  <c r="BK113" i="4" s="1"/>
  <c r="BG113" i="4"/>
  <c r="DR101" i="4" s="1"/>
  <c r="DS101" i="4" s="1"/>
  <c r="BF113" i="4"/>
  <c r="BE113" i="4"/>
  <c r="CR112" i="4" a="1"/>
  <c r="CR112" i="4" s="1"/>
  <c r="CQ112" i="4"/>
  <c r="CF112" i="4" a="1"/>
  <c r="CF112" i="4" s="1"/>
  <c r="CE112" i="4"/>
  <c r="BU112" i="4" a="1"/>
  <c r="BU112" i="4" s="1"/>
  <c r="BT112" i="4"/>
  <c r="BQ112" i="4"/>
  <c r="BL112" i="4"/>
  <c r="BV112" i="4" s="1"/>
  <c r="BI112" i="4"/>
  <c r="BG112" i="4"/>
  <c r="CP101" i="4" s="1"/>
  <c r="BF112" i="4"/>
  <c r="BE112" i="4"/>
  <c r="CR111" i="4" a="1"/>
  <c r="CR111" i="4" s="1"/>
  <c r="CQ111" i="4"/>
  <c r="CF111" i="4" a="1"/>
  <c r="CF111" i="4" s="1"/>
  <c r="CE111" i="4"/>
  <c r="BU111" i="4" a="1"/>
  <c r="BU111" i="4" s="1"/>
  <c r="BT111" i="4"/>
  <c r="BQ111" i="4"/>
  <c r="BL111" i="4"/>
  <c r="BV111" i="4" s="1"/>
  <c r="BI111" i="4"/>
  <c r="BK111" i="4" s="1" a="1"/>
  <c r="BK111" i="4" s="1"/>
  <c r="BG111" i="4"/>
  <c r="BF111" i="4"/>
  <c r="BE111" i="4"/>
  <c r="CR110" i="4" a="1"/>
  <c r="CR110" i="4" s="1"/>
  <c r="CQ110" i="4"/>
  <c r="CF110" i="4" a="1"/>
  <c r="CF110" i="4" s="1"/>
  <c r="CE110" i="4"/>
  <c r="BU110" i="4" a="1"/>
  <c r="BU110" i="4" s="1"/>
  <c r="BT110" i="4"/>
  <c r="BQ110" i="4"/>
  <c r="BL110" i="4"/>
  <c r="BI110" i="4"/>
  <c r="BK110" i="4" s="1" a="1"/>
  <c r="BK110" i="4" s="1"/>
  <c r="BG110" i="4"/>
  <c r="BF110" i="4"/>
  <c r="BE110" i="4"/>
  <c r="CR109" i="4" a="1"/>
  <c r="CR109" i="4" s="1"/>
  <c r="CQ109" i="4"/>
  <c r="CF109" i="4" a="1"/>
  <c r="CF109" i="4" s="1"/>
  <c r="CE109" i="4"/>
  <c r="BU109" i="4" a="1"/>
  <c r="BU109" i="4" s="1"/>
  <c r="BT109" i="4"/>
  <c r="BQ109" i="4"/>
  <c r="BL109" i="4"/>
  <c r="BI109" i="4"/>
  <c r="BG109" i="4"/>
  <c r="BF109" i="4"/>
  <c r="CR108" i="4" a="1"/>
  <c r="CR108" i="4" s="1"/>
  <c r="CQ108" i="4"/>
  <c r="CF108" i="4" a="1"/>
  <c r="CF108" i="4" s="1"/>
  <c r="CE108" i="4"/>
  <c r="BU108" i="4" a="1"/>
  <c r="BU108" i="4" s="1"/>
  <c r="BT108" i="4"/>
  <c r="BQ108" i="4"/>
  <c r="BL108" i="4"/>
  <c r="BV108" i="4" s="1"/>
  <c r="BI108" i="4"/>
  <c r="BO108" i="4" s="1"/>
  <c r="BG108" i="4"/>
  <c r="BF108" i="4"/>
  <c r="CR107" i="4" a="1"/>
  <c r="CR107" i="4" s="1"/>
  <c r="CQ107" i="4"/>
  <c r="CF107" i="4" a="1"/>
  <c r="CF107" i="4" s="1"/>
  <c r="CE107" i="4"/>
  <c r="BU107" i="4" a="1"/>
  <c r="BU107" i="4" s="1"/>
  <c r="BT107" i="4"/>
  <c r="BQ107" i="4"/>
  <c r="BL107" i="4"/>
  <c r="BI107" i="4"/>
  <c r="CR106" i="4" a="1"/>
  <c r="CR106" i="4" s="1"/>
  <c r="CQ106" i="4"/>
  <c r="CF106" i="4" a="1"/>
  <c r="CF106" i="4" s="1"/>
  <c r="CE106" i="4"/>
  <c r="BU106" i="4" a="1"/>
  <c r="BU106" i="4" s="1"/>
  <c r="BT106" i="4"/>
  <c r="BQ106" i="4"/>
  <c r="BL106" i="4"/>
  <c r="BI106" i="4"/>
  <c r="BK106" i="4" s="1" a="1"/>
  <c r="BK106" i="4" s="1"/>
  <c r="CR105" i="4" a="1"/>
  <c r="CR105" i="4" s="1"/>
  <c r="CQ105" i="4"/>
  <c r="CF105" i="4" a="1"/>
  <c r="CF105" i="4" s="1"/>
  <c r="CE105" i="4"/>
  <c r="BU105" i="4" a="1"/>
  <c r="BU105" i="4" s="1"/>
  <c r="BT105" i="4"/>
  <c r="BQ105" i="4"/>
  <c r="BL105" i="4"/>
  <c r="BI105" i="4"/>
  <c r="BE105" i="4"/>
  <c r="CR104" i="4" a="1"/>
  <c r="CR104" i="4" s="1"/>
  <c r="CQ104" i="4"/>
  <c r="CF104" i="4" a="1"/>
  <c r="CF104" i="4" s="1"/>
  <c r="CE104" i="4"/>
  <c r="BU104" i="4" a="1"/>
  <c r="BU104" i="4" s="1"/>
  <c r="BT104" i="4"/>
  <c r="BQ104" i="4"/>
  <c r="BL104" i="4"/>
  <c r="BV104" i="4" s="1"/>
  <c r="BI104" i="4"/>
  <c r="BO104" i="4" s="1"/>
  <c r="BF104" i="4"/>
  <c r="DX103" i="4" a="1"/>
  <c r="DX103" i="4" s="1"/>
  <c r="DI103" i="4" a="1"/>
  <c r="DI103" i="4" s="1"/>
  <c r="DI176" i="4" s="1"/>
  <c r="CR103" i="4" a="1"/>
  <c r="CR103" i="4" s="1"/>
  <c r="CQ103" i="4"/>
  <c r="CE103" i="4"/>
  <c r="BU103" i="4" a="1"/>
  <c r="BU103" i="4" s="1"/>
  <c r="BT103" i="4"/>
  <c r="BY103" i="4" s="1"/>
  <c r="CK103" i="4" s="1"/>
  <c r="BQ103" i="4"/>
  <c r="BP103" i="4"/>
  <c r="BO103" i="4"/>
  <c r="BL103" i="4"/>
  <c r="BK103" i="4"/>
  <c r="BI103" i="4"/>
  <c r="EB101" i="4"/>
  <c r="EA101" i="4"/>
  <c r="DZ101" i="4"/>
  <c r="DY101" i="4"/>
  <c r="BS101" i="4"/>
  <c r="DL101" i="4" s="1"/>
  <c r="DM101" i="4" s="1"/>
  <c r="DM100" i="4"/>
  <c r="DO100" i="4" s="1"/>
  <c r="DQ100" i="4" s="1"/>
  <c r="DS100" i="4" s="1"/>
  <c r="CQ100" i="4"/>
  <c r="CI100" i="4"/>
  <c r="CU100" i="4" s="1"/>
  <c r="CG100" i="4"/>
  <c r="CE100" i="4"/>
  <c r="CR99" i="4"/>
  <c r="CS99" i="4" s="1"/>
  <c r="CF99" i="4"/>
  <c r="CG99" i="4" s="1"/>
  <c r="BU99" i="4"/>
  <c r="BV99" i="4" s="1"/>
  <c r="BK99" i="4"/>
  <c r="BL99" i="4" s="1"/>
  <c r="P24" i="14"/>
  <c r="P23" i="14"/>
  <c r="BN165" i="4" l="1"/>
  <c r="BN123" i="4"/>
  <c r="BN131" i="4"/>
  <c r="BP131" i="4" s="1"/>
  <c r="BM132" i="4"/>
  <c r="BN174" i="4"/>
  <c r="BN126" i="4"/>
  <c r="BP126" i="4" s="1"/>
  <c r="BN110" i="4"/>
  <c r="BO148" i="4"/>
  <c r="BN136" i="4"/>
  <c r="BN143" i="4"/>
  <c r="BN149" i="4"/>
  <c r="BN156" i="4"/>
  <c r="BN141" i="4"/>
  <c r="BP141" i="4" s="1"/>
  <c r="BN148" i="4"/>
  <c r="BN130" i="4"/>
  <c r="BP130" i="4" s="1"/>
  <c r="BM165" i="4"/>
  <c r="BM151" i="4"/>
  <c r="BK133" i="4" a="1"/>
  <c r="BK133" i="4" s="1"/>
  <c r="BM133" i="4" s="1"/>
  <c r="BM156" i="4"/>
  <c r="BN105" i="4"/>
  <c r="BO157" i="4"/>
  <c r="BN106" i="4"/>
  <c r="BO113" i="4"/>
  <c r="BN154" i="4"/>
  <c r="BN159" i="4"/>
  <c r="BK171" i="4" a="1"/>
  <c r="BK171" i="4" s="1"/>
  <c r="BM171" i="4" s="1"/>
  <c r="BO171" i="4"/>
  <c r="BK175" i="4" a="1"/>
  <c r="BK175" i="4" s="1"/>
  <c r="BM175" i="4" s="1"/>
  <c r="BO175" i="4"/>
  <c r="CD101" i="4"/>
  <c r="DN101" i="4"/>
  <c r="DO101" i="4" s="1"/>
  <c r="BO144" i="4"/>
  <c r="BF105" i="4"/>
  <c r="BF116" i="4" s="1"/>
  <c r="BF126" i="4" s="1"/>
  <c r="BK122" i="4" a="1"/>
  <c r="BK122" i="4" s="1"/>
  <c r="BM122" i="4" s="1"/>
  <c r="BV136" i="4"/>
  <c r="BO156" i="4"/>
  <c r="BE116" i="4"/>
  <c r="BE134" i="4" s="1"/>
  <c r="BT101" i="4"/>
  <c r="BM103" i="4"/>
  <c r="BM178" i="4" s="1"/>
  <c r="BM143" i="4"/>
  <c r="BJ101" i="4"/>
  <c r="BN113" i="4"/>
  <c r="BN129" i="4"/>
  <c r="BP129" i="4" s="1"/>
  <c r="BN153" i="4"/>
  <c r="BP153" i="4" s="1"/>
  <c r="BN155" i="4"/>
  <c r="BN108" i="4"/>
  <c r="BP108" i="4" s="1"/>
  <c r="BM106" i="4"/>
  <c r="BN160" i="4"/>
  <c r="BM136" i="4"/>
  <c r="BM148" i="4"/>
  <c r="BN161" i="4"/>
  <c r="BN151" i="4"/>
  <c r="BN167" i="4"/>
  <c r="BP167" i="4" s="1"/>
  <c r="BO151" i="4"/>
  <c r="BO159" i="4"/>
  <c r="BN173" i="4"/>
  <c r="BN117" i="4"/>
  <c r="BP117" i="4" s="1"/>
  <c r="BN133" i="4"/>
  <c r="BP133" i="4" s="1"/>
  <c r="BO136" i="4"/>
  <c r="BN150" i="4"/>
  <c r="BV159" i="4"/>
  <c r="BN127" i="4"/>
  <c r="BP127" i="4" s="1"/>
  <c r="BO123" i="4"/>
  <c r="BP123" i="4" s="1"/>
  <c r="BM142" i="4"/>
  <c r="BN138" i="4"/>
  <c r="BO111" i="4"/>
  <c r="BM116" i="4"/>
  <c r="BN125" i="4"/>
  <c r="BO132" i="4"/>
  <c r="BN139" i="4"/>
  <c r="BO143" i="4"/>
  <c r="BN147" i="4"/>
  <c r="BV154" i="4"/>
  <c r="BK131" i="4" a="1"/>
  <c r="BK131" i="4" s="1"/>
  <c r="BM131" i="4" s="1"/>
  <c r="BN175" i="4"/>
  <c r="BO142" i="4"/>
  <c r="BN146" i="4"/>
  <c r="BN121" i="4"/>
  <c r="BN132" i="4"/>
  <c r="BM139" i="4"/>
  <c r="BK166" i="4" a="1"/>
  <c r="BK166" i="4" s="1"/>
  <c r="BM166" i="4" s="1"/>
  <c r="BV123" i="4"/>
  <c r="BO139" i="4"/>
  <c r="BN157" i="4"/>
  <c r="BO160" i="4"/>
  <c r="BV165" i="4"/>
  <c r="BN170" i="4"/>
  <c r="BM174" i="4"/>
  <c r="BM162" i="4"/>
  <c r="BN142" i="4"/>
  <c r="BN162" i="4"/>
  <c r="BK140" i="4" a="1"/>
  <c r="BK140" i="4" s="1"/>
  <c r="BM140" i="4" s="1"/>
  <c r="BO149" i="4"/>
  <c r="BO106" i="4"/>
  <c r="BK108" i="4" a="1"/>
  <c r="BK108" i="4" s="1"/>
  <c r="BM108" i="4" s="1"/>
  <c r="BK130" i="4" a="1"/>
  <c r="BK130" i="4" s="1"/>
  <c r="BM130" i="4" s="1"/>
  <c r="BN111" i="4"/>
  <c r="BM113" i="4"/>
  <c r="BO116" i="4"/>
  <c r="BO128" i="4"/>
  <c r="BV131" i="4"/>
  <c r="BV141" i="4"/>
  <c r="BV142" i="4"/>
  <c r="BN144" i="4"/>
  <c r="BN152" i="4"/>
  <c r="BV157" i="4"/>
  <c r="BN158" i="4"/>
  <c r="BM159" i="4"/>
  <c r="BV132" i="4"/>
  <c r="BN104" i="4"/>
  <c r="BP104" i="4" s="1"/>
  <c r="BM119" i="4"/>
  <c r="BK126" i="4" a="1"/>
  <c r="BK126" i="4" s="1"/>
  <c r="BM126" i="4" s="1"/>
  <c r="BO147" i="4"/>
  <c r="BO165" i="4"/>
  <c r="BU101" i="4"/>
  <c r="BM154" i="4"/>
  <c r="BM160" i="4"/>
  <c r="BM173" i="4"/>
  <c r="BO174" i="4"/>
  <c r="BQ101" i="4"/>
  <c r="BV160" i="4"/>
  <c r="BN171" i="4"/>
  <c r="BV148" i="4"/>
  <c r="BO119" i="4"/>
  <c r="BO138" i="4"/>
  <c r="BO110" i="4"/>
  <c r="BN112" i="4"/>
  <c r="BM123" i="4"/>
  <c r="BN128" i="4"/>
  <c r="BN137" i="4"/>
  <c r="BP137" i="4" s="1"/>
  <c r="BM144" i="4"/>
  <c r="BM157" i="4"/>
  <c r="BN163" i="4"/>
  <c r="BO173" i="4"/>
  <c r="CF176" i="4"/>
  <c r="CF101" i="4"/>
  <c r="BP178" i="4"/>
  <c r="BK105" i="4" a="1"/>
  <c r="BK105" i="4" s="1"/>
  <c r="BM105" i="4" s="1"/>
  <c r="BO118" i="4"/>
  <c r="BK118" i="4" a="1"/>
  <c r="BK118" i="4" s="1"/>
  <c r="BM118" i="4" s="1"/>
  <c r="BK121" i="4" a="1"/>
  <c r="BK121" i="4" s="1"/>
  <c r="BM121" i="4" s="1"/>
  <c r="BO121" i="4"/>
  <c r="BU176" i="4"/>
  <c r="DX176" i="4"/>
  <c r="ED103" i="4"/>
  <c r="DX102" i="4"/>
  <c r="BO105" i="4"/>
  <c r="BK107" i="4" a="1"/>
  <c r="BK107" i="4" s="1"/>
  <c r="BM107" i="4" s="1"/>
  <c r="BO107" i="4"/>
  <c r="BK115" i="4" a="1"/>
  <c r="BK115" i="4" s="1"/>
  <c r="BM115" i="4" s="1"/>
  <c r="BO115" i="4"/>
  <c r="BN119" i="4"/>
  <c r="CQ176" i="4"/>
  <c r="CQ101" i="4"/>
  <c r="BL101" i="4"/>
  <c r="BV106" i="4"/>
  <c r="BM111" i="4"/>
  <c r="DN103" i="4"/>
  <c r="BO109" i="4"/>
  <c r="BK109" i="4" a="1"/>
  <c r="BK109" i="4" s="1"/>
  <c r="BM109" i="4" s="1"/>
  <c r="CR101" i="4"/>
  <c r="CE101" i="4"/>
  <c r="BN107" i="4"/>
  <c r="BV107" i="4"/>
  <c r="BY178" i="4"/>
  <c r="CK178" i="4" s="1"/>
  <c r="DI102" i="4"/>
  <c r="BO178" i="4"/>
  <c r="BZ103" i="4"/>
  <c r="CW103" i="4"/>
  <c r="BV110" i="4"/>
  <c r="BM110" i="4"/>
  <c r="BK112" i="4" a="1"/>
  <c r="BK112" i="4" s="1"/>
  <c r="BM112" i="4" s="1"/>
  <c r="BO112" i="4"/>
  <c r="BN124" i="4"/>
  <c r="BV124" i="4"/>
  <c r="BK135" i="4" a="1"/>
  <c r="BK135" i="4" s="1"/>
  <c r="BM135" i="4" s="1"/>
  <c r="BO135" i="4"/>
  <c r="CE176" i="4"/>
  <c r="BK114" i="4" a="1"/>
  <c r="BK114" i="4" s="1"/>
  <c r="BM114" i="4" s="1"/>
  <c r="BO114" i="4"/>
  <c r="BT176" i="4"/>
  <c r="BN115" i="4"/>
  <c r="BV115" i="4"/>
  <c r="BK117" i="4" a="1"/>
  <c r="BK117" i="4" s="1"/>
  <c r="BM117" i="4" s="1"/>
  <c r="BJ176" i="4"/>
  <c r="BJ178" i="4"/>
  <c r="CI178" i="4" s="1"/>
  <c r="DP101" i="4"/>
  <c r="DQ101" i="4" s="1"/>
  <c r="BK178" i="4"/>
  <c r="BV105" i="4"/>
  <c r="BV109" i="4"/>
  <c r="BN109" i="4"/>
  <c r="BV116" i="4"/>
  <c r="BN116" i="4"/>
  <c r="BM124" i="4"/>
  <c r="BL178" i="4"/>
  <c r="BL176" i="4"/>
  <c r="BK104" i="4" a="1"/>
  <c r="BK104" i="4" s="1"/>
  <c r="BN114" i="4"/>
  <c r="BV120" i="4"/>
  <c r="BN120" i="4"/>
  <c r="BO125" i="4"/>
  <c r="BK146" i="4" a="1"/>
  <c r="BK146" i="4" s="1"/>
  <c r="BM146" i="4" s="1"/>
  <c r="BO146" i="4"/>
  <c r="BV122" i="4"/>
  <c r="BN122" i="4"/>
  <c r="BV130" i="4"/>
  <c r="BV133" i="4"/>
  <c r="BV126" i="4"/>
  <c r="BN135" i="4"/>
  <c r="BO152" i="4"/>
  <c r="BK152" i="4" a="1"/>
  <c r="BK152" i="4" s="1"/>
  <c r="BM152" i="4" s="1"/>
  <c r="BV118" i="4"/>
  <c r="BN118" i="4"/>
  <c r="BV121" i="4"/>
  <c r="BO124" i="4"/>
  <c r="BO134" i="4"/>
  <c r="BV117" i="4"/>
  <c r="BK120" i="4" a="1"/>
  <c r="BK120" i="4" s="1"/>
  <c r="BM120" i="4" s="1"/>
  <c r="BM125" i="4"/>
  <c r="BV125" i="4"/>
  <c r="BI176" i="4"/>
  <c r="BI178" i="4"/>
  <c r="BQ176" i="4"/>
  <c r="BQ178" i="4"/>
  <c r="BK127" i="4" a="1"/>
  <c r="BK127" i="4" s="1"/>
  <c r="BM127" i="4" s="1"/>
  <c r="BM128" i="4"/>
  <c r="BK129" i="4" a="1"/>
  <c r="BK129" i="4" s="1"/>
  <c r="BM129" i="4" s="1"/>
  <c r="BK134" i="4" a="1"/>
  <c r="BK134" i="4" s="1"/>
  <c r="BM134" i="4" s="1"/>
  <c r="BV140" i="4"/>
  <c r="BN140" i="4"/>
  <c r="BV143" i="4"/>
  <c r="BN145" i="4"/>
  <c r="BV145" i="4"/>
  <c r="BO150" i="4"/>
  <c r="BK150" i="4" a="1"/>
  <c r="BK150" i="4" s="1"/>
  <c r="BM150" i="4" s="1"/>
  <c r="BV134" i="4"/>
  <c r="BN134" i="4"/>
  <c r="BV147" i="4"/>
  <c r="BV139" i="4"/>
  <c r="BK145" i="4" a="1"/>
  <c r="BK145" i="4" s="1"/>
  <c r="BM145" i="4" s="1"/>
  <c r="BO145" i="4"/>
  <c r="BM147" i="4"/>
  <c r="BM149" i="4"/>
  <c r="BK137" i="4" a="1"/>
  <c r="BK137" i="4" s="1"/>
  <c r="BM137" i="4" s="1"/>
  <c r="BM138" i="4"/>
  <c r="BK141" i="4" a="1"/>
  <c r="BK141" i="4" s="1"/>
  <c r="BM141" i="4" s="1"/>
  <c r="BK155" i="4" a="1"/>
  <c r="BK155" i="4" s="1"/>
  <c r="BM155" i="4" s="1"/>
  <c r="BO155" i="4"/>
  <c r="BK170" i="4" a="1"/>
  <c r="BK170" i="4" s="1"/>
  <c r="BM170" i="4" s="1"/>
  <c r="BO170" i="4"/>
  <c r="BN168" i="4"/>
  <c r="BV168" i="4"/>
  <c r="BK163" i="4" a="1"/>
  <c r="BK163" i="4" s="1"/>
  <c r="BM163" i="4" s="1"/>
  <c r="BK153" i="4" a="1"/>
  <c r="BK153" i="4" s="1"/>
  <c r="BM153" i="4" s="1"/>
  <c r="BV164" i="4"/>
  <c r="BN164" i="4"/>
  <c r="BO158" i="4"/>
  <c r="BK158" i="4" a="1"/>
  <c r="BK158" i="4" s="1"/>
  <c r="BM158" i="4" s="1"/>
  <c r="BO161" i="4"/>
  <c r="BM161" i="4"/>
  <c r="BO163" i="4"/>
  <c r="BN166" i="4"/>
  <c r="BO154" i="4"/>
  <c r="BO162" i="4"/>
  <c r="BN172" i="4"/>
  <c r="BK164" i="4" a="1"/>
  <c r="BK164" i="4" s="1"/>
  <c r="BM164" i="4" s="1"/>
  <c r="BK167" i="4" a="1"/>
  <c r="BK167" i="4" s="1"/>
  <c r="BM167" i="4" s="1"/>
  <c r="BK169" i="4" a="1"/>
  <c r="BK169" i="4" s="1"/>
  <c r="BM169" i="4" s="1"/>
  <c r="BO169" i="4"/>
  <c r="BN169" i="4"/>
  <c r="BV169" i="4"/>
  <c r="BM172" i="4"/>
  <c r="BV174" i="4"/>
  <c r="BK168" i="4" a="1"/>
  <c r="BK168" i="4" s="1"/>
  <c r="BM168" i="4" s="1"/>
  <c r="BO168" i="4"/>
  <c r="BO172" i="4"/>
  <c r="N45" i="16"/>
  <c r="M45" i="16"/>
  <c r="N44" i="16"/>
  <c r="M44" i="16"/>
  <c r="K44" i="16"/>
  <c r="N43" i="16"/>
  <c r="M43" i="16"/>
  <c r="K43" i="16"/>
  <c r="N42" i="16"/>
  <c r="M42" i="16"/>
  <c r="K42" i="16"/>
  <c r="N41" i="16"/>
  <c r="M41" i="16"/>
  <c r="K41" i="16"/>
  <c r="N40" i="16"/>
  <c r="M40" i="16"/>
  <c r="C2" i="4"/>
  <c r="CI6" i="4"/>
  <c r="CU6" i="4" s="1"/>
  <c r="CG6" i="4"/>
  <c r="CE6" i="4"/>
  <c r="CQ6" i="4" s="1"/>
  <c r="CQ81" i="4"/>
  <c r="CE81" i="4"/>
  <c r="BT81" i="4"/>
  <c r="BQ81" i="4"/>
  <c r="CQ80" i="4"/>
  <c r="CE80" i="4"/>
  <c r="BT80" i="4"/>
  <c r="BQ80" i="4"/>
  <c r="CQ79" i="4"/>
  <c r="CE79" i="4"/>
  <c r="BT79" i="4"/>
  <c r="BQ79" i="4"/>
  <c r="CQ78" i="4"/>
  <c r="CE78" i="4"/>
  <c r="BT78" i="4"/>
  <c r="CQ77" i="4"/>
  <c r="CE77" i="4"/>
  <c r="BT77" i="4"/>
  <c r="CQ76" i="4"/>
  <c r="CE76" i="4"/>
  <c r="BT76" i="4"/>
  <c r="CQ75" i="4"/>
  <c r="CE75" i="4"/>
  <c r="BT75" i="4"/>
  <c r="CQ74" i="4"/>
  <c r="CE74" i="4"/>
  <c r="BT74" i="4"/>
  <c r="CQ73" i="4"/>
  <c r="CE73" i="4"/>
  <c r="BT73" i="4"/>
  <c r="CQ72" i="4"/>
  <c r="CE72" i="4"/>
  <c r="BT72" i="4"/>
  <c r="CQ71" i="4"/>
  <c r="CE71" i="4"/>
  <c r="BT71" i="4"/>
  <c r="CQ70" i="4"/>
  <c r="CE70" i="4"/>
  <c r="BT70" i="4"/>
  <c r="BL81" i="4"/>
  <c r="BV81" i="4" s="1"/>
  <c r="BL80" i="4"/>
  <c r="BL79" i="4"/>
  <c r="BL78" i="4"/>
  <c r="BL77" i="4"/>
  <c r="BL76" i="4"/>
  <c r="BL75" i="4"/>
  <c r="BV75" i="4" s="1"/>
  <c r="BL74" i="4"/>
  <c r="BL73" i="4"/>
  <c r="BL72" i="4"/>
  <c r="BV72" i="4" s="1"/>
  <c r="BL71" i="4"/>
  <c r="BL70" i="4"/>
  <c r="BJ70" i="4"/>
  <c r="BJ71" i="4"/>
  <c r="BJ72" i="4"/>
  <c r="BJ73" i="4"/>
  <c r="BJ74" i="4"/>
  <c r="BJ75" i="4"/>
  <c r="BJ76" i="4"/>
  <c r="BJ77" i="4"/>
  <c r="BJ78" i="4"/>
  <c r="BJ79" i="4"/>
  <c r="BJ80" i="4"/>
  <c r="BJ81" i="4"/>
  <c r="CD94" i="4"/>
  <c r="BR94" i="4"/>
  <c r="CD93" i="4"/>
  <c r="BR93" i="4"/>
  <c r="CD92" i="4"/>
  <c r="BR92" i="4"/>
  <c r="CD91" i="4"/>
  <c r="BR91" i="4"/>
  <c r="CR81" i="4" a="1"/>
  <c r="CR81" i="4" s="1"/>
  <c r="CF81" i="4" a="1"/>
  <c r="CF81" i="4" s="1"/>
  <c r="CR80" i="4" a="1"/>
  <c r="CR80" i="4" s="1"/>
  <c r="CF80" i="4" a="1"/>
  <c r="CF80" i="4" s="1"/>
  <c r="CR79" i="4" a="1"/>
  <c r="CR79" i="4" s="1"/>
  <c r="CF79" i="4" a="1"/>
  <c r="CF79" i="4" s="1"/>
  <c r="CR78" i="4" a="1"/>
  <c r="CR78" i="4" s="1"/>
  <c r="CF78" i="4" a="1"/>
  <c r="CF78" i="4" s="1"/>
  <c r="BU81" i="4" a="1"/>
  <c r="BU81" i="4" s="1"/>
  <c r="BU80" i="4" a="1"/>
  <c r="BU80" i="4" s="1"/>
  <c r="BU79" i="4" a="1"/>
  <c r="BU79" i="4" s="1"/>
  <c r="BI81" i="4"/>
  <c r="BK81" i="4" s="1" a="1"/>
  <c r="BK81" i="4" s="1"/>
  <c r="BI80" i="4"/>
  <c r="BO80" i="4" s="1"/>
  <c r="BI79" i="4"/>
  <c r="BK79" i="4" s="1" a="1"/>
  <c r="BK79" i="4" s="1"/>
  <c r="BE19" i="4"/>
  <c r="BE18" i="4"/>
  <c r="BE17" i="4"/>
  <c r="BE16" i="4"/>
  <c r="BF10" i="4"/>
  <c r="EB7" i="4"/>
  <c r="EA7" i="4"/>
  <c r="DZ7" i="4"/>
  <c r="DY7" i="4"/>
  <c r="DM6" i="4"/>
  <c r="DO6" i="4" s="1"/>
  <c r="DQ6" i="4" s="1"/>
  <c r="DS6" i="4" s="1"/>
  <c r="CR5" i="4"/>
  <c r="CS5" i="4" s="1"/>
  <c r="CF5" i="4"/>
  <c r="CG5" i="4" s="1"/>
  <c r="BU5" i="4"/>
  <c r="BK5" i="4"/>
  <c r="BL5" i="4" s="1"/>
  <c r="AE51" i="14" a="1"/>
  <c r="AE51" i="14" s="1"/>
  <c r="AG45" i="14"/>
  <c r="AG40" i="14"/>
  <c r="AG38" i="14"/>
  <c r="AG36" i="14"/>
  <c r="AG28" i="14"/>
  <c r="AG27" i="14"/>
  <c r="BP165" i="4" l="1"/>
  <c r="BP110" i="4"/>
  <c r="BP171" i="4"/>
  <c r="BP156" i="4"/>
  <c r="BP174" i="4"/>
  <c r="BP154" i="4"/>
  <c r="BP157" i="4"/>
  <c r="BP136" i="4"/>
  <c r="BP148" i="4"/>
  <c r="BP161" i="4"/>
  <c r="BP125" i="4"/>
  <c r="BP173" i="4"/>
  <c r="BP143" i="4"/>
  <c r="BP149" i="4"/>
  <c r="BP151" i="4"/>
  <c r="BP175" i="4"/>
  <c r="BP158" i="4"/>
  <c r="BP144" i="4"/>
  <c r="BP159" i="4"/>
  <c r="BP113" i="4"/>
  <c r="BP139" i="4"/>
  <c r="BP132" i="4"/>
  <c r="BN103" i="4"/>
  <c r="BN178" i="4" s="1"/>
  <c r="BP121" i="4"/>
  <c r="BP106" i="4"/>
  <c r="BP163" i="4"/>
  <c r="BP138" i="4"/>
  <c r="BP105" i="4"/>
  <c r="BP170" i="4"/>
  <c r="BP150" i="4"/>
  <c r="BP146" i="4"/>
  <c r="BP147" i="4"/>
  <c r="BP142" i="4"/>
  <c r="BP160" i="4"/>
  <c r="BP155" i="4"/>
  <c r="BP111" i="4"/>
  <c r="BP112" i="4"/>
  <c r="BP128" i="4"/>
  <c r="BV101" i="4"/>
  <c r="BP152" i="4"/>
  <c r="BO176" i="4"/>
  <c r="BP162" i="4"/>
  <c r="BP114" i="4"/>
  <c r="BP107" i="4"/>
  <c r="BP164" i="4"/>
  <c r="BP168" i="4"/>
  <c r="BN101" i="4"/>
  <c r="BG117" i="4" s="1"/>
  <c r="BP140" i="4"/>
  <c r="BK101" i="4"/>
  <c r="BP116" i="4"/>
  <c r="BZ178" i="4"/>
  <c r="CL178" i="4" s="1"/>
  <c r="DM103" i="4"/>
  <c r="CL103" i="4"/>
  <c r="BP166" i="4"/>
  <c r="BP120" i="4"/>
  <c r="BM104" i="4"/>
  <c r="BP135" i="4"/>
  <c r="BP109" i="4"/>
  <c r="BP115" i="4"/>
  <c r="BO101" i="4"/>
  <c r="BF117" i="4" s="1"/>
  <c r="BP118" i="4"/>
  <c r="CA103" i="4"/>
  <c r="DK103" i="4" a="1"/>
  <c r="BP134" i="4"/>
  <c r="BP124" i="4"/>
  <c r="BV176" i="4"/>
  <c r="BP119" i="4"/>
  <c r="BP172" i="4"/>
  <c r="BP145" i="4"/>
  <c r="BK176" i="4"/>
  <c r="CW178" i="4"/>
  <c r="DP103" i="4"/>
  <c r="DE103" i="4"/>
  <c r="BP169" i="4"/>
  <c r="BP122" i="4"/>
  <c r="BN78" i="4"/>
  <c r="BN70" i="4"/>
  <c r="BN79" i="4"/>
  <c r="BN73" i="4"/>
  <c r="BN71" i="4"/>
  <c r="BN74" i="4"/>
  <c r="BN76" i="4"/>
  <c r="BN77" i="4"/>
  <c r="BO81" i="4"/>
  <c r="BV70" i="4"/>
  <c r="BN81" i="4"/>
  <c r="BV76" i="4"/>
  <c r="BN80" i="4"/>
  <c r="BP80" i="4" s="1"/>
  <c r="BM79" i="4"/>
  <c r="BO79" i="4"/>
  <c r="BK80" i="4" a="1"/>
  <c r="BK80" i="4" s="1"/>
  <c r="BM80" i="4" s="1"/>
  <c r="BN75" i="4"/>
  <c r="BM81" i="4"/>
  <c r="BN72" i="4"/>
  <c r="BV5" i="4"/>
  <c r="BV78" i="4"/>
  <c r="BV79" i="4"/>
  <c r="BV74" i="4"/>
  <c r="BV71" i="4"/>
  <c r="BV80" i="4"/>
  <c r="BV77" i="4"/>
  <c r="BV73" i="4"/>
  <c r="P40" i="14"/>
  <c r="BF14" i="4" s="1"/>
  <c r="P21" i="14"/>
  <c r="Q36" i="14"/>
  <c r="BG104" i="4" s="1"/>
  <c r="BN176" i="4" l="1"/>
  <c r="DL103" i="4"/>
  <c r="DZ103" i="4" s="1"/>
  <c r="DJ103" i="4" a="1"/>
  <c r="DY172" i="4" s="1"/>
  <c r="BE104" i="4"/>
  <c r="DJ101" i="4"/>
  <c r="DK101" i="4" s="1"/>
  <c r="BI101" i="4"/>
  <c r="BG105" i="4"/>
  <c r="BG116" i="4" s="1"/>
  <c r="DK103" i="4"/>
  <c r="DO103" i="4"/>
  <c r="CX103" i="4"/>
  <c r="CM103" i="4"/>
  <c r="BP101" i="4"/>
  <c r="BE117" i="4" s="1"/>
  <c r="BD117" i="4" s="1"/>
  <c r="CA178" i="4"/>
  <c r="CM178" i="4" s="1"/>
  <c r="BP176" i="4"/>
  <c r="BP79" i="4"/>
  <c r="BP81" i="4"/>
  <c r="O36" i="14"/>
  <c r="BG10" i="4"/>
  <c r="Q40" i="14"/>
  <c r="BG14" i="4" s="1"/>
  <c r="DJ103" i="4" l="1"/>
  <c r="DJ102" i="4" s="1"/>
  <c r="DY125" i="4"/>
  <c r="DY108" i="4"/>
  <c r="DY124" i="4"/>
  <c r="DY136" i="4"/>
  <c r="DY115" i="4"/>
  <c r="DY114" i="4"/>
  <c r="DY110" i="4"/>
  <c r="DY135" i="4"/>
  <c r="DY128" i="4"/>
  <c r="DY143" i="4"/>
  <c r="DY112" i="4"/>
  <c r="DY144" i="4"/>
  <c r="DY131" i="4"/>
  <c r="DY148" i="4"/>
  <c r="DY162" i="4"/>
  <c r="DY165" i="4"/>
  <c r="DY129" i="4"/>
  <c r="DY166" i="4"/>
  <c r="DY164" i="4"/>
  <c r="DY139" i="4"/>
  <c r="DY109" i="4"/>
  <c r="DY140" i="4"/>
  <c r="DY153" i="4"/>
  <c r="DY174" i="4"/>
  <c r="DY138" i="4"/>
  <c r="DY156" i="4"/>
  <c r="DY134" i="4"/>
  <c r="DY175" i="4"/>
  <c r="DY167" i="4"/>
  <c r="DY104" i="4"/>
  <c r="DY126" i="4"/>
  <c r="DY113" i="4"/>
  <c r="DY141" i="4"/>
  <c r="DY168" i="4"/>
  <c r="DY116" i="4"/>
  <c r="DY118" i="4"/>
  <c r="DY123" i="4"/>
  <c r="DY154" i="4"/>
  <c r="DY173" i="4"/>
  <c r="DY149" i="4"/>
  <c r="DY142" i="4"/>
  <c r="DY137" i="4"/>
  <c r="DY155" i="4"/>
  <c r="DY145" i="4"/>
  <c r="DY169" i="4"/>
  <c r="DY111" i="4"/>
  <c r="DY127" i="4"/>
  <c r="DY105" i="4"/>
  <c r="DY133" i="4"/>
  <c r="DY117" i="4"/>
  <c r="DY147" i="4"/>
  <c r="DY163" i="4"/>
  <c r="DY146" i="4"/>
  <c r="DY170" i="4"/>
  <c r="DY120" i="4"/>
  <c r="DY132" i="4"/>
  <c r="DY106" i="4"/>
  <c r="DY150" i="4"/>
  <c r="DY119" i="4"/>
  <c r="DY158" i="4"/>
  <c r="DY160" i="4"/>
  <c r="DY151" i="4"/>
  <c r="DY171" i="4"/>
  <c r="DY130" i="4"/>
  <c r="DY122" i="4"/>
  <c r="DY107" i="4"/>
  <c r="DY152" i="4"/>
  <c r="DY121" i="4"/>
  <c r="DY161" i="4"/>
  <c r="DY157" i="4"/>
  <c r="DY159" i="4"/>
  <c r="BG126" i="4"/>
  <c r="BE126" i="4" s="1"/>
  <c r="BD116" i="4"/>
  <c r="EA103" i="4"/>
  <c r="CX178" i="4"/>
  <c r="DF103" i="4"/>
  <c r="DQ103" i="4"/>
  <c r="DK176" i="4"/>
  <c r="DK102" i="4"/>
  <c r="CN103" i="4"/>
  <c r="CY103" i="4"/>
  <c r="BE10" i="4"/>
  <c r="DJ7" i="4"/>
  <c r="DK7" i="4" s="1"/>
  <c r="BI7" i="4"/>
  <c r="P41" i="14"/>
  <c r="BF15" i="4" s="1"/>
  <c r="C3" i="14"/>
  <c r="K10" i="16"/>
  <c r="E11" i="16"/>
  <c r="M11" i="16" s="1"/>
  <c r="E10" i="16"/>
  <c r="M10" i="16" s="1"/>
  <c r="U51" i="14" a="1"/>
  <c r="U51" i="14" s="1"/>
  <c r="U61" i="14" s="1"/>
  <c r="K17" i="16"/>
  <c r="N13" i="16"/>
  <c r="M26" i="16"/>
  <c r="M25" i="16"/>
  <c r="M24" i="16"/>
  <c r="M15" i="16"/>
  <c r="M13" i="16"/>
  <c r="K37" i="16"/>
  <c r="K36" i="16"/>
  <c r="K34" i="16"/>
  <c r="K33" i="16"/>
  <c r="K29" i="16"/>
  <c r="K28" i="16"/>
  <c r="K27" i="16"/>
  <c r="K26" i="16"/>
  <c r="K25" i="16"/>
  <c r="K24" i="16"/>
  <c r="K23" i="16"/>
  <c r="K22" i="16"/>
  <c r="K21" i="16"/>
  <c r="K20" i="16"/>
  <c r="K19" i="16"/>
  <c r="K16" i="16"/>
  <c r="K15" i="16"/>
  <c r="K14" i="16"/>
  <c r="K13" i="16"/>
  <c r="F48" i="16"/>
  <c r="E48" i="16"/>
  <c r="F43" i="16"/>
  <c r="E43" i="16"/>
  <c r="G41" i="16"/>
  <c r="F41" i="16"/>
  <c r="E41" i="16"/>
  <c r="G39" i="16"/>
  <c r="F39" i="16"/>
  <c r="E39" i="16"/>
  <c r="F31" i="16"/>
  <c r="E31" i="16"/>
  <c r="F30" i="16"/>
  <c r="E30" i="16"/>
  <c r="E19" i="16"/>
  <c r="G13" i="16"/>
  <c r="F13" i="16"/>
  <c r="E13" i="16"/>
  <c r="D49" i="16"/>
  <c r="D47" i="16"/>
  <c r="D46" i="16"/>
  <c r="D45" i="16"/>
  <c r="D44" i="16"/>
  <c r="D43" i="16"/>
  <c r="D42" i="16"/>
  <c r="D41" i="16"/>
  <c r="D40" i="16"/>
  <c r="D39" i="16"/>
  <c r="D38" i="16"/>
  <c r="D30" i="16"/>
  <c r="D20" i="16"/>
  <c r="D19" i="16"/>
  <c r="D18" i="16"/>
  <c r="D16" i="16"/>
  <c r="D15" i="16"/>
  <c r="D14" i="16"/>
  <c r="D13" i="16"/>
  <c r="U47" i="14"/>
  <c r="U10" i="14"/>
  <c r="U21" i="14"/>
  <c r="U20" i="14"/>
  <c r="U19" i="14"/>
  <c r="U16" i="14"/>
  <c r="U15" i="14"/>
  <c r="U14" i="14"/>
  <c r="U13" i="14"/>
  <c r="U12" i="14"/>
  <c r="C2" i="16" l="1"/>
  <c r="C3" i="16"/>
  <c r="DJ176" i="4"/>
  <c r="DY176" i="4"/>
  <c r="DY102" i="4"/>
  <c r="CY178" i="4"/>
  <c r="EB103" i="4"/>
  <c r="DG103" i="4"/>
  <c r="Q41" i="14"/>
  <c r="U65" i="14"/>
  <c r="U64" i="14"/>
  <c r="U66" i="14"/>
  <c r="U63" i="14"/>
  <c r="U68" i="14"/>
  <c r="U67" i="14"/>
  <c r="U62" i="14"/>
  <c r="AN17" i="14"/>
  <c r="N20" i="16" s="1"/>
  <c r="AM16" i="14"/>
  <c r="AN16" i="14"/>
  <c r="AL30" i="14"/>
  <c r="K35" i="16" s="1"/>
  <c r="BG15" i="4" l="1"/>
  <c r="P45" i="14"/>
  <c r="P44" i="14"/>
  <c r="P43" i="14"/>
  <c r="P42" i="14"/>
  <c r="BF16" i="4" s="1"/>
  <c r="AN28" i="14"/>
  <c r="N33" i="16" s="1"/>
  <c r="AM28" i="14"/>
  <c r="M33" i="16" s="1"/>
  <c r="AF17" i="14"/>
  <c r="AG17" i="14" s="1"/>
  <c r="AD28" i="14" a="1"/>
  <c r="M48" i="14"/>
  <c r="Q42" i="14" l="1"/>
  <c r="BG16" i="4" s="1"/>
  <c r="BS7" i="4" s="1"/>
  <c r="AD28" i="14"/>
  <c r="D31" i="16" s="1"/>
  <c r="D37" i="16"/>
  <c r="D36" i="16"/>
  <c r="D33" i="16"/>
  <c r="D32" i="16"/>
  <c r="D35" i="16"/>
  <c r="D34" i="16"/>
  <c r="AM17" i="14"/>
  <c r="M20" i="16" s="1"/>
  <c r="E20" i="16"/>
  <c r="D52" i="14"/>
  <c r="DL7" i="4" l="1"/>
  <c r="DM7" i="4" s="1"/>
  <c r="BW103" i="4"/>
  <c r="BF17" i="4"/>
  <c r="M21" i="14"/>
  <c r="P10" i="14"/>
  <c r="CG103" i="4" l="1"/>
  <c r="BX103" i="4"/>
  <c r="BS104" i="4" s="1"/>
  <c r="Q43" i="14"/>
  <c r="BG17" i="4" s="1"/>
  <c r="V7" i="4" a="1"/>
  <c r="V7" i="4" s="1"/>
  <c r="V6" i="4"/>
  <c r="AB7" i="4" s="1"/>
  <c r="T7" i="4"/>
  <c r="L7" i="4" a="1"/>
  <c r="L7" i="4" s="1"/>
  <c r="J16" i="15"/>
  <c r="I16" i="15"/>
  <c r="H16" i="15"/>
  <c r="G16" i="15"/>
  <c r="F16" i="15"/>
  <c r="AD18" i="14" a="1"/>
  <c r="BZ104" i="4" l="1"/>
  <c r="DM104" i="4" s="1"/>
  <c r="BW104" i="4"/>
  <c r="CI103" i="4"/>
  <c r="CD104" i="4" s="1"/>
  <c r="CJ103" i="4"/>
  <c r="CS103" i="4"/>
  <c r="DN7" i="4"/>
  <c r="DO7" i="4" s="1"/>
  <c r="CD7" i="4"/>
  <c r="BF18" i="4"/>
  <c r="AD18" i="14"/>
  <c r="D21" i="16" s="1"/>
  <c r="D22" i="16"/>
  <c r="D28" i="16"/>
  <c r="D27" i="16"/>
  <c r="D26" i="16"/>
  <c r="D25" i="16"/>
  <c r="D24" i="16"/>
  <c r="D29" i="16"/>
  <c r="D23" i="16"/>
  <c r="Y10" i="15"/>
  <c r="AA10" i="15" s="1"/>
  <c r="Y11" i="15"/>
  <c r="AA11" i="15" s="1"/>
  <c r="Y12" i="15"/>
  <c r="AA12" i="15" s="1"/>
  <c r="Y13" i="15"/>
  <c r="AA13" i="15" s="1"/>
  <c r="Y9" i="15"/>
  <c r="Z9" i="15" s="1"/>
  <c r="U10" i="15"/>
  <c r="U11" i="15"/>
  <c r="U12" i="15"/>
  <c r="U13" i="15"/>
  <c r="U9" i="15"/>
  <c r="T10" i="15"/>
  <c r="V10" i="15" s="1"/>
  <c r="T11" i="15"/>
  <c r="V11" i="15" s="1"/>
  <c r="T12" i="15"/>
  <c r="V12" i="15" s="1"/>
  <c r="T13" i="15"/>
  <c r="V13" i="15" s="1"/>
  <c r="T9" i="15"/>
  <c r="V9" i="15" s="1"/>
  <c r="F20" i="16"/>
  <c r="G50" i="14"/>
  <c r="G21" i="14"/>
  <c r="G14" i="14"/>
  <c r="H14" i="14" s="1"/>
  <c r="A36" i="14"/>
  <c r="A34" i="14"/>
  <c r="A35" i="14"/>
  <c r="G25" i="14"/>
  <c r="G31" i="14"/>
  <c r="G30" i="14"/>
  <c r="G29" i="14"/>
  <c r="G28" i="14"/>
  <c r="G27" i="14"/>
  <c r="G26" i="14"/>
  <c r="G24" i="14"/>
  <c r="CV103" i="4" l="1"/>
  <c r="CV178" i="4" s="1"/>
  <c r="CU103" i="4"/>
  <c r="CP104" i="4" s="1"/>
  <c r="CL104" i="4"/>
  <c r="DO104" i="4" s="1"/>
  <c r="BX104" i="4"/>
  <c r="BS105" i="4" s="1"/>
  <c r="CG104" i="4"/>
  <c r="BY104" i="4"/>
  <c r="Q44" i="14"/>
  <c r="BG18" i="4" s="1"/>
  <c r="H50" i="14"/>
  <c r="AF18" i="14" a="1"/>
  <c r="G15" i="14"/>
  <c r="P11" i="14"/>
  <c r="A14" i="14" a="1"/>
  <c r="Z13" i="15"/>
  <c r="AC13" i="15" s="1"/>
  <c r="AA9" i="15"/>
  <c r="AC9" i="15" s="1"/>
  <c r="Z10" i="15"/>
  <c r="AC10" i="15" s="1"/>
  <c r="Z11" i="15"/>
  <c r="AC11" i="15" s="1"/>
  <c r="Z12" i="15"/>
  <c r="AC12" i="15" s="1"/>
  <c r="AF11" i="14"/>
  <c r="AG11" i="14" s="1"/>
  <c r="G48" i="14"/>
  <c r="G32" i="14"/>
  <c r="CA104" i="4" l="1"/>
  <c r="CB104" i="4" s="1"/>
  <c r="CH104" i="4" s="1"/>
  <c r="CK104" i="4" s="1"/>
  <c r="DL104" i="4"/>
  <c r="DZ104" i="4" s="1"/>
  <c r="BZ105" i="4"/>
  <c r="DM105" i="4" s="1"/>
  <c r="BW105" i="4"/>
  <c r="CX104" i="4"/>
  <c r="DQ104" i="4" s="1"/>
  <c r="CT104" i="4"/>
  <c r="DP7" i="4"/>
  <c r="DQ7" i="4" s="1"/>
  <c r="CP7" i="4"/>
  <c r="AG20" i="14"/>
  <c r="AG19" i="14"/>
  <c r="AG21" i="14"/>
  <c r="AG24" i="14"/>
  <c r="AG23" i="14"/>
  <c r="AG25" i="14"/>
  <c r="AG22" i="14"/>
  <c r="BF19" i="4"/>
  <c r="G16" i="14"/>
  <c r="G49" i="14" s="1"/>
  <c r="AM13" i="14"/>
  <c r="M16" i="16" s="1"/>
  <c r="E14" i="16"/>
  <c r="AF18" i="14"/>
  <c r="AG18" i="14" s="1"/>
  <c r="E25" i="16"/>
  <c r="E26" i="16"/>
  <c r="E22" i="16"/>
  <c r="E27" i="16"/>
  <c r="E28" i="16"/>
  <c r="E24" i="16"/>
  <c r="E23" i="16"/>
  <c r="F32" i="14"/>
  <c r="AN18" i="14"/>
  <c r="N21" i="16" s="1"/>
  <c r="AM18" i="14"/>
  <c r="M21" i="16" s="1"/>
  <c r="AH17" i="14"/>
  <c r="G20" i="16" s="1"/>
  <c r="AH11" i="14"/>
  <c r="G14" i="16" s="1"/>
  <c r="H15" i="14"/>
  <c r="H48" i="14"/>
  <c r="A14" i="14"/>
  <c r="F14" i="16"/>
  <c r="G51" i="14"/>
  <c r="A39" i="14"/>
  <c r="A37" i="14"/>
  <c r="CI104" i="4" l="1"/>
  <c r="CD105" i="4" s="1"/>
  <c r="CL105" i="4" s="1"/>
  <c r="DO105" i="4" s="1"/>
  <c r="CJ104" i="4"/>
  <c r="CS104" i="4"/>
  <c r="CV104" i="4" s="1"/>
  <c r="DC9" i="4"/>
  <c r="DB9" i="4" s="1"/>
  <c r="DC103" i="4"/>
  <c r="DB103" i="4" s="1"/>
  <c r="DN104" i="4"/>
  <c r="EA104" i="4" s="1"/>
  <c r="CW104" i="4"/>
  <c r="CM104" i="4"/>
  <c r="CN104" i="4" s="1"/>
  <c r="BX105" i="4"/>
  <c r="BS106" i="4" s="1"/>
  <c r="CG105" i="4"/>
  <c r="BY105" i="4"/>
  <c r="Q45" i="14"/>
  <c r="BG19" i="4" s="1"/>
  <c r="DR7" i="4" s="1"/>
  <c r="DS7" i="4" s="1"/>
  <c r="H16" i="14"/>
  <c r="H17" i="14" s="1"/>
  <c r="AM20" i="14"/>
  <c r="M23" i="16" s="1"/>
  <c r="G17" i="14"/>
  <c r="AF26" i="14"/>
  <c r="E21" i="16"/>
  <c r="H51" i="14"/>
  <c r="F21" i="16"/>
  <c r="H49" i="14"/>
  <c r="AF12" i="14"/>
  <c r="AG12" i="14" s="1"/>
  <c r="AH24" i="14"/>
  <c r="G27" i="16" s="1"/>
  <c r="AH21" i="14"/>
  <c r="G24" i="16" s="1"/>
  <c r="AH20" i="14"/>
  <c r="G23" i="16" s="1"/>
  <c r="AH23" i="14"/>
  <c r="G26" i="16" s="1"/>
  <c r="AH22" i="14"/>
  <c r="G25" i="16" s="1"/>
  <c r="AH19" i="14"/>
  <c r="G22" i="16" s="1"/>
  <c r="AH18" i="14"/>
  <c r="G21" i="16" s="1"/>
  <c r="F24" i="16"/>
  <c r="F25" i="16"/>
  <c r="F26" i="16"/>
  <c r="F23" i="16"/>
  <c r="F22" i="16"/>
  <c r="AH25" i="14"/>
  <c r="G28" i="16" s="1"/>
  <c r="F27" i="16"/>
  <c r="F28" i="16"/>
  <c r="CU104" i="4" l="1"/>
  <c r="CP105" i="4" s="1"/>
  <c r="CX105" i="4" s="1"/>
  <c r="DQ105" i="4" s="1"/>
  <c r="BZ106" i="4"/>
  <c r="DM106" i="4" s="1"/>
  <c r="BW106" i="4"/>
  <c r="BX106" i="4" s="1"/>
  <c r="BS107" i="4" s="1"/>
  <c r="DP104" i="4"/>
  <c r="EB104" i="4" s="1"/>
  <c r="CY104" i="4"/>
  <c r="CZ104" i="4" s="1"/>
  <c r="DL105" i="4"/>
  <c r="DZ105" i="4" s="1"/>
  <c r="CA105" i="4"/>
  <c r="CB105" i="4" s="1"/>
  <c r="CH105" i="4" s="1"/>
  <c r="CS105" i="4" s="1"/>
  <c r="E29" i="16"/>
  <c r="AG26" i="14"/>
  <c r="F29" i="16" s="1"/>
  <c r="AH26" i="14"/>
  <c r="G29" i="16" s="1"/>
  <c r="AH12" i="14"/>
  <c r="G15" i="16" s="1"/>
  <c r="E15" i="16"/>
  <c r="AF13" i="14"/>
  <c r="CT105" i="4" l="1"/>
  <c r="CV105" i="4" s="1"/>
  <c r="CI105" i="4"/>
  <c r="CD106" i="4" s="1"/>
  <c r="CL106" i="4" s="1"/>
  <c r="DO106" i="4" s="1"/>
  <c r="CK105" i="4"/>
  <c r="CM105" i="4" s="1"/>
  <c r="CN105" i="4" s="1"/>
  <c r="BZ107" i="4"/>
  <c r="DM107" i="4" s="1"/>
  <c r="BW107" i="4"/>
  <c r="BX107" i="4" s="1"/>
  <c r="BS108" i="4" s="1"/>
  <c r="DC104" i="4"/>
  <c r="DF104" i="4" s="1"/>
  <c r="BY106" i="4"/>
  <c r="CG106" i="4"/>
  <c r="CJ105" i="4"/>
  <c r="E16" i="16"/>
  <c r="AG13" i="14"/>
  <c r="F16" i="16" s="1"/>
  <c r="F15" i="16"/>
  <c r="AH13" i="14"/>
  <c r="G16" i="16" s="1"/>
  <c r="I32" i="14" a="1"/>
  <c r="I32" i="14" s="1"/>
  <c r="CU105" i="4" l="1"/>
  <c r="CP106" i="4" s="1"/>
  <c r="CX106" i="4" s="1"/>
  <c r="DQ106" i="4" s="1"/>
  <c r="CW105" i="4"/>
  <c r="DP105" i="4" s="1"/>
  <c r="EB105" i="4" s="1"/>
  <c r="DN105" i="4"/>
  <c r="EA105" i="4" s="1"/>
  <c r="DB104" i="4"/>
  <c r="DE104" i="4" s="1"/>
  <c r="DG104" i="4" s="1"/>
  <c r="DL106" i="4"/>
  <c r="DZ106" i="4" s="1"/>
  <c r="CA106" i="4"/>
  <c r="CB106" i="4" s="1"/>
  <c r="CH106" i="4" s="1"/>
  <c r="CJ106" i="4" s="1"/>
  <c r="BW108" i="4"/>
  <c r="BX108" i="4" s="1"/>
  <c r="BS109" i="4" s="1"/>
  <c r="BZ108" i="4"/>
  <c r="DM108" i="4" s="1"/>
  <c r="BY107" i="4"/>
  <c r="CG107" i="4"/>
  <c r="A11" i="14"/>
  <c r="CT106" i="4" l="1"/>
  <c r="CY105" i="4"/>
  <c r="CZ105" i="4" s="1"/>
  <c r="DC105" i="4" s="1"/>
  <c r="DF105" i="4" s="1"/>
  <c r="CS106" i="4"/>
  <c r="CI106" i="4"/>
  <c r="CD107" i="4" s="1"/>
  <c r="DL107" i="4"/>
  <c r="DZ107" i="4" s="1"/>
  <c r="CA107" i="4"/>
  <c r="CB107" i="4" s="1"/>
  <c r="CH107" i="4" s="1"/>
  <c r="CS107" i="4" s="1"/>
  <c r="CG108" i="4"/>
  <c r="BY108" i="4"/>
  <c r="CK106" i="4"/>
  <c r="BW109" i="4"/>
  <c r="BX109" i="4" s="1"/>
  <c r="BS110" i="4" s="1"/>
  <c r="BZ109" i="4"/>
  <c r="DM109" i="4" s="1"/>
  <c r="G13" i="14"/>
  <c r="DB105" i="4" l="1"/>
  <c r="DE105" i="4" s="1"/>
  <c r="DG105" i="4" s="1"/>
  <c r="CK107" i="4"/>
  <c r="DN107" i="4" s="1"/>
  <c r="BZ110" i="4"/>
  <c r="DM110" i="4" s="1"/>
  <c r="BW110" i="4"/>
  <c r="BX110" i="4" s="1"/>
  <c r="BS111" i="4" s="1"/>
  <c r="CG109" i="4"/>
  <c r="BY109" i="4"/>
  <c r="CJ107" i="4"/>
  <c r="CI107" i="4"/>
  <c r="CD108" i="4" s="1"/>
  <c r="CL107" i="4"/>
  <c r="DN106" i="4"/>
  <c r="EA106" i="4" s="1"/>
  <c r="CW106" i="4"/>
  <c r="CM106" i="4"/>
  <c r="CN106" i="4" s="1"/>
  <c r="DL108" i="4"/>
  <c r="DZ108" i="4" s="1"/>
  <c r="CA108" i="4"/>
  <c r="CB108" i="4" s="1"/>
  <c r="CH108" i="4" s="1"/>
  <c r="CS108" i="4" s="1"/>
  <c r="CV106" i="4"/>
  <c r="CU106" i="4"/>
  <c r="CP107" i="4" s="1"/>
  <c r="G9" i="4" a="1"/>
  <c r="D9" i="4" a="1"/>
  <c r="CM107" i="4" l="1"/>
  <c r="CN107" i="4" s="1"/>
  <c r="DI188" i="4"/>
  <c r="DA188" i="4"/>
  <c r="CQ188" i="4"/>
  <c r="CH188" i="4"/>
  <c r="BY188" i="4"/>
  <c r="BP188" i="4"/>
  <c r="DR187" i="4"/>
  <c r="DH187" i="4"/>
  <c r="CZ187" i="4"/>
  <c r="CP187" i="4"/>
  <c r="CG187" i="4"/>
  <c r="BX187" i="4"/>
  <c r="BP187" i="4"/>
  <c r="DI186" i="4"/>
  <c r="DA186" i="4"/>
  <c r="CQ186" i="4"/>
  <c r="CI186" i="4" a="1"/>
  <c r="CI186" i="4" s="1"/>
  <c r="BZ186" i="4"/>
  <c r="DI185" i="4"/>
  <c r="DA185" i="4"/>
  <c r="CQ185" i="4"/>
  <c r="CI185" i="4" a="1"/>
  <c r="CI185" i="4" s="1"/>
  <c r="BZ185" i="4"/>
  <c r="DU184" i="4"/>
  <c r="DM184" i="4"/>
  <c r="DC184" i="4"/>
  <c r="CS184" i="4"/>
  <c r="CJ184" i="4"/>
  <c r="BZ184" i="4"/>
  <c r="BP184" i="4"/>
  <c r="ED183" i="4"/>
  <c r="DT183" i="4"/>
  <c r="DL183" i="4"/>
  <c r="DB183" i="4"/>
  <c r="CR183" i="4"/>
  <c r="CH183" i="4"/>
  <c r="BY183" i="4"/>
  <c r="BO183" i="4"/>
  <c r="EC182" i="4"/>
  <c r="DS182" i="4"/>
  <c r="DK182" i="4"/>
  <c r="CZ182" i="4"/>
  <c r="CQ182" i="4"/>
  <c r="CG182" i="4"/>
  <c r="BW182" i="4"/>
  <c r="BN182" i="4"/>
  <c r="EC181" i="4"/>
  <c r="DS181" i="4"/>
  <c r="DK181" i="4"/>
  <c r="CZ181" i="4"/>
  <c r="CQ181" i="4"/>
  <c r="CG181" i="4"/>
  <c r="BW181" i="4"/>
  <c r="BN181" i="4"/>
  <c r="EB180" i="4"/>
  <c r="DR180" i="4"/>
  <c r="DJ180" i="4"/>
  <c r="CY180" i="4"/>
  <c r="CF180" i="4"/>
  <c r="BV180" i="4"/>
  <c r="BM180" i="4" a="1"/>
  <c r="BM180" i="4" s="1"/>
  <c r="EA179" i="4"/>
  <c r="DQ179" i="4"/>
  <c r="DI179" i="4"/>
  <c r="CX179" i="4"/>
  <c r="CN179" i="4"/>
  <c r="CE179" i="4"/>
  <c r="BU179" i="4"/>
  <c r="BL179" i="4"/>
  <c r="DR188" i="4"/>
  <c r="DH188" i="4"/>
  <c r="CZ188" i="4"/>
  <c r="CP188" i="4"/>
  <c r="CG188" i="4"/>
  <c r="BX188" i="4"/>
  <c r="BO188" i="4"/>
  <c r="DQ187" i="4"/>
  <c r="DG187" i="4"/>
  <c r="CY187" i="4"/>
  <c r="CN187" i="4"/>
  <c r="CF187" i="4"/>
  <c r="BO187" i="4"/>
  <c r="DR186" i="4"/>
  <c r="DH186" i="4"/>
  <c r="CZ186" i="4"/>
  <c r="CP186" i="4"/>
  <c r="CH186" i="4"/>
  <c r="BY186" i="4"/>
  <c r="BP186" i="4"/>
  <c r="DR185" i="4"/>
  <c r="DH185" i="4"/>
  <c r="CZ185" i="4"/>
  <c r="CP185" i="4"/>
  <c r="CH185" i="4"/>
  <c r="BY185" i="4"/>
  <c r="BP185" i="4"/>
  <c r="ED184" i="4"/>
  <c r="DT184" i="4"/>
  <c r="DL184" i="4"/>
  <c r="DB184" i="4"/>
  <c r="CR184" i="4"/>
  <c r="CH184" i="4"/>
  <c r="BY184" i="4"/>
  <c r="BO184" i="4"/>
  <c r="EC183" i="4"/>
  <c r="DS183" i="4"/>
  <c r="DK183" i="4"/>
  <c r="CZ183" i="4"/>
  <c r="CQ183" i="4"/>
  <c r="CG183" i="4"/>
  <c r="BW183" i="4"/>
  <c r="BN183" i="4"/>
  <c r="EB182" i="4"/>
  <c r="DR182" i="4"/>
  <c r="DJ182" i="4"/>
  <c r="CY182" i="4"/>
  <c r="CF182" i="4"/>
  <c r="BV182" i="4"/>
  <c r="EB181" i="4"/>
  <c r="DR181" i="4"/>
  <c r="DJ181" i="4"/>
  <c r="CY181" i="4"/>
  <c r="CF181" i="4"/>
  <c r="BV181" i="4"/>
  <c r="BM181" i="4" a="1"/>
  <c r="BM181" i="4" s="1"/>
  <c r="EA180" i="4"/>
  <c r="DQ180" i="4"/>
  <c r="DI180" i="4"/>
  <c r="CX180" i="4"/>
  <c r="CN180" i="4"/>
  <c r="CE180" i="4"/>
  <c r="BU180" i="4"/>
  <c r="BL180" i="4"/>
  <c r="DZ179" i="4"/>
  <c r="DP179" i="4"/>
  <c r="DG179" i="4"/>
  <c r="CW179" i="4"/>
  <c r="CM179" i="4"/>
  <c r="BT179" i="4"/>
  <c r="BK179" i="4"/>
  <c r="DQ188" i="4"/>
  <c r="DG188" i="4"/>
  <c r="CY188" i="4"/>
  <c r="CN188" i="4"/>
  <c r="CF188" i="4"/>
  <c r="BW188" i="4" a="1"/>
  <c r="BW188" i="4" s="1"/>
  <c r="BN188" i="4"/>
  <c r="DP187" i="4"/>
  <c r="DF187" i="4"/>
  <c r="CX187" i="4"/>
  <c r="CM187" i="4"/>
  <c r="CE187" i="4"/>
  <c r="BW187" i="4" a="1"/>
  <c r="BW187" i="4" s="1"/>
  <c r="BN187" i="4"/>
  <c r="DQ186" i="4"/>
  <c r="DG186" i="4"/>
  <c r="CY186" i="4"/>
  <c r="CN186" i="4"/>
  <c r="CG186" i="4"/>
  <c r="BX186" i="4"/>
  <c r="BO186" i="4"/>
  <c r="DQ185" i="4"/>
  <c r="DG185" i="4"/>
  <c r="CY185" i="4"/>
  <c r="CN185" i="4"/>
  <c r="CG185" i="4"/>
  <c r="BX185" i="4"/>
  <c r="BO185" i="4"/>
  <c r="EC184" i="4"/>
  <c r="DS184" i="4"/>
  <c r="DK184" i="4"/>
  <c r="CZ184" i="4"/>
  <c r="CQ184" i="4"/>
  <c r="CG184" i="4"/>
  <c r="BW184" i="4"/>
  <c r="BN184" i="4"/>
  <c r="EB183" i="4"/>
  <c r="DR183" i="4"/>
  <c r="DJ183" i="4"/>
  <c r="CY183" i="4"/>
  <c r="CF183" i="4"/>
  <c r="BV183" i="4"/>
  <c r="BM183" i="4" a="1"/>
  <c r="BM183" i="4" s="1"/>
  <c r="EA182" i="4"/>
  <c r="DQ182" i="4"/>
  <c r="DI182" i="4"/>
  <c r="CX182" i="4"/>
  <c r="CN182" i="4"/>
  <c r="CE182" i="4"/>
  <c r="BU182" i="4"/>
  <c r="BM182" i="4" a="1"/>
  <c r="BM182" i="4" s="1"/>
  <c r="EA181" i="4"/>
  <c r="DQ181" i="4"/>
  <c r="DI181" i="4"/>
  <c r="CX181" i="4"/>
  <c r="CN181" i="4"/>
  <c r="CE181" i="4"/>
  <c r="BU181" i="4"/>
  <c r="BL181" i="4"/>
  <c r="DP180" i="4"/>
  <c r="DG180" i="4"/>
  <c r="CW180" i="4"/>
  <c r="CM180" i="4"/>
  <c r="DP188" i="4"/>
  <c r="DF188" i="4"/>
  <c r="CX188" i="4"/>
  <c r="CM188" i="4"/>
  <c r="CE188" i="4"/>
  <c r="BV188" i="4"/>
  <c r="BM188" i="4"/>
  <c r="DO187" i="4"/>
  <c r="DE187" i="4"/>
  <c r="CW187" i="4"/>
  <c r="CL187" i="4"/>
  <c r="BV187" i="4"/>
  <c r="BM187" i="4"/>
  <c r="DP186" i="4"/>
  <c r="DF186" i="4"/>
  <c r="CX186" i="4"/>
  <c r="CM186" i="4"/>
  <c r="CF186" i="4"/>
  <c r="BW186" i="4" a="1"/>
  <c r="BW186" i="4" s="1"/>
  <c r="BN186" i="4"/>
  <c r="DP185" i="4"/>
  <c r="DF185" i="4"/>
  <c r="CX185" i="4"/>
  <c r="CM185" i="4"/>
  <c r="CF185" i="4"/>
  <c r="BW185" i="4" a="1"/>
  <c r="BW185" i="4" s="1"/>
  <c r="BN185" i="4"/>
  <c r="EB184" i="4"/>
  <c r="DR184" i="4"/>
  <c r="DJ184" i="4"/>
  <c r="CY184" i="4"/>
  <c r="CF184" i="4"/>
  <c r="BV184" i="4"/>
  <c r="BM184" i="4" a="1"/>
  <c r="BM184" i="4" s="1"/>
  <c r="EA183" i="4"/>
  <c r="DQ183" i="4"/>
  <c r="DI183" i="4"/>
  <c r="CX183" i="4"/>
  <c r="CN183" i="4"/>
  <c r="CE183" i="4"/>
  <c r="BU183" i="4"/>
  <c r="BL183" i="4"/>
  <c r="DZ182" i="4"/>
  <c r="DP182" i="4"/>
  <c r="DG182" i="4"/>
  <c r="CW182" i="4"/>
  <c r="CM182" i="4"/>
  <c r="BT182" i="4"/>
  <c r="BL182" i="4"/>
  <c r="DZ181" i="4"/>
  <c r="DP181" i="4"/>
  <c r="DG181" i="4"/>
  <c r="CW181" i="4"/>
  <c r="CM181" i="4"/>
  <c r="BT181" i="4"/>
  <c r="BK181" i="4"/>
  <c r="DY180" i="4"/>
  <c r="DO180" i="4"/>
  <c r="DF180" i="4"/>
  <c r="CV180" i="4"/>
  <c r="CL180" i="4"/>
  <c r="CB180" i="4"/>
  <c r="BJ180" i="4"/>
  <c r="DX179" i="4"/>
  <c r="DN179" i="4"/>
  <c r="DE179" i="4"/>
  <c r="CT179" i="4"/>
  <c r="CK179" i="4"/>
  <c r="CA179" i="4"/>
  <c r="BQ179" i="4"/>
  <c r="DO188" i="4"/>
  <c r="DE188" i="4"/>
  <c r="CW188" i="4"/>
  <c r="CL188" i="4"/>
  <c r="BU188" i="4"/>
  <c r="BL188" i="4" a="1"/>
  <c r="BL188" i="4" s="1"/>
  <c r="DN187" i="4"/>
  <c r="DD187" i="4"/>
  <c r="CU187" i="4"/>
  <c r="CK187" i="4"/>
  <c r="CB187" i="4"/>
  <c r="BU187" i="4"/>
  <c r="DO186" i="4"/>
  <c r="DE186" i="4"/>
  <c r="CW186" i="4"/>
  <c r="CL186" i="4"/>
  <c r="CE186" i="4"/>
  <c r="BV186" i="4"/>
  <c r="BM186" i="4"/>
  <c r="DO185" i="4"/>
  <c r="DE185" i="4"/>
  <c r="CW185" i="4"/>
  <c r="CL185" i="4"/>
  <c r="CE185" i="4"/>
  <c r="BV185" i="4"/>
  <c r="BM185" i="4"/>
  <c r="EA184" i="4"/>
  <c r="DQ184" i="4"/>
  <c r="DI184" i="4"/>
  <c r="CX184" i="4"/>
  <c r="CN184" i="4"/>
  <c r="CE184" i="4"/>
  <c r="BU184" i="4"/>
  <c r="BL184" i="4"/>
  <c r="DZ183" i="4"/>
  <c r="DP183" i="4"/>
  <c r="DG183" i="4"/>
  <c r="CW183" i="4"/>
  <c r="CM183" i="4"/>
  <c r="BT183" i="4"/>
  <c r="BK183" i="4"/>
  <c r="DY182" i="4"/>
  <c r="DO182" i="4"/>
  <c r="DF182" i="4"/>
  <c r="CV182" i="4"/>
  <c r="CL182" i="4"/>
  <c r="CB182" i="4"/>
  <c r="BK182" i="4"/>
  <c r="DY181" i="4"/>
  <c r="DO181" i="4"/>
  <c r="DF181" i="4"/>
  <c r="CV181" i="4"/>
  <c r="CL181" i="4"/>
  <c r="CB181" i="4"/>
  <c r="BJ181" i="4"/>
  <c r="DX180" i="4"/>
  <c r="DN180" i="4"/>
  <c r="DE180" i="4"/>
  <c r="CT180" i="4"/>
  <c r="CK180" i="4"/>
  <c r="DN188" i="4"/>
  <c r="DD188" i="4"/>
  <c r="CU188" i="4"/>
  <c r="CK188" i="4"/>
  <c r="CB188" i="4"/>
  <c r="DM188" i="4"/>
  <c r="DC188" i="4"/>
  <c r="CT188" i="4"/>
  <c r="CJ188" i="4"/>
  <c r="CA188" i="4"/>
  <c r="BS188" i="4"/>
  <c r="BJ188" i="4"/>
  <c r="DL187" i="4"/>
  <c r="DB187" i="4"/>
  <c r="CS187" i="4"/>
  <c r="CI187" i="4" a="1"/>
  <c r="CI187" i="4" s="1"/>
  <c r="BZ187" i="4"/>
  <c r="BS187" i="4"/>
  <c r="BK187" i="4"/>
  <c r="DM186" i="4"/>
  <c r="DC186" i="4"/>
  <c r="CT186" i="4"/>
  <c r="CJ186" i="4"/>
  <c r="CB186" i="4"/>
  <c r="BT186" i="4"/>
  <c r="BK186" i="4"/>
  <c r="DM185" i="4"/>
  <c r="DC185" i="4"/>
  <c r="CT185" i="4"/>
  <c r="CJ185" i="4"/>
  <c r="CB185" i="4"/>
  <c r="BT185" i="4"/>
  <c r="BK185" i="4"/>
  <c r="DY184" i="4"/>
  <c r="DO184" i="4"/>
  <c r="DF184" i="4"/>
  <c r="CV184" i="4"/>
  <c r="CL184" i="4"/>
  <c r="CB184" i="4"/>
  <c r="BJ184" i="4"/>
  <c r="DX183" i="4"/>
  <c r="DN183" i="4"/>
  <c r="DE183" i="4"/>
  <c r="CT183" i="4"/>
  <c r="CK183" i="4"/>
  <c r="CA183" i="4"/>
  <c r="BQ183" i="4"/>
  <c r="DU182" i="4"/>
  <c r="DM182" i="4"/>
  <c r="DC182" i="4"/>
  <c r="CS182" i="4"/>
  <c r="CJ182" i="4"/>
  <c r="BZ182" i="4"/>
  <c r="BP182" i="4"/>
  <c r="DU181" i="4"/>
  <c r="DM181" i="4"/>
  <c r="DC181" i="4"/>
  <c r="CS181" i="4"/>
  <c r="CJ181" i="4"/>
  <c r="BZ181" i="4"/>
  <c r="BP181" i="4"/>
  <c r="ED180" i="4"/>
  <c r="DT180" i="4"/>
  <c r="DL180" i="4"/>
  <c r="DB180" i="4"/>
  <c r="CR180" i="4"/>
  <c r="CH180" i="4"/>
  <c r="BY180" i="4"/>
  <c r="BO180" i="4"/>
  <c r="EC179" i="4"/>
  <c r="DS179" i="4"/>
  <c r="DK179" i="4"/>
  <c r="CZ179" i="4"/>
  <c r="CQ179" i="4"/>
  <c r="CG179" i="4"/>
  <c r="BW179" i="4"/>
  <c r="BN179" i="4"/>
  <c r="CQ187" i="4"/>
  <c r="BL187" i="4" a="1"/>
  <c r="BL187" i="4" s="1"/>
  <c r="CK186" i="4"/>
  <c r="BJ186" i="4"/>
  <c r="DZ184" i="4"/>
  <c r="CM184" i="4"/>
  <c r="DY183" i="4"/>
  <c r="CL183" i="4"/>
  <c r="DX182" i="4"/>
  <c r="CK182" i="4"/>
  <c r="DX181" i="4"/>
  <c r="CK181" i="4"/>
  <c r="DZ180" i="4"/>
  <c r="CQ180" i="4"/>
  <c r="BP180" i="4"/>
  <c r="DT179" i="4"/>
  <c r="DB179" i="4"/>
  <c r="CH179" i="4"/>
  <c r="BO179" i="4"/>
  <c r="DB182" i="4"/>
  <c r="DL188" i="4"/>
  <c r="BK188" i="4"/>
  <c r="CJ187" i="4"/>
  <c r="BJ187" i="4"/>
  <c r="DN185" i="4"/>
  <c r="DX184" i="4"/>
  <c r="CK184" i="4"/>
  <c r="DU183" i="4"/>
  <c r="CJ183" i="4"/>
  <c r="DT182" i="4"/>
  <c r="CH182" i="4"/>
  <c r="DT181" i="4"/>
  <c r="CH181" i="4"/>
  <c r="DU180" i="4"/>
  <c r="CJ180" i="4"/>
  <c r="BN180" i="4"/>
  <c r="DR179" i="4"/>
  <c r="CY179" i="4"/>
  <c r="CF179" i="4"/>
  <c r="BM179" i="4" a="1"/>
  <c r="BM179" i="4" s="1"/>
  <c r="BP183" i="4"/>
  <c r="DB188" i="4"/>
  <c r="CH187" i="4"/>
  <c r="DN186" i="4"/>
  <c r="DL185" i="4"/>
  <c r="CA185" i="4"/>
  <c r="DP184" i="4"/>
  <c r="DO183" i="4"/>
  <c r="CB183" i="4"/>
  <c r="DN182" i="4"/>
  <c r="CA182" i="4"/>
  <c r="DN181" i="4"/>
  <c r="CA181" i="4"/>
  <c r="DS180" i="4"/>
  <c r="CG180" i="4"/>
  <c r="BK180" i="4"/>
  <c r="DO179" i="4"/>
  <c r="CV179" i="4"/>
  <c r="CB179" i="4"/>
  <c r="BJ179" i="4"/>
  <c r="BO181" i="4"/>
  <c r="DJ179" i="4"/>
  <c r="CS188" i="4"/>
  <c r="DM187" i="4"/>
  <c r="DL186" i="4"/>
  <c r="CA186" i="4"/>
  <c r="DD185" i="4"/>
  <c r="BU185" i="4"/>
  <c r="DN184" i="4"/>
  <c r="CA184" i="4"/>
  <c r="DM183" i="4"/>
  <c r="BZ183" i="4"/>
  <c r="DL182" i="4"/>
  <c r="BY182" i="4"/>
  <c r="DL181" i="4"/>
  <c r="BY181" i="4"/>
  <c r="DM180" i="4"/>
  <c r="CA180" i="4"/>
  <c r="DM179" i="4"/>
  <c r="CS179" i="4"/>
  <c r="BZ179" i="4"/>
  <c r="DB181" i="4"/>
  <c r="CI188" i="4" a="1"/>
  <c r="CI188" i="4" s="1"/>
  <c r="DI187" i="4"/>
  <c r="CA187" i="4"/>
  <c r="DD186" i="4"/>
  <c r="BU186" i="4"/>
  <c r="DB185" i="4"/>
  <c r="BS185" i="4"/>
  <c r="DG184" i="4"/>
  <c r="BT184" i="4"/>
  <c r="DF183" i="4"/>
  <c r="DE182" i="4"/>
  <c r="BQ182" i="4"/>
  <c r="DE181" i="4"/>
  <c r="BQ181" i="4"/>
  <c r="DK180" i="4"/>
  <c r="BZ180" i="4"/>
  <c r="ED179" i="4"/>
  <c r="DL179" i="4"/>
  <c r="CR179" i="4"/>
  <c r="BY179" i="4"/>
  <c r="DC180" i="4"/>
  <c r="EB179" i="4"/>
  <c r="BV179" i="4"/>
  <c r="DC187" i="4"/>
  <c r="BY187" i="4"/>
  <c r="DB186" i="4"/>
  <c r="BS186" i="4"/>
  <c r="CU185" i="4"/>
  <c r="DE184" i="4"/>
  <c r="BQ184" i="4"/>
  <c r="DC183" i="4"/>
  <c r="BO182" i="4"/>
  <c r="BW180" i="4"/>
  <c r="BZ188" i="4"/>
  <c r="DA187" i="4"/>
  <c r="BT187" i="4"/>
  <c r="CU186" i="4"/>
  <c r="CS185" i="4"/>
  <c r="BL185" i="4" a="1"/>
  <c r="BL185" i="4" s="1"/>
  <c r="CW184" i="4"/>
  <c r="BK184" i="4"/>
  <c r="CV183" i="4"/>
  <c r="BJ183" i="4"/>
  <c r="CT182" i="4"/>
  <c r="BJ182" i="4"/>
  <c r="CT181" i="4"/>
  <c r="CZ180" i="4"/>
  <c r="BT180" i="4"/>
  <c r="DY179" i="4"/>
  <c r="DF179" i="4"/>
  <c r="CL179" i="4"/>
  <c r="BT188" i="4"/>
  <c r="CT187" i="4"/>
  <c r="CS186" i="4"/>
  <c r="BL186" i="4" a="1"/>
  <c r="BL186" i="4" s="1"/>
  <c r="CK185" i="4"/>
  <c r="BJ185" i="4"/>
  <c r="CT184" i="4"/>
  <c r="CS183" i="4"/>
  <c r="ED182" i="4"/>
  <c r="CR182" i="4"/>
  <c r="ED181" i="4"/>
  <c r="CR181" i="4"/>
  <c r="EC180" i="4"/>
  <c r="CS180" i="4"/>
  <c r="BQ180" i="4"/>
  <c r="DU179" i="4"/>
  <c r="DC179" i="4"/>
  <c r="CJ179" i="4"/>
  <c r="BP179" i="4"/>
  <c r="CK108" i="4"/>
  <c r="DN108" i="4" s="1"/>
  <c r="CJ108" i="4"/>
  <c r="CT107" i="4"/>
  <c r="CU107" i="4" s="1"/>
  <c r="CP108" i="4" s="1"/>
  <c r="CX107" i="4"/>
  <c r="CY106" i="4"/>
  <c r="CZ106" i="4" s="1"/>
  <c r="DP106" i="4"/>
  <c r="EB106" i="4" s="1"/>
  <c r="DO107" i="4"/>
  <c r="EA107" i="4" s="1"/>
  <c r="BW111" i="4"/>
  <c r="BX111" i="4" s="1"/>
  <c r="BS112" i="4" s="1"/>
  <c r="BZ111" i="4"/>
  <c r="DM111" i="4" s="1"/>
  <c r="CL108" i="4"/>
  <c r="DO108" i="4" s="1"/>
  <c r="CI108" i="4"/>
  <c r="CD109" i="4" s="1"/>
  <c r="BY110" i="4"/>
  <c r="CG110" i="4"/>
  <c r="CA109" i="4"/>
  <c r="CB109" i="4" s="1"/>
  <c r="CH109" i="4" s="1"/>
  <c r="CS109" i="4" s="1"/>
  <c r="DL109" i="4"/>
  <c r="DZ109" i="4" s="1"/>
  <c r="DR94" i="4"/>
  <c r="CZ94" i="4"/>
  <c r="CG94" i="4"/>
  <c r="BM94" i="4"/>
  <c r="DD93" i="4"/>
  <c r="CK93" i="4"/>
  <c r="BT93" i="4"/>
  <c r="CS92" i="4"/>
  <c r="BY92" i="4"/>
  <c r="DP91" i="4"/>
  <c r="CX91" i="4"/>
  <c r="CE91" i="4"/>
  <c r="BK91" i="4"/>
  <c r="DN90" i="4"/>
  <c r="CT90" i="4"/>
  <c r="BY90" i="4"/>
  <c r="EA89" i="4"/>
  <c r="CM89" i="4"/>
  <c r="BQ89" i="4"/>
  <c r="DU88" i="4"/>
  <c r="DC88" i="4"/>
  <c r="CH88" i="4"/>
  <c r="DQ87" i="4"/>
  <c r="CX87" i="4"/>
  <c r="CB87" i="4"/>
  <c r="BJ87" i="4"/>
  <c r="DM86" i="4"/>
  <c r="CS86" i="4"/>
  <c r="BW86" i="4"/>
  <c r="DZ85" i="4"/>
  <c r="DG85" i="4"/>
  <c r="CL85" i="4"/>
  <c r="BP85" i="4"/>
  <c r="BV85" i="4"/>
  <c r="BM87" i="4" a="1"/>
  <c r="BM87" i="4" s="1"/>
  <c r="DQ94" i="4"/>
  <c r="CY94" i="4"/>
  <c r="CF94" i="4"/>
  <c r="BL94" i="4" a="1"/>
  <c r="BL94" i="4" s="1"/>
  <c r="DC93" i="4"/>
  <c r="CJ93" i="4"/>
  <c r="BS93" i="4"/>
  <c r="DI92" i="4"/>
  <c r="CQ92" i="4"/>
  <c r="BX92" i="4"/>
  <c r="DO91" i="4"/>
  <c r="CB91" i="4"/>
  <c r="BJ91" i="4"/>
  <c r="DM90" i="4"/>
  <c r="CS90" i="4"/>
  <c r="BW90" i="4"/>
  <c r="DZ89" i="4"/>
  <c r="DG89" i="4"/>
  <c r="CL89" i="4"/>
  <c r="BP89" i="4"/>
  <c r="DT88" i="4"/>
  <c r="DB88" i="4"/>
  <c r="CG88" i="4"/>
  <c r="BM88" i="4" a="1"/>
  <c r="BM88" i="4" s="1"/>
  <c r="DP87" i="4"/>
  <c r="CW87" i="4"/>
  <c r="CA87" i="4"/>
  <c r="ED86" i="4"/>
  <c r="DL86" i="4"/>
  <c r="CR86" i="4"/>
  <c r="BV86" i="4"/>
  <c r="DY85" i="4"/>
  <c r="DF85" i="4"/>
  <c r="BO85" i="4"/>
  <c r="CX86" i="4"/>
  <c r="CG87" i="4"/>
  <c r="DF88" i="4"/>
  <c r="DP94" i="4"/>
  <c r="CX94" i="4"/>
  <c r="CE94" i="4"/>
  <c r="BK94" i="4"/>
  <c r="DB93" i="4"/>
  <c r="BP93" i="4"/>
  <c r="DH92" i="4"/>
  <c r="CP92" i="4"/>
  <c r="BW92" i="4" a="1"/>
  <c r="BW92" i="4" s="1"/>
  <c r="DN91" i="4"/>
  <c r="CU91" i="4"/>
  <c r="CA91" i="4"/>
  <c r="ED90" i="4"/>
  <c r="DL90" i="4"/>
  <c r="CR90" i="4"/>
  <c r="BV90" i="4"/>
  <c r="DY89" i="4"/>
  <c r="DF89" i="4"/>
  <c r="CK89" i="4"/>
  <c r="BO89" i="4"/>
  <c r="DS88" i="4"/>
  <c r="CZ88" i="4"/>
  <c r="CF88" i="4"/>
  <c r="BL88" i="4"/>
  <c r="DO87" i="4"/>
  <c r="CV87" i="4"/>
  <c r="BZ87" i="4"/>
  <c r="EC86" i="4"/>
  <c r="DK86" i="4"/>
  <c r="CQ86" i="4"/>
  <c r="BU86" i="4"/>
  <c r="DE85" i="4"/>
  <c r="CJ85" i="4"/>
  <c r="BN85" i="4"/>
  <c r="EA88" i="4"/>
  <c r="CW86" i="4"/>
  <c r="BU85" i="4"/>
  <c r="BV93" i="4"/>
  <c r="CA90" i="4"/>
  <c r="CF87" i="4"/>
  <c r="DO94" i="4"/>
  <c r="CB94" i="4"/>
  <c r="BJ94" i="4"/>
  <c r="DA93" i="4"/>
  <c r="CI93" i="4" a="1"/>
  <c r="CI93" i="4" s="1"/>
  <c r="BO93" i="4"/>
  <c r="DG92" i="4"/>
  <c r="CN92" i="4"/>
  <c r="BV92" i="4"/>
  <c r="DM91" i="4"/>
  <c r="CT91" i="4"/>
  <c r="BZ91" i="4"/>
  <c r="EC90" i="4"/>
  <c r="DK90" i="4"/>
  <c r="CQ90" i="4"/>
  <c r="BU90" i="4"/>
  <c r="DE89" i="4"/>
  <c r="CJ89" i="4"/>
  <c r="BN89" i="4"/>
  <c r="DR88" i="4"/>
  <c r="CY88" i="4"/>
  <c r="CE88" i="4"/>
  <c r="BK88" i="4"/>
  <c r="DN87" i="4"/>
  <c r="CT87" i="4"/>
  <c r="BY87" i="4"/>
  <c r="EB86" i="4"/>
  <c r="DJ86" i="4"/>
  <c r="CN86" i="4"/>
  <c r="BT86" i="4"/>
  <c r="DU85" i="4"/>
  <c r="DC85" i="4"/>
  <c r="CH85" i="4"/>
  <c r="BM85" i="4" a="1"/>
  <c r="BM85" i="4" s="1"/>
  <c r="BS94" i="4"/>
  <c r="DM89" i="4"/>
  <c r="CH87" i="4"/>
  <c r="DP86" i="4"/>
  <c r="DN92" i="4"/>
  <c r="CW90" i="4"/>
  <c r="BO88" i="4"/>
  <c r="EB85" i="4"/>
  <c r="DN94" i="4"/>
  <c r="CU94" i="4"/>
  <c r="CA94" i="4"/>
  <c r="DR93" i="4"/>
  <c r="CZ93" i="4"/>
  <c r="CH93" i="4"/>
  <c r="BN93" i="4"/>
  <c r="DF92" i="4"/>
  <c r="CM92" i="4"/>
  <c r="BU92" i="4"/>
  <c r="CS91" i="4"/>
  <c r="BY91" i="4"/>
  <c r="EB90" i="4"/>
  <c r="DJ90" i="4"/>
  <c r="CN90" i="4"/>
  <c r="BT90" i="4"/>
  <c r="DU89" i="4"/>
  <c r="DC89" i="4"/>
  <c r="CH89" i="4"/>
  <c r="DQ88" i="4"/>
  <c r="CX88" i="4"/>
  <c r="CB88" i="4"/>
  <c r="BJ88" i="4"/>
  <c r="DM87" i="4"/>
  <c r="CS87" i="4"/>
  <c r="BW87" i="4"/>
  <c r="EA86" i="4"/>
  <c r="CM86" i="4"/>
  <c r="BQ86" i="4"/>
  <c r="DT85" i="4"/>
  <c r="DB85" i="4"/>
  <c r="CG85" i="4"/>
  <c r="BL85" i="4"/>
  <c r="BX93" i="4"/>
  <c r="BO91" i="4"/>
  <c r="BW89" i="4"/>
  <c r="CR85" i="4"/>
  <c r="CL88" i="4"/>
  <c r="DR91" i="4"/>
  <c r="BM91" i="4"/>
  <c r="DK89" i="4"/>
  <c r="DS87" i="4"/>
  <c r="CN85" i="4"/>
  <c r="DM94" i="4"/>
  <c r="CT94" i="4"/>
  <c r="BZ94" i="4"/>
  <c r="DQ93" i="4"/>
  <c r="CY93" i="4"/>
  <c r="CG93" i="4"/>
  <c r="BM93" i="4"/>
  <c r="DE92" i="4"/>
  <c r="CL92" i="4"/>
  <c r="BT92" i="4"/>
  <c r="DI91" i="4"/>
  <c r="CQ91" i="4"/>
  <c r="BX91" i="4"/>
  <c r="EA90" i="4"/>
  <c r="CM90" i="4"/>
  <c r="BQ90" i="4"/>
  <c r="DT89" i="4"/>
  <c r="DB89" i="4"/>
  <c r="CG89" i="4"/>
  <c r="BM89" i="4" a="1"/>
  <c r="BM89" i="4" s="1"/>
  <c r="DP88" i="4"/>
  <c r="CW88" i="4"/>
  <c r="CA88" i="4"/>
  <c r="ED87" i="4"/>
  <c r="DL87" i="4"/>
  <c r="CR87" i="4"/>
  <c r="BV87" i="4"/>
  <c r="DZ86" i="4"/>
  <c r="DG86" i="4"/>
  <c r="CL86" i="4"/>
  <c r="BP86" i="4"/>
  <c r="DS85" i="4"/>
  <c r="CZ85" i="4"/>
  <c r="CF85" i="4"/>
  <c r="BK85" i="4"/>
  <c r="BO86" i="4"/>
  <c r="CK94" i="4"/>
  <c r="CS89" i="4"/>
  <c r="DQ86" i="4"/>
  <c r="BP88" i="4"/>
  <c r="CA92" i="4"/>
  <c r="DP90" i="4"/>
  <c r="CK88" i="4"/>
  <c r="DJ85" i="4"/>
  <c r="CS94" i="4"/>
  <c r="BY94" i="4"/>
  <c r="DP93" i="4"/>
  <c r="CX93" i="4"/>
  <c r="CF93" i="4"/>
  <c r="DD92" i="4"/>
  <c r="CK92" i="4"/>
  <c r="BS92" i="4"/>
  <c r="DH91" i="4"/>
  <c r="CP91" i="4"/>
  <c r="BW91" i="4" a="1"/>
  <c r="BW91" i="4" s="1"/>
  <c r="DZ90" i="4"/>
  <c r="DG90" i="4"/>
  <c r="CL90" i="4"/>
  <c r="BP90" i="4"/>
  <c r="DS89" i="4"/>
  <c r="CZ89" i="4"/>
  <c r="CF89" i="4"/>
  <c r="BL89" i="4"/>
  <c r="DO88" i="4"/>
  <c r="CV88" i="4"/>
  <c r="BZ88" i="4"/>
  <c r="EC87" i="4"/>
  <c r="DK87" i="4"/>
  <c r="CQ87" i="4"/>
  <c r="BU87" i="4"/>
  <c r="DY86" i="4"/>
  <c r="DF86" i="4"/>
  <c r="CK86" i="4"/>
  <c r="DR85" i="4"/>
  <c r="CY85" i="4"/>
  <c r="CE85" i="4"/>
  <c r="BJ85" i="4"/>
  <c r="DH93" i="4"/>
  <c r="CY90" i="4"/>
  <c r="CM88" i="4"/>
  <c r="DL85" i="4"/>
  <c r="DK85" i="4"/>
  <c r="DB94" i="4"/>
  <c r="BU89" i="4"/>
  <c r="BT85" i="4"/>
  <c r="DI94" i="4"/>
  <c r="CQ94" i="4"/>
  <c r="BX94" i="4"/>
  <c r="DO93" i="4"/>
  <c r="CE93" i="4"/>
  <c r="BL93" i="4" a="1"/>
  <c r="BL93" i="4" s="1"/>
  <c r="DC92" i="4"/>
  <c r="CJ92" i="4"/>
  <c r="BP92" i="4"/>
  <c r="DG91" i="4"/>
  <c r="CN91" i="4"/>
  <c r="BV91" i="4"/>
  <c r="DY90" i="4"/>
  <c r="DF90" i="4"/>
  <c r="CK90" i="4"/>
  <c r="BO90" i="4"/>
  <c r="DR89" i="4"/>
  <c r="CY89" i="4"/>
  <c r="CE89" i="4"/>
  <c r="BK89" i="4"/>
  <c r="DN88" i="4"/>
  <c r="CT88" i="4"/>
  <c r="BY88" i="4"/>
  <c r="EB87" i="4"/>
  <c r="DJ87" i="4"/>
  <c r="CN87" i="4"/>
  <c r="BT87" i="4"/>
  <c r="DE86" i="4"/>
  <c r="CJ86" i="4"/>
  <c r="BN86" i="4"/>
  <c r="DQ85" i="4"/>
  <c r="CX85" i="4"/>
  <c r="CB85" i="4"/>
  <c r="DO85" i="4"/>
  <c r="CP93" i="4"/>
  <c r="DR90" i="4"/>
  <c r="CB86" i="4"/>
  <c r="CA86" i="4"/>
  <c r="CI94" i="4" a="1"/>
  <c r="CI94" i="4" s="1"/>
  <c r="DH94" i="4"/>
  <c r="CP94" i="4"/>
  <c r="BW94" i="4" a="1"/>
  <c r="BW94" i="4" s="1"/>
  <c r="DN93" i="4"/>
  <c r="CU93" i="4"/>
  <c r="CB93" i="4"/>
  <c r="BK93" i="4"/>
  <c r="DB92" i="4"/>
  <c r="CI92" i="4" a="1"/>
  <c r="CI92" i="4" s="1"/>
  <c r="BO92" i="4"/>
  <c r="DF91" i="4"/>
  <c r="CM91" i="4"/>
  <c r="BU91" i="4"/>
  <c r="DE90" i="4"/>
  <c r="CJ90" i="4"/>
  <c r="BN90" i="4"/>
  <c r="DQ89" i="4"/>
  <c r="CX89" i="4"/>
  <c r="CB89" i="4"/>
  <c r="BJ89" i="4"/>
  <c r="DM88" i="4"/>
  <c r="CS88" i="4"/>
  <c r="BW88" i="4"/>
  <c r="EA87" i="4"/>
  <c r="CM87" i="4"/>
  <c r="BQ87" i="4"/>
  <c r="DU86" i="4"/>
  <c r="DC86" i="4"/>
  <c r="CH86" i="4"/>
  <c r="BM86" i="4" a="1"/>
  <c r="BM86" i="4" s="1"/>
  <c r="DP85" i="4"/>
  <c r="CW85" i="4"/>
  <c r="CA85" i="4"/>
  <c r="CG86" i="4"/>
  <c r="DP92" i="4"/>
  <c r="BJ90" i="4"/>
  <c r="DU87" i="4"/>
  <c r="DG88" i="4"/>
  <c r="DF93" i="4"/>
  <c r="DY88" i="4"/>
  <c r="BZ86" i="4"/>
  <c r="DG94" i="4"/>
  <c r="CN94" i="4"/>
  <c r="BV94" i="4"/>
  <c r="DM93" i="4"/>
  <c r="CT93" i="4"/>
  <c r="CA93" i="4"/>
  <c r="BJ93" i="4"/>
  <c r="DA92" i="4"/>
  <c r="CH92" i="4"/>
  <c r="BN92" i="4"/>
  <c r="DE91" i="4"/>
  <c r="CL91" i="4"/>
  <c r="BT91" i="4"/>
  <c r="DU90" i="4"/>
  <c r="DC90" i="4"/>
  <c r="CH90" i="4"/>
  <c r="BM90" i="4" a="1"/>
  <c r="BM90" i="4" s="1"/>
  <c r="DP89" i="4"/>
  <c r="CW89" i="4"/>
  <c r="CA89" i="4"/>
  <c r="ED88" i="4"/>
  <c r="DL88" i="4"/>
  <c r="CR88" i="4"/>
  <c r="BV88" i="4"/>
  <c r="DZ87" i="4"/>
  <c r="DG87" i="4"/>
  <c r="CL87" i="4"/>
  <c r="BP87" i="4"/>
  <c r="DT86" i="4"/>
  <c r="DB86" i="4"/>
  <c r="BL86" i="4"/>
  <c r="CV85" i="4"/>
  <c r="BZ85" i="4"/>
  <c r="CE92" i="4"/>
  <c r="DC87" i="4"/>
  <c r="EC85" i="4"/>
  <c r="BO94" i="4"/>
  <c r="CZ87" i="4"/>
  <c r="DF94" i="4"/>
  <c r="CM94" i="4"/>
  <c r="BU94" i="4"/>
  <c r="CS93" i="4"/>
  <c r="BZ93" i="4"/>
  <c r="DR92" i="4"/>
  <c r="CZ92" i="4"/>
  <c r="CG92" i="4"/>
  <c r="BM92" i="4"/>
  <c r="DD91" i="4"/>
  <c r="CK91" i="4"/>
  <c r="BS91" i="4"/>
  <c r="DT90" i="4"/>
  <c r="DB90" i="4"/>
  <c r="CG90" i="4"/>
  <c r="BL90" i="4"/>
  <c r="DO89" i="4"/>
  <c r="CV89" i="4"/>
  <c r="BZ89" i="4"/>
  <c r="EC88" i="4"/>
  <c r="DK88" i="4"/>
  <c r="CQ88" i="4"/>
  <c r="BU88" i="4"/>
  <c r="DY87" i="4"/>
  <c r="DF87" i="4"/>
  <c r="CK87" i="4"/>
  <c r="BO87" i="4"/>
  <c r="DS86" i="4"/>
  <c r="CZ86" i="4"/>
  <c r="CF86" i="4"/>
  <c r="BK86" i="4"/>
  <c r="DN85" i="4"/>
  <c r="CT85" i="4"/>
  <c r="BY85" i="4"/>
  <c r="CX92" i="4"/>
  <c r="CE90" i="4"/>
  <c r="BQ88" i="4"/>
  <c r="ED85" i="4"/>
  <c r="DB87" i="4"/>
  <c r="CU92" i="4"/>
  <c r="EC89" i="4"/>
  <c r="BL87" i="4"/>
  <c r="DE94" i="4"/>
  <c r="CL94" i="4"/>
  <c r="BT94" i="4"/>
  <c r="DI93" i="4"/>
  <c r="CQ93" i="4"/>
  <c r="BY93" i="4"/>
  <c r="DQ92" i="4"/>
  <c r="CY92" i="4"/>
  <c r="CF92" i="4"/>
  <c r="BL92" i="4" a="1"/>
  <c r="BL92" i="4" s="1"/>
  <c r="DC91" i="4"/>
  <c r="CJ91" i="4"/>
  <c r="BP91" i="4"/>
  <c r="DS90" i="4"/>
  <c r="CZ90" i="4"/>
  <c r="CF90" i="4"/>
  <c r="BK90" i="4"/>
  <c r="DN89" i="4"/>
  <c r="CT89" i="4"/>
  <c r="BY89" i="4"/>
  <c r="EB88" i="4"/>
  <c r="DJ88" i="4"/>
  <c r="CN88" i="4"/>
  <c r="BT88" i="4"/>
  <c r="DE87" i="4"/>
  <c r="CJ87" i="4"/>
  <c r="BN87" i="4"/>
  <c r="DR86" i="4"/>
  <c r="CY86" i="4"/>
  <c r="CE86" i="4"/>
  <c r="BJ86" i="4"/>
  <c r="DM85" i="4"/>
  <c r="CS85" i="4"/>
  <c r="BW85" i="4"/>
  <c r="DD94" i="4"/>
  <c r="BK92" i="4"/>
  <c r="DB91" i="4"/>
  <c r="CI91" i="4" a="1"/>
  <c r="CI91" i="4" s="1"/>
  <c r="CZ91" i="4"/>
  <c r="CV86" i="4"/>
  <c r="DC94" i="4"/>
  <c r="CJ94" i="4"/>
  <c r="BP94" i="4"/>
  <c r="DG93" i="4"/>
  <c r="CN93" i="4"/>
  <c r="BW93" i="4" a="1"/>
  <c r="BW93" i="4" s="1"/>
  <c r="DO92" i="4"/>
  <c r="CB92" i="4"/>
  <c r="BJ92" i="4"/>
  <c r="DA91" i="4"/>
  <c r="CH91" i="4"/>
  <c r="BN91" i="4"/>
  <c r="DQ90" i="4"/>
  <c r="CX90" i="4"/>
  <c r="CB90" i="4"/>
  <c r="ED89" i="4"/>
  <c r="DL89" i="4"/>
  <c r="CR89" i="4"/>
  <c r="BV89" i="4"/>
  <c r="DZ88" i="4"/>
  <c r="CQ85" i="4"/>
  <c r="CG91" i="4"/>
  <c r="DA94" i="4"/>
  <c r="CH94" i="4"/>
  <c r="BN94" i="4"/>
  <c r="DE93" i="4"/>
  <c r="CL93" i="4"/>
  <c r="BU93" i="4"/>
  <c r="DM92" i="4"/>
  <c r="CT92" i="4"/>
  <c r="BZ92" i="4"/>
  <c r="DQ91" i="4"/>
  <c r="CY91" i="4"/>
  <c r="CF91" i="4"/>
  <c r="BL91" i="4" a="1"/>
  <c r="BL91" i="4" s="1"/>
  <c r="DO90" i="4"/>
  <c r="CV90" i="4"/>
  <c r="BZ90" i="4"/>
  <c r="EB89" i="4"/>
  <c r="DJ89" i="4"/>
  <c r="CN89" i="4"/>
  <c r="BT89" i="4"/>
  <c r="DE88" i="4"/>
  <c r="CJ88" i="4"/>
  <c r="BN88" i="4"/>
  <c r="DR87" i="4"/>
  <c r="CY87" i="4"/>
  <c r="CE87" i="4"/>
  <c r="BK87" i="4"/>
  <c r="DN86" i="4"/>
  <c r="CT86" i="4"/>
  <c r="BY86" i="4"/>
  <c r="EA85" i="4"/>
  <c r="CM85" i="4"/>
  <c r="BQ85" i="4"/>
  <c r="CK85" i="4"/>
  <c r="DT87" i="4"/>
  <c r="CM93" i="4"/>
  <c r="CQ89" i="4"/>
  <c r="DO86" i="4"/>
  <c r="G9" i="4"/>
  <c r="CD182" i="4" s="1"/>
  <c r="D9" i="4"/>
  <c r="W9" i="4" s="1" a="1"/>
  <c r="CR9" i="4" a="1"/>
  <c r="CR9" i="4" s="1"/>
  <c r="W9" i="4" l="1"/>
  <c r="W8" i="4" s="1"/>
  <c r="BS184" i="4"/>
  <c r="BS180" i="4"/>
  <c r="CP180" i="4"/>
  <c r="BS181" i="4"/>
  <c r="CD181" i="4"/>
  <c r="CD90" i="4"/>
  <c r="BN102" i="4"/>
  <c r="BO102" i="4"/>
  <c r="BP102" i="4"/>
  <c r="BS182" i="4"/>
  <c r="BI181" i="4"/>
  <c r="CP179" i="4"/>
  <c r="CP184" i="4"/>
  <c r="CD180" i="4"/>
  <c r="CP183" i="4"/>
  <c r="CD184" i="4"/>
  <c r="BI184" i="4"/>
  <c r="BS179" i="4"/>
  <c r="CP181" i="4"/>
  <c r="BS183" i="4"/>
  <c r="CD183" i="4"/>
  <c r="CD179" i="4"/>
  <c r="CP182" i="4"/>
  <c r="CK109" i="4"/>
  <c r="DN109" i="4" s="1"/>
  <c r="DC106" i="4"/>
  <c r="DF106" i="4" s="1"/>
  <c r="CM108" i="4"/>
  <c r="CN108" i="4" s="1"/>
  <c r="CV107" i="4"/>
  <c r="CW107" i="4"/>
  <c r="CI109" i="4"/>
  <c r="CD110" i="4" s="1"/>
  <c r="CL109" i="4"/>
  <c r="BW112" i="4"/>
  <c r="BX112" i="4" s="1"/>
  <c r="BS113" i="4" s="1"/>
  <c r="BZ112" i="4"/>
  <c r="DM112" i="4" s="1"/>
  <c r="EA108" i="4"/>
  <c r="BY111" i="4"/>
  <c r="CG111" i="4"/>
  <c r="CX108" i="4"/>
  <c r="DQ108" i="4" s="1"/>
  <c r="CT108" i="4"/>
  <c r="CU108" i="4" s="1"/>
  <c r="CP109" i="4" s="1"/>
  <c r="DL110" i="4"/>
  <c r="DZ110" i="4" s="1"/>
  <c r="CA110" i="4"/>
  <c r="CB110" i="4" s="1"/>
  <c r="CH110" i="4" s="1"/>
  <c r="CS110" i="4" s="1"/>
  <c r="DQ107" i="4"/>
  <c r="CJ109" i="4"/>
  <c r="R9" i="4" a="1"/>
  <c r="I9" i="4" a="1"/>
  <c r="BS87" i="4"/>
  <c r="AF9" i="4" a="1"/>
  <c r="BI90" i="4"/>
  <c r="AA9" i="4" a="1"/>
  <c r="CP89" i="4"/>
  <c r="BS90" i="4"/>
  <c r="CP86" i="4"/>
  <c r="CP90" i="4"/>
  <c r="CD87" i="4"/>
  <c r="K9" i="4" a="1"/>
  <c r="BS86" i="4"/>
  <c r="CP87" i="4"/>
  <c r="BS88" i="4"/>
  <c r="BI92" i="4"/>
  <c r="BS85" i="4"/>
  <c r="CD85" i="4"/>
  <c r="CD88" i="4"/>
  <c r="CP85" i="4"/>
  <c r="CP88" i="4"/>
  <c r="BS89" i="4"/>
  <c r="CD89" i="4"/>
  <c r="L9" i="4" a="1"/>
  <c r="CD86" i="4"/>
  <c r="S9" i="4" a="1"/>
  <c r="E9" i="4" a="1"/>
  <c r="F9" i="4" a="1"/>
  <c r="X9" i="4" a="1"/>
  <c r="N9" i="4" a="1"/>
  <c r="M9" i="4" a="1"/>
  <c r="Y9" i="4" a="1"/>
  <c r="O9" i="4" a="1"/>
  <c r="P9" i="4" a="1"/>
  <c r="V9" i="4" a="1"/>
  <c r="Q9" i="4" a="1"/>
  <c r="BI9" i="4"/>
  <c r="BI185" i="4" s="1"/>
  <c r="BU9" i="4" a="1"/>
  <c r="BU9" i="4" s="1"/>
  <c r="I9" i="4" l="1"/>
  <c r="H9" i="4" s="1" a="1"/>
  <c r="AA9" i="4"/>
  <c r="AA8" i="4" s="1"/>
  <c r="S9" i="4"/>
  <c r="S8" i="4" s="1"/>
  <c r="E9" i="4"/>
  <c r="N9" i="4"/>
  <c r="N8" i="4" s="1"/>
  <c r="O9" i="4"/>
  <c r="O8" i="4" s="1"/>
  <c r="V9" i="4"/>
  <c r="V8" i="4" s="1"/>
  <c r="R9" i="4"/>
  <c r="R8" i="4" s="1"/>
  <c r="AF9" i="4"/>
  <c r="AG9" i="4" s="1" a="1"/>
  <c r="K9" i="4"/>
  <c r="K8" i="4" s="1"/>
  <c r="L9" i="4"/>
  <c r="L8" i="4" s="1"/>
  <c r="F9" i="4"/>
  <c r="X9" i="4"/>
  <c r="X8" i="4" s="1"/>
  <c r="M9" i="4"/>
  <c r="M8" i="4" s="1"/>
  <c r="Y9" i="4"/>
  <c r="Y8" i="4" s="1"/>
  <c r="P9" i="4"/>
  <c r="P8" i="4" s="1"/>
  <c r="Q9" i="4"/>
  <c r="Q8" i="4" s="1"/>
  <c r="BI183" i="4"/>
  <c r="BI182" i="4"/>
  <c r="BI179" i="4"/>
  <c r="BI87" i="4"/>
  <c r="BI186" i="4"/>
  <c r="BI180" i="4"/>
  <c r="BI187" i="4"/>
  <c r="BI88" i="4"/>
  <c r="BI86" i="4"/>
  <c r="BI85" i="4"/>
  <c r="BI188" i="4"/>
  <c r="BI89" i="4"/>
  <c r="BI91" i="4"/>
  <c r="BI94" i="4"/>
  <c r="BI93" i="4"/>
  <c r="CK110" i="4"/>
  <c r="DN110" i="4" s="1"/>
  <c r="CM109" i="4"/>
  <c r="CN109" i="4" s="1"/>
  <c r="DB106" i="4"/>
  <c r="DE106" i="4" s="1"/>
  <c r="DG106" i="4" s="1"/>
  <c r="DP107" i="4"/>
  <c r="EB107" i="4" s="1"/>
  <c r="CY107" i="4"/>
  <c r="CZ107" i="4" s="1"/>
  <c r="DC107" i="4" s="1"/>
  <c r="BZ113" i="4"/>
  <c r="DM113" i="4" s="1"/>
  <c r="BW113" i="4"/>
  <c r="CW108" i="4"/>
  <c r="CV108" i="4"/>
  <c r="CJ110" i="4"/>
  <c r="CT109" i="4"/>
  <c r="CU109" i="4" s="1"/>
  <c r="CP110" i="4" s="1"/>
  <c r="CX109" i="4"/>
  <c r="DQ109" i="4" s="1"/>
  <c r="BY112" i="4"/>
  <c r="CG112" i="4"/>
  <c r="DO109" i="4"/>
  <c r="EA109" i="4" s="1"/>
  <c r="DL111" i="4"/>
  <c r="DZ111" i="4" s="1"/>
  <c r="CA111" i="4"/>
  <c r="CB111" i="4" s="1"/>
  <c r="CH111" i="4" s="1"/>
  <c r="CS111" i="4" s="1"/>
  <c r="CL110" i="4"/>
  <c r="DO110" i="4" s="1"/>
  <c r="CI110" i="4"/>
  <c r="CD111" i="4" s="1"/>
  <c r="AH9" i="4" a="1"/>
  <c r="AF8" i="4"/>
  <c r="AN13" i="14" s="1"/>
  <c r="N16" i="16" s="1"/>
  <c r="T9" i="4" a="1"/>
  <c r="H9" i="4" l="1"/>
  <c r="AG9" i="4"/>
  <c r="AG8" i="4" s="1"/>
  <c r="AH9" i="4"/>
  <c r="AH8" i="4" s="1"/>
  <c r="AN20" i="14" s="1"/>
  <c r="N23" i="16" s="1"/>
  <c r="T9" i="4"/>
  <c r="Z9" i="4" s="1" a="1"/>
  <c r="CK111" i="4"/>
  <c r="DN111" i="4" s="1"/>
  <c r="BX113" i="4"/>
  <c r="BS114" i="4" s="1"/>
  <c r="CG113" i="4"/>
  <c r="BY113" i="4"/>
  <c r="DB107" i="4"/>
  <c r="DE107" i="4" s="1"/>
  <c r="DF107" i="4"/>
  <c r="CJ111" i="4"/>
  <c r="CX110" i="4"/>
  <c r="DQ110" i="4" s="1"/>
  <c r="CT110" i="4"/>
  <c r="CU110" i="4" s="1"/>
  <c r="CP111" i="4" s="1"/>
  <c r="CW109" i="4"/>
  <c r="CV109" i="4"/>
  <c r="CM110" i="4"/>
  <c r="CN110" i="4" s="1"/>
  <c r="EA110" i="4"/>
  <c r="CL111" i="4"/>
  <c r="DO111" i="4" s="1"/>
  <c r="CI111" i="4"/>
  <c r="CD112" i="4" s="1"/>
  <c r="DL112" i="4"/>
  <c r="DZ112" i="4" s="1"/>
  <c r="CA112" i="4"/>
  <c r="CB112" i="4" s="1"/>
  <c r="CH112" i="4" s="1"/>
  <c r="CK112" i="4" s="1"/>
  <c r="DP108" i="4"/>
  <c r="EB108" i="4" s="1"/>
  <c r="CY108" i="4"/>
  <c r="CZ108" i="4" s="1"/>
  <c r="AI9" i="4" a="1"/>
  <c r="T8" i="4"/>
  <c r="AS24" i="4" l="1"/>
  <c r="AS68" i="4"/>
  <c r="AS69" i="4"/>
  <c r="AS65" i="4"/>
  <c r="AS64" i="4"/>
  <c r="AS61" i="4"/>
  <c r="AS59" i="4"/>
  <c r="AS67" i="4"/>
  <c r="AS66" i="4"/>
  <c r="AS62" i="4"/>
  <c r="AS60" i="4"/>
  <c r="AS58" i="4"/>
  <c r="Z9" i="4"/>
  <c r="DP109" i="4"/>
  <c r="EB109" i="4" s="1"/>
  <c r="CY109" i="4"/>
  <c r="CZ109" i="4" s="1"/>
  <c r="DC109" i="4" s="1"/>
  <c r="CM111" i="4"/>
  <c r="CN111" i="4" s="1"/>
  <c r="DN112" i="4"/>
  <c r="EA111" i="4"/>
  <c r="CL112" i="4"/>
  <c r="DO112" i="4" s="1"/>
  <c r="CI112" i="4"/>
  <c r="CD113" i="4" s="1"/>
  <c r="DG107" i="4"/>
  <c r="CA113" i="4"/>
  <c r="CB113" i="4" s="1"/>
  <c r="CH113" i="4" s="1"/>
  <c r="CJ113" i="4" s="1"/>
  <c r="DL113" i="4"/>
  <c r="DZ113" i="4" s="1"/>
  <c r="CS112" i="4"/>
  <c r="DC108" i="4"/>
  <c r="DF108" i="4" s="1"/>
  <c r="CJ112" i="4"/>
  <c r="CX111" i="4"/>
  <c r="DQ111" i="4" s="1"/>
  <c r="CT111" i="4"/>
  <c r="CU111" i="4" s="1"/>
  <c r="CP112" i="4" s="1"/>
  <c r="BZ114" i="4"/>
  <c r="DM114" i="4" s="1"/>
  <c r="BW114" i="4"/>
  <c r="BX114" i="4" s="1"/>
  <c r="BS115" i="4" s="1"/>
  <c r="CW110" i="4"/>
  <c r="CV110" i="4"/>
  <c r="AS28" i="4"/>
  <c r="AS21" i="4"/>
  <c r="AS49" i="4"/>
  <c r="AS12" i="4"/>
  <c r="AI9" i="4"/>
  <c r="AI8" i="4" s="1"/>
  <c r="AS16" i="4"/>
  <c r="AS37" i="4"/>
  <c r="AS15" i="4"/>
  <c r="AS40" i="4"/>
  <c r="AS11" i="4"/>
  <c r="AS14" i="4"/>
  <c r="AS20" i="4"/>
  <c r="AS44" i="4"/>
  <c r="AS17" i="4"/>
  <c r="AS47" i="4"/>
  <c r="AS25" i="4"/>
  <c r="AS48" i="4"/>
  <c r="AS29" i="4"/>
  <c r="AS27" i="4"/>
  <c r="AS43" i="4"/>
  <c r="AS10" i="4"/>
  <c r="AS45" i="4"/>
  <c r="AS18" i="4"/>
  <c r="AS46" i="4"/>
  <c r="AS19" i="4"/>
  <c r="AS22" i="4"/>
  <c r="AS42" i="4"/>
  <c r="AS13" i="4"/>
  <c r="AS26" i="4"/>
  <c r="AS50" i="4"/>
  <c r="AS23" i="4"/>
  <c r="AB9" i="4" l="1" a="1"/>
  <c r="Z8" i="4"/>
  <c r="G35" i="14" s="1" a="1"/>
  <c r="EA112" i="4"/>
  <c r="CM112" i="4"/>
  <c r="CN112" i="4" s="1"/>
  <c r="CK113" i="4"/>
  <c r="DN113" i="4" s="1"/>
  <c r="CS113" i="4"/>
  <c r="CV111" i="4"/>
  <c r="CW111" i="4"/>
  <c r="BW115" i="4"/>
  <c r="BX115" i="4" s="1"/>
  <c r="BS116" i="4" s="1"/>
  <c r="BZ115" i="4"/>
  <c r="DM115" i="4" s="1"/>
  <c r="CG114" i="4"/>
  <c r="BY114" i="4"/>
  <c r="CT112" i="4"/>
  <c r="CW112" i="4" s="1"/>
  <c r="CX112" i="4"/>
  <c r="DQ112" i="4" s="1"/>
  <c r="CI113" i="4"/>
  <c r="CD114" i="4" s="1"/>
  <c r="CL113" i="4"/>
  <c r="DO113" i="4" s="1"/>
  <c r="DB109" i="4"/>
  <c r="DE109" i="4" s="1"/>
  <c r="DF109" i="4"/>
  <c r="CY110" i="4"/>
  <c r="CZ110" i="4" s="1"/>
  <c r="DP110" i="4"/>
  <c r="EB110" i="4" s="1"/>
  <c r="DB108" i="4"/>
  <c r="DE108" i="4" s="1"/>
  <c r="DG108" i="4" s="1"/>
  <c r="AS9" i="4"/>
  <c r="H39" i="14" l="1"/>
  <c r="H36" i="14"/>
  <c r="G35" i="14"/>
  <c r="H40" i="14"/>
  <c r="H37" i="14"/>
  <c r="H38" i="14"/>
  <c r="AB9" i="4"/>
  <c r="CU112" i="4"/>
  <c r="CP113" i="4" s="1"/>
  <c r="CX113" i="4" s="1"/>
  <c r="DQ113" i="4" s="1"/>
  <c r="EA113" i="4"/>
  <c r="CV112" i="4"/>
  <c r="DC110" i="4"/>
  <c r="DF110" i="4" s="1"/>
  <c r="BZ116" i="4"/>
  <c r="DM116" i="4" s="1"/>
  <c r="BW116" i="4"/>
  <c r="BX116" i="4" s="1"/>
  <c r="BS117" i="4" s="1"/>
  <c r="CL114" i="4"/>
  <c r="DO114" i="4" s="1"/>
  <c r="CA114" i="4"/>
  <c r="CB114" i="4" s="1"/>
  <c r="CH114" i="4" s="1"/>
  <c r="CK114" i="4" s="1"/>
  <c r="DL114" i="4"/>
  <c r="DZ114" i="4" s="1"/>
  <c r="DG109" i="4"/>
  <c r="BY115" i="4"/>
  <c r="CG115" i="4"/>
  <c r="CY111" i="4"/>
  <c r="CZ111" i="4" s="1"/>
  <c r="DP111" i="4"/>
  <c r="EB111" i="4" s="1"/>
  <c r="CY112" i="4"/>
  <c r="CZ112" i="4" s="1"/>
  <c r="DP112" i="4"/>
  <c r="EB112" i="4" s="1"/>
  <c r="CM113" i="4"/>
  <c r="CN113" i="4" s="1"/>
  <c r="H35" i="14" l="1"/>
  <c r="G41" i="14"/>
  <c r="G43" i="14" s="1"/>
  <c r="AF29" i="14" a="1"/>
  <c r="AB8" i="4"/>
  <c r="AN19" i="14" s="1"/>
  <c r="N22" i="16" s="1"/>
  <c r="AD9" i="4" a="1"/>
  <c r="CT113" i="4"/>
  <c r="CU113" i="4" s="1"/>
  <c r="CP114" i="4" s="1"/>
  <c r="BZ117" i="4"/>
  <c r="DM117" i="4" s="1"/>
  <c r="BW117" i="4"/>
  <c r="DL115" i="4"/>
  <c r="DZ115" i="4" s="1"/>
  <c r="CA115" i="4"/>
  <c r="CB115" i="4" s="1"/>
  <c r="CH115" i="4" s="1"/>
  <c r="DN114" i="4"/>
  <c r="EA114" i="4" s="1"/>
  <c r="CM114" i="4"/>
  <c r="CN114" i="4" s="1"/>
  <c r="BY116" i="4"/>
  <c r="CG116" i="4"/>
  <c r="DC111" i="4"/>
  <c r="DF111" i="4" s="1"/>
  <c r="CS114" i="4"/>
  <c r="DB110" i="4"/>
  <c r="DE110" i="4" s="1"/>
  <c r="DG110" i="4" s="1"/>
  <c r="CI114" i="4"/>
  <c r="CD115" i="4" s="1"/>
  <c r="CL115" i="4" s="1"/>
  <c r="DO115" i="4" s="1"/>
  <c r="DC112" i="4"/>
  <c r="DF112" i="4" s="1"/>
  <c r="CJ114" i="4"/>
  <c r="AR9" i="4"/>
  <c r="H43" i="14" l="1"/>
  <c r="I43" i="14" s="1"/>
  <c r="F43" i="14"/>
  <c r="G52" i="14"/>
  <c r="H41" i="14"/>
  <c r="AM19" i="14"/>
  <c r="M22" i="16" s="1"/>
  <c r="P22" i="14"/>
  <c r="G45" i="14"/>
  <c r="E37" i="16"/>
  <c r="E36" i="16"/>
  <c r="E34" i="16"/>
  <c r="E35" i="16"/>
  <c r="E33" i="16"/>
  <c r="AF29" i="14"/>
  <c r="AG31" i="14"/>
  <c r="AG30" i="14"/>
  <c r="AG32" i="14"/>
  <c r="AG33" i="14"/>
  <c r="AG34" i="14"/>
  <c r="AD9" i="4"/>
  <c r="CV113" i="4"/>
  <c r="CW113" i="4"/>
  <c r="DP113" i="4" s="1"/>
  <c r="EB113" i="4" s="1"/>
  <c r="DB112" i="4"/>
  <c r="DE112" i="4" s="1"/>
  <c r="DG112" i="4" s="1"/>
  <c r="CI115" i="4"/>
  <c r="CD116" i="4" s="1"/>
  <c r="CL116" i="4" s="1"/>
  <c r="DO116" i="4" s="1"/>
  <c r="DB111" i="4"/>
  <c r="DE111" i="4" s="1"/>
  <c r="DG111" i="4" s="1"/>
  <c r="CX114" i="4"/>
  <c r="DQ114" i="4" s="1"/>
  <c r="CT114" i="4"/>
  <c r="CV114" i="4" s="1"/>
  <c r="CK115" i="4"/>
  <c r="DL116" i="4"/>
  <c r="DZ116" i="4" s="1"/>
  <c r="CA116" i="4"/>
  <c r="CB116" i="4" s="1"/>
  <c r="CH116" i="4" s="1"/>
  <c r="CK116" i="4" s="1"/>
  <c r="BY117" i="4"/>
  <c r="CG117" i="4"/>
  <c r="CJ115" i="4"/>
  <c r="BX117" i="4"/>
  <c r="BS118" i="4" s="1"/>
  <c r="CS115" i="4"/>
  <c r="F45" i="14" l="1"/>
  <c r="H45" i="14"/>
  <c r="AF35" i="14"/>
  <c r="E32" i="16"/>
  <c r="AG29" i="14"/>
  <c r="AJ9" i="4" a="1"/>
  <c r="AD8" i="4"/>
  <c r="AM11" i="14" s="1"/>
  <c r="AM24" i="14" s="1"/>
  <c r="CY113" i="4"/>
  <c r="CZ113" i="4" s="1"/>
  <c r="DC113" i="4" s="1"/>
  <c r="DF113" i="4" s="1"/>
  <c r="CI116" i="4"/>
  <c r="CD117" i="4" s="1"/>
  <c r="CL117" i="4" s="1"/>
  <c r="DO117" i="4" s="1"/>
  <c r="CS116" i="4"/>
  <c r="CJ116" i="4"/>
  <c r="DN115" i="4"/>
  <c r="EA115" i="4" s="1"/>
  <c r="CM115" i="4"/>
  <c r="CN115" i="4" s="1"/>
  <c r="BZ118" i="4"/>
  <c r="DM118" i="4" s="1"/>
  <c r="BW118" i="4"/>
  <c r="BX118" i="4" s="1"/>
  <c r="BS119" i="4" s="1"/>
  <c r="DL117" i="4"/>
  <c r="DZ117" i="4" s="1"/>
  <c r="CA117" i="4"/>
  <c r="CB117" i="4" s="1"/>
  <c r="CH117" i="4" s="1"/>
  <c r="CS117" i="4" s="1"/>
  <c r="CM116" i="4"/>
  <c r="CN116" i="4" s="1"/>
  <c r="DN116" i="4"/>
  <c r="EA116" i="4" s="1"/>
  <c r="CU114" i="4"/>
  <c r="CP115" i="4" s="1"/>
  <c r="CW114" i="4"/>
  <c r="AH35" i="14" l="1"/>
  <c r="G38" i="16" s="1"/>
  <c r="E38" i="16"/>
  <c r="AF37" i="14"/>
  <c r="AG35" i="14"/>
  <c r="F38" i="16" s="1"/>
  <c r="AJ9" i="4"/>
  <c r="DB113" i="4"/>
  <c r="DE113" i="4" s="1"/>
  <c r="DG113" i="4" s="1"/>
  <c r="CI117" i="4"/>
  <c r="CD118" i="4" s="1"/>
  <c r="CL118" i="4" s="1"/>
  <c r="DO118" i="4" s="1"/>
  <c r="CY114" i="4"/>
  <c r="CZ114" i="4" s="1"/>
  <c r="DP114" i="4"/>
  <c r="EB114" i="4" s="1"/>
  <c r="CT115" i="4"/>
  <c r="CX115" i="4"/>
  <c r="DQ115" i="4" s="1"/>
  <c r="BZ119" i="4"/>
  <c r="DM119" i="4" s="1"/>
  <c r="BW119" i="4"/>
  <c r="BY118" i="4"/>
  <c r="CG118" i="4"/>
  <c r="CK117" i="4"/>
  <c r="CJ117" i="4"/>
  <c r="M27" i="16"/>
  <c r="AM14" i="14"/>
  <c r="M17" i="16" s="1"/>
  <c r="M14" i="16"/>
  <c r="AF39" i="14" l="1"/>
  <c r="E40" i="16"/>
  <c r="AG37" i="14"/>
  <c r="AV9" i="4" a="1"/>
  <c r="AJ8" i="4"/>
  <c r="AM25" i="14" s="1"/>
  <c r="CA118" i="4"/>
  <c r="CB118" i="4" s="1"/>
  <c r="CH118" i="4" s="1"/>
  <c r="CS118" i="4" s="1"/>
  <c r="DL118" i="4"/>
  <c r="DZ118" i="4" s="1"/>
  <c r="BX119" i="4"/>
  <c r="BS120" i="4" s="1"/>
  <c r="CG119" i="4"/>
  <c r="BY119" i="4"/>
  <c r="CU115" i="4"/>
  <c r="CP116" i="4" s="1"/>
  <c r="CW115" i="4"/>
  <c r="CV115" i="4"/>
  <c r="DN117" i="4"/>
  <c r="EA117" i="4" s="1"/>
  <c r="CM117" i="4"/>
  <c r="CN117" i="4" s="1"/>
  <c r="DC114" i="4"/>
  <c r="DF114" i="4" s="1"/>
  <c r="AG39" i="14" l="1"/>
  <c r="E42" i="16"/>
  <c r="AM30" i="14"/>
  <c r="M35" i="16" s="1"/>
  <c r="M28" i="16"/>
  <c r="AV9" i="4"/>
  <c r="AM31" i="14"/>
  <c r="M36" i="16" s="1"/>
  <c r="AM26" i="14"/>
  <c r="M29" i="16" s="1"/>
  <c r="DB114" i="4"/>
  <c r="DE114" i="4" s="1"/>
  <c r="DG114" i="4" s="1"/>
  <c r="CI118" i="4"/>
  <c r="CD119" i="4" s="1"/>
  <c r="CL119" i="4" s="1"/>
  <c r="DO119" i="4" s="1"/>
  <c r="CK118" i="4"/>
  <c r="DN118" i="4" s="1"/>
  <c r="EA118" i="4" s="1"/>
  <c r="CA119" i="4"/>
  <c r="CB119" i="4" s="1"/>
  <c r="CH119" i="4" s="1"/>
  <c r="CK119" i="4" s="1"/>
  <c r="DL119" i="4"/>
  <c r="DZ119" i="4" s="1"/>
  <c r="BW120" i="4"/>
  <c r="BZ120" i="4"/>
  <c r="DM120" i="4" s="1"/>
  <c r="CY115" i="4"/>
  <c r="CZ115" i="4" s="1"/>
  <c r="DP115" i="4"/>
  <c r="EB115" i="4" s="1"/>
  <c r="CT116" i="4"/>
  <c r="CX116" i="4"/>
  <c r="DQ116" i="4" s="1"/>
  <c r="CJ118" i="4"/>
  <c r="A38" i="14"/>
  <c r="AV8" i="4" l="1"/>
  <c r="A9" i="4"/>
  <c r="AM33" i="14"/>
  <c r="M38" i="16" s="1"/>
  <c r="AM29" i="14"/>
  <c r="CS119" i="4"/>
  <c r="CJ119" i="4"/>
  <c r="CM118" i="4"/>
  <c r="CN118" i="4" s="1"/>
  <c r="BX120" i="4"/>
  <c r="BS121" i="4" s="1"/>
  <c r="BY120" i="4"/>
  <c r="CG120" i="4"/>
  <c r="CI119" i="4"/>
  <c r="CD120" i="4" s="1"/>
  <c r="CU116" i="4"/>
  <c r="CP117" i="4" s="1"/>
  <c r="CV116" i="4"/>
  <c r="CW116" i="4"/>
  <c r="DC115" i="4"/>
  <c r="DF115" i="4" s="1"/>
  <c r="DN119" i="4"/>
  <c r="EA119" i="4" s="1"/>
  <c r="CM119" i="4"/>
  <c r="CN119" i="4" s="1"/>
  <c r="AH39" i="14"/>
  <c r="G42" i="16" s="1"/>
  <c r="AH37" i="14"/>
  <c r="G40" i="16" s="1"/>
  <c r="F40" i="16"/>
  <c r="A40" i="14"/>
  <c r="F41" i="14" s="1"/>
  <c r="A10" i="4" l="1"/>
  <c r="AM32" i="14"/>
  <c r="M37" i="16" s="1"/>
  <c r="AM34" i="14"/>
  <c r="M34" i="16"/>
  <c r="DB115" i="4"/>
  <c r="DE115" i="4" s="1"/>
  <c r="DG115" i="4" s="1"/>
  <c r="DP116" i="4"/>
  <c r="EB116" i="4" s="1"/>
  <c r="CY116" i="4"/>
  <c r="CZ116" i="4" s="1"/>
  <c r="CT117" i="4"/>
  <c r="CX117" i="4"/>
  <c r="DQ117" i="4" s="1"/>
  <c r="CL120" i="4"/>
  <c r="DO120" i="4" s="1"/>
  <c r="CA120" i="4"/>
  <c r="CB120" i="4" s="1"/>
  <c r="CH120" i="4" s="1"/>
  <c r="CK120" i="4" s="1"/>
  <c r="DL120" i="4"/>
  <c r="DZ120" i="4" s="1"/>
  <c r="BZ121" i="4"/>
  <c r="DM121" i="4" s="1"/>
  <c r="BW121" i="4"/>
  <c r="BX121" i="4" s="1"/>
  <c r="BS122" i="4" s="1"/>
  <c r="F42" i="16"/>
  <c r="H52" i="14"/>
  <c r="F33" i="16"/>
  <c r="AH30" i="14"/>
  <c r="G33" i="16" s="1"/>
  <c r="F34" i="16"/>
  <c r="AH31" i="14"/>
  <c r="G34" i="16" s="1"/>
  <c r="AH34" i="14"/>
  <c r="G37" i="16" s="1"/>
  <c r="F35" i="16"/>
  <c r="AH32" i="14"/>
  <c r="G35" i="16" s="1"/>
  <c r="F36" i="16"/>
  <c r="F37" i="16"/>
  <c r="AH33" i="14"/>
  <c r="G36" i="16" s="1"/>
  <c r="A11" i="4" l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CS120" i="4"/>
  <c r="CI120" i="4"/>
  <c r="CD121" i="4" s="1"/>
  <c r="CL121" i="4" s="1"/>
  <c r="DO121" i="4" s="1"/>
  <c r="CJ120" i="4"/>
  <c r="BW122" i="4"/>
  <c r="BZ122" i="4"/>
  <c r="DM122" i="4" s="1"/>
  <c r="BY121" i="4"/>
  <c r="CG121" i="4"/>
  <c r="CU117" i="4"/>
  <c r="CP118" i="4" s="1"/>
  <c r="CV117" i="4"/>
  <c r="CW117" i="4"/>
  <c r="DC116" i="4"/>
  <c r="DF116" i="4" s="1"/>
  <c r="DN120" i="4"/>
  <c r="EA120" i="4" s="1"/>
  <c r="CM120" i="4"/>
  <c r="CN120" i="4" s="1"/>
  <c r="G53" i="14"/>
  <c r="F32" i="16"/>
  <c r="AH29" i="14"/>
  <c r="G32" i="16" s="1"/>
  <c r="A68" i="4" l="1"/>
  <c r="A69" i="4" s="1"/>
  <c r="A71" i="4"/>
  <c r="DB116" i="4"/>
  <c r="DE116" i="4" s="1"/>
  <c r="DG116" i="4" s="1"/>
  <c r="BX122" i="4"/>
  <c r="BS123" i="4" s="1"/>
  <c r="BY122" i="4"/>
  <c r="CG122" i="4"/>
  <c r="CT118" i="4"/>
  <c r="CX118" i="4"/>
  <c r="DQ118" i="4" s="1"/>
  <c r="CA121" i="4"/>
  <c r="CB121" i="4" s="1"/>
  <c r="CH121" i="4" s="1"/>
  <c r="CS121" i="4" s="1"/>
  <c r="DL121" i="4"/>
  <c r="DZ121" i="4" s="1"/>
  <c r="CY117" i="4"/>
  <c r="CZ117" i="4" s="1"/>
  <c r="DP117" i="4"/>
  <c r="EB117" i="4" s="1"/>
  <c r="F53" i="14"/>
  <c r="H53" i="14"/>
  <c r="Q48" i="14"/>
  <c r="CU118" i="4" l="1"/>
  <c r="CP119" i="4" s="1"/>
  <c r="CW118" i="4"/>
  <c r="CV118" i="4"/>
  <c r="DC117" i="4"/>
  <c r="DF117" i="4" s="1"/>
  <c r="DL122" i="4"/>
  <c r="DZ122" i="4" s="1"/>
  <c r="CA122" i="4"/>
  <c r="CB122" i="4" s="1"/>
  <c r="CH122" i="4" s="1"/>
  <c r="CI121" i="4"/>
  <c r="CD122" i="4" s="1"/>
  <c r="CL122" i="4" s="1"/>
  <c r="DO122" i="4" s="1"/>
  <c r="BW123" i="4"/>
  <c r="BX123" i="4" s="1"/>
  <c r="BS124" i="4" s="1"/>
  <c r="BZ123" i="4"/>
  <c r="DM123" i="4" s="1"/>
  <c r="CK121" i="4"/>
  <c r="CJ121" i="4"/>
  <c r="AS32" i="4"/>
  <c r="AS36" i="4"/>
  <c r="AS31" i="4"/>
  <c r="AS30" i="4"/>
  <c r="AS41" i="4"/>
  <c r="AS38" i="4"/>
  <c r="DB117" i="4" l="1"/>
  <c r="DE117" i="4" s="1"/>
  <c r="DG117" i="4" s="1"/>
  <c r="CI122" i="4"/>
  <c r="CD123" i="4" s="1"/>
  <c r="CL123" i="4" s="1"/>
  <c r="DO123" i="4" s="1"/>
  <c r="CJ122" i="4"/>
  <c r="BY123" i="4"/>
  <c r="CG123" i="4"/>
  <c r="CS122" i="4"/>
  <c r="DN121" i="4"/>
  <c r="EA121" i="4" s="1"/>
  <c r="CM121" i="4"/>
  <c r="CN121" i="4" s="1"/>
  <c r="BZ124" i="4"/>
  <c r="DM124" i="4" s="1"/>
  <c r="BW124" i="4"/>
  <c r="BX124" i="4" s="1"/>
  <c r="BS125" i="4" s="1"/>
  <c r="CK122" i="4"/>
  <c r="DP118" i="4"/>
  <c r="EB118" i="4" s="1"/>
  <c r="CY118" i="4"/>
  <c r="CZ118" i="4" s="1"/>
  <c r="CX119" i="4"/>
  <c r="DQ119" i="4" s="1"/>
  <c r="CT119" i="4"/>
  <c r="CU119" i="4" s="1"/>
  <c r="CP120" i="4" s="1"/>
  <c r="AS33" i="4"/>
  <c r="CM122" i="4" l="1"/>
  <c r="CN122" i="4" s="1"/>
  <c r="DN122" i="4"/>
  <c r="EA122" i="4" s="1"/>
  <c r="DL123" i="4"/>
  <c r="DZ123" i="4" s="1"/>
  <c r="CA123" i="4"/>
  <c r="CB123" i="4" s="1"/>
  <c r="CH123" i="4" s="1"/>
  <c r="CI123" i="4" s="1"/>
  <c r="CD124" i="4" s="1"/>
  <c r="CG124" i="4"/>
  <c r="BY124" i="4"/>
  <c r="DC118" i="4"/>
  <c r="DF118" i="4" s="1"/>
  <c r="BZ125" i="4"/>
  <c r="DM125" i="4" s="1"/>
  <c r="BW125" i="4"/>
  <c r="CT120" i="4"/>
  <c r="CX120" i="4"/>
  <c r="DQ120" i="4" s="1"/>
  <c r="CW119" i="4"/>
  <c r="CV119" i="4"/>
  <c r="AS35" i="4"/>
  <c r="AS34" i="4"/>
  <c r="AS53" i="4"/>
  <c r="CK123" i="4" l="1"/>
  <c r="DN123" i="4" s="1"/>
  <c r="EA123" i="4" s="1"/>
  <c r="DB118" i="4"/>
  <c r="DE118" i="4" s="1"/>
  <c r="DG118" i="4" s="1"/>
  <c r="DL124" i="4"/>
  <c r="DZ124" i="4" s="1"/>
  <c r="CA124" i="4"/>
  <c r="CB124" i="4" s="1"/>
  <c r="CH124" i="4" s="1"/>
  <c r="CK124" i="4" s="1"/>
  <c r="CV120" i="4"/>
  <c r="CW120" i="4"/>
  <c r="BX125" i="4"/>
  <c r="BS126" i="4" s="1"/>
  <c r="BY125" i="4"/>
  <c r="CG125" i="4"/>
  <c r="CL124" i="4"/>
  <c r="DO124" i="4" s="1"/>
  <c r="CS123" i="4"/>
  <c r="CJ123" i="4"/>
  <c r="CY119" i="4"/>
  <c r="CZ119" i="4" s="1"/>
  <c r="DP119" i="4"/>
  <c r="EB119" i="4" s="1"/>
  <c r="CU120" i="4"/>
  <c r="CP121" i="4" s="1"/>
  <c r="AS57" i="4"/>
  <c r="CM123" i="4" l="1"/>
  <c r="CN123" i="4" s="1"/>
  <c r="CI124" i="4"/>
  <c r="CD125" i="4" s="1"/>
  <c r="CL125" i="4" s="1"/>
  <c r="DO125" i="4" s="1"/>
  <c r="CS124" i="4"/>
  <c r="CJ124" i="4"/>
  <c r="DL125" i="4"/>
  <c r="DZ125" i="4" s="1"/>
  <c r="CA125" i="4"/>
  <c r="CB125" i="4" s="1"/>
  <c r="CH125" i="4" s="1"/>
  <c r="CK125" i="4" s="1"/>
  <c r="BW126" i="4"/>
  <c r="BX126" i="4" s="1"/>
  <c r="BS127" i="4" s="1"/>
  <c r="BZ126" i="4"/>
  <c r="DM126" i="4" s="1"/>
  <c r="DP120" i="4"/>
  <c r="EB120" i="4" s="1"/>
  <c r="CY120" i="4"/>
  <c r="CZ120" i="4" s="1"/>
  <c r="CT121" i="4"/>
  <c r="CU121" i="4" s="1"/>
  <c r="CP122" i="4" s="1"/>
  <c r="CX121" i="4"/>
  <c r="DQ121" i="4" s="1"/>
  <c r="CM124" i="4"/>
  <c r="CN124" i="4" s="1"/>
  <c r="DN124" i="4"/>
  <c r="EA124" i="4" s="1"/>
  <c r="DC119" i="4"/>
  <c r="DF119" i="4" s="1"/>
  <c r="BK9" i="4"/>
  <c r="BK84" i="4" s="1"/>
  <c r="BI84" i="4"/>
  <c r="CI125" i="4" l="1"/>
  <c r="CD126" i="4" s="1"/>
  <c r="CL126" i="4" s="1"/>
  <c r="DO126" i="4" s="1"/>
  <c r="CS125" i="4"/>
  <c r="DB119" i="4"/>
  <c r="DE119" i="4" s="1"/>
  <c r="DG119" i="4" s="1"/>
  <c r="BW127" i="4"/>
  <c r="BX127" i="4" s="1"/>
  <c r="BS128" i="4" s="1"/>
  <c r="BZ127" i="4"/>
  <c r="DM127" i="4" s="1"/>
  <c r="BY126" i="4"/>
  <c r="CG126" i="4"/>
  <c r="CT122" i="4"/>
  <c r="CX122" i="4"/>
  <c r="DQ122" i="4" s="1"/>
  <c r="DN125" i="4"/>
  <c r="EA125" i="4" s="1"/>
  <c r="CM125" i="4"/>
  <c r="CN125" i="4" s="1"/>
  <c r="CV121" i="4"/>
  <c r="CW121" i="4"/>
  <c r="CJ125" i="4"/>
  <c r="DC120" i="4"/>
  <c r="DF120" i="4" s="1"/>
  <c r="DI85" i="4"/>
  <c r="DX85" i="4"/>
  <c r="DI86" i="4"/>
  <c r="DX86" i="4"/>
  <c r="DI87" i="4"/>
  <c r="DX87" i="4"/>
  <c r="DI88" i="4"/>
  <c r="DX88" i="4"/>
  <c r="DI89" i="4"/>
  <c r="DX89" i="4"/>
  <c r="DI90" i="4"/>
  <c r="DX90" i="4"/>
  <c r="CW91" i="4"/>
  <c r="DL91" i="4"/>
  <c r="CW92" i="4"/>
  <c r="DL92" i="4"/>
  <c r="CW93" i="4"/>
  <c r="DL93" i="4"/>
  <c r="CW94" i="4"/>
  <c r="DL94" i="4"/>
  <c r="DB120" i="4" l="1"/>
  <c r="DE120" i="4" s="1"/>
  <c r="DG120" i="4" s="1"/>
  <c r="CU122" i="4"/>
  <c r="CP123" i="4" s="1"/>
  <c r="CW122" i="4"/>
  <c r="CV122" i="4"/>
  <c r="CA126" i="4"/>
  <c r="CB126" i="4" s="1"/>
  <c r="CH126" i="4" s="1"/>
  <c r="CI126" i="4" s="1"/>
  <c r="CD127" i="4" s="1"/>
  <c r="CL127" i="4" s="1"/>
  <c r="DO127" i="4" s="1"/>
  <c r="DL126" i="4"/>
  <c r="DZ126" i="4" s="1"/>
  <c r="CY121" i="4"/>
  <c r="CZ121" i="4" s="1"/>
  <c r="DP121" i="4"/>
  <c r="EB121" i="4" s="1"/>
  <c r="BW128" i="4"/>
  <c r="BZ128" i="4"/>
  <c r="DM128" i="4" s="1"/>
  <c r="CG127" i="4"/>
  <c r="BY127" i="4"/>
  <c r="CK126" i="4" l="1"/>
  <c r="CM126" i="4" s="1"/>
  <c r="CN126" i="4" s="1"/>
  <c r="CA127" i="4"/>
  <c r="CB127" i="4" s="1"/>
  <c r="CH127" i="4" s="1"/>
  <c r="CI127" i="4" s="1"/>
  <c r="CD128" i="4" s="1"/>
  <c r="CL128" i="4" s="1"/>
  <c r="DO128" i="4" s="1"/>
  <c r="DL127" i="4"/>
  <c r="DZ127" i="4" s="1"/>
  <c r="CX123" i="4"/>
  <c r="DQ123" i="4" s="1"/>
  <c r="CT123" i="4"/>
  <c r="CU123" i="4" s="1"/>
  <c r="CP124" i="4" s="1"/>
  <c r="CS126" i="4"/>
  <c r="DP122" i="4"/>
  <c r="EB122" i="4" s="1"/>
  <c r="CY122" i="4"/>
  <c r="CZ122" i="4" s="1"/>
  <c r="BY128" i="4"/>
  <c r="CG128" i="4"/>
  <c r="BX128" i="4"/>
  <c r="BS129" i="4" s="1"/>
  <c r="DC121" i="4"/>
  <c r="DF121" i="4" s="1"/>
  <c r="CJ126" i="4"/>
  <c r="DN126" i="4" l="1"/>
  <c r="EA126" i="4" s="1"/>
  <c r="CJ127" i="4"/>
  <c r="CA128" i="4"/>
  <c r="CB128" i="4" s="1"/>
  <c r="CH128" i="4" s="1"/>
  <c r="CK128" i="4" s="1"/>
  <c r="DL128" i="4"/>
  <c r="DZ128" i="4" s="1"/>
  <c r="CX124" i="4"/>
  <c r="DQ124" i="4" s="1"/>
  <c r="CT124" i="4"/>
  <c r="DC122" i="4"/>
  <c r="DF122" i="4" s="1"/>
  <c r="CW123" i="4"/>
  <c r="CV123" i="4"/>
  <c r="CS127" i="4"/>
  <c r="CK127" i="4"/>
  <c r="DB121" i="4"/>
  <c r="DE121" i="4" s="1"/>
  <c r="DG121" i="4" s="1"/>
  <c r="BW129" i="4"/>
  <c r="BZ129" i="4"/>
  <c r="DM129" i="4" s="1"/>
  <c r="DB122" i="4" l="1"/>
  <c r="DE122" i="4" s="1"/>
  <c r="DG122" i="4" s="1"/>
  <c r="CI128" i="4"/>
  <c r="CD129" i="4" s="1"/>
  <c r="CL129" i="4" s="1"/>
  <c r="DO129" i="4" s="1"/>
  <c r="BX129" i="4"/>
  <c r="BS130" i="4" s="1"/>
  <c r="BY129" i="4"/>
  <c r="CG129" i="4"/>
  <c r="CU124" i="4"/>
  <c r="CP125" i="4" s="1"/>
  <c r="CW124" i="4"/>
  <c r="CV124" i="4"/>
  <c r="DN127" i="4"/>
  <c r="EA127" i="4" s="1"/>
  <c r="CM127" i="4"/>
  <c r="CN127" i="4" s="1"/>
  <c r="CM128" i="4"/>
  <c r="CN128" i="4" s="1"/>
  <c r="DN128" i="4"/>
  <c r="EA128" i="4" s="1"/>
  <c r="CY123" i="4"/>
  <c r="CZ123" i="4" s="1"/>
  <c r="DP123" i="4"/>
  <c r="EB123" i="4" s="1"/>
  <c r="CS128" i="4"/>
  <c r="CJ128" i="4"/>
  <c r="DC123" i="4" l="1"/>
  <c r="DF123" i="4" s="1"/>
  <c r="CX125" i="4"/>
  <c r="DQ125" i="4" s="1"/>
  <c r="CT125" i="4"/>
  <c r="CU125" i="4" s="1"/>
  <c r="CP126" i="4" s="1"/>
  <c r="CA129" i="4"/>
  <c r="CB129" i="4" s="1"/>
  <c r="CH129" i="4" s="1"/>
  <c r="CJ129" i="4" s="1"/>
  <c r="DL129" i="4"/>
  <c r="DZ129" i="4" s="1"/>
  <c r="BW130" i="4"/>
  <c r="BX130" i="4" s="1"/>
  <c r="BS131" i="4" s="1"/>
  <c r="BZ130" i="4"/>
  <c r="DM130" i="4" s="1"/>
  <c r="DP124" i="4"/>
  <c r="EB124" i="4" s="1"/>
  <c r="CY124" i="4"/>
  <c r="CZ124" i="4" s="1"/>
  <c r="CK129" i="4" l="1"/>
  <c r="CM129" i="4" s="1"/>
  <c r="CN129" i="4" s="1"/>
  <c r="DB123" i="4"/>
  <c r="DE123" i="4" s="1"/>
  <c r="DG123" i="4" s="1"/>
  <c r="DC124" i="4"/>
  <c r="DF124" i="4" s="1"/>
  <c r="CS129" i="4"/>
  <c r="BZ131" i="4"/>
  <c r="DM131" i="4" s="1"/>
  <c r="BW131" i="4"/>
  <c r="BX131" i="4" s="1"/>
  <c r="BS132" i="4" s="1"/>
  <c r="CX126" i="4"/>
  <c r="DQ126" i="4" s="1"/>
  <c r="CT126" i="4"/>
  <c r="CU126" i="4" s="1"/>
  <c r="CP127" i="4" s="1"/>
  <c r="CV125" i="4"/>
  <c r="CW125" i="4"/>
  <c r="BY130" i="4"/>
  <c r="CG130" i="4"/>
  <c r="CI129" i="4"/>
  <c r="CD130" i="4" s="1"/>
  <c r="DN129" i="4" l="1"/>
  <c r="EA129" i="4" s="1"/>
  <c r="BZ132" i="4"/>
  <c r="DM132" i="4" s="1"/>
  <c r="BW132" i="4"/>
  <c r="CG132" i="4" s="1"/>
  <c r="DB124" i="4"/>
  <c r="DE124" i="4" s="1"/>
  <c r="DG124" i="4" s="1"/>
  <c r="CT127" i="4"/>
  <c r="CU127" i="4" s="1"/>
  <c r="CP128" i="4" s="1"/>
  <c r="CX127" i="4"/>
  <c r="DQ127" i="4" s="1"/>
  <c r="CW126" i="4"/>
  <c r="CV126" i="4"/>
  <c r="CL130" i="4"/>
  <c r="DO130" i="4" s="1"/>
  <c r="BY131" i="4"/>
  <c r="CG131" i="4"/>
  <c r="CA130" i="4"/>
  <c r="CB130" i="4" s="1"/>
  <c r="CH130" i="4" s="1"/>
  <c r="CK130" i="4" s="1"/>
  <c r="DL130" i="4"/>
  <c r="DZ130" i="4" s="1"/>
  <c r="CY125" i="4"/>
  <c r="CZ125" i="4" s="1"/>
  <c r="DP125" i="4"/>
  <c r="EB125" i="4" s="1"/>
  <c r="BY132" i="4" l="1"/>
  <c r="DL132" i="4" s="1"/>
  <c r="BX132" i="4"/>
  <c r="BS133" i="4" s="1"/>
  <c r="BZ133" i="4" s="1"/>
  <c r="DM133" i="4" s="1"/>
  <c r="CI130" i="4"/>
  <c r="CD131" i="4" s="1"/>
  <c r="CL131" i="4" s="1"/>
  <c r="DO131" i="4" s="1"/>
  <c r="DL131" i="4"/>
  <c r="DZ131" i="4" s="1"/>
  <c r="CA131" i="4"/>
  <c r="CB131" i="4" s="1"/>
  <c r="CH131" i="4" s="1"/>
  <c r="DC125" i="4"/>
  <c r="DF125" i="4" s="1"/>
  <c r="DN130" i="4"/>
  <c r="EA130" i="4" s="1"/>
  <c r="CM130" i="4"/>
  <c r="CN130" i="4" s="1"/>
  <c r="CJ130" i="4"/>
  <c r="CS130" i="4"/>
  <c r="DP126" i="4"/>
  <c r="EB126" i="4" s="1"/>
  <c r="CY126" i="4"/>
  <c r="CZ126" i="4" s="1"/>
  <c r="CX128" i="4"/>
  <c r="DQ128" i="4" s="1"/>
  <c r="CT128" i="4"/>
  <c r="CU128" i="4" s="1"/>
  <c r="CP129" i="4" s="1"/>
  <c r="CV127" i="4"/>
  <c r="CW127" i="4"/>
  <c r="CA132" i="4" l="1"/>
  <c r="CB132" i="4" s="1"/>
  <c r="CH132" i="4" s="1"/>
  <c r="CS132" i="4" s="1"/>
  <c r="BW133" i="4"/>
  <c r="BY133" i="4" s="1"/>
  <c r="DB125" i="4"/>
  <c r="DE125" i="4" s="1"/>
  <c r="DG125" i="4" s="1"/>
  <c r="CI131" i="4"/>
  <c r="CD132" i="4" s="1"/>
  <c r="CL132" i="4" s="1"/>
  <c r="DO132" i="4" s="1"/>
  <c r="DC126" i="4"/>
  <c r="DF126" i="4" s="1"/>
  <c r="CX129" i="4"/>
  <c r="DQ129" i="4" s="1"/>
  <c r="CT129" i="4"/>
  <c r="CU129" i="4" s="1"/>
  <c r="CP130" i="4" s="1"/>
  <c r="CW128" i="4"/>
  <c r="CV128" i="4"/>
  <c r="CJ131" i="4"/>
  <c r="CS131" i="4"/>
  <c r="DP127" i="4"/>
  <c r="EB127" i="4" s="1"/>
  <c r="CY127" i="4"/>
  <c r="CZ127" i="4" s="1"/>
  <c r="CK131" i="4"/>
  <c r="DZ132" i="4"/>
  <c r="CJ132" i="4" l="1"/>
  <c r="BX133" i="4"/>
  <c r="BS134" i="4" s="1"/>
  <c r="BW134" i="4" s="1"/>
  <c r="CI132" i="4"/>
  <c r="CD133" i="4" s="1"/>
  <c r="CL133" i="4" s="1"/>
  <c r="DO133" i="4" s="1"/>
  <c r="CG133" i="4"/>
  <c r="CK132" i="4"/>
  <c r="DB126" i="4"/>
  <c r="DE126" i="4" s="1"/>
  <c r="DG126" i="4" s="1"/>
  <c r="CY128" i="4"/>
  <c r="CZ128" i="4" s="1"/>
  <c r="DP128" i="4"/>
  <c r="EB128" i="4" s="1"/>
  <c r="CX130" i="4"/>
  <c r="DQ130" i="4" s="1"/>
  <c r="CT130" i="4"/>
  <c r="DN131" i="4"/>
  <c r="EA131" i="4" s="1"/>
  <c r="CM131" i="4"/>
  <c r="CN131" i="4" s="1"/>
  <c r="CW129" i="4"/>
  <c r="CV129" i="4"/>
  <c r="DC127" i="4"/>
  <c r="DF127" i="4" s="1"/>
  <c r="DL133" i="4"/>
  <c r="CA133" i="4"/>
  <c r="CB133" i="4" s="1"/>
  <c r="CH133" i="4" s="1"/>
  <c r="BZ134" i="4" l="1"/>
  <c r="DM134" i="4" s="1"/>
  <c r="CJ133" i="4"/>
  <c r="BX134" i="4"/>
  <c r="BS135" i="4" s="1"/>
  <c r="BZ135" i="4" s="1"/>
  <c r="DM135" i="4" s="1"/>
  <c r="CM132" i="4"/>
  <c r="CN132" i="4" s="1"/>
  <c r="DN132" i="4"/>
  <c r="EA132" i="4" s="1"/>
  <c r="DB127" i="4"/>
  <c r="DE127" i="4" s="1"/>
  <c r="DG127" i="4" s="1"/>
  <c r="CV130" i="4"/>
  <c r="CW130" i="4"/>
  <c r="CU130" i="4"/>
  <c r="CP131" i="4" s="1"/>
  <c r="DP129" i="4"/>
  <c r="EB129" i="4" s="1"/>
  <c r="CY129" i="4"/>
  <c r="CZ129" i="4" s="1"/>
  <c r="DC128" i="4"/>
  <c r="DF128" i="4" s="1"/>
  <c r="CS133" i="4"/>
  <c r="DZ133" i="4"/>
  <c r="CK133" i="4"/>
  <c r="CG134" i="4"/>
  <c r="BY134" i="4"/>
  <c r="CI133" i="4"/>
  <c r="CD134" i="4" s="1"/>
  <c r="BW135" i="4" l="1"/>
  <c r="CG135" i="4" s="1"/>
  <c r="DB128" i="4"/>
  <c r="DE128" i="4" s="1"/>
  <c r="DG128" i="4" s="1"/>
  <c r="DC129" i="4"/>
  <c r="DF129" i="4" s="1"/>
  <c r="CT131" i="4"/>
  <c r="CU131" i="4" s="1"/>
  <c r="CP132" i="4" s="1"/>
  <c r="CX131" i="4"/>
  <c r="DQ131" i="4" s="1"/>
  <c r="CY130" i="4"/>
  <c r="CZ130" i="4" s="1"/>
  <c r="DP130" i="4"/>
  <c r="EB130" i="4" s="1"/>
  <c r="CM133" i="4"/>
  <c r="CN133" i="4" s="1"/>
  <c r="DN133" i="4"/>
  <c r="CL134" i="4"/>
  <c r="DO134" i="4" s="1"/>
  <c r="DL134" i="4"/>
  <c r="CA134" i="4"/>
  <c r="CB134" i="4" s="1"/>
  <c r="CH134" i="4" s="1"/>
  <c r="CI134" i="4" s="1"/>
  <c r="CD135" i="4" s="1"/>
  <c r="BX135" i="4" l="1"/>
  <c r="BS136" i="4" s="1"/>
  <c r="BY135" i="4"/>
  <c r="CA135" i="4" s="1"/>
  <c r="CB135" i="4" s="1"/>
  <c r="CH135" i="4" s="1"/>
  <c r="CI135" i="4" s="1"/>
  <c r="CD136" i="4" s="1"/>
  <c r="CS134" i="4"/>
  <c r="DB129" i="4"/>
  <c r="DE129" i="4" s="1"/>
  <c r="DG129" i="4" s="1"/>
  <c r="CJ134" i="4"/>
  <c r="DC130" i="4"/>
  <c r="DF130" i="4" s="1"/>
  <c r="CX132" i="4"/>
  <c r="DQ132" i="4" s="1"/>
  <c r="CT132" i="4"/>
  <c r="CU132" i="4" s="1"/>
  <c r="CP133" i="4" s="1"/>
  <c r="CT133" i="4" s="1"/>
  <c r="CV131" i="4"/>
  <c r="CW131" i="4"/>
  <c r="CK134" i="4"/>
  <c r="CM134" i="4" s="1"/>
  <c r="CN134" i="4" s="1"/>
  <c r="DZ134" i="4"/>
  <c r="CL135" i="4"/>
  <c r="DO135" i="4" s="1"/>
  <c r="EA133" i="4"/>
  <c r="BZ136" i="4" l="1"/>
  <c r="DM136" i="4" s="1"/>
  <c r="BW136" i="4"/>
  <c r="BX136" i="4" s="1"/>
  <c r="BS137" i="4" s="1"/>
  <c r="DL135" i="4"/>
  <c r="DB130" i="4"/>
  <c r="DE130" i="4" s="1"/>
  <c r="DG130" i="4" s="1"/>
  <c r="DN134" i="4"/>
  <c r="EA134" i="4" s="1"/>
  <c r="CY131" i="4"/>
  <c r="CZ131" i="4" s="1"/>
  <c r="DC131" i="4" s="1"/>
  <c r="DF131" i="4" s="1"/>
  <c r="DP131" i="4"/>
  <c r="EB131" i="4" s="1"/>
  <c r="CX133" i="4"/>
  <c r="DQ133" i="4" s="1"/>
  <c r="CW132" i="4"/>
  <c r="CV132" i="4"/>
  <c r="CL136" i="4"/>
  <c r="DO136" i="4" s="1"/>
  <c r="DZ135" i="4"/>
  <c r="CK135" i="4"/>
  <c r="CJ135" i="4"/>
  <c r="CV133" i="4"/>
  <c r="CW133" i="4"/>
  <c r="CS135" i="4"/>
  <c r="CU133" i="4"/>
  <c r="CP134" i="4" s="1"/>
  <c r="CG136" i="4"/>
  <c r="BY136" i="4"/>
  <c r="DB131" i="4" l="1"/>
  <c r="DE131" i="4" s="1"/>
  <c r="DG131" i="4" s="1"/>
  <c r="DP132" i="4"/>
  <c r="EB132" i="4" s="1"/>
  <c r="CY132" i="4"/>
  <c r="CZ132" i="4" s="1"/>
  <c r="DC132" i="4" s="1"/>
  <c r="DF132" i="4" s="1"/>
  <c r="CA136" i="4"/>
  <c r="CB136" i="4" s="1"/>
  <c r="CH136" i="4" s="1"/>
  <c r="CS136" i="4" s="1"/>
  <c r="DL136" i="4"/>
  <c r="BW137" i="4"/>
  <c r="BZ137" i="4"/>
  <c r="DM137" i="4" s="1"/>
  <c r="CT134" i="4"/>
  <c r="CU134" i="4" s="1"/>
  <c r="CP135" i="4" s="1"/>
  <c r="CX134" i="4"/>
  <c r="CM135" i="4"/>
  <c r="CN135" i="4" s="1"/>
  <c r="DN135" i="4"/>
  <c r="CY133" i="4"/>
  <c r="CZ133" i="4" s="1"/>
  <c r="DP133" i="4"/>
  <c r="DB132" i="4" l="1"/>
  <c r="DE132" i="4" s="1"/>
  <c r="DG132" i="4" s="1"/>
  <c r="CI136" i="4"/>
  <c r="CD137" i="4" s="1"/>
  <c r="CL137" i="4" s="1"/>
  <c r="DO137" i="4" s="1"/>
  <c r="CJ136" i="4"/>
  <c r="CK136" i="4"/>
  <c r="CM136" i="4" s="1"/>
  <c r="CN136" i="4" s="1"/>
  <c r="CX135" i="4"/>
  <c r="CT135" i="4"/>
  <c r="EB133" i="4"/>
  <c r="DQ134" i="4"/>
  <c r="BY137" i="4"/>
  <c r="CG137" i="4"/>
  <c r="DC133" i="4"/>
  <c r="DF133" i="4" s="1"/>
  <c r="CW134" i="4"/>
  <c r="CV134" i="4"/>
  <c r="BX137" i="4"/>
  <c r="BS138" i="4" s="1"/>
  <c r="DZ136" i="4"/>
  <c r="EA135" i="4"/>
  <c r="DN136" i="4" l="1"/>
  <c r="EA136" i="4" s="1"/>
  <c r="DB133" i="4"/>
  <c r="DE133" i="4" s="1"/>
  <c r="DG133" i="4" s="1"/>
  <c r="CW135" i="4"/>
  <c r="CV135" i="4"/>
  <c r="DQ135" i="4"/>
  <c r="CA137" i="4"/>
  <c r="CB137" i="4" s="1"/>
  <c r="CH137" i="4" s="1"/>
  <c r="CK137" i="4" s="1"/>
  <c r="DL137" i="4"/>
  <c r="CU135" i="4"/>
  <c r="CP136" i="4" s="1"/>
  <c r="BZ138" i="4"/>
  <c r="DM138" i="4" s="1"/>
  <c r="BW138" i="4"/>
  <c r="DP134" i="4"/>
  <c r="CY134" i="4"/>
  <c r="CZ134" i="4" s="1"/>
  <c r="CI137" i="4" l="1"/>
  <c r="CD138" i="4" s="1"/>
  <c r="CL138" i="4" s="1"/>
  <c r="DO138" i="4" s="1"/>
  <c r="DN137" i="4"/>
  <c r="EA137" i="4" s="1"/>
  <c r="CM137" i="4"/>
  <c r="CN137" i="4" s="1"/>
  <c r="BY138" i="4"/>
  <c r="CG138" i="4"/>
  <c r="BX138" i="4"/>
  <c r="BS139" i="4" s="1"/>
  <c r="CS137" i="4"/>
  <c r="DC134" i="4"/>
  <c r="DF134" i="4" s="1"/>
  <c r="CJ137" i="4"/>
  <c r="CX136" i="4"/>
  <c r="CT136" i="4"/>
  <c r="CU136" i="4" s="1"/>
  <c r="CP137" i="4" s="1"/>
  <c r="EB134" i="4"/>
  <c r="DP135" i="4"/>
  <c r="CY135" i="4"/>
  <c r="CZ135" i="4" s="1"/>
  <c r="DZ137" i="4"/>
  <c r="DB134" i="4" l="1"/>
  <c r="DE134" i="4" s="1"/>
  <c r="DG134" i="4" s="1"/>
  <c r="CX137" i="4"/>
  <c r="CT137" i="4"/>
  <c r="CW137" i="4" s="1"/>
  <c r="DC135" i="4"/>
  <c r="DF135" i="4" s="1"/>
  <c r="CA138" i="4"/>
  <c r="CB138" i="4" s="1"/>
  <c r="CH138" i="4" s="1"/>
  <c r="CI138" i="4" s="1"/>
  <c r="CD139" i="4" s="1"/>
  <c r="DL138" i="4"/>
  <c r="EB135" i="4"/>
  <c r="BZ139" i="4"/>
  <c r="DM139" i="4" s="1"/>
  <c r="BW139" i="4"/>
  <c r="DQ136" i="4"/>
  <c r="CV136" i="4"/>
  <c r="CW136" i="4"/>
  <c r="CS138" i="4" l="1"/>
  <c r="CV137" i="4"/>
  <c r="CJ138" i="4"/>
  <c r="CK138" i="4"/>
  <c r="CM138" i="4" s="1"/>
  <c r="CN138" i="4" s="1"/>
  <c r="BY139" i="4"/>
  <c r="CG139" i="4"/>
  <c r="BX139" i="4"/>
  <c r="BS140" i="4" s="1"/>
  <c r="DB135" i="4"/>
  <c r="DE135" i="4" s="1"/>
  <c r="DG135" i="4" s="1"/>
  <c r="CY137" i="4"/>
  <c r="CZ137" i="4" s="1"/>
  <c r="DP137" i="4"/>
  <c r="CU137" i="4"/>
  <c r="CP138" i="4" s="1"/>
  <c r="DZ138" i="4"/>
  <c r="DQ137" i="4"/>
  <c r="DP136" i="4"/>
  <c r="CY136" i="4"/>
  <c r="CZ136" i="4" s="1"/>
  <c r="CL139" i="4"/>
  <c r="DO139" i="4" s="1"/>
  <c r="DN138" i="4" l="1"/>
  <c r="EA138" i="4" s="1"/>
  <c r="CT138" i="4"/>
  <c r="CU138" i="4" s="1"/>
  <c r="CP139" i="4" s="1"/>
  <c r="CX138" i="4"/>
  <c r="BW140" i="4"/>
  <c r="BX140" i="4" s="1"/>
  <c r="BS141" i="4" s="1"/>
  <c r="BZ140" i="4"/>
  <c r="DM140" i="4" s="1"/>
  <c r="DC136" i="4"/>
  <c r="DF136" i="4" s="1"/>
  <c r="EB137" i="4"/>
  <c r="EB136" i="4"/>
  <c r="DC137" i="4"/>
  <c r="DF137" i="4" s="1"/>
  <c r="DL139" i="4"/>
  <c r="CA139" i="4"/>
  <c r="CB139" i="4" s="1"/>
  <c r="CH139" i="4" s="1"/>
  <c r="CI139" i="4" s="1"/>
  <c r="CD140" i="4" s="1"/>
  <c r="DB137" i="4" l="1"/>
  <c r="DE137" i="4" s="1"/>
  <c r="DG137" i="4" s="1"/>
  <c r="DB136" i="4"/>
  <c r="DE136" i="4" s="1"/>
  <c r="DG136" i="4" s="1"/>
  <c r="BZ141" i="4"/>
  <c r="DM141" i="4" s="1"/>
  <c r="BW141" i="4"/>
  <c r="CL140" i="4"/>
  <c r="DO140" i="4" s="1"/>
  <c r="BY140" i="4"/>
  <c r="CG140" i="4"/>
  <c r="DZ139" i="4"/>
  <c r="DQ138" i="4"/>
  <c r="CK139" i="4"/>
  <c r="CT139" i="4"/>
  <c r="CX139" i="4"/>
  <c r="CV138" i="4"/>
  <c r="CW138" i="4"/>
  <c r="CJ139" i="4"/>
  <c r="CS139" i="4"/>
  <c r="CU139" i="4" l="1"/>
  <c r="CP140" i="4" s="1"/>
  <c r="CT140" i="4" s="1"/>
  <c r="CA140" i="4"/>
  <c r="CB140" i="4" s="1"/>
  <c r="CH140" i="4" s="1"/>
  <c r="CS140" i="4" s="1"/>
  <c r="DL140" i="4"/>
  <c r="CV139" i="4"/>
  <c r="CW139" i="4"/>
  <c r="CM139" i="4"/>
  <c r="CN139" i="4" s="1"/>
  <c r="DN139" i="4"/>
  <c r="CY138" i="4"/>
  <c r="CZ138" i="4" s="1"/>
  <c r="DP138" i="4"/>
  <c r="CG141" i="4"/>
  <c r="BY141" i="4"/>
  <c r="BX141" i="4"/>
  <c r="BS142" i="4" s="1"/>
  <c r="DQ139" i="4"/>
  <c r="CX140" i="4" l="1"/>
  <c r="DQ140" i="4" s="1"/>
  <c r="CV140" i="4"/>
  <c r="CU140" i="4"/>
  <c r="CP141" i="4" s="1"/>
  <c r="DC138" i="4"/>
  <c r="DF138" i="4" s="1"/>
  <c r="CK140" i="4"/>
  <c r="CI140" i="4"/>
  <c r="CD141" i="4" s="1"/>
  <c r="CJ140" i="4"/>
  <c r="BZ142" i="4"/>
  <c r="DM142" i="4" s="1"/>
  <c r="BW142" i="4"/>
  <c r="EA139" i="4"/>
  <c r="DL141" i="4"/>
  <c r="CA141" i="4"/>
  <c r="CB141" i="4" s="1"/>
  <c r="CH141" i="4" s="1"/>
  <c r="CS141" i="4" s="1"/>
  <c r="DP139" i="4"/>
  <c r="EB139" i="4" s="1"/>
  <c r="CY139" i="4"/>
  <c r="CZ139" i="4" s="1"/>
  <c r="EB138" i="4"/>
  <c r="DZ140" i="4"/>
  <c r="DB138" i="4" l="1"/>
  <c r="DE138" i="4" s="1"/>
  <c r="DG138" i="4" s="1"/>
  <c r="CK141" i="4"/>
  <c r="CL141" i="4"/>
  <c r="DO141" i="4" s="1"/>
  <c r="CI141" i="4"/>
  <c r="CD142" i="4" s="1"/>
  <c r="DZ141" i="4"/>
  <c r="CW140" i="4"/>
  <c r="DN140" i="4"/>
  <c r="CM140" i="4"/>
  <c r="CN140" i="4" s="1"/>
  <c r="DC139" i="4"/>
  <c r="DF139" i="4" s="1"/>
  <c r="CG142" i="4"/>
  <c r="BY142" i="4"/>
  <c r="CJ141" i="4"/>
  <c r="BX142" i="4"/>
  <c r="BS143" i="4" s="1"/>
  <c r="CT141" i="4"/>
  <c r="CV141" i="4" s="1"/>
  <c r="CX141" i="4"/>
  <c r="CA142" i="4" l="1"/>
  <c r="CB142" i="4" s="1"/>
  <c r="CH142" i="4" s="1"/>
  <c r="CK142" i="4" s="1"/>
  <c r="DL142" i="4"/>
  <c r="DQ141" i="4"/>
  <c r="CL142" i="4"/>
  <c r="DO142" i="4" s="1"/>
  <c r="CU141" i="4"/>
  <c r="CP142" i="4" s="1"/>
  <c r="DB139" i="4"/>
  <c r="DE139" i="4" s="1"/>
  <c r="DG139" i="4" s="1"/>
  <c r="BZ143" i="4"/>
  <c r="DM143" i="4" s="1"/>
  <c r="BW143" i="4"/>
  <c r="CW141" i="4"/>
  <c r="CM141" i="4"/>
  <c r="CN141" i="4" s="1"/>
  <c r="DN141" i="4"/>
  <c r="EA140" i="4"/>
  <c r="CY140" i="4"/>
  <c r="CZ140" i="4" s="1"/>
  <c r="DP140" i="4"/>
  <c r="EB140" i="4" s="1"/>
  <c r="CJ142" i="4" l="1"/>
  <c r="CS142" i="4"/>
  <c r="DN142" i="4"/>
  <c r="EA142" i="4" s="1"/>
  <c r="CM142" i="4"/>
  <c r="CN142" i="4" s="1"/>
  <c r="BY143" i="4"/>
  <c r="CG143" i="4"/>
  <c r="BX143" i="4"/>
  <c r="BS144" i="4" s="1"/>
  <c r="DC140" i="4"/>
  <c r="DF140" i="4" s="1"/>
  <c r="EA141" i="4"/>
  <c r="CT142" i="4"/>
  <c r="CX142" i="4"/>
  <c r="DZ142" i="4"/>
  <c r="DP141" i="4"/>
  <c r="EB141" i="4" s="1"/>
  <c r="CY141" i="4"/>
  <c r="CZ141" i="4" s="1"/>
  <c r="CI142" i="4"/>
  <c r="CD143" i="4" s="1"/>
  <c r="CU142" i="4" l="1"/>
  <c r="CP143" i="4" s="1"/>
  <c r="CX143" i="4" s="1"/>
  <c r="DB140" i="4"/>
  <c r="DE140" i="4" s="1"/>
  <c r="DG140" i="4" s="1"/>
  <c r="DC141" i="4"/>
  <c r="DF141" i="4" s="1"/>
  <c r="DL143" i="4"/>
  <c r="CA143" i="4"/>
  <c r="CB143" i="4" s="1"/>
  <c r="CH143" i="4" s="1"/>
  <c r="CJ143" i="4" s="1"/>
  <c r="CV142" i="4"/>
  <c r="DQ142" i="4"/>
  <c r="CW142" i="4"/>
  <c r="CL143" i="4"/>
  <c r="DO143" i="4" s="1"/>
  <c r="BZ144" i="4"/>
  <c r="DM144" i="4" s="1"/>
  <c r="BW144" i="4"/>
  <c r="CT143" i="4" l="1"/>
  <c r="CK143" i="4"/>
  <c r="DN143" i="4" s="1"/>
  <c r="EA143" i="4" s="1"/>
  <c r="DB141" i="4"/>
  <c r="DE141" i="4" s="1"/>
  <c r="DG141" i="4" s="1"/>
  <c r="CS143" i="4"/>
  <c r="CV143" i="4" s="1"/>
  <c r="CI143" i="4"/>
  <c r="CD144" i="4" s="1"/>
  <c r="CL144" i="4" s="1"/>
  <c r="DO144" i="4" s="1"/>
  <c r="CG144" i="4"/>
  <c r="BY144" i="4"/>
  <c r="BX144" i="4"/>
  <c r="BS145" i="4" s="1"/>
  <c r="DP142" i="4"/>
  <c r="CY142" i="4"/>
  <c r="CZ142" i="4" s="1"/>
  <c r="DZ143" i="4"/>
  <c r="DQ143" i="4"/>
  <c r="CM143" i="4" l="1"/>
  <c r="CN143" i="4" s="1"/>
  <c r="CU143" i="4"/>
  <c r="CP144" i="4" s="1"/>
  <c r="CT144" i="4" s="1"/>
  <c r="CW143" i="4"/>
  <c r="DP143" i="4" s="1"/>
  <c r="DC142" i="4"/>
  <c r="DF142" i="4" s="1"/>
  <c r="EB142" i="4"/>
  <c r="BZ145" i="4"/>
  <c r="DM145" i="4" s="1"/>
  <c r="BW145" i="4"/>
  <c r="DL144" i="4"/>
  <c r="CA144" i="4"/>
  <c r="CB144" i="4" s="1"/>
  <c r="CH144" i="4" s="1"/>
  <c r="CI144" i="4" s="1"/>
  <c r="CD145" i="4" s="1"/>
  <c r="CX144" i="4" l="1"/>
  <c r="DQ144" i="4" s="1"/>
  <c r="DB142" i="4"/>
  <c r="DE142" i="4" s="1"/>
  <c r="DG142" i="4" s="1"/>
  <c r="CY143" i="4"/>
  <c r="CZ143" i="4" s="1"/>
  <c r="DC143" i="4" s="1"/>
  <c r="DF143" i="4" s="1"/>
  <c r="CL145" i="4"/>
  <c r="DO145" i="4" s="1"/>
  <c r="CK144" i="4"/>
  <c r="DZ144" i="4"/>
  <c r="EB143" i="4"/>
  <c r="CJ144" i="4"/>
  <c r="BY145" i="4"/>
  <c r="CG145" i="4"/>
  <c r="CS144" i="4"/>
  <c r="BX145" i="4"/>
  <c r="BS146" i="4" s="1"/>
  <c r="DB143" i="4" l="1"/>
  <c r="DE143" i="4" s="1"/>
  <c r="DG143" i="4" s="1"/>
  <c r="CV144" i="4"/>
  <c r="CU144" i="4"/>
  <c r="CP145" i="4" s="1"/>
  <c r="CW144" i="4"/>
  <c r="DN144" i="4"/>
  <c r="CM144" i="4"/>
  <c r="CN144" i="4" s="1"/>
  <c r="DL145" i="4"/>
  <c r="CA145" i="4"/>
  <c r="CB145" i="4" s="1"/>
  <c r="CH145" i="4" s="1"/>
  <c r="CJ145" i="4" s="1"/>
  <c r="BZ146" i="4"/>
  <c r="DM146" i="4" s="1"/>
  <c r="BW146" i="4"/>
  <c r="CS145" i="4" l="1"/>
  <c r="CI145" i="4"/>
  <c r="CD146" i="4" s="1"/>
  <c r="CL146" i="4" s="1"/>
  <c r="DO146" i="4" s="1"/>
  <c r="EA144" i="4"/>
  <c r="CY144" i="4"/>
  <c r="CZ144" i="4" s="1"/>
  <c r="DP144" i="4"/>
  <c r="EB144" i="4" s="1"/>
  <c r="CX145" i="4"/>
  <c r="CT145" i="4"/>
  <c r="CK145" i="4"/>
  <c r="CG146" i="4"/>
  <c r="BY146" i="4"/>
  <c r="DZ145" i="4"/>
  <c r="BX146" i="4"/>
  <c r="BS147" i="4" s="1"/>
  <c r="CU145" i="4" l="1"/>
  <c r="CP146" i="4" s="1"/>
  <c r="CT146" i="4" s="1"/>
  <c r="CV145" i="4"/>
  <c r="DC144" i="4"/>
  <c r="DF144" i="4" s="1"/>
  <c r="DL146" i="4"/>
  <c r="CA146" i="4"/>
  <c r="CB146" i="4" s="1"/>
  <c r="CH146" i="4" s="1"/>
  <c r="CJ146" i="4" s="1"/>
  <c r="CW145" i="4"/>
  <c r="DN145" i="4"/>
  <c r="CM145" i="4"/>
  <c r="CN145" i="4" s="1"/>
  <c r="BZ147" i="4"/>
  <c r="DM147" i="4" s="1"/>
  <c r="BW147" i="4"/>
  <c r="BX147" i="4" s="1"/>
  <c r="BS148" i="4" s="1"/>
  <c r="DQ145" i="4"/>
  <c r="CS146" i="4" l="1"/>
  <c r="CV146" i="4" s="1"/>
  <c r="CX146" i="4"/>
  <c r="DQ146" i="4" s="1"/>
  <c r="CK146" i="4"/>
  <c r="CW146" i="4" s="1"/>
  <c r="BW148" i="4"/>
  <c r="BZ148" i="4"/>
  <c r="DM148" i="4" s="1"/>
  <c r="DZ146" i="4"/>
  <c r="EA145" i="4"/>
  <c r="CI146" i="4"/>
  <c r="CD147" i="4" s="1"/>
  <c r="DB144" i="4"/>
  <c r="DE144" i="4" s="1"/>
  <c r="DG144" i="4" s="1"/>
  <c r="BY147" i="4"/>
  <c r="CG147" i="4"/>
  <c r="DP145" i="4"/>
  <c r="EB145" i="4" s="1"/>
  <c r="CY145" i="4"/>
  <c r="CZ145" i="4" s="1"/>
  <c r="CU146" i="4" l="1"/>
  <c r="CP147" i="4" s="1"/>
  <c r="CX147" i="4" s="1"/>
  <c r="CM146" i="4"/>
  <c r="CN146" i="4" s="1"/>
  <c r="DN146" i="4"/>
  <c r="EA146" i="4" s="1"/>
  <c r="CL147" i="4"/>
  <c r="DO147" i="4" s="1"/>
  <c r="CA147" i="4"/>
  <c r="CB147" i="4" s="1"/>
  <c r="CH147" i="4" s="1"/>
  <c r="CI147" i="4" s="1"/>
  <c r="CD148" i="4" s="1"/>
  <c r="DL147" i="4"/>
  <c r="CG148" i="4"/>
  <c r="BY148" i="4"/>
  <c r="DP146" i="4"/>
  <c r="CY146" i="4"/>
  <c r="CZ146" i="4" s="1"/>
  <c r="BX148" i="4"/>
  <c r="BS149" i="4" s="1"/>
  <c r="DC145" i="4"/>
  <c r="DF145" i="4" s="1"/>
  <c r="CT147" i="4" l="1"/>
  <c r="DB145" i="4"/>
  <c r="DE145" i="4" s="1"/>
  <c r="DG145" i="4" s="1"/>
  <c r="DQ147" i="4"/>
  <c r="CK147" i="4"/>
  <c r="DN147" i="4" s="1"/>
  <c r="EA147" i="4" s="1"/>
  <c r="CL148" i="4"/>
  <c r="DO148" i="4" s="1"/>
  <c r="CA148" i="4"/>
  <c r="CB148" i="4" s="1"/>
  <c r="CH148" i="4" s="1"/>
  <c r="CI148" i="4" s="1"/>
  <c r="CD149" i="4" s="1"/>
  <c r="DL148" i="4"/>
  <c r="CJ147" i="4"/>
  <c r="BZ149" i="4"/>
  <c r="DM149" i="4" s="1"/>
  <c r="BW149" i="4"/>
  <c r="CS147" i="4"/>
  <c r="DC146" i="4"/>
  <c r="DF146" i="4" s="1"/>
  <c r="EB146" i="4"/>
  <c r="DZ147" i="4"/>
  <c r="CK148" i="4" l="1"/>
  <c r="DN148" i="4" s="1"/>
  <c r="EA148" i="4" s="1"/>
  <c r="CM147" i="4"/>
  <c r="CN147" i="4" s="1"/>
  <c r="CW147" i="4"/>
  <c r="DP147" i="4" s="1"/>
  <c r="EB147" i="4" s="1"/>
  <c r="CL149" i="4"/>
  <c r="DO149" i="4" s="1"/>
  <c r="CV147" i="4"/>
  <c r="CU147" i="4"/>
  <c r="CP148" i="4" s="1"/>
  <c r="CG149" i="4"/>
  <c r="BY149" i="4"/>
  <c r="BX149" i="4"/>
  <c r="BS150" i="4" s="1"/>
  <c r="DZ148" i="4"/>
  <c r="CJ148" i="4"/>
  <c r="DB146" i="4"/>
  <c r="DE146" i="4" s="1"/>
  <c r="DG146" i="4" s="1"/>
  <c r="CS148" i="4"/>
  <c r="CM148" i="4" l="1"/>
  <c r="CN148" i="4" s="1"/>
  <c r="CY147" i="4"/>
  <c r="CZ147" i="4" s="1"/>
  <c r="DC147" i="4" s="1"/>
  <c r="DF147" i="4" s="1"/>
  <c r="CA149" i="4"/>
  <c r="CB149" i="4" s="1"/>
  <c r="CH149" i="4" s="1"/>
  <c r="CI149" i="4" s="1"/>
  <c r="CD150" i="4" s="1"/>
  <c r="DL149" i="4"/>
  <c r="BW150" i="4"/>
  <c r="BX150" i="4" s="1"/>
  <c r="BS151" i="4" s="1"/>
  <c r="BZ150" i="4"/>
  <c r="DM150" i="4" s="1"/>
  <c r="CT148" i="4"/>
  <c r="CW148" i="4" s="1"/>
  <c r="CX148" i="4"/>
  <c r="CJ149" i="4" l="1"/>
  <c r="CS149" i="4"/>
  <c r="CK149" i="4"/>
  <c r="DN149" i="4" s="1"/>
  <c r="EA149" i="4" s="1"/>
  <c r="CU148" i="4"/>
  <c r="CP149" i="4" s="1"/>
  <c r="CT149" i="4" s="1"/>
  <c r="CL150" i="4"/>
  <c r="DO150" i="4" s="1"/>
  <c r="DQ148" i="4"/>
  <c r="CY148" i="4"/>
  <c r="CZ148" i="4" s="1"/>
  <c r="DP148" i="4"/>
  <c r="DZ149" i="4"/>
  <c r="BZ151" i="4"/>
  <c r="DM151" i="4" s="1"/>
  <c r="BW151" i="4"/>
  <c r="CV148" i="4"/>
  <c r="DB147" i="4"/>
  <c r="DE147" i="4" s="1"/>
  <c r="DG147" i="4" s="1"/>
  <c r="CG150" i="4"/>
  <c r="BY150" i="4"/>
  <c r="CX149" i="4" l="1"/>
  <c r="DQ149" i="4" s="1"/>
  <c r="CV149" i="4"/>
  <c r="CM149" i="4"/>
  <c r="CN149" i="4" s="1"/>
  <c r="CU149" i="4"/>
  <c r="CP150" i="4" s="1"/>
  <c r="CX150" i="4" s="1"/>
  <c r="CA150" i="4"/>
  <c r="CB150" i="4" s="1"/>
  <c r="CH150" i="4" s="1"/>
  <c r="CS150" i="4" s="1"/>
  <c r="DL150" i="4"/>
  <c r="EB148" i="4"/>
  <c r="CG151" i="4"/>
  <c r="BY151" i="4"/>
  <c r="DC148" i="4"/>
  <c r="DF148" i="4" s="1"/>
  <c r="BX151" i="4"/>
  <c r="BS152" i="4" s="1"/>
  <c r="CW149" i="4"/>
  <c r="CT150" i="4" l="1"/>
  <c r="CV150" i="4" s="1"/>
  <c r="CI150" i="4"/>
  <c r="CD151" i="4" s="1"/>
  <c r="CL151" i="4" s="1"/>
  <c r="DO151" i="4" s="1"/>
  <c r="CK150" i="4"/>
  <c r="DN150" i="4" s="1"/>
  <c r="EA150" i="4" s="1"/>
  <c r="CA151" i="4"/>
  <c r="CB151" i="4" s="1"/>
  <c r="CH151" i="4" s="1"/>
  <c r="DL151" i="4"/>
  <c r="DZ150" i="4"/>
  <c r="CY149" i="4"/>
  <c r="CZ149" i="4" s="1"/>
  <c r="DP149" i="4"/>
  <c r="BW152" i="4"/>
  <c r="BZ152" i="4"/>
  <c r="DM152" i="4" s="1"/>
  <c r="CJ150" i="4"/>
  <c r="DB148" i="4"/>
  <c r="DE148" i="4" s="1"/>
  <c r="DG148" i="4" s="1"/>
  <c r="DQ150" i="4"/>
  <c r="CW150" i="4" l="1"/>
  <c r="CY150" i="4" s="1"/>
  <c r="CZ150" i="4" s="1"/>
  <c r="CU150" i="4"/>
  <c r="CP151" i="4" s="1"/>
  <c r="CX151" i="4" s="1"/>
  <c r="CM150" i="4"/>
  <c r="CN150" i="4" s="1"/>
  <c r="CI151" i="4"/>
  <c r="CD152" i="4" s="1"/>
  <c r="CL152" i="4" s="1"/>
  <c r="DO152" i="4" s="1"/>
  <c r="CK151" i="4"/>
  <c r="CM151" i="4" s="1"/>
  <c r="CN151" i="4" s="1"/>
  <c r="EB149" i="4"/>
  <c r="DC149" i="4"/>
  <c r="DF149" i="4" s="1"/>
  <c r="DZ151" i="4"/>
  <c r="CJ151" i="4"/>
  <c r="BY152" i="4"/>
  <c r="CG152" i="4"/>
  <c r="CS151" i="4"/>
  <c r="BX152" i="4"/>
  <c r="BS153" i="4" s="1"/>
  <c r="CT151" i="4" l="1"/>
  <c r="CW151" i="4" s="1"/>
  <c r="DP151" i="4" s="1"/>
  <c r="DP150" i="4"/>
  <c r="EB150" i="4" s="1"/>
  <c r="DN151" i="4"/>
  <c r="EA151" i="4" s="1"/>
  <c r="DC150" i="4"/>
  <c r="DF150" i="4" s="1"/>
  <c r="DB149" i="4"/>
  <c r="DE149" i="4" s="1"/>
  <c r="DG149" i="4" s="1"/>
  <c r="BW153" i="4"/>
  <c r="BX153" i="4" s="1"/>
  <c r="BS154" i="4" s="1"/>
  <c r="BZ153" i="4"/>
  <c r="DM153" i="4" s="1"/>
  <c r="DQ151" i="4"/>
  <c r="CA152" i="4"/>
  <c r="CB152" i="4" s="1"/>
  <c r="CH152" i="4" s="1"/>
  <c r="CS152" i="4" s="1"/>
  <c r="DL152" i="4"/>
  <c r="CU151" i="4" l="1"/>
  <c r="CP152" i="4" s="1"/>
  <c r="CX152" i="4" s="1"/>
  <c r="CV151" i="4"/>
  <c r="CY151" i="4"/>
  <c r="CZ151" i="4" s="1"/>
  <c r="DC151" i="4" s="1"/>
  <c r="DF151" i="4" s="1"/>
  <c r="CI152" i="4"/>
  <c r="CD153" i="4" s="1"/>
  <c r="CL153" i="4" s="1"/>
  <c r="DO153" i="4" s="1"/>
  <c r="CK152" i="4"/>
  <c r="DN152" i="4" s="1"/>
  <c r="EA152" i="4" s="1"/>
  <c r="CJ152" i="4"/>
  <c r="BZ154" i="4"/>
  <c r="DM154" i="4" s="1"/>
  <c r="BW154" i="4"/>
  <c r="CT152" i="4"/>
  <c r="CV152" i="4" s="1"/>
  <c r="DZ152" i="4"/>
  <c r="EB151" i="4"/>
  <c r="DB150" i="4"/>
  <c r="DE150" i="4" s="1"/>
  <c r="DG150" i="4" s="1"/>
  <c r="CG153" i="4"/>
  <c r="BY153" i="4"/>
  <c r="DB151" i="4" l="1"/>
  <c r="DE151" i="4" s="1"/>
  <c r="DG151" i="4" s="1"/>
  <c r="CM152" i="4"/>
  <c r="CN152" i="4" s="1"/>
  <c r="CW152" i="4"/>
  <c r="CY152" i="4" s="1"/>
  <c r="CZ152" i="4" s="1"/>
  <c r="CU152" i="4"/>
  <c r="CP153" i="4" s="1"/>
  <c r="CX153" i="4" s="1"/>
  <c r="CG154" i="4"/>
  <c r="BY154" i="4"/>
  <c r="CA153" i="4"/>
  <c r="CB153" i="4" s="1"/>
  <c r="CH153" i="4" s="1"/>
  <c r="CI153" i="4" s="1"/>
  <c r="CD154" i="4" s="1"/>
  <c r="DL153" i="4"/>
  <c r="BX154" i="4"/>
  <c r="BS155" i="4" s="1"/>
  <c r="DQ152" i="4"/>
  <c r="DP152" i="4" l="1"/>
  <c r="EB152" i="4" s="1"/>
  <c r="CT153" i="4"/>
  <c r="CK153" i="4"/>
  <c r="DC152" i="4"/>
  <c r="DF152" i="4" s="1"/>
  <c r="BZ155" i="4"/>
  <c r="DM155" i="4" s="1"/>
  <c r="BW155" i="4"/>
  <c r="DZ153" i="4"/>
  <c r="CL154" i="4"/>
  <c r="DO154" i="4" s="1"/>
  <c r="CA154" i="4"/>
  <c r="CB154" i="4" s="1"/>
  <c r="CH154" i="4" s="1"/>
  <c r="CS154" i="4" s="1"/>
  <c r="DL154" i="4"/>
  <c r="CJ153" i="4"/>
  <c r="DQ153" i="4"/>
  <c r="CS153" i="4"/>
  <c r="CW153" i="4" l="1"/>
  <c r="CY153" i="4" s="1"/>
  <c r="CZ153" i="4" s="1"/>
  <c r="DN153" i="4"/>
  <c r="EA153" i="4" s="1"/>
  <c r="CM153" i="4"/>
  <c r="CN153" i="4" s="1"/>
  <c r="CK154" i="4"/>
  <c r="DN154" i="4" s="1"/>
  <c r="EA154" i="4" s="1"/>
  <c r="DB152" i="4"/>
  <c r="DE152" i="4" s="1"/>
  <c r="DG152" i="4" s="1"/>
  <c r="DZ154" i="4"/>
  <c r="CV153" i="4"/>
  <c r="CU153" i="4"/>
  <c r="CP154" i="4" s="1"/>
  <c r="CG155" i="4"/>
  <c r="BY155" i="4"/>
  <c r="BX155" i="4"/>
  <c r="BS156" i="4" s="1"/>
  <c r="CJ154" i="4"/>
  <c r="CI154" i="4"/>
  <c r="CD155" i="4" s="1"/>
  <c r="DP153" i="4" l="1"/>
  <c r="EB153" i="4" s="1"/>
  <c r="CM154" i="4"/>
  <c r="CN154" i="4" s="1"/>
  <c r="BW156" i="4"/>
  <c r="BZ156" i="4"/>
  <c r="DM156" i="4" s="1"/>
  <c r="DC153" i="4"/>
  <c r="DF153" i="4" s="1"/>
  <c r="CA155" i="4"/>
  <c r="CB155" i="4" s="1"/>
  <c r="CH155" i="4" s="1"/>
  <c r="CK155" i="4" s="1"/>
  <c r="DL155" i="4"/>
  <c r="CT154" i="4"/>
  <c r="CX154" i="4"/>
  <c r="CL155" i="4"/>
  <c r="DO155" i="4" s="1"/>
  <c r="DB153" i="4" l="1"/>
  <c r="DE153" i="4" s="1"/>
  <c r="DG153" i="4" s="1"/>
  <c r="DN155" i="4"/>
  <c r="EA155" i="4" s="1"/>
  <c r="CM155" i="4"/>
  <c r="CN155" i="4" s="1"/>
  <c r="DZ155" i="4"/>
  <c r="DQ154" i="4"/>
  <c r="CV154" i="4"/>
  <c r="CW154" i="4"/>
  <c r="CU154" i="4"/>
  <c r="CP155" i="4" s="1"/>
  <c r="CJ155" i="4"/>
  <c r="CS155" i="4"/>
  <c r="BY156" i="4"/>
  <c r="CG156" i="4"/>
  <c r="BX156" i="4"/>
  <c r="BS157" i="4" s="1"/>
  <c r="CI155" i="4"/>
  <c r="CD156" i="4" s="1"/>
  <c r="CA156" i="4" l="1"/>
  <c r="CB156" i="4" s="1"/>
  <c r="CH156" i="4" s="1"/>
  <c r="CS156" i="4" s="1"/>
  <c r="DL156" i="4"/>
  <c r="CL156" i="4"/>
  <c r="DO156" i="4" s="1"/>
  <c r="CX155" i="4"/>
  <c r="CT155" i="4"/>
  <c r="CW155" i="4" s="1"/>
  <c r="BZ157" i="4"/>
  <c r="DM157" i="4" s="1"/>
  <c r="BW157" i="4"/>
  <c r="CY154" i="4"/>
  <c r="CZ154" i="4" s="1"/>
  <c r="DP154" i="4"/>
  <c r="CV155" i="4" l="1"/>
  <c r="CG157" i="4"/>
  <c r="BY157" i="4"/>
  <c r="CY155" i="4"/>
  <c r="CZ155" i="4" s="1"/>
  <c r="DP155" i="4"/>
  <c r="CK156" i="4"/>
  <c r="CU155" i="4"/>
  <c r="CP156" i="4" s="1"/>
  <c r="CJ156" i="4"/>
  <c r="BX157" i="4"/>
  <c r="BS158" i="4" s="1"/>
  <c r="DZ156" i="4"/>
  <c r="EB154" i="4"/>
  <c r="DQ155" i="4"/>
  <c r="DC154" i="4"/>
  <c r="DF154" i="4" s="1"/>
  <c r="CI156" i="4"/>
  <c r="CD157" i="4" s="1"/>
  <c r="DB154" i="4" l="1"/>
  <c r="DE154" i="4" s="1"/>
  <c r="DG154" i="4" s="1"/>
  <c r="EB155" i="4"/>
  <c r="CL157" i="4"/>
  <c r="DO157" i="4" s="1"/>
  <c r="DC155" i="4"/>
  <c r="DF155" i="4" s="1"/>
  <c r="BW158" i="4"/>
  <c r="BX158" i="4" s="1"/>
  <c r="BS159" i="4" s="1"/>
  <c r="BZ158" i="4"/>
  <c r="DM158" i="4" s="1"/>
  <c r="CA157" i="4"/>
  <c r="CB157" i="4" s="1"/>
  <c r="CH157" i="4" s="1"/>
  <c r="CJ157" i="4" s="1"/>
  <c r="DL157" i="4"/>
  <c r="CX156" i="4"/>
  <c r="CT156" i="4"/>
  <c r="CV156" i="4" s="1"/>
  <c r="DN156" i="4"/>
  <c r="CM156" i="4"/>
  <c r="CN156" i="4" s="1"/>
  <c r="CW156" i="4" l="1"/>
  <c r="DP156" i="4" s="1"/>
  <c r="CS157" i="4"/>
  <c r="CK157" i="4"/>
  <c r="CM157" i="4" s="1"/>
  <c r="CN157" i="4" s="1"/>
  <c r="DB155" i="4"/>
  <c r="DE155" i="4" s="1"/>
  <c r="DG155" i="4" s="1"/>
  <c r="EA156" i="4"/>
  <c r="DZ157" i="4"/>
  <c r="CI157" i="4"/>
  <c r="CD158" i="4" s="1"/>
  <c r="CU156" i="4"/>
  <c r="CP157" i="4" s="1"/>
  <c r="BZ159" i="4"/>
  <c r="DM159" i="4" s="1"/>
  <c r="BW159" i="4"/>
  <c r="DQ156" i="4"/>
  <c r="CG158" i="4"/>
  <c r="BY158" i="4"/>
  <c r="CY156" i="4" l="1"/>
  <c r="CZ156" i="4" s="1"/>
  <c r="DC156" i="4" s="1"/>
  <c r="DF156" i="4" s="1"/>
  <c r="DN157" i="4"/>
  <c r="EA157" i="4" s="1"/>
  <c r="EB156" i="4"/>
  <c r="CT157" i="4"/>
  <c r="CX157" i="4"/>
  <c r="CL158" i="4"/>
  <c r="DO158" i="4" s="1"/>
  <c r="BY159" i="4"/>
  <c r="CG159" i="4"/>
  <c r="BX159" i="4"/>
  <c r="BS160" i="4" s="1"/>
  <c r="CA158" i="4"/>
  <c r="CB158" i="4" s="1"/>
  <c r="CH158" i="4" s="1"/>
  <c r="CS158" i="4" s="1"/>
  <c r="DL158" i="4"/>
  <c r="CK158" i="4" l="1"/>
  <c r="DN158" i="4" s="1"/>
  <c r="EA158" i="4" s="1"/>
  <c r="DB156" i="4"/>
  <c r="DE156" i="4" s="1"/>
  <c r="DG156" i="4" s="1"/>
  <c r="CI158" i="4"/>
  <c r="CD159" i="4" s="1"/>
  <c r="CL159" i="4" s="1"/>
  <c r="DO159" i="4" s="1"/>
  <c r="DQ157" i="4"/>
  <c r="CV157" i="4"/>
  <c r="CW157" i="4"/>
  <c r="DZ158" i="4"/>
  <c r="CA159" i="4"/>
  <c r="CB159" i="4" s="1"/>
  <c r="CH159" i="4" s="1"/>
  <c r="CK159" i="4" s="1"/>
  <c r="DL159" i="4"/>
  <c r="CU157" i="4"/>
  <c r="CP158" i="4" s="1"/>
  <c r="CJ158" i="4"/>
  <c r="BZ160" i="4"/>
  <c r="DM160" i="4" s="1"/>
  <c r="BW160" i="4"/>
  <c r="BX160" i="4" s="1"/>
  <c r="BS161" i="4" s="1"/>
  <c r="CM158" i="4" l="1"/>
  <c r="CN158" i="4" s="1"/>
  <c r="DN159" i="4"/>
  <c r="EA159" i="4" s="1"/>
  <c r="CM159" i="4"/>
  <c r="CN159" i="4" s="1"/>
  <c r="BW161" i="4"/>
  <c r="BZ161" i="4"/>
  <c r="DM161" i="4" s="1"/>
  <c r="CG160" i="4"/>
  <c r="BY160" i="4"/>
  <c r="CY157" i="4"/>
  <c r="CZ157" i="4" s="1"/>
  <c r="DP157" i="4"/>
  <c r="CX158" i="4"/>
  <c r="CT158" i="4"/>
  <c r="CJ159" i="4"/>
  <c r="CI159" i="4"/>
  <c r="CD160" i="4" s="1"/>
  <c r="DZ159" i="4"/>
  <c r="CS159" i="4"/>
  <c r="DQ158" i="4" l="1"/>
  <c r="CA160" i="4"/>
  <c r="CB160" i="4" s="1"/>
  <c r="CH160" i="4" s="1"/>
  <c r="CI160" i="4" s="1"/>
  <c r="CD161" i="4" s="1"/>
  <c r="DL160" i="4"/>
  <c r="EB157" i="4"/>
  <c r="BY161" i="4"/>
  <c r="CG161" i="4"/>
  <c r="DC157" i="4"/>
  <c r="DF157" i="4" s="1"/>
  <c r="CL160" i="4"/>
  <c r="DO160" i="4" s="1"/>
  <c r="BX161" i="4"/>
  <c r="BS162" i="4" s="1"/>
  <c r="CV158" i="4"/>
  <c r="CW158" i="4"/>
  <c r="CU158" i="4"/>
  <c r="CP159" i="4" s="1"/>
  <c r="CK160" i="4" l="1"/>
  <c r="DN160" i="4" s="1"/>
  <c r="EA160" i="4" s="1"/>
  <c r="CJ160" i="4"/>
  <c r="CS160" i="4"/>
  <c r="DB157" i="4"/>
  <c r="DE157" i="4" s="1"/>
  <c r="DG157" i="4" s="1"/>
  <c r="CL161" i="4"/>
  <c r="DO161" i="4" s="1"/>
  <c r="CT159" i="4"/>
  <c r="CU159" i="4" s="1"/>
  <c r="CP160" i="4" s="1"/>
  <c r="CX159" i="4"/>
  <c r="DZ160" i="4"/>
  <c r="BZ162" i="4"/>
  <c r="DM162" i="4" s="1"/>
  <c r="BW162" i="4"/>
  <c r="CY158" i="4"/>
  <c r="CZ158" i="4" s="1"/>
  <c r="DP158" i="4"/>
  <c r="CA161" i="4"/>
  <c r="CB161" i="4" s="1"/>
  <c r="CH161" i="4" s="1"/>
  <c r="CI161" i="4" s="1"/>
  <c r="CD162" i="4" s="1"/>
  <c r="DL161" i="4"/>
  <c r="CM160" i="4" l="1"/>
  <c r="CN160" i="4" s="1"/>
  <c r="CK161" i="4"/>
  <c r="CM161" i="4" s="1"/>
  <c r="CN161" i="4" s="1"/>
  <c r="CJ161" i="4"/>
  <c r="CS161" i="4"/>
  <c r="CL162" i="4"/>
  <c r="DO162" i="4" s="1"/>
  <c r="DC158" i="4"/>
  <c r="DF158" i="4" s="1"/>
  <c r="DZ161" i="4"/>
  <c r="CT160" i="4"/>
  <c r="CX160" i="4"/>
  <c r="BY162" i="4"/>
  <c r="CG162" i="4"/>
  <c r="DQ159" i="4"/>
  <c r="BX162" i="4"/>
  <c r="BS163" i="4" s="1"/>
  <c r="CW159" i="4"/>
  <c r="CV159" i="4"/>
  <c r="EB158" i="4"/>
  <c r="DN161" i="4" l="1"/>
  <c r="EA161" i="4" s="1"/>
  <c r="CA162" i="4"/>
  <c r="CB162" i="4" s="1"/>
  <c r="CH162" i="4" s="1"/>
  <c r="CS162" i="4" s="1"/>
  <c r="DL162" i="4"/>
  <c r="DB158" i="4"/>
  <c r="DE158" i="4" s="1"/>
  <c r="DG158" i="4" s="1"/>
  <c r="DQ160" i="4"/>
  <c r="CW160" i="4"/>
  <c r="CV160" i="4"/>
  <c r="CY159" i="4"/>
  <c r="CZ159" i="4" s="1"/>
  <c r="DP159" i="4"/>
  <c r="CU160" i="4"/>
  <c r="CP161" i="4" s="1"/>
  <c r="BZ163" i="4"/>
  <c r="DM163" i="4" s="1"/>
  <c r="BW163" i="4"/>
  <c r="BX163" i="4" s="1"/>
  <c r="BS164" i="4" s="1"/>
  <c r="CK162" i="4" l="1"/>
  <c r="CI162" i="4"/>
  <c r="CD163" i="4" s="1"/>
  <c r="CL163" i="4" s="1"/>
  <c r="DO163" i="4" s="1"/>
  <c r="CX161" i="4"/>
  <c r="CT161" i="4"/>
  <c r="EB159" i="4"/>
  <c r="DZ162" i="4"/>
  <c r="BW164" i="4"/>
  <c r="BX164" i="4" s="1"/>
  <c r="BS165" i="4" s="1"/>
  <c r="BZ164" i="4"/>
  <c r="DM164" i="4" s="1"/>
  <c r="DN162" i="4"/>
  <c r="EA162" i="4" s="1"/>
  <c r="CM162" i="4"/>
  <c r="CN162" i="4" s="1"/>
  <c r="DC159" i="4"/>
  <c r="DF159" i="4" s="1"/>
  <c r="CJ162" i="4"/>
  <c r="CG163" i="4"/>
  <c r="BY163" i="4"/>
  <c r="CY160" i="4"/>
  <c r="CZ160" i="4" s="1"/>
  <c r="DP160" i="4"/>
  <c r="DB159" i="4" l="1"/>
  <c r="DE159" i="4" s="1"/>
  <c r="DG159" i="4" s="1"/>
  <c r="CA163" i="4"/>
  <c r="CB163" i="4" s="1"/>
  <c r="CH163" i="4" s="1"/>
  <c r="CJ163" i="4" s="1"/>
  <c r="DL163" i="4"/>
  <c r="DC160" i="4"/>
  <c r="DF160" i="4" s="1"/>
  <c r="CV161" i="4"/>
  <c r="CW161" i="4"/>
  <c r="BZ165" i="4"/>
  <c r="DM165" i="4" s="1"/>
  <c r="BW165" i="4"/>
  <c r="BX165" i="4" s="1"/>
  <c r="BS166" i="4" s="1"/>
  <c r="CU161" i="4"/>
  <c r="CP162" i="4" s="1"/>
  <c r="DQ161" i="4"/>
  <c r="EB160" i="4"/>
  <c r="BY164" i="4"/>
  <c r="CG164" i="4"/>
  <c r="CS163" i="4" l="1"/>
  <c r="DB160" i="4"/>
  <c r="DE160" i="4" s="1"/>
  <c r="DG160" i="4" s="1"/>
  <c r="CK163" i="4"/>
  <c r="DN163" i="4" s="1"/>
  <c r="EA163" i="4" s="1"/>
  <c r="BZ166" i="4"/>
  <c r="DM166" i="4" s="1"/>
  <c r="BW166" i="4"/>
  <c r="CG165" i="4"/>
  <c r="BY165" i="4"/>
  <c r="CA164" i="4"/>
  <c r="CB164" i="4" s="1"/>
  <c r="CH164" i="4" s="1"/>
  <c r="CS164" i="4" s="1"/>
  <c r="DL164" i="4"/>
  <c r="CY161" i="4"/>
  <c r="CZ161" i="4" s="1"/>
  <c r="DP161" i="4"/>
  <c r="DZ163" i="4"/>
  <c r="CI163" i="4"/>
  <c r="CD164" i="4" s="1"/>
  <c r="CT162" i="4"/>
  <c r="CU162" i="4" s="1"/>
  <c r="CP163" i="4" s="1"/>
  <c r="CX162" i="4"/>
  <c r="CK164" i="4" l="1"/>
  <c r="DN164" i="4" s="1"/>
  <c r="CM163" i="4"/>
  <c r="CN163" i="4" s="1"/>
  <c r="CJ164" i="4"/>
  <c r="CX163" i="4"/>
  <c r="CT163" i="4"/>
  <c r="CI164" i="4"/>
  <c r="CD165" i="4" s="1"/>
  <c r="CL164" i="4"/>
  <c r="DO164" i="4" s="1"/>
  <c r="DC161" i="4"/>
  <c r="DF161" i="4" s="1"/>
  <c r="CA165" i="4"/>
  <c r="CB165" i="4" s="1"/>
  <c r="CH165" i="4" s="1"/>
  <c r="CK165" i="4" s="1"/>
  <c r="DL165" i="4"/>
  <c r="EB161" i="4"/>
  <c r="DZ164" i="4"/>
  <c r="CG166" i="4"/>
  <c r="BY166" i="4"/>
  <c r="DQ162" i="4"/>
  <c r="BX166" i="4"/>
  <c r="BS167" i="4" s="1"/>
  <c r="CV162" i="4"/>
  <c r="CW162" i="4"/>
  <c r="CJ165" i="4" l="1"/>
  <c r="CS165" i="4"/>
  <c r="CM164" i="4"/>
  <c r="CN164" i="4" s="1"/>
  <c r="DB161" i="4"/>
  <c r="DE161" i="4" s="1"/>
  <c r="DG161" i="4" s="1"/>
  <c r="DZ165" i="4"/>
  <c r="CY162" i="4"/>
  <c r="CZ162" i="4" s="1"/>
  <c r="DP162" i="4"/>
  <c r="DL166" i="4"/>
  <c r="CA166" i="4"/>
  <c r="CB166" i="4" s="1"/>
  <c r="CH166" i="4" s="1"/>
  <c r="CS166" i="4" s="1"/>
  <c r="DN165" i="4"/>
  <c r="CI165" i="4"/>
  <c r="CD166" i="4" s="1"/>
  <c r="CL165" i="4"/>
  <c r="DO165" i="4" s="1"/>
  <c r="CW163" i="4"/>
  <c r="CV163" i="4"/>
  <c r="BZ167" i="4"/>
  <c r="DM167" i="4" s="1"/>
  <c r="BW167" i="4"/>
  <c r="BX167" i="4" s="1"/>
  <c r="BS168" i="4" s="1"/>
  <c r="CU163" i="4"/>
  <c r="CP164" i="4" s="1"/>
  <c r="EA164" i="4"/>
  <c r="DQ163" i="4"/>
  <c r="CK166" i="4" l="1"/>
  <c r="DN166" i="4" s="1"/>
  <c r="CJ166" i="4"/>
  <c r="EA165" i="4"/>
  <c r="CM165" i="4"/>
  <c r="CN165" i="4" s="1"/>
  <c r="BZ168" i="4"/>
  <c r="DM168" i="4" s="1"/>
  <c r="BW168" i="4"/>
  <c r="CI166" i="4"/>
  <c r="CD167" i="4" s="1"/>
  <c r="CL166" i="4"/>
  <c r="DO166" i="4" s="1"/>
  <c r="CG167" i="4"/>
  <c r="BY167" i="4"/>
  <c r="DC162" i="4"/>
  <c r="DF162" i="4" s="1"/>
  <c r="CY163" i="4"/>
  <c r="CZ163" i="4" s="1"/>
  <c r="DP163" i="4"/>
  <c r="DZ166" i="4"/>
  <c r="CT164" i="4"/>
  <c r="CU164" i="4" s="1"/>
  <c r="CP165" i="4" s="1"/>
  <c r="CX164" i="4"/>
  <c r="EB162" i="4"/>
  <c r="DB162" i="4" l="1"/>
  <c r="DE162" i="4" s="1"/>
  <c r="DG162" i="4" s="1"/>
  <c r="CT165" i="4"/>
  <c r="CU165" i="4" s="1"/>
  <c r="CP166" i="4" s="1"/>
  <c r="CX165" i="4"/>
  <c r="EB163" i="4"/>
  <c r="DC163" i="4"/>
  <c r="DF163" i="4" s="1"/>
  <c r="CL167" i="4"/>
  <c r="DO167" i="4" s="1"/>
  <c r="BY168" i="4"/>
  <c r="CG168" i="4"/>
  <c r="EA166" i="4"/>
  <c r="BX168" i="4"/>
  <c r="BS169" i="4" s="1"/>
  <c r="DQ164" i="4"/>
  <c r="CM166" i="4"/>
  <c r="CN166" i="4" s="1"/>
  <c r="CV164" i="4"/>
  <c r="CW164" i="4"/>
  <c r="DL167" i="4"/>
  <c r="CA167" i="4"/>
  <c r="CB167" i="4" s="1"/>
  <c r="CH167" i="4" s="1"/>
  <c r="CK167" i="4" s="1"/>
  <c r="DB163" i="4" l="1"/>
  <c r="DE163" i="4" s="1"/>
  <c r="DG163" i="4" s="1"/>
  <c r="CJ167" i="4"/>
  <c r="CS167" i="4"/>
  <c r="CI167" i="4"/>
  <c r="CD168" i="4" s="1"/>
  <c r="CL168" i="4" s="1"/>
  <c r="DO168" i="4" s="1"/>
  <c r="DN167" i="4"/>
  <c r="EA167" i="4" s="1"/>
  <c r="CM167" i="4"/>
  <c r="CN167" i="4" s="1"/>
  <c r="DL168" i="4"/>
  <c r="CA168" i="4"/>
  <c r="CB168" i="4" s="1"/>
  <c r="CH168" i="4" s="1"/>
  <c r="CS168" i="4" s="1"/>
  <c r="CX166" i="4"/>
  <c r="CT166" i="4"/>
  <c r="BZ169" i="4"/>
  <c r="DM169" i="4" s="1"/>
  <c r="BW169" i="4"/>
  <c r="BX169" i="4" s="1"/>
  <c r="BS170" i="4" s="1"/>
  <c r="DQ165" i="4"/>
  <c r="DZ167" i="4"/>
  <c r="CV165" i="4"/>
  <c r="CW165" i="4"/>
  <c r="CY164" i="4"/>
  <c r="CZ164" i="4" s="1"/>
  <c r="DP164" i="4"/>
  <c r="CJ168" i="4" l="1"/>
  <c r="CK168" i="4"/>
  <c r="DN168" i="4" s="1"/>
  <c r="EA168" i="4" s="1"/>
  <c r="CI168" i="4"/>
  <c r="CD169" i="4" s="1"/>
  <c r="CL169" i="4" s="1"/>
  <c r="DO169" i="4" s="1"/>
  <c r="CV166" i="4"/>
  <c r="CW166" i="4"/>
  <c r="DQ166" i="4"/>
  <c r="BZ170" i="4"/>
  <c r="DM170" i="4" s="1"/>
  <c r="BW170" i="4"/>
  <c r="DC164" i="4"/>
  <c r="DF164" i="4" s="1"/>
  <c r="CG169" i="4"/>
  <c r="BY169" i="4"/>
  <c r="CY165" i="4"/>
  <c r="CZ165" i="4" s="1"/>
  <c r="DP165" i="4"/>
  <c r="DZ168" i="4"/>
  <c r="EB164" i="4"/>
  <c r="CU166" i="4"/>
  <c r="CP167" i="4" s="1"/>
  <c r="CM168" i="4" l="1"/>
  <c r="CN168" i="4" s="1"/>
  <c r="EB165" i="4"/>
  <c r="CG170" i="4"/>
  <c r="BY170" i="4"/>
  <c r="CX167" i="4"/>
  <c r="CT167" i="4"/>
  <c r="CU167" i="4" s="1"/>
  <c r="CP168" i="4" s="1"/>
  <c r="BX170" i="4"/>
  <c r="BS171" i="4" s="1"/>
  <c r="DC165" i="4"/>
  <c r="DF165" i="4" s="1"/>
  <c r="DL169" i="4"/>
  <c r="CA169" i="4"/>
  <c r="CB169" i="4" s="1"/>
  <c r="CH169" i="4" s="1"/>
  <c r="CI169" i="4" s="1"/>
  <c r="CD170" i="4" s="1"/>
  <c r="DP166" i="4"/>
  <c r="CY166" i="4"/>
  <c r="CZ166" i="4" s="1"/>
  <c r="DB164" i="4"/>
  <c r="DE164" i="4" s="1"/>
  <c r="DG164" i="4" s="1"/>
  <c r="CJ169" i="4" l="1"/>
  <c r="CS169" i="4"/>
  <c r="CK169" i="4"/>
  <c r="DN169" i="4" s="1"/>
  <c r="EA169" i="4" s="1"/>
  <c r="DB165" i="4"/>
  <c r="DE165" i="4" s="1"/>
  <c r="DG165" i="4" s="1"/>
  <c r="CL170" i="4"/>
  <c r="DO170" i="4" s="1"/>
  <c r="CX168" i="4"/>
  <c r="CT168" i="4"/>
  <c r="CU168" i="4" s="1"/>
  <c r="CP169" i="4" s="1"/>
  <c r="DZ169" i="4"/>
  <c r="DQ167" i="4"/>
  <c r="DL170" i="4"/>
  <c r="CA170" i="4"/>
  <c r="CB170" i="4" s="1"/>
  <c r="CH170" i="4" s="1"/>
  <c r="CI170" i="4" s="1"/>
  <c r="CD171" i="4" s="1"/>
  <c r="DC166" i="4"/>
  <c r="DF166" i="4" s="1"/>
  <c r="EB166" i="4"/>
  <c r="BZ171" i="4"/>
  <c r="DM171" i="4" s="1"/>
  <c r="BW171" i="4"/>
  <c r="CV167" i="4"/>
  <c r="CW167" i="4"/>
  <c r="CJ170" i="4" l="1"/>
  <c r="CS170" i="4"/>
  <c r="CM169" i="4"/>
  <c r="CN169" i="4" s="1"/>
  <c r="CK170" i="4"/>
  <c r="CM170" i="4" s="1"/>
  <c r="CN170" i="4" s="1"/>
  <c r="CX169" i="4"/>
  <c r="CT169" i="4"/>
  <c r="CU169" i="4" s="1"/>
  <c r="CP170" i="4" s="1"/>
  <c r="DZ170" i="4"/>
  <c r="DQ168" i="4"/>
  <c r="DP167" i="4"/>
  <c r="CY167" i="4"/>
  <c r="CZ167" i="4" s="1"/>
  <c r="DB166" i="4"/>
  <c r="DE166" i="4" s="1"/>
  <c r="DG166" i="4" s="1"/>
  <c r="CG171" i="4"/>
  <c r="BY171" i="4"/>
  <c r="CL171" i="4"/>
  <c r="DO171" i="4" s="1"/>
  <c r="BX171" i="4"/>
  <c r="BS172" i="4" s="1"/>
  <c r="CV168" i="4"/>
  <c r="CW168" i="4"/>
  <c r="DN170" i="4" l="1"/>
  <c r="EA170" i="4" s="1"/>
  <c r="CX170" i="4"/>
  <c r="CT170" i="4"/>
  <c r="CU170" i="4" s="1"/>
  <c r="CP171" i="4" s="1"/>
  <c r="DC167" i="4"/>
  <c r="DF167" i="4" s="1"/>
  <c r="EB167" i="4"/>
  <c r="DQ169" i="4"/>
  <c r="DL171" i="4"/>
  <c r="CA171" i="4"/>
  <c r="CB171" i="4" s="1"/>
  <c r="CH171" i="4" s="1"/>
  <c r="CI171" i="4" s="1"/>
  <c r="CD172" i="4" s="1"/>
  <c r="CW169" i="4"/>
  <c r="CV169" i="4"/>
  <c r="BZ172" i="4"/>
  <c r="DM172" i="4" s="1"/>
  <c r="BW172" i="4"/>
  <c r="CY168" i="4"/>
  <c r="CZ168" i="4" s="1"/>
  <c r="DP168" i="4"/>
  <c r="CS171" i="4" l="1"/>
  <c r="DC168" i="4"/>
  <c r="DF168" i="4" s="1"/>
  <c r="CG172" i="4"/>
  <c r="BY172" i="4"/>
  <c r="CL172" i="4"/>
  <c r="DO172" i="4" s="1"/>
  <c r="BX172" i="4"/>
  <c r="BS173" i="4" s="1"/>
  <c r="CK171" i="4"/>
  <c r="DB167" i="4"/>
  <c r="DE167" i="4" s="1"/>
  <c r="DG167" i="4" s="1"/>
  <c r="DZ171" i="4"/>
  <c r="CX171" i="4"/>
  <c r="CT171" i="4"/>
  <c r="CV170" i="4"/>
  <c r="CW170" i="4"/>
  <c r="DP169" i="4"/>
  <c r="CY169" i="4"/>
  <c r="CZ169" i="4" s="1"/>
  <c r="DQ170" i="4"/>
  <c r="EB168" i="4"/>
  <c r="CJ171" i="4"/>
  <c r="CV171" i="4" l="1"/>
  <c r="CU171" i="4"/>
  <c r="CP172" i="4" s="1"/>
  <c r="CX172" i="4" s="1"/>
  <c r="DB168" i="4"/>
  <c r="DE168" i="4" s="1"/>
  <c r="DG168" i="4" s="1"/>
  <c r="DC169" i="4"/>
  <c r="DF169" i="4" s="1"/>
  <c r="DL172" i="4"/>
  <c r="CA172" i="4"/>
  <c r="CB172" i="4" s="1"/>
  <c r="CH172" i="4" s="1"/>
  <c r="CI172" i="4" s="1"/>
  <c r="CD173" i="4" s="1"/>
  <c r="DP170" i="4"/>
  <c r="CY170" i="4"/>
  <c r="CZ170" i="4" s="1"/>
  <c r="CM171" i="4"/>
  <c r="CN171" i="4" s="1"/>
  <c r="DN171" i="4"/>
  <c r="CW171" i="4"/>
  <c r="DQ171" i="4"/>
  <c r="EB169" i="4"/>
  <c r="BZ173" i="4"/>
  <c r="DM173" i="4" s="1"/>
  <c r="BW173" i="4"/>
  <c r="BX173" i="4" s="1"/>
  <c r="BS174" i="4" s="1"/>
  <c r="DB169" i="4" l="1"/>
  <c r="DE169" i="4" s="1"/>
  <c r="DG169" i="4" s="1"/>
  <c r="CT172" i="4"/>
  <c r="CJ172" i="4"/>
  <c r="EA171" i="4"/>
  <c r="CL173" i="4"/>
  <c r="DO173" i="4" s="1"/>
  <c r="CS172" i="4"/>
  <c r="DZ172" i="4"/>
  <c r="DC170" i="4"/>
  <c r="DF170" i="4" s="1"/>
  <c r="BZ174" i="4"/>
  <c r="DM174" i="4" s="1"/>
  <c r="BW174" i="4"/>
  <c r="EB170" i="4"/>
  <c r="BY173" i="4"/>
  <c r="CG173" i="4"/>
  <c r="DQ172" i="4"/>
  <c r="DP171" i="4"/>
  <c r="EB171" i="4" s="1"/>
  <c r="CY171" i="4"/>
  <c r="CZ171" i="4" s="1"/>
  <c r="CK172" i="4"/>
  <c r="DB170" i="4" l="1"/>
  <c r="DE170" i="4" s="1"/>
  <c r="DG170" i="4" s="1"/>
  <c r="CM172" i="4"/>
  <c r="CN172" i="4" s="1"/>
  <c r="DN172" i="4"/>
  <c r="CW172" i="4"/>
  <c r="DL173" i="4"/>
  <c r="CA173" i="4"/>
  <c r="CB173" i="4" s="1"/>
  <c r="CH173" i="4" s="1"/>
  <c r="CI173" i="4" s="1"/>
  <c r="CD174" i="4" s="1"/>
  <c r="DC171" i="4"/>
  <c r="DF171" i="4" s="1"/>
  <c r="BY174" i="4"/>
  <c r="CG174" i="4"/>
  <c r="BX174" i="4"/>
  <c r="BS175" i="4" s="1"/>
  <c r="CV172" i="4"/>
  <c r="CU172" i="4"/>
  <c r="CP173" i="4" s="1"/>
  <c r="DB171" i="4" l="1"/>
  <c r="DE171" i="4" s="1"/>
  <c r="DG171" i="4" s="1"/>
  <c r="CJ173" i="4"/>
  <c r="EA172" i="4"/>
  <c r="CX173" i="4"/>
  <c r="CT173" i="4"/>
  <c r="BZ175" i="4"/>
  <c r="BW175" i="4"/>
  <c r="BX175" i="4" s="1"/>
  <c r="CL174" i="4"/>
  <c r="DO174" i="4" s="1"/>
  <c r="CS173" i="4"/>
  <c r="CK173" i="4"/>
  <c r="DL174" i="4"/>
  <c r="CA174" i="4"/>
  <c r="CB174" i="4" s="1"/>
  <c r="CH174" i="4" s="1"/>
  <c r="CI174" i="4" s="1"/>
  <c r="CD175" i="4" s="1"/>
  <c r="DZ173" i="4"/>
  <c r="DP172" i="4"/>
  <c r="EB172" i="4" s="1"/>
  <c r="CY172" i="4"/>
  <c r="CZ172" i="4" s="1"/>
  <c r="CU173" i="4" l="1"/>
  <c r="CP174" i="4" s="1"/>
  <c r="CX174" i="4" s="1"/>
  <c r="CJ174" i="4"/>
  <c r="CS174" i="4"/>
  <c r="CK174" i="4"/>
  <c r="CM174" i="4" s="1"/>
  <c r="CN174" i="4" s="1"/>
  <c r="DZ174" i="4"/>
  <c r="DC172" i="4"/>
  <c r="DF172" i="4" s="1"/>
  <c r="DN173" i="4"/>
  <c r="CW173" i="4"/>
  <c r="CM173" i="4"/>
  <c r="CN173" i="4" s="1"/>
  <c r="DM175" i="4"/>
  <c r="BZ176" i="4"/>
  <c r="BZ102" i="4"/>
  <c r="BZ101" i="4"/>
  <c r="BF118" i="4" s="1"/>
  <c r="CV173" i="4"/>
  <c r="DQ173" i="4"/>
  <c r="CL175" i="4"/>
  <c r="CG175" i="4"/>
  <c r="BY175" i="4"/>
  <c r="BW176" i="4"/>
  <c r="BW101" i="4"/>
  <c r="CT174" i="4" l="1"/>
  <c r="CU174" i="4" s="1"/>
  <c r="CP175" i="4" s="1"/>
  <c r="CT175" i="4" s="1"/>
  <c r="DN174" i="4"/>
  <c r="EA174" i="4" s="1"/>
  <c r="DB172" i="4"/>
  <c r="DE172" i="4" s="1"/>
  <c r="DG172" i="4" s="1"/>
  <c r="EA173" i="4"/>
  <c r="DL175" i="4"/>
  <c r="CA175" i="4"/>
  <c r="BY101" i="4"/>
  <c r="BG118" i="4" s="1"/>
  <c r="BY176" i="4"/>
  <c r="BY102" i="4"/>
  <c r="CG101" i="4"/>
  <c r="CG176" i="4"/>
  <c r="DO175" i="4"/>
  <c r="CL102" i="4"/>
  <c r="CL176" i="4"/>
  <c r="CL101" i="4"/>
  <c r="BF119" i="4" s="1"/>
  <c r="DM176" i="4"/>
  <c r="DM102" i="4"/>
  <c r="DP173" i="4"/>
  <c r="CY173" i="4"/>
  <c r="CZ173" i="4" s="1"/>
  <c r="DQ174" i="4"/>
  <c r="CW174" i="4" l="1"/>
  <c r="CY174" i="4" s="1"/>
  <c r="CZ174" i="4" s="1"/>
  <c r="DC174" i="4" s="1"/>
  <c r="DF174" i="4" s="1"/>
  <c r="CV174" i="4"/>
  <c r="CX175" i="4"/>
  <c r="CX176" i="4" s="1"/>
  <c r="EB173" i="4"/>
  <c r="DO102" i="4"/>
  <c r="DO176" i="4"/>
  <c r="BE118" i="4"/>
  <c r="BD118" i="4" s="1"/>
  <c r="CB175" i="4"/>
  <c r="CA176" i="4"/>
  <c r="CA101" i="4"/>
  <c r="CA102" i="4"/>
  <c r="CT176" i="4"/>
  <c r="CT101" i="4"/>
  <c r="DC173" i="4"/>
  <c r="DF173" i="4" s="1"/>
  <c r="DZ175" i="4"/>
  <c r="DL176" i="4"/>
  <c r="DL102" i="4"/>
  <c r="DQ175" i="4" l="1"/>
  <c r="CX102" i="4"/>
  <c r="DP174" i="4"/>
  <c r="EB174" i="4" s="1"/>
  <c r="CX101" i="4"/>
  <c r="BF120" i="4" s="1"/>
  <c r="DQ102" i="4"/>
  <c r="DQ176" i="4"/>
  <c r="DZ102" i="4"/>
  <c r="DZ176" i="4"/>
  <c r="DB174" i="4"/>
  <c r="DE174" i="4" s="1"/>
  <c r="DG174" i="4" s="1"/>
  <c r="CH175" i="4"/>
  <c r="CB101" i="4"/>
  <c r="CB176" i="4"/>
  <c r="DB173" i="4"/>
  <c r="DE173" i="4" s="1"/>
  <c r="DG173" i="4" s="1"/>
  <c r="CH101" i="4" l="1"/>
  <c r="CH176" i="4"/>
  <c r="CK175" i="4"/>
  <c r="CI175" i="4"/>
  <c r="CI176" i="4" s="1"/>
  <c r="CS175" i="4"/>
  <c r="CJ175" i="4"/>
  <c r="CJ176" i="4" l="1"/>
  <c r="CJ101" i="4"/>
  <c r="CV175" i="4"/>
  <c r="CS176" i="4"/>
  <c r="CS101" i="4"/>
  <c r="CU175" i="4"/>
  <c r="DN175" i="4"/>
  <c r="CW175" i="4"/>
  <c r="CM175" i="4"/>
  <c r="CK176" i="4"/>
  <c r="CK102" i="4"/>
  <c r="CK101" i="4"/>
  <c r="BG119" i="4" s="1"/>
  <c r="CV101" i="4" l="1"/>
  <c r="CV176" i="4"/>
  <c r="CY175" i="4"/>
  <c r="DP175" i="4"/>
  <c r="CW102" i="4"/>
  <c r="CW176" i="4"/>
  <c r="CW101" i="4"/>
  <c r="BG120" i="4" s="1"/>
  <c r="EA175" i="4"/>
  <c r="DN176" i="4"/>
  <c r="DN102" i="4"/>
  <c r="BE119" i="4"/>
  <c r="BD119" i="4" s="1"/>
  <c r="CN175" i="4"/>
  <c r="CM176" i="4"/>
  <c r="CM101" i="4"/>
  <c r="CM102" i="4"/>
  <c r="BE120" i="4" l="1"/>
  <c r="BD120" i="4" s="1"/>
  <c r="EB175" i="4"/>
  <c r="DP102" i="4"/>
  <c r="DP176" i="4"/>
  <c r="CZ175" i="4"/>
  <c r="CY102" i="4"/>
  <c r="CY101" i="4"/>
  <c r="CY176" i="4"/>
  <c r="CN101" i="4"/>
  <c r="CN176" i="4"/>
  <c r="EA102" i="4"/>
  <c r="EA176" i="4"/>
  <c r="DC175" i="4" l="1"/>
  <c r="CZ101" i="4"/>
  <c r="CZ176" i="4"/>
  <c r="EB176" i="4"/>
  <c r="EB102" i="4"/>
  <c r="DC176" i="4" l="1"/>
  <c r="DC101" i="4"/>
  <c r="BF121" i="4" s="1"/>
  <c r="DS103" i="4" a="1"/>
  <c r="DF175" i="4"/>
  <c r="DB175" i="4"/>
  <c r="DR103" i="4" l="1" a="1"/>
  <c r="DB101" i="4"/>
  <c r="BG121" i="4" s="1"/>
  <c r="DB176" i="4"/>
  <c r="DE175" i="4"/>
  <c r="DF101" i="4"/>
  <c r="DF102" i="4"/>
  <c r="DF176" i="4"/>
  <c r="DS103" i="4"/>
  <c r="DU104" i="4"/>
  <c r="DU105" i="4"/>
  <c r="DU106" i="4"/>
  <c r="DU107" i="4"/>
  <c r="DU108" i="4"/>
  <c r="DU109" i="4"/>
  <c r="DU110" i="4"/>
  <c r="DU111" i="4"/>
  <c r="DU112" i="4"/>
  <c r="DU113" i="4"/>
  <c r="DU114" i="4"/>
  <c r="DU115" i="4"/>
  <c r="DU116" i="4"/>
  <c r="DU117" i="4"/>
  <c r="DU118" i="4"/>
  <c r="DU119" i="4"/>
  <c r="DU120" i="4"/>
  <c r="DU121" i="4"/>
  <c r="DU122" i="4"/>
  <c r="DU123" i="4"/>
  <c r="DU124" i="4"/>
  <c r="DU125" i="4"/>
  <c r="DU126" i="4"/>
  <c r="DU127" i="4"/>
  <c r="DU128" i="4"/>
  <c r="DU129" i="4"/>
  <c r="DU130" i="4"/>
  <c r="DU131" i="4"/>
  <c r="DU132" i="4"/>
  <c r="DU133" i="4"/>
  <c r="DU134" i="4"/>
  <c r="DU135" i="4"/>
  <c r="DU136" i="4"/>
  <c r="DU137" i="4"/>
  <c r="DU138" i="4"/>
  <c r="DU139" i="4"/>
  <c r="DU140" i="4"/>
  <c r="DU141" i="4"/>
  <c r="DU142" i="4"/>
  <c r="DU143" i="4"/>
  <c r="DU144" i="4"/>
  <c r="DU145" i="4"/>
  <c r="DU146" i="4"/>
  <c r="DU147" i="4"/>
  <c r="DU148" i="4"/>
  <c r="DU149" i="4"/>
  <c r="DU150" i="4"/>
  <c r="DU151" i="4"/>
  <c r="DU152" i="4"/>
  <c r="DU153" i="4"/>
  <c r="DU154" i="4"/>
  <c r="DU155" i="4"/>
  <c r="DU156" i="4"/>
  <c r="DU157" i="4"/>
  <c r="DU158" i="4"/>
  <c r="DU159" i="4"/>
  <c r="DU160" i="4"/>
  <c r="DU161" i="4"/>
  <c r="DU162" i="4"/>
  <c r="DU163" i="4"/>
  <c r="DU164" i="4"/>
  <c r="DU165" i="4"/>
  <c r="DU166" i="4"/>
  <c r="DU167" i="4"/>
  <c r="DU168" i="4"/>
  <c r="DU169" i="4"/>
  <c r="DU170" i="4"/>
  <c r="DU171" i="4"/>
  <c r="DU172" i="4"/>
  <c r="DU173" i="4"/>
  <c r="DU174" i="4"/>
  <c r="DU175" i="4"/>
  <c r="BF127" i="4"/>
  <c r="BF122" i="4"/>
  <c r="BE136" i="4"/>
  <c r="DG175" i="4" l="1"/>
  <c r="DE102" i="4"/>
  <c r="DE101" i="4"/>
  <c r="DE176" i="4"/>
  <c r="BE121" i="4"/>
  <c r="BE122" i="4" s="1"/>
  <c r="BE133" i="4" s="1"/>
  <c r="BG122" i="4"/>
  <c r="BG127" i="4"/>
  <c r="BG128" i="4" s="1"/>
  <c r="BG130" i="4" s="1"/>
  <c r="BE137" i="4"/>
  <c r="BE138" i="4" s="1"/>
  <c r="BD138" i="4" s="1"/>
  <c r="DS176" i="4"/>
  <c r="DS102" i="4"/>
  <c r="DU103" i="4"/>
  <c r="BF128" i="4"/>
  <c r="BF130" i="4" s="1"/>
  <c r="EC175" i="4"/>
  <c r="ED175" i="4" s="1"/>
  <c r="EC167" i="4"/>
  <c r="ED167" i="4" s="1"/>
  <c r="EC173" i="4"/>
  <c r="ED173" i="4" s="1"/>
  <c r="EC168" i="4"/>
  <c r="ED168" i="4" s="1"/>
  <c r="EC170" i="4"/>
  <c r="ED170" i="4" s="1"/>
  <c r="EC165" i="4"/>
  <c r="ED165" i="4" s="1"/>
  <c r="EC164" i="4"/>
  <c r="ED164" i="4" s="1"/>
  <c r="EC157" i="4"/>
  <c r="ED157" i="4" s="1"/>
  <c r="EC149" i="4"/>
  <c r="ED149" i="4" s="1"/>
  <c r="EC172" i="4"/>
  <c r="ED172" i="4" s="1"/>
  <c r="EC160" i="4"/>
  <c r="ED160" i="4" s="1"/>
  <c r="EC152" i="4"/>
  <c r="ED152" i="4" s="1"/>
  <c r="EC134" i="4"/>
  <c r="ED134" i="4" s="1"/>
  <c r="EC166" i="4"/>
  <c r="ED166" i="4" s="1"/>
  <c r="EC155" i="4"/>
  <c r="ED155" i="4" s="1"/>
  <c r="EC163" i="4"/>
  <c r="ED163" i="4" s="1"/>
  <c r="EC158" i="4"/>
  <c r="ED158" i="4" s="1"/>
  <c r="EC174" i="4"/>
  <c r="ED174" i="4" s="1"/>
  <c r="EC161" i="4"/>
  <c r="ED161" i="4" s="1"/>
  <c r="EC153" i="4"/>
  <c r="ED153" i="4" s="1"/>
  <c r="EC169" i="4"/>
  <c r="ED169" i="4" s="1"/>
  <c r="EC154" i="4"/>
  <c r="ED154" i="4" s="1"/>
  <c r="EC151" i="4"/>
  <c r="ED151" i="4" s="1"/>
  <c r="EC144" i="4"/>
  <c r="ED144" i="4" s="1"/>
  <c r="EC139" i="4"/>
  <c r="ED139" i="4" s="1"/>
  <c r="EC148" i="4"/>
  <c r="ED148" i="4" s="1"/>
  <c r="EC150" i="4"/>
  <c r="ED150" i="4" s="1"/>
  <c r="EC146" i="4"/>
  <c r="ED146" i="4" s="1"/>
  <c r="EC171" i="4"/>
  <c r="ED171" i="4" s="1"/>
  <c r="EC162" i="4"/>
  <c r="ED162" i="4" s="1"/>
  <c r="EC156" i="4"/>
  <c r="ED156" i="4" s="1"/>
  <c r="EC138" i="4"/>
  <c r="ED138" i="4" s="1"/>
  <c r="EC130" i="4"/>
  <c r="ED130" i="4" s="1"/>
  <c r="EC128" i="4"/>
  <c r="ED128" i="4" s="1"/>
  <c r="EC122" i="4"/>
  <c r="ED122" i="4" s="1"/>
  <c r="EC120" i="4"/>
  <c r="ED120" i="4" s="1"/>
  <c r="EC118" i="4"/>
  <c r="ED118" i="4" s="1"/>
  <c r="EC116" i="4"/>
  <c r="ED116" i="4" s="1"/>
  <c r="EC143" i="4"/>
  <c r="ED143" i="4" s="1"/>
  <c r="EC142" i="4"/>
  <c r="ED142" i="4" s="1"/>
  <c r="EC141" i="4"/>
  <c r="ED141" i="4" s="1"/>
  <c r="EC136" i="4"/>
  <c r="ED136" i="4" s="1"/>
  <c r="EC135" i="4"/>
  <c r="ED135" i="4" s="1"/>
  <c r="EC132" i="4"/>
  <c r="ED132" i="4" s="1"/>
  <c r="EC159" i="4"/>
  <c r="ED159" i="4" s="1"/>
  <c r="EC145" i="4"/>
  <c r="ED145" i="4" s="1"/>
  <c r="EC114" i="4"/>
  <c r="ED114" i="4" s="1"/>
  <c r="EC109" i="4"/>
  <c r="ED109" i="4" s="1"/>
  <c r="EC127" i="4"/>
  <c r="ED127" i="4" s="1"/>
  <c r="EC123" i="4"/>
  <c r="ED123" i="4" s="1"/>
  <c r="EC113" i="4"/>
  <c r="ED113" i="4" s="1"/>
  <c r="EC117" i="4"/>
  <c r="ED117" i="4" s="1"/>
  <c r="EC137" i="4"/>
  <c r="ED137" i="4" s="1"/>
  <c r="EC133" i="4"/>
  <c r="ED133" i="4" s="1"/>
  <c r="EC125" i="4"/>
  <c r="ED125" i="4" s="1"/>
  <c r="EC147" i="4"/>
  <c r="ED147" i="4" s="1"/>
  <c r="EC131" i="4"/>
  <c r="ED131" i="4" s="1"/>
  <c r="EC129" i="4"/>
  <c r="ED129" i="4" s="1"/>
  <c r="EC121" i="4"/>
  <c r="ED121" i="4" s="1"/>
  <c r="EC119" i="4"/>
  <c r="ED119" i="4" s="1"/>
  <c r="EC112" i="4"/>
  <c r="ED112" i="4" s="1"/>
  <c r="EC110" i="4"/>
  <c r="ED110" i="4" s="1"/>
  <c r="EC108" i="4"/>
  <c r="ED108" i="4" s="1"/>
  <c r="EC104" i="4"/>
  <c r="ED104" i="4" s="1"/>
  <c r="EC115" i="4"/>
  <c r="ED115" i="4" s="1"/>
  <c r="EC111" i="4"/>
  <c r="ED111" i="4" s="1"/>
  <c r="EC106" i="4"/>
  <c r="ED106" i="4" s="1"/>
  <c r="EC140" i="4"/>
  <c r="ED140" i="4" s="1"/>
  <c r="EC126" i="4"/>
  <c r="ED126" i="4" s="1"/>
  <c r="EC107" i="4"/>
  <c r="ED107" i="4" s="1"/>
  <c r="EC124" i="4"/>
  <c r="ED124" i="4" s="1"/>
  <c r="DR103" i="4"/>
  <c r="EC105" i="4"/>
  <c r="ED105" i="4" s="1"/>
  <c r="DT104" i="4"/>
  <c r="DT105" i="4"/>
  <c r="DT106" i="4"/>
  <c r="DT108" i="4"/>
  <c r="DT107" i="4"/>
  <c r="DT109" i="4"/>
  <c r="DT110" i="4"/>
  <c r="DT111" i="4"/>
  <c r="DT112" i="4"/>
  <c r="DT113" i="4"/>
  <c r="DT114" i="4"/>
  <c r="DT115" i="4"/>
  <c r="DT116" i="4"/>
  <c r="DT117" i="4"/>
  <c r="DT118" i="4"/>
  <c r="DT119" i="4"/>
  <c r="DT120" i="4"/>
  <c r="DT121" i="4"/>
  <c r="DT122" i="4"/>
  <c r="DT123" i="4"/>
  <c r="DT124" i="4"/>
  <c r="DT125" i="4"/>
  <c r="DT126" i="4"/>
  <c r="DT127" i="4"/>
  <c r="DT128" i="4"/>
  <c r="DT129" i="4"/>
  <c r="DT130" i="4"/>
  <c r="DT131" i="4"/>
  <c r="DT132" i="4"/>
  <c r="DT133" i="4"/>
  <c r="DT134" i="4"/>
  <c r="DT135" i="4"/>
  <c r="DT137" i="4"/>
  <c r="DT136" i="4"/>
  <c r="DT138" i="4"/>
  <c r="DT139" i="4"/>
  <c r="DT140" i="4"/>
  <c r="DT141" i="4"/>
  <c r="DT142" i="4"/>
  <c r="DT143" i="4"/>
  <c r="DT144" i="4"/>
  <c r="DT145" i="4"/>
  <c r="DT146" i="4"/>
  <c r="DT147" i="4"/>
  <c r="DT148" i="4"/>
  <c r="DT149" i="4"/>
  <c r="DT150" i="4"/>
  <c r="DT151" i="4"/>
  <c r="DT152" i="4"/>
  <c r="DT153" i="4"/>
  <c r="DT154" i="4"/>
  <c r="DT155" i="4"/>
  <c r="DT156" i="4"/>
  <c r="DT157" i="4"/>
  <c r="DT158" i="4"/>
  <c r="DT159" i="4"/>
  <c r="DT160" i="4"/>
  <c r="DT161" i="4"/>
  <c r="DT162" i="4"/>
  <c r="DT163" i="4"/>
  <c r="DT164" i="4"/>
  <c r="DT165" i="4"/>
  <c r="DT166" i="4"/>
  <c r="DT167" i="4"/>
  <c r="DT168" i="4"/>
  <c r="DT169" i="4"/>
  <c r="DT170" i="4"/>
  <c r="DT171" i="4"/>
  <c r="DT172" i="4"/>
  <c r="DT173" i="4"/>
  <c r="DT174" i="4"/>
  <c r="DT175" i="4"/>
  <c r="BD121" i="4" l="1"/>
  <c r="BE127" i="4"/>
  <c r="BE128" i="4" s="1"/>
  <c r="BE130" i="4" s="1"/>
  <c r="DR176" i="4"/>
  <c r="EC103" i="4"/>
  <c r="DR102" i="4"/>
  <c r="DT103" i="4"/>
  <c r="BF123" i="4"/>
  <c r="BD122" i="4"/>
  <c r="BG123" i="4"/>
  <c r="DU176" i="4"/>
  <c r="DU102" i="4"/>
  <c r="ED102" i="4"/>
  <c r="ED176" i="4"/>
  <c r="DG176" i="4"/>
  <c r="DG102" i="4"/>
  <c r="DG101" i="4"/>
  <c r="BE123" i="4" l="1"/>
  <c r="BD123" i="4" s="1"/>
  <c r="DT176" i="4"/>
  <c r="DT102" i="4"/>
  <c r="EC176" i="4"/>
  <c r="EC102" i="4"/>
  <c r="AS63" i="4"/>
  <c r="AS51" i="4" l="1"/>
  <c r="AS52" i="4" l="1"/>
  <c r="AS39" i="4" l="1"/>
  <c r="AS55" i="4"/>
  <c r="AS56" i="4" l="1"/>
  <c r="CF54" i="4" l="1" a="1"/>
  <c r="CF54" i="4"/>
  <c r="CR54" i="4" a="1"/>
  <c r="CR54" i="4"/>
  <c r="BI55" i="4"/>
  <c r="BK55" i="4" a="1"/>
  <c r="BK55" i="4"/>
  <c r="BO55" i="4"/>
  <c r="BQ55" i="4"/>
  <c r="BU55" i="4" a="1"/>
  <c r="BU55" i="4"/>
  <c r="CF55" i="4" a="1"/>
  <c r="CF55" i="4"/>
  <c r="CR55" i="4" a="1"/>
  <c r="CR55" i="4"/>
  <c r="BI56" i="4"/>
  <c r="BK56" i="4" a="1"/>
  <c r="BK56" i="4"/>
  <c r="BO56" i="4"/>
  <c r="BQ56" i="4"/>
  <c r="BU56" i="4" a="1"/>
  <c r="BU56" i="4"/>
  <c r="CF56" i="4" a="1"/>
  <c r="CF56" i="4"/>
  <c r="CR56" i="4" a="1"/>
  <c r="CR56" i="4"/>
  <c r="BI57" i="4"/>
  <c r="BK57" i="4" a="1"/>
  <c r="BK57" i="4"/>
  <c r="BO57" i="4"/>
  <c r="BQ57" i="4"/>
  <c r="BU57" i="4" a="1"/>
  <c r="BU57" i="4"/>
  <c r="CF57" i="4" a="1"/>
  <c r="CF57" i="4"/>
  <c r="CR57" i="4" a="1"/>
  <c r="CR57" i="4"/>
  <c r="BI58" i="4"/>
  <c r="BK58" i="4" a="1"/>
  <c r="BK58" i="4"/>
  <c r="BO58" i="4"/>
  <c r="BQ58" i="4"/>
  <c r="BU58" i="4" a="1"/>
  <c r="BU58" i="4"/>
  <c r="CF58" i="4" a="1"/>
  <c r="CF58" i="4"/>
  <c r="CR58" i="4" a="1"/>
  <c r="CR58" i="4"/>
  <c r="BI59" i="4"/>
  <c r="BK59" i="4" a="1"/>
  <c r="BK59" i="4"/>
  <c r="BO59" i="4"/>
  <c r="BQ59" i="4"/>
  <c r="BU59" i="4" a="1"/>
  <c r="BU59" i="4"/>
  <c r="CF59" i="4" a="1"/>
  <c r="CF59" i="4"/>
  <c r="CR59" i="4" a="1"/>
  <c r="CR59" i="4"/>
  <c r="BI60" i="4"/>
  <c r="BK60" i="4" a="1"/>
  <c r="BK60" i="4"/>
  <c r="BO60" i="4"/>
  <c r="BQ60" i="4"/>
  <c r="BU60" i="4" a="1"/>
  <c r="BU60" i="4"/>
  <c r="CF60" i="4" a="1"/>
  <c r="CF60" i="4"/>
  <c r="CR60" i="4" a="1"/>
  <c r="CR60" i="4"/>
  <c r="BI61" i="4"/>
  <c r="BK61" i="4" a="1"/>
  <c r="BK61" i="4"/>
  <c r="BO61" i="4"/>
  <c r="BQ61" i="4"/>
  <c r="BU61" i="4" a="1"/>
  <c r="BU61" i="4"/>
  <c r="CF61" i="4" a="1"/>
  <c r="CF61" i="4"/>
  <c r="CR61" i="4" a="1"/>
  <c r="CR61" i="4"/>
  <c r="BI62" i="4"/>
  <c r="BK62" i="4" a="1"/>
  <c r="BK62" i="4"/>
  <c r="BO62" i="4"/>
  <c r="BQ62" i="4"/>
  <c r="BU62" i="4" a="1"/>
  <c r="BU62" i="4"/>
  <c r="CF62" i="4" a="1"/>
  <c r="CF62" i="4"/>
  <c r="CR62" i="4" a="1"/>
  <c r="CR62" i="4"/>
  <c r="BI63" i="4"/>
  <c r="BK63" i="4" a="1"/>
  <c r="BK63" i="4"/>
  <c r="BO63" i="4"/>
  <c r="BQ63" i="4"/>
  <c r="BU63" i="4" a="1"/>
  <c r="BU63" i="4"/>
  <c r="CF63" i="4" a="1"/>
  <c r="CF63" i="4"/>
  <c r="CR63" i="4" a="1"/>
  <c r="CR63" i="4"/>
  <c r="BI64" i="4"/>
  <c r="BK64" i="4" a="1"/>
  <c r="BK64" i="4"/>
  <c r="BO64" i="4"/>
  <c r="BQ64" i="4"/>
  <c r="BU64" i="4" a="1"/>
  <c r="BU64" i="4"/>
  <c r="CF64" i="4" a="1"/>
  <c r="CF64" i="4"/>
  <c r="CR64" i="4" a="1"/>
  <c r="CR64" i="4"/>
  <c r="BI65" i="4"/>
  <c r="BK65" i="4" a="1"/>
  <c r="BK65" i="4"/>
  <c r="BO65" i="4"/>
  <c r="BQ65" i="4"/>
  <c r="BU65" i="4" a="1"/>
  <c r="BU65" i="4"/>
  <c r="CF65" i="4" a="1"/>
  <c r="CF65" i="4"/>
  <c r="CR65" i="4" a="1"/>
  <c r="CR65" i="4"/>
  <c r="BI66" i="4"/>
  <c r="BK66" i="4" a="1"/>
  <c r="BK66" i="4"/>
  <c r="BO66" i="4"/>
  <c r="BQ66" i="4"/>
  <c r="BU66" i="4" a="1"/>
  <c r="BU66" i="4"/>
  <c r="CF66" i="4" a="1"/>
  <c r="CF66" i="4"/>
  <c r="CR66" i="4" a="1"/>
  <c r="CR66" i="4"/>
  <c r="BI67" i="4"/>
  <c r="BK67" i="4" a="1"/>
  <c r="BK67" i="4"/>
  <c r="BO67" i="4"/>
  <c r="BQ67" i="4"/>
  <c r="BU67" i="4" a="1"/>
  <c r="BU67" i="4"/>
  <c r="CF67" i="4" a="1"/>
  <c r="CF67" i="4"/>
  <c r="CR67" i="4" a="1"/>
  <c r="CR67" i="4"/>
  <c r="BI68" i="4"/>
  <c r="BK68" i="4" a="1"/>
  <c r="BK68" i="4"/>
  <c r="BO68" i="4"/>
  <c r="BQ68" i="4"/>
  <c r="BU68" i="4" a="1"/>
  <c r="BU68" i="4"/>
  <c r="CF68" i="4" a="1"/>
  <c r="CF68" i="4"/>
  <c r="CR68" i="4" a="1"/>
  <c r="CR68" i="4"/>
  <c r="BI69" i="4"/>
  <c r="BK69" i="4" a="1"/>
  <c r="BK69" i="4"/>
  <c r="BO69" i="4"/>
  <c r="BQ69" i="4"/>
  <c r="BU69" i="4" a="1"/>
  <c r="BU69" i="4"/>
  <c r="CF69" i="4" a="1"/>
  <c r="CF69" i="4"/>
  <c r="CR69" i="4" a="1"/>
  <c r="CR69" i="4"/>
  <c r="BI70" i="4"/>
  <c r="BK70" i="4" a="1"/>
  <c r="BK70" i="4"/>
  <c r="BM70" i="4"/>
  <c r="BO70" i="4"/>
  <c r="BP70" i="4"/>
  <c r="BQ70" i="4"/>
  <c r="BU70" i="4" a="1"/>
  <c r="BU70" i="4"/>
  <c r="CF70" i="4" a="1"/>
  <c r="CF70" i="4"/>
  <c r="CR70" i="4" a="1"/>
  <c r="CR70" i="4"/>
  <c r="BI71" i="4"/>
  <c r="BK71" i="4" a="1"/>
  <c r="BK71" i="4"/>
  <c r="BM71" i="4"/>
  <c r="BO71" i="4"/>
  <c r="BP71" i="4"/>
  <c r="BQ71" i="4"/>
  <c r="BU71" i="4" a="1"/>
  <c r="BU71" i="4"/>
  <c r="CF71" i="4" a="1"/>
  <c r="CF71" i="4"/>
  <c r="CR71" i="4" a="1"/>
  <c r="CR71" i="4"/>
  <c r="BI72" i="4"/>
  <c r="BK72" i="4" a="1"/>
  <c r="BK72" i="4"/>
  <c r="BM72" i="4"/>
  <c r="BO72" i="4"/>
  <c r="BP72" i="4"/>
  <c r="BQ72" i="4"/>
  <c r="BU72" i="4" a="1"/>
  <c r="BU72" i="4"/>
  <c r="CF72" i="4" a="1"/>
  <c r="CF72" i="4"/>
  <c r="CR72" i="4" a="1"/>
  <c r="CR72" i="4"/>
  <c r="BI73" i="4"/>
  <c r="BK73" i="4" a="1"/>
  <c r="BK73" i="4"/>
  <c r="BM73" i="4"/>
  <c r="BO73" i="4"/>
  <c r="BP73" i="4"/>
  <c r="BQ73" i="4"/>
  <c r="BU73" i="4" a="1"/>
  <c r="BU73" i="4"/>
  <c r="CF73" i="4" a="1"/>
  <c r="CF73" i="4"/>
  <c r="CR73" i="4" a="1"/>
  <c r="CR73" i="4"/>
  <c r="BI74" i="4"/>
  <c r="BK74" i="4" a="1"/>
  <c r="BK74" i="4"/>
  <c r="BM74" i="4"/>
  <c r="BO74" i="4"/>
  <c r="BP74" i="4"/>
  <c r="BQ74" i="4"/>
  <c r="BU74" i="4" a="1"/>
  <c r="BU74" i="4"/>
  <c r="CF74" i="4" a="1"/>
  <c r="CF74" i="4"/>
  <c r="CR74" i="4" a="1"/>
  <c r="CR74" i="4"/>
  <c r="BI75" i="4"/>
  <c r="BK75" i="4" a="1"/>
  <c r="BK75" i="4"/>
  <c r="BM75" i="4"/>
  <c r="BO75" i="4"/>
  <c r="BP75" i="4"/>
  <c r="BQ75" i="4"/>
  <c r="BU75" i="4" a="1"/>
  <c r="BU75" i="4"/>
  <c r="CF75" i="4" a="1"/>
  <c r="CF75" i="4"/>
  <c r="CR75" i="4" a="1"/>
  <c r="CR75" i="4"/>
  <c r="BI76" i="4"/>
  <c r="BK76" i="4" a="1"/>
  <c r="BK76" i="4"/>
  <c r="BM76" i="4"/>
  <c r="BO76" i="4"/>
  <c r="BP76" i="4"/>
  <c r="BQ76" i="4"/>
  <c r="BU76" i="4" a="1"/>
  <c r="BU76" i="4"/>
  <c r="CF76" i="4" a="1"/>
  <c r="CF76" i="4"/>
  <c r="CR76" i="4" a="1"/>
  <c r="CR76" i="4"/>
  <c r="BI77" i="4"/>
  <c r="BK77" i="4" a="1"/>
  <c r="BK77" i="4"/>
  <c r="BM77" i="4"/>
  <c r="BO77" i="4"/>
  <c r="BP77" i="4"/>
  <c r="BQ77" i="4"/>
  <c r="BU77" i="4" a="1"/>
  <c r="BU77" i="4"/>
  <c r="CF77" i="4" a="1"/>
  <c r="CF77" i="4"/>
  <c r="CR77" i="4" a="1"/>
  <c r="CR77" i="4"/>
  <c r="BI78" i="4"/>
  <c r="BK78" i="4" a="1"/>
  <c r="BK78" i="4"/>
  <c r="BM78" i="4"/>
  <c r="BO78" i="4"/>
  <c r="BP78" i="4"/>
  <c r="BQ78" i="4"/>
  <c r="BU78" i="4" a="1"/>
  <c r="BU78" i="4"/>
  <c r="BJ7" i="4" l="1"/>
  <c r="BK7" i="4"/>
  <c r="BL7" i="4"/>
  <c r="BN7" i="4"/>
  <c r="BO7" i="4"/>
  <c r="BP7" i="4"/>
  <c r="BQ7" i="4"/>
  <c r="BT7" i="4"/>
  <c r="BU7" i="4"/>
  <c r="BV7" i="4"/>
  <c r="BW7" i="4"/>
  <c r="BY7" i="4"/>
  <c r="BZ7" i="4"/>
  <c r="CA7" i="4"/>
  <c r="CB7" i="4"/>
  <c r="CE7" i="4"/>
  <c r="CF7" i="4"/>
  <c r="CG7" i="4"/>
  <c r="CH7" i="4"/>
  <c r="CJ7" i="4"/>
  <c r="CK7" i="4"/>
  <c r="CL7" i="4"/>
  <c r="CM7" i="4"/>
  <c r="CN7" i="4"/>
  <c r="CQ7" i="4"/>
  <c r="CR7" i="4"/>
  <c r="CS7" i="4"/>
  <c r="CT7" i="4"/>
  <c r="CV7" i="4"/>
  <c r="CW7" i="4"/>
  <c r="CX7" i="4"/>
  <c r="CY7" i="4"/>
  <c r="CZ7" i="4"/>
  <c r="DB7" i="4"/>
  <c r="DC7" i="4"/>
  <c r="DE7" i="4"/>
  <c r="DF7" i="4"/>
  <c r="DG7" i="4"/>
  <c r="AM8" i="4"/>
  <c r="AQ8" i="4"/>
  <c r="AR8" i="4"/>
  <c r="AS8" i="4"/>
  <c r="AW8" i="4"/>
  <c r="AX8" i="4"/>
  <c r="AY8" i="4"/>
  <c r="AZ8" i="4"/>
  <c r="BN8" i="4"/>
  <c r="BO8" i="4"/>
  <c r="BP8" i="4"/>
  <c r="BY8" i="4"/>
  <c r="BZ8" i="4"/>
  <c r="CA8" i="4"/>
  <c r="CK8" i="4"/>
  <c r="CL8" i="4"/>
  <c r="CM8" i="4"/>
  <c r="CW8" i="4"/>
  <c r="CX8" i="4"/>
  <c r="CY8" i="4"/>
  <c r="DE8" i="4"/>
  <c r="DF8" i="4"/>
  <c r="DG8" i="4"/>
  <c r="DI8" i="4"/>
  <c r="DJ8" i="4"/>
  <c r="DK8" i="4"/>
  <c r="DL8" i="4"/>
  <c r="DM8" i="4"/>
  <c r="DN8" i="4"/>
  <c r="DO8" i="4"/>
  <c r="DP8" i="4"/>
  <c r="DQ8" i="4"/>
  <c r="DR8" i="4"/>
  <c r="DS8" i="4"/>
  <c r="DT8" i="4"/>
  <c r="DU8" i="4"/>
  <c r="DX8" i="4"/>
  <c r="DY8" i="4"/>
  <c r="DZ8" i="4"/>
  <c r="EA8" i="4"/>
  <c r="EB8" i="4"/>
  <c r="EC8" i="4"/>
  <c r="ED8" i="4"/>
  <c r="B9" i="4"/>
  <c r="AL9" i="4"/>
  <c r="AM9" i="4"/>
  <c r="AN9" i="4"/>
  <c r="AQ9" i="4"/>
  <c r="AT9" i="4"/>
  <c r="AW9" i="4"/>
  <c r="AX9" i="4" a="1"/>
  <c r="AX9" i="4"/>
  <c r="AY9" i="4" a="1"/>
  <c r="AY9" i="4"/>
  <c r="AZ9" i="4"/>
  <c r="BJ9" i="4"/>
  <c r="BL9" i="4"/>
  <c r="BM9" i="4"/>
  <c r="BN9" i="4"/>
  <c r="BO9" i="4"/>
  <c r="BP9" i="4"/>
  <c r="BQ9" i="4"/>
  <c r="BT9" i="4"/>
  <c r="BW9" i="4"/>
  <c r="BX9" i="4"/>
  <c r="BY9" i="4"/>
  <c r="BZ9" i="4"/>
  <c r="CA9" i="4"/>
  <c r="CE9" i="4"/>
  <c r="CG9" i="4"/>
  <c r="CI9" i="4"/>
  <c r="CJ9" i="4"/>
  <c r="CK9" i="4"/>
  <c r="CL9" i="4"/>
  <c r="CM9" i="4"/>
  <c r="CN9" i="4"/>
  <c r="CQ9" i="4"/>
  <c r="CS9" i="4"/>
  <c r="CU9" i="4"/>
  <c r="CV9" i="4"/>
  <c r="CW9" i="4"/>
  <c r="CX9" i="4"/>
  <c r="CY9" i="4"/>
  <c r="DE9" i="4"/>
  <c r="DF9" i="4"/>
  <c r="DG9" i="4"/>
  <c r="DI9" i="4" a="1"/>
  <c r="DI9" i="4"/>
  <c r="DJ9" i="4" a="1"/>
  <c r="DJ9" i="4"/>
  <c r="DK9" i="4" a="1"/>
  <c r="DK9" i="4"/>
  <c r="DL9" i="4"/>
  <c r="DM9" i="4"/>
  <c r="DN9" i="4"/>
  <c r="DO9" i="4"/>
  <c r="DP9" i="4"/>
  <c r="DQ9" i="4"/>
  <c r="DR9" i="4" a="1"/>
  <c r="DR9" i="4"/>
  <c r="DS9" i="4" a="1"/>
  <c r="DS9" i="4"/>
  <c r="DT9" i="4"/>
  <c r="DU9" i="4"/>
  <c r="DX9" i="4" a="1"/>
  <c r="DX9" i="4"/>
  <c r="DZ9" i="4"/>
  <c r="EA9" i="4"/>
  <c r="EB9" i="4"/>
  <c r="EC9" i="4"/>
  <c r="ED9" i="4"/>
  <c r="B10" i="4"/>
  <c r="AL10" i="4"/>
  <c r="AM10" i="4"/>
  <c r="AN10" i="4"/>
  <c r="AP10" i="4"/>
  <c r="AQ10" i="4"/>
  <c r="AR10" i="4"/>
  <c r="AT10" i="4"/>
  <c r="AZ10" i="4"/>
  <c r="BI10" i="4"/>
  <c r="BJ10" i="4"/>
  <c r="BK10" i="4" a="1"/>
  <c r="BK10" i="4"/>
  <c r="BL10" i="4"/>
  <c r="BM10" i="4"/>
  <c r="BN10" i="4"/>
  <c r="BO10" i="4"/>
  <c r="BP10" i="4"/>
  <c r="BQ10" i="4"/>
  <c r="BS10" i="4"/>
  <c r="BT10" i="4"/>
  <c r="BU10" i="4" a="1"/>
  <c r="BU10" i="4"/>
  <c r="BV10" i="4"/>
  <c r="BW10" i="4"/>
  <c r="BX10" i="4"/>
  <c r="BY10" i="4"/>
  <c r="BZ10" i="4"/>
  <c r="CA10" i="4"/>
  <c r="CB10" i="4"/>
  <c r="CD10" i="4"/>
  <c r="CE10" i="4"/>
  <c r="CF10" i="4" a="1"/>
  <c r="CF10" i="4"/>
  <c r="CG10" i="4"/>
  <c r="CH10" i="4"/>
  <c r="CI10" i="4"/>
  <c r="CJ10" i="4"/>
  <c r="CK10" i="4"/>
  <c r="CL10" i="4"/>
  <c r="CM10" i="4"/>
  <c r="CN10" i="4"/>
  <c r="CP10" i="4"/>
  <c r="CQ10" i="4"/>
  <c r="CR10" i="4" a="1"/>
  <c r="CR10" i="4"/>
  <c r="CS10" i="4"/>
  <c r="CT10" i="4"/>
  <c r="CU10" i="4"/>
  <c r="CV10" i="4"/>
  <c r="CW10" i="4"/>
  <c r="CX10" i="4"/>
  <c r="CY10" i="4"/>
  <c r="CZ10" i="4"/>
  <c r="DB10" i="4"/>
  <c r="DC10" i="4"/>
  <c r="DE10" i="4"/>
  <c r="DF10" i="4"/>
  <c r="DG10" i="4"/>
  <c r="DL10" i="4"/>
  <c r="DM10" i="4"/>
  <c r="DN10" i="4"/>
  <c r="DO10" i="4"/>
  <c r="DP10" i="4"/>
  <c r="DQ10" i="4"/>
  <c r="DT10" i="4"/>
  <c r="DU10" i="4"/>
  <c r="DY10" i="4"/>
  <c r="DZ10" i="4"/>
  <c r="EA10" i="4"/>
  <c r="EB10" i="4"/>
  <c r="EC10" i="4"/>
  <c r="ED10" i="4"/>
  <c r="B11" i="4"/>
  <c r="AL11" i="4"/>
  <c r="AM11" i="4"/>
  <c r="AN11" i="4"/>
  <c r="AP11" i="4"/>
  <c r="AQ11" i="4"/>
  <c r="AR11" i="4"/>
  <c r="AT11" i="4"/>
  <c r="AZ11" i="4"/>
  <c r="BE11" i="4"/>
  <c r="BF11" i="4"/>
  <c r="BG11" i="4"/>
  <c r="BI11" i="4"/>
  <c r="BJ11" i="4"/>
  <c r="BK11" i="4" a="1"/>
  <c r="BK11" i="4"/>
  <c r="BL11" i="4"/>
  <c r="BM11" i="4"/>
  <c r="BN11" i="4"/>
  <c r="BO11" i="4"/>
  <c r="BP11" i="4"/>
  <c r="BQ11" i="4"/>
  <c r="BS11" i="4"/>
  <c r="BT11" i="4"/>
  <c r="BU11" i="4" a="1"/>
  <c r="BU11" i="4"/>
  <c r="BV11" i="4"/>
  <c r="BW11" i="4"/>
  <c r="BX11" i="4"/>
  <c r="BY11" i="4"/>
  <c r="BZ11" i="4"/>
  <c r="CA11" i="4"/>
  <c r="CB11" i="4"/>
  <c r="CD11" i="4"/>
  <c r="CE11" i="4"/>
  <c r="CF11" i="4" a="1"/>
  <c r="CF11" i="4"/>
  <c r="CG11" i="4"/>
  <c r="CH11" i="4"/>
  <c r="CI11" i="4"/>
  <c r="CJ11" i="4"/>
  <c r="CK11" i="4"/>
  <c r="CL11" i="4"/>
  <c r="CM11" i="4"/>
  <c r="CN11" i="4"/>
  <c r="CP11" i="4"/>
  <c r="CQ11" i="4"/>
  <c r="CR11" i="4" a="1"/>
  <c r="CR11" i="4"/>
  <c r="CS11" i="4"/>
  <c r="CT11" i="4"/>
  <c r="CU11" i="4"/>
  <c r="CV11" i="4"/>
  <c r="CW11" i="4"/>
  <c r="CX11" i="4"/>
  <c r="CY11" i="4"/>
  <c r="CZ11" i="4"/>
  <c r="DB11" i="4"/>
  <c r="DC11" i="4"/>
  <c r="DE11" i="4"/>
  <c r="DF11" i="4"/>
  <c r="DG11" i="4"/>
  <c r="DL11" i="4"/>
  <c r="DM11" i="4"/>
  <c r="DN11" i="4"/>
  <c r="DO11" i="4"/>
  <c r="DP11" i="4"/>
  <c r="DQ11" i="4"/>
  <c r="DT11" i="4"/>
  <c r="DU11" i="4"/>
  <c r="DY11" i="4"/>
  <c r="DZ11" i="4"/>
  <c r="EA11" i="4"/>
  <c r="EB11" i="4"/>
  <c r="EC11" i="4"/>
  <c r="ED11" i="4"/>
  <c r="B12" i="4"/>
  <c r="AL12" i="4"/>
  <c r="AM12" i="4"/>
  <c r="AN12" i="4"/>
  <c r="AP12" i="4"/>
  <c r="AQ12" i="4"/>
  <c r="AR12" i="4"/>
  <c r="AT12" i="4"/>
  <c r="AZ12" i="4"/>
  <c r="BI12" i="4"/>
  <c r="BJ12" i="4"/>
  <c r="BK12" i="4" a="1"/>
  <c r="BK12" i="4"/>
  <c r="BL12" i="4"/>
  <c r="BM12" i="4"/>
  <c r="BN12" i="4"/>
  <c r="BO12" i="4"/>
  <c r="BP12" i="4"/>
  <c r="BQ12" i="4"/>
  <c r="BS12" i="4"/>
  <c r="BT12" i="4"/>
  <c r="BU12" i="4" a="1"/>
  <c r="BU12" i="4"/>
  <c r="BV12" i="4"/>
  <c r="BW12" i="4"/>
  <c r="BX12" i="4"/>
  <c r="BY12" i="4"/>
  <c r="BZ12" i="4"/>
  <c r="CA12" i="4"/>
  <c r="CB12" i="4"/>
  <c r="CD12" i="4"/>
  <c r="CE12" i="4"/>
  <c r="CF12" i="4" a="1"/>
  <c r="CF12" i="4"/>
  <c r="CG12" i="4"/>
  <c r="CH12" i="4"/>
  <c r="CI12" i="4"/>
  <c r="CJ12" i="4"/>
  <c r="CK12" i="4"/>
  <c r="CL12" i="4"/>
  <c r="CM12" i="4"/>
  <c r="CN12" i="4"/>
  <c r="CP12" i="4"/>
  <c r="CQ12" i="4"/>
  <c r="CR12" i="4" a="1"/>
  <c r="CR12" i="4"/>
  <c r="CS12" i="4"/>
  <c r="CT12" i="4"/>
  <c r="CU12" i="4"/>
  <c r="CV12" i="4"/>
  <c r="CW12" i="4"/>
  <c r="CX12" i="4"/>
  <c r="CY12" i="4"/>
  <c r="CZ12" i="4"/>
  <c r="DB12" i="4"/>
  <c r="DC12" i="4"/>
  <c r="DE12" i="4"/>
  <c r="DF12" i="4"/>
  <c r="DG12" i="4"/>
  <c r="DL12" i="4"/>
  <c r="DM12" i="4"/>
  <c r="DN12" i="4"/>
  <c r="DO12" i="4"/>
  <c r="DP12" i="4"/>
  <c r="DQ12" i="4"/>
  <c r="DT12" i="4"/>
  <c r="DU12" i="4"/>
  <c r="DY12" i="4"/>
  <c r="DZ12" i="4"/>
  <c r="EA12" i="4"/>
  <c r="EB12" i="4"/>
  <c r="EC12" i="4"/>
  <c r="ED12" i="4"/>
  <c r="B13" i="4"/>
  <c r="AL13" i="4"/>
  <c r="AM13" i="4"/>
  <c r="AN13" i="4"/>
  <c r="AP13" i="4"/>
  <c r="AQ13" i="4"/>
  <c r="AR13" i="4"/>
  <c r="AT13" i="4"/>
  <c r="AZ13" i="4"/>
  <c r="BI13" i="4"/>
  <c r="BJ13" i="4"/>
  <c r="BK13" i="4" a="1"/>
  <c r="BK13" i="4"/>
  <c r="BL13" i="4"/>
  <c r="BM13" i="4"/>
  <c r="BN13" i="4"/>
  <c r="BO13" i="4"/>
  <c r="BP13" i="4"/>
  <c r="BQ13" i="4"/>
  <c r="BS13" i="4"/>
  <c r="BT13" i="4"/>
  <c r="BU13" i="4" a="1"/>
  <c r="BU13" i="4"/>
  <c r="BV13" i="4"/>
  <c r="BW13" i="4"/>
  <c r="BX13" i="4"/>
  <c r="BY13" i="4"/>
  <c r="BZ13" i="4"/>
  <c r="CA13" i="4"/>
  <c r="CB13" i="4"/>
  <c r="CD13" i="4"/>
  <c r="CE13" i="4"/>
  <c r="CF13" i="4" a="1"/>
  <c r="CF13" i="4"/>
  <c r="CG13" i="4"/>
  <c r="CH13" i="4"/>
  <c r="CI13" i="4"/>
  <c r="CJ13" i="4"/>
  <c r="CK13" i="4"/>
  <c r="CL13" i="4"/>
  <c r="CM13" i="4"/>
  <c r="CN13" i="4"/>
  <c r="CP13" i="4"/>
  <c r="CQ13" i="4"/>
  <c r="CR13" i="4" a="1"/>
  <c r="CR13" i="4"/>
  <c r="CS13" i="4"/>
  <c r="CT13" i="4"/>
  <c r="CU13" i="4"/>
  <c r="CV13" i="4"/>
  <c r="CW13" i="4"/>
  <c r="CX13" i="4"/>
  <c r="CY13" i="4"/>
  <c r="CZ13" i="4"/>
  <c r="DB13" i="4"/>
  <c r="DC13" i="4"/>
  <c r="DE13" i="4"/>
  <c r="DF13" i="4"/>
  <c r="DG13" i="4"/>
  <c r="DL13" i="4"/>
  <c r="DM13" i="4"/>
  <c r="DN13" i="4"/>
  <c r="DO13" i="4"/>
  <c r="DP13" i="4"/>
  <c r="DQ13" i="4"/>
  <c r="DT13" i="4"/>
  <c r="DU13" i="4"/>
  <c r="DY13" i="4"/>
  <c r="DZ13" i="4"/>
  <c r="EA13" i="4"/>
  <c r="EB13" i="4"/>
  <c r="EC13" i="4"/>
  <c r="ED13" i="4"/>
  <c r="B14" i="4"/>
  <c r="AL14" i="4"/>
  <c r="AM14" i="4"/>
  <c r="AN14" i="4"/>
  <c r="AP14" i="4"/>
  <c r="AQ14" i="4"/>
  <c r="AR14" i="4"/>
  <c r="AT14" i="4"/>
  <c r="AZ14" i="4"/>
  <c r="BI14" i="4"/>
  <c r="BJ14" i="4"/>
  <c r="BK14" i="4" a="1"/>
  <c r="BK14" i="4"/>
  <c r="BL14" i="4"/>
  <c r="BM14" i="4"/>
  <c r="BN14" i="4"/>
  <c r="BO14" i="4"/>
  <c r="BP14" i="4"/>
  <c r="BQ14" i="4"/>
  <c r="BS14" i="4"/>
  <c r="BT14" i="4"/>
  <c r="BU14" i="4" a="1"/>
  <c r="BU14" i="4"/>
  <c r="BV14" i="4"/>
  <c r="BW14" i="4"/>
  <c r="BX14" i="4"/>
  <c r="BY14" i="4"/>
  <c r="BZ14" i="4"/>
  <c r="CA14" i="4"/>
  <c r="CB14" i="4"/>
  <c r="CD14" i="4"/>
  <c r="CE14" i="4"/>
  <c r="CF14" i="4" a="1"/>
  <c r="CF14" i="4"/>
  <c r="CG14" i="4"/>
  <c r="CH14" i="4"/>
  <c r="CI14" i="4"/>
  <c r="CJ14" i="4"/>
  <c r="CK14" i="4"/>
  <c r="CL14" i="4"/>
  <c r="CM14" i="4"/>
  <c r="CN14" i="4"/>
  <c r="CP14" i="4"/>
  <c r="CQ14" i="4"/>
  <c r="CR14" i="4" a="1"/>
  <c r="CR14" i="4"/>
  <c r="CS14" i="4"/>
  <c r="CT14" i="4"/>
  <c r="CU14" i="4"/>
  <c r="CV14" i="4"/>
  <c r="CW14" i="4"/>
  <c r="CX14" i="4"/>
  <c r="CY14" i="4"/>
  <c r="CZ14" i="4"/>
  <c r="DB14" i="4"/>
  <c r="DC14" i="4"/>
  <c r="DE14" i="4"/>
  <c r="DF14" i="4"/>
  <c r="DG14" i="4"/>
  <c r="DL14" i="4"/>
  <c r="DM14" i="4"/>
  <c r="DN14" i="4"/>
  <c r="DO14" i="4"/>
  <c r="DP14" i="4"/>
  <c r="DQ14" i="4"/>
  <c r="DT14" i="4"/>
  <c r="DU14" i="4"/>
  <c r="DY14" i="4"/>
  <c r="DZ14" i="4"/>
  <c r="EA14" i="4"/>
  <c r="EB14" i="4"/>
  <c r="EC14" i="4"/>
  <c r="ED14" i="4"/>
  <c r="B15" i="4"/>
  <c r="AL15" i="4"/>
  <c r="AM15" i="4"/>
  <c r="AN15" i="4"/>
  <c r="AP15" i="4"/>
  <c r="AQ15" i="4"/>
  <c r="AR15" i="4"/>
  <c r="AT15" i="4"/>
  <c r="AZ15" i="4"/>
  <c r="BI15" i="4"/>
  <c r="BJ15" i="4"/>
  <c r="BK15" i="4" a="1"/>
  <c r="BK15" i="4"/>
  <c r="BL15" i="4"/>
  <c r="BM15" i="4"/>
  <c r="BN15" i="4"/>
  <c r="BO15" i="4"/>
  <c r="BP15" i="4"/>
  <c r="BQ15" i="4"/>
  <c r="BS15" i="4"/>
  <c r="BT15" i="4"/>
  <c r="BU15" i="4" a="1"/>
  <c r="BU15" i="4"/>
  <c r="BV15" i="4"/>
  <c r="BW15" i="4"/>
  <c r="BX15" i="4"/>
  <c r="BY15" i="4"/>
  <c r="BZ15" i="4"/>
  <c r="CA15" i="4"/>
  <c r="CB15" i="4"/>
  <c r="CD15" i="4"/>
  <c r="CE15" i="4"/>
  <c r="CF15" i="4" a="1"/>
  <c r="CF15" i="4"/>
  <c r="CG15" i="4"/>
  <c r="CH15" i="4"/>
  <c r="CI15" i="4"/>
  <c r="CJ15" i="4"/>
  <c r="CK15" i="4"/>
  <c r="CL15" i="4"/>
  <c r="CM15" i="4"/>
  <c r="CN15" i="4"/>
  <c r="CP15" i="4"/>
  <c r="CQ15" i="4"/>
  <c r="CR15" i="4" a="1"/>
  <c r="CR15" i="4"/>
  <c r="CS15" i="4"/>
  <c r="CT15" i="4"/>
  <c r="CU15" i="4"/>
  <c r="CV15" i="4"/>
  <c r="CW15" i="4"/>
  <c r="CX15" i="4"/>
  <c r="CY15" i="4"/>
  <c r="CZ15" i="4"/>
  <c r="DB15" i="4"/>
  <c r="DC15" i="4"/>
  <c r="DE15" i="4"/>
  <c r="DF15" i="4"/>
  <c r="DG15" i="4"/>
  <c r="DL15" i="4"/>
  <c r="DM15" i="4"/>
  <c r="DN15" i="4"/>
  <c r="DO15" i="4"/>
  <c r="DP15" i="4"/>
  <c r="DQ15" i="4"/>
  <c r="DT15" i="4"/>
  <c r="DU15" i="4"/>
  <c r="DY15" i="4"/>
  <c r="DZ15" i="4"/>
  <c r="EA15" i="4"/>
  <c r="EB15" i="4"/>
  <c r="EC15" i="4"/>
  <c r="ED15" i="4"/>
  <c r="B16" i="4"/>
  <c r="AL16" i="4"/>
  <c r="AM16" i="4"/>
  <c r="AN16" i="4"/>
  <c r="AP16" i="4"/>
  <c r="AQ16" i="4"/>
  <c r="AR16" i="4"/>
  <c r="AT16" i="4"/>
  <c r="AZ16" i="4"/>
  <c r="BI16" i="4"/>
  <c r="BJ16" i="4"/>
  <c r="BK16" i="4" a="1"/>
  <c r="BK16" i="4"/>
  <c r="BL16" i="4"/>
  <c r="BM16" i="4"/>
  <c r="BN16" i="4"/>
  <c r="BO16" i="4"/>
  <c r="BP16" i="4"/>
  <c r="BQ16" i="4"/>
  <c r="BS16" i="4"/>
  <c r="BT16" i="4"/>
  <c r="BU16" i="4" a="1"/>
  <c r="BU16" i="4"/>
  <c r="BV16" i="4"/>
  <c r="BW16" i="4"/>
  <c r="BX16" i="4"/>
  <c r="BY16" i="4"/>
  <c r="BZ16" i="4"/>
  <c r="CA16" i="4"/>
  <c r="CB16" i="4"/>
  <c r="CD16" i="4"/>
  <c r="CE16" i="4"/>
  <c r="CF16" i="4" a="1"/>
  <c r="CF16" i="4"/>
  <c r="CG16" i="4"/>
  <c r="CH16" i="4"/>
  <c r="CI16" i="4"/>
  <c r="CJ16" i="4"/>
  <c r="CK16" i="4"/>
  <c r="CL16" i="4"/>
  <c r="CM16" i="4"/>
  <c r="CN16" i="4"/>
  <c r="CP16" i="4"/>
  <c r="CQ16" i="4"/>
  <c r="CR16" i="4" a="1"/>
  <c r="CR16" i="4"/>
  <c r="CS16" i="4"/>
  <c r="CT16" i="4"/>
  <c r="CU16" i="4"/>
  <c r="CV16" i="4"/>
  <c r="CW16" i="4"/>
  <c r="CX16" i="4"/>
  <c r="CY16" i="4"/>
  <c r="CZ16" i="4"/>
  <c r="DB16" i="4"/>
  <c r="DC16" i="4"/>
  <c r="DE16" i="4"/>
  <c r="DF16" i="4"/>
  <c r="DG16" i="4"/>
  <c r="DL16" i="4"/>
  <c r="DM16" i="4"/>
  <c r="DN16" i="4"/>
  <c r="DO16" i="4"/>
  <c r="DP16" i="4"/>
  <c r="DQ16" i="4"/>
  <c r="DT16" i="4"/>
  <c r="DU16" i="4"/>
  <c r="DY16" i="4"/>
  <c r="DZ16" i="4"/>
  <c r="EA16" i="4"/>
  <c r="EB16" i="4"/>
  <c r="EC16" i="4"/>
  <c r="ED16" i="4"/>
  <c r="B17" i="4"/>
  <c r="AL17" i="4"/>
  <c r="AM17" i="4"/>
  <c r="AN17" i="4"/>
  <c r="AP17" i="4"/>
  <c r="AQ17" i="4"/>
  <c r="AR17" i="4"/>
  <c r="AT17" i="4"/>
  <c r="AZ17" i="4"/>
  <c r="BI17" i="4"/>
  <c r="BJ17" i="4"/>
  <c r="BK17" i="4" a="1"/>
  <c r="BK17" i="4"/>
  <c r="BL17" i="4"/>
  <c r="BM17" i="4"/>
  <c r="BN17" i="4"/>
  <c r="BO17" i="4"/>
  <c r="BP17" i="4"/>
  <c r="BQ17" i="4"/>
  <c r="BS17" i="4"/>
  <c r="BT17" i="4"/>
  <c r="BU17" i="4" a="1"/>
  <c r="BU17" i="4"/>
  <c r="BV17" i="4"/>
  <c r="BW17" i="4"/>
  <c r="BX17" i="4"/>
  <c r="BY17" i="4"/>
  <c r="BZ17" i="4"/>
  <c r="CA17" i="4"/>
  <c r="CB17" i="4"/>
  <c r="CD17" i="4"/>
  <c r="CE17" i="4"/>
  <c r="CF17" i="4" a="1"/>
  <c r="CF17" i="4"/>
  <c r="CG17" i="4"/>
  <c r="CH17" i="4"/>
  <c r="CI17" i="4"/>
  <c r="CJ17" i="4"/>
  <c r="CK17" i="4"/>
  <c r="CL17" i="4"/>
  <c r="CM17" i="4"/>
  <c r="CN17" i="4"/>
  <c r="CP17" i="4"/>
  <c r="CQ17" i="4"/>
  <c r="CR17" i="4" a="1"/>
  <c r="CR17" i="4"/>
  <c r="CS17" i="4"/>
  <c r="CT17" i="4"/>
  <c r="CU17" i="4"/>
  <c r="CV17" i="4"/>
  <c r="CW17" i="4"/>
  <c r="CX17" i="4"/>
  <c r="CY17" i="4"/>
  <c r="CZ17" i="4"/>
  <c r="DB17" i="4"/>
  <c r="DC17" i="4"/>
  <c r="DE17" i="4"/>
  <c r="DF17" i="4"/>
  <c r="DG17" i="4"/>
  <c r="DL17" i="4"/>
  <c r="DM17" i="4"/>
  <c r="DN17" i="4"/>
  <c r="DO17" i="4"/>
  <c r="DP17" i="4"/>
  <c r="DQ17" i="4"/>
  <c r="DT17" i="4"/>
  <c r="DU17" i="4"/>
  <c r="DY17" i="4"/>
  <c r="DZ17" i="4"/>
  <c r="EA17" i="4"/>
  <c r="EB17" i="4"/>
  <c r="EC17" i="4"/>
  <c r="ED17" i="4"/>
  <c r="B18" i="4"/>
  <c r="AL18" i="4"/>
  <c r="AM18" i="4"/>
  <c r="AN18" i="4"/>
  <c r="AP18" i="4"/>
  <c r="AQ18" i="4"/>
  <c r="AR18" i="4"/>
  <c r="AT18" i="4"/>
  <c r="AZ18" i="4"/>
  <c r="BI18" i="4"/>
  <c r="BJ18" i="4"/>
  <c r="BK18" i="4" a="1"/>
  <c r="BK18" i="4"/>
  <c r="BL18" i="4"/>
  <c r="BM18" i="4"/>
  <c r="BN18" i="4"/>
  <c r="BO18" i="4"/>
  <c r="BP18" i="4"/>
  <c r="BQ18" i="4"/>
  <c r="BS18" i="4"/>
  <c r="BT18" i="4"/>
  <c r="BU18" i="4" a="1"/>
  <c r="BU18" i="4"/>
  <c r="BV18" i="4"/>
  <c r="BW18" i="4"/>
  <c r="BX18" i="4"/>
  <c r="BY18" i="4"/>
  <c r="BZ18" i="4"/>
  <c r="CA18" i="4"/>
  <c r="CB18" i="4"/>
  <c r="CD18" i="4"/>
  <c r="CE18" i="4"/>
  <c r="CF18" i="4" a="1"/>
  <c r="CF18" i="4"/>
  <c r="CG18" i="4"/>
  <c r="CH18" i="4"/>
  <c r="CI18" i="4"/>
  <c r="CJ18" i="4"/>
  <c r="CK18" i="4"/>
  <c r="CL18" i="4"/>
  <c r="CM18" i="4"/>
  <c r="CN18" i="4"/>
  <c r="CP18" i="4"/>
  <c r="CQ18" i="4"/>
  <c r="CR18" i="4" a="1"/>
  <c r="CR18" i="4"/>
  <c r="CS18" i="4"/>
  <c r="CT18" i="4"/>
  <c r="CU18" i="4"/>
  <c r="CV18" i="4"/>
  <c r="CW18" i="4"/>
  <c r="CX18" i="4"/>
  <c r="CY18" i="4"/>
  <c r="CZ18" i="4"/>
  <c r="DB18" i="4"/>
  <c r="DC18" i="4"/>
  <c r="DE18" i="4"/>
  <c r="DF18" i="4"/>
  <c r="DG18" i="4"/>
  <c r="DL18" i="4"/>
  <c r="DM18" i="4"/>
  <c r="DN18" i="4"/>
  <c r="DO18" i="4"/>
  <c r="DP18" i="4"/>
  <c r="DQ18" i="4"/>
  <c r="DT18" i="4"/>
  <c r="DU18" i="4"/>
  <c r="DY18" i="4"/>
  <c r="DZ18" i="4"/>
  <c r="EA18" i="4"/>
  <c r="EB18" i="4"/>
  <c r="EC18" i="4"/>
  <c r="ED18" i="4"/>
  <c r="B19" i="4"/>
  <c r="AL19" i="4"/>
  <c r="AM19" i="4"/>
  <c r="AN19" i="4"/>
  <c r="AP19" i="4"/>
  <c r="AQ19" i="4"/>
  <c r="AR19" i="4"/>
  <c r="AT19" i="4"/>
  <c r="AZ19" i="4"/>
  <c r="BI19" i="4"/>
  <c r="BJ19" i="4"/>
  <c r="BK19" i="4" a="1"/>
  <c r="BK19" i="4"/>
  <c r="BL19" i="4"/>
  <c r="BM19" i="4"/>
  <c r="BN19" i="4"/>
  <c r="BO19" i="4"/>
  <c r="BP19" i="4"/>
  <c r="BQ19" i="4"/>
  <c r="BS19" i="4"/>
  <c r="BT19" i="4"/>
  <c r="BU19" i="4" a="1"/>
  <c r="BU19" i="4"/>
  <c r="BV19" i="4"/>
  <c r="BW19" i="4"/>
  <c r="BX19" i="4"/>
  <c r="BY19" i="4"/>
  <c r="BZ19" i="4"/>
  <c r="CA19" i="4"/>
  <c r="CB19" i="4"/>
  <c r="CD19" i="4"/>
  <c r="CE19" i="4"/>
  <c r="CF19" i="4" a="1"/>
  <c r="CF19" i="4"/>
  <c r="CG19" i="4"/>
  <c r="CH19" i="4"/>
  <c r="CI19" i="4"/>
  <c r="CJ19" i="4"/>
  <c r="CK19" i="4"/>
  <c r="CL19" i="4"/>
  <c r="CM19" i="4"/>
  <c r="CN19" i="4"/>
  <c r="CP19" i="4"/>
  <c r="CQ19" i="4"/>
  <c r="CR19" i="4" a="1"/>
  <c r="CR19" i="4"/>
  <c r="CS19" i="4"/>
  <c r="CT19" i="4"/>
  <c r="CU19" i="4"/>
  <c r="CV19" i="4"/>
  <c r="CW19" i="4"/>
  <c r="CX19" i="4"/>
  <c r="CY19" i="4"/>
  <c r="CZ19" i="4"/>
  <c r="DB19" i="4"/>
  <c r="DC19" i="4"/>
  <c r="DE19" i="4"/>
  <c r="DF19" i="4"/>
  <c r="DG19" i="4"/>
  <c r="DL19" i="4"/>
  <c r="DM19" i="4"/>
  <c r="DN19" i="4"/>
  <c r="DO19" i="4"/>
  <c r="DP19" i="4"/>
  <c r="DQ19" i="4"/>
  <c r="DT19" i="4"/>
  <c r="DU19" i="4"/>
  <c r="DY19" i="4"/>
  <c r="DZ19" i="4"/>
  <c r="EA19" i="4"/>
  <c r="EB19" i="4"/>
  <c r="EC19" i="4"/>
  <c r="ED19" i="4"/>
  <c r="B20" i="4"/>
  <c r="AL20" i="4"/>
  <c r="AM20" i="4"/>
  <c r="AN20" i="4"/>
  <c r="AP20" i="4"/>
  <c r="AQ20" i="4"/>
  <c r="AR20" i="4"/>
  <c r="AT20" i="4"/>
  <c r="AZ20" i="4"/>
  <c r="BI20" i="4"/>
  <c r="BJ20" i="4"/>
  <c r="BK20" i="4" a="1"/>
  <c r="BK20" i="4"/>
  <c r="BL20" i="4"/>
  <c r="BM20" i="4"/>
  <c r="BN20" i="4"/>
  <c r="BO20" i="4"/>
  <c r="BP20" i="4"/>
  <c r="BQ20" i="4"/>
  <c r="BS20" i="4"/>
  <c r="BT20" i="4"/>
  <c r="BU20" i="4" a="1"/>
  <c r="BU20" i="4"/>
  <c r="BV20" i="4"/>
  <c r="BW20" i="4"/>
  <c r="BX20" i="4"/>
  <c r="BY20" i="4"/>
  <c r="BZ20" i="4"/>
  <c r="CA20" i="4"/>
  <c r="CB20" i="4"/>
  <c r="CD20" i="4"/>
  <c r="CE20" i="4"/>
  <c r="CF20" i="4" a="1"/>
  <c r="CF20" i="4"/>
  <c r="CG20" i="4"/>
  <c r="CH20" i="4"/>
  <c r="CI20" i="4"/>
  <c r="CJ20" i="4"/>
  <c r="CK20" i="4"/>
  <c r="CL20" i="4"/>
  <c r="CM20" i="4"/>
  <c r="CN20" i="4"/>
  <c r="CP20" i="4"/>
  <c r="CQ20" i="4"/>
  <c r="CR20" i="4" a="1"/>
  <c r="CR20" i="4"/>
  <c r="CS20" i="4"/>
  <c r="CT20" i="4"/>
  <c r="CU20" i="4"/>
  <c r="CV20" i="4"/>
  <c r="CW20" i="4"/>
  <c r="CX20" i="4"/>
  <c r="CY20" i="4"/>
  <c r="CZ20" i="4"/>
  <c r="DB20" i="4"/>
  <c r="DC20" i="4"/>
  <c r="DE20" i="4"/>
  <c r="DF20" i="4"/>
  <c r="DG20" i="4"/>
  <c r="DL20" i="4"/>
  <c r="DM20" i="4"/>
  <c r="DN20" i="4"/>
  <c r="DO20" i="4"/>
  <c r="DP20" i="4"/>
  <c r="DQ20" i="4"/>
  <c r="DT20" i="4"/>
  <c r="DU20" i="4"/>
  <c r="DY20" i="4"/>
  <c r="DZ20" i="4"/>
  <c r="EA20" i="4"/>
  <c r="EB20" i="4"/>
  <c r="EC20" i="4"/>
  <c r="ED20" i="4"/>
  <c r="B21" i="4"/>
  <c r="AL21" i="4"/>
  <c r="AM21" i="4"/>
  <c r="AN21" i="4"/>
  <c r="AP21" i="4"/>
  <c r="AQ21" i="4"/>
  <c r="AR21" i="4"/>
  <c r="AT21" i="4"/>
  <c r="AZ21" i="4"/>
  <c r="BI21" i="4"/>
  <c r="BJ21" i="4"/>
  <c r="BK21" i="4" a="1"/>
  <c r="BK21" i="4"/>
  <c r="BL21" i="4"/>
  <c r="BM21" i="4"/>
  <c r="BN21" i="4"/>
  <c r="BO21" i="4"/>
  <c r="BP21" i="4"/>
  <c r="BQ21" i="4"/>
  <c r="BS21" i="4"/>
  <c r="BT21" i="4"/>
  <c r="BU21" i="4" a="1"/>
  <c r="BU21" i="4"/>
  <c r="BV21" i="4"/>
  <c r="BW21" i="4"/>
  <c r="BX21" i="4"/>
  <c r="BY21" i="4"/>
  <c r="BZ21" i="4"/>
  <c r="CA21" i="4"/>
  <c r="CB21" i="4"/>
  <c r="CD21" i="4"/>
  <c r="CE21" i="4"/>
  <c r="CF21" i="4" a="1"/>
  <c r="CF21" i="4"/>
  <c r="CG21" i="4"/>
  <c r="CH21" i="4"/>
  <c r="CI21" i="4"/>
  <c r="CJ21" i="4"/>
  <c r="CK21" i="4"/>
  <c r="CL21" i="4"/>
  <c r="CM21" i="4"/>
  <c r="CN21" i="4"/>
  <c r="CP21" i="4"/>
  <c r="CQ21" i="4"/>
  <c r="CR21" i="4" a="1"/>
  <c r="CR21" i="4"/>
  <c r="CS21" i="4"/>
  <c r="CT21" i="4"/>
  <c r="CU21" i="4"/>
  <c r="CV21" i="4"/>
  <c r="CW21" i="4"/>
  <c r="CX21" i="4"/>
  <c r="CY21" i="4"/>
  <c r="CZ21" i="4"/>
  <c r="DB21" i="4"/>
  <c r="DC21" i="4"/>
  <c r="DE21" i="4"/>
  <c r="DF21" i="4"/>
  <c r="DG21" i="4"/>
  <c r="DL21" i="4"/>
  <c r="DM21" i="4"/>
  <c r="DN21" i="4"/>
  <c r="DO21" i="4"/>
  <c r="DP21" i="4"/>
  <c r="DQ21" i="4"/>
  <c r="DT21" i="4"/>
  <c r="DU21" i="4"/>
  <c r="DY21" i="4"/>
  <c r="DZ21" i="4"/>
  <c r="EA21" i="4"/>
  <c r="EB21" i="4"/>
  <c r="EC21" i="4"/>
  <c r="ED21" i="4"/>
  <c r="B22" i="4"/>
  <c r="AL22" i="4"/>
  <c r="AM22" i="4"/>
  <c r="AN22" i="4"/>
  <c r="AP22" i="4"/>
  <c r="AQ22" i="4"/>
  <c r="AR22" i="4"/>
  <c r="AT22" i="4"/>
  <c r="AZ22" i="4"/>
  <c r="BD22" i="4"/>
  <c r="BE22" i="4"/>
  <c r="BF22" i="4"/>
  <c r="BG22" i="4"/>
  <c r="BI22" i="4"/>
  <c r="BJ22" i="4"/>
  <c r="BK22" i="4" a="1"/>
  <c r="BK22" i="4"/>
  <c r="BL22" i="4"/>
  <c r="BM22" i="4"/>
  <c r="BN22" i="4"/>
  <c r="BO22" i="4"/>
  <c r="BP22" i="4"/>
  <c r="BQ22" i="4"/>
  <c r="BS22" i="4"/>
  <c r="BT22" i="4"/>
  <c r="BU22" i="4" a="1"/>
  <c r="BU22" i="4"/>
  <c r="BV22" i="4"/>
  <c r="BW22" i="4"/>
  <c r="BX22" i="4"/>
  <c r="BY22" i="4"/>
  <c r="BZ22" i="4"/>
  <c r="CA22" i="4"/>
  <c r="CB22" i="4"/>
  <c r="CD22" i="4"/>
  <c r="CE22" i="4"/>
  <c r="CF22" i="4" a="1"/>
  <c r="CF22" i="4"/>
  <c r="CG22" i="4"/>
  <c r="CH22" i="4"/>
  <c r="CI22" i="4"/>
  <c r="CJ22" i="4"/>
  <c r="CK22" i="4"/>
  <c r="CL22" i="4"/>
  <c r="CM22" i="4"/>
  <c r="CN22" i="4"/>
  <c r="CP22" i="4"/>
  <c r="CQ22" i="4"/>
  <c r="CR22" i="4" a="1"/>
  <c r="CR22" i="4"/>
  <c r="CS22" i="4"/>
  <c r="CT22" i="4"/>
  <c r="CU22" i="4"/>
  <c r="CV22" i="4"/>
  <c r="CW22" i="4"/>
  <c r="CX22" i="4"/>
  <c r="CY22" i="4"/>
  <c r="CZ22" i="4"/>
  <c r="DB22" i="4"/>
  <c r="DC22" i="4"/>
  <c r="DE22" i="4"/>
  <c r="DF22" i="4"/>
  <c r="DG22" i="4"/>
  <c r="DL22" i="4"/>
  <c r="DM22" i="4"/>
  <c r="DN22" i="4"/>
  <c r="DO22" i="4"/>
  <c r="DP22" i="4"/>
  <c r="DQ22" i="4"/>
  <c r="DT22" i="4"/>
  <c r="DU22" i="4"/>
  <c r="DY22" i="4"/>
  <c r="DZ22" i="4"/>
  <c r="EA22" i="4"/>
  <c r="EB22" i="4"/>
  <c r="EC22" i="4"/>
  <c r="ED22" i="4"/>
  <c r="B23" i="4"/>
  <c r="AL23" i="4"/>
  <c r="AM23" i="4"/>
  <c r="AN23" i="4"/>
  <c r="AP23" i="4"/>
  <c r="AQ23" i="4"/>
  <c r="AR23" i="4"/>
  <c r="AT23" i="4"/>
  <c r="AZ23" i="4"/>
  <c r="BD23" i="4"/>
  <c r="BE23" i="4"/>
  <c r="BF23" i="4"/>
  <c r="BG23" i="4"/>
  <c r="BI23" i="4"/>
  <c r="BJ23" i="4"/>
  <c r="BK23" i="4" a="1"/>
  <c r="BK23" i="4"/>
  <c r="BL23" i="4"/>
  <c r="BM23" i="4"/>
  <c r="BN23" i="4"/>
  <c r="BO23" i="4"/>
  <c r="BP23" i="4"/>
  <c r="BQ23" i="4"/>
  <c r="BS23" i="4"/>
  <c r="BT23" i="4"/>
  <c r="BU23" i="4" a="1"/>
  <c r="BU23" i="4"/>
  <c r="BV23" i="4"/>
  <c r="BW23" i="4"/>
  <c r="BX23" i="4"/>
  <c r="BY23" i="4"/>
  <c r="BZ23" i="4"/>
  <c r="CA23" i="4"/>
  <c r="CB23" i="4"/>
  <c r="CD23" i="4"/>
  <c r="CE23" i="4"/>
  <c r="CF23" i="4" a="1"/>
  <c r="CF23" i="4"/>
  <c r="CG23" i="4"/>
  <c r="CH23" i="4"/>
  <c r="CI23" i="4"/>
  <c r="CJ23" i="4"/>
  <c r="CK23" i="4"/>
  <c r="CL23" i="4"/>
  <c r="CM23" i="4"/>
  <c r="CN23" i="4"/>
  <c r="CP23" i="4"/>
  <c r="CQ23" i="4"/>
  <c r="CR23" i="4" a="1"/>
  <c r="CR23" i="4"/>
  <c r="CS23" i="4"/>
  <c r="CT23" i="4"/>
  <c r="CU23" i="4"/>
  <c r="CV23" i="4"/>
  <c r="CW23" i="4"/>
  <c r="CX23" i="4"/>
  <c r="CY23" i="4"/>
  <c r="CZ23" i="4"/>
  <c r="DB23" i="4"/>
  <c r="DC23" i="4"/>
  <c r="DE23" i="4"/>
  <c r="DF23" i="4"/>
  <c r="DG23" i="4"/>
  <c r="DL23" i="4"/>
  <c r="DM23" i="4"/>
  <c r="DN23" i="4"/>
  <c r="DO23" i="4"/>
  <c r="DP23" i="4"/>
  <c r="DQ23" i="4"/>
  <c r="DT23" i="4"/>
  <c r="DU23" i="4"/>
  <c r="DY23" i="4"/>
  <c r="DZ23" i="4"/>
  <c r="EA23" i="4"/>
  <c r="EB23" i="4"/>
  <c r="EC23" i="4"/>
  <c r="ED23" i="4"/>
  <c r="B24" i="4"/>
  <c r="AL24" i="4"/>
  <c r="AM24" i="4"/>
  <c r="AN24" i="4"/>
  <c r="AP24" i="4"/>
  <c r="AQ24" i="4"/>
  <c r="AR24" i="4"/>
  <c r="AT24" i="4"/>
  <c r="AZ24" i="4"/>
  <c r="BD24" i="4"/>
  <c r="BE24" i="4"/>
  <c r="BF24" i="4"/>
  <c r="BG24" i="4"/>
  <c r="BI24" i="4"/>
  <c r="BJ24" i="4"/>
  <c r="BK24" i="4" a="1"/>
  <c r="BK24" i="4"/>
  <c r="BL24" i="4"/>
  <c r="BM24" i="4"/>
  <c r="BN24" i="4"/>
  <c r="BO24" i="4"/>
  <c r="BP24" i="4"/>
  <c r="BQ24" i="4"/>
  <c r="BS24" i="4"/>
  <c r="BT24" i="4"/>
  <c r="BU24" i="4" a="1"/>
  <c r="BU24" i="4"/>
  <c r="BV24" i="4"/>
  <c r="BW24" i="4"/>
  <c r="BX24" i="4"/>
  <c r="BY24" i="4"/>
  <c r="BZ24" i="4"/>
  <c r="CA24" i="4"/>
  <c r="CB24" i="4"/>
  <c r="CD24" i="4"/>
  <c r="CE24" i="4"/>
  <c r="CF24" i="4" a="1"/>
  <c r="CF24" i="4"/>
  <c r="CG24" i="4"/>
  <c r="CH24" i="4"/>
  <c r="CI24" i="4"/>
  <c r="CJ24" i="4"/>
  <c r="CK24" i="4"/>
  <c r="CL24" i="4"/>
  <c r="CM24" i="4"/>
  <c r="CN24" i="4"/>
  <c r="CP24" i="4"/>
  <c r="CQ24" i="4"/>
  <c r="CR24" i="4" a="1"/>
  <c r="CR24" i="4"/>
  <c r="CS24" i="4"/>
  <c r="CT24" i="4"/>
  <c r="CU24" i="4"/>
  <c r="CV24" i="4"/>
  <c r="CW24" i="4"/>
  <c r="CX24" i="4"/>
  <c r="CY24" i="4"/>
  <c r="CZ24" i="4"/>
  <c r="DB24" i="4"/>
  <c r="DC24" i="4"/>
  <c r="DE24" i="4"/>
  <c r="DF24" i="4"/>
  <c r="DG24" i="4"/>
  <c r="DL24" i="4"/>
  <c r="DM24" i="4"/>
  <c r="DN24" i="4"/>
  <c r="DO24" i="4"/>
  <c r="DP24" i="4"/>
  <c r="DQ24" i="4"/>
  <c r="DT24" i="4"/>
  <c r="DU24" i="4"/>
  <c r="DY24" i="4"/>
  <c r="DZ24" i="4"/>
  <c r="EA24" i="4"/>
  <c r="EB24" i="4"/>
  <c r="EC24" i="4"/>
  <c r="ED24" i="4"/>
  <c r="B25" i="4"/>
  <c r="AL25" i="4"/>
  <c r="AM25" i="4"/>
  <c r="AN25" i="4"/>
  <c r="AP25" i="4"/>
  <c r="AQ25" i="4"/>
  <c r="AR25" i="4"/>
  <c r="AT25" i="4"/>
  <c r="AZ25" i="4"/>
  <c r="BD25" i="4"/>
  <c r="BE25" i="4"/>
  <c r="BF25" i="4"/>
  <c r="BG25" i="4"/>
  <c r="BI25" i="4"/>
  <c r="BJ25" i="4"/>
  <c r="BK25" i="4" a="1"/>
  <c r="BK25" i="4"/>
  <c r="BL25" i="4"/>
  <c r="BM25" i="4"/>
  <c r="BN25" i="4"/>
  <c r="BO25" i="4"/>
  <c r="BP25" i="4"/>
  <c r="BQ25" i="4"/>
  <c r="BS25" i="4"/>
  <c r="BT25" i="4"/>
  <c r="BU25" i="4" a="1"/>
  <c r="BU25" i="4"/>
  <c r="BV25" i="4"/>
  <c r="BW25" i="4"/>
  <c r="BX25" i="4"/>
  <c r="BY25" i="4"/>
  <c r="BZ25" i="4"/>
  <c r="CA25" i="4"/>
  <c r="CB25" i="4"/>
  <c r="CD25" i="4"/>
  <c r="CE25" i="4"/>
  <c r="CF25" i="4" a="1"/>
  <c r="CF25" i="4"/>
  <c r="CG25" i="4"/>
  <c r="CH25" i="4"/>
  <c r="CI25" i="4"/>
  <c r="CJ25" i="4"/>
  <c r="CK25" i="4"/>
  <c r="CL25" i="4"/>
  <c r="CM25" i="4"/>
  <c r="CN25" i="4"/>
  <c r="CP25" i="4"/>
  <c r="CQ25" i="4"/>
  <c r="CR25" i="4" a="1"/>
  <c r="CR25" i="4"/>
  <c r="CS25" i="4"/>
  <c r="CT25" i="4"/>
  <c r="CU25" i="4"/>
  <c r="CV25" i="4"/>
  <c r="CW25" i="4"/>
  <c r="CX25" i="4"/>
  <c r="CY25" i="4"/>
  <c r="CZ25" i="4"/>
  <c r="DB25" i="4"/>
  <c r="DC25" i="4"/>
  <c r="DE25" i="4"/>
  <c r="DF25" i="4"/>
  <c r="DG25" i="4"/>
  <c r="DL25" i="4"/>
  <c r="DM25" i="4"/>
  <c r="DN25" i="4"/>
  <c r="DO25" i="4"/>
  <c r="DP25" i="4"/>
  <c r="DQ25" i="4"/>
  <c r="DT25" i="4"/>
  <c r="DU25" i="4"/>
  <c r="DY25" i="4"/>
  <c r="DZ25" i="4"/>
  <c r="EA25" i="4"/>
  <c r="EB25" i="4"/>
  <c r="EC25" i="4"/>
  <c r="ED25" i="4"/>
  <c r="B26" i="4"/>
  <c r="AL26" i="4"/>
  <c r="AM26" i="4"/>
  <c r="AN26" i="4"/>
  <c r="AP26" i="4"/>
  <c r="AQ26" i="4"/>
  <c r="AR26" i="4"/>
  <c r="AT26" i="4"/>
  <c r="AZ26" i="4"/>
  <c r="BD26" i="4"/>
  <c r="BE26" i="4"/>
  <c r="BF26" i="4"/>
  <c r="BG26" i="4"/>
  <c r="BI26" i="4"/>
  <c r="BJ26" i="4"/>
  <c r="BK26" i="4" a="1"/>
  <c r="BK26" i="4"/>
  <c r="BL26" i="4"/>
  <c r="BM26" i="4"/>
  <c r="BN26" i="4"/>
  <c r="BO26" i="4"/>
  <c r="BP26" i="4"/>
  <c r="BQ26" i="4"/>
  <c r="BS26" i="4"/>
  <c r="BT26" i="4"/>
  <c r="BU26" i="4" a="1"/>
  <c r="BU26" i="4"/>
  <c r="BV26" i="4"/>
  <c r="BW26" i="4"/>
  <c r="BX26" i="4"/>
  <c r="BY26" i="4"/>
  <c r="BZ26" i="4"/>
  <c r="CA26" i="4"/>
  <c r="CB26" i="4"/>
  <c r="CD26" i="4"/>
  <c r="CE26" i="4"/>
  <c r="CF26" i="4" a="1"/>
  <c r="CF26" i="4"/>
  <c r="CG26" i="4"/>
  <c r="CH26" i="4"/>
  <c r="CI26" i="4"/>
  <c r="CJ26" i="4"/>
  <c r="CK26" i="4"/>
  <c r="CL26" i="4"/>
  <c r="CM26" i="4"/>
  <c r="CN26" i="4"/>
  <c r="CP26" i="4"/>
  <c r="CQ26" i="4"/>
  <c r="CR26" i="4" a="1"/>
  <c r="CR26" i="4"/>
  <c r="CS26" i="4"/>
  <c r="CT26" i="4"/>
  <c r="CU26" i="4"/>
  <c r="CV26" i="4"/>
  <c r="CW26" i="4"/>
  <c r="CX26" i="4"/>
  <c r="CY26" i="4"/>
  <c r="CZ26" i="4"/>
  <c r="DB26" i="4"/>
  <c r="DC26" i="4"/>
  <c r="DE26" i="4"/>
  <c r="DF26" i="4"/>
  <c r="DG26" i="4"/>
  <c r="DL26" i="4"/>
  <c r="DM26" i="4"/>
  <c r="DN26" i="4"/>
  <c r="DO26" i="4"/>
  <c r="DP26" i="4"/>
  <c r="DQ26" i="4"/>
  <c r="DT26" i="4"/>
  <c r="DU26" i="4"/>
  <c r="DY26" i="4"/>
  <c r="DZ26" i="4"/>
  <c r="EA26" i="4"/>
  <c r="EB26" i="4"/>
  <c r="EC26" i="4"/>
  <c r="ED26" i="4"/>
  <c r="B27" i="4"/>
  <c r="AL27" i="4"/>
  <c r="AM27" i="4"/>
  <c r="AN27" i="4"/>
  <c r="AP27" i="4"/>
  <c r="AQ27" i="4"/>
  <c r="AR27" i="4"/>
  <c r="AT27" i="4"/>
  <c r="AZ27" i="4"/>
  <c r="BD27" i="4"/>
  <c r="BE27" i="4"/>
  <c r="BF27" i="4"/>
  <c r="BG27" i="4"/>
  <c r="BI27" i="4"/>
  <c r="BJ27" i="4"/>
  <c r="BK27" i="4" a="1"/>
  <c r="BK27" i="4"/>
  <c r="BL27" i="4"/>
  <c r="BM27" i="4"/>
  <c r="BN27" i="4"/>
  <c r="BO27" i="4"/>
  <c r="BP27" i="4"/>
  <c r="BQ27" i="4"/>
  <c r="BS27" i="4"/>
  <c r="BT27" i="4"/>
  <c r="BU27" i="4" a="1"/>
  <c r="BU27" i="4"/>
  <c r="BV27" i="4"/>
  <c r="BW27" i="4"/>
  <c r="BX27" i="4"/>
  <c r="BY27" i="4"/>
  <c r="BZ27" i="4"/>
  <c r="CA27" i="4"/>
  <c r="CB27" i="4"/>
  <c r="CD27" i="4"/>
  <c r="CE27" i="4"/>
  <c r="CF27" i="4" a="1"/>
  <c r="CF27" i="4"/>
  <c r="CG27" i="4"/>
  <c r="CH27" i="4"/>
  <c r="CI27" i="4"/>
  <c r="CJ27" i="4"/>
  <c r="CK27" i="4"/>
  <c r="CL27" i="4"/>
  <c r="CM27" i="4"/>
  <c r="CN27" i="4"/>
  <c r="CP27" i="4"/>
  <c r="CQ27" i="4"/>
  <c r="CR27" i="4" a="1"/>
  <c r="CR27" i="4"/>
  <c r="CS27" i="4"/>
  <c r="CT27" i="4"/>
  <c r="CU27" i="4"/>
  <c r="CV27" i="4"/>
  <c r="CW27" i="4"/>
  <c r="CX27" i="4"/>
  <c r="CY27" i="4"/>
  <c r="CZ27" i="4"/>
  <c r="DB27" i="4"/>
  <c r="DC27" i="4"/>
  <c r="DE27" i="4"/>
  <c r="DF27" i="4"/>
  <c r="DG27" i="4"/>
  <c r="DL27" i="4"/>
  <c r="DM27" i="4"/>
  <c r="DN27" i="4"/>
  <c r="DO27" i="4"/>
  <c r="DP27" i="4"/>
  <c r="DQ27" i="4"/>
  <c r="DT27" i="4"/>
  <c r="DU27" i="4"/>
  <c r="DY27" i="4"/>
  <c r="DZ27" i="4"/>
  <c r="EA27" i="4"/>
  <c r="EB27" i="4"/>
  <c r="EC27" i="4"/>
  <c r="ED27" i="4"/>
  <c r="B28" i="4"/>
  <c r="AL28" i="4"/>
  <c r="AM28" i="4"/>
  <c r="AN28" i="4"/>
  <c r="AP28" i="4"/>
  <c r="AQ28" i="4"/>
  <c r="AR28" i="4"/>
  <c r="AT28" i="4"/>
  <c r="AZ28" i="4"/>
  <c r="BD28" i="4"/>
  <c r="BE28" i="4"/>
  <c r="BF28" i="4"/>
  <c r="BG28" i="4"/>
  <c r="BI28" i="4"/>
  <c r="BJ28" i="4"/>
  <c r="BK28" i="4" a="1"/>
  <c r="BK28" i="4"/>
  <c r="BL28" i="4"/>
  <c r="BM28" i="4"/>
  <c r="BN28" i="4"/>
  <c r="BO28" i="4"/>
  <c r="BP28" i="4"/>
  <c r="BQ28" i="4"/>
  <c r="BS28" i="4"/>
  <c r="BT28" i="4"/>
  <c r="BU28" i="4" a="1"/>
  <c r="BU28" i="4"/>
  <c r="BV28" i="4"/>
  <c r="BW28" i="4"/>
  <c r="BX28" i="4"/>
  <c r="BY28" i="4"/>
  <c r="BZ28" i="4"/>
  <c r="CA28" i="4"/>
  <c r="CB28" i="4"/>
  <c r="CD28" i="4"/>
  <c r="CE28" i="4"/>
  <c r="CF28" i="4" a="1"/>
  <c r="CF28" i="4"/>
  <c r="CG28" i="4"/>
  <c r="CH28" i="4"/>
  <c r="CI28" i="4"/>
  <c r="CJ28" i="4"/>
  <c r="CK28" i="4"/>
  <c r="CL28" i="4"/>
  <c r="CM28" i="4"/>
  <c r="CN28" i="4"/>
  <c r="CP28" i="4"/>
  <c r="CQ28" i="4"/>
  <c r="CR28" i="4" a="1"/>
  <c r="CR28" i="4"/>
  <c r="CS28" i="4"/>
  <c r="CT28" i="4"/>
  <c r="CU28" i="4"/>
  <c r="CV28" i="4"/>
  <c r="CW28" i="4"/>
  <c r="CX28" i="4"/>
  <c r="CY28" i="4"/>
  <c r="CZ28" i="4"/>
  <c r="DB28" i="4"/>
  <c r="DC28" i="4"/>
  <c r="DE28" i="4"/>
  <c r="DF28" i="4"/>
  <c r="DG28" i="4"/>
  <c r="DL28" i="4"/>
  <c r="DM28" i="4"/>
  <c r="DN28" i="4"/>
  <c r="DO28" i="4"/>
  <c r="DP28" i="4"/>
  <c r="DQ28" i="4"/>
  <c r="DT28" i="4"/>
  <c r="DU28" i="4"/>
  <c r="DY28" i="4"/>
  <c r="DZ28" i="4"/>
  <c r="EA28" i="4"/>
  <c r="EB28" i="4"/>
  <c r="EC28" i="4"/>
  <c r="ED28" i="4"/>
  <c r="B29" i="4"/>
  <c r="AL29" i="4"/>
  <c r="AM29" i="4"/>
  <c r="AN29" i="4"/>
  <c r="AP29" i="4"/>
  <c r="AQ29" i="4"/>
  <c r="AR29" i="4"/>
  <c r="AT29" i="4"/>
  <c r="AZ29" i="4"/>
  <c r="BD29" i="4"/>
  <c r="BE29" i="4"/>
  <c r="BF29" i="4"/>
  <c r="BG29" i="4"/>
  <c r="BI29" i="4"/>
  <c r="BJ29" i="4"/>
  <c r="BK29" i="4" a="1"/>
  <c r="BK29" i="4"/>
  <c r="BL29" i="4"/>
  <c r="BM29" i="4"/>
  <c r="BN29" i="4"/>
  <c r="BO29" i="4"/>
  <c r="BP29" i="4"/>
  <c r="BQ29" i="4"/>
  <c r="BS29" i="4"/>
  <c r="BT29" i="4"/>
  <c r="BU29" i="4" a="1"/>
  <c r="BU29" i="4"/>
  <c r="BV29" i="4"/>
  <c r="BW29" i="4"/>
  <c r="BX29" i="4"/>
  <c r="BY29" i="4"/>
  <c r="BZ29" i="4"/>
  <c r="CA29" i="4"/>
  <c r="CB29" i="4"/>
  <c r="CD29" i="4"/>
  <c r="CE29" i="4"/>
  <c r="CF29" i="4" a="1"/>
  <c r="CF29" i="4"/>
  <c r="CG29" i="4"/>
  <c r="CH29" i="4"/>
  <c r="CI29" i="4"/>
  <c r="CJ29" i="4"/>
  <c r="CK29" i="4"/>
  <c r="CL29" i="4"/>
  <c r="CM29" i="4"/>
  <c r="CN29" i="4"/>
  <c r="CP29" i="4"/>
  <c r="CQ29" i="4"/>
  <c r="CR29" i="4" a="1"/>
  <c r="CR29" i="4"/>
  <c r="CS29" i="4"/>
  <c r="CT29" i="4"/>
  <c r="CU29" i="4"/>
  <c r="CV29" i="4"/>
  <c r="CW29" i="4"/>
  <c r="CX29" i="4"/>
  <c r="CY29" i="4"/>
  <c r="CZ29" i="4"/>
  <c r="DB29" i="4"/>
  <c r="DC29" i="4"/>
  <c r="DE29" i="4"/>
  <c r="DF29" i="4"/>
  <c r="DG29" i="4"/>
  <c r="DL29" i="4"/>
  <c r="DM29" i="4"/>
  <c r="DN29" i="4"/>
  <c r="DO29" i="4"/>
  <c r="DP29" i="4"/>
  <c r="DQ29" i="4"/>
  <c r="DT29" i="4"/>
  <c r="DU29" i="4"/>
  <c r="DY29" i="4"/>
  <c r="DZ29" i="4"/>
  <c r="EA29" i="4"/>
  <c r="EB29" i="4"/>
  <c r="EC29" i="4"/>
  <c r="ED29" i="4"/>
  <c r="B30" i="4"/>
  <c r="AL30" i="4"/>
  <c r="AM30" i="4"/>
  <c r="AN30" i="4"/>
  <c r="AP30" i="4"/>
  <c r="AQ30" i="4"/>
  <c r="AR30" i="4"/>
  <c r="AT30" i="4"/>
  <c r="AZ30" i="4"/>
  <c r="BI30" i="4"/>
  <c r="BJ30" i="4"/>
  <c r="BK30" i="4" a="1"/>
  <c r="BK30" i="4"/>
  <c r="BL30" i="4"/>
  <c r="BM30" i="4"/>
  <c r="BN30" i="4"/>
  <c r="BO30" i="4"/>
  <c r="BP30" i="4"/>
  <c r="BQ30" i="4"/>
  <c r="BS30" i="4"/>
  <c r="BT30" i="4"/>
  <c r="BU30" i="4" a="1"/>
  <c r="BU30" i="4"/>
  <c r="BV30" i="4"/>
  <c r="BW30" i="4"/>
  <c r="BX30" i="4"/>
  <c r="BY30" i="4"/>
  <c r="BZ30" i="4"/>
  <c r="CA30" i="4"/>
  <c r="CB30" i="4"/>
  <c r="CD30" i="4"/>
  <c r="CE30" i="4"/>
  <c r="CF30" i="4" a="1"/>
  <c r="CF30" i="4"/>
  <c r="CG30" i="4"/>
  <c r="CH30" i="4"/>
  <c r="CI30" i="4"/>
  <c r="CJ30" i="4"/>
  <c r="CK30" i="4"/>
  <c r="CL30" i="4"/>
  <c r="CM30" i="4"/>
  <c r="CN30" i="4"/>
  <c r="CP30" i="4"/>
  <c r="CQ30" i="4"/>
  <c r="CR30" i="4" a="1"/>
  <c r="CR30" i="4"/>
  <c r="CS30" i="4"/>
  <c r="CT30" i="4"/>
  <c r="CU30" i="4"/>
  <c r="CV30" i="4"/>
  <c r="CW30" i="4"/>
  <c r="CX30" i="4"/>
  <c r="CY30" i="4"/>
  <c r="CZ30" i="4"/>
  <c r="DB30" i="4"/>
  <c r="DC30" i="4"/>
  <c r="DE30" i="4"/>
  <c r="DF30" i="4"/>
  <c r="DG30" i="4"/>
  <c r="DL30" i="4"/>
  <c r="DM30" i="4"/>
  <c r="DN30" i="4"/>
  <c r="DO30" i="4"/>
  <c r="DP30" i="4"/>
  <c r="DQ30" i="4"/>
  <c r="DT30" i="4"/>
  <c r="DU30" i="4"/>
  <c r="DY30" i="4"/>
  <c r="DZ30" i="4"/>
  <c r="EA30" i="4"/>
  <c r="EB30" i="4"/>
  <c r="EC30" i="4"/>
  <c r="ED30" i="4"/>
  <c r="B31" i="4"/>
  <c r="AL31" i="4"/>
  <c r="AM31" i="4"/>
  <c r="AN31" i="4"/>
  <c r="AP31" i="4"/>
  <c r="AQ31" i="4"/>
  <c r="AR31" i="4"/>
  <c r="AT31" i="4"/>
  <c r="AZ31" i="4"/>
  <c r="BI31" i="4"/>
  <c r="BJ31" i="4"/>
  <c r="BK31" i="4" a="1"/>
  <c r="BK31" i="4"/>
  <c r="BL31" i="4"/>
  <c r="BM31" i="4"/>
  <c r="BN31" i="4"/>
  <c r="BO31" i="4"/>
  <c r="BP31" i="4"/>
  <c r="BQ31" i="4"/>
  <c r="BS31" i="4"/>
  <c r="BT31" i="4"/>
  <c r="BU31" i="4" a="1"/>
  <c r="BU31" i="4"/>
  <c r="BV31" i="4"/>
  <c r="BW31" i="4"/>
  <c r="BX31" i="4"/>
  <c r="BY31" i="4"/>
  <c r="BZ31" i="4"/>
  <c r="CA31" i="4"/>
  <c r="CB31" i="4"/>
  <c r="CD31" i="4"/>
  <c r="CE31" i="4"/>
  <c r="CF31" i="4" a="1"/>
  <c r="CF31" i="4"/>
  <c r="CG31" i="4"/>
  <c r="CH31" i="4"/>
  <c r="CI31" i="4"/>
  <c r="CJ31" i="4"/>
  <c r="CK31" i="4"/>
  <c r="CL31" i="4"/>
  <c r="CM31" i="4"/>
  <c r="CN31" i="4"/>
  <c r="CP31" i="4"/>
  <c r="CQ31" i="4"/>
  <c r="CR31" i="4" a="1"/>
  <c r="CR31" i="4"/>
  <c r="CS31" i="4"/>
  <c r="CT31" i="4"/>
  <c r="CU31" i="4"/>
  <c r="CV31" i="4"/>
  <c r="CW31" i="4"/>
  <c r="CX31" i="4"/>
  <c r="CY31" i="4"/>
  <c r="CZ31" i="4"/>
  <c r="DB31" i="4"/>
  <c r="DC31" i="4"/>
  <c r="DE31" i="4"/>
  <c r="DF31" i="4"/>
  <c r="DG31" i="4"/>
  <c r="DL31" i="4"/>
  <c r="DM31" i="4"/>
  <c r="DN31" i="4"/>
  <c r="DO31" i="4"/>
  <c r="DP31" i="4"/>
  <c r="DQ31" i="4"/>
  <c r="DT31" i="4"/>
  <c r="DU31" i="4"/>
  <c r="DY31" i="4"/>
  <c r="DZ31" i="4"/>
  <c r="EA31" i="4"/>
  <c r="EB31" i="4"/>
  <c r="EC31" i="4"/>
  <c r="ED31" i="4"/>
  <c r="B32" i="4"/>
  <c r="AL32" i="4"/>
  <c r="AM32" i="4"/>
  <c r="AN32" i="4"/>
  <c r="AP32" i="4"/>
  <c r="AQ32" i="4"/>
  <c r="AR32" i="4"/>
  <c r="AT32" i="4"/>
  <c r="AZ32" i="4"/>
  <c r="BE32" i="4"/>
  <c r="BF32" i="4"/>
  <c r="BG32" i="4"/>
  <c r="BI32" i="4"/>
  <c r="BJ32" i="4"/>
  <c r="BK32" i="4" a="1"/>
  <c r="BK32" i="4"/>
  <c r="BL32" i="4"/>
  <c r="BM32" i="4"/>
  <c r="BN32" i="4"/>
  <c r="BO32" i="4"/>
  <c r="BP32" i="4"/>
  <c r="BQ32" i="4"/>
  <c r="BS32" i="4"/>
  <c r="BT32" i="4"/>
  <c r="BU32" i="4" a="1"/>
  <c r="BU32" i="4"/>
  <c r="BV32" i="4"/>
  <c r="BW32" i="4"/>
  <c r="BX32" i="4"/>
  <c r="BY32" i="4"/>
  <c r="BZ32" i="4"/>
  <c r="CA32" i="4"/>
  <c r="CB32" i="4"/>
  <c r="CD32" i="4"/>
  <c r="CE32" i="4"/>
  <c r="CF32" i="4" a="1"/>
  <c r="CF32" i="4"/>
  <c r="CG32" i="4"/>
  <c r="CH32" i="4"/>
  <c r="CI32" i="4"/>
  <c r="CJ32" i="4"/>
  <c r="CK32" i="4"/>
  <c r="CL32" i="4"/>
  <c r="CM32" i="4"/>
  <c r="CN32" i="4"/>
  <c r="CP32" i="4"/>
  <c r="CQ32" i="4"/>
  <c r="CR32" i="4" a="1"/>
  <c r="CR32" i="4"/>
  <c r="CS32" i="4"/>
  <c r="CT32" i="4"/>
  <c r="CU32" i="4"/>
  <c r="CV32" i="4"/>
  <c r="CW32" i="4"/>
  <c r="CX32" i="4"/>
  <c r="CY32" i="4"/>
  <c r="CZ32" i="4"/>
  <c r="DB32" i="4"/>
  <c r="DC32" i="4"/>
  <c r="DE32" i="4"/>
  <c r="DF32" i="4"/>
  <c r="DG32" i="4"/>
  <c r="DL32" i="4"/>
  <c r="DM32" i="4"/>
  <c r="DN32" i="4"/>
  <c r="DO32" i="4"/>
  <c r="DP32" i="4"/>
  <c r="DQ32" i="4"/>
  <c r="DT32" i="4"/>
  <c r="DU32" i="4"/>
  <c r="DY32" i="4"/>
  <c r="DZ32" i="4"/>
  <c r="EA32" i="4"/>
  <c r="EB32" i="4"/>
  <c r="EC32" i="4"/>
  <c r="ED32" i="4"/>
  <c r="B33" i="4"/>
  <c r="AL33" i="4"/>
  <c r="AM33" i="4"/>
  <c r="AN33" i="4"/>
  <c r="AP33" i="4"/>
  <c r="AQ33" i="4"/>
  <c r="AR33" i="4"/>
  <c r="AT33" i="4"/>
  <c r="AZ33" i="4"/>
  <c r="BE33" i="4"/>
  <c r="BF33" i="4"/>
  <c r="BG33" i="4"/>
  <c r="BI33" i="4"/>
  <c r="BJ33" i="4"/>
  <c r="BK33" i="4" a="1"/>
  <c r="BK33" i="4"/>
  <c r="BL33" i="4"/>
  <c r="BM33" i="4"/>
  <c r="BN33" i="4"/>
  <c r="BO33" i="4"/>
  <c r="BP33" i="4"/>
  <c r="BQ33" i="4"/>
  <c r="BS33" i="4"/>
  <c r="BT33" i="4"/>
  <c r="BU33" i="4" a="1"/>
  <c r="BU33" i="4"/>
  <c r="BV33" i="4"/>
  <c r="BW33" i="4"/>
  <c r="BX33" i="4"/>
  <c r="BY33" i="4"/>
  <c r="BZ33" i="4"/>
  <c r="CA33" i="4"/>
  <c r="CB33" i="4"/>
  <c r="CD33" i="4"/>
  <c r="CE33" i="4"/>
  <c r="CF33" i="4" a="1"/>
  <c r="CF33" i="4"/>
  <c r="CG33" i="4"/>
  <c r="CH33" i="4"/>
  <c r="CI33" i="4"/>
  <c r="CJ33" i="4"/>
  <c r="CK33" i="4"/>
  <c r="CL33" i="4"/>
  <c r="CM33" i="4"/>
  <c r="CN33" i="4"/>
  <c r="CP33" i="4"/>
  <c r="CQ33" i="4"/>
  <c r="CR33" i="4" a="1"/>
  <c r="CR33" i="4"/>
  <c r="CS33" i="4"/>
  <c r="CT33" i="4"/>
  <c r="CU33" i="4"/>
  <c r="CV33" i="4"/>
  <c r="CW33" i="4"/>
  <c r="CX33" i="4"/>
  <c r="CY33" i="4"/>
  <c r="CZ33" i="4"/>
  <c r="DB33" i="4"/>
  <c r="DC33" i="4"/>
  <c r="DE33" i="4"/>
  <c r="DF33" i="4"/>
  <c r="DG33" i="4"/>
  <c r="DL33" i="4"/>
  <c r="DM33" i="4"/>
  <c r="DN33" i="4"/>
  <c r="DO33" i="4"/>
  <c r="DP33" i="4"/>
  <c r="DQ33" i="4"/>
  <c r="DT33" i="4"/>
  <c r="DU33" i="4"/>
  <c r="DY33" i="4"/>
  <c r="DZ33" i="4"/>
  <c r="EA33" i="4"/>
  <c r="EB33" i="4"/>
  <c r="EC33" i="4"/>
  <c r="ED33" i="4"/>
  <c r="B34" i="4"/>
  <c r="AL34" i="4"/>
  <c r="AM34" i="4"/>
  <c r="AN34" i="4"/>
  <c r="AP34" i="4"/>
  <c r="AQ34" i="4"/>
  <c r="AR34" i="4"/>
  <c r="AT34" i="4"/>
  <c r="AZ34" i="4"/>
  <c r="BE34" i="4"/>
  <c r="BF34" i="4"/>
  <c r="BG34" i="4"/>
  <c r="BI34" i="4"/>
  <c r="BJ34" i="4"/>
  <c r="BK34" i="4" a="1"/>
  <c r="BK34" i="4"/>
  <c r="BL34" i="4"/>
  <c r="BM34" i="4"/>
  <c r="BN34" i="4"/>
  <c r="BO34" i="4"/>
  <c r="BP34" i="4"/>
  <c r="BQ34" i="4"/>
  <c r="BS34" i="4"/>
  <c r="BT34" i="4"/>
  <c r="BU34" i="4" a="1"/>
  <c r="BU34" i="4"/>
  <c r="BV34" i="4"/>
  <c r="BW34" i="4"/>
  <c r="BX34" i="4"/>
  <c r="BY34" i="4"/>
  <c r="BZ34" i="4"/>
  <c r="CA34" i="4"/>
  <c r="CB34" i="4"/>
  <c r="CD34" i="4"/>
  <c r="CE34" i="4"/>
  <c r="CF34" i="4" a="1"/>
  <c r="CF34" i="4"/>
  <c r="CG34" i="4"/>
  <c r="CH34" i="4"/>
  <c r="CI34" i="4"/>
  <c r="CJ34" i="4"/>
  <c r="CK34" i="4"/>
  <c r="CL34" i="4"/>
  <c r="CM34" i="4"/>
  <c r="CN34" i="4"/>
  <c r="CP34" i="4"/>
  <c r="CQ34" i="4"/>
  <c r="CR34" i="4" a="1"/>
  <c r="CR34" i="4"/>
  <c r="CS34" i="4"/>
  <c r="CT34" i="4"/>
  <c r="CU34" i="4"/>
  <c r="CV34" i="4"/>
  <c r="CW34" i="4"/>
  <c r="CX34" i="4"/>
  <c r="CY34" i="4"/>
  <c r="CZ34" i="4"/>
  <c r="DB34" i="4"/>
  <c r="DC34" i="4"/>
  <c r="DE34" i="4"/>
  <c r="DF34" i="4"/>
  <c r="DG34" i="4"/>
  <c r="DL34" i="4"/>
  <c r="DM34" i="4"/>
  <c r="DN34" i="4"/>
  <c r="DO34" i="4"/>
  <c r="DP34" i="4"/>
  <c r="DQ34" i="4"/>
  <c r="DT34" i="4"/>
  <c r="DU34" i="4"/>
  <c r="DY34" i="4"/>
  <c r="DZ34" i="4"/>
  <c r="EA34" i="4"/>
  <c r="EB34" i="4"/>
  <c r="EC34" i="4"/>
  <c r="ED34" i="4"/>
  <c r="B35" i="4"/>
  <c r="AL35" i="4"/>
  <c r="AM35" i="4"/>
  <c r="AN35" i="4"/>
  <c r="AP35" i="4"/>
  <c r="AQ35" i="4"/>
  <c r="AR35" i="4"/>
  <c r="AT35" i="4"/>
  <c r="AZ35" i="4"/>
  <c r="BE35" i="4"/>
  <c r="BF35" i="4"/>
  <c r="BG35" i="4"/>
  <c r="BI35" i="4"/>
  <c r="BJ35" i="4"/>
  <c r="BK35" i="4" a="1"/>
  <c r="BK35" i="4"/>
  <c r="BL35" i="4"/>
  <c r="BM35" i="4"/>
  <c r="BN35" i="4"/>
  <c r="BO35" i="4"/>
  <c r="BP35" i="4"/>
  <c r="BQ35" i="4"/>
  <c r="BS35" i="4"/>
  <c r="BT35" i="4"/>
  <c r="BU35" i="4" a="1"/>
  <c r="BU35" i="4"/>
  <c r="BV35" i="4"/>
  <c r="BW35" i="4"/>
  <c r="BX35" i="4"/>
  <c r="BY35" i="4"/>
  <c r="BZ35" i="4"/>
  <c r="CA35" i="4"/>
  <c r="CB35" i="4"/>
  <c r="CD35" i="4"/>
  <c r="CE35" i="4"/>
  <c r="CF35" i="4" a="1"/>
  <c r="CF35" i="4"/>
  <c r="CG35" i="4"/>
  <c r="CH35" i="4"/>
  <c r="CI35" i="4"/>
  <c r="CJ35" i="4"/>
  <c r="CK35" i="4"/>
  <c r="CL35" i="4"/>
  <c r="CM35" i="4"/>
  <c r="CN35" i="4"/>
  <c r="CP35" i="4"/>
  <c r="CQ35" i="4"/>
  <c r="CR35" i="4" a="1"/>
  <c r="CR35" i="4"/>
  <c r="CS35" i="4"/>
  <c r="CT35" i="4"/>
  <c r="CU35" i="4"/>
  <c r="CV35" i="4"/>
  <c r="CW35" i="4"/>
  <c r="CX35" i="4"/>
  <c r="CY35" i="4"/>
  <c r="CZ35" i="4"/>
  <c r="DB35" i="4"/>
  <c r="DC35" i="4"/>
  <c r="DE35" i="4"/>
  <c r="DF35" i="4"/>
  <c r="DG35" i="4"/>
  <c r="DL35" i="4"/>
  <c r="DM35" i="4"/>
  <c r="DN35" i="4"/>
  <c r="DO35" i="4"/>
  <c r="DP35" i="4"/>
  <c r="DQ35" i="4"/>
  <c r="DT35" i="4"/>
  <c r="DU35" i="4"/>
  <c r="DY35" i="4"/>
  <c r="DZ35" i="4"/>
  <c r="EA35" i="4"/>
  <c r="EB35" i="4"/>
  <c r="EC35" i="4"/>
  <c r="ED35" i="4"/>
  <c r="B36" i="4"/>
  <c r="AL36" i="4"/>
  <c r="AM36" i="4"/>
  <c r="AN36" i="4"/>
  <c r="AP36" i="4"/>
  <c r="AQ36" i="4"/>
  <c r="AR36" i="4"/>
  <c r="AT36" i="4"/>
  <c r="AZ36" i="4"/>
  <c r="BE36" i="4"/>
  <c r="BF36" i="4"/>
  <c r="BG36" i="4"/>
  <c r="BI36" i="4"/>
  <c r="BJ36" i="4"/>
  <c r="BK36" i="4" a="1"/>
  <c r="BK36" i="4"/>
  <c r="BL36" i="4"/>
  <c r="BM36" i="4"/>
  <c r="BN36" i="4"/>
  <c r="BO36" i="4"/>
  <c r="BP36" i="4"/>
  <c r="BQ36" i="4"/>
  <c r="BS36" i="4"/>
  <c r="BT36" i="4"/>
  <c r="BU36" i="4" a="1"/>
  <c r="BU36" i="4"/>
  <c r="BV36" i="4"/>
  <c r="BW36" i="4"/>
  <c r="BX36" i="4"/>
  <c r="BY36" i="4"/>
  <c r="BZ36" i="4"/>
  <c r="CA36" i="4"/>
  <c r="CB36" i="4"/>
  <c r="CD36" i="4"/>
  <c r="CE36" i="4"/>
  <c r="CF36" i="4" a="1"/>
  <c r="CF36" i="4"/>
  <c r="CG36" i="4"/>
  <c r="CH36" i="4"/>
  <c r="CI36" i="4"/>
  <c r="CJ36" i="4"/>
  <c r="CK36" i="4"/>
  <c r="CL36" i="4"/>
  <c r="CM36" i="4"/>
  <c r="CN36" i="4"/>
  <c r="CP36" i="4"/>
  <c r="CQ36" i="4"/>
  <c r="CR36" i="4" a="1"/>
  <c r="CR36" i="4"/>
  <c r="CS36" i="4"/>
  <c r="CT36" i="4"/>
  <c r="CU36" i="4"/>
  <c r="CV36" i="4"/>
  <c r="CW36" i="4"/>
  <c r="CX36" i="4"/>
  <c r="CY36" i="4"/>
  <c r="CZ36" i="4"/>
  <c r="DB36" i="4"/>
  <c r="DC36" i="4"/>
  <c r="DE36" i="4"/>
  <c r="DF36" i="4"/>
  <c r="DG36" i="4"/>
  <c r="DL36" i="4"/>
  <c r="DM36" i="4"/>
  <c r="DN36" i="4"/>
  <c r="DO36" i="4"/>
  <c r="DP36" i="4"/>
  <c r="DQ36" i="4"/>
  <c r="DT36" i="4"/>
  <c r="DU36" i="4"/>
  <c r="DY36" i="4"/>
  <c r="DZ36" i="4"/>
  <c r="EA36" i="4"/>
  <c r="EB36" i="4"/>
  <c r="EC36" i="4"/>
  <c r="ED36" i="4"/>
  <c r="B37" i="4"/>
  <c r="AL37" i="4"/>
  <c r="AM37" i="4"/>
  <c r="AN37" i="4"/>
  <c r="AP37" i="4"/>
  <c r="AQ37" i="4"/>
  <c r="AR37" i="4"/>
  <c r="AT37" i="4"/>
  <c r="AZ37" i="4"/>
  <c r="BI37" i="4"/>
  <c r="BJ37" i="4"/>
  <c r="BK37" i="4" a="1"/>
  <c r="BK37" i="4"/>
  <c r="BL37" i="4"/>
  <c r="BM37" i="4"/>
  <c r="BN37" i="4"/>
  <c r="BO37" i="4"/>
  <c r="BP37" i="4"/>
  <c r="BQ37" i="4"/>
  <c r="BS37" i="4"/>
  <c r="BT37" i="4"/>
  <c r="BU37" i="4" a="1"/>
  <c r="BU37" i="4"/>
  <c r="BV37" i="4"/>
  <c r="BW37" i="4"/>
  <c r="BX37" i="4"/>
  <c r="BY37" i="4"/>
  <c r="BZ37" i="4"/>
  <c r="CA37" i="4"/>
  <c r="CB37" i="4"/>
  <c r="CD37" i="4"/>
  <c r="CE37" i="4"/>
  <c r="CF37" i="4" a="1"/>
  <c r="CF37" i="4"/>
  <c r="CG37" i="4"/>
  <c r="CH37" i="4"/>
  <c r="CI37" i="4"/>
  <c r="CJ37" i="4"/>
  <c r="CK37" i="4"/>
  <c r="CL37" i="4"/>
  <c r="CM37" i="4"/>
  <c r="CN37" i="4"/>
  <c r="CP37" i="4"/>
  <c r="CQ37" i="4"/>
  <c r="CR37" i="4" a="1"/>
  <c r="CR37" i="4"/>
  <c r="CS37" i="4"/>
  <c r="CT37" i="4"/>
  <c r="CU37" i="4"/>
  <c r="CV37" i="4"/>
  <c r="CW37" i="4"/>
  <c r="CX37" i="4"/>
  <c r="CY37" i="4"/>
  <c r="CZ37" i="4"/>
  <c r="DB37" i="4"/>
  <c r="DC37" i="4"/>
  <c r="DE37" i="4"/>
  <c r="DF37" i="4"/>
  <c r="DG37" i="4"/>
  <c r="DL37" i="4"/>
  <c r="DM37" i="4"/>
  <c r="DN37" i="4"/>
  <c r="DO37" i="4"/>
  <c r="DP37" i="4"/>
  <c r="DQ37" i="4"/>
  <c r="DT37" i="4"/>
  <c r="DU37" i="4"/>
  <c r="DY37" i="4"/>
  <c r="DZ37" i="4"/>
  <c r="EA37" i="4"/>
  <c r="EB37" i="4"/>
  <c r="EC37" i="4"/>
  <c r="ED37" i="4"/>
  <c r="B38" i="4"/>
  <c r="AL38" i="4"/>
  <c r="AM38" i="4"/>
  <c r="AN38" i="4"/>
  <c r="AP38" i="4"/>
  <c r="AQ38" i="4"/>
  <c r="AR38" i="4"/>
  <c r="AT38" i="4"/>
  <c r="AZ38" i="4"/>
  <c r="BI38" i="4"/>
  <c r="BJ38" i="4"/>
  <c r="BK38" i="4" a="1"/>
  <c r="BK38" i="4"/>
  <c r="BL38" i="4"/>
  <c r="BM38" i="4"/>
  <c r="BN38" i="4"/>
  <c r="BO38" i="4"/>
  <c r="BP38" i="4"/>
  <c r="BQ38" i="4"/>
  <c r="BS38" i="4"/>
  <c r="BT38" i="4"/>
  <c r="BU38" i="4" a="1"/>
  <c r="BU38" i="4"/>
  <c r="BV38" i="4"/>
  <c r="BW38" i="4"/>
  <c r="BX38" i="4"/>
  <c r="BY38" i="4"/>
  <c r="BZ38" i="4"/>
  <c r="CA38" i="4"/>
  <c r="CB38" i="4"/>
  <c r="CD38" i="4"/>
  <c r="CE38" i="4"/>
  <c r="CF38" i="4" a="1"/>
  <c r="CF38" i="4"/>
  <c r="CG38" i="4"/>
  <c r="CH38" i="4"/>
  <c r="CI38" i="4"/>
  <c r="CJ38" i="4"/>
  <c r="CK38" i="4"/>
  <c r="CL38" i="4"/>
  <c r="CM38" i="4"/>
  <c r="CN38" i="4"/>
  <c r="CP38" i="4"/>
  <c r="CQ38" i="4"/>
  <c r="CR38" i="4" a="1"/>
  <c r="CR38" i="4"/>
  <c r="CS38" i="4"/>
  <c r="CT38" i="4"/>
  <c r="CU38" i="4"/>
  <c r="CV38" i="4"/>
  <c r="CW38" i="4"/>
  <c r="CX38" i="4"/>
  <c r="CY38" i="4"/>
  <c r="CZ38" i="4"/>
  <c r="DB38" i="4"/>
  <c r="DC38" i="4"/>
  <c r="DE38" i="4"/>
  <c r="DF38" i="4"/>
  <c r="DG38" i="4"/>
  <c r="DL38" i="4"/>
  <c r="DM38" i="4"/>
  <c r="DN38" i="4"/>
  <c r="DO38" i="4"/>
  <c r="DP38" i="4"/>
  <c r="DQ38" i="4"/>
  <c r="DT38" i="4"/>
  <c r="DU38" i="4"/>
  <c r="DY38" i="4"/>
  <c r="DZ38" i="4"/>
  <c r="EA38" i="4"/>
  <c r="EB38" i="4"/>
  <c r="EC38" i="4"/>
  <c r="ED38" i="4"/>
  <c r="B39" i="4"/>
  <c r="AL39" i="4"/>
  <c r="AM39" i="4"/>
  <c r="AN39" i="4"/>
  <c r="AP39" i="4"/>
  <c r="AQ39" i="4"/>
  <c r="AR39" i="4"/>
  <c r="AT39" i="4"/>
  <c r="AZ39" i="4"/>
  <c r="BE39" i="4"/>
  <c r="BI39" i="4"/>
  <c r="BJ39" i="4"/>
  <c r="BK39" i="4" a="1"/>
  <c r="BK39" i="4"/>
  <c r="BL39" i="4"/>
  <c r="BM39" i="4"/>
  <c r="BN39" i="4"/>
  <c r="BO39" i="4"/>
  <c r="BP39" i="4"/>
  <c r="BQ39" i="4"/>
  <c r="BS39" i="4"/>
  <c r="BT39" i="4"/>
  <c r="BU39" i="4" a="1"/>
  <c r="BU39" i="4"/>
  <c r="BV39" i="4"/>
  <c r="BW39" i="4"/>
  <c r="BX39" i="4"/>
  <c r="BY39" i="4"/>
  <c r="BZ39" i="4"/>
  <c r="CA39" i="4"/>
  <c r="CB39" i="4"/>
  <c r="CD39" i="4"/>
  <c r="CE39" i="4"/>
  <c r="CF39" i="4" a="1"/>
  <c r="CF39" i="4"/>
  <c r="CG39" i="4"/>
  <c r="CH39" i="4"/>
  <c r="CI39" i="4"/>
  <c r="CJ39" i="4"/>
  <c r="CK39" i="4"/>
  <c r="CL39" i="4"/>
  <c r="CM39" i="4"/>
  <c r="CN39" i="4"/>
  <c r="CP39" i="4"/>
  <c r="CQ39" i="4"/>
  <c r="CR39" i="4" a="1"/>
  <c r="CR39" i="4"/>
  <c r="CS39" i="4"/>
  <c r="CT39" i="4"/>
  <c r="CU39" i="4"/>
  <c r="CV39" i="4"/>
  <c r="CW39" i="4"/>
  <c r="CX39" i="4"/>
  <c r="CY39" i="4"/>
  <c r="CZ39" i="4"/>
  <c r="DB39" i="4"/>
  <c r="DC39" i="4"/>
  <c r="DE39" i="4"/>
  <c r="DF39" i="4"/>
  <c r="DG39" i="4"/>
  <c r="DL39" i="4"/>
  <c r="DM39" i="4"/>
  <c r="DN39" i="4"/>
  <c r="DO39" i="4"/>
  <c r="DP39" i="4"/>
  <c r="DQ39" i="4"/>
  <c r="DT39" i="4"/>
  <c r="DU39" i="4"/>
  <c r="DY39" i="4"/>
  <c r="DZ39" i="4"/>
  <c r="EA39" i="4"/>
  <c r="EB39" i="4"/>
  <c r="EC39" i="4"/>
  <c r="ED39" i="4"/>
  <c r="B40" i="4"/>
  <c r="AL40" i="4"/>
  <c r="AM40" i="4"/>
  <c r="AN40" i="4"/>
  <c r="AP40" i="4"/>
  <c r="AQ40" i="4"/>
  <c r="AR40" i="4"/>
  <c r="AT40" i="4"/>
  <c r="AZ40" i="4"/>
  <c r="BE40" i="4"/>
  <c r="BI40" i="4"/>
  <c r="BJ40" i="4"/>
  <c r="BK40" i="4" a="1"/>
  <c r="BK40" i="4"/>
  <c r="BL40" i="4"/>
  <c r="BM40" i="4"/>
  <c r="BN40" i="4"/>
  <c r="BO40" i="4"/>
  <c r="BP40" i="4"/>
  <c r="BQ40" i="4"/>
  <c r="BS40" i="4"/>
  <c r="BT40" i="4"/>
  <c r="BU40" i="4" a="1"/>
  <c r="BU40" i="4"/>
  <c r="BV40" i="4"/>
  <c r="BW40" i="4"/>
  <c r="BX40" i="4"/>
  <c r="BY40" i="4"/>
  <c r="BZ40" i="4"/>
  <c r="CA40" i="4"/>
  <c r="CB40" i="4"/>
  <c r="CD40" i="4"/>
  <c r="CE40" i="4"/>
  <c r="CF40" i="4" a="1"/>
  <c r="CF40" i="4"/>
  <c r="CG40" i="4"/>
  <c r="CH40" i="4"/>
  <c r="CI40" i="4"/>
  <c r="CJ40" i="4"/>
  <c r="CK40" i="4"/>
  <c r="CL40" i="4"/>
  <c r="CM40" i="4"/>
  <c r="CN40" i="4"/>
  <c r="CP40" i="4"/>
  <c r="CQ40" i="4"/>
  <c r="CR40" i="4" a="1"/>
  <c r="CR40" i="4"/>
  <c r="CS40" i="4"/>
  <c r="CT40" i="4"/>
  <c r="CU40" i="4"/>
  <c r="CV40" i="4"/>
  <c r="CW40" i="4"/>
  <c r="CX40" i="4"/>
  <c r="CY40" i="4"/>
  <c r="CZ40" i="4"/>
  <c r="DB40" i="4"/>
  <c r="DC40" i="4"/>
  <c r="DE40" i="4"/>
  <c r="DF40" i="4"/>
  <c r="DG40" i="4"/>
  <c r="DL40" i="4"/>
  <c r="DM40" i="4"/>
  <c r="DN40" i="4"/>
  <c r="DO40" i="4"/>
  <c r="DP40" i="4"/>
  <c r="DQ40" i="4"/>
  <c r="DT40" i="4"/>
  <c r="DU40" i="4"/>
  <c r="DY40" i="4"/>
  <c r="DZ40" i="4"/>
  <c r="EA40" i="4"/>
  <c r="EB40" i="4"/>
  <c r="EC40" i="4"/>
  <c r="ED40" i="4"/>
  <c r="B41" i="4"/>
  <c r="AL41" i="4"/>
  <c r="AM41" i="4"/>
  <c r="AN41" i="4"/>
  <c r="AP41" i="4"/>
  <c r="AQ41" i="4"/>
  <c r="AR41" i="4"/>
  <c r="AT41" i="4"/>
  <c r="AZ41" i="4"/>
  <c r="BE41" i="4"/>
  <c r="BI41" i="4"/>
  <c r="BJ41" i="4"/>
  <c r="BK41" i="4" a="1"/>
  <c r="BK41" i="4"/>
  <c r="BL41" i="4"/>
  <c r="BM41" i="4"/>
  <c r="BN41" i="4"/>
  <c r="BO41" i="4"/>
  <c r="BP41" i="4"/>
  <c r="BQ41" i="4"/>
  <c r="BS41" i="4"/>
  <c r="BT41" i="4"/>
  <c r="BU41" i="4" a="1"/>
  <c r="BU41" i="4"/>
  <c r="BV41" i="4"/>
  <c r="BW41" i="4"/>
  <c r="BX41" i="4"/>
  <c r="BY41" i="4"/>
  <c r="BZ41" i="4"/>
  <c r="CA41" i="4"/>
  <c r="CB41" i="4"/>
  <c r="CD41" i="4"/>
  <c r="CE41" i="4"/>
  <c r="CF41" i="4" a="1"/>
  <c r="CF41" i="4"/>
  <c r="CG41" i="4"/>
  <c r="CH41" i="4"/>
  <c r="CI41" i="4"/>
  <c r="CJ41" i="4"/>
  <c r="CK41" i="4"/>
  <c r="CL41" i="4"/>
  <c r="CM41" i="4"/>
  <c r="CN41" i="4"/>
  <c r="CP41" i="4"/>
  <c r="CQ41" i="4"/>
  <c r="CR41" i="4" a="1"/>
  <c r="CR41" i="4"/>
  <c r="CS41" i="4"/>
  <c r="CT41" i="4"/>
  <c r="CU41" i="4"/>
  <c r="CV41" i="4"/>
  <c r="CW41" i="4"/>
  <c r="CX41" i="4"/>
  <c r="CY41" i="4"/>
  <c r="CZ41" i="4"/>
  <c r="DB41" i="4"/>
  <c r="DC41" i="4"/>
  <c r="DE41" i="4"/>
  <c r="DF41" i="4"/>
  <c r="DG41" i="4"/>
  <c r="DL41" i="4"/>
  <c r="DM41" i="4"/>
  <c r="DN41" i="4"/>
  <c r="DO41" i="4"/>
  <c r="DP41" i="4"/>
  <c r="DQ41" i="4"/>
  <c r="DT41" i="4"/>
  <c r="DU41" i="4"/>
  <c r="DY41" i="4"/>
  <c r="DZ41" i="4"/>
  <c r="EA41" i="4"/>
  <c r="EB41" i="4"/>
  <c r="EC41" i="4"/>
  <c r="ED41" i="4"/>
  <c r="B42" i="4"/>
  <c r="AL42" i="4"/>
  <c r="AM42" i="4"/>
  <c r="AN42" i="4"/>
  <c r="AP42" i="4"/>
  <c r="AQ42" i="4"/>
  <c r="AR42" i="4"/>
  <c r="AT42" i="4"/>
  <c r="AZ42" i="4"/>
  <c r="BE42" i="4"/>
  <c r="BI42" i="4"/>
  <c r="BJ42" i="4"/>
  <c r="BK42" i="4" a="1"/>
  <c r="BK42" i="4"/>
  <c r="BL42" i="4"/>
  <c r="BM42" i="4"/>
  <c r="BN42" i="4"/>
  <c r="BO42" i="4"/>
  <c r="BP42" i="4"/>
  <c r="BQ42" i="4"/>
  <c r="BS42" i="4"/>
  <c r="BT42" i="4"/>
  <c r="BU42" i="4" a="1"/>
  <c r="BU42" i="4"/>
  <c r="BV42" i="4"/>
  <c r="BW42" i="4"/>
  <c r="BX42" i="4"/>
  <c r="BY42" i="4"/>
  <c r="BZ42" i="4"/>
  <c r="CA42" i="4"/>
  <c r="CB42" i="4"/>
  <c r="CD42" i="4"/>
  <c r="CE42" i="4"/>
  <c r="CF42" i="4" a="1"/>
  <c r="CF42" i="4"/>
  <c r="CG42" i="4"/>
  <c r="CH42" i="4"/>
  <c r="CI42" i="4"/>
  <c r="CJ42" i="4"/>
  <c r="CK42" i="4"/>
  <c r="CL42" i="4"/>
  <c r="CM42" i="4"/>
  <c r="CN42" i="4"/>
  <c r="CP42" i="4"/>
  <c r="CQ42" i="4"/>
  <c r="CR42" i="4" a="1"/>
  <c r="CR42" i="4"/>
  <c r="CS42" i="4"/>
  <c r="CT42" i="4"/>
  <c r="CU42" i="4"/>
  <c r="CV42" i="4"/>
  <c r="CW42" i="4"/>
  <c r="CX42" i="4"/>
  <c r="CY42" i="4"/>
  <c r="CZ42" i="4"/>
  <c r="DB42" i="4"/>
  <c r="DC42" i="4"/>
  <c r="DE42" i="4"/>
  <c r="DF42" i="4"/>
  <c r="DG42" i="4"/>
  <c r="DL42" i="4"/>
  <c r="DM42" i="4"/>
  <c r="DN42" i="4"/>
  <c r="DO42" i="4"/>
  <c r="DP42" i="4"/>
  <c r="DQ42" i="4"/>
  <c r="DT42" i="4"/>
  <c r="DU42" i="4"/>
  <c r="DY42" i="4"/>
  <c r="DZ42" i="4"/>
  <c r="EA42" i="4"/>
  <c r="EB42" i="4"/>
  <c r="EC42" i="4"/>
  <c r="ED42" i="4"/>
  <c r="B43" i="4"/>
  <c r="AL43" i="4"/>
  <c r="AM43" i="4"/>
  <c r="AN43" i="4"/>
  <c r="AP43" i="4"/>
  <c r="AQ43" i="4"/>
  <c r="AR43" i="4"/>
  <c r="AT43" i="4"/>
  <c r="AZ43" i="4"/>
  <c r="BE43" i="4"/>
  <c r="BI43" i="4"/>
  <c r="BJ43" i="4"/>
  <c r="BK43" i="4" a="1"/>
  <c r="BK43" i="4"/>
  <c r="BL43" i="4"/>
  <c r="BM43" i="4"/>
  <c r="BN43" i="4"/>
  <c r="BO43" i="4"/>
  <c r="BP43" i="4"/>
  <c r="BQ43" i="4"/>
  <c r="BS43" i="4"/>
  <c r="BT43" i="4"/>
  <c r="BU43" i="4" a="1"/>
  <c r="BU43" i="4"/>
  <c r="BV43" i="4"/>
  <c r="BW43" i="4"/>
  <c r="BX43" i="4"/>
  <c r="BY43" i="4"/>
  <c r="BZ43" i="4"/>
  <c r="CA43" i="4"/>
  <c r="CB43" i="4"/>
  <c r="CD43" i="4"/>
  <c r="CE43" i="4"/>
  <c r="CF43" i="4" a="1"/>
  <c r="CF43" i="4"/>
  <c r="CG43" i="4"/>
  <c r="CH43" i="4"/>
  <c r="CI43" i="4"/>
  <c r="CJ43" i="4"/>
  <c r="CK43" i="4"/>
  <c r="CL43" i="4"/>
  <c r="CM43" i="4"/>
  <c r="CN43" i="4"/>
  <c r="CP43" i="4"/>
  <c r="CQ43" i="4"/>
  <c r="CR43" i="4" a="1"/>
  <c r="CR43" i="4"/>
  <c r="CS43" i="4"/>
  <c r="CT43" i="4"/>
  <c r="CU43" i="4"/>
  <c r="CV43" i="4"/>
  <c r="CW43" i="4"/>
  <c r="CX43" i="4"/>
  <c r="CY43" i="4"/>
  <c r="CZ43" i="4"/>
  <c r="DB43" i="4"/>
  <c r="DC43" i="4"/>
  <c r="DE43" i="4"/>
  <c r="DF43" i="4"/>
  <c r="DG43" i="4"/>
  <c r="DL43" i="4"/>
  <c r="DM43" i="4"/>
  <c r="DN43" i="4"/>
  <c r="DO43" i="4"/>
  <c r="DP43" i="4"/>
  <c r="DQ43" i="4"/>
  <c r="DT43" i="4"/>
  <c r="DU43" i="4"/>
  <c r="DY43" i="4"/>
  <c r="DZ43" i="4"/>
  <c r="EA43" i="4"/>
  <c r="EB43" i="4"/>
  <c r="EC43" i="4"/>
  <c r="ED43" i="4"/>
  <c r="B44" i="4"/>
  <c r="AL44" i="4"/>
  <c r="AM44" i="4"/>
  <c r="AN44" i="4"/>
  <c r="AP44" i="4"/>
  <c r="AQ44" i="4"/>
  <c r="AR44" i="4"/>
  <c r="AT44" i="4"/>
  <c r="AZ44" i="4"/>
  <c r="BD44" i="4"/>
  <c r="BE44" i="4"/>
  <c r="BI44" i="4"/>
  <c r="BJ44" i="4"/>
  <c r="BK44" i="4" a="1"/>
  <c r="BK44" i="4"/>
  <c r="BL44" i="4"/>
  <c r="BM44" i="4"/>
  <c r="BN44" i="4"/>
  <c r="BO44" i="4"/>
  <c r="BP44" i="4"/>
  <c r="BQ44" i="4"/>
  <c r="BS44" i="4"/>
  <c r="BT44" i="4"/>
  <c r="BU44" i="4" a="1"/>
  <c r="BU44" i="4"/>
  <c r="BV44" i="4"/>
  <c r="BW44" i="4"/>
  <c r="BX44" i="4"/>
  <c r="BY44" i="4"/>
  <c r="BZ44" i="4"/>
  <c r="CA44" i="4"/>
  <c r="CB44" i="4"/>
  <c r="CD44" i="4"/>
  <c r="CE44" i="4"/>
  <c r="CF44" i="4" a="1"/>
  <c r="CF44" i="4"/>
  <c r="CG44" i="4"/>
  <c r="CH44" i="4"/>
  <c r="CI44" i="4"/>
  <c r="CJ44" i="4"/>
  <c r="CK44" i="4"/>
  <c r="CL44" i="4"/>
  <c r="CM44" i="4"/>
  <c r="CN44" i="4"/>
  <c r="CP44" i="4"/>
  <c r="CQ44" i="4"/>
  <c r="CR44" i="4" a="1"/>
  <c r="CR44" i="4"/>
  <c r="CS44" i="4"/>
  <c r="CT44" i="4"/>
  <c r="CU44" i="4"/>
  <c r="CV44" i="4"/>
  <c r="CW44" i="4"/>
  <c r="CX44" i="4"/>
  <c r="CY44" i="4"/>
  <c r="CZ44" i="4"/>
  <c r="DB44" i="4"/>
  <c r="DC44" i="4"/>
  <c r="DE44" i="4"/>
  <c r="DF44" i="4"/>
  <c r="DG44" i="4"/>
  <c r="DL44" i="4"/>
  <c r="DM44" i="4"/>
  <c r="DN44" i="4"/>
  <c r="DO44" i="4"/>
  <c r="DP44" i="4"/>
  <c r="DQ44" i="4"/>
  <c r="DT44" i="4"/>
  <c r="DU44" i="4"/>
  <c r="DY44" i="4"/>
  <c r="DZ44" i="4"/>
  <c r="EA44" i="4"/>
  <c r="EB44" i="4"/>
  <c r="EC44" i="4"/>
  <c r="ED44" i="4"/>
  <c r="B45" i="4"/>
  <c r="AL45" i="4"/>
  <c r="AM45" i="4"/>
  <c r="AN45" i="4"/>
  <c r="AP45" i="4"/>
  <c r="AQ45" i="4"/>
  <c r="AR45" i="4"/>
  <c r="AT45" i="4"/>
  <c r="AZ45" i="4"/>
  <c r="BI45" i="4"/>
  <c r="BJ45" i="4"/>
  <c r="BK45" i="4" a="1"/>
  <c r="BK45" i="4"/>
  <c r="BL45" i="4"/>
  <c r="BM45" i="4"/>
  <c r="BN45" i="4"/>
  <c r="BO45" i="4"/>
  <c r="BP45" i="4"/>
  <c r="BQ45" i="4"/>
  <c r="BS45" i="4"/>
  <c r="BT45" i="4"/>
  <c r="BU45" i="4" a="1"/>
  <c r="BU45" i="4"/>
  <c r="BV45" i="4"/>
  <c r="BW45" i="4"/>
  <c r="BX45" i="4"/>
  <c r="BY45" i="4"/>
  <c r="BZ45" i="4"/>
  <c r="CA45" i="4"/>
  <c r="CB45" i="4"/>
  <c r="CD45" i="4"/>
  <c r="CE45" i="4"/>
  <c r="CF45" i="4" a="1"/>
  <c r="CF45" i="4"/>
  <c r="CG45" i="4"/>
  <c r="CH45" i="4"/>
  <c r="CI45" i="4"/>
  <c r="CJ45" i="4"/>
  <c r="CK45" i="4"/>
  <c r="CL45" i="4"/>
  <c r="CM45" i="4"/>
  <c r="CN45" i="4"/>
  <c r="CP45" i="4"/>
  <c r="CQ45" i="4"/>
  <c r="CR45" i="4" a="1"/>
  <c r="CR45" i="4"/>
  <c r="CS45" i="4"/>
  <c r="CT45" i="4"/>
  <c r="CU45" i="4"/>
  <c r="CV45" i="4"/>
  <c r="CW45" i="4"/>
  <c r="CX45" i="4"/>
  <c r="CY45" i="4"/>
  <c r="CZ45" i="4"/>
  <c r="DB45" i="4"/>
  <c r="DC45" i="4"/>
  <c r="DE45" i="4"/>
  <c r="DF45" i="4"/>
  <c r="DG45" i="4"/>
  <c r="DL45" i="4"/>
  <c r="DM45" i="4"/>
  <c r="DN45" i="4"/>
  <c r="DO45" i="4"/>
  <c r="DP45" i="4"/>
  <c r="DQ45" i="4"/>
  <c r="DT45" i="4"/>
  <c r="DU45" i="4"/>
  <c r="DY45" i="4"/>
  <c r="DZ45" i="4"/>
  <c r="EA45" i="4"/>
  <c r="EB45" i="4"/>
  <c r="EC45" i="4"/>
  <c r="ED45" i="4"/>
  <c r="B46" i="4"/>
  <c r="AL46" i="4"/>
  <c r="AM46" i="4"/>
  <c r="AN46" i="4"/>
  <c r="AP46" i="4"/>
  <c r="AQ46" i="4"/>
  <c r="AR46" i="4"/>
  <c r="AT46" i="4"/>
  <c r="AZ46" i="4"/>
  <c r="BI46" i="4"/>
  <c r="BJ46" i="4"/>
  <c r="BK46" i="4" a="1"/>
  <c r="BK46" i="4"/>
  <c r="BL46" i="4"/>
  <c r="BM46" i="4"/>
  <c r="BN46" i="4"/>
  <c r="BO46" i="4"/>
  <c r="BP46" i="4"/>
  <c r="BQ46" i="4"/>
  <c r="BS46" i="4"/>
  <c r="BT46" i="4"/>
  <c r="BU46" i="4" a="1"/>
  <c r="BU46" i="4"/>
  <c r="BV46" i="4"/>
  <c r="BW46" i="4"/>
  <c r="BX46" i="4"/>
  <c r="BY46" i="4"/>
  <c r="BZ46" i="4"/>
  <c r="CA46" i="4"/>
  <c r="CB46" i="4"/>
  <c r="CD46" i="4"/>
  <c r="CE46" i="4"/>
  <c r="CF46" i="4" a="1"/>
  <c r="CF46" i="4"/>
  <c r="CG46" i="4"/>
  <c r="CH46" i="4"/>
  <c r="CI46" i="4"/>
  <c r="CJ46" i="4"/>
  <c r="CK46" i="4"/>
  <c r="CL46" i="4"/>
  <c r="CM46" i="4"/>
  <c r="CN46" i="4"/>
  <c r="CP46" i="4"/>
  <c r="CQ46" i="4"/>
  <c r="CR46" i="4" a="1"/>
  <c r="CR46" i="4"/>
  <c r="CS46" i="4"/>
  <c r="CT46" i="4"/>
  <c r="CU46" i="4"/>
  <c r="CV46" i="4"/>
  <c r="CW46" i="4"/>
  <c r="CX46" i="4"/>
  <c r="CY46" i="4"/>
  <c r="CZ46" i="4"/>
  <c r="DB46" i="4"/>
  <c r="DC46" i="4"/>
  <c r="DE46" i="4"/>
  <c r="DF46" i="4"/>
  <c r="DG46" i="4"/>
  <c r="DL46" i="4"/>
  <c r="DM46" i="4"/>
  <c r="DN46" i="4"/>
  <c r="DO46" i="4"/>
  <c r="DP46" i="4"/>
  <c r="DQ46" i="4"/>
  <c r="DT46" i="4"/>
  <c r="DU46" i="4"/>
  <c r="DY46" i="4"/>
  <c r="DZ46" i="4"/>
  <c r="EA46" i="4"/>
  <c r="EB46" i="4"/>
  <c r="EC46" i="4"/>
  <c r="ED46" i="4"/>
  <c r="B47" i="4"/>
  <c r="AL47" i="4"/>
  <c r="AM47" i="4"/>
  <c r="AN47" i="4"/>
  <c r="AP47" i="4"/>
  <c r="AQ47" i="4"/>
  <c r="AR47" i="4"/>
  <c r="AT47" i="4"/>
  <c r="AZ47" i="4"/>
  <c r="BI47" i="4"/>
  <c r="BJ47" i="4"/>
  <c r="BK47" i="4" a="1"/>
  <c r="BK47" i="4"/>
  <c r="BL47" i="4"/>
  <c r="BM47" i="4"/>
  <c r="BN47" i="4"/>
  <c r="BO47" i="4"/>
  <c r="BP47" i="4"/>
  <c r="BQ47" i="4"/>
  <c r="BS47" i="4"/>
  <c r="BT47" i="4"/>
  <c r="BU47" i="4" a="1"/>
  <c r="BU47" i="4"/>
  <c r="BV47" i="4"/>
  <c r="BW47" i="4"/>
  <c r="BX47" i="4"/>
  <c r="BY47" i="4"/>
  <c r="BZ47" i="4"/>
  <c r="CA47" i="4"/>
  <c r="CB47" i="4"/>
  <c r="CD47" i="4"/>
  <c r="CE47" i="4"/>
  <c r="CF47" i="4" a="1"/>
  <c r="CF47" i="4"/>
  <c r="CG47" i="4"/>
  <c r="CH47" i="4"/>
  <c r="CI47" i="4"/>
  <c r="CJ47" i="4"/>
  <c r="CK47" i="4"/>
  <c r="CL47" i="4"/>
  <c r="CM47" i="4"/>
  <c r="CN47" i="4"/>
  <c r="CP47" i="4"/>
  <c r="CQ47" i="4"/>
  <c r="CR47" i="4" a="1"/>
  <c r="CR47" i="4"/>
  <c r="CS47" i="4"/>
  <c r="CT47" i="4"/>
  <c r="CU47" i="4"/>
  <c r="CV47" i="4"/>
  <c r="CW47" i="4"/>
  <c r="CX47" i="4"/>
  <c r="CY47" i="4"/>
  <c r="CZ47" i="4"/>
  <c r="DB47" i="4"/>
  <c r="DC47" i="4"/>
  <c r="DE47" i="4"/>
  <c r="DF47" i="4"/>
  <c r="DG47" i="4"/>
  <c r="DL47" i="4"/>
  <c r="DM47" i="4"/>
  <c r="DN47" i="4"/>
  <c r="DO47" i="4"/>
  <c r="DP47" i="4"/>
  <c r="DQ47" i="4"/>
  <c r="DT47" i="4"/>
  <c r="DU47" i="4"/>
  <c r="DY47" i="4"/>
  <c r="DZ47" i="4"/>
  <c r="EA47" i="4"/>
  <c r="EB47" i="4"/>
  <c r="EC47" i="4"/>
  <c r="ED47" i="4"/>
  <c r="B48" i="4"/>
  <c r="AL48" i="4"/>
  <c r="AM48" i="4"/>
  <c r="AN48" i="4"/>
  <c r="AP48" i="4"/>
  <c r="AQ48" i="4"/>
  <c r="AR48" i="4"/>
  <c r="AT48" i="4"/>
  <c r="AZ48" i="4"/>
  <c r="BI48" i="4"/>
  <c r="BJ48" i="4"/>
  <c r="BK48" i="4" a="1"/>
  <c r="BK48" i="4"/>
  <c r="BL48" i="4"/>
  <c r="BM48" i="4"/>
  <c r="BN48" i="4"/>
  <c r="BO48" i="4"/>
  <c r="BP48" i="4"/>
  <c r="BQ48" i="4"/>
  <c r="BS48" i="4"/>
  <c r="BT48" i="4"/>
  <c r="BU48" i="4" a="1"/>
  <c r="BU48" i="4"/>
  <c r="BV48" i="4"/>
  <c r="BW48" i="4"/>
  <c r="BX48" i="4"/>
  <c r="BY48" i="4"/>
  <c r="BZ48" i="4"/>
  <c r="CA48" i="4"/>
  <c r="CB48" i="4"/>
  <c r="CD48" i="4"/>
  <c r="CE48" i="4"/>
  <c r="CF48" i="4" a="1"/>
  <c r="CF48" i="4"/>
  <c r="CG48" i="4"/>
  <c r="CH48" i="4"/>
  <c r="CI48" i="4"/>
  <c r="CJ48" i="4"/>
  <c r="CK48" i="4"/>
  <c r="CL48" i="4"/>
  <c r="CM48" i="4"/>
  <c r="CN48" i="4"/>
  <c r="CP48" i="4"/>
  <c r="CQ48" i="4"/>
  <c r="CR48" i="4" a="1"/>
  <c r="CR48" i="4"/>
  <c r="CS48" i="4"/>
  <c r="CT48" i="4"/>
  <c r="CU48" i="4"/>
  <c r="CV48" i="4"/>
  <c r="CW48" i="4"/>
  <c r="CX48" i="4"/>
  <c r="CY48" i="4"/>
  <c r="CZ48" i="4"/>
  <c r="DB48" i="4"/>
  <c r="DC48" i="4"/>
  <c r="DE48" i="4"/>
  <c r="DF48" i="4"/>
  <c r="DG48" i="4"/>
  <c r="DL48" i="4"/>
  <c r="DM48" i="4"/>
  <c r="DN48" i="4"/>
  <c r="DO48" i="4"/>
  <c r="DP48" i="4"/>
  <c r="DQ48" i="4"/>
  <c r="DT48" i="4"/>
  <c r="DU48" i="4"/>
  <c r="DY48" i="4"/>
  <c r="DZ48" i="4"/>
  <c r="EA48" i="4"/>
  <c r="EB48" i="4"/>
  <c r="EC48" i="4"/>
  <c r="ED48" i="4"/>
  <c r="B49" i="4"/>
  <c r="AL49" i="4"/>
  <c r="AM49" i="4"/>
  <c r="AN49" i="4"/>
  <c r="AP49" i="4"/>
  <c r="AQ49" i="4"/>
  <c r="AR49" i="4"/>
  <c r="AT49" i="4"/>
  <c r="AZ49" i="4"/>
  <c r="BI49" i="4"/>
  <c r="BJ49" i="4"/>
  <c r="BK49" i="4" a="1"/>
  <c r="BK49" i="4"/>
  <c r="BL49" i="4"/>
  <c r="BM49" i="4"/>
  <c r="BN49" i="4"/>
  <c r="BO49" i="4"/>
  <c r="BP49" i="4"/>
  <c r="BQ49" i="4"/>
  <c r="BS49" i="4"/>
  <c r="BT49" i="4"/>
  <c r="BU49" i="4" a="1"/>
  <c r="BU49" i="4"/>
  <c r="BV49" i="4"/>
  <c r="BW49" i="4"/>
  <c r="BX49" i="4"/>
  <c r="BY49" i="4"/>
  <c r="BZ49" i="4"/>
  <c r="CA49" i="4"/>
  <c r="CB49" i="4"/>
  <c r="CD49" i="4"/>
  <c r="CE49" i="4"/>
  <c r="CF49" i="4" a="1"/>
  <c r="CF49" i="4"/>
  <c r="CG49" i="4"/>
  <c r="CH49" i="4"/>
  <c r="CI49" i="4"/>
  <c r="CJ49" i="4"/>
  <c r="CK49" i="4"/>
  <c r="CL49" i="4"/>
  <c r="CM49" i="4"/>
  <c r="CN49" i="4"/>
  <c r="CP49" i="4"/>
  <c r="CQ49" i="4"/>
  <c r="CR49" i="4" a="1"/>
  <c r="CR49" i="4"/>
  <c r="CS49" i="4"/>
  <c r="CT49" i="4"/>
  <c r="CU49" i="4"/>
  <c r="CV49" i="4"/>
  <c r="CW49" i="4"/>
  <c r="CX49" i="4"/>
  <c r="CY49" i="4"/>
  <c r="CZ49" i="4"/>
  <c r="DB49" i="4"/>
  <c r="DC49" i="4"/>
  <c r="DE49" i="4"/>
  <c r="DF49" i="4"/>
  <c r="DG49" i="4"/>
  <c r="DL49" i="4"/>
  <c r="DM49" i="4"/>
  <c r="DN49" i="4"/>
  <c r="DO49" i="4"/>
  <c r="DP49" i="4"/>
  <c r="DQ49" i="4"/>
  <c r="DT49" i="4"/>
  <c r="DU49" i="4"/>
  <c r="DY49" i="4"/>
  <c r="DZ49" i="4"/>
  <c r="EA49" i="4"/>
  <c r="EB49" i="4"/>
  <c r="EC49" i="4"/>
  <c r="ED49" i="4"/>
  <c r="B50" i="4"/>
  <c r="AL50" i="4"/>
  <c r="AM50" i="4"/>
  <c r="AN50" i="4"/>
  <c r="AP50" i="4"/>
  <c r="AQ50" i="4"/>
  <c r="AR50" i="4"/>
  <c r="AT50" i="4"/>
  <c r="AZ50" i="4"/>
  <c r="BI50" i="4"/>
  <c r="BJ50" i="4"/>
  <c r="BK50" i="4" a="1"/>
  <c r="BK50" i="4"/>
  <c r="BL50" i="4"/>
  <c r="BM50" i="4"/>
  <c r="BN50" i="4"/>
  <c r="BO50" i="4"/>
  <c r="BP50" i="4"/>
  <c r="BQ50" i="4"/>
  <c r="BS50" i="4"/>
  <c r="BT50" i="4"/>
  <c r="BU50" i="4" a="1"/>
  <c r="BU50" i="4"/>
  <c r="BV50" i="4"/>
  <c r="BW50" i="4"/>
  <c r="BX50" i="4"/>
  <c r="BY50" i="4"/>
  <c r="BZ50" i="4"/>
  <c r="CA50" i="4"/>
  <c r="CB50" i="4"/>
  <c r="CD50" i="4"/>
  <c r="CE50" i="4"/>
  <c r="CF50" i="4" a="1"/>
  <c r="CF50" i="4"/>
  <c r="CG50" i="4"/>
  <c r="CH50" i="4"/>
  <c r="CI50" i="4"/>
  <c r="CJ50" i="4"/>
  <c r="CK50" i="4"/>
  <c r="CL50" i="4"/>
  <c r="CM50" i="4"/>
  <c r="CN50" i="4"/>
  <c r="CP50" i="4"/>
  <c r="CQ50" i="4"/>
  <c r="CR50" i="4" a="1"/>
  <c r="CR50" i="4"/>
  <c r="CS50" i="4"/>
  <c r="CT50" i="4"/>
  <c r="CU50" i="4"/>
  <c r="CV50" i="4"/>
  <c r="CW50" i="4"/>
  <c r="CX50" i="4"/>
  <c r="CY50" i="4"/>
  <c r="CZ50" i="4"/>
  <c r="DB50" i="4"/>
  <c r="DC50" i="4"/>
  <c r="DE50" i="4"/>
  <c r="DF50" i="4"/>
  <c r="DG50" i="4"/>
  <c r="DL50" i="4"/>
  <c r="DM50" i="4"/>
  <c r="DN50" i="4"/>
  <c r="DO50" i="4"/>
  <c r="DP50" i="4"/>
  <c r="DQ50" i="4"/>
  <c r="DT50" i="4"/>
  <c r="DU50" i="4"/>
  <c r="DY50" i="4"/>
  <c r="DZ50" i="4"/>
  <c r="EA50" i="4"/>
  <c r="EB50" i="4"/>
  <c r="EC50" i="4"/>
  <c r="ED50" i="4"/>
  <c r="B51" i="4"/>
  <c r="AL51" i="4"/>
  <c r="AM51" i="4"/>
  <c r="AN51" i="4"/>
  <c r="AP51" i="4"/>
  <c r="AQ51" i="4"/>
  <c r="AR51" i="4"/>
  <c r="AT51" i="4"/>
  <c r="AZ51" i="4"/>
  <c r="BI51" i="4"/>
  <c r="BJ51" i="4"/>
  <c r="BK51" i="4" a="1"/>
  <c r="BK51" i="4"/>
  <c r="BL51" i="4"/>
  <c r="BM51" i="4"/>
  <c r="BN51" i="4"/>
  <c r="BO51" i="4"/>
  <c r="BP51" i="4"/>
  <c r="BQ51" i="4"/>
  <c r="BS51" i="4"/>
  <c r="BT51" i="4"/>
  <c r="BU51" i="4" a="1"/>
  <c r="BU51" i="4"/>
  <c r="BV51" i="4"/>
  <c r="BW51" i="4"/>
  <c r="BX51" i="4"/>
  <c r="BY51" i="4"/>
  <c r="BZ51" i="4"/>
  <c r="CA51" i="4"/>
  <c r="CB51" i="4"/>
  <c r="CD51" i="4"/>
  <c r="CE51" i="4"/>
  <c r="CF51" i="4" a="1"/>
  <c r="CF51" i="4"/>
  <c r="CG51" i="4"/>
  <c r="CH51" i="4"/>
  <c r="CI51" i="4"/>
  <c r="CJ51" i="4"/>
  <c r="CK51" i="4"/>
  <c r="CL51" i="4"/>
  <c r="CM51" i="4"/>
  <c r="CN51" i="4"/>
  <c r="CP51" i="4"/>
  <c r="CQ51" i="4"/>
  <c r="CR51" i="4" a="1"/>
  <c r="CR51" i="4"/>
  <c r="CS51" i="4"/>
  <c r="CT51" i="4"/>
  <c r="CU51" i="4"/>
  <c r="CV51" i="4"/>
  <c r="CW51" i="4"/>
  <c r="CX51" i="4"/>
  <c r="CY51" i="4"/>
  <c r="CZ51" i="4"/>
  <c r="DB51" i="4"/>
  <c r="DC51" i="4"/>
  <c r="DE51" i="4"/>
  <c r="DF51" i="4"/>
  <c r="DG51" i="4"/>
  <c r="DL51" i="4"/>
  <c r="DM51" i="4"/>
  <c r="DN51" i="4"/>
  <c r="DO51" i="4"/>
  <c r="DP51" i="4"/>
  <c r="DQ51" i="4"/>
  <c r="DT51" i="4"/>
  <c r="DU51" i="4"/>
  <c r="DY51" i="4"/>
  <c r="DZ51" i="4"/>
  <c r="EA51" i="4"/>
  <c r="EB51" i="4"/>
  <c r="EC51" i="4"/>
  <c r="ED51" i="4"/>
  <c r="B52" i="4"/>
  <c r="AL52" i="4"/>
  <c r="AM52" i="4"/>
  <c r="AN52" i="4"/>
  <c r="AP52" i="4"/>
  <c r="AQ52" i="4"/>
  <c r="AR52" i="4"/>
  <c r="AT52" i="4"/>
  <c r="AZ52" i="4"/>
  <c r="BI52" i="4"/>
  <c r="BJ52" i="4"/>
  <c r="BK52" i="4" a="1"/>
  <c r="BK52" i="4"/>
  <c r="BL52" i="4"/>
  <c r="BM52" i="4"/>
  <c r="BN52" i="4"/>
  <c r="BO52" i="4"/>
  <c r="BP52" i="4"/>
  <c r="BQ52" i="4"/>
  <c r="BS52" i="4"/>
  <c r="BT52" i="4"/>
  <c r="BU52" i="4" a="1"/>
  <c r="BU52" i="4"/>
  <c r="BV52" i="4"/>
  <c r="BW52" i="4"/>
  <c r="BX52" i="4"/>
  <c r="BY52" i="4"/>
  <c r="BZ52" i="4"/>
  <c r="CA52" i="4"/>
  <c r="CB52" i="4"/>
  <c r="CD52" i="4"/>
  <c r="CE52" i="4"/>
  <c r="CF52" i="4" a="1"/>
  <c r="CF52" i="4"/>
  <c r="CG52" i="4"/>
  <c r="CH52" i="4"/>
  <c r="CI52" i="4"/>
  <c r="CJ52" i="4"/>
  <c r="CK52" i="4"/>
  <c r="CL52" i="4"/>
  <c r="CM52" i="4"/>
  <c r="CN52" i="4"/>
  <c r="CP52" i="4"/>
  <c r="CQ52" i="4"/>
  <c r="CR52" i="4" a="1"/>
  <c r="CR52" i="4"/>
  <c r="CS52" i="4"/>
  <c r="CT52" i="4"/>
  <c r="CU52" i="4"/>
  <c r="CV52" i="4"/>
  <c r="CW52" i="4"/>
  <c r="CX52" i="4"/>
  <c r="CY52" i="4"/>
  <c r="CZ52" i="4"/>
  <c r="DB52" i="4"/>
  <c r="DC52" i="4"/>
  <c r="DE52" i="4"/>
  <c r="DF52" i="4"/>
  <c r="DG52" i="4"/>
  <c r="DL52" i="4"/>
  <c r="DM52" i="4"/>
  <c r="DN52" i="4"/>
  <c r="DO52" i="4"/>
  <c r="DP52" i="4"/>
  <c r="DQ52" i="4"/>
  <c r="DT52" i="4"/>
  <c r="DU52" i="4"/>
  <c r="DY52" i="4"/>
  <c r="DZ52" i="4"/>
  <c r="EA52" i="4"/>
  <c r="EB52" i="4"/>
  <c r="EC52" i="4"/>
  <c r="ED52" i="4"/>
  <c r="B53" i="4"/>
  <c r="AL53" i="4"/>
  <c r="AM53" i="4"/>
  <c r="AN53" i="4"/>
  <c r="AP53" i="4"/>
  <c r="AQ53" i="4"/>
  <c r="AR53" i="4"/>
  <c r="AT53" i="4"/>
  <c r="AZ53" i="4"/>
  <c r="BI53" i="4"/>
  <c r="BJ53" i="4"/>
  <c r="BK53" i="4" a="1"/>
  <c r="BK53" i="4"/>
  <c r="BL53" i="4"/>
  <c r="BM53" i="4"/>
  <c r="BN53" i="4"/>
  <c r="BO53" i="4"/>
  <c r="BP53" i="4"/>
  <c r="BQ53" i="4"/>
  <c r="BS53" i="4"/>
  <c r="BT53" i="4"/>
  <c r="BU53" i="4" a="1"/>
  <c r="BU53" i="4"/>
  <c r="BV53" i="4"/>
  <c r="BW53" i="4"/>
  <c r="BX53" i="4"/>
  <c r="BY53" i="4"/>
  <c r="BZ53" i="4"/>
  <c r="CA53" i="4"/>
  <c r="CB53" i="4"/>
  <c r="CD53" i="4"/>
  <c r="CE53" i="4"/>
  <c r="CF53" i="4" a="1"/>
  <c r="CF53" i="4"/>
  <c r="CG53" i="4"/>
  <c r="CH53" i="4"/>
  <c r="CI53" i="4"/>
  <c r="CJ53" i="4"/>
  <c r="CK53" i="4"/>
  <c r="CL53" i="4"/>
  <c r="CM53" i="4"/>
  <c r="CN53" i="4"/>
  <c r="CP53" i="4"/>
  <c r="CQ53" i="4"/>
  <c r="CR53" i="4" a="1"/>
  <c r="CR53" i="4"/>
  <c r="CS53" i="4"/>
  <c r="CT53" i="4"/>
  <c r="CU53" i="4"/>
  <c r="CV53" i="4"/>
  <c r="CW53" i="4"/>
  <c r="CX53" i="4"/>
  <c r="CY53" i="4"/>
  <c r="CZ53" i="4"/>
  <c r="DB53" i="4"/>
  <c r="DC53" i="4"/>
  <c r="DE53" i="4"/>
  <c r="DF53" i="4"/>
  <c r="DG53" i="4"/>
  <c r="DL53" i="4"/>
  <c r="DM53" i="4"/>
  <c r="DN53" i="4"/>
  <c r="DO53" i="4"/>
  <c r="DP53" i="4"/>
  <c r="DQ53" i="4"/>
  <c r="DT53" i="4"/>
  <c r="DU53" i="4"/>
  <c r="DY53" i="4"/>
  <c r="DZ53" i="4"/>
  <c r="EA53" i="4"/>
  <c r="EB53" i="4"/>
  <c r="EC53" i="4"/>
  <c r="ED53" i="4"/>
  <c r="B54" i="4"/>
  <c r="AL54" i="4"/>
  <c r="AM54" i="4"/>
  <c r="AN54" i="4"/>
  <c r="AP54" i="4"/>
  <c r="AQ54" i="4"/>
  <c r="AR54" i="4"/>
  <c r="AS54" i="4"/>
  <c r="AT54" i="4"/>
  <c r="AZ54" i="4"/>
  <c r="BI54" i="4"/>
  <c r="BJ54" i="4"/>
  <c r="BK54" i="4" a="1"/>
  <c r="BK54" i="4"/>
  <c r="BL54" i="4"/>
  <c r="BM54" i="4"/>
  <c r="BN54" i="4"/>
  <c r="BO54" i="4"/>
  <c r="BP54" i="4"/>
  <c r="BQ54" i="4"/>
  <c r="BS54" i="4"/>
  <c r="BT54" i="4"/>
  <c r="BU54" i="4" a="1"/>
  <c r="BU54" i="4"/>
  <c r="BV54" i="4"/>
  <c r="BW54" i="4"/>
  <c r="BX54" i="4"/>
  <c r="BY54" i="4"/>
  <c r="BZ54" i="4"/>
  <c r="CA54" i="4"/>
  <c r="CB54" i="4"/>
  <c r="CD54" i="4"/>
  <c r="CE54" i="4"/>
  <c r="CG54" i="4"/>
  <c r="CH54" i="4"/>
  <c r="CI54" i="4"/>
  <c r="CJ54" i="4"/>
  <c r="CK54" i="4"/>
  <c r="CL54" i="4"/>
  <c r="CM54" i="4"/>
  <c r="CN54" i="4"/>
  <c r="CP54" i="4"/>
  <c r="CQ54" i="4"/>
  <c r="CS54" i="4"/>
  <c r="CT54" i="4"/>
  <c r="CU54" i="4"/>
  <c r="CV54" i="4"/>
  <c r="CW54" i="4"/>
  <c r="CX54" i="4"/>
  <c r="CY54" i="4"/>
  <c r="CZ54" i="4"/>
  <c r="DB54" i="4"/>
  <c r="DC54" i="4"/>
  <c r="DE54" i="4"/>
  <c r="DF54" i="4"/>
  <c r="DG54" i="4"/>
  <c r="DL54" i="4"/>
  <c r="DM54" i="4"/>
  <c r="DN54" i="4"/>
  <c r="DO54" i="4"/>
  <c r="DP54" i="4"/>
  <c r="DQ54" i="4"/>
  <c r="DT54" i="4"/>
  <c r="DU54" i="4"/>
  <c r="DY54" i="4"/>
  <c r="DZ54" i="4"/>
  <c r="EA54" i="4"/>
  <c r="EB54" i="4"/>
  <c r="EC54" i="4"/>
  <c r="ED54" i="4"/>
  <c r="B55" i="4"/>
  <c r="AL55" i="4"/>
  <c r="AM55" i="4"/>
  <c r="AN55" i="4"/>
  <c r="AP55" i="4"/>
  <c r="AQ55" i="4"/>
  <c r="AR55" i="4"/>
  <c r="AT55" i="4"/>
  <c r="AZ55" i="4"/>
  <c r="BJ55" i="4"/>
  <c r="BL55" i="4"/>
  <c r="BM55" i="4"/>
  <c r="BN55" i="4"/>
  <c r="BP55" i="4"/>
  <c r="BS55" i="4"/>
  <c r="BT55" i="4"/>
  <c r="BV55" i="4"/>
  <c r="BW55" i="4"/>
  <c r="BX55" i="4"/>
  <c r="BY55" i="4"/>
  <c r="BZ55" i="4"/>
  <c r="CA55" i="4"/>
  <c r="CB55" i="4"/>
  <c r="CD55" i="4"/>
  <c r="CE55" i="4"/>
  <c r="CG55" i="4"/>
  <c r="CH55" i="4"/>
  <c r="CI55" i="4"/>
  <c r="CJ55" i="4"/>
  <c r="CK55" i="4"/>
  <c r="CL55" i="4"/>
  <c r="CM55" i="4"/>
  <c r="CN55" i="4"/>
  <c r="CP55" i="4"/>
  <c r="CQ55" i="4"/>
  <c r="CS55" i="4"/>
  <c r="CT55" i="4"/>
  <c r="CU55" i="4"/>
  <c r="CV55" i="4"/>
  <c r="CW55" i="4"/>
  <c r="CX55" i="4"/>
  <c r="CY55" i="4"/>
  <c r="CZ55" i="4"/>
  <c r="DB55" i="4"/>
  <c r="DC55" i="4"/>
  <c r="DE55" i="4"/>
  <c r="DF55" i="4"/>
  <c r="DG55" i="4"/>
  <c r="DL55" i="4"/>
  <c r="DM55" i="4"/>
  <c r="DN55" i="4"/>
  <c r="DO55" i="4"/>
  <c r="DP55" i="4"/>
  <c r="DQ55" i="4"/>
  <c r="DT55" i="4"/>
  <c r="DU55" i="4"/>
  <c r="DY55" i="4"/>
  <c r="DZ55" i="4"/>
  <c r="EA55" i="4"/>
  <c r="EB55" i="4"/>
  <c r="EC55" i="4"/>
  <c r="ED55" i="4"/>
  <c r="B56" i="4"/>
  <c r="AL56" i="4"/>
  <c r="AM56" i="4"/>
  <c r="AN56" i="4"/>
  <c r="AP56" i="4"/>
  <c r="AQ56" i="4"/>
  <c r="AR56" i="4"/>
  <c r="AT56" i="4"/>
  <c r="AZ56" i="4"/>
  <c r="BJ56" i="4"/>
  <c r="BL56" i="4"/>
  <c r="BM56" i="4"/>
  <c r="BN56" i="4"/>
  <c r="BP56" i="4"/>
  <c r="BS56" i="4"/>
  <c r="BT56" i="4"/>
  <c r="BV56" i="4"/>
  <c r="BW56" i="4"/>
  <c r="BX56" i="4"/>
  <c r="BY56" i="4"/>
  <c r="BZ56" i="4"/>
  <c r="CA56" i="4"/>
  <c r="CB56" i="4"/>
  <c r="CD56" i="4"/>
  <c r="CE56" i="4"/>
  <c r="CG56" i="4"/>
  <c r="CH56" i="4"/>
  <c r="CI56" i="4"/>
  <c r="CJ56" i="4"/>
  <c r="CK56" i="4"/>
  <c r="CL56" i="4"/>
  <c r="CM56" i="4"/>
  <c r="CN56" i="4"/>
  <c r="CP56" i="4"/>
  <c r="CQ56" i="4"/>
  <c r="CS56" i="4"/>
  <c r="CT56" i="4"/>
  <c r="CU56" i="4"/>
  <c r="CV56" i="4"/>
  <c r="CW56" i="4"/>
  <c r="CX56" i="4"/>
  <c r="CY56" i="4"/>
  <c r="CZ56" i="4"/>
  <c r="DB56" i="4"/>
  <c r="DC56" i="4"/>
  <c r="DE56" i="4"/>
  <c r="DF56" i="4"/>
  <c r="DG56" i="4"/>
  <c r="DL56" i="4"/>
  <c r="DM56" i="4"/>
  <c r="DN56" i="4"/>
  <c r="DO56" i="4"/>
  <c r="DP56" i="4"/>
  <c r="DQ56" i="4"/>
  <c r="DT56" i="4"/>
  <c r="DU56" i="4"/>
  <c r="DY56" i="4"/>
  <c r="DZ56" i="4"/>
  <c r="EA56" i="4"/>
  <c r="EB56" i="4"/>
  <c r="EC56" i="4"/>
  <c r="ED56" i="4"/>
  <c r="B57" i="4"/>
  <c r="AL57" i="4"/>
  <c r="AM57" i="4"/>
  <c r="AN57" i="4"/>
  <c r="AP57" i="4"/>
  <c r="AQ57" i="4"/>
  <c r="AR57" i="4"/>
  <c r="AT57" i="4"/>
  <c r="AZ57" i="4"/>
  <c r="BJ57" i="4"/>
  <c r="BL57" i="4"/>
  <c r="BM57" i="4"/>
  <c r="BN57" i="4"/>
  <c r="BP57" i="4"/>
  <c r="BS57" i="4"/>
  <c r="BT57" i="4"/>
  <c r="BV57" i="4"/>
  <c r="BW57" i="4"/>
  <c r="BX57" i="4"/>
  <c r="BY57" i="4"/>
  <c r="BZ57" i="4"/>
  <c r="CA57" i="4"/>
  <c r="CB57" i="4"/>
  <c r="CD57" i="4"/>
  <c r="CE57" i="4"/>
  <c r="CG57" i="4"/>
  <c r="CH57" i="4"/>
  <c r="CI57" i="4"/>
  <c r="CJ57" i="4"/>
  <c r="CK57" i="4"/>
  <c r="CL57" i="4"/>
  <c r="CM57" i="4"/>
  <c r="CN57" i="4"/>
  <c r="CP57" i="4"/>
  <c r="CQ57" i="4"/>
  <c r="CS57" i="4"/>
  <c r="CT57" i="4"/>
  <c r="CU57" i="4"/>
  <c r="CV57" i="4"/>
  <c r="CW57" i="4"/>
  <c r="CX57" i="4"/>
  <c r="CY57" i="4"/>
  <c r="CZ57" i="4"/>
  <c r="DB57" i="4"/>
  <c r="DC57" i="4"/>
  <c r="DE57" i="4"/>
  <c r="DF57" i="4"/>
  <c r="DG57" i="4"/>
  <c r="DL57" i="4"/>
  <c r="DM57" i="4"/>
  <c r="DN57" i="4"/>
  <c r="DO57" i="4"/>
  <c r="DP57" i="4"/>
  <c r="DQ57" i="4"/>
  <c r="DT57" i="4"/>
  <c r="DU57" i="4"/>
  <c r="DY57" i="4"/>
  <c r="DZ57" i="4"/>
  <c r="EA57" i="4"/>
  <c r="EB57" i="4"/>
  <c r="EC57" i="4"/>
  <c r="ED57" i="4"/>
  <c r="B58" i="4"/>
  <c r="AL58" i="4"/>
  <c r="AM58" i="4"/>
  <c r="AN58" i="4"/>
  <c r="AP58" i="4"/>
  <c r="AQ58" i="4"/>
  <c r="AR58" i="4"/>
  <c r="AT58" i="4"/>
  <c r="AZ58" i="4"/>
  <c r="BJ58" i="4"/>
  <c r="BL58" i="4"/>
  <c r="BM58" i="4"/>
  <c r="BN58" i="4"/>
  <c r="BP58" i="4"/>
  <c r="BS58" i="4"/>
  <c r="BT58" i="4"/>
  <c r="BV58" i="4"/>
  <c r="BW58" i="4"/>
  <c r="BX58" i="4"/>
  <c r="BY58" i="4"/>
  <c r="BZ58" i="4"/>
  <c r="CA58" i="4"/>
  <c r="CB58" i="4"/>
  <c r="CD58" i="4"/>
  <c r="CE58" i="4"/>
  <c r="CG58" i="4"/>
  <c r="CH58" i="4"/>
  <c r="CI58" i="4"/>
  <c r="CJ58" i="4"/>
  <c r="CK58" i="4"/>
  <c r="CL58" i="4"/>
  <c r="CM58" i="4"/>
  <c r="CN58" i="4"/>
  <c r="CP58" i="4"/>
  <c r="CQ58" i="4"/>
  <c r="CS58" i="4"/>
  <c r="CT58" i="4"/>
  <c r="CU58" i="4"/>
  <c r="CV58" i="4"/>
  <c r="CW58" i="4"/>
  <c r="CX58" i="4"/>
  <c r="CY58" i="4"/>
  <c r="CZ58" i="4"/>
  <c r="DB58" i="4"/>
  <c r="DC58" i="4"/>
  <c r="DE58" i="4"/>
  <c r="DF58" i="4"/>
  <c r="DG58" i="4"/>
  <c r="DL58" i="4"/>
  <c r="DM58" i="4"/>
  <c r="DN58" i="4"/>
  <c r="DO58" i="4"/>
  <c r="DP58" i="4"/>
  <c r="DQ58" i="4"/>
  <c r="DT58" i="4"/>
  <c r="DU58" i="4"/>
  <c r="DY58" i="4"/>
  <c r="DZ58" i="4"/>
  <c r="EA58" i="4"/>
  <c r="EB58" i="4"/>
  <c r="EC58" i="4"/>
  <c r="ED58" i="4"/>
  <c r="B59" i="4"/>
  <c r="AL59" i="4"/>
  <c r="AM59" i="4"/>
  <c r="AN59" i="4"/>
  <c r="AP59" i="4"/>
  <c r="AQ59" i="4"/>
  <c r="AR59" i="4"/>
  <c r="AT59" i="4"/>
  <c r="AZ59" i="4"/>
  <c r="BJ59" i="4"/>
  <c r="BL59" i="4"/>
  <c r="BM59" i="4"/>
  <c r="BN59" i="4"/>
  <c r="BP59" i="4"/>
  <c r="BS59" i="4"/>
  <c r="BT59" i="4"/>
  <c r="BV59" i="4"/>
  <c r="BW59" i="4"/>
  <c r="BX59" i="4"/>
  <c r="BY59" i="4"/>
  <c r="BZ59" i="4"/>
  <c r="CA59" i="4"/>
  <c r="CB59" i="4"/>
  <c r="CD59" i="4"/>
  <c r="CE59" i="4"/>
  <c r="CG59" i="4"/>
  <c r="CH59" i="4"/>
  <c r="CI59" i="4"/>
  <c r="CJ59" i="4"/>
  <c r="CK59" i="4"/>
  <c r="CL59" i="4"/>
  <c r="CM59" i="4"/>
  <c r="CN59" i="4"/>
  <c r="CP59" i="4"/>
  <c r="CQ59" i="4"/>
  <c r="CS59" i="4"/>
  <c r="CT59" i="4"/>
  <c r="CU59" i="4"/>
  <c r="CV59" i="4"/>
  <c r="CW59" i="4"/>
  <c r="CX59" i="4"/>
  <c r="CY59" i="4"/>
  <c r="CZ59" i="4"/>
  <c r="DB59" i="4"/>
  <c r="DC59" i="4"/>
  <c r="DE59" i="4"/>
  <c r="DF59" i="4"/>
  <c r="DG59" i="4"/>
  <c r="DL59" i="4"/>
  <c r="DM59" i="4"/>
  <c r="DN59" i="4"/>
  <c r="DO59" i="4"/>
  <c r="DP59" i="4"/>
  <c r="DQ59" i="4"/>
  <c r="DT59" i="4"/>
  <c r="DU59" i="4"/>
  <c r="DY59" i="4"/>
  <c r="DZ59" i="4"/>
  <c r="EA59" i="4"/>
  <c r="EB59" i="4"/>
  <c r="EC59" i="4"/>
  <c r="ED59" i="4"/>
  <c r="B60" i="4"/>
  <c r="AL60" i="4"/>
  <c r="AM60" i="4"/>
  <c r="AN60" i="4"/>
  <c r="AP60" i="4"/>
  <c r="AQ60" i="4"/>
  <c r="AR60" i="4"/>
  <c r="AT60" i="4"/>
  <c r="AZ60" i="4"/>
  <c r="BJ60" i="4"/>
  <c r="BL60" i="4"/>
  <c r="BM60" i="4"/>
  <c r="BN60" i="4"/>
  <c r="BP60" i="4"/>
  <c r="BS60" i="4"/>
  <c r="BT60" i="4"/>
  <c r="BV60" i="4"/>
  <c r="BW60" i="4"/>
  <c r="BX60" i="4"/>
  <c r="BY60" i="4"/>
  <c r="BZ60" i="4"/>
  <c r="CA60" i="4"/>
  <c r="CB60" i="4"/>
  <c r="CD60" i="4"/>
  <c r="CE60" i="4"/>
  <c r="CG60" i="4"/>
  <c r="CH60" i="4"/>
  <c r="CI60" i="4"/>
  <c r="CJ60" i="4"/>
  <c r="CK60" i="4"/>
  <c r="CL60" i="4"/>
  <c r="CM60" i="4"/>
  <c r="CN60" i="4"/>
  <c r="CP60" i="4"/>
  <c r="CQ60" i="4"/>
  <c r="CS60" i="4"/>
  <c r="CT60" i="4"/>
  <c r="CU60" i="4"/>
  <c r="CV60" i="4"/>
  <c r="CW60" i="4"/>
  <c r="CX60" i="4"/>
  <c r="CY60" i="4"/>
  <c r="CZ60" i="4"/>
  <c r="DB60" i="4"/>
  <c r="DC60" i="4"/>
  <c r="DE60" i="4"/>
  <c r="DF60" i="4"/>
  <c r="DG60" i="4"/>
  <c r="DL60" i="4"/>
  <c r="DM60" i="4"/>
  <c r="DN60" i="4"/>
  <c r="DO60" i="4"/>
  <c r="DP60" i="4"/>
  <c r="DQ60" i="4"/>
  <c r="DT60" i="4"/>
  <c r="DU60" i="4"/>
  <c r="DY60" i="4"/>
  <c r="DZ60" i="4"/>
  <c r="EA60" i="4"/>
  <c r="EB60" i="4"/>
  <c r="EC60" i="4"/>
  <c r="ED60" i="4"/>
  <c r="B61" i="4"/>
  <c r="AL61" i="4"/>
  <c r="AM61" i="4"/>
  <c r="AN61" i="4"/>
  <c r="AP61" i="4"/>
  <c r="AQ61" i="4"/>
  <c r="AR61" i="4"/>
  <c r="AT61" i="4"/>
  <c r="AZ61" i="4"/>
  <c r="BJ61" i="4"/>
  <c r="BL61" i="4"/>
  <c r="BM61" i="4"/>
  <c r="BN61" i="4"/>
  <c r="BP61" i="4"/>
  <c r="BS61" i="4"/>
  <c r="BT61" i="4"/>
  <c r="BV61" i="4"/>
  <c r="BW61" i="4"/>
  <c r="BX61" i="4"/>
  <c r="BY61" i="4"/>
  <c r="BZ61" i="4"/>
  <c r="CA61" i="4"/>
  <c r="CB61" i="4"/>
  <c r="CD61" i="4"/>
  <c r="CE61" i="4"/>
  <c r="CG61" i="4"/>
  <c r="CH61" i="4"/>
  <c r="CI61" i="4"/>
  <c r="CJ61" i="4"/>
  <c r="CK61" i="4"/>
  <c r="CL61" i="4"/>
  <c r="CM61" i="4"/>
  <c r="CN61" i="4"/>
  <c r="CP61" i="4"/>
  <c r="CQ61" i="4"/>
  <c r="CS61" i="4"/>
  <c r="CT61" i="4"/>
  <c r="CU61" i="4"/>
  <c r="CV61" i="4"/>
  <c r="CW61" i="4"/>
  <c r="CX61" i="4"/>
  <c r="CY61" i="4"/>
  <c r="CZ61" i="4"/>
  <c r="DB61" i="4"/>
  <c r="DC61" i="4"/>
  <c r="DE61" i="4"/>
  <c r="DF61" i="4"/>
  <c r="DG61" i="4"/>
  <c r="DL61" i="4"/>
  <c r="DM61" i="4"/>
  <c r="DN61" i="4"/>
  <c r="DO61" i="4"/>
  <c r="DP61" i="4"/>
  <c r="DQ61" i="4"/>
  <c r="DT61" i="4"/>
  <c r="DU61" i="4"/>
  <c r="DY61" i="4"/>
  <c r="DZ61" i="4"/>
  <c r="EA61" i="4"/>
  <c r="EB61" i="4"/>
  <c r="EC61" i="4"/>
  <c r="ED61" i="4"/>
  <c r="B62" i="4"/>
  <c r="AL62" i="4"/>
  <c r="AM62" i="4"/>
  <c r="AN62" i="4"/>
  <c r="AP62" i="4"/>
  <c r="AQ62" i="4"/>
  <c r="AR62" i="4"/>
  <c r="AT62" i="4"/>
  <c r="AZ62" i="4"/>
  <c r="BJ62" i="4"/>
  <c r="BL62" i="4"/>
  <c r="BM62" i="4"/>
  <c r="BN62" i="4"/>
  <c r="BP62" i="4"/>
  <c r="BS62" i="4"/>
  <c r="BT62" i="4"/>
  <c r="BV62" i="4"/>
  <c r="BW62" i="4"/>
  <c r="BX62" i="4"/>
  <c r="BY62" i="4"/>
  <c r="BZ62" i="4"/>
  <c r="CA62" i="4"/>
  <c r="CB62" i="4"/>
  <c r="CD62" i="4"/>
  <c r="CE62" i="4"/>
  <c r="CG62" i="4"/>
  <c r="CH62" i="4"/>
  <c r="CI62" i="4"/>
  <c r="CJ62" i="4"/>
  <c r="CK62" i="4"/>
  <c r="CL62" i="4"/>
  <c r="CM62" i="4"/>
  <c r="CN62" i="4"/>
  <c r="CP62" i="4"/>
  <c r="CQ62" i="4"/>
  <c r="CS62" i="4"/>
  <c r="CT62" i="4"/>
  <c r="CU62" i="4"/>
  <c r="CV62" i="4"/>
  <c r="CW62" i="4"/>
  <c r="CX62" i="4"/>
  <c r="CY62" i="4"/>
  <c r="CZ62" i="4"/>
  <c r="DB62" i="4"/>
  <c r="DC62" i="4"/>
  <c r="DE62" i="4"/>
  <c r="DF62" i="4"/>
  <c r="DG62" i="4"/>
  <c r="DL62" i="4"/>
  <c r="DM62" i="4"/>
  <c r="DN62" i="4"/>
  <c r="DO62" i="4"/>
  <c r="DP62" i="4"/>
  <c r="DQ62" i="4"/>
  <c r="DT62" i="4"/>
  <c r="DU62" i="4"/>
  <c r="DY62" i="4"/>
  <c r="DZ62" i="4"/>
  <c r="EA62" i="4"/>
  <c r="EB62" i="4"/>
  <c r="EC62" i="4"/>
  <c r="ED62" i="4"/>
  <c r="B63" i="4"/>
  <c r="AL63" i="4"/>
  <c r="AM63" i="4"/>
  <c r="AN63" i="4"/>
  <c r="AP63" i="4"/>
  <c r="AQ63" i="4"/>
  <c r="AR63" i="4"/>
  <c r="AT63" i="4"/>
  <c r="AZ63" i="4"/>
  <c r="BJ63" i="4"/>
  <c r="BL63" i="4"/>
  <c r="BM63" i="4"/>
  <c r="BN63" i="4"/>
  <c r="BP63" i="4"/>
  <c r="BS63" i="4"/>
  <c r="BT63" i="4"/>
  <c r="BV63" i="4"/>
  <c r="BW63" i="4"/>
  <c r="BX63" i="4"/>
  <c r="BY63" i="4"/>
  <c r="BZ63" i="4"/>
  <c r="CA63" i="4"/>
  <c r="CB63" i="4"/>
  <c r="CD63" i="4"/>
  <c r="CE63" i="4"/>
  <c r="CG63" i="4"/>
  <c r="CH63" i="4"/>
  <c r="CI63" i="4"/>
  <c r="CJ63" i="4"/>
  <c r="CK63" i="4"/>
  <c r="CL63" i="4"/>
  <c r="CM63" i="4"/>
  <c r="CN63" i="4"/>
  <c r="CP63" i="4"/>
  <c r="CQ63" i="4"/>
  <c r="CS63" i="4"/>
  <c r="CT63" i="4"/>
  <c r="CU63" i="4"/>
  <c r="CV63" i="4"/>
  <c r="CW63" i="4"/>
  <c r="CX63" i="4"/>
  <c r="CY63" i="4"/>
  <c r="CZ63" i="4"/>
  <c r="DB63" i="4"/>
  <c r="DC63" i="4"/>
  <c r="DE63" i="4"/>
  <c r="DF63" i="4"/>
  <c r="DG63" i="4"/>
  <c r="DL63" i="4"/>
  <c r="DM63" i="4"/>
  <c r="DN63" i="4"/>
  <c r="DO63" i="4"/>
  <c r="DP63" i="4"/>
  <c r="DQ63" i="4"/>
  <c r="DT63" i="4"/>
  <c r="DU63" i="4"/>
  <c r="DY63" i="4"/>
  <c r="DZ63" i="4"/>
  <c r="EA63" i="4"/>
  <c r="EB63" i="4"/>
  <c r="EC63" i="4"/>
  <c r="ED63" i="4"/>
  <c r="B64" i="4"/>
  <c r="AL64" i="4"/>
  <c r="AM64" i="4"/>
  <c r="AN64" i="4"/>
  <c r="AP64" i="4"/>
  <c r="AQ64" i="4"/>
  <c r="AR64" i="4"/>
  <c r="AT64" i="4"/>
  <c r="AZ64" i="4"/>
  <c r="BJ64" i="4"/>
  <c r="BL64" i="4"/>
  <c r="BM64" i="4"/>
  <c r="BN64" i="4"/>
  <c r="BP64" i="4"/>
  <c r="BS64" i="4"/>
  <c r="BT64" i="4"/>
  <c r="BV64" i="4"/>
  <c r="BW64" i="4"/>
  <c r="BX64" i="4"/>
  <c r="BY64" i="4"/>
  <c r="BZ64" i="4"/>
  <c r="CA64" i="4"/>
  <c r="CB64" i="4"/>
  <c r="CD64" i="4"/>
  <c r="CE64" i="4"/>
  <c r="CG64" i="4"/>
  <c r="CH64" i="4"/>
  <c r="CI64" i="4"/>
  <c r="CJ64" i="4"/>
  <c r="CK64" i="4"/>
  <c r="CL64" i="4"/>
  <c r="CM64" i="4"/>
  <c r="CN64" i="4"/>
  <c r="CP64" i="4"/>
  <c r="CQ64" i="4"/>
  <c r="CS64" i="4"/>
  <c r="CT64" i="4"/>
  <c r="CU64" i="4"/>
  <c r="CV64" i="4"/>
  <c r="CW64" i="4"/>
  <c r="CX64" i="4"/>
  <c r="CY64" i="4"/>
  <c r="CZ64" i="4"/>
  <c r="DB64" i="4"/>
  <c r="DC64" i="4"/>
  <c r="DE64" i="4"/>
  <c r="DF64" i="4"/>
  <c r="DG64" i="4"/>
  <c r="DL64" i="4"/>
  <c r="DM64" i="4"/>
  <c r="DN64" i="4"/>
  <c r="DO64" i="4"/>
  <c r="DP64" i="4"/>
  <c r="DQ64" i="4"/>
  <c r="DT64" i="4"/>
  <c r="DU64" i="4"/>
  <c r="DY64" i="4"/>
  <c r="DZ64" i="4"/>
  <c r="EA64" i="4"/>
  <c r="EB64" i="4"/>
  <c r="EC64" i="4"/>
  <c r="ED64" i="4"/>
  <c r="B65" i="4"/>
  <c r="AL65" i="4"/>
  <c r="AM65" i="4"/>
  <c r="AN65" i="4"/>
  <c r="AP65" i="4"/>
  <c r="AQ65" i="4"/>
  <c r="AR65" i="4"/>
  <c r="AT65" i="4"/>
  <c r="AZ65" i="4"/>
  <c r="BJ65" i="4"/>
  <c r="BL65" i="4"/>
  <c r="BM65" i="4"/>
  <c r="BN65" i="4"/>
  <c r="BP65" i="4"/>
  <c r="BS65" i="4"/>
  <c r="BT65" i="4"/>
  <c r="BV65" i="4"/>
  <c r="BW65" i="4"/>
  <c r="BX65" i="4"/>
  <c r="BY65" i="4"/>
  <c r="BZ65" i="4"/>
  <c r="CA65" i="4"/>
  <c r="CB65" i="4"/>
  <c r="CD65" i="4"/>
  <c r="CE65" i="4"/>
  <c r="CG65" i="4"/>
  <c r="CH65" i="4"/>
  <c r="CI65" i="4"/>
  <c r="CJ65" i="4"/>
  <c r="CK65" i="4"/>
  <c r="CL65" i="4"/>
  <c r="CM65" i="4"/>
  <c r="CN65" i="4"/>
  <c r="CP65" i="4"/>
  <c r="CQ65" i="4"/>
  <c r="CS65" i="4"/>
  <c r="CT65" i="4"/>
  <c r="CU65" i="4"/>
  <c r="CV65" i="4"/>
  <c r="CW65" i="4"/>
  <c r="CX65" i="4"/>
  <c r="CY65" i="4"/>
  <c r="CZ65" i="4"/>
  <c r="DB65" i="4"/>
  <c r="DC65" i="4"/>
  <c r="DE65" i="4"/>
  <c r="DF65" i="4"/>
  <c r="DG65" i="4"/>
  <c r="DL65" i="4"/>
  <c r="DM65" i="4"/>
  <c r="DN65" i="4"/>
  <c r="DO65" i="4"/>
  <c r="DP65" i="4"/>
  <c r="DQ65" i="4"/>
  <c r="DT65" i="4"/>
  <c r="DU65" i="4"/>
  <c r="DY65" i="4"/>
  <c r="DZ65" i="4"/>
  <c r="EA65" i="4"/>
  <c r="EB65" i="4"/>
  <c r="EC65" i="4"/>
  <c r="ED65" i="4"/>
  <c r="B66" i="4"/>
  <c r="AL66" i="4"/>
  <c r="AM66" i="4"/>
  <c r="AN66" i="4"/>
  <c r="AP66" i="4"/>
  <c r="AQ66" i="4"/>
  <c r="AR66" i="4"/>
  <c r="AT66" i="4"/>
  <c r="AZ66" i="4"/>
  <c r="BJ66" i="4"/>
  <c r="BL66" i="4"/>
  <c r="BM66" i="4"/>
  <c r="BN66" i="4"/>
  <c r="BP66" i="4"/>
  <c r="BS66" i="4"/>
  <c r="BT66" i="4"/>
  <c r="BV66" i="4"/>
  <c r="BW66" i="4"/>
  <c r="BX66" i="4"/>
  <c r="BY66" i="4"/>
  <c r="BZ66" i="4"/>
  <c r="CA66" i="4"/>
  <c r="CB66" i="4"/>
  <c r="CD66" i="4"/>
  <c r="CE66" i="4"/>
  <c r="CG66" i="4"/>
  <c r="CH66" i="4"/>
  <c r="CI66" i="4"/>
  <c r="CJ66" i="4"/>
  <c r="CK66" i="4"/>
  <c r="CL66" i="4"/>
  <c r="CM66" i="4"/>
  <c r="CN66" i="4"/>
  <c r="CP66" i="4"/>
  <c r="CQ66" i="4"/>
  <c r="CS66" i="4"/>
  <c r="CT66" i="4"/>
  <c r="CU66" i="4"/>
  <c r="CV66" i="4"/>
  <c r="CW66" i="4"/>
  <c r="CX66" i="4"/>
  <c r="CY66" i="4"/>
  <c r="CZ66" i="4"/>
  <c r="DB66" i="4"/>
  <c r="DC66" i="4"/>
  <c r="DE66" i="4"/>
  <c r="DF66" i="4"/>
  <c r="DG66" i="4"/>
  <c r="DL66" i="4"/>
  <c r="DM66" i="4"/>
  <c r="DN66" i="4"/>
  <c r="DO66" i="4"/>
  <c r="DP66" i="4"/>
  <c r="DQ66" i="4"/>
  <c r="DT66" i="4"/>
  <c r="DU66" i="4"/>
  <c r="DY66" i="4"/>
  <c r="DZ66" i="4"/>
  <c r="EA66" i="4"/>
  <c r="EB66" i="4"/>
  <c r="EC66" i="4"/>
  <c r="ED66" i="4"/>
  <c r="B67" i="4"/>
  <c r="AL67" i="4"/>
  <c r="AM67" i="4"/>
  <c r="AN67" i="4"/>
  <c r="AP67" i="4"/>
  <c r="AQ67" i="4"/>
  <c r="AR67" i="4"/>
  <c r="AT67" i="4"/>
  <c r="AZ67" i="4"/>
  <c r="BJ67" i="4"/>
  <c r="BL67" i="4"/>
  <c r="BM67" i="4"/>
  <c r="BN67" i="4"/>
  <c r="BP67" i="4"/>
  <c r="BS67" i="4"/>
  <c r="BT67" i="4"/>
  <c r="BV67" i="4"/>
  <c r="BW67" i="4"/>
  <c r="BX67" i="4"/>
  <c r="BY67" i="4"/>
  <c r="BZ67" i="4"/>
  <c r="CA67" i="4"/>
  <c r="CB67" i="4"/>
  <c r="CD67" i="4"/>
  <c r="CE67" i="4"/>
  <c r="CG67" i="4"/>
  <c r="CH67" i="4"/>
  <c r="CI67" i="4"/>
  <c r="CJ67" i="4"/>
  <c r="CK67" i="4"/>
  <c r="CL67" i="4"/>
  <c r="CM67" i="4"/>
  <c r="CN67" i="4"/>
  <c r="CP67" i="4"/>
  <c r="CQ67" i="4"/>
  <c r="CS67" i="4"/>
  <c r="CT67" i="4"/>
  <c r="CU67" i="4"/>
  <c r="CV67" i="4"/>
  <c r="CW67" i="4"/>
  <c r="CX67" i="4"/>
  <c r="CY67" i="4"/>
  <c r="CZ67" i="4"/>
  <c r="DB67" i="4"/>
  <c r="DC67" i="4"/>
  <c r="DE67" i="4"/>
  <c r="DF67" i="4"/>
  <c r="DG67" i="4"/>
  <c r="DL67" i="4"/>
  <c r="DM67" i="4"/>
  <c r="DN67" i="4"/>
  <c r="DO67" i="4"/>
  <c r="DP67" i="4"/>
  <c r="DQ67" i="4"/>
  <c r="DT67" i="4"/>
  <c r="DU67" i="4"/>
  <c r="DY67" i="4"/>
  <c r="DZ67" i="4"/>
  <c r="EA67" i="4"/>
  <c r="EB67" i="4"/>
  <c r="EC67" i="4"/>
  <c r="ED67" i="4"/>
  <c r="B68" i="4"/>
  <c r="AL68" i="4"/>
  <c r="AM68" i="4"/>
  <c r="AN68" i="4"/>
  <c r="AP68" i="4"/>
  <c r="AQ68" i="4"/>
  <c r="AR68" i="4"/>
  <c r="AT68" i="4"/>
  <c r="AZ68" i="4"/>
  <c r="BJ68" i="4"/>
  <c r="BL68" i="4"/>
  <c r="BM68" i="4"/>
  <c r="BN68" i="4"/>
  <c r="BP68" i="4"/>
  <c r="BS68" i="4"/>
  <c r="BT68" i="4"/>
  <c r="BV68" i="4"/>
  <c r="BW68" i="4"/>
  <c r="BX68" i="4"/>
  <c r="BY68" i="4"/>
  <c r="BZ68" i="4"/>
  <c r="CA68" i="4"/>
  <c r="CB68" i="4"/>
  <c r="CD68" i="4"/>
  <c r="CE68" i="4"/>
  <c r="CG68" i="4"/>
  <c r="CH68" i="4"/>
  <c r="CI68" i="4"/>
  <c r="CJ68" i="4"/>
  <c r="CK68" i="4"/>
  <c r="CL68" i="4"/>
  <c r="CM68" i="4"/>
  <c r="CN68" i="4"/>
  <c r="CP68" i="4"/>
  <c r="CQ68" i="4"/>
  <c r="CS68" i="4"/>
  <c r="CT68" i="4"/>
  <c r="CU68" i="4"/>
  <c r="CV68" i="4"/>
  <c r="CW68" i="4"/>
  <c r="CX68" i="4"/>
  <c r="CY68" i="4"/>
  <c r="CZ68" i="4"/>
  <c r="DB68" i="4"/>
  <c r="DC68" i="4"/>
  <c r="DE68" i="4"/>
  <c r="DF68" i="4"/>
  <c r="DG68" i="4"/>
  <c r="DL68" i="4"/>
  <c r="DM68" i="4"/>
  <c r="DN68" i="4"/>
  <c r="DO68" i="4"/>
  <c r="DP68" i="4"/>
  <c r="DQ68" i="4"/>
  <c r="DT68" i="4"/>
  <c r="DU68" i="4"/>
  <c r="DY68" i="4"/>
  <c r="DZ68" i="4"/>
  <c r="EA68" i="4"/>
  <c r="EB68" i="4"/>
  <c r="EC68" i="4"/>
  <c r="ED68" i="4"/>
  <c r="B69" i="4"/>
  <c r="AL69" i="4"/>
  <c r="AM69" i="4"/>
  <c r="AN69" i="4"/>
  <c r="AP69" i="4"/>
  <c r="AQ69" i="4"/>
  <c r="AR69" i="4"/>
  <c r="AT69" i="4"/>
  <c r="AZ69" i="4"/>
  <c r="BJ69" i="4"/>
  <c r="BL69" i="4"/>
  <c r="BM69" i="4"/>
  <c r="BN69" i="4"/>
  <c r="BP69" i="4"/>
  <c r="BS69" i="4"/>
  <c r="BT69" i="4"/>
  <c r="BV69" i="4"/>
  <c r="BW69" i="4"/>
  <c r="BX69" i="4"/>
  <c r="BY69" i="4"/>
  <c r="BZ69" i="4"/>
  <c r="CA69" i="4"/>
  <c r="CB69" i="4"/>
  <c r="CD69" i="4"/>
  <c r="CE69" i="4"/>
  <c r="CG69" i="4"/>
  <c r="CH69" i="4"/>
  <c r="CI69" i="4"/>
  <c r="CJ69" i="4"/>
  <c r="CK69" i="4"/>
  <c r="CL69" i="4"/>
  <c r="CM69" i="4"/>
  <c r="CN69" i="4"/>
  <c r="CP69" i="4"/>
  <c r="CQ69" i="4"/>
  <c r="CS69" i="4"/>
  <c r="CT69" i="4"/>
  <c r="CU69" i="4"/>
  <c r="CV69" i="4"/>
  <c r="CW69" i="4"/>
  <c r="CX69" i="4"/>
  <c r="CY69" i="4"/>
  <c r="CZ69" i="4"/>
  <c r="DB69" i="4"/>
  <c r="DC69" i="4"/>
  <c r="DE69" i="4"/>
  <c r="DF69" i="4"/>
  <c r="DG69" i="4"/>
  <c r="DL69" i="4"/>
  <c r="DM69" i="4"/>
  <c r="DN69" i="4"/>
  <c r="DO69" i="4"/>
  <c r="DP69" i="4"/>
  <c r="DQ69" i="4"/>
  <c r="DT69" i="4"/>
  <c r="DU69" i="4"/>
  <c r="DY69" i="4"/>
  <c r="DZ69" i="4"/>
  <c r="EA69" i="4"/>
  <c r="EB69" i="4"/>
  <c r="EC69" i="4"/>
  <c r="ED69" i="4"/>
  <c r="BS70" i="4"/>
  <c r="BW70" i="4"/>
  <c r="BX70" i="4"/>
  <c r="BY70" i="4"/>
  <c r="BZ70" i="4"/>
  <c r="CA70" i="4"/>
  <c r="CB70" i="4"/>
  <c r="CD70" i="4"/>
  <c r="CG70" i="4"/>
  <c r="CH70" i="4"/>
  <c r="CI70" i="4"/>
  <c r="CJ70" i="4"/>
  <c r="CK70" i="4"/>
  <c r="CL70" i="4"/>
  <c r="CM70" i="4"/>
  <c r="CN70" i="4"/>
  <c r="CP70" i="4"/>
  <c r="CS70" i="4"/>
  <c r="CT70" i="4"/>
  <c r="CU70" i="4"/>
  <c r="CV70" i="4"/>
  <c r="CW70" i="4"/>
  <c r="CX70" i="4"/>
  <c r="CY70" i="4"/>
  <c r="CZ70" i="4"/>
  <c r="DB70" i="4"/>
  <c r="DC70" i="4"/>
  <c r="DE70" i="4"/>
  <c r="DF70" i="4"/>
  <c r="DG70" i="4"/>
  <c r="DL70" i="4"/>
  <c r="DM70" i="4"/>
  <c r="DN70" i="4"/>
  <c r="DO70" i="4"/>
  <c r="DP70" i="4"/>
  <c r="DQ70" i="4"/>
  <c r="DT70" i="4"/>
  <c r="DU70" i="4"/>
  <c r="DY70" i="4"/>
  <c r="DZ70" i="4"/>
  <c r="EA70" i="4"/>
  <c r="EB70" i="4"/>
  <c r="EC70" i="4"/>
  <c r="ED70" i="4"/>
  <c r="B71" i="4"/>
  <c r="BS71" i="4"/>
  <c r="BW71" i="4"/>
  <c r="BX71" i="4"/>
  <c r="BY71" i="4"/>
  <c r="BZ71" i="4"/>
  <c r="CA71" i="4"/>
  <c r="CB71" i="4"/>
  <c r="CD71" i="4"/>
  <c r="CG71" i="4"/>
  <c r="CH71" i="4"/>
  <c r="CI71" i="4"/>
  <c r="CJ71" i="4"/>
  <c r="CK71" i="4"/>
  <c r="CL71" i="4"/>
  <c r="CM71" i="4"/>
  <c r="CN71" i="4"/>
  <c r="CP71" i="4"/>
  <c r="CS71" i="4"/>
  <c r="CT71" i="4"/>
  <c r="CU71" i="4"/>
  <c r="CV71" i="4"/>
  <c r="CW71" i="4"/>
  <c r="CX71" i="4"/>
  <c r="CY71" i="4"/>
  <c r="CZ71" i="4"/>
  <c r="DB71" i="4"/>
  <c r="DC71" i="4"/>
  <c r="DE71" i="4"/>
  <c r="DF71" i="4"/>
  <c r="DG71" i="4"/>
  <c r="DL71" i="4"/>
  <c r="DM71" i="4"/>
  <c r="DN71" i="4"/>
  <c r="DO71" i="4"/>
  <c r="DP71" i="4"/>
  <c r="DQ71" i="4"/>
  <c r="DT71" i="4"/>
  <c r="DU71" i="4"/>
  <c r="DY71" i="4"/>
  <c r="DZ71" i="4"/>
  <c r="EA71" i="4"/>
  <c r="EB71" i="4"/>
  <c r="EC71" i="4"/>
  <c r="ED71" i="4"/>
  <c r="BS72" i="4"/>
  <c r="BW72" i="4"/>
  <c r="BX72" i="4"/>
  <c r="BY72" i="4"/>
  <c r="BZ72" i="4"/>
  <c r="CA72" i="4"/>
  <c r="CB72" i="4"/>
  <c r="CD72" i="4"/>
  <c r="CG72" i="4"/>
  <c r="CH72" i="4"/>
  <c r="CI72" i="4"/>
  <c r="CJ72" i="4"/>
  <c r="CK72" i="4"/>
  <c r="CL72" i="4"/>
  <c r="CM72" i="4"/>
  <c r="CN72" i="4"/>
  <c r="CP72" i="4"/>
  <c r="CS72" i="4"/>
  <c r="CT72" i="4"/>
  <c r="CU72" i="4"/>
  <c r="CV72" i="4"/>
  <c r="CW72" i="4"/>
  <c r="CX72" i="4"/>
  <c r="CY72" i="4"/>
  <c r="CZ72" i="4"/>
  <c r="DB72" i="4"/>
  <c r="DC72" i="4"/>
  <c r="DE72" i="4"/>
  <c r="DF72" i="4"/>
  <c r="DG72" i="4"/>
  <c r="DL72" i="4"/>
  <c r="DM72" i="4"/>
  <c r="DN72" i="4"/>
  <c r="DO72" i="4"/>
  <c r="DP72" i="4"/>
  <c r="DQ72" i="4"/>
  <c r="DT72" i="4"/>
  <c r="DU72" i="4"/>
  <c r="DY72" i="4"/>
  <c r="DZ72" i="4"/>
  <c r="EA72" i="4"/>
  <c r="EB72" i="4"/>
  <c r="EC72" i="4"/>
  <c r="ED72" i="4"/>
  <c r="BS73" i="4"/>
  <c r="BW73" i="4"/>
  <c r="BX73" i="4"/>
  <c r="BY73" i="4"/>
  <c r="BZ73" i="4"/>
  <c r="CA73" i="4"/>
  <c r="CB73" i="4"/>
  <c r="CD73" i="4"/>
  <c r="CG73" i="4"/>
  <c r="CH73" i="4"/>
  <c r="CI73" i="4"/>
  <c r="CJ73" i="4"/>
  <c r="CK73" i="4"/>
  <c r="CL73" i="4"/>
  <c r="CM73" i="4"/>
  <c r="CN73" i="4"/>
  <c r="CP73" i="4"/>
  <c r="CS73" i="4"/>
  <c r="CT73" i="4"/>
  <c r="CU73" i="4"/>
  <c r="CV73" i="4"/>
  <c r="CW73" i="4"/>
  <c r="CX73" i="4"/>
  <c r="CY73" i="4"/>
  <c r="CZ73" i="4"/>
  <c r="DB73" i="4"/>
  <c r="DC73" i="4"/>
  <c r="DE73" i="4"/>
  <c r="DF73" i="4"/>
  <c r="DG73" i="4"/>
  <c r="DL73" i="4"/>
  <c r="DM73" i="4"/>
  <c r="DN73" i="4"/>
  <c r="DO73" i="4"/>
  <c r="DP73" i="4"/>
  <c r="DQ73" i="4"/>
  <c r="DT73" i="4"/>
  <c r="DU73" i="4"/>
  <c r="DY73" i="4"/>
  <c r="DZ73" i="4"/>
  <c r="EA73" i="4"/>
  <c r="EB73" i="4"/>
  <c r="EC73" i="4"/>
  <c r="ED73" i="4"/>
  <c r="BS74" i="4"/>
  <c r="BW74" i="4"/>
  <c r="BX74" i="4"/>
  <c r="BY74" i="4"/>
  <c r="BZ74" i="4"/>
  <c r="CA74" i="4"/>
  <c r="CB74" i="4"/>
  <c r="CD74" i="4"/>
  <c r="CG74" i="4"/>
  <c r="CH74" i="4"/>
  <c r="CI74" i="4"/>
  <c r="CJ74" i="4"/>
  <c r="CK74" i="4"/>
  <c r="CL74" i="4"/>
  <c r="CM74" i="4"/>
  <c r="CN74" i="4"/>
  <c r="CP74" i="4"/>
  <c r="CS74" i="4"/>
  <c r="CT74" i="4"/>
  <c r="CU74" i="4"/>
  <c r="CV74" i="4"/>
  <c r="CW74" i="4"/>
  <c r="CX74" i="4"/>
  <c r="CY74" i="4"/>
  <c r="CZ74" i="4"/>
  <c r="DB74" i="4"/>
  <c r="DC74" i="4"/>
  <c r="DE74" i="4"/>
  <c r="DF74" i="4"/>
  <c r="DG74" i="4"/>
  <c r="DL74" i="4"/>
  <c r="DM74" i="4"/>
  <c r="DN74" i="4"/>
  <c r="DO74" i="4"/>
  <c r="DP74" i="4"/>
  <c r="DQ74" i="4"/>
  <c r="DT74" i="4"/>
  <c r="DU74" i="4"/>
  <c r="DY74" i="4"/>
  <c r="DZ74" i="4"/>
  <c r="EA74" i="4"/>
  <c r="EB74" i="4"/>
  <c r="EC74" i="4"/>
  <c r="ED74" i="4"/>
  <c r="BS75" i="4"/>
  <c r="BW75" i="4"/>
  <c r="BX75" i="4"/>
  <c r="BY75" i="4"/>
  <c r="BZ75" i="4"/>
  <c r="CA75" i="4"/>
  <c r="CB75" i="4"/>
  <c r="CD75" i="4"/>
  <c r="CG75" i="4"/>
  <c r="CH75" i="4"/>
  <c r="CI75" i="4"/>
  <c r="CJ75" i="4"/>
  <c r="CK75" i="4"/>
  <c r="CL75" i="4"/>
  <c r="CM75" i="4"/>
  <c r="CN75" i="4"/>
  <c r="CP75" i="4"/>
  <c r="CS75" i="4"/>
  <c r="CT75" i="4"/>
  <c r="CU75" i="4"/>
  <c r="CV75" i="4"/>
  <c r="CW75" i="4"/>
  <c r="CX75" i="4"/>
  <c r="CY75" i="4"/>
  <c r="CZ75" i="4"/>
  <c r="DB75" i="4"/>
  <c r="DC75" i="4"/>
  <c r="DE75" i="4"/>
  <c r="DF75" i="4"/>
  <c r="DG75" i="4"/>
  <c r="DL75" i="4"/>
  <c r="DM75" i="4"/>
  <c r="DN75" i="4"/>
  <c r="DO75" i="4"/>
  <c r="DP75" i="4"/>
  <c r="DQ75" i="4"/>
  <c r="DT75" i="4"/>
  <c r="DU75" i="4"/>
  <c r="DY75" i="4"/>
  <c r="DZ75" i="4"/>
  <c r="EA75" i="4"/>
  <c r="EB75" i="4"/>
  <c r="EC75" i="4"/>
  <c r="ED75" i="4"/>
  <c r="BS76" i="4"/>
  <c r="BW76" i="4"/>
  <c r="BX76" i="4"/>
  <c r="BY76" i="4"/>
  <c r="BZ76" i="4"/>
  <c r="CA76" i="4"/>
  <c r="CB76" i="4"/>
  <c r="CD76" i="4"/>
  <c r="CG76" i="4"/>
  <c r="CH76" i="4"/>
  <c r="CI76" i="4"/>
  <c r="CJ76" i="4"/>
  <c r="CK76" i="4"/>
  <c r="CL76" i="4"/>
  <c r="CM76" i="4"/>
  <c r="CN76" i="4"/>
  <c r="CP76" i="4"/>
  <c r="CS76" i="4"/>
  <c r="CT76" i="4"/>
  <c r="CU76" i="4"/>
  <c r="CV76" i="4"/>
  <c r="CW76" i="4"/>
  <c r="CX76" i="4"/>
  <c r="CY76" i="4"/>
  <c r="CZ76" i="4"/>
  <c r="DB76" i="4"/>
  <c r="DC76" i="4"/>
  <c r="DE76" i="4"/>
  <c r="DF76" i="4"/>
  <c r="DG76" i="4"/>
  <c r="DL76" i="4"/>
  <c r="DM76" i="4"/>
  <c r="DN76" i="4"/>
  <c r="DO76" i="4"/>
  <c r="DP76" i="4"/>
  <c r="DQ76" i="4"/>
  <c r="DT76" i="4"/>
  <c r="DU76" i="4"/>
  <c r="DY76" i="4"/>
  <c r="DZ76" i="4"/>
  <c r="EA76" i="4"/>
  <c r="EB76" i="4"/>
  <c r="EC76" i="4"/>
  <c r="ED76" i="4"/>
  <c r="BS77" i="4"/>
  <c r="BW77" i="4"/>
  <c r="BX77" i="4"/>
  <c r="BY77" i="4"/>
  <c r="BZ77" i="4"/>
  <c r="CA77" i="4"/>
  <c r="CB77" i="4"/>
  <c r="CD77" i="4"/>
  <c r="CG77" i="4"/>
  <c r="CH77" i="4"/>
  <c r="CI77" i="4"/>
  <c r="CJ77" i="4"/>
  <c r="CK77" i="4"/>
  <c r="CL77" i="4"/>
  <c r="CM77" i="4"/>
  <c r="CN77" i="4"/>
  <c r="CP77" i="4"/>
  <c r="CS77" i="4"/>
  <c r="CT77" i="4"/>
  <c r="CU77" i="4"/>
  <c r="CV77" i="4"/>
  <c r="CW77" i="4"/>
  <c r="CX77" i="4"/>
  <c r="CY77" i="4"/>
  <c r="CZ77" i="4"/>
  <c r="DB77" i="4"/>
  <c r="DC77" i="4"/>
  <c r="DE77" i="4"/>
  <c r="DF77" i="4"/>
  <c r="DG77" i="4"/>
  <c r="DL77" i="4"/>
  <c r="DM77" i="4"/>
  <c r="DN77" i="4"/>
  <c r="DO77" i="4"/>
  <c r="DP77" i="4"/>
  <c r="DQ77" i="4"/>
  <c r="DT77" i="4"/>
  <c r="DU77" i="4"/>
  <c r="DY77" i="4"/>
  <c r="DZ77" i="4"/>
  <c r="EA77" i="4"/>
  <c r="EB77" i="4"/>
  <c r="EC77" i="4"/>
  <c r="ED77" i="4"/>
  <c r="BS78" i="4"/>
  <c r="BW78" i="4"/>
  <c r="BX78" i="4"/>
  <c r="BY78" i="4"/>
  <c r="BZ78" i="4"/>
  <c r="CA78" i="4"/>
  <c r="CB78" i="4"/>
  <c r="CD78" i="4"/>
  <c r="CG78" i="4"/>
  <c r="CH78" i="4"/>
  <c r="CI78" i="4"/>
  <c r="CJ78" i="4"/>
  <c r="CK78" i="4"/>
  <c r="CL78" i="4"/>
  <c r="CM78" i="4"/>
  <c r="CN78" i="4"/>
  <c r="CP78" i="4"/>
  <c r="CS78" i="4"/>
  <c r="CT78" i="4"/>
  <c r="CU78" i="4"/>
  <c r="CV78" i="4"/>
  <c r="CW78" i="4"/>
  <c r="CX78" i="4"/>
  <c r="CY78" i="4"/>
  <c r="CZ78" i="4"/>
  <c r="DB78" i="4"/>
  <c r="DC78" i="4"/>
  <c r="DE78" i="4"/>
  <c r="DF78" i="4"/>
  <c r="DG78" i="4"/>
  <c r="DL78" i="4"/>
  <c r="DM78" i="4"/>
  <c r="DN78" i="4"/>
  <c r="DO78" i="4"/>
  <c r="DP78" i="4"/>
  <c r="DQ78" i="4"/>
  <c r="DT78" i="4"/>
  <c r="DU78" i="4"/>
  <c r="DY78" i="4"/>
  <c r="DZ78" i="4"/>
  <c r="EA78" i="4"/>
  <c r="EB78" i="4"/>
  <c r="EC78" i="4"/>
  <c r="ED78" i="4"/>
  <c r="BS79" i="4"/>
  <c r="BW79" i="4"/>
  <c r="BX79" i="4"/>
  <c r="BY79" i="4"/>
  <c r="BZ79" i="4"/>
  <c r="CA79" i="4"/>
  <c r="CB79" i="4"/>
  <c r="CD79" i="4"/>
  <c r="CG79" i="4"/>
  <c r="CH79" i="4"/>
  <c r="CI79" i="4"/>
  <c r="CJ79" i="4"/>
  <c r="CK79" i="4"/>
  <c r="CL79" i="4"/>
  <c r="CM79" i="4"/>
  <c r="CN79" i="4"/>
  <c r="CP79" i="4"/>
  <c r="CS79" i="4"/>
  <c r="CT79" i="4"/>
  <c r="CU79" i="4"/>
  <c r="CV79" i="4"/>
  <c r="CW79" i="4"/>
  <c r="CX79" i="4"/>
  <c r="CY79" i="4"/>
  <c r="CZ79" i="4"/>
  <c r="DB79" i="4"/>
  <c r="DC79" i="4"/>
  <c r="DE79" i="4"/>
  <c r="DF79" i="4"/>
  <c r="DG79" i="4"/>
  <c r="DL79" i="4"/>
  <c r="DM79" i="4"/>
  <c r="DN79" i="4"/>
  <c r="DO79" i="4"/>
  <c r="DP79" i="4"/>
  <c r="DQ79" i="4"/>
  <c r="DT79" i="4"/>
  <c r="DU79" i="4"/>
  <c r="DY79" i="4"/>
  <c r="DZ79" i="4"/>
  <c r="EA79" i="4"/>
  <c r="EB79" i="4"/>
  <c r="EC79" i="4"/>
  <c r="ED79" i="4"/>
  <c r="BS80" i="4"/>
  <c r="BW80" i="4"/>
  <c r="BX80" i="4"/>
  <c r="BY80" i="4"/>
  <c r="BZ80" i="4"/>
  <c r="CA80" i="4"/>
  <c r="CB80" i="4"/>
  <c r="CD80" i="4"/>
  <c r="CG80" i="4"/>
  <c r="CH80" i="4"/>
  <c r="CI80" i="4"/>
  <c r="CJ80" i="4"/>
  <c r="CK80" i="4"/>
  <c r="CL80" i="4"/>
  <c r="CM80" i="4"/>
  <c r="CN80" i="4"/>
  <c r="CP80" i="4"/>
  <c r="CS80" i="4"/>
  <c r="CT80" i="4"/>
  <c r="CU80" i="4"/>
  <c r="CV80" i="4"/>
  <c r="CW80" i="4"/>
  <c r="CX80" i="4"/>
  <c r="CY80" i="4"/>
  <c r="CZ80" i="4"/>
  <c r="DB80" i="4"/>
  <c r="DC80" i="4"/>
  <c r="DE80" i="4"/>
  <c r="DF80" i="4"/>
  <c r="DG80" i="4"/>
  <c r="DL80" i="4"/>
  <c r="DM80" i="4"/>
  <c r="DN80" i="4"/>
  <c r="DO80" i="4"/>
  <c r="DP80" i="4"/>
  <c r="DQ80" i="4"/>
  <c r="DT80" i="4"/>
  <c r="DU80" i="4"/>
  <c r="DY80" i="4"/>
  <c r="DZ80" i="4"/>
  <c r="EA80" i="4"/>
  <c r="EB80" i="4"/>
  <c r="EC80" i="4"/>
  <c r="ED80" i="4"/>
  <c r="BS81" i="4"/>
  <c r="BW81" i="4"/>
  <c r="BX81" i="4"/>
  <c r="BY81" i="4"/>
  <c r="BZ81" i="4"/>
  <c r="CA81" i="4"/>
  <c r="CB81" i="4"/>
  <c r="CD81" i="4"/>
  <c r="CG81" i="4"/>
  <c r="CH81" i="4"/>
  <c r="CI81" i="4"/>
  <c r="CJ81" i="4"/>
  <c r="CK81" i="4"/>
  <c r="CL81" i="4"/>
  <c r="CM81" i="4"/>
  <c r="CN81" i="4"/>
  <c r="CP81" i="4"/>
  <c r="CS81" i="4"/>
  <c r="CT81" i="4"/>
  <c r="CU81" i="4"/>
  <c r="CV81" i="4"/>
  <c r="CW81" i="4"/>
  <c r="CX81" i="4"/>
  <c r="CY81" i="4"/>
  <c r="CZ81" i="4"/>
  <c r="DB81" i="4"/>
  <c r="DC81" i="4"/>
  <c r="DE81" i="4"/>
  <c r="DF81" i="4"/>
  <c r="DG81" i="4"/>
  <c r="DL81" i="4"/>
  <c r="DM81" i="4"/>
  <c r="DN81" i="4"/>
  <c r="DO81" i="4"/>
  <c r="DP81" i="4"/>
  <c r="DQ81" i="4"/>
  <c r="DT81" i="4"/>
  <c r="DU81" i="4"/>
  <c r="DY81" i="4"/>
  <c r="DZ81" i="4"/>
  <c r="EA81" i="4"/>
  <c r="EB81" i="4"/>
  <c r="EC81" i="4"/>
  <c r="ED81" i="4"/>
  <c r="BI82" i="4"/>
  <c r="BJ82" i="4"/>
  <c r="BK82" i="4"/>
  <c r="BL82" i="4"/>
  <c r="BN82" i="4"/>
  <c r="BO82" i="4"/>
  <c r="BP82" i="4"/>
  <c r="BQ82" i="4"/>
  <c r="BT82" i="4"/>
  <c r="BU82" i="4"/>
  <c r="BV82" i="4"/>
  <c r="BW82" i="4"/>
  <c r="BY82" i="4"/>
  <c r="BZ82" i="4"/>
  <c r="CA82" i="4"/>
  <c r="CB82" i="4"/>
  <c r="CE82" i="4"/>
  <c r="CF82" i="4"/>
  <c r="CG82" i="4"/>
  <c r="CH82" i="4"/>
  <c r="CI82" i="4"/>
  <c r="CJ82" i="4"/>
  <c r="CK82" i="4"/>
  <c r="CL82" i="4"/>
  <c r="CM82" i="4"/>
  <c r="CN82" i="4"/>
  <c r="CQ82" i="4"/>
  <c r="CS82" i="4"/>
  <c r="CT82" i="4"/>
  <c r="CV82" i="4"/>
  <c r="CW82" i="4"/>
  <c r="CX82" i="4"/>
  <c r="CY82" i="4"/>
  <c r="CZ82" i="4"/>
  <c r="DB82" i="4"/>
  <c r="DC82" i="4"/>
  <c r="DE82" i="4"/>
  <c r="DF82" i="4"/>
  <c r="DG82" i="4"/>
  <c r="DI82" i="4"/>
  <c r="DJ82" i="4"/>
  <c r="DK82" i="4"/>
  <c r="DL82" i="4"/>
  <c r="DM82" i="4"/>
  <c r="DN82" i="4"/>
  <c r="DO82" i="4"/>
  <c r="DP82" i="4"/>
  <c r="DQ82" i="4"/>
  <c r="DR82" i="4"/>
  <c r="DS82" i="4"/>
  <c r="DT82" i="4"/>
  <c r="DU82" i="4"/>
  <c r="DX82" i="4"/>
  <c r="DY82" i="4"/>
  <c r="DZ82" i="4"/>
  <c r="EA82" i="4"/>
  <c r="EB82" i="4"/>
  <c r="EC82" i="4"/>
  <c r="ED82" i="4"/>
  <c r="BJ84" i="4"/>
  <c r="BL84" i="4"/>
  <c r="BM84" i="4"/>
  <c r="BN84" i="4"/>
  <c r="BO84" i="4"/>
  <c r="BP84" i="4"/>
  <c r="BQ84" i="4"/>
  <c r="BY84" i="4"/>
  <c r="BZ84" i="4"/>
  <c r="CA84" i="4"/>
  <c r="CI84" i="4"/>
  <c r="CK84" i="4"/>
  <c r="CL84" i="4"/>
  <c r="CM84" i="4"/>
  <c r="CV84" i="4"/>
  <c r="CW84" i="4"/>
  <c r="CX84" i="4"/>
  <c r="CY84" i="4"/>
  <c r="BX85" i="4" a="1"/>
  <c r="BX85" i="4"/>
  <c r="CI85" i="4" a="1"/>
  <c r="CI85" i="4"/>
  <c r="CU85" i="4" a="1"/>
  <c r="CU85" i="4"/>
  <c r="BX86" i="4" a="1"/>
  <c r="BX86" i="4"/>
  <c r="CI86" i="4" a="1"/>
  <c r="CI86" i="4"/>
  <c r="CU86" i="4" a="1"/>
  <c r="CU86" i="4"/>
  <c r="BX87" i="4" a="1"/>
  <c r="BX87" i="4"/>
  <c r="CI87" i="4" a="1"/>
  <c r="CI87" i="4"/>
  <c r="CU87" i="4" a="1"/>
  <c r="CU87" i="4"/>
  <c r="BX88" i="4" a="1"/>
  <c r="BX88" i="4"/>
  <c r="CI88" i="4" a="1"/>
  <c r="CI88" i="4"/>
  <c r="CU88" i="4" a="1"/>
  <c r="CU88" i="4"/>
  <c r="BX89" i="4" a="1"/>
  <c r="BX89" i="4"/>
  <c r="CI89" i="4" a="1"/>
  <c r="CI89" i="4"/>
  <c r="CU89" i="4" a="1"/>
  <c r="CU89" i="4"/>
  <c r="BX90" i="4" a="1"/>
  <c r="BX90" i="4"/>
  <c r="CI90" i="4" a="1"/>
  <c r="CI90" i="4"/>
  <c r="CU90" i="4" a="1"/>
  <c r="CU90" i="4"/>
  <c r="BF129" i="4"/>
  <c r="BG129" i="4"/>
  <c r="BX179" i="4" a="1"/>
  <c r="BX179" i="4"/>
  <c r="CI179" i="4" a="1"/>
  <c r="CI179" i="4"/>
  <c r="CU179" i="4" a="1"/>
  <c r="CU179" i="4"/>
  <c r="BX180" i="4" a="1"/>
  <c r="BX180" i="4"/>
  <c r="CI180" i="4" a="1"/>
  <c r="CI180" i="4"/>
  <c r="CU180" i="4" a="1"/>
  <c r="CU180" i="4"/>
  <c r="BX181" i="4" a="1"/>
  <c r="BX181" i="4"/>
  <c r="CI181" i="4" a="1"/>
  <c r="CI181" i="4"/>
  <c r="CU181" i="4" a="1"/>
  <c r="CU181" i="4"/>
  <c r="BX182" i="4" a="1"/>
  <c r="BX182" i="4"/>
  <c r="CI182" i="4" a="1"/>
  <c r="CI182" i="4"/>
  <c r="CU182" i="4" a="1"/>
  <c r="CU182" i="4"/>
  <c r="BX183" i="4" a="1"/>
  <c r="BX183" i="4"/>
  <c r="CI183" i="4" a="1"/>
  <c r="CI183" i="4"/>
  <c r="CU183" i="4" a="1"/>
  <c r="CU183" i="4"/>
  <c r="BX184" i="4" a="1"/>
  <c r="BX184" i="4"/>
  <c r="CI184" i="4" a="1"/>
  <c r="CI184" i="4"/>
  <c r="CU184" i="4" a="1"/>
  <c r="CU184" i="4"/>
  <c r="AN11" i="14"/>
  <c r="AN12" i="14"/>
  <c r="AN14" i="14"/>
  <c r="P18" i="14"/>
  <c r="AN21" i="14"/>
  <c r="AN22" i="14"/>
  <c r="AN23" i="14"/>
  <c r="AN24" i="14"/>
  <c r="P25" i="14"/>
  <c r="AN25" i="14"/>
  <c r="P26" i="14"/>
  <c r="AN26" i="14"/>
  <c r="P27" i="14"/>
  <c r="P28" i="14"/>
  <c r="P29" i="14"/>
  <c r="AN29" i="14"/>
  <c r="O30" i="14"/>
  <c r="P30" i="14"/>
  <c r="AN30" i="14"/>
  <c r="P31" i="14" a="1"/>
  <c r="P31" i="14"/>
  <c r="AN31" i="14"/>
  <c r="P32" i="14"/>
  <c r="AN32" i="14"/>
  <c r="P33" i="14"/>
  <c r="AN33" i="14"/>
  <c r="AN34" i="14"/>
  <c r="O37" i="14"/>
  <c r="P37" i="14"/>
  <c r="Q37" i="14"/>
  <c r="AF42" i="14"/>
  <c r="AG42" i="14"/>
  <c r="AH42" i="14"/>
  <c r="AF43" i="14"/>
  <c r="AG43" i="14"/>
  <c r="AH43" i="14"/>
  <c r="AF44" i="14"/>
  <c r="AG44" i="14"/>
  <c r="AH44" i="14"/>
  <c r="AF46" i="14"/>
  <c r="AG46" i="14"/>
  <c r="AH46" i="14"/>
  <c r="Q49" i="14"/>
  <c r="Q50" i="14"/>
  <c r="AF50" i="14" a="1"/>
  <c r="AF50" i="14"/>
  <c r="Q51" i="14"/>
  <c r="N14" i="16"/>
  <c r="N15" i="16"/>
  <c r="N17" i="16"/>
  <c r="N24" i="16"/>
  <c r="N25" i="16"/>
  <c r="N26" i="16"/>
  <c r="N27" i="16"/>
  <c r="N28" i="16"/>
  <c r="N29" i="16"/>
  <c r="N34" i="16"/>
  <c r="N35" i="16"/>
  <c r="N36" i="16"/>
  <c r="N37" i="16"/>
  <c r="N38" i="16"/>
  <c r="E45" i="16"/>
  <c r="F45" i="16"/>
  <c r="G45" i="16"/>
  <c r="E46" i="16"/>
  <c r="F46" i="16"/>
  <c r="G46" i="16"/>
  <c r="E47" i="16"/>
  <c r="F47" i="16"/>
  <c r="G47" i="16"/>
  <c r="E49" i="16"/>
  <c r="F49" i="16"/>
  <c r="G49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<sst xmlns="http://schemas.openxmlformats.org/spreadsheetml/2006/main" count="558" uniqueCount="281">
  <si>
    <t>Start</t>
  </si>
  <si>
    <t>Total</t>
  </si>
  <si>
    <t>Periods</t>
  </si>
  <si>
    <t>Qtr</t>
  </si>
  <si>
    <t>Date</t>
  </si>
  <si>
    <t>Project</t>
  </si>
  <si>
    <t>Direct Costs</t>
  </si>
  <si>
    <t>Contingency</t>
  </si>
  <si>
    <t>Warranty</t>
  </si>
  <si>
    <t>Land</t>
  </si>
  <si>
    <t>Land Cost</t>
  </si>
  <si>
    <t>Insurance</t>
  </si>
  <si>
    <t>Project Net Income</t>
  </si>
  <si>
    <t>Livable SF</t>
  </si>
  <si>
    <t>Land Acqusition</t>
  </si>
  <si>
    <t>Site Prep / Foundation</t>
  </si>
  <si>
    <t>Framing</t>
  </si>
  <si>
    <t>Plubming, Electric, HVAC</t>
  </si>
  <si>
    <t>Drywall</t>
  </si>
  <si>
    <t>Interior Finish</t>
  </si>
  <si>
    <t>Pool &amp; Landscape</t>
  </si>
  <si>
    <t>Fixtures &amp; Appliances</t>
  </si>
  <si>
    <t>Subtotal - Direct Costs</t>
  </si>
  <si>
    <t>Design / Permitting</t>
  </si>
  <si>
    <t>To Compl</t>
  </si>
  <si>
    <t>$/SF</t>
  </si>
  <si>
    <t>Project Costs (incl Sales Tax)</t>
  </si>
  <si>
    <t>Sales Cost</t>
  </si>
  <si>
    <t>Amt</t>
  </si>
  <si>
    <t>Closing</t>
  </si>
  <si>
    <t>Property Taxes</t>
  </si>
  <si>
    <t>Miscellaneous</t>
  </si>
  <si>
    <t>Gross Revenue</t>
  </si>
  <si>
    <t>Overall Results - Unleveraged</t>
  </si>
  <si>
    <t>Cost</t>
  </si>
  <si>
    <t>Const</t>
  </si>
  <si>
    <t>Purchase</t>
  </si>
  <si>
    <t>Sale</t>
  </si>
  <si>
    <t>Price</t>
  </si>
  <si>
    <t>Net</t>
  </si>
  <si>
    <t>69th Street</t>
  </si>
  <si>
    <t>Tamanar</t>
  </si>
  <si>
    <t>66th</t>
  </si>
  <si>
    <t>Brett Hills</t>
  </si>
  <si>
    <t>6235 Cholla</t>
  </si>
  <si>
    <t>Margin</t>
  </si>
  <si>
    <t>$$</t>
  </si>
  <si>
    <t>Profit</t>
  </si>
  <si>
    <t>Paramount History</t>
  </si>
  <si>
    <t>Builder</t>
  </si>
  <si>
    <t>All-In</t>
  </si>
  <si>
    <t>Overhead</t>
  </si>
  <si>
    <t>Monthly</t>
  </si>
  <si>
    <t>$1300/FT SALES PRICE</t>
  </si>
  <si>
    <t>$1400/FT SALES PRICE</t>
  </si>
  <si>
    <t>$1500/FT SALES PRICE</t>
  </si>
  <si>
    <t>2 YR HOLD</t>
  </si>
  <si>
    <t>3 YR HOLD</t>
  </si>
  <si>
    <t>ALLCOSTS PER BUDGET, INCL LAND</t>
  </si>
  <si>
    <t>CLOSING COSTS ESTIMATE</t>
  </si>
  <si>
    <t>TAXES ESTIMATE</t>
  </si>
  <si>
    <t>COMMISSIONS</t>
  </si>
  <si>
    <t>INTEREST ESTIMATION</t>
  </si>
  <si>
    <t>WARRANTY</t>
  </si>
  <si>
    <t>TOTAL COSTS</t>
  </si>
  <si>
    <t>SALES PRICE ESTIMATE</t>
  </si>
  <si>
    <t>SALES PRICE/SQ FT</t>
  </si>
  <si>
    <t>PROFIT</t>
  </si>
  <si>
    <t>PROFIT/SQ FT</t>
  </si>
  <si>
    <t>PROFIT %</t>
  </si>
  <si>
    <t>SQ FOOT</t>
  </si>
  <si>
    <t>CONST COSTS/FT (NO LAND)</t>
  </si>
  <si>
    <t>CONST COST (NO LAND)</t>
  </si>
  <si>
    <t>SALES PRICE/FT</t>
  </si>
  <si>
    <t>PROFIT/FT LAND COST</t>
  </si>
  <si>
    <t>(2.92) $</t>
  </si>
  <si>
    <t>INTEREST ESTIMATE- BUZZ USED 10%</t>
  </si>
  <si>
    <t>LAND COST</t>
  </si>
  <si>
    <t>Proforma</t>
  </si>
  <si>
    <t xml:space="preserve">1. Is this income tax? If so, it shouldn’t be in proforma. </t>
  </si>
  <si>
    <t>3. Really?  Seems low</t>
  </si>
  <si>
    <t>4. Land interest only?</t>
  </si>
  <si>
    <t>2. Isa this the same and Interest Estimate [note 4]</t>
  </si>
  <si>
    <t>Interest Reserve</t>
  </si>
  <si>
    <t>Loan Origination</t>
  </si>
  <si>
    <t>M</t>
  </si>
  <si>
    <t>Q</t>
  </si>
  <si>
    <t>Y</t>
  </si>
  <si>
    <t>Dates</t>
  </si>
  <si>
    <t>Year</t>
  </si>
  <si>
    <t>Project Cash Flow</t>
  </si>
  <si>
    <t>Direct Project Costs</t>
  </si>
  <si>
    <t>Lot Price</t>
  </si>
  <si>
    <t>Project Revenue</t>
  </si>
  <si>
    <t>Sale Price</t>
  </si>
  <si>
    <t>Net Project Income</t>
  </si>
  <si>
    <t>Total Project Costs</t>
  </si>
  <si>
    <t>Payments</t>
  </si>
  <si>
    <t>Leveraged</t>
  </si>
  <si>
    <t>Interest</t>
  </si>
  <si>
    <t>Cost of Sale</t>
  </si>
  <si>
    <t>Sources</t>
  </si>
  <si>
    <t>Loan Proceeds</t>
  </si>
  <si>
    <t>Total Sources</t>
  </si>
  <si>
    <t>Uses</t>
  </si>
  <si>
    <t>Interest Expense</t>
  </si>
  <si>
    <t>Total Uses</t>
  </si>
  <si>
    <t>LTC / LTV</t>
  </si>
  <si>
    <t>Appraised Value</t>
  </si>
  <si>
    <t>Origination Date</t>
  </si>
  <si>
    <t>Annual Rate (Fixed)</t>
  </si>
  <si>
    <t>Origination Fee</t>
  </si>
  <si>
    <t>Appraisal / Legal</t>
  </si>
  <si>
    <t>Closing Costs</t>
  </si>
  <si>
    <t>Senior Loan - Loan Budget</t>
  </si>
  <si>
    <t>Senior Debt</t>
  </si>
  <si>
    <t>Leveraged Project Budget</t>
  </si>
  <si>
    <t>Interest Reserve Factor</t>
  </si>
  <si>
    <t>Total Loan Amount</t>
  </si>
  <si>
    <t>this Period</t>
  </si>
  <si>
    <t>To Fund [Start]</t>
  </si>
  <si>
    <t>To Fund [Balance]</t>
  </si>
  <si>
    <t>Loan Funding</t>
  </si>
  <si>
    <t>Advances</t>
  </si>
  <si>
    <t>End Balance</t>
  </si>
  <si>
    <t>Start Balance</t>
  </si>
  <si>
    <t>Loan Payments</t>
  </si>
  <si>
    <t>Loan Advances</t>
  </si>
  <si>
    <t>Required Equity</t>
  </si>
  <si>
    <t>Lot Purchase</t>
  </si>
  <si>
    <t>Overall Results - Leveraged</t>
  </si>
  <si>
    <t>Net Project Margin - Leveraged</t>
  </si>
  <si>
    <t>Equity Contributions</t>
  </si>
  <si>
    <t>House Sale Proceeds</t>
  </si>
  <si>
    <t>Construction</t>
  </si>
  <si>
    <t>Indirect costs</t>
  </si>
  <si>
    <t>Net Sale Proceeds</t>
  </si>
  <si>
    <t>Sale Cost</t>
  </si>
  <si>
    <t>Closing Cost</t>
  </si>
  <si>
    <t>$/SF/Yr</t>
  </si>
  <si>
    <t>% of Total</t>
  </si>
  <si>
    <t>Loan Payoff</t>
  </si>
  <si>
    <t>Distributions - Equity</t>
  </si>
  <si>
    <t>Distributions - Profit</t>
  </si>
  <si>
    <t>Loan Closing Costs</t>
  </si>
  <si>
    <t>%</t>
  </si>
  <si>
    <t>Leveraged Results</t>
  </si>
  <si>
    <t>Maximum Outstanding</t>
  </si>
  <si>
    <t>Borrower Equity Reqd</t>
  </si>
  <si>
    <t>Subtotal - Indirect / Other</t>
  </si>
  <si>
    <t>Gross Sale Price</t>
  </si>
  <si>
    <t>Sale + Closing Cost</t>
  </si>
  <si>
    <t>Total Financing Cost</t>
  </si>
  <si>
    <t>Initial Loan Advance Month</t>
  </si>
  <si>
    <t>REVENUE</t>
  </si>
  <si>
    <t>TOTAL PROJECT COST</t>
  </si>
  <si>
    <t>PROJECT COSTS</t>
  </si>
  <si>
    <t>NET MARGIN - UNLEVERAGED</t>
  </si>
  <si>
    <t>Indirect + Other Costs</t>
  </si>
  <si>
    <t>Investment</t>
  </si>
  <si>
    <t>RESULT SUMMARY</t>
  </si>
  <si>
    <t>Cash</t>
  </si>
  <si>
    <t>IRR</t>
  </si>
  <si>
    <t>Cumulative Investment</t>
  </si>
  <si>
    <t>Unlevered</t>
  </si>
  <si>
    <t>Monthly Schedule of Cash Flow</t>
  </si>
  <si>
    <t>NET MARGIN - LEVERAGED</t>
  </si>
  <si>
    <t>Multiple</t>
  </si>
  <si>
    <t>Total Distributions</t>
  </si>
  <si>
    <t>Net Margin</t>
  </si>
  <si>
    <t>Average Outstanding</t>
  </si>
  <si>
    <t>Months In Use</t>
  </si>
  <si>
    <t>Address</t>
  </si>
  <si>
    <t>Sources and Uses of Funds</t>
  </si>
  <si>
    <t>Scenario</t>
  </si>
  <si>
    <t>Sale Delay [post completion]</t>
  </si>
  <si>
    <t>Net Margin - Unleveraged</t>
  </si>
  <si>
    <t>Subtotal - Other / Indirects</t>
  </si>
  <si>
    <t>General Conditions + GC</t>
  </si>
  <si>
    <t>Purchase Date</t>
  </si>
  <si>
    <t>Purchase Price</t>
  </si>
  <si>
    <t>Start Month</t>
  </si>
  <si>
    <t>Months to Complete</t>
  </si>
  <si>
    <t>Project Name:</t>
  </si>
  <si>
    <t>Proforma Profit &amp; Loss</t>
  </si>
  <si>
    <t>Livable Square Feet:</t>
  </si>
  <si>
    <t>Base Project Assumptions</t>
  </si>
  <si>
    <t>Equity</t>
  </si>
  <si>
    <t>GP</t>
  </si>
  <si>
    <t>LP</t>
  </si>
  <si>
    <t>Contributions</t>
  </si>
  <si>
    <t>Contributions $$</t>
  </si>
  <si>
    <t>Waterfall</t>
  </si>
  <si>
    <t>Promote</t>
  </si>
  <si>
    <t>Return of Capital</t>
  </si>
  <si>
    <t>Hurdle 1 Rate</t>
  </si>
  <si>
    <t>Hurdle 2 Rate</t>
  </si>
  <si>
    <t>Hurdle 3 Rate</t>
  </si>
  <si>
    <t>Residual</t>
  </si>
  <si>
    <t>Hurdles</t>
  </si>
  <si>
    <t>Results</t>
  </si>
  <si>
    <t>Equity Contributions %</t>
  </si>
  <si>
    <t>Equity Contributions $</t>
  </si>
  <si>
    <t>Distribution Waterfall</t>
  </si>
  <si>
    <t>Preferred Return</t>
  </si>
  <si>
    <t>Hurdle 1</t>
  </si>
  <si>
    <t>Distributions to</t>
  </si>
  <si>
    <t>Hurdle 2</t>
  </si>
  <si>
    <t>Hurdle 3</t>
  </si>
  <si>
    <t>Share of Total</t>
  </si>
  <si>
    <t>Total Investment</t>
  </si>
  <si>
    <t>Total Profit</t>
  </si>
  <si>
    <t>Leveraged IRR</t>
  </si>
  <si>
    <t>Equity Multiple</t>
  </si>
  <si>
    <t>Preferred</t>
  </si>
  <si>
    <t>Cash Flow</t>
  </si>
  <si>
    <t>Cash Flow Distributions - Preferred</t>
  </si>
  <si>
    <t>to Hurdle 1</t>
  </si>
  <si>
    <t>Cash Flow Distributions - Thru Hurdle 1</t>
  </si>
  <si>
    <t>Cash Flow Distributions - Hurdle 2</t>
  </si>
  <si>
    <t>Cash Flow Distributions - Hurdle 3</t>
  </si>
  <si>
    <t>Thru Preferred</t>
  </si>
  <si>
    <t>to Hurdle 2</t>
  </si>
  <si>
    <t>to Hurdle 3</t>
  </si>
  <si>
    <t>Hurdle</t>
  </si>
  <si>
    <t>Distributions</t>
  </si>
  <si>
    <t>to LP</t>
  </si>
  <si>
    <t>to GP</t>
  </si>
  <si>
    <t>LP Capital</t>
  </si>
  <si>
    <t>Check</t>
  </si>
  <si>
    <t>Return</t>
  </si>
  <si>
    <t>Rate 1</t>
  </si>
  <si>
    <t>Rate 2</t>
  </si>
  <si>
    <t>Rate 3</t>
  </si>
  <si>
    <t>Balance</t>
  </si>
  <si>
    <t>Flow</t>
  </si>
  <si>
    <t>TOTAL</t>
  </si>
  <si>
    <t>Profit &amp; Loss</t>
  </si>
  <si>
    <t>Sources and Uses</t>
  </si>
  <si>
    <t>CONSTRUCTION DEBT</t>
  </si>
  <si>
    <t>CASH FLOW DISTRIBUTION WATERFALL</t>
  </si>
  <si>
    <t>Item</t>
  </si>
  <si>
    <t>Equity Required</t>
  </si>
  <si>
    <t>LP Contributions</t>
  </si>
  <si>
    <t>Accrued Pref</t>
  </si>
  <si>
    <t>Preferred Start Balance</t>
  </si>
  <si>
    <t>Preferred Distributions</t>
  </si>
  <si>
    <t>Preferred End Balance</t>
  </si>
  <si>
    <t>Distributions to LP</t>
  </si>
  <si>
    <t>Distributions to GP</t>
  </si>
  <si>
    <t>Total Distribution</t>
  </si>
  <si>
    <t>Residual Cash Flow</t>
  </si>
  <si>
    <t>Accrued Hurdle 1</t>
  </si>
  <si>
    <t>Hurdle 1 End Balance</t>
  </si>
  <si>
    <t>Accrued Hurdle 2</t>
  </si>
  <si>
    <t>Prior Distributions</t>
  </si>
  <si>
    <t>Addl CF to Hurdle 1</t>
  </si>
  <si>
    <t>Additional CF to Hurdle 2</t>
  </si>
  <si>
    <t>Hurdle 2 End Balance</t>
  </si>
  <si>
    <t>Net Dispo Revenue</t>
  </si>
  <si>
    <t>Accrued Hurdle 3</t>
  </si>
  <si>
    <t>Additional CF to Hurdle 3</t>
  </si>
  <si>
    <t>Hurdle 3 End Balance</t>
  </si>
  <si>
    <t>Distribution to LP</t>
  </si>
  <si>
    <t>Distribution to GP</t>
  </si>
  <si>
    <t>Project IRR</t>
  </si>
  <si>
    <t>Cash Flow Waterfall</t>
  </si>
  <si>
    <t>Alternate Cases</t>
  </si>
  <si>
    <t>Return Capital</t>
  </si>
  <si>
    <t>GP Share</t>
  </si>
  <si>
    <t>LP Share</t>
  </si>
  <si>
    <t>Financing - Debt / Equity</t>
  </si>
  <si>
    <t>Levered Cash Flow Waterfall</t>
  </si>
  <si>
    <t>Equity Waterfall</t>
  </si>
  <si>
    <t>GP Equity</t>
  </si>
  <si>
    <t>Tier 1 Promote</t>
  </si>
  <si>
    <t>Tier 2 Promote</t>
  </si>
  <si>
    <t>Tier 3 Promote</t>
  </si>
  <si>
    <t>Residual Promote</t>
  </si>
  <si>
    <t>Custom Home Analytics</t>
  </si>
  <si>
    <t>Clarendon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</si>
</sst>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#,##0_);\(#,##0\);_(&quot;-&quot;_)"/>
    <numFmt numFmtId="166" formatCode="_(#,##0_);_(\(#,##0\);_(&quot;-&quot;??_);_(@_)"/>
    <numFmt numFmtId="167" formatCode="_(&quot;$&quot;#,##0_);_(\(&quot;$&quot;#,##0\);_(&quot;-&quot;??_);_(@_)"/>
    <numFmt numFmtId="168" formatCode="0.0%"/>
    <numFmt numFmtId="169" formatCode="_(#,##0.00_);\(#,##0.00\);_(&quot;-&quot;_)"/>
    <numFmt numFmtId="170" formatCode="&quot;$&quot;#,##0.00&quot; / SF&quot;"/>
    <numFmt numFmtId="171" formatCode="&quot;$&quot;#,##0&quot; / FF&quot;"/>
    <numFmt numFmtId="172" formatCode="&quot;$&quot;#,##0&quot; / lot&quot;"/>
    <numFmt numFmtId="173" formatCode="_(#,##0_);_(\(#,##0\);_(&quot;-&quot;_)"/>
    <numFmt numFmtId="174" formatCode="_(#,##0.0%_);_(\(#,##0.0%\);_(&quot;-&quot;_)"/>
    <numFmt numFmtId="175" formatCode="#,##0;[Red]\-\ #,##0;_(&quot;-&quot;??_);_(@_)"/>
    <numFmt numFmtId="176" formatCode="_(&quot;$&quot;#,##0_);\(&quot;$&quot;#,##0\);_(&quot;-&quot;_)"/>
    <numFmt numFmtId="177" formatCode="_(&quot;$&quot;#,##0.00_);\(&quot;$&quot;#,##0.00\);_(&quot;-&quot;_)"/>
    <numFmt numFmtId="178" formatCode="_(#,##0_);_(\-\ #,##0_);&quot;&quot;_*"/>
    <numFmt numFmtId="179" formatCode="_(* #,##0_);_(* \(#,##0\);_(* &quot;-&quot;?_);_(@_)"/>
    <numFmt numFmtId="180" formatCode="_(&quot;$&quot;#,##0_);\(#,##0\);_(&quot;-&quot;_)"/>
    <numFmt numFmtId="181" formatCode="#,##0_);\(#,##0\);&quot;-&quot;"/>
    <numFmt numFmtId="182" formatCode="&quot;$&quot;#,##0"/>
    <numFmt numFmtId="183" formatCode="&quot;$&quot;#,##0&quot; / SF&quot;"/>
    <numFmt numFmtId="184" formatCode="#,##0.00&quot;x&quot;"/>
    <numFmt numFmtId="185" formatCode="#,##0&quot;  SqFt&quot;"/>
    <numFmt numFmtId="186" formatCode="&quot;Case &quot;0"/>
    <numFmt numFmtId="187" formatCode="&quot;&lt;=&quot;\ 0.0%\ \I\R\R&quot; to LP&quot;"/>
    <numFmt numFmtId="188" formatCode="0%;;&quot;-&quot;"/>
    <numFmt numFmtId="189" formatCode="0.0%;;&quot;-&quot;"/>
    <numFmt numFmtId="190" formatCode="[$-409]mmm\-yy;@"/>
    <numFmt numFmtId="191" formatCode="_(#,##0.00_);_(\-\ #,##0.00_);&quot;&quot;_*"/>
  </numFmts>
  <fonts count="116">
    <font>
      <sz val="12"/>
      <color theme="1"/>
      <name val="Calibri"/>
      <family val="2"/>
      <scheme val="minor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0"/>
      <name val="Univers"/>
      <family val="2"/>
    </font>
    <font>
      <sz val="10"/>
      <name val="Times New Roman"/>
      <family val="1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FFFF99"/>
      <name val="Arial"/>
      <family val="2"/>
    </font>
    <font>
      <sz val="10"/>
      <color theme="0"/>
      <name val="Univers"/>
      <family val="2"/>
    </font>
    <font>
      <sz val="12"/>
      <color theme="1"/>
      <name val="ArialMT"/>
      <family val="2"/>
    </font>
    <font>
      <sz val="12"/>
      <color theme="2"/>
      <name val="Univers"/>
      <family val="2"/>
    </font>
    <font>
      <b/>
      <sz val="12"/>
      <color theme="2"/>
      <name val="Univers"/>
      <family val="2"/>
    </font>
    <font>
      <sz val="11"/>
      <color theme="1"/>
      <name val="Calibri"/>
      <family val="2"/>
      <charset val="134"/>
      <scheme val="minor"/>
    </font>
    <font>
      <b/>
      <sz val="14"/>
      <color theme="2"/>
      <name val="Univers"/>
      <family val="2"/>
    </font>
    <font>
      <sz val="11"/>
      <color theme="1"/>
      <name val="Calibri"/>
      <family val="2"/>
      <scheme val="minor"/>
    </font>
    <font>
      <sz val="12"/>
      <color theme="1"/>
      <name val="Univers"/>
      <family val="2"/>
    </font>
    <font>
      <sz val="10"/>
      <color theme="2"/>
      <name val="Univers"/>
      <family val="2"/>
    </font>
    <font>
      <sz val="8"/>
      <name val="Calibri"/>
      <family val="2"/>
      <scheme val="minor"/>
    </font>
    <font>
      <sz val="12"/>
      <color rgb="FFFFFF99"/>
      <name val="Univers"/>
      <family val="2"/>
    </font>
    <font>
      <sz val="9"/>
      <color theme="1"/>
      <name val="Univers"/>
      <family val="2"/>
    </font>
    <font>
      <sz val="10"/>
      <name val="Arial"/>
      <family val="2"/>
    </font>
    <font>
      <b/>
      <sz val="12"/>
      <color theme="0"/>
      <name val="Univers"/>
      <family val="2"/>
    </font>
    <font>
      <b/>
      <sz val="9"/>
      <color theme="1"/>
      <name val="Univers"/>
      <family val="2"/>
    </font>
    <font>
      <sz val="12"/>
      <color theme="0"/>
      <name val="Univers"/>
      <family val="2"/>
    </font>
    <font>
      <sz val="11"/>
      <color rgb="FF3F3F76"/>
      <name val="Univers"/>
      <family val="2"/>
    </font>
    <font>
      <u/>
      <sz val="10"/>
      <color theme="10"/>
      <name val="Times New Roman"/>
      <family val="1"/>
    </font>
    <font>
      <b/>
      <sz val="11"/>
      <color theme="0"/>
      <name val="Microsoft Sans Serif"/>
      <family val="2"/>
    </font>
    <font>
      <b/>
      <sz val="12"/>
      <color theme="1"/>
      <name val="Univers"/>
      <family val="2"/>
    </font>
    <font>
      <b/>
      <sz val="16"/>
      <color rgb="FF3FFF96"/>
      <name val="Microsoft Sans Serif"/>
      <family val="2"/>
    </font>
    <font>
      <b/>
      <sz val="14"/>
      <color theme="1"/>
      <name val="Univers"/>
      <family val="2"/>
    </font>
    <font>
      <b/>
      <sz val="12"/>
      <color theme="1"/>
      <name val="Univers"/>
      <family val="2"/>
    </font>
    <font>
      <sz val="10"/>
      <color theme="1"/>
      <name val="Univers"/>
      <family val="2"/>
    </font>
    <font>
      <sz val="10"/>
      <color theme="1" tint="0.499984740745262"/>
      <name val="Univers"/>
      <family val="2"/>
    </font>
    <font>
      <sz val="12"/>
      <color theme="2"/>
      <name val="Univers"/>
      <family val="2"/>
    </font>
    <font>
      <sz val="12"/>
      <color theme="1"/>
      <name val="Univers"/>
      <family val="2"/>
    </font>
    <font>
      <b/>
      <sz val="12"/>
      <color theme="1"/>
      <name val="Univers"/>
      <family val="2"/>
    </font>
    <font>
      <b/>
      <sz val="16"/>
      <color rgb="FF82B4EA"/>
      <name val="Univers"/>
      <family val="2"/>
    </font>
    <font>
      <b/>
      <sz val="12"/>
      <color theme="1"/>
      <name val="Univers"/>
      <family val="2"/>
    </font>
    <font>
      <sz val="12"/>
      <color theme="2"/>
      <name val="Univers"/>
      <family val="2"/>
    </font>
    <font>
      <sz val="12"/>
      <color theme="1"/>
      <name val="Univers"/>
      <family val="2"/>
    </font>
    <font>
      <b/>
      <sz val="12"/>
      <color rgb="FFEFB7C1"/>
      <name val="Univers"/>
      <family val="2"/>
    </font>
    <font>
      <sz val="18"/>
      <color theme="1"/>
      <name val="Calibri"/>
      <family val="2"/>
      <scheme val="minor"/>
    </font>
    <font>
      <b/>
      <sz val="12"/>
      <color rgb="FFFFFF99"/>
      <name val="Univers"/>
      <family val="2"/>
    </font>
    <font>
      <b/>
      <sz val="12"/>
      <color theme="2"/>
      <name val="Univers"/>
      <family val="2"/>
    </font>
    <font>
      <sz val="11"/>
      <color theme="0" tint="-0.34998626667073579"/>
      <name val="Univers"/>
      <family val="2"/>
    </font>
    <font>
      <sz val="12"/>
      <color rgb="FFFFFFCC"/>
      <name val="Univers"/>
      <family val="2"/>
    </font>
    <font>
      <b/>
      <sz val="12"/>
      <color theme="0"/>
      <name val="Univers"/>
      <family val="2"/>
    </font>
    <font>
      <sz val="11"/>
      <color theme="2"/>
      <name val="Univers"/>
      <family val="2"/>
    </font>
    <font>
      <b/>
      <sz val="11"/>
      <color theme="2"/>
      <name val="Univers"/>
      <family val="2"/>
    </font>
    <font>
      <b/>
      <sz val="10"/>
      <color theme="2"/>
      <name val="Univers"/>
      <family val="2"/>
    </font>
    <font>
      <b/>
      <sz val="10"/>
      <color theme="1"/>
      <name val="Univers"/>
      <family val="2"/>
    </font>
    <font>
      <sz val="10"/>
      <color theme="1"/>
      <name val="Univers"/>
      <family val="2"/>
    </font>
    <font>
      <b/>
      <sz val="12"/>
      <color theme="0" tint="-0.249977111117893"/>
      <name val="Univers"/>
      <family val="2"/>
    </font>
    <font>
      <b/>
      <sz val="10"/>
      <color theme="0" tint="-0.249977111117893"/>
      <name val="Univers"/>
      <family val="2"/>
    </font>
    <font>
      <b/>
      <sz val="12"/>
      <color rgb="FF00FF99"/>
      <name val="Univers"/>
      <family val="2"/>
    </font>
    <font>
      <b/>
      <sz val="11"/>
      <color theme="0"/>
      <name val="Univers"/>
      <family val="2"/>
    </font>
    <font>
      <b/>
      <sz val="11"/>
      <color theme="1"/>
      <name val="Univers"/>
      <family val="2"/>
    </font>
    <font>
      <u val="singleAccounting"/>
      <sz val="11"/>
      <color theme="1"/>
      <name val="Univers"/>
      <family val="2"/>
    </font>
    <font>
      <u/>
      <sz val="11"/>
      <color theme="1"/>
      <name val="Univers"/>
      <family val="2"/>
    </font>
    <font>
      <sz val="11"/>
      <color rgb="FF0000FF"/>
      <name val="Univers"/>
      <family val="2"/>
    </font>
    <font>
      <b/>
      <sz val="12"/>
      <name val="Univers"/>
      <family val="2"/>
    </font>
    <font>
      <sz val="12"/>
      <name val="Univers"/>
      <family val="2"/>
    </font>
    <font>
      <b/>
      <sz val="12"/>
      <color rgb="FF72CCFE"/>
      <name val="Univers"/>
      <family val="2"/>
    </font>
    <font>
      <sz val="12"/>
      <color theme="0"/>
      <name val="Aptos"/>
      <family val="2"/>
    </font>
    <font>
      <b/>
      <sz val="12"/>
      <color theme="0"/>
      <name val="Aptos"/>
      <family val="2"/>
    </font>
    <font>
      <sz val="12"/>
      <color rgb="FFFFFF00"/>
      <name val="Univers"/>
      <family val="2"/>
    </font>
    <font>
      <sz val="11"/>
      <color rgb="FFE6E7EA"/>
      <name val="Univers"/>
      <family val="2"/>
    </font>
    <font>
      <b/>
      <sz val="12"/>
      <color rgb="FFE6E7EA"/>
      <name val="Univers"/>
      <family val="2"/>
    </font>
    <font>
      <sz val="12"/>
      <color theme="0" tint="-0.14999847407452621"/>
      <name val="Univers"/>
      <family val="2"/>
    </font>
    <font>
      <b/>
      <sz val="12"/>
      <color theme="0" tint="-0.14999847407452621"/>
      <name val="Univers"/>
      <family val="2"/>
    </font>
    <font>
      <sz val="9"/>
      <color theme="0" tint="-4.9989318521683403E-2"/>
      <name val="Univers"/>
      <family val="2"/>
    </font>
    <font>
      <sz val="9"/>
      <color theme="0" tint="-0.249977111117893"/>
      <name val="Univers"/>
      <family val="2"/>
    </font>
    <font>
      <b/>
      <sz val="12"/>
      <color theme="0"/>
      <name val="Microsoft Sans Serif"/>
      <family val="2"/>
    </font>
    <font>
      <sz val="10"/>
      <color rgb="FFE6E7EA"/>
      <name val="Univers"/>
      <family val="2"/>
    </font>
    <font>
      <b/>
      <sz val="11"/>
      <color rgb="FFE6E7EA"/>
      <name val="Univers"/>
      <family val="2"/>
    </font>
    <font>
      <b/>
      <sz val="12"/>
      <color rgb="FFFFC000"/>
      <name val="Microsoft Sans Serif"/>
      <family val="2"/>
    </font>
    <font>
      <b/>
      <sz val="14"/>
      <color rgb="FF00FF99"/>
      <name val="Univers"/>
      <family val="2"/>
    </font>
    <font>
      <b/>
      <sz val="14"/>
      <color theme="0"/>
      <name val="Aptos"/>
      <family val="2"/>
    </font>
    <font>
      <sz val="12"/>
      <color theme="0" tint="-4.9989318521683403E-2"/>
      <name val="Univers"/>
      <family val="2"/>
    </font>
    <font>
      <sz val="14"/>
      <color theme="0"/>
      <name val="Aptos"/>
      <family val="2"/>
    </font>
    <font>
      <b/>
      <sz val="12"/>
      <color theme="2"/>
      <name val="Univers"/>
      <family val="2"/>
    </font>
    <font>
      <b/>
      <sz val="12"/>
      <color theme="1"/>
      <name val="Univers"/>
      <family val="2"/>
    </font>
    <font>
      <sz val="10"/>
      <color theme="0"/>
      <name val="Microsoft Sans Serif"/>
      <family val="2"/>
    </font>
    <font>
      <b/>
      <sz val="12"/>
      <color theme="1"/>
      <name val="Microsoft Sans Serif"/>
      <family val="2"/>
    </font>
    <font>
      <sz val="11"/>
      <color rgb="FFFFFF99"/>
      <name val="Univers"/>
      <family val="2"/>
    </font>
    <font>
      <sz val="12"/>
      <color theme="1" tint="0.499984740745262"/>
      <name val="Univers"/>
      <family val="2"/>
    </font>
    <font>
      <sz val="11"/>
      <color theme="1" tint="0.499984740745262"/>
      <name val="Univers"/>
      <family val="2"/>
    </font>
    <font>
      <sz val="12"/>
      <color theme="1"/>
      <name val="Univers"/>
      <family val="2"/>
    </font>
    <font>
      <sz val="11"/>
      <color theme="1"/>
      <name val="Univers"/>
      <family val="2"/>
    </font>
    <font>
      <b/>
      <sz val="14"/>
      <color rgb="FF72CCFE"/>
      <name val="Univers"/>
      <family val="2"/>
    </font>
    <font>
      <sz val="11"/>
      <color rgb="FF00DA82"/>
      <name val="Univers"/>
      <family val="2"/>
    </font>
    <font>
      <b/>
      <sz val="18"/>
      <color rgb="FF8BBAFF"/>
      <name val="Univers"/>
      <family val="2"/>
    </font>
    <font>
      <sz val="18"/>
      <color theme="0"/>
      <name val="Univers"/>
      <family val="2"/>
    </font>
    <font>
      <b/>
      <sz val="16"/>
      <color rgb="FFFFC000"/>
      <name val="Univers"/>
      <family val="2"/>
    </font>
    <font>
      <b/>
      <sz val="14"/>
      <color theme="0"/>
      <name val="Univers"/>
      <family val="2"/>
    </font>
    <font>
      <b/>
      <sz val="14"/>
      <color rgb="FFFFFF99"/>
      <name val="Univers"/>
      <family val="2"/>
    </font>
    <font>
      <sz val="10"/>
      <color theme="1"/>
      <name val="ArialMT"/>
      <family val="2"/>
    </font>
    <font>
      <sz val="11"/>
      <name val="Univers"/>
      <family val="2"/>
    </font>
    <font>
      <sz val="12"/>
      <name val="Aptos"/>
      <family val="2"/>
    </font>
    <font>
      <b/>
      <sz val="11"/>
      <name val="Univers"/>
      <family val="2"/>
    </font>
    <font>
      <sz val="12"/>
      <color rgb="FF67FD8B"/>
      <name val="Univers"/>
      <family val="2"/>
    </font>
    <font>
      <sz val="12"/>
      <name val="Wingdings 2"/>
      <family val="1"/>
      <charset val="2"/>
    </font>
    <font>
      <u/>
      <sz val="12"/>
      <color theme="1"/>
      <name val="Univers"/>
      <family val="2"/>
    </font>
    <font>
      <b/>
      <sz val="14"/>
      <color rgb="FF00FF99"/>
      <name val="Univers"/>
      <family val="2"/>
    </font>
    <font>
      <sz val="14"/>
      <color rgb="FF00DA82"/>
      <name val="Univers"/>
      <family val="2"/>
    </font>
    <font>
      <sz val="16"/>
      <color theme="0"/>
      <name val="Univers"/>
      <family val="2"/>
    </font>
    <font>
      <sz val="11"/>
      <color rgb="FFFFFF00"/>
      <name val="Calibri"/>
      <family val="2"/>
      <scheme val="minor"/>
    </font>
    <font>
      <b/>
      <sz val="22"/>
      <color rgb="FF72CCFE"/>
      <name val="Aptos"/>
      <family val="2"/>
    </font>
    <font>
      <b/>
      <sz val="16"/>
      <color rgb="FF00FF99"/>
      <name val="Aptos"/>
      <family val="2"/>
    </font>
  </fonts>
  <fills count="38">
    <fill>
      <patternFill patternType="none"/>
    </fill>
    <fill>
      <patternFill patternType="gray125"/>
    </fill>
    <fill>
      <patternFill patternType="solid">
        <fgColor rgb="FF2D2E37"/>
        <bgColor indexed="64"/>
      </patternFill>
    </fill>
    <fill>
      <patternFill patternType="solid">
        <fgColor rgb="FF393845"/>
        <bgColor indexed="64"/>
      </patternFill>
    </fill>
    <fill>
      <patternFill patternType="solid">
        <fgColor rgb="FF383A46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3E404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222B35"/>
        <bgColor rgb="FF000000"/>
      </patternFill>
    </fill>
    <fill>
      <patternFill patternType="solid">
        <fgColor rgb="FF576E8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E1F2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93B45"/>
        <bgColor indexed="64"/>
      </patternFill>
    </fill>
    <fill>
      <patternFill patternType="solid">
        <fgColor rgb="FFE6E7EA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4FF6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50637C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DA82"/>
        <bgColor indexed="64"/>
      </patternFill>
    </fill>
    <fill>
      <patternFill patternType="solid">
        <fgColor rgb="FF3C4B5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2F3A47"/>
        <bgColor indexed="64"/>
      </patternFill>
    </fill>
    <fill>
      <patternFill patternType="solid">
        <fgColor rgb="FF435265"/>
        <bgColor indexed="64"/>
      </patternFill>
    </fill>
    <fill>
      <patternFill patternType="solid">
        <fgColor rgb="FF2862A8"/>
        <bgColor indexed="64"/>
      </patternFill>
    </fill>
    <fill>
      <patternFill patternType="solid">
        <fgColor rgb="FF204D84"/>
        <bgColor indexed="64"/>
      </patternFill>
    </fill>
    <fill>
      <patternFill patternType="solid">
        <fgColor rgb="FF2D6CB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54677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432FF"/>
        <bgColor indexed="64"/>
      </patternFill>
    </fill>
    <fill>
      <patternFill patternType="solid">
        <fgColor rgb="FFC00000"/>
        <bgColor indexed="64"/>
      </patternFill>
    </fill>
  </fills>
  <borders count="104">
    <border>
      <left/>
      <right/>
      <top/>
      <bottom/>
      <diagonal/>
    </border>
    <border>
      <left/>
      <right/>
      <top style="thin">
        <color rgb="FF626262"/>
      </top>
      <bottom/>
      <diagonal/>
    </border>
    <border>
      <left/>
      <right style="thick">
        <color rgb="FF40424F"/>
      </right>
      <top style="thick">
        <color rgb="FF40424F"/>
      </top>
      <bottom style="thick">
        <color rgb="FF40424F"/>
      </bottom>
      <diagonal/>
    </border>
    <border>
      <left style="thin">
        <color rgb="FF626262"/>
      </left>
      <right/>
      <top style="thin">
        <color rgb="FF626262"/>
      </top>
      <bottom/>
      <diagonal/>
    </border>
    <border>
      <left style="thick">
        <color rgb="FF393845"/>
      </left>
      <right/>
      <top style="thick">
        <color rgb="FF393845"/>
      </top>
      <bottom style="thick">
        <color rgb="FF39384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rgb="FF0432FF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0" tint="-0.499984740745262"/>
      </bottom>
      <diagonal/>
    </border>
    <border>
      <left style="hair">
        <color rgb="FF0070C0"/>
      </left>
      <right style="hair">
        <color rgb="FF0070C0"/>
      </right>
      <top style="thin">
        <color auto="1"/>
      </top>
      <bottom style="hair">
        <color auto="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medium">
        <color theme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ck">
        <color rgb="FF3E404C"/>
      </right>
      <top style="thick">
        <color rgb="FF3E404C"/>
      </top>
      <bottom style="thick">
        <color rgb="FF3E404C"/>
      </bottom>
      <diagonal/>
    </border>
    <border>
      <left/>
      <right style="thin">
        <color rgb="FF626262"/>
      </right>
      <top style="thin">
        <color rgb="FF626262"/>
      </top>
      <bottom/>
      <diagonal/>
    </border>
    <border>
      <left style="thick">
        <color rgb="FF262530"/>
      </left>
      <right style="thick">
        <color rgb="FF232E33"/>
      </right>
      <top style="thick">
        <color rgb="FF262530"/>
      </top>
      <bottom style="thick">
        <color rgb="FF262530"/>
      </bottom>
      <diagonal/>
    </border>
    <border>
      <left/>
      <right/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ck">
        <color rgb="FF393845"/>
      </left>
      <right style="thick">
        <color rgb="FF393845"/>
      </right>
      <top style="thick">
        <color rgb="FF393845"/>
      </top>
      <bottom style="thick">
        <color rgb="FF393845"/>
      </bottom>
      <diagonal/>
    </border>
    <border>
      <left/>
      <right/>
      <top style="thick">
        <color rgb="FF393845"/>
      </top>
      <bottom style="thick">
        <color rgb="FF393845"/>
      </bottom>
      <diagonal/>
    </border>
    <border>
      <left/>
      <right style="thick">
        <color rgb="FF393845"/>
      </right>
      <top style="thick">
        <color rgb="FF393845"/>
      </top>
      <bottom style="thick">
        <color rgb="FF393845"/>
      </bottom>
      <diagonal/>
    </border>
    <border>
      <left style="thick">
        <color rgb="FF393845"/>
      </left>
      <right/>
      <top/>
      <bottom style="thick">
        <color rgb="FF393845"/>
      </bottom>
      <diagonal/>
    </border>
    <border>
      <left/>
      <right style="thick">
        <color rgb="FF393845"/>
      </right>
      <top/>
      <bottom style="thick">
        <color rgb="FF393845"/>
      </bottom>
      <diagonal/>
    </border>
    <border>
      <left style="thick">
        <color rgb="FF393845"/>
      </left>
      <right style="thick">
        <color rgb="FF393845"/>
      </right>
      <top/>
      <bottom style="thick">
        <color rgb="FF393845"/>
      </bottom>
      <diagonal/>
    </border>
    <border>
      <left/>
      <right/>
      <top/>
      <bottom style="thick">
        <color rgb="FF393845"/>
      </bottom>
      <diagonal/>
    </border>
    <border>
      <left/>
      <right/>
      <top/>
      <bottom style="thin">
        <color theme="1" tint="0.499984740745262"/>
      </bottom>
      <diagonal/>
    </border>
    <border>
      <left style="thick">
        <color rgb="FF393845"/>
      </left>
      <right style="thick">
        <color rgb="FF393845"/>
      </right>
      <top style="thick">
        <color rgb="FF393845"/>
      </top>
      <bottom style="thin">
        <color theme="0" tint="-0.499984740745262"/>
      </bottom>
      <diagonal/>
    </border>
    <border>
      <left style="thick">
        <color rgb="FF393845"/>
      </left>
      <right/>
      <top style="thick">
        <color rgb="FF393845"/>
      </top>
      <bottom style="thin">
        <color theme="0" tint="-0.499984740745262"/>
      </bottom>
      <diagonal/>
    </border>
    <border>
      <left/>
      <right/>
      <top style="thick">
        <color rgb="FF393845"/>
      </top>
      <bottom style="thin">
        <color theme="0" tint="-0.499984740745262"/>
      </bottom>
      <diagonal/>
    </border>
    <border>
      <left style="thick">
        <color rgb="FF393845"/>
      </left>
      <right/>
      <top style="thick">
        <color rgb="FF393845"/>
      </top>
      <bottom style="thin">
        <color theme="0" tint="-0.24994659260841701"/>
      </bottom>
      <diagonal/>
    </border>
    <border>
      <left/>
      <right style="thick">
        <color rgb="FF393845"/>
      </right>
      <top style="thick">
        <color rgb="FF393845"/>
      </top>
      <bottom style="thin">
        <color theme="0" tint="-0.24994659260841701"/>
      </bottom>
      <diagonal/>
    </border>
    <border>
      <left style="thick">
        <color rgb="FF393845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n">
        <color theme="0" tint="-0.499984740745262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rgb="FF393845"/>
      </left>
      <right style="thick">
        <color rgb="FF393845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ck">
        <color rgb="FF393B45"/>
      </left>
      <right style="thick">
        <color rgb="FF393B45"/>
      </right>
      <top style="thick">
        <color rgb="FF393B45"/>
      </top>
      <bottom style="thick">
        <color rgb="FF393B45"/>
      </bottom>
      <diagonal/>
    </border>
    <border>
      <left style="thick">
        <color rgb="FFE1E1E1"/>
      </left>
      <right/>
      <top/>
      <bottom/>
      <diagonal/>
    </border>
    <border>
      <left/>
      <right/>
      <top style="thick">
        <color rgb="FF393845"/>
      </top>
      <bottom style="thin">
        <color theme="0" tint="-0.24994659260841701"/>
      </bottom>
      <diagonal/>
    </border>
    <border>
      <left style="thick">
        <color rgb="FF393845"/>
      </left>
      <right style="thick">
        <color rgb="FF393845"/>
      </right>
      <top style="thick">
        <color rgb="FF393845"/>
      </top>
      <bottom style="thin">
        <color theme="0" tint="-0.24994659260841701"/>
      </bottom>
      <diagonal/>
    </border>
    <border>
      <left/>
      <right style="thick">
        <color rgb="FF393845"/>
      </right>
      <top style="thick">
        <color rgb="FF393845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medium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ck">
        <color rgb="FF393845"/>
      </left>
      <right/>
      <top/>
      <bottom style="medium">
        <color theme="0" tint="-0.499984740745262"/>
      </bottom>
      <diagonal/>
    </border>
    <border>
      <left style="thick">
        <color rgb="FF393845"/>
      </left>
      <right style="thick">
        <color rgb="FF393845"/>
      </right>
      <top style="thick">
        <color rgb="FF393845"/>
      </top>
      <bottom style="medium">
        <color theme="0" tint="-0.499984740745262"/>
      </bottom>
      <diagonal/>
    </border>
    <border>
      <left/>
      <right style="thick">
        <color rgb="FF393845"/>
      </right>
      <top/>
      <bottom style="thin">
        <color theme="0" tint="-0.24994659260841701"/>
      </bottom>
      <diagonal/>
    </border>
    <border>
      <left style="thick">
        <color rgb="FF393845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677E9D"/>
      </bottom>
      <diagonal/>
    </border>
    <border>
      <left style="thick">
        <color rgb="FF393B45"/>
      </left>
      <right style="thick">
        <color rgb="FF393B45"/>
      </right>
      <top/>
      <bottom style="thick">
        <color rgb="FF393B45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n">
        <color indexed="64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n">
        <color theme="0" tint="-0.499984740745262"/>
      </top>
      <bottom style="thick">
        <color theme="0"/>
      </bottom>
      <diagonal/>
    </border>
    <border>
      <left/>
      <right style="thick">
        <color theme="0"/>
      </right>
      <top style="thin">
        <color theme="0" tint="-0.499984740745262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 tint="-0.499984740745262"/>
      </top>
      <bottom style="thick">
        <color theme="0"/>
      </bottom>
      <diagonal/>
    </border>
    <border>
      <left style="thick">
        <color rgb="FFE1E1E1"/>
      </left>
      <right/>
      <top/>
      <bottom style="thick">
        <color rgb="FFE1E1E1"/>
      </bottom>
      <diagonal/>
    </border>
    <border>
      <left/>
      <right style="thick">
        <color rgb="FFE1E1E1"/>
      </right>
      <top/>
      <bottom style="thick">
        <color rgb="FFE1E1E1"/>
      </bottom>
      <diagonal/>
    </border>
    <border>
      <left/>
      <right/>
      <top/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/>
      <bottom/>
      <diagonal/>
    </border>
    <border>
      <left/>
      <right style="thick">
        <color rgb="FFE1E1E1"/>
      </right>
      <top/>
      <bottom/>
      <diagonal/>
    </border>
    <border>
      <left style="thick">
        <color rgb="FFE1E1E1"/>
      </left>
      <right/>
      <top style="thick">
        <color rgb="FFE1E1E1"/>
      </top>
      <bottom style="thick">
        <color rgb="FFE1E1E1"/>
      </bottom>
      <diagonal/>
    </border>
    <border>
      <left/>
      <right style="thick">
        <color rgb="FFE1E1E1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ck">
        <color rgb="FFE1E1E1"/>
      </top>
      <bottom/>
      <diagonal/>
    </border>
    <border>
      <left style="thick">
        <color rgb="FFE1E1E1"/>
      </left>
      <right style="thick">
        <color rgb="FFE1E1E1"/>
      </right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theme="0"/>
      </left>
      <right style="thick">
        <color rgb="FFE1E1E1"/>
      </right>
      <top style="thick">
        <color theme="0"/>
      </top>
      <bottom style="thick">
        <color theme="0"/>
      </bottom>
      <diagonal/>
    </border>
    <border>
      <left style="thick">
        <color rgb="FFE1E1E1"/>
      </left>
      <right style="thick">
        <color rgb="FFE1E1E1"/>
      </right>
      <top style="thick">
        <color theme="0"/>
      </top>
      <bottom style="thick">
        <color theme="0"/>
      </bottom>
      <diagonal/>
    </border>
    <border>
      <left style="thick">
        <color rgb="FFE1E1E1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70">
    <xf numFmtId="0" fontId="0" fillId="0" borderId="0"/>
    <xf numFmtId="43" fontId="12" fillId="0" borderId="0" applyFont="0" applyFill="0" applyBorder="0" applyAlignment="0" applyProtection="0"/>
    <xf numFmtId="41" fontId="11" fillId="0" borderId="0"/>
    <xf numFmtId="0" fontId="13" fillId="0" borderId="0"/>
    <xf numFmtId="14" fontId="14" fillId="2" borderId="2" applyProtection="0">
      <alignment horizontal="center" vertical="center"/>
    </xf>
    <xf numFmtId="166" fontId="14" fillId="2" borderId="2">
      <alignment horizontal="center" vertical="center"/>
    </xf>
    <xf numFmtId="0" fontId="16" fillId="0" borderId="0"/>
    <xf numFmtId="0" fontId="19" fillId="0" borderId="0">
      <alignment vertical="center"/>
    </xf>
    <xf numFmtId="9" fontId="12" fillId="0" borderId="0" applyFont="0" applyFill="0" applyBorder="0" applyAlignment="0" applyProtection="0"/>
    <xf numFmtId="167" fontId="14" fillId="2" borderId="2" applyProtection="0">
      <alignment horizontal="center" vertical="center"/>
    </xf>
    <xf numFmtId="0" fontId="21" fillId="0" borderId="0"/>
    <xf numFmtId="43" fontId="21" fillId="0" borderId="0" applyFont="0" applyFill="0" applyBorder="0" applyAlignment="0" applyProtection="0"/>
    <xf numFmtId="0" fontId="12" fillId="0" borderId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41" fontId="11" fillId="0" borderId="0"/>
    <xf numFmtId="0" fontId="16" fillId="0" borderId="0"/>
    <xf numFmtId="0" fontId="27" fillId="0" borderId="0"/>
    <xf numFmtId="0" fontId="31" fillId="5" borderId="11" applyNumberFormat="0" applyAlignment="0" applyProtection="0"/>
    <xf numFmtId="166" fontId="8" fillId="0" borderId="0"/>
    <xf numFmtId="9" fontId="16" fillId="0" borderId="0" applyFont="0" applyFill="0" applyBorder="0" applyAlignment="0" applyProtection="0"/>
    <xf numFmtId="0" fontId="13" fillId="0" borderId="0"/>
    <xf numFmtId="170" fontId="14" fillId="2" borderId="2" applyProtection="0">
      <alignment horizontal="center" vertical="center"/>
    </xf>
    <xf numFmtId="171" fontId="14" fillId="2" borderId="2" applyProtection="0">
      <alignment horizontal="center" vertical="center"/>
    </xf>
    <xf numFmtId="172" fontId="14" fillId="2" borderId="2" applyProtection="0">
      <alignment horizontal="center" vertical="center"/>
    </xf>
    <xf numFmtId="0" fontId="16" fillId="0" borderId="0"/>
    <xf numFmtId="41" fontId="32" fillId="0" borderId="0" applyNumberFormat="0" applyFill="0" applyBorder="0" applyAlignment="0" applyProtection="0"/>
    <xf numFmtId="0" fontId="11" fillId="6" borderId="12" applyNumberFormat="0" applyFont="0" applyAlignment="0" applyProtection="0"/>
    <xf numFmtId="173" fontId="23" fillId="7" borderId="15" applyProtection="0">
      <alignment horizontal="center" vertical="center"/>
    </xf>
    <xf numFmtId="41" fontId="18" fillId="2" borderId="3">
      <alignment vertical="center"/>
    </xf>
    <xf numFmtId="41" fontId="17" fillId="2" borderId="14">
      <alignment horizontal="left" vertical="center"/>
    </xf>
    <xf numFmtId="41" fontId="18" fillId="2" borderId="1">
      <alignment horizontal="left" vertical="center" indent="2"/>
    </xf>
    <xf numFmtId="0" fontId="15" fillId="2" borderId="13" applyProtection="0">
      <alignment horizontal="left" vertical="center" indent="1"/>
      <protection locked="0"/>
    </xf>
    <xf numFmtId="174" fontId="23" fillId="7" borderId="15">
      <alignment horizontal="center" vertical="center"/>
    </xf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21" fillId="0" borderId="0"/>
    <xf numFmtId="175" fontId="8" fillId="0" borderId="0" applyFill="0" applyBorder="0">
      <alignment horizontal="right" shrinkToFit="1"/>
    </xf>
    <xf numFmtId="0" fontId="21" fillId="0" borderId="0"/>
    <xf numFmtId="0" fontId="16" fillId="0" borderId="0"/>
    <xf numFmtId="9" fontId="2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27" fillId="0" borderId="0"/>
    <xf numFmtId="166" fontId="7" fillId="0" borderId="0"/>
    <xf numFmtId="166" fontId="6" fillId="0" borderId="0"/>
    <xf numFmtId="0" fontId="6" fillId="0" borderId="0"/>
    <xf numFmtId="9" fontId="13" fillId="0" borderId="0" applyFont="0" applyFill="0" applyBorder="0" applyAlignment="0" applyProtection="0"/>
    <xf numFmtId="0" fontId="6" fillId="0" borderId="0"/>
    <xf numFmtId="0" fontId="11" fillId="0" borderId="0"/>
    <xf numFmtId="9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0" fontId="21" fillId="0" borderId="0"/>
    <xf numFmtId="0" fontId="3" fillId="0" borderId="0"/>
    <xf numFmtId="43" fontId="3" fillId="0" borderId="0" applyFont="0" applyFill="0" applyBorder="0" applyAlignment="0" applyProtection="0"/>
    <xf numFmtId="0" fontId="13" fillId="0" borderId="0"/>
    <xf numFmtId="9" fontId="3" fillId="0" borderId="0" applyFont="0" applyFill="0" applyBorder="0" applyAlignment="0" applyProtection="0"/>
    <xf numFmtId="0" fontId="2" fillId="0" borderId="0"/>
    <xf numFmtId="0" fontId="27" fillId="0" borderId="0"/>
    <xf numFmtId="0" fontId="103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1" fillId="0" borderId="0"/>
  </cellStyleXfs>
  <cellXfs count="645">
    <xf numFmtId="0" fontId="0" fillId="0" borderId="0" xfId="0"/>
    <xf numFmtId="0" fontId="21" fillId="0" borderId="0" xfId="10"/>
    <xf numFmtId="0" fontId="9" fillId="0" borderId="0" xfId="10" applyFont="1"/>
    <xf numFmtId="0" fontId="6" fillId="8" borderId="0" xfId="50" applyFill="1"/>
    <xf numFmtId="0" fontId="10" fillId="9" borderId="0" xfId="50" applyFont="1" applyFill="1"/>
    <xf numFmtId="41" fontId="40" fillId="4" borderId="0" xfId="2" applyFont="1" applyFill="1" applyAlignment="1">
      <alignment horizontal="left" vertical="center" indent="1"/>
    </xf>
    <xf numFmtId="41" fontId="41" fillId="12" borderId="0" xfId="2" applyFont="1" applyFill="1" applyAlignment="1">
      <alignment horizontal="left" vertical="center"/>
    </xf>
    <xf numFmtId="41" fontId="41" fillId="12" borderId="0" xfId="2" applyFont="1" applyFill="1" applyAlignment="1">
      <alignment horizontal="left" vertical="center" indent="1"/>
    </xf>
    <xf numFmtId="14" fontId="17" fillId="2" borderId="0" xfId="12" applyNumberFormat="1" applyFont="1" applyFill="1" applyAlignment="1">
      <alignment vertical="top"/>
    </xf>
    <xf numFmtId="0" fontId="12" fillId="0" borderId="0" xfId="10" applyFont="1"/>
    <xf numFmtId="1" fontId="17" fillId="2" borderId="24" xfId="4" applyNumberFormat="1" applyFont="1" applyBorder="1" applyAlignment="1">
      <alignment horizontal="left" vertical="center" indent="2"/>
    </xf>
    <xf numFmtId="1" fontId="17" fillId="2" borderId="25" xfId="4" applyNumberFormat="1" applyFont="1" applyBorder="1" applyAlignment="1">
      <alignment horizontal="left" vertical="center" indent="2"/>
    </xf>
    <xf numFmtId="1" fontId="17" fillId="2" borderId="4" xfId="4" applyNumberFormat="1" applyFont="1" applyBorder="1" applyAlignment="1">
      <alignment horizontal="left" vertical="center" indent="2"/>
    </xf>
    <xf numFmtId="1" fontId="17" fillId="2" borderId="23" xfId="4" applyNumberFormat="1" applyFont="1" applyBorder="1" applyAlignment="1">
      <alignment horizontal="left" vertical="center" indent="2"/>
    </xf>
    <xf numFmtId="1" fontId="17" fillId="2" borderId="22" xfId="4" applyNumberFormat="1" applyFont="1" applyBorder="1" applyAlignment="1">
      <alignment horizontal="left" vertical="center" indent="2"/>
    </xf>
    <xf numFmtId="41" fontId="36" fillId="12" borderId="0" xfId="2" applyFont="1" applyFill="1" applyAlignment="1">
      <alignment horizontal="left" vertical="center"/>
    </xf>
    <xf numFmtId="0" fontId="12" fillId="0" borderId="0" xfId="0" applyFont="1"/>
    <xf numFmtId="41" fontId="42" fillId="12" borderId="0" xfId="2" applyFont="1" applyFill="1" applyAlignment="1">
      <alignment horizontal="left" vertical="center"/>
    </xf>
    <xf numFmtId="0" fontId="43" fillId="2" borderId="0" xfId="12" applyFont="1" applyFill="1" applyAlignment="1">
      <alignment horizontal="left" vertical="center" indent="1"/>
    </xf>
    <xf numFmtId="0" fontId="48" fillId="0" borderId="0" xfId="0" applyFont="1"/>
    <xf numFmtId="165" fontId="25" fillId="2" borderId="21" xfId="1" applyNumberFormat="1" applyFont="1" applyFill="1" applyBorder="1" applyAlignment="1">
      <alignment horizontal="center" vertical="center"/>
    </xf>
    <xf numFmtId="0" fontId="17" fillId="3" borderId="0" xfId="6" applyFont="1" applyFill="1" applyAlignment="1">
      <alignment horizontal="center"/>
    </xf>
    <xf numFmtId="165" fontId="25" fillId="2" borderId="26" xfId="1" applyNumberFormat="1" applyFont="1" applyFill="1" applyBorder="1" applyAlignment="1">
      <alignment horizontal="center" vertical="center"/>
    </xf>
    <xf numFmtId="1" fontId="50" fillId="2" borderId="24" xfId="4" applyNumberFormat="1" applyFont="1" applyBorder="1" applyAlignment="1">
      <alignment horizontal="left" vertical="center" indent="3"/>
    </xf>
    <xf numFmtId="1" fontId="17" fillId="2" borderId="27" xfId="4" applyNumberFormat="1" applyFont="1" applyBorder="1" applyAlignment="1">
      <alignment horizontal="left" vertical="center" indent="2"/>
    </xf>
    <xf numFmtId="1" fontId="17" fillId="2" borderId="30" xfId="4" applyNumberFormat="1" applyFont="1" applyBorder="1" applyAlignment="1">
      <alignment horizontal="left" vertical="center" indent="2"/>
    </xf>
    <xf numFmtId="1" fontId="17" fillId="2" borderId="31" xfId="4" applyNumberFormat="1" applyFont="1" applyBorder="1" applyAlignment="1">
      <alignment horizontal="left" vertical="center" indent="2"/>
    </xf>
    <xf numFmtId="165" fontId="52" fillId="2" borderId="29" xfId="1" applyNumberFormat="1" applyFont="1" applyFill="1" applyBorder="1" applyAlignment="1">
      <alignment horizontal="center" vertical="center"/>
    </xf>
    <xf numFmtId="165" fontId="51" fillId="2" borderId="26" xfId="1" applyNumberFormat="1" applyFont="1" applyFill="1" applyBorder="1" applyAlignment="1">
      <alignment horizontal="right" vertical="center" indent="1"/>
    </xf>
    <xf numFmtId="165" fontId="51" fillId="2" borderId="21" xfId="1" applyNumberFormat="1" applyFont="1" applyFill="1" applyBorder="1" applyAlignment="1">
      <alignment horizontal="right" vertical="center" indent="1"/>
    </xf>
    <xf numFmtId="165" fontId="51" fillId="2" borderId="29" xfId="1" applyNumberFormat="1" applyFont="1" applyFill="1" applyBorder="1" applyAlignment="1">
      <alignment horizontal="right" vertical="center" indent="1"/>
    </xf>
    <xf numFmtId="176" fontId="25" fillId="2" borderId="26" xfId="1" applyNumberFormat="1" applyFont="1" applyFill="1" applyBorder="1" applyAlignment="1">
      <alignment horizontal="right" vertical="center" indent="2"/>
    </xf>
    <xf numFmtId="176" fontId="25" fillId="2" borderId="21" xfId="1" applyNumberFormat="1" applyFont="1" applyFill="1" applyBorder="1" applyAlignment="1">
      <alignment horizontal="right" vertical="center" indent="2"/>
    </xf>
    <xf numFmtId="176" fontId="25" fillId="2" borderId="29" xfId="1" applyNumberFormat="1" applyFont="1" applyFill="1" applyBorder="1" applyAlignment="1">
      <alignment horizontal="right" vertical="center" indent="2"/>
    </xf>
    <xf numFmtId="177" fontId="25" fillId="2" borderId="21" xfId="1" applyNumberFormat="1" applyFont="1" applyFill="1" applyBorder="1" applyAlignment="1">
      <alignment horizontal="right" vertical="center" indent="2"/>
    </xf>
    <xf numFmtId="177" fontId="25" fillId="2" borderId="26" xfId="8" applyNumberFormat="1" applyFont="1" applyFill="1" applyBorder="1" applyAlignment="1">
      <alignment horizontal="right" vertical="center" indent="2"/>
    </xf>
    <xf numFmtId="176" fontId="53" fillId="2" borderId="26" xfId="1" applyNumberFormat="1" applyFont="1" applyFill="1" applyBorder="1" applyAlignment="1">
      <alignment horizontal="right" vertical="center" indent="2"/>
    </xf>
    <xf numFmtId="165" fontId="53" fillId="2" borderId="26" xfId="1" applyNumberFormat="1" applyFont="1" applyFill="1" applyBorder="1" applyAlignment="1">
      <alignment horizontal="right" vertical="center" indent="1"/>
    </xf>
    <xf numFmtId="165" fontId="53" fillId="2" borderId="26" xfId="1" applyNumberFormat="1" applyFont="1" applyFill="1" applyBorder="1" applyAlignment="1">
      <alignment horizontal="center" vertical="center"/>
    </xf>
    <xf numFmtId="168" fontId="25" fillId="2" borderId="29" xfId="8" applyNumberFormat="1" applyFont="1" applyFill="1" applyBorder="1" applyAlignment="1">
      <alignment horizontal="right" vertical="center" indent="2"/>
    </xf>
    <xf numFmtId="178" fontId="41" fillId="12" borderId="0" xfId="2" applyNumberFormat="1" applyFont="1" applyFill="1" applyAlignment="1">
      <alignment horizontal="left" vertical="center" indent="1"/>
    </xf>
    <xf numFmtId="178" fontId="41" fillId="12" borderId="20" xfId="2" applyNumberFormat="1" applyFont="1" applyFill="1" applyBorder="1" applyAlignment="1">
      <alignment horizontal="left" vertical="center" indent="1"/>
    </xf>
    <xf numFmtId="178" fontId="41" fillId="12" borderId="0" xfId="6" applyNumberFormat="1" applyFont="1" applyFill="1" applyAlignment="1">
      <alignment horizontal="right" vertical="center"/>
    </xf>
    <xf numFmtId="165" fontId="41" fillId="12" borderId="0" xfId="6" applyNumberFormat="1" applyFont="1" applyFill="1" applyAlignment="1">
      <alignment vertical="center"/>
    </xf>
    <xf numFmtId="178" fontId="41" fillId="12" borderId="0" xfId="2" applyNumberFormat="1" applyFont="1" applyFill="1" applyAlignment="1">
      <alignment vertical="center"/>
    </xf>
    <xf numFmtId="178" fontId="41" fillId="12" borderId="0" xfId="6" applyNumberFormat="1" applyFont="1" applyFill="1" applyAlignment="1">
      <alignment vertical="center"/>
    </xf>
    <xf numFmtId="178" fontId="41" fillId="12" borderId="28" xfId="6" applyNumberFormat="1" applyFont="1" applyFill="1" applyBorder="1" applyAlignment="1">
      <alignment vertical="center"/>
    </xf>
    <xf numFmtId="178" fontId="42" fillId="12" borderId="0" xfId="6" applyNumberFormat="1" applyFont="1" applyFill="1" applyAlignment="1">
      <alignment vertical="center"/>
    </xf>
    <xf numFmtId="178" fontId="46" fillId="12" borderId="0" xfId="8" applyNumberFormat="1" applyFont="1" applyFill="1" applyBorder="1" applyAlignment="1">
      <alignment vertical="center"/>
    </xf>
    <xf numFmtId="9" fontId="39" fillId="12" borderId="37" xfId="8" applyFont="1" applyFill="1" applyBorder="1" applyAlignment="1">
      <alignment horizontal="right" vertical="center" indent="1"/>
    </xf>
    <xf numFmtId="9" fontId="39" fillId="12" borderId="36" xfId="8" applyFont="1" applyFill="1" applyBorder="1" applyAlignment="1">
      <alignment horizontal="right" vertical="center" indent="1"/>
    </xf>
    <xf numFmtId="178" fontId="58" fillId="12" borderId="0" xfId="2" applyNumberFormat="1" applyFont="1" applyFill="1" applyAlignment="1">
      <alignment vertical="center"/>
    </xf>
    <xf numFmtId="178" fontId="58" fillId="12" borderId="0" xfId="6" applyNumberFormat="1" applyFont="1" applyFill="1" applyAlignment="1">
      <alignment vertical="center"/>
    </xf>
    <xf numFmtId="178" fontId="58" fillId="12" borderId="28" xfId="6" applyNumberFormat="1" applyFont="1" applyFill="1" applyBorder="1" applyAlignment="1">
      <alignment vertical="center"/>
    </xf>
    <xf numFmtId="178" fontId="58" fillId="12" borderId="0" xfId="6" applyNumberFormat="1" applyFont="1" applyFill="1" applyAlignment="1">
      <alignment horizontal="right" vertical="center"/>
    </xf>
    <xf numFmtId="178" fontId="58" fillId="12" borderId="0" xfId="8" applyNumberFormat="1" applyFont="1" applyFill="1" applyBorder="1" applyAlignment="1">
      <alignment vertical="center"/>
    </xf>
    <xf numFmtId="0" fontId="59" fillId="3" borderId="34" xfId="6" applyFont="1" applyFill="1" applyBorder="1" applyAlignment="1">
      <alignment horizontal="right" indent="2"/>
    </xf>
    <xf numFmtId="0" fontId="59" fillId="3" borderId="35" xfId="6" applyFont="1" applyFill="1" applyBorder="1" applyAlignment="1">
      <alignment horizontal="right" indent="2"/>
    </xf>
    <xf numFmtId="178" fontId="10" fillId="2" borderId="21" xfId="1" applyNumberFormat="1" applyFont="1" applyFill="1" applyBorder="1" applyAlignment="1">
      <alignment horizontal="right" vertical="center" indent="1"/>
    </xf>
    <xf numFmtId="178" fontId="53" fillId="2" borderId="26" xfId="1" applyNumberFormat="1" applyFont="1" applyFill="1" applyBorder="1" applyAlignment="1">
      <alignment horizontal="right" vertical="center" indent="1"/>
    </xf>
    <xf numFmtId="178" fontId="10" fillId="2" borderId="26" xfId="1" applyNumberFormat="1" applyFont="1" applyFill="1" applyBorder="1" applyAlignment="1">
      <alignment horizontal="right" vertical="center" indent="1"/>
    </xf>
    <xf numFmtId="1" fontId="61" fillId="2" borderId="33" xfId="4" applyNumberFormat="1" applyFont="1" applyBorder="1" applyAlignment="1">
      <alignment horizontal="left" vertical="center" indent="1"/>
    </xf>
    <xf numFmtId="0" fontId="5" fillId="0" borderId="0" xfId="57"/>
    <xf numFmtId="0" fontId="5" fillId="0" borderId="17" xfId="57" applyBorder="1"/>
    <xf numFmtId="0" fontId="10" fillId="9" borderId="0" xfId="57" applyFont="1" applyFill="1"/>
    <xf numFmtId="0" fontId="10" fillId="9" borderId="0" xfId="57" applyFont="1" applyFill="1" applyAlignment="1">
      <alignment horizontal="center"/>
    </xf>
    <xf numFmtId="17" fontId="5" fillId="0" borderId="0" xfId="57" applyNumberFormat="1" applyAlignment="1">
      <alignment horizontal="left"/>
    </xf>
    <xf numFmtId="164" fontId="5" fillId="0" borderId="0" xfId="1" applyNumberFormat="1" applyFont="1" applyAlignment="1">
      <alignment horizontal="right"/>
    </xf>
    <xf numFmtId="17" fontId="5" fillId="0" borderId="38" xfId="57" applyNumberFormat="1" applyBorder="1" applyAlignment="1">
      <alignment horizontal="right"/>
    </xf>
    <xf numFmtId="0" fontId="5" fillId="0" borderId="0" xfId="57" applyAlignment="1">
      <alignment vertical="center"/>
    </xf>
    <xf numFmtId="0" fontId="5" fillId="0" borderId="17" xfId="57" applyBorder="1" applyAlignment="1">
      <alignment vertical="center"/>
    </xf>
    <xf numFmtId="17" fontId="5" fillId="0" borderId="0" xfId="57" applyNumberFormat="1" applyAlignment="1">
      <alignment horizontal="left" vertical="center"/>
    </xf>
    <xf numFmtId="17" fontId="5" fillId="0" borderId="38" xfId="57" applyNumberFormat="1" applyBorder="1" applyAlignment="1">
      <alignment horizontal="left" vertical="center"/>
    </xf>
    <xf numFmtId="164" fontId="5" fillId="0" borderId="0" xfId="1" applyNumberFormat="1" applyFont="1" applyAlignment="1">
      <alignment horizontal="right" vertical="center"/>
    </xf>
    <xf numFmtId="17" fontId="5" fillId="0" borderId="17" xfId="57" applyNumberFormat="1" applyBorder="1" applyAlignment="1">
      <alignment horizontal="left" vertical="center"/>
    </xf>
    <xf numFmtId="0" fontId="5" fillId="14" borderId="19" xfId="57" applyFill="1" applyBorder="1"/>
    <xf numFmtId="0" fontId="63" fillId="14" borderId="0" xfId="57" applyFont="1" applyFill="1"/>
    <xf numFmtId="0" fontId="63" fillId="14" borderId="19" xfId="57" applyFont="1" applyFill="1" applyBorder="1" applyAlignment="1">
      <alignment horizontal="right"/>
    </xf>
    <xf numFmtId="0" fontId="63" fillId="14" borderId="39" xfId="57" applyFont="1" applyFill="1" applyBorder="1" applyAlignment="1">
      <alignment horizontal="left"/>
    </xf>
    <xf numFmtId="0" fontId="63" fillId="14" borderId="39" xfId="57" applyFont="1" applyFill="1" applyBorder="1" applyAlignment="1">
      <alignment horizontal="right"/>
    </xf>
    <xf numFmtId="43" fontId="5" fillId="0" borderId="0" xfId="1" applyFont="1" applyAlignment="1">
      <alignment horizontal="right" vertical="center"/>
    </xf>
    <xf numFmtId="0" fontId="62" fillId="9" borderId="0" xfId="57" applyFont="1" applyFill="1"/>
    <xf numFmtId="164" fontId="5" fillId="0" borderId="17" xfId="57" applyNumberFormat="1" applyBorder="1" applyAlignment="1">
      <alignment vertical="center"/>
    </xf>
    <xf numFmtId="9" fontId="63" fillId="14" borderId="39" xfId="8" applyFont="1" applyFill="1" applyBorder="1" applyAlignment="1">
      <alignment horizontal="right"/>
    </xf>
    <xf numFmtId="0" fontId="63" fillId="14" borderId="19" xfId="57" applyFont="1" applyFill="1" applyBorder="1" applyAlignment="1">
      <alignment horizontal="left"/>
    </xf>
    <xf numFmtId="0" fontId="0" fillId="0" borderId="0" xfId="0" applyAlignment="1">
      <alignment wrapText="1"/>
    </xf>
    <xf numFmtId="0" fontId="12" fillId="0" borderId="0" xfId="10" applyFont="1" applyAlignment="1">
      <alignment wrapText="1"/>
    </xf>
    <xf numFmtId="41" fontId="36" fillId="12" borderId="0" xfId="2" applyFont="1" applyFill="1" applyAlignment="1">
      <alignment horizontal="left" vertical="center" wrapText="1"/>
    </xf>
    <xf numFmtId="41" fontId="42" fillId="12" borderId="0" xfId="2" applyFont="1" applyFill="1" applyAlignment="1">
      <alignment horizontal="left" vertical="center" wrapText="1"/>
    </xf>
    <xf numFmtId="169" fontId="39" fillId="12" borderId="36" xfId="6" applyNumberFormat="1" applyFont="1" applyFill="1" applyBorder="1" applyAlignment="1">
      <alignment horizontal="right" vertical="center" wrapText="1"/>
    </xf>
    <xf numFmtId="41" fontId="40" fillId="4" borderId="0" xfId="2" applyFont="1" applyFill="1" applyAlignment="1">
      <alignment horizontal="left" vertical="center" wrapText="1"/>
    </xf>
    <xf numFmtId="0" fontId="5" fillId="0" borderId="17" xfId="57" applyBorder="1" applyAlignment="1">
      <alignment horizontal="right"/>
    </xf>
    <xf numFmtId="0" fontId="4" fillId="0" borderId="17" xfId="57" applyFont="1" applyBorder="1"/>
    <xf numFmtId="0" fontId="5" fillId="0" borderId="19" xfId="57" applyBorder="1"/>
    <xf numFmtId="17" fontId="4" fillId="0" borderId="38" xfId="57" applyNumberFormat="1" applyFont="1" applyBorder="1" applyAlignment="1">
      <alignment horizontal="left" vertical="center"/>
    </xf>
    <xf numFmtId="164" fontId="5" fillId="0" borderId="17" xfId="1" applyNumberFormat="1" applyFont="1" applyBorder="1" applyAlignment="1">
      <alignment horizontal="right" vertical="center"/>
    </xf>
    <xf numFmtId="164" fontId="64" fillId="0" borderId="17" xfId="1" applyNumberFormat="1" applyFont="1" applyBorder="1" applyAlignment="1">
      <alignment horizontal="right" vertical="center"/>
    </xf>
    <xf numFmtId="0" fontId="5" fillId="0" borderId="17" xfId="57" applyBorder="1" applyAlignment="1">
      <alignment horizontal="left" vertical="center"/>
    </xf>
    <xf numFmtId="43" fontId="5" fillId="0" borderId="17" xfId="1" applyFont="1" applyBorder="1" applyAlignment="1">
      <alignment horizontal="right" vertical="center"/>
    </xf>
    <xf numFmtId="10" fontId="5" fillId="0" borderId="17" xfId="8" applyNumberFormat="1" applyFont="1" applyBorder="1" applyAlignment="1">
      <alignment horizontal="right" vertical="center"/>
    </xf>
    <xf numFmtId="0" fontId="4" fillId="0" borderId="17" xfId="57" applyFont="1" applyBorder="1" applyAlignment="1">
      <alignment vertical="center"/>
    </xf>
    <xf numFmtId="1" fontId="5" fillId="0" borderId="0" xfId="1" applyNumberFormat="1" applyFont="1" applyAlignment="1">
      <alignment horizontal="center" vertical="center"/>
    </xf>
    <xf numFmtId="179" fontId="5" fillId="0" borderId="17" xfId="57" applyNumberFormat="1" applyBorder="1"/>
    <xf numFmtId="17" fontId="65" fillId="0" borderId="0" xfId="57" applyNumberFormat="1" applyFont="1" applyAlignment="1">
      <alignment horizontal="left" vertical="center"/>
    </xf>
    <xf numFmtId="1" fontId="66" fillId="0" borderId="0" xfId="1" applyNumberFormat="1" applyFont="1" applyAlignment="1">
      <alignment horizontal="left" vertical="center"/>
    </xf>
    <xf numFmtId="1" fontId="66" fillId="0" borderId="0" xfId="1" applyNumberFormat="1" applyFont="1" applyAlignment="1">
      <alignment horizontal="center" vertical="center"/>
    </xf>
    <xf numFmtId="1" fontId="66" fillId="8" borderId="0" xfId="1" applyNumberFormat="1" applyFont="1" applyFill="1" applyAlignment="1">
      <alignment horizontal="left" vertical="center"/>
    </xf>
    <xf numFmtId="178" fontId="34" fillId="12" borderId="0" xfId="2" applyNumberFormat="1" applyFont="1" applyFill="1" applyAlignment="1">
      <alignment horizontal="left" vertical="center"/>
    </xf>
    <xf numFmtId="178" fontId="34" fillId="12" borderId="0" xfId="6" applyNumberFormat="1" applyFont="1" applyFill="1" applyAlignment="1">
      <alignment vertical="center"/>
    </xf>
    <xf numFmtId="1" fontId="17" fillId="2" borderId="24" xfId="4" applyNumberFormat="1" applyFont="1" applyBorder="1" applyAlignment="1">
      <alignment horizontal="left" vertical="center" indent="1"/>
    </xf>
    <xf numFmtId="0" fontId="60" fillId="3" borderId="35" xfId="6" applyFont="1" applyFill="1" applyBorder="1" applyAlignment="1">
      <alignment horizontal="center"/>
    </xf>
    <xf numFmtId="176" fontId="49" fillId="2" borderId="21" xfId="1" applyNumberFormat="1" applyFont="1" applyFill="1" applyBorder="1" applyAlignment="1">
      <alignment horizontal="right" vertical="center"/>
    </xf>
    <xf numFmtId="180" fontId="51" fillId="2" borderId="21" xfId="1" applyNumberFormat="1" applyFont="1" applyFill="1" applyBorder="1" applyAlignment="1">
      <alignment horizontal="right" vertical="center" indent="1"/>
    </xf>
    <xf numFmtId="178" fontId="54" fillId="3" borderId="34" xfId="6" applyNumberFormat="1" applyFont="1" applyFill="1" applyBorder="1" applyAlignment="1">
      <alignment horizontal="right" vertical="center" indent="2"/>
    </xf>
    <xf numFmtId="0" fontId="54" fillId="3" borderId="35" xfId="6" applyFont="1" applyFill="1" applyBorder="1" applyAlignment="1">
      <alignment horizontal="right" vertical="center" indent="1"/>
    </xf>
    <xf numFmtId="178" fontId="54" fillId="3" borderId="42" xfId="6" applyNumberFormat="1" applyFont="1" applyFill="1" applyBorder="1" applyAlignment="1">
      <alignment horizontal="right" vertical="center" indent="2"/>
    </xf>
    <xf numFmtId="0" fontId="68" fillId="0" borderId="0" xfId="6" applyFont="1" applyAlignment="1">
      <alignment horizontal="center"/>
    </xf>
    <xf numFmtId="1" fontId="28" fillId="13" borderId="17" xfId="6" applyNumberFormat="1" applyFont="1" applyFill="1" applyBorder="1" applyAlignment="1">
      <alignment horizontal="center" vertical="center" wrapText="1"/>
    </xf>
    <xf numFmtId="1" fontId="68" fillId="0" borderId="7" xfId="16" applyNumberFormat="1" applyFont="1" applyBorder="1" applyAlignment="1">
      <alignment horizontal="center" vertical="center"/>
    </xf>
    <xf numFmtId="14" fontId="68" fillId="0" borderId="6" xfId="16" applyNumberFormat="1" applyFont="1" applyBorder="1" applyAlignment="1">
      <alignment horizontal="left" vertical="center" indent="1"/>
    </xf>
    <xf numFmtId="1" fontId="68" fillId="0" borderId="6" xfId="16" applyNumberFormat="1" applyFont="1" applyBorder="1" applyAlignment="1">
      <alignment horizontal="center" vertical="center"/>
    </xf>
    <xf numFmtId="14" fontId="68" fillId="0" borderId="7" xfId="16" applyNumberFormat="1" applyFont="1" applyBorder="1" applyAlignment="1">
      <alignment horizontal="left" vertical="center" indent="1"/>
    </xf>
    <xf numFmtId="1" fontId="68" fillId="0" borderId="8" xfId="16" applyNumberFormat="1" applyFont="1" applyBorder="1" applyAlignment="1">
      <alignment horizontal="center" vertical="center"/>
    </xf>
    <xf numFmtId="14" fontId="68" fillId="0" borderId="8" xfId="16" applyNumberFormat="1" applyFont="1" applyBorder="1" applyAlignment="1">
      <alignment horizontal="left" vertical="center" indent="1"/>
    </xf>
    <xf numFmtId="1" fontId="68" fillId="0" borderId="9" xfId="16" applyNumberFormat="1" applyFont="1" applyBorder="1" applyAlignment="1">
      <alignment horizontal="center" vertical="center"/>
    </xf>
    <xf numFmtId="14" fontId="68" fillId="0" borderId="9" xfId="16" applyNumberFormat="1" applyFont="1" applyBorder="1" applyAlignment="1">
      <alignment horizontal="left" vertical="center" indent="1"/>
    </xf>
    <xf numFmtId="1" fontId="68" fillId="0" borderId="10" xfId="16" applyNumberFormat="1" applyFont="1" applyBorder="1" applyAlignment="1">
      <alignment horizontal="center" vertical="center"/>
    </xf>
    <xf numFmtId="14" fontId="68" fillId="0" borderId="10" xfId="16" applyNumberFormat="1" applyFont="1" applyBorder="1" applyAlignment="1">
      <alignment horizontal="left" vertical="center" indent="1"/>
    </xf>
    <xf numFmtId="14" fontId="22" fillId="0" borderId="6" xfId="16" applyNumberFormat="1" applyFont="1" applyBorder="1" applyAlignment="1">
      <alignment horizontal="left" vertical="center" indent="1"/>
    </xf>
    <xf numFmtId="0" fontId="28" fillId="15" borderId="17" xfId="6" applyFont="1" applyFill="1" applyBorder="1" applyAlignment="1">
      <alignment horizontal="center" vertical="center" wrapText="1"/>
    </xf>
    <xf numFmtId="0" fontId="29" fillId="16" borderId="43" xfId="17" applyFont="1" applyFill="1" applyBorder="1" applyAlignment="1">
      <alignment horizontal="center" vertical="center"/>
    </xf>
    <xf numFmtId="0" fontId="29" fillId="16" borderId="16" xfId="17" applyFont="1" applyFill="1" applyBorder="1" applyAlignment="1">
      <alignment horizontal="center" vertical="center"/>
    </xf>
    <xf numFmtId="0" fontId="29" fillId="16" borderId="44" xfId="17" applyFont="1" applyFill="1" applyBorder="1" applyAlignment="1">
      <alignment horizontal="center" vertical="center"/>
    </xf>
    <xf numFmtId="0" fontId="29" fillId="16" borderId="5" xfId="17" applyFont="1" applyFill="1" applyBorder="1" applyAlignment="1">
      <alignment horizontal="left" vertical="center"/>
    </xf>
    <xf numFmtId="0" fontId="29" fillId="16" borderId="5" xfId="17" applyFont="1" applyFill="1" applyBorder="1" applyAlignment="1">
      <alignment horizontal="center" vertical="center"/>
    </xf>
    <xf numFmtId="173" fontId="26" fillId="16" borderId="44" xfId="17" applyNumberFormat="1" applyFont="1" applyFill="1" applyBorder="1" applyAlignment="1">
      <alignment horizontal="right" vertical="center"/>
    </xf>
    <xf numFmtId="0" fontId="67" fillId="0" borderId="0" xfId="6" applyFont="1" applyAlignment="1">
      <alignment horizontal="right" vertical="center" wrapText="1"/>
    </xf>
    <xf numFmtId="0" fontId="0" fillId="0" borderId="0" xfId="0" applyAlignment="1">
      <alignment horizontal="right"/>
    </xf>
    <xf numFmtId="173" fontId="68" fillId="0" borderId="6" xfId="16" applyNumberFormat="1" applyFont="1" applyBorder="1" applyAlignment="1">
      <alignment horizontal="right" vertical="center"/>
    </xf>
    <xf numFmtId="173" fontId="68" fillId="0" borderId="7" xfId="16" applyNumberFormat="1" applyFont="1" applyBorder="1" applyAlignment="1">
      <alignment horizontal="right" vertical="center"/>
    </xf>
    <xf numFmtId="173" fontId="68" fillId="0" borderId="8" xfId="16" applyNumberFormat="1" applyFont="1" applyBorder="1" applyAlignment="1">
      <alignment horizontal="right" vertical="center"/>
    </xf>
    <xf numFmtId="173" fontId="68" fillId="0" borderId="9" xfId="16" applyNumberFormat="1" applyFont="1" applyBorder="1" applyAlignment="1">
      <alignment horizontal="right" vertical="center"/>
    </xf>
    <xf numFmtId="173" fontId="68" fillId="0" borderId="10" xfId="16" applyNumberFormat="1" applyFont="1" applyBorder="1" applyAlignment="1">
      <alignment horizontal="right" vertical="center"/>
    </xf>
    <xf numFmtId="14" fontId="0" fillId="0" borderId="0" xfId="0" applyNumberFormat="1"/>
    <xf numFmtId="1" fontId="28" fillId="17" borderId="38" xfId="6" applyNumberFormat="1" applyFont="1" applyFill="1" applyBorder="1" applyAlignment="1">
      <alignment horizontal="center" vertical="center" wrapText="1"/>
    </xf>
    <xf numFmtId="164" fontId="27" fillId="18" borderId="48" xfId="34" applyNumberFormat="1" applyFont="1" applyFill="1" applyBorder="1" applyAlignment="1">
      <alignment horizontal="center" vertical="center"/>
    </xf>
    <xf numFmtId="9" fontId="72" fillId="2" borderId="33" xfId="8" applyFont="1" applyFill="1" applyBorder="1" applyAlignment="1">
      <alignment horizontal="center" vertical="center"/>
    </xf>
    <xf numFmtId="1" fontId="17" fillId="2" borderId="24" xfId="4" applyNumberFormat="1" applyFont="1" applyBorder="1" applyAlignment="1">
      <alignment horizontal="left" vertical="center" indent="3"/>
    </xf>
    <xf numFmtId="1" fontId="47" fillId="2" borderId="51" xfId="4" applyNumberFormat="1" applyFont="1" applyBorder="1" applyAlignment="1">
      <alignment horizontal="left" vertical="center" indent="1"/>
    </xf>
    <xf numFmtId="14" fontId="70" fillId="2" borderId="49" xfId="58" applyNumberFormat="1" applyFont="1" applyFill="1" applyBorder="1" applyAlignment="1">
      <alignment horizontal="right" vertical="center" indent="1"/>
    </xf>
    <xf numFmtId="1" fontId="17" fillId="2" borderId="51" xfId="4" applyNumberFormat="1" applyFont="1" applyBorder="1" applyAlignment="1">
      <alignment horizontal="left" vertical="center" indent="2"/>
    </xf>
    <xf numFmtId="178" fontId="10" fillId="2" borderId="52" xfId="1" applyNumberFormat="1" applyFont="1" applyFill="1" applyBorder="1" applyAlignment="1">
      <alignment horizontal="right" vertical="center" indent="1"/>
    </xf>
    <xf numFmtId="168" fontId="25" fillId="2" borderId="49" xfId="8" applyNumberFormat="1" applyFont="1" applyFill="1" applyBorder="1" applyAlignment="1">
      <alignment horizontal="right" vertical="center" indent="1"/>
    </xf>
    <xf numFmtId="176" fontId="25" fillId="2" borderId="49" xfId="1" applyNumberFormat="1" applyFont="1" applyFill="1" applyBorder="1" applyAlignment="1">
      <alignment horizontal="right" vertical="center" indent="1"/>
    </xf>
    <xf numFmtId="9" fontId="25" fillId="2" borderId="49" xfId="8" applyFont="1" applyFill="1" applyBorder="1" applyAlignment="1">
      <alignment horizontal="right" vertical="center" indent="1"/>
    </xf>
    <xf numFmtId="165" fontId="10" fillId="2" borderId="26" xfId="1" applyNumberFormat="1" applyFont="1" applyFill="1" applyBorder="1" applyAlignment="1">
      <alignment horizontal="center" vertical="center"/>
    </xf>
    <xf numFmtId="165" fontId="10" fillId="2" borderId="21" xfId="1" applyNumberFormat="1" applyFont="1" applyFill="1" applyBorder="1" applyAlignment="1">
      <alignment horizontal="center" vertical="center"/>
    </xf>
    <xf numFmtId="165" fontId="73" fillId="2" borderId="26" xfId="1" applyNumberFormat="1" applyFont="1" applyFill="1" applyBorder="1" applyAlignment="1">
      <alignment horizontal="right" vertical="center" indent="1"/>
    </xf>
    <xf numFmtId="165" fontId="73" fillId="2" borderId="21" xfId="1" applyNumberFormat="1" applyFont="1" applyFill="1" applyBorder="1" applyAlignment="1">
      <alignment horizontal="right" vertical="center" indent="1"/>
    </xf>
    <xf numFmtId="178" fontId="73" fillId="2" borderId="21" xfId="1" applyNumberFormat="1" applyFont="1" applyFill="1" applyBorder="1" applyAlignment="1">
      <alignment horizontal="right" vertical="center" indent="1"/>
    </xf>
    <xf numFmtId="165" fontId="73" fillId="2" borderId="29" xfId="1" applyNumberFormat="1" applyFont="1" applyFill="1" applyBorder="1" applyAlignment="1">
      <alignment horizontal="right" vertical="center" indent="1"/>
    </xf>
    <xf numFmtId="1" fontId="74" fillId="2" borderId="32" xfId="4" applyNumberFormat="1" applyFont="1" applyBorder="1" applyAlignment="1">
      <alignment horizontal="left" vertical="center" indent="1"/>
    </xf>
    <xf numFmtId="1" fontId="69" fillId="2" borderId="32" xfId="4" applyNumberFormat="1" applyFont="1" applyBorder="1" applyAlignment="1">
      <alignment horizontal="left" vertical="center" indent="1"/>
    </xf>
    <xf numFmtId="1" fontId="17" fillId="2" borderId="32" xfId="4" applyNumberFormat="1" applyFont="1" applyBorder="1" applyAlignment="1">
      <alignment horizontal="left" vertical="center" indent="2"/>
    </xf>
    <xf numFmtId="181" fontId="25" fillId="2" borderId="26" xfId="8" applyNumberFormat="1" applyFont="1" applyFill="1" applyBorder="1" applyAlignment="1">
      <alignment horizontal="right" vertical="center" indent="2"/>
    </xf>
    <xf numFmtId="14" fontId="75" fillId="2" borderId="26" xfId="1" applyNumberFormat="1" applyFont="1" applyFill="1" applyBorder="1" applyAlignment="1">
      <alignment horizontal="right" vertical="center" indent="1"/>
    </xf>
    <xf numFmtId="178" fontId="73" fillId="2" borderId="29" xfId="1" applyNumberFormat="1" applyFont="1" applyFill="1" applyBorder="1" applyAlignment="1">
      <alignment horizontal="right" vertical="center" indent="1"/>
    </xf>
    <xf numFmtId="183" fontId="61" fillId="2" borderId="23" xfId="1" applyNumberFormat="1" applyFont="1" applyFill="1" applyBorder="1" applyAlignment="1">
      <alignment horizontal="right" vertical="center" indent="2"/>
    </xf>
    <xf numFmtId="168" fontId="25" fillId="2" borderId="23" xfId="8" applyNumberFormat="1" applyFont="1" applyFill="1" applyBorder="1" applyAlignment="1">
      <alignment horizontal="right" vertical="center" indent="2"/>
    </xf>
    <xf numFmtId="10" fontId="25" fillId="2" borderId="53" xfId="8" applyNumberFormat="1" applyFont="1" applyFill="1" applyBorder="1" applyAlignment="1">
      <alignment horizontal="right" vertical="center" indent="2"/>
    </xf>
    <xf numFmtId="9" fontId="53" fillId="2" borderId="26" xfId="8" applyFont="1" applyFill="1" applyBorder="1" applyAlignment="1">
      <alignment horizontal="right" vertical="center" indent="2"/>
    </xf>
    <xf numFmtId="1" fontId="76" fillId="2" borderId="4" xfId="4" applyNumberFormat="1" applyFont="1" applyBorder="1" applyAlignment="1">
      <alignment horizontal="left" vertical="center" indent="1"/>
    </xf>
    <xf numFmtId="178" fontId="73" fillId="2" borderId="26" xfId="1" applyNumberFormat="1" applyFont="1" applyFill="1" applyBorder="1" applyAlignment="1">
      <alignment horizontal="right" vertical="center" indent="1"/>
    </xf>
    <xf numFmtId="1" fontId="77" fillId="2" borderId="27" xfId="4" applyNumberFormat="1" applyFont="1" applyBorder="1" applyAlignment="1">
      <alignment horizontal="left" vertical="center" indent="2"/>
    </xf>
    <xf numFmtId="1" fontId="33" fillId="11" borderId="18" xfId="21" applyNumberFormat="1" applyFont="1" applyFill="1" applyBorder="1" applyAlignment="1">
      <alignment horizontal="left" vertical="center" indent="1"/>
    </xf>
    <xf numFmtId="0" fontId="54" fillId="3" borderId="35" xfId="6" applyFont="1" applyFill="1" applyBorder="1" applyAlignment="1">
      <alignment horizontal="center" vertical="center"/>
    </xf>
    <xf numFmtId="1" fontId="78" fillId="2" borderId="25" xfId="4" applyNumberFormat="1" applyFont="1" applyBorder="1" applyAlignment="1">
      <alignment horizontal="left" vertical="center" indent="2"/>
    </xf>
    <xf numFmtId="1" fontId="78" fillId="2" borderId="23" xfId="4" applyNumberFormat="1" applyFont="1" applyBorder="1" applyAlignment="1">
      <alignment horizontal="left" vertical="center" indent="2"/>
    </xf>
    <xf numFmtId="1" fontId="78" fillId="2" borderId="22" xfId="4" applyNumberFormat="1" applyFont="1" applyBorder="1" applyAlignment="1">
      <alignment horizontal="left" vertical="center" indent="2"/>
    </xf>
    <xf numFmtId="1" fontId="78" fillId="2" borderId="31" xfId="4" applyNumberFormat="1" applyFont="1" applyBorder="1" applyAlignment="1">
      <alignment horizontal="left" vertical="center" indent="2"/>
    </xf>
    <xf numFmtId="1" fontId="28" fillId="19" borderId="17" xfId="6" applyNumberFormat="1" applyFont="1" applyFill="1" applyBorder="1" applyAlignment="1">
      <alignment horizontal="center" vertical="center" wrapText="1"/>
    </xf>
    <xf numFmtId="0" fontId="28" fillId="19" borderId="41" xfId="6" applyFont="1" applyFill="1" applyBorder="1" applyAlignment="1">
      <alignment horizontal="center" vertical="center" wrapText="1"/>
    </xf>
    <xf numFmtId="1" fontId="28" fillId="20" borderId="17" xfId="6" applyNumberFormat="1" applyFont="1" applyFill="1" applyBorder="1" applyAlignment="1">
      <alignment horizontal="center" vertical="center" wrapText="1"/>
    </xf>
    <xf numFmtId="0" fontId="28" fillId="20" borderId="17" xfId="6" applyFont="1" applyFill="1" applyBorder="1" applyAlignment="1">
      <alignment horizontal="center" vertical="center" wrapText="1"/>
    </xf>
    <xf numFmtId="181" fontId="68" fillId="0" borderId="7" xfId="16" applyNumberFormat="1" applyFont="1" applyBorder="1" applyAlignment="1">
      <alignment horizontal="center" vertical="center"/>
    </xf>
    <xf numFmtId="181" fontId="68" fillId="0" borderId="6" xfId="16" applyNumberFormat="1" applyFont="1" applyBorder="1" applyAlignment="1">
      <alignment horizontal="center" vertical="center"/>
    </xf>
    <xf numFmtId="181" fontId="68" fillId="0" borderId="8" xfId="16" applyNumberFormat="1" applyFont="1" applyBorder="1" applyAlignment="1">
      <alignment horizontal="center" vertical="center"/>
    </xf>
    <xf numFmtId="181" fontId="68" fillId="0" borderId="9" xfId="16" applyNumberFormat="1" applyFont="1" applyBorder="1" applyAlignment="1">
      <alignment horizontal="center" vertical="center"/>
    </xf>
    <xf numFmtId="181" fontId="68" fillId="0" borderId="10" xfId="16" applyNumberFormat="1" applyFont="1" applyBorder="1" applyAlignment="1">
      <alignment horizontal="center" vertical="center"/>
    </xf>
    <xf numFmtId="1" fontId="28" fillId="9" borderId="18" xfId="6" applyNumberFormat="1" applyFont="1" applyFill="1" applyBorder="1" applyAlignment="1">
      <alignment horizontal="left" vertical="center" indent="1"/>
    </xf>
    <xf numFmtId="1" fontId="28" fillId="9" borderId="46" xfId="6" applyNumberFormat="1" applyFont="1" applyFill="1" applyBorder="1" applyAlignment="1">
      <alignment horizontal="left" vertical="center" indent="1"/>
    </xf>
    <xf numFmtId="1" fontId="28" fillId="19" borderId="40" xfId="6" applyNumberFormat="1" applyFont="1" applyFill="1" applyBorder="1" applyAlignment="1">
      <alignment horizontal="left" vertical="center" indent="2"/>
    </xf>
    <xf numFmtId="1" fontId="28" fillId="19" borderId="45" xfId="6" applyNumberFormat="1" applyFont="1" applyFill="1" applyBorder="1" applyAlignment="1">
      <alignment horizontal="left" vertical="center" indent="2"/>
    </xf>
    <xf numFmtId="0" fontId="35" fillId="9" borderId="0" xfId="21" applyFont="1" applyFill="1" applyAlignment="1">
      <alignment horizontal="left" indent="1"/>
    </xf>
    <xf numFmtId="0" fontId="28" fillId="21" borderId="17" xfId="6" applyFont="1" applyFill="1" applyBorder="1" applyAlignment="1">
      <alignment horizontal="center" vertical="center" wrapText="1"/>
    </xf>
    <xf numFmtId="0" fontId="67" fillId="22" borderId="17" xfId="6" applyFont="1" applyFill="1" applyBorder="1" applyAlignment="1">
      <alignment horizontal="center" vertical="center" wrapText="1"/>
    </xf>
    <xf numFmtId="178" fontId="34" fillId="12" borderId="0" xfId="2" applyNumberFormat="1" applyFont="1" applyFill="1" applyAlignment="1">
      <alignment horizontal="left" vertical="center" indent="2"/>
    </xf>
    <xf numFmtId="178" fontId="22" fillId="12" borderId="0" xfId="2" applyNumberFormat="1" applyFont="1" applyFill="1" applyAlignment="1">
      <alignment horizontal="left" vertical="center" indent="1"/>
    </xf>
    <xf numFmtId="178" fontId="44" fillId="12" borderId="0" xfId="2" applyNumberFormat="1" applyFont="1" applyFill="1" applyAlignment="1">
      <alignment horizontal="left" vertical="center"/>
    </xf>
    <xf numFmtId="178" fontId="22" fillId="12" borderId="0" xfId="6" applyNumberFormat="1" applyFont="1" applyFill="1" applyAlignment="1">
      <alignment vertical="center"/>
    </xf>
    <xf numFmtId="178" fontId="22" fillId="12" borderId="0" xfId="2" applyNumberFormat="1" applyFont="1" applyFill="1" applyAlignment="1">
      <alignment vertical="center"/>
    </xf>
    <xf numFmtId="178" fontId="10" fillId="2" borderId="21" xfId="1" applyNumberFormat="1" applyFont="1" applyFill="1" applyBorder="1" applyAlignment="1">
      <alignment horizontal="center" vertical="center"/>
    </xf>
    <xf numFmtId="165" fontId="38" fillId="12" borderId="0" xfId="1" applyNumberFormat="1" applyFont="1" applyFill="1" applyBorder="1" applyAlignment="1">
      <alignment horizontal="right" vertical="center"/>
    </xf>
    <xf numFmtId="8" fontId="38" fillId="12" borderId="0" xfId="6" applyNumberFormat="1" applyFont="1" applyFill="1" applyAlignment="1">
      <alignment horizontal="right" vertical="center"/>
    </xf>
    <xf numFmtId="9" fontId="39" fillId="12" borderId="0" xfId="8" applyFont="1" applyFill="1" applyBorder="1" applyAlignment="1">
      <alignment horizontal="right" vertical="center" indent="1"/>
    </xf>
    <xf numFmtId="0" fontId="12" fillId="0" borderId="0" xfId="10" applyFont="1" applyAlignment="1">
      <alignment horizontal="left"/>
    </xf>
    <xf numFmtId="14" fontId="17" fillId="2" borderId="0" xfId="12" applyNumberFormat="1" applyFont="1" applyFill="1" applyAlignment="1">
      <alignment horizontal="left" vertical="top"/>
    </xf>
    <xf numFmtId="9" fontId="39" fillId="12" borderId="0" xfId="8" applyFont="1" applyFill="1" applyBorder="1" applyAlignment="1">
      <alignment horizontal="left" vertical="center" indent="1"/>
    </xf>
    <xf numFmtId="165" fontId="22" fillId="12" borderId="0" xfId="5" applyNumberFormat="1" applyFont="1" applyFill="1" applyBorder="1" applyAlignment="1">
      <alignment horizontal="left" indent="2"/>
    </xf>
    <xf numFmtId="165" fontId="22" fillId="12" borderId="0" xfId="5" applyNumberFormat="1" applyFont="1" applyFill="1" applyBorder="1" applyAlignment="1">
      <alignment horizontal="right" vertical="center" indent="1" shrinkToFit="1"/>
    </xf>
    <xf numFmtId="165" fontId="22" fillId="12" borderId="0" xfId="5" applyNumberFormat="1" applyFont="1" applyFill="1" applyBorder="1" applyAlignment="1">
      <alignment horizontal="right" indent="1" shrinkToFit="1"/>
    </xf>
    <xf numFmtId="165" fontId="22" fillId="12" borderId="16" xfId="5" applyNumberFormat="1" applyFont="1" applyFill="1" applyBorder="1" applyAlignment="1">
      <alignment horizontal="left" indent="2" shrinkToFit="1"/>
    </xf>
    <xf numFmtId="165" fontId="22" fillId="12" borderId="16" xfId="5" applyNumberFormat="1" applyFont="1" applyFill="1" applyBorder="1" applyAlignment="1">
      <alignment horizontal="right" indent="1" shrinkToFit="1"/>
    </xf>
    <xf numFmtId="165" fontId="37" fillId="12" borderId="0" xfId="5" applyNumberFormat="1" applyFont="1" applyFill="1" applyBorder="1" applyAlignment="1">
      <alignment horizontal="right" indent="1" shrinkToFit="1"/>
    </xf>
    <xf numFmtId="0" fontId="0" fillId="12" borderId="0" xfId="0" applyFill="1"/>
    <xf numFmtId="0" fontId="22" fillId="0" borderId="0" xfId="0" applyFont="1"/>
    <xf numFmtId="0" fontId="22" fillId="12" borderId="0" xfId="0" applyFont="1" applyFill="1" applyAlignment="1">
      <alignment horizontal="left" indent="1"/>
    </xf>
    <xf numFmtId="168" fontId="22" fillId="12" borderId="0" xfId="8" applyNumberFormat="1" applyFont="1" applyFill="1"/>
    <xf numFmtId="1" fontId="28" fillId="19" borderId="18" xfId="6" applyNumberFormat="1" applyFont="1" applyFill="1" applyBorder="1" applyAlignment="1">
      <alignment horizontal="left" vertical="center" indent="1"/>
    </xf>
    <xf numFmtId="1" fontId="28" fillId="19" borderId="46" xfId="6" applyNumberFormat="1" applyFont="1" applyFill="1" applyBorder="1" applyAlignment="1">
      <alignment horizontal="left" vertical="center" indent="1"/>
    </xf>
    <xf numFmtId="165" fontId="22" fillId="12" borderId="0" xfId="5" applyNumberFormat="1" applyFont="1" applyFill="1" applyBorder="1" applyAlignment="1">
      <alignment shrinkToFit="1"/>
    </xf>
    <xf numFmtId="1" fontId="79" fillId="20" borderId="18" xfId="21" applyNumberFormat="1" applyFont="1" applyFill="1" applyBorder="1" applyAlignment="1">
      <alignment horizontal="left" vertical="center" indent="1"/>
    </xf>
    <xf numFmtId="1" fontId="79" fillId="20" borderId="18" xfId="21" applyNumberFormat="1" applyFont="1" applyFill="1" applyBorder="1" applyAlignment="1">
      <alignment horizontal="center" vertical="center"/>
    </xf>
    <xf numFmtId="1" fontId="79" fillId="23" borderId="18" xfId="21" applyNumberFormat="1" applyFont="1" applyFill="1" applyBorder="1" applyAlignment="1">
      <alignment horizontal="left" vertical="center" indent="1"/>
    </xf>
    <xf numFmtId="1" fontId="79" fillId="23" borderId="18" xfId="21" applyNumberFormat="1" applyFont="1" applyFill="1" applyBorder="1" applyAlignment="1">
      <alignment horizontal="center" vertical="center"/>
    </xf>
    <xf numFmtId="178" fontId="22" fillId="8" borderId="0" xfId="2" applyNumberFormat="1" applyFont="1" applyFill="1" applyAlignment="1">
      <alignment horizontal="center" vertical="center"/>
    </xf>
    <xf numFmtId="0" fontId="63" fillId="14" borderId="0" xfId="50" applyFont="1" applyFill="1" applyAlignment="1">
      <alignment horizontal="center"/>
    </xf>
    <xf numFmtId="173" fontId="68" fillId="24" borderId="6" xfId="16" applyNumberFormat="1" applyFont="1" applyFill="1" applyBorder="1" applyAlignment="1">
      <alignment horizontal="center" vertical="center"/>
    </xf>
    <xf numFmtId="173" fontId="68" fillId="24" borderId="7" xfId="16" applyNumberFormat="1" applyFont="1" applyFill="1" applyBorder="1" applyAlignment="1">
      <alignment horizontal="center" vertical="center"/>
    </xf>
    <xf numFmtId="173" fontId="68" fillId="24" borderId="8" xfId="16" applyNumberFormat="1" applyFont="1" applyFill="1" applyBorder="1" applyAlignment="1">
      <alignment horizontal="center" vertical="center"/>
    </xf>
    <xf numFmtId="173" fontId="68" fillId="24" borderId="9" xfId="16" applyNumberFormat="1" applyFont="1" applyFill="1" applyBorder="1" applyAlignment="1">
      <alignment horizontal="center" vertical="center"/>
    </xf>
    <xf numFmtId="173" fontId="68" fillId="24" borderId="10" xfId="16" applyNumberFormat="1" applyFont="1" applyFill="1" applyBorder="1" applyAlignment="1">
      <alignment horizontal="center" vertical="center"/>
    </xf>
    <xf numFmtId="178" fontId="34" fillId="8" borderId="0" xfId="2" applyNumberFormat="1" applyFont="1" applyFill="1" applyAlignment="1">
      <alignment horizontal="center" vertical="center"/>
    </xf>
    <xf numFmtId="0" fontId="82" fillId="10" borderId="0" xfId="21" applyFont="1" applyFill="1" applyAlignment="1">
      <alignment horizontal="left" vertical="center" indent="3"/>
    </xf>
    <xf numFmtId="0" fontId="82" fillId="10" borderId="0" xfId="21" applyFont="1" applyFill="1" applyAlignment="1">
      <alignment horizontal="left" vertical="top" indent="3"/>
    </xf>
    <xf numFmtId="0" fontId="30" fillId="9" borderId="0" xfId="50" applyFont="1" applyFill="1"/>
    <xf numFmtId="165" fontId="34" fillId="12" borderId="0" xfId="5" applyNumberFormat="1" applyFont="1" applyFill="1" applyBorder="1" applyAlignment="1">
      <alignment horizontal="left" vertical="center" indent="1" shrinkToFit="1"/>
    </xf>
    <xf numFmtId="1" fontId="33" fillId="11" borderId="47" xfId="21" applyNumberFormat="1" applyFont="1" applyFill="1" applyBorder="1" applyAlignment="1">
      <alignment horizontal="left" vertical="center" indent="1"/>
    </xf>
    <xf numFmtId="1" fontId="33" fillId="11" borderId="46" xfId="21" applyNumberFormat="1" applyFont="1" applyFill="1" applyBorder="1" applyAlignment="1">
      <alignment horizontal="left" vertical="center" indent="1"/>
    </xf>
    <xf numFmtId="8" fontId="41" fillId="12" borderId="0" xfId="6" applyNumberFormat="1" applyFont="1" applyFill="1" applyAlignment="1">
      <alignment horizontal="right" vertical="center"/>
    </xf>
    <xf numFmtId="184" fontId="39" fillId="12" borderId="0" xfId="8" applyNumberFormat="1" applyFont="1" applyFill="1" applyBorder="1" applyAlignment="1">
      <alignment horizontal="right" vertical="center" indent="1"/>
    </xf>
    <xf numFmtId="184" fontId="68" fillId="12" borderId="0" xfId="8" applyNumberFormat="1" applyFont="1" applyFill="1" applyBorder="1" applyAlignment="1">
      <alignment horizontal="right" vertical="center" indent="1"/>
    </xf>
    <xf numFmtId="0" fontId="45" fillId="3" borderId="54" xfId="6" applyFont="1" applyFill="1" applyBorder="1" applyAlignment="1">
      <alignment horizontal="left" vertical="center" indent="1"/>
    </xf>
    <xf numFmtId="0" fontId="18" fillId="3" borderId="55" xfId="6" applyFont="1" applyFill="1" applyBorder="1" applyAlignment="1">
      <alignment horizontal="left"/>
    </xf>
    <xf numFmtId="0" fontId="18" fillId="3" borderId="56" xfId="6" applyFont="1" applyFill="1" applyBorder="1" applyAlignment="1">
      <alignment horizontal="center"/>
    </xf>
    <xf numFmtId="0" fontId="45" fillId="3" borderId="57" xfId="6" applyFont="1" applyFill="1" applyBorder="1" applyAlignment="1">
      <alignment horizontal="left" vertical="center" indent="1"/>
    </xf>
    <xf numFmtId="0" fontId="18" fillId="3" borderId="58" xfId="6" applyFont="1" applyFill="1" applyBorder="1" applyAlignment="1">
      <alignment horizontal="center" wrapText="1"/>
    </xf>
    <xf numFmtId="0" fontId="18" fillId="3" borderId="0" xfId="6" applyFont="1" applyFill="1" applyAlignment="1">
      <alignment horizontal="left" vertical="center"/>
    </xf>
    <xf numFmtId="182" fontId="71" fillId="2" borderId="0" xfId="58" applyNumberFormat="1" applyFont="1" applyFill="1" applyAlignment="1">
      <alignment horizontal="right" vertical="center" indent="1"/>
    </xf>
    <xf numFmtId="0" fontId="45" fillId="3" borderId="57" xfId="6" applyFont="1" applyFill="1" applyBorder="1" applyAlignment="1">
      <alignment horizontal="left" vertical="center" wrapText="1"/>
    </xf>
    <xf numFmtId="0" fontId="18" fillId="3" borderId="0" xfId="6" applyFont="1" applyFill="1" applyAlignment="1">
      <alignment horizontal="left" vertical="center" wrapText="1"/>
    </xf>
    <xf numFmtId="0" fontId="18" fillId="3" borderId="0" xfId="6" applyFont="1" applyFill="1" applyAlignment="1">
      <alignment horizontal="left"/>
    </xf>
    <xf numFmtId="0" fontId="45" fillId="3" borderId="59" xfId="6" applyFont="1" applyFill="1" applyBorder="1" applyAlignment="1">
      <alignment horizontal="left" vertical="center" indent="1"/>
    </xf>
    <xf numFmtId="0" fontId="45" fillId="3" borderId="60" xfId="6" applyFont="1" applyFill="1" applyBorder="1" applyAlignment="1">
      <alignment horizontal="left" vertical="center" indent="1"/>
    </xf>
    <xf numFmtId="0" fontId="18" fillId="3" borderId="60" xfId="6" applyFont="1" applyFill="1" applyBorder="1" applyAlignment="1">
      <alignment horizontal="left" vertical="center"/>
    </xf>
    <xf numFmtId="178" fontId="45" fillId="3" borderId="60" xfId="6" applyNumberFormat="1" applyFont="1" applyFill="1" applyBorder="1" applyAlignment="1">
      <alignment horizontal="left" vertical="center" indent="1"/>
    </xf>
    <xf numFmtId="0" fontId="55" fillId="3" borderId="60" xfId="6" applyFont="1" applyFill="1" applyBorder="1" applyAlignment="1">
      <alignment horizontal="left" vertical="center"/>
    </xf>
    <xf numFmtId="0" fontId="56" fillId="3" borderId="60" xfId="6" applyFont="1" applyFill="1" applyBorder="1" applyAlignment="1">
      <alignment horizontal="left" vertical="center"/>
    </xf>
    <xf numFmtId="0" fontId="18" fillId="3" borderId="61" xfId="6" applyFont="1" applyFill="1" applyBorder="1" applyAlignment="1">
      <alignment horizontal="center" wrapText="1"/>
    </xf>
    <xf numFmtId="181" fontId="70" fillId="2" borderId="0" xfId="58" applyNumberFormat="1" applyFont="1" applyFill="1" applyAlignment="1">
      <alignment horizontal="right" vertical="center" indent="1"/>
    </xf>
    <xf numFmtId="1" fontId="17" fillId="2" borderId="60" xfId="4" applyNumberFormat="1" applyFont="1" applyBorder="1" applyAlignment="1">
      <alignment horizontal="left" vertical="center" indent="1"/>
    </xf>
    <xf numFmtId="1" fontId="20" fillId="2" borderId="62" xfId="4" applyNumberFormat="1" applyFont="1" applyBorder="1" applyAlignment="1">
      <alignment horizontal="left" vertical="center" indent="2"/>
    </xf>
    <xf numFmtId="182" fontId="84" fillId="2" borderId="60" xfId="58" applyNumberFormat="1" applyFont="1" applyFill="1" applyBorder="1" applyAlignment="1">
      <alignment horizontal="right" vertical="center" indent="1"/>
    </xf>
    <xf numFmtId="1" fontId="47" fillId="2" borderId="32" xfId="4" applyNumberFormat="1" applyFont="1" applyBorder="1" applyAlignment="1">
      <alignment horizontal="left" vertical="center" indent="1"/>
    </xf>
    <xf numFmtId="173" fontId="0" fillId="0" borderId="0" xfId="0" applyNumberFormat="1"/>
    <xf numFmtId="165" fontId="22" fillId="12" borderId="0" xfId="0" applyNumberFormat="1" applyFont="1" applyFill="1" applyAlignment="1">
      <alignment horizontal="left" indent="1"/>
    </xf>
    <xf numFmtId="185" fontId="25" fillId="2" borderId="21" xfId="1" applyNumberFormat="1" applyFont="1" applyFill="1" applyBorder="1" applyAlignment="1">
      <alignment horizontal="center" vertical="center"/>
    </xf>
    <xf numFmtId="0" fontId="59" fillId="3" borderId="64" xfId="6" applyFont="1" applyFill="1" applyBorder="1" applyAlignment="1">
      <alignment horizontal="right" indent="2"/>
    </xf>
    <xf numFmtId="43" fontId="0" fillId="8" borderId="0" xfId="1" applyFont="1" applyFill="1" applyAlignment="1">
      <alignment horizontal="center"/>
    </xf>
    <xf numFmtId="14" fontId="70" fillId="2" borderId="49" xfId="58" applyNumberFormat="1" applyFont="1" applyFill="1" applyBorder="1" applyAlignment="1">
      <alignment horizontal="center" vertical="center"/>
    </xf>
    <xf numFmtId="165" fontId="51" fillId="2" borderId="21" xfId="1" applyNumberFormat="1" applyFont="1" applyFill="1" applyBorder="1" applyAlignment="1">
      <alignment horizontal="center" vertical="center"/>
    </xf>
    <xf numFmtId="43" fontId="9" fillId="8" borderId="0" xfId="1" applyFont="1" applyFill="1" applyAlignment="1">
      <alignment horizontal="center"/>
    </xf>
    <xf numFmtId="178" fontId="54" fillId="3" borderId="34" xfId="6" applyNumberFormat="1" applyFont="1" applyFill="1" applyBorder="1" applyAlignment="1">
      <alignment horizontal="center" vertical="center"/>
    </xf>
    <xf numFmtId="165" fontId="73" fillId="2" borderId="26" xfId="1" applyNumberFormat="1" applyFont="1" applyFill="1" applyBorder="1" applyAlignment="1">
      <alignment horizontal="center" vertical="center"/>
    </xf>
    <xf numFmtId="165" fontId="73" fillId="2" borderId="21" xfId="1" applyNumberFormat="1" applyFont="1" applyFill="1" applyBorder="1" applyAlignment="1">
      <alignment horizontal="center" vertical="center"/>
    </xf>
    <xf numFmtId="178" fontId="73" fillId="2" borderId="21" xfId="1" applyNumberFormat="1" applyFont="1" applyFill="1" applyBorder="1" applyAlignment="1">
      <alignment horizontal="center" vertical="center"/>
    </xf>
    <xf numFmtId="165" fontId="73" fillId="2" borderId="29" xfId="1" applyNumberFormat="1" applyFont="1" applyFill="1" applyBorder="1" applyAlignment="1">
      <alignment horizontal="center" vertical="center"/>
    </xf>
    <xf numFmtId="1" fontId="34" fillId="12" borderId="0" xfId="4" applyNumberFormat="1" applyFont="1" applyFill="1" applyBorder="1" applyAlignment="1">
      <alignment horizontal="left" vertical="center" indent="1"/>
    </xf>
    <xf numFmtId="178" fontId="34" fillId="12" borderId="16" xfId="2" applyNumberFormat="1" applyFont="1" applyFill="1" applyBorder="1" applyAlignment="1">
      <alignment horizontal="left" vertical="center" indent="1"/>
    </xf>
    <xf numFmtId="178" fontId="41" fillId="12" borderId="0" xfId="2" applyNumberFormat="1" applyFont="1" applyFill="1" applyAlignment="1">
      <alignment horizontal="left" vertical="center" indent="2"/>
    </xf>
    <xf numFmtId="178" fontId="41" fillId="12" borderId="20" xfId="2" applyNumberFormat="1" applyFont="1" applyFill="1" applyBorder="1" applyAlignment="1">
      <alignment horizontal="left" vertical="center" indent="2"/>
    </xf>
    <xf numFmtId="178" fontId="44" fillId="12" borderId="0" xfId="2" applyNumberFormat="1" applyFont="1" applyFill="1" applyAlignment="1">
      <alignment horizontal="left" vertical="center" indent="1"/>
    </xf>
    <xf numFmtId="178" fontId="42" fillId="12" borderId="16" xfId="2" applyNumberFormat="1" applyFont="1" applyFill="1" applyBorder="1" applyAlignment="1">
      <alignment horizontal="left" vertical="center" indent="1"/>
    </xf>
    <xf numFmtId="9" fontId="30" fillId="2" borderId="21" xfId="8" applyFont="1" applyFill="1" applyBorder="1" applyAlignment="1">
      <alignment horizontal="right" vertical="center" indent="1"/>
    </xf>
    <xf numFmtId="1" fontId="83" fillId="2" borderId="4" xfId="4" applyNumberFormat="1" applyFont="1" applyBorder="1" applyAlignment="1">
      <alignment horizontal="left" vertical="center" indent="1"/>
    </xf>
    <xf numFmtId="1" fontId="18" fillId="2" borderId="24" xfId="4" applyNumberFormat="1" applyFont="1" applyBorder="1" applyAlignment="1">
      <alignment horizontal="left" vertical="center" indent="3"/>
    </xf>
    <xf numFmtId="14" fontId="25" fillId="2" borderId="26" xfId="8" applyNumberFormat="1" applyFont="1" applyFill="1" applyBorder="1" applyAlignment="1">
      <alignment horizontal="right" vertical="center" indent="2"/>
    </xf>
    <xf numFmtId="168" fontId="85" fillId="2" borderId="63" xfId="8" applyNumberFormat="1" applyFont="1" applyFill="1" applyBorder="1" applyAlignment="1">
      <alignment horizontal="right" vertical="center" indent="2"/>
    </xf>
    <xf numFmtId="182" fontId="86" fillId="2" borderId="60" xfId="58" applyNumberFormat="1" applyFont="1" applyFill="1" applyBorder="1" applyAlignment="1">
      <alignment horizontal="right" vertical="center" indent="1"/>
    </xf>
    <xf numFmtId="165" fontId="25" fillId="2" borderId="65" xfId="1" applyNumberFormat="1" applyFont="1" applyFill="1" applyBorder="1" applyAlignment="1">
      <alignment horizontal="left" vertical="center" indent="1"/>
    </xf>
    <xf numFmtId="165" fontId="25" fillId="2" borderId="0" xfId="1" applyNumberFormat="1" applyFont="1" applyFill="1" applyBorder="1" applyAlignment="1">
      <alignment horizontal="left" vertical="center" indent="1"/>
    </xf>
    <xf numFmtId="168" fontId="25" fillId="2" borderId="21" xfId="8" applyNumberFormat="1" applyFont="1" applyFill="1" applyBorder="1" applyAlignment="1">
      <alignment horizontal="right" vertical="center" indent="1"/>
    </xf>
    <xf numFmtId="10" fontId="25" fillId="2" borderId="29" xfId="8" applyNumberFormat="1" applyFont="1" applyFill="1" applyBorder="1" applyAlignment="1">
      <alignment horizontal="right" vertical="center" indent="1"/>
    </xf>
    <xf numFmtId="10" fontId="25" fillId="2" borderId="21" xfId="8" applyNumberFormat="1" applyFont="1" applyFill="1" applyBorder="1" applyAlignment="1">
      <alignment horizontal="right" vertical="center" indent="2"/>
    </xf>
    <xf numFmtId="185" fontId="30" fillId="2" borderId="21" xfId="1" applyNumberFormat="1" applyFont="1" applyFill="1" applyBorder="1" applyAlignment="1">
      <alignment horizontal="center" vertical="center"/>
    </xf>
    <xf numFmtId="181" fontId="30" fillId="2" borderId="26" xfId="8" applyNumberFormat="1" applyFont="1" applyFill="1" applyBorder="1" applyAlignment="1">
      <alignment horizontal="right" vertical="center" indent="2"/>
    </xf>
    <xf numFmtId="168" fontId="30" fillId="2" borderId="21" xfId="8" applyNumberFormat="1" applyFont="1" applyFill="1" applyBorder="1" applyAlignment="1">
      <alignment horizontal="right" vertical="center" indent="1"/>
    </xf>
    <xf numFmtId="10" fontId="30" fillId="2" borderId="29" xfId="8" applyNumberFormat="1" applyFont="1" applyFill="1" applyBorder="1" applyAlignment="1">
      <alignment horizontal="right" vertical="center" indent="1"/>
    </xf>
    <xf numFmtId="14" fontId="30" fillId="2" borderId="26" xfId="8" applyNumberFormat="1" applyFont="1" applyFill="1" applyBorder="1" applyAlignment="1">
      <alignment horizontal="right" vertical="center" indent="2"/>
    </xf>
    <xf numFmtId="0" fontId="30" fillId="3" borderId="0" xfId="6" applyFont="1" applyFill="1" applyAlignment="1">
      <alignment horizontal="center"/>
    </xf>
    <xf numFmtId="176" fontId="30" fillId="2" borderId="26" xfId="1" applyNumberFormat="1" applyFont="1" applyFill="1" applyBorder="1" applyAlignment="1">
      <alignment horizontal="right" vertical="center" indent="2"/>
    </xf>
    <xf numFmtId="176" fontId="30" fillId="2" borderId="21" xfId="1" applyNumberFormat="1" applyFont="1" applyFill="1" applyBorder="1" applyAlignment="1">
      <alignment horizontal="right" vertical="center" indent="2"/>
    </xf>
    <xf numFmtId="176" fontId="30" fillId="2" borderId="29" xfId="1" applyNumberFormat="1" applyFont="1" applyFill="1" applyBorder="1" applyAlignment="1">
      <alignment horizontal="right" vertical="center" indent="2"/>
    </xf>
    <xf numFmtId="177" fontId="30" fillId="2" borderId="26" xfId="8" applyNumberFormat="1" applyFont="1" applyFill="1" applyBorder="1" applyAlignment="1">
      <alignment horizontal="right" vertical="center" indent="2"/>
    </xf>
    <xf numFmtId="177" fontId="30" fillId="2" borderId="21" xfId="1" applyNumberFormat="1" applyFont="1" applyFill="1" applyBorder="1" applyAlignment="1">
      <alignment horizontal="right" vertical="center" indent="2"/>
    </xf>
    <xf numFmtId="10" fontId="30" fillId="2" borderId="21" xfId="8" applyNumberFormat="1" applyFont="1" applyFill="1" applyBorder="1" applyAlignment="1">
      <alignment horizontal="right" vertical="center" indent="2"/>
    </xf>
    <xf numFmtId="9" fontId="30" fillId="2" borderId="21" xfId="8" applyFont="1" applyFill="1" applyBorder="1" applyAlignment="1">
      <alignment horizontal="right" vertical="center" indent="2"/>
    </xf>
    <xf numFmtId="168" fontId="30" fillId="2" borderId="29" xfId="8" applyNumberFormat="1" applyFont="1" applyFill="1" applyBorder="1" applyAlignment="1">
      <alignment horizontal="right" vertical="center" indent="2"/>
    </xf>
    <xf numFmtId="0" fontId="30" fillId="3" borderId="0" xfId="6" applyFont="1" applyFill="1" applyAlignment="1">
      <alignment horizontal="left" vertical="center"/>
    </xf>
    <xf numFmtId="0" fontId="30" fillId="3" borderId="35" xfId="6" applyFont="1" applyFill="1" applyBorder="1" applyAlignment="1">
      <alignment horizontal="right" indent="2"/>
    </xf>
    <xf numFmtId="183" fontId="30" fillId="2" borderId="21" xfId="1" applyNumberFormat="1" applyFont="1" applyFill="1" applyBorder="1" applyAlignment="1">
      <alignment horizontal="center" vertical="center"/>
    </xf>
    <xf numFmtId="176" fontId="30" fillId="2" borderId="21" xfId="1" applyNumberFormat="1" applyFont="1" applyFill="1" applyBorder="1" applyAlignment="1">
      <alignment horizontal="right" vertical="center"/>
    </xf>
    <xf numFmtId="0" fontId="30" fillId="3" borderId="34" xfId="6" applyFont="1" applyFill="1" applyBorder="1" applyAlignment="1">
      <alignment horizontal="right" indent="2"/>
    </xf>
    <xf numFmtId="0" fontId="45" fillId="3" borderId="55" xfId="6" applyFont="1" applyFill="1" applyBorder="1" applyAlignment="1">
      <alignment horizontal="left" vertical="center" indent="1"/>
    </xf>
    <xf numFmtId="0" fontId="45" fillId="3" borderId="0" xfId="6" applyFont="1" applyFill="1" applyAlignment="1">
      <alignment horizontal="left" vertical="center" indent="1"/>
    </xf>
    <xf numFmtId="1" fontId="45" fillId="3" borderId="0" xfId="6" applyNumberFormat="1" applyFont="1" applyFill="1" applyAlignment="1">
      <alignment horizontal="left" vertical="center" indent="1"/>
    </xf>
    <xf numFmtId="186" fontId="30" fillId="2" borderId="65" xfId="1" applyNumberFormat="1" applyFont="1" applyFill="1" applyBorder="1" applyAlignment="1">
      <alignment horizontal="center" vertical="center"/>
    </xf>
    <xf numFmtId="0" fontId="17" fillId="3" borderId="0" xfId="6" applyFont="1" applyFill="1" applyAlignment="1">
      <alignment horizontal="left" vertical="center" indent="1"/>
    </xf>
    <xf numFmtId="0" fontId="87" fillId="3" borderId="0" xfId="6" applyFont="1" applyFill="1" applyAlignment="1">
      <alignment horizontal="left" vertical="center"/>
    </xf>
    <xf numFmtId="165" fontId="88" fillId="12" borderId="0" xfId="5" applyNumberFormat="1" applyFont="1" applyFill="1" applyBorder="1" applyAlignment="1">
      <alignment horizontal="right" vertical="center" indent="1" shrinkToFit="1"/>
    </xf>
    <xf numFmtId="1" fontId="33" fillId="11" borderId="46" xfId="21" applyNumberFormat="1" applyFont="1" applyFill="1" applyBorder="1" applyAlignment="1">
      <alignment horizontal="right" vertical="center" indent="1"/>
    </xf>
    <xf numFmtId="178" fontId="88" fillId="12" borderId="0" xfId="6" applyNumberFormat="1" applyFont="1" applyFill="1" applyAlignment="1">
      <alignment vertical="center"/>
    </xf>
    <xf numFmtId="1" fontId="61" fillId="2" borderId="32" xfId="4" applyNumberFormat="1" applyFont="1" applyBorder="1" applyAlignment="1">
      <alignment horizontal="left" vertical="center" indent="1"/>
    </xf>
    <xf numFmtId="178" fontId="34" fillId="12" borderId="0" xfId="2" applyNumberFormat="1" applyFont="1" applyFill="1" applyAlignment="1">
      <alignment horizontal="left" vertical="center" indent="1"/>
    </xf>
    <xf numFmtId="184" fontId="68" fillId="12" borderId="0" xfId="8" applyNumberFormat="1" applyFont="1" applyFill="1" applyBorder="1" applyAlignment="1">
      <alignment horizontal="right" vertical="center" indent="2"/>
    </xf>
    <xf numFmtId="165" fontId="22" fillId="12" borderId="35" xfId="5" applyNumberFormat="1" applyFont="1" applyFill="1" applyBorder="1" applyAlignment="1">
      <alignment horizontal="right" indent="1" shrinkToFit="1"/>
    </xf>
    <xf numFmtId="165" fontId="91" fillId="2" borderId="26" xfId="1" applyNumberFormat="1" applyFont="1" applyFill="1" applyBorder="1" applyAlignment="1">
      <alignment horizontal="center" vertical="center"/>
    </xf>
    <xf numFmtId="165" fontId="91" fillId="2" borderId="21" xfId="1" applyNumberFormat="1" applyFont="1" applyFill="1" applyBorder="1" applyAlignment="1">
      <alignment horizontal="center" vertical="center"/>
    </xf>
    <xf numFmtId="165" fontId="91" fillId="2" borderId="29" xfId="1" applyNumberFormat="1" applyFont="1" applyFill="1" applyBorder="1" applyAlignment="1">
      <alignment horizontal="center" vertical="center"/>
    </xf>
    <xf numFmtId="1" fontId="87" fillId="2" borderId="4" xfId="4" applyNumberFormat="1" applyFont="1" applyBorder="1" applyAlignment="1">
      <alignment horizontal="left" vertical="center" indent="1"/>
    </xf>
    <xf numFmtId="178" fontId="22" fillId="12" borderId="20" xfId="2" applyNumberFormat="1" applyFont="1" applyFill="1" applyBorder="1" applyAlignment="1">
      <alignment horizontal="left" vertical="center" indent="1"/>
    </xf>
    <xf numFmtId="178" fontId="22" fillId="12" borderId="28" xfId="6" applyNumberFormat="1" applyFont="1" applyFill="1" applyBorder="1" applyAlignment="1">
      <alignment vertical="center"/>
    </xf>
    <xf numFmtId="178" fontId="22" fillId="12" borderId="20" xfId="2" applyNumberFormat="1" applyFont="1" applyFill="1" applyBorder="1" applyAlignment="1">
      <alignment horizontal="left" vertical="center" indent="2"/>
    </xf>
    <xf numFmtId="178" fontId="22" fillId="12" borderId="0" xfId="8" applyNumberFormat="1" applyFont="1" applyFill="1" applyBorder="1" applyAlignment="1">
      <alignment vertical="center"/>
    </xf>
    <xf numFmtId="178" fontId="3" fillId="12" borderId="28" xfId="6" applyNumberFormat="1" applyFont="1" applyFill="1" applyBorder="1" applyAlignment="1">
      <alignment vertical="center"/>
    </xf>
    <xf numFmtId="178" fontId="3" fillId="12" borderId="0" xfId="8" applyNumberFormat="1" applyFont="1" applyFill="1" applyBorder="1" applyAlignment="1">
      <alignment vertical="center"/>
    </xf>
    <xf numFmtId="178" fontId="3" fillId="12" borderId="0" xfId="2" applyNumberFormat="1" applyFont="1" applyFill="1" applyAlignment="1">
      <alignment vertical="center"/>
    </xf>
    <xf numFmtId="165" fontId="22" fillId="12" borderId="0" xfId="6" applyNumberFormat="1" applyFont="1" applyFill="1" applyAlignment="1">
      <alignment vertical="center"/>
    </xf>
    <xf numFmtId="165" fontId="3" fillId="12" borderId="0" xfId="6" applyNumberFormat="1" applyFont="1" applyFill="1" applyAlignment="1">
      <alignment vertical="center"/>
    </xf>
    <xf numFmtId="41" fontId="63" fillId="12" borderId="0" xfId="2" applyFont="1" applyFill="1" applyAlignment="1">
      <alignment horizontal="left" vertical="center" wrapText="1"/>
    </xf>
    <xf numFmtId="178" fontId="3" fillId="12" borderId="0" xfId="6" applyNumberFormat="1" applyFont="1" applyFill="1" applyAlignment="1">
      <alignment vertical="center"/>
    </xf>
    <xf numFmtId="178" fontId="22" fillId="12" borderId="0" xfId="6" applyNumberFormat="1" applyFont="1" applyFill="1" applyAlignment="1">
      <alignment horizontal="right" vertical="center"/>
    </xf>
    <xf numFmtId="178" fontId="3" fillId="12" borderId="0" xfId="6" applyNumberFormat="1" applyFont="1" applyFill="1" applyAlignment="1">
      <alignment horizontal="right" vertical="center"/>
    </xf>
    <xf numFmtId="178" fontId="63" fillId="12" borderId="0" xfId="6" applyNumberFormat="1" applyFont="1" applyFill="1" applyAlignment="1">
      <alignment vertical="center"/>
    </xf>
    <xf numFmtId="178" fontId="34" fillId="12" borderId="66" xfId="2" applyNumberFormat="1" applyFont="1" applyFill="1" applyBorder="1" applyAlignment="1">
      <alignment horizontal="left" vertical="center"/>
    </xf>
    <xf numFmtId="178" fontId="34" fillId="12" borderId="66" xfId="6" applyNumberFormat="1" applyFont="1" applyFill="1" applyBorder="1" applyAlignment="1">
      <alignment vertical="center"/>
    </xf>
    <xf numFmtId="178" fontId="3" fillId="12" borderId="66" xfId="6" applyNumberFormat="1" applyFont="1" applyFill="1" applyBorder="1" applyAlignment="1">
      <alignment vertical="center"/>
    </xf>
    <xf numFmtId="41" fontId="36" fillId="12" borderId="67" xfId="2" applyFont="1" applyFill="1" applyBorder="1" applyAlignment="1">
      <alignment horizontal="left"/>
    </xf>
    <xf numFmtId="41" fontId="34" fillId="12" borderId="68" xfId="2" applyFont="1" applyFill="1" applyBorder="1" applyAlignment="1">
      <alignment horizontal="left"/>
    </xf>
    <xf numFmtId="41" fontId="34" fillId="12" borderId="69" xfId="2" applyFont="1" applyFill="1" applyBorder="1" applyAlignment="1">
      <alignment horizontal="left"/>
    </xf>
    <xf numFmtId="41" fontId="36" fillId="12" borderId="70" xfId="2" applyFont="1" applyFill="1" applyBorder="1" applyAlignment="1">
      <alignment horizontal="left" vertical="center"/>
    </xf>
    <xf numFmtId="165" fontId="38" fillId="12" borderId="71" xfId="1" applyNumberFormat="1" applyFont="1" applyFill="1" applyBorder="1" applyAlignment="1">
      <alignment horizontal="right" vertical="center"/>
    </xf>
    <xf numFmtId="8" fontId="22" fillId="12" borderId="0" xfId="6" applyNumberFormat="1" applyFont="1" applyFill="1" applyAlignment="1">
      <alignment horizontal="right" vertical="center"/>
    </xf>
    <xf numFmtId="41" fontId="22" fillId="12" borderId="0" xfId="2" applyFont="1" applyFill="1" applyAlignment="1">
      <alignment horizontal="left" vertical="center"/>
    </xf>
    <xf numFmtId="41" fontId="36" fillId="12" borderId="70" xfId="2" applyFont="1" applyFill="1" applyBorder="1" applyAlignment="1">
      <alignment horizontal="left" vertical="center" wrapText="1"/>
    </xf>
    <xf numFmtId="178" fontId="22" fillId="12" borderId="0" xfId="2" applyNumberFormat="1" applyFont="1" applyFill="1" applyAlignment="1">
      <alignment horizontal="left" vertical="center" indent="2"/>
    </xf>
    <xf numFmtId="9" fontId="39" fillId="12" borderId="71" xfId="8" applyFont="1" applyFill="1" applyBorder="1" applyAlignment="1">
      <alignment horizontal="right" vertical="center" indent="1"/>
    </xf>
    <xf numFmtId="9" fontId="22" fillId="12" borderId="0" xfId="8" applyFont="1" applyFill="1" applyBorder="1"/>
    <xf numFmtId="9" fontId="22" fillId="12" borderId="0" xfId="8" applyFont="1" applyFill="1" applyBorder="1" applyAlignment="1">
      <alignment horizontal="right" indent="2"/>
    </xf>
    <xf numFmtId="41" fontId="22" fillId="12" borderId="0" xfId="2" applyFont="1" applyFill="1" applyAlignment="1">
      <alignment horizontal="left" vertical="center" indent="1"/>
    </xf>
    <xf numFmtId="41" fontId="36" fillId="12" borderId="72" xfId="2" applyFont="1" applyFill="1" applyBorder="1" applyAlignment="1">
      <alignment horizontal="left" vertical="center"/>
    </xf>
    <xf numFmtId="41" fontId="34" fillId="12" borderId="73" xfId="2" applyFont="1" applyFill="1" applyBorder="1" applyAlignment="1">
      <alignment horizontal="left" vertical="center"/>
    </xf>
    <xf numFmtId="178" fontId="22" fillId="12" borderId="73" xfId="6" applyNumberFormat="1" applyFont="1" applyFill="1" applyBorder="1" applyAlignment="1">
      <alignment horizontal="right" vertical="center"/>
    </xf>
    <xf numFmtId="178" fontId="3" fillId="12" borderId="73" xfId="6" applyNumberFormat="1" applyFont="1" applyFill="1" applyBorder="1" applyAlignment="1">
      <alignment horizontal="right" vertical="center"/>
    </xf>
    <xf numFmtId="9" fontId="39" fillId="12" borderId="73" xfId="8" applyFont="1" applyFill="1" applyBorder="1" applyAlignment="1">
      <alignment horizontal="right" vertical="center" indent="1"/>
    </xf>
    <xf numFmtId="9" fontId="39" fillId="12" borderId="73" xfId="8" applyFont="1" applyFill="1" applyBorder="1" applyAlignment="1">
      <alignment horizontal="left" vertical="center" indent="1"/>
    </xf>
    <xf numFmtId="9" fontId="39" fillId="12" borderId="74" xfId="8" applyFont="1" applyFill="1" applyBorder="1" applyAlignment="1">
      <alignment horizontal="right" vertical="center" indent="1"/>
    </xf>
    <xf numFmtId="0" fontId="3" fillId="0" borderId="0" xfId="59"/>
    <xf numFmtId="0" fontId="10" fillId="9" borderId="0" xfId="59" applyFont="1" applyFill="1"/>
    <xf numFmtId="1" fontId="90" fillId="0" borderId="16" xfId="21" applyNumberFormat="1" applyFont="1" applyBorder="1" applyAlignment="1">
      <alignment horizontal="left"/>
    </xf>
    <xf numFmtId="9" fontId="93" fillId="12" borderId="73" xfId="8" applyFont="1" applyFill="1" applyBorder="1" applyAlignment="1">
      <alignment horizontal="right" vertical="center" indent="1"/>
    </xf>
    <xf numFmtId="178" fontId="22" fillId="12" borderId="16" xfId="2" applyNumberFormat="1" applyFont="1" applyFill="1" applyBorder="1" applyAlignment="1">
      <alignment horizontal="right" vertical="center"/>
    </xf>
    <xf numFmtId="178" fontId="3" fillId="12" borderId="16" xfId="2" applyNumberFormat="1" applyFont="1" applyFill="1" applyBorder="1" applyAlignment="1">
      <alignment horizontal="right" vertical="center"/>
    </xf>
    <xf numFmtId="169" fontId="93" fillId="12" borderId="16" xfId="6" applyNumberFormat="1" applyFont="1" applyFill="1" applyBorder="1" applyAlignment="1">
      <alignment horizontal="center" vertical="center"/>
    </xf>
    <xf numFmtId="178" fontId="34" fillId="12" borderId="16" xfId="2" applyNumberFormat="1" applyFont="1" applyFill="1" applyBorder="1" applyAlignment="1">
      <alignment horizontal="left" vertical="center"/>
    </xf>
    <xf numFmtId="165" fontId="22" fillId="12" borderId="71" xfId="1" applyNumberFormat="1" applyFont="1" applyFill="1" applyBorder="1" applyAlignment="1">
      <alignment horizontal="right" vertical="center"/>
    </xf>
    <xf numFmtId="9" fontId="92" fillId="12" borderId="71" xfId="8" applyFont="1" applyFill="1" applyBorder="1" applyAlignment="1">
      <alignment horizontal="right" vertical="center" indent="1"/>
    </xf>
    <xf numFmtId="9" fontId="92" fillId="12" borderId="74" xfId="8" applyFont="1" applyFill="1" applyBorder="1" applyAlignment="1">
      <alignment horizontal="right" vertical="center" indent="1"/>
    </xf>
    <xf numFmtId="41" fontId="34" fillId="12" borderId="67" xfId="2" applyFont="1" applyFill="1" applyBorder="1" applyAlignment="1">
      <alignment horizontal="left"/>
    </xf>
    <xf numFmtId="165" fontId="38" fillId="12" borderId="70" xfId="1" applyNumberFormat="1" applyFont="1" applyFill="1" applyBorder="1" applyAlignment="1">
      <alignment horizontal="right" vertical="center"/>
    </xf>
    <xf numFmtId="9" fontId="39" fillId="12" borderId="70" xfId="8" applyFont="1" applyFill="1" applyBorder="1" applyAlignment="1">
      <alignment horizontal="right" vertical="center" indent="1"/>
    </xf>
    <xf numFmtId="9" fontId="39" fillId="12" borderId="72" xfId="8" applyFont="1" applyFill="1" applyBorder="1" applyAlignment="1">
      <alignment horizontal="right" vertical="center" indent="1"/>
    </xf>
    <xf numFmtId="178" fontId="22" fillId="12" borderId="16" xfId="2" applyNumberFormat="1" applyFont="1" applyFill="1" applyBorder="1" applyAlignment="1">
      <alignment horizontal="center" vertical="center"/>
    </xf>
    <xf numFmtId="178" fontId="3" fillId="12" borderId="16" xfId="2" applyNumberFormat="1" applyFont="1" applyFill="1" applyBorder="1" applyAlignment="1">
      <alignment horizontal="center" vertical="center"/>
    </xf>
    <xf numFmtId="165" fontId="22" fillId="12" borderId="0" xfId="5" applyNumberFormat="1" applyFont="1" applyFill="1" applyBorder="1" applyAlignment="1">
      <alignment horizontal="left" indent="1"/>
    </xf>
    <xf numFmtId="165" fontId="22" fillId="12" borderId="35" xfId="5" applyNumberFormat="1" applyFont="1" applyFill="1" applyBorder="1" applyAlignment="1">
      <alignment horizontal="left" indent="1" shrinkToFit="1"/>
    </xf>
    <xf numFmtId="165" fontId="34" fillId="12" borderId="0" xfId="5" applyNumberFormat="1" applyFont="1" applyFill="1" applyBorder="1" applyAlignment="1">
      <alignment horizontal="left" vertical="center" shrinkToFit="1"/>
    </xf>
    <xf numFmtId="1" fontId="95" fillId="12" borderId="0" xfId="4" applyNumberFormat="1" applyFont="1" applyFill="1" applyBorder="1" applyAlignment="1">
      <alignment vertical="center" shrinkToFit="1"/>
    </xf>
    <xf numFmtId="185" fontId="95" fillId="12" borderId="0" xfId="1" applyNumberFormat="1" applyFont="1" applyFill="1" applyBorder="1" applyAlignment="1">
      <alignment horizontal="left" vertical="center"/>
    </xf>
    <xf numFmtId="165" fontId="95" fillId="12" borderId="0" xfId="1" applyNumberFormat="1" applyFont="1" applyFill="1" applyBorder="1" applyAlignment="1">
      <alignment horizontal="left" vertical="center"/>
    </xf>
    <xf numFmtId="165" fontId="95" fillId="12" borderId="0" xfId="1" applyNumberFormat="1" applyFont="1" applyFill="1" applyBorder="1" applyAlignment="1">
      <alignment horizontal="right" vertical="center"/>
    </xf>
    <xf numFmtId="1" fontId="36" fillId="25" borderId="75" xfId="4" applyNumberFormat="1" applyFont="1" applyFill="1" applyBorder="1" applyAlignment="1">
      <alignment horizontal="centerContinuous" vertical="center"/>
    </xf>
    <xf numFmtId="1" fontId="36" fillId="25" borderId="76" xfId="4" applyNumberFormat="1" applyFont="1" applyFill="1" applyBorder="1" applyAlignment="1">
      <alignment horizontal="centerContinuous" vertical="center"/>
    </xf>
    <xf numFmtId="1" fontId="36" fillId="25" borderId="5" xfId="4" applyNumberFormat="1" applyFont="1" applyFill="1" applyBorder="1" applyAlignment="1">
      <alignment horizontal="centerContinuous" vertical="center"/>
    </xf>
    <xf numFmtId="1" fontId="94" fillId="12" borderId="0" xfId="4" applyNumberFormat="1" applyFont="1" applyFill="1" applyBorder="1" applyAlignment="1">
      <alignment horizontal="left" vertical="center"/>
    </xf>
    <xf numFmtId="0" fontId="96" fillId="9" borderId="0" xfId="59" applyFont="1" applyFill="1"/>
    <xf numFmtId="0" fontId="97" fillId="9" borderId="0" xfId="59" applyFont="1" applyFill="1" applyAlignment="1">
      <alignment horizontal="left" indent="1"/>
    </xf>
    <xf numFmtId="178" fontId="22" fillId="12" borderId="16" xfId="2" applyNumberFormat="1" applyFont="1" applyFill="1" applyBorder="1" applyAlignment="1">
      <alignment horizontal="right" vertical="center" indent="1"/>
    </xf>
    <xf numFmtId="178" fontId="3" fillId="12" borderId="16" xfId="2" applyNumberFormat="1" applyFont="1" applyFill="1" applyBorder="1" applyAlignment="1">
      <alignment horizontal="right" vertical="center" indent="1"/>
    </xf>
    <xf numFmtId="0" fontId="48" fillId="8" borderId="0" xfId="0" applyFont="1" applyFill="1"/>
    <xf numFmtId="165" fontId="98" fillId="9" borderId="0" xfId="0" applyNumberFormat="1" applyFont="1" applyFill="1" applyAlignment="1">
      <alignment horizontal="left" indent="1"/>
    </xf>
    <xf numFmtId="0" fontId="99" fillId="9" borderId="0" xfId="0" applyFont="1" applyFill="1"/>
    <xf numFmtId="0" fontId="99" fillId="9" borderId="0" xfId="0" applyFont="1" applyFill="1" applyAlignment="1">
      <alignment horizontal="center"/>
    </xf>
    <xf numFmtId="0" fontId="0" fillId="8" borderId="0" xfId="0" applyFill="1"/>
    <xf numFmtId="0" fontId="83" fillId="9" borderId="0" xfId="0" applyFont="1" applyFill="1" applyAlignment="1">
      <alignment horizontal="left" vertical="center" indent="2"/>
    </xf>
    <xf numFmtId="0" fontId="10" fillId="9" borderId="0" xfId="0" applyFont="1" applyFill="1"/>
    <xf numFmtId="0" fontId="10" fillId="9" borderId="0" xfId="0" applyFont="1" applyFill="1" applyAlignment="1">
      <alignment horizontal="center"/>
    </xf>
    <xf numFmtId="0" fontId="10" fillId="9" borderId="77" xfId="0" applyFont="1" applyFill="1" applyBorder="1"/>
    <xf numFmtId="0" fontId="10" fillId="9" borderId="77" xfId="0" applyFont="1" applyFill="1" applyBorder="1" applyAlignment="1">
      <alignment horizontal="center"/>
    </xf>
    <xf numFmtId="0" fontId="18" fillId="3" borderId="58" xfId="6" applyFont="1" applyFill="1" applyBorder="1" applyAlignment="1">
      <alignment horizontal="center"/>
    </xf>
    <xf numFmtId="0" fontId="100" fillId="20" borderId="0" xfId="6" applyFont="1" applyFill="1" applyAlignment="1">
      <alignment horizontal="left" vertical="center" indent="1"/>
    </xf>
    <xf numFmtId="0" fontId="18" fillId="20" borderId="0" xfId="6" applyFont="1" applyFill="1" applyAlignment="1">
      <alignment horizontal="left"/>
    </xf>
    <xf numFmtId="1" fontId="17" fillId="2" borderId="27" xfId="4" applyNumberFormat="1" applyFont="1" applyBorder="1" applyAlignment="1">
      <alignment horizontal="left" vertical="center" indent="3"/>
    </xf>
    <xf numFmtId="1" fontId="69" fillId="2" borderId="51" xfId="4" applyNumberFormat="1" applyFont="1" applyBorder="1" applyAlignment="1">
      <alignment horizontal="left" vertical="center" indent="1"/>
    </xf>
    <xf numFmtId="1" fontId="17" fillId="2" borderId="27" xfId="4" applyNumberFormat="1" applyFont="1" applyBorder="1" applyAlignment="1">
      <alignment horizontal="left" vertical="center" indent="1"/>
    </xf>
    <xf numFmtId="9" fontId="30" fillId="2" borderId="78" xfId="8" applyFont="1" applyFill="1" applyBorder="1" applyAlignment="1">
      <alignment horizontal="center" vertical="center"/>
    </xf>
    <xf numFmtId="1" fontId="28" fillId="2" borderId="30" xfId="4" applyNumberFormat="1" applyFont="1" applyBorder="1">
      <alignment horizontal="center" vertical="center"/>
    </xf>
    <xf numFmtId="9" fontId="102" fillId="2" borderId="78" xfId="8" applyFont="1" applyFill="1" applyBorder="1" applyAlignment="1">
      <alignment horizontal="center" vertical="center"/>
    </xf>
    <xf numFmtId="0" fontId="28" fillId="3" borderId="0" xfId="6" applyFont="1" applyFill="1" applyAlignment="1">
      <alignment horizontal="left" vertical="center"/>
    </xf>
    <xf numFmtId="1" fontId="30" fillId="2" borderId="24" xfId="4" applyNumberFormat="1" applyFont="1" applyBorder="1" applyAlignment="1">
      <alignment horizontal="left" vertical="center" indent="2"/>
    </xf>
    <xf numFmtId="187" fontId="91" fillId="2" borderId="78" xfId="8" applyNumberFormat="1" applyFont="1" applyFill="1" applyBorder="1" applyAlignment="1">
      <alignment horizontal="center" vertical="center"/>
    </xf>
    <xf numFmtId="9" fontId="10" fillId="2" borderId="78" xfId="8" applyFont="1" applyFill="1" applyBorder="1" applyAlignment="1">
      <alignment horizontal="center" vertical="center"/>
    </xf>
    <xf numFmtId="9" fontId="25" fillId="2" borderId="49" xfId="8" applyFont="1" applyFill="1" applyBorder="1" applyAlignment="1">
      <alignment horizontal="center" vertical="center"/>
    </xf>
    <xf numFmtId="191" fontId="58" fillId="12" borderId="0" xfId="2" applyNumberFormat="1" applyFont="1" applyFill="1" applyAlignment="1">
      <alignment vertical="center"/>
    </xf>
    <xf numFmtId="191" fontId="58" fillId="12" borderId="0" xfId="6" applyNumberFormat="1" applyFont="1" applyFill="1" applyAlignment="1">
      <alignment vertical="center"/>
    </xf>
    <xf numFmtId="191" fontId="58" fillId="12" borderId="28" xfId="6" applyNumberFormat="1" applyFont="1" applyFill="1" applyBorder="1" applyAlignment="1">
      <alignment vertical="center"/>
    </xf>
    <xf numFmtId="191" fontId="58" fillId="12" borderId="0" xfId="6" applyNumberFormat="1" applyFont="1" applyFill="1" applyAlignment="1">
      <alignment horizontal="right" vertical="center"/>
    </xf>
    <xf numFmtId="191" fontId="57" fillId="12" borderId="0" xfId="6" applyNumberFormat="1" applyFont="1" applyFill="1" applyAlignment="1">
      <alignment vertical="center"/>
    </xf>
    <xf numFmtId="191" fontId="38" fillId="12" borderId="0" xfId="6" applyNumberFormat="1" applyFont="1" applyFill="1" applyAlignment="1">
      <alignment vertical="center"/>
    </xf>
    <xf numFmtId="178" fontId="42" fillId="12" borderId="0" xfId="2" applyNumberFormat="1" applyFont="1" applyFill="1" applyAlignment="1">
      <alignment horizontal="left" vertical="center" indent="1"/>
    </xf>
    <xf numFmtId="1" fontId="33" fillId="11" borderId="36" xfId="21" applyNumberFormat="1" applyFont="1" applyFill="1" applyBorder="1" applyAlignment="1">
      <alignment horizontal="left" vertical="center" indent="1"/>
    </xf>
    <xf numFmtId="1" fontId="33" fillId="11" borderId="0" xfId="21" applyNumberFormat="1" applyFont="1" applyFill="1" applyAlignment="1">
      <alignment horizontal="left" vertical="center" indent="1"/>
    </xf>
    <xf numFmtId="1" fontId="33" fillId="11" borderId="96" xfId="21" applyNumberFormat="1" applyFont="1" applyFill="1" applyBorder="1" applyAlignment="1">
      <alignment horizontal="left" vertical="center" indent="1"/>
    </xf>
    <xf numFmtId="1" fontId="68" fillId="12" borderId="0" xfId="4" applyNumberFormat="1" applyFont="1" applyFill="1" applyBorder="1" applyAlignment="1">
      <alignment horizontal="left" vertical="center" indent="2"/>
    </xf>
    <xf numFmtId="9" fontId="104" fillId="12" borderId="0" xfId="8" applyFont="1" applyFill="1" applyBorder="1" applyAlignment="1">
      <alignment horizontal="center" vertical="center"/>
    </xf>
    <xf numFmtId="181" fontId="105" fillId="12" borderId="0" xfId="58" applyNumberFormat="1" applyFont="1" applyFill="1" applyAlignment="1">
      <alignment horizontal="right" vertical="center" indent="1"/>
    </xf>
    <xf numFmtId="178" fontId="104" fillId="12" borderId="0" xfId="1" applyNumberFormat="1" applyFont="1" applyFill="1" applyBorder="1" applyAlignment="1">
      <alignment horizontal="right" vertical="center" indent="1"/>
    </xf>
    <xf numFmtId="9" fontId="68" fillId="12" borderId="0" xfId="8" applyFont="1" applyFill="1" applyBorder="1" applyAlignment="1">
      <alignment horizontal="center" vertical="center"/>
    </xf>
    <xf numFmtId="1" fontId="67" fillId="12" borderId="0" xfId="4" applyNumberFormat="1" applyFont="1" applyFill="1" applyBorder="1" applyAlignment="1">
      <alignment horizontal="left" vertical="center" indent="3"/>
    </xf>
    <xf numFmtId="178" fontId="106" fillId="12" borderId="0" xfId="1" applyNumberFormat="1" applyFont="1" applyFill="1" applyBorder="1" applyAlignment="1">
      <alignment horizontal="right" vertical="center" indent="1"/>
    </xf>
    <xf numFmtId="1" fontId="68" fillId="12" borderId="0" xfId="4" applyNumberFormat="1" applyFont="1" applyFill="1" applyBorder="1" applyAlignment="1">
      <alignment horizontal="left" vertical="center" indent="3"/>
    </xf>
    <xf numFmtId="1" fontId="67" fillId="12" borderId="20" xfId="4" applyNumberFormat="1" applyFont="1" applyFill="1" applyBorder="1" applyAlignment="1">
      <alignment horizontal="left" vertical="center" indent="1"/>
    </xf>
    <xf numFmtId="1" fontId="67" fillId="12" borderId="20" xfId="4" applyNumberFormat="1" applyFont="1" applyFill="1" applyBorder="1">
      <alignment horizontal="center" vertical="center"/>
    </xf>
    <xf numFmtId="178" fontId="18" fillId="3" borderId="0" xfId="6" applyNumberFormat="1" applyFont="1" applyFill="1" applyAlignment="1">
      <alignment horizontal="left" vertical="center"/>
    </xf>
    <xf numFmtId="178" fontId="34" fillId="12" borderId="98" xfId="2" applyNumberFormat="1" applyFont="1" applyFill="1" applyBorder="1" applyAlignment="1">
      <alignment horizontal="left" vertical="center"/>
    </xf>
    <xf numFmtId="178" fontId="34" fillId="12" borderId="98" xfId="6" applyNumberFormat="1" applyFont="1" applyFill="1" applyBorder="1" applyAlignment="1">
      <alignment vertical="center"/>
    </xf>
    <xf numFmtId="191" fontId="58" fillId="12" borderId="98" xfId="6" applyNumberFormat="1" applyFont="1" applyFill="1" applyBorder="1" applyAlignment="1">
      <alignment vertical="center"/>
    </xf>
    <xf numFmtId="9" fontId="39" fillId="12" borderId="99" xfId="8" applyFont="1" applyFill="1" applyBorder="1" applyAlignment="1">
      <alignment horizontal="right" vertical="center" indent="1"/>
    </xf>
    <xf numFmtId="178" fontId="34" fillId="12" borderId="97" xfId="2" applyNumberFormat="1" applyFont="1" applyFill="1" applyBorder="1" applyAlignment="1">
      <alignment horizontal="left" vertical="center" indent="1"/>
    </xf>
    <xf numFmtId="1" fontId="68" fillId="12" borderId="20" xfId="4" applyNumberFormat="1" applyFont="1" applyFill="1" applyBorder="1" applyAlignment="1">
      <alignment horizontal="left" vertical="center" indent="2"/>
    </xf>
    <xf numFmtId="9" fontId="68" fillId="12" borderId="20" xfId="8" applyFont="1" applyFill="1" applyBorder="1" applyAlignment="1">
      <alignment horizontal="center" vertical="center"/>
    </xf>
    <xf numFmtId="178" fontId="104" fillId="12" borderId="20" xfId="1" applyNumberFormat="1" applyFont="1" applyFill="1" applyBorder="1" applyAlignment="1">
      <alignment horizontal="right" vertical="center" indent="1"/>
    </xf>
    <xf numFmtId="184" fontId="22" fillId="12" borderId="0" xfId="8" applyNumberFormat="1" applyFont="1" applyFill="1"/>
    <xf numFmtId="1" fontId="89" fillId="11" borderId="46" xfId="21" applyNumberFormat="1" applyFont="1" applyFill="1" applyBorder="1" applyAlignment="1">
      <alignment horizontal="right" vertical="center" indent="1"/>
    </xf>
    <xf numFmtId="0" fontId="82" fillId="0" borderId="0" xfId="21" applyFont="1" applyAlignment="1">
      <alignment horizontal="left" vertical="center" indent="3"/>
    </xf>
    <xf numFmtId="0" fontId="82" fillId="0" borderId="0" xfId="21" applyFont="1" applyAlignment="1">
      <alignment horizontal="left" vertical="top" indent="3"/>
    </xf>
    <xf numFmtId="0" fontId="30" fillId="0" borderId="0" xfId="50" applyFont="1"/>
    <xf numFmtId="0" fontId="22" fillId="0" borderId="0" xfId="63" applyFont="1"/>
    <xf numFmtId="0" fontId="67" fillId="0" borderId="0" xfId="64" applyFont="1" applyAlignment="1">
      <alignment horizontal="center"/>
    </xf>
    <xf numFmtId="0" fontId="30" fillId="28" borderId="80" xfId="64" applyFont="1" applyFill="1" applyBorder="1" applyAlignment="1">
      <alignment horizontal="right" vertical="center" indent="1"/>
    </xf>
    <xf numFmtId="0" fontId="28" fillId="28" borderId="46" xfId="64" applyFont="1" applyFill="1" applyBorder="1" applyAlignment="1">
      <alignment vertical="center"/>
    </xf>
    <xf numFmtId="0" fontId="30" fillId="0" borderId="18" xfId="64" applyFont="1" applyBorder="1" applyAlignment="1">
      <alignment horizontal="left" vertical="center" indent="2"/>
    </xf>
    <xf numFmtId="0" fontId="28" fillId="0" borderId="46" xfId="64" applyFont="1" applyBorder="1" applyAlignment="1">
      <alignment vertical="center"/>
    </xf>
    <xf numFmtId="0" fontId="28" fillId="0" borderId="0" xfId="64" applyFont="1" applyAlignment="1">
      <alignment vertical="center"/>
    </xf>
    <xf numFmtId="9" fontId="30" fillId="0" borderId="0" xfId="64" applyNumberFormat="1" applyFont="1" applyAlignment="1">
      <alignment horizontal="left" vertical="center" indent="2"/>
    </xf>
    <xf numFmtId="9" fontId="28" fillId="0" borderId="0" xfId="66" applyFont="1" applyFill="1" applyBorder="1" applyAlignment="1">
      <alignment vertical="center"/>
    </xf>
    <xf numFmtId="0" fontId="30" fillId="0" borderId="0" xfId="64" applyFont="1" applyAlignment="1">
      <alignment horizontal="left" vertical="center" indent="2"/>
    </xf>
    <xf numFmtId="10" fontId="30" fillId="0" borderId="0" xfId="68" applyNumberFormat="1" applyFont="1" applyFill="1" applyBorder="1" applyAlignment="1">
      <alignment horizontal="left" vertical="center"/>
    </xf>
    <xf numFmtId="176" fontId="28" fillId="0" borderId="0" xfId="64" applyNumberFormat="1" applyFont="1" applyAlignment="1">
      <alignment vertical="center"/>
    </xf>
    <xf numFmtId="0" fontId="28" fillId="0" borderId="87" xfId="64" applyFont="1" applyBorder="1" applyAlignment="1">
      <alignment horizontal="center" vertical="center" wrapText="1"/>
    </xf>
    <xf numFmtId="0" fontId="28" fillId="0" borderId="88" xfId="64" applyFont="1" applyBorder="1" applyAlignment="1">
      <alignment horizontal="center" vertical="center" wrapText="1"/>
    </xf>
    <xf numFmtId="0" fontId="30" fillId="0" borderId="87" xfId="64" applyFont="1" applyBorder="1" applyAlignment="1">
      <alignment horizontal="centerContinuous" vertical="center"/>
    </xf>
    <xf numFmtId="9" fontId="30" fillId="0" borderId="89" xfId="66" applyFont="1" applyFill="1" applyBorder="1" applyAlignment="1">
      <alignment horizontal="centerContinuous" vertical="center"/>
    </xf>
    <xf numFmtId="9" fontId="30" fillId="0" borderId="88" xfId="66" applyFont="1" applyFill="1" applyBorder="1" applyAlignment="1">
      <alignment horizontal="centerContinuous" vertical="center"/>
    </xf>
    <xf numFmtId="0" fontId="30" fillId="0" borderId="0" xfId="64" applyFont="1" applyAlignment="1">
      <alignment horizontal="center" vertical="center"/>
    </xf>
    <xf numFmtId="0" fontId="28" fillId="28" borderId="38" xfId="64" applyFont="1" applyFill="1" applyBorder="1" applyAlignment="1">
      <alignment horizontal="left" vertical="center" indent="1"/>
    </xf>
    <xf numFmtId="9" fontId="30" fillId="28" borderId="38" xfId="66" applyFont="1" applyFill="1" applyBorder="1" applyAlignment="1">
      <alignment horizontal="left" vertical="center" indent="1"/>
    </xf>
    <xf numFmtId="10" fontId="30" fillId="28" borderId="38" xfId="66" applyNumberFormat="1" applyFont="1" applyFill="1" applyBorder="1" applyAlignment="1">
      <alignment horizontal="left" vertical="center" indent="1"/>
    </xf>
    <xf numFmtId="0" fontId="30" fillId="28" borderId="90" xfId="64" applyFont="1" applyFill="1" applyBorder="1" applyAlignment="1">
      <alignment horizontal="center"/>
    </xf>
    <xf numFmtId="0" fontId="30" fillId="28" borderId="38" xfId="64" applyFont="1" applyFill="1" applyBorder="1" applyAlignment="1">
      <alignment horizontal="centerContinuous" vertical="center"/>
    </xf>
    <xf numFmtId="9" fontId="30" fillId="28" borderId="38" xfId="66" applyFont="1" applyFill="1" applyBorder="1" applyAlignment="1">
      <alignment horizontal="centerContinuous" vertical="center"/>
    </xf>
    <xf numFmtId="0" fontId="30" fillId="19" borderId="90" xfId="64" applyFont="1" applyFill="1" applyBorder="1" applyAlignment="1">
      <alignment horizontal="center"/>
    </xf>
    <xf numFmtId="0" fontId="30" fillId="19" borderId="50" xfId="64" applyFont="1" applyFill="1" applyBorder="1" applyAlignment="1">
      <alignment horizontal="centerContinuous" vertical="center"/>
    </xf>
    <xf numFmtId="9" fontId="30" fillId="19" borderId="91" xfId="66" applyFont="1" applyFill="1" applyBorder="1" applyAlignment="1">
      <alignment horizontal="centerContinuous" vertical="center"/>
    </xf>
    <xf numFmtId="0" fontId="30" fillId="31" borderId="90" xfId="64" applyFont="1" applyFill="1" applyBorder="1" applyAlignment="1">
      <alignment horizontal="center"/>
    </xf>
    <xf numFmtId="0" fontId="30" fillId="31" borderId="50" xfId="64" applyFont="1" applyFill="1" applyBorder="1" applyAlignment="1">
      <alignment horizontal="centerContinuous" vertical="center"/>
    </xf>
    <xf numFmtId="9" fontId="30" fillId="31" borderId="91" xfId="66" applyFont="1" applyFill="1" applyBorder="1" applyAlignment="1">
      <alignment horizontal="centerContinuous" vertical="center"/>
    </xf>
    <xf numFmtId="0" fontId="30" fillId="32" borderId="90" xfId="64" applyFont="1" applyFill="1" applyBorder="1" applyAlignment="1">
      <alignment horizontal="center"/>
    </xf>
    <xf numFmtId="0" fontId="30" fillId="32" borderId="50" xfId="64" applyFont="1" applyFill="1" applyBorder="1" applyAlignment="1">
      <alignment horizontal="centerContinuous" vertical="center"/>
    </xf>
    <xf numFmtId="9" fontId="30" fillId="32" borderId="91" xfId="66" applyFont="1" applyFill="1" applyBorder="1" applyAlignment="1">
      <alignment horizontal="centerContinuous" vertical="center"/>
    </xf>
    <xf numFmtId="0" fontId="30" fillId="17" borderId="92" xfId="64" applyFont="1" applyFill="1" applyBorder="1" applyAlignment="1">
      <alignment horizontal="centerContinuous" vertical="center"/>
    </xf>
    <xf numFmtId="9" fontId="30" fillId="17" borderId="93" xfId="66" applyFont="1" applyFill="1" applyBorder="1" applyAlignment="1">
      <alignment horizontal="centerContinuous" vertical="center"/>
    </xf>
    <xf numFmtId="0" fontId="30" fillId="33" borderId="92" xfId="64" applyFont="1" applyFill="1" applyBorder="1" applyAlignment="1">
      <alignment horizontal="centerContinuous" vertical="center"/>
    </xf>
    <xf numFmtId="9" fontId="30" fillId="33" borderId="93" xfId="66" applyFont="1" applyFill="1" applyBorder="1" applyAlignment="1">
      <alignment horizontal="centerContinuous" vertical="center"/>
    </xf>
    <xf numFmtId="0" fontId="30" fillId="28" borderId="50" xfId="64" applyFont="1" applyFill="1" applyBorder="1" applyAlignment="1">
      <alignment horizontal="centerContinuous" vertical="center"/>
    </xf>
    <xf numFmtId="9" fontId="30" fillId="28" borderId="91" xfId="66" applyFont="1" applyFill="1" applyBorder="1" applyAlignment="1">
      <alignment horizontal="centerContinuous" vertical="center"/>
    </xf>
    <xf numFmtId="9" fontId="30" fillId="28" borderId="0" xfId="66" applyFont="1" applyFill="1" applyBorder="1" applyAlignment="1">
      <alignment horizontal="centerContinuous" vertical="center"/>
    </xf>
    <xf numFmtId="0" fontId="68" fillId="0" borderId="0" xfId="64" applyFont="1" applyAlignment="1">
      <alignment vertical="center"/>
    </xf>
    <xf numFmtId="14" fontId="67" fillId="0" borderId="0" xfId="64" applyNumberFormat="1" applyFont="1" applyAlignment="1">
      <alignment horizontal="center" vertical="center"/>
    </xf>
    <xf numFmtId="0" fontId="30" fillId="28" borderId="90" xfId="64" applyFont="1" applyFill="1" applyBorder="1" applyAlignment="1">
      <alignment horizontal="center" vertical="center" wrapText="1"/>
    </xf>
    <xf numFmtId="0" fontId="30" fillId="34" borderId="90" xfId="64" applyFont="1" applyFill="1" applyBorder="1" applyAlignment="1">
      <alignment horizontal="center" wrapText="1"/>
    </xf>
    <xf numFmtId="0" fontId="30" fillId="28" borderId="90" xfId="64" applyFont="1" applyFill="1" applyBorder="1" applyAlignment="1">
      <alignment horizontal="center" vertical="center"/>
    </xf>
    <xf numFmtId="165" fontId="68" fillId="27" borderId="17" xfId="63" applyNumberFormat="1" applyFont="1" applyFill="1" applyBorder="1" applyAlignment="1">
      <alignment horizontal="center" vertical="center"/>
    </xf>
    <xf numFmtId="9" fontId="30" fillId="28" borderId="90" xfId="64" applyNumberFormat="1" applyFont="1" applyFill="1" applyBorder="1" applyAlignment="1">
      <alignment horizontal="center" vertical="center"/>
    </xf>
    <xf numFmtId="176" fontId="30" fillId="28" borderId="90" xfId="64" applyNumberFormat="1" applyFont="1" applyFill="1" applyBorder="1" applyAlignment="1">
      <alignment horizontal="center" vertical="center"/>
    </xf>
    <xf numFmtId="176" fontId="30" fillId="34" borderId="90" xfId="64" applyNumberFormat="1" applyFont="1" applyFill="1" applyBorder="1" applyAlignment="1">
      <alignment horizontal="center" vertical="center"/>
    </xf>
    <xf numFmtId="0" fontId="30" fillId="19" borderId="90" xfId="64" applyFont="1" applyFill="1" applyBorder="1" applyAlignment="1">
      <alignment horizontal="center" vertical="center" wrapText="1"/>
    </xf>
    <xf numFmtId="176" fontId="30" fillId="19" borderId="90" xfId="64" applyNumberFormat="1" applyFont="1" applyFill="1" applyBorder="1" applyAlignment="1">
      <alignment horizontal="center" vertical="center"/>
    </xf>
    <xf numFmtId="9" fontId="30" fillId="28" borderId="90" xfId="64" applyNumberFormat="1" applyFont="1" applyFill="1" applyBorder="1" applyAlignment="1">
      <alignment horizontal="center" vertical="top"/>
    </xf>
    <xf numFmtId="9" fontId="30" fillId="28" borderId="90" xfId="66" applyFont="1" applyFill="1" applyBorder="1" applyAlignment="1">
      <alignment horizontal="center" vertical="top"/>
    </xf>
    <xf numFmtId="0" fontId="22" fillId="0" borderId="0" xfId="65" applyFont="1" applyAlignment="1">
      <alignment horizontal="left"/>
    </xf>
    <xf numFmtId="0" fontId="22" fillId="0" borderId="0" xfId="65" applyFont="1"/>
    <xf numFmtId="0" fontId="68" fillId="35" borderId="17" xfId="64" applyFont="1" applyFill="1" applyBorder="1" applyAlignment="1">
      <alignment horizontal="center" vertical="center"/>
    </xf>
    <xf numFmtId="176" fontId="68" fillId="35" borderId="17" xfId="61" applyNumberFormat="1" applyFont="1" applyFill="1" applyBorder="1" applyAlignment="1">
      <alignment horizontal="right" vertical="center" shrinkToFit="1"/>
    </xf>
    <xf numFmtId="190" fontId="68" fillId="35" borderId="17" xfId="64" applyNumberFormat="1" applyFont="1" applyFill="1" applyBorder="1" applyAlignment="1">
      <alignment horizontal="left" vertical="center"/>
    </xf>
    <xf numFmtId="168" fontId="68" fillId="35" borderId="17" xfId="66" applyNumberFormat="1" applyFont="1" applyFill="1" applyBorder="1" applyAlignment="1">
      <alignment horizontal="center" vertical="center" shrinkToFit="1"/>
    </xf>
    <xf numFmtId="0" fontId="22" fillId="0" borderId="17" xfId="63" applyFont="1" applyBorder="1"/>
    <xf numFmtId="10" fontId="68" fillId="35" borderId="17" xfId="66" applyNumberFormat="1" applyFont="1" applyFill="1" applyBorder="1" applyAlignment="1">
      <alignment horizontal="right" vertical="center" shrinkToFit="1"/>
    </xf>
    <xf numFmtId="0" fontId="67" fillId="0" borderId="17" xfId="64" applyFont="1" applyBorder="1" applyAlignment="1">
      <alignment horizontal="center"/>
    </xf>
    <xf numFmtId="182" fontId="68" fillId="35" borderId="17" xfId="66" applyNumberFormat="1" applyFont="1" applyFill="1" applyBorder="1" applyAlignment="1">
      <alignment horizontal="right" vertical="center" shrinkToFit="1"/>
    </xf>
    <xf numFmtId="0" fontId="28" fillId="28" borderId="40" xfId="63" applyFont="1" applyFill="1" applyBorder="1" applyAlignment="1">
      <alignment horizontal="left" vertical="center" indent="1"/>
    </xf>
    <xf numFmtId="0" fontId="107" fillId="28" borderId="45" xfId="61" applyFont="1" applyFill="1" applyBorder="1" applyAlignment="1">
      <alignment horizontal="left" indent="2"/>
    </xf>
    <xf numFmtId="0" fontId="28" fillId="28" borderId="45" xfId="61" applyFont="1" applyFill="1" applyBorder="1" applyAlignment="1">
      <alignment vertical="center"/>
    </xf>
    <xf numFmtId="165" fontId="68" fillId="27" borderId="17" xfId="63" applyNumberFormat="1" applyFont="1" applyFill="1" applyBorder="1" applyAlignment="1">
      <alignment horizontal="right" vertical="center"/>
    </xf>
    <xf numFmtId="165" fontId="68" fillId="27" borderId="38" xfId="63" applyNumberFormat="1" applyFont="1" applyFill="1" applyBorder="1" applyAlignment="1">
      <alignment horizontal="right" vertical="center"/>
    </xf>
    <xf numFmtId="0" fontId="22" fillId="0" borderId="38" xfId="63" applyFont="1" applyBorder="1"/>
    <xf numFmtId="0" fontId="67" fillId="0" borderId="38" xfId="64" applyFont="1" applyBorder="1" applyAlignment="1">
      <alignment horizontal="center"/>
    </xf>
    <xf numFmtId="0" fontId="68" fillId="27" borderId="40" xfId="63" applyFont="1" applyFill="1" applyBorder="1" applyAlignment="1">
      <alignment horizontal="left" vertical="center" indent="2"/>
    </xf>
    <xf numFmtId="165" fontId="68" fillId="27" borderId="41" xfId="63" applyNumberFormat="1" applyFont="1" applyFill="1" applyBorder="1" applyAlignment="1">
      <alignment horizontal="right" vertical="center"/>
    </xf>
    <xf numFmtId="188" fontId="68" fillId="27" borderId="17" xfId="66" applyNumberFormat="1" applyFont="1" applyFill="1" applyBorder="1" applyAlignment="1">
      <alignment horizontal="center" vertical="center"/>
    </xf>
    <xf numFmtId="9" fontId="22" fillId="0" borderId="0" xfId="63" applyNumberFormat="1" applyFont="1" applyAlignment="1">
      <alignment horizontal="center"/>
    </xf>
    <xf numFmtId="176" fontId="68" fillId="27" borderId="17" xfId="66" applyNumberFormat="1" applyFont="1" applyFill="1" applyBorder="1" applyAlignment="1">
      <alignment horizontal="center" vertical="center"/>
    </xf>
    <xf numFmtId="0" fontId="28" fillId="29" borderId="40" xfId="63" applyFont="1" applyFill="1" applyBorder="1" applyAlignment="1">
      <alignment horizontal="left" vertical="center" indent="1"/>
    </xf>
    <xf numFmtId="0" fontId="28" fillId="29" borderId="17" xfId="61" applyFont="1" applyFill="1" applyBorder="1" applyAlignment="1">
      <alignment horizontal="center" vertical="center"/>
    </xf>
    <xf numFmtId="0" fontId="68" fillId="27" borderId="40" xfId="63" applyFont="1" applyFill="1" applyBorder="1" applyAlignment="1">
      <alignment horizontal="left" vertical="center" indent="1"/>
    </xf>
    <xf numFmtId="0" fontId="68" fillId="27" borderId="17" xfId="63" applyFont="1" applyFill="1" applyBorder="1" applyAlignment="1">
      <alignment horizontal="left" vertical="center" indent="1"/>
    </xf>
    <xf numFmtId="0" fontId="22" fillId="0" borderId="0" xfId="63" applyFont="1" applyAlignment="1">
      <alignment horizontal="left"/>
    </xf>
    <xf numFmtId="0" fontId="28" fillId="30" borderId="40" xfId="63" applyFont="1" applyFill="1" applyBorder="1" applyAlignment="1">
      <alignment horizontal="left" vertical="center" indent="1"/>
    </xf>
    <xf numFmtId="0" fontId="28" fillId="30" borderId="41" xfId="63" applyFont="1" applyFill="1" applyBorder="1" applyAlignment="1">
      <alignment horizontal="center" vertical="center"/>
    </xf>
    <xf numFmtId="0" fontId="28" fillId="30" borderId="17" xfId="63" applyFont="1" applyFill="1" applyBorder="1" applyAlignment="1">
      <alignment horizontal="center" vertical="center"/>
    </xf>
    <xf numFmtId="0" fontId="68" fillId="27" borderId="79" xfId="63" applyFont="1" applyFill="1" applyBorder="1" applyAlignment="1">
      <alignment horizontal="left" vertical="center" indent="1"/>
    </xf>
    <xf numFmtId="165" fontId="68" fillId="27" borderId="82" xfId="63" applyNumberFormat="1" applyFont="1" applyFill="1" applyBorder="1" applyAlignment="1">
      <alignment horizontal="right" vertical="center"/>
    </xf>
    <xf numFmtId="165" fontId="68" fillId="27" borderId="83" xfId="63" applyNumberFormat="1" applyFont="1" applyFill="1" applyBorder="1" applyAlignment="1">
      <alignment horizontal="right" vertical="center"/>
    </xf>
    <xf numFmtId="0" fontId="67" fillId="27" borderId="84" xfId="63" applyFont="1" applyFill="1" applyBorder="1" applyAlignment="1">
      <alignment horizontal="left" vertical="center" indent="2"/>
    </xf>
    <xf numFmtId="165" fontId="67" fillId="27" borderId="85" xfId="63" applyNumberFormat="1" applyFont="1" applyFill="1" applyBorder="1" applyAlignment="1">
      <alignment horizontal="right" vertical="center"/>
    </xf>
    <xf numFmtId="165" fontId="67" fillId="27" borderId="86" xfId="63" applyNumberFormat="1" applyFont="1" applyFill="1" applyBorder="1" applyAlignment="1">
      <alignment horizontal="right" vertical="center"/>
    </xf>
    <xf numFmtId="0" fontId="68" fillId="27" borderId="40" xfId="63" applyFont="1" applyFill="1" applyBorder="1" applyAlignment="1">
      <alignment horizontal="left" vertical="center" indent="3"/>
    </xf>
    <xf numFmtId="188" fontId="68" fillId="27" borderId="41" xfId="66" applyNumberFormat="1" applyFont="1" applyFill="1" applyBorder="1" applyAlignment="1">
      <alignment horizontal="center" vertical="center"/>
    </xf>
    <xf numFmtId="189" fontId="68" fillId="27" borderId="17" xfId="66" applyNumberFormat="1" applyFont="1" applyFill="1" applyBorder="1" applyAlignment="1">
      <alignment horizontal="center" vertical="center"/>
    </xf>
    <xf numFmtId="165" fontId="68" fillId="27" borderId="41" xfId="63" applyNumberFormat="1" applyFont="1" applyFill="1" applyBorder="1" applyAlignment="1">
      <alignment horizontal="center" vertical="center"/>
    </xf>
    <xf numFmtId="168" fontId="68" fillId="27" borderId="41" xfId="66" applyNumberFormat="1" applyFont="1" applyFill="1" applyBorder="1" applyAlignment="1">
      <alignment horizontal="center" vertical="center"/>
    </xf>
    <xf numFmtId="169" fontId="68" fillId="27" borderId="41" xfId="63" applyNumberFormat="1" applyFont="1" applyFill="1" applyBorder="1" applyAlignment="1">
      <alignment horizontal="center" vertical="center"/>
    </xf>
    <xf numFmtId="169" fontId="68" fillId="27" borderId="17" xfId="63" applyNumberFormat="1" applyFont="1" applyFill="1" applyBorder="1" applyAlignment="1">
      <alignment horizontal="center" vertical="center"/>
    </xf>
    <xf numFmtId="165" fontId="22" fillId="0" borderId="17" xfId="63" applyNumberFormat="1" applyFont="1" applyBorder="1"/>
    <xf numFmtId="165" fontId="30" fillId="9" borderId="17" xfId="64" applyNumberFormat="1" applyFont="1" applyFill="1" applyBorder="1" applyAlignment="1">
      <alignment vertical="center"/>
    </xf>
    <xf numFmtId="165" fontId="28" fillId="9" borderId="17" xfId="64" applyNumberFormat="1" applyFont="1" applyFill="1" applyBorder="1"/>
    <xf numFmtId="165" fontId="67" fillId="0" borderId="17" xfId="64" applyNumberFormat="1" applyFont="1" applyBorder="1" applyAlignment="1">
      <alignment horizontal="center"/>
    </xf>
    <xf numFmtId="165" fontId="30" fillId="9" borderId="17" xfId="64" applyNumberFormat="1" applyFont="1" applyFill="1" applyBorder="1" applyAlignment="1">
      <alignment horizontal="center" vertical="center"/>
    </xf>
    <xf numFmtId="165" fontId="68" fillId="26" borderId="38" xfId="63" applyNumberFormat="1" applyFont="1" applyFill="1" applyBorder="1" applyAlignment="1">
      <alignment horizontal="right" vertical="center"/>
    </xf>
    <xf numFmtId="9" fontId="30" fillId="28" borderId="47" xfId="66" applyFont="1" applyFill="1" applyBorder="1" applyAlignment="1">
      <alignment horizontal="left" vertical="center" indent="1"/>
    </xf>
    <xf numFmtId="0" fontId="28" fillId="28" borderId="40" xfId="64" applyFont="1" applyFill="1" applyBorder="1" applyAlignment="1">
      <alignment horizontal="left" vertical="center" indent="1"/>
    </xf>
    <xf numFmtId="0" fontId="28" fillId="31" borderId="79" xfId="64" applyFont="1" applyFill="1" applyBorder="1" applyAlignment="1">
      <alignment horizontal="center" vertical="center" wrapText="1"/>
    </xf>
    <xf numFmtId="9" fontId="30" fillId="28" borderId="41" xfId="66" applyFont="1" applyFill="1" applyBorder="1" applyAlignment="1">
      <alignment horizontal="left" vertical="center" indent="1"/>
    </xf>
    <xf numFmtId="0" fontId="30" fillId="31" borderId="90" xfId="64" applyFont="1" applyFill="1" applyBorder="1" applyAlignment="1">
      <alignment horizontal="center" vertical="center" wrapText="1"/>
    </xf>
    <xf numFmtId="0" fontId="30" fillId="31" borderId="94" xfId="64" applyFont="1" applyFill="1" applyBorder="1" applyAlignment="1">
      <alignment horizontal="center" vertical="center" wrapText="1"/>
    </xf>
    <xf numFmtId="0" fontId="30" fillId="28" borderId="90" xfId="64" applyFont="1" applyFill="1" applyBorder="1" applyAlignment="1">
      <alignment horizontal="center" wrapText="1"/>
    </xf>
    <xf numFmtId="0" fontId="30" fillId="19" borderId="94" xfId="64" applyFont="1" applyFill="1" applyBorder="1" applyAlignment="1">
      <alignment horizontal="center"/>
    </xf>
    <xf numFmtId="10" fontId="30" fillId="19" borderId="90" xfId="64" applyNumberFormat="1" applyFont="1" applyFill="1" applyBorder="1" applyAlignment="1">
      <alignment horizontal="center" wrapText="1"/>
    </xf>
    <xf numFmtId="0" fontId="30" fillId="31" borderId="91" xfId="64" applyFont="1" applyFill="1" applyBorder="1" applyAlignment="1">
      <alignment horizontal="center" vertical="center" wrapText="1"/>
    </xf>
    <xf numFmtId="10" fontId="30" fillId="28" borderId="17" xfId="66" applyNumberFormat="1" applyFont="1" applyFill="1" applyBorder="1" applyAlignment="1">
      <alignment horizontal="center" vertical="center"/>
    </xf>
    <xf numFmtId="0" fontId="22" fillId="0" borderId="0" xfId="63" applyFont="1" applyAlignment="1">
      <alignment wrapText="1"/>
    </xf>
    <xf numFmtId="0" fontId="67" fillId="0" borderId="0" xfId="64" applyFont="1" applyAlignment="1">
      <alignment horizontal="center" wrapText="1"/>
    </xf>
    <xf numFmtId="9" fontId="30" fillId="31" borderId="100" xfId="64" applyNumberFormat="1" applyFont="1" applyFill="1" applyBorder="1" applyAlignment="1">
      <alignment horizontal="center" vertical="center" wrapText="1"/>
    </xf>
    <xf numFmtId="176" fontId="30" fillId="31" borderId="101" xfId="64" applyNumberFormat="1" applyFont="1" applyFill="1" applyBorder="1" applyAlignment="1">
      <alignment horizontal="center" vertical="center" wrapText="1"/>
    </xf>
    <xf numFmtId="0" fontId="30" fillId="31" borderId="101" xfId="64" applyFont="1" applyFill="1" applyBorder="1" applyAlignment="1">
      <alignment horizontal="center" vertical="center" wrapText="1"/>
    </xf>
    <xf numFmtId="168" fontId="30" fillId="31" borderId="101" xfId="66" applyNumberFormat="1" applyFont="1" applyFill="1" applyBorder="1" applyAlignment="1">
      <alignment horizontal="center" vertical="center" wrapText="1"/>
    </xf>
    <xf numFmtId="176" fontId="30" fillId="31" borderId="102" xfId="64" applyNumberFormat="1" applyFont="1" applyFill="1" applyBorder="1" applyAlignment="1">
      <alignment horizontal="center" vertical="center" wrapText="1"/>
    </xf>
    <xf numFmtId="0" fontId="101" fillId="28" borderId="40" xfId="64" applyFont="1" applyFill="1" applyBorder="1" applyAlignment="1">
      <alignment horizontal="left" vertical="center" indent="1"/>
    </xf>
    <xf numFmtId="0" fontId="30" fillId="17" borderId="94" xfId="64" applyFont="1" applyFill="1" applyBorder="1" applyAlignment="1">
      <alignment horizontal="center" vertical="center" wrapText="1"/>
    </xf>
    <xf numFmtId="176" fontId="30" fillId="36" borderId="102" xfId="64" applyNumberFormat="1" applyFont="1" applyFill="1" applyBorder="1" applyAlignment="1">
      <alignment horizontal="center" vertical="center" wrapText="1"/>
    </xf>
    <xf numFmtId="0" fontId="30" fillId="33" borderId="94" xfId="64" applyFont="1" applyFill="1" applyBorder="1" applyAlignment="1">
      <alignment horizontal="center" vertical="center" wrapText="1"/>
    </xf>
    <xf numFmtId="0" fontId="30" fillId="28" borderId="94" xfId="64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10" fillId="9" borderId="0" xfId="50" applyFont="1" applyFill="1" applyAlignment="1">
      <alignment horizontal="center"/>
    </xf>
    <xf numFmtId="0" fontId="30" fillId="9" borderId="0" xfId="50" applyFont="1" applyFill="1" applyAlignment="1">
      <alignment horizontal="center"/>
    </xf>
    <xf numFmtId="0" fontId="22" fillId="0" borderId="0" xfId="63" applyFont="1" applyAlignment="1">
      <alignment horizontal="center"/>
    </xf>
    <xf numFmtId="0" fontId="28" fillId="28" borderId="45" xfId="63" applyFont="1" applyFill="1" applyBorder="1" applyAlignment="1">
      <alignment horizontal="center" vertical="center"/>
    </xf>
    <xf numFmtId="0" fontId="28" fillId="29" borderId="45" xfId="63" applyFont="1" applyFill="1" applyBorder="1" applyAlignment="1">
      <alignment horizontal="center" vertical="center"/>
    </xf>
    <xf numFmtId="0" fontId="28" fillId="30" borderId="45" xfId="63" applyFont="1" applyFill="1" applyBorder="1" applyAlignment="1">
      <alignment horizontal="center" vertical="center"/>
    </xf>
    <xf numFmtId="165" fontId="108" fillId="27" borderId="41" xfId="63" applyNumberFormat="1" applyFont="1" applyFill="1" applyBorder="1" applyAlignment="1">
      <alignment horizontal="center" vertical="center"/>
    </xf>
    <xf numFmtId="165" fontId="108" fillId="27" borderId="81" xfId="63" applyNumberFormat="1" applyFont="1" applyFill="1" applyBorder="1" applyAlignment="1">
      <alignment horizontal="center" vertical="center"/>
    </xf>
    <xf numFmtId="165" fontId="108" fillId="27" borderId="47" xfId="63" applyNumberFormat="1" applyFont="1" applyFill="1" applyBorder="1" applyAlignment="1">
      <alignment horizontal="center" vertical="center"/>
    </xf>
    <xf numFmtId="0" fontId="68" fillId="27" borderId="45" xfId="63" applyFont="1" applyFill="1" applyBorder="1" applyAlignment="1">
      <alignment horizontal="center" vertical="center"/>
    </xf>
    <xf numFmtId="168" fontId="30" fillId="2" borderId="78" xfId="8" applyNumberFormat="1" applyFont="1" applyFill="1" applyBorder="1" applyAlignment="1">
      <alignment horizontal="center" vertical="center"/>
    </xf>
    <xf numFmtId="165" fontId="22" fillId="0" borderId="0" xfId="0" applyNumberFormat="1" applyFont="1"/>
    <xf numFmtId="0" fontId="22" fillId="0" borderId="0" xfId="0" applyFont="1" applyAlignment="1">
      <alignment horizontal="right"/>
    </xf>
    <xf numFmtId="165" fontId="108" fillId="27" borderId="47" xfId="63" applyNumberFormat="1" applyFont="1" applyFill="1" applyBorder="1" applyAlignment="1">
      <alignment horizontal="right" vertical="center" indent="1"/>
    </xf>
    <xf numFmtId="165" fontId="22" fillId="0" borderId="0" xfId="0" applyNumberFormat="1" applyFont="1" applyAlignment="1">
      <alignment horizontal="right" indent="1"/>
    </xf>
    <xf numFmtId="165" fontId="109" fillId="0" borderId="0" xfId="0" applyNumberFormat="1" applyFont="1" applyAlignment="1">
      <alignment horizontal="right" indent="1"/>
    </xf>
    <xf numFmtId="165" fontId="22" fillId="0" borderId="16" xfId="0" applyNumberFormat="1" applyFont="1" applyBorder="1" applyAlignment="1">
      <alignment horizontal="right" indent="1"/>
    </xf>
    <xf numFmtId="0" fontId="22" fillId="0" borderId="0" xfId="0" applyFont="1" applyAlignment="1">
      <alignment horizontal="right" indent="1"/>
    </xf>
    <xf numFmtId="165" fontId="22" fillId="0" borderId="103" xfId="0" applyNumberFormat="1" applyFont="1" applyBorder="1" applyAlignment="1">
      <alignment horizontal="right" indent="1"/>
    </xf>
    <xf numFmtId="1" fontId="110" fillId="2" borderId="51" xfId="4" applyNumberFormat="1" applyFont="1" applyBorder="1" applyAlignment="1">
      <alignment horizontal="left" vertical="center" indent="2"/>
    </xf>
    <xf numFmtId="1" fontId="111" fillId="2" borderId="30" xfId="4" applyNumberFormat="1" applyFont="1" applyBorder="1" applyAlignment="1">
      <alignment horizontal="left" vertical="center" indent="1"/>
    </xf>
    <xf numFmtId="189" fontId="80" fillId="2" borderId="22" xfId="8" applyNumberFormat="1" applyFont="1" applyFill="1" applyBorder="1" applyAlignment="1">
      <alignment horizontal="left" vertical="center" indent="2"/>
    </xf>
    <xf numFmtId="0" fontId="112" fillId="37" borderId="79" xfId="64" applyFont="1" applyFill="1" applyBorder="1" applyAlignment="1">
      <alignment horizontal="left" vertical="center" indent="1"/>
    </xf>
    <xf numFmtId="0" fontId="30" fillId="37" borderId="80" xfId="64" applyFont="1" applyFill="1" applyBorder="1" applyAlignment="1">
      <alignment horizontal="center" vertical="center"/>
    </xf>
    <xf numFmtId="0" fontId="30" fillId="37" borderId="82" xfId="64" applyFont="1" applyFill="1" applyBorder="1" applyAlignment="1">
      <alignment horizontal="center" vertical="center"/>
    </xf>
    <xf numFmtId="0" fontId="30" fillId="37" borderId="18" xfId="64" applyFont="1" applyFill="1" applyBorder="1" applyAlignment="1">
      <alignment horizontal="center" vertical="center"/>
    </xf>
    <xf numFmtId="0" fontId="30" fillId="37" borderId="46" xfId="64" applyFont="1" applyFill="1" applyBorder="1" applyAlignment="1">
      <alignment horizontal="center" vertical="center"/>
    </xf>
    <xf numFmtId="0" fontId="30" fillId="37" borderId="47" xfId="64" applyFont="1" applyFill="1" applyBorder="1" applyAlignment="1">
      <alignment horizontal="center" vertical="center"/>
    </xf>
    <xf numFmtId="178" fontId="10" fillId="3" borderId="42" xfId="6" applyNumberFormat="1" applyFont="1" applyFill="1" applyBorder="1" applyAlignment="1">
      <alignment horizontal="right" vertical="center" indent="2"/>
    </xf>
    <xf numFmtId="178" fontId="10" fillId="2" borderId="29" xfId="1" applyNumberFormat="1" applyFont="1" applyFill="1" applyBorder="1" applyAlignment="1">
      <alignment horizontal="right" vertical="center" indent="1"/>
    </xf>
    <xf numFmtId="178" fontId="28" fillId="2" borderId="26" xfId="1" applyNumberFormat="1" applyFont="1" applyFill="1" applyBorder="1" applyAlignment="1">
      <alignment horizontal="right" vertical="center" indent="1"/>
    </xf>
    <xf numFmtId="0" fontId="28" fillId="3" borderId="58" xfId="6" applyFont="1" applyFill="1" applyBorder="1" applyAlignment="1">
      <alignment horizontal="center" wrapText="1"/>
    </xf>
    <xf numFmtId="1" fontId="47" fillId="2" borderId="32" xfId="4" applyNumberFormat="1" applyFont="1" applyBorder="1" applyAlignment="1">
      <alignment horizontal="left" vertical="center" indent="2"/>
    </xf>
    <xf numFmtId="1" fontId="17" fillId="2" borderId="24" xfId="4" applyNumberFormat="1" applyFont="1" applyBorder="1" applyAlignment="1">
      <alignment horizontal="left" vertical="center" indent="4"/>
    </xf>
    <xf numFmtId="9" fontId="72" fillId="2" borderId="33" xfId="8" applyFont="1" applyFill="1" applyBorder="1" applyAlignment="1">
      <alignment horizontal="right" vertical="center" indent="1"/>
    </xf>
    <xf numFmtId="168" fontId="72" fillId="2" borderId="27" xfId="8" applyNumberFormat="1" applyFont="1" applyFill="1" applyBorder="1" applyAlignment="1">
      <alignment horizontal="right" vertical="center" indent="1"/>
    </xf>
    <xf numFmtId="0" fontId="113" fillId="0" borderId="0" xfId="10" applyFont="1"/>
    <xf numFmtId="168" fontId="30" fillId="2" borderId="49" xfId="8" applyNumberFormat="1" applyFont="1" applyFill="1" applyBorder="1" applyAlignment="1">
      <alignment horizontal="right" vertical="center" indent="1"/>
    </xf>
    <xf numFmtId="176" fontId="30" fillId="2" borderId="49" xfId="1" applyNumberFormat="1" applyFont="1" applyFill="1" applyBorder="1" applyAlignment="1">
      <alignment horizontal="right" vertical="center" indent="1"/>
    </xf>
    <xf numFmtId="9" fontId="30" fillId="2" borderId="49" xfId="8" applyFont="1" applyFill="1" applyBorder="1" applyAlignment="1">
      <alignment horizontal="right" vertical="center" indent="1"/>
    </xf>
    <xf numFmtId="1" fontId="18" fillId="2" borderId="4" xfId="4" applyNumberFormat="1" applyFont="1" applyBorder="1" applyAlignment="1">
      <alignment horizontal="left" vertical="center" indent="1"/>
    </xf>
    <xf numFmtId="0" fontId="18" fillId="3" borderId="0" xfId="6" applyFont="1" applyFill="1" applyAlignment="1">
      <alignment horizontal="center" vertical="center"/>
    </xf>
    <xf numFmtId="183" fontId="49" fillId="2" borderId="21" xfId="1" applyNumberFormat="1" applyFont="1" applyFill="1" applyBorder="1" applyAlignment="1">
      <alignment horizontal="center" vertical="center"/>
    </xf>
    <xf numFmtId="0" fontId="114" fillId="9" borderId="0" xfId="0" applyFont="1" applyFill="1" applyAlignment="1">
      <alignment vertical="top"/>
    </xf>
    <xf numFmtId="0" fontId="115" fillId="9" borderId="0" xfId="0" applyFont="1" applyFill="1" applyAlignment="1">
      <alignment vertical="top"/>
    </xf>
    <xf numFmtId="168" fontId="93" fillId="12" borderId="0" xfId="8" applyNumberFormat="1" applyFont="1" applyFill="1" applyBorder="1" applyAlignment="1">
      <alignment horizontal="right" vertical="center" indent="1"/>
    </xf>
    <xf numFmtId="168" fontId="93" fillId="12" borderId="20" xfId="8" applyNumberFormat="1" applyFont="1" applyFill="1" applyBorder="1" applyAlignment="1">
      <alignment horizontal="right" vertical="center" indent="1"/>
    </xf>
    <xf numFmtId="168" fontId="93" fillId="12" borderId="16" xfId="6" applyNumberFormat="1" applyFont="1" applyFill="1" applyBorder="1" applyAlignment="1">
      <alignment horizontal="center" vertical="center"/>
    </xf>
    <xf numFmtId="168" fontId="93" fillId="12" borderId="0" xfId="6" applyNumberFormat="1" applyFont="1" applyFill="1" applyAlignment="1">
      <alignment horizontal="right" vertical="center" wrapText="1"/>
    </xf>
    <xf numFmtId="168" fontId="93" fillId="12" borderId="66" xfId="8" applyNumberFormat="1" applyFont="1" applyFill="1" applyBorder="1" applyAlignment="1">
      <alignment horizontal="right" vertical="center" indent="1"/>
    </xf>
    <xf numFmtId="0" fontId="30" fillId="28" borderId="94" xfId="64" applyFont="1" applyFill="1" applyBorder="1" applyAlignment="1">
      <alignment horizontal="center" vertical="center"/>
    </xf>
    <xf numFmtId="0" fontId="30" fillId="28" borderId="95" xfId="64" applyFont="1" applyFill="1" applyBorder="1" applyAlignment="1">
      <alignment horizontal="center" vertical="center"/>
    </xf>
    <xf numFmtId="1" fontId="67" fillId="22" borderId="46" xfId="6" applyNumberFormat="1" applyFont="1" applyFill="1" applyBorder="1" applyAlignment="1">
      <alignment horizontal="center" vertical="center"/>
    </xf>
    <xf numFmtId="0" fontId="81" fillId="23" borderId="0" xfId="50" applyFont="1" applyFill="1" applyAlignment="1">
      <alignment horizontal="center"/>
    </xf>
    <xf numFmtId="1" fontId="28" fillId="21" borderId="46" xfId="6" applyNumberFormat="1" applyFont="1" applyFill="1" applyBorder="1" applyAlignment="1">
      <alignment horizontal="center" vertical="center"/>
    </xf>
    <xf numFmtId="0" fontId="30" fillId="13" borderId="40" xfId="6" applyFont="1" applyFill="1" applyBorder="1" applyAlignment="1">
      <alignment horizontal="center" vertical="center"/>
    </xf>
    <xf numFmtId="0" fontId="30" fillId="13" borderId="45" xfId="6" applyFont="1" applyFill="1" applyBorder="1" applyAlignment="1">
      <alignment horizontal="center" vertical="center"/>
    </xf>
    <xf numFmtId="0" fontId="30" fillId="13" borderId="41" xfId="6" applyFont="1" applyFill="1" applyBorder="1" applyAlignment="1">
      <alignment horizontal="center" vertical="center"/>
    </xf>
    <xf numFmtId="0" fontId="63" fillId="0" borderId="40" xfId="57" applyFont="1" applyBorder="1" applyAlignment="1">
      <alignment horizontal="center"/>
    </xf>
    <xf numFmtId="0" fontId="63" fillId="0" borderId="41" xfId="57" applyFont="1" applyBorder="1" applyAlignment="1">
      <alignment horizontal="center"/>
    </xf>
    <xf numFmtId="7" fontId="18" fillId="3" borderId="0" xfId="6" applyNumberFormat="1" applyFont="1" applyFill="1" applyAlignment="1">
      <alignment horizontal="left" vertical="center"/>
    </xf>
    <xf numFmtId="168" fontId="25" fillId="2" borderId="21" xfId="8" applyNumberFormat="1" applyFont="1" applyFill="1" applyBorder="1" applyAlignment="1">
      <alignment horizontal="right" vertical="center" indent="2"/>
    </xf>
  </cellXfs>
  <cellStyles count="70">
    <cellStyle name="Comma" xfId="1" builtinId="3"/>
    <cellStyle name="Comma [0] 2" xfId="55" xr:uid="{3BDE7C37-0072-4B2D-B6D3-8D81F34EB653}"/>
    <cellStyle name="Comma 2" xfId="11" xr:uid="{CE62AEC7-CBDB-4D10-BC8D-E33AFD4348CC}"/>
    <cellStyle name="Comma 2 2" xfId="34" xr:uid="{D6A3127E-1EFE-48AD-AD7F-F472739EA5A0}"/>
    <cellStyle name="Comma 2 3" xfId="37" xr:uid="{A636AFE1-7512-4C38-A8CF-07237B35CDBF}"/>
    <cellStyle name="Comma 2 4" xfId="44" xr:uid="{FF18BAE8-BB18-41A7-85E2-153F191B404D}"/>
    <cellStyle name="Comma 3" xfId="45" xr:uid="{BF2D3E15-C5DD-4E7A-A5D2-6250979B3BE4}"/>
    <cellStyle name="Comma 4" xfId="60" xr:uid="{8F9FFDC5-0A03-48F2-82C2-B7F0B6492808}"/>
    <cellStyle name="Comma 5" xfId="67" xr:uid="{610A4683-442F-439F-9435-456B91B33C63}"/>
    <cellStyle name="Currency 2" xfId="13" xr:uid="{BE01814F-2738-4B0B-BB10-72271873C22D}"/>
    <cellStyle name="Currency 2 2" xfId="46" xr:uid="{80DD320D-58E2-4AA7-837A-5029F99098CC}"/>
    <cellStyle name="Dark #" xfId="5" xr:uid="{BB858231-BDC6-4A6B-B81C-2E4EB60ED7F0}"/>
    <cellStyle name="Dark $$" xfId="9" xr:uid="{0FCDB59B-DA27-4C5E-9E97-C0C739AE8E6A}"/>
    <cellStyle name="Dark $/FF" xfId="23" xr:uid="{3336F0F0-67F9-45A3-968C-6786773D719C}"/>
    <cellStyle name="Dark $/Lot" xfId="24" xr:uid="{C02AF63E-B0DA-4252-BE9B-B47BB65FD76C}"/>
    <cellStyle name="Dark $/SF" xfId="22" xr:uid="{990C410F-C893-4FE6-87DE-E203FB8A3BF3}"/>
    <cellStyle name="Dark Date" xfId="4" xr:uid="{FB2BF864-D453-4CC9-8CB4-FD5724F29640}"/>
    <cellStyle name="Header L" xfId="29" xr:uid="{743622B7-3844-4EAD-A246-4FBCEC0FF2C6}"/>
    <cellStyle name="Header M" xfId="31" xr:uid="{0BF8B22A-B771-4E03-88AC-2F57815D8550}"/>
    <cellStyle name="Header R" xfId="30" xr:uid="{DAA075EA-66B7-435D-9EAD-A4896DA96ED2}"/>
    <cellStyle name="Hyperlink 2" xfId="26" xr:uid="{6CBE5C88-F8E0-4A48-9264-F7089FE62552}"/>
    <cellStyle name="Input" xfId="18" builtinId="20" customBuiltin="1"/>
    <cellStyle name="Input #" xfId="28" xr:uid="{BEAF5C63-A805-4771-8437-57CD25AF257F}"/>
    <cellStyle name="Input %" xfId="33" xr:uid="{FD4B2AB1-DC51-416F-8A07-9A0748BE7B72}"/>
    <cellStyle name="Input 2 Column" xfId="32" xr:uid="{0C8985F8-E3D4-48F9-B8A9-43180366E2DE}"/>
    <cellStyle name="Negative Red" xfId="40" xr:uid="{D27ADDC0-A147-4DBF-8F5F-417A10F06E5E}"/>
    <cellStyle name="Normal" xfId="0" builtinId="0"/>
    <cellStyle name="Normal 10" xfId="50" xr:uid="{6926E4AF-3245-4ED8-B503-FB08E1168253}"/>
    <cellStyle name="Normal 11" xfId="21" xr:uid="{F9FAE9ED-0F48-4F7D-9233-620A582DE9CF}"/>
    <cellStyle name="Normal 11 2" xfId="3" xr:uid="{490AA0A1-4244-4ED3-A459-801B04506E22}"/>
    <cellStyle name="Normal 12" xfId="69" xr:uid="{A9F7E8DD-073B-4958-8DAE-4495E4FF974F}"/>
    <cellStyle name="Normal 17" xfId="16" xr:uid="{E4F77F82-CCA4-4A4B-84F2-21FC8FC864F8}"/>
    <cellStyle name="Normal 18 2" xfId="41" xr:uid="{EE6CBD29-4FC5-47B1-BC16-514816F56579}"/>
    <cellStyle name="Normal 2" xfId="2" xr:uid="{0D7D4351-B219-4FAC-B28E-908D66268550}"/>
    <cellStyle name="Normal 2 2" xfId="15" xr:uid="{B92CB069-0751-43EC-87AF-DAC1171D3042}"/>
    <cellStyle name="Normal 2 2 2" xfId="42" xr:uid="{0898E1D5-B93D-4E31-BB91-D70650D158CE}"/>
    <cellStyle name="Normal 2 2 3" xfId="64" xr:uid="{884FFC16-37B3-4544-889C-66A2CF1B6685}"/>
    <cellStyle name="Normal 2 3" xfId="25" xr:uid="{EC669015-8E59-4BF5-BAFD-AA5B55C688DA}"/>
    <cellStyle name="Normal 2 4" xfId="53" xr:uid="{5CE4B7A8-CC36-4C1F-940F-B1A3B5C29FAF}"/>
    <cellStyle name="Normal 2 5" xfId="58" xr:uid="{5A830879-2D6D-45FC-93C5-63FA8D71B457}"/>
    <cellStyle name="Normal 20" xfId="39" xr:uid="{CA4EDDFC-3858-4260-A3B6-6118691D2B09}"/>
    <cellStyle name="Normal 22" xfId="6" xr:uid="{B4B62613-56A4-4A52-B7AB-CFA44A7266D0}"/>
    <cellStyle name="Normal 23" xfId="7" xr:uid="{AAEDE2C0-5B8F-4E12-B935-3A5702C8382D}"/>
    <cellStyle name="Normal 3" xfId="10" xr:uid="{35F9C782-BF73-4AE9-A5AE-D2E3F936D120}"/>
    <cellStyle name="Normal 3 2" xfId="12" xr:uid="{07DB3F66-CCDE-4983-BFA0-DC16B2E6364B}"/>
    <cellStyle name="Normal 3 3" xfId="61" xr:uid="{C6987A78-1020-4865-B4BC-A25497228459}"/>
    <cellStyle name="Normal 4" xfId="19" xr:uid="{3E8ED071-4360-4634-A015-EC4231CA8A54}"/>
    <cellStyle name="Normal 4 2" xfId="47" xr:uid="{FBD15012-44C3-4088-82C3-D6A70BC22F6F}"/>
    <cellStyle name="Normal 4 3" xfId="65" xr:uid="{F16036A7-AD08-4CCF-90F5-8E386F6CC52C}"/>
    <cellStyle name="Normal 5" xfId="48" xr:uid="{29EAE1DA-4901-435C-AEB7-63B983BDACD0}"/>
    <cellStyle name="Normal 5 2" xfId="52" xr:uid="{4E6BC671-D909-4B23-A852-8F0C5894CED6}"/>
    <cellStyle name="Normal 6" xfId="49" xr:uid="{1E64A4A4-0CBE-42E7-8FBA-5DBB49A7652D}"/>
    <cellStyle name="Normal 6 2" xfId="36" xr:uid="{3461346A-3B14-49A4-AF73-A81DF9065FD8}"/>
    <cellStyle name="Normal 7" xfId="57" xr:uid="{BFCA0E95-78F7-4F40-AA3A-ADDA706A9241}"/>
    <cellStyle name="Normal 8" xfId="59" xr:uid="{6D02C27F-348C-40AB-8647-B7D8E9DEDC81}"/>
    <cellStyle name="Normal 9" xfId="63" xr:uid="{F1B89B36-23B3-4BF6-9982-F777E118CDFB}"/>
    <cellStyle name="Normal_PrescottLakes" xfId="17" xr:uid="{AFB14D33-EE78-4DBF-8D36-E8902C68BC4C}"/>
    <cellStyle name="Note 2" xfId="27" xr:uid="{2453EE3A-5D5D-456B-A425-5217CED695A1}"/>
    <cellStyle name="Percent" xfId="8" builtinId="5"/>
    <cellStyle name="Percent 2" xfId="14" xr:uid="{5CEB8681-47D8-4DEE-AC39-8A8D18237804}"/>
    <cellStyle name="Percent 2 2" xfId="35" xr:uid="{0CBF3457-E68D-4798-8AF6-B540F7463FE8}"/>
    <cellStyle name="Percent 2 2 2" xfId="68" xr:uid="{FF0D7FDF-E2CA-4788-8446-356A18205404}"/>
    <cellStyle name="Percent 2 3" xfId="38" xr:uid="{9EEFAF6C-4E49-43F7-96C4-414F1CB895B3}"/>
    <cellStyle name="Percent 3" xfId="43" xr:uid="{C7688C1E-45A3-4CC9-8477-B199A754A922}"/>
    <cellStyle name="Percent 4" xfId="20" xr:uid="{119F4100-C708-4A94-9818-18316B7690C8}"/>
    <cellStyle name="Percent 4 2" xfId="54" xr:uid="{AF809C47-61C9-4FB5-ACF5-14C7BFAB33F5}"/>
    <cellStyle name="Percent 5" xfId="51" xr:uid="{3152362C-8BC7-494B-A6CD-001DAE29B560}"/>
    <cellStyle name="Percent 6" xfId="56" xr:uid="{10A5218A-DAE1-4500-989F-89791E9C6E8A}"/>
    <cellStyle name="Percent 7" xfId="62" xr:uid="{CF3F7B81-2E47-4685-A7F9-5129D811A9D1}"/>
    <cellStyle name="Percent 8" xfId="66" xr:uid="{6155D819-1151-478C-9D03-594DA84402D5}"/>
  </cellStyles>
  <dxfs count="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DA82"/>
      <color rgb="FF00FF99"/>
      <color rgb="FF0432FF"/>
      <color rgb="FF859AB1"/>
      <color rgb="FF2D2E37"/>
      <color rgb="FF50637C"/>
      <color rgb="FF72CCFE"/>
      <color rgb="FF393845"/>
      <color rgb="FF3C3D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8</xdr:row>
      <xdr:rowOff>25400</xdr:rowOff>
    </xdr:from>
    <xdr:to>
      <xdr:col>7</xdr:col>
      <xdr:colOff>749300</xdr:colOff>
      <xdr:row>10</xdr:row>
      <xdr:rowOff>12700</xdr:rowOff>
    </xdr:to>
    <xdr:sp macro="[0]!CopyAssumptionsAndResultsEnhanced" textlink="">
      <xdr:nvSpPr>
        <xdr:cNvPr id="2" name="Rectangle 1">
          <a:extLst>
            <a:ext uri="{FF2B5EF4-FFF2-40B4-BE49-F238E27FC236}">
              <a16:creationId xmlns:a16="http://schemas.microsoft.com/office/drawing/2014/main" id="{21354F51-E294-2F3E-688E-06E32599C92C}"/>
            </a:ext>
          </a:extLst>
        </xdr:cNvPr>
        <xdr:cNvSpPr/>
      </xdr:nvSpPr>
      <xdr:spPr>
        <a:xfrm>
          <a:off x="5994400" y="1295400"/>
          <a:ext cx="635000" cy="571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Save </a:t>
          </a:r>
        </a:p>
        <a:p>
          <a:pPr algn="ctr"/>
          <a:r>
            <a:rPr lang="en-US" sz="1100"/>
            <a:t>Case</a:t>
          </a:r>
        </a:p>
      </xdr:txBody>
    </xdr:sp>
    <xdr:clientData/>
  </xdr:twoCellAnchor>
  <xdr:twoCellAnchor>
    <xdr:from>
      <xdr:col>22</xdr:col>
      <xdr:colOff>76389</xdr:colOff>
      <xdr:row>7</xdr:row>
      <xdr:rowOff>151830</xdr:rowOff>
    </xdr:from>
    <xdr:to>
      <xdr:col>22</xdr:col>
      <xdr:colOff>1014236</xdr:colOff>
      <xdr:row>8</xdr:row>
      <xdr:rowOff>296333</xdr:rowOff>
    </xdr:to>
    <xdr:sp macro="[0]!RepopulateFromW" textlink="">
      <xdr:nvSpPr>
        <xdr:cNvPr id="4" name="btn_case2">
          <a:extLst>
            <a:ext uri="{FF2B5EF4-FFF2-40B4-BE49-F238E27FC236}">
              <a16:creationId xmlns:a16="http://schemas.microsoft.com/office/drawing/2014/main" id="{7CC681E5-12E1-AF7C-7823-427B3812B0C0}"/>
            </a:ext>
          </a:extLst>
        </xdr:cNvPr>
        <xdr:cNvSpPr/>
      </xdr:nvSpPr>
      <xdr:spPr>
        <a:xfrm>
          <a:off x="30852722" y="1831052"/>
          <a:ext cx="937847" cy="3420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98778</xdr:colOff>
      <xdr:row>7</xdr:row>
      <xdr:rowOff>151830</xdr:rowOff>
    </xdr:from>
    <xdr:to>
      <xdr:col>21</xdr:col>
      <xdr:colOff>1036625</xdr:colOff>
      <xdr:row>8</xdr:row>
      <xdr:rowOff>296333</xdr:rowOff>
    </xdr:to>
    <xdr:sp macro="[0]!RepopulateFromV" textlink="">
      <xdr:nvSpPr>
        <xdr:cNvPr id="3" name="btn_case1">
          <a:extLst>
            <a:ext uri="{FF2B5EF4-FFF2-40B4-BE49-F238E27FC236}">
              <a16:creationId xmlns:a16="http://schemas.microsoft.com/office/drawing/2014/main" id="{30C2A9CB-CA1F-5D4E-B327-9BB6CAEAE273}"/>
            </a:ext>
          </a:extLst>
        </xdr:cNvPr>
        <xdr:cNvSpPr/>
      </xdr:nvSpPr>
      <xdr:spPr>
        <a:xfrm>
          <a:off x="29788556" y="1831052"/>
          <a:ext cx="937847" cy="3420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70556</xdr:colOff>
      <xdr:row>7</xdr:row>
      <xdr:rowOff>151830</xdr:rowOff>
    </xdr:from>
    <xdr:to>
      <xdr:col>23</xdr:col>
      <xdr:colOff>1008403</xdr:colOff>
      <xdr:row>8</xdr:row>
      <xdr:rowOff>296333</xdr:rowOff>
    </xdr:to>
    <xdr:sp macro="[0]!RepopulateFromX" textlink="">
      <xdr:nvSpPr>
        <xdr:cNvPr id="5" name="btn_case3">
          <a:extLst>
            <a:ext uri="{FF2B5EF4-FFF2-40B4-BE49-F238E27FC236}">
              <a16:creationId xmlns:a16="http://schemas.microsoft.com/office/drawing/2014/main" id="{E16CD47A-EEDC-084C-9542-A0ECA21719CF}"/>
            </a:ext>
          </a:extLst>
        </xdr:cNvPr>
        <xdr:cNvSpPr/>
      </xdr:nvSpPr>
      <xdr:spPr>
        <a:xfrm>
          <a:off x="31933445" y="1831052"/>
          <a:ext cx="937847" cy="3420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70555</xdr:colOff>
      <xdr:row>7</xdr:row>
      <xdr:rowOff>151830</xdr:rowOff>
    </xdr:from>
    <xdr:to>
      <xdr:col>24</xdr:col>
      <xdr:colOff>1008402</xdr:colOff>
      <xdr:row>8</xdr:row>
      <xdr:rowOff>296333</xdr:rowOff>
    </xdr:to>
    <xdr:sp macro="[0]!RepopulateFromAP" textlink="">
      <xdr:nvSpPr>
        <xdr:cNvPr id="6" name="btn_case4">
          <a:extLst>
            <a:ext uri="{FF2B5EF4-FFF2-40B4-BE49-F238E27FC236}">
              <a16:creationId xmlns:a16="http://schemas.microsoft.com/office/drawing/2014/main" id="{70354CDD-4E6C-5442-A363-0A264AD7E337}"/>
            </a:ext>
          </a:extLst>
        </xdr:cNvPr>
        <xdr:cNvSpPr/>
      </xdr:nvSpPr>
      <xdr:spPr>
        <a:xfrm>
          <a:off x="33019999" y="1831052"/>
          <a:ext cx="937847" cy="3420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70556</xdr:colOff>
      <xdr:row>7</xdr:row>
      <xdr:rowOff>151830</xdr:rowOff>
    </xdr:from>
    <xdr:to>
      <xdr:col>24</xdr:col>
      <xdr:colOff>1008403</xdr:colOff>
      <xdr:row>8</xdr:row>
      <xdr:rowOff>296333</xdr:rowOff>
    </xdr:to>
    <xdr:sp macro="[0]!RepopulateFromY" textlink="">
      <xdr:nvSpPr>
        <xdr:cNvPr id="7" name="btn_case3">
          <a:extLst>
            <a:ext uri="{FF2B5EF4-FFF2-40B4-BE49-F238E27FC236}">
              <a16:creationId xmlns:a16="http://schemas.microsoft.com/office/drawing/2014/main" id="{F99079B7-6929-2544-B22B-21BF88BBBA59}"/>
            </a:ext>
          </a:extLst>
        </xdr:cNvPr>
        <xdr:cNvSpPr/>
      </xdr:nvSpPr>
      <xdr:spPr>
        <a:xfrm>
          <a:off x="35614681" y="1850455"/>
          <a:ext cx="937847" cy="33500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1254024</xdr:colOff>
      <xdr:row>5</xdr:row>
      <xdr:rowOff>95848</xdr:rowOff>
    </xdr:from>
    <xdr:to>
      <xdr:col>4</xdr:col>
      <xdr:colOff>678930</xdr:colOff>
      <xdr:row>5</xdr:row>
      <xdr:rowOff>455282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FE88375F-EFD3-6A13-B2C3-F2533E493B78}"/>
            </a:ext>
          </a:extLst>
        </xdr:cNvPr>
        <xdr:cNvSpPr/>
      </xdr:nvSpPr>
      <xdr:spPr>
        <a:xfrm>
          <a:off x="1589496" y="926540"/>
          <a:ext cx="1789182" cy="359434"/>
        </a:xfrm>
        <a:prstGeom prst="roundRect">
          <a:avLst/>
        </a:prstGeom>
        <a:solidFill>
          <a:srgbClr val="50637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latin typeface="Aptos" panose="020B0004020202020204" pitchFamily="34" charset="0"/>
            </a:rPr>
            <a:t>Print</a:t>
          </a:r>
          <a:endParaRPr lang="en-US" sz="1100">
            <a:latin typeface="Aptos" panose="020B0004020202020204" pitchFamily="34" charset="0"/>
          </a:endParaRPr>
        </a:p>
      </xdr:txBody>
    </xdr:sp>
    <xdr:clientData/>
  </xdr:twoCellAnchor>
  <xdr:twoCellAnchor>
    <xdr:from>
      <xdr:col>10</xdr:col>
      <xdr:colOff>1214088</xdr:colOff>
      <xdr:row>5</xdr:row>
      <xdr:rowOff>95849</xdr:rowOff>
    </xdr:from>
    <xdr:to>
      <xdr:col>12</xdr:col>
      <xdr:colOff>830691</xdr:colOff>
      <xdr:row>5</xdr:row>
      <xdr:rowOff>455283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111FE65A-B12D-E742-9454-41184AE0591B}"/>
            </a:ext>
          </a:extLst>
        </xdr:cNvPr>
        <xdr:cNvSpPr/>
      </xdr:nvSpPr>
      <xdr:spPr>
        <a:xfrm>
          <a:off x="6709434" y="926541"/>
          <a:ext cx="1789182" cy="359434"/>
        </a:xfrm>
        <a:prstGeom prst="roundRect">
          <a:avLst/>
        </a:prstGeom>
        <a:solidFill>
          <a:srgbClr val="50637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latin typeface="Aptos" panose="020B0004020202020204" pitchFamily="34" charset="0"/>
            </a:rPr>
            <a:t>Print</a:t>
          </a:r>
          <a:endParaRPr lang="en-US" sz="1100">
            <a:latin typeface="Aptos" panose="020B00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465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227B628-3D76-4C09-B616-88585943F16F}">
  <we:reference id="183b341e-30d4-4a70-b123-096b27bd28a8" version="1.0.0.0" store="EXCatalog" storeType="EXCatalog"/>
  <we:alternateReferences>
    <we:reference id="WA200006385" version="1.0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56CBB-ED78-44D0-868B-DE78B879F7CB}">
  <sheetPr codeName="Sheet3">
    <tabColor rgb="FF00FF99"/>
    <outlinePr summaryBelow="0" summaryRight="0"/>
    <pageSetUpPr autoPageBreaks="0" fitToPage="1"/>
  </sheetPr>
  <dimension ref="A2:AQ105"/>
  <sheetViews>
    <sheetView showGridLines="0" tabSelected="1" topLeftCell="B16" zoomScaleNormal="100" workbookViewId="0">
      <selection activeCell="AD23" sqref="AD23"/>
    </sheetView>
  </sheetViews>
  <sheetFormatPr defaultColWidth="5.5" defaultRowHeight="15.75" outlineLevelCol="1"/>
  <cols>
    <col min="1" max="1" width="16.375" style="271" hidden="1" customWidth="1"/>
    <col min="2" max="2" width="2.625" style="2" customWidth="1"/>
    <col min="3" max="3" width="3.875" style="2" customWidth="1"/>
    <col min="4" max="4" width="31.375" style="2" customWidth="1"/>
    <col min="5" max="5" width="12" style="2" bestFit="1" customWidth="1"/>
    <col min="6" max="6" width="16.875" style="2" bestFit="1" customWidth="1"/>
    <col min="7" max="7" width="14.375" style="2" bestFit="1" customWidth="1"/>
    <col min="8" max="9" width="10.625" style="2" bestFit="1" customWidth="1"/>
    <col min="10" max="10" width="3.875" style="1" customWidth="1"/>
    <col min="11" max="11" width="2.625" style="1" customWidth="1"/>
    <col min="12" max="12" width="3.875" style="2" customWidth="1"/>
    <col min="13" max="13" width="25.875" style="2" customWidth="1"/>
    <col min="14" max="14" width="19.125" style="2" customWidth="1"/>
    <col min="15" max="15" width="12.625" style="2" bestFit="1" customWidth="1"/>
    <col min="16" max="16" width="13" style="2" bestFit="1" customWidth="1"/>
    <col min="17" max="17" width="12.5" style="2" customWidth="1"/>
    <col min="18" max="18" width="3.875" style="1" customWidth="1"/>
    <col min="19" max="19" width="2.625" style="1" customWidth="1" collapsed="1"/>
    <col min="20" max="20" width="2.875" style="2" hidden="1" customWidth="1" outlineLevel="1"/>
    <col min="21" max="21" width="35" style="2" hidden="1" customWidth="1" outlineLevel="1"/>
    <col min="22" max="22" width="16.875" style="9" hidden="1" customWidth="1" outlineLevel="1"/>
    <col min="23" max="24" width="14.125" style="2" hidden="1" customWidth="1" outlineLevel="1"/>
    <col min="25" max="25" width="14.125" hidden="1" customWidth="1" outlineLevel="1"/>
    <col min="26" max="26" width="3.625" hidden="1" customWidth="1" outlineLevel="1"/>
    <col min="27" max="27" width="3.375" customWidth="1"/>
    <col min="28" max="28" width="3.875" style="1" customWidth="1"/>
    <col min="29" max="29" width="2.875" style="1" customWidth="1"/>
    <col min="30" max="30" width="25.375" style="9" customWidth="1"/>
    <col min="31" max="31" width="7.5" style="9" bestFit="1" customWidth="1"/>
    <col min="32" max="32" width="14" style="9" bestFit="1" customWidth="1"/>
    <col min="33" max="33" width="12.625" style="9" bestFit="1" customWidth="1"/>
    <col min="34" max="34" width="12.375" style="9" customWidth="1"/>
    <col min="35" max="35" width="2.375" style="9" customWidth="1"/>
    <col min="36" max="36" width="1.625" style="9" customWidth="1"/>
    <col min="37" max="37" width="2.375" style="9" customWidth="1"/>
    <col min="38" max="38" width="25" style="205" customWidth="1"/>
    <col min="39" max="39" width="14" style="9" customWidth="1"/>
    <col min="40" max="40" width="17.5" style="9" customWidth="1"/>
    <col min="41" max="41" width="3.125" style="9" customWidth="1"/>
    <col min="42" max="42" width="3.875" style="9" customWidth="1"/>
    <col min="43" max="43" width="2.875" style="9" customWidth="1"/>
  </cols>
  <sheetData>
    <row r="2" spans="1:43" s="19" customFormat="1" ht="27.6" customHeight="1">
      <c r="A2" s="399"/>
      <c r="B2" s="400"/>
      <c r="C2" s="626" t="s">
        <v>279</v>
      </c>
      <c r="D2" s="401"/>
      <c r="E2" s="402"/>
      <c r="F2" s="401"/>
      <c r="G2" s="401"/>
      <c r="H2" s="401"/>
      <c r="I2" s="401"/>
      <c r="J2" s="401"/>
      <c r="K2" s="401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  <c r="Z2" s="401"/>
      <c r="AA2" s="401"/>
      <c r="AB2" s="401"/>
      <c r="AC2" s="401"/>
      <c r="AD2" s="401"/>
      <c r="AE2" s="401"/>
      <c r="AF2" s="401"/>
      <c r="AG2" s="401"/>
      <c r="AH2" s="401"/>
      <c r="AI2" s="401"/>
      <c r="AJ2" s="401"/>
      <c r="AK2" s="401"/>
      <c r="AL2" s="401"/>
      <c r="AM2" s="401"/>
      <c r="AN2" s="401"/>
      <c r="AO2" s="401"/>
      <c r="AP2" s="401"/>
      <c r="AQ2" s="401"/>
    </row>
    <row r="3" spans="1:43" ht="26.25" customHeight="1">
      <c r="A3" s="403"/>
      <c r="B3" s="404"/>
      <c r="C3" s="627" t="str">
        <f>IF(i_address="","",i_address)</f>
        <v>Clarendon</v>
      </c>
      <c r="D3" s="405"/>
      <c r="E3" s="406"/>
      <c r="F3" s="405"/>
      <c r="G3" s="405"/>
      <c r="H3" s="405"/>
      <c r="I3" s="405"/>
      <c r="J3" s="405"/>
      <c r="K3" s="405"/>
      <c r="L3" s="405"/>
      <c r="M3" s="405"/>
      <c r="N3" s="405"/>
      <c r="O3" s="405"/>
      <c r="P3" s="405"/>
      <c r="Q3" s="405"/>
      <c r="R3" s="405"/>
      <c r="S3" s="405"/>
      <c r="T3" s="405"/>
      <c r="U3" s="405"/>
      <c r="V3" s="405"/>
      <c r="W3" s="405"/>
      <c r="X3" s="405"/>
      <c r="Y3" s="405"/>
      <c r="Z3" s="405"/>
      <c r="AA3" s="405"/>
      <c r="AB3" s="405"/>
      <c r="AC3" s="405"/>
      <c r="AD3" s="405"/>
      <c r="AE3" s="405"/>
      <c r="AF3" s="405"/>
      <c r="AG3" s="405"/>
      <c r="AH3" s="405"/>
      <c r="AI3" s="405"/>
      <c r="AJ3" s="405"/>
      <c r="AK3" s="405"/>
      <c r="AL3" s="405"/>
      <c r="AM3" s="405"/>
      <c r="AN3" s="405"/>
      <c r="AO3" s="405"/>
      <c r="AP3" s="405"/>
      <c r="AQ3" s="405"/>
    </row>
    <row r="4" spans="1:43" ht="13.35" customHeight="1" thickBot="1">
      <c r="A4" s="403"/>
      <c r="B4" s="407"/>
      <c r="C4" s="407"/>
      <c r="D4" s="407"/>
      <c r="E4" s="408"/>
      <c r="F4" s="407"/>
      <c r="G4" s="407"/>
      <c r="H4" s="407"/>
      <c r="I4" s="407"/>
      <c r="J4" s="407"/>
      <c r="K4" s="407"/>
      <c r="L4" s="407"/>
      <c r="M4" s="407"/>
      <c r="N4" s="407"/>
      <c r="O4" s="407"/>
      <c r="P4" s="407"/>
      <c r="Q4" s="407"/>
      <c r="R4" s="407"/>
      <c r="S4" s="407"/>
      <c r="T4" s="407"/>
      <c r="U4" s="407"/>
      <c r="V4" s="407"/>
      <c r="W4" s="407"/>
      <c r="X4" s="407"/>
      <c r="Y4" s="407"/>
      <c r="Z4" s="407"/>
      <c r="AA4" s="407"/>
      <c r="AB4" s="407"/>
      <c r="AC4" s="407"/>
      <c r="AD4" s="407"/>
      <c r="AE4" s="407"/>
      <c r="AF4" s="407"/>
      <c r="AG4" s="407"/>
      <c r="AH4" s="407"/>
      <c r="AI4" s="407"/>
      <c r="AJ4" s="407"/>
      <c r="AK4" s="407"/>
      <c r="AL4" s="407"/>
      <c r="AM4" s="407"/>
      <c r="AN4" s="407"/>
      <c r="AO4" s="407"/>
      <c r="AP4" s="407"/>
      <c r="AQ4" s="407"/>
    </row>
    <row r="5" spans="1:43" ht="6.95" customHeight="1" thickTop="1">
      <c r="A5" s="268"/>
      <c r="B5"/>
      <c r="C5"/>
      <c r="D5" s="1"/>
      <c r="E5" s="1"/>
      <c r="F5" s="1"/>
      <c r="G5" s="1"/>
      <c r="H5" s="1"/>
      <c r="I5" s="1"/>
      <c r="L5"/>
      <c r="M5" s="1"/>
      <c r="N5" s="1"/>
      <c r="O5" s="1"/>
      <c r="P5" s="1"/>
      <c r="Q5" s="1"/>
      <c r="T5" s="1"/>
      <c r="U5" s="1"/>
      <c r="V5"/>
      <c r="W5" s="1"/>
      <c r="X5" s="1"/>
      <c r="AB5" s="18"/>
      <c r="AC5" s="18"/>
      <c r="AD5" s="8"/>
      <c r="AE5" s="8"/>
      <c r="AF5" s="8"/>
      <c r="AG5" s="8"/>
      <c r="AH5" s="8"/>
      <c r="AI5" s="8"/>
      <c r="AJ5" s="8"/>
      <c r="AK5" s="8"/>
      <c r="AL5" s="206"/>
      <c r="AM5" s="8"/>
      <c r="AN5" s="8"/>
      <c r="AO5" s="8"/>
      <c r="AP5"/>
      <c r="AQ5"/>
    </row>
    <row r="6" spans="1:43" ht="15.75" customHeight="1">
      <c r="A6" s="268"/>
      <c r="B6"/>
      <c r="C6" s="242"/>
      <c r="D6" s="243"/>
      <c r="E6" s="243"/>
      <c r="F6" s="243"/>
      <c r="G6" s="243"/>
      <c r="H6" s="243"/>
      <c r="I6" s="243"/>
      <c r="J6" s="244"/>
      <c r="L6" s="242"/>
      <c r="M6" s="243"/>
      <c r="N6" s="243"/>
      <c r="O6" s="243"/>
      <c r="P6" s="243"/>
      <c r="Q6" s="243"/>
      <c r="R6" s="244"/>
      <c r="T6" s="242"/>
      <c r="U6" s="313"/>
      <c r="V6" s="243"/>
      <c r="W6" s="243"/>
      <c r="X6" s="243"/>
      <c r="Y6" s="243"/>
      <c r="Z6" s="244"/>
      <c r="AB6" s="242"/>
      <c r="AC6" s="243"/>
      <c r="AD6" s="243"/>
      <c r="AE6" s="243"/>
      <c r="AF6" s="243"/>
      <c r="AG6" s="243"/>
      <c r="AH6" s="243"/>
      <c r="AI6" s="243"/>
      <c r="AJ6" s="243"/>
      <c r="AK6" s="243"/>
      <c r="AL6" s="243"/>
      <c r="AM6" s="243"/>
      <c r="AN6" s="243"/>
      <c r="AO6" s="243"/>
      <c r="AP6" s="244"/>
      <c r="AQ6"/>
    </row>
    <row r="7" spans="1:43" ht="29.85" customHeight="1">
      <c r="A7" s="268"/>
      <c r="B7"/>
      <c r="C7" s="245"/>
      <c r="D7" s="410" t="s">
        <v>186</v>
      </c>
      <c r="E7" s="411"/>
      <c r="F7" s="411"/>
      <c r="G7" s="411"/>
      <c r="H7" s="411"/>
      <c r="I7" s="411"/>
      <c r="J7" s="409"/>
      <c r="L7" s="245"/>
      <c r="M7" s="410" t="s">
        <v>271</v>
      </c>
      <c r="N7" s="410"/>
      <c r="O7" s="410"/>
      <c r="P7" s="411"/>
      <c r="Q7" s="411"/>
      <c r="R7" s="246"/>
      <c r="T7" s="245"/>
      <c r="U7" s="410" t="s">
        <v>267</v>
      </c>
      <c r="V7" s="410"/>
      <c r="W7" s="410"/>
      <c r="X7" s="410"/>
      <c r="Y7" s="410"/>
      <c r="Z7" s="409"/>
      <c r="AB7" s="245"/>
      <c r="AC7" s="410" t="s">
        <v>237</v>
      </c>
      <c r="AD7" s="410"/>
      <c r="AE7" s="410"/>
      <c r="AF7" s="410"/>
      <c r="AG7" s="410"/>
      <c r="AH7" s="410"/>
      <c r="AI7" s="410"/>
      <c r="AJ7" s="251"/>
      <c r="AK7" s="410" t="s">
        <v>238</v>
      </c>
      <c r="AL7" s="410"/>
      <c r="AM7" s="410"/>
      <c r="AN7" s="410"/>
      <c r="AO7" s="410"/>
      <c r="AP7" s="409"/>
      <c r="AQ7"/>
    </row>
    <row r="8" spans="1:43" ht="15.75" customHeight="1" thickBot="1">
      <c r="A8" s="268"/>
      <c r="B8"/>
      <c r="C8" s="245"/>
      <c r="D8" s="251"/>
      <c r="E8" s="251"/>
      <c r="F8" s="251"/>
      <c r="G8" s="251"/>
      <c r="H8" s="251"/>
      <c r="I8" s="251"/>
      <c r="J8" s="409"/>
      <c r="L8" s="245"/>
      <c r="M8" s="251"/>
      <c r="N8" s="251"/>
      <c r="O8" s="251"/>
      <c r="P8" s="251"/>
      <c r="Q8" s="251"/>
      <c r="R8" s="246"/>
      <c r="T8" s="245"/>
      <c r="U8" s="314"/>
      <c r="V8" s="251"/>
      <c r="W8" s="251"/>
      <c r="X8" s="251"/>
      <c r="Y8" s="251"/>
      <c r="Z8" s="409"/>
      <c r="AB8" s="245"/>
      <c r="AC8" s="251"/>
      <c r="AD8" s="251"/>
      <c r="AE8" s="251"/>
      <c r="AF8" s="251"/>
      <c r="AG8" s="251"/>
      <c r="AH8" s="251"/>
      <c r="AI8" s="251"/>
      <c r="AJ8" s="251"/>
      <c r="AK8" s="251"/>
      <c r="AL8" s="251"/>
      <c r="AM8" s="251"/>
      <c r="AN8" s="251"/>
      <c r="AO8" s="251"/>
      <c r="AP8" s="409"/>
      <c r="AQ8"/>
    </row>
    <row r="9" spans="1:43" ht="26.85" customHeight="1" thickTop="1" thickBot="1">
      <c r="A9" s="268"/>
      <c r="B9"/>
      <c r="C9" s="245"/>
      <c r="D9" s="171" t="s">
        <v>172</v>
      </c>
      <c r="E9" s="289" t="s">
        <v>280</v>
      </c>
      <c r="F9" s="289"/>
      <c r="G9" s="290"/>
      <c r="H9" s="21"/>
      <c r="I9" s="21"/>
      <c r="J9" s="246"/>
      <c r="K9" s="9"/>
      <c r="L9" s="245"/>
      <c r="M9" s="284" t="s">
        <v>115</v>
      </c>
      <c r="N9" s="247"/>
      <c r="O9" s="247"/>
      <c r="P9" s="247"/>
      <c r="Q9" s="247"/>
      <c r="R9" s="246"/>
      <c r="S9" s="9"/>
      <c r="T9" s="245"/>
      <c r="U9" s="317" t="s">
        <v>174</v>
      </c>
      <c r="V9" s="316">
        <v>1</v>
      </c>
      <c r="W9" s="316">
        <f>V9+1</f>
        <v>2</v>
      </c>
      <c r="X9" s="316">
        <f>W9+1</f>
        <v>3</v>
      </c>
      <c r="Y9" s="316">
        <f>X9+1</f>
        <v>4</v>
      </c>
      <c r="Z9" s="246"/>
      <c r="AB9" s="245"/>
      <c r="AC9" s="15"/>
      <c r="AD9" s="277"/>
      <c r="AE9" s="277"/>
      <c r="AF9" s="239"/>
      <c r="AG9" s="239"/>
      <c r="AH9" s="203"/>
      <c r="AI9" s="202"/>
      <c r="AJ9" s="5"/>
      <c r="AK9" s="202"/>
      <c r="AL9" s="277"/>
      <c r="AM9" s="202"/>
      <c r="AN9" s="202"/>
      <c r="AO9" s="202"/>
      <c r="AP9" s="246"/>
      <c r="AQ9"/>
    </row>
    <row r="10" spans="1:43" ht="24" customHeight="1" thickTop="1" thickBot="1">
      <c r="A10" s="268"/>
      <c r="B10"/>
      <c r="C10" s="245"/>
      <c r="D10" s="12" t="s">
        <v>13</v>
      </c>
      <c r="E10" s="14"/>
      <c r="F10" s="266">
        <v>4000</v>
      </c>
      <c r="G10" s="21"/>
      <c r="H10" s="21"/>
      <c r="I10" s="21"/>
      <c r="J10" s="246"/>
      <c r="K10" s="9"/>
      <c r="L10" s="245"/>
      <c r="M10" s="10" t="s">
        <v>109</v>
      </c>
      <c r="N10" s="24"/>
      <c r="O10" s="24"/>
      <c r="P10" s="149">
        <f>i_date.Start</f>
        <v>45809</v>
      </c>
      <c r="Q10" s="247"/>
      <c r="R10" s="246"/>
      <c r="S10" s="9"/>
      <c r="T10" s="245"/>
      <c r="U10" s="315" t="str">
        <f>D10</f>
        <v>Livable SF</v>
      </c>
      <c r="V10" s="294">
        <v>7716</v>
      </c>
      <c r="W10" s="294">
        <v>7716</v>
      </c>
      <c r="X10" s="294">
        <v>6950</v>
      </c>
      <c r="Y10" s="294"/>
      <c r="Z10" s="614"/>
      <c r="AB10" s="245"/>
      <c r="AC10" s="15"/>
      <c r="AD10" s="174" t="s">
        <v>154</v>
      </c>
      <c r="AE10" s="238"/>
      <c r="AF10" s="320" t="s">
        <v>1</v>
      </c>
      <c r="AG10" s="453" t="s">
        <v>25</v>
      </c>
      <c r="AH10" s="453" t="s">
        <v>145</v>
      </c>
      <c r="AI10" s="202"/>
      <c r="AJ10" s="5"/>
      <c r="AK10" s="202"/>
      <c r="AL10" s="221" t="s">
        <v>101</v>
      </c>
      <c r="AM10" s="222" t="s">
        <v>161</v>
      </c>
      <c r="AN10" s="222" t="s">
        <v>98</v>
      </c>
      <c r="AO10" s="202"/>
      <c r="AP10" s="246"/>
      <c r="AQ10"/>
    </row>
    <row r="11" spans="1:43" ht="19.5" customHeight="1" thickTop="1" thickBot="1">
      <c r="A11" s="269">
        <f>EDATE(i_date.Start,I32+1)</f>
        <v>47150</v>
      </c>
      <c r="B11"/>
      <c r="C11" s="245"/>
      <c r="D11" s="247"/>
      <c r="E11" s="247"/>
      <c r="F11" s="247"/>
      <c r="G11" s="247"/>
      <c r="H11" s="247"/>
      <c r="I11" s="247"/>
      <c r="J11" s="246"/>
      <c r="K11" s="9"/>
      <c r="L11" s="245"/>
      <c r="M11" s="10" t="s">
        <v>108</v>
      </c>
      <c r="N11" s="24"/>
      <c r="O11" s="24"/>
      <c r="P11" s="259">
        <f>G14</f>
        <v>7200000</v>
      </c>
      <c r="Q11" s="247"/>
      <c r="R11" s="246"/>
      <c r="S11" s="9"/>
      <c r="T11" s="245"/>
      <c r="U11" s="314"/>
      <c r="V11" s="318"/>
      <c r="W11" s="418"/>
      <c r="X11" s="418"/>
      <c r="Y11" s="418"/>
      <c r="Z11" s="614"/>
      <c r="AB11" s="245"/>
      <c r="AC11" s="15"/>
      <c r="AD11" s="40" t="s">
        <v>150</v>
      </c>
      <c r="AE11" s="40"/>
      <c r="AF11" s="199">
        <f>G14</f>
        <v>7200000</v>
      </c>
      <c r="AG11" s="51">
        <f>AF11/F$10</f>
        <v>1800</v>
      </c>
      <c r="AH11" s="50">
        <f>AF11/AF$11</f>
        <v>1</v>
      </c>
      <c r="AI11" s="202"/>
      <c r="AJ11" s="5"/>
      <c r="AK11" s="202"/>
      <c r="AL11" s="208" t="s">
        <v>132</v>
      </c>
      <c r="AM11" s="209">
        <f>CALCS!AD8</f>
        <v>5391900.0000000009</v>
      </c>
      <c r="AN11" s="209">
        <f ca="1">CALCS!AM8</f>
        <v>1873996.0345865386</v>
      </c>
      <c r="AO11" s="202"/>
      <c r="AP11" s="246"/>
      <c r="AQ11"/>
    </row>
    <row r="12" spans="1:43" ht="19.5" customHeight="1" thickTop="1">
      <c r="A12" s="21"/>
      <c r="B12"/>
      <c r="C12" s="245"/>
      <c r="D12" s="161" t="s">
        <v>93</v>
      </c>
      <c r="E12" s="267"/>
      <c r="F12" s="57"/>
      <c r="G12" s="57"/>
      <c r="H12" s="110"/>
      <c r="I12" s="21"/>
      <c r="J12" s="246"/>
      <c r="K12" s="9"/>
      <c r="L12" s="245"/>
      <c r="M12" s="615" t="s">
        <v>107</v>
      </c>
      <c r="N12" s="148"/>
      <c r="O12" s="146"/>
      <c r="P12" s="617">
        <v>0.7</v>
      </c>
      <c r="Q12" s="247"/>
      <c r="R12" s="246"/>
      <c r="S12" s="9"/>
      <c r="T12" s="245"/>
      <c r="U12" s="161" t="str">
        <f>D12</f>
        <v>Project Revenue</v>
      </c>
      <c r="V12" s="309"/>
      <c r="W12" s="309"/>
      <c r="X12" s="309"/>
      <c r="Y12" s="309"/>
      <c r="Z12" s="614"/>
      <c r="AB12" s="245"/>
      <c r="AC12" s="15"/>
      <c r="AD12" s="41" t="s">
        <v>151</v>
      </c>
      <c r="AE12" s="40"/>
      <c r="AF12" s="46">
        <f>G49</f>
        <v>-432000</v>
      </c>
      <c r="AG12" s="53">
        <f>AF12/F$10</f>
        <v>-108</v>
      </c>
      <c r="AH12" s="49">
        <f>AF12/AF$11</f>
        <v>-0.06</v>
      </c>
      <c r="AI12" s="202"/>
      <c r="AJ12" s="5"/>
      <c r="AK12" s="202"/>
      <c r="AL12" s="208" t="s">
        <v>102</v>
      </c>
      <c r="AM12" s="210">
        <v>0</v>
      </c>
      <c r="AN12" s="210">
        <f ca="1">CALCS!AQ8+CALCS!AR8</f>
        <v>4241756.5149227493</v>
      </c>
      <c r="AO12" s="202"/>
      <c r="AP12" s="246"/>
      <c r="AQ12"/>
    </row>
    <row r="13" spans="1:43" ht="19.5" customHeight="1" thickBot="1">
      <c r="A13" s="21" t="s">
        <v>52</v>
      </c>
      <c r="B13"/>
      <c r="C13" s="245"/>
      <c r="D13" s="10" t="s">
        <v>175</v>
      </c>
      <c r="E13" s="11"/>
      <c r="F13" s="164">
        <v>1</v>
      </c>
      <c r="G13" s="165">
        <f>EDATE(c_date.Complete,F13)</f>
        <v>47178</v>
      </c>
      <c r="H13" s="155"/>
      <c r="I13" s="247"/>
      <c r="J13" s="246"/>
      <c r="K13" s="9"/>
      <c r="L13" s="245"/>
      <c r="M13" s="147" t="s">
        <v>110</v>
      </c>
      <c r="N13" s="24"/>
      <c r="O13" s="24"/>
      <c r="P13" s="618">
        <v>0.09</v>
      </c>
      <c r="Q13" s="247"/>
      <c r="R13" s="246"/>
      <c r="S13" s="9"/>
      <c r="T13" s="245"/>
      <c r="U13" s="10" t="str">
        <f>D13</f>
        <v>Sale Delay [post completion]</v>
      </c>
      <c r="V13" s="295">
        <v>2</v>
      </c>
      <c r="W13" s="295">
        <v>2</v>
      </c>
      <c r="X13" s="295">
        <v>3</v>
      </c>
      <c r="Y13" s="295"/>
      <c r="Z13" s="614"/>
      <c r="AA13" s="85"/>
      <c r="AB13" s="245"/>
      <c r="AC13" s="15"/>
      <c r="AD13" s="196" t="s">
        <v>136</v>
      </c>
      <c r="AE13" s="196"/>
      <c r="AF13" s="108">
        <f>AF11+AF12</f>
        <v>6768000</v>
      </c>
      <c r="AG13" s="51">
        <f>AF13/F$10</f>
        <v>1692</v>
      </c>
      <c r="AH13" s="50">
        <f>AF13/AF$11</f>
        <v>0.94</v>
      </c>
      <c r="AI13" s="202"/>
      <c r="AJ13" s="5"/>
      <c r="AK13" s="202"/>
      <c r="AL13" s="211" t="s">
        <v>133</v>
      </c>
      <c r="AM13" s="212">
        <f>AF11</f>
        <v>7200000</v>
      </c>
      <c r="AN13" s="212">
        <f>CALCS!AF8</f>
        <v>7200000</v>
      </c>
      <c r="AO13" s="202"/>
      <c r="AP13" s="246"/>
      <c r="AQ13"/>
    </row>
    <row r="14" spans="1:43" ht="19.5" customHeight="1" thickTop="1" thickBot="1">
      <c r="A14" s="270" cm="1">
        <f t="array" ref="A14:A21">G24:G31/I24:I31</f>
        <v>40000</v>
      </c>
      <c r="B14"/>
      <c r="C14" s="245"/>
      <c r="D14" s="10" t="s">
        <v>94</v>
      </c>
      <c r="E14" s="13"/>
      <c r="F14" s="625">
        <v>1800</v>
      </c>
      <c r="G14" s="248">
        <f>F14*F10</f>
        <v>7200000</v>
      </c>
      <c r="H14" s="159">
        <f>G14/F10</f>
        <v>1800</v>
      </c>
      <c r="I14" s="247"/>
      <c r="J14" s="246"/>
      <c r="K14" s="9"/>
      <c r="L14" s="245"/>
      <c r="M14" s="147" t="s">
        <v>111</v>
      </c>
      <c r="N14" s="24"/>
      <c r="O14" s="24"/>
      <c r="P14" s="152">
        <v>0.01</v>
      </c>
      <c r="Q14" s="247"/>
      <c r="R14" s="246"/>
      <c r="S14" s="9"/>
      <c r="T14" s="245"/>
      <c r="U14" s="10" t="str">
        <f>D14</f>
        <v>Sale Price</v>
      </c>
      <c r="V14" s="310">
        <v>1205</v>
      </c>
      <c r="W14" s="310">
        <v>1000</v>
      </c>
      <c r="X14" s="310">
        <v>1250</v>
      </c>
      <c r="Y14" s="310"/>
      <c r="Z14" s="614"/>
      <c r="AB14" s="249"/>
      <c r="AC14" s="15"/>
      <c r="AD14" s="6"/>
      <c r="AE14" s="6"/>
      <c r="AF14" s="43"/>
      <c r="AG14" s="43"/>
      <c r="AH14" s="50"/>
      <c r="AI14" s="202"/>
      <c r="AJ14" s="5"/>
      <c r="AK14" s="202"/>
      <c r="AL14" s="236" t="s">
        <v>103</v>
      </c>
      <c r="AM14" s="213">
        <f>SUM(AM11:AM13)</f>
        <v>12591900</v>
      </c>
      <c r="AN14" s="319">
        <f ca="1">SUM(AN11:AN13)</f>
        <v>13315752.549509287</v>
      </c>
      <c r="AO14" s="202"/>
      <c r="AP14" s="246"/>
      <c r="AQ14"/>
    </row>
    <row r="15" spans="1:43" s="85" customFormat="1" ht="19.5" customHeight="1" collapsed="1" thickTop="1" thickBot="1">
      <c r="A15" s="270">
        <v>80000</v>
      </c>
      <c r="C15" s="245"/>
      <c r="D15" s="10" t="s">
        <v>27</v>
      </c>
      <c r="E15" s="14"/>
      <c r="F15" s="291">
        <v>0.05</v>
      </c>
      <c r="G15" s="159">
        <f>F15*-G14</f>
        <v>-360000</v>
      </c>
      <c r="H15" s="159">
        <f>G15/$F$10</f>
        <v>-90</v>
      </c>
      <c r="I15" s="247"/>
      <c r="J15" s="246"/>
      <c r="K15" s="86"/>
      <c r="L15" s="245"/>
      <c r="M15" s="147" t="s">
        <v>112</v>
      </c>
      <c r="N15" s="24"/>
      <c r="O15" s="24"/>
      <c r="P15" s="153">
        <v>5000</v>
      </c>
      <c r="Q15" s="247"/>
      <c r="R15" s="246"/>
      <c r="S15" s="86"/>
      <c r="T15" s="245"/>
      <c r="U15" s="10" t="str">
        <f>D15</f>
        <v>Sales Cost</v>
      </c>
      <c r="V15" s="296">
        <v>5.5E-2</v>
      </c>
      <c r="W15" s="296">
        <v>5.5E-2</v>
      </c>
      <c r="X15" s="296">
        <v>5.5E-2</v>
      </c>
      <c r="Y15" s="296"/>
      <c r="Z15" s="614"/>
      <c r="AA15"/>
      <c r="AB15" s="245"/>
      <c r="AC15" s="87"/>
      <c r="AD15" s="174" t="s">
        <v>156</v>
      </c>
      <c r="AE15" s="238"/>
      <c r="AF15" s="238"/>
      <c r="AG15" s="238"/>
      <c r="AH15" s="237"/>
      <c r="AI15" s="202"/>
      <c r="AJ15" s="5"/>
      <c r="AK15" s="202"/>
      <c r="AL15" s="214"/>
      <c r="AM15" s="214"/>
      <c r="AN15" s="202"/>
      <c r="AO15" s="202"/>
      <c r="AP15" s="246"/>
    </row>
    <row r="16" spans="1:43" ht="19.5" customHeight="1" thickTop="1" thickBot="1">
      <c r="A16" s="270">
        <v>150000</v>
      </c>
      <c r="B16"/>
      <c r="C16" s="245"/>
      <c r="D16" s="25" t="s">
        <v>29</v>
      </c>
      <c r="E16" s="26"/>
      <c r="F16" s="292">
        <v>0.01</v>
      </c>
      <c r="G16" s="166">
        <f>F16*-G48</f>
        <v>-72000</v>
      </c>
      <c r="H16" s="166">
        <f>G16/$F$10</f>
        <v>-18</v>
      </c>
      <c r="I16" s="247"/>
      <c r="J16" s="246"/>
      <c r="K16" s="9"/>
      <c r="L16" s="245"/>
      <c r="M16" s="147" t="s">
        <v>144</v>
      </c>
      <c r="N16" s="24"/>
      <c r="O16" s="24"/>
      <c r="P16" s="153">
        <v>2500</v>
      </c>
      <c r="Q16" s="247"/>
      <c r="R16" s="246"/>
      <c r="S16" s="9"/>
      <c r="T16" s="245"/>
      <c r="U16" s="25" t="str">
        <f>D16</f>
        <v>Closing</v>
      </c>
      <c r="V16" s="297">
        <v>1.2999999999999999E-3</v>
      </c>
      <c r="W16" s="297">
        <v>1.2999999999999999E-3</v>
      </c>
      <c r="X16" s="297">
        <v>0.15</v>
      </c>
      <c r="Y16" s="297"/>
      <c r="Z16" s="614"/>
      <c r="AB16" s="245"/>
      <c r="AC16" s="87"/>
      <c r="AD16" s="278" t="s">
        <v>6</v>
      </c>
      <c r="AE16" s="323"/>
      <c r="AF16" s="44"/>
      <c r="AG16" s="88"/>
      <c r="AH16" s="89"/>
      <c r="AI16" s="202"/>
      <c r="AJ16" s="5"/>
      <c r="AK16" s="202"/>
      <c r="AL16" s="221" t="s">
        <v>104</v>
      </c>
      <c r="AM16" s="222" t="str">
        <f>AM10</f>
        <v>Cash</v>
      </c>
      <c r="AN16" s="222" t="str">
        <f>AN10</f>
        <v>Leveraged</v>
      </c>
      <c r="AO16" s="202"/>
      <c r="AP16" s="246"/>
      <c r="AQ16"/>
    </row>
    <row r="17" spans="1:43" ht="19.5" customHeight="1" thickTop="1" thickBot="1">
      <c r="A17" s="270">
        <v>200000</v>
      </c>
      <c r="B17"/>
      <c r="C17" s="245"/>
      <c r="D17" s="23" t="s">
        <v>136</v>
      </c>
      <c r="E17" s="24"/>
      <c r="F17" s="36"/>
      <c r="G17" s="59">
        <f>SUM(G14:G16)</f>
        <v>6768000</v>
      </c>
      <c r="H17" s="59">
        <f>SUM(H14:H16)</f>
        <v>1692</v>
      </c>
      <c r="I17" s="247"/>
      <c r="J17" s="246"/>
      <c r="K17" s="9"/>
      <c r="L17" s="245"/>
      <c r="M17" s="147" t="s">
        <v>117</v>
      </c>
      <c r="N17" s="24"/>
      <c r="O17" s="24"/>
      <c r="P17" s="154">
        <v>1.2</v>
      </c>
      <c r="Q17" s="247"/>
      <c r="R17" s="246"/>
      <c r="S17" s="9"/>
      <c r="T17" s="245"/>
      <c r="U17" s="23"/>
      <c r="V17" s="300"/>
      <c r="W17" s="300"/>
      <c r="X17" s="300"/>
      <c r="Y17" s="300"/>
      <c r="Z17" s="614"/>
      <c r="AB17" s="245"/>
      <c r="AC17" s="87"/>
      <c r="AD17" s="279" t="s">
        <v>129</v>
      </c>
      <c r="AE17" s="279"/>
      <c r="AF17" s="200">
        <f>F21</f>
        <v>1500000</v>
      </c>
      <c r="AG17" s="423">
        <f t="shared" ref="AG17:AG40" si="0">AF17/F$10</f>
        <v>375</v>
      </c>
      <c r="AH17" s="50">
        <f t="shared" ref="AH17:AH26" si="1">AF17/AF$11</f>
        <v>0.20833333333333334</v>
      </c>
      <c r="AI17" s="202"/>
      <c r="AJ17" s="5"/>
      <c r="AK17" s="202"/>
      <c r="AL17" s="208" t="s">
        <v>9</v>
      </c>
      <c r="AM17" s="209">
        <f>AF17</f>
        <v>1500000</v>
      </c>
      <c r="AN17" s="209">
        <f>Project!F21</f>
        <v>1500000</v>
      </c>
      <c r="AO17" s="202"/>
      <c r="AP17" s="246"/>
      <c r="AQ17"/>
    </row>
    <row r="18" spans="1:43" ht="19.5" customHeight="1" thickTop="1" thickBot="1">
      <c r="A18" s="270">
        <v>100000</v>
      </c>
      <c r="B18"/>
      <c r="C18" s="245"/>
      <c r="D18" s="247"/>
      <c r="E18" s="247"/>
      <c r="F18" s="247"/>
      <c r="G18" s="247"/>
      <c r="H18" s="247"/>
      <c r="I18" s="247"/>
      <c r="J18" s="246"/>
      <c r="K18" s="9"/>
      <c r="L18" s="245"/>
      <c r="M18" s="616" t="s">
        <v>148</v>
      </c>
      <c r="N18" s="24"/>
      <c r="O18" s="24"/>
      <c r="P18" s="58">
        <f ca="1">P27-P29</f>
        <v>1873996.0345865386</v>
      </c>
      <c r="Q18" s="247"/>
      <c r="R18" s="246"/>
      <c r="S18" s="9"/>
      <c r="T18" s="245"/>
      <c r="U18" s="314"/>
      <c r="V18" s="308"/>
      <c r="W18" s="308"/>
      <c r="X18" s="308"/>
      <c r="Y18" s="308"/>
      <c r="Z18" s="614"/>
      <c r="AB18" s="245"/>
      <c r="AC18" s="15"/>
      <c r="AD18" s="279" t="str" cm="1">
        <f t="array" ref="AD18:AD26">D24:D32</f>
        <v>Design / Permitting</v>
      </c>
      <c r="AE18" s="279"/>
      <c r="AF18" s="44" cm="1">
        <f t="array" ref="AF18:AF25">(G24:G31)</f>
        <v>240000</v>
      </c>
      <c r="AG18" s="423">
        <f t="shared" si="0"/>
        <v>60</v>
      </c>
      <c r="AH18" s="50">
        <f t="shared" si="1"/>
        <v>3.3333333333333333E-2</v>
      </c>
      <c r="AI18" s="202"/>
      <c r="AJ18" s="5"/>
      <c r="AK18" s="202"/>
      <c r="AL18" s="208" t="s">
        <v>134</v>
      </c>
      <c r="AM18" s="209">
        <f>G32</f>
        <v>2880000</v>
      </c>
      <c r="AN18" s="209">
        <f>Project!G32</f>
        <v>2880000</v>
      </c>
      <c r="AO18" s="202"/>
      <c r="AP18" s="246"/>
    </row>
    <row r="19" spans="1:43" ht="19.5" customHeight="1" thickTop="1" thickBot="1">
      <c r="A19" s="270">
        <v>133333.33333333334</v>
      </c>
      <c r="C19" s="249"/>
      <c r="D19" s="161" t="s">
        <v>14</v>
      </c>
      <c r="E19" s="267"/>
      <c r="F19" s="57"/>
      <c r="G19" s="267"/>
      <c r="H19" s="247"/>
      <c r="I19" s="250"/>
      <c r="J19" s="246"/>
      <c r="K19" s="9"/>
      <c r="L19" s="245"/>
      <c r="M19" s="247"/>
      <c r="N19" s="247"/>
      <c r="O19" s="247"/>
      <c r="P19" s="247"/>
      <c r="Q19" s="247"/>
      <c r="R19" s="246"/>
      <c r="S19" s="9"/>
      <c r="T19" s="245"/>
      <c r="U19" s="161" t="str">
        <f>D19</f>
        <v>Land Acqusition</v>
      </c>
      <c r="V19" s="309"/>
      <c r="W19" s="309"/>
      <c r="X19" s="309"/>
      <c r="Y19" s="309"/>
      <c r="Z19" s="614"/>
      <c r="AB19" s="245"/>
      <c r="AC19" s="15"/>
      <c r="AD19" s="279" t="str">
        <v>Site Prep / Foundation</v>
      </c>
      <c r="AE19" s="279"/>
      <c r="AF19" s="45">
        <v>240000</v>
      </c>
      <c r="AG19" s="424">
        <f t="shared" si="0"/>
        <v>60</v>
      </c>
      <c r="AH19" s="50">
        <f t="shared" si="1"/>
        <v>3.3333333333333333E-2</v>
      </c>
      <c r="AI19" s="204"/>
      <c r="AJ19" s="90"/>
      <c r="AK19" s="204"/>
      <c r="AL19" s="208" t="s">
        <v>135</v>
      </c>
      <c r="AM19" s="209">
        <f>G41</f>
        <v>1011900</v>
      </c>
      <c r="AN19" s="209">
        <f>CALCS!AB8</f>
        <v>1011899.9999999998</v>
      </c>
      <c r="AO19" s="204"/>
      <c r="AP19" s="246"/>
    </row>
    <row r="20" spans="1:43" ht="19.5" customHeight="1" thickTop="1" thickBot="1">
      <c r="A20" s="270">
        <v>100000</v>
      </c>
      <c r="C20" s="249"/>
      <c r="D20" s="10" t="s">
        <v>179</v>
      </c>
      <c r="E20" s="11"/>
      <c r="F20" s="286">
        <v>45809</v>
      </c>
      <c r="G20" s="247"/>
      <c r="H20" s="247"/>
      <c r="I20" s="250"/>
      <c r="J20" s="246"/>
      <c r="K20" s="9"/>
      <c r="L20" s="245"/>
      <c r="M20" s="263" t="s">
        <v>114</v>
      </c>
      <c r="N20" s="148"/>
      <c r="O20" s="148"/>
      <c r="P20" s="146"/>
      <c r="Q20" s="247"/>
      <c r="R20" s="246"/>
      <c r="S20" s="9"/>
      <c r="T20" s="245"/>
      <c r="U20" s="10" t="str">
        <f>D20</f>
        <v>Purchase Date</v>
      </c>
      <c r="V20" s="298">
        <v>43983</v>
      </c>
      <c r="W20" s="298">
        <v>43983</v>
      </c>
      <c r="X20" s="298">
        <v>43983</v>
      </c>
      <c r="Y20" s="298"/>
      <c r="Z20" s="614"/>
      <c r="AB20" s="245"/>
      <c r="AC20" s="15"/>
      <c r="AD20" s="279" t="str">
        <v>Framing</v>
      </c>
      <c r="AE20" s="279"/>
      <c r="AF20" s="45">
        <v>600000</v>
      </c>
      <c r="AG20" s="424">
        <f t="shared" si="0"/>
        <v>150</v>
      </c>
      <c r="AH20" s="50">
        <f t="shared" si="1"/>
        <v>8.3333333333333329E-2</v>
      </c>
      <c r="AI20" s="204"/>
      <c r="AJ20" s="5"/>
      <c r="AK20" s="204"/>
      <c r="AL20" s="208" t="s">
        <v>27</v>
      </c>
      <c r="AM20" s="209">
        <f>-G15-G16</f>
        <v>432000</v>
      </c>
      <c r="AN20" s="209">
        <f>-(CALCS!AG8+CALCS!AH8)</f>
        <v>432000</v>
      </c>
      <c r="AO20" s="204"/>
      <c r="AP20" s="246"/>
    </row>
    <row r="21" spans="1:43" ht="19.5" customHeight="1" thickTop="1" thickBot="1">
      <c r="A21" s="270">
        <v>15384.615384615385</v>
      </c>
      <c r="C21" s="249"/>
      <c r="D21" s="12" t="s">
        <v>180</v>
      </c>
      <c r="E21" s="13"/>
      <c r="F21" s="111">
        <v>1500000</v>
      </c>
      <c r="G21" s="112">
        <f>F21/F10</f>
        <v>375</v>
      </c>
      <c r="H21" s="247"/>
      <c r="I21" s="250"/>
      <c r="J21" s="246"/>
      <c r="K21" s="9"/>
      <c r="L21" s="245"/>
      <c r="M21" s="10" t="str">
        <f>D19</f>
        <v>Land Acqusition</v>
      </c>
      <c r="N21" s="24"/>
      <c r="O21" s="24"/>
      <c r="P21" s="259">
        <f>F21</f>
        <v>1500000</v>
      </c>
      <c r="Q21" s="247"/>
      <c r="R21" s="246"/>
      <c r="S21" s="9"/>
      <c r="T21" s="245"/>
      <c r="U21" s="12" t="str">
        <f>D21</f>
        <v>Purchase Price</v>
      </c>
      <c r="V21" s="311">
        <v>1435000</v>
      </c>
      <c r="W21" s="311">
        <v>1435000</v>
      </c>
      <c r="X21" s="311">
        <v>1435000</v>
      </c>
      <c r="Y21" s="311"/>
      <c r="Z21" s="614"/>
      <c r="AB21" s="245"/>
      <c r="AC21" s="15"/>
      <c r="AD21" s="279" t="str">
        <v>Plubming, Electric, HVAC</v>
      </c>
      <c r="AE21" s="279"/>
      <c r="AF21" s="45">
        <v>600000</v>
      </c>
      <c r="AG21" s="424">
        <f t="shared" si="0"/>
        <v>150</v>
      </c>
      <c r="AH21" s="50">
        <f t="shared" si="1"/>
        <v>8.3333333333333329E-2</v>
      </c>
      <c r="AI21" s="204"/>
      <c r="AJ21" s="5"/>
      <c r="AK21" s="204"/>
      <c r="AL21" s="208" t="s">
        <v>84</v>
      </c>
      <c r="AM21" s="210">
        <v>0</v>
      </c>
      <c r="AN21" s="210">
        <f ca="1">Project!P23+Project!P24+Project!P26</f>
        <v>69348.053946750442</v>
      </c>
      <c r="AO21" s="204"/>
      <c r="AP21" s="246"/>
    </row>
    <row r="22" spans="1:43" ht="19.5" customHeight="1" thickTop="1" thickBot="1">
      <c r="C22" s="245"/>
      <c r="D22" s="251"/>
      <c r="E22" s="251"/>
      <c r="F22" s="21"/>
      <c r="G22" s="21"/>
      <c r="H22" s="21"/>
      <c r="I22" s="21"/>
      <c r="J22" s="246"/>
      <c r="K22" s="9"/>
      <c r="L22" s="245"/>
      <c r="M22" s="10" t="s">
        <v>96</v>
      </c>
      <c r="N22" s="24"/>
      <c r="O22" s="24"/>
      <c r="P22" s="58">
        <f>G32+G41</f>
        <v>3891900</v>
      </c>
      <c r="Q22" s="247"/>
      <c r="R22" s="246"/>
      <c r="S22" s="9"/>
      <c r="T22" s="245"/>
      <c r="U22" s="314"/>
      <c r="V22" s="299"/>
      <c r="W22" s="299"/>
      <c r="X22" s="299"/>
      <c r="Y22" s="299"/>
      <c r="Z22" s="614"/>
      <c r="AB22" s="245"/>
      <c r="AC22" s="15"/>
      <c r="AD22" s="279" t="str">
        <v>Drywall</v>
      </c>
      <c r="AE22" s="279"/>
      <c r="AF22" s="45">
        <v>200000</v>
      </c>
      <c r="AG22" s="424">
        <f t="shared" si="0"/>
        <v>50</v>
      </c>
      <c r="AH22" s="50">
        <f t="shared" si="1"/>
        <v>2.7777777777777776E-2</v>
      </c>
      <c r="AI22" s="204"/>
      <c r="AJ22" s="5"/>
      <c r="AK22" s="204"/>
      <c r="AL22" s="208" t="s">
        <v>99</v>
      </c>
      <c r="AM22" s="210">
        <v>0</v>
      </c>
      <c r="AN22" s="210">
        <f ca="1">CALCS!AR8</f>
        <v>654504.49556253676</v>
      </c>
      <c r="AO22" s="204"/>
      <c r="AP22" s="246"/>
    </row>
    <row r="23" spans="1:43" ht="19.5" customHeight="1" thickTop="1" thickBot="1">
      <c r="C23" s="245"/>
      <c r="D23" s="161" t="s">
        <v>26</v>
      </c>
      <c r="E23" s="267"/>
      <c r="F23" s="56" t="s">
        <v>25</v>
      </c>
      <c r="G23" s="57" t="s">
        <v>1</v>
      </c>
      <c r="H23" s="110" t="s">
        <v>0</v>
      </c>
      <c r="I23" s="110" t="s">
        <v>24</v>
      </c>
      <c r="J23" s="246"/>
      <c r="K23" s="9"/>
      <c r="L23" s="245"/>
      <c r="M23" s="10" t="s">
        <v>112</v>
      </c>
      <c r="N23" s="24"/>
      <c r="O23" s="24"/>
      <c r="P23" s="58">
        <f>IF(P12=0,0,P15)</f>
        <v>5000</v>
      </c>
      <c r="Q23" s="247"/>
      <c r="R23" s="246"/>
      <c r="S23" s="9"/>
      <c r="T23" s="245"/>
      <c r="U23" s="161" t="s">
        <v>26</v>
      </c>
      <c r="V23" s="312" t="s">
        <v>25</v>
      </c>
      <c r="W23" s="312" t="s">
        <v>25</v>
      </c>
      <c r="X23" s="312" t="s">
        <v>25</v>
      </c>
      <c r="Y23" s="312"/>
      <c r="Z23" s="614"/>
      <c r="AB23" s="245"/>
      <c r="AC23" s="15"/>
      <c r="AD23" s="279" t="str">
        <v>Interior Finish</v>
      </c>
      <c r="AE23" s="279"/>
      <c r="AF23" s="45">
        <v>400000</v>
      </c>
      <c r="AG23" s="424">
        <f t="shared" si="0"/>
        <v>100</v>
      </c>
      <c r="AH23" s="50">
        <f t="shared" si="1"/>
        <v>5.5555555555555552E-2</v>
      </c>
      <c r="AI23" s="204"/>
      <c r="AJ23" s="5"/>
      <c r="AK23" s="204"/>
      <c r="AL23" s="208" t="s">
        <v>141</v>
      </c>
      <c r="AM23" s="210">
        <v>0</v>
      </c>
      <c r="AN23" s="210">
        <f ca="1">CALCS!AS8</f>
        <v>4241756.5149227502</v>
      </c>
      <c r="AO23" s="204"/>
      <c r="AP23" s="246"/>
    </row>
    <row r="24" spans="1:43" ht="19.5" customHeight="1" thickTop="1" thickBot="1">
      <c r="C24" s="245"/>
      <c r="D24" s="10" t="s">
        <v>23</v>
      </c>
      <c r="E24" s="11"/>
      <c r="F24" s="31">
        <v>60</v>
      </c>
      <c r="G24" s="28">
        <f t="shared" ref="G24:G31" si="2">F24*$F$10</f>
        <v>240000</v>
      </c>
      <c r="H24" s="326">
        <v>1</v>
      </c>
      <c r="I24" s="22">
        <v>6</v>
      </c>
      <c r="J24" s="246"/>
      <c r="K24" s="9"/>
      <c r="L24" s="245"/>
      <c r="M24" s="10" t="s">
        <v>113</v>
      </c>
      <c r="N24" s="24"/>
      <c r="O24" s="24"/>
      <c r="P24" s="58">
        <f>IF(P12=0,0,P16)</f>
        <v>2500</v>
      </c>
      <c r="Q24" s="247"/>
      <c r="R24" s="246"/>
      <c r="S24" s="9"/>
      <c r="T24" s="245"/>
      <c r="U24" s="10" t="s">
        <v>23</v>
      </c>
      <c r="V24" s="300">
        <v>35</v>
      </c>
      <c r="W24" s="300">
        <v>35</v>
      </c>
      <c r="X24" s="300">
        <v>35</v>
      </c>
      <c r="Y24" s="300"/>
      <c r="Z24" s="614"/>
      <c r="AB24" s="245"/>
      <c r="AC24" s="15"/>
      <c r="AD24" s="279" t="str">
        <v>Fixtures &amp; Appliances</v>
      </c>
      <c r="AE24" s="279"/>
      <c r="AF24" s="45">
        <v>400000</v>
      </c>
      <c r="AG24" s="424">
        <f t="shared" si="0"/>
        <v>100</v>
      </c>
      <c r="AH24" s="50">
        <f t="shared" si="1"/>
        <v>5.5555555555555552E-2</v>
      </c>
      <c r="AI24" s="204"/>
      <c r="AJ24" s="5"/>
      <c r="AK24" s="204"/>
      <c r="AL24" s="208" t="s">
        <v>142</v>
      </c>
      <c r="AM24" s="210">
        <f>AM11</f>
        <v>5391900.0000000009</v>
      </c>
      <c r="AN24" s="210">
        <f ca="1">Project!AN11</f>
        <v>1873996.0345865386</v>
      </c>
      <c r="AO24" s="204"/>
      <c r="AP24" s="246"/>
    </row>
    <row r="25" spans="1:43" ht="19.5" customHeight="1" thickTop="1" thickBot="1">
      <c r="C25" s="245"/>
      <c r="D25" s="12" t="s">
        <v>15</v>
      </c>
      <c r="E25" s="13"/>
      <c r="F25" s="32">
        <v>60</v>
      </c>
      <c r="G25" s="29">
        <f t="shared" si="2"/>
        <v>240000</v>
      </c>
      <c r="H25" s="327">
        <f>I24+1</f>
        <v>7</v>
      </c>
      <c r="I25" s="20">
        <v>3</v>
      </c>
      <c r="J25" s="246"/>
      <c r="K25" s="9"/>
      <c r="L25" s="245"/>
      <c r="M25" s="10" t="s">
        <v>83</v>
      </c>
      <c r="N25" s="24"/>
      <c r="O25" s="24"/>
      <c r="P25" s="58">
        <f ca="1">CALCS!AR8*P17</f>
        <v>785405.39467504411</v>
      </c>
      <c r="Q25" s="247"/>
      <c r="R25" s="246"/>
      <c r="S25" s="9"/>
      <c r="T25" s="245"/>
      <c r="U25" s="12" t="s">
        <v>15</v>
      </c>
      <c r="V25" s="301">
        <v>44</v>
      </c>
      <c r="W25" s="301">
        <v>44</v>
      </c>
      <c r="X25" s="301">
        <v>44</v>
      </c>
      <c r="Y25" s="301"/>
      <c r="Z25" s="614"/>
      <c r="AB25" s="245"/>
      <c r="AC25" s="15"/>
      <c r="AD25" s="280" t="str">
        <v>Pool &amp; Landscape</v>
      </c>
      <c r="AE25" s="279"/>
      <c r="AF25" s="46">
        <v>200000</v>
      </c>
      <c r="AG25" s="425">
        <f t="shared" si="0"/>
        <v>50</v>
      </c>
      <c r="AH25" s="49">
        <f t="shared" si="1"/>
        <v>2.7777777777777776E-2</v>
      </c>
      <c r="AI25" s="204"/>
      <c r="AJ25" s="5"/>
      <c r="AK25" s="204"/>
      <c r="AL25" s="211" t="s">
        <v>143</v>
      </c>
      <c r="AM25" s="212">
        <f>CALCS!AJ8</f>
        <v>1376099.9999999991</v>
      </c>
      <c r="AN25" s="212">
        <f ca="1">CALCS!AZ8</f>
        <v>652247.45049071126</v>
      </c>
      <c r="AO25" s="204"/>
      <c r="AP25" s="246"/>
    </row>
    <row r="26" spans="1:43" ht="19.5" customHeight="1" thickTop="1" thickBot="1">
      <c r="C26" s="245"/>
      <c r="D26" s="12" t="s">
        <v>16</v>
      </c>
      <c r="E26" s="14"/>
      <c r="F26" s="32">
        <v>150</v>
      </c>
      <c r="G26" s="29">
        <f t="shared" si="2"/>
        <v>600000</v>
      </c>
      <c r="H26" s="327">
        <v>10</v>
      </c>
      <c r="I26" s="20">
        <v>4</v>
      </c>
      <c r="J26" s="246"/>
      <c r="K26" s="9"/>
      <c r="L26" s="245"/>
      <c r="M26" s="163" t="s">
        <v>111</v>
      </c>
      <c r="N26" s="150"/>
      <c r="O26" s="150"/>
      <c r="P26" s="151">
        <f ca="1">IF(P12=0,0,SUM(P21:P25)*P14)</f>
        <v>61848.053946750442</v>
      </c>
      <c r="Q26" s="247"/>
      <c r="R26" s="246"/>
      <c r="S26" s="9"/>
      <c r="T26" s="245"/>
      <c r="U26" s="12" t="s">
        <v>16</v>
      </c>
      <c r="V26" s="301">
        <v>61</v>
      </c>
      <c r="W26" s="301">
        <v>61</v>
      </c>
      <c r="X26" s="301">
        <v>61</v>
      </c>
      <c r="Y26" s="301"/>
      <c r="Z26" s="614"/>
      <c r="AB26" s="245"/>
      <c r="AC26" s="15"/>
      <c r="AD26" s="281" t="str">
        <v>Subtotal - Direct Costs</v>
      </c>
      <c r="AE26" s="281"/>
      <c r="AF26" s="321">
        <f>-SUM(AF17:AF25)</f>
        <v>-4380000</v>
      </c>
      <c r="AG26" s="423">
        <f t="shared" si="0"/>
        <v>-1095</v>
      </c>
      <c r="AH26" s="50">
        <f t="shared" si="1"/>
        <v>-0.60833333333333328</v>
      </c>
      <c r="AI26" s="204"/>
      <c r="AJ26" s="5"/>
      <c r="AK26" s="204"/>
      <c r="AL26" s="236" t="s">
        <v>106</v>
      </c>
      <c r="AM26" s="213">
        <f>SUM(AM17:AM25)</f>
        <v>12591900</v>
      </c>
      <c r="AN26" s="213">
        <f ca="1">SUM(AN17:AN25)</f>
        <v>13315752.549509285</v>
      </c>
      <c r="AO26" s="204"/>
      <c r="AP26" s="246"/>
    </row>
    <row r="27" spans="1:43" ht="19.5" customHeight="1" thickTop="1" thickBot="1">
      <c r="C27" s="245"/>
      <c r="D27" s="12" t="s">
        <v>17</v>
      </c>
      <c r="E27" s="14"/>
      <c r="F27" s="32">
        <v>150</v>
      </c>
      <c r="G27" s="29">
        <f t="shared" si="2"/>
        <v>600000</v>
      </c>
      <c r="H27" s="327">
        <f>H26+I26+1</f>
        <v>15</v>
      </c>
      <c r="I27" s="20">
        <v>3</v>
      </c>
      <c r="J27" s="246"/>
      <c r="K27" s="9"/>
      <c r="L27" s="245"/>
      <c r="M27" s="10" t="s">
        <v>116</v>
      </c>
      <c r="N27" s="24"/>
      <c r="O27" s="24"/>
      <c r="P27" s="60">
        <f ca="1">IF(P11&lt;=P21,P11+P23+P24+P26,SUM(P21:P26))</f>
        <v>6246653.4486217946</v>
      </c>
      <c r="Q27" s="247"/>
      <c r="R27" s="246"/>
      <c r="S27" s="9"/>
      <c r="T27" s="245"/>
      <c r="U27" s="12" t="s">
        <v>17</v>
      </c>
      <c r="V27" s="301">
        <v>80</v>
      </c>
      <c r="W27" s="301">
        <v>80</v>
      </c>
      <c r="X27" s="301">
        <v>80</v>
      </c>
      <c r="Y27" s="301"/>
      <c r="Z27" s="614"/>
      <c r="AB27" s="245"/>
      <c r="AC27" s="15"/>
      <c r="AD27" s="279"/>
      <c r="AE27" s="279"/>
      <c r="AF27" s="45"/>
      <c r="AG27" s="424">
        <f t="shared" si="0"/>
        <v>0</v>
      </c>
      <c r="AH27" s="50"/>
      <c r="AI27" s="204"/>
      <c r="AJ27" s="5"/>
      <c r="AK27" s="204"/>
      <c r="AL27" s="204"/>
      <c r="AM27" s="204"/>
      <c r="AN27" s="204"/>
      <c r="AO27" s="204"/>
      <c r="AP27" s="246"/>
    </row>
    <row r="28" spans="1:43" ht="19.5" customHeight="1" thickTop="1" thickBot="1">
      <c r="C28" s="245"/>
      <c r="D28" s="12" t="s">
        <v>18</v>
      </c>
      <c r="E28" s="14"/>
      <c r="F28" s="32">
        <v>50</v>
      </c>
      <c r="G28" s="29">
        <f t="shared" si="2"/>
        <v>200000</v>
      </c>
      <c r="H28" s="327">
        <v>32</v>
      </c>
      <c r="I28" s="20">
        <v>2</v>
      </c>
      <c r="J28" s="246"/>
      <c r="K28" s="9"/>
      <c r="L28" s="245"/>
      <c r="M28" s="147" t="s">
        <v>242</v>
      </c>
      <c r="N28" s="412"/>
      <c r="O28" s="412"/>
      <c r="P28" s="58">
        <f ca="1">P27*((1-P12))</f>
        <v>1873996.0345865386</v>
      </c>
      <c r="Q28" s="247"/>
      <c r="R28" s="246"/>
      <c r="S28" s="9"/>
      <c r="T28" s="245"/>
      <c r="U28" s="12" t="s">
        <v>18</v>
      </c>
      <c r="V28" s="301">
        <v>10</v>
      </c>
      <c r="W28" s="301">
        <v>15</v>
      </c>
      <c r="X28" s="301">
        <v>10</v>
      </c>
      <c r="Y28" s="301"/>
      <c r="Z28" s="614"/>
      <c r="AB28" s="245"/>
      <c r="AC28" s="15"/>
      <c r="AD28" s="282" t="str" cm="1">
        <f t="array" ref="AD28:AD34">D34:D40</f>
        <v>Indirect + Other Costs</v>
      </c>
      <c r="AE28" s="429"/>
      <c r="AF28" s="42"/>
      <c r="AG28" s="426">
        <f t="shared" si="0"/>
        <v>0</v>
      </c>
      <c r="AH28" s="50"/>
      <c r="AI28" s="204"/>
      <c r="AJ28" s="5"/>
      <c r="AK28" s="204"/>
      <c r="AL28" s="223" t="s">
        <v>160</v>
      </c>
      <c r="AM28" s="224" t="str">
        <f>AM16</f>
        <v>Cash</v>
      </c>
      <c r="AN28" s="224" t="str">
        <f>AN16</f>
        <v>Leveraged</v>
      </c>
      <c r="AO28" s="204"/>
      <c r="AP28" s="246"/>
    </row>
    <row r="29" spans="1:43" ht="19.5" customHeight="1" thickTop="1" thickBot="1">
      <c r="C29" s="245"/>
      <c r="D29" s="12" t="s">
        <v>19</v>
      </c>
      <c r="E29" s="14"/>
      <c r="F29" s="32">
        <v>100</v>
      </c>
      <c r="G29" s="29">
        <f t="shared" si="2"/>
        <v>400000</v>
      </c>
      <c r="H29" s="327">
        <v>35</v>
      </c>
      <c r="I29" s="20">
        <v>3</v>
      </c>
      <c r="J29" s="246"/>
      <c r="K29" s="9"/>
      <c r="L29" s="245"/>
      <c r="M29" s="147" t="s">
        <v>118</v>
      </c>
      <c r="N29" s="412"/>
      <c r="O29" s="412"/>
      <c r="P29" s="58">
        <f ca="1">P12*P27</f>
        <v>4372657.414035256</v>
      </c>
      <c r="Q29" s="443"/>
      <c r="R29" s="246"/>
      <c r="S29" s="9"/>
      <c r="T29" s="245"/>
      <c r="U29" s="12" t="s">
        <v>19</v>
      </c>
      <c r="V29" s="301">
        <v>100</v>
      </c>
      <c r="W29" s="301">
        <v>125</v>
      </c>
      <c r="X29" s="301">
        <v>100</v>
      </c>
      <c r="Y29" s="301"/>
      <c r="Z29" s="614"/>
      <c r="AB29" s="245"/>
      <c r="AC29" s="15"/>
      <c r="AD29" s="279" t="str">
        <v>Insurance</v>
      </c>
      <c r="AE29" s="279"/>
      <c r="AF29" s="45" cm="1">
        <f t="array" ref="AF29:AF34">(G35:G40)</f>
        <v>7500.0000000000045</v>
      </c>
      <c r="AG29" s="424">
        <f t="shared" si="0"/>
        <v>1.8750000000000011</v>
      </c>
      <c r="AH29" s="50">
        <f t="shared" ref="AH29:AH35" si="3">AF29/AF$11</f>
        <v>1.0416666666666673E-3</v>
      </c>
      <c r="AI29" s="204"/>
      <c r="AJ29" s="5"/>
      <c r="AK29" s="204"/>
      <c r="AL29" s="216" t="s">
        <v>159</v>
      </c>
      <c r="AM29" s="220">
        <f>-SUMIF(CALCS!AV9:AV69,"&lt;0")</f>
        <v>5390420.0000000009</v>
      </c>
      <c r="AN29" s="220">
        <f ca="1">-SUMIF(CALCS!AZ9:AZ69,"&lt;0")</f>
        <v>1873996.0345865386</v>
      </c>
      <c r="AO29" s="204"/>
      <c r="AP29" s="246"/>
    </row>
    <row r="30" spans="1:43" ht="19.5" customHeight="1" thickTop="1" thickBot="1">
      <c r="C30" s="245"/>
      <c r="D30" s="12" t="s">
        <v>21</v>
      </c>
      <c r="E30" s="14"/>
      <c r="F30" s="32">
        <v>100</v>
      </c>
      <c r="G30" s="29">
        <f t="shared" si="2"/>
        <v>400000</v>
      </c>
      <c r="H30" s="327">
        <v>39</v>
      </c>
      <c r="I30" s="20">
        <v>4</v>
      </c>
      <c r="J30" s="246"/>
      <c r="K30" s="9"/>
      <c r="L30" s="245"/>
      <c r="M30" s="147" t="s">
        <v>147</v>
      </c>
      <c r="N30" s="412"/>
      <c r="O30" s="604">
        <f ca="1">IFERROR(P30/P29,0)</f>
        <v>0.96250649949290312</v>
      </c>
      <c r="P30" s="58">
        <f ca="1">MAX(CALCS!AT9:AT69)</f>
        <v>4208711.181064764</v>
      </c>
      <c r="Q30" s="247"/>
      <c r="R30" s="246"/>
      <c r="S30" s="9"/>
      <c r="T30" s="245"/>
      <c r="U30" s="12" t="s">
        <v>21</v>
      </c>
      <c r="V30" s="301">
        <v>20</v>
      </c>
      <c r="W30" s="301">
        <v>20</v>
      </c>
      <c r="X30" s="301">
        <v>20</v>
      </c>
      <c r="Y30" s="301"/>
      <c r="Z30" s="614"/>
      <c r="AB30" s="245"/>
      <c r="AC30" s="15"/>
      <c r="AD30" s="279" t="str">
        <v>Property Taxes</v>
      </c>
      <c r="AE30" s="279"/>
      <c r="AF30" s="45">
        <v>22500</v>
      </c>
      <c r="AG30" s="424">
        <f t="shared" si="0"/>
        <v>5.625</v>
      </c>
      <c r="AH30" s="50">
        <f t="shared" si="3"/>
        <v>3.1250000000000002E-3</v>
      </c>
      <c r="AI30" s="204"/>
      <c r="AJ30" s="5"/>
      <c r="AK30" s="204"/>
      <c r="AL30" s="265" t="str">
        <f>AL25</f>
        <v>Distributions - Profit</v>
      </c>
      <c r="AM30" s="220">
        <f>AM25</f>
        <v>1376099.9999999991</v>
      </c>
      <c r="AN30" s="220">
        <f ca="1">AN25</f>
        <v>652247.45049071126</v>
      </c>
      <c r="AO30" s="204"/>
      <c r="AP30" s="246"/>
    </row>
    <row r="31" spans="1:43" ht="19.5" customHeight="1" thickTop="1" thickBot="1">
      <c r="C31" s="245"/>
      <c r="D31" s="25" t="s">
        <v>20</v>
      </c>
      <c r="E31" s="26"/>
      <c r="F31" s="33">
        <v>50</v>
      </c>
      <c r="G31" s="30">
        <f t="shared" si="2"/>
        <v>200000</v>
      </c>
      <c r="H31" s="328">
        <v>26</v>
      </c>
      <c r="I31" s="27">
        <v>13</v>
      </c>
      <c r="J31" s="246"/>
      <c r="K31" s="9"/>
      <c r="L31" s="245"/>
      <c r="M31" s="147" t="s">
        <v>153</v>
      </c>
      <c r="N31" s="412"/>
      <c r="O31" s="412"/>
      <c r="P31" s="58" cm="1">
        <f t="array" aca="1" ref="P31" ca="1">IF(P12=0,0,INDEX(CALCS!$D$9:$D$69, MATCH(TRUE, INDEX(CALCS!$AQ$9:$AQ$69&lt;&gt;0, 0), 0)))</f>
        <v>4</v>
      </c>
      <c r="Q31" s="247"/>
      <c r="R31" s="246"/>
      <c r="S31" s="9"/>
      <c r="T31" s="245"/>
      <c r="U31" s="25" t="s">
        <v>20</v>
      </c>
      <c r="V31" s="302">
        <v>60</v>
      </c>
      <c r="W31" s="302">
        <v>60</v>
      </c>
      <c r="X31" s="302">
        <v>60</v>
      </c>
      <c r="Y31" s="302"/>
      <c r="Z31" s="614"/>
      <c r="AB31" s="245"/>
      <c r="AC31" s="15"/>
      <c r="AD31" s="279" t="str">
        <v>Miscellaneous</v>
      </c>
      <c r="AE31" s="279"/>
      <c r="AF31" s="45">
        <v>15000.000000000009</v>
      </c>
      <c r="AG31" s="424">
        <f t="shared" si="0"/>
        <v>3.7500000000000022</v>
      </c>
      <c r="AH31" s="50">
        <f t="shared" si="3"/>
        <v>2.0833333333333346E-3</v>
      </c>
      <c r="AI31" s="204"/>
      <c r="AJ31" s="5"/>
      <c r="AK31" s="204"/>
      <c r="AL31" s="216" t="s">
        <v>168</v>
      </c>
      <c r="AM31" s="220">
        <f>AM24+AM25</f>
        <v>6768000</v>
      </c>
      <c r="AN31" s="220">
        <f ca="1">AN25+AN24</f>
        <v>2526243.4850772498</v>
      </c>
      <c r="AO31" s="204"/>
      <c r="AP31" s="246"/>
    </row>
    <row r="32" spans="1:43" ht="19.5" customHeight="1" thickTop="1" thickBot="1">
      <c r="C32" s="245"/>
      <c r="D32" s="23" t="s">
        <v>22</v>
      </c>
      <c r="E32" s="24"/>
      <c r="F32" s="36">
        <f>$G$32/$F$10</f>
        <v>720</v>
      </c>
      <c r="G32" s="37">
        <f>SUM(G24:G31)</f>
        <v>2880000</v>
      </c>
      <c r="H32" s="38"/>
      <c r="I32" s="38" cm="1">
        <f t="array" ref="I32">MAX(H24:H31 + I24:I31)</f>
        <v>43</v>
      </c>
      <c r="J32" s="246"/>
      <c r="K32" s="9"/>
      <c r="L32" s="245"/>
      <c r="M32" s="147" t="s">
        <v>171</v>
      </c>
      <c r="N32" s="412"/>
      <c r="O32" s="412"/>
      <c r="P32" s="58">
        <f ca="1">COUNTIF(CALCS!AT9:AT69,"&gt;0")</f>
        <v>41</v>
      </c>
      <c r="Q32" s="247"/>
      <c r="R32" s="246"/>
      <c r="S32" s="9"/>
      <c r="T32" s="245"/>
      <c r="U32" s="23" t="s">
        <v>22</v>
      </c>
      <c r="V32" s="300">
        <f>SUM(V24:V31)</f>
        <v>410</v>
      </c>
      <c r="W32" s="300"/>
      <c r="X32" s="300"/>
      <c r="Y32" s="300"/>
      <c r="Z32" s="614"/>
      <c r="AB32" s="245"/>
      <c r="AC32" s="15"/>
      <c r="AD32" s="279" t="str">
        <v>Warranty</v>
      </c>
      <c r="AE32" s="279"/>
      <c r="AF32" s="45">
        <v>21600</v>
      </c>
      <c r="AG32" s="424">
        <f t="shared" si="0"/>
        <v>5.4</v>
      </c>
      <c r="AH32" s="50">
        <f t="shared" si="3"/>
        <v>3.0000000000000001E-3</v>
      </c>
      <c r="AI32" s="204"/>
      <c r="AJ32" s="5"/>
      <c r="AK32" s="204"/>
      <c r="AL32" s="216" t="s">
        <v>167</v>
      </c>
      <c r="AM32" s="241">
        <f>AM31/AM29</f>
        <v>1.255560791181392</v>
      </c>
      <c r="AN32" s="240">
        <f ca="1">(AF46+AN29)/AN29</f>
        <v>1.3480516705760366</v>
      </c>
      <c r="AO32" s="204"/>
      <c r="AP32" s="246"/>
    </row>
    <row r="33" spans="1:42" ht="19.5" customHeight="1" thickTop="1" thickBot="1">
      <c r="A33" s="272" t="s">
        <v>1</v>
      </c>
      <c r="C33" s="245"/>
      <c r="D33" s="251"/>
      <c r="E33" s="251"/>
      <c r="F33" s="21"/>
      <c r="G33" s="21"/>
      <c r="H33" s="21"/>
      <c r="I33" s="21"/>
      <c r="J33" s="246"/>
      <c r="K33" s="9"/>
      <c r="L33" s="245"/>
      <c r="M33" s="147" t="s">
        <v>170</v>
      </c>
      <c r="N33" s="412"/>
      <c r="O33" s="412"/>
      <c r="P33" s="201">
        <f ca="1">IF(P12=0,0,AVERAGEIF(CALCS!AT9:AT69,"&gt;0",CALCS!AT9:AT69))</f>
        <v>2128469.9042684124</v>
      </c>
      <c r="Q33" s="247"/>
      <c r="R33" s="246"/>
      <c r="S33" s="9"/>
      <c r="T33" s="245"/>
      <c r="U33" s="314"/>
      <c r="V33" s="299"/>
      <c r="W33" s="299"/>
      <c r="X33" s="299"/>
      <c r="Y33" s="299"/>
      <c r="Z33" s="614"/>
      <c r="AB33" s="245"/>
      <c r="AC33" s="15"/>
      <c r="AD33" s="279" t="str">
        <v>Contingency</v>
      </c>
      <c r="AE33" s="279"/>
      <c r="AF33" s="45">
        <v>153299.99999999997</v>
      </c>
      <c r="AG33" s="424">
        <f t="shared" si="0"/>
        <v>38.324999999999996</v>
      </c>
      <c r="AH33" s="50">
        <f t="shared" si="3"/>
        <v>2.1291666666666664E-2</v>
      </c>
      <c r="AI33" s="204"/>
      <c r="AJ33" s="5"/>
      <c r="AK33" s="204"/>
      <c r="AL33" s="216" t="s">
        <v>162</v>
      </c>
      <c r="AM33" s="217">
        <f>XIRR(CALCS!AV9:AV69,CALCS!$G$9:$G$69)</f>
        <v>9.420938193798066E-2</v>
      </c>
      <c r="AN33" s="217">
        <f ca="1">XIRR(CALCS!AZ9:AZ69,CALCS!$G$9:$G$69)</f>
        <v>8.346901237964631E-2</v>
      </c>
      <c r="AO33" s="204"/>
      <c r="AP33" s="246"/>
    </row>
    <row r="34" spans="1:42" ht="19.5" customHeight="1" thickTop="1" thickBot="1">
      <c r="A34" s="273">
        <f>F35*F$10</f>
        <v>2000</v>
      </c>
      <c r="C34" s="245"/>
      <c r="D34" s="161" t="s">
        <v>158</v>
      </c>
      <c r="E34" s="267"/>
      <c r="F34" s="56" t="s">
        <v>28</v>
      </c>
      <c r="G34" s="113" t="s">
        <v>1</v>
      </c>
      <c r="H34" s="175" t="s">
        <v>25</v>
      </c>
      <c r="I34" s="247"/>
      <c r="J34" s="246"/>
      <c r="K34" s="9"/>
      <c r="L34" s="245"/>
      <c r="M34" s="247"/>
      <c r="N34" s="247"/>
      <c r="O34" s="247"/>
      <c r="P34" s="247"/>
      <c r="Q34" s="247"/>
      <c r="R34" s="246"/>
      <c r="S34" s="9"/>
      <c r="T34" s="245"/>
      <c r="U34" s="161" t="s">
        <v>158</v>
      </c>
      <c r="V34" s="312"/>
      <c r="W34" s="312"/>
      <c r="X34" s="312"/>
      <c r="Y34" s="312"/>
      <c r="Z34" s="614"/>
      <c r="AB34" s="245"/>
      <c r="AC34" s="15"/>
      <c r="AD34" s="280" t="str">
        <v>General Conditions + GC</v>
      </c>
      <c r="AE34" s="279"/>
      <c r="AF34" s="46">
        <v>792000</v>
      </c>
      <c r="AG34" s="425">
        <f t="shared" si="0"/>
        <v>198</v>
      </c>
      <c r="AH34" s="49">
        <f t="shared" si="3"/>
        <v>0.11</v>
      </c>
      <c r="AI34" s="204"/>
      <c r="AJ34" s="5"/>
      <c r="AK34" s="204"/>
      <c r="AL34" s="216" t="s">
        <v>213</v>
      </c>
      <c r="AM34" s="452">
        <f>AM31/AM29</f>
        <v>1.255560791181392</v>
      </c>
      <c r="AN34" s="452">
        <f ca="1">AN31/AN29</f>
        <v>1.3480516705760357</v>
      </c>
      <c r="AO34" s="204"/>
      <c r="AP34" s="246"/>
    </row>
    <row r="35" spans="1:42" ht="19.5" customHeight="1" thickTop="1" thickBot="1">
      <c r="A35" s="274">
        <f>F36*F10</f>
        <v>6000</v>
      </c>
      <c r="C35" s="245"/>
      <c r="D35" s="10" t="s">
        <v>11</v>
      </c>
      <c r="E35" s="176" t="s">
        <v>139</v>
      </c>
      <c r="F35" s="35">
        <v>0.5</v>
      </c>
      <c r="G35" s="157" cm="1">
        <f t="array" ref="G35:G40">TRANSPOSE(CALCS!V8:AA8)</f>
        <v>7500.0000000000045</v>
      </c>
      <c r="H35" s="172">
        <f t="shared" ref="H35:H41" si="4">G35/$F$10</f>
        <v>1.8750000000000011</v>
      </c>
      <c r="I35" s="247"/>
      <c r="J35" s="246"/>
      <c r="K35" s="9"/>
      <c r="L35" s="245"/>
      <c r="M35" s="602" t="s">
        <v>187</v>
      </c>
      <c r="N35" s="150"/>
      <c r="O35" s="416" t="s">
        <v>1</v>
      </c>
      <c r="P35" s="416" t="s">
        <v>188</v>
      </c>
      <c r="Q35" s="416" t="s">
        <v>189</v>
      </c>
      <c r="R35" s="246"/>
      <c r="S35" s="9"/>
      <c r="T35" s="245"/>
      <c r="U35" s="10" t="s">
        <v>11</v>
      </c>
      <c r="V35" s="303">
        <v>0.5</v>
      </c>
      <c r="W35" s="303">
        <v>0.5</v>
      </c>
      <c r="X35" s="303">
        <v>0.5</v>
      </c>
      <c r="Y35" s="303"/>
      <c r="Z35" s="614"/>
      <c r="AA35" s="1"/>
      <c r="AB35" s="245"/>
      <c r="AC35" s="15"/>
      <c r="AD35" s="281" t="s">
        <v>149</v>
      </c>
      <c r="AE35" s="281"/>
      <c r="AF35" s="321">
        <f>-SUM(_xlfn.ANCHORARRAY(AF29))</f>
        <v>-1011900</v>
      </c>
      <c r="AG35" s="423">
        <f t="shared" si="0"/>
        <v>-252.97499999999999</v>
      </c>
      <c r="AH35" s="50">
        <f t="shared" si="3"/>
        <v>-0.14054166666666668</v>
      </c>
      <c r="AI35" s="204"/>
      <c r="AJ35" s="5"/>
      <c r="AK35" s="204"/>
      <c r="AL35" s="204"/>
      <c r="AM35" s="204"/>
      <c r="AN35" s="204"/>
      <c r="AO35" s="204"/>
      <c r="AP35" s="246"/>
    </row>
    <row r="36" spans="1:42" ht="19.5" customHeight="1" thickTop="1" thickBot="1">
      <c r="A36" s="274">
        <f>F37*F$10</f>
        <v>4000</v>
      </c>
      <c r="C36" s="245"/>
      <c r="D36" s="12" t="s">
        <v>30</v>
      </c>
      <c r="E36" s="177" t="s">
        <v>139</v>
      </c>
      <c r="F36" s="34">
        <v>1.5</v>
      </c>
      <c r="G36" s="158">
        <v>22500</v>
      </c>
      <c r="H36" s="159">
        <f t="shared" si="4"/>
        <v>5.625</v>
      </c>
      <c r="I36" s="247"/>
      <c r="J36" s="246"/>
      <c r="K36" s="16"/>
      <c r="L36" s="245"/>
      <c r="M36" s="10" t="s">
        <v>190</v>
      </c>
      <c r="N36" s="412"/>
      <c r="O36" s="415">
        <f>P36+Q36</f>
        <v>1</v>
      </c>
      <c r="P36" s="417">
        <v>0.25</v>
      </c>
      <c r="Q36" s="415">
        <f>1-P36</f>
        <v>0.75</v>
      </c>
      <c r="R36" s="409"/>
      <c r="S36" s="9"/>
      <c r="T36" s="245"/>
      <c r="U36" s="12" t="s">
        <v>30</v>
      </c>
      <c r="V36" s="304">
        <v>1.5</v>
      </c>
      <c r="W36" s="304">
        <v>1.5</v>
      </c>
      <c r="X36" s="304">
        <v>1.5</v>
      </c>
      <c r="Y36" s="304"/>
      <c r="Z36" s="614"/>
      <c r="AA36" s="1"/>
      <c r="AB36" s="245"/>
      <c r="AC36" s="15"/>
      <c r="AD36" s="196"/>
      <c r="AE36" s="196"/>
      <c r="AF36" s="47"/>
      <c r="AG36" s="427">
        <f t="shared" si="0"/>
        <v>0</v>
      </c>
      <c r="AH36" s="50"/>
      <c r="AI36" s="204"/>
      <c r="AJ36" s="5"/>
      <c r="AK36" s="204"/>
      <c r="AL36" s="207"/>
      <c r="AM36" s="204"/>
      <c r="AN36" s="204"/>
      <c r="AO36" s="204"/>
      <c r="AP36" s="246"/>
    </row>
    <row r="37" spans="1:42" ht="19.5" customHeight="1" thickTop="1" thickBot="1">
      <c r="A37" s="274">
        <f>F38*G32</f>
        <v>5760</v>
      </c>
      <c r="C37" s="245"/>
      <c r="D37" s="12" t="s">
        <v>31</v>
      </c>
      <c r="E37" s="177" t="s">
        <v>139</v>
      </c>
      <c r="F37" s="34">
        <v>1</v>
      </c>
      <c r="G37" s="158">
        <v>15000.000000000009</v>
      </c>
      <c r="H37" s="159">
        <f t="shared" si="4"/>
        <v>3.7500000000000022</v>
      </c>
      <c r="I37" s="247"/>
      <c r="J37" s="246"/>
      <c r="K37" s="16"/>
      <c r="L37" s="245"/>
      <c r="M37" s="10" t="s">
        <v>191</v>
      </c>
      <c r="N37" s="412"/>
      <c r="O37" s="58">
        <f ca="1">AN11</f>
        <v>1873996.0345865386</v>
      </c>
      <c r="P37" s="58">
        <f ca="1">P36*O37</f>
        <v>468499.00864663464</v>
      </c>
      <c r="Q37" s="58">
        <f ca="1">O37*Q36</f>
        <v>1405497.0259399039</v>
      </c>
      <c r="R37" s="409"/>
      <c r="S37" s="9"/>
      <c r="T37" s="245"/>
      <c r="U37" s="12" t="s">
        <v>31</v>
      </c>
      <c r="V37" s="304">
        <v>0.05</v>
      </c>
      <c r="W37" s="304">
        <v>0.05</v>
      </c>
      <c r="X37" s="304">
        <v>0.05</v>
      </c>
      <c r="Y37" s="304"/>
      <c r="Z37" s="614"/>
      <c r="AB37" s="245"/>
      <c r="AC37" s="15"/>
      <c r="AD37" s="107" t="s">
        <v>155</v>
      </c>
      <c r="AE37" s="107"/>
      <c r="AF37" s="108">
        <f>AF26+AF35</f>
        <v>-5391900</v>
      </c>
      <c r="AG37" s="428">
        <f t="shared" si="0"/>
        <v>-1347.9749999999999</v>
      </c>
      <c r="AH37" s="204">
        <f>AF37/AF$11</f>
        <v>-0.74887499999999996</v>
      </c>
      <c r="AI37" s="204"/>
      <c r="AJ37" s="5"/>
      <c r="AK37" s="204"/>
      <c r="AL37" s="207"/>
      <c r="AM37" s="220"/>
      <c r="AN37" s="204"/>
      <c r="AO37" s="204"/>
      <c r="AP37" s="246"/>
    </row>
    <row r="38" spans="1:42" ht="19.5" customHeight="1" thickTop="1" thickBot="1">
      <c r="A38" s="275">
        <f>F39*(G32+SUM(G35:G42))</f>
        <v>171633.00000000003</v>
      </c>
      <c r="C38" s="245"/>
      <c r="D38" s="12" t="s">
        <v>8</v>
      </c>
      <c r="E38" s="178" t="s">
        <v>140</v>
      </c>
      <c r="F38" s="293">
        <v>2E-3</v>
      </c>
      <c r="G38" s="158">
        <v>21600</v>
      </c>
      <c r="H38" s="159">
        <f t="shared" si="4"/>
        <v>5.4</v>
      </c>
      <c r="I38" s="247"/>
      <c r="J38" s="246"/>
      <c r="K38" s="16"/>
      <c r="L38" s="245"/>
      <c r="M38" s="418"/>
      <c r="N38" s="247"/>
      <c r="O38" s="247"/>
      <c r="P38" s="247"/>
      <c r="Q38" s="247"/>
      <c r="R38" s="246"/>
      <c r="S38" s="9"/>
      <c r="T38" s="245"/>
      <c r="U38" s="12" t="s">
        <v>8</v>
      </c>
      <c r="V38" s="305">
        <v>1E-3</v>
      </c>
      <c r="W38" s="305">
        <v>1E-3</v>
      </c>
      <c r="X38" s="305">
        <v>1E-3</v>
      </c>
      <c r="Y38" s="305"/>
      <c r="Z38" s="614"/>
      <c r="AB38" s="245"/>
      <c r="AC38" s="15"/>
      <c r="AD38" s="40"/>
      <c r="AE38" s="40"/>
      <c r="AF38" s="45"/>
      <c r="AG38" s="424">
        <f t="shared" si="0"/>
        <v>0</v>
      </c>
      <c r="AH38" s="204"/>
      <c r="AI38" s="204"/>
      <c r="AJ38" s="5"/>
      <c r="AK38" s="204"/>
      <c r="AL38" s="207"/>
      <c r="AM38" s="204"/>
      <c r="AN38" s="204"/>
      <c r="AO38" s="204"/>
      <c r="AP38" s="246"/>
    </row>
    <row r="39" spans="1:42" ht="19.5" customHeight="1" collapsed="1" thickTop="1" thickBot="1">
      <c r="A39" s="276">
        <f>F40*G32</f>
        <v>216000</v>
      </c>
      <c r="C39" s="245"/>
      <c r="D39" s="10" t="s">
        <v>7</v>
      </c>
      <c r="E39" s="178" t="s">
        <v>140</v>
      </c>
      <c r="F39" s="644">
        <v>3.5000000000000003E-2</v>
      </c>
      <c r="G39" s="159">
        <v>153299.99999999997</v>
      </c>
      <c r="H39" s="159">
        <f t="shared" si="4"/>
        <v>38.324999999999996</v>
      </c>
      <c r="I39" s="247"/>
      <c r="J39" s="246"/>
      <c r="K39" s="16"/>
      <c r="L39" s="245"/>
      <c r="M39" s="603" t="s">
        <v>192</v>
      </c>
      <c r="N39" s="416" t="s">
        <v>199</v>
      </c>
      <c r="O39" s="416" t="s">
        <v>193</v>
      </c>
      <c r="P39" s="416" t="s">
        <v>188</v>
      </c>
      <c r="Q39" s="416" t="s">
        <v>189</v>
      </c>
      <c r="R39" s="246"/>
      <c r="S39" s="9"/>
      <c r="T39" s="245"/>
      <c r="U39" s="10" t="s">
        <v>7</v>
      </c>
      <c r="V39" s="306">
        <v>2.5000000000000001E-3</v>
      </c>
      <c r="W39" s="306">
        <v>2.5000000000000001E-3</v>
      </c>
      <c r="X39" s="306">
        <v>2.5000000000000001E-3</v>
      </c>
      <c r="Y39" s="306"/>
      <c r="Z39" s="614"/>
      <c r="AB39" s="245"/>
      <c r="AC39" s="15"/>
      <c r="AD39" s="448" t="s">
        <v>157</v>
      </c>
      <c r="AE39" s="444"/>
      <c r="AF39" s="445">
        <f>AF13+AF37</f>
        <v>1376100</v>
      </c>
      <c r="AG39" s="446">
        <f t="shared" si="0"/>
        <v>344.02499999999998</v>
      </c>
      <c r="AH39" s="447">
        <f>AF39/AF11</f>
        <v>0.19112499999999999</v>
      </c>
      <c r="AI39" s="204"/>
      <c r="AJ39" s="5"/>
      <c r="AK39" s="204"/>
      <c r="AL39" s="207"/>
      <c r="AM39" s="204"/>
      <c r="AN39" s="204"/>
      <c r="AO39" s="204"/>
      <c r="AP39" s="246"/>
    </row>
    <row r="40" spans="1:42" ht="19.5" customHeight="1" thickTop="1" thickBot="1">
      <c r="A40" s="38">
        <f>SUM(A34:A39)</f>
        <v>405393</v>
      </c>
      <c r="C40" s="245"/>
      <c r="D40" s="25" t="s">
        <v>178</v>
      </c>
      <c r="E40" s="179" t="s">
        <v>140</v>
      </c>
      <c r="F40" s="39">
        <v>7.4999999999999997E-2</v>
      </c>
      <c r="G40" s="160">
        <v>792000</v>
      </c>
      <c r="H40" s="166">
        <f t="shared" si="4"/>
        <v>198</v>
      </c>
      <c r="I40" s="247"/>
      <c r="J40" s="246"/>
      <c r="K40" s="16"/>
      <c r="L40" s="245"/>
      <c r="M40" s="419" t="s">
        <v>194</v>
      </c>
      <c r="N40" s="421"/>
      <c r="O40" s="421"/>
      <c r="P40" s="415">
        <f>P36</f>
        <v>0.25</v>
      </c>
      <c r="Q40" s="415">
        <f>Q36</f>
        <v>0.75</v>
      </c>
      <c r="R40" s="246"/>
      <c r="S40" s="9"/>
      <c r="T40" s="245"/>
      <c r="U40" s="25" t="s">
        <v>178</v>
      </c>
      <c r="V40" s="307">
        <v>0.1</v>
      </c>
      <c r="W40" s="307">
        <v>0.1</v>
      </c>
      <c r="X40" s="307">
        <v>0.1</v>
      </c>
      <c r="Y40" s="307"/>
      <c r="Z40" s="614"/>
      <c r="AB40" s="245"/>
      <c r="AC40" s="15"/>
      <c r="AD40" s="40"/>
      <c r="AE40" s="40"/>
      <c r="AF40" s="45"/>
      <c r="AG40" s="52">
        <f t="shared" si="0"/>
        <v>0</v>
      </c>
      <c r="AH40" s="204"/>
      <c r="AI40" s="204"/>
      <c r="AJ40" s="5"/>
      <c r="AK40" s="204"/>
      <c r="AL40" s="207"/>
      <c r="AM40" s="204"/>
      <c r="AN40" s="204"/>
      <c r="AO40" s="204"/>
      <c r="AP40" s="246"/>
    </row>
    <row r="41" spans="1:42" ht="19.5" customHeight="1" thickTop="1" thickBot="1">
      <c r="C41" s="245"/>
      <c r="D41" s="285" t="s">
        <v>177</v>
      </c>
      <c r="E41" s="173"/>
      <c r="F41" s="36">
        <f>$A$40/$F$10</f>
        <v>101.34824999999999</v>
      </c>
      <c r="G41" s="37">
        <f>SUM(_xlfn.ANCHORARRAY(G35))</f>
        <v>1011900</v>
      </c>
      <c r="H41" s="59">
        <f t="shared" si="4"/>
        <v>252.97499999999999</v>
      </c>
      <c r="I41" s="247"/>
      <c r="J41" s="246"/>
      <c r="K41" s="16"/>
      <c r="L41" s="245"/>
      <c r="M41" s="419" t="s">
        <v>204</v>
      </c>
      <c r="N41" s="420">
        <v>0.1</v>
      </c>
      <c r="O41" s="154"/>
      <c r="P41" s="415">
        <f>1-(Q40*(1-O41))</f>
        <v>0.25</v>
      </c>
      <c r="Q41" s="415">
        <f>1-P41</f>
        <v>0.75</v>
      </c>
      <c r="R41" s="246"/>
      <c r="S41" s="9"/>
      <c r="T41" s="245"/>
      <c r="U41" s="314"/>
      <c r="V41" s="247"/>
      <c r="W41" s="418"/>
      <c r="X41" s="418"/>
      <c r="Y41" s="418"/>
      <c r="Z41" s="614"/>
      <c r="AB41" s="245"/>
      <c r="AC41" s="15"/>
      <c r="AD41" s="174" t="s">
        <v>239</v>
      </c>
      <c r="AE41" s="238"/>
      <c r="AF41" s="238"/>
      <c r="AG41" s="238"/>
      <c r="AH41" s="237"/>
      <c r="AI41" s="204"/>
      <c r="AJ41" s="5"/>
      <c r="AK41" s="204"/>
      <c r="AL41" s="207"/>
      <c r="AM41" s="204"/>
      <c r="AN41" s="204"/>
      <c r="AO41" s="204"/>
      <c r="AP41" s="246"/>
    </row>
    <row r="42" spans="1:42" ht="20.25" thickTop="1" thickBot="1">
      <c r="C42" s="245"/>
      <c r="D42" s="247"/>
      <c r="E42" s="247"/>
      <c r="F42" s="247"/>
      <c r="G42" s="247"/>
      <c r="H42" s="247"/>
      <c r="I42" s="247"/>
      <c r="J42" s="246"/>
      <c r="K42" s="16"/>
      <c r="L42" s="249"/>
      <c r="M42" s="419" t="s">
        <v>195</v>
      </c>
      <c r="N42" s="420">
        <v>0.15</v>
      </c>
      <c r="O42" s="422">
        <v>0.1</v>
      </c>
      <c r="P42" s="593">
        <f>1-(Q$41*(1-O42))</f>
        <v>0.32499999999999996</v>
      </c>
      <c r="Q42" s="593">
        <f>1-P42</f>
        <v>0.67500000000000004</v>
      </c>
      <c r="R42" s="246"/>
      <c r="S42" s="9"/>
      <c r="T42" s="245"/>
      <c r="U42" s="161" t="s">
        <v>33</v>
      </c>
      <c r="V42" s="115"/>
      <c r="W42" s="611"/>
      <c r="X42" s="611"/>
      <c r="Y42" s="611"/>
      <c r="Z42" s="614"/>
      <c r="AB42" s="245"/>
      <c r="AC42" s="15"/>
      <c r="AD42" s="197" t="s">
        <v>84</v>
      </c>
      <c r="AE42" s="197"/>
      <c r="AF42" s="48">
        <f ca="1">-(P15+P16+P26)</f>
        <v>-69348.053946750442</v>
      </c>
      <c r="AG42" s="55">
        <f ca="1">AF42/F$10</f>
        <v>-17.33701348668761</v>
      </c>
      <c r="AH42" s="50">
        <f ca="1">AF42/AF$11</f>
        <v>-9.6316741592708949E-3</v>
      </c>
      <c r="AI42" s="204"/>
      <c r="AJ42" s="5"/>
      <c r="AK42" s="204"/>
      <c r="AL42" s="207"/>
      <c r="AM42" s="204"/>
      <c r="AN42" s="204"/>
      <c r="AO42" s="204"/>
      <c r="AP42" s="246"/>
    </row>
    <row r="43" spans="1:42" ht="19.5" customHeight="1" thickTop="1" thickBot="1">
      <c r="C43" s="245"/>
      <c r="D43" s="285" t="s">
        <v>96</v>
      </c>
      <c r="E43" s="173"/>
      <c r="F43" s="36">
        <f>G43/F10</f>
        <v>1347.9749999999999</v>
      </c>
      <c r="G43" s="37">
        <f>F21+G32+G41</f>
        <v>5391900</v>
      </c>
      <c r="H43" s="59">
        <f t="shared" ref="H43" si="5">G43/$F$10</f>
        <v>1347.9749999999999</v>
      </c>
      <c r="I43" s="643">
        <f>H43-G21</f>
        <v>972.97499999999991</v>
      </c>
      <c r="J43" s="246"/>
      <c r="K43" s="16"/>
      <c r="L43" s="245"/>
      <c r="M43" s="419" t="s">
        <v>196</v>
      </c>
      <c r="N43" s="420">
        <v>0.2</v>
      </c>
      <c r="O43" s="422">
        <v>0.2</v>
      </c>
      <c r="P43" s="593">
        <f>1-(Q$41*(1-O43))</f>
        <v>0.39999999999999991</v>
      </c>
      <c r="Q43" s="593">
        <f>1-P43</f>
        <v>0.60000000000000009</v>
      </c>
      <c r="R43" s="246"/>
      <c r="S43" s="16"/>
      <c r="T43" s="245"/>
      <c r="U43" s="109" t="s">
        <v>32</v>
      </c>
      <c r="V43" s="60">
        <v>9297780</v>
      </c>
      <c r="W43" s="60">
        <v>7716000</v>
      </c>
      <c r="X43" s="60">
        <v>8687500</v>
      </c>
      <c r="Y43" s="60"/>
      <c r="Z43" s="614"/>
      <c r="AB43" s="245"/>
      <c r="AC43" s="15"/>
      <c r="AD43" s="41" t="s">
        <v>105</v>
      </c>
      <c r="AE43" s="40"/>
      <c r="AF43" s="46">
        <f ca="1">-CALCS!AR8</f>
        <v>-654504.49556253676</v>
      </c>
      <c r="AG43" s="53">
        <f ca="1">AF43/F$10</f>
        <v>-163.62612389063418</v>
      </c>
      <c r="AH43" s="49">
        <f ca="1">AF43/AF$11</f>
        <v>-9.0903402161463434E-2</v>
      </c>
      <c r="AI43" s="204"/>
      <c r="AJ43" s="5"/>
      <c r="AK43" s="204"/>
      <c r="AL43" s="207"/>
      <c r="AM43" s="204"/>
      <c r="AN43" s="204"/>
      <c r="AO43" s="204"/>
      <c r="AP43" s="246"/>
    </row>
    <row r="44" spans="1:42" ht="19.5" customHeight="1" thickTop="1" thickBot="1">
      <c r="C44" s="245"/>
      <c r="D44" s="247"/>
      <c r="E44" s="247"/>
      <c r="F44" s="247"/>
      <c r="G44" s="247"/>
      <c r="H44" s="247"/>
      <c r="I44" s="247"/>
      <c r="J44" s="246"/>
      <c r="K44" s="16"/>
      <c r="L44" s="245"/>
      <c r="M44" s="419" t="s">
        <v>197</v>
      </c>
      <c r="N44" s="420">
        <v>0.25</v>
      </c>
      <c r="O44" s="422">
        <v>0.3</v>
      </c>
      <c r="P44" s="593">
        <f>1-(Q$41*(1-O44))</f>
        <v>0.47500000000000009</v>
      </c>
      <c r="Q44" s="593">
        <f>1-P44</f>
        <v>0.52499999999999991</v>
      </c>
      <c r="R44" s="246"/>
      <c r="S44" s="16"/>
      <c r="T44" s="245"/>
      <c r="U44" s="12" t="s">
        <v>100</v>
      </c>
      <c r="V44" s="58">
        <v>-523465.01400000002</v>
      </c>
      <c r="W44" s="58">
        <v>-434410.8</v>
      </c>
      <c r="X44" s="58">
        <v>-1780937.5</v>
      </c>
      <c r="Y44" s="58"/>
      <c r="Z44" s="614"/>
      <c r="AB44" s="245"/>
      <c r="AC44" s="15"/>
      <c r="AD44" s="198" t="s">
        <v>152</v>
      </c>
      <c r="AE44" s="198"/>
      <c r="AF44" s="47">
        <f ca="1">-(AF42+AF43)</f>
        <v>723852.54950928723</v>
      </c>
      <c r="AG44" s="51">
        <f ca="1">AF44/F$10</f>
        <v>180.9631373773218</v>
      </c>
      <c r="AH44" s="50">
        <f ca="1">AF44/AF$11</f>
        <v>0.10053507632073434</v>
      </c>
      <c r="AI44" s="204"/>
      <c r="AJ44" s="5"/>
      <c r="AK44" s="204"/>
      <c r="AL44" s="207"/>
      <c r="AM44" s="204"/>
      <c r="AN44" s="204"/>
      <c r="AO44" s="204"/>
      <c r="AP44" s="246"/>
    </row>
    <row r="45" spans="1:42" ht="19.5" customHeight="1" thickTop="1" thickBot="1">
      <c r="C45" s="245"/>
      <c r="D45" s="261" t="s">
        <v>169</v>
      </c>
      <c r="E45" s="260"/>
      <c r="F45" s="287">
        <f>$G$45/$G$14</f>
        <v>0.19112499999999999</v>
      </c>
      <c r="G45" s="262">
        <f>G17-F21-G32-G41</f>
        <v>1376100</v>
      </c>
      <c r="H45" s="288">
        <f>$G$45/$F$10</f>
        <v>344.02499999999998</v>
      </c>
      <c r="I45" s="247"/>
      <c r="J45" s="246"/>
      <c r="K45" s="9"/>
      <c r="L45" s="245"/>
      <c r="M45" s="419" t="s">
        <v>198</v>
      </c>
      <c r="N45" s="420"/>
      <c r="O45" s="422">
        <v>0.5</v>
      </c>
      <c r="P45" s="593">
        <f>1-(Q$41*(1-O45))</f>
        <v>0.625</v>
      </c>
      <c r="Q45" s="593">
        <f>1-P45</f>
        <v>0.375</v>
      </c>
      <c r="R45" s="246"/>
      <c r="S45" s="16"/>
      <c r="T45" s="245"/>
      <c r="U45" s="12" t="s">
        <v>10</v>
      </c>
      <c r="V45" s="58">
        <v>-1435000</v>
      </c>
      <c r="W45" s="58">
        <v>-1435000</v>
      </c>
      <c r="X45" s="58">
        <v>-1435000</v>
      </c>
      <c r="Y45" s="58"/>
      <c r="Z45" s="614"/>
      <c r="AB45" s="245"/>
      <c r="AC45" s="15"/>
      <c r="AD45" s="7"/>
      <c r="AE45" s="7"/>
      <c r="AF45" s="42"/>
      <c r="AG45" s="51">
        <f>AF45/F$10</f>
        <v>0</v>
      </c>
      <c r="AH45" s="50"/>
      <c r="AI45" s="204"/>
      <c r="AJ45" s="5"/>
      <c r="AK45" s="204"/>
      <c r="AL45" s="207"/>
      <c r="AM45" s="204"/>
      <c r="AN45" s="204"/>
      <c r="AO45" s="204"/>
      <c r="AP45" s="246"/>
    </row>
    <row r="46" spans="1:42" ht="19.5" customHeight="1" thickTop="1" thickBot="1">
      <c r="C46" s="245"/>
      <c r="D46" s="247"/>
      <c r="E46" s="247"/>
      <c r="F46" s="247"/>
      <c r="G46" s="247"/>
      <c r="H46" s="247"/>
      <c r="I46" s="247"/>
      <c r="J46" s="246"/>
      <c r="K46" s="9"/>
      <c r="L46" s="245"/>
      <c r="M46" s="418"/>
      <c r="N46" s="247"/>
      <c r="O46" s="247"/>
      <c r="P46" s="247"/>
      <c r="Q46" s="247"/>
      <c r="R46" s="246"/>
      <c r="S46" s="16"/>
      <c r="T46" s="245"/>
      <c r="U46" s="12" t="s">
        <v>6</v>
      </c>
      <c r="V46" s="58">
        <v>-3163560</v>
      </c>
      <c r="W46" s="58">
        <v>-3395040</v>
      </c>
      <c r="X46" s="58">
        <v>-2849500</v>
      </c>
      <c r="Y46" s="58"/>
      <c r="Z46" s="614"/>
      <c r="AB46" s="245"/>
      <c r="AC46" s="15"/>
      <c r="AD46" s="448" t="s">
        <v>166</v>
      </c>
      <c r="AE46" s="444"/>
      <c r="AF46" s="445">
        <f ca="1">AF39-AF44</f>
        <v>652247.45049071277</v>
      </c>
      <c r="AG46" s="446">
        <f ca="1">AF46/F$10</f>
        <v>163.06186262267821</v>
      </c>
      <c r="AH46" s="447">
        <f ca="1">AF46/AF$11</f>
        <v>9.058992367926566E-2</v>
      </c>
      <c r="AI46" s="204"/>
      <c r="AJ46" s="5"/>
      <c r="AK46" s="204"/>
      <c r="AL46" s="207"/>
      <c r="AM46" s="204"/>
      <c r="AN46" s="204"/>
      <c r="AO46" s="204"/>
      <c r="AP46" s="246"/>
    </row>
    <row r="47" spans="1:42" ht="19.5" customHeight="1" thickTop="1">
      <c r="B47" s="1"/>
      <c r="C47" s="245"/>
      <c r="D47" s="322" t="s">
        <v>33</v>
      </c>
      <c r="E47" s="57"/>
      <c r="F47" s="267"/>
      <c r="G47" s="115" t="s">
        <v>1</v>
      </c>
      <c r="H47" s="114" t="s">
        <v>25</v>
      </c>
      <c r="I47" s="247"/>
      <c r="J47" s="246"/>
      <c r="K47" s="16"/>
      <c r="L47" s="245"/>
      <c r="M47" s="162" t="s">
        <v>130</v>
      </c>
      <c r="N47" s="413"/>
      <c r="O47" s="413"/>
      <c r="P47" s="61"/>
      <c r="Q47" s="146"/>
      <c r="R47" s="246"/>
      <c r="S47" s="16"/>
      <c r="T47" s="245"/>
      <c r="U47" s="25" t="str">
        <f>U31</f>
        <v>Pool &amp; Landscape</v>
      </c>
      <c r="V47" s="166">
        <v>-1244230.28</v>
      </c>
      <c r="W47" s="612">
        <v>-1330572.32</v>
      </c>
      <c r="X47" s="612">
        <v>-1122491.1666666674</v>
      </c>
      <c r="Y47" s="612"/>
      <c r="Z47" s="614"/>
      <c r="AB47" s="245"/>
      <c r="AC47" s="15"/>
      <c r="AD47" s="17"/>
      <c r="AE47" s="17"/>
      <c r="AF47" s="42"/>
      <c r="AG47" s="54"/>
      <c r="AH47" s="50"/>
      <c r="AI47" s="204"/>
      <c r="AJ47" s="5"/>
      <c r="AK47" s="204"/>
      <c r="AL47" s="207"/>
      <c r="AM47" s="204"/>
      <c r="AN47" s="204"/>
      <c r="AO47" s="204"/>
      <c r="AP47" s="246"/>
    </row>
    <row r="48" spans="1:42" ht="19.5" customHeight="1" thickBot="1">
      <c r="B48" s="1"/>
      <c r="C48" s="245"/>
      <c r="D48" s="109" t="s">
        <v>32</v>
      </c>
      <c r="E48" s="24"/>
      <c r="F48" s="11"/>
      <c r="G48" s="60">
        <f>G14</f>
        <v>7200000</v>
      </c>
      <c r="H48" s="172">
        <f t="shared" ref="H48:H52" si="6">G48/$F$10</f>
        <v>1800</v>
      </c>
      <c r="I48" s="247"/>
      <c r="J48" s="246"/>
      <c r="K48" s="16"/>
      <c r="L48" s="245"/>
      <c r="M48" s="109" t="str">
        <f>D53</f>
        <v>Net Margin - Unleveraged</v>
      </c>
      <c r="N48" s="414"/>
      <c r="O48" s="414"/>
      <c r="P48" s="11"/>
      <c r="Q48" s="60">
        <f>G53</f>
        <v>1376100</v>
      </c>
      <c r="R48" s="246"/>
      <c r="S48" s="16"/>
      <c r="T48" s="245"/>
      <c r="U48" s="285" t="s">
        <v>176</v>
      </c>
      <c r="V48" s="59">
        <v>2931524.7059999993</v>
      </c>
      <c r="W48" s="613">
        <v>1120976.8800000001</v>
      </c>
      <c r="X48" s="613">
        <v>1499571.3333333326</v>
      </c>
      <c r="Y48" s="613"/>
      <c r="Z48" s="614"/>
      <c r="AB48" s="245"/>
      <c r="AC48" s="15"/>
      <c r="AD48" s="430" t="s">
        <v>240</v>
      </c>
      <c r="AE48" s="431"/>
      <c r="AF48" s="431"/>
      <c r="AG48" s="431"/>
      <c r="AH48" s="432"/>
      <c r="AI48" s="204"/>
      <c r="AJ48" s="5"/>
      <c r="AK48" s="5"/>
      <c r="AL48" s="5"/>
      <c r="AM48" s="5"/>
      <c r="AN48" s="5"/>
      <c r="AO48" s="5"/>
      <c r="AP48" s="246"/>
    </row>
    <row r="49" spans="3:42" ht="19.5" customHeight="1" collapsed="1" thickTop="1" thickBot="1">
      <c r="C49" s="245"/>
      <c r="D49" s="12" t="s">
        <v>100</v>
      </c>
      <c r="E49" s="14"/>
      <c r="F49" s="167"/>
      <c r="G49" s="58">
        <f>G15+G16</f>
        <v>-432000</v>
      </c>
      <c r="H49" s="159">
        <f t="shared" si="6"/>
        <v>-108</v>
      </c>
      <c r="I49" s="247"/>
      <c r="J49" s="246"/>
      <c r="K49" s="16"/>
      <c r="L49" s="245"/>
      <c r="M49" s="12" t="s">
        <v>84</v>
      </c>
      <c r="N49" s="14"/>
      <c r="O49" s="14"/>
      <c r="P49" s="13"/>
      <c r="Q49" s="58">
        <f ca="1">-P23-P24-P26</f>
        <v>-69348.053946750442</v>
      </c>
      <c r="R49" s="246"/>
      <c r="T49" s="245"/>
      <c r="U49" s="314"/>
      <c r="V49" s="247"/>
      <c r="W49" s="247"/>
      <c r="X49" s="247"/>
      <c r="Y49" s="247"/>
      <c r="Z49" s="246"/>
      <c r="AB49" s="245"/>
      <c r="AC49" s="15"/>
      <c r="AD49" s="441" t="s">
        <v>241</v>
      </c>
      <c r="AE49" s="442"/>
      <c r="AF49" s="442" t="s">
        <v>236</v>
      </c>
      <c r="AG49" s="442" t="s">
        <v>188</v>
      </c>
      <c r="AH49" s="442" t="s">
        <v>189</v>
      </c>
      <c r="AI49" s="204"/>
      <c r="AJ49" s="5"/>
      <c r="AK49" s="5"/>
      <c r="AL49" s="5"/>
      <c r="AM49" s="5"/>
      <c r="AN49" s="5"/>
      <c r="AO49" s="5"/>
      <c r="AP49" s="246"/>
    </row>
    <row r="50" spans="3:42" ht="19.5" customHeight="1" thickTop="1" thickBot="1">
      <c r="C50" s="245"/>
      <c r="D50" s="12" t="s">
        <v>10</v>
      </c>
      <c r="E50" s="14"/>
      <c r="F50" s="167"/>
      <c r="G50" s="58">
        <f>-F21</f>
        <v>-1500000</v>
      </c>
      <c r="H50" s="159">
        <f t="shared" si="6"/>
        <v>-375</v>
      </c>
      <c r="I50" s="247"/>
      <c r="J50" s="246"/>
      <c r="K50" s="16"/>
      <c r="L50" s="245"/>
      <c r="M50" s="163" t="s">
        <v>99</v>
      </c>
      <c r="N50" s="150"/>
      <c r="O50" s="150"/>
      <c r="P50" s="150"/>
      <c r="Q50" s="151">
        <f ca="1">-CALCS!AR8</f>
        <v>-654504.49556253676</v>
      </c>
      <c r="R50" s="246"/>
      <c r="T50" s="245"/>
      <c r="U50" s="329" t="s">
        <v>181</v>
      </c>
      <c r="V50" s="247"/>
      <c r="W50" s="247"/>
      <c r="X50" s="247"/>
      <c r="Y50" s="247"/>
      <c r="Z50" s="246"/>
      <c r="AB50" s="245"/>
      <c r="AC50" s="15"/>
      <c r="AD50" s="433" t="s">
        <v>194</v>
      </c>
      <c r="AE50" s="434"/>
      <c r="AF50" s="435" cm="1">
        <f t="array" aca="1" ref="AF50:AH57" ca="1">CALCS!BE22:BG29</f>
        <v>1873996.0345865386</v>
      </c>
      <c r="AG50" s="435">
        <f ca="1"/>
        <v>468499.00864663464</v>
      </c>
      <c r="AH50" s="435">
        <f ca="1"/>
        <v>1405497.0259399039</v>
      </c>
      <c r="AI50" s="204"/>
      <c r="AJ50" s="5"/>
      <c r="AK50" s="5"/>
      <c r="AL50" s="5"/>
      <c r="AM50" s="5"/>
      <c r="AN50" s="5"/>
      <c r="AO50" s="5"/>
      <c r="AP50" s="246"/>
    </row>
    <row r="51" spans="3:42" ht="19.5" customHeight="1" thickTop="1" thickBot="1">
      <c r="C51" s="245"/>
      <c r="D51" s="12" t="s">
        <v>6</v>
      </c>
      <c r="E51" s="14"/>
      <c r="F51" s="168"/>
      <c r="G51" s="58">
        <f>-G32</f>
        <v>-2880000</v>
      </c>
      <c r="H51" s="159">
        <f t="shared" si="6"/>
        <v>-720</v>
      </c>
      <c r="I51" s="247"/>
      <c r="J51" s="246"/>
      <c r="K51" s="16"/>
      <c r="L51" s="245"/>
      <c r="M51" s="147" t="s">
        <v>131</v>
      </c>
      <c r="N51" s="412"/>
      <c r="O51" s="412"/>
      <c r="P51" s="24"/>
      <c r="Q51" s="60">
        <f ca="1">SUM(Q48:Q50)</f>
        <v>652247.45049071277</v>
      </c>
      <c r="R51" s="246"/>
      <c r="T51" s="245"/>
      <c r="U51" s="12" t="str" cm="1">
        <f t="array" ref="U51:U58">D24:D31</f>
        <v>Design / Permitting</v>
      </c>
      <c r="V51" s="155">
        <v>1</v>
      </c>
      <c r="W51" s="155">
        <v>1</v>
      </c>
      <c r="X51" s="155">
        <v>1</v>
      </c>
      <c r="Y51" s="155"/>
      <c r="Z51" s="246"/>
      <c r="AB51" s="245"/>
      <c r="AC51" s="15"/>
      <c r="AD51" s="433" t="s">
        <v>204</v>
      </c>
      <c r="AE51" s="437" cm="1">
        <f t="array" ref="AE51:AE55">N41:N45</f>
        <v>0.1</v>
      </c>
      <c r="AF51" s="436">
        <f ca="1"/>
        <v>652247.45049071126</v>
      </c>
      <c r="AG51" s="436">
        <f ca="1"/>
        <v>163061.86262267781</v>
      </c>
      <c r="AH51" s="436">
        <f ca="1"/>
        <v>489185.58786803344</v>
      </c>
      <c r="AI51" s="204"/>
      <c r="AJ51" s="5"/>
      <c r="AK51" s="5"/>
      <c r="AL51" s="5"/>
      <c r="AM51" s="5"/>
      <c r="AN51" s="5"/>
      <c r="AO51" s="5"/>
      <c r="AP51" s="246"/>
    </row>
    <row r="52" spans="3:42" ht="19.5" customHeight="1" thickTop="1" thickBot="1">
      <c r="C52" s="245"/>
      <c r="D52" s="25" t="str">
        <f>D34</f>
        <v>Indirect + Other Costs</v>
      </c>
      <c r="E52" s="26"/>
      <c r="F52" s="169"/>
      <c r="G52" s="166">
        <f>-G41</f>
        <v>-1011900</v>
      </c>
      <c r="H52" s="166">
        <f t="shared" si="6"/>
        <v>-252.97499999999999</v>
      </c>
      <c r="I52" s="247"/>
      <c r="J52" s="246"/>
      <c r="K52" s="16"/>
      <c r="L52" s="252"/>
      <c r="M52" s="254"/>
      <c r="N52" s="254"/>
      <c r="O52" s="254"/>
      <c r="P52" s="254"/>
      <c r="Q52" s="254"/>
      <c r="R52" s="258"/>
      <c r="T52" s="245"/>
      <c r="U52" s="12" t="str">
        <v>Site Prep / Foundation</v>
      </c>
      <c r="V52" s="156">
        <v>9</v>
      </c>
      <c r="W52" s="156">
        <v>9</v>
      </c>
      <c r="X52" s="156">
        <v>9</v>
      </c>
      <c r="Y52" s="156"/>
      <c r="Z52" s="246"/>
      <c r="AB52" s="245"/>
      <c r="AC52" s="15"/>
      <c r="AD52" s="433" t="s">
        <v>195</v>
      </c>
      <c r="AE52" s="437">
        <v>0.15</v>
      </c>
      <c r="AF52" s="436">
        <f ca="1"/>
        <v>0</v>
      </c>
      <c r="AG52" s="436">
        <f ca="1"/>
        <v>0</v>
      </c>
      <c r="AH52" s="436">
        <f ca="1"/>
        <v>0</v>
      </c>
      <c r="AI52" s="204"/>
      <c r="AJ52" s="5"/>
      <c r="AK52" s="5"/>
      <c r="AL52" s="5"/>
      <c r="AM52" s="5"/>
      <c r="AN52" s="5"/>
      <c r="AO52" s="5"/>
      <c r="AP52" s="246"/>
    </row>
    <row r="53" spans="3:42" ht="20.25" thickTop="1" thickBot="1">
      <c r="C53" s="245"/>
      <c r="D53" s="285" t="s">
        <v>176</v>
      </c>
      <c r="E53" s="24"/>
      <c r="F53" s="170">
        <f>$G$53/$G$14</f>
        <v>0.19112499999999999</v>
      </c>
      <c r="G53" s="59">
        <f>SUM(G48:G52)</f>
        <v>1376100</v>
      </c>
      <c r="H53" s="59">
        <f>$G$53/$F$10</f>
        <v>344.02499999999998</v>
      </c>
      <c r="I53" s="247"/>
      <c r="J53" s="246"/>
      <c r="L53" s="1"/>
      <c r="M53" s="1"/>
      <c r="N53" s="1"/>
      <c r="O53" s="1"/>
      <c r="P53" s="1"/>
      <c r="Q53" s="1"/>
      <c r="T53" s="245"/>
      <c r="U53" s="12" t="str">
        <v>Framing</v>
      </c>
      <c r="V53" s="156">
        <v>20</v>
      </c>
      <c r="W53" s="156">
        <v>20</v>
      </c>
      <c r="X53" s="156">
        <v>20</v>
      </c>
      <c r="Y53" s="156"/>
      <c r="Z53" s="246"/>
      <c r="AB53" s="245"/>
      <c r="AC53" s="15"/>
      <c r="AD53" s="433" t="s">
        <v>196</v>
      </c>
      <c r="AE53" s="437">
        <v>0.2</v>
      </c>
      <c r="AF53" s="436">
        <f ca="1"/>
        <v>0</v>
      </c>
      <c r="AG53" s="436">
        <f ca="1"/>
        <v>0</v>
      </c>
      <c r="AH53" s="436">
        <f ca="1"/>
        <v>0</v>
      </c>
      <c r="AI53" s="204"/>
      <c r="AJ53" s="5"/>
      <c r="AK53" s="5"/>
      <c r="AL53" s="5"/>
      <c r="AM53" s="5"/>
      <c r="AN53" s="5"/>
      <c r="AO53" s="5"/>
      <c r="AP53" s="246"/>
    </row>
    <row r="54" spans="3:42" ht="20.25" thickTop="1" thickBot="1">
      <c r="C54" s="252"/>
      <c r="D54" s="253"/>
      <c r="E54" s="254"/>
      <c r="F54" s="254"/>
      <c r="G54" s="255"/>
      <c r="H54" s="256"/>
      <c r="I54" s="257"/>
      <c r="J54" s="258"/>
      <c r="L54" s="1"/>
      <c r="M54" s="1"/>
      <c r="N54" s="1"/>
      <c r="O54" s="1"/>
      <c r="P54" s="1"/>
      <c r="Q54" s="1"/>
      <c r="T54" s="245"/>
      <c r="U54" s="12" t="str">
        <v>Plubming, Electric, HVAC</v>
      </c>
      <c r="V54" s="156">
        <v>29</v>
      </c>
      <c r="W54" s="156">
        <v>29</v>
      </c>
      <c r="X54" s="156">
        <v>29</v>
      </c>
      <c r="Y54" s="156"/>
      <c r="Z54" s="246"/>
      <c r="AB54" s="245"/>
      <c r="AC54" s="15"/>
      <c r="AD54" s="433" t="s">
        <v>197</v>
      </c>
      <c r="AE54" s="437">
        <v>0.25</v>
      </c>
      <c r="AF54" s="436">
        <f ca="1"/>
        <v>0</v>
      </c>
      <c r="AG54" s="436">
        <f ca="1"/>
        <v>0</v>
      </c>
      <c r="AH54" s="436">
        <f ca="1"/>
        <v>0</v>
      </c>
      <c r="AI54" s="204"/>
      <c r="AJ54" s="5"/>
      <c r="AK54" s="5"/>
      <c r="AL54" s="5"/>
      <c r="AM54" s="5"/>
      <c r="AN54" s="5"/>
      <c r="AO54" s="5"/>
      <c r="AP54" s="246"/>
    </row>
    <row r="55" spans="3:42" ht="20.25" thickTop="1" thickBot="1">
      <c r="D55" s="1"/>
      <c r="E55" s="1"/>
      <c r="F55" s="1"/>
      <c r="G55" s="1"/>
      <c r="H55" s="1"/>
      <c r="I55" s="1"/>
      <c r="L55" s="1"/>
      <c r="M55" s="1"/>
      <c r="N55" s="1"/>
      <c r="O55" s="1"/>
      <c r="P55" s="1"/>
      <c r="Q55" s="1"/>
      <c r="T55" s="245"/>
      <c r="U55" s="12" t="str">
        <v>Drywall</v>
      </c>
      <c r="V55" s="156">
        <v>32</v>
      </c>
      <c r="W55" s="156">
        <v>32</v>
      </c>
      <c r="X55" s="156">
        <v>32</v>
      </c>
      <c r="Y55" s="156"/>
      <c r="Z55" s="246"/>
      <c r="AB55" s="245"/>
      <c r="AC55" s="15"/>
      <c r="AD55" s="449" t="s">
        <v>198</v>
      </c>
      <c r="AE55" s="450">
        <v>0</v>
      </c>
      <c r="AF55" s="451">
        <f ca="1"/>
        <v>0</v>
      </c>
      <c r="AG55" s="451">
        <f ca="1"/>
        <v>0</v>
      </c>
      <c r="AH55" s="451">
        <f ca="1"/>
        <v>0</v>
      </c>
      <c r="AI55" s="204"/>
      <c r="AJ55" s="5"/>
      <c r="AK55" s="5"/>
      <c r="AL55" s="5"/>
      <c r="AM55" s="5"/>
      <c r="AN55" s="5"/>
      <c r="AO55" s="5"/>
      <c r="AP55" s="246"/>
    </row>
    <row r="56" spans="3:42" ht="20.25" thickTop="1" thickBot="1">
      <c r="D56" s="1"/>
      <c r="E56" s="1"/>
      <c r="F56" s="1"/>
      <c r="G56" s="1"/>
      <c r="H56" s="1"/>
      <c r="I56" s="1"/>
      <c r="L56" s="1"/>
      <c r="M56" s="1"/>
      <c r="N56" s="1"/>
      <c r="O56" s="1"/>
      <c r="P56" s="619"/>
      <c r="Q56" s="1"/>
      <c r="T56" s="245"/>
      <c r="U56" s="12" t="str">
        <v>Interior Finish</v>
      </c>
      <c r="V56" s="156">
        <v>35</v>
      </c>
      <c r="W56" s="156">
        <v>35</v>
      </c>
      <c r="X56" s="156">
        <v>35</v>
      </c>
      <c r="Y56" s="156"/>
      <c r="Z56" s="246"/>
      <c r="AB56" s="245"/>
      <c r="AC56" s="15"/>
      <c r="AD56" s="438" t="s">
        <v>168</v>
      </c>
      <c r="AE56" s="433"/>
      <c r="AF56" s="439">
        <f ca="1"/>
        <v>2526243.4850772498</v>
      </c>
      <c r="AG56" s="439">
        <f ca="1"/>
        <v>631560.87126931245</v>
      </c>
      <c r="AH56" s="439">
        <f ca="1"/>
        <v>1894682.6138079374</v>
      </c>
      <c r="AI56" s="204"/>
      <c r="AJ56" s="5"/>
      <c r="AK56" s="5"/>
      <c r="AL56" s="5"/>
      <c r="AM56" s="5"/>
      <c r="AN56" s="5"/>
      <c r="AO56" s="5"/>
      <c r="AP56" s="246"/>
    </row>
    <row r="57" spans="3:42" ht="20.25" thickTop="1" thickBot="1">
      <c r="D57" s="1"/>
      <c r="E57" s="1"/>
      <c r="F57" s="1"/>
      <c r="G57" s="1"/>
      <c r="H57" s="1"/>
      <c r="I57" s="1"/>
      <c r="L57" s="1"/>
      <c r="M57" s="1"/>
      <c r="N57" s="1"/>
      <c r="O57" s="1"/>
      <c r="P57" s="619"/>
      <c r="Q57" s="1"/>
      <c r="T57" s="245"/>
      <c r="U57" s="12" t="str">
        <v>Fixtures &amp; Appliances</v>
      </c>
      <c r="V57" s="156">
        <v>39</v>
      </c>
      <c r="W57" s="156">
        <v>39</v>
      </c>
      <c r="X57" s="156">
        <v>39</v>
      </c>
      <c r="Y57" s="156"/>
      <c r="Z57" s="246"/>
      <c r="AB57" s="245"/>
      <c r="AC57" s="15"/>
      <c r="AD57" s="440" t="s">
        <v>209</v>
      </c>
      <c r="AE57" s="440"/>
      <c r="AF57" s="437">
        <f ca="1"/>
        <v>1</v>
      </c>
      <c r="AG57" s="437">
        <f ca="1"/>
        <v>0.25</v>
      </c>
      <c r="AH57" s="437">
        <f ca="1"/>
        <v>0.75</v>
      </c>
      <c r="AI57" s="204"/>
      <c r="AJ57" s="5"/>
      <c r="AK57" s="5"/>
      <c r="AL57" s="5"/>
      <c r="AM57" s="5"/>
      <c r="AN57" s="5"/>
      <c r="AO57" s="5"/>
      <c r="AP57" s="246"/>
    </row>
    <row r="58" spans="3:42" ht="20.25" thickTop="1" thickBot="1">
      <c r="D58" s="1"/>
      <c r="E58" s="1"/>
      <c r="F58" s="1"/>
      <c r="G58" s="1"/>
      <c r="H58" s="1"/>
      <c r="I58" s="1"/>
      <c r="L58" s="1"/>
      <c r="M58" s="1"/>
      <c r="N58" s="1" t="e" cm="1">
        <f t="array" ref="N58">test</f>
        <v>#VALUE!</v>
      </c>
      <c r="O58" s="1"/>
      <c r="P58" s="619"/>
      <c r="Q58" s="1"/>
      <c r="T58" s="245"/>
      <c r="U58" s="12" t="str">
        <v>Pool &amp; Landscape</v>
      </c>
      <c r="V58" s="156">
        <v>26</v>
      </c>
      <c r="W58" s="156">
        <v>26</v>
      </c>
      <c r="X58" s="156">
        <v>26</v>
      </c>
      <c r="Y58" s="156"/>
      <c r="Z58" s="246"/>
      <c r="AB58" s="245"/>
      <c r="AC58" s="15"/>
      <c r="AD58" s="17"/>
      <c r="AE58" s="17"/>
      <c r="AF58" s="42"/>
      <c r="AG58" s="54"/>
      <c r="AH58" s="50"/>
      <c r="AI58" s="204"/>
      <c r="AJ58" s="5"/>
      <c r="AK58" s="5"/>
      <c r="AL58" s="5"/>
      <c r="AM58" s="5"/>
      <c r="AN58" s="5"/>
      <c r="AO58" s="5"/>
      <c r="AP58" s="246"/>
    </row>
    <row r="59" spans="3:42" ht="20.25" thickTop="1" thickBot="1">
      <c r="D59" s="1"/>
      <c r="E59" s="1"/>
      <c r="F59" s="1"/>
      <c r="G59" s="1"/>
      <c r="H59" s="1"/>
      <c r="I59" s="1"/>
      <c r="L59" s="1"/>
      <c r="M59" s="1"/>
      <c r="N59" s="1"/>
      <c r="O59" s="1"/>
      <c r="P59" s="619"/>
      <c r="Q59" s="1"/>
      <c r="T59" s="245"/>
      <c r="U59" s="314"/>
      <c r="V59" s="247"/>
      <c r="W59" s="247"/>
      <c r="X59" s="247"/>
      <c r="Y59" s="247"/>
      <c r="Z59" s="246"/>
      <c r="AB59" s="245"/>
      <c r="AC59" s="15"/>
      <c r="AD59" s="17"/>
      <c r="AE59" s="17"/>
      <c r="AF59" s="42"/>
      <c r="AG59" s="54"/>
      <c r="AH59" s="50"/>
      <c r="AI59" s="204"/>
      <c r="AJ59" s="5"/>
      <c r="AK59" s="5"/>
      <c r="AL59" s="5"/>
      <c r="AM59" s="5"/>
      <c r="AN59" s="5"/>
      <c r="AO59" s="5"/>
      <c r="AP59" s="246"/>
    </row>
    <row r="60" spans="3:42" ht="20.25" thickTop="1" thickBot="1">
      <c r="D60" s="1"/>
      <c r="E60" s="1"/>
      <c r="F60" s="1"/>
      <c r="G60" s="1"/>
      <c r="H60" s="1"/>
      <c r="I60" s="1"/>
      <c r="L60" s="1"/>
      <c r="M60" s="1"/>
      <c r="N60" s="1"/>
      <c r="O60" s="1"/>
      <c r="P60" s="619"/>
      <c r="Q60" s="1"/>
      <c r="T60" s="245"/>
      <c r="U60" s="329" t="s">
        <v>182</v>
      </c>
      <c r="V60" s="247"/>
      <c r="W60" s="247"/>
      <c r="X60" s="247"/>
      <c r="Y60" s="247"/>
      <c r="Z60" s="246"/>
      <c r="AB60" s="245"/>
      <c r="AC60" s="15"/>
      <c r="AD60" s="17"/>
      <c r="AE60" s="17"/>
      <c r="AF60" s="42"/>
      <c r="AG60" s="54"/>
      <c r="AH60" s="50"/>
      <c r="AI60" s="204"/>
      <c r="AJ60" s="5"/>
      <c r="AK60" s="5"/>
      <c r="AL60" s="5"/>
      <c r="AM60" s="5"/>
      <c r="AN60" s="5"/>
      <c r="AO60" s="5"/>
      <c r="AP60" s="246"/>
    </row>
    <row r="61" spans="3:42" ht="17.25" thickTop="1" thickBot="1">
      <c r="D61" s="1"/>
      <c r="E61" s="1"/>
      <c r="F61" s="1"/>
      <c r="G61" s="1"/>
      <c r="H61" s="1"/>
      <c r="I61" s="1"/>
      <c r="L61" s="1"/>
      <c r="M61" s="1"/>
      <c r="N61" s="1"/>
      <c r="O61" s="1"/>
      <c r="P61" s="619"/>
      <c r="Q61" s="1"/>
      <c r="T61" s="245"/>
      <c r="U61" s="12" t="str">
        <f t="shared" ref="U61:U68" si="7">U51</f>
        <v>Design / Permitting</v>
      </c>
      <c r="V61" s="155">
        <v>7</v>
      </c>
      <c r="W61" s="155">
        <v>7</v>
      </c>
      <c r="X61" s="155">
        <v>7</v>
      </c>
      <c r="Y61" s="155"/>
      <c r="Z61" s="246"/>
      <c r="AB61" s="252"/>
      <c r="AC61" s="254"/>
      <c r="AD61" s="254"/>
      <c r="AE61" s="254"/>
      <c r="AF61" s="254"/>
      <c r="AG61" s="254"/>
      <c r="AH61" s="254"/>
      <c r="AI61" s="254"/>
      <c r="AJ61" s="254"/>
      <c r="AK61" s="254"/>
      <c r="AL61" s="254"/>
      <c r="AM61" s="254"/>
      <c r="AN61" s="254"/>
      <c r="AO61" s="254"/>
      <c r="AP61" s="258"/>
    </row>
    <row r="62" spans="3:42" ht="17.25" thickTop="1" thickBot="1">
      <c r="D62" s="1"/>
      <c r="E62" s="1"/>
      <c r="F62" s="1"/>
      <c r="G62" s="1"/>
      <c r="H62" s="1"/>
      <c r="I62" s="1"/>
      <c r="L62" s="1"/>
      <c r="M62" s="1"/>
      <c r="N62" s="1"/>
      <c r="O62" s="1"/>
      <c r="P62" s="1"/>
      <c r="Q62" s="1"/>
      <c r="T62" s="245"/>
      <c r="U62" s="12" t="str">
        <f t="shared" si="7"/>
        <v>Site Prep / Foundation</v>
      </c>
      <c r="V62" s="156">
        <v>10</v>
      </c>
      <c r="W62" s="156">
        <v>10</v>
      </c>
      <c r="X62" s="156">
        <v>10</v>
      </c>
      <c r="Y62" s="156"/>
      <c r="Z62" s="246"/>
    </row>
    <row r="63" spans="3:42" ht="17.25" collapsed="1" thickTop="1" thickBot="1">
      <c r="D63" s="1"/>
      <c r="E63" s="1"/>
      <c r="F63" s="1"/>
      <c r="G63" s="1"/>
      <c r="H63" s="1"/>
      <c r="I63" s="1"/>
      <c r="L63" s="1"/>
      <c r="M63" s="1"/>
      <c r="N63" s="1"/>
      <c r="O63" s="1"/>
      <c r="P63" s="1"/>
      <c r="Q63" s="1"/>
      <c r="T63" s="245"/>
      <c r="U63" s="12" t="str">
        <f t="shared" si="7"/>
        <v>Framing</v>
      </c>
      <c r="V63" s="156">
        <v>8</v>
      </c>
      <c r="W63" s="156">
        <v>8</v>
      </c>
      <c r="X63" s="156">
        <v>8</v>
      </c>
      <c r="Y63" s="156"/>
      <c r="Z63" s="246"/>
    </row>
    <row r="64" spans="3:42" ht="17.25" thickTop="1" thickBot="1">
      <c r="D64" s="1"/>
      <c r="E64" s="1"/>
      <c r="F64" s="1"/>
      <c r="G64" s="1"/>
      <c r="H64" s="1"/>
      <c r="I64" s="1"/>
      <c r="T64" s="245"/>
      <c r="U64" s="12" t="str">
        <f t="shared" si="7"/>
        <v>Plubming, Electric, HVAC</v>
      </c>
      <c r="V64" s="156">
        <v>2</v>
      </c>
      <c r="W64" s="156">
        <v>2</v>
      </c>
      <c r="X64" s="156">
        <v>2</v>
      </c>
      <c r="Y64" s="156"/>
      <c r="Z64" s="246"/>
    </row>
    <row r="65" spans="4:26" ht="17.25" thickTop="1" thickBot="1">
      <c r="D65" s="1"/>
      <c r="E65" s="1"/>
      <c r="F65" s="1"/>
      <c r="G65" s="1"/>
      <c r="H65" s="1"/>
      <c r="I65" s="1"/>
      <c r="T65" s="245"/>
      <c r="U65" s="12" t="str">
        <f t="shared" si="7"/>
        <v>Drywall</v>
      </c>
      <c r="V65" s="156">
        <v>2</v>
      </c>
      <c r="W65" s="156">
        <v>2</v>
      </c>
      <c r="X65" s="156">
        <v>2</v>
      </c>
      <c r="Y65" s="156"/>
      <c r="Z65" s="246"/>
    </row>
    <row r="66" spans="4:26" ht="17.25" thickTop="1" thickBot="1">
      <c r="D66" s="1"/>
      <c r="E66" s="1"/>
      <c r="F66" s="1"/>
      <c r="G66" s="1"/>
      <c r="H66" s="1"/>
      <c r="I66" s="1"/>
      <c r="T66" s="245"/>
      <c r="U66" s="12" t="str">
        <f t="shared" si="7"/>
        <v>Interior Finish</v>
      </c>
      <c r="V66" s="156">
        <v>3</v>
      </c>
      <c r="W66" s="156">
        <v>3</v>
      </c>
      <c r="X66" s="156">
        <v>3</v>
      </c>
      <c r="Y66" s="156"/>
      <c r="Z66" s="246"/>
    </row>
    <row r="67" spans="4:26" ht="17.25" thickTop="1" thickBot="1">
      <c r="T67" s="245"/>
      <c r="U67" s="12" t="str">
        <f t="shared" si="7"/>
        <v>Fixtures &amp; Appliances</v>
      </c>
      <c r="V67" s="156">
        <v>4</v>
      </c>
      <c r="W67" s="156">
        <v>4</v>
      </c>
      <c r="X67" s="156">
        <v>4</v>
      </c>
      <c r="Y67" s="156"/>
      <c r="Z67" s="246"/>
    </row>
    <row r="68" spans="4:26" ht="17.25" thickTop="1" thickBot="1">
      <c r="T68" s="245"/>
      <c r="U68" s="12" t="str">
        <f t="shared" si="7"/>
        <v>Pool &amp; Landscape</v>
      </c>
      <c r="V68" s="156">
        <v>13</v>
      </c>
      <c r="W68" s="156">
        <v>13</v>
      </c>
      <c r="X68" s="156">
        <v>13</v>
      </c>
      <c r="Y68" s="156"/>
      <c r="Z68" s="246"/>
    </row>
    <row r="69" spans="4:26" ht="17.25" thickTop="1" thickBot="1">
      <c r="T69" s="245"/>
      <c r="U69" s="314"/>
      <c r="V69" s="247"/>
      <c r="W69" s="247"/>
      <c r="X69" s="247"/>
      <c r="Y69" s="247"/>
      <c r="Z69" s="246"/>
    </row>
    <row r="70" spans="4:26" ht="17.25" thickTop="1" thickBot="1">
      <c r="T70" s="245"/>
      <c r="U70" s="329" t="str">
        <f>M9</f>
        <v>Senior Debt</v>
      </c>
      <c r="V70" s="247"/>
      <c r="W70" s="247"/>
      <c r="X70" s="247"/>
      <c r="Y70" s="247"/>
      <c r="Z70" s="246"/>
    </row>
    <row r="71" spans="4:26" ht="17.25" thickTop="1" thickBot="1">
      <c r="T71" s="245"/>
      <c r="U71" s="12" t="str" cm="1">
        <f t="array" ref="U71:U76">M12:M17</f>
        <v>LTC / LTV</v>
      </c>
      <c r="V71" s="296">
        <v>0.6</v>
      </c>
      <c r="W71" s="296">
        <v>0.6</v>
      </c>
      <c r="X71" s="296">
        <v>0.6</v>
      </c>
      <c r="Y71" s="296"/>
      <c r="Z71" s="246"/>
    </row>
    <row r="72" spans="4:26" ht="17.25" thickTop="1" thickBot="1">
      <c r="T72" s="245"/>
      <c r="U72" s="12" t="str">
        <v>Annual Rate (Fixed)</v>
      </c>
      <c r="V72" s="296">
        <v>0.08</v>
      </c>
      <c r="W72" s="296">
        <v>0.08</v>
      </c>
      <c r="X72" s="296">
        <v>0.08</v>
      </c>
      <c r="Y72" s="296"/>
      <c r="Z72" s="246"/>
    </row>
    <row r="73" spans="4:26" ht="17.25" thickTop="1" thickBot="1">
      <c r="T73" s="245"/>
      <c r="U73" s="12" t="str">
        <v>Origination Fee</v>
      </c>
      <c r="V73" s="620">
        <v>0.01</v>
      </c>
      <c r="W73" s="620">
        <v>0.01</v>
      </c>
      <c r="X73" s="620">
        <v>0.01</v>
      </c>
      <c r="Y73" s="620"/>
      <c r="Z73" s="246"/>
    </row>
    <row r="74" spans="4:26" ht="17.25" thickTop="1" thickBot="1">
      <c r="T74" s="245"/>
      <c r="U74" s="12" t="str">
        <v>Appraisal / Legal</v>
      </c>
      <c r="V74" s="621">
        <v>5000</v>
      </c>
      <c r="W74" s="621">
        <v>5000</v>
      </c>
      <c r="X74" s="621">
        <v>5000</v>
      </c>
      <c r="Y74" s="621"/>
      <c r="Z74" s="246"/>
    </row>
    <row r="75" spans="4:26" ht="17.25" thickTop="1" thickBot="1">
      <c r="T75" s="245"/>
      <c r="U75" s="12" t="str">
        <v>Loan Closing Costs</v>
      </c>
      <c r="V75" s="621">
        <v>2500</v>
      </c>
      <c r="W75" s="621">
        <v>2500</v>
      </c>
      <c r="X75" s="621">
        <v>2500</v>
      </c>
      <c r="Y75" s="621"/>
      <c r="Z75" s="246"/>
    </row>
    <row r="76" spans="4:26" ht="17.25" thickTop="1" thickBot="1">
      <c r="T76" s="245"/>
      <c r="U76" s="12" t="str">
        <v>Interest Reserve Factor</v>
      </c>
      <c r="V76" s="622">
        <v>1.2</v>
      </c>
      <c r="W76" s="622">
        <v>1.2</v>
      </c>
      <c r="X76" s="622">
        <v>1.2</v>
      </c>
      <c r="Y76" s="622"/>
      <c r="Z76" s="246"/>
    </row>
    <row r="77" spans="4:26" ht="17.25" thickTop="1" thickBot="1">
      <c r="T77" s="245"/>
      <c r="U77" s="247"/>
      <c r="V77" s="624"/>
      <c r="W77" s="247"/>
      <c r="X77" s="247"/>
      <c r="Y77" s="247"/>
      <c r="Z77" s="246"/>
    </row>
    <row r="78" spans="4:26" ht="17.25" thickTop="1" thickBot="1">
      <c r="T78" s="245"/>
      <c r="U78" s="623" t="s">
        <v>273</v>
      </c>
      <c r="V78" s="247"/>
      <c r="W78" s="247"/>
      <c r="X78" s="247"/>
      <c r="Y78" s="247"/>
      <c r="Z78" s="246"/>
    </row>
    <row r="79" spans="4:26" ht="17.25" thickTop="1" thickBot="1">
      <c r="T79" s="245"/>
      <c r="U79" s="12" t="s">
        <v>274</v>
      </c>
      <c r="V79" s="283">
        <v>0.25</v>
      </c>
      <c r="W79" s="283">
        <v>0.25</v>
      </c>
      <c r="X79" s="283">
        <v>0.25</v>
      </c>
      <c r="Y79" s="283"/>
      <c r="Z79" s="246"/>
    </row>
    <row r="80" spans="4:26" ht="17.25" thickTop="1" thickBot="1">
      <c r="T80" s="245"/>
      <c r="U80" s="12" t="str" cm="1">
        <f t="array" ref="U80:U83">M41:M44</f>
        <v>Preferred Return</v>
      </c>
      <c r="V80" s="283">
        <v>0.1</v>
      </c>
      <c r="W80" s="283">
        <v>0.1</v>
      </c>
      <c r="X80" s="283">
        <v>0.1</v>
      </c>
      <c r="Y80" s="283"/>
      <c r="Z80" s="246"/>
    </row>
    <row r="81" spans="20:26" ht="17.25" thickTop="1" thickBot="1">
      <c r="T81" s="245"/>
      <c r="U81" s="12" t="str">
        <v>Hurdle 1 Rate</v>
      </c>
      <c r="V81" s="283">
        <v>0.15</v>
      </c>
      <c r="W81" s="283">
        <v>0.15</v>
      </c>
      <c r="X81" s="283">
        <v>0.15</v>
      </c>
      <c r="Y81" s="283"/>
      <c r="Z81" s="246"/>
    </row>
    <row r="82" spans="20:26" ht="17.25" thickTop="1" thickBot="1">
      <c r="T82" s="245"/>
      <c r="U82" s="12" t="str">
        <v>Hurdle 2 Rate</v>
      </c>
      <c r="V82" s="283">
        <v>0.2</v>
      </c>
      <c r="W82" s="283">
        <v>0.2</v>
      </c>
      <c r="X82" s="283">
        <v>0.2</v>
      </c>
      <c r="Y82" s="283"/>
      <c r="Z82" s="246"/>
    </row>
    <row r="83" spans="20:26" ht="17.25" thickTop="1" thickBot="1">
      <c r="T83" s="245"/>
      <c r="U83" s="12" t="str">
        <v>Hurdle 3 Rate</v>
      </c>
      <c r="V83" s="283">
        <v>0.25</v>
      </c>
      <c r="W83" s="283">
        <v>0.25</v>
      </c>
      <c r="X83" s="283">
        <v>0.25</v>
      </c>
      <c r="Y83" s="283"/>
      <c r="Z83" s="246"/>
    </row>
    <row r="84" spans="20:26" ht="17.25" thickTop="1" thickBot="1">
      <c r="T84" s="245"/>
      <c r="U84" s="12" t="s">
        <v>275</v>
      </c>
      <c r="V84" s="283">
        <v>0.1</v>
      </c>
      <c r="W84" s="283">
        <v>0.1</v>
      </c>
      <c r="X84" s="283">
        <v>0.1</v>
      </c>
      <c r="Y84" s="283"/>
      <c r="Z84" s="246"/>
    </row>
    <row r="85" spans="20:26" ht="17.25" thickTop="1" thickBot="1">
      <c r="T85" s="245"/>
      <c r="U85" s="12" t="s">
        <v>276</v>
      </c>
      <c r="V85" s="283">
        <v>0.2</v>
      </c>
      <c r="W85" s="283">
        <v>0.2</v>
      </c>
      <c r="X85" s="283">
        <v>0.2</v>
      </c>
      <c r="Y85" s="283"/>
      <c r="Z85" s="246"/>
    </row>
    <row r="86" spans="20:26" ht="17.25" thickTop="1" thickBot="1">
      <c r="T86" s="245"/>
      <c r="U86" s="12" t="s">
        <v>277</v>
      </c>
      <c r="V86" s="283">
        <v>0.3</v>
      </c>
      <c r="W86" s="283">
        <v>0.3</v>
      </c>
      <c r="X86" s="283">
        <v>0.3</v>
      </c>
      <c r="Y86" s="283"/>
      <c r="Z86" s="246"/>
    </row>
    <row r="87" spans="20:26" ht="17.25" thickTop="1" thickBot="1">
      <c r="T87" s="245"/>
      <c r="U87" s="12" t="s">
        <v>278</v>
      </c>
      <c r="V87" s="283">
        <v>0.5</v>
      </c>
      <c r="W87" s="283">
        <v>0.5</v>
      </c>
      <c r="X87" s="283">
        <v>0.5</v>
      </c>
      <c r="Y87" s="283"/>
      <c r="Z87" s="246"/>
    </row>
    <row r="88" spans="20:26" ht="17.25" thickTop="1" thickBot="1">
      <c r="T88" s="245"/>
      <c r="U88" s="12"/>
      <c r="V88" s="283"/>
      <c r="W88" s="283"/>
      <c r="X88" s="283"/>
      <c r="Y88" s="283"/>
      <c r="Z88" s="246"/>
    </row>
    <row r="89" spans="20:26" ht="17.25" thickTop="1" thickBot="1">
      <c r="T89" s="245"/>
      <c r="U89" s="12"/>
      <c r="V89" s="283"/>
      <c r="W89" s="283"/>
      <c r="X89" s="283"/>
      <c r="Y89" s="283"/>
      <c r="Z89" s="246"/>
    </row>
    <row r="90" spans="20:26" ht="17.25" thickTop="1" thickBot="1">
      <c r="T90" s="245"/>
      <c r="U90" s="12"/>
      <c r="V90" s="283"/>
      <c r="W90" s="283"/>
      <c r="X90" s="283"/>
      <c r="Y90" s="283"/>
      <c r="Z90" s="246"/>
    </row>
    <row r="91" spans="20:26" ht="17.25" thickTop="1" thickBot="1">
      <c r="T91" s="245"/>
      <c r="U91" s="12"/>
      <c r="V91" s="283"/>
      <c r="W91" s="283"/>
      <c r="X91" s="283"/>
      <c r="Y91" s="283"/>
      <c r="Z91" s="246"/>
    </row>
    <row r="92" spans="20:26" ht="17.25" thickTop="1" thickBot="1">
      <c r="T92" s="245"/>
      <c r="U92" s="12"/>
      <c r="V92" s="283"/>
      <c r="W92" s="283"/>
      <c r="X92" s="283"/>
      <c r="Y92" s="283"/>
      <c r="Z92" s="246"/>
    </row>
    <row r="93" spans="20:26" ht="17.25" thickTop="1" thickBot="1">
      <c r="T93" s="245"/>
      <c r="U93" s="12"/>
      <c r="V93" s="283"/>
      <c r="W93" s="283"/>
      <c r="X93" s="283"/>
      <c r="Y93" s="283"/>
      <c r="Z93" s="246"/>
    </row>
    <row r="94" spans="20:26" ht="17.25" thickTop="1" thickBot="1">
      <c r="T94" s="245"/>
      <c r="U94" s="12"/>
      <c r="V94" s="283"/>
      <c r="W94" s="283"/>
      <c r="X94" s="283"/>
      <c r="Y94" s="283"/>
      <c r="Z94" s="246"/>
    </row>
    <row r="95" spans="20:26" ht="17.25" thickTop="1" thickBot="1">
      <c r="T95" s="245"/>
      <c r="U95" s="12"/>
      <c r="V95" s="621"/>
      <c r="W95" s="621"/>
      <c r="X95" s="621"/>
      <c r="Y95" s="621"/>
      <c r="Z95" s="246"/>
    </row>
    <row r="96" spans="20:26" ht="17.25" thickTop="1" thickBot="1">
      <c r="T96" s="245"/>
      <c r="U96" s="12"/>
      <c r="V96" s="622"/>
      <c r="W96" s="622"/>
      <c r="X96" s="622"/>
      <c r="Y96" s="622"/>
      <c r="Z96" s="246"/>
    </row>
    <row r="97" spans="20:26" ht="17.25" thickTop="1" thickBot="1">
      <c r="T97" s="245"/>
      <c r="U97" s="12"/>
      <c r="V97" s="296"/>
      <c r="W97" s="296"/>
      <c r="X97" s="296"/>
      <c r="Y97" s="296"/>
      <c r="Z97" s="246"/>
    </row>
    <row r="98" spans="20:26" ht="17.25" thickTop="1" thickBot="1">
      <c r="T98" s="245"/>
      <c r="U98" s="12"/>
      <c r="V98" s="296"/>
      <c r="W98" s="296"/>
      <c r="X98" s="296"/>
      <c r="Y98" s="296"/>
      <c r="Z98" s="246"/>
    </row>
    <row r="99" spans="20:26" ht="17.25" thickTop="1" thickBot="1">
      <c r="T99" s="245"/>
      <c r="U99" s="12"/>
      <c r="V99" s="620"/>
      <c r="W99" s="620"/>
      <c r="X99" s="620"/>
      <c r="Y99" s="620"/>
      <c r="Z99" s="246"/>
    </row>
    <row r="100" spans="20:26" ht="17.25" thickTop="1" thickBot="1">
      <c r="T100" s="245"/>
      <c r="U100" s="12"/>
      <c r="V100" s="621"/>
      <c r="W100" s="621"/>
      <c r="X100" s="621"/>
      <c r="Y100" s="621"/>
      <c r="Z100" s="246"/>
    </row>
    <row r="101" spans="20:26" ht="17.25" thickTop="1" thickBot="1">
      <c r="T101" s="245"/>
      <c r="U101" s="12"/>
      <c r="V101" s="621"/>
      <c r="W101" s="621"/>
      <c r="X101" s="621"/>
      <c r="Y101" s="621"/>
      <c r="Z101" s="246"/>
    </row>
    <row r="102" spans="20:26" ht="17.25" thickTop="1" thickBot="1">
      <c r="T102" s="245"/>
      <c r="U102" s="12"/>
      <c r="V102" s="622"/>
      <c r="W102" s="622"/>
      <c r="X102" s="622"/>
      <c r="Y102" s="622"/>
      <c r="Z102" s="246"/>
    </row>
    <row r="103" spans="20:26" ht="17.25" thickTop="1" thickBot="1">
      <c r="T103" s="245"/>
      <c r="U103" s="12"/>
      <c r="V103" s="296"/>
      <c r="W103" s="296"/>
      <c r="X103" s="296"/>
      <c r="Y103" s="296"/>
      <c r="Z103" s="246"/>
    </row>
    <row r="104" spans="20:26" ht="17.25" thickTop="1" thickBot="1">
      <c r="T104" s="245"/>
      <c r="U104" s="12"/>
      <c r="V104" s="296"/>
      <c r="W104" s="296"/>
      <c r="X104" s="296"/>
      <c r="Y104" s="296"/>
      <c r="Z104" s="246"/>
    </row>
    <row r="105" spans="20:26" ht="16.5" thickTop="1"/>
  </sheetData>
  <pageMargins left="0.25" right="0.25" top="0.75" bottom="0.75" header="0.3" footer="0.3"/>
  <pageSetup paperSize="9" scale="67" orientation="portrait" r:id="rId1"/>
  <headerFooter>
    <oddFooter>&amp;L&amp;1#&amp;"Calibri"&amp;10 Sensitivity: Internal</oddFooter>
  </headerFooter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F7FBB-41B8-AA42-9BCF-3C2EEDEC77D2}">
  <sheetPr codeName="Sheet2">
    <tabColor rgb="FF72CCFE"/>
  </sheetPr>
  <dimension ref="A2:CG50"/>
  <sheetViews>
    <sheetView showGridLines="0" topLeftCell="B2" workbookViewId="0">
      <selection activeCell="Q2" sqref="Q1:AA1048576"/>
    </sheetView>
  </sheetViews>
  <sheetFormatPr defaultColWidth="0" defaultRowHeight="15" zeroHeight="1"/>
  <cols>
    <col min="1" max="1" width="0" style="367" hidden="1" customWidth="1"/>
    <col min="2" max="2" width="2.625" style="367" customWidth="1"/>
    <col min="3" max="3" width="1.875" style="367" customWidth="1"/>
    <col min="4" max="4" width="31" style="367" bestFit="1" customWidth="1"/>
    <col min="5" max="5" width="13.875" style="367" customWidth="1"/>
    <col min="6" max="6" width="7.625" style="367" bestFit="1" customWidth="1"/>
    <col min="7" max="7" width="8.875" style="367" bestFit="1" customWidth="1"/>
    <col min="8" max="8" width="1.875" style="367" customWidth="1"/>
    <col min="9" max="9" width="3.625" style="367" customWidth="1"/>
    <col min="10" max="10" width="1.875" style="367" customWidth="1"/>
    <col min="11" max="11" width="28.5" style="367" bestFit="1" customWidth="1"/>
    <col min="12" max="12" width="11" style="367" customWidth="1"/>
    <col min="13" max="14" width="15" style="367" customWidth="1"/>
    <col min="15" max="15" width="1.875" style="367" customWidth="1"/>
    <col min="16" max="16" width="3.875" style="367" customWidth="1"/>
    <col min="17" max="71" width="9" style="367" customWidth="1"/>
    <col min="72" max="85" width="0" style="367" hidden="1" customWidth="1"/>
    <col min="86" max="16384" width="9" style="367" hidden="1"/>
  </cols>
  <sheetData>
    <row r="2" spans="3:16" ht="18.75">
      <c r="C2" s="395" t="str">
        <f>Project!C3</f>
        <v>Clarendon</v>
      </c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  <c r="P2" s="368"/>
    </row>
    <row r="3" spans="3:16">
      <c r="C3" s="396" t="str">
        <f>Project!C3</f>
        <v>Clarendon</v>
      </c>
      <c r="D3" s="368"/>
      <c r="E3" s="368"/>
      <c r="F3" s="368"/>
      <c r="G3" s="368"/>
      <c r="H3" s="368"/>
      <c r="I3" s="368"/>
      <c r="J3" s="368"/>
      <c r="K3" s="368"/>
      <c r="L3" s="368"/>
      <c r="M3" s="368"/>
      <c r="N3" s="368"/>
      <c r="O3" s="368"/>
      <c r="P3" s="368"/>
    </row>
    <row r="4" spans="3:16">
      <c r="C4" s="368"/>
      <c r="D4" s="368"/>
      <c r="E4" s="368"/>
      <c r="F4" s="368"/>
      <c r="G4" s="368"/>
      <c r="H4" s="368"/>
      <c r="I4" s="368"/>
      <c r="J4" s="368"/>
      <c r="K4" s="368"/>
      <c r="L4" s="368"/>
      <c r="M4" s="368"/>
      <c r="N4" s="368"/>
      <c r="O4" s="368"/>
      <c r="P4" s="368"/>
    </row>
    <row r="5" spans="3:16">
      <c r="C5" s="368"/>
      <c r="D5" s="368"/>
      <c r="E5" s="368"/>
      <c r="F5" s="368"/>
      <c r="G5" s="368"/>
      <c r="H5" s="368"/>
      <c r="I5" s="368"/>
      <c r="J5" s="368"/>
      <c r="K5" s="368"/>
      <c r="L5" s="368"/>
      <c r="M5" s="368"/>
      <c r="N5" s="368"/>
      <c r="O5" s="368"/>
      <c r="P5" s="368"/>
    </row>
    <row r="6" spans="3:16" ht="42.95" customHeight="1" thickBot="1">
      <c r="I6"/>
    </row>
    <row r="7" spans="3:16" ht="20.25" customHeight="1">
      <c r="C7" s="347"/>
      <c r="D7" s="348"/>
      <c r="E7" s="348"/>
      <c r="F7" s="348"/>
      <c r="G7" s="348"/>
      <c r="H7" s="349"/>
      <c r="I7"/>
      <c r="J7" s="378"/>
      <c r="K7" s="348"/>
      <c r="L7" s="348"/>
      <c r="M7" s="348"/>
      <c r="N7" s="348"/>
      <c r="O7" s="349"/>
    </row>
    <row r="8" spans="3:16" ht="18.75">
      <c r="C8" s="350"/>
      <c r="D8" s="391" t="s">
        <v>184</v>
      </c>
      <c r="E8" s="392"/>
      <c r="F8" s="392"/>
      <c r="G8" s="393"/>
      <c r="H8" s="351"/>
      <c r="I8"/>
      <c r="J8" s="379"/>
      <c r="K8" s="391" t="s">
        <v>173</v>
      </c>
      <c r="L8" s="392"/>
      <c r="M8" s="392"/>
      <c r="N8" s="393"/>
      <c r="O8" s="351"/>
    </row>
    <row r="9" spans="3:16" ht="18.75">
      <c r="C9" s="350"/>
      <c r="E9" s="202"/>
      <c r="F9" s="202"/>
      <c r="G9" s="202"/>
      <c r="H9" s="375"/>
      <c r="I9"/>
      <c r="J9" s="379"/>
      <c r="K9" s="277"/>
      <c r="L9" s="277"/>
      <c r="M9" s="202"/>
      <c r="N9" s="202"/>
      <c r="O9" s="351"/>
    </row>
    <row r="10" spans="3:16" ht="18.75">
      <c r="C10" s="350"/>
      <c r="D10" s="387" t="s">
        <v>183</v>
      </c>
      <c r="E10" s="388" t="str">
        <f>i_address</f>
        <v>Clarendon</v>
      </c>
      <c r="F10" s="389"/>
      <c r="G10" s="390"/>
      <c r="H10" s="375"/>
      <c r="I10"/>
      <c r="J10" s="379"/>
      <c r="K10" s="394" t="str">
        <f>D10</f>
        <v>Project Name:</v>
      </c>
      <c r="L10" s="394"/>
      <c r="M10" s="388" t="str">
        <f>E10</f>
        <v>Clarendon</v>
      </c>
      <c r="N10" s="202"/>
      <c r="O10" s="351"/>
    </row>
    <row r="11" spans="3:16" ht="18.75">
      <c r="C11" s="350"/>
      <c r="D11" s="387" t="s">
        <v>185</v>
      </c>
      <c r="E11" s="388">
        <f>Project!F10</f>
        <v>4000</v>
      </c>
      <c r="F11" s="389"/>
      <c r="G11" s="390"/>
      <c r="H11" s="375"/>
      <c r="I11"/>
      <c r="J11" s="350"/>
      <c r="K11" s="387" t="s">
        <v>185</v>
      </c>
      <c r="L11" s="387"/>
      <c r="M11" s="388">
        <f>E11</f>
        <v>4000</v>
      </c>
      <c r="N11" s="389"/>
      <c r="O11" s="375"/>
    </row>
    <row r="12" spans="3:16" ht="18.75">
      <c r="C12" s="350"/>
      <c r="D12" s="277"/>
      <c r="E12" s="352"/>
      <c r="F12" s="352"/>
      <c r="G12" s="352"/>
      <c r="H12" s="375"/>
      <c r="I12"/>
      <c r="J12" s="379"/>
      <c r="K12" s="277"/>
      <c r="L12" s="277"/>
      <c r="M12" s="202"/>
      <c r="N12" s="202"/>
      <c r="O12" s="351"/>
    </row>
    <row r="13" spans="3:16" ht="18.75">
      <c r="C13" s="350"/>
      <c r="D13" s="374" t="str">
        <f>Project!AD10</f>
        <v>REVENUE</v>
      </c>
      <c r="E13" s="371" t="str">
        <f>Project!AF10</f>
        <v>Total</v>
      </c>
      <c r="F13" s="372" t="str">
        <f>Project!AG10</f>
        <v>$/SF</v>
      </c>
      <c r="G13" s="373" t="str">
        <f>Project!AH10</f>
        <v>%</v>
      </c>
      <c r="H13" s="375"/>
      <c r="I13"/>
      <c r="J13" s="379"/>
      <c r="K13" s="374" t="str">
        <f>Project!AL10</f>
        <v>Sources</v>
      </c>
      <c r="L13" s="374"/>
      <c r="M13" s="397" t="str">
        <f>Project!AM10</f>
        <v>Cash</v>
      </c>
      <c r="N13" s="398" t="str">
        <f>Project!AN10</f>
        <v>Leveraged</v>
      </c>
      <c r="O13" s="351"/>
    </row>
    <row r="14" spans="3:16" ht="18.75">
      <c r="C14" s="350"/>
      <c r="D14" s="355" t="str">
        <f>Project!AD11</f>
        <v>Gross Sale Price</v>
      </c>
      <c r="E14" s="200">
        <f>Project!AF11</f>
        <v>7200000</v>
      </c>
      <c r="F14" s="336">
        <f>Project!AG11</f>
        <v>1800</v>
      </c>
      <c r="G14" s="628">
        <f>Project!AH11</f>
        <v>1</v>
      </c>
      <c r="H14" s="375"/>
      <c r="I14"/>
      <c r="J14" s="379"/>
      <c r="K14" s="384" t="str">
        <f>Project!AL11</f>
        <v>Equity Contributions</v>
      </c>
      <c r="L14" s="384"/>
      <c r="M14" s="209">
        <f>Project!AM11</f>
        <v>5391900.0000000009</v>
      </c>
      <c r="N14" s="209">
        <f ca="1">Project!AN11</f>
        <v>1873996.0345865386</v>
      </c>
      <c r="O14" s="351"/>
    </row>
    <row r="15" spans="3:16" ht="18.75">
      <c r="C15" s="350"/>
      <c r="D15" s="330" t="str">
        <f>Project!AD12</f>
        <v>Sale + Closing Cost</v>
      </c>
      <c r="E15" s="331">
        <f>Project!AF12</f>
        <v>-432000</v>
      </c>
      <c r="F15" s="334">
        <f>Project!AG12</f>
        <v>-108</v>
      </c>
      <c r="G15" s="629">
        <f>Project!AH12</f>
        <v>-0.06</v>
      </c>
      <c r="H15" s="375"/>
      <c r="I15"/>
      <c r="J15" s="379"/>
      <c r="K15" s="384" t="str">
        <f>Project!AL12</f>
        <v>Loan Proceeds</v>
      </c>
      <c r="L15" s="384"/>
      <c r="M15" s="210">
        <f>Project!AM12</f>
        <v>0</v>
      </c>
      <c r="N15" s="210">
        <f ca="1">Project!AN12</f>
        <v>4241756.5149227493</v>
      </c>
      <c r="O15" s="351"/>
    </row>
    <row r="16" spans="3:16" ht="18.75">
      <c r="C16" s="350"/>
      <c r="D16" s="196" t="str">
        <f>Project!AD13</f>
        <v>Net Sale Proceeds</v>
      </c>
      <c r="E16" s="108">
        <f>Project!AF13</f>
        <v>6768000</v>
      </c>
      <c r="F16" s="336">
        <f>Project!AG13</f>
        <v>1692</v>
      </c>
      <c r="G16" s="628">
        <f>Project!AH13</f>
        <v>0.94</v>
      </c>
      <c r="H16" s="375"/>
      <c r="I16"/>
      <c r="J16" s="379"/>
      <c r="K16" s="385" t="str">
        <f>Project!AL13</f>
        <v>House Sale Proceeds</v>
      </c>
      <c r="L16" s="385"/>
      <c r="M16" s="325">
        <f>Project!AM13</f>
        <v>7200000</v>
      </c>
      <c r="N16" s="325">
        <f>Project!AN13</f>
        <v>7200000</v>
      </c>
      <c r="O16" s="351"/>
    </row>
    <row r="17" spans="3:15" ht="18.75">
      <c r="C17" s="350"/>
      <c r="D17" s="353"/>
      <c r="E17" s="337"/>
      <c r="F17" s="338"/>
      <c r="G17" s="628"/>
      <c r="H17" s="375"/>
      <c r="I17"/>
      <c r="J17" s="379"/>
      <c r="K17" s="386" t="str">
        <f>Project!AL14</f>
        <v>Total Sources</v>
      </c>
      <c r="L17" s="386"/>
      <c r="M17" s="213">
        <f>Project!AM14</f>
        <v>12591900</v>
      </c>
      <c r="N17" s="213">
        <f ca="1">Project!AN14</f>
        <v>13315752.549509287</v>
      </c>
      <c r="O17" s="351"/>
    </row>
    <row r="18" spans="3:15" ht="18.75">
      <c r="C18" s="354"/>
      <c r="D18" s="374" t="str">
        <f>Project!AD15</f>
        <v>PROJECT COSTS</v>
      </c>
      <c r="E18" s="371"/>
      <c r="F18" s="372"/>
      <c r="G18" s="630"/>
      <c r="H18" s="375"/>
      <c r="I18"/>
      <c r="J18" s="379"/>
      <c r="K18" s="214"/>
      <c r="L18" s="214"/>
      <c r="M18" s="214"/>
      <c r="N18" s="214"/>
      <c r="O18" s="351"/>
    </row>
    <row r="19" spans="3:15" ht="18.75">
      <c r="C19" s="354"/>
      <c r="D19" s="323" t="str">
        <f>Project!AD16</f>
        <v>Direct Costs</v>
      </c>
      <c r="E19" s="200">
        <f>Project!AF16</f>
        <v>0</v>
      </c>
      <c r="F19" s="339"/>
      <c r="G19" s="631"/>
      <c r="H19" s="375"/>
      <c r="I19"/>
      <c r="J19" s="379"/>
      <c r="K19" s="374" t="str">
        <f>Project!AL16</f>
        <v>Uses</v>
      </c>
      <c r="L19" s="374"/>
      <c r="M19" s="382"/>
      <c r="N19" s="383"/>
      <c r="O19" s="351"/>
    </row>
    <row r="20" spans="3:15" ht="18.75">
      <c r="C20" s="354"/>
      <c r="D20" s="355" t="str">
        <f>Project!AD17</f>
        <v>Lot Purchase</v>
      </c>
      <c r="E20" s="200">
        <f>Project!AF17</f>
        <v>1500000</v>
      </c>
      <c r="F20" s="336">
        <f>Project!AG17</f>
        <v>375</v>
      </c>
      <c r="G20" s="628">
        <f>Project!AH17</f>
        <v>0.20833333333333334</v>
      </c>
      <c r="H20" s="375"/>
      <c r="I20"/>
      <c r="J20" s="379"/>
      <c r="K20" s="384" t="str">
        <f>Project!AL17</f>
        <v>Land</v>
      </c>
      <c r="L20" s="384"/>
      <c r="M20" s="209">
        <f>Project!AM17</f>
        <v>1500000</v>
      </c>
      <c r="N20" s="209">
        <f>Project!AN17</f>
        <v>1500000</v>
      </c>
      <c r="O20" s="351"/>
    </row>
    <row r="21" spans="3:15" ht="18.75">
      <c r="C21" s="350"/>
      <c r="D21" s="355" t="str">
        <f>Project!AD18</f>
        <v>Design / Permitting</v>
      </c>
      <c r="E21" s="200">
        <f>Project!AF18</f>
        <v>240000</v>
      </c>
      <c r="F21" s="336">
        <f>Project!AG18</f>
        <v>60</v>
      </c>
      <c r="G21" s="628">
        <f>Project!AH18</f>
        <v>3.3333333333333333E-2</v>
      </c>
      <c r="H21" s="375"/>
      <c r="I21"/>
      <c r="J21" s="379"/>
      <c r="K21" s="384" t="str">
        <f>Project!AL18</f>
        <v>Construction</v>
      </c>
      <c r="L21" s="384"/>
      <c r="M21" s="209">
        <f>Project!AM18</f>
        <v>2880000</v>
      </c>
      <c r="N21" s="209">
        <f>Project!AN18</f>
        <v>2880000</v>
      </c>
      <c r="O21" s="351"/>
    </row>
    <row r="22" spans="3:15" ht="18.75">
      <c r="C22" s="350"/>
      <c r="D22" s="355" t="str">
        <f>Project!AD19</f>
        <v>Site Prep / Foundation</v>
      </c>
      <c r="E22" s="199">
        <f>Project!AF19</f>
        <v>240000</v>
      </c>
      <c r="F22" s="340">
        <f>Project!AG19</f>
        <v>60</v>
      </c>
      <c r="G22" s="628">
        <f>Project!AH19</f>
        <v>3.3333333333333333E-2</v>
      </c>
      <c r="H22" s="376"/>
      <c r="I22"/>
      <c r="J22" s="380"/>
      <c r="K22" s="384" t="str">
        <f>Project!AL19</f>
        <v>Indirect costs</v>
      </c>
      <c r="L22" s="384"/>
      <c r="M22" s="209">
        <f>Project!AM19</f>
        <v>1011900</v>
      </c>
      <c r="N22" s="209">
        <f>Project!AN19</f>
        <v>1011899.9999999998</v>
      </c>
      <c r="O22" s="356"/>
    </row>
    <row r="23" spans="3:15" ht="18.75">
      <c r="C23" s="350"/>
      <c r="D23" s="355" t="str">
        <f>Project!AD20</f>
        <v>Framing</v>
      </c>
      <c r="E23" s="199">
        <f>Project!AF20</f>
        <v>600000</v>
      </c>
      <c r="F23" s="340">
        <f>Project!AG20</f>
        <v>150</v>
      </c>
      <c r="G23" s="628">
        <f>Project!AH20</f>
        <v>8.3333333333333329E-2</v>
      </c>
      <c r="H23" s="376"/>
      <c r="I23"/>
      <c r="J23" s="380"/>
      <c r="K23" s="384" t="str">
        <f>Project!AL20</f>
        <v>Sales Cost</v>
      </c>
      <c r="L23" s="384"/>
      <c r="M23" s="209">
        <f>Project!AM20</f>
        <v>432000</v>
      </c>
      <c r="N23" s="209">
        <f>Project!AN20</f>
        <v>432000</v>
      </c>
      <c r="O23" s="356"/>
    </row>
    <row r="24" spans="3:15" ht="18.75">
      <c r="C24" s="350"/>
      <c r="D24" s="355" t="str">
        <f>Project!AD21</f>
        <v>Plubming, Electric, HVAC</v>
      </c>
      <c r="E24" s="199">
        <f>Project!AF21</f>
        <v>600000</v>
      </c>
      <c r="F24" s="340">
        <f>Project!AG21</f>
        <v>150</v>
      </c>
      <c r="G24" s="628">
        <f>Project!AH21</f>
        <v>8.3333333333333329E-2</v>
      </c>
      <c r="H24" s="376"/>
      <c r="I24"/>
      <c r="J24" s="380"/>
      <c r="K24" s="384" t="str">
        <f>Project!AL21</f>
        <v>Loan Origination</v>
      </c>
      <c r="L24" s="384"/>
      <c r="M24" s="210">
        <f>Project!AM21</f>
        <v>0</v>
      </c>
      <c r="N24" s="210">
        <f ca="1">Project!AN21</f>
        <v>69348.053946750442</v>
      </c>
      <c r="O24" s="356"/>
    </row>
    <row r="25" spans="3:15" ht="18.75">
      <c r="C25" s="350"/>
      <c r="D25" s="355" t="str">
        <f>Project!AD22</f>
        <v>Drywall</v>
      </c>
      <c r="E25" s="199">
        <f>Project!AF22</f>
        <v>200000</v>
      </c>
      <c r="F25" s="340">
        <f>Project!AG22</f>
        <v>50</v>
      </c>
      <c r="G25" s="628">
        <f>Project!AH22</f>
        <v>2.7777777777777776E-2</v>
      </c>
      <c r="H25" s="376"/>
      <c r="I25"/>
      <c r="J25" s="380"/>
      <c r="K25" s="384" t="str">
        <f>Project!AL22</f>
        <v>Interest</v>
      </c>
      <c r="L25" s="384"/>
      <c r="M25" s="210">
        <f>Project!AM22</f>
        <v>0</v>
      </c>
      <c r="N25" s="210">
        <f ca="1">Project!AN22</f>
        <v>654504.49556253676</v>
      </c>
      <c r="O25" s="356"/>
    </row>
    <row r="26" spans="3:15" ht="18.75">
      <c r="C26" s="350"/>
      <c r="D26" s="355" t="str">
        <f>Project!AD23</f>
        <v>Interior Finish</v>
      </c>
      <c r="E26" s="199">
        <f>Project!AF23</f>
        <v>400000</v>
      </c>
      <c r="F26" s="340">
        <f>Project!AG23</f>
        <v>100</v>
      </c>
      <c r="G26" s="628">
        <f>Project!AH23</f>
        <v>5.5555555555555552E-2</v>
      </c>
      <c r="H26" s="376"/>
      <c r="I26"/>
      <c r="J26" s="380"/>
      <c r="K26" s="384" t="str">
        <f>Project!AL23</f>
        <v>Loan Payoff</v>
      </c>
      <c r="L26" s="384"/>
      <c r="M26" s="210">
        <f>Project!AM23</f>
        <v>0</v>
      </c>
      <c r="N26" s="210">
        <f ca="1">Project!AN23</f>
        <v>4241756.5149227502</v>
      </c>
      <c r="O26" s="356"/>
    </row>
    <row r="27" spans="3:15" ht="18.75">
      <c r="C27" s="350"/>
      <c r="D27" s="355" t="str">
        <f>Project!AD24</f>
        <v>Fixtures &amp; Appliances</v>
      </c>
      <c r="E27" s="199">
        <f>Project!AF24</f>
        <v>400000</v>
      </c>
      <c r="F27" s="340">
        <f>Project!AG24</f>
        <v>100</v>
      </c>
      <c r="G27" s="628">
        <f>Project!AH24</f>
        <v>5.5555555555555552E-2</v>
      </c>
      <c r="H27" s="376"/>
      <c r="I27"/>
      <c r="J27" s="380"/>
      <c r="K27" s="384" t="str">
        <f>Project!AL24</f>
        <v>Distributions - Equity</v>
      </c>
      <c r="L27" s="384"/>
      <c r="M27" s="210">
        <f>Project!AM24</f>
        <v>5391900.0000000009</v>
      </c>
      <c r="N27" s="210">
        <f ca="1">Project!AN24</f>
        <v>1873996.0345865386</v>
      </c>
      <c r="O27" s="356"/>
    </row>
    <row r="28" spans="3:15" ht="18.75">
      <c r="C28" s="350"/>
      <c r="D28" s="332" t="str">
        <f>Project!AD25</f>
        <v>Pool &amp; Landscape</v>
      </c>
      <c r="E28" s="331">
        <f>Project!AF25</f>
        <v>200000</v>
      </c>
      <c r="F28" s="334">
        <f>Project!AG25</f>
        <v>50</v>
      </c>
      <c r="G28" s="629">
        <f>Project!AH25</f>
        <v>2.7777777777777776E-2</v>
      </c>
      <c r="H28" s="376"/>
      <c r="I28"/>
      <c r="J28" s="380"/>
      <c r="K28" s="385" t="str">
        <f>Project!AL25</f>
        <v>Distributions - Profit</v>
      </c>
      <c r="L28" s="385"/>
      <c r="M28" s="325">
        <f>Project!AM25</f>
        <v>1376099.9999999991</v>
      </c>
      <c r="N28" s="325">
        <f ca="1">Project!AN25</f>
        <v>652247.45049071126</v>
      </c>
      <c r="O28" s="356"/>
    </row>
    <row r="29" spans="3:15" ht="18.75">
      <c r="C29" s="350"/>
      <c r="D29" s="323" t="str">
        <f>Project!AD26</f>
        <v>Subtotal - Direct Costs</v>
      </c>
      <c r="E29" s="321">
        <f>Project!AF26</f>
        <v>-4380000</v>
      </c>
      <c r="F29" s="336">
        <f>Project!AG26</f>
        <v>-1095</v>
      </c>
      <c r="G29" s="628">
        <f>Project!AH26</f>
        <v>-0.60833333333333328</v>
      </c>
      <c r="H29" s="376"/>
      <c r="I29"/>
      <c r="J29" s="380"/>
      <c r="K29" s="386" t="str">
        <f>Project!AL26</f>
        <v>Total Uses</v>
      </c>
      <c r="L29" s="386"/>
      <c r="M29" s="213">
        <f>Project!AM26</f>
        <v>12591900</v>
      </c>
      <c r="N29" s="213">
        <f ca="1">Project!AN26</f>
        <v>13315752.549509285</v>
      </c>
      <c r="O29" s="356"/>
    </row>
    <row r="30" spans="3:15" ht="18.75">
      <c r="C30" s="350"/>
      <c r="D30" s="355">
        <f>Project!AD27</f>
        <v>0</v>
      </c>
      <c r="E30" s="199">
        <f>Project!AF27</f>
        <v>0</v>
      </c>
      <c r="F30" s="340">
        <f>Project!AG27</f>
        <v>0</v>
      </c>
      <c r="G30" s="628"/>
      <c r="H30" s="376"/>
      <c r="I30"/>
      <c r="J30" s="380"/>
      <c r="K30" s="204"/>
      <c r="L30" s="204"/>
      <c r="M30" s="204"/>
      <c r="N30" s="204"/>
      <c r="O30" s="356"/>
    </row>
    <row r="31" spans="3:15" ht="18.75">
      <c r="C31" s="350"/>
      <c r="D31" s="323" t="str">
        <f>Project!AD28</f>
        <v>Indirect + Other Costs</v>
      </c>
      <c r="E31" s="341">
        <f>Project!AF28</f>
        <v>0</v>
      </c>
      <c r="F31" s="342">
        <f>Project!AG28</f>
        <v>0</v>
      </c>
      <c r="G31" s="628"/>
      <c r="H31" s="376"/>
      <c r="I31"/>
      <c r="J31" s="380"/>
      <c r="O31" s="356"/>
    </row>
    <row r="32" spans="3:15" ht="18.75">
      <c r="C32" s="350"/>
      <c r="D32" s="355" t="str">
        <f>Project!AD29</f>
        <v>Insurance</v>
      </c>
      <c r="E32" s="199">
        <f>Project!AF29</f>
        <v>7500.0000000000045</v>
      </c>
      <c r="F32" s="340">
        <f>Project!AG29</f>
        <v>1.8750000000000011</v>
      </c>
      <c r="G32" s="628">
        <f>Project!AH29</f>
        <v>1.0416666666666673E-3</v>
      </c>
      <c r="H32" s="376"/>
      <c r="I32"/>
      <c r="J32" s="380"/>
      <c r="O32" s="356"/>
    </row>
    <row r="33" spans="3:15" ht="18.75">
      <c r="C33" s="350"/>
      <c r="D33" s="355" t="str">
        <f>Project!AD30</f>
        <v>Property Taxes</v>
      </c>
      <c r="E33" s="199">
        <f>Project!AF30</f>
        <v>22500</v>
      </c>
      <c r="F33" s="340">
        <f>Project!AG30</f>
        <v>5.625</v>
      </c>
      <c r="G33" s="628">
        <f>Project!AH30</f>
        <v>3.1250000000000002E-3</v>
      </c>
      <c r="H33" s="376"/>
      <c r="I33"/>
      <c r="J33" s="380"/>
      <c r="K33" s="374" t="str">
        <f>Project!AL28</f>
        <v>RESULT SUMMARY</v>
      </c>
      <c r="L33" s="374"/>
      <c r="M33" s="397" t="str">
        <f>Project!AM28</f>
        <v>Cash</v>
      </c>
      <c r="N33" s="398" t="str">
        <f>Project!AN28</f>
        <v>Leveraged</v>
      </c>
      <c r="O33" s="356"/>
    </row>
    <row r="34" spans="3:15" ht="18.75">
      <c r="C34" s="350"/>
      <c r="D34" s="355" t="str">
        <f>Project!AD31</f>
        <v>Miscellaneous</v>
      </c>
      <c r="E34" s="199">
        <f>Project!AF31</f>
        <v>15000.000000000009</v>
      </c>
      <c r="F34" s="340">
        <f>Project!AG31</f>
        <v>3.7500000000000022</v>
      </c>
      <c r="G34" s="628">
        <f>Project!AH31</f>
        <v>2.0833333333333346E-3</v>
      </c>
      <c r="H34" s="376"/>
      <c r="I34"/>
      <c r="J34" s="380"/>
      <c r="K34" s="216" t="str">
        <f>Project!AL29</f>
        <v>Investment</v>
      </c>
      <c r="L34" s="216"/>
      <c r="M34" s="220">
        <f>Project!AM29</f>
        <v>5390420.0000000009</v>
      </c>
      <c r="N34" s="209">
        <f ca="1">Project!AN29</f>
        <v>1873996.0345865386</v>
      </c>
      <c r="O34" s="356"/>
    </row>
    <row r="35" spans="3:15" ht="18.75">
      <c r="C35" s="350"/>
      <c r="D35" s="355" t="str">
        <f>Project!AD32</f>
        <v>Warranty</v>
      </c>
      <c r="E35" s="199">
        <f>Project!AF32</f>
        <v>21600</v>
      </c>
      <c r="F35" s="340">
        <f>Project!AG32</f>
        <v>5.4</v>
      </c>
      <c r="G35" s="628">
        <f>Project!AH32</f>
        <v>3.0000000000000001E-3</v>
      </c>
      <c r="H35" s="376"/>
      <c r="I35"/>
      <c r="J35" s="380"/>
      <c r="K35" s="265" t="str">
        <f>Project!AL30</f>
        <v>Distributions - Profit</v>
      </c>
      <c r="L35" s="265"/>
      <c r="M35" s="220">
        <f>Project!AM30</f>
        <v>1376099.9999999991</v>
      </c>
      <c r="N35" s="209">
        <f ca="1">Project!AN30</f>
        <v>652247.45049071126</v>
      </c>
      <c r="O35" s="356"/>
    </row>
    <row r="36" spans="3:15" ht="18.75">
      <c r="C36" s="350"/>
      <c r="D36" s="355" t="str">
        <f>Project!AD33</f>
        <v>Contingency</v>
      </c>
      <c r="E36" s="199">
        <f>Project!AF33</f>
        <v>153299.99999999997</v>
      </c>
      <c r="F36" s="340">
        <f>Project!AG33</f>
        <v>38.324999999999996</v>
      </c>
      <c r="G36" s="628">
        <f>Project!AH33</f>
        <v>2.1291666666666664E-2</v>
      </c>
      <c r="H36" s="376"/>
      <c r="I36"/>
      <c r="J36" s="380"/>
      <c r="K36" s="216" t="str">
        <f>Project!AL31</f>
        <v>Total Distributions</v>
      </c>
      <c r="L36" s="216"/>
      <c r="M36" s="220">
        <f>Project!AM31</f>
        <v>6768000</v>
      </c>
      <c r="N36" s="209">
        <f ca="1">Project!AN31</f>
        <v>2526243.4850772498</v>
      </c>
      <c r="O36" s="356"/>
    </row>
    <row r="37" spans="3:15" ht="18.75">
      <c r="C37" s="350"/>
      <c r="D37" s="332" t="str">
        <f>Project!AD34</f>
        <v>General Conditions + GC</v>
      </c>
      <c r="E37" s="331">
        <f>Project!AF34</f>
        <v>792000</v>
      </c>
      <c r="F37" s="334">
        <f>Project!AG34</f>
        <v>198</v>
      </c>
      <c r="G37" s="629">
        <f>Project!AH34</f>
        <v>0.11</v>
      </c>
      <c r="H37" s="376"/>
      <c r="I37"/>
      <c r="J37" s="380"/>
      <c r="K37" s="216" t="str">
        <f>Project!AL32</f>
        <v>Multiple</v>
      </c>
      <c r="L37" s="216"/>
      <c r="M37" s="241">
        <f>Project!AM32</f>
        <v>1.255560791181392</v>
      </c>
      <c r="N37" s="324">
        <f ca="1">Project!AN32</f>
        <v>1.3480516705760366</v>
      </c>
      <c r="O37" s="356"/>
    </row>
    <row r="38" spans="3:15" ht="18.75">
      <c r="C38" s="350"/>
      <c r="D38" s="323" t="str">
        <f>Project!AD35</f>
        <v>Subtotal - Indirect / Other</v>
      </c>
      <c r="E38" s="321">
        <f>Project!AF35</f>
        <v>-1011900</v>
      </c>
      <c r="F38" s="336">
        <f>Project!AG35</f>
        <v>-252.97499999999999</v>
      </c>
      <c r="G38" s="628">
        <f>Project!AH35</f>
        <v>-0.14054166666666668</v>
      </c>
      <c r="H38" s="376"/>
      <c r="I38"/>
      <c r="J38" s="380"/>
      <c r="K38" s="216" t="s">
        <v>265</v>
      </c>
      <c r="L38" s="216"/>
      <c r="M38" s="357">
        <f>Project!AM33</f>
        <v>9.420938193798066E-2</v>
      </c>
      <c r="N38" s="358">
        <f ca="1">Project!AN33</f>
        <v>8.346901237964631E-2</v>
      </c>
      <c r="O38" s="356"/>
    </row>
    <row r="39" spans="3:15" ht="18.75">
      <c r="C39" s="350"/>
      <c r="D39" s="196">
        <f>Project!AD36</f>
        <v>0</v>
      </c>
      <c r="E39" s="108">
        <f>Project!AF36</f>
        <v>0</v>
      </c>
      <c r="F39" s="343">
        <f>Project!AG36</f>
        <v>0</v>
      </c>
      <c r="G39" s="628">
        <f>Project!AH36</f>
        <v>0</v>
      </c>
      <c r="H39" s="376"/>
      <c r="I39"/>
      <c r="J39" s="380"/>
      <c r="K39" s="216"/>
      <c r="L39" s="216"/>
      <c r="M39" s="220"/>
      <c r="N39" s="209"/>
      <c r="O39" s="356"/>
    </row>
    <row r="40" spans="3:15" ht="18.75">
      <c r="C40" s="350"/>
      <c r="D40" s="107" t="str">
        <f>Project!AD37</f>
        <v>TOTAL PROJECT COST</v>
      </c>
      <c r="E40" s="108">
        <f>Project!AF37</f>
        <v>-5391900</v>
      </c>
      <c r="F40" s="340">
        <f>Project!AG37</f>
        <v>-1347.9749999999999</v>
      </c>
      <c r="G40" s="628">
        <f>Project!AH37</f>
        <v>-0.74887499999999996</v>
      </c>
      <c r="H40" s="376"/>
      <c r="I40"/>
      <c r="J40" s="380"/>
      <c r="K40" s="374" t="s">
        <v>266</v>
      </c>
      <c r="L40" s="374"/>
      <c r="M40" s="397">
        <f>Project!AM35</f>
        <v>0</v>
      </c>
      <c r="N40" s="398">
        <f>Project!AN35</f>
        <v>0</v>
      </c>
      <c r="O40" s="356"/>
    </row>
    <row r="41" spans="3:15" ht="18.75">
      <c r="C41" s="350"/>
      <c r="D41" s="197">
        <f>Project!AD38</f>
        <v>0</v>
      </c>
      <c r="E41" s="199">
        <f>Project!AF38</f>
        <v>0</v>
      </c>
      <c r="F41" s="340">
        <f>Project!AG38</f>
        <v>0</v>
      </c>
      <c r="G41" s="628">
        <f>Project!AH38</f>
        <v>0</v>
      </c>
      <c r="H41" s="376"/>
      <c r="I41"/>
      <c r="J41" s="380"/>
      <c r="K41" s="216">
        <f>Project!AL36</f>
        <v>0</v>
      </c>
      <c r="L41" s="216"/>
      <c r="M41" s="220">
        <f>Project!AM36</f>
        <v>0</v>
      </c>
      <c r="N41" s="209">
        <f>Project!AN36</f>
        <v>0</v>
      </c>
      <c r="O41" s="356"/>
    </row>
    <row r="42" spans="3:15" ht="19.5" thickBot="1">
      <c r="C42" s="350"/>
      <c r="D42" s="344" t="str">
        <f>Project!AD39</f>
        <v>NET MARGIN - UNLEVERAGED</v>
      </c>
      <c r="E42" s="345">
        <f>Project!AF39</f>
        <v>1376100</v>
      </c>
      <c r="F42" s="346">
        <f>Project!AG39</f>
        <v>344.02499999999998</v>
      </c>
      <c r="G42" s="632">
        <f>Project!AH39</f>
        <v>0.19112499999999999</v>
      </c>
      <c r="H42" s="376"/>
      <c r="I42"/>
      <c r="J42" s="380"/>
      <c r="K42" s="265">
        <f>Project!AL37</f>
        <v>0</v>
      </c>
      <c r="L42" s="265"/>
      <c r="M42" s="220">
        <f>Project!AM37</f>
        <v>0</v>
      </c>
      <c r="N42" s="209">
        <f>Project!AN37</f>
        <v>0</v>
      </c>
      <c r="O42" s="356"/>
    </row>
    <row r="43" spans="3:15" ht="19.5" thickTop="1">
      <c r="C43" s="350"/>
      <c r="D43" s="197">
        <f>Project!AD40</f>
        <v>0</v>
      </c>
      <c r="E43" s="199">
        <f>Project!AF40</f>
        <v>0</v>
      </c>
      <c r="F43" s="340">
        <f>Project!AG40</f>
        <v>0</v>
      </c>
      <c r="G43" s="628"/>
      <c r="H43" s="376"/>
      <c r="I43"/>
      <c r="J43" s="380"/>
      <c r="K43" s="216">
        <f>Project!AL38</f>
        <v>0</v>
      </c>
      <c r="L43" s="216"/>
      <c r="M43" s="220">
        <f>Project!AM38</f>
        <v>0</v>
      </c>
      <c r="N43" s="209">
        <f>Project!AN38</f>
        <v>0</v>
      </c>
      <c r="O43" s="356"/>
    </row>
    <row r="44" spans="3:15" ht="18.75">
      <c r="C44" s="350"/>
      <c r="D44" s="369" t="str">
        <f>Project!AD41</f>
        <v>CONSTRUCTION DEBT</v>
      </c>
      <c r="E44" s="331"/>
      <c r="F44" s="334"/>
      <c r="G44" s="629"/>
      <c r="H44" s="376"/>
      <c r="I44"/>
      <c r="J44" s="380"/>
      <c r="K44" s="216">
        <f>Project!AL39</f>
        <v>0</v>
      </c>
      <c r="L44" s="216"/>
      <c r="M44" s="241">
        <f>Project!AM39</f>
        <v>0</v>
      </c>
      <c r="N44" s="324">
        <f>Project!AN39</f>
        <v>0</v>
      </c>
      <c r="O44" s="356"/>
    </row>
    <row r="45" spans="3:15" ht="18.75">
      <c r="C45" s="350"/>
      <c r="D45" s="197" t="str">
        <f>Project!AD42</f>
        <v>Loan Origination</v>
      </c>
      <c r="E45" s="333">
        <f ca="1">Project!AF42</f>
        <v>-69348.053946750442</v>
      </c>
      <c r="F45" s="335">
        <f ca="1">Project!AG42</f>
        <v>-17.33701348668761</v>
      </c>
      <c r="G45" s="628">
        <f ca="1">Project!AH42</f>
        <v>-9.6316741592708949E-3</v>
      </c>
      <c r="H45" s="376"/>
      <c r="I45"/>
      <c r="J45" s="380"/>
      <c r="K45" s="216" t="s">
        <v>265</v>
      </c>
      <c r="L45" s="216"/>
      <c r="M45" s="357">
        <f>Project!AM40</f>
        <v>0</v>
      </c>
      <c r="N45" s="358">
        <f>Project!AN40</f>
        <v>0</v>
      </c>
      <c r="O45" s="356"/>
    </row>
    <row r="46" spans="3:15" ht="18.75">
      <c r="C46" s="350"/>
      <c r="D46" s="330" t="str">
        <f>Project!AD43</f>
        <v>Interest Expense</v>
      </c>
      <c r="E46" s="331">
        <f ca="1">Project!AF43</f>
        <v>-654504.49556253676</v>
      </c>
      <c r="F46" s="334">
        <f ca="1">Project!AG43</f>
        <v>-163.62612389063418</v>
      </c>
      <c r="G46" s="629">
        <f ca="1">Project!AH43</f>
        <v>-9.0903402161463434E-2</v>
      </c>
      <c r="H46" s="376"/>
      <c r="I46"/>
      <c r="J46" s="380"/>
      <c r="K46" s="216"/>
      <c r="L46" s="216"/>
      <c r="M46" s="220"/>
      <c r="N46" s="209"/>
      <c r="O46" s="356"/>
    </row>
    <row r="47" spans="3:15" ht="18.75">
      <c r="C47" s="350"/>
      <c r="D47" s="107" t="str">
        <f>Project!AD44</f>
        <v>Total Financing Cost</v>
      </c>
      <c r="E47" s="108">
        <f ca="1">Project!AF44</f>
        <v>723852.54950928723</v>
      </c>
      <c r="F47" s="336">
        <f ca="1">Project!AG44</f>
        <v>180.9631373773218</v>
      </c>
      <c r="G47" s="628">
        <f ca="1">Project!AH44</f>
        <v>0.10053507632073434</v>
      </c>
      <c r="H47" s="376"/>
      <c r="I47"/>
      <c r="J47" s="380"/>
      <c r="K47" s="216"/>
      <c r="L47" s="216"/>
      <c r="M47" s="220"/>
      <c r="N47" s="209"/>
      <c r="O47" s="356"/>
    </row>
    <row r="48" spans="3:15" ht="18.75">
      <c r="C48" s="350"/>
      <c r="D48" s="359"/>
      <c r="E48" s="341">
        <f>Project!AF45</f>
        <v>0</v>
      </c>
      <c r="F48" s="336">
        <f>Project!AG45</f>
        <v>0</v>
      </c>
      <c r="G48" s="628"/>
      <c r="H48" s="376"/>
      <c r="I48"/>
      <c r="J48" s="380"/>
      <c r="K48" s="216"/>
      <c r="L48" s="216"/>
      <c r="M48" s="220"/>
      <c r="N48" s="209"/>
      <c r="O48" s="356"/>
    </row>
    <row r="49" spans="3:15" ht="19.5" thickBot="1">
      <c r="C49" s="350"/>
      <c r="D49" s="344" t="str">
        <f>Project!AD46</f>
        <v>NET MARGIN - LEVERAGED</v>
      </c>
      <c r="E49" s="345">
        <f ca="1">Project!AF46</f>
        <v>652247.45049071277</v>
      </c>
      <c r="F49" s="346">
        <f ca="1">Project!AG46</f>
        <v>163.06186262267821</v>
      </c>
      <c r="G49" s="632">
        <f ca="1">Project!AH46</f>
        <v>9.058992367926566E-2</v>
      </c>
      <c r="H49" s="376"/>
      <c r="J49" s="380"/>
      <c r="K49" s="216"/>
      <c r="L49" s="216"/>
      <c r="M49" s="220"/>
      <c r="N49" s="209"/>
      <c r="O49" s="356"/>
    </row>
    <row r="50" spans="3:15" customFormat="1" ht="20.25" thickTop="1" thickBot="1">
      <c r="C50" s="360"/>
      <c r="D50" s="361"/>
      <c r="E50" s="362"/>
      <c r="F50" s="363"/>
      <c r="G50" s="370"/>
      <c r="H50" s="377"/>
      <c r="J50" s="381"/>
      <c r="K50" s="365"/>
      <c r="L50" s="365"/>
      <c r="M50" s="364"/>
      <c r="N50" s="364"/>
      <c r="O50" s="36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E8A6-889C-4969-9539-B44DD1FB2C10}">
  <sheetPr codeName="Sheet11">
    <tabColor rgb="FFC00000"/>
  </sheetPr>
  <dimension ref="A1:EH189"/>
  <sheetViews>
    <sheetView showGridLines="0" zoomScale="80" zoomScaleNormal="80" workbookViewId="0">
      <pane xSplit="9" ySplit="8" topLeftCell="AY9" activePane="bottomRight" state="frozen"/>
      <selection activeCell="C1" sqref="C1"/>
      <selection pane="topRight" activeCell="J1" sqref="J1"/>
      <selection pane="bottomLeft" activeCell="C9" sqref="C9"/>
      <selection pane="bottomRight" activeCell="F9" sqref="F9"/>
    </sheetView>
  </sheetViews>
  <sheetFormatPr defaultColWidth="8.875" defaultRowHeight="15.75" outlineLevelCol="1"/>
  <cols>
    <col min="1" max="2" width="16.625" hidden="1" customWidth="1"/>
    <col min="3" max="3" width="2.5" customWidth="1"/>
    <col min="4" max="5" width="5.5" customWidth="1"/>
    <col min="6" max="6" width="4" customWidth="1"/>
    <col min="7" max="7" width="13.875" customWidth="1"/>
    <col min="8" max="9" width="9.875" customWidth="1"/>
    <col min="10" max="10" width="1.5" customWidth="1"/>
    <col min="11" max="11" width="16" customWidth="1" outlineLevel="1"/>
    <col min="12" max="19" width="12.125" customWidth="1" outlineLevel="1"/>
    <col min="20" max="20" width="14.375" customWidth="1"/>
    <col min="21" max="21" width="1.5" customWidth="1"/>
    <col min="22" max="22" width="11.125" customWidth="1" outlineLevel="1"/>
    <col min="23" max="26" width="14.5" customWidth="1" outlineLevel="1"/>
    <col min="27" max="27" width="13" customWidth="1" outlineLevel="1"/>
    <col min="28" max="28" width="11" bestFit="1" customWidth="1"/>
    <col min="29" max="29" width="1.5" customWidth="1"/>
    <col min="30" max="30" width="13" customWidth="1"/>
    <col min="31" max="31" width="1.5" customWidth="1"/>
    <col min="32" max="33" width="12.625" hidden="1" customWidth="1" outlineLevel="1"/>
    <col min="34" max="34" width="9.875" hidden="1" customWidth="1" outlineLevel="1"/>
    <col min="35" max="35" width="11.5" customWidth="1" collapsed="1"/>
    <col min="36" max="36" width="13" customWidth="1"/>
    <col min="37" max="37" width="1.5" customWidth="1" collapsed="1"/>
    <col min="38" max="40" width="12.625" bestFit="1" customWidth="1"/>
    <col min="41" max="41" width="1.5" customWidth="1" collapsed="1"/>
    <col min="42" max="42" width="11.875" customWidth="1" collapsed="1"/>
    <col min="43" max="43" width="10.125" bestFit="1" customWidth="1" collapsed="1"/>
    <col min="44" max="44" width="8.875" bestFit="1" customWidth="1" collapsed="1"/>
    <col min="45" max="45" width="13.875" customWidth="1" collapsed="1"/>
    <col min="46" max="46" width="12.125" bestFit="1" customWidth="1" collapsed="1"/>
    <col min="47" max="47" width="1.5" customWidth="1" collapsed="1"/>
    <col min="48" max="48" width="13" customWidth="1" collapsed="1"/>
    <col min="49" max="49" width="13.125" customWidth="1" collapsed="1"/>
    <col min="50" max="50" width="13.125" customWidth="1"/>
    <col min="51" max="51" width="11.625" bestFit="1" customWidth="1" collapsed="1"/>
    <col min="52" max="52" width="13.375" bestFit="1" customWidth="1" collapsed="1"/>
    <col min="53" max="53" width="3.625" customWidth="1"/>
    <col min="54" max="54" width="8.875" style="215"/>
    <col min="55" max="55" width="21.375" style="215" customWidth="1"/>
    <col min="56" max="56" width="7.125" style="582" customWidth="1"/>
    <col min="57" max="57" width="16" style="215" bestFit="1" customWidth="1"/>
    <col min="58" max="58" width="12.875" style="215" bestFit="1" customWidth="1"/>
    <col min="59" max="59" width="13.625" style="215" bestFit="1" customWidth="1"/>
    <col min="60" max="60" width="13.625" style="215" customWidth="1"/>
    <col min="61" max="61" width="12.875" style="215" customWidth="1"/>
    <col min="62" max="62" width="16" style="215" customWidth="1"/>
    <col min="63" max="63" width="12.125" style="215" customWidth="1"/>
    <col min="64" max="64" width="14.875" style="215" customWidth="1"/>
    <col min="65" max="65" width="12.375" style="215" bestFit="1" customWidth="1"/>
    <col min="66" max="66" width="12.875" style="215" customWidth="1"/>
    <col min="67" max="67" width="11.625" style="215" bestFit="1" customWidth="1"/>
    <col min="68" max="68" width="15.375" style="215" customWidth="1"/>
    <col min="69" max="69" width="13.625" style="215" bestFit="1" customWidth="1"/>
    <col min="70" max="70" width="4.625" style="215" customWidth="1"/>
    <col min="71" max="71" width="12.375" style="215" bestFit="1" customWidth="1"/>
    <col min="72" max="74" width="13.625" style="215" bestFit="1" customWidth="1"/>
    <col min="75" max="76" width="11.625" style="215" bestFit="1" customWidth="1"/>
    <col min="77" max="77" width="13.625" style="215" bestFit="1" customWidth="1"/>
    <col min="78" max="78" width="11.625" style="215" bestFit="1" customWidth="1"/>
    <col min="79" max="80" width="13.625" style="215" bestFit="1" customWidth="1"/>
    <col min="81" max="81" width="5.375" style="215" customWidth="1"/>
    <col min="82" max="82" width="12.375" style="215" bestFit="1" customWidth="1"/>
    <col min="83" max="85" width="13.625" style="215" bestFit="1" customWidth="1"/>
    <col min="86" max="86" width="12" style="215" customWidth="1"/>
    <col min="87" max="87" width="14.875" style="215" bestFit="1" customWidth="1"/>
    <col min="88" max="88" width="12.375" style="215" bestFit="1" customWidth="1"/>
    <col min="89" max="89" width="13.625" style="215" bestFit="1" customWidth="1"/>
    <col min="90" max="90" width="12.375" style="215" bestFit="1" customWidth="1"/>
    <col min="91" max="92" width="13.625" style="215" bestFit="1" customWidth="1"/>
    <col min="93" max="93" width="6" style="215" customWidth="1"/>
    <col min="94" max="94" width="12.625" style="215" customWidth="1"/>
    <col min="95" max="97" width="13.625" style="215" bestFit="1" customWidth="1"/>
    <col min="98" max="98" width="11.625" style="215" bestFit="1" customWidth="1"/>
    <col min="99" max="99" width="14.125" style="215" customWidth="1"/>
    <col min="100" max="100" width="12.375" style="215" bestFit="1" customWidth="1"/>
    <col min="101" max="103" width="13.625" style="215" bestFit="1" customWidth="1"/>
    <col min="104" max="104" width="9.125" style="215" bestFit="1" customWidth="1"/>
    <col min="105" max="105" width="3.625" style="215" customWidth="1"/>
    <col min="106" max="107" width="12.5" style="215" customWidth="1"/>
    <col min="108" max="108" width="3.625" style="215" customWidth="1"/>
    <col min="109" max="111" width="13.625" style="215" bestFit="1" customWidth="1"/>
    <col min="112" max="112" width="2.125" style="215" customWidth="1"/>
    <col min="113" max="114" width="11.875" style="215" bestFit="1" customWidth="1"/>
    <col min="115" max="115" width="10.125" style="215" bestFit="1" customWidth="1"/>
    <col min="116" max="121" width="9.5" style="215" bestFit="1" customWidth="1"/>
    <col min="122" max="123" width="7.125" style="215" bestFit="1" customWidth="1"/>
    <col min="124" max="124" width="11.875" style="215" bestFit="1" customWidth="1"/>
    <col min="125" max="125" width="11.125" style="215" bestFit="1" customWidth="1"/>
    <col min="126" max="127" width="8.875" style="215"/>
    <col min="128" max="128" width="14.625" style="215" customWidth="1"/>
    <col min="129" max="129" width="12.375" style="215" bestFit="1" customWidth="1"/>
    <col min="130" max="131" width="10.375" style="215" bestFit="1" customWidth="1"/>
    <col min="132" max="132" width="12.375" style="215" bestFit="1" customWidth="1"/>
    <col min="133" max="133" width="9" style="215" bestFit="1" customWidth="1"/>
    <col min="134" max="134" width="15.5" style="215" customWidth="1"/>
    <col min="135" max="16384" width="8.875" style="215"/>
  </cols>
  <sheetData>
    <row r="1" spans="1:138" ht="16.5" hidden="1" thickBot="1"/>
    <row r="2" spans="1:138" s="235" customFormat="1" ht="30" customHeight="1" thickTop="1">
      <c r="A2" s="193"/>
      <c r="B2" s="193"/>
      <c r="C2" s="193" t="str">
        <f>i_address</f>
        <v>Clarendon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583"/>
      <c r="BE2" s="4"/>
      <c r="BF2" s="4"/>
      <c r="BG2" s="4"/>
      <c r="BH2" s="4"/>
      <c r="BI2" s="4"/>
      <c r="BJ2" s="4"/>
      <c r="BK2" s="4"/>
      <c r="BL2" s="4"/>
      <c r="BM2" s="4"/>
      <c r="DZ2" s="459"/>
      <c r="EA2" s="459"/>
      <c r="EB2" s="459"/>
      <c r="EC2" s="459"/>
      <c r="ED2" s="459"/>
      <c r="EE2" s="457"/>
      <c r="EF2" s="457"/>
      <c r="EG2" s="215"/>
      <c r="EH2" s="215"/>
    </row>
    <row r="3" spans="1:138" s="235" customFormat="1" ht="32.25" customHeight="1" thickBot="1">
      <c r="A3" s="233"/>
      <c r="B3" s="233"/>
      <c r="C3" s="234" t="s">
        <v>165</v>
      </c>
      <c r="BD3" s="584"/>
      <c r="DZ3" s="460"/>
      <c r="EA3" s="460"/>
      <c r="EB3" s="460"/>
      <c r="EC3" s="460"/>
      <c r="ED3" s="460"/>
      <c r="EE3" s="457"/>
      <c r="EF3" s="457"/>
      <c r="EG3" s="215"/>
      <c r="EH3" s="215"/>
    </row>
    <row r="4" spans="1:138" s="456" customFormat="1" ht="16.5" customHeight="1" thickTop="1" thickBot="1">
      <c r="A4" s="454"/>
      <c r="B4" s="454"/>
      <c r="C4" s="455"/>
      <c r="BB4" s="215"/>
      <c r="BC4" s="457"/>
      <c r="BD4" s="585"/>
      <c r="BE4" s="457"/>
      <c r="BF4" s="457"/>
      <c r="BG4" s="457"/>
      <c r="BH4" s="457"/>
      <c r="BR4" s="457"/>
      <c r="BS4" s="461"/>
      <c r="BT4" s="462"/>
      <c r="BV4" s="462"/>
      <c r="BW4" s="463"/>
      <c r="BX4" s="463"/>
      <c r="BY4" s="464"/>
      <c r="BZ4" s="465"/>
      <c r="CA4" s="465"/>
      <c r="CB4" s="465"/>
      <c r="CC4" s="457"/>
      <c r="CD4" s="466"/>
      <c r="CE4" s="463"/>
      <c r="CF4" s="467"/>
      <c r="CG4" s="468"/>
      <c r="CH4" s="463"/>
      <c r="CI4" s="463"/>
      <c r="CJ4" s="463"/>
      <c r="CK4" s="466"/>
      <c r="CL4" s="467"/>
      <c r="CM4" s="465"/>
      <c r="CN4" s="465"/>
      <c r="CO4" s="457"/>
      <c r="CP4" s="466"/>
      <c r="CQ4" s="463"/>
      <c r="CR4" s="467"/>
      <c r="CS4" s="463"/>
      <c r="CT4" s="463"/>
      <c r="CU4" s="463"/>
      <c r="CV4" s="463"/>
      <c r="CW4" s="466"/>
      <c r="CX4" s="467"/>
      <c r="CY4" s="465"/>
      <c r="CZ4" s="465"/>
      <c r="DA4" s="457"/>
      <c r="DB4" s="469"/>
      <c r="DC4" s="470"/>
      <c r="DD4" s="458"/>
      <c r="DE4" s="471"/>
      <c r="DF4" s="472"/>
      <c r="DG4" s="473"/>
      <c r="DH4" s="457"/>
      <c r="DI4" s="474"/>
      <c r="DJ4" s="463"/>
      <c r="DK4" s="463"/>
      <c r="DL4" s="463"/>
      <c r="DM4" s="463"/>
      <c r="DN4" s="463"/>
      <c r="DO4" s="463"/>
      <c r="DP4" s="463"/>
      <c r="DQ4" s="463"/>
      <c r="DR4" s="463"/>
      <c r="DS4" s="463"/>
      <c r="DT4" s="463"/>
      <c r="DU4" s="463"/>
      <c r="DV4" s="457"/>
      <c r="DW4" s="457"/>
      <c r="DX4" s="474"/>
      <c r="DY4" s="463"/>
      <c r="DZ4" s="463"/>
      <c r="EA4" s="463"/>
      <c r="EB4" s="463"/>
      <c r="EC4" s="463"/>
      <c r="ED4" s="463"/>
      <c r="EE4" s="457"/>
      <c r="EF4" s="457"/>
      <c r="EG4" s="215"/>
      <c r="EH4" s="215"/>
    </row>
    <row r="5" spans="1:138" ht="20.25" thickTop="1" thickBot="1">
      <c r="AT5" s="264"/>
      <c r="BC5" s="497"/>
      <c r="BD5" s="585"/>
      <c r="BE5" s="498"/>
      <c r="BF5" s="457"/>
      <c r="BG5" s="457"/>
      <c r="BH5" s="457"/>
      <c r="BI5" s="475" t="s">
        <v>204</v>
      </c>
      <c r="BJ5" s="476"/>
      <c r="BK5" s="476">
        <f>i_rate.Pref</f>
        <v>0.1</v>
      </c>
      <c r="BL5" s="477">
        <f>(1+BK5)^(1/12)-1</f>
        <v>7.9741404289037643E-3</v>
      </c>
      <c r="BM5" s="478"/>
      <c r="BN5" s="479" t="s">
        <v>216</v>
      </c>
      <c r="BO5" s="480"/>
      <c r="BP5" s="480"/>
      <c r="BQ5" s="480"/>
      <c r="BR5" s="457"/>
      <c r="BS5" s="560" t="s">
        <v>205</v>
      </c>
      <c r="BT5" s="559"/>
      <c r="BU5" s="476">
        <f>i_rate.Hurdle1</f>
        <v>0.15</v>
      </c>
      <c r="BV5" s="477">
        <f>(1+BU5)^(1/12)-1</f>
        <v>1.171491691985338E-2</v>
      </c>
      <c r="BW5" s="481"/>
      <c r="BX5" s="481"/>
      <c r="BY5" s="482" t="s">
        <v>218</v>
      </c>
      <c r="BZ5" s="483"/>
      <c r="CA5" s="483"/>
      <c r="CB5" s="483"/>
      <c r="CC5" s="457"/>
      <c r="CD5" s="577" t="s">
        <v>207</v>
      </c>
      <c r="CE5" s="562"/>
      <c r="CF5" s="569">
        <f>i_rate.Hurdle2</f>
        <v>0.2</v>
      </c>
      <c r="CG5" s="569">
        <f>(1+CF5)^(1/12)-1</f>
        <v>1.5309470499731193E-2</v>
      </c>
      <c r="CH5" s="568"/>
      <c r="CI5" s="484"/>
      <c r="CJ5" s="484"/>
      <c r="CK5" s="485" t="s">
        <v>219</v>
      </c>
      <c r="CL5" s="486"/>
      <c r="CM5" s="486"/>
      <c r="CN5" s="486"/>
      <c r="CO5" s="457"/>
      <c r="CP5" s="560" t="s">
        <v>208</v>
      </c>
      <c r="CQ5" s="562"/>
      <c r="CR5" s="569">
        <f>i_rate.Hurdle3</f>
        <v>0.25</v>
      </c>
      <c r="CS5" s="569">
        <f>(1+CR5)^(1/12)-1</f>
        <v>1.8769265121506118E-2</v>
      </c>
      <c r="CT5" s="487"/>
      <c r="CU5" s="487"/>
      <c r="CV5" s="487"/>
      <c r="CW5" s="488" t="s">
        <v>220</v>
      </c>
      <c r="CX5" s="489"/>
      <c r="CY5" s="489"/>
      <c r="CZ5" s="489"/>
      <c r="DA5" s="457"/>
      <c r="DB5" s="490" t="s">
        <v>198</v>
      </c>
      <c r="DC5" s="491"/>
      <c r="DD5" s="458"/>
      <c r="DE5" s="492" t="s">
        <v>168</v>
      </c>
      <c r="DF5" s="493"/>
      <c r="DG5" s="493"/>
      <c r="DH5" s="457"/>
      <c r="DI5" s="478" t="s">
        <v>1</v>
      </c>
      <c r="DJ5" s="494" t="s">
        <v>221</v>
      </c>
      <c r="DK5" s="495"/>
      <c r="DL5" s="494" t="s">
        <v>217</v>
      </c>
      <c r="DM5" s="495"/>
      <c r="DN5" s="494" t="s">
        <v>222</v>
      </c>
      <c r="DO5" s="495"/>
      <c r="DP5" s="494" t="s">
        <v>223</v>
      </c>
      <c r="DQ5" s="495"/>
      <c r="DR5" s="494" t="s">
        <v>198</v>
      </c>
      <c r="DS5" s="495"/>
      <c r="DT5" s="494" t="s">
        <v>1</v>
      </c>
      <c r="DU5" s="496"/>
      <c r="DV5" s="457"/>
      <c r="DW5" s="457"/>
      <c r="DX5" s="478" t="s">
        <v>1</v>
      </c>
      <c r="DY5" s="478" t="s">
        <v>214</v>
      </c>
      <c r="DZ5" s="478" t="s">
        <v>224</v>
      </c>
      <c r="EA5" s="478" t="s">
        <v>224</v>
      </c>
      <c r="EB5" s="478" t="s">
        <v>224</v>
      </c>
      <c r="EC5" s="478" t="s">
        <v>198</v>
      </c>
      <c r="ED5" s="478"/>
      <c r="EE5" s="457"/>
      <c r="EF5" s="457"/>
    </row>
    <row r="6" spans="1:138" ht="53.1" customHeight="1" thickTop="1" thickBot="1">
      <c r="E6" s="116"/>
      <c r="F6" s="116"/>
      <c r="G6" s="116"/>
      <c r="H6" s="116"/>
      <c r="I6" s="116"/>
      <c r="K6" s="180" t="s">
        <v>9</v>
      </c>
      <c r="L6" s="191" t="s">
        <v>91</v>
      </c>
      <c r="M6" s="192"/>
      <c r="N6" s="192"/>
      <c r="O6" s="192"/>
      <c r="P6" s="192"/>
      <c r="Q6" s="192"/>
      <c r="R6" s="192"/>
      <c r="S6" s="192"/>
      <c r="U6" s="116"/>
      <c r="V6" s="189" t="str">
        <f>Project!D34</f>
        <v>Indirect + Other Costs</v>
      </c>
      <c r="W6" s="190"/>
      <c r="X6" s="190"/>
      <c r="Y6" s="190"/>
      <c r="Z6" s="190"/>
      <c r="AA6" s="190"/>
      <c r="AF6" s="218" t="s">
        <v>93</v>
      </c>
      <c r="AG6" s="219"/>
      <c r="AH6" s="219"/>
      <c r="AL6" s="637" t="s">
        <v>128</v>
      </c>
      <c r="AM6" s="637"/>
      <c r="AN6" s="637"/>
      <c r="AP6" s="637" t="s">
        <v>122</v>
      </c>
      <c r="AQ6" s="637"/>
      <c r="AR6" s="637"/>
      <c r="AS6" s="637"/>
      <c r="AT6" s="637"/>
      <c r="AV6" s="635" t="s">
        <v>146</v>
      </c>
      <c r="AW6" s="635"/>
      <c r="AX6" s="635"/>
      <c r="AY6" s="635"/>
      <c r="AZ6" s="635"/>
      <c r="BC6" s="605" t="s">
        <v>272</v>
      </c>
      <c r="BD6" s="606"/>
      <c r="BE6" s="606"/>
      <c r="BF6" s="606"/>
      <c r="BG6" s="607"/>
      <c r="BH6" s="457"/>
      <c r="BI6" s="565" t="s">
        <v>245</v>
      </c>
      <c r="BJ6" s="565" t="s">
        <v>243</v>
      </c>
      <c r="BK6" s="565" t="s">
        <v>244</v>
      </c>
      <c r="BL6" s="500" t="s">
        <v>246</v>
      </c>
      <c r="BM6" s="499" t="s">
        <v>247</v>
      </c>
      <c r="BN6" s="565" t="s">
        <v>248</v>
      </c>
      <c r="BO6" s="565" t="s">
        <v>249</v>
      </c>
      <c r="BP6" s="565" t="s">
        <v>250</v>
      </c>
      <c r="BQ6" s="565" t="s">
        <v>251</v>
      </c>
      <c r="BR6" s="457"/>
      <c r="BS6" s="565" t="s">
        <v>125</v>
      </c>
      <c r="BT6" s="565" t="s">
        <v>243</v>
      </c>
      <c r="BU6" s="565" t="s">
        <v>252</v>
      </c>
      <c r="BV6" s="500" t="s">
        <v>255</v>
      </c>
      <c r="BW6" s="567" t="s">
        <v>256</v>
      </c>
      <c r="BX6" s="506" t="s">
        <v>228</v>
      </c>
      <c r="BY6" s="566" t="s">
        <v>226</v>
      </c>
      <c r="BZ6" s="566" t="s">
        <v>227</v>
      </c>
      <c r="CA6" s="566" t="s">
        <v>1</v>
      </c>
      <c r="CB6" s="566" t="s">
        <v>198</v>
      </c>
      <c r="CC6" s="457"/>
      <c r="CD6" s="561" t="s">
        <v>125</v>
      </c>
      <c r="CE6" s="563" t="str">
        <f>BT6</f>
        <v>LP Contributions</v>
      </c>
      <c r="CF6" s="563" t="s">
        <v>254</v>
      </c>
      <c r="CG6" s="563" t="str">
        <f>BV6</f>
        <v>Prior Distributions</v>
      </c>
      <c r="CH6" s="563" t="s">
        <v>257</v>
      </c>
      <c r="CI6" s="563" t="str">
        <f>BX6</f>
        <v>LP Capital</v>
      </c>
      <c r="CJ6" s="563" t="s">
        <v>229</v>
      </c>
      <c r="CK6" s="564" t="s">
        <v>226</v>
      </c>
      <c r="CL6" s="564" t="s">
        <v>227</v>
      </c>
      <c r="CM6" s="564" t="s">
        <v>1</v>
      </c>
      <c r="CN6" s="564" t="s">
        <v>198</v>
      </c>
      <c r="CO6" s="457"/>
      <c r="CP6" s="561" t="s">
        <v>125</v>
      </c>
      <c r="CQ6" s="563" t="str">
        <f>CE6</f>
        <v>LP Contributions</v>
      </c>
      <c r="CR6" s="563" t="s">
        <v>260</v>
      </c>
      <c r="CS6" s="563" t="s">
        <v>255</v>
      </c>
      <c r="CT6" s="563" t="s">
        <v>261</v>
      </c>
      <c r="CU6" s="563" t="str">
        <f>CI6</f>
        <v>LP Capital</v>
      </c>
      <c r="CV6" s="563" t="s">
        <v>229</v>
      </c>
      <c r="CW6" s="564" t="s">
        <v>226</v>
      </c>
      <c r="CX6" s="564" t="s">
        <v>227</v>
      </c>
      <c r="CY6" s="564" t="s">
        <v>1</v>
      </c>
      <c r="CZ6" s="564" t="s">
        <v>198</v>
      </c>
      <c r="DA6" s="570"/>
      <c r="DB6" s="578" t="s">
        <v>263</v>
      </c>
      <c r="DC6" s="578" t="s">
        <v>264</v>
      </c>
      <c r="DD6" s="571"/>
      <c r="DE6" s="580" t="s">
        <v>226</v>
      </c>
      <c r="DF6" s="580" t="s">
        <v>227</v>
      </c>
      <c r="DG6" s="580" t="s">
        <v>1</v>
      </c>
      <c r="DH6" s="457"/>
      <c r="DI6" s="478" t="s">
        <v>5</v>
      </c>
      <c r="DJ6" s="581" t="s">
        <v>226</v>
      </c>
      <c r="DK6" s="581" t="s">
        <v>227</v>
      </c>
      <c r="DL6" s="581" t="s">
        <v>226</v>
      </c>
      <c r="DM6" s="581" t="str">
        <f>DK6</f>
        <v>to GP</v>
      </c>
      <c r="DN6" s="581" t="s">
        <v>226</v>
      </c>
      <c r="DO6" s="581" t="str">
        <f>DM6</f>
        <v>to GP</v>
      </c>
      <c r="DP6" s="581" t="s">
        <v>226</v>
      </c>
      <c r="DQ6" s="581" t="str">
        <f>DO6</f>
        <v>to GP</v>
      </c>
      <c r="DR6" s="581" t="s">
        <v>226</v>
      </c>
      <c r="DS6" s="581" t="str">
        <f>DQ6</f>
        <v>to GP</v>
      </c>
      <c r="DT6" s="633" t="s">
        <v>226</v>
      </c>
      <c r="DU6" s="633" t="s">
        <v>227</v>
      </c>
      <c r="DV6" s="457"/>
      <c r="DW6" s="457"/>
      <c r="DX6" s="501" t="s">
        <v>5</v>
      </c>
      <c r="DY6" s="501" t="s">
        <v>230</v>
      </c>
      <c r="DZ6" s="501" t="s">
        <v>231</v>
      </c>
      <c r="EA6" s="501" t="s">
        <v>232</v>
      </c>
      <c r="EB6" s="501" t="s">
        <v>233</v>
      </c>
      <c r="EC6" s="501" t="s">
        <v>161</v>
      </c>
      <c r="ED6" s="501" t="s">
        <v>1</v>
      </c>
      <c r="EE6" s="457"/>
      <c r="EF6" s="457"/>
    </row>
    <row r="7" spans="1:138" ht="53.1" customHeight="1" thickTop="1" thickBot="1">
      <c r="A7" s="636" t="s">
        <v>163</v>
      </c>
      <c r="B7" s="636"/>
      <c r="D7" s="638" t="s">
        <v>2</v>
      </c>
      <c r="E7" s="639"/>
      <c r="F7" s="640"/>
      <c r="G7" s="638" t="s">
        <v>88</v>
      </c>
      <c r="H7" s="639"/>
      <c r="I7" s="640"/>
      <c r="K7" s="117" t="s">
        <v>92</v>
      </c>
      <c r="L7" s="129" t="str" cm="1">
        <f t="array" ref="L7:S7">TRANSPOSE(Project!D24:D31)</f>
        <v>Design / Permitting</v>
      </c>
      <c r="M7" s="129" t="str">
        <v>Site Prep / Foundation</v>
      </c>
      <c r="N7" s="129" t="str">
        <v>Framing</v>
      </c>
      <c r="O7" s="129" t="str">
        <v>Plubming, Electric, HVAC</v>
      </c>
      <c r="P7" s="129" t="str">
        <v>Drywall</v>
      </c>
      <c r="Q7" s="129" t="str">
        <v>Interior Finish</v>
      </c>
      <c r="R7" s="129" t="str">
        <v>Fixtures &amp; Appliances</v>
      </c>
      <c r="S7" s="129" t="str">
        <v>Pool &amp; Landscape</v>
      </c>
      <c r="T7" s="182" t="str">
        <f>L6</f>
        <v>Direct Project Costs</v>
      </c>
      <c r="U7" s="116"/>
      <c r="V7" s="182" t="str" cm="1">
        <f t="array" ref="V7:AA7">TRANSPOSE(Project!D35:D40)</f>
        <v>Insurance</v>
      </c>
      <c r="W7" s="183" t="str">
        <v>Property Taxes</v>
      </c>
      <c r="X7" s="183" t="str">
        <v>Miscellaneous</v>
      </c>
      <c r="Y7" s="183" t="str">
        <v>Warranty</v>
      </c>
      <c r="Z7" s="183" t="str">
        <v>Contingency</v>
      </c>
      <c r="AA7" s="183" t="str">
        <v>General Conditions + GC</v>
      </c>
      <c r="AB7" s="182" t="str">
        <f>V6</f>
        <v>Indirect + Other Costs</v>
      </c>
      <c r="AD7" s="182" t="s">
        <v>96</v>
      </c>
      <c r="AF7" s="180" t="s">
        <v>94</v>
      </c>
      <c r="AG7" s="181" t="s">
        <v>137</v>
      </c>
      <c r="AH7" s="181" t="s">
        <v>138</v>
      </c>
      <c r="AI7" s="181" t="s">
        <v>259</v>
      </c>
      <c r="AJ7" s="144" t="s">
        <v>95</v>
      </c>
      <c r="AL7" s="194" t="s">
        <v>120</v>
      </c>
      <c r="AM7" s="194" t="s">
        <v>119</v>
      </c>
      <c r="AN7" s="194" t="s">
        <v>121</v>
      </c>
      <c r="AP7" s="194" t="s">
        <v>125</v>
      </c>
      <c r="AQ7" s="194" t="s">
        <v>123</v>
      </c>
      <c r="AR7" s="194" t="s">
        <v>99</v>
      </c>
      <c r="AS7" s="194" t="s">
        <v>97</v>
      </c>
      <c r="AT7" s="194" t="s">
        <v>124</v>
      </c>
      <c r="AV7" s="195" t="s">
        <v>12</v>
      </c>
      <c r="AW7" s="195" t="s">
        <v>84</v>
      </c>
      <c r="AX7" s="195" t="s">
        <v>127</v>
      </c>
      <c r="AY7" s="195" t="s">
        <v>126</v>
      </c>
      <c r="AZ7" s="195" t="s">
        <v>90</v>
      </c>
      <c r="BC7" s="608"/>
      <c r="BD7" s="609"/>
      <c r="BE7" s="609"/>
      <c r="BF7" s="609"/>
      <c r="BG7" s="610"/>
      <c r="BH7" s="511"/>
      <c r="BI7" s="503">
        <f>BG10</f>
        <v>0.75</v>
      </c>
      <c r="BJ7" s="504">
        <f ca="1">SUM(BJ9:BJ81)</f>
        <v>1405497.0259399039</v>
      </c>
      <c r="BK7" s="504">
        <f ca="1">SUM(BK9:BK81)</f>
        <v>599029.5203379828</v>
      </c>
      <c r="BL7" s="505">
        <f ca="1">SUM(BL9:BL81)</f>
        <v>1894682.6138079374</v>
      </c>
      <c r="BM7" s="501" t="s">
        <v>234</v>
      </c>
      <c r="BN7" s="504">
        <f ca="1">SUM(BN9:BN81)</f>
        <v>489185.58786803344</v>
      </c>
      <c r="BO7" s="504">
        <f ca="1">SUM(BO9:BO81)</f>
        <v>163061.86262267781</v>
      </c>
      <c r="BP7" s="504">
        <f ca="1">SUM(BP9:BP81)</f>
        <v>652247.45049071126</v>
      </c>
      <c r="BQ7" s="504">
        <f ca="1">SUM(BQ9:BQ81)</f>
        <v>0</v>
      </c>
      <c r="BR7" s="457"/>
      <c r="BS7" s="503">
        <f>BG16</f>
        <v>0.67500000000000004</v>
      </c>
      <c r="BT7" s="504">
        <f ca="1">SUM(BT9:BT81)</f>
        <v>1405497.0259399039</v>
      </c>
      <c r="BU7" s="504">
        <f ca="1">SUM(BU9:BU81)</f>
        <v>960031.31556655956</v>
      </c>
      <c r="BV7" s="505">
        <f ca="1">SUM(BV9:BV81)</f>
        <v>1894682.6138079374</v>
      </c>
      <c r="BW7" s="504">
        <f ca="1">SUM(BW9:BW81)</f>
        <v>0</v>
      </c>
      <c r="BX7" s="506" t="s">
        <v>253</v>
      </c>
      <c r="BY7" s="507">
        <f ca="1">SUM(BY9:BY81)</f>
        <v>489185.58786803344</v>
      </c>
      <c r="BZ7" s="507">
        <f ca="1">SUM(BZ9:BZ81)</f>
        <v>163061.86262267781</v>
      </c>
      <c r="CA7" s="507">
        <f ca="1">SUM(CA9:CA81)</f>
        <v>652247.45049071126</v>
      </c>
      <c r="CB7" s="504">
        <f ca="1">SUM(CB9:CB81)</f>
        <v>0</v>
      </c>
      <c r="CC7" s="457"/>
      <c r="CD7" s="572">
        <f>BG17</f>
        <v>0.60000000000000009</v>
      </c>
      <c r="CE7" s="573">
        <f ca="1">SUM(CE9:CE81)</f>
        <v>1405497.0259399039</v>
      </c>
      <c r="CF7" s="573">
        <f ca="1">SUM(CF9:CF81)</f>
        <v>1324669.8047477</v>
      </c>
      <c r="CG7" s="573">
        <f ca="1">SUM(CG9:CG81)</f>
        <v>1894682.6138079374</v>
      </c>
      <c r="CH7" s="573">
        <f ca="1">SUM(CH9:CH81)</f>
        <v>0</v>
      </c>
      <c r="CI7" s="574" t="s">
        <v>258</v>
      </c>
      <c r="CJ7" s="575">
        <f ca="1">XIRR(CJ9:CJ81,$G9:$G81)</f>
        <v>8.346901237964631E-2</v>
      </c>
      <c r="CK7" s="573">
        <f ca="1">SUM(CK9:CK81)</f>
        <v>489185.58786803344</v>
      </c>
      <c r="CL7" s="573">
        <f ca="1">SUM(CL9:CL81)</f>
        <v>163061.86262267781</v>
      </c>
      <c r="CM7" s="573">
        <f ca="1">SUM(CM9:CM81)</f>
        <v>652247.45049071126</v>
      </c>
      <c r="CN7" s="576">
        <f ca="1">SUM(CN9:CN81)</f>
        <v>0</v>
      </c>
      <c r="CO7" s="457"/>
      <c r="CP7" s="572">
        <f>BG18</f>
        <v>0.52499999999999991</v>
      </c>
      <c r="CQ7" s="573">
        <f ca="1">SUM(CQ9:CQ81)</f>
        <v>1405497.0259399039</v>
      </c>
      <c r="CR7" s="573">
        <f ca="1">SUM(CR9:CR81)</f>
        <v>1762347.2006907542</v>
      </c>
      <c r="CS7" s="573">
        <f ca="1">SUM(CS9:CS81)</f>
        <v>1894682.6138079374</v>
      </c>
      <c r="CT7" s="573">
        <f ca="1">SUM(CT9:CT81)</f>
        <v>0</v>
      </c>
      <c r="CU7" s="574" t="s">
        <v>262</v>
      </c>
      <c r="CV7" s="575">
        <f ca="1">XIRR(CV9:CV81,$G9:$G81)</f>
        <v>8.346901237964631E-2</v>
      </c>
      <c r="CW7" s="573">
        <f ca="1">SUM(CW9:CW81)</f>
        <v>489185.58786803344</v>
      </c>
      <c r="CX7" s="573">
        <f ca="1">SUM(CX9:CX81)</f>
        <v>163061.86262267781</v>
      </c>
      <c r="CY7" s="573">
        <f ca="1">SUM(CY9:CY81)</f>
        <v>652247.45049071126</v>
      </c>
      <c r="CZ7" s="576">
        <f ca="1">SUM(CZ9:CZ81)</f>
        <v>0</v>
      </c>
      <c r="DA7" s="570"/>
      <c r="DB7" s="576">
        <f ca="1">SUM(DB9:DB81)</f>
        <v>0</v>
      </c>
      <c r="DC7" s="576">
        <f ca="1">SUM(DC9:DC81)</f>
        <v>0</v>
      </c>
      <c r="DD7" s="571"/>
      <c r="DE7" s="579">
        <f ca="1">SUM(DE9:DE81)</f>
        <v>489185.58786803344</v>
      </c>
      <c r="DF7" s="579">
        <f ca="1">SUM(DF9:DF81)</f>
        <v>163061.86262267781</v>
      </c>
      <c r="DG7" s="579">
        <f ca="1">SUM(DG9:DG81)</f>
        <v>652247.45049071126</v>
      </c>
      <c r="DH7" s="457"/>
      <c r="DI7" s="508" t="s">
        <v>215</v>
      </c>
      <c r="DJ7" s="509">
        <f>BG10</f>
        <v>0.75</v>
      </c>
      <c r="DK7" s="509">
        <f>1-DJ7</f>
        <v>0.25</v>
      </c>
      <c r="DL7" s="509">
        <f>BS7</f>
        <v>0.67500000000000004</v>
      </c>
      <c r="DM7" s="509">
        <f>1-DL7</f>
        <v>0.32499999999999996</v>
      </c>
      <c r="DN7" s="509">
        <f>BG17</f>
        <v>0.60000000000000009</v>
      </c>
      <c r="DO7" s="509">
        <f>1-DN7</f>
        <v>0.39999999999999991</v>
      </c>
      <c r="DP7" s="509">
        <f>BG18</f>
        <v>0.52499999999999991</v>
      </c>
      <c r="DQ7" s="509">
        <f>1-DP7</f>
        <v>0.47500000000000009</v>
      </c>
      <c r="DR7" s="509">
        <f>BG19</f>
        <v>0.375</v>
      </c>
      <c r="DS7" s="509">
        <f>1-DR7</f>
        <v>0.625</v>
      </c>
      <c r="DT7" s="634"/>
      <c r="DU7" s="634"/>
      <c r="DV7" s="457"/>
      <c r="DW7" s="457"/>
      <c r="DX7" s="508" t="s">
        <v>215</v>
      </c>
      <c r="DY7" s="508">
        <f>i_rate.Pref</f>
        <v>0.1</v>
      </c>
      <c r="DZ7" s="508">
        <f>i_rate.Hurdle1</f>
        <v>0.15</v>
      </c>
      <c r="EA7" s="508">
        <f>i_rate.Hurdle2</f>
        <v>0.2</v>
      </c>
      <c r="EB7" s="508">
        <f>i_rate.Hurdle3</f>
        <v>0.25</v>
      </c>
      <c r="EC7" s="508" t="s">
        <v>235</v>
      </c>
      <c r="ED7" s="508" t="s">
        <v>225</v>
      </c>
      <c r="EE7" s="457"/>
      <c r="EF7" s="457"/>
    </row>
    <row r="8" spans="1:138" ht="17.25" thickTop="1" thickBot="1">
      <c r="A8" s="226" t="s">
        <v>164</v>
      </c>
      <c r="B8" s="226" t="s">
        <v>98</v>
      </c>
      <c r="D8" s="130" t="s">
        <v>85</v>
      </c>
      <c r="E8" s="131" t="s">
        <v>86</v>
      </c>
      <c r="F8" s="132" t="s">
        <v>87</v>
      </c>
      <c r="G8" s="133" t="s">
        <v>4</v>
      </c>
      <c r="H8" s="134" t="s">
        <v>3</v>
      </c>
      <c r="I8" s="134" t="s">
        <v>89</v>
      </c>
      <c r="K8" s="135">
        <f>SUM(_xlfn.ANCHORARRAY(K9))</f>
        <v>1500000</v>
      </c>
      <c r="L8" s="135">
        <f t="shared" ref="L8:V8" si="0">SUM(_xlfn.ANCHORARRAY(L9))</f>
        <v>240000</v>
      </c>
      <c r="M8" s="135">
        <f t="shared" si="0"/>
        <v>240000</v>
      </c>
      <c r="N8" s="135">
        <f t="shared" si="0"/>
        <v>600000</v>
      </c>
      <c r="O8" s="135">
        <f t="shared" si="0"/>
        <v>600000</v>
      </c>
      <c r="P8" s="135">
        <f t="shared" si="0"/>
        <v>200000</v>
      </c>
      <c r="Q8" s="135">
        <f t="shared" si="0"/>
        <v>400000</v>
      </c>
      <c r="R8" s="135">
        <f t="shared" si="0"/>
        <v>400000</v>
      </c>
      <c r="S8" s="135">
        <f t="shared" si="0"/>
        <v>199999.99999999997</v>
      </c>
      <c r="T8" s="135">
        <f t="shared" si="0"/>
        <v>4380000</v>
      </c>
      <c r="U8" s="136"/>
      <c r="V8" s="135">
        <f t="shared" si="0"/>
        <v>7500.0000000000045</v>
      </c>
      <c r="W8" s="135">
        <f t="shared" ref="W8" si="1">SUM(_xlfn.ANCHORARRAY(W9))</f>
        <v>22500</v>
      </c>
      <c r="X8" s="135">
        <f t="shared" ref="X8" si="2">SUM(_xlfn.ANCHORARRAY(X9))</f>
        <v>15000.000000000009</v>
      </c>
      <c r="Y8" s="135">
        <f t="shared" ref="Y8" si="3">SUM(_xlfn.ANCHORARRAY(Y9))</f>
        <v>21600</v>
      </c>
      <c r="Z8" s="135">
        <f t="shared" ref="Z8:AB8" si="4">SUM(_xlfn.ANCHORARRAY(Z9))</f>
        <v>153299.99999999997</v>
      </c>
      <c r="AA8" s="135">
        <f t="shared" si="4"/>
        <v>792000</v>
      </c>
      <c r="AB8" s="135">
        <f t="shared" si="4"/>
        <v>1011899.9999999998</v>
      </c>
      <c r="AC8" s="137"/>
      <c r="AD8" s="135">
        <f>SUM(_xlfn.ANCHORARRAY(AD9))</f>
        <v>5391900.0000000009</v>
      </c>
      <c r="AF8" s="135">
        <f t="shared" ref="AF8:AI8" si="5">SUM(_xlfn.ANCHORARRAY(AF9))</f>
        <v>7200000</v>
      </c>
      <c r="AG8" s="135">
        <f t="shared" si="5"/>
        <v>-360000</v>
      </c>
      <c r="AH8" s="135">
        <f t="shared" si="5"/>
        <v>-72000</v>
      </c>
      <c r="AI8" s="135">
        <f t="shared" si="5"/>
        <v>6768000</v>
      </c>
      <c r="AJ8" s="135">
        <f>SUM(_xlfn.ANCHORARRAY(AJ9))</f>
        <v>1376099.9999999991</v>
      </c>
      <c r="AK8" s="143"/>
      <c r="AL8" s="135"/>
      <c r="AM8" s="135">
        <f ca="1">SUM(AM9:AM70)</f>
        <v>1873996.0345865386</v>
      </c>
      <c r="AN8" s="135"/>
      <c r="AP8" s="135"/>
      <c r="AQ8" s="135">
        <f ca="1">SUM(AQ9:AQ69)</f>
        <v>3587252.0193602126</v>
      </c>
      <c r="AR8" s="135">
        <f ca="1">SUM(AR9:AR69)</f>
        <v>654504.49556253676</v>
      </c>
      <c r="AS8" s="135">
        <f ca="1">SUM(AS9:AS69)</f>
        <v>4241756.5149227502</v>
      </c>
      <c r="AT8" s="135"/>
      <c r="AV8" s="145">
        <f>SUM(_xlfn.ANCHORARRAY(AV9))</f>
        <v>1376099.9999999991</v>
      </c>
      <c r="AW8" s="145">
        <f t="shared" ref="AW8:AZ8" ca="1" si="6">SUM(AW9:AW69)</f>
        <v>-69348.053946750442</v>
      </c>
      <c r="AX8" s="145">
        <f t="shared" ca="1" si="6"/>
        <v>3587252.0193602126</v>
      </c>
      <c r="AY8" s="145">
        <f t="shared" ca="1" si="6"/>
        <v>4241756.5149227502</v>
      </c>
      <c r="AZ8" s="145">
        <f t="shared" ca="1" si="6"/>
        <v>652247.45049071126</v>
      </c>
      <c r="BH8" s="511"/>
      <c r="BI8" s="512"/>
      <c r="BJ8" s="513"/>
      <c r="BK8" s="514"/>
      <c r="BL8" s="513"/>
      <c r="BM8" s="513"/>
      <c r="BN8" s="515">
        <f ca="1">XIRR(BN9:BN81,$G$9:$G$81)</f>
        <v>8.346901237964631E-2</v>
      </c>
      <c r="BO8" s="515">
        <f ca="1">XIRR(BO9:BO81,$G$9:$G$81)</f>
        <v>8.346901237964631E-2</v>
      </c>
      <c r="BP8" s="515">
        <f ca="1">XIRR(BP9:BP81,$G$9:$G$81)</f>
        <v>8.346901237964631E-2</v>
      </c>
      <c r="BQ8" s="513"/>
      <c r="BR8" s="516"/>
      <c r="BS8" s="512"/>
      <c r="BT8" s="513"/>
      <c r="BU8" s="514"/>
      <c r="BV8" s="513"/>
      <c r="BW8" s="513"/>
      <c r="BX8" s="513"/>
      <c r="BY8" s="515">
        <f ca="1">XIRR(BY9:BY81,$G$9:$G$81)</f>
        <v>8.346901237964631E-2</v>
      </c>
      <c r="BZ8" s="515">
        <f ca="1">XIRR(BZ9:BZ81,$G$9:$G$81)</f>
        <v>8.346901237964631E-2</v>
      </c>
      <c r="CA8" s="515">
        <f ca="1">XIRR(CA9:CA81,$G$9:$G$81)</f>
        <v>8.346901237964631E-2</v>
      </c>
      <c r="CB8" s="513"/>
      <c r="CC8" s="516"/>
      <c r="CD8" s="512"/>
      <c r="CE8" s="513"/>
      <c r="CF8" s="514"/>
      <c r="CG8" s="513"/>
      <c r="CH8" s="513"/>
      <c r="CI8" s="513"/>
      <c r="CJ8" s="517"/>
      <c r="CK8" s="515">
        <f ca="1">XIRR(CK9:CK81,$G$9:$G$81)</f>
        <v>8.346901237964631E-2</v>
      </c>
      <c r="CL8" s="515">
        <f ca="1">XIRR(CL9:CL81,$G$9:$G$81)</f>
        <v>8.346901237964631E-2</v>
      </c>
      <c r="CM8" s="515">
        <f ca="1">XIRR(CM9:CM81,$G$9:$G$81)</f>
        <v>8.346901237964631E-2</v>
      </c>
      <c r="CN8" s="515"/>
      <c r="CO8" s="516"/>
      <c r="CP8" s="512"/>
      <c r="CQ8" s="513"/>
      <c r="CR8" s="514"/>
      <c r="CS8" s="513"/>
      <c r="CT8" s="513"/>
      <c r="CU8" s="513"/>
      <c r="CV8" s="517"/>
      <c r="CW8" s="515">
        <f ca="1">XIRR(CW9:CW81,$G$9:$G$81)</f>
        <v>8.346901237964631E-2</v>
      </c>
      <c r="CX8" s="515">
        <f ca="1">XIRR(CX9:CX81,$G$9:$G$81)</f>
        <v>8.346901237964631E-2</v>
      </c>
      <c r="CY8" s="515">
        <f ca="1">XIRR(CY9:CY81,$G$9:$G$81)</f>
        <v>8.346901237964631E-2</v>
      </c>
      <c r="CZ8" s="515"/>
      <c r="DA8" s="516"/>
      <c r="DB8" s="513"/>
      <c r="DC8" s="513"/>
      <c r="DD8" s="518"/>
      <c r="DE8" s="515">
        <f ca="1">XIRR(DE9:DE81,$G$9:$G$81)</f>
        <v>8.346901237964631E-2</v>
      </c>
      <c r="DF8" s="515">
        <f ca="1">XIRR(DF9:DF81,$G$9:$G$81)</f>
        <v>8.346901237964631E-2</v>
      </c>
      <c r="DG8" s="515">
        <f ca="1">XIRR(DG9:DG81,$G$9:$G$81)</f>
        <v>8.346901237964631E-2</v>
      </c>
      <c r="DH8" s="457"/>
      <c r="DI8" s="519">
        <f ca="1">SUM(_xlfn.ANCHORARRAY(DI9))</f>
        <v>652247.45049071126</v>
      </c>
      <c r="DJ8" s="519">
        <f ca="1">SUM(_xlfn.ANCHORARRAY(DJ9))</f>
        <v>489185.58786803344</v>
      </c>
      <c r="DK8" s="519">
        <f ca="1">SUM(_xlfn.ANCHORARRAY(DK9))</f>
        <v>163061.86262267781</v>
      </c>
      <c r="DL8" s="519">
        <f t="shared" ref="DL8:DQ8" ca="1" si="7">SUM(DL9:DL81)</f>
        <v>0</v>
      </c>
      <c r="DM8" s="519">
        <f t="shared" ca="1" si="7"/>
        <v>0</v>
      </c>
      <c r="DN8" s="519">
        <f t="shared" ca="1" si="7"/>
        <v>0</v>
      </c>
      <c r="DO8" s="519">
        <f t="shared" ca="1" si="7"/>
        <v>0</v>
      </c>
      <c r="DP8" s="519">
        <f t="shared" ca="1" si="7"/>
        <v>0</v>
      </c>
      <c r="DQ8" s="519">
        <f t="shared" ca="1" si="7"/>
        <v>0</v>
      </c>
      <c r="DR8" s="519">
        <f ca="1">SUM(_xlfn.ANCHORARRAY(DR9))</f>
        <v>0</v>
      </c>
      <c r="DS8" s="519">
        <f ca="1">SUM(_xlfn.ANCHORARRAY(DS9))</f>
        <v>0</v>
      </c>
      <c r="DT8" s="519">
        <f ca="1">SUM(DT9:DT81)</f>
        <v>489185.58786803344</v>
      </c>
      <c r="DU8" s="519">
        <f ca="1">SUM(DU9:DU81)</f>
        <v>163061.86262267781</v>
      </c>
      <c r="DV8" s="457"/>
      <c r="DW8" s="457"/>
      <c r="DX8" s="519">
        <f ca="1">SUM(DX9:DX81)+DW9</f>
        <v>652247.45049071126</v>
      </c>
      <c r="DY8" s="519">
        <f ca="1">SUM(DY9:DY81)+DX9</f>
        <v>652247.45049071102</v>
      </c>
      <c r="DZ8" s="519">
        <f ca="1">SUM(DZ9:DZ81)</f>
        <v>0</v>
      </c>
      <c r="EA8" s="519">
        <f ca="1">SUM(EA9:EA81)</f>
        <v>0</v>
      </c>
      <c r="EB8" s="519">
        <f ca="1">SUM(EB9:EB81)</f>
        <v>0</v>
      </c>
      <c r="EC8" s="519">
        <f ca="1">SUM(EC9:EC81)</f>
        <v>0</v>
      </c>
      <c r="ED8" s="519">
        <f ca="1">SUM(ED9:ED81)</f>
        <v>652247.45049071126</v>
      </c>
      <c r="EE8" s="457"/>
      <c r="EF8" s="457"/>
    </row>
    <row r="9" spans="1:138" ht="17.25" thickTop="1" thickBot="1">
      <c r="A9" s="225">
        <f>-AV9</f>
        <v>1570500</v>
      </c>
      <c r="B9" s="225">
        <f ca="1">-AZ9</f>
        <v>1639848.0539467505</v>
      </c>
      <c r="D9" s="184" cm="1">
        <f t="array" ref="D9:D54">_xlfn.SEQUENCE(DATEDIF(i_date.Start,Project!$G$13,"M")+1,1,0)</f>
        <v>0</v>
      </c>
      <c r="E9" s="184" cm="1">
        <f t="array" ref="E9:E54">INT(INT(_xlfn.ANCHORARRAY(D9)+2)/3)</f>
        <v>0</v>
      </c>
      <c r="F9" s="184" cm="1">
        <f t="array" ref="F9:F54">INT((_xlfn.ANCHORARRAY(D9)-1)/12) + 1</f>
        <v>0</v>
      </c>
      <c r="G9" s="119" cm="1">
        <f t="array" ref="G9:G54">EDATE(i_date.Start, _xlfn.SEQUENCE(DATEDIF(i_date.Start, Project!$G$13, "M") + 1, 1, 0))</f>
        <v>45809</v>
      </c>
      <c r="H9" s="118" t="str" cm="1">
        <f t="array" ref="H9:H54">"Q"&amp;ROUNDUP(MONTH(_xlfn.ANCHORARRAY(G9))/3,0)&amp;"-"&amp;_xlfn.ANCHORARRAY($I9)-2000</f>
        <v>Q2-25</v>
      </c>
      <c r="I9" s="120" cm="1">
        <f t="array" ref="I9:I54">YEAR(_xlfn.ANCHORARRAY(G9))</f>
        <v>2025</v>
      </c>
      <c r="K9" s="138" cm="1">
        <f t="array" ref="K9:K54">IF(_xlfn.ANCHORARRAY(G9)=i_date.Start,Project!$F$21,0)</f>
        <v>1500000</v>
      </c>
      <c r="L9" s="138" cm="1">
        <f t="array" ref="L9:L54">IF((_xlfn.ANCHORARRAY($D9)&gt;=Project!$H$24)*(_xlfn.ANCHORARRAY($D9)&lt;=Project!$H24+Project!$I$24-1),Project!$A$14,0)</f>
        <v>0</v>
      </c>
      <c r="M9" s="138" cm="1">
        <f t="array" ref="M9:M54">IF((_xlfn.ANCHORARRAY($D9) &gt;= Project!$H$25) * (_xlfn.ANCHORARRAY($D9) &lt;=Project!$H25+ Project!$I$25-1), Project!$A$15, 0)</f>
        <v>0</v>
      </c>
      <c r="N9" s="138" cm="1">
        <f t="array" ref="N9:N54">IF((_xlfn.ANCHORARRAY($D9) &gt;= Project!$H$26) * (_xlfn.ANCHORARRAY($D9) &lt;=Project!$H26+ Project!$I$26-1), Project!$A$16, 0)</f>
        <v>0</v>
      </c>
      <c r="O9" s="138" cm="1">
        <f t="array" ref="O9:O54">IF((_xlfn.ANCHORARRAY($D9) &gt;= Project!$H$27) * (_xlfn.ANCHORARRAY($D9) &lt;=Project!$H27+ Project!$I$27-1), Project!$A$17, 0)</f>
        <v>0</v>
      </c>
      <c r="P9" s="138" cm="1">
        <f t="array" ref="P9:P54">IF((_xlfn.ANCHORARRAY($D9) &gt;= Project!$H$28) * (_xlfn.ANCHORARRAY($D9) &lt;=Project!$H28+ Project!$I$28-1), Project!$A$18, 0)</f>
        <v>0</v>
      </c>
      <c r="Q9" s="138" cm="1">
        <f t="array" ref="Q9:Q54">IF((_xlfn.ANCHORARRAY($D9) &gt;= Project!$H$29) * (_xlfn.ANCHORARRAY($D9) &lt;=Project!$H29+ Project!$I$29-1), Project!$A$19, 0)</f>
        <v>0</v>
      </c>
      <c r="R9" s="138" cm="1">
        <f t="array" ref="R9:R54">IF((_xlfn.ANCHORARRAY($D9) &gt;= Project!$H$30) * (_xlfn.ANCHORARRAY($D9) &lt;=Project!$H30+ Project!$I$30-1), Project!$A$20, 0)</f>
        <v>0</v>
      </c>
      <c r="S9" s="138" cm="1">
        <f t="array" ref="S9:S54">IF((_xlfn.ANCHORARRAY($D9) &gt;= Project!$H$31) * (_xlfn.ANCHORARRAY($D9) &lt;=Project!$H31+ Project!$I$31-1), Project!$A$21, 0)</f>
        <v>0</v>
      </c>
      <c r="T9" s="138" cm="1">
        <f t="array" ref="T9:T54">_xlfn.ANCHORARRAY(K9)+_xlfn.ANCHORARRAY(L9)+_xlfn.ANCHORARRAY(M9)+_xlfn.ANCHORARRAY(N9)+_xlfn.ANCHORARRAY(O9)+_xlfn.ANCHORARRAY(P9)+_xlfn.ANCHORARRAY(Q9)+_xlfn.ANCHORARRAY(R9)+_xlfn.ANCHORARRAY(S9)</f>
        <v>1500000</v>
      </c>
      <c r="U9" s="136"/>
      <c r="V9" s="138" cm="1">
        <f t="array" ref="V9:V54">IF(_xlfn.ANCHORARRAY($D9)&gt;0,Project!$A$34/12,0)</f>
        <v>0</v>
      </c>
      <c r="W9" s="138" cm="1">
        <f t="array" ref="W9:W54">IF(_xlfn.ANCHORARRAY($D9)&gt;0,Project!$A$35/12,0)</f>
        <v>0</v>
      </c>
      <c r="X9" s="138" cm="1">
        <f t="array" ref="X9:X54">IF(_xlfn.ANCHORARRAY($D9)&gt;0,Project!$A$36/12,0)</f>
        <v>0</v>
      </c>
      <c r="Y9" s="138" cm="1">
        <f t="array" ref="Y9:Y54">IF(_xlfn.ANCHORARRAY($D9)&gt;0,Project!$A$37/12,0)</f>
        <v>0</v>
      </c>
      <c r="Z9" s="138" cm="1">
        <f t="array" ref="Z9:Z54">_xlfn.ANCHORARRAY(T9)*i_rate.Conting</f>
        <v>52500.000000000007</v>
      </c>
      <c r="AA9" s="138" cm="1">
        <f t="array" ref="AA9:AA54">IF(_xlfn.ANCHORARRAY($D9)&gt;c_period.Complete,0,Project!$A$39/12)</f>
        <v>18000</v>
      </c>
      <c r="AB9" s="138" cm="1">
        <f t="array" ref="AB9:AB54">_xlfn.ANCHORARRAY(V9)+_xlfn.ANCHORARRAY(W9)+_xlfn.ANCHORARRAY(X9)+_xlfn.ANCHORARRAY(Y9)+_xlfn.ANCHORARRAY(Z9)+_xlfn.ANCHORARRAY(AA9)</f>
        <v>70500</v>
      </c>
      <c r="AC9" s="137"/>
      <c r="AD9" s="138" cm="1">
        <f t="array" ref="AD9:AD54">_xlfn.ANCHORARRAY(T9)+_xlfn.ANCHORARRAY(AB9)</f>
        <v>1570500</v>
      </c>
      <c r="AF9" s="138" cm="1">
        <f t="array" ref="AF9:AF54">IF(_xlfn.ANCHORARRAY(G9)=c_date.Sale,Project!$G$14,0)</f>
        <v>0</v>
      </c>
      <c r="AG9" s="138" cm="1">
        <f t="array" ref="AG9:AG54">_xlfn.ANCHORARRAY($AF9)*-Project!$F$15</f>
        <v>0</v>
      </c>
      <c r="AH9" s="138" cm="1">
        <f t="array" ref="AH9:AH54">_xlfn.ANCHORARRAY(AF9)*-Project!$F$16</f>
        <v>0</v>
      </c>
      <c r="AI9" s="138" cm="1">
        <f t="array" ref="AI9:AI54">_xlfn.ANCHORARRAY(AF9)+_xlfn.ANCHORARRAY(AG9)+_xlfn.ANCHORARRAY(AH9)</f>
        <v>0</v>
      </c>
      <c r="AJ9" s="138" cm="1">
        <f t="array" ref="AJ9:AJ54">_xlfn.ANCHORARRAY(AI9)-_xlfn.ANCHORARRAY(AD9)</f>
        <v>-1570500</v>
      </c>
      <c r="AK9" s="143"/>
      <c r="AL9" s="138">
        <f ca="1">c_equity.Total</f>
        <v>1873996.0345865386</v>
      </c>
      <c r="AM9" s="138">
        <f ca="1">MIN(AD9,AL9)-AW9</f>
        <v>1639848.0539467505</v>
      </c>
      <c r="AN9" s="138">
        <f t="shared" ref="AN9:AN16" ca="1" si="8">AL9-AM9</f>
        <v>234147.98063978809</v>
      </c>
      <c r="AP9" s="138"/>
      <c r="AQ9" s="138">
        <f t="shared" ref="AQ9:AQ40" ca="1" si="9">IF(AN9=0,AD9-AM9,0)</f>
        <v>0</v>
      </c>
      <c r="AR9" s="138">
        <f>AT8*Project!$P$13/12</f>
        <v>0</v>
      </c>
      <c r="AS9" s="138">
        <f t="shared" ref="AS9:AS40" si="10">IF(AI9&gt;0,AP9+AQ9+AR9,0)</f>
        <v>0</v>
      </c>
      <c r="AT9" s="138">
        <f t="shared" ref="AT9:AT56" ca="1" si="11">AP9+AQ9+AR9-AS9</f>
        <v>0</v>
      </c>
      <c r="AV9" s="138" cm="1">
        <f t="array" ref="AV9:AV54">_xlfn.ANCHORARRAY(AJ9)</f>
        <v>-1570500</v>
      </c>
      <c r="AW9" s="138">
        <f ca="1">-(Project!P23+Project!P24+Project!P26)</f>
        <v>-69348.053946750442</v>
      </c>
      <c r="AX9" s="138" cm="1">
        <f t="array" aca="1" ref="AX9:AX69" ca="1">AQ9:AQ69</f>
        <v>0</v>
      </c>
      <c r="AY9" s="138" cm="1">
        <f t="array" aca="1" ref="AY9:AY69" ca="1">AS9:AS69</f>
        <v>0</v>
      </c>
      <c r="AZ9" s="138">
        <f t="shared" ref="AZ9:AZ40" ca="1" si="12">AV9+AW9+AX9-AY9</f>
        <v>-1639848.0539467505</v>
      </c>
      <c r="BC9" s="520" t="s">
        <v>200</v>
      </c>
      <c r="BD9" s="586"/>
      <c r="BE9" s="521"/>
      <c r="BF9" s="522"/>
      <c r="BG9" s="521"/>
      <c r="BH9" s="511"/>
      <c r="BI9" s="138">
        <f t="shared" ref="BI9:BI40" si="13">IF(D9=0,0,BM8)</f>
        <v>0</v>
      </c>
      <c r="BJ9" s="138">
        <f t="shared" ref="BJ9:BJ40" ca="1" si="14">IF($AZ9=0,0,-MIN(0,AZ9*c_EquityShare.LP))</f>
        <v>1229886.0404600629</v>
      </c>
      <c r="BK9" s="138">
        <f>BI9*(Project!$N$41/12)</f>
        <v>0</v>
      </c>
      <c r="BL9" s="138">
        <f t="shared" ref="BL9:BL40" ca="1" si="15">IF($AZ9=0,0,MAX(MIN($AZ9*$BI$7,BI9+BK9-BJ9),0))</f>
        <v>0</v>
      </c>
      <c r="BM9" s="138">
        <f t="shared" ref="BM9:BM41" ca="1" si="16">BI9+BK9+BJ9-BL9</f>
        <v>1229886.0404600629</v>
      </c>
      <c r="BN9" s="138">
        <f ca="1">-BM9</f>
        <v>-1229886.0404600629</v>
      </c>
      <c r="BO9" s="138">
        <f ca="1">AZ9*i_EquityShare.GP</f>
        <v>-409962.01348668762</v>
      </c>
      <c r="BP9" s="138">
        <f ca="1">AZ9</f>
        <v>-1639848.0539467505</v>
      </c>
      <c r="BQ9" s="138">
        <f t="shared" ref="BQ9:BQ40" ca="1" si="17">IF(G9=0,0,MAX(AZ9-BP9,0))</f>
        <v>0</v>
      </c>
      <c r="BR9" s="525"/>
      <c r="BS9" s="138">
        <v>0</v>
      </c>
      <c r="BT9" s="138">
        <f t="shared" ref="BT9:BT40" ca="1" si="18">IF($AZ9=0,0,-MIN(0,$AZ9*c_EquityShare.LP))</f>
        <v>1229886.0404600629</v>
      </c>
      <c r="BU9" s="138" cm="1">
        <f t="array" ref="BU9">IF(D9=0,0,BS9*(c_rate.Hurdle1.MO))</f>
        <v>0</v>
      </c>
      <c r="BV9" s="138">
        <v>0</v>
      </c>
      <c r="BW9" s="138">
        <f t="shared" ref="BW9:BW40" ca="1" si="19">MIN(BS9+BU9-BV9,BQ9*BS$7)</f>
        <v>0</v>
      </c>
      <c r="BX9" s="138">
        <f ca="1">BS9+BU9+BT9-BV9-BW9</f>
        <v>1229886.0404600629</v>
      </c>
      <c r="BY9" s="138">
        <f ca="1">-BT9</f>
        <v>-1229886.0404600629</v>
      </c>
      <c r="BZ9" s="138">
        <f ca="1">BO9</f>
        <v>-409962.01348668762</v>
      </c>
      <c r="CA9" s="138">
        <f t="shared" ref="CA9:CA40" ca="1" si="20">BY9+BZ9</f>
        <v>-1639848.0539467505</v>
      </c>
      <c r="CB9" s="138">
        <v>0</v>
      </c>
      <c r="CC9" s="525"/>
      <c r="CD9" s="138">
        <v>0</v>
      </c>
      <c r="CE9" s="138">
        <f t="shared" ref="CE9:CE40" ca="1" si="21">IF($AZ9=0,0,-MIN(0,$AZ9*c_EquityShare.LP))</f>
        <v>1229886.0404600629</v>
      </c>
      <c r="CF9" s="138">
        <v>0</v>
      </c>
      <c r="CG9" s="138">
        <f t="shared" ref="CG9:CG40" ca="1" si="22">BV9+BW9</f>
        <v>0</v>
      </c>
      <c r="CH9" s="138"/>
      <c r="CI9" s="138">
        <f t="shared" ref="CI9:CI40" ca="1" si="23">CD9+CF9+CE9-CG9-CH9</f>
        <v>1229886.0404600629</v>
      </c>
      <c r="CJ9" s="138">
        <f t="shared" ref="CJ9:CJ40" ca="1" si="24">-CE9+CG9+CH9</f>
        <v>-1229886.0404600629</v>
      </c>
      <c r="CK9" s="138">
        <f t="shared" ref="CK9:CK40" ca="1" si="25">BY9+CH9</f>
        <v>-1229886.0404600629</v>
      </c>
      <c r="CL9" s="138">
        <f ca="1">BZ9</f>
        <v>-409962.01348668762</v>
      </c>
      <c r="CM9" s="138">
        <f t="shared" ref="CM9:CM40" ca="1" si="26">CK9+CL9</f>
        <v>-1639848.0539467505</v>
      </c>
      <c r="CN9" s="138">
        <f t="shared" ref="CN9:CN40" ca="1" si="27">IF(CM9&lt;0,0,MAX($AZ9-CM9,0))</f>
        <v>0</v>
      </c>
      <c r="CO9" s="525"/>
      <c r="CP9" s="138">
        <v>0</v>
      </c>
      <c r="CQ9" s="138">
        <f t="shared" ref="CQ9:CQ40" ca="1" si="28">IF($AZ9=0,0,-MIN(0,$AZ9*c_EquityShare.LP))</f>
        <v>1229886.0404600629</v>
      </c>
      <c r="CR9" s="138" cm="1">
        <f t="array" ref="CR9">IF($D10=0,0,CP9*(c_rate.Hurdle3.MO))</f>
        <v>0</v>
      </c>
      <c r="CS9" s="138">
        <f t="shared" ref="CS9:CS40" ca="1" si="29">CG9+CH9</f>
        <v>0</v>
      </c>
      <c r="CT9" s="138">
        <v>0</v>
      </c>
      <c r="CU9" s="138">
        <f t="shared" ref="CU9:CU40" ca="1" si="30">CP9+CR9+CQ9-CS9-CT9</f>
        <v>1229886.0404600629</v>
      </c>
      <c r="CV9" s="138">
        <f t="shared" ref="CV9:CV40" ca="1" si="31">-CQ9+CS9+CT9</f>
        <v>-1229886.0404600629</v>
      </c>
      <c r="CW9" s="138">
        <f ca="1">CK9</f>
        <v>-1229886.0404600629</v>
      </c>
      <c r="CX9" s="138">
        <f ca="1">CL9</f>
        <v>-409962.01348668762</v>
      </c>
      <c r="CY9" s="138">
        <f ca="1">CM9</f>
        <v>-1639848.0539467505</v>
      </c>
      <c r="CZ9" s="138">
        <v>0</v>
      </c>
      <c r="DA9" s="525"/>
      <c r="DB9" s="138">
        <f t="shared" ref="DB9:DB40" si="32">$CZ9-DC9</f>
        <v>0</v>
      </c>
      <c r="DC9" s="138">
        <f t="shared" ref="DC9:DC40" si="33">$CZ9*$BF$19</f>
        <v>0</v>
      </c>
      <c r="DD9" s="526"/>
      <c r="DE9" s="138">
        <f ca="1">CW9</f>
        <v>-1229886.0404600629</v>
      </c>
      <c r="DF9" s="138">
        <f ca="1">CX9</f>
        <v>-409962.01348668762</v>
      </c>
      <c r="DG9" s="138">
        <f t="shared" ref="DG9:DG40" ca="1" si="34">SUM(DE9:DF9)</f>
        <v>-1639848.0539467505</v>
      </c>
      <c r="DH9" s="457"/>
      <c r="DI9" s="138" cm="1">
        <f t="array" aca="1" ref="DI9:DI81" ca="1">AZ9:AZ81</f>
        <v>-1639848.0539467505</v>
      </c>
      <c r="DJ9" s="138" cm="1">
        <f t="array" aca="1" ref="DJ9:DJ81" ca="1">BN9:BN81</f>
        <v>-1229886.0404600629</v>
      </c>
      <c r="DK9" s="138" cm="1">
        <f t="array" aca="1" ref="DK9:DK81" ca="1">BO9:BO81</f>
        <v>-409962.01348668762</v>
      </c>
      <c r="DL9" s="138">
        <f t="shared" ref="DL9:DL40" ca="1" si="35">BY9-BN9</f>
        <v>0</v>
      </c>
      <c r="DM9" s="138">
        <f t="shared" ref="DM9:DM40" ca="1" si="36">BZ9-BO9</f>
        <v>0</v>
      </c>
      <c r="DN9" s="138">
        <f t="shared" ref="DN9:DN40" ca="1" si="37">CK9-BY9</f>
        <v>0</v>
      </c>
      <c r="DO9" s="138">
        <f t="shared" ref="DO9:DO40" ca="1" si="38">CL9-BZ9</f>
        <v>0</v>
      </c>
      <c r="DP9" s="138">
        <f t="shared" ref="DP9:DP40" ca="1" si="39">CW9-CK9</f>
        <v>0</v>
      </c>
      <c r="DQ9" s="138">
        <f t="shared" ref="DQ9:DQ40" ca="1" si="40">CX9-CL9</f>
        <v>0</v>
      </c>
      <c r="DR9" s="138" cm="1">
        <f t="array" aca="1" ref="DR9:DR81" ca="1">DB9:DB81</f>
        <v>0</v>
      </c>
      <c r="DS9" s="138" cm="1">
        <f t="array" aca="1" ref="DS9:DS81" ca="1">DC9:DC81</f>
        <v>0</v>
      </c>
      <c r="DT9" s="138">
        <f t="shared" ref="DT9:DT40" ca="1" si="41">DJ9+DL9+DN9+DP9+DR9</f>
        <v>-1229886.0404600629</v>
      </c>
      <c r="DU9" s="138">
        <f t="shared" ref="DU9:DU40" ca="1" si="42">DK9+DM9+DO9+DQ9+DS9</f>
        <v>-409962.01348668762</v>
      </c>
      <c r="DV9" s="457"/>
      <c r="DW9" s="457"/>
      <c r="DX9" s="138" cm="1">
        <f t="array" aca="1" ref="DX9:DX81" ca="1">AZ9:AZ81</f>
        <v>-1639848.0539467505</v>
      </c>
      <c r="DY9" s="138"/>
      <c r="DZ9" s="138">
        <f t="shared" ref="DZ9:DZ40" ca="1" si="43">DL9+DM9</f>
        <v>0</v>
      </c>
      <c r="EA9" s="138">
        <f t="shared" ref="EA9:EA40" ca="1" si="44">DN9+DO9</f>
        <v>0</v>
      </c>
      <c r="EB9" s="138">
        <f t="shared" ref="EB9:EB40" ca="1" si="45">DP9+DQ9</f>
        <v>0</v>
      </c>
      <c r="EC9" s="138">
        <f t="shared" ref="EC9:EC40" ca="1" si="46">DR9+DS9</f>
        <v>0</v>
      </c>
      <c r="ED9" s="138">
        <f ca="1">DX9</f>
        <v>-1639848.0539467505</v>
      </c>
      <c r="EE9" s="457"/>
      <c r="EF9" s="457"/>
    </row>
    <row r="10" spans="1:138" ht="17.25" thickTop="1" thickBot="1">
      <c r="A10" s="227">
        <f>IF(AV10&gt;0,0,A9-AJ10)</f>
        <v>1631380</v>
      </c>
      <c r="B10" s="227">
        <f t="shared" ref="B10:B41" ca="1" si="47">IF(AZ10&gt;0,0,B9-AZ10)</f>
        <v>1700728.0539467505</v>
      </c>
      <c r="D10" s="185">
        <v>1</v>
      </c>
      <c r="E10" s="185">
        <v>1</v>
      </c>
      <c r="F10" s="185">
        <v>1</v>
      </c>
      <c r="G10" s="128">
        <v>45839</v>
      </c>
      <c r="H10" s="120" t="str">
        <v>Q3-25</v>
      </c>
      <c r="I10" s="120">
        <v>2025</v>
      </c>
      <c r="K10" s="138">
        <v>0</v>
      </c>
      <c r="L10" s="138">
        <v>40000</v>
      </c>
      <c r="M10" s="138">
        <v>0</v>
      </c>
      <c r="N10" s="138">
        <v>0</v>
      </c>
      <c r="O10" s="138">
        <v>0</v>
      </c>
      <c r="P10" s="138">
        <v>0</v>
      </c>
      <c r="Q10" s="138">
        <v>0</v>
      </c>
      <c r="R10" s="138">
        <v>0</v>
      </c>
      <c r="S10" s="138">
        <v>0</v>
      </c>
      <c r="T10" s="138">
        <v>40000</v>
      </c>
      <c r="U10" s="136"/>
      <c r="V10" s="138">
        <v>166.66666666666666</v>
      </c>
      <c r="W10" s="138">
        <v>500</v>
      </c>
      <c r="X10" s="138">
        <v>333.33333333333331</v>
      </c>
      <c r="Y10" s="138">
        <v>480</v>
      </c>
      <c r="Z10" s="138">
        <v>1400.0000000000002</v>
      </c>
      <c r="AA10" s="138">
        <v>18000</v>
      </c>
      <c r="AB10" s="138">
        <v>20880</v>
      </c>
      <c r="AC10" s="137"/>
      <c r="AD10" s="138">
        <v>60880</v>
      </c>
      <c r="AF10" s="138">
        <v>0</v>
      </c>
      <c r="AG10" s="138">
        <v>0</v>
      </c>
      <c r="AH10" s="138">
        <v>0</v>
      </c>
      <c r="AI10" s="138">
        <v>0</v>
      </c>
      <c r="AJ10" s="138">
        <v>-60880</v>
      </c>
      <c r="AL10" s="138">
        <f t="shared" ref="AL10:AL16" ca="1" si="48">AN9</f>
        <v>234147.98063978809</v>
      </c>
      <c r="AM10" s="138">
        <f t="shared" ref="AM10:AM41" ca="1" si="49">MIN(AD10,AL10)</f>
        <v>60880</v>
      </c>
      <c r="AN10" s="138">
        <f t="shared" ca="1" si="8"/>
        <v>173267.98063978809</v>
      </c>
      <c r="AP10" s="138">
        <f t="shared" ref="AP10:AP56" ca="1" si="50">AT9</f>
        <v>0</v>
      </c>
      <c r="AQ10" s="138">
        <f t="shared" ca="1" si="9"/>
        <v>0</v>
      </c>
      <c r="AR10" s="138">
        <f ca="1">AT9*Project!$P$13/12</f>
        <v>0</v>
      </c>
      <c r="AS10" s="138">
        <f t="shared" si="10"/>
        <v>0</v>
      </c>
      <c r="AT10" s="138">
        <f t="shared" ca="1" si="11"/>
        <v>0</v>
      </c>
      <c r="AV10" s="138">
        <v>-60880</v>
      </c>
      <c r="AW10" s="138"/>
      <c r="AX10" s="138">
        <f ca="1"/>
        <v>0</v>
      </c>
      <c r="AY10" s="138">
        <f ca="1"/>
        <v>0</v>
      </c>
      <c r="AZ10" s="138">
        <f t="shared" ca="1" si="12"/>
        <v>-60880</v>
      </c>
      <c r="BC10" s="527" t="s">
        <v>201</v>
      </c>
      <c r="BD10" s="549"/>
      <c r="BE10" s="529">
        <f>i_EquityShare.GP+BG10</f>
        <v>1</v>
      </c>
      <c r="BF10" s="530">
        <f>i_EquityShare.GP</f>
        <v>0.25</v>
      </c>
      <c r="BG10" s="529">
        <f>c_EquityShare.LP</f>
        <v>0.75</v>
      </c>
      <c r="BH10" s="511"/>
      <c r="BI10" s="138">
        <f t="shared" ca="1" si="13"/>
        <v>1229886.0404600629</v>
      </c>
      <c r="BJ10" s="138">
        <f t="shared" ca="1" si="14"/>
        <v>45660</v>
      </c>
      <c r="BK10" s="138" cm="1">
        <f t="array" aca="1" ref="BK10" ca="1">BI10*c_rate.Pref.MO</f>
        <v>9807.2839981769594</v>
      </c>
      <c r="BL10" s="138">
        <f t="shared" ca="1" si="15"/>
        <v>0</v>
      </c>
      <c r="BM10" s="138">
        <f t="shared" ca="1" si="16"/>
        <v>1285353.3244582398</v>
      </c>
      <c r="BN10" s="138">
        <f t="shared" ref="BN10:BN41" ca="1" si="51">BL10-BJ10</f>
        <v>-45660</v>
      </c>
      <c r="BO10" s="138">
        <f ca="1">IF(BI10=0,0,IF(AZ10&lt;0,BN10/$BG$10*$BF$10,BL10/$BG$10*$BF$10))</f>
        <v>-15220</v>
      </c>
      <c r="BP10" s="138">
        <f t="shared" ref="BP10:BP41" ca="1" si="52">BN10+BO10</f>
        <v>-60880</v>
      </c>
      <c r="BQ10" s="138">
        <f t="shared" ca="1" si="17"/>
        <v>0</v>
      </c>
      <c r="BR10" s="516"/>
      <c r="BS10" s="138">
        <f t="shared" ref="BS10:BS41" ca="1" si="53">BX9</f>
        <v>1229886.0404600629</v>
      </c>
      <c r="BT10" s="138">
        <f t="shared" ca="1" si="18"/>
        <v>45660</v>
      </c>
      <c r="BU10" s="138" cm="1">
        <f t="array" aca="1" ref="BU10" ca="1">IF(D10=0,0,BS10*(c_rate.Hurdle1.MO))</f>
        <v>14408.01278487707</v>
      </c>
      <c r="BV10" s="138">
        <f t="shared" ref="BV10:BV41" ca="1" si="54">BL10</f>
        <v>0</v>
      </c>
      <c r="BW10" s="138">
        <f t="shared" ca="1" si="19"/>
        <v>0</v>
      </c>
      <c r="BX10" s="138">
        <f t="shared" ref="BX10:BX41" ca="1" si="55">BS10+BT10+BU10-BV10-BW10</f>
        <v>1289954.05324494</v>
      </c>
      <c r="BY10" s="138">
        <f t="shared" ref="BY10:BY41" ca="1" si="56">BN10+BW10</f>
        <v>-45660</v>
      </c>
      <c r="BZ10" s="138">
        <f t="shared" ref="BZ10:BZ41" ca="1" si="57">IF(BS10=0,0,BO10+BW10/$BG$16*$BF$16)</f>
        <v>-15220</v>
      </c>
      <c r="CA10" s="138">
        <f t="shared" ca="1" si="20"/>
        <v>-60880</v>
      </c>
      <c r="CB10" s="138">
        <f t="shared" ref="CB10:CB41" ca="1" si="58">IF(CA10&lt;0,0,MAX($AZ10-CA10,0))</f>
        <v>0</v>
      </c>
      <c r="CC10" s="516"/>
      <c r="CD10" s="138">
        <f t="shared" ref="CD10:CD41" ca="1" si="59">CI9</f>
        <v>1229886.0404600629</v>
      </c>
      <c r="CE10" s="138">
        <f t="shared" ca="1" si="21"/>
        <v>45660</v>
      </c>
      <c r="CF10" s="138" cm="1">
        <f t="array" aca="1" ref="CF10" ca="1">IF($D10=0,0,CD10*(c_rate.Hurdle2.MO))</f>
        <v>18828.904054454539</v>
      </c>
      <c r="CG10" s="138">
        <f t="shared" ca="1" si="22"/>
        <v>0</v>
      </c>
      <c r="CH10" s="138">
        <f t="shared" ref="CH10:CH41" ca="1" si="60">IF(CB10=0,0,MIN(CD10+CE10+CF10-CG10,CB10*CD$7))</f>
        <v>0</v>
      </c>
      <c r="CI10" s="138">
        <f t="shared" ca="1" si="23"/>
        <v>1294374.9445145174</v>
      </c>
      <c r="CJ10" s="138">
        <f t="shared" ca="1" si="24"/>
        <v>-45660</v>
      </c>
      <c r="CK10" s="138">
        <f t="shared" ca="1" si="25"/>
        <v>-45660</v>
      </c>
      <c r="CL10" s="138">
        <f t="shared" ref="CL10:CL41" ca="1" si="61">IF(CD10=0,0,BZ10+CH10/$BG$17*$BF$17)</f>
        <v>-15220</v>
      </c>
      <c r="CM10" s="138">
        <f t="shared" ca="1" si="26"/>
        <v>-60880</v>
      </c>
      <c r="CN10" s="138">
        <f t="shared" ca="1" si="27"/>
        <v>0</v>
      </c>
      <c r="CO10" s="516"/>
      <c r="CP10" s="138">
        <f t="shared" ref="CP10:CP41" ca="1" si="62">CU9</f>
        <v>1229886.0404600629</v>
      </c>
      <c r="CQ10" s="138">
        <f t="shared" ca="1" si="28"/>
        <v>45660</v>
      </c>
      <c r="CR10" s="138" cm="1">
        <f t="array" aca="1" ref="CR10" ca="1">IF($D10=0,0,CP10*(c_rate.Hurdle3.MO))</f>
        <v>23084.057162634323</v>
      </c>
      <c r="CS10" s="138">
        <f t="shared" ca="1" si="29"/>
        <v>0</v>
      </c>
      <c r="CT10" s="138">
        <f t="shared" ref="CT10:CT41" ca="1" si="63">IF(CP10=0,0,MIN(CP10+CQ10+CR10-CS10,CN10*CP$7))</f>
        <v>0</v>
      </c>
      <c r="CU10" s="138">
        <f t="shared" ca="1" si="30"/>
        <v>1298630.0976226972</v>
      </c>
      <c r="CV10" s="138">
        <f t="shared" ca="1" si="31"/>
        <v>-45660</v>
      </c>
      <c r="CW10" s="138">
        <f t="shared" ref="CW10:CW41" ca="1" si="64">CK10+CT10</f>
        <v>-45660</v>
      </c>
      <c r="CX10" s="138">
        <f t="shared" ref="CX10:CX41" ca="1" si="65">IF(CP10=0,0,CL10+CT10/$BG$18*$BF$18)</f>
        <v>-15220</v>
      </c>
      <c r="CY10" s="138">
        <f t="shared" ref="CY10:CY41" ca="1" si="66">CW10+CX10</f>
        <v>-60880</v>
      </c>
      <c r="CZ10" s="138">
        <f t="shared" ref="CZ10:CZ41" ca="1" si="67">IF(CY10&lt;0,0,MAX($AZ10-CY10,0))</f>
        <v>0</v>
      </c>
      <c r="DA10" s="516"/>
      <c r="DB10" s="138">
        <f t="shared" ca="1" si="32"/>
        <v>0</v>
      </c>
      <c r="DC10" s="138">
        <f t="shared" ca="1" si="33"/>
        <v>0</v>
      </c>
      <c r="DD10" s="518"/>
      <c r="DE10" s="138">
        <f t="shared" ref="DE10:DE41" ca="1" si="68">CW10+DB10</f>
        <v>-45660</v>
      </c>
      <c r="DF10" s="138">
        <f t="shared" ref="DF10:DF41" ca="1" si="69">CX10+DC10</f>
        <v>-15220</v>
      </c>
      <c r="DG10" s="138">
        <f t="shared" ca="1" si="34"/>
        <v>-60880</v>
      </c>
      <c r="DH10" s="457"/>
      <c r="DI10" s="138">
        <f ca="1"/>
        <v>-60880</v>
      </c>
      <c r="DJ10" s="138">
        <f ca="1"/>
        <v>-45660</v>
      </c>
      <c r="DK10" s="138">
        <f ca="1"/>
        <v>-15220</v>
      </c>
      <c r="DL10" s="138">
        <f t="shared" ca="1" si="35"/>
        <v>0</v>
      </c>
      <c r="DM10" s="138">
        <f t="shared" ca="1" si="36"/>
        <v>0</v>
      </c>
      <c r="DN10" s="138">
        <f t="shared" ca="1" si="37"/>
        <v>0</v>
      </c>
      <c r="DO10" s="138">
        <f t="shared" ca="1" si="38"/>
        <v>0</v>
      </c>
      <c r="DP10" s="138">
        <f t="shared" ca="1" si="39"/>
        <v>0</v>
      </c>
      <c r="DQ10" s="138">
        <f t="shared" ca="1" si="40"/>
        <v>0</v>
      </c>
      <c r="DR10" s="138">
        <f ca="1"/>
        <v>0</v>
      </c>
      <c r="DS10" s="138">
        <f ca="1"/>
        <v>0</v>
      </c>
      <c r="DT10" s="138">
        <f t="shared" ca="1" si="41"/>
        <v>-45660</v>
      </c>
      <c r="DU10" s="138">
        <f t="shared" ca="1" si="42"/>
        <v>-15220</v>
      </c>
      <c r="DV10" s="457"/>
      <c r="DW10" s="457"/>
      <c r="DX10" s="138">
        <f ca="1"/>
        <v>-60880</v>
      </c>
      <c r="DY10" s="138">
        <f t="shared" ref="DY10:DY41" ca="1" si="70">DJ10+DK10</f>
        <v>-60880</v>
      </c>
      <c r="DZ10" s="138">
        <f t="shared" ca="1" si="43"/>
        <v>0</v>
      </c>
      <c r="EA10" s="138">
        <f t="shared" ca="1" si="44"/>
        <v>0</v>
      </c>
      <c r="EB10" s="138">
        <f t="shared" ca="1" si="45"/>
        <v>0</v>
      </c>
      <c r="EC10" s="138">
        <f t="shared" ca="1" si="46"/>
        <v>0</v>
      </c>
      <c r="ED10" s="138">
        <f t="shared" ref="ED10:ED41" ca="1" si="71">SUM(DY10:EC10)</f>
        <v>-60880</v>
      </c>
      <c r="EE10" s="457"/>
      <c r="EF10" s="457"/>
    </row>
    <row r="11" spans="1:138" ht="17.25" thickTop="1" thickBot="1">
      <c r="A11" s="228">
        <f t="shared" ref="A11:A69" si="72">IF(AV11&gt;0,0,A10-AJ11)</f>
        <v>1692260</v>
      </c>
      <c r="B11" s="228">
        <f t="shared" ca="1" si="47"/>
        <v>1761608.0539467505</v>
      </c>
      <c r="D11" s="184">
        <v>2</v>
      </c>
      <c r="E11" s="184">
        <v>1</v>
      </c>
      <c r="F11" s="184">
        <v>1</v>
      </c>
      <c r="G11" s="121">
        <v>45870</v>
      </c>
      <c r="H11" s="118" t="str">
        <v>Q3-25</v>
      </c>
      <c r="I11" s="118">
        <v>2025</v>
      </c>
      <c r="K11" s="139">
        <v>0</v>
      </c>
      <c r="L11" s="139">
        <v>40000</v>
      </c>
      <c r="M11" s="139">
        <v>0</v>
      </c>
      <c r="N11" s="139">
        <v>0</v>
      </c>
      <c r="O11" s="139">
        <v>0</v>
      </c>
      <c r="P11" s="139">
        <v>0</v>
      </c>
      <c r="Q11" s="139">
        <v>0</v>
      </c>
      <c r="R11" s="139">
        <v>0</v>
      </c>
      <c r="S11" s="139">
        <v>0</v>
      </c>
      <c r="T11" s="139">
        <v>40000</v>
      </c>
      <c r="U11" s="136"/>
      <c r="V11" s="139">
        <v>166.66666666666666</v>
      </c>
      <c r="W11" s="139">
        <v>500</v>
      </c>
      <c r="X11" s="139">
        <v>333.33333333333331</v>
      </c>
      <c r="Y11" s="139">
        <v>480</v>
      </c>
      <c r="Z11" s="139">
        <v>1400.0000000000002</v>
      </c>
      <c r="AA11" s="139">
        <v>18000</v>
      </c>
      <c r="AB11" s="139">
        <v>20880</v>
      </c>
      <c r="AC11" s="137"/>
      <c r="AD11" s="139">
        <v>60880</v>
      </c>
      <c r="AF11" s="139">
        <v>0</v>
      </c>
      <c r="AG11" s="139">
        <v>0</v>
      </c>
      <c r="AH11" s="139">
        <v>0</v>
      </c>
      <c r="AI11" s="139">
        <v>0</v>
      </c>
      <c r="AJ11" s="139">
        <v>-60880</v>
      </c>
      <c r="AL11" s="139">
        <f t="shared" ca="1" si="48"/>
        <v>173267.98063978809</v>
      </c>
      <c r="AM11" s="139">
        <f t="shared" ca="1" si="49"/>
        <v>60880</v>
      </c>
      <c r="AN11" s="139">
        <f t="shared" ca="1" si="8"/>
        <v>112387.98063978809</v>
      </c>
      <c r="AP11" s="139">
        <f t="shared" ca="1" si="50"/>
        <v>0</v>
      </c>
      <c r="AQ11" s="139">
        <f t="shared" ca="1" si="9"/>
        <v>0</v>
      </c>
      <c r="AR11" s="139">
        <f ca="1">AT10*Project!$P$13/12</f>
        <v>0</v>
      </c>
      <c r="AS11" s="139">
        <f t="shared" si="10"/>
        <v>0</v>
      </c>
      <c r="AT11" s="139">
        <f t="shared" ca="1" si="11"/>
        <v>0</v>
      </c>
      <c r="AV11" s="139">
        <v>-60880</v>
      </c>
      <c r="AW11" s="139"/>
      <c r="AX11" s="139">
        <f ca="1"/>
        <v>0</v>
      </c>
      <c r="AY11" s="139">
        <f ca="1"/>
        <v>0</v>
      </c>
      <c r="AZ11" s="139">
        <f t="shared" ca="1" si="12"/>
        <v>-60880</v>
      </c>
      <c r="BC11" s="527" t="s">
        <v>202</v>
      </c>
      <c r="BD11" s="549"/>
      <c r="BE11" s="531">
        <f ca="1">Project!P28</f>
        <v>1873996.0345865386</v>
      </c>
      <c r="BF11" s="531">
        <f ca="1">BE11*BF10</f>
        <v>468499.00864663464</v>
      </c>
      <c r="BG11" s="531">
        <f ca="1">BE11*BG10</f>
        <v>1405497.0259399039</v>
      </c>
      <c r="BH11" s="511"/>
      <c r="BI11" s="139">
        <f t="shared" ca="1" si="13"/>
        <v>1285353.3244582398</v>
      </c>
      <c r="BJ11" s="139">
        <f t="shared" ca="1" si="14"/>
        <v>45660</v>
      </c>
      <c r="BK11" s="139" cm="1">
        <f t="array" aca="1" ref="BK11" ca="1">BI11*c_rate.Pref.MO</f>
        <v>10249.587909988308</v>
      </c>
      <c r="BL11" s="139">
        <f t="shared" ca="1" si="15"/>
        <v>0</v>
      </c>
      <c r="BM11" s="139">
        <f t="shared" ca="1" si="16"/>
        <v>1341262.9123682282</v>
      </c>
      <c r="BN11" s="139">
        <f t="shared" ca="1" si="51"/>
        <v>-45660</v>
      </c>
      <c r="BO11" s="139">
        <f t="shared" ref="BO11:BO41" ca="1" si="73">IF(BI11=0,0,IF(AZ11&lt;0,BN11/$BG$10*$BF$10,BL11/$BG$10*$BF$10))</f>
        <v>-15220</v>
      </c>
      <c r="BP11" s="139">
        <f t="shared" ca="1" si="52"/>
        <v>-60880</v>
      </c>
      <c r="BQ11" s="139">
        <f t="shared" ca="1" si="17"/>
        <v>0</v>
      </c>
      <c r="BR11" s="516"/>
      <c r="BS11" s="139">
        <f t="shared" ca="1" si="53"/>
        <v>1289954.05324494</v>
      </c>
      <c r="BT11" s="139">
        <f t="shared" ca="1" si="18"/>
        <v>45660</v>
      </c>
      <c r="BU11" s="139" cm="1">
        <f t="array" aca="1" ref="BU11" ca="1">IF(D11=0,0,BS11*(c_rate.Hurdle1.MO))</f>
        <v>15111.704564192596</v>
      </c>
      <c r="BV11" s="139">
        <f t="shared" ca="1" si="54"/>
        <v>0</v>
      </c>
      <c r="BW11" s="139">
        <f t="shared" ca="1" si="19"/>
        <v>0</v>
      </c>
      <c r="BX11" s="139">
        <f t="shared" ca="1" si="55"/>
        <v>1350725.7578091326</v>
      </c>
      <c r="BY11" s="139">
        <f t="shared" ca="1" si="56"/>
        <v>-45660</v>
      </c>
      <c r="BZ11" s="139">
        <f t="shared" ca="1" si="57"/>
        <v>-15220</v>
      </c>
      <c r="CA11" s="139">
        <f t="shared" ca="1" si="20"/>
        <v>-60880</v>
      </c>
      <c r="CB11" s="139">
        <f t="shared" ca="1" si="58"/>
        <v>0</v>
      </c>
      <c r="CC11" s="516"/>
      <c r="CD11" s="139">
        <f t="shared" ca="1" si="59"/>
        <v>1294374.9445145174</v>
      </c>
      <c r="CE11" s="139">
        <f t="shared" ca="1" si="21"/>
        <v>45660</v>
      </c>
      <c r="CF11" s="139" cm="1">
        <f t="array" aca="1" ref="CF11" ca="1">IF($D12=0,0,CD11*(c_rate.Hurdle2.MO))</f>
        <v>19816.195028636204</v>
      </c>
      <c r="CG11" s="139">
        <f t="shared" ca="1" si="22"/>
        <v>0</v>
      </c>
      <c r="CH11" s="139">
        <f t="shared" ca="1" si="60"/>
        <v>0</v>
      </c>
      <c r="CI11" s="139">
        <f t="shared" ca="1" si="23"/>
        <v>1359851.1395431536</v>
      </c>
      <c r="CJ11" s="139">
        <f t="shared" ca="1" si="24"/>
        <v>-45660</v>
      </c>
      <c r="CK11" s="139">
        <f t="shared" ca="1" si="25"/>
        <v>-45660</v>
      </c>
      <c r="CL11" s="139">
        <f t="shared" ca="1" si="61"/>
        <v>-15220</v>
      </c>
      <c r="CM11" s="139">
        <f t="shared" ca="1" si="26"/>
        <v>-60880</v>
      </c>
      <c r="CN11" s="139">
        <f t="shared" ca="1" si="27"/>
        <v>0</v>
      </c>
      <c r="CO11" s="516"/>
      <c r="CP11" s="139">
        <f t="shared" ca="1" si="62"/>
        <v>1298630.0976226972</v>
      </c>
      <c r="CQ11" s="139">
        <f t="shared" ca="1" si="28"/>
        <v>45660</v>
      </c>
      <c r="CR11" s="139" cm="1">
        <f t="array" aca="1" ref="CR11" ca="1">IF($D12=0,0,CP11*(c_rate.Hurdle3.MO))</f>
        <v>24374.332597047778</v>
      </c>
      <c r="CS11" s="139">
        <f t="shared" ca="1" si="29"/>
        <v>0</v>
      </c>
      <c r="CT11" s="139">
        <f t="shared" ca="1" si="63"/>
        <v>0</v>
      </c>
      <c r="CU11" s="139">
        <f t="shared" ca="1" si="30"/>
        <v>1368664.430219745</v>
      </c>
      <c r="CV11" s="139">
        <f t="shared" ca="1" si="31"/>
        <v>-45660</v>
      </c>
      <c r="CW11" s="139">
        <f t="shared" ca="1" si="64"/>
        <v>-45660</v>
      </c>
      <c r="CX11" s="139">
        <f t="shared" ca="1" si="65"/>
        <v>-15220</v>
      </c>
      <c r="CY11" s="139">
        <f t="shared" ca="1" si="66"/>
        <v>-60880</v>
      </c>
      <c r="CZ11" s="139">
        <f t="shared" ca="1" si="67"/>
        <v>0</v>
      </c>
      <c r="DA11" s="516"/>
      <c r="DB11" s="139">
        <f t="shared" ca="1" si="32"/>
        <v>0</v>
      </c>
      <c r="DC11" s="139">
        <f t="shared" ca="1" si="33"/>
        <v>0</v>
      </c>
      <c r="DD11" s="518"/>
      <c r="DE11" s="139">
        <f t="shared" ca="1" si="68"/>
        <v>-45660</v>
      </c>
      <c r="DF11" s="139">
        <f t="shared" ca="1" si="69"/>
        <v>-15220</v>
      </c>
      <c r="DG11" s="139">
        <f t="shared" ca="1" si="34"/>
        <v>-60880</v>
      </c>
      <c r="DH11" s="457"/>
      <c r="DI11" s="139">
        <f ca="1"/>
        <v>-60880</v>
      </c>
      <c r="DJ11" s="139">
        <f ca="1"/>
        <v>-45660</v>
      </c>
      <c r="DK11" s="139">
        <f ca="1"/>
        <v>-15220</v>
      </c>
      <c r="DL11" s="139">
        <f t="shared" ca="1" si="35"/>
        <v>0</v>
      </c>
      <c r="DM11" s="139">
        <f t="shared" ca="1" si="36"/>
        <v>0</v>
      </c>
      <c r="DN11" s="139">
        <f t="shared" ca="1" si="37"/>
        <v>0</v>
      </c>
      <c r="DO11" s="139">
        <f t="shared" ca="1" si="38"/>
        <v>0</v>
      </c>
      <c r="DP11" s="139">
        <f t="shared" ca="1" si="39"/>
        <v>0</v>
      </c>
      <c r="DQ11" s="139">
        <f t="shared" ca="1" si="40"/>
        <v>0</v>
      </c>
      <c r="DR11" s="139">
        <f ca="1"/>
        <v>0</v>
      </c>
      <c r="DS11" s="139">
        <f ca="1"/>
        <v>0</v>
      </c>
      <c r="DT11" s="139">
        <f t="shared" ca="1" si="41"/>
        <v>-45660</v>
      </c>
      <c r="DU11" s="139">
        <f t="shared" ca="1" si="42"/>
        <v>-15220</v>
      </c>
      <c r="DV11" s="457"/>
      <c r="DW11" s="457"/>
      <c r="DX11" s="139">
        <f ca="1"/>
        <v>-60880</v>
      </c>
      <c r="DY11" s="139">
        <f t="shared" ca="1" si="70"/>
        <v>-60880</v>
      </c>
      <c r="DZ11" s="139">
        <f t="shared" ca="1" si="43"/>
        <v>0</v>
      </c>
      <c r="EA11" s="139">
        <f t="shared" ca="1" si="44"/>
        <v>0</v>
      </c>
      <c r="EB11" s="139">
        <f t="shared" ca="1" si="45"/>
        <v>0</v>
      </c>
      <c r="EC11" s="139">
        <f t="shared" ca="1" si="46"/>
        <v>0</v>
      </c>
      <c r="ED11" s="139">
        <f t="shared" ca="1" si="71"/>
        <v>-60880</v>
      </c>
      <c r="EE11" s="457"/>
      <c r="EF11" s="457"/>
    </row>
    <row r="12" spans="1:138" ht="17.25" thickTop="1" thickBot="1">
      <c r="A12" s="229">
        <f t="shared" si="72"/>
        <v>1753140</v>
      </c>
      <c r="B12" s="229">
        <f t="shared" ca="1" si="47"/>
        <v>1822488.0539467505</v>
      </c>
      <c r="D12" s="186">
        <v>3</v>
      </c>
      <c r="E12" s="186">
        <v>1</v>
      </c>
      <c r="F12" s="186">
        <v>1</v>
      </c>
      <c r="G12" s="123">
        <v>45901</v>
      </c>
      <c r="H12" s="122" t="str">
        <v>Q3-25</v>
      </c>
      <c r="I12" s="122">
        <v>2025</v>
      </c>
      <c r="K12" s="140">
        <v>0</v>
      </c>
      <c r="L12" s="140">
        <v>40000</v>
      </c>
      <c r="M12" s="140">
        <v>0</v>
      </c>
      <c r="N12" s="140">
        <v>0</v>
      </c>
      <c r="O12" s="140">
        <v>0</v>
      </c>
      <c r="P12" s="140">
        <v>0</v>
      </c>
      <c r="Q12" s="140">
        <v>0</v>
      </c>
      <c r="R12" s="140">
        <v>0</v>
      </c>
      <c r="S12" s="140">
        <v>0</v>
      </c>
      <c r="T12" s="140">
        <v>40000</v>
      </c>
      <c r="U12" s="136"/>
      <c r="V12" s="140">
        <v>166.66666666666666</v>
      </c>
      <c r="W12" s="140">
        <v>500</v>
      </c>
      <c r="X12" s="140">
        <v>333.33333333333331</v>
      </c>
      <c r="Y12" s="140">
        <v>480</v>
      </c>
      <c r="Z12" s="140">
        <v>1400.0000000000002</v>
      </c>
      <c r="AA12" s="140">
        <v>18000</v>
      </c>
      <c r="AB12" s="140">
        <v>20880</v>
      </c>
      <c r="AC12" s="137"/>
      <c r="AD12" s="140">
        <v>60880</v>
      </c>
      <c r="AF12" s="140">
        <v>0</v>
      </c>
      <c r="AG12" s="140">
        <v>0</v>
      </c>
      <c r="AH12" s="140">
        <v>0</v>
      </c>
      <c r="AI12" s="140">
        <v>0</v>
      </c>
      <c r="AJ12" s="140">
        <v>-60880</v>
      </c>
      <c r="AL12" s="140">
        <f t="shared" ca="1" si="48"/>
        <v>112387.98063978809</v>
      </c>
      <c r="AM12" s="140">
        <f t="shared" ca="1" si="49"/>
        <v>60880</v>
      </c>
      <c r="AN12" s="140">
        <f t="shared" ca="1" si="8"/>
        <v>51507.980639788089</v>
      </c>
      <c r="AP12" s="140">
        <f t="shared" ca="1" si="50"/>
        <v>0</v>
      </c>
      <c r="AQ12" s="140">
        <f t="shared" ca="1" si="9"/>
        <v>0</v>
      </c>
      <c r="AR12" s="140">
        <f ca="1">AT11*Project!$P$13/12</f>
        <v>0</v>
      </c>
      <c r="AS12" s="140">
        <f t="shared" si="10"/>
        <v>0</v>
      </c>
      <c r="AT12" s="140">
        <f t="shared" ca="1" si="11"/>
        <v>0</v>
      </c>
      <c r="AV12" s="140">
        <v>-60880</v>
      </c>
      <c r="AW12" s="140"/>
      <c r="AX12" s="140">
        <f ca="1"/>
        <v>0</v>
      </c>
      <c r="AY12" s="140">
        <f ca="1"/>
        <v>0</v>
      </c>
      <c r="AZ12" s="140">
        <f t="shared" ca="1" si="12"/>
        <v>-60880</v>
      </c>
      <c r="BC12" s="510"/>
      <c r="BD12" s="585"/>
      <c r="BE12" s="510"/>
      <c r="BF12" s="511"/>
      <c r="BG12" s="511"/>
      <c r="BH12" s="511"/>
      <c r="BI12" s="140">
        <f t="shared" ca="1" si="13"/>
        <v>1341262.9123682282</v>
      </c>
      <c r="BJ12" s="140">
        <f t="shared" ca="1" si="14"/>
        <v>45660</v>
      </c>
      <c r="BK12" s="140" cm="1">
        <f t="array" aca="1" ref="BK12" ca="1">BI12*c_rate.Pref.MO</f>
        <v>10695.418815304694</v>
      </c>
      <c r="BL12" s="140">
        <f t="shared" ca="1" si="15"/>
        <v>0</v>
      </c>
      <c r="BM12" s="140">
        <f t="shared" ca="1" si="16"/>
        <v>1397618.331183533</v>
      </c>
      <c r="BN12" s="140">
        <f t="shared" ca="1" si="51"/>
        <v>-45660</v>
      </c>
      <c r="BO12" s="140">
        <f t="shared" ca="1" si="73"/>
        <v>-15220</v>
      </c>
      <c r="BP12" s="140">
        <f t="shared" ca="1" si="52"/>
        <v>-60880</v>
      </c>
      <c r="BQ12" s="140">
        <f t="shared" ca="1" si="17"/>
        <v>0</v>
      </c>
      <c r="BR12" s="457"/>
      <c r="BS12" s="140">
        <f t="shared" ca="1" si="53"/>
        <v>1350725.7578091326</v>
      </c>
      <c r="BT12" s="140">
        <f t="shared" ca="1" si="18"/>
        <v>45660</v>
      </c>
      <c r="BU12" s="140" cm="1">
        <f t="array" aca="1" ref="BU12" ca="1">IF(D12=0,0,BS12*(c_rate.Hurdle1.MO))</f>
        <v>15823.640034239985</v>
      </c>
      <c r="BV12" s="140">
        <f t="shared" ca="1" si="54"/>
        <v>0</v>
      </c>
      <c r="BW12" s="140">
        <f t="shared" ca="1" si="19"/>
        <v>0</v>
      </c>
      <c r="BX12" s="140">
        <f t="shared" ca="1" si="55"/>
        <v>1412209.3978433725</v>
      </c>
      <c r="BY12" s="140">
        <f t="shared" ca="1" si="56"/>
        <v>-45660</v>
      </c>
      <c r="BZ12" s="140">
        <f t="shared" ca="1" si="57"/>
        <v>-15220</v>
      </c>
      <c r="CA12" s="140">
        <f t="shared" ca="1" si="20"/>
        <v>-60880</v>
      </c>
      <c r="CB12" s="140">
        <f t="shared" ca="1" si="58"/>
        <v>0</v>
      </c>
      <c r="CC12" s="516"/>
      <c r="CD12" s="140">
        <f t="shared" ca="1" si="59"/>
        <v>1359851.1395431536</v>
      </c>
      <c r="CE12" s="140">
        <f t="shared" ca="1" si="21"/>
        <v>45660</v>
      </c>
      <c r="CF12" s="140" cm="1">
        <f t="array" aca="1" ref="CF12" ca="1">IF($D13=0,0,CD12*(c_rate.Hurdle2.MO))</f>
        <v>20818.600904861756</v>
      </c>
      <c r="CG12" s="140">
        <f t="shared" ca="1" si="22"/>
        <v>0</v>
      </c>
      <c r="CH12" s="140">
        <f t="shared" ca="1" si="60"/>
        <v>0</v>
      </c>
      <c r="CI12" s="140">
        <f t="shared" ca="1" si="23"/>
        <v>1426329.7404480153</v>
      </c>
      <c r="CJ12" s="140">
        <f t="shared" ca="1" si="24"/>
        <v>-45660</v>
      </c>
      <c r="CK12" s="140">
        <f t="shared" ca="1" si="25"/>
        <v>-45660</v>
      </c>
      <c r="CL12" s="140">
        <f t="shared" ca="1" si="61"/>
        <v>-15220</v>
      </c>
      <c r="CM12" s="140">
        <f t="shared" ca="1" si="26"/>
        <v>-60880</v>
      </c>
      <c r="CN12" s="140">
        <f t="shared" ca="1" si="27"/>
        <v>0</v>
      </c>
      <c r="CO12" s="516"/>
      <c r="CP12" s="140">
        <f t="shared" ca="1" si="62"/>
        <v>1368664.430219745</v>
      </c>
      <c r="CQ12" s="140">
        <f t="shared" ca="1" si="28"/>
        <v>45660</v>
      </c>
      <c r="CR12" s="140" cm="1">
        <f t="array" aca="1" ref="CR12" ca="1">IF($D13=0,0,CP12*(c_rate.Hurdle3.MO))</f>
        <v>25688.825553169503</v>
      </c>
      <c r="CS12" s="140">
        <f t="shared" ca="1" si="29"/>
        <v>0</v>
      </c>
      <c r="CT12" s="140">
        <f t="shared" ca="1" si="63"/>
        <v>0</v>
      </c>
      <c r="CU12" s="140">
        <f t="shared" ca="1" si="30"/>
        <v>1440013.2557729145</v>
      </c>
      <c r="CV12" s="140">
        <f t="shared" ca="1" si="31"/>
        <v>-45660</v>
      </c>
      <c r="CW12" s="140">
        <f t="shared" ca="1" si="64"/>
        <v>-45660</v>
      </c>
      <c r="CX12" s="140">
        <f t="shared" ca="1" si="65"/>
        <v>-15220</v>
      </c>
      <c r="CY12" s="140">
        <f t="shared" ca="1" si="66"/>
        <v>-60880</v>
      </c>
      <c r="CZ12" s="140">
        <f t="shared" ca="1" si="67"/>
        <v>0</v>
      </c>
      <c r="DA12" s="516"/>
      <c r="DB12" s="140">
        <f t="shared" ca="1" si="32"/>
        <v>0</v>
      </c>
      <c r="DC12" s="140">
        <f t="shared" ca="1" si="33"/>
        <v>0</v>
      </c>
      <c r="DD12" s="518"/>
      <c r="DE12" s="140">
        <f t="shared" ca="1" si="68"/>
        <v>-45660</v>
      </c>
      <c r="DF12" s="140">
        <f t="shared" ca="1" si="69"/>
        <v>-15220</v>
      </c>
      <c r="DG12" s="140">
        <f t="shared" ca="1" si="34"/>
        <v>-60880</v>
      </c>
      <c r="DH12" s="457"/>
      <c r="DI12" s="140">
        <f ca="1"/>
        <v>-60880</v>
      </c>
      <c r="DJ12" s="140">
        <f ca="1"/>
        <v>-45660</v>
      </c>
      <c r="DK12" s="140">
        <f ca="1"/>
        <v>-15220</v>
      </c>
      <c r="DL12" s="140">
        <f t="shared" ca="1" si="35"/>
        <v>0</v>
      </c>
      <c r="DM12" s="140">
        <f t="shared" ca="1" si="36"/>
        <v>0</v>
      </c>
      <c r="DN12" s="140">
        <f t="shared" ca="1" si="37"/>
        <v>0</v>
      </c>
      <c r="DO12" s="140">
        <f t="shared" ca="1" si="38"/>
        <v>0</v>
      </c>
      <c r="DP12" s="140">
        <f t="shared" ca="1" si="39"/>
        <v>0</v>
      </c>
      <c r="DQ12" s="140">
        <f t="shared" ca="1" si="40"/>
        <v>0</v>
      </c>
      <c r="DR12" s="140">
        <f ca="1"/>
        <v>0</v>
      </c>
      <c r="DS12" s="140">
        <f ca="1"/>
        <v>0</v>
      </c>
      <c r="DT12" s="140">
        <f t="shared" ca="1" si="41"/>
        <v>-45660</v>
      </c>
      <c r="DU12" s="140">
        <f t="shared" ca="1" si="42"/>
        <v>-15220</v>
      </c>
      <c r="DV12" s="457"/>
      <c r="DW12" s="457"/>
      <c r="DX12" s="140">
        <f ca="1"/>
        <v>-60880</v>
      </c>
      <c r="DY12" s="140">
        <f t="shared" ca="1" si="70"/>
        <v>-60880</v>
      </c>
      <c r="DZ12" s="140">
        <f t="shared" ca="1" si="43"/>
        <v>0</v>
      </c>
      <c r="EA12" s="140">
        <f t="shared" ca="1" si="44"/>
        <v>0</v>
      </c>
      <c r="EB12" s="140">
        <f t="shared" ca="1" si="45"/>
        <v>0</v>
      </c>
      <c r="EC12" s="140">
        <f t="shared" ca="1" si="46"/>
        <v>0</v>
      </c>
      <c r="ED12" s="140">
        <f t="shared" ca="1" si="71"/>
        <v>-60880</v>
      </c>
      <c r="EE12" s="457"/>
      <c r="EF12" s="457"/>
    </row>
    <row r="13" spans="1:138" ht="17.25" thickTop="1" thickBot="1">
      <c r="A13" s="230">
        <f t="shared" si="72"/>
        <v>1814020</v>
      </c>
      <c r="B13" s="230">
        <f t="shared" ca="1" si="47"/>
        <v>1873996.0345865386</v>
      </c>
      <c r="D13" s="187">
        <v>4</v>
      </c>
      <c r="E13" s="187">
        <v>2</v>
      </c>
      <c r="F13" s="187">
        <v>1</v>
      </c>
      <c r="G13" s="125">
        <v>45931</v>
      </c>
      <c r="H13" s="124" t="str">
        <v>Q4-25</v>
      </c>
      <c r="I13" s="124">
        <v>2025</v>
      </c>
      <c r="K13" s="141">
        <v>0</v>
      </c>
      <c r="L13" s="141">
        <v>40000</v>
      </c>
      <c r="M13" s="141">
        <v>0</v>
      </c>
      <c r="N13" s="141">
        <v>0</v>
      </c>
      <c r="O13" s="141">
        <v>0</v>
      </c>
      <c r="P13" s="141">
        <v>0</v>
      </c>
      <c r="Q13" s="141">
        <v>0</v>
      </c>
      <c r="R13" s="141">
        <v>0</v>
      </c>
      <c r="S13" s="141">
        <v>0</v>
      </c>
      <c r="T13" s="141">
        <v>40000</v>
      </c>
      <c r="U13" s="136"/>
      <c r="V13" s="141">
        <v>166.66666666666666</v>
      </c>
      <c r="W13" s="141">
        <v>500</v>
      </c>
      <c r="X13" s="141">
        <v>333.33333333333331</v>
      </c>
      <c r="Y13" s="141">
        <v>480</v>
      </c>
      <c r="Z13" s="141">
        <v>1400.0000000000002</v>
      </c>
      <c r="AA13" s="141">
        <v>18000</v>
      </c>
      <c r="AB13" s="141">
        <v>20880</v>
      </c>
      <c r="AC13" s="137"/>
      <c r="AD13" s="141">
        <v>60880</v>
      </c>
      <c r="AF13" s="141">
        <v>0</v>
      </c>
      <c r="AG13" s="141">
        <v>0</v>
      </c>
      <c r="AH13" s="141">
        <v>0</v>
      </c>
      <c r="AI13" s="141">
        <v>0</v>
      </c>
      <c r="AJ13" s="141">
        <v>-60880</v>
      </c>
      <c r="AL13" s="141">
        <f t="shared" ca="1" si="48"/>
        <v>51507.980639788089</v>
      </c>
      <c r="AM13" s="141">
        <f t="shared" ca="1" si="49"/>
        <v>51507.980639788089</v>
      </c>
      <c r="AN13" s="141">
        <f t="shared" ca="1" si="8"/>
        <v>0</v>
      </c>
      <c r="AP13" s="141">
        <f t="shared" ca="1" si="50"/>
        <v>0</v>
      </c>
      <c r="AQ13" s="141">
        <f t="shared" ca="1" si="9"/>
        <v>9372.0193602119107</v>
      </c>
      <c r="AR13" s="141">
        <f ca="1">AT12*Project!$P$13/12</f>
        <v>0</v>
      </c>
      <c r="AS13" s="141">
        <f t="shared" si="10"/>
        <v>0</v>
      </c>
      <c r="AT13" s="141">
        <f t="shared" ca="1" si="11"/>
        <v>9372.0193602119107</v>
      </c>
      <c r="AV13" s="141">
        <v>-60880</v>
      </c>
      <c r="AW13" s="141"/>
      <c r="AX13" s="141">
        <f ca="1"/>
        <v>9372.0193602119107</v>
      </c>
      <c r="AY13" s="141">
        <f ca="1"/>
        <v>0</v>
      </c>
      <c r="AZ13" s="141">
        <f t="shared" ca="1" si="12"/>
        <v>-51507.980639788089</v>
      </c>
      <c r="BC13" s="532" t="s">
        <v>203</v>
      </c>
      <c r="BD13" s="587"/>
      <c r="BE13" s="533" t="s">
        <v>193</v>
      </c>
      <c r="BF13" s="533" t="s">
        <v>188</v>
      </c>
      <c r="BG13" s="533" t="s">
        <v>189</v>
      </c>
      <c r="BH13" s="511"/>
      <c r="BI13" s="141">
        <f t="shared" ca="1" si="13"/>
        <v>1397618.331183533</v>
      </c>
      <c r="BJ13" s="141">
        <f t="shared" ca="1" si="14"/>
        <v>38630.985479841067</v>
      </c>
      <c r="BK13" s="141" cm="1">
        <f t="array" aca="1" ref="BK13" ca="1">BI13*c_rate.Pref.MO</f>
        <v>11144.804838867622</v>
      </c>
      <c r="BL13" s="141">
        <f t="shared" ca="1" si="15"/>
        <v>0</v>
      </c>
      <c r="BM13" s="141">
        <f t="shared" ca="1" si="16"/>
        <v>1447394.1215022416</v>
      </c>
      <c r="BN13" s="141">
        <f t="shared" ca="1" si="51"/>
        <v>-38630.985479841067</v>
      </c>
      <c r="BO13" s="141">
        <f t="shared" ca="1" si="73"/>
        <v>-12876.995159947022</v>
      </c>
      <c r="BP13" s="141">
        <f t="shared" ca="1" si="52"/>
        <v>-51507.980639788089</v>
      </c>
      <c r="BQ13" s="141">
        <f t="shared" ca="1" si="17"/>
        <v>0</v>
      </c>
      <c r="BR13" s="457"/>
      <c r="BS13" s="141">
        <f t="shared" ca="1" si="53"/>
        <v>1412209.3978433725</v>
      </c>
      <c r="BT13" s="141">
        <f t="shared" ca="1" si="18"/>
        <v>38630.985479841067</v>
      </c>
      <c r="BU13" s="141" cm="1">
        <f t="array" aca="1" ref="BU13" ca="1">IF(D13=0,0,BS13*(c_rate.Hurdle1.MO))</f>
        <v>16543.915769171279</v>
      </c>
      <c r="BV13" s="141">
        <f t="shared" ca="1" si="54"/>
        <v>0</v>
      </c>
      <c r="BW13" s="141">
        <f t="shared" ca="1" si="19"/>
        <v>0</v>
      </c>
      <c r="BX13" s="141">
        <f t="shared" ca="1" si="55"/>
        <v>1467384.2990923848</v>
      </c>
      <c r="BY13" s="141">
        <f t="shared" ca="1" si="56"/>
        <v>-38630.985479841067</v>
      </c>
      <c r="BZ13" s="141">
        <f t="shared" ca="1" si="57"/>
        <v>-12876.995159947022</v>
      </c>
      <c r="CA13" s="141">
        <f t="shared" ca="1" si="20"/>
        <v>-51507.980639788089</v>
      </c>
      <c r="CB13" s="141">
        <f t="shared" ca="1" si="58"/>
        <v>0</v>
      </c>
      <c r="CC13" s="516"/>
      <c r="CD13" s="141">
        <f t="shared" ca="1" si="59"/>
        <v>1426329.7404480153</v>
      </c>
      <c r="CE13" s="141">
        <f t="shared" ca="1" si="21"/>
        <v>38630.985479841067</v>
      </c>
      <c r="CF13" s="141" cm="1">
        <f t="array" aca="1" ref="CF13" ca="1">IF($D14=0,0,CD13*(c_rate.Hurdle2.MO))</f>
        <v>21836.35308427814</v>
      </c>
      <c r="CG13" s="141">
        <f t="shared" ca="1" si="22"/>
        <v>0</v>
      </c>
      <c r="CH13" s="141">
        <f t="shared" ca="1" si="60"/>
        <v>0</v>
      </c>
      <c r="CI13" s="141">
        <f t="shared" ca="1" si="23"/>
        <v>1486797.0790121343</v>
      </c>
      <c r="CJ13" s="141">
        <f t="shared" ca="1" si="24"/>
        <v>-38630.985479841067</v>
      </c>
      <c r="CK13" s="141">
        <f t="shared" ca="1" si="25"/>
        <v>-38630.985479841067</v>
      </c>
      <c r="CL13" s="141">
        <f t="shared" ca="1" si="61"/>
        <v>-12876.995159947022</v>
      </c>
      <c r="CM13" s="141">
        <f t="shared" ca="1" si="26"/>
        <v>-51507.980639788089</v>
      </c>
      <c r="CN13" s="141">
        <f t="shared" ca="1" si="27"/>
        <v>0</v>
      </c>
      <c r="CO13" s="516"/>
      <c r="CP13" s="141">
        <f t="shared" ca="1" si="62"/>
        <v>1440013.2557729145</v>
      </c>
      <c r="CQ13" s="141">
        <f t="shared" ca="1" si="28"/>
        <v>38630.985479841067</v>
      </c>
      <c r="CR13" s="141" cm="1">
        <f t="array" aca="1" ref="CR13" ca="1">IF($D14=0,0,CP13*(c_rate.Hurdle3.MO))</f>
        <v>27027.990576085034</v>
      </c>
      <c r="CS13" s="141">
        <f t="shared" ca="1" si="29"/>
        <v>0</v>
      </c>
      <c r="CT13" s="141">
        <f t="shared" ca="1" si="63"/>
        <v>0</v>
      </c>
      <c r="CU13" s="141">
        <f t="shared" ca="1" si="30"/>
        <v>1505672.2318288404</v>
      </c>
      <c r="CV13" s="141">
        <f t="shared" ca="1" si="31"/>
        <v>-38630.985479841067</v>
      </c>
      <c r="CW13" s="141">
        <f t="shared" ca="1" si="64"/>
        <v>-38630.985479841067</v>
      </c>
      <c r="CX13" s="141">
        <f t="shared" ca="1" si="65"/>
        <v>-12876.995159947022</v>
      </c>
      <c r="CY13" s="141">
        <f t="shared" ca="1" si="66"/>
        <v>-51507.980639788089</v>
      </c>
      <c r="CZ13" s="141">
        <f t="shared" ca="1" si="67"/>
        <v>0</v>
      </c>
      <c r="DA13" s="516"/>
      <c r="DB13" s="141">
        <f t="shared" ca="1" si="32"/>
        <v>0</v>
      </c>
      <c r="DC13" s="141">
        <f t="shared" ca="1" si="33"/>
        <v>0</v>
      </c>
      <c r="DD13" s="518"/>
      <c r="DE13" s="141">
        <f t="shared" ca="1" si="68"/>
        <v>-38630.985479841067</v>
      </c>
      <c r="DF13" s="141">
        <f t="shared" ca="1" si="69"/>
        <v>-12876.995159947022</v>
      </c>
      <c r="DG13" s="141">
        <f t="shared" ca="1" si="34"/>
        <v>-51507.980639788089</v>
      </c>
      <c r="DH13" s="457"/>
      <c r="DI13" s="141">
        <f ca="1"/>
        <v>-51507.980639788089</v>
      </c>
      <c r="DJ13" s="141">
        <f ca="1"/>
        <v>-38630.985479841067</v>
      </c>
      <c r="DK13" s="141">
        <f ca="1"/>
        <v>-12876.995159947022</v>
      </c>
      <c r="DL13" s="141">
        <f t="shared" ca="1" si="35"/>
        <v>0</v>
      </c>
      <c r="DM13" s="141">
        <f t="shared" ca="1" si="36"/>
        <v>0</v>
      </c>
      <c r="DN13" s="141">
        <f t="shared" ca="1" si="37"/>
        <v>0</v>
      </c>
      <c r="DO13" s="141">
        <f t="shared" ca="1" si="38"/>
        <v>0</v>
      </c>
      <c r="DP13" s="141">
        <f t="shared" ca="1" si="39"/>
        <v>0</v>
      </c>
      <c r="DQ13" s="141">
        <f t="shared" ca="1" si="40"/>
        <v>0</v>
      </c>
      <c r="DR13" s="141">
        <f ca="1"/>
        <v>0</v>
      </c>
      <c r="DS13" s="141">
        <f ca="1"/>
        <v>0</v>
      </c>
      <c r="DT13" s="141">
        <f t="shared" ca="1" si="41"/>
        <v>-38630.985479841067</v>
      </c>
      <c r="DU13" s="141">
        <f t="shared" ca="1" si="42"/>
        <v>-12876.995159947022</v>
      </c>
      <c r="DV13" s="457"/>
      <c r="DW13" s="457"/>
      <c r="DX13" s="141">
        <f ca="1"/>
        <v>-51507.980639788089</v>
      </c>
      <c r="DY13" s="141">
        <f t="shared" ca="1" si="70"/>
        <v>-51507.980639788089</v>
      </c>
      <c r="DZ13" s="141">
        <f t="shared" ca="1" si="43"/>
        <v>0</v>
      </c>
      <c r="EA13" s="141">
        <f t="shared" ca="1" si="44"/>
        <v>0</v>
      </c>
      <c r="EB13" s="141">
        <f t="shared" ca="1" si="45"/>
        <v>0</v>
      </c>
      <c r="EC13" s="141">
        <f t="shared" ca="1" si="46"/>
        <v>0</v>
      </c>
      <c r="ED13" s="141">
        <f t="shared" ca="1" si="71"/>
        <v>-51507.980639788089</v>
      </c>
      <c r="EE13" s="457"/>
      <c r="EF13" s="457"/>
    </row>
    <row r="14" spans="1:138" ht="17.25" thickTop="1" thickBot="1">
      <c r="A14" s="228">
        <f t="shared" si="72"/>
        <v>1874900</v>
      </c>
      <c r="B14" s="228">
        <f t="shared" ca="1" si="47"/>
        <v>1873996.0345865386</v>
      </c>
      <c r="D14" s="184">
        <v>5</v>
      </c>
      <c r="E14" s="184">
        <v>2</v>
      </c>
      <c r="F14" s="184">
        <v>1</v>
      </c>
      <c r="G14" s="121">
        <v>45962</v>
      </c>
      <c r="H14" s="118" t="str">
        <v>Q4-25</v>
      </c>
      <c r="I14" s="118">
        <v>2025</v>
      </c>
      <c r="K14" s="139">
        <v>0</v>
      </c>
      <c r="L14" s="139">
        <v>40000</v>
      </c>
      <c r="M14" s="139">
        <v>0</v>
      </c>
      <c r="N14" s="139">
        <v>0</v>
      </c>
      <c r="O14" s="139">
        <v>0</v>
      </c>
      <c r="P14" s="139">
        <v>0</v>
      </c>
      <c r="Q14" s="139">
        <v>0</v>
      </c>
      <c r="R14" s="139">
        <v>0</v>
      </c>
      <c r="S14" s="139">
        <v>0</v>
      </c>
      <c r="T14" s="139">
        <v>40000</v>
      </c>
      <c r="U14" s="136"/>
      <c r="V14" s="139">
        <v>166.66666666666666</v>
      </c>
      <c r="W14" s="139">
        <v>500</v>
      </c>
      <c r="X14" s="139">
        <v>333.33333333333331</v>
      </c>
      <c r="Y14" s="139">
        <v>480</v>
      </c>
      <c r="Z14" s="139">
        <v>1400.0000000000002</v>
      </c>
      <c r="AA14" s="139">
        <v>18000</v>
      </c>
      <c r="AB14" s="139">
        <v>20880</v>
      </c>
      <c r="AC14" s="137"/>
      <c r="AD14" s="139">
        <v>60880</v>
      </c>
      <c r="AF14" s="139">
        <v>0</v>
      </c>
      <c r="AG14" s="139">
        <v>0</v>
      </c>
      <c r="AH14" s="139">
        <v>0</v>
      </c>
      <c r="AI14" s="139">
        <v>0</v>
      </c>
      <c r="AJ14" s="139">
        <v>-60880</v>
      </c>
      <c r="AL14" s="139">
        <f t="shared" ca="1" si="48"/>
        <v>0</v>
      </c>
      <c r="AM14" s="139">
        <f t="shared" ca="1" si="49"/>
        <v>0</v>
      </c>
      <c r="AN14" s="139">
        <f t="shared" ca="1" si="8"/>
        <v>0</v>
      </c>
      <c r="AP14" s="139">
        <f t="shared" ca="1" si="50"/>
        <v>9372.0193602119107</v>
      </c>
      <c r="AQ14" s="139">
        <f t="shared" ca="1" si="9"/>
        <v>60880</v>
      </c>
      <c r="AR14" s="139">
        <f ca="1">AT13*Project!$P$13/12</f>
        <v>70.290145201589326</v>
      </c>
      <c r="AS14" s="139">
        <f t="shared" si="10"/>
        <v>0</v>
      </c>
      <c r="AT14" s="139">
        <f t="shared" ca="1" si="11"/>
        <v>70322.309505413505</v>
      </c>
      <c r="AV14" s="139">
        <v>-60880</v>
      </c>
      <c r="AW14" s="139"/>
      <c r="AX14" s="139">
        <f ca="1"/>
        <v>60880</v>
      </c>
      <c r="AY14" s="139">
        <f ca="1"/>
        <v>0</v>
      </c>
      <c r="AZ14" s="139">
        <f t="shared" ca="1" si="12"/>
        <v>0</v>
      </c>
      <c r="BC14" s="534" t="s">
        <v>194</v>
      </c>
      <c r="BD14" s="549"/>
      <c r="BE14" s="529"/>
      <c r="BF14" s="529">
        <f>Project!P40</f>
        <v>0.25</v>
      </c>
      <c r="BG14" s="548">
        <f>Project!Q40</f>
        <v>0.75</v>
      </c>
      <c r="BH14" s="511"/>
      <c r="BI14" s="139">
        <f t="shared" ca="1" si="13"/>
        <v>1447394.1215022416</v>
      </c>
      <c r="BJ14" s="139">
        <f t="shared" ca="1" si="14"/>
        <v>0</v>
      </c>
      <c r="BK14" s="139" cm="1">
        <f t="array" aca="1" ref="BK14" ca="1">BI14*c_rate.Pref.MO</f>
        <v>11541.723980828672</v>
      </c>
      <c r="BL14" s="139">
        <f t="shared" ca="1" si="15"/>
        <v>0</v>
      </c>
      <c r="BM14" s="139">
        <f t="shared" ca="1" si="16"/>
        <v>1458935.8454830702</v>
      </c>
      <c r="BN14" s="139">
        <f t="shared" ca="1" si="51"/>
        <v>0</v>
      </c>
      <c r="BO14" s="139">
        <f t="shared" ca="1" si="73"/>
        <v>0</v>
      </c>
      <c r="BP14" s="139">
        <f t="shared" ca="1" si="52"/>
        <v>0</v>
      </c>
      <c r="BQ14" s="139">
        <f t="shared" ca="1" si="17"/>
        <v>0</v>
      </c>
      <c r="BR14" s="457"/>
      <c r="BS14" s="139">
        <f t="shared" ca="1" si="53"/>
        <v>1467384.2990923848</v>
      </c>
      <c r="BT14" s="139">
        <f t="shared" ca="1" si="18"/>
        <v>0</v>
      </c>
      <c r="BU14" s="139" cm="1">
        <f t="array" aca="1" ref="BU14" ca="1">IF(D14=0,0,BS14*(c_rate.Hurdle1.MO))</f>
        <v>17190.28515336457</v>
      </c>
      <c r="BV14" s="139">
        <f t="shared" ca="1" si="54"/>
        <v>0</v>
      </c>
      <c r="BW14" s="139">
        <f t="shared" ca="1" si="19"/>
        <v>0</v>
      </c>
      <c r="BX14" s="139">
        <f t="shared" ca="1" si="55"/>
        <v>1484574.5842457493</v>
      </c>
      <c r="BY14" s="139">
        <f t="shared" ca="1" si="56"/>
        <v>0</v>
      </c>
      <c r="BZ14" s="139">
        <f t="shared" ca="1" si="57"/>
        <v>0</v>
      </c>
      <c r="CA14" s="139">
        <f t="shared" ca="1" si="20"/>
        <v>0</v>
      </c>
      <c r="CB14" s="139">
        <f t="shared" ca="1" si="58"/>
        <v>0</v>
      </c>
      <c r="CC14" s="516"/>
      <c r="CD14" s="139">
        <f t="shared" ca="1" si="59"/>
        <v>1486797.0790121343</v>
      </c>
      <c r="CE14" s="139">
        <f t="shared" ca="1" si="21"/>
        <v>0</v>
      </c>
      <c r="CF14" s="139" cm="1">
        <f t="array" aca="1" ref="CF14" ca="1">IF($D15=0,0,CD14*(c_rate.Hurdle2.MO))</f>
        <v>22762.076020222779</v>
      </c>
      <c r="CG14" s="139">
        <f t="shared" ca="1" si="22"/>
        <v>0</v>
      </c>
      <c r="CH14" s="139">
        <f t="shared" ca="1" si="60"/>
        <v>0</v>
      </c>
      <c r="CI14" s="139">
        <f t="shared" ca="1" si="23"/>
        <v>1509559.1550323572</v>
      </c>
      <c r="CJ14" s="139">
        <f t="shared" ca="1" si="24"/>
        <v>0</v>
      </c>
      <c r="CK14" s="139">
        <f t="shared" ca="1" si="25"/>
        <v>0</v>
      </c>
      <c r="CL14" s="139">
        <f t="shared" ca="1" si="61"/>
        <v>0</v>
      </c>
      <c r="CM14" s="139">
        <f t="shared" ca="1" si="26"/>
        <v>0</v>
      </c>
      <c r="CN14" s="139">
        <f t="shared" ca="1" si="27"/>
        <v>0</v>
      </c>
      <c r="CO14" s="516"/>
      <c r="CP14" s="139">
        <f t="shared" ca="1" si="62"/>
        <v>1505672.2318288404</v>
      </c>
      <c r="CQ14" s="139">
        <f t="shared" ca="1" si="28"/>
        <v>0</v>
      </c>
      <c r="CR14" s="139" cm="1">
        <f t="array" aca="1" ref="CR14" ca="1">IF($D15=0,0,CP14*(c_rate.Hurdle3.MO))</f>
        <v>28260.361305285329</v>
      </c>
      <c r="CS14" s="139">
        <f t="shared" ca="1" si="29"/>
        <v>0</v>
      </c>
      <c r="CT14" s="139">
        <f t="shared" ca="1" si="63"/>
        <v>0</v>
      </c>
      <c r="CU14" s="139">
        <f t="shared" ca="1" si="30"/>
        <v>1533932.5931341257</v>
      </c>
      <c r="CV14" s="139">
        <f t="shared" ca="1" si="31"/>
        <v>0</v>
      </c>
      <c r="CW14" s="139">
        <f t="shared" ca="1" si="64"/>
        <v>0</v>
      </c>
      <c r="CX14" s="139">
        <f t="shared" ca="1" si="65"/>
        <v>0</v>
      </c>
      <c r="CY14" s="139">
        <f t="shared" ca="1" si="66"/>
        <v>0</v>
      </c>
      <c r="CZ14" s="139">
        <f t="shared" ca="1" si="67"/>
        <v>0</v>
      </c>
      <c r="DA14" s="516"/>
      <c r="DB14" s="139">
        <f t="shared" ca="1" si="32"/>
        <v>0</v>
      </c>
      <c r="DC14" s="139">
        <f t="shared" ca="1" si="33"/>
        <v>0</v>
      </c>
      <c r="DD14" s="518"/>
      <c r="DE14" s="139">
        <f t="shared" ca="1" si="68"/>
        <v>0</v>
      </c>
      <c r="DF14" s="139">
        <f t="shared" ca="1" si="69"/>
        <v>0</v>
      </c>
      <c r="DG14" s="139">
        <f t="shared" ca="1" si="34"/>
        <v>0</v>
      </c>
      <c r="DH14" s="457"/>
      <c r="DI14" s="139">
        <f ca="1"/>
        <v>0</v>
      </c>
      <c r="DJ14" s="139">
        <f ca="1"/>
        <v>0</v>
      </c>
      <c r="DK14" s="139">
        <f ca="1"/>
        <v>0</v>
      </c>
      <c r="DL14" s="139">
        <f t="shared" ca="1" si="35"/>
        <v>0</v>
      </c>
      <c r="DM14" s="139">
        <f t="shared" ca="1" si="36"/>
        <v>0</v>
      </c>
      <c r="DN14" s="139">
        <f t="shared" ca="1" si="37"/>
        <v>0</v>
      </c>
      <c r="DO14" s="139">
        <f t="shared" ca="1" si="38"/>
        <v>0</v>
      </c>
      <c r="DP14" s="139">
        <f t="shared" ca="1" si="39"/>
        <v>0</v>
      </c>
      <c r="DQ14" s="139">
        <f t="shared" ca="1" si="40"/>
        <v>0</v>
      </c>
      <c r="DR14" s="139">
        <f ca="1"/>
        <v>0</v>
      </c>
      <c r="DS14" s="139">
        <f ca="1"/>
        <v>0</v>
      </c>
      <c r="DT14" s="139">
        <f t="shared" ca="1" si="41"/>
        <v>0</v>
      </c>
      <c r="DU14" s="139">
        <f t="shared" ca="1" si="42"/>
        <v>0</v>
      </c>
      <c r="DV14" s="457"/>
      <c r="DW14" s="457"/>
      <c r="DX14" s="139">
        <f ca="1"/>
        <v>0</v>
      </c>
      <c r="DY14" s="139">
        <f t="shared" ca="1" si="70"/>
        <v>0</v>
      </c>
      <c r="DZ14" s="139">
        <f t="shared" ca="1" si="43"/>
        <v>0</v>
      </c>
      <c r="EA14" s="139">
        <f t="shared" ca="1" si="44"/>
        <v>0</v>
      </c>
      <c r="EB14" s="139">
        <f t="shared" ca="1" si="45"/>
        <v>0</v>
      </c>
      <c r="EC14" s="139">
        <f t="shared" ca="1" si="46"/>
        <v>0</v>
      </c>
      <c r="ED14" s="139">
        <f t="shared" ca="1" si="71"/>
        <v>0</v>
      </c>
      <c r="EE14" s="457"/>
      <c r="EF14" s="457"/>
    </row>
    <row r="15" spans="1:138" ht="17.25" thickTop="1" thickBot="1">
      <c r="A15" s="229">
        <f t="shared" si="72"/>
        <v>1935780</v>
      </c>
      <c r="B15" s="229">
        <f t="shared" ca="1" si="47"/>
        <v>1873996.0345865386</v>
      </c>
      <c r="D15" s="186">
        <v>6</v>
      </c>
      <c r="E15" s="186">
        <v>2</v>
      </c>
      <c r="F15" s="186">
        <v>1</v>
      </c>
      <c r="G15" s="123">
        <v>45992</v>
      </c>
      <c r="H15" s="122" t="str">
        <v>Q4-25</v>
      </c>
      <c r="I15" s="122">
        <v>2025</v>
      </c>
      <c r="K15" s="140">
        <v>0</v>
      </c>
      <c r="L15" s="140">
        <v>40000</v>
      </c>
      <c r="M15" s="140">
        <v>0</v>
      </c>
      <c r="N15" s="140">
        <v>0</v>
      </c>
      <c r="O15" s="140">
        <v>0</v>
      </c>
      <c r="P15" s="140">
        <v>0</v>
      </c>
      <c r="Q15" s="140">
        <v>0</v>
      </c>
      <c r="R15" s="140">
        <v>0</v>
      </c>
      <c r="S15" s="140">
        <v>0</v>
      </c>
      <c r="T15" s="140">
        <v>40000</v>
      </c>
      <c r="U15" s="136"/>
      <c r="V15" s="140">
        <v>166.66666666666666</v>
      </c>
      <c r="W15" s="140">
        <v>500</v>
      </c>
      <c r="X15" s="140">
        <v>333.33333333333331</v>
      </c>
      <c r="Y15" s="140">
        <v>480</v>
      </c>
      <c r="Z15" s="140">
        <v>1400.0000000000002</v>
      </c>
      <c r="AA15" s="140">
        <v>18000</v>
      </c>
      <c r="AB15" s="140">
        <v>20880</v>
      </c>
      <c r="AC15" s="137"/>
      <c r="AD15" s="140">
        <v>60880</v>
      </c>
      <c r="AF15" s="140">
        <v>0</v>
      </c>
      <c r="AG15" s="140">
        <v>0</v>
      </c>
      <c r="AH15" s="140">
        <v>0</v>
      </c>
      <c r="AI15" s="140">
        <v>0</v>
      </c>
      <c r="AJ15" s="140">
        <v>-60880</v>
      </c>
      <c r="AL15" s="140">
        <f t="shared" ca="1" si="48"/>
        <v>0</v>
      </c>
      <c r="AM15" s="140">
        <f t="shared" ca="1" si="49"/>
        <v>0</v>
      </c>
      <c r="AN15" s="140">
        <f t="shared" ca="1" si="8"/>
        <v>0</v>
      </c>
      <c r="AP15" s="140">
        <f t="shared" ca="1" si="50"/>
        <v>70322.309505413505</v>
      </c>
      <c r="AQ15" s="140">
        <f t="shared" ca="1" si="9"/>
        <v>60880</v>
      </c>
      <c r="AR15" s="140">
        <f ca="1">AT14*Project!$P$13/12</f>
        <v>527.41732129060131</v>
      </c>
      <c r="AS15" s="140">
        <f t="shared" si="10"/>
        <v>0</v>
      </c>
      <c r="AT15" s="140">
        <f t="shared" ca="1" si="11"/>
        <v>131729.72682670411</v>
      </c>
      <c r="AV15" s="140">
        <v>-60880</v>
      </c>
      <c r="AW15" s="140"/>
      <c r="AX15" s="140">
        <f ca="1"/>
        <v>60880</v>
      </c>
      <c r="AY15" s="140">
        <f ca="1"/>
        <v>0</v>
      </c>
      <c r="AZ15" s="140">
        <f t="shared" ca="1" si="12"/>
        <v>0</v>
      </c>
      <c r="BC15" s="534" t="s">
        <v>204</v>
      </c>
      <c r="BD15" s="549"/>
      <c r="BE15" s="529">
        <v>0</v>
      </c>
      <c r="BF15" s="529">
        <f>Project!P41</f>
        <v>0.25</v>
      </c>
      <c r="BG15" s="548">
        <f>Project!Q41</f>
        <v>0.75</v>
      </c>
      <c r="BH15" s="511"/>
      <c r="BI15" s="140">
        <f t="shared" ca="1" si="13"/>
        <v>1458935.8454830702</v>
      </c>
      <c r="BJ15" s="140">
        <f t="shared" ca="1" si="14"/>
        <v>0</v>
      </c>
      <c r="BK15" s="140" cm="1">
        <f t="array" aca="1" ref="BK15" ca="1">BI15*c_rate.Pref.MO</f>
        <v>11633.759308643446</v>
      </c>
      <c r="BL15" s="140">
        <f t="shared" ca="1" si="15"/>
        <v>0</v>
      </c>
      <c r="BM15" s="140">
        <f t="shared" ca="1" si="16"/>
        <v>1470569.6047917136</v>
      </c>
      <c r="BN15" s="140">
        <f t="shared" ca="1" si="51"/>
        <v>0</v>
      </c>
      <c r="BO15" s="140">
        <f t="shared" ca="1" si="73"/>
        <v>0</v>
      </c>
      <c r="BP15" s="140">
        <f t="shared" ca="1" si="52"/>
        <v>0</v>
      </c>
      <c r="BQ15" s="140">
        <f t="shared" ca="1" si="17"/>
        <v>0</v>
      </c>
      <c r="BR15" s="457"/>
      <c r="BS15" s="140">
        <f t="shared" ca="1" si="53"/>
        <v>1484574.5842457493</v>
      </c>
      <c r="BT15" s="140">
        <f t="shared" ca="1" si="18"/>
        <v>0</v>
      </c>
      <c r="BU15" s="140" cm="1">
        <f t="array" aca="1" ref="BU15" ca="1">IF(D15=0,0,BS15*(c_rate.Hurdle1.MO))</f>
        <v>17391.667915764825</v>
      </c>
      <c r="BV15" s="140">
        <f t="shared" ca="1" si="54"/>
        <v>0</v>
      </c>
      <c r="BW15" s="140">
        <f t="shared" ca="1" si="19"/>
        <v>0</v>
      </c>
      <c r="BX15" s="140">
        <f t="shared" ca="1" si="55"/>
        <v>1501966.252161514</v>
      </c>
      <c r="BY15" s="140">
        <f t="shared" ca="1" si="56"/>
        <v>0</v>
      </c>
      <c r="BZ15" s="140">
        <f t="shared" ca="1" si="57"/>
        <v>0</v>
      </c>
      <c r="CA15" s="140">
        <f t="shared" ca="1" si="20"/>
        <v>0</v>
      </c>
      <c r="CB15" s="140">
        <f t="shared" ca="1" si="58"/>
        <v>0</v>
      </c>
      <c r="CC15" s="516"/>
      <c r="CD15" s="140">
        <f t="shared" ca="1" si="59"/>
        <v>1509559.1550323572</v>
      </c>
      <c r="CE15" s="140">
        <f t="shared" ca="1" si="21"/>
        <v>0</v>
      </c>
      <c r="CF15" s="140" cm="1">
        <f t="array" aca="1" ref="CF15" ca="1">IF($D16=0,0,CD15*(c_rate.Hurdle2.MO))</f>
        <v>23110.551351567017</v>
      </c>
      <c r="CG15" s="140">
        <f t="shared" ca="1" si="22"/>
        <v>0</v>
      </c>
      <c r="CH15" s="140">
        <f t="shared" ca="1" si="60"/>
        <v>0</v>
      </c>
      <c r="CI15" s="140">
        <f t="shared" ca="1" si="23"/>
        <v>1532669.7063839242</v>
      </c>
      <c r="CJ15" s="140">
        <f t="shared" ca="1" si="24"/>
        <v>0</v>
      </c>
      <c r="CK15" s="140">
        <f t="shared" ca="1" si="25"/>
        <v>0</v>
      </c>
      <c r="CL15" s="140">
        <f t="shared" ca="1" si="61"/>
        <v>0</v>
      </c>
      <c r="CM15" s="140">
        <f t="shared" ca="1" si="26"/>
        <v>0</v>
      </c>
      <c r="CN15" s="140">
        <f t="shared" ca="1" si="27"/>
        <v>0</v>
      </c>
      <c r="CO15" s="516"/>
      <c r="CP15" s="140">
        <f t="shared" ca="1" si="62"/>
        <v>1533932.5931341257</v>
      </c>
      <c r="CQ15" s="140">
        <f t="shared" ca="1" si="28"/>
        <v>0</v>
      </c>
      <c r="CR15" s="140" cm="1">
        <f t="array" aca="1" ref="CR15" ca="1">IF($D16=0,0,CP15*(c_rate.Hurdle3.MO))</f>
        <v>28790.787519053782</v>
      </c>
      <c r="CS15" s="140">
        <f t="shared" ca="1" si="29"/>
        <v>0</v>
      </c>
      <c r="CT15" s="140">
        <f t="shared" ca="1" si="63"/>
        <v>0</v>
      </c>
      <c r="CU15" s="140">
        <f t="shared" ca="1" si="30"/>
        <v>1562723.3806531795</v>
      </c>
      <c r="CV15" s="140">
        <f t="shared" ca="1" si="31"/>
        <v>0</v>
      </c>
      <c r="CW15" s="140">
        <f t="shared" ca="1" si="64"/>
        <v>0</v>
      </c>
      <c r="CX15" s="140">
        <f t="shared" ca="1" si="65"/>
        <v>0</v>
      </c>
      <c r="CY15" s="140">
        <f t="shared" ca="1" si="66"/>
        <v>0</v>
      </c>
      <c r="CZ15" s="140">
        <f t="shared" ca="1" si="67"/>
        <v>0</v>
      </c>
      <c r="DA15" s="516"/>
      <c r="DB15" s="140">
        <f t="shared" ca="1" si="32"/>
        <v>0</v>
      </c>
      <c r="DC15" s="140">
        <f t="shared" ca="1" si="33"/>
        <v>0</v>
      </c>
      <c r="DD15" s="518"/>
      <c r="DE15" s="140">
        <f t="shared" ca="1" si="68"/>
        <v>0</v>
      </c>
      <c r="DF15" s="140">
        <f t="shared" ca="1" si="69"/>
        <v>0</v>
      </c>
      <c r="DG15" s="140">
        <f t="shared" ca="1" si="34"/>
        <v>0</v>
      </c>
      <c r="DH15" s="457"/>
      <c r="DI15" s="140">
        <f ca="1"/>
        <v>0</v>
      </c>
      <c r="DJ15" s="140">
        <f ca="1"/>
        <v>0</v>
      </c>
      <c r="DK15" s="140">
        <f ca="1"/>
        <v>0</v>
      </c>
      <c r="DL15" s="140">
        <f t="shared" ca="1" si="35"/>
        <v>0</v>
      </c>
      <c r="DM15" s="140">
        <f t="shared" ca="1" si="36"/>
        <v>0</v>
      </c>
      <c r="DN15" s="140">
        <f t="shared" ca="1" si="37"/>
        <v>0</v>
      </c>
      <c r="DO15" s="140">
        <f t="shared" ca="1" si="38"/>
        <v>0</v>
      </c>
      <c r="DP15" s="140">
        <f t="shared" ca="1" si="39"/>
        <v>0</v>
      </c>
      <c r="DQ15" s="140">
        <f t="shared" ca="1" si="40"/>
        <v>0</v>
      </c>
      <c r="DR15" s="140">
        <f ca="1"/>
        <v>0</v>
      </c>
      <c r="DS15" s="140">
        <f ca="1"/>
        <v>0</v>
      </c>
      <c r="DT15" s="140">
        <f t="shared" ca="1" si="41"/>
        <v>0</v>
      </c>
      <c r="DU15" s="140">
        <f t="shared" ca="1" si="42"/>
        <v>0</v>
      </c>
      <c r="DV15" s="457"/>
      <c r="DW15" s="457"/>
      <c r="DX15" s="140">
        <f ca="1"/>
        <v>0</v>
      </c>
      <c r="DY15" s="140">
        <f t="shared" ca="1" si="70"/>
        <v>0</v>
      </c>
      <c r="DZ15" s="140">
        <f t="shared" ca="1" si="43"/>
        <v>0</v>
      </c>
      <c r="EA15" s="140">
        <f t="shared" ca="1" si="44"/>
        <v>0</v>
      </c>
      <c r="EB15" s="140">
        <f t="shared" ca="1" si="45"/>
        <v>0</v>
      </c>
      <c r="EC15" s="140">
        <f t="shared" ca="1" si="46"/>
        <v>0</v>
      </c>
      <c r="ED15" s="140">
        <f t="shared" ca="1" si="71"/>
        <v>0</v>
      </c>
      <c r="EE15" s="457"/>
      <c r="EF15" s="457"/>
    </row>
    <row r="16" spans="1:138" ht="17.25" thickTop="1" thickBot="1">
      <c r="A16" s="230">
        <f t="shared" si="72"/>
        <v>2038060</v>
      </c>
      <c r="B16" s="230">
        <f t="shared" ca="1" si="47"/>
        <v>1873996.0345865386</v>
      </c>
      <c r="D16" s="187">
        <v>7</v>
      </c>
      <c r="E16" s="187">
        <v>3</v>
      </c>
      <c r="F16" s="187">
        <v>1</v>
      </c>
      <c r="G16" s="125">
        <v>46023</v>
      </c>
      <c r="H16" s="124" t="str">
        <v>Q1-26</v>
      </c>
      <c r="I16" s="124">
        <v>2026</v>
      </c>
      <c r="K16" s="141">
        <v>0</v>
      </c>
      <c r="L16" s="141">
        <v>0</v>
      </c>
      <c r="M16" s="141">
        <v>80000</v>
      </c>
      <c r="N16" s="141">
        <v>0</v>
      </c>
      <c r="O16" s="141">
        <v>0</v>
      </c>
      <c r="P16" s="141">
        <v>0</v>
      </c>
      <c r="Q16" s="141">
        <v>0</v>
      </c>
      <c r="R16" s="141">
        <v>0</v>
      </c>
      <c r="S16" s="141">
        <v>0</v>
      </c>
      <c r="T16" s="141">
        <v>80000</v>
      </c>
      <c r="U16" s="136"/>
      <c r="V16" s="141">
        <v>166.66666666666666</v>
      </c>
      <c r="W16" s="141">
        <v>500</v>
      </c>
      <c r="X16" s="141">
        <v>333.33333333333331</v>
      </c>
      <c r="Y16" s="141">
        <v>480</v>
      </c>
      <c r="Z16" s="141">
        <v>2800.0000000000005</v>
      </c>
      <c r="AA16" s="141">
        <v>18000</v>
      </c>
      <c r="AB16" s="141">
        <v>22280</v>
      </c>
      <c r="AC16" s="137"/>
      <c r="AD16" s="141">
        <v>102280</v>
      </c>
      <c r="AF16" s="141">
        <v>0</v>
      </c>
      <c r="AG16" s="141">
        <v>0</v>
      </c>
      <c r="AH16" s="141">
        <v>0</v>
      </c>
      <c r="AI16" s="141">
        <v>0</v>
      </c>
      <c r="AJ16" s="141">
        <v>-102280</v>
      </c>
      <c r="AL16" s="141">
        <f t="shared" ca="1" si="48"/>
        <v>0</v>
      </c>
      <c r="AM16" s="141">
        <f t="shared" ca="1" si="49"/>
        <v>0</v>
      </c>
      <c r="AN16" s="141">
        <f t="shared" ca="1" si="8"/>
        <v>0</v>
      </c>
      <c r="AP16" s="141">
        <f t="shared" ca="1" si="50"/>
        <v>131729.72682670411</v>
      </c>
      <c r="AQ16" s="141">
        <f t="shared" ca="1" si="9"/>
        <v>102280</v>
      </c>
      <c r="AR16" s="141">
        <f ca="1">AT15*Project!$P$13/12</f>
        <v>987.97295120028082</v>
      </c>
      <c r="AS16" s="141">
        <f t="shared" si="10"/>
        <v>0</v>
      </c>
      <c r="AT16" s="141">
        <f t="shared" ca="1" si="11"/>
        <v>234997.69977790437</v>
      </c>
      <c r="AV16" s="141">
        <v>-102280</v>
      </c>
      <c r="AW16" s="141"/>
      <c r="AX16" s="141">
        <f ca="1"/>
        <v>102280</v>
      </c>
      <c r="AY16" s="141">
        <f ca="1"/>
        <v>0</v>
      </c>
      <c r="AZ16" s="141">
        <f t="shared" ca="1" si="12"/>
        <v>0</v>
      </c>
      <c r="BC16" s="535" t="s">
        <v>195</v>
      </c>
      <c r="BD16" s="585"/>
      <c r="BE16" s="529">
        <f>Project!O42</f>
        <v>0.1</v>
      </c>
      <c r="BF16" s="529">
        <f>Project!P42</f>
        <v>0.32499999999999996</v>
      </c>
      <c r="BG16" s="548">
        <f>Project!Q42</f>
        <v>0.67500000000000004</v>
      </c>
      <c r="BH16" s="511"/>
      <c r="BI16" s="141">
        <f t="shared" ca="1" si="13"/>
        <v>1470569.6047917136</v>
      </c>
      <c r="BJ16" s="141">
        <f t="shared" ca="1" si="14"/>
        <v>0</v>
      </c>
      <c r="BK16" s="141" cm="1">
        <f t="array" aca="1" ref="BK16" ca="1">BI16*c_rate.Pref.MO</f>
        <v>11726.528539086634</v>
      </c>
      <c r="BL16" s="141">
        <f t="shared" ca="1" si="15"/>
        <v>0</v>
      </c>
      <c r="BM16" s="141">
        <f t="shared" ca="1" si="16"/>
        <v>1482296.1333308003</v>
      </c>
      <c r="BN16" s="141">
        <f t="shared" ca="1" si="51"/>
        <v>0</v>
      </c>
      <c r="BO16" s="141">
        <f t="shared" ca="1" si="73"/>
        <v>0</v>
      </c>
      <c r="BP16" s="141">
        <f t="shared" ca="1" si="52"/>
        <v>0</v>
      </c>
      <c r="BQ16" s="141">
        <f t="shared" ca="1" si="17"/>
        <v>0</v>
      </c>
      <c r="BR16" s="457"/>
      <c r="BS16" s="141">
        <f t="shared" ca="1" si="53"/>
        <v>1501966.252161514</v>
      </c>
      <c r="BT16" s="141">
        <f t="shared" ca="1" si="18"/>
        <v>0</v>
      </c>
      <c r="BU16" s="141" cm="1">
        <f t="array" aca="1" ref="BU16" ca="1">IF(D16=0,0,BS16*(c_rate.Hurdle1.MO))</f>
        <v>17595.409860495689</v>
      </c>
      <c r="BV16" s="141">
        <f t="shared" ca="1" si="54"/>
        <v>0</v>
      </c>
      <c r="BW16" s="141">
        <f t="shared" ca="1" si="19"/>
        <v>0</v>
      </c>
      <c r="BX16" s="141">
        <f t="shared" ca="1" si="55"/>
        <v>1519561.6620220097</v>
      </c>
      <c r="BY16" s="141">
        <f t="shared" ca="1" si="56"/>
        <v>0</v>
      </c>
      <c r="BZ16" s="141">
        <f t="shared" ca="1" si="57"/>
        <v>0</v>
      </c>
      <c r="CA16" s="141">
        <f t="shared" ca="1" si="20"/>
        <v>0</v>
      </c>
      <c r="CB16" s="141">
        <f t="shared" ca="1" si="58"/>
        <v>0</v>
      </c>
      <c r="CC16" s="516"/>
      <c r="CD16" s="141">
        <f t="shared" ca="1" si="59"/>
        <v>1532669.7063839242</v>
      </c>
      <c r="CE16" s="141">
        <f t="shared" ca="1" si="21"/>
        <v>0</v>
      </c>
      <c r="CF16" s="141" cm="1">
        <f t="array" aca="1" ref="CF16" ca="1">IF($D17=0,0,CD16*(c_rate.Hurdle2.MO))</f>
        <v>23464.361655716355</v>
      </c>
      <c r="CG16" s="141">
        <f t="shared" ca="1" si="22"/>
        <v>0</v>
      </c>
      <c r="CH16" s="141">
        <f t="shared" ca="1" si="60"/>
        <v>0</v>
      </c>
      <c r="CI16" s="141">
        <f t="shared" ca="1" si="23"/>
        <v>1556134.0680396406</v>
      </c>
      <c r="CJ16" s="141">
        <f t="shared" ca="1" si="24"/>
        <v>0</v>
      </c>
      <c r="CK16" s="141">
        <f t="shared" ca="1" si="25"/>
        <v>0</v>
      </c>
      <c r="CL16" s="141">
        <f t="shared" ca="1" si="61"/>
        <v>0</v>
      </c>
      <c r="CM16" s="141">
        <f t="shared" ca="1" si="26"/>
        <v>0</v>
      </c>
      <c r="CN16" s="141">
        <f t="shared" ca="1" si="27"/>
        <v>0</v>
      </c>
      <c r="CO16" s="516"/>
      <c r="CP16" s="141">
        <f t="shared" ca="1" si="62"/>
        <v>1562723.3806531795</v>
      </c>
      <c r="CQ16" s="141">
        <f t="shared" ca="1" si="28"/>
        <v>0</v>
      </c>
      <c r="CR16" s="141" cm="1">
        <f t="array" aca="1" ref="CR16" ca="1">IF($D17=0,0,CP16*(c_rate.Hurdle3.MO))</f>
        <v>29331.169443055849</v>
      </c>
      <c r="CS16" s="141">
        <f t="shared" ca="1" si="29"/>
        <v>0</v>
      </c>
      <c r="CT16" s="141">
        <f t="shared" ca="1" si="63"/>
        <v>0</v>
      </c>
      <c r="CU16" s="141">
        <f t="shared" ca="1" si="30"/>
        <v>1592054.5500962352</v>
      </c>
      <c r="CV16" s="141">
        <f t="shared" ca="1" si="31"/>
        <v>0</v>
      </c>
      <c r="CW16" s="141">
        <f t="shared" ca="1" si="64"/>
        <v>0</v>
      </c>
      <c r="CX16" s="141">
        <f t="shared" ca="1" si="65"/>
        <v>0</v>
      </c>
      <c r="CY16" s="141">
        <f t="shared" ca="1" si="66"/>
        <v>0</v>
      </c>
      <c r="CZ16" s="141">
        <f t="shared" ca="1" si="67"/>
        <v>0</v>
      </c>
      <c r="DA16" s="516"/>
      <c r="DB16" s="141">
        <f t="shared" ca="1" si="32"/>
        <v>0</v>
      </c>
      <c r="DC16" s="141">
        <f t="shared" ca="1" si="33"/>
        <v>0</v>
      </c>
      <c r="DD16" s="518"/>
      <c r="DE16" s="141">
        <f t="shared" ca="1" si="68"/>
        <v>0</v>
      </c>
      <c r="DF16" s="141">
        <f t="shared" ca="1" si="69"/>
        <v>0</v>
      </c>
      <c r="DG16" s="141">
        <f t="shared" ca="1" si="34"/>
        <v>0</v>
      </c>
      <c r="DH16" s="457"/>
      <c r="DI16" s="141">
        <f ca="1"/>
        <v>0</v>
      </c>
      <c r="DJ16" s="141">
        <f ca="1"/>
        <v>0</v>
      </c>
      <c r="DK16" s="141">
        <f ca="1"/>
        <v>0</v>
      </c>
      <c r="DL16" s="141">
        <f t="shared" ca="1" si="35"/>
        <v>0</v>
      </c>
      <c r="DM16" s="141">
        <f t="shared" ca="1" si="36"/>
        <v>0</v>
      </c>
      <c r="DN16" s="141">
        <f t="shared" ca="1" si="37"/>
        <v>0</v>
      </c>
      <c r="DO16" s="141">
        <f t="shared" ca="1" si="38"/>
        <v>0</v>
      </c>
      <c r="DP16" s="141">
        <f t="shared" ca="1" si="39"/>
        <v>0</v>
      </c>
      <c r="DQ16" s="141">
        <f t="shared" ca="1" si="40"/>
        <v>0</v>
      </c>
      <c r="DR16" s="141">
        <f ca="1"/>
        <v>0</v>
      </c>
      <c r="DS16" s="141">
        <f ca="1"/>
        <v>0</v>
      </c>
      <c r="DT16" s="141">
        <f t="shared" ca="1" si="41"/>
        <v>0</v>
      </c>
      <c r="DU16" s="141">
        <f t="shared" ca="1" si="42"/>
        <v>0</v>
      </c>
      <c r="DV16" s="457"/>
      <c r="DW16" s="457"/>
      <c r="DX16" s="141">
        <f ca="1"/>
        <v>0</v>
      </c>
      <c r="DY16" s="141">
        <f t="shared" ca="1" si="70"/>
        <v>0</v>
      </c>
      <c r="DZ16" s="141">
        <f t="shared" ca="1" si="43"/>
        <v>0</v>
      </c>
      <c r="EA16" s="141">
        <f t="shared" ca="1" si="44"/>
        <v>0</v>
      </c>
      <c r="EB16" s="141">
        <f t="shared" ca="1" si="45"/>
        <v>0</v>
      </c>
      <c r="EC16" s="141">
        <f t="shared" ca="1" si="46"/>
        <v>0</v>
      </c>
      <c r="ED16" s="141">
        <f t="shared" ca="1" si="71"/>
        <v>0</v>
      </c>
      <c r="EE16" s="457"/>
      <c r="EF16" s="457"/>
    </row>
    <row r="17" spans="1:136" ht="17.25" thickTop="1" thickBot="1">
      <c r="A17" s="228">
        <f t="shared" si="72"/>
        <v>2140340</v>
      </c>
      <c r="B17" s="228">
        <f t="shared" ca="1" si="47"/>
        <v>1873996.0345865386</v>
      </c>
      <c r="D17" s="184">
        <v>8</v>
      </c>
      <c r="E17" s="184">
        <v>3</v>
      </c>
      <c r="F17" s="184">
        <v>1</v>
      </c>
      <c r="G17" s="121">
        <v>46054</v>
      </c>
      <c r="H17" s="118" t="str">
        <v>Q1-26</v>
      </c>
      <c r="I17" s="118">
        <v>2026</v>
      </c>
      <c r="K17" s="139">
        <v>0</v>
      </c>
      <c r="L17" s="139">
        <v>0</v>
      </c>
      <c r="M17" s="139">
        <v>80000</v>
      </c>
      <c r="N17" s="139">
        <v>0</v>
      </c>
      <c r="O17" s="139">
        <v>0</v>
      </c>
      <c r="P17" s="139">
        <v>0</v>
      </c>
      <c r="Q17" s="139">
        <v>0</v>
      </c>
      <c r="R17" s="139">
        <v>0</v>
      </c>
      <c r="S17" s="139">
        <v>0</v>
      </c>
      <c r="T17" s="139">
        <v>80000</v>
      </c>
      <c r="U17" s="136"/>
      <c r="V17" s="139">
        <v>166.66666666666666</v>
      </c>
      <c r="W17" s="139">
        <v>500</v>
      </c>
      <c r="X17" s="139">
        <v>333.33333333333331</v>
      </c>
      <c r="Y17" s="139">
        <v>480</v>
      </c>
      <c r="Z17" s="139">
        <v>2800.0000000000005</v>
      </c>
      <c r="AA17" s="139">
        <v>18000</v>
      </c>
      <c r="AB17" s="139">
        <v>22280</v>
      </c>
      <c r="AC17" s="137"/>
      <c r="AD17" s="139">
        <v>102280</v>
      </c>
      <c r="AF17" s="139">
        <v>0</v>
      </c>
      <c r="AG17" s="139">
        <v>0</v>
      </c>
      <c r="AH17" s="139">
        <v>0</v>
      </c>
      <c r="AI17" s="139">
        <v>0</v>
      </c>
      <c r="AJ17" s="139">
        <v>-102280</v>
      </c>
      <c r="AL17" s="139">
        <f t="shared" ref="AL17:AL69" ca="1" si="74">AN16</f>
        <v>0</v>
      </c>
      <c r="AM17" s="139">
        <f t="shared" ca="1" si="49"/>
        <v>0</v>
      </c>
      <c r="AN17" s="139">
        <f t="shared" ref="AN17:AN69" ca="1" si="75">AL17-AM17</f>
        <v>0</v>
      </c>
      <c r="AP17" s="139">
        <f t="shared" ca="1" si="50"/>
        <v>234997.69977790437</v>
      </c>
      <c r="AQ17" s="139">
        <f t="shared" ca="1" si="9"/>
        <v>102280</v>
      </c>
      <c r="AR17" s="139">
        <f ca="1">AT16*(Project!$P$13/12)</f>
        <v>1762.4827483342826</v>
      </c>
      <c r="AS17" s="139">
        <f t="shared" si="10"/>
        <v>0</v>
      </c>
      <c r="AT17" s="139">
        <f t="shared" ca="1" si="11"/>
        <v>339040.18252623867</v>
      </c>
      <c r="AV17" s="139">
        <v>-102280</v>
      </c>
      <c r="AW17" s="139"/>
      <c r="AX17" s="139">
        <f ca="1"/>
        <v>102280</v>
      </c>
      <c r="AY17" s="139">
        <f ca="1"/>
        <v>0</v>
      </c>
      <c r="AZ17" s="139">
        <f t="shared" ca="1" si="12"/>
        <v>0</v>
      </c>
      <c r="BC17" s="535" t="s">
        <v>196</v>
      </c>
      <c r="BD17" s="585"/>
      <c r="BE17" s="529">
        <f>Project!O43</f>
        <v>0.2</v>
      </c>
      <c r="BF17" s="529">
        <f>Project!P43</f>
        <v>0.39999999999999991</v>
      </c>
      <c r="BG17" s="548">
        <f>Project!Q43</f>
        <v>0.60000000000000009</v>
      </c>
      <c r="BH17" s="511"/>
      <c r="BI17" s="139">
        <f t="shared" ca="1" si="13"/>
        <v>1482296.1333308003</v>
      </c>
      <c r="BJ17" s="139">
        <f t="shared" ca="1" si="14"/>
        <v>0</v>
      </c>
      <c r="BK17" s="139" cm="1">
        <f t="array" aca="1" ref="BK17" ca="1">BI17*c_rate.Pref.MO</f>
        <v>11820.037524400859</v>
      </c>
      <c r="BL17" s="139">
        <f t="shared" ca="1" si="15"/>
        <v>0</v>
      </c>
      <c r="BM17" s="139">
        <f t="shared" ca="1" si="16"/>
        <v>1494116.1708552011</v>
      </c>
      <c r="BN17" s="139">
        <f t="shared" ca="1" si="51"/>
        <v>0</v>
      </c>
      <c r="BO17" s="139">
        <f t="shared" ca="1" si="73"/>
        <v>0</v>
      </c>
      <c r="BP17" s="139">
        <f t="shared" ca="1" si="52"/>
        <v>0</v>
      </c>
      <c r="BQ17" s="139">
        <f t="shared" ca="1" si="17"/>
        <v>0</v>
      </c>
      <c r="BR17" s="457"/>
      <c r="BS17" s="139">
        <f t="shared" ca="1" si="53"/>
        <v>1519561.6620220097</v>
      </c>
      <c r="BT17" s="139">
        <f t="shared" ca="1" si="18"/>
        <v>0</v>
      </c>
      <c r="BU17" s="139" cm="1">
        <f t="array" aca="1" ref="BU17" ca="1">IF(D17=0,0,BS17*(c_rate.Hurdle1.MO))</f>
        <v>17801.538625182166</v>
      </c>
      <c r="BV17" s="139">
        <f t="shared" ca="1" si="54"/>
        <v>0</v>
      </c>
      <c r="BW17" s="139">
        <f t="shared" ca="1" si="19"/>
        <v>0</v>
      </c>
      <c r="BX17" s="139">
        <f t="shared" ca="1" si="55"/>
        <v>1537363.2006471918</v>
      </c>
      <c r="BY17" s="139">
        <f t="shared" ca="1" si="56"/>
        <v>0</v>
      </c>
      <c r="BZ17" s="139">
        <f t="shared" ca="1" si="57"/>
        <v>0</v>
      </c>
      <c r="CA17" s="139">
        <f t="shared" ca="1" si="20"/>
        <v>0</v>
      </c>
      <c r="CB17" s="139">
        <f t="shared" ca="1" si="58"/>
        <v>0</v>
      </c>
      <c r="CC17" s="516"/>
      <c r="CD17" s="139">
        <f t="shared" ca="1" si="59"/>
        <v>1556134.0680396406</v>
      </c>
      <c r="CE17" s="139">
        <f t="shared" ca="1" si="21"/>
        <v>0</v>
      </c>
      <c r="CF17" s="139" cm="1">
        <f t="array" aca="1" ref="CF17" ca="1">IF($D18=0,0,CD17*(c_rate.Hurdle2.MO))</f>
        <v>23823.58860827957</v>
      </c>
      <c r="CG17" s="139">
        <f t="shared" ca="1" si="22"/>
        <v>0</v>
      </c>
      <c r="CH17" s="139">
        <f t="shared" ca="1" si="60"/>
        <v>0</v>
      </c>
      <c r="CI17" s="139">
        <f t="shared" ca="1" si="23"/>
        <v>1579957.6566479201</v>
      </c>
      <c r="CJ17" s="139">
        <f t="shared" ca="1" si="24"/>
        <v>0</v>
      </c>
      <c r="CK17" s="139">
        <f t="shared" ca="1" si="25"/>
        <v>0</v>
      </c>
      <c r="CL17" s="139">
        <f t="shared" ca="1" si="61"/>
        <v>0</v>
      </c>
      <c r="CM17" s="139">
        <f t="shared" ca="1" si="26"/>
        <v>0</v>
      </c>
      <c r="CN17" s="139">
        <f t="shared" ca="1" si="27"/>
        <v>0</v>
      </c>
      <c r="CO17" s="516"/>
      <c r="CP17" s="139">
        <f t="shared" ca="1" si="62"/>
        <v>1592054.5500962352</v>
      </c>
      <c r="CQ17" s="139">
        <f t="shared" ca="1" si="28"/>
        <v>0</v>
      </c>
      <c r="CR17" s="139" cm="1">
        <f t="array" aca="1" ref="CR17" ca="1">IF($D18=0,0,CP17*(c_rate.Hurdle3.MO))</f>
        <v>29881.693938656383</v>
      </c>
      <c r="CS17" s="139">
        <f t="shared" ca="1" si="29"/>
        <v>0</v>
      </c>
      <c r="CT17" s="139">
        <f t="shared" ca="1" si="63"/>
        <v>0</v>
      </c>
      <c r="CU17" s="139">
        <f t="shared" ca="1" si="30"/>
        <v>1621936.2440348917</v>
      </c>
      <c r="CV17" s="139">
        <f t="shared" ca="1" si="31"/>
        <v>0</v>
      </c>
      <c r="CW17" s="139">
        <f t="shared" ca="1" si="64"/>
        <v>0</v>
      </c>
      <c r="CX17" s="139">
        <f t="shared" ca="1" si="65"/>
        <v>0</v>
      </c>
      <c r="CY17" s="139">
        <f t="shared" ca="1" si="66"/>
        <v>0</v>
      </c>
      <c r="CZ17" s="139">
        <f t="shared" ca="1" si="67"/>
        <v>0</v>
      </c>
      <c r="DA17" s="516"/>
      <c r="DB17" s="139">
        <f t="shared" ca="1" si="32"/>
        <v>0</v>
      </c>
      <c r="DC17" s="139">
        <f t="shared" ca="1" si="33"/>
        <v>0</v>
      </c>
      <c r="DD17" s="518"/>
      <c r="DE17" s="139">
        <f t="shared" ca="1" si="68"/>
        <v>0</v>
      </c>
      <c r="DF17" s="139">
        <f t="shared" ca="1" si="69"/>
        <v>0</v>
      </c>
      <c r="DG17" s="139">
        <f t="shared" ca="1" si="34"/>
        <v>0</v>
      </c>
      <c r="DH17" s="457"/>
      <c r="DI17" s="139">
        <f ca="1"/>
        <v>0</v>
      </c>
      <c r="DJ17" s="139">
        <f ca="1"/>
        <v>0</v>
      </c>
      <c r="DK17" s="139">
        <f ca="1"/>
        <v>0</v>
      </c>
      <c r="DL17" s="139">
        <f t="shared" ca="1" si="35"/>
        <v>0</v>
      </c>
      <c r="DM17" s="139">
        <f t="shared" ca="1" si="36"/>
        <v>0</v>
      </c>
      <c r="DN17" s="139">
        <f t="shared" ca="1" si="37"/>
        <v>0</v>
      </c>
      <c r="DO17" s="139">
        <f t="shared" ca="1" si="38"/>
        <v>0</v>
      </c>
      <c r="DP17" s="139">
        <f t="shared" ca="1" si="39"/>
        <v>0</v>
      </c>
      <c r="DQ17" s="139">
        <f t="shared" ca="1" si="40"/>
        <v>0</v>
      </c>
      <c r="DR17" s="139">
        <f ca="1"/>
        <v>0</v>
      </c>
      <c r="DS17" s="139">
        <f ca="1"/>
        <v>0</v>
      </c>
      <c r="DT17" s="139">
        <f t="shared" ca="1" si="41"/>
        <v>0</v>
      </c>
      <c r="DU17" s="139">
        <f t="shared" ca="1" si="42"/>
        <v>0</v>
      </c>
      <c r="DV17" s="457"/>
      <c r="DW17" s="457"/>
      <c r="DX17" s="139">
        <f ca="1"/>
        <v>0</v>
      </c>
      <c r="DY17" s="139">
        <f t="shared" ca="1" si="70"/>
        <v>0</v>
      </c>
      <c r="DZ17" s="139">
        <f t="shared" ca="1" si="43"/>
        <v>0</v>
      </c>
      <c r="EA17" s="139">
        <f t="shared" ca="1" si="44"/>
        <v>0</v>
      </c>
      <c r="EB17" s="139">
        <f t="shared" ca="1" si="45"/>
        <v>0</v>
      </c>
      <c r="EC17" s="139">
        <f t="shared" ca="1" si="46"/>
        <v>0</v>
      </c>
      <c r="ED17" s="139">
        <f t="shared" ca="1" si="71"/>
        <v>0</v>
      </c>
      <c r="EE17" s="457"/>
      <c r="EF17" s="457"/>
    </row>
    <row r="18" spans="1:136" ht="17.25" thickTop="1" thickBot="1">
      <c r="A18" s="229">
        <f t="shared" si="72"/>
        <v>2242620</v>
      </c>
      <c r="B18" s="229">
        <f t="shared" ca="1" si="47"/>
        <v>1873996.0345865386</v>
      </c>
      <c r="D18" s="186">
        <v>9</v>
      </c>
      <c r="E18" s="186">
        <v>3</v>
      </c>
      <c r="F18" s="186">
        <v>1</v>
      </c>
      <c r="G18" s="123">
        <v>46082</v>
      </c>
      <c r="H18" s="122" t="str">
        <v>Q1-26</v>
      </c>
      <c r="I18" s="122">
        <v>2026</v>
      </c>
      <c r="K18" s="140">
        <v>0</v>
      </c>
      <c r="L18" s="140">
        <v>0</v>
      </c>
      <c r="M18" s="140">
        <v>80000</v>
      </c>
      <c r="N18" s="140">
        <v>0</v>
      </c>
      <c r="O18" s="140">
        <v>0</v>
      </c>
      <c r="P18" s="140">
        <v>0</v>
      </c>
      <c r="Q18" s="140">
        <v>0</v>
      </c>
      <c r="R18" s="140">
        <v>0</v>
      </c>
      <c r="S18" s="140">
        <v>0</v>
      </c>
      <c r="T18" s="140">
        <v>80000</v>
      </c>
      <c r="U18" s="136"/>
      <c r="V18" s="140">
        <v>166.66666666666666</v>
      </c>
      <c r="W18" s="140">
        <v>500</v>
      </c>
      <c r="X18" s="140">
        <v>333.33333333333331</v>
      </c>
      <c r="Y18" s="140">
        <v>480</v>
      </c>
      <c r="Z18" s="140">
        <v>2800.0000000000005</v>
      </c>
      <c r="AA18" s="140">
        <v>18000</v>
      </c>
      <c r="AB18" s="140">
        <v>22280</v>
      </c>
      <c r="AC18" s="137"/>
      <c r="AD18" s="140">
        <v>102280</v>
      </c>
      <c r="AF18" s="140">
        <v>0</v>
      </c>
      <c r="AG18" s="140">
        <v>0</v>
      </c>
      <c r="AH18" s="140">
        <v>0</v>
      </c>
      <c r="AI18" s="140">
        <v>0</v>
      </c>
      <c r="AJ18" s="140">
        <v>-102280</v>
      </c>
      <c r="AL18" s="140">
        <f t="shared" ca="1" si="74"/>
        <v>0</v>
      </c>
      <c r="AM18" s="140">
        <f t="shared" ca="1" si="49"/>
        <v>0</v>
      </c>
      <c r="AN18" s="140">
        <f t="shared" ca="1" si="75"/>
        <v>0</v>
      </c>
      <c r="AP18" s="140">
        <f t="shared" ca="1" si="50"/>
        <v>339040.18252623867</v>
      </c>
      <c r="AQ18" s="140">
        <f t="shared" ca="1" si="9"/>
        <v>102280</v>
      </c>
      <c r="AR18" s="140">
        <f ca="1">AT17*(Project!$P$13/12)</f>
        <v>2542.8013689467898</v>
      </c>
      <c r="AS18" s="140">
        <f t="shared" si="10"/>
        <v>0</v>
      </c>
      <c r="AT18" s="140">
        <f t="shared" ca="1" si="11"/>
        <v>443862.98389518546</v>
      </c>
      <c r="AV18" s="140">
        <v>-102280</v>
      </c>
      <c r="AW18" s="140"/>
      <c r="AX18" s="140">
        <f ca="1"/>
        <v>102280</v>
      </c>
      <c r="AY18" s="140">
        <f ca="1"/>
        <v>0</v>
      </c>
      <c r="AZ18" s="140">
        <f t="shared" ca="1" si="12"/>
        <v>0</v>
      </c>
      <c r="BC18" s="535" t="s">
        <v>197</v>
      </c>
      <c r="BD18" s="585"/>
      <c r="BE18" s="529">
        <f>Project!O44</f>
        <v>0.3</v>
      </c>
      <c r="BF18" s="529">
        <f>Project!P44</f>
        <v>0.47500000000000009</v>
      </c>
      <c r="BG18" s="548">
        <f>Project!Q44</f>
        <v>0.52499999999999991</v>
      </c>
      <c r="BH18" s="511"/>
      <c r="BI18" s="140">
        <f t="shared" ca="1" si="13"/>
        <v>1494116.1708552011</v>
      </c>
      <c r="BJ18" s="140">
        <f t="shared" ca="1" si="14"/>
        <v>0</v>
      </c>
      <c r="BK18" s="140" cm="1">
        <f t="array" aca="1" ref="BK18" ca="1">BI18*c_rate.Pref.MO</f>
        <v>11914.292163495344</v>
      </c>
      <c r="BL18" s="140">
        <f t="shared" ca="1" si="15"/>
        <v>0</v>
      </c>
      <c r="BM18" s="140">
        <f t="shared" ca="1" si="16"/>
        <v>1506030.4630186965</v>
      </c>
      <c r="BN18" s="140">
        <f t="shared" ca="1" si="51"/>
        <v>0</v>
      </c>
      <c r="BO18" s="140">
        <f t="shared" ca="1" si="73"/>
        <v>0</v>
      </c>
      <c r="BP18" s="140">
        <f t="shared" ca="1" si="52"/>
        <v>0</v>
      </c>
      <c r="BQ18" s="140">
        <f t="shared" ca="1" si="17"/>
        <v>0</v>
      </c>
      <c r="BR18" s="457"/>
      <c r="BS18" s="140">
        <f t="shared" ca="1" si="53"/>
        <v>1537363.2006471918</v>
      </c>
      <c r="BT18" s="140">
        <f t="shared" ca="1" si="18"/>
        <v>0</v>
      </c>
      <c r="BU18" s="140" cm="1">
        <f t="array" aca="1" ref="BU18" ca="1">IF(D18=0,0,BS18*(c_rate.Hurdle1.MO))</f>
        <v>18010.082171221733</v>
      </c>
      <c r="BV18" s="140">
        <f t="shared" ca="1" si="54"/>
        <v>0</v>
      </c>
      <c r="BW18" s="140">
        <f t="shared" ca="1" si="19"/>
        <v>0</v>
      </c>
      <c r="BX18" s="140">
        <f t="shared" ca="1" si="55"/>
        <v>1555373.2828184136</v>
      </c>
      <c r="BY18" s="140">
        <f t="shared" ca="1" si="56"/>
        <v>0</v>
      </c>
      <c r="BZ18" s="140">
        <f t="shared" ca="1" si="57"/>
        <v>0</v>
      </c>
      <c r="CA18" s="140">
        <f t="shared" ca="1" si="20"/>
        <v>0</v>
      </c>
      <c r="CB18" s="140">
        <f t="shared" ca="1" si="58"/>
        <v>0</v>
      </c>
      <c r="CC18" s="516"/>
      <c r="CD18" s="140">
        <f t="shared" ca="1" si="59"/>
        <v>1579957.6566479201</v>
      </c>
      <c r="CE18" s="140">
        <f t="shared" ca="1" si="21"/>
        <v>0</v>
      </c>
      <c r="CF18" s="140" cm="1">
        <f t="array" aca="1" ref="CF18" ca="1">IF($D19=0,0,CD18*(c_rate.Hurdle2.MO))</f>
        <v>24188.31513527576</v>
      </c>
      <c r="CG18" s="140">
        <f t="shared" ca="1" si="22"/>
        <v>0</v>
      </c>
      <c r="CH18" s="140">
        <f t="shared" ca="1" si="60"/>
        <v>0</v>
      </c>
      <c r="CI18" s="140">
        <f t="shared" ca="1" si="23"/>
        <v>1604145.9717831959</v>
      </c>
      <c r="CJ18" s="140">
        <f t="shared" ca="1" si="24"/>
        <v>0</v>
      </c>
      <c r="CK18" s="140">
        <f t="shared" ca="1" si="25"/>
        <v>0</v>
      </c>
      <c r="CL18" s="140">
        <f t="shared" ca="1" si="61"/>
        <v>0</v>
      </c>
      <c r="CM18" s="140">
        <f t="shared" ca="1" si="26"/>
        <v>0</v>
      </c>
      <c r="CN18" s="140">
        <f t="shared" ca="1" si="27"/>
        <v>0</v>
      </c>
      <c r="CO18" s="516"/>
      <c r="CP18" s="140">
        <f t="shared" ca="1" si="62"/>
        <v>1621936.2440348917</v>
      </c>
      <c r="CQ18" s="140">
        <f t="shared" ca="1" si="28"/>
        <v>0</v>
      </c>
      <c r="CR18" s="140" cm="1">
        <f t="array" aca="1" ref="CR18" ca="1">IF($D19=0,0,CP18*(c_rate.Hurdle3.MO))</f>
        <v>30442.551374470728</v>
      </c>
      <c r="CS18" s="140">
        <f t="shared" ca="1" si="29"/>
        <v>0</v>
      </c>
      <c r="CT18" s="140">
        <f t="shared" ca="1" si="63"/>
        <v>0</v>
      </c>
      <c r="CU18" s="140">
        <f t="shared" ca="1" si="30"/>
        <v>1652378.7954093625</v>
      </c>
      <c r="CV18" s="140">
        <f t="shared" ca="1" si="31"/>
        <v>0</v>
      </c>
      <c r="CW18" s="140">
        <f t="shared" ca="1" si="64"/>
        <v>0</v>
      </c>
      <c r="CX18" s="140">
        <f t="shared" ca="1" si="65"/>
        <v>0</v>
      </c>
      <c r="CY18" s="140">
        <f t="shared" ca="1" si="66"/>
        <v>0</v>
      </c>
      <c r="CZ18" s="140">
        <f t="shared" ca="1" si="67"/>
        <v>0</v>
      </c>
      <c r="DA18" s="516"/>
      <c r="DB18" s="140">
        <f t="shared" ca="1" si="32"/>
        <v>0</v>
      </c>
      <c r="DC18" s="140">
        <f t="shared" ca="1" si="33"/>
        <v>0</v>
      </c>
      <c r="DD18" s="518"/>
      <c r="DE18" s="140">
        <f t="shared" ca="1" si="68"/>
        <v>0</v>
      </c>
      <c r="DF18" s="140">
        <f t="shared" ca="1" si="69"/>
        <v>0</v>
      </c>
      <c r="DG18" s="140">
        <f t="shared" ca="1" si="34"/>
        <v>0</v>
      </c>
      <c r="DH18" s="457"/>
      <c r="DI18" s="140">
        <f ca="1"/>
        <v>0</v>
      </c>
      <c r="DJ18" s="140">
        <f ca="1"/>
        <v>0</v>
      </c>
      <c r="DK18" s="140">
        <f ca="1"/>
        <v>0</v>
      </c>
      <c r="DL18" s="140">
        <f t="shared" ca="1" si="35"/>
        <v>0</v>
      </c>
      <c r="DM18" s="140">
        <f t="shared" ca="1" si="36"/>
        <v>0</v>
      </c>
      <c r="DN18" s="140">
        <f t="shared" ca="1" si="37"/>
        <v>0</v>
      </c>
      <c r="DO18" s="140">
        <f t="shared" ca="1" si="38"/>
        <v>0</v>
      </c>
      <c r="DP18" s="140">
        <f t="shared" ca="1" si="39"/>
        <v>0</v>
      </c>
      <c r="DQ18" s="140">
        <f t="shared" ca="1" si="40"/>
        <v>0</v>
      </c>
      <c r="DR18" s="140">
        <f ca="1"/>
        <v>0</v>
      </c>
      <c r="DS18" s="140">
        <f ca="1"/>
        <v>0</v>
      </c>
      <c r="DT18" s="140">
        <f t="shared" ca="1" si="41"/>
        <v>0</v>
      </c>
      <c r="DU18" s="140">
        <f t="shared" ca="1" si="42"/>
        <v>0</v>
      </c>
      <c r="DV18" s="457"/>
      <c r="DW18" s="457"/>
      <c r="DX18" s="140">
        <f ca="1"/>
        <v>0</v>
      </c>
      <c r="DY18" s="140">
        <f t="shared" ca="1" si="70"/>
        <v>0</v>
      </c>
      <c r="DZ18" s="140">
        <f t="shared" ca="1" si="43"/>
        <v>0</v>
      </c>
      <c r="EA18" s="140">
        <f t="shared" ca="1" si="44"/>
        <v>0</v>
      </c>
      <c r="EB18" s="140">
        <f t="shared" ca="1" si="45"/>
        <v>0</v>
      </c>
      <c r="EC18" s="140">
        <f t="shared" ca="1" si="46"/>
        <v>0</v>
      </c>
      <c r="ED18" s="140">
        <f t="shared" ca="1" si="71"/>
        <v>0</v>
      </c>
      <c r="EE18" s="457"/>
      <c r="EF18" s="457"/>
    </row>
    <row r="19" spans="1:136" ht="17.25" thickTop="1" thickBot="1">
      <c r="A19" s="230">
        <f t="shared" si="72"/>
        <v>2417350</v>
      </c>
      <c r="B19" s="230">
        <f t="shared" ca="1" si="47"/>
        <v>1873996.0345865386</v>
      </c>
      <c r="D19" s="187">
        <v>10</v>
      </c>
      <c r="E19" s="187">
        <v>4</v>
      </c>
      <c r="F19" s="187">
        <v>1</v>
      </c>
      <c r="G19" s="125">
        <v>46113</v>
      </c>
      <c r="H19" s="124" t="str">
        <v>Q2-26</v>
      </c>
      <c r="I19" s="124">
        <v>2026</v>
      </c>
      <c r="K19" s="141">
        <v>0</v>
      </c>
      <c r="L19" s="141">
        <v>0</v>
      </c>
      <c r="M19" s="141">
        <v>0</v>
      </c>
      <c r="N19" s="141">
        <v>150000</v>
      </c>
      <c r="O19" s="141">
        <v>0</v>
      </c>
      <c r="P19" s="141">
        <v>0</v>
      </c>
      <c r="Q19" s="141">
        <v>0</v>
      </c>
      <c r="R19" s="141">
        <v>0</v>
      </c>
      <c r="S19" s="141">
        <v>0</v>
      </c>
      <c r="T19" s="141">
        <v>150000</v>
      </c>
      <c r="U19" s="136"/>
      <c r="V19" s="141">
        <v>166.66666666666666</v>
      </c>
      <c r="W19" s="141">
        <v>500</v>
      </c>
      <c r="X19" s="141">
        <v>333.33333333333331</v>
      </c>
      <c r="Y19" s="141">
        <v>480</v>
      </c>
      <c r="Z19" s="141">
        <v>5250.0000000000009</v>
      </c>
      <c r="AA19" s="141">
        <v>18000</v>
      </c>
      <c r="AB19" s="141">
        <v>24730</v>
      </c>
      <c r="AC19" s="137"/>
      <c r="AD19" s="141">
        <v>174730</v>
      </c>
      <c r="AF19" s="141">
        <v>0</v>
      </c>
      <c r="AG19" s="141">
        <v>0</v>
      </c>
      <c r="AH19" s="141">
        <v>0</v>
      </c>
      <c r="AI19" s="141">
        <v>0</v>
      </c>
      <c r="AJ19" s="141">
        <v>-174730</v>
      </c>
      <c r="AL19" s="141">
        <f t="shared" ca="1" si="74"/>
        <v>0</v>
      </c>
      <c r="AM19" s="141">
        <f t="shared" ca="1" si="49"/>
        <v>0</v>
      </c>
      <c r="AN19" s="141">
        <f t="shared" ca="1" si="75"/>
        <v>0</v>
      </c>
      <c r="AP19" s="141">
        <f t="shared" ca="1" si="50"/>
        <v>443862.98389518546</v>
      </c>
      <c r="AQ19" s="141">
        <f t="shared" ca="1" si="9"/>
        <v>174730</v>
      </c>
      <c r="AR19" s="141">
        <f ca="1">AT18*(Project!$P$13/12)</f>
        <v>3328.9723792138907</v>
      </c>
      <c r="AS19" s="141">
        <f t="shared" si="10"/>
        <v>0</v>
      </c>
      <c r="AT19" s="141">
        <f t="shared" ca="1" si="11"/>
        <v>621921.9562743993</v>
      </c>
      <c r="AV19" s="141">
        <v>-174730</v>
      </c>
      <c r="AW19" s="141"/>
      <c r="AX19" s="141">
        <f ca="1"/>
        <v>174730</v>
      </c>
      <c r="AY19" s="141">
        <f ca="1"/>
        <v>0</v>
      </c>
      <c r="AZ19" s="141">
        <f t="shared" ca="1" si="12"/>
        <v>0</v>
      </c>
      <c r="BC19" s="535" t="s">
        <v>198</v>
      </c>
      <c r="BD19" s="585"/>
      <c r="BE19" s="529">
        <f>Project!O45</f>
        <v>0.5</v>
      </c>
      <c r="BF19" s="529">
        <f>Project!P45</f>
        <v>0.625</v>
      </c>
      <c r="BG19" s="548">
        <f>Project!Q45</f>
        <v>0.375</v>
      </c>
      <c r="BH19" s="511"/>
      <c r="BI19" s="141">
        <f t="shared" ca="1" si="13"/>
        <v>1506030.4630186965</v>
      </c>
      <c r="BJ19" s="141">
        <f t="shared" ca="1" si="14"/>
        <v>0</v>
      </c>
      <c r="BK19" s="141" cm="1">
        <f t="array" aca="1" ref="BK19" ca="1">BI19*c_rate.Pref.MO</f>
        <v>12009.298402318043</v>
      </c>
      <c r="BL19" s="141">
        <f t="shared" ca="1" si="15"/>
        <v>0</v>
      </c>
      <c r="BM19" s="141">
        <f t="shared" ca="1" si="16"/>
        <v>1518039.7614210146</v>
      </c>
      <c r="BN19" s="141">
        <f t="shared" ca="1" si="51"/>
        <v>0</v>
      </c>
      <c r="BO19" s="141">
        <f t="shared" ca="1" si="73"/>
        <v>0</v>
      </c>
      <c r="BP19" s="141">
        <f t="shared" ca="1" si="52"/>
        <v>0</v>
      </c>
      <c r="BQ19" s="141">
        <f t="shared" ca="1" si="17"/>
        <v>0</v>
      </c>
      <c r="BR19" s="457"/>
      <c r="BS19" s="141">
        <f t="shared" ca="1" si="53"/>
        <v>1555373.2828184136</v>
      </c>
      <c r="BT19" s="141">
        <f t="shared" ca="1" si="18"/>
        <v>0</v>
      </c>
      <c r="BU19" s="141" cm="1">
        <f t="array" aca="1" ref="BU19" ca="1">IF(D19=0,0,BS19*(c_rate.Hurdle1.MO))</f>
        <v>18221.068787577329</v>
      </c>
      <c r="BV19" s="141">
        <f t="shared" ca="1" si="54"/>
        <v>0</v>
      </c>
      <c r="BW19" s="141">
        <f t="shared" ca="1" si="19"/>
        <v>0</v>
      </c>
      <c r="BX19" s="141">
        <f t="shared" ca="1" si="55"/>
        <v>1573594.3516059909</v>
      </c>
      <c r="BY19" s="141">
        <f t="shared" ca="1" si="56"/>
        <v>0</v>
      </c>
      <c r="BZ19" s="141">
        <f t="shared" ca="1" si="57"/>
        <v>0</v>
      </c>
      <c r="CA19" s="141">
        <f t="shared" ca="1" si="20"/>
        <v>0</v>
      </c>
      <c r="CB19" s="141">
        <f t="shared" ca="1" si="58"/>
        <v>0</v>
      </c>
      <c r="CC19" s="516"/>
      <c r="CD19" s="141">
        <f t="shared" ca="1" si="59"/>
        <v>1604145.9717831959</v>
      </c>
      <c r="CE19" s="141">
        <f t="shared" ca="1" si="21"/>
        <v>0</v>
      </c>
      <c r="CF19" s="141" cm="1">
        <f t="array" aca="1" ref="CF19" ca="1">IF($D20=0,0,CD19*(c_rate.Hurdle2.MO))</f>
        <v>24558.625432277462</v>
      </c>
      <c r="CG19" s="141">
        <f t="shared" ca="1" si="22"/>
        <v>0</v>
      </c>
      <c r="CH19" s="141">
        <f t="shared" ca="1" si="60"/>
        <v>0</v>
      </c>
      <c r="CI19" s="141">
        <f t="shared" ca="1" si="23"/>
        <v>1628704.5972154734</v>
      </c>
      <c r="CJ19" s="141">
        <f t="shared" ca="1" si="24"/>
        <v>0</v>
      </c>
      <c r="CK19" s="141">
        <f t="shared" ca="1" si="25"/>
        <v>0</v>
      </c>
      <c r="CL19" s="141">
        <f t="shared" ca="1" si="61"/>
        <v>0</v>
      </c>
      <c r="CM19" s="141">
        <f t="shared" ca="1" si="26"/>
        <v>0</v>
      </c>
      <c r="CN19" s="141">
        <f t="shared" ca="1" si="27"/>
        <v>0</v>
      </c>
      <c r="CO19" s="516"/>
      <c r="CP19" s="141">
        <f t="shared" ca="1" si="62"/>
        <v>1652378.7954093625</v>
      </c>
      <c r="CQ19" s="141">
        <f t="shared" ca="1" si="28"/>
        <v>0</v>
      </c>
      <c r="CR19" s="141" cm="1">
        <f t="array" aca="1" ref="CR19" ca="1">IF($D20=0,0,CP19*(c_rate.Hurdle3.MO))</f>
        <v>31013.935692193241</v>
      </c>
      <c r="CS19" s="141">
        <f t="shared" ca="1" si="29"/>
        <v>0</v>
      </c>
      <c r="CT19" s="141">
        <f t="shared" ca="1" si="63"/>
        <v>0</v>
      </c>
      <c r="CU19" s="141">
        <f t="shared" ca="1" si="30"/>
        <v>1683392.7311015557</v>
      </c>
      <c r="CV19" s="141">
        <f t="shared" ca="1" si="31"/>
        <v>0</v>
      </c>
      <c r="CW19" s="141">
        <f t="shared" ca="1" si="64"/>
        <v>0</v>
      </c>
      <c r="CX19" s="141">
        <f t="shared" ca="1" si="65"/>
        <v>0</v>
      </c>
      <c r="CY19" s="141">
        <f t="shared" ca="1" si="66"/>
        <v>0</v>
      </c>
      <c r="CZ19" s="141">
        <f t="shared" ca="1" si="67"/>
        <v>0</v>
      </c>
      <c r="DA19" s="516"/>
      <c r="DB19" s="141">
        <f t="shared" ca="1" si="32"/>
        <v>0</v>
      </c>
      <c r="DC19" s="141">
        <f t="shared" ca="1" si="33"/>
        <v>0</v>
      </c>
      <c r="DD19" s="518"/>
      <c r="DE19" s="141">
        <f t="shared" ca="1" si="68"/>
        <v>0</v>
      </c>
      <c r="DF19" s="141">
        <f t="shared" ca="1" si="69"/>
        <v>0</v>
      </c>
      <c r="DG19" s="141">
        <f t="shared" ca="1" si="34"/>
        <v>0</v>
      </c>
      <c r="DH19" s="457"/>
      <c r="DI19" s="141">
        <f ca="1"/>
        <v>0</v>
      </c>
      <c r="DJ19" s="141">
        <f ca="1"/>
        <v>0</v>
      </c>
      <c r="DK19" s="141">
        <f ca="1"/>
        <v>0</v>
      </c>
      <c r="DL19" s="141">
        <f t="shared" ca="1" si="35"/>
        <v>0</v>
      </c>
      <c r="DM19" s="141">
        <f t="shared" ca="1" si="36"/>
        <v>0</v>
      </c>
      <c r="DN19" s="141">
        <f t="shared" ca="1" si="37"/>
        <v>0</v>
      </c>
      <c r="DO19" s="141">
        <f t="shared" ca="1" si="38"/>
        <v>0</v>
      </c>
      <c r="DP19" s="141">
        <f t="shared" ca="1" si="39"/>
        <v>0</v>
      </c>
      <c r="DQ19" s="141">
        <f t="shared" ca="1" si="40"/>
        <v>0</v>
      </c>
      <c r="DR19" s="141">
        <f ca="1"/>
        <v>0</v>
      </c>
      <c r="DS19" s="141">
        <f ca="1"/>
        <v>0</v>
      </c>
      <c r="DT19" s="141">
        <f t="shared" ca="1" si="41"/>
        <v>0</v>
      </c>
      <c r="DU19" s="141">
        <f t="shared" ca="1" si="42"/>
        <v>0</v>
      </c>
      <c r="DV19" s="457"/>
      <c r="DW19" s="457"/>
      <c r="DX19" s="141">
        <f ca="1"/>
        <v>0</v>
      </c>
      <c r="DY19" s="141">
        <f t="shared" ca="1" si="70"/>
        <v>0</v>
      </c>
      <c r="DZ19" s="141">
        <f t="shared" ca="1" si="43"/>
        <v>0</v>
      </c>
      <c r="EA19" s="141">
        <f t="shared" ca="1" si="44"/>
        <v>0</v>
      </c>
      <c r="EB19" s="141">
        <f t="shared" ca="1" si="45"/>
        <v>0</v>
      </c>
      <c r="EC19" s="141">
        <f t="shared" ca="1" si="46"/>
        <v>0</v>
      </c>
      <c r="ED19" s="141">
        <f t="shared" ca="1" si="71"/>
        <v>0</v>
      </c>
      <c r="EE19" s="457"/>
      <c r="EF19" s="457"/>
    </row>
    <row r="20" spans="1:136" ht="17.25" thickTop="1" thickBot="1">
      <c r="A20" s="228">
        <f t="shared" si="72"/>
        <v>2592080</v>
      </c>
      <c r="B20" s="228">
        <f t="shared" ca="1" si="47"/>
        <v>1873996.0345865386</v>
      </c>
      <c r="D20" s="184">
        <v>11</v>
      </c>
      <c r="E20" s="184">
        <v>4</v>
      </c>
      <c r="F20" s="184">
        <v>1</v>
      </c>
      <c r="G20" s="121">
        <v>46143</v>
      </c>
      <c r="H20" s="118" t="str">
        <v>Q2-26</v>
      </c>
      <c r="I20" s="118">
        <v>2026</v>
      </c>
      <c r="K20" s="139">
        <v>0</v>
      </c>
      <c r="L20" s="139">
        <v>0</v>
      </c>
      <c r="M20" s="139">
        <v>0</v>
      </c>
      <c r="N20" s="139">
        <v>150000</v>
      </c>
      <c r="O20" s="139">
        <v>0</v>
      </c>
      <c r="P20" s="139">
        <v>0</v>
      </c>
      <c r="Q20" s="139">
        <v>0</v>
      </c>
      <c r="R20" s="139">
        <v>0</v>
      </c>
      <c r="S20" s="139">
        <v>0</v>
      </c>
      <c r="T20" s="139">
        <v>150000</v>
      </c>
      <c r="U20" s="136"/>
      <c r="V20" s="139">
        <v>166.66666666666666</v>
      </c>
      <c r="W20" s="139">
        <v>500</v>
      </c>
      <c r="X20" s="139">
        <v>333.33333333333331</v>
      </c>
      <c r="Y20" s="139">
        <v>480</v>
      </c>
      <c r="Z20" s="139">
        <v>5250.0000000000009</v>
      </c>
      <c r="AA20" s="139">
        <v>18000</v>
      </c>
      <c r="AB20" s="139">
        <v>24730</v>
      </c>
      <c r="AC20" s="137"/>
      <c r="AD20" s="139">
        <v>174730</v>
      </c>
      <c r="AF20" s="139">
        <v>0</v>
      </c>
      <c r="AG20" s="139">
        <v>0</v>
      </c>
      <c r="AH20" s="139">
        <v>0</v>
      </c>
      <c r="AI20" s="139">
        <v>0</v>
      </c>
      <c r="AJ20" s="139">
        <v>-174730</v>
      </c>
      <c r="AL20" s="139">
        <f t="shared" ca="1" si="74"/>
        <v>0</v>
      </c>
      <c r="AM20" s="139">
        <f t="shared" ca="1" si="49"/>
        <v>0</v>
      </c>
      <c r="AN20" s="139">
        <f t="shared" ca="1" si="75"/>
        <v>0</v>
      </c>
      <c r="AP20" s="139">
        <f t="shared" ca="1" si="50"/>
        <v>621921.9562743993</v>
      </c>
      <c r="AQ20" s="139">
        <f t="shared" ca="1" si="9"/>
        <v>174730</v>
      </c>
      <c r="AR20" s="139">
        <f ca="1">AT19*(Project!$P$13/12)</f>
        <v>4664.4146720579947</v>
      </c>
      <c r="AS20" s="139">
        <f t="shared" si="10"/>
        <v>0</v>
      </c>
      <c r="AT20" s="139">
        <f t="shared" ca="1" si="11"/>
        <v>801316.37094645726</v>
      </c>
      <c r="AV20" s="139">
        <v>-174730</v>
      </c>
      <c r="AW20" s="139"/>
      <c r="AX20" s="139">
        <f ca="1"/>
        <v>174730</v>
      </c>
      <c r="AY20" s="139">
        <f ca="1"/>
        <v>0</v>
      </c>
      <c r="AZ20" s="139">
        <f t="shared" ca="1" si="12"/>
        <v>0</v>
      </c>
      <c r="BC20" s="536"/>
      <c r="BD20" s="585"/>
      <c r="BE20" s="457"/>
      <c r="BF20" s="457"/>
      <c r="BG20" s="457"/>
      <c r="BH20" s="511"/>
      <c r="BI20" s="139">
        <f t="shared" ca="1" si="13"/>
        <v>1518039.7614210146</v>
      </c>
      <c r="BJ20" s="139">
        <f t="shared" ca="1" si="14"/>
        <v>0</v>
      </c>
      <c r="BK20" s="139" cm="1">
        <f t="array" aca="1" ref="BK20" ca="1">BI20*c_rate.Pref.MO</f>
        <v>12105.062234230738</v>
      </c>
      <c r="BL20" s="139">
        <f t="shared" ca="1" si="15"/>
        <v>0</v>
      </c>
      <c r="BM20" s="139">
        <f t="shared" ca="1" si="16"/>
        <v>1530144.8236552454</v>
      </c>
      <c r="BN20" s="139">
        <f t="shared" ca="1" si="51"/>
        <v>0</v>
      </c>
      <c r="BO20" s="139">
        <f t="shared" ca="1" si="73"/>
        <v>0</v>
      </c>
      <c r="BP20" s="139">
        <f t="shared" ca="1" si="52"/>
        <v>0</v>
      </c>
      <c r="BQ20" s="139">
        <f t="shared" ca="1" si="17"/>
        <v>0</v>
      </c>
      <c r="BR20" s="457"/>
      <c r="BS20" s="139">
        <f t="shared" ca="1" si="53"/>
        <v>1573594.3516059909</v>
      </c>
      <c r="BT20" s="139">
        <f t="shared" ca="1" si="18"/>
        <v>0</v>
      </c>
      <c r="BU20" s="139" cm="1">
        <f t="array" aca="1" ref="BU20" ca="1">IF(D20=0,0,BS20*(c_rate.Hurdle1.MO))</f>
        <v>18434.527094614732</v>
      </c>
      <c r="BV20" s="139">
        <f t="shared" ca="1" si="54"/>
        <v>0</v>
      </c>
      <c r="BW20" s="139">
        <f t="shared" ca="1" si="19"/>
        <v>0</v>
      </c>
      <c r="BX20" s="139">
        <f t="shared" ca="1" si="55"/>
        <v>1592028.8787006056</v>
      </c>
      <c r="BY20" s="139">
        <f t="shared" ca="1" si="56"/>
        <v>0</v>
      </c>
      <c r="BZ20" s="139">
        <f t="shared" ca="1" si="57"/>
        <v>0</v>
      </c>
      <c r="CA20" s="139">
        <f t="shared" ca="1" si="20"/>
        <v>0</v>
      </c>
      <c r="CB20" s="139">
        <f t="shared" ca="1" si="58"/>
        <v>0</v>
      </c>
      <c r="CC20" s="516"/>
      <c r="CD20" s="139">
        <f t="shared" ca="1" si="59"/>
        <v>1628704.5972154734</v>
      </c>
      <c r="CE20" s="139">
        <f t="shared" ca="1" si="21"/>
        <v>0</v>
      </c>
      <c r="CF20" s="139" cm="1">
        <f t="array" aca="1" ref="CF20" ca="1">IF($D21=0,0,CD20*(c_rate.Hurdle2.MO))</f>
        <v>24934.604983846864</v>
      </c>
      <c r="CG20" s="139">
        <f t="shared" ca="1" si="22"/>
        <v>0</v>
      </c>
      <c r="CH20" s="139">
        <f t="shared" ca="1" si="60"/>
        <v>0</v>
      </c>
      <c r="CI20" s="139">
        <f t="shared" ca="1" si="23"/>
        <v>1653639.2021993203</v>
      </c>
      <c r="CJ20" s="139">
        <f t="shared" ca="1" si="24"/>
        <v>0</v>
      </c>
      <c r="CK20" s="139">
        <f t="shared" ca="1" si="25"/>
        <v>0</v>
      </c>
      <c r="CL20" s="139">
        <f t="shared" ca="1" si="61"/>
        <v>0</v>
      </c>
      <c r="CM20" s="139">
        <f t="shared" ca="1" si="26"/>
        <v>0</v>
      </c>
      <c r="CN20" s="139">
        <f t="shared" ca="1" si="27"/>
        <v>0</v>
      </c>
      <c r="CO20" s="516"/>
      <c r="CP20" s="139">
        <f t="shared" ca="1" si="62"/>
        <v>1683392.7311015557</v>
      </c>
      <c r="CQ20" s="139">
        <f t="shared" ca="1" si="28"/>
        <v>0</v>
      </c>
      <c r="CR20" s="139" cm="1">
        <f t="array" aca="1" ref="CR20" ca="1">IF($D21=0,0,CP20*(c_rate.Hurdle3.MO))</f>
        <v>31596.044473661357</v>
      </c>
      <c r="CS20" s="139">
        <f t="shared" ca="1" si="29"/>
        <v>0</v>
      </c>
      <c r="CT20" s="139">
        <f t="shared" ca="1" si="63"/>
        <v>0</v>
      </c>
      <c r="CU20" s="139">
        <f t="shared" ca="1" si="30"/>
        <v>1714988.7755752171</v>
      </c>
      <c r="CV20" s="139">
        <f t="shared" ca="1" si="31"/>
        <v>0</v>
      </c>
      <c r="CW20" s="139">
        <f t="shared" ca="1" si="64"/>
        <v>0</v>
      </c>
      <c r="CX20" s="139">
        <f t="shared" ca="1" si="65"/>
        <v>0</v>
      </c>
      <c r="CY20" s="139">
        <f t="shared" ca="1" si="66"/>
        <v>0</v>
      </c>
      <c r="CZ20" s="139">
        <f t="shared" ca="1" si="67"/>
        <v>0</v>
      </c>
      <c r="DA20" s="516"/>
      <c r="DB20" s="139">
        <f t="shared" ca="1" si="32"/>
        <v>0</v>
      </c>
      <c r="DC20" s="139">
        <f t="shared" ca="1" si="33"/>
        <v>0</v>
      </c>
      <c r="DD20" s="518"/>
      <c r="DE20" s="139">
        <f t="shared" ca="1" si="68"/>
        <v>0</v>
      </c>
      <c r="DF20" s="139">
        <f t="shared" ca="1" si="69"/>
        <v>0</v>
      </c>
      <c r="DG20" s="139">
        <f t="shared" ca="1" si="34"/>
        <v>0</v>
      </c>
      <c r="DH20" s="457"/>
      <c r="DI20" s="139">
        <f ca="1"/>
        <v>0</v>
      </c>
      <c r="DJ20" s="139">
        <f ca="1"/>
        <v>0</v>
      </c>
      <c r="DK20" s="139">
        <f ca="1"/>
        <v>0</v>
      </c>
      <c r="DL20" s="139">
        <f t="shared" ca="1" si="35"/>
        <v>0</v>
      </c>
      <c r="DM20" s="139">
        <f t="shared" ca="1" si="36"/>
        <v>0</v>
      </c>
      <c r="DN20" s="139">
        <f t="shared" ca="1" si="37"/>
        <v>0</v>
      </c>
      <c r="DO20" s="139">
        <f t="shared" ca="1" si="38"/>
        <v>0</v>
      </c>
      <c r="DP20" s="139">
        <f t="shared" ca="1" si="39"/>
        <v>0</v>
      </c>
      <c r="DQ20" s="139">
        <f t="shared" ca="1" si="40"/>
        <v>0</v>
      </c>
      <c r="DR20" s="139">
        <f ca="1"/>
        <v>0</v>
      </c>
      <c r="DS20" s="139">
        <f ca="1"/>
        <v>0</v>
      </c>
      <c r="DT20" s="139">
        <f t="shared" ca="1" si="41"/>
        <v>0</v>
      </c>
      <c r="DU20" s="139">
        <f t="shared" ca="1" si="42"/>
        <v>0</v>
      </c>
      <c r="DV20" s="457"/>
      <c r="DW20" s="457"/>
      <c r="DX20" s="139">
        <f ca="1"/>
        <v>0</v>
      </c>
      <c r="DY20" s="139">
        <f t="shared" ca="1" si="70"/>
        <v>0</v>
      </c>
      <c r="DZ20" s="139">
        <f t="shared" ca="1" si="43"/>
        <v>0</v>
      </c>
      <c r="EA20" s="139">
        <f t="shared" ca="1" si="44"/>
        <v>0</v>
      </c>
      <c r="EB20" s="139">
        <f t="shared" ca="1" si="45"/>
        <v>0</v>
      </c>
      <c r="EC20" s="139">
        <f t="shared" ca="1" si="46"/>
        <v>0</v>
      </c>
      <c r="ED20" s="139">
        <f t="shared" ca="1" si="71"/>
        <v>0</v>
      </c>
      <c r="EE20" s="457"/>
      <c r="EF20" s="457"/>
    </row>
    <row r="21" spans="1:136" ht="17.25" thickTop="1" thickBot="1">
      <c r="A21" s="231">
        <f t="shared" si="72"/>
        <v>2766810</v>
      </c>
      <c r="B21" s="231">
        <f t="shared" ca="1" si="47"/>
        <v>1873996.0345865386</v>
      </c>
      <c r="D21" s="188">
        <v>12</v>
      </c>
      <c r="E21" s="188">
        <v>4</v>
      </c>
      <c r="F21" s="188">
        <v>1</v>
      </c>
      <c r="G21" s="127">
        <v>46174</v>
      </c>
      <c r="H21" s="126" t="str">
        <v>Q2-26</v>
      </c>
      <c r="I21" s="126">
        <v>2026</v>
      </c>
      <c r="K21" s="142">
        <v>0</v>
      </c>
      <c r="L21" s="142">
        <v>0</v>
      </c>
      <c r="M21" s="142">
        <v>0</v>
      </c>
      <c r="N21" s="142">
        <v>150000</v>
      </c>
      <c r="O21" s="142">
        <v>0</v>
      </c>
      <c r="P21" s="142">
        <v>0</v>
      </c>
      <c r="Q21" s="142">
        <v>0</v>
      </c>
      <c r="R21" s="142">
        <v>0</v>
      </c>
      <c r="S21" s="142">
        <v>0</v>
      </c>
      <c r="T21" s="142">
        <v>150000</v>
      </c>
      <c r="U21" s="136"/>
      <c r="V21" s="142">
        <v>166.66666666666666</v>
      </c>
      <c r="W21" s="142">
        <v>500</v>
      </c>
      <c r="X21" s="142">
        <v>333.33333333333331</v>
      </c>
      <c r="Y21" s="142">
        <v>480</v>
      </c>
      <c r="Z21" s="142">
        <v>5250.0000000000009</v>
      </c>
      <c r="AA21" s="142">
        <v>18000</v>
      </c>
      <c r="AB21" s="142">
        <v>24730</v>
      </c>
      <c r="AC21" s="137"/>
      <c r="AD21" s="142">
        <v>174730</v>
      </c>
      <c r="AF21" s="142">
        <v>0</v>
      </c>
      <c r="AG21" s="142">
        <v>0</v>
      </c>
      <c r="AH21" s="142">
        <v>0</v>
      </c>
      <c r="AI21" s="142">
        <v>0</v>
      </c>
      <c r="AJ21" s="142">
        <v>-174730</v>
      </c>
      <c r="AL21" s="142">
        <f t="shared" ca="1" si="74"/>
        <v>0</v>
      </c>
      <c r="AM21" s="142">
        <f t="shared" ca="1" si="49"/>
        <v>0</v>
      </c>
      <c r="AN21" s="142">
        <f t="shared" ca="1" si="75"/>
        <v>0</v>
      </c>
      <c r="AP21" s="142">
        <f t="shared" ca="1" si="50"/>
        <v>801316.37094645726</v>
      </c>
      <c r="AQ21" s="142">
        <f t="shared" ca="1" si="9"/>
        <v>174730</v>
      </c>
      <c r="AR21" s="142">
        <f ca="1">AT20*(Project!$P$13/12)</f>
        <v>6009.8727820984295</v>
      </c>
      <c r="AS21" s="142">
        <f t="shared" si="10"/>
        <v>0</v>
      </c>
      <c r="AT21" s="142">
        <f t="shared" ca="1" si="11"/>
        <v>982056.24372855574</v>
      </c>
      <c r="AV21" s="142">
        <v>-174730</v>
      </c>
      <c r="AW21" s="142"/>
      <c r="AX21" s="142">
        <f ca="1"/>
        <v>174730</v>
      </c>
      <c r="AY21" s="142">
        <f ca="1"/>
        <v>0</v>
      </c>
      <c r="AZ21" s="142">
        <f t="shared" ca="1" si="12"/>
        <v>0</v>
      </c>
      <c r="BC21" s="537" t="s">
        <v>206</v>
      </c>
      <c r="BD21" s="588"/>
      <c r="BE21" s="538" t="s">
        <v>1</v>
      </c>
      <c r="BF21" s="539" t="s">
        <v>188</v>
      </c>
      <c r="BG21" s="539" t="s">
        <v>189</v>
      </c>
      <c r="BH21" s="511"/>
      <c r="BI21" s="142">
        <f t="shared" ca="1" si="13"/>
        <v>1530144.8236552454</v>
      </c>
      <c r="BJ21" s="142">
        <f t="shared" ca="1" si="14"/>
        <v>0</v>
      </c>
      <c r="BK21" s="142" cm="1">
        <f t="array" aca="1" ref="BK21" ca="1">BI21*c_rate.Pref.MO</f>
        <v>12201.589700387112</v>
      </c>
      <c r="BL21" s="142">
        <f t="shared" ca="1" si="15"/>
        <v>0</v>
      </c>
      <c r="BM21" s="142">
        <f t="shared" ca="1" si="16"/>
        <v>1542346.4133556325</v>
      </c>
      <c r="BN21" s="142">
        <f t="shared" ca="1" si="51"/>
        <v>0</v>
      </c>
      <c r="BO21" s="142">
        <f t="shared" ca="1" si="73"/>
        <v>0</v>
      </c>
      <c r="BP21" s="142">
        <f t="shared" ca="1" si="52"/>
        <v>0</v>
      </c>
      <c r="BQ21" s="142">
        <f t="shared" ca="1" si="17"/>
        <v>0</v>
      </c>
      <c r="BR21" s="457"/>
      <c r="BS21" s="142">
        <f t="shared" ca="1" si="53"/>
        <v>1592028.8787006056</v>
      </c>
      <c r="BT21" s="142">
        <f t="shared" ca="1" si="18"/>
        <v>0</v>
      </c>
      <c r="BU21" s="142" cm="1">
        <f t="array" aca="1" ref="BU21" ca="1">IF(D21=0,0,BS21*(c_rate.Hurdle1.MO))</f>
        <v>18650.486047984927</v>
      </c>
      <c r="BV21" s="142">
        <f t="shared" ca="1" si="54"/>
        <v>0</v>
      </c>
      <c r="BW21" s="142">
        <f t="shared" ca="1" si="19"/>
        <v>0</v>
      </c>
      <c r="BX21" s="142">
        <f t="shared" ca="1" si="55"/>
        <v>1610679.3647485906</v>
      </c>
      <c r="BY21" s="142">
        <f t="shared" ca="1" si="56"/>
        <v>0</v>
      </c>
      <c r="BZ21" s="142">
        <f t="shared" ca="1" si="57"/>
        <v>0</v>
      </c>
      <c r="CA21" s="142">
        <f t="shared" ca="1" si="20"/>
        <v>0</v>
      </c>
      <c r="CB21" s="142">
        <f t="shared" ca="1" si="58"/>
        <v>0</v>
      </c>
      <c r="CC21" s="516"/>
      <c r="CD21" s="142">
        <f t="shared" ca="1" si="59"/>
        <v>1653639.2021993203</v>
      </c>
      <c r="CE21" s="142">
        <f t="shared" ca="1" si="21"/>
        <v>0</v>
      </c>
      <c r="CF21" s="142" cm="1">
        <f t="array" aca="1" ref="CF21" ca="1">IF($D22=0,0,CD21*(c_rate.Hurdle2.MO))</f>
        <v>25316.340583269517</v>
      </c>
      <c r="CG21" s="142">
        <f t="shared" ca="1" si="22"/>
        <v>0</v>
      </c>
      <c r="CH21" s="142">
        <f t="shared" ca="1" si="60"/>
        <v>0</v>
      </c>
      <c r="CI21" s="142">
        <f t="shared" ca="1" si="23"/>
        <v>1678955.5427825898</v>
      </c>
      <c r="CJ21" s="142">
        <f t="shared" ca="1" si="24"/>
        <v>0</v>
      </c>
      <c r="CK21" s="142">
        <f t="shared" ca="1" si="25"/>
        <v>0</v>
      </c>
      <c r="CL21" s="142">
        <f t="shared" ca="1" si="61"/>
        <v>0</v>
      </c>
      <c r="CM21" s="142">
        <f t="shared" ca="1" si="26"/>
        <v>0</v>
      </c>
      <c r="CN21" s="142">
        <f t="shared" ca="1" si="27"/>
        <v>0</v>
      </c>
      <c r="CO21" s="516"/>
      <c r="CP21" s="142">
        <f t="shared" ca="1" si="62"/>
        <v>1714988.7755752171</v>
      </c>
      <c r="CQ21" s="142">
        <f t="shared" ca="1" si="28"/>
        <v>0</v>
      </c>
      <c r="CR21" s="142" cm="1">
        <f t="array" aca="1" ref="CR21" ca="1">IF($D22=0,0,CP21*(c_rate.Hurdle3.MO))</f>
        <v>32189.079009178404</v>
      </c>
      <c r="CS21" s="142">
        <f t="shared" ca="1" si="29"/>
        <v>0</v>
      </c>
      <c r="CT21" s="142">
        <f t="shared" ca="1" si="63"/>
        <v>0</v>
      </c>
      <c r="CU21" s="142">
        <f t="shared" ca="1" si="30"/>
        <v>1747177.8545843954</v>
      </c>
      <c r="CV21" s="142">
        <f t="shared" ca="1" si="31"/>
        <v>0</v>
      </c>
      <c r="CW21" s="142">
        <f t="shared" ca="1" si="64"/>
        <v>0</v>
      </c>
      <c r="CX21" s="142">
        <f t="shared" ca="1" si="65"/>
        <v>0</v>
      </c>
      <c r="CY21" s="142">
        <f t="shared" ca="1" si="66"/>
        <v>0</v>
      </c>
      <c r="CZ21" s="142">
        <f t="shared" ca="1" si="67"/>
        <v>0</v>
      </c>
      <c r="DA21" s="516"/>
      <c r="DB21" s="142">
        <f t="shared" ca="1" si="32"/>
        <v>0</v>
      </c>
      <c r="DC21" s="142">
        <f t="shared" ca="1" si="33"/>
        <v>0</v>
      </c>
      <c r="DD21" s="518"/>
      <c r="DE21" s="142">
        <f t="shared" ca="1" si="68"/>
        <v>0</v>
      </c>
      <c r="DF21" s="142">
        <f t="shared" ca="1" si="69"/>
        <v>0</v>
      </c>
      <c r="DG21" s="142">
        <f t="shared" ca="1" si="34"/>
        <v>0</v>
      </c>
      <c r="DH21" s="457"/>
      <c r="DI21" s="142">
        <f ca="1"/>
        <v>0</v>
      </c>
      <c r="DJ21" s="142">
        <f ca="1"/>
        <v>0</v>
      </c>
      <c r="DK21" s="142">
        <f ca="1"/>
        <v>0</v>
      </c>
      <c r="DL21" s="142">
        <f t="shared" ca="1" si="35"/>
        <v>0</v>
      </c>
      <c r="DM21" s="142">
        <f t="shared" ca="1" si="36"/>
        <v>0</v>
      </c>
      <c r="DN21" s="142">
        <f t="shared" ca="1" si="37"/>
        <v>0</v>
      </c>
      <c r="DO21" s="142">
        <f t="shared" ca="1" si="38"/>
        <v>0</v>
      </c>
      <c r="DP21" s="142">
        <f t="shared" ca="1" si="39"/>
        <v>0</v>
      </c>
      <c r="DQ21" s="142">
        <f t="shared" ca="1" si="40"/>
        <v>0</v>
      </c>
      <c r="DR21" s="142">
        <f ca="1"/>
        <v>0</v>
      </c>
      <c r="DS21" s="142">
        <f ca="1"/>
        <v>0</v>
      </c>
      <c r="DT21" s="142">
        <f t="shared" ca="1" si="41"/>
        <v>0</v>
      </c>
      <c r="DU21" s="142">
        <f t="shared" ca="1" si="42"/>
        <v>0</v>
      </c>
      <c r="DV21" s="457"/>
      <c r="DW21" s="457"/>
      <c r="DX21" s="142">
        <f ca="1"/>
        <v>0</v>
      </c>
      <c r="DY21" s="142">
        <f t="shared" ca="1" si="70"/>
        <v>0</v>
      </c>
      <c r="DZ21" s="142">
        <f t="shared" ca="1" si="43"/>
        <v>0</v>
      </c>
      <c r="EA21" s="142">
        <f t="shared" ca="1" si="44"/>
        <v>0</v>
      </c>
      <c r="EB21" s="142">
        <f t="shared" ca="1" si="45"/>
        <v>0</v>
      </c>
      <c r="EC21" s="142">
        <f t="shared" ca="1" si="46"/>
        <v>0</v>
      </c>
      <c r="ED21" s="142">
        <f t="shared" ca="1" si="71"/>
        <v>0</v>
      </c>
      <c r="EE21" s="457"/>
      <c r="EF21" s="457"/>
    </row>
    <row r="22" spans="1:136" ht="17.25" thickTop="1" thickBot="1">
      <c r="A22" s="227">
        <f t="shared" si="72"/>
        <v>2941540</v>
      </c>
      <c r="B22" s="227">
        <f t="shared" ca="1" si="47"/>
        <v>1873996.0345865386</v>
      </c>
      <c r="D22" s="185">
        <v>13</v>
      </c>
      <c r="E22" s="185">
        <v>5</v>
      </c>
      <c r="F22" s="185">
        <v>2</v>
      </c>
      <c r="G22" s="128">
        <v>46204</v>
      </c>
      <c r="H22" s="120" t="str">
        <v>Q3-26</v>
      </c>
      <c r="I22" s="120">
        <v>2026</v>
      </c>
      <c r="K22" s="138">
        <v>0</v>
      </c>
      <c r="L22" s="138">
        <v>0</v>
      </c>
      <c r="M22" s="138">
        <v>0</v>
      </c>
      <c r="N22" s="138">
        <v>150000</v>
      </c>
      <c r="O22" s="138">
        <v>0</v>
      </c>
      <c r="P22" s="138">
        <v>0</v>
      </c>
      <c r="Q22" s="138">
        <v>0</v>
      </c>
      <c r="R22" s="138">
        <v>0</v>
      </c>
      <c r="S22" s="138">
        <v>0</v>
      </c>
      <c r="T22" s="138">
        <v>150000</v>
      </c>
      <c r="U22" s="136"/>
      <c r="V22" s="138">
        <v>166.66666666666666</v>
      </c>
      <c r="W22" s="138">
        <v>500</v>
      </c>
      <c r="X22" s="138">
        <v>333.33333333333331</v>
      </c>
      <c r="Y22" s="138">
        <v>480</v>
      </c>
      <c r="Z22" s="138">
        <v>5250.0000000000009</v>
      </c>
      <c r="AA22" s="138">
        <v>18000</v>
      </c>
      <c r="AB22" s="138">
        <v>24730</v>
      </c>
      <c r="AC22" s="137"/>
      <c r="AD22" s="138">
        <v>174730</v>
      </c>
      <c r="AF22" s="138">
        <v>0</v>
      </c>
      <c r="AG22" s="138">
        <v>0</v>
      </c>
      <c r="AH22" s="138">
        <v>0</v>
      </c>
      <c r="AI22" s="138">
        <v>0</v>
      </c>
      <c r="AJ22" s="138">
        <v>-174730</v>
      </c>
      <c r="AL22" s="138">
        <f t="shared" ca="1" si="74"/>
        <v>0</v>
      </c>
      <c r="AM22" s="138">
        <f t="shared" ca="1" si="49"/>
        <v>0</v>
      </c>
      <c r="AN22" s="138">
        <f t="shared" ca="1" si="75"/>
        <v>0</v>
      </c>
      <c r="AP22" s="138">
        <f t="shared" ca="1" si="50"/>
        <v>982056.24372855574</v>
      </c>
      <c r="AQ22" s="138">
        <f t="shared" ca="1" si="9"/>
        <v>174730</v>
      </c>
      <c r="AR22" s="138">
        <f ca="1">AT21*(Project!$P$13/12)</f>
        <v>7365.4218279641682</v>
      </c>
      <c r="AS22" s="138">
        <f t="shared" si="10"/>
        <v>0</v>
      </c>
      <c r="AT22" s="138">
        <f t="shared" ca="1" si="11"/>
        <v>1164151.66555652</v>
      </c>
      <c r="AV22" s="138">
        <v>-174730</v>
      </c>
      <c r="AW22" s="138"/>
      <c r="AX22" s="138">
        <f ca="1"/>
        <v>174730</v>
      </c>
      <c r="AY22" s="138">
        <f ca="1"/>
        <v>0</v>
      </c>
      <c r="AZ22" s="138">
        <f t="shared" ca="1" si="12"/>
        <v>0</v>
      </c>
      <c r="BC22" s="534" t="s">
        <v>194</v>
      </c>
      <c r="BD22" s="589" t="str">
        <f ca="1">IF(BG22+BF22=BE22,"R","T")</f>
        <v>R</v>
      </c>
      <c r="BE22" s="528">
        <f ca="1">BE11</f>
        <v>1873996.0345865386</v>
      </c>
      <c r="BF22" s="523">
        <f ca="1">BF11</f>
        <v>468499.00864663464</v>
      </c>
      <c r="BG22" s="523">
        <f ca="1">BG11</f>
        <v>1405497.0259399039</v>
      </c>
      <c r="BH22" s="511"/>
      <c r="BI22" s="138">
        <f t="shared" ca="1" si="13"/>
        <v>1542346.4133556325</v>
      </c>
      <c r="BJ22" s="138">
        <f t="shared" ca="1" si="14"/>
        <v>0</v>
      </c>
      <c r="BK22" s="138" cm="1">
        <f t="array" aca="1" ref="BK22" ca="1">BI22*c_rate.Pref.MO</f>
        <v>12298.886890113865</v>
      </c>
      <c r="BL22" s="138">
        <f t="shared" ca="1" si="15"/>
        <v>0</v>
      </c>
      <c r="BM22" s="138">
        <f t="shared" ca="1" si="16"/>
        <v>1554645.3002457463</v>
      </c>
      <c r="BN22" s="138">
        <f t="shared" ca="1" si="51"/>
        <v>0</v>
      </c>
      <c r="BO22" s="138">
        <f t="shared" ca="1" si="73"/>
        <v>0</v>
      </c>
      <c r="BP22" s="138">
        <f t="shared" ca="1" si="52"/>
        <v>0</v>
      </c>
      <c r="BQ22" s="138">
        <f t="shared" ca="1" si="17"/>
        <v>0</v>
      </c>
      <c r="BR22" s="457"/>
      <c r="BS22" s="138">
        <f t="shared" ca="1" si="53"/>
        <v>1610679.3647485906</v>
      </c>
      <c r="BT22" s="138">
        <f t="shared" ca="1" si="18"/>
        <v>0</v>
      </c>
      <c r="BU22" s="138" cm="1">
        <f t="array" aca="1" ref="BU22" ca="1">IF(D22=0,0,BS22*(c_rate.Hurdle1.MO))</f>
        <v>18868.974942551959</v>
      </c>
      <c r="BV22" s="138">
        <f t="shared" ca="1" si="54"/>
        <v>0</v>
      </c>
      <c r="BW22" s="138">
        <f t="shared" ca="1" si="19"/>
        <v>0</v>
      </c>
      <c r="BX22" s="138">
        <f t="shared" ca="1" si="55"/>
        <v>1629548.3396911426</v>
      </c>
      <c r="BY22" s="138">
        <f t="shared" ca="1" si="56"/>
        <v>0</v>
      </c>
      <c r="BZ22" s="138">
        <f t="shared" ca="1" si="57"/>
        <v>0</v>
      </c>
      <c r="CA22" s="138">
        <f t="shared" ca="1" si="20"/>
        <v>0</v>
      </c>
      <c r="CB22" s="138">
        <f t="shared" ca="1" si="58"/>
        <v>0</v>
      </c>
      <c r="CC22" s="516"/>
      <c r="CD22" s="138">
        <f t="shared" ca="1" si="59"/>
        <v>1678955.5427825898</v>
      </c>
      <c r="CE22" s="138">
        <f t="shared" ca="1" si="21"/>
        <v>0</v>
      </c>
      <c r="CF22" s="138" cm="1">
        <f t="array" aca="1" ref="CF22" ca="1">IF($D23=0,0,CD22*(c_rate.Hurdle2.MO))</f>
        <v>25703.92035259023</v>
      </c>
      <c r="CG22" s="138">
        <f t="shared" ca="1" si="22"/>
        <v>0</v>
      </c>
      <c r="CH22" s="138">
        <f t="shared" ca="1" si="60"/>
        <v>0</v>
      </c>
      <c r="CI22" s="138">
        <f t="shared" ca="1" si="23"/>
        <v>1704659.4631351801</v>
      </c>
      <c r="CJ22" s="138">
        <f t="shared" ca="1" si="24"/>
        <v>0</v>
      </c>
      <c r="CK22" s="138">
        <f t="shared" ca="1" si="25"/>
        <v>0</v>
      </c>
      <c r="CL22" s="138">
        <f t="shared" ca="1" si="61"/>
        <v>0</v>
      </c>
      <c r="CM22" s="138">
        <f t="shared" ca="1" si="26"/>
        <v>0</v>
      </c>
      <c r="CN22" s="138">
        <f t="shared" ca="1" si="27"/>
        <v>0</v>
      </c>
      <c r="CO22" s="516"/>
      <c r="CP22" s="138">
        <f t="shared" ca="1" si="62"/>
        <v>1747177.8545843954</v>
      </c>
      <c r="CQ22" s="138">
        <f t="shared" ca="1" si="28"/>
        <v>0</v>
      </c>
      <c r="CR22" s="138" cm="1">
        <f t="array" aca="1" ref="CR22" ca="1">IF($D23=0,0,CP22*(c_rate.Hurdle3.MO))</f>
        <v>32793.244367118779</v>
      </c>
      <c r="CS22" s="138">
        <f t="shared" ca="1" si="29"/>
        <v>0</v>
      </c>
      <c r="CT22" s="138">
        <f t="shared" ca="1" si="63"/>
        <v>0</v>
      </c>
      <c r="CU22" s="138">
        <f t="shared" ca="1" si="30"/>
        <v>1779971.0989515141</v>
      </c>
      <c r="CV22" s="138">
        <f t="shared" ca="1" si="31"/>
        <v>0</v>
      </c>
      <c r="CW22" s="138">
        <f t="shared" ca="1" si="64"/>
        <v>0</v>
      </c>
      <c r="CX22" s="138">
        <f t="shared" ca="1" si="65"/>
        <v>0</v>
      </c>
      <c r="CY22" s="138">
        <f t="shared" ca="1" si="66"/>
        <v>0</v>
      </c>
      <c r="CZ22" s="138">
        <f t="shared" ca="1" si="67"/>
        <v>0</v>
      </c>
      <c r="DA22" s="516"/>
      <c r="DB22" s="138">
        <f t="shared" ca="1" si="32"/>
        <v>0</v>
      </c>
      <c r="DC22" s="138">
        <f t="shared" ca="1" si="33"/>
        <v>0</v>
      </c>
      <c r="DD22" s="518"/>
      <c r="DE22" s="138">
        <f t="shared" ca="1" si="68"/>
        <v>0</v>
      </c>
      <c r="DF22" s="138">
        <f t="shared" ca="1" si="69"/>
        <v>0</v>
      </c>
      <c r="DG22" s="138">
        <f t="shared" ca="1" si="34"/>
        <v>0</v>
      </c>
      <c r="DH22" s="457"/>
      <c r="DI22" s="138">
        <f ca="1"/>
        <v>0</v>
      </c>
      <c r="DJ22" s="138">
        <f ca="1"/>
        <v>0</v>
      </c>
      <c r="DK22" s="138">
        <f ca="1"/>
        <v>0</v>
      </c>
      <c r="DL22" s="138">
        <f t="shared" ca="1" si="35"/>
        <v>0</v>
      </c>
      <c r="DM22" s="138">
        <f t="shared" ca="1" si="36"/>
        <v>0</v>
      </c>
      <c r="DN22" s="138">
        <f t="shared" ca="1" si="37"/>
        <v>0</v>
      </c>
      <c r="DO22" s="138">
        <f t="shared" ca="1" si="38"/>
        <v>0</v>
      </c>
      <c r="DP22" s="138">
        <f t="shared" ca="1" si="39"/>
        <v>0</v>
      </c>
      <c r="DQ22" s="138">
        <f t="shared" ca="1" si="40"/>
        <v>0</v>
      </c>
      <c r="DR22" s="138">
        <f ca="1"/>
        <v>0</v>
      </c>
      <c r="DS22" s="138">
        <f ca="1"/>
        <v>0</v>
      </c>
      <c r="DT22" s="138">
        <f t="shared" ca="1" si="41"/>
        <v>0</v>
      </c>
      <c r="DU22" s="138">
        <f t="shared" ca="1" si="42"/>
        <v>0</v>
      </c>
      <c r="DV22" s="457"/>
      <c r="DW22" s="457"/>
      <c r="DX22" s="138">
        <f ca="1"/>
        <v>0</v>
      </c>
      <c r="DY22" s="138">
        <f t="shared" ca="1" si="70"/>
        <v>0</v>
      </c>
      <c r="DZ22" s="138">
        <f t="shared" ca="1" si="43"/>
        <v>0</v>
      </c>
      <c r="EA22" s="138">
        <f t="shared" ca="1" si="44"/>
        <v>0</v>
      </c>
      <c r="EB22" s="138">
        <f t="shared" ca="1" si="45"/>
        <v>0</v>
      </c>
      <c r="EC22" s="138">
        <f t="shared" ca="1" si="46"/>
        <v>0</v>
      </c>
      <c r="ED22" s="138">
        <f t="shared" ca="1" si="71"/>
        <v>0</v>
      </c>
      <c r="EE22" s="457"/>
      <c r="EF22" s="457"/>
    </row>
    <row r="23" spans="1:136" ht="17.25" thickTop="1" thickBot="1">
      <c r="A23" s="228">
        <f t="shared" si="72"/>
        <v>2961020</v>
      </c>
      <c r="B23" s="228">
        <f t="shared" ca="1" si="47"/>
        <v>1873996.0345865386</v>
      </c>
      <c r="D23" s="184">
        <v>14</v>
      </c>
      <c r="E23" s="184">
        <v>5</v>
      </c>
      <c r="F23" s="184">
        <v>2</v>
      </c>
      <c r="G23" s="121">
        <v>46235</v>
      </c>
      <c r="H23" s="118" t="str">
        <v>Q3-26</v>
      </c>
      <c r="I23" s="118">
        <v>2026</v>
      </c>
      <c r="K23" s="139">
        <v>0</v>
      </c>
      <c r="L23" s="139">
        <v>0</v>
      </c>
      <c r="M23" s="139">
        <v>0</v>
      </c>
      <c r="N23" s="139">
        <v>0</v>
      </c>
      <c r="O23" s="139">
        <v>0</v>
      </c>
      <c r="P23" s="139">
        <v>0</v>
      </c>
      <c r="Q23" s="139">
        <v>0</v>
      </c>
      <c r="R23" s="139">
        <v>0</v>
      </c>
      <c r="S23" s="139">
        <v>0</v>
      </c>
      <c r="T23" s="139">
        <v>0</v>
      </c>
      <c r="U23" s="136"/>
      <c r="V23" s="139">
        <v>166.66666666666666</v>
      </c>
      <c r="W23" s="139">
        <v>500</v>
      </c>
      <c r="X23" s="139">
        <v>333.33333333333331</v>
      </c>
      <c r="Y23" s="139">
        <v>480</v>
      </c>
      <c r="Z23" s="139">
        <v>0</v>
      </c>
      <c r="AA23" s="139">
        <v>18000</v>
      </c>
      <c r="AB23" s="139">
        <v>19480</v>
      </c>
      <c r="AC23" s="137"/>
      <c r="AD23" s="139">
        <v>19480</v>
      </c>
      <c r="AF23" s="139">
        <v>0</v>
      </c>
      <c r="AG23" s="139">
        <v>0</v>
      </c>
      <c r="AH23" s="139">
        <v>0</v>
      </c>
      <c r="AI23" s="139">
        <v>0</v>
      </c>
      <c r="AJ23" s="139">
        <v>-19480</v>
      </c>
      <c r="AL23" s="139">
        <f t="shared" ca="1" si="74"/>
        <v>0</v>
      </c>
      <c r="AM23" s="139">
        <f t="shared" ca="1" si="49"/>
        <v>0</v>
      </c>
      <c r="AN23" s="139">
        <f t="shared" ca="1" si="75"/>
        <v>0</v>
      </c>
      <c r="AP23" s="139">
        <f t="shared" ca="1" si="50"/>
        <v>1164151.66555652</v>
      </c>
      <c r="AQ23" s="139">
        <f t="shared" ca="1" si="9"/>
        <v>19480</v>
      </c>
      <c r="AR23" s="139">
        <f ca="1">AT22*(Project!$P$13/12)</f>
        <v>8731.1374916739005</v>
      </c>
      <c r="AS23" s="139">
        <f t="shared" si="10"/>
        <v>0</v>
      </c>
      <c r="AT23" s="139">
        <f t="shared" ca="1" si="11"/>
        <v>1192362.8030481939</v>
      </c>
      <c r="AV23" s="139">
        <v>-19480</v>
      </c>
      <c r="AW23" s="139"/>
      <c r="AX23" s="139">
        <f ca="1"/>
        <v>19480</v>
      </c>
      <c r="AY23" s="139">
        <f ca="1"/>
        <v>0</v>
      </c>
      <c r="AZ23" s="139">
        <f t="shared" ca="1" si="12"/>
        <v>0</v>
      </c>
      <c r="BC23" s="534" t="s">
        <v>204</v>
      </c>
      <c r="BD23" s="589" t="str">
        <f t="shared" ref="BD23:BD29" ca="1" si="76">IF(BG23+BF23=BE23,"R","T")</f>
        <v>R</v>
      </c>
      <c r="BE23" s="528">
        <f ca="1">BP7</f>
        <v>652247.45049071126</v>
      </c>
      <c r="BF23" s="523">
        <f ca="1">BO7</f>
        <v>163061.86262267781</v>
      </c>
      <c r="BG23" s="523">
        <f ca="1">BN7</f>
        <v>489185.58786803344</v>
      </c>
      <c r="BH23" s="511"/>
      <c r="BI23" s="139">
        <f t="shared" ca="1" si="13"/>
        <v>1554645.3002457463</v>
      </c>
      <c r="BJ23" s="139">
        <f t="shared" ca="1" si="14"/>
        <v>0</v>
      </c>
      <c r="BK23" s="139" cm="1">
        <f t="array" aca="1" ref="BK23" ca="1">BI23*c_rate.Pref.MO</f>
        <v>12396.959941294837</v>
      </c>
      <c r="BL23" s="139">
        <f t="shared" ca="1" si="15"/>
        <v>0</v>
      </c>
      <c r="BM23" s="139">
        <f t="shared" ca="1" si="16"/>
        <v>1567042.260187041</v>
      </c>
      <c r="BN23" s="139">
        <f t="shared" ca="1" si="51"/>
        <v>0</v>
      </c>
      <c r="BO23" s="139">
        <f t="shared" ca="1" si="73"/>
        <v>0</v>
      </c>
      <c r="BP23" s="139">
        <f t="shared" ca="1" si="52"/>
        <v>0</v>
      </c>
      <c r="BQ23" s="139">
        <f t="shared" ca="1" si="17"/>
        <v>0</v>
      </c>
      <c r="BR23" s="457"/>
      <c r="BS23" s="139">
        <f t="shared" ca="1" si="53"/>
        <v>1629548.3396911426</v>
      </c>
      <c r="BT23" s="139">
        <f t="shared" ca="1" si="18"/>
        <v>0</v>
      </c>
      <c r="BU23" s="139" cm="1">
        <f t="array" aca="1" ref="BU23" ca="1">IF(D23=0,0,BS23*(c_rate.Hurdle1.MO))</f>
        <v>19090.023416366748</v>
      </c>
      <c r="BV23" s="139">
        <f t="shared" ca="1" si="54"/>
        <v>0</v>
      </c>
      <c r="BW23" s="139">
        <f t="shared" ca="1" si="19"/>
        <v>0</v>
      </c>
      <c r="BX23" s="139">
        <f t="shared" ca="1" si="55"/>
        <v>1648638.3631075092</v>
      </c>
      <c r="BY23" s="139">
        <f t="shared" ca="1" si="56"/>
        <v>0</v>
      </c>
      <c r="BZ23" s="139">
        <f t="shared" ca="1" si="57"/>
        <v>0</v>
      </c>
      <c r="CA23" s="139">
        <f t="shared" ca="1" si="20"/>
        <v>0</v>
      </c>
      <c r="CB23" s="139">
        <f t="shared" ca="1" si="58"/>
        <v>0</v>
      </c>
      <c r="CC23" s="516"/>
      <c r="CD23" s="139">
        <f t="shared" ca="1" si="59"/>
        <v>1704659.4631351801</v>
      </c>
      <c r="CE23" s="139">
        <f t="shared" ca="1" si="21"/>
        <v>0</v>
      </c>
      <c r="CF23" s="139" cm="1">
        <f t="array" aca="1" ref="CF23" ca="1">IF($D24=0,0,CD23*(c_rate.Hurdle2.MO))</f>
        <v>26097.43376295565</v>
      </c>
      <c r="CG23" s="139">
        <f t="shared" ca="1" si="22"/>
        <v>0</v>
      </c>
      <c r="CH23" s="139">
        <f t="shared" ca="1" si="60"/>
        <v>0</v>
      </c>
      <c r="CI23" s="139">
        <f t="shared" ca="1" si="23"/>
        <v>1730756.8968981358</v>
      </c>
      <c r="CJ23" s="139">
        <f t="shared" ca="1" si="24"/>
        <v>0</v>
      </c>
      <c r="CK23" s="139">
        <f t="shared" ca="1" si="25"/>
        <v>0</v>
      </c>
      <c r="CL23" s="139">
        <f t="shared" ca="1" si="61"/>
        <v>0</v>
      </c>
      <c r="CM23" s="139">
        <f t="shared" ca="1" si="26"/>
        <v>0</v>
      </c>
      <c r="CN23" s="139">
        <f t="shared" ca="1" si="27"/>
        <v>0</v>
      </c>
      <c r="CO23" s="516"/>
      <c r="CP23" s="139">
        <f t="shared" ca="1" si="62"/>
        <v>1779971.0989515141</v>
      </c>
      <c r="CQ23" s="139">
        <f t="shared" ca="1" si="28"/>
        <v>0</v>
      </c>
      <c r="CR23" s="139" cm="1">
        <f t="array" aca="1" ref="CR23" ca="1">IF($D24=0,0,CP23*(c_rate.Hurdle3.MO))</f>
        <v>33408.749464839566</v>
      </c>
      <c r="CS23" s="139">
        <f t="shared" ca="1" si="29"/>
        <v>0</v>
      </c>
      <c r="CT23" s="139">
        <f t="shared" ca="1" si="63"/>
        <v>0</v>
      </c>
      <c r="CU23" s="139">
        <f t="shared" ca="1" si="30"/>
        <v>1813379.8484163536</v>
      </c>
      <c r="CV23" s="139">
        <f t="shared" ca="1" si="31"/>
        <v>0</v>
      </c>
      <c r="CW23" s="139">
        <f t="shared" ca="1" si="64"/>
        <v>0</v>
      </c>
      <c r="CX23" s="139">
        <f t="shared" ca="1" si="65"/>
        <v>0</v>
      </c>
      <c r="CY23" s="139">
        <f t="shared" ca="1" si="66"/>
        <v>0</v>
      </c>
      <c r="CZ23" s="139">
        <f t="shared" ca="1" si="67"/>
        <v>0</v>
      </c>
      <c r="DA23" s="516"/>
      <c r="DB23" s="139">
        <f t="shared" ca="1" si="32"/>
        <v>0</v>
      </c>
      <c r="DC23" s="139">
        <f t="shared" ca="1" si="33"/>
        <v>0</v>
      </c>
      <c r="DD23" s="518"/>
      <c r="DE23" s="139">
        <f t="shared" ca="1" si="68"/>
        <v>0</v>
      </c>
      <c r="DF23" s="139">
        <f t="shared" ca="1" si="69"/>
        <v>0</v>
      </c>
      <c r="DG23" s="139">
        <f t="shared" ca="1" si="34"/>
        <v>0</v>
      </c>
      <c r="DH23" s="457"/>
      <c r="DI23" s="139">
        <f ca="1"/>
        <v>0</v>
      </c>
      <c r="DJ23" s="139">
        <f ca="1"/>
        <v>0</v>
      </c>
      <c r="DK23" s="139">
        <f ca="1"/>
        <v>0</v>
      </c>
      <c r="DL23" s="139">
        <f t="shared" ca="1" si="35"/>
        <v>0</v>
      </c>
      <c r="DM23" s="139">
        <f t="shared" ca="1" si="36"/>
        <v>0</v>
      </c>
      <c r="DN23" s="139">
        <f t="shared" ca="1" si="37"/>
        <v>0</v>
      </c>
      <c r="DO23" s="139">
        <f t="shared" ca="1" si="38"/>
        <v>0</v>
      </c>
      <c r="DP23" s="139">
        <f t="shared" ca="1" si="39"/>
        <v>0</v>
      </c>
      <c r="DQ23" s="139">
        <f t="shared" ca="1" si="40"/>
        <v>0</v>
      </c>
      <c r="DR23" s="139">
        <f ca="1"/>
        <v>0</v>
      </c>
      <c r="DS23" s="139">
        <f ca="1"/>
        <v>0</v>
      </c>
      <c r="DT23" s="139">
        <f t="shared" ca="1" si="41"/>
        <v>0</v>
      </c>
      <c r="DU23" s="139">
        <f t="shared" ca="1" si="42"/>
        <v>0</v>
      </c>
      <c r="DV23" s="457"/>
      <c r="DW23" s="457"/>
      <c r="DX23" s="139">
        <f ca="1"/>
        <v>0</v>
      </c>
      <c r="DY23" s="139">
        <f t="shared" ca="1" si="70"/>
        <v>0</v>
      </c>
      <c r="DZ23" s="139">
        <f t="shared" ca="1" si="43"/>
        <v>0</v>
      </c>
      <c r="EA23" s="139">
        <f t="shared" ca="1" si="44"/>
        <v>0</v>
      </c>
      <c r="EB23" s="139">
        <f t="shared" ca="1" si="45"/>
        <v>0</v>
      </c>
      <c r="EC23" s="139">
        <f t="shared" ca="1" si="46"/>
        <v>0</v>
      </c>
      <c r="ED23" s="139">
        <f t="shared" ca="1" si="71"/>
        <v>0</v>
      </c>
      <c r="EE23" s="457"/>
      <c r="EF23" s="457"/>
    </row>
    <row r="24" spans="1:136" ht="17.25" thickTop="1" thickBot="1">
      <c r="A24" s="229">
        <f t="shared" si="72"/>
        <v>3187500</v>
      </c>
      <c r="B24" s="229">
        <f t="shared" ca="1" si="47"/>
        <v>1873996.0345865386</v>
      </c>
      <c r="D24" s="186">
        <v>15</v>
      </c>
      <c r="E24" s="186">
        <v>5</v>
      </c>
      <c r="F24" s="186">
        <v>2</v>
      </c>
      <c r="G24" s="123">
        <v>46266</v>
      </c>
      <c r="H24" s="122" t="str">
        <v>Q3-26</v>
      </c>
      <c r="I24" s="122">
        <v>2026</v>
      </c>
      <c r="K24" s="140">
        <v>0</v>
      </c>
      <c r="L24" s="140">
        <v>0</v>
      </c>
      <c r="M24" s="140">
        <v>0</v>
      </c>
      <c r="N24" s="140">
        <v>0</v>
      </c>
      <c r="O24" s="140">
        <v>200000</v>
      </c>
      <c r="P24" s="140">
        <v>0</v>
      </c>
      <c r="Q24" s="140">
        <v>0</v>
      </c>
      <c r="R24" s="140">
        <v>0</v>
      </c>
      <c r="S24" s="140">
        <v>0</v>
      </c>
      <c r="T24" s="140">
        <v>200000</v>
      </c>
      <c r="U24" s="136"/>
      <c r="V24" s="140">
        <v>166.66666666666666</v>
      </c>
      <c r="W24" s="140">
        <v>500</v>
      </c>
      <c r="X24" s="140">
        <v>333.33333333333331</v>
      </c>
      <c r="Y24" s="140">
        <v>480</v>
      </c>
      <c r="Z24" s="140">
        <v>7000.0000000000009</v>
      </c>
      <c r="AA24" s="140">
        <v>18000</v>
      </c>
      <c r="AB24" s="140">
        <v>26480</v>
      </c>
      <c r="AC24" s="137"/>
      <c r="AD24" s="140">
        <v>226480</v>
      </c>
      <c r="AF24" s="140">
        <v>0</v>
      </c>
      <c r="AG24" s="140">
        <v>0</v>
      </c>
      <c r="AH24" s="140">
        <v>0</v>
      </c>
      <c r="AI24" s="140">
        <v>0</v>
      </c>
      <c r="AJ24" s="140">
        <v>-226480</v>
      </c>
      <c r="AL24" s="140">
        <f t="shared" ca="1" si="74"/>
        <v>0</v>
      </c>
      <c r="AM24" s="140">
        <f t="shared" ca="1" si="49"/>
        <v>0</v>
      </c>
      <c r="AN24" s="140">
        <f t="shared" ca="1" si="75"/>
        <v>0</v>
      </c>
      <c r="AP24" s="140">
        <f t="shared" ca="1" si="50"/>
        <v>1192362.8030481939</v>
      </c>
      <c r="AQ24" s="140">
        <f t="shared" ca="1" si="9"/>
        <v>226480</v>
      </c>
      <c r="AR24" s="140">
        <f ca="1">AT23*(Project!$P$13/12)</f>
        <v>8942.7210228614549</v>
      </c>
      <c r="AS24" s="140">
        <f t="shared" si="10"/>
        <v>0</v>
      </c>
      <c r="AT24" s="140">
        <f t="shared" ca="1" si="11"/>
        <v>1427785.5240710555</v>
      </c>
      <c r="AV24" s="140">
        <v>-226480</v>
      </c>
      <c r="AW24" s="140"/>
      <c r="AX24" s="140">
        <f ca="1"/>
        <v>226480</v>
      </c>
      <c r="AY24" s="140">
        <f ca="1"/>
        <v>0</v>
      </c>
      <c r="AZ24" s="140">
        <f t="shared" ca="1" si="12"/>
        <v>0</v>
      </c>
      <c r="BC24" s="534" t="s">
        <v>195</v>
      </c>
      <c r="BD24" s="589" t="str">
        <f t="shared" ca="1" si="76"/>
        <v>R</v>
      </c>
      <c r="BE24" s="528">
        <f ca="1">BG24+BF24</f>
        <v>0</v>
      </c>
      <c r="BF24" s="523">
        <f ca="1">BZ7-BF23</f>
        <v>0</v>
      </c>
      <c r="BG24" s="523">
        <f ca="1">BY7-BG23</f>
        <v>0</v>
      </c>
      <c r="BH24" s="511"/>
      <c r="BI24" s="140">
        <f t="shared" ca="1" si="13"/>
        <v>1567042.260187041</v>
      </c>
      <c r="BJ24" s="140">
        <f t="shared" ca="1" si="14"/>
        <v>0</v>
      </c>
      <c r="BK24" s="140" cm="1">
        <f t="array" aca="1" ref="BK24" ca="1">BI24*c_rate.Pref.MO</f>
        <v>12495.815040758216</v>
      </c>
      <c r="BL24" s="140">
        <f t="shared" ca="1" si="15"/>
        <v>0</v>
      </c>
      <c r="BM24" s="140">
        <f t="shared" ca="1" si="16"/>
        <v>1579538.0752277991</v>
      </c>
      <c r="BN24" s="140">
        <f t="shared" ca="1" si="51"/>
        <v>0</v>
      </c>
      <c r="BO24" s="140">
        <f t="shared" ca="1" si="73"/>
        <v>0</v>
      </c>
      <c r="BP24" s="140">
        <f t="shared" ca="1" si="52"/>
        <v>0</v>
      </c>
      <c r="BQ24" s="140">
        <f t="shared" ca="1" si="17"/>
        <v>0</v>
      </c>
      <c r="BR24" s="516"/>
      <c r="BS24" s="140">
        <f t="shared" ca="1" si="53"/>
        <v>1648638.3631075092</v>
      </c>
      <c r="BT24" s="140">
        <f t="shared" ca="1" si="18"/>
        <v>0</v>
      </c>
      <c r="BU24" s="140" cm="1">
        <f t="array" aca="1" ref="BU24" ca="1">IF(D24=0,0,BS24*(c_rate.Hurdle1.MO))</f>
        <v>19313.661454687539</v>
      </c>
      <c r="BV24" s="140">
        <f t="shared" ca="1" si="54"/>
        <v>0</v>
      </c>
      <c r="BW24" s="140">
        <f t="shared" ca="1" si="19"/>
        <v>0</v>
      </c>
      <c r="BX24" s="140">
        <f t="shared" ca="1" si="55"/>
        <v>1667952.0245621968</v>
      </c>
      <c r="BY24" s="140">
        <f t="shared" ca="1" si="56"/>
        <v>0</v>
      </c>
      <c r="BZ24" s="140">
        <f t="shared" ca="1" si="57"/>
        <v>0</v>
      </c>
      <c r="CA24" s="140">
        <f t="shared" ca="1" si="20"/>
        <v>0</v>
      </c>
      <c r="CB24" s="140">
        <f t="shared" ca="1" si="58"/>
        <v>0</v>
      </c>
      <c r="CC24" s="516"/>
      <c r="CD24" s="140">
        <f t="shared" ca="1" si="59"/>
        <v>1730756.8968981358</v>
      </c>
      <c r="CE24" s="140">
        <f t="shared" ca="1" si="21"/>
        <v>0</v>
      </c>
      <c r="CF24" s="140" cm="1">
        <f t="array" aca="1" ref="CF24" ca="1">IF($D25=0,0,CD24*(c_rate.Hurdle2.MO))</f>
        <v>26496.971655268309</v>
      </c>
      <c r="CG24" s="140">
        <f t="shared" ca="1" si="22"/>
        <v>0</v>
      </c>
      <c r="CH24" s="140">
        <f t="shared" ca="1" si="60"/>
        <v>0</v>
      </c>
      <c r="CI24" s="140">
        <f t="shared" ca="1" si="23"/>
        <v>1757253.868553404</v>
      </c>
      <c r="CJ24" s="140">
        <f t="shared" ca="1" si="24"/>
        <v>0</v>
      </c>
      <c r="CK24" s="140">
        <f t="shared" ca="1" si="25"/>
        <v>0</v>
      </c>
      <c r="CL24" s="140">
        <f t="shared" ca="1" si="61"/>
        <v>0</v>
      </c>
      <c r="CM24" s="140">
        <f t="shared" ca="1" si="26"/>
        <v>0</v>
      </c>
      <c r="CN24" s="140">
        <f t="shared" ca="1" si="27"/>
        <v>0</v>
      </c>
      <c r="CO24" s="516"/>
      <c r="CP24" s="140">
        <f t="shared" ca="1" si="62"/>
        <v>1813379.8484163536</v>
      </c>
      <c r="CQ24" s="140">
        <f t="shared" ca="1" si="28"/>
        <v>0</v>
      </c>
      <c r="CR24" s="140" cm="1">
        <f t="array" aca="1" ref="CR24" ca="1">IF($D25=0,0,CP24*(c_rate.Hurdle3.MO))</f>
        <v>34035.80714092312</v>
      </c>
      <c r="CS24" s="140">
        <f t="shared" ca="1" si="29"/>
        <v>0</v>
      </c>
      <c r="CT24" s="140">
        <f t="shared" ca="1" si="63"/>
        <v>0</v>
      </c>
      <c r="CU24" s="140">
        <f t="shared" ca="1" si="30"/>
        <v>1847415.6555572767</v>
      </c>
      <c r="CV24" s="140">
        <f t="shared" ca="1" si="31"/>
        <v>0</v>
      </c>
      <c r="CW24" s="140">
        <f t="shared" ca="1" si="64"/>
        <v>0</v>
      </c>
      <c r="CX24" s="140">
        <f t="shared" ca="1" si="65"/>
        <v>0</v>
      </c>
      <c r="CY24" s="140">
        <f t="shared" ca="1" si="66"/>
        <v>0</v>
      </c>
      <c r="CZ24" s="140">
        <f t="shared" ca="1" si="67"/>
        <v>0</v>
      </c>
      <c r="DA24" s="516"/>
      <c r="DB24" s="140">
        <f t="shared" ca="1" si="32"/>
        <v>0</v>
      </c>
      <c r="DC24" s="140">
        <f t="shared" ca="1" si="33"/>
        <v>0</v>
      </c>
      <c r="DD24" s="518"/>
      <c r="DE24" s="140">
        <f t="shared" ca="1" si="68"/>
        <v>0</v>
      </c>
      <c r="DF24" s="140">
        <f t="shared" ca="1" si="69"/>
        <v>0</v>
      </c>
      <c r="DG24" s="140">
        <f t="shared" ca="1" si="34"/>
        <v>0</v>
      </c>
      <c r="DH24" s="457"/>
      <c r="DI24" s="140">
        <f ca="1"/>
        <v>0</v>
      </c>
      <c r="DJ24" s="140">
        <f ca="1"/>
        <v>0</v>
      </c>
      <c r="DK24" s="140">
        <f ca="1"/>
        <v>0</v>
      </c>
      <c r="DL24" s="140">
        <f t="shared" ca="1" si="35"/>
        <v>0</v>
      </c>
      <c r="DM24" s="140">
        <f t="shared" ca="1" si="36"/>
        <v>0</v>
      </c>
      <c r="DN24" s="140">
        <f t="shared" ca="1" si="37"/>
        <v>0</v>
      </c>
      <c r="DO24" s="140">
        <f t="shared" ca="1" si="38"/>
        <v>0</v>
      </c>
      <c r="DP24" s="140">
        <f t="shared" ca="1" si="39"/>
        <v>0</v>
      </c>
      <c r="DQ24" s="140">
        <f t="shared" ca="1" si="40"/>
        <v>0</v>
      </c>
      <c r="DR24" s="140">
        <f ca="1"/>
        <v>0</v>
      </c>
      <c r="DS24" s="140">
        <f ca="1"/>
        <v>0</v>
      </c>
      <c r="DT24" s="140">
        <f t="shared" ca="1" si="41"/>
        <v>0</v>
      </c>
      <c r="DU24" s="140">
        <f t="shared" ca="1" si="42"/>
        <v>0</v>
      </c>
      <c r="DV24" s="457"/>
      <c r="DW24" s="457"/>
      <c r="DX24" s="140">
        <f ca="1"/>
        <v>0</v>
      </c>
      <c r="DY24" s="140">
        <f t="shared" ca="1" si="70"/>
        <v>0</v>
      </c>
      <c r="DZ24" s="140">
        <f t="shared" ca="1" si="43"/>
        <v>0</v>
      </c>
      <c r="EA24" s="140">
        <f t="shared" ca="1" si="44"/>
        <v>0</v>
      </c>
      <c r="EB24" s="140">
        <f t="shared" ca="1" si="45"/>
        <v>0</v>
      </c>
      <c r="EC24" s="140">
        <f t="shared" ca="1" si="46"/>
        <v>0</v>
      </c>
      <c r="ED24" s="140">
        <f t="shared" ca="1" si="71"/>
        <v>0</v>
      </c>
      <c r="EE24" s="457"/>
      <c r="EF24" s="457"/>
    </row>
    <row r="25" spans="1:136" ht="17.25" thickTop="1" thickBot="1">
      <c r="A25" s="230">
        <f t="shared" si="72"/>
        <v>3413980</v>
      </c>
      <c r="B25" s="230">
        <f t="shared" ca="1" si="47"/>
        <v>1873996.0345865386</v>
      </c>
      <c r="D25" s="187">
        <v>16</v>
      </c>
      <c r="E25" s="187">
        <v>6</v>
      </c>
      <c r="F25" s="187">
        <v>2</v>
      </c>
      <c r="G25" s="125">
        <v>46296</v>
      </c>
      <c r="H25" s="124" t="str">
        <v>Q4-26</v>
      </c>
      <c r="I25" s="124">
        <v>2026</v>
      </c>
      <c r="K25" s="141">
        <v>0</v>
      </c>
      <c r="L25" s="141">
        <v>0</v>
      </c>
      <c r="M25" s="141">
        <v>0</v>
      </c>
      <c r="N25" s="141">
        <v>0</v>
      </c>
      <c r="O25" s="141">
        <v>200000</v>
      </c>
      <c r="P25" s="141">
        <v>0</v>
      </c>
      <c r="Q25" s="141">
        <v>0</v>
      </c>
      <c r="R25" s="141">
        <v>0</v>
      </c>
      <c r="S25" s="141">
        <v>0</v>
      </c>
      <c r="T25" s="141">
        <v>200000</v>
      </c>
      <c r="U25" s="136"/>
      <c r="V25" s="141">
        <v>166.66666666666666</v>
      </c>
      <c r="W25" s="141">
        <v>500</v>
      </c>
      <c r="X25" s="141">
        <v>333.33333333333331</v>
      </c>
      <c r="Y25" s="141">
        <v>480</v>
      </c>
      <c r="Z25" s="141">
        <v>7000.0000000000009</v>
      </c>
      <c r="AA25" s="141">
        <v>18000</v>
      </c>
      <c r="AB25" s="141">
        <v>26480</v>
      </c>
      <c r="AC25" s="137"/>
      <c r="AD25" s="141">
        <v>226480</v>
      </c>
      <c r="AF25" s="141">
        <v>0</v>
      </c>
      <c r="AG25" s="141">
        <v>0</v>
      </c>
      <c r="AH25" s="141">
        <v>0</v>
      </c>
      <c r="AI25" s="141">
        <v>0</v>
      </c>
      <c r="AJ25" s="141">
        <v>-226480</v>
      </c>
      <c r="AL25" s="141">
        <f t="shared" ca="1" si="74"/>
        <v>0</v>
      </c>
      <c r="AM25" s="141">
        <f t="shared" ca="1" si="49"/>
        <v>0</v>
      </c>
      <c r="AN25" s="141">
        <f t="shared" ca="1" si="75"/>
        <v>0</v>
      </c>
      <c r="AP25" s="141">
        <f t="shared" ca="1" si="50"/>
        <v>1427785.5240710555</v>
      </c>
      <c r="AQ25" s="141">
        <f t="shared" ca="1" si="9"/>
        <v>226480</v>
      </c>
      <c r="AR25" s="141">
        <f ca="1">AT24*(Project!$P$13/12)</f>
        <v>10708.391430532916</v>
      </c>
      <c r="AS25" s="141">
        <f t="shared" si="10"/>
        <v>0</v>
      </c>
      <c r="AT25" s="141">
        <f t="shared" ca="1" si="11"/>
        <v>1664973.9155015885</v>
      </c>
      <c r="AV25" s="141">
        <v>-226480</v>
      </c>
      <c r="AW25" s="141"/>
      <c r="AX25" s="141">
        <f ca="1"/>
        <v>226480</v>
      </c>
      <c r="AY25" s="141">
        <f ca="1"/>
        <v>0</v>
      </c>
      <c r="AZ25" s="141">
        <f t="shared" ca="1" si="12"/>
        <v>0</v>
      </c>
      <c r="BC25" s="534" t="s">
        <v>196</v>
      </c>
      <c r="BD25" s="589" t="str">
        <f t="shared" ca="1" si="76"/>
        <v>R</v>
      </c>
      <c r="BE25" s="528">
        <f ca="1">BG25+BF25</f>
        <v>0</v>
      </c>
      <c r="BF25" s="523">
        <f ca="1">CL7-BF23-BF24</f>
        <v>0</v>
      </c>
      <c r="BG25" s="523">
        <f ca="1">CK7-BG24-BG23</f>
        <v>0</v>
      </c>
      <c r="BH25" s="511"/>
      <c r="BI25" s="141">
        <f t="shared" ca="1" si="13"/>
        <v>1579538.0752277991</v>
      </c>
      <c r="BJ25" s="141">
        <f t="shared" ca="1" si="14"/>
        <v>0</v>
      </c>
      <c r="BK25" s="141" cm="1">
        <f t="array" aca="1" ref="BK25" ca="1">BI25*c_rate.Pref.MO</f>
        <v>12595.458424666829</v>
      </c>
      <c r="BL25" s="141">
        <f t="shared" ca="1" si="15"/>
        <v>0</v>
      </c>
      <c r="BM25" s="141">
        <f t="shared" ca="1" si="16"/>
        <v>1592133.533652466</v>
      </c>
      <c r="BN25" s="141">
        <f t="shared" ca="1" si="51"/>
        <v>0</v>
      </c>
      <c r="BO25" s="141">
        <f t="shared" ca="1" si="73"/>
        <v>0</v>
      </c>
      <c r="BP25" s="141">
        <f t="shared" ca="1" si="52"/>
        <v>0</v>
      </c>
      <c r="BQ25" s="141">
        <f t="shared" ca="1" si="17"/>
        <v>0</v>
      </c>
      <c r="BR25" s="516"/>
      <c r="BS25" s="141">
        <f t="shared" ca="1" si="53"/>
        <v>1667952.0245621968</v>
      </c>
      <c r="BT25" s="141">
        <f t="shared" ca="1" si="18"/>
        <v>0</v>
      </c>
      <c r="BU25" s="141" cm="1">
        <f t="array" aca="1" ref="BU25" ca="1">IF(D25=0,0,BS25*(c_rate.Hurdle1.MO))</f>
        <v>19539.919394047378</v>
      </c>
      <c r="BV25" s="141">
        <f t="shared" ca="1" si="54"/>
        <v>0</v>
      </c>
      <c r="BW25" s="141">
        <f t="shared" ca="1" si="19"/>
        <v>0</v>
      </c>
      <c r="BX25" s="141">
        <f t="shared" ca="1" si="55"/>
        <v>1687491.9439562443</v>
      </c>
      <c r="BY25" s="141">
        <f t="shared" ca="1" si="56"/>
        <v>0</v>
      </c>
      <c r="BZ25" s="141">
        <f t="shared" ca="1" si="57"/>
        <v>0</v>
      </c>
      <c r="CA25" s="141">
        <f t="shared" ca="1" si="20"/>
        <v>0</v>
      </c>
      <c r="CB25" s="141">
        <f t="shared" ca="1" si="58"/>
        <v>0</v>
      </c>
      <c r="CC25" s="516"/>
      <c r="CD25" s="141">
        <f t="shared" ca="1" si="59"/>
        <v>1757253.868553404</v>
      </c>
      <c r="CE25" s="141">
        <f t="shared" ca="1" si="21"/>
        <v>0</v>
      </c>
      <c r="CF25" s="141" cm="1">
        <f t="array" aca="1" ref="CF25" ca="1">IF($D26=0,0,CD25*(c_rate.Hurdle2.MO))</f>
        <v>26902.626261156853</v>
      </c>
      <c r="CG25" s="141">
        <f t="shared" ca="1" si="22"/>
        <v>0</v>
      </c>
      <c r="CH25" s="141">
        <f t="shared" ca="1" si="60"/>
        <v>0</v>
      </c>
      <c r="CI25" s="141">
        <f t="shared" ca="1" si="23"/>
        <v>1784156.4948145607</v>
      </c>
      <c r="CJ25" s="141">
        <f t="shared" ca="1" si="24"/>
        <v>0</v>
      </c>
      <c r="CK25" s="141">
        <f t="shared" ca="1" si="25"/>
        <v>0</v>
      </c>
      <c r="CL25" s="141">
        <f t="shared" ca="1" si="61"/>
        <v>0</v>
      </c>
      <c r="CM25" s="141">
        <f t="shared" ca="1" si="26"/>
        <v>0</v>
      </c>
      <c r="CN25" s="141">
        <f t="shared" ca="1" si="27"/>
        <v>0</v>
      </c>
      <c r="CO25" s="516"/>
      <c r="CP25" s="141">
        <f t="shared" ca="1" si="62"/>
        <v>1847415.6555572767</v>
      </c>
      <c r="CQ25" s="141">
        <f t="shared" ca="1" si="28"/>
        <v>0</v>
      </c>
      <c r="CR25" s="141" cm="1">
        <f t="array" aca="1" ref="CR25" ca="1">IF($D26=0,0,CP25*(c_rate.Hurdle3.MO))</f>
        <v>34674.634228775554</v>
      </c>
      <c r="CS25" s="141">
        <f t="shared" ca="1" si="29"/>
        <v>0</v>
      </c>
      <c r="CT25" s="141">
        <f t="shared" ca="1" si="63"/>
        <v>0</v>
      </c>
      <c r="CU25" s="141">
        <f t="shared" ca="1" si="30"/>
        <v>1882090.2897860522</v>
      </c>
      <c r="CV25" s="141">
        <f t="shared" ca="1" si="31"/>
        <v>0</v>
      </c>
      <c r="CW25" s="141">
        <f t="shared" ca="1" si="64"/>
        <v>0</v>
      </c>
      <c r="CX25" s="141">
        <f t="shared" ca="1" si="65"/>
        <v>0</v>
      </c>
      <c r="CY25" s="141">
        <f t="shared" ca="1" si="66"/>
        <v>0</v>
      </c>
      <c r="CZ25" s="141">
        <f t="shared" ca="1" si="67"/>
        <v>0</v>
      </c>
      <c r="DA25" s="516"/>
      <c r="DB25" s="141">
        <f t="shared" ca="1" si="32"/>
        <v>0</v>
      </c>
      <c r="DC25" s="141">
        <f t="shared" ca="1" si="33"/>
        <v>0</v>
      </c>
      <c r="DD25" s="518"/>
      <c r="DE25" s="141">
        <f t="shared" ca="1" si="68"/>
        <v>0</v>
      </c>
      <c r="DF25" s="141">
        <f t="shared" ca="1" si="69"/>
        <v>0</v>
      </c>
      <c r="DG25" s="141">
        <f t="shared" ca="1" si="34"/>
        <v>0</v>
      </c>
      <c r="DH25" s="457"/>
      <c r="DI25" s="141">
        <f ca="1"/>
        <v>0</v>
      </c>
      <c r="DJ25" s="141">
        <f ca="1"/>
        <v>0</v>
      </c>
      <c r="DK25" s="141">
        <f ca="1"/>
        <v>0</v>
      </c>
      <c r="DL25" s="141">
        <f t="shared" ca="1" si="35"/>
        <v>0</v>
      </c>
      <c r="DM25" s="141">
        <f t="shared" ca="1" si="36"/>
        <v>0</v>
      </c>
      <c r="DN25" s="141">
        <f t="shared" ca="1" si="37"/>
        <v>0</v>
      </c>
      <c r="DO25" s="141">
        <f t="shared" ca="1" si="38"/>
        <v>0</v>
      </c>
      <c r="DP25" s="141">
        <f t="shared" ca="1" si="39"/>
        <v>0</v>
      </c>
      <c r="DQ25" s="141">
        <f t="shared" ca="1" si="40"/>
        <v>0</v>
      </c>
      <c r="DR25" s="141">
        <f ca="1"/>
        <v>0</v>
      </c>
      <c r="DS25" s="141">
        <f ca="1"/>
        <v>0</v>
      </c>
      <c r="DT25" s="141">
        <f t="shared" ca="1" si="41"/>
        <v>0</v>
      </c>
      <c r="DU25" s="141">
        <f t="shared" ca="1" si="42"/>
        <v>0</v>
      </c>
      <c r="DV25" s="457"/>
      <c r="DW25" s="457"/>
      <c r="DX25" s="141">
        <f ca="1"/>
        <v>0</v>
      </c>
      <c r="DY25" s="141">
        <f t="shared" ca="1" si="70"/>
        <v>0</v>
      </c>
      <c r="DZ25" s="141">
        <f t="shared" ca="1" si="43"/>
        <v>0</v>
      </c>
      <c r="EA25" s="141">
        <f t="shared" ca="1" si="44"/>
        <v>0</v>
      </c>
      <c r="EB25" s="141">
        <f t="shared" ca="1" si="45"/>
        <v>0</v>
      </c>
      <c r="EC25" s="141">
        <f t="shared" ca="1" si="46"/>
        <v>0</v>
      </c>
      <c r="ED25" s="141">
        <f t="shared" ca="1" si="71"/>
        <v>0</v>
      </c>
      <c r="EE25" s="457"/>
      <c r="EF25" s="457"/>
    </row>
    <row r="26" spans="1:136" ht="17.25" thickTop="1" thickBot="1">
      <c r="A26" s="228">
        <f t="shared" si="72"/>
        <v>3640460</v>
      </c>
      <c r="B26" s="228">
        <f t="shared" ca="1" si="47"/>
        <v>1873996.0345865386</v>
      </c>
      <c r="D26" s="184">
        <v>17</v>
      </c>
      <c r="E26" s="184">
        <v>6</v>
      </c>
      <c r="F26" s="184">
        <v>2</v>
      </c>
      <c r="G26" s="121">
        <v>46327</v>
      </c>
      <c r="H26" s="118" t="str">
        <v>Q4-26</v>
      </c>
      <c r="I26" s="118">
        <v>2026</v>
      </c>
      <c r="K26" s="139">
        <v>0</v>
      </c>
      <c r="L26" s="139">
        <v>0</v>
      </c>
      <c r="M26" s="139">
        <v>0</v>
      </c>
      <c r="N26" s="139">
        <v>0</v>
      </c>
      <c r="O26" s="139">
        <v>200000</v>
      </c>
      <c r="P26" s="139">
        <v>0</v>
      </c>
      <c r="Q26" s="139">
        <v>0</v>
      </c>
      <c r="R26" s="139">
        <v>0</v>
      </c>
      <c r="S26" s="139">
        <v>0</v>
      </c>
      <c r="T26" s="139">
        <v>200000</v>
      </c>
      <c r="U26" s="136"/>
      <c r="V26" s="139">
        <v>166.66666666666666</v>
      </c>
      <c r="W26" s="139">
        <v>500</v>
      </c>
      <c r="X26" s="139">
        <v>333.33333333333331</v>
      </c>
      <c r="Y26" s="139">
        <v>480</v>
      </c>
      <c r="Z26" s="139">
        <v>7000.0000000000009</v>
      </c>
      <c r="AA26" s="139">
        <v>18000</v>
      </c>
      <c r="AB26" s="139">
        <v>26480</v>
      </c>
      <c r="AC26" s="137"/>
      <c r="AD26" s="139">
        <v>226480</v>
      </c>
      <c r="AF26" s="139">
        <v>0</v>
      </c>
      <c r="AG26" s="139">
        <v>0</v>
      </c>
      <c r="AH26" s="139">
        <v>0</v>
      </c>
      <c r="AI26" s="139">
        <v>0</v>
      </c>
      <c r="AJ26" s="139">
        <v>-226480</v>
      </c>
      <c r="AL26" s="139">
        <f t="shared" ca="1" si="74"/>
        <v>0</v>
      </c>
      <c r="AM26" s="139">
        <f t="shared" ca="1" si="49"/>
        <v>0</v>
      </c>
      <c r="AN26" s="139">
        <f t="shared" ca="1" si="75"/>
        <v>0</v>
      </c>
      <c r="AP26" s="139">
        <f t="shared" ca="1" si="50"/>
        <v>1664973.9155015885</v>
      </c>
      <c r="AQ26" s="139">
        <f t="shared" ca="1" si="9"/>
        <v>226480</v>
      </c>
      <c r="AR26" s="139">
        <f ca="1">AT25*(Project!$P$13/12)</f>
        <v>12487.304366261913</v>
      </c>
      <c r="AS26" s="139">
        <f t="shared" si="10"/>
        <v>0</v>
      </c>
      <c r="AT26" s="139">
        <f t="shared" ca="1" si="11"/>
        <v>1903941.2198678504</v>
      </c>
      <c r="AV26" s="139">
        <v>-226480</v>
      </c>
      <c r="AW26" s="139"/>
      <c r="AX26" s="139">
        <f ca="1"/>
        <v>226480</v>
      </c>
      <c r="AY26" s="139">
        <f ca="1"/>
        <v>0</v>
      </c>
      <c r="AZ26" s="139">
        <f t="shared" ca="1" si="12"/>
        <v>0</v>
      </c>
      <c r="BC26" s="534" t="s">
        <v>197</v>
      </c>
      <c r="BD26" s="589" t="str">
        <f t="shared" ca="1" si="76"/>
        <v>R</v>
      </c>
      <c r="BE26" s="528">
        <f ca="1">BG26+BF26</f>
        <v>0</v>
      </c>
      <c r="BF26" s="523">
        <f ca="1">CX7-BF23-BF24-BF25</f>
        <v>0</v>
      </c>
      <c r="BG26" s="523">
        <f ca="1">CW7-BG25-BG23-BG24</f>
        <v>0</v>
      </c>
      <c r="BH26" s="511"/>
      <c r="BI26" s="139">
        <f t="shared" ca="1" si="13"/>
        <v>1592133.533652466</v>
      </c>
      <c r="BJ26" s="139">
        <f t="shared" ca="1" si="14"/>
        <v>0</v>
      </c>
      <c r="BK26" s="139" cm="1">
        <f t="array" aca="1" ref="BK26" ca="1">BI26*c_rate.Pref.MO</f>
        <v>12695.896378911541</v>
      </c>
      <c r="BL26" s="139">
        <f t="shared" ca="1" si="15"/>
        <v>0</v>
      </c>
      <c r="BM26" s="139">
        <f t="shared" ca="1" si="16"/>
        <v>1604829.4300313776</v>
      </c>
      <c r="BN26" s="139">
        <f t="shared" ca="1" si="51"/>
        <v>0</v>
      </c>
      <c r="BO26" s="139">
        <f t="shared" ca="1" si="73"/>
        <v>0</v>
      </c>
      <c r="BP26" s="139">
        <f t="shared" ca="1" si="52"/>
        <v>0</v>
      </c>
      <c r="BQ26" s="139">
        <f t="shared" ca="1" si="17"/>
        <v>0</v>
      </c>
      <c r="BR26" s="516"/>
      <c r="BS26" s="139">
        <f t="shared" ca="1" si="53"/>
        <v>1687491.9439562443</v>
      </c>
      <c r="BT26" s="139">
        <f t="shared" ca="1" si="18"/>
        <v>0</v>
      </c>
      <c r="BU26" s="139" cm="1">
        <f t="array" aca="1" ref="BU26" ca="1">IF(D26=0,0,BS26*(c_rate.Hurdle1.MO))</f>
        <v>19768.827926369278</v>
      </c>
      <c r="BV26" s="139">
        <f t="shared" ca="1" si="54"/>
        <v>0</v>
      </c>
      <c r="BW26" s="139">
        <f t="shared" ca="1" si="19"/>
        <v>0</v>
      </c>
      <c r="BX26" s="139">
        <f t="shared" ca="1" si="55"/>
        <v>1707260.7718826137</v>
      </c>
      <c r="BY26" s="139">
        <f t="shared" ca="1" si="56"/>
        <v>0</v>
      </c>
      <c r="BZ26" s="139">
        <f t="shared" ca="1" si="57"/>
        <v>0</v>
      </c>
      <c r="CA26" s="139">
        <f t="shared" ca="1" si="20"/>
        <v>0</v>
      </c>
      <c r="CB26" s="139">
        <f t="shared" ca="1" si="58"/>
        <v>0</v>
      </c>
      <c r="CC26" s="516"/>
      <c r="CD26" s="139">
        <f t="shared" ca="1" si="59"/>
        <v>1784156.4948145607</v>
      </c>
      <c r="CE26" s="139">
        <f t="shared" ca="1" si="21"/>
        <v>0</v>
      </c>
      <c r="CF26" s="139" cm="1">
        <f t="array" aca="1" ref="CF26" ca="1">IF($D27=0,0,CD26*(c_rate.Hurdle2.MO))</f>
        <v>27314.491224267327</v>
      </c>
      <c r="CG26" s="139">
        <f t="shared" ca="1" si="22"/>
        <v>0</v>
      </c>
      <c r="CH26" s="139">
        <f t="shared" ca="1" si="60"/>
        <v>0</v>
      </c>
      <c r="CI26" s="139">
        <f t="shared" ca="1" si="23"/>
        <v>1811470.986038828</v>
      </c>
      <c r="CJ26" s="139">
        <f t="shared" ca="1" si="24"/>
        <v>0</v>
      </c>
      <c r="CK26" s="139">
        <f t="shared" ca="1" si="25"/>
        <v>0</v>
      </c>
      <c r="CL26" s="139">
        <f t="shared" ca="1" si="61"/>
        <v>0</v>
      </c>
      <c r="CM26" s="139">
        <f t="shared" ca="1" si="26"/>
        <v>0</v>
      </c>
      <c r="CN26" s="139">
        <f t="shared" ca="1" si="27"/>
        <v>0</v>
      </c>
      <c r="CO26" s="516"/>
      <c r="CP26" s="139">
        <f t="shared" ca="1" si="62"/>
        <v>1882090.2897860522</v>
      </c>
      <c r="CQ26" s="139">
        <f t="shared" ca="1" si="28"/>
        <v>0</v>
      </c>
      <c r="CR26" s="139" cm="1">
        <f t="array" aca="1" ref="CR26" ca="1">IF($D27=0,0,CP26*(c_rate.Hurdle3.MO))</f>
        <v>35325.451631606695</v>
      </c>
      <c r="CS26" s="139">
        <f t="shared" ca="1" si="29"/>
        <v>0</v>
      </c>
      <c r="CT26" s="139">
        <f t="shared" ca="1" si="63"/>
        <v>0</v>
      </c>
      <c r="CU26" s="139">
        <f t="shared" ca="1" si="30"/>
        <v>1917415.741417659</v>
      </c>
      <c r="CV26" s="139">
        <f t="shared" ca="1" si="31"/>
        <v>0</v>
      </c>
      <c r="CW26" s="139">
        <f t="shared" ca="1" si="64"/>
        <v>0</v>
      </c>
      <c r="CX26" s="139">
        <f t="shared" ca="1" si="65"/>
        <v>0</v>
      </c>
      <c r="CY26" s="139">
        <f t="shared" ca="1" si="66"/>
        <v>0</v>
      </c>
      <c r="CZ26" s="139">
        <f t="shared" ca="1" si="67"/>
        <v>0</v>
      </c>
      <c r="DA26" s="516"/>
      <c r="DB26" s="139">
        <f t="shared" ca="1" si="32"/>
        <v>0</v>
      </c>
      <c r="DC26" s="139">
        <f t="shared" ca="1" si="33"/>
        <v>0</v>
      </c>
      <c r="DD26" s="518"/>
      <c r="DE26" s="139">
        <f t="shared" ca="1" si="68"/>
        <v>0</v>
      </c>
      <c r="DF26" s="139">
        <f t="shared" ca="1" si="69"/>
        <v>0</v>
      </c>
      <c r="DG26" s="139">
        <f t="shared" ca="1" si="34"/>
        <v>0</v>
      </c>
      <c r="DH26" s="457"/>
      <c r="DI26" s="139">
        <f ca="1"/>
        <v>0</v>
      </c>
      <c r="DJ26" s="139">
        <f ca="1"/>
        <v>0</v>
      </c>
      <c r="DK26" s="139">
        <f ca="1"/>
        <v>0</v>
      </c>
      <c r="DL26" s="139">
        <f t="shared" ca="1" si="35"/>
        <v>0</v>
      </c>
      <c r="DM26" s="139">
        <f t="shared" ca="1" si="36"/>
        <v>0</v>
      </c>
      <c r="DN26" s="139">
        <f t="shared" ca="1" si="37"/>
        <v>0</v>
      </c>
      <c r="DO26" s="139">
        <f t="shared" ca="1" si="38"/>
        <v>0</v>
      </c>
      <c r="DP26" s="139">
        <f t="shared" ca="1" si="39"/>
        <v>0</v>
      </c>
      <c r="DQ26" s="139">
        <f t="shared" ca="1" si="40"/>
        <v>0</v>
      </c>
      <c r="DR26" s="139">
        <f ca="1"/>
        <v>0</v>
      </c>
      <c r="DS26" s="139">
        <f ca="1"/>
        <v>0</v>
      </c>
      <c r="DT26" s="139">
        <f t="shared" ca="1" si="41"/>
        <v>0</v>
      </c>
      <c r="DU26" s="139">
        <f t="shared" ca="1" si="42"/>
        <v>0</v>
      </c>
      <c r="DV26" s="457"/>
      <c r="DW26" s="457"/>
      <c r="DX26" s="139">
        <f ca="1"/>
        <v>0</v>
      </c>
      <c r="DY26" s="139">
        <f t="shared" ca="1" si="70"/>
        <v>0</v>
      </c>
      <c r="DZ26" s="139">
        <f t="shared" ca="1" si="43"/>
        <v>0</v>
      </c>
      <c r="EA26" s="139">
        <f t="shared" ca="1" si="44"/>
        <v>0</v>
      </c>
      <c r="EB26" s="139">
        <f t="shared" ca="1" si="45"/>
        <v>0</v>
      </c>
      <c r="EC26" s="139">
        <f t="shared" ca="1" si="46"/>
        <v>0</v>
      </c>
      <c r="ED26" s="139">
        <f t="shared" ca="1" si="71"/>
        <v>0</v>
      </c>
      <c r="EE26" s="457"/>
      <c r="EF26" s="457"/>
    </row>
    <row r="27" spans="1:136" ht="17.25" thickTop="1" thickBot="1">
      <c r="A27" s="229">
        <f t="shared" si="72"/>
        <v>3659940</v>
      </c>
      <c r="B27" s="229">
        <f t="shared" ca="1" si="47"/>
        <v>1873996.0345865386</v>
      </c>
      <c r="D27" s="186">
        <v>18</v>
      </c>
      <c r="E27" s="186">
        <v>6</v>
      </c>
      <c r="F27" s="186">
        <v>2</v>
      </c>
      <c r="G27" s="123">
        <v>46357</v>
      </c>
      <c r="H27" s="122" t="str">
        <v>Q4-26</v>
      </c>
      <c r="I27" s="122">
        <v>2026</v>
      </c>
      <c r="K27" s="140">
        <v>0</v>
      </c>
      <c r="L27" s="140">
        <v>0</v>
      </c>
      <c r="M27" s="140">
        <v>0</v>
      </c>
      <c r="N27" s="140">
        <v>0</v>
      </c>
      <c r="O27" s="140">
        <v>0</v>
      </c>
      <c r="P27" s="140">
        <v>0</v>
      </c>
      <c r="Q27" s="140">
        <v>0</v>
      </c>
      <c r="R27" s="140">
        <v>0</v>
      </c>
      <c r="S27" s="140">
        <v>0</v>
      </c>
      <c r="T27" s="140">
        <v>0</v>
      </c>
      <c r="U27" s="136"/>
      <c r="V27" s="140">
        <v>166.66666666666666</v>
      </c>
      <c r="W27" s="140">
        <v>500</v>
      </c>
      <c r="X27" s="140">
        <v>333.33333333333331</v>
      </c>
      <c r="Y27" s="140">
        <v>480</v>
      </c>
      <c r="Z27" s="140">
        <v>0</v>
      </c>
      <c r="AA27" s="140">
        <v>18000</v>
      </c>
      <c r="AB27" s="140">
        <v>19480</v>
      </c>
      <c r="AC27" s="137"/>
      <c r="AD27" s="140">
        <v>19480</v>
      </c>
      <c r="AF27" s="140">
        <v>0</v>
      </c>
      <c r="AG27" s="140">
        <v>0</v>
      </c>
      <c r="AH27" s="140">
        <v>0</v>
      </c>
      <c r="AI27" s="140">
        <v>0</v>
      </c>
      <c r="AJ27" s="140">
        <v>-19480</v>
      </c>
      <c r="AL27" s="140">
        <f t="shared" ca="1" si="74"/>
        <v>0</v>
      </c>
      <c r="AM27" s="140">
        <f t="shared" ca="1" si="49"/>
        <v>0</v>
      </c>
      <c r="AN27" s="140">
        <f t="shared" ca="1" si="75"/>
        <v>0</v>
      </c>
      <c r="AP27" s="140">
        <f t="shared" ca="1" si="50"/>
        <v>1903941.2198678504</v>
      </c>
      <c r="AQ27" s="140">
        <f t="shared" ca="1" si="9"/>
        <v>19480</v>
      </c>
      <c r="AR27" s="140">
        <f ca="1">AT26*(Project!$P$13/12)</f>
        <v>14279.559149008877</v>
      </c>
      <c r="AS27" s="140">
        <f t="shared" si="10"/>
        <v>0</v>
      </c>
      <c r="AT27" s="140">
        <f t="shared" ca="1" si="11"/>
        <v>1937700.7790168594</v>
      </c>
      <c r="AV27" s="140">
        <v>-19480</v>
      </c>
      <c r="AW27" s="140"/>
      <c r="AX27" s="140">
        <f ca="1"/>
        <v>19480</v>
      </c>
      <c r="AY27" s="140">
        <f ca="1"/>
        <v>0</v>
      </c>
      <c r="AZ27" s="140">
        <f t="shared" ca="1" si="12"/>
        <v>0</v>
      </c>
      <c r="BC27" s="540" t="s">
        <v>198</v>
      </c>
      <c r="BD27" s="590" t="str">
        <f t="shared" ca="1" si="76"/>
        <v>R</v>
      </c>
      <c r="BE27" s="541">
        <f ca="1">BG27+BF27</f>
        <v>0</v>
      </c>
      <c r="BF27" s="542">
        <f ca="1">DC7</f>
        <v>0</v>
      </c>
      <c r="BG27" s="542">
        <f ca="1">DB7</f>
        <v>0</v>
      </c>
      <c r="BH27" s="511"/>
      <c r="BI27" s="140">
        <f t="shared" ca="1" si="13"/>
        <v>1604829.4300313776</v>
      </c>
      <c r="BJ27" s="140">
        <f t="shared" ca="1" si="14"/>
        <v>0</v>
      </c>
      <c r="BK27" s="140" cm="1">
        <f t="array" aca="1" ref="BK27" ca="1">BI27*c_rate.Pref.MO</f>
        <v>12797.135239507792</v>
      </c>
      <c r="BL27" s="140">
        <f t="shared" ca="1" si="15"/>
        <v>0</v>
      </c>
      <c r="BM27" s="140">
        <f t="shared" ca="1" si="16"/>
        <v>1617626.5652708854</v>
      </c>
      <c r="BN27" s="140">
        <f t="shared" ca="1" si="51"/>
        <v>0</v>
      </c>
      <c r="BO27" s="140">
        <f t="shared" ca="1" si="73"/>
        <v>0</v>
      </c>
      <c r="BP27" s="140">
        <f t="shared" ca="1" si="52"/>
        <v>0</v>
      </c>
      <c r="BQ27" s="140">
        <f t="shared" ca="1" si="17"/>
        <v>0</v>
      </c>
      <c r="BR27" s="516"/>
      <c r="BS27" s="140">
        <f t="shared" ca="1" si="53"/>
        <v>1707260.7718826137</v>
      </c>
      <c r="BT27" s="140">
        <f t="shared" ca="1" si="18"/>
        <v>0</v>
      </c>
      <c r="BU27" s="140" cm="1">
        <f t="array" aca="1" ref="BU27" ca="1">IF(D27=0,0,BS27*(c_rate.Hurdle1.MO))</f>
        <v>20000.41810312957</v>
      </c>
      <c r="BV27" s="140">
        <f t="shared" ca="1" si="54"/>
        <v>0</v>
      </c>
      <c r="BW27" s="140">
        <f t="shared" ca="1" si="19"/>
        <v>0</v>
      </c>
      <c r="BX27" s="140">
        <f t="shared" ca="1" si="55"/>
        <v>1727261.1899857433</v>
      </c>
      <c r="BY27" s="140">
        <f t="shared" ca="1" si="56"/>
        <v>0</v>
      </c>
      <c r="BZ27" s="140">
        <f t="shared" ca="1" si="57"/>
        <v>0</v>
      </c>
      <c r="CA27" s="140">
        <f t="shared" ca="1" si="20"/>
        <v>0</v>
      </c>
      <c r="CB27" s="140">
        <f t="shared" ca="1" si="58"/>
        <v>0</v>
      </c>
      <c r="CC27" s="516"/>
      <c r="CD27" s="140">
        <f t="shared" ca="1" si="59"/>
        <v>1811470.986038828</v>
      </c>
      <c r="CE27" s="140">
        <f t="shared" ca="1" si="21"/>
        <v>0</v>
      </c>
      <c r="CF27" s="140" cm="1">
        <f t="array" aca="1" ref="CF27" ca="1">IF($D28=0,0,CD27*(c_rate.Hurdle2.MO))</f>
        <v>27732.661621880412</v>
      </c>
      <c r="CG27" s="140">
        <f t="shared" ca="1" si="22"/>
        <v>0</v>
      </c>
      <c r="CH27" s="140">
        <f t="shared" ca="1" si="60"/>
        <v>0</v>
      </c>
      <c r="CI27" s="140">
        <f t="shared" ca="1" si="23"/>
        <v>1839203.6476607085</v>
      </c>
      <c r="CJ27" s="140">
        <f t="shared" ca="1" si="24"/>
        <v>0</v>
      </c>
      <c r="CK27" s="140">
        <f t="shared" ca="1" si="25"/>
        <v>0</v>
      </c>
      <c r="CL27" s="140">
        <f t="shared" ca="1" si="61"/>
        <v>0</v>
      </c>
      <c r="CM27" s="140">
        <f t="shared" ca="1" si="26"/>
        <v>0</v>
      </c>
      <c r="CN27" s="140">
        <f t="shared" ca="1" si="27"/>
        <v>0</v>
      </c>
      <c r="CO27" s="516"/>
      <c r="CP27" s="140">
        <f t="shared" ca="1" si="62"/>
        <v>1917415.741417659</v>
      </c>
      <c r="CQ27" s="140">
        <f t="shared" ca="1" si="28"/>
        <v>0</v>
      </c>
      <c r="CR27" s="140" cm="1">
        <f t="array" aca="1" ref="CR27" ca="1">IF($D28=0,0,CP27*(c_rate.Hurdle3.MO))</f>
        <v>35988.484398817258</v>
      </c>
      <c r="CS27" s="140">
        <f t="shared" ca="1" si="29"/>
        <v>0</v>
      </c>
      <c r="CT27" s="140">
        <f t="shared" ca="1" si="63"/>
        <v>0</v>
      </c>
      <c r="CU27" s="140">
        <f t="shared" ca="1" si="30"/>
        <v>1953404.2258164762</v>
      </c>
      <c r="CV27" s="140">
        <f t="shared" ca="1" si="31"/>
        <v>0</v>
      </c>
      <c r="CW27" s="140">
        <f t="shared" ca="1" si="64"/>
        <v>0</v>
      </c>
      <c r="CX27" s="140">
        <f t="shared" ca="1" si="65"/>
        <v>0</v>
      </c>
      <c r="CY27" s="140">
        <f t="shared" ca="1" si="66"/>
        <v>0</v>
      </c>
      <c r="CZ27" s="140">
        <f t="shared" ca="1" si="67"/>
        <v>0</v>
      </c>
      <c r="DA27" s="516"/>
      <c r="DB27" s="140">
        <f t="shared" ca="1" si="32"/>
        <v>0</v>
      </c>
      <c r="DC27" s="140">
        <f t="shared" ca="1" si="33"/>
        <v>0</v>
      </c>
      <c r="DD27" s="518"/>
      <c r="DE27" s="140">
        <f t="shared" ca="1" si="68"/>
        <v>0</v>
      </c>
      <c r="DF27" s="140">
        <f t="shared" ca="1" si="69"/>
        <v>0</v>
      </c>
      <c r="DG27" s="140">
        <f t="shared" ca="1" si="34"/>
        <v>0</v>
      </c>
      <c r="DH27" s="457"/>
      <c r="DI27" s="140">
        <f ca="1"/>
        <v>0</v>
      </c>
      <c r="DJ27" s="140">
        <f ca="1"/>
        <v>0</v>
      </c>
      <c r="DK27" s="140">
        <f ca="1"/>
        <v>0</v>
      </c>
      <c r="DL27" s="140">
        <f t="shared" ca="1" si="35"/>
        <v>0</v>
      </c>
      <c r="DM27" s="140">
        <f t="shared" ca="1" si="36"/>
        <v>0</v>
      </c>
      <c r="DN27" s="140">
        <f t="shared" ca="1" si="37"/>
        <v>0</v>
      </c>
      <c r="DO27" s="140">
        <f t="shared" ca="1" si="38"/>
        <v>0</v>
      </c>
      <c r="DP27" s="140">
        <f t="shared" ca="1" si="39"/>
        <v>0</v>
      </c>
      <c r="DQ27" s="140">
        <f t="shared" ca="1" si="40"/>
        <v>0</v>
      </c>
      <c r="DR27" s="140">
        <f ca="1"/>
        <v>0</v>
      </c>
      <c r="DS27" s="140">
        <f ca="1"/>
        <v>0</v>
      </c>
      <c r="DT27" s="140">
        <f t="shared" ca="1" si="41"/>
        <v>0</v>
      </c>
      <c r="DU27" s="140">
        <f t="shared" ca="1" si="42"/>
        <v>0</v>
      </c>
      <c r="DV27" s="457"/>
      <c r="DW27" s="457"/>
      <c r="DX27" s="140">
        <f ca="1"/>
        <v>0</v>
      </c>
      <c r="DY27" s="140">
        <f t="shared" ca="1" si="70"/>
        <v>0</v>
      </c>
      <c r="DZ27" s="140">
        <f t="shared" ca="1" si="43"/>
        <v>0</v>
      </c>
      <c r="EA27" s="140">
        <f t="shared" ca="1" si="44"/>
        <v>0</v>
      </c>
      <c r="EB27" s="140">
        <f t="shared" ca="1" si="45"/>
        <v>0</v>
      </c>
      <c r="EC27" s="140">
        <f t="shared" ca="1" si="46"/>
        <v>0</v>
      </c>
      <c r="ED27" s="140">
        <f t="shared" ca="1" si="71"/>
        <v>0</v>
      </c>
      <c r="EE27" s="457"/>
      <c r="EF27" s="457"/>
    </row>
    <row r="28" spans="1:136" ht="17.25" thickTop="1" thickBot="1">
      <c r="A28" s="230">
        <f t="shared" si="72"/>
        <v>3679420</v>
      </c>
      <c r="B28" s="230">
        <f t="shared" ca="1" si="47"/>
        <v>1873996.0345865386</v>
      </c>
      <c r="D28" s="187">
        <v>19</v>
      </c>
      <c r="E28" s="187">
        <v>7</v>
      </c>
      <c r="F28" s="187">
        <v>2</v>
      </c>
      <c r="G28" s="125">
        <v>46388</v>
      </c>
      <c r="H28" s="124" t="str">
        <v>Q1-27</v>
      </c>
      <c r="I28" s="124">
        <v>2027</v>
      </c>
      <c r="K28" s="141">
        <v>0</v>
      </c>
      <c r="L28" s="141">
        <v>0</v>
      </c>
      <c r="M28" s="141">
        <v>0</v>
      </c>
      <c r="N28" s="141">
        <v>0</v>
      </c>
      <c r="O28" s="141">
        <v>0</v>
      </c>
      <c r="P28" s="141">
        <v>0</v>
      </c>
      <c r="Q28" s="141">
        <v>0</v>
      </c>
      <c r="R28" s="141">
        <v>0</v>
      </c>
      <c r="S28" s="141">
        <v>0</v>
      </c>
      <c r="T28" s="141">
        <v>0</v>
      </c>
      <c r="U28" s="136"/>
      <c r="V28" s="141">
        <v>166.66666666666666</v>
      </c>
      <c r="W28" s="141">
        <v>500</v>
      </c>
      <c r="X28" s="141">
        <v>333.33333333333331</v>
      </c>
      <c r="Y28" s="141">
        <v>480</v>
      </c>
      <c r="Z28" s="141">
        <v>0</v>
      </c>
      <c r="AA28" s="141">
        <v>18000</v>
      </c>
      <c r="AB28" s="141">
        <v>19480</v>
      </c>
      <c r="AC28" s="137"/>
      <c r="AD28" s="141">
        <v>19480</v>
      </c>
      <c r="AF28" s="141">
        <v>0</v>
      </c>
      <c r="AG28" s="141">
        <v>0</v>
      </c>
      <c r="AH28" s="141">
        <v>0</v>
      </c>
      <c r="AI28" s="141">
        <v>0</v>
      </c>
      <c r="AJ28" s="141">
        <v>-19480</v>
      </c>
      <c r="AL28" s="141">
        <f t="shared" ca="1" si="74"/>
        <v>0</v>
      </c>
      <c r="AM28" s="141">
        <f t="shared" ca="1" si="49"/>
        <v>0</v>
      </c>
      <c r="AN28" s="141">
        <f t="shared" ca="1" si="75"/>
        <v>0</v>
      </c>
      <c r="AP28" s="141">
        <f t="shared" ca="1" si="50"/>
        <v>1937700.7790168594</v>
      </c>
      <c r="AQ28" s="141">
        <f t="shared" ca="1" si="9"/>
        <v>19480</v>
      </c>
      <c r="AR28" s="141">
        <f ca="1">AT27*(Project!$P$13/12)</f>
        <v>14532.755842626444</v>
      </c>
      <c r="AS28" s="141">
        <f t="shared" si="10"/>
        <v>0</v>
      </c>
      <c r="AT28" s="141">
        <f t="shared" ca="1" si="11"/>
        <v>1971713.5348594859</v>
      </c>
      <c r="AV28" s="141">
        <v>-19480</v>
      </c>
      <c r="AW28" s="141"/>
      <c r="AX28" s="141">
        <f ca="1"/>
        <v>19480</v>
      </c>
      <c r="AY28" s="141">
        <f ca="1"/>
        <v>0</v>
      </c>
      <c r="AZ28" s="141">
        <f t="shared" ca="1" si="12"/>
        <v>0</v>
      </c>
      <c r="BC28" s="543" t="s">
        <v>168</v>
      </c>
      <c r="BD28" s="591" t="str">
        <f t="shared" ca="1" si="76"/>
        <v>R</v>
      </c>
      <c r="BE28" s="544">
        <f ca="1">SUM(BE22:BE27)</f>
        <v>2526243.4850772498</v>
      </c>
      <c r="BF28" s="545">
        <f ca="1">SUM(BF22:BF27)</f>
        <v>631560.87126931245</v>
      </c>
      <c r="BG28" s="545">
        <f ca="1">SUM(BG22:BG27)</f>
        <v>1894682.6138079374</v>
      </c>
      <c r="BH28" s="511"/>
      <c r="BI28" s="141">
        <f t="shared" ca="1" si="13"/>
        <v>1617626.5652708854</v>
      </c>
      <c r="BJ28" s="141">
        <f t="shared" ca="1" si="14"/>
        <v>0</v>
      </c>
      <c r="BK28" s="141" cm="1">
        <f t="array" aca="1" ref="BK28" ca="1">BI28*c_rate.Pref.MO</f>
        <v>12899.1813929953</v>
      </c>
      <c r="BL28" s="141">
        <f t="shared" ca="1" si="15"/>
        <v>0</v>
      </c>
      <c r="BM28" s="141">
        <f t="shared" ca="1" si="16"/>
        <v>1630525.7466638808</v>
      </c>
      <c r="BN28" s="141">
        <f t="shared" ca="1" si="51"/>
        <v>0</v>
      </c>
      <c r="BO28" s="141">
        <f t="shared" ca="1" si="73"/>
        <v>0</v>
      </c>
      <c r="BP28" s="141">
        <f t="shared" ca="1" si="52"/>
        <v>0</v>
      </c>
      <c r="BQ28" s="141">
        <f t="shared" ca="1" si="17"/>
        <v>0</v>
      </c>
      <c r="BR28" s="516"/>
      <c r="BS28" s="141">
        <f t="shared" ca="1" si="53"/>
        <v>1727261.1899857433</v>
      </c>
      <c r="BT28" s="141">
        <f t="shared" ca="1" si="18"/>
        <v>0</v>
      </c>
      <c r="BU28" s="141" cm="1">
        <f t="array" aca="1" ref="BU28" ca="1">IF(D28=0,0,BS28*(c_rate.Hurdle1.MO))</f>
        <v>20234.721339570067</v>
      </c>
      <c r="BV28" s="141">
        <f t="shared" ca="1" si="54"/>
        <v>0</v>
      </c>
      <c r="BW28" s="141">
        <f t="shared" ca="1" si="19"/>
        <v>0</v>
      </c>
      <c r="BX28" s="141">
        <f t="shared" ca="1" si="55"/>
        <v>1747495.9113253134</v>
      </c>
      <c r="BY28" s="141">
        <f t="shared" ca="1" si="56"/>
        <v>0</v>
      </c>
      <c r="BZ28" s="141">
        <f t="shared" ca="1" si="57"/>
        <v>0</v>
      </c>
      <c r="CA28" s="141">
        <f t="shared" ca="1" si="20"/>
        <v>0</v>
      </c>
      <c r="CB28" s="141">
        <f t="shared" ca="1" si="58"/>
        <v>0</v>
      </c>
      <c r="CC28" s="516"/>
      <c r="CD28" s="141">
        <f t="shared" ca="1" si="59"/>
        <v>1839203.6476607085</v>
      </c>
      <c r="CE28" s="141">
        <f t="shared" ca="1" si="21"/>
        <v>0</v>
      </c>
      <c r="CF28" s="141" cm="1">
        <f t="array" aca="1" ref="CF28" ca="1">IF($D29=0,0,CD28*(c_rate.Hurdle2.MO))</f>
        <v>28157.233986859621</v>
      </c>
      <c r="CG28" s="141">
        <f t="shared" ca="1" si="22"/>
        <v>0</v>
      </c>
      <c r="CH28" s="141">
        <f t="shared" ca="1" si="60"/>
        <v>0</v>
      </c>
      <c r="CI28" s="141">
        <f t="shared" ca="1" si="23"/>
        <v>1867360.8816475682</v>
      </c>
      <c r="CJ28" s="141">
        <f t="shared" ca="1" si="24"/>
        <v>0</v>
      </c>
      <c r="CK28" s="141">
        <f t="shared" ca="1" si="25"/>
        <v>0</v>
      </c>
      <c r="CL28" s="141">
        <f t="shared" ca="1" si="61"/>
        <v>0</v>
      </c>
      <c r="CM28" s="141">
        <f t="shared" ca="1" si="26"/>
        <v>0</v>
      </c>
      <c r="CN28" s="141">
        <f t="shared" ca="1" si="27"/>
        <v>0</v>
      </c>
      <c r="CO28" s="516"/>
      <c r="CP28" s="141">
        <f t="shared" ca="1" si="62"/>
        <v>1953404.2258164762</v>
      </c>
      <c r="CQ28" s="141">
        <f t="shared" ca="1" si="28"/>
        <v>0</v>
      </c>
      <c r="CR28" s="141" cm="1">
        <f t="array" aca="1" ref="CR28" ca="1">IF($D29=0,0,CP28*(c_rate.Hurdle3.MO))</f>
        <v>36663.961803819846</v>
      </c>
      <c r="CS28" s="141">
        <f t="shared" ca="1" si="29"/>
        <v>0</v>
      </c>
      <c r="CT28" s="141">
        <f t="shared" ca="1" si="63"/>
        <v>0</v>
      </c>
      <c r="CU28" s="141">
        <f t="shared" ca="1" si="30"/>
        <v>1990068.1876202959</v>
      </c>
      <c r="CV28" s="141">
        <f t="shared" ca="1" si="31"/>
        <v>0</v>
      </c>
      <c r="CW28" s="141">
        <f t="shared" ca="1" si="64"/>
        <v>0</v>
      </c>
      <c r="CX28" s="141">
        <f t="shared" ca="1" si="65"/>
        <v>0</v>
      </c>
      <c r="CY28" s="141">
        <f t="shared" ca="1" si="66"/>
        <v>0</v>
      </c>
      <c r="CZ28" s="141">
        <f t="shared" ca="1" si="67"/>
        <v>0</v>
      </c>
      <c r="DA28" s="516"/>
      <c r="DB28" s="141">
        <f t="shared" ca="1" si="32"/>
        <v>0</v>
      </c>
      <c r="DC28" s="141">
        <f t="shared" ca="1" si="33"/>
        <v>0</v>
      </c>
      <c r="DD28" s="518"/>
      <c r="DE28" s="141">
        <f t="shared" ca="1" si="68"/>
        <v>0</v>
      </c>
      <c r="DF28" s="141">
        <f t="shared" ca="1" si="69"/>
        <v>0</v>
      </c>
      <c r="DG28" s="141">
        <f t="shared" ca="1" si="34"/>
        <v>0</v>
      </c>
      <c r="DH28" s="457"/>
      <c r="DI28" s="141">
        <f ca="1"/>
        <v>0</v>
      </c>
      <c r="DJ28" s="141">
        <f ca="1"/>
        <v>0</v>
      </c>
      <c r="DK28" s="141">
        <f ca="1"/>
        <v>0</v>
      </c>
      <c r="DL28" s="141">
        <f t="shared" ca="1" si="35"/>
        <v>0</v>
      </c>
      <c r="DM28" s="141">
        <f t="shared" ca="1" si="36"/>
        <v>0</v>
      </c>
      <c r="DN28" s="141">
        <f t="shared" ca="1" si="37"/>
        <v>0</v>
      </c>
      <c r="DO28" s="141">
        <f t="shared" ca="1" si="38"/>
        <v>0</v>
      </c>
      <c r="DP28" s="141">
        <f t="shared" ca="1" si="39"/>
        <v>0</v>
      </c>
      <c r="DQ28" s="141">
        <f t="shared" ca="1" si="40"/>
        <v>0</v>
      </c>
      <c r="DR28" s="141">
        <f ca="1"/>
        <v>0</v>
      </c>
      <c r="DS28" s="141">
        <f ca="1"/>
        <v>0</v>
      </c>
      <c r="DT28" s="141">
        <f t="shared" ca="1" si="41"/>
        <v>0</v>
      </c>
      <c r="DU28" s="141">
        <f t="shared" ca="1" si="42"/>
        <v>0</v>
      </c>
      <c r="DV28" s="457"/>
      <c r="DW28" s="457"/>
      <c r="DX28" s="141">
        <f ca="1"/>
        <v>0</v>
      </c>
      <c r="DY28" s="141">
        <f t="shared" ca="1" si="70"/>
        <v>0</v>
      </c>
      <c r="DZ28" s="141">
        <f t="shared" ca="1" si="43"/>
        <v>0</v>
      </c>
      <c r="EA28" s="141">
        <f t="shared" ca="1" si="44"/>
        <v>0</v>
      </c>
      <c r="EB28" s="141">
        <f t="shared" ca="1" si="45"/>
        <v>0</v>
      </c>
      <c r="EC28" s="141">
        <f t="shared" ca="1" si="46"/>
        <v>0</v>
      </c>
      <c r="ED28" s="141">
        <f t="shared" ca="1" si="71"/>
        <v>0</v>
      </c>
      <c r="EE28" s="457"/>
      <c r="EF28" s="457"/>
    </row>
    <row r="29" spans="1:136" ht="17.25" thickTop="1" thickBot="1">
      <c r="A29" s="228">
        <f t="shared" si="72"/>
        <v>3698900</v>
      </c>
      <c r="B29" s="228">
        <f t="shared" ca="1" si="47"/>
        <v>1873996.0345865386</v>
      </c>
      <c r="D29" s="184">
        <v>20</v>
      </c>
      <c r="E29" s="184">
        <v>7</v>
      </c>
      <c r="F29" s="184">
        <v>2</v>
      </c>
      <c r="G29" s="121">
        <v>46419</v>
      </c>
      <c r="H29" s="118" t="str">
        <v>Q1-27</v>
      </c>
      <c r="I29" s="118">
        <v>2027</v>
      </c>
      <c r="K29" s="139">
        <v>0</v>
      </c>
      <c r="L29" s="139">
        <v>0</v>
      </c>
      <c r="M29" s="139">
        <v>0</v>
      </c>
      <c r="N29" s="139">
        <v>0</v>
      </c>
      <c r="O29" s="139">
        <v>0</v>
      </c>
      <c r="P29" s="139">
        <v>0</v>
      </c>
      <c r="Q29" s="139">
        <v>0</v>
      </c>
      <c r="R29" s="139">
        <v>0</v>
      </c>
      <c r="S29" s="139">
        <v>0</v>
      </c>
      <c r="T29" s="139">
        <v>0</v>
      </c>
      <c r="U29" s="136"/>
      <c r="V29" s="139">
        <v>166.66666666666666</v>
      </c>
      <c r="W29" s="139">
        <v>500</v>
      </c>
      <c r="X29" s="139">
        <v>333.33333333333331</v>
      </c>
      <c r="Y29" s="139">
        <v>480</v>
      </c>
      <c r="Z29" s="139">
        <v>0</v>
      </c>
      <c r="AA29" s="139">
        <v>18000</v>
      </c>
      <c r="AB29" s="139">
        <v>19480</v>
      </c>
      <c r="AC29" s="137"/>
      <c r="AD29" s="139">
        <v>19480</v>
      </c>
      <c r="AF29" s="139">
        <v>0</v>
      </c>
      <c r="AG29" s="139">
        <v>0</v>
      </c>
      <c r="AH29" s="139">
        <v>0</v>
      </c>
      <c r="AI29" s="139">
        <v>0</v>
      </c>
      <c r="AJ29" s="139">
        <v>-19480</v>
      </c>
      <c r="AL29" s="139">
        <f t="shared" ca="1" si="74"/>
        <v>0</v>
      </c>
      <c r="AM29" s="139">
        <f t="shared" ca="1" si="49"/>
        <v>0</v>
      </c>
      <c r="AN29" s="139">
        <f t="shared" ca="1" si="75"/>
        <v>0</v>
      </c>
      <c r="AP29" s="139">
        <f t="shared" ca="1" si="50"/>
        <v>1971713.5348594859</v>
      </c>
      <c r="AQ29" s="139">
        <f t="shared" ca="1" si="9"/>
        <v>19480</v>
      </c>
      <c r="AR29" s="139">
        <f ca="1">AT28*(Project!$P$13/12)</f>
        <v>14787.851511446144</v>
      </c>
      <c r="AS29" s="139">
        <f t="shared" si="10"/>
        <v>0</v>
      </c>
      <c r="AT29" s="139">
        <f t="shared" ca="1" si="11"/>
        <v>2005981.386370932</v>
      </c>
      <c r="AV29" s="139">
        <v>-19480</v>
      </c>
      <c r="AW29" s="139"/>
      <c r="AX29" s="139">
        <f ca="1"/>
        <v>19480</v>
      </c>
      <c r="AY29" s="139">
        <f ca="1"/>
        <v>0</v>
      </c>
      <c r="AZ29" s="139">
        <f t="shared" ca="1" si="12"/>
        <v>0</v>
      </c>
      <c r="BC29" s="546" t="s">
        <v>209</v>
      </c>
      <c r="BD29" s="591" t="str">
        <f t="shared" ca="1" si="76"/>
        <v>R</v>
      </c>
      <c r="BE29" s="547">
        <f ca="1">BF29+BG29</f>
        <v>1</v>
      </c>
      <c r="BF29" s="548">
        <f ca="1">BF28/BE28</f>
        <v>0.25</v>
      </c>
      <c r="BG29" s="548">
        <f ca="1">BG28/BE28</f>
        <v>0.75</v>
      </c>
      <c r="BH29" s="511"/>
      <c r="BI29" s="139">
        <f t="shared" ca="1" si="13"/>
        <v>1630525.7466638808</v>
      </c>
      <c r="BJ29" s="139">
        <f t="shared" ca="1" si="14"/>
        <v>0</v>
      </c>
      <c r="BK29" s="139" cm="1">
        <f t="array" aca="1" ref="BK29" ca="1">BI29*c_rate.Pref.MO</f>
        <v>13002.041276840948</v>
      </c>
      <c r="BL29" s="139">
        <f t="shared" ca="1" si="15"/>
        <v>0</v>
      </c>
      <c r="BM29" s="139">
        <f t="shared" ca="1" si="16"/>
        <v>1643527.7879407217</v>
      </c>
      <c r="BN29" s="139">
        <f t="shared" ca="1" si="51"/>
        <v>0</v>
      </c>
      <c r="BO29" s="139">
        <f t="shared" ca="1" si="73"/>
        <v>0</v>
      </c>
      <c r="BP29" s="139">
        <f t="shared" ca="1" si="52"/>
        <v>0</v>
      </c>
      <c r="BQ29" s="139">
        <f t="shared" ca="1" si="17"/>
        <v>0</v>
      </c>
      <c r="BR29" s="516"/>
      <c r="BS29" s="139">
        <f t="shared" ca="1" si="53"/>
        <v>1747495.9113253134</v>
      </c>
      <c r="BT29" s="139">
        <f t="shared" ca="1" si="18"/>
        <v>0</v>
      </c>
      <c r="BU29" s="139" cm="1">
        <f t="array" aca="1" ref="BU29" ca="1">IF(D29=0,0,BS29*(c_rate.Hurdle1.MO))</f>
        <v>20471.769418959517</v>
      </c>
      <c r="BV29" s="139">
        <f t="shared" ca="1" si="54"/>
        <v>0</v>
      </c>
      <c r="BW29" s="139">
        <f t="shared" ca="1" si="19"/>
        <v>0</v>
      </c>
      <c r="BX29" s="139">
        <f t="shared" ca="1" si="55"/>
        <v>1767967.6807442729</v>
      </c>
      <c r="BY29" s="139">
        <f t="shared" ca="1" si="56"/>
        <v>0</v>
      </c>
      <c r="BZ29" s="139">
        <f t="shared" ca="1" si="57"/>
        <v>0</v>
      </c>
      <c r="CA29" s="139">
        <f t="shared" ca="1" si="20"/>
        <v>0</v>
      </c>
      <c r="CB29" s="139">
        <f t="shared" ca="1" si="58"/>
        <v>0</v>
      </c>
      <c r="CC29" s="516"/>
      <c r="CD29" s="139">
        <f t="shared" ca="1" si="59"/>
        <v>1867360.8816475682</v>
      </c>
      <c r="CE29" s="139">
        <f t="shared" ca="1" si="21"/>
        <v>0</v>
      </c>
      <c r="CF29" s="139" cm="1">
        <f t="array" aca="1" ref="CF29" ca="1">IF($D30=0,0,CD29*(c_rate.Hurdle2.MO))</f>
        <v>28588.306329935476</v>
      </c>
      <c r="CG29" s="139">
        <f t="shared" ca="1" si="22"/>
        <v>0</v>
      </c>
      <c r="CH29" s="139">
        <f t="shared" ca="1" si="60"/>
        <v>0</v>
      </c>
      <c r="CI29" s="139">
        <f t="shared" ca="1" si="23"/>
        <v>1895949.1879775038</v>
      </c>
      <c r="CJ29" s="139">
        <f t="shared" ca="1" si="24"/>
        <v>0</v>
      </c>
      <c r="CK29" s="139">
        <f t="shared" ca="1" si="25"/>
        <v>0</v>
      </c>
      <c r="CL29" s="139">
        <f t="shared" ca="1" si="61"/>
        <v>0</v>
      </c>
      <c r="CM29" s="139">
        <f t="shared" ca="1" si="26"/>
        <v>0</v>
      </c>
      <c r="CN29" s="139">
        <f t="shared" ca="1" si="27"/>
        <v>0</v>
      </c>
      <c r="CO29" s="516"/>
      <c r="CP29" s="139">
        <f t="shared" ca="1" si="62"/>
        <v>1990068.1876202959</v>
      </c>
      <c r="CQ29" s="139">
        <f t="shared" ca="1" si="28"/>
        <v>0</v>
      </c>
      <c r="CR29" s="139" cm="1">
        <f t="array" aca="1" ref="CR29" ca="1">IF($D30=0,0,CP29*(c_rate.Hurdle3.MO))</f>
        <v>37352.117423320517</v>
      </c>
      <c r="CS29" s="139">
        <f t="shared" ca="1" si="29"/>
        <v>0</v>
      </c>
      <c r="CT29" s="139">
        <f t="shared" ca="1" si="63"/>
        <v>0</v>
      </c>
      <c r="CU29" s="139">
        <f t="shared" ca="1" si="30"/>
        <v>2027420.3050436163</v>
      </c>
      <c r="CV29" s="139">
        <f t="shared" ca="1" si="31"/>
        <v>0</v>
      </c>
      <c r="CW29" s="139">
        <f t="shared" ca="1" si="64"/>
        <v>0</v>
      </c>
      <c r="CX29" s="139">
        <f t="shared" ca="1" si="65"/>
        <v>0</v>
      </c>
      <c r="CY29" s="139">
        <f t="shared" ca="1" si="66"/>
        <v>0</v>
      </c>
      <c r="CZ29" s="139">
        <f t="shared" ca="1" si="67"/>
        <v>0</v>
      </c>
      <c r="DA29" s="516"/>
      <c r="DB29" s="139">
        <f t="shared" ca="1" si="32"/>
        <v>0</v>
      </c>
      <c r="DC29" s="139">
        <f t="shared" ca="1" si="33"/>
        <v>0</v>
      </c>
      <c r="DD29" s="518"/>
      <c r="DE29" s="139">
        <f t="shared" ca="1" si="68"/>
        <v>0</v>
      </c>
      <c r="DF29" s="139">
        <f t="shared" ca="1" si="69"/>
        <v>0</v>
      </c>
      <c r="DG29" s="139">
        <f t="shared" ca="1" si="34"/>
        <v>0</v>
      </c>
      <c r="DH29" s="457"/>
      <c r="DI29" s="139">
        <f ca="1"/>
        <v>0</v>
      </c>
      <c r="DJ29" s="139">
        <f ca="1"/>
        <v>0</v>
      </c>
      <c r="DK29" s="139">
        <f ca="1"/>
        <v>0</v>
      </c>
      <c r="DL29" s="139">
        <f t="shared" ca="1" si="35"/>
        <v>0</v>
      </c>
      <c r="DM29" s="139">
        <f t="shared" ca="1" si="36"/>
        <v>0</v>
      </c>
      <c r="DN29" s="139">
        <f t="shared" ca="1" si="37"/>
        <v>0</v>
      </c>
      <c r="DO29" s="139">
        <f t="shared" ca="1" si="38"/>
        <v>0</v>
      </c>
      <c r="DP29" s="139">
        <f t="shared" ca="1" si="39"/>
        <v>0</v>
      </c>
      <c r="DQ29" s="139">
        <f t="shared" ca="1" si="40"/>
        <v>0</v>
      </c>
      <c r="DR29" s="139">
        <f ca="1"/>
        <v>0</v>
      </c>
      <c r="DS29" s="139">
        <f ca="1"/>
        <v>0</v>
      </c>
      <c r="DT29" s="139">
        <f t="shared" ca="1" si="41"/>
        <v>0</v>
      </c>
      <c r="DU29" s="139">
        <f t="shared" ca="1" si="42"/>
        <v>0</v>
      </c>
      <c r="DV29" s="457"/>
      <c r="DW29" s="457"/>
      <c r="DX29" s="139">
        <f ca="1"/>
        <v>0</v>
      </c>
      <c r="DY29" s="139">
        <f t="shared" ca="1" si="70"/>
        <v>0</v>
      </c>
      <c r="DZ29" s="139">
        <f t="shared" ca="1" si="43"/>
        <v>0</v>
      </c>
      <c r="EA29" s="139">
        <f t="shared" ca="1" si="44"/>
        <v>0</v>
      </c>
      <c r="EB29" s="139">
        <f t="shared" ca="1" si="45"/>
        <v>0</v>
      </c>
      <c r="EC29" s="139">
        <f t="shared" ca="1" si="46"/>
        <v>0</v>
      </c>
      <c r="ED29" s="139">
        <f t="shared" ca="1" si="71"/>
        <v>0</v>
      </c>
      <c r="EE29" s="457"/>
      <c r="EF29" s="457"/>
    </row>
    <row r="30" spans="1:136" ht="17.25" thickTop="1" thickBot="1">
      <c r="A30" s="229">
        <f t="shared" si="72"/>
        <v>3718380</v>
      </c>
      <c r="B30" s="229">
        <f t="shared" ca="1" si="47"/>
        <v>1873996.0345865386</v>
      </c>
      <c r="D30" s="186">
        <v>21</v>
      </c>
      <c r="E30" s="186">
        <v>7</v>
      </c>
      <c r="F30" s="186">
        <v>2</v>
      </c>
      <c r="G30" s="123">
        <v>46447</v>
      </c>
      <c r="H30" s="122" t="str">
        <v>Q1-27</v>
      </c>
      <c r="I30" s="122">
        <v>2027</v>
      </c>
      <c r="K30" s="140">
        <v>0</v>
      </c>
      <c r="L30" s="140">
        <v>0</v>
      </c>
      <c r="M30" s="140">
        <v>0</v>
      </c>
      <c r="N30" s="140">
        <v>0</v>
      </c>
      <c r="O30" s="140">
        <v>0</v>
      </c>
      <c r="P30" s="140">
        <v>0</v>
      </c>
      <c r="Q30" s="140">
        <v>0</v>
      </c>
      <c r="R30" s="140">
        <v>0</v>
      </c>
      <c r="S30" s="140">
        <v>0</v>
      </c>
      <c r="T30" s="140">
        <v>0</v>
      </c>
      <c r="U30" s="136"/>
      <c r="V30" s="140">
        <v>166.66666666666666</v>
      </c>
      <c r="W30" s="140">
        <v>500</v>
      </c>
      <c r="X30" s="140">
        <v>333.33333333333331</v>
      </c>
      <c r="Y30" s="140">
        <v>480</v>
      </c>
      <c r="Z30" s="140">
        <v>0</v>
      </c>
      <c r="AA30" s="140">
        <v>18000</v>
      </c>
      <c r="AB30" s="140">
        <v>19480</v>
      </c>
      <c r="AC30" s="137"/>
      <c r="AD30" s="140">
        <v>19480</v>
      </c>
      <c r="AF30" s="140">
        <v>0</v>
      </c>
      <c r="AG30" s="140">
        <v>0</v>
      </c>
      <c r="AH30" s="140">
        <v>0</v>
      </c>
      <c r="AI30" s="140">
        <v>0</v>
      </c>
      <c r="AJ30" s="140">
        <v>-19480</v>
      </c>
      <c r="AL30" s="140">
        <f t="shared" ca="1" si="74"/>
        <v>0</v>
      </c>
      <c r="AM30" s="140">
        <f t="shared" ca="1" si="49"/>
        <v>0</v>
      </c>
      <c r="AN30" s="140">
        <f t="shared" ca="1" si="75"/>
        <v>0</v>
      </c>
      <c r="AP30" s="140">
        <f t="shared" ca="1" si="50"/>
        <v>2005981.386370932</v>
      </c>
      <c r="AQ30" s="140">
        <f t="shared" ca="1" si="9"/>
        <v>19480</v>
      </c>
      <c r="AR30" s="140">
        <f ca="1">AT29*(Project!$P$13/12)</f>
        <v>15044.860397781989</v>
      </c>
      <c r="AS30" s="140">
        <f t="shared" si="10"/>
        <v>0</v>
      </c>
      <c r="AT30" s="140">
        <f t="shared" ca="1" si="11"/>
        <v>2040506.2467687139</v>
      </c>
      <c r="AV30" s="140">
        <v>-19480</v>
      </c>
      <c r="AW30" s="140"/>
      <c r="AX30" s="140">
        <f ca="1"/>
        <v>19480</v>
      </c>
      <c r="AY30" s="140">
        <f ca="1"/>
        <v>0</v>
      </c>
      <c r="AZ30" s="140">
        <f t="shared" ca="1" si="12"/>
        <v>0</v>
      </c>
      <c r="BC30" s="536"/>
      <c r="BD30" s="585"/>
      <c r="BE30" s="457"/>
      <c r="BF30" s="457"/>
      <c r="BG30" s="457"/>
      <c r="BH30" s="511"/>
      <c r="BI30" s="140">
        <f t="shared" ca="1" si="13"/>
        <v>1643527.7879407217</v>
      </c>
      <c r="BJ30" s="140">
        <f t="shared" ca="1" si="14"/>
        <v>0</v>
      </c>
      <c r="BK30" s="140" cm="1">
        <f t="array" aca="1" ref="BK30" ca="1">BI30*c_rate.Pref.MO</f>
        <v>13105.721379844881</v>
      </c>
      <c r="BL30" s="140">
        <f t="shared" ca="1" si="15"/>
        <v>0</v>
      </c>
      <c r="BM30" s="140">
        <f t="shared" ca="1" si="16"/>
        <v>1656633.5093205667</v>
      </c>
      <c r="BN30" s="140">
        <f t="shared" ca="1" si="51"/>
        <v>0</v>
      </c>
      <c r="BO30" s="140">
        <f t="shared" ca="1" si="73"/>
        <v>0</v>
      </c>
      <c r="BP30" s="140">
        <f t="shared" ca="1" si="52"/>
        <v>0</v>
      </c>
      <c r="BQ30" s="140">
        <f t="shared" ca="1" si="17"/>
        <v>0</v>
      </c>
      <c r="BR30" s="516"/>
      <c r="BS30" s="140">
        <f t="shared" ca="1" si="53"/>
        <v>1767967.6807442729</v>
      </c>
      <c r="BT30" s="140">
        <f t="shared" ca="1" si="18"/>
        <v>0</v>
      </c>
      <c r="BU30" s="140" cm="1">
        <f t="array" aca="1" ref="BU30" ca="1">IF(D30=0,0,BS30*(c_rate.Hurdle1.MO))</f>
        <v>20711.594496905022</v>
      </c>
      <c r="BV30" s="140">
        <f t="shared" ca="1" si="54"/>
        <v>0</v>
      </c>
      <c r="BW30" s="140">
        <f t="shared" ca="1" si="19"/>
        <v>0</v>
      </c>
      <c r="BX30" s="140">
        <f t="shared" ca="1" si="55"/>
        <v>1788679.275241178</v>
      </c>
      <c r="BY30" s="140">
        <f t="shared" ca="1" si="56"/>
        <v>0</v>
      </c>
      <c r="BZ30" s="140">
        <f t="shared" ca="1" si="57"/>
        <v>0</v>
      </c>
      <c r="CA30" s="140">
        <f t="shared" ca="1" si="20"/>
        <v>0</v>
      </c>
      <c r="CB30" s="140">
        <f t="shared" ca="1" si="58"/>
        <v>0</v>
      </c>
      <c r="CC30" s="516"/>
      <c r="CD30" s="140">
        <f t="shared" ca="1" si="59"/>
        <v>1895949.1879775038</v>
      </c>
      <c r="CE30" s="140">
        <f t="shared" ca="1" si="21"/>
        <v>0</v>
      </c>
      <c r="CF30" s="140" cm="1">
        <f t="array" aca="1" ref="CF30" ca="1">IF($D31=0,0,CD30*(c_rate.Hurdle2.MO))</f>
        <v>29025.978162330903</v>
      </c>
      <c r="CG30" s="140">
        <f t="shared" ca="1" si="22"/>
        <v>0</v>
      </c>
      <c r="CH30" s="140">
        <f t="shared" ca="1" si="60"/>
        <v>0</v>
      </c>
      <c r="CI30" s="140">
        <f t="shared" ca="1" si="23"/>
        <v>1924975.1661398346</v>
      </c>
      <c r="CJ30" s="140">
        <f t="shared" ca="1" si="24"/>
        <v>0</v>
      </c>
      <c r="CK30" s="140">
        <f t="shared" ca="1" si="25"/>
        <v>0</v>
      </c>
      <c r="CL30" s="140">
        <f t="shared" ca="1" si="61"/>
        <v>0</v>
      </c>
      <c r="CM30" s="140">
        <f t="shared" ca="1" si="26"/>
        <v>0</v>
      </c>
      <c r="CN30" s="140">
        <f t="shared" ca="1" si="27"/>
        <v>0</v>
      </c>
      <c r="CO30" s="516"/>
      <c r="CP30" s="140">
        <f t="shared" ca="1" si="62"/>
        <v>2027420.3050436163</v>
      </c>
      <c r="CQ30" s="140">
        <f t="shared" ca="1" si="28"/>
        <v>0</v>
      </c>
      <c r="CR30" s="140" cm="1">
        <f t="array" aca="1" ref="CR30" ca="1">IF($D31=0,0,CP30*(c_rate.Hurdle3.MO))</f>
        <v>38053.189218088439</v>
      </c>
      <c r="CS30" s="140">
        <f t="shared" ca="1" si="29"/>
        <v>0</v>
      </c>
      <c r="CT30" s="140">
        <f t="shared" ca="1" si="63"/>
        <v>0</v>
      </c>
      <c r="CU30" s="140">
        <f t="shared" ca="1" si="30"/>
        <v>2065473.4942617049</v>
      </c>
      <c r="CV30" s="140">
        <f t="shared" ca="1" si="31"/>
        <v>0</v>
      </c>
      <c r="CW30" s="140">
        <f t="shared" ca="1" si="64"/>
        <v>0</v>
      </c>
      <c r="CX30" s="140">
        <f t="shared" ca="1" si="65"/>
        <v>0</v>
      </c>
      <c r="CY30" s="140">
        <f t="shared" ca="1" si="66"/>
        <v>0</v>
      </c>
      <c r="CZ30" s="140">
        <f t="shared" ca="1" si="67"/>
        <v>0</v>
      </c>
      <c r="DA30" s="516"/>
      <c r="DB30" s="140">
        <f t="shared" ca="1" si="32"/>
        <v>0</v>
      </c>
      <c r="DC30" s="140">
        <f t="shared" ca="1" si="33"/>
        <v>0</v>
      </c>
      <c r="DD30" s="518"/>
      <c r="DE30" s="140">
        <f t="shared" ca="1" si="68"/>
        <v>0</v>
      </c>
      <c r="DF30" s="140">
        <f t="shared" ca="1" si="69"/>
        <v>0</v>
      </c>
      <c r="DG30" s="140">
        <f t="shared" ca="1" si="34"/>
        <v>0</v>
      </c>
      <c r="DH30" s="457"/>
      <c r="DI30" s="140">
        <f ca="1"/>
        <v>0</v>
      </c>
      <c r="DJ30" s="140">
        <f ca="1"/>
        <v>0</v>
      </c>
      <c r="DK30" s="140">
        <f ca="1"/>
        <v>0</v>
      </c>
      <c r="DL30" s="140">
        <f t="shared" ca="1" si="35"/>
        <v>0</v>
      </c>
      <c r="DM30" s="140">
        <f t="shared" ca="1" si="36"/>
        <v>0</v>
      </c>
      <c r="DN30" s="140">
        <f t="shared" ca="1" si="37"/>
        <v>0</v>
      </c>
      <c r="DO30" s="140">
        <f t="shared" ca="1" si="38"/>
        <v>0</v>
      </c>
      <c r="DP30" s="140">
        <f t="shared" ca="1" si="39"/>
        <v>0</v>
      </c>
      <c r="DQ30" s="140">
        <f t="shared" ca="1" si="40"/>
        <v>0</v>
      </c>
      <c r="DR30" s="140">
        <f ca="1"/>
        <v>0</v>
      </c>
      <c r="DS30" s="140">
        <f ca="1"/>
        <v>0</v>
      </c>
      <c r="DT30" s="140">
        <f t="shared" ca="1" si="41"/>
        <v>0</v>
      </c>
      <c r="DU30" s="140">
        <f t="shared" ca="1" si="42"/>
        <v>0</v>
      </c>
      <c r="DV30" s="457"/>
      <c r="DW30" s="457"/>
      <c r="DX30" s="140">
        <f ca="1"/>
        <v>0</v>
      </c>
      <c r="DY30" s="140">
        <f t="shared" ca="1" si="70"/>
        <v>0</v>
      </c>
      <c r="DZ30" s="140">
        <f t="shared" ca="1" si="43"/>
        <v>0</v>
      </c>
      <c r="EA30" s="140">
        <f t="shared" ca="1" si="44"/>
        <v>0</v>
      </c>
      <c r="EB30" s="140">
        <f t="shared" ca="1" si="45"/>
        <v>0</v>
      </c>
      <c r="EC30" s="140">
        <f t="shared" ca="1" si="46"/>
        <v>0</v>
      </c>
      <c r="ED30" s="140">
        <f t="shared" ca="1" si="71"/>
        <v>0</v>
      </c>
      <c r="EE30" s="457"/>
      <c r="EF30" s="457"/>
    </row>
    <row r="31" spans="1:136" ht="17.25" thickTop="1" thickBot="1">
      <c r="A31" s="230">
        <f t="shared" si="72"/>
        <v>3737860</v>
      </c>
      <c r="B31" s="230">
        <f t="shared" ca="1" si="47"/>
        <v>1873996.0345865386</v>
      </c>
      <c r="D31" s="187">
        <v>22</v>
      </c>
      <c r="E31" s="187">
        <v>8</v>
      </c>
      <c r="F31" s="187">
        <v>2</v>
      </c>
      <c r="G31" s="125">
        <v>46478</v>
      </c>
      <c r="H31" s="124" t="str">
        <v>Q2-27</v>
      </c>
      <c r="I31" s="124">
        <v>2027</v>
      </c>
      <c r="K31" s="141">
        <v>0</v>
      </c>
      <c r="L31" s="141">
        <v>0</v>
      </c>
      <c r="M31" s="141">
        <v>0</v>
      </c>
      <c r="N31" s="141">
        <v>0</v>
      </c>
      <c r="O31" s="141">
        <v>0</v>
      </c>
      <c r="P31" s="141">
        <v>0</v>
      </c>
      <c r="Q31" s="141">
        <v>0</v>
      </c>
      <c r="R31" s="141">
        <v>0</v>
      </c>
      <c r="S31" s="141">
        <v>0</v>
      </c>
      <c r="T31" s="141">
        <v>0</v>
      </c>
      <c r="U31" s="136"/>
      <c r="V31" s="141">
        <v>166.66666666666666</v>
      </c>
      <c r="W31" s="141">
        <v>500</v>
      </c>
      <c r="X31" s="141">
        <v>333.33333333333331</v>
      </c>
      <c r="Y31" s="141">
        <v>480</v>
      </c>
      <c r="Z31" s="141">
        <v>0</v>
      </c>
      <c r="AA31" s="141">
        <v>18000</v>
      </c>
      <c r="AB31" s="141">
        <v>19480</v>
      </c>
      <c r="AC31" s="137"/>
      <c r="AD31" s="141">
        <v>19480</v>
      </c>
      <c r="AF31" s="141">
        <v>0</v>
      </c>
      <c r="AG31" s="141">
        <v>0</v>
      </c>
      <c r="AH31" s="141">
        <v>0</v>
      </c>
      <c r="AI31" s="141">
        <v>0</v>
      </c>
      <c r="AJ31" s="141">
        <v>-19480</v>
      </c>
      <c r="AL31" s="141">
        <f t="shared" ca="1" si="74"/>
        <v>0</v>
      </c>
      <c r="AM31" s="141">
        <f t="shared" ca="1" si="49"/>
        <v>0</v>
      </c>
      <c r="AN31" s="141">
        <f t="shared" ca="1" si="75"/>
        <v>0</v>
      </c>
      <c r="AP31" s="141">
        <f t="shared" ca="1" si="50"/>
        <v>2040506.2467687139</v>
      </c>
      <c r="AQ31" s="141">
        <f t="shared" ca="1" si="9"/>
        <v>19480</v>
      </c>
      <c r="AR31" s="141">
        <f ca="1">AT30*(Project!$P$13/12)</f>
        <v>15303.796850765353</v>
      </c>
      <c r="AS31" s="141">
        <f t="shared" si="10"/>
        <v>0</v>
      </c>
      <c r="AT31" s="141">
        <f t="shared" ca="1" si="11"/>
        <v>2075290.0436194793</v>
      </c>
      <c r="AV31" s="141">
        <v>-19480</v>
      </c>
      <c r="AW31" s="141"/>
      <c r="AX31" s="141">
        <f ca="1"/>
        <v>19480</v>
      </c>
      <c r="AY31" s="141">
        <f ca="1"/>
        <v>0</v>
      </c>
      <c r="AZ31" s="141">
        <f t="shared" ca="1" si="12"/>
        <v>0</v>
      </c>
      <c r="BC31" s="537" t="s">
        <v>200</v>
      </c>
      <c r="BD31" s="588"/>
      <c r="BE31" s="538" t="s">
        <v>5</v>
      </c>
      <c r="BF31" s="539" t="s">
        <v>188</v>
      </c>
      <c r="BG31" s="539" t="s">
        <v>189</v>
      </c>
      <c r="BH31" s="511"/>
      <c r="BI31" s="141">
        <f t="shared" ca="1" si="13"/>
        <v>1656633.5093205667</v>
      </c>
      <c r="BJ31" s="141">
        <f t="shared" ca="1" si="14"/>
        <v>0</v>
      </c>
      <c r="BK31" s="141" cm="1">
        <f t="array" aca="1" ref="BK31" ca="1">BI31*c_rate.Pref.MO</f>
        <v>13210.228242549852</v>
      </c>
      <c r="BL31" s="141">
        <f t="shared" ca="1" si="15"/>
        <v>0</v>
      </c>
      <c r="BM31" s="141">
        <f t="shared" ca="1" si="16"/>
        <v>1669843.7375631165</v>
      </c>
      <c r="BN31" s="141">
        <f t="shared" ca="1" si="51"/>
        <v>0</v>
      </c>
      <c r="BO31" s="141">
        <f t="shared" ca="1" si="73"/>
        <v>0</v>
      </c>
      <c r="BP31" s="141">
        <f t="shared" ca="1" si="52"/>
        <v>0</v>
      </c>
      <c r="BQ31" s="141">
        <f t="shared" ca="1" si="17"/>
        <v>0</v>
      </c>
      <c r="BR31" s="516"/>
      <c r="BS31" s="141">
        <f t="shared" ca="1" si="53"/>
        <v>1788679.275241178</v>
      </c>
      <c r="BT31" s="141">
        <f t="shared" ca="1" si="18"/>
        <v>0</v>
      </c>
      <c r="BU31" s="141" cm="1">
        <f t="array" aca="1" ref="BU31" ca="1">IF(D31=0,0,BS31*(c_rate.Hurdle1.MO))</f>
        <v>20954.229105713956</v>
      </c>
      <c r="BV31" s="141">
        <f t="shared" ca="1" si="54"/>
        <v>0</v>
      </c>
      <c r="BW31" s="141">
        <f t="shared" ca="1" si="19"/>
        <v>0</v>
      </c>
      <c r="BX31" s="141">
        <f t="shared" ca="1" si="55"/>
        <v>1809633.504346892</v>
      </c>
      <c r="BY31" s="141">
        <f t="shared" ca="1" si="56"/>
        <v>0</v>
      </c>
      <c r="BZ31" s="141">
        <f t="shared" ca="1" si="57"/>
        <v>0</v>
      </c>
      <c r="CA31" s="141">
        <f t="shared" ca="1" si="20"/>
        <v>0</v>
      </c>
      <c r="CB31" s="141">
        <f t="shared" ca="1" si="58"/>
        <v>0</v>
      </c>
      <c r="CC31" s="516"/>
      <c r="CD31" s="141">
        <f t="shared" ca="1" si="59"/>
        <v>1924975.1661398346</v>
      </c>
      <c r="CE31" s="141">
        <f t="shared" ca="1" si="21"/>
        <v>0</v>
      </c>
      <c r="CF31" s="141" cm="1">
        <f t="array" aca="1" ref="CF31" ca="1">IF($D32=0,0,CD31*(c_rate.Hurdle2.MO))</f>
        <v>29470.35051873295</v>
      </c>
      <c r="CG31" s="141">
        <f t="shared" ca="1" si="22"/>
        <v>0</v>
      </c>
      <c r="CH31" s="141">
        <f t="shared" ca="1" si="60"/>
        <v>0</v>
      </c>
      <c r="CI31" s="141">
        <f t="shared" ca="1" si="23"/>
        <v>1954445.5166585676</v>
      </c>
      <c r="CJ31" s="141">
        <f t="shared" ca="1" si="24"/>
        <v>0</v>
      </c>
      <c r="CK31" s="141">
        <f t="shared" ca="1" si="25"/>
        <v>0</v>
      </c>
      <c r="CL31" s="141">
        <f t="shared" ca="1" si="61"/>
        <v>0</v>
      </c>
      <c r="CM31" s="141">
        <f t="shared" ca="1" si="26"/>
        <v>0</v>
      </c>
      <c r="CN31" s="141">
        <f t="shared" ca="1" si="27"/>
        <v>0</v>
      </c>
      <c r="CO31" s="516"/>
      <c r="CP31" s="141">
        <f t="shared" ca="1" si="62"/>
        <v>2065473.4942617049</v>
      </c>
      <c r="CQ31" s="141">
        <f t="shared" ca="1" si="28"/>
        <v>0</v>
      </c>
      <c r="CR31" s="141" cm="1">
        <f t="array" aca="1" ref="CR31" ca="1">IF($D32=0,0,CP31*(c_rate.Hurdle3.MO))</f>
        <v>38767.419615241583</v>
      </c>
      <c r="CS31" s="141">
        <f t="shared" ca="1" si="29"/>
        <v>0</v>
      </c>
      <c r="CT31" s="141">
        <f t="shared" ca="1" si="63"/>
        <v>0</v>
      </c>
      <c r="CU31" s="141">
        <f t="shared" ca="1" si="30"/>
        <v>2104240.9138769465</v>
      </c>
      <c r="CV31" s="141">
        <f t="shared" ca="1" si="31"/>
        <v>0</v>
      </c>
      <c r="CW31" s="141">
        <f t="shared" ca="1" si="64"/>
        <v>0</v>
      </c>
      <c r="CX31" s="141">
        <f t="shared" ca="1" si="65"/>
        <v>0</v>
      </c>
      <c r="CY31" s="141">
        <f t="shared" ca="1" si="66"/>
        <v>0</v>
      </c>
      <c r="CZ31" s="141">
        <f t="shared" ca="1" si="67"/>
        <v>0</v>
      </c>
      <c r="DA31" s="516"/>
      <c r="DB31" s="141">
        <f t="shared" ca="1" si="32"/>
        <v>0</v>
      </c>
      <c r="DC31" s="141">
        <f t="shared" ca="1" si="33"/>
        <v>0</v>
      </c>
      <c r="DD31" s="518"/>
      <c r="DE31" s="141">
        <f t="shared" ca="1" si="68"/>
        <v>0</v>
      </c>
      <c r="DF31" s="141">
        <f t="shared" ca="1" si="69"/>
        <v>0</v>
      </c>
      <c r="DG31" s="141">
        <f t="shared" ca="1" si="34"/>
        <v>0</v>
      </c>
      <c r="DH31" s="457"/>
      <c r="DI31" s="141">
        <f ca="1"/>
        <v>0</v>
      </c>
      <c r="DJ31" s="141">
        <f ca="1"/>
        <v>0</v>
      </c>
      <c r="DK31" s="141">
        <f ca="1"/>
        <v>0</v>
      </c>
      <c r="DL31" s="141">
        <f t="shared" ca="1" si="35"/>
        <v>0</v>
      </c>
      <c r="DM31" s="141">
        <f t="shared" ca="1" si="36"/>
        <v>0</v>
      </c>
      <c r="DN31" s="141">
        <f t="shared" ca="1" si="37"/>
        <v>0</v>
      </c>
      <c r="DO31" s="141">
        <f t="shared" ca="1" si="38"/>
        <v>0</v>
      </c>
      <c r="DP31" s="141">
        <f t="shared" ca="1" si="39"/>
        <v>0</v>
      </c>
      <c r="DQ31" s="141">
        <f t="shared" ca="1" si="40"/>
        <v>0</v>
      </c>
      <c r="DR31" s="141">
        <f ca="1"/>
        <v>0</v>
      </c>
      <c r="DS31" s="141">
        <f ca="1"/>
        <v>0</v>
      </c>
      <c r="DT31" s="141">
        <f t="shared" ca="1" si="41"/>
        <v>0</v>
      </c>
      <c r="DU31" s="141">
        <f t="shared" ca="1" si="42"/>
        <v>0</v>
      </c>
      <c r="DV31" s="457"/>
      <c r="DW31" s="457"/>
      <c r="DX31" s="141">
        <f ca="1"/>
        <v>0</v>
      </c>
      <c r="DY31" s="141">
        <f t="shared" ca="1" si="70"/>
        <v>0</v>
      </c>
      <c r="DZ31" s="141">
        <f t="shared" ca="1" si="43"/>
        <v>0</v>
      </c>
      <c r="EA31" s="141">
        <f t="shared" ca="1" si="44"/>
        <v>0</v>
      </c>
      <c r="EB31" s="141">
        <f t="shared" ca="1" si="45"/>
        <v>0</v>
      </c>
      <c r="EC31" s="141">
        <f t="shared" ca="1" si="46"/>
        <v>0</v>
      </c>
      <c r="ED31" s="141">
        <f t="shared" ca="1" si="71"/>
        <v>0</v>
      </c>
      <c r="EE31" s="457"/>
      <c r="EF31" s="457"/>
    </row>
    <row r="32" spans="1:136" ht="17.25" thickTop="1" thickBot="1">
      <c r="A32" s="228">
        <f t="shared" si="72"/>
        <v>3757340</v>
      </c>
      <c r="B32" s="228">
        <f t="shared" ca="1" si="47"/>
        <v>1873996.0345865386</v>
      </c>
      <c r="D32" s="184">
        <v>23</v>
      </c>
      <c r="E32" s="184">
        <v>8</v>
      </c>
      <c r="F32" s="184">
        <v>2</v>
      </c>
      <c r="G32" s="121">
        <v>46508</v>
      </c>
      <c r="H32" s="118" t="str">
        <v>Q2-27</v>
      </c>
      <c r="I32" s="118">
        <v>2027</v>
      </c>
      <c r="K32" s="139">
        <v>0</v>
      </c>
      <c r="L32" s="139">
        <v>0</v>
      </c>
      <c r="M32" s="139">
        <v>0</v>
      </c>
      <c r="N32" s="139">
        <v>0</v>
      </c>
      <c r="O32" s="139">
        <v>0</v>
      </c>
      <c r="P32" s="139">
        <v>0</v>
      </c>
      <c r="Q32" s="139">
        <v>0</v>
      </c>
      <c r="R32" s="139">
        <v>0</v>
      </c>
      <c r="S32" s="139">
        <v>0</v>
      </c>
      <c r="T32" s="139">
        <v>0</v>
      </c>
      <c r="U32" s="136"/>
      <c r="V32" s="139">
        <v>166.66666666666666</v>
      </c>
      <c r="W32" s="139">
        <v>500</v>
      </c>
      <c r="X32" s="139">
        <v>333.33333333333331</v>
      </c>
      <c r="Y32" s="139">
        <v>480</v>
      </c>
      <c r="Z32" s="139">
        <v>0</v>
      </c>
      <c r="AA32" s="139">
        <v>18000</v>
      </c>
      <c r="AB32" s="139">
        <v>19480</v>
      </c>
      <c r="AC32" s="137"/>
      <c r="AD32" s="139">
        <v>19480</v>
      </c>
      <c r="AF32" s="139">
        <v>0</v>
      </c>
      <c r="AG32" s="139">
        <v>0</v>
      </c>
      <c r="AH32" s="139">
        <v>0</v>
      </c>
      <c r="AI32" s="139">
        <v>0</v>
      </c>
      <c r="AJ32" s="139">
        <v>-19480</v>
      </c>
      <c r="AL32" s="139">
        <f t="shared" ca="1" si="74"/>
        <v>0</v>
      </c>
      <c r="AM32" s="139">
        <f t="shared" ca="1" si="49"/>
        <v>0</v>
      </c>
      <c r="AN32" s="139">
        <f t="shared" ca="1" si="75"/>
        <v>0</v>
      </c>
      <c r="AP32" s="139">
        <f t="shared" ca="1" si="50"/>
        <v>2075290.0436194793</v>
      </c>
      <c r="AQ32" s="139">
        <f t="shared" ca="1" si="9"/>
        <v>19480</v>
      </c>
      <c r="AR32" s="139">
        <f ca="1">AT31*(Project!$P$13/12)</f>
        <v>15564.675327146095</v>
      </c>
      <c r="AS32" s="139">
        <f t="shared" si="10"/>
        <v>0</v>
      </c>
      <c r="AT32" s="139">
        <f t="shared" ca="1" si="11"/>
        <v>2110334.7189466255</v>
      </c>
      <c r="AV32" s="139">
        <v>-19480</v>
      </c>
      <c r="AW32" s="139"/>
      <c r="AX32" s="139">
        <f ca="1"/>
        <v>19480</v>
      </c>
      <c r="AY32" s="139">
        <f ca="1"/>
        <v>0</v>
      </c>
      <c r="AZ32" s="139">
        <f t="shared" ca="1" si="12"/>
        <v>0</v>
      </c>
      <c r="BC32" s="534" t="s">
        <v>210</v>
      </c>
      <c r="BD32" s="592"/>
      <c r="BE32" s="549">
        <f ca="1">BF32+BG32</f>
        <v>1873996.0345865386</v>
      </c>
      <c r="BF32" s="502">
        <f ca="1">BF22</f>
        <v>468499.00864663464</v>
      </c>
      <c r="BG32" s="502">
        <f ca="1">BG22</f>
        <v>1405497.0259399039</v>
      </c>
      <c r="BH32" s="511"/>
      <c r="BI32" s="139">
        <f t="shared" ca="1" si="13"/>
        <v>1669843.7375631165</v>
      </c>
      <c r="BJ32" s="139">
        <f t="shared" ca="1" si="14"/>
        <v>0</v>
      </c>
      <c r="BK32" s="139" cm="1">
        <f t="array" aca="1" ref="BK32" ca="1">BI32*c_rate.Pref.MO</f>
        <v>13315.568457653815</v>
      </c>
      <c r="BL32" s="139">
        <f t="shared" ca="1" si="15"/>
        <v>0</v>
      </c>
      <c r="BM32" s="139">
        <f t="shared" ca="1" si="16"/>
        <v>1683159.3060207702</v>
      </c>
      <c r="BN32" s="139">
        <f t="shared" ca="1" si="51"/>
        <v>0</v>
      </c>
      <c r="BO32" s="139">
        <f t="shared" ca="1" si="73"/>
        <v>0</v>
      </c>
      <c r="BP32" s="139">
        <f t="shared" ca="1" si="52"/>
        <v>0</v>
      </c>
      <c r="BQ32" s="139">
        <f t="shared" ca="1" si="17"/>
        <v>0</v>
      </c>
      <c r="BR32" s="516"/>
      <c r="BS32" s="139">
        <f t="shared" ca="1" si="53"/>
        <v>1809633.504346892</v>
      </c>
      <c r="BT32" s="139">
        <f t="shared" ca="1" si="18"/>
        <v>0</v>
      </c>
      <c r="BU32" s="139" cm="1">
        <f t="array" aca="1" ref="BU32" ca="1">IF(D32=0,0,BS32*(c_rate.Hurdle1.MO))</f>
        <v>21199.70615880697</v>
      </c>
      <c r="BV32" s="139">
        <f t="shared" ca="1" si="54"/>
        <v>0</v>
      </c>
      <c r="BW32" s="139">
        <f t="shared" ca="1" si="19"/>
        <v>0</v>
      </c>
      <c r="BX32" s="139">
        <f t="shared" ca="1" si="55"/>
        <v>1830833.210505699</v>
      </c>
      <c r="BY32" s="139">
        <f t="shared" ca="1" si="56"/>
        <v>0</v>
      </c>
      <c r="BZ32" s="139">
        <f t="shared" ca="1" si="57"/>
        <v>0</v>
      </c>
      <c r="CA32" s="139">
        <f t="shared" ca="1" si="20"/>
        <v>0</v>
      </c>
      <c r="CB32" s="139">
        <f t="shared" ca="1" si="58"/>
        <v>0</v>
      </c>
      <c r="CC32" s="516"/>
      <c r="CD32" s="139">
        <f t="shared" ca="1" si="59"/>
        <v>1954445.5166585676</v>
      </c>
      <c r="CE32" s="139">
        <f t="shared" ca="1" si="21"/>
        <v>0</v>
      </c>
      <c r="CF32" s="139" cm="1">
        <f t="array" aca="1" ref="CF32" ca="1">IF($D33=0,0,CD32*(c_rate.Hurdle2.MO))</f>
        <v>29921.525980616228</v>
      </c>
      <c r="CG32" s="139">
        <f t="shared" ca="1" si="22"/>
        <v>0</v>
      </c>
      <c r="CH32" s="139">
        <f t="shared" ca="1" si="60"/>
        <v>0</v>
      </c>
      <c r="CI32" s="139">
        <f t="shared" ca="1" si="23"/>
        <v>1984367.0426391838</v>
      </c>
      <c r="CJ32" s="139">
        <f t="shared" ca="1" si="24"/>
        <v>0</v>
      </c>
      <c r="CK32" s="139">
        <f t="shared" ca="1" si="25"/>
        <v>0</v>
      </c>
      <c r="CL32" s="139">
        <f t="shared" ca="1" si="61"/>
        <v>0</v>
      </c>
      <c r="CM32" s="139">
        <f t="shared" ca="1" si="26"/>
        <v>0</v>
      </c>
      <c r="CN32" s="139">
        <f t="shared" ca="1" si="27"/>
        <v>0</v>
      </c>
      <c r="CO32" s="516"/>
      <c r="CP32" s="139">
        <f t="shared" ca="1" si="62"/>
        <v>2104240.9138769465</v>
      </c>
      <c r="CQ32" s="139">
        <f t="shared" ca="1" si="28"/>
        <v>0</v>
      </c>
      <c r="CR32" s="139" cm="1">
        <f t="array" aca="1" ref="CR32" ca="1">IF($D33=0,0,CP32*(c_rate.Hurdle3.MO))</f>
        <v>39495.055592076729</v>
      </c>
      <c r="CS32" s="139">
        <f t="shared" ca="1" si="29"/>
        <v>0</v>
      </c>
      <c r="CT32" s="139">
        <f t="shared" ca="1" si="63"/>
        <v>0</v>
      </c>
      <c r="CU32" s="139">
        <f t="shared" ca="1" si="30"/>
        <v>2143735.9694690234</v>
      </c>
      <c r="CV32" s="139">
        <f t="shared" ca="1" si="31"/>
        <v>0</v>
      </c>
      <c r="CW32" s="139">
        <f t="shared" ca="1" si="64"/>
        <v>0</v>
      </c>
      <c r="CX32" s="139">
        <f t="shared" ca="1" si="65"/>
        <v>0</v>
      </c>
      <c r="CY32" s="139">
        <f t="shared" ca="1" si="66"/>
        <v>0</v>
      </c>
      <c r="CZ32" s="139">
        <f t="shared" ca="1" si="67"/>
        <v>0</v>
      </c>
      <c r="DA32" s="516"/>
      <c r="DB32" s="139">
        <f t="shared" ca="1" si="32"/>
        <v>0</v>
      </c>
      <c r="DC32" s="139">
        <f t="shared" ca="1" si="33"/>
        <v>0</v>
      </c>
      <c r="DD32" s="518"/>
      <c r="DE32" s="139">
        <f t="shared" ca="1" si="68"/>
        <v>0</v>
      </c>
      <c r="DF32" s="139">
        <f t="shared" ca="1" si="69"/>
        <v>0</v>
      </c>
      <c r="DG32" s="139">
        <f t="shared" ca="1" si="34"/>
        <v>0</v>
      </c>
      <c r="DH32" s="457"/>
      <c r="DI32" s="139">
        <f ca="1"/>
        <v>0</v>
      </c>
      <c r="DJ32" s="139">
        <f ca="1"/>
        <v>0</v>
      </c>
      <c r="DK32" s="139">
        <f ca="1"/>
        <v>0</v>
      </c>
      <c r="DL32" s="139">
        <f t="shared" ca="1" si="35"/>
        <v>0</v>
      </c>
      <c r="DM32" s="139">
        <f t="shared" ca="1" si="36"/>
        <v>0</v>
      </c>
      <c r="DN32" s="139">
        <f t="shared" ca="1" si="37"/>
        <v>0</v>
      </c>
      <c r="DO32" s="139">
        <f t="shared" ca="1" si="38"/>
        <v>0</v>
      </c>
      <c r="DP32" s="139">
        <f t="shared" ca="1" si="39"/>
        <v>0</v>
      </c>
      <c r="DQ32" s="139">
        <f t="shared" ca="1" si="40"/>
        <v>0</v>
      </c>
      <c r="DR32" s="139">
        <f ca="1"/>
        <v>0</v>
      </c>
      <c r="DS32" s="139">
        <f ca="1"/>
        <v>0</v>
      </c>
      <c r="DT32" s="139">
        <f t="shared" ca="1" si="41"/>
        <v>0</v>
      </c>
      <c r="DU32" s="139">
        <f t="shared" ca="1" si="42"/>
        <v>0</v>
      </c>
      <c r="DV32" s="457"/>
      <c r="DW32" s="457"/>
      <c r="DX32" s="139">
        <f ca="1"/>
        <v>0</v>
      </c>
      <c r="DY32" s="139">
        <f t="shared" ca="1" si="70"/>
        <v>0</v>
      </c>
      <c r="DZ32" s="139">
        <f t="shared" ca="1" si="43"/>
        <v>0</v>
      </c>
      <c r="EA32" s="139">
        <f t="shared" ca="1" si="44"/>
        <v>0</v>
      </c>
      <c r="EB32" s="139">
        <f t="shared" ca="1" si="45"/>
        <v>0</v>
      </c>
      <c r="EC32" s="139">
        <f t="shared" ca="1" si="46"/>
        <v>0</v>
      </c>
      <c r="ED32" s="139">
        <f t="shared" ca="1" si="71"/>
        <v>0</v>
      </c>
      <c r="EE32" s="457"/>
      <c r="EF32" s="457"/>
    </row>
    <row r="33" spans="1:136" ht="17.25" thickTop="1" thickBot="1">
      <c r="A33" s="231">
        <f t="shared" si="72"/>
        <v>3776820</v>
      </c>
      <c r="B33" s="231">
        <f t="shared" ca="1" si="47"/>
        <v>1873996.0345865386</v>
      </c>
      <c r="D33" s="188">
        <v>24</v>
      </c>
      <c r="E33" s="188">
        <v>8</v>
      </c>
      <c r="F33" s="188">
        <v>2</v>
      </c>
      <c r="G33" s="127">
        <v>46539</v>
      </c>
      <c r="H33" s="126" t="str">
        <v>Q2-27</v>
      </c>
      <c r="I33" s="126">
        <v>2027</v>
      </c>
      <c r="K33" s="142">
        <v>0</v>
      </c>
      <c r="L33" s="142">
        <v>0</v>
      </c>
      <c r="M33" s="142">
        <v>0</v>
      </c>
      <c r="N33" s="142">
        <v>0</v>
      </c>
      <c r="O33" s="142">
        <v>0</v>
      </c>
      <c r="P33" s="142">
        <v>0</v>
      </c>
      <c r="Q33" s="142">
        <v>0</v>
      </c>
      <c r="R33" s="142">
        <v>0</v>
      </c>
      <c r="S33" s="142">
        <v>0</v>
      </c>
      <c r="T33" s="142">
        <v>0</v>
      </c>
      <c r="U33" s="136"/>
      <c r="V33" s="142">
        <v>166.66666666666666</v>
      </c>
      <c r="W33" s="142">
        <v>500</v>
      </c>
      <c r="X33" s="142">
        <v>333.33333333333331</v>
      </c>
      <c r="Y33" s="142">
        <v>480</v>
      </c>
      <c r="Z33" s="142">
        <v>0</v>
      </c>
      <c r="AA33" s="142">
        <v>18000</v>
      </c>
      <c r="AB33" s="142">
        <v>19480</v>
      </c>
      <c r="AC33" s="137"/>
      <c r="AD33" s="142">
        <v>19480</v>
      </c>
      <c r="AF33" s="142">
        <v>0</v>
      </c>
      <c r="AG33" s="142">
        <v>0</v>
      </c>
      <c r="AH33" s="142">
        <v>0</v>
      </c>
      <c r="AI33" s="142">
        <v>0</v>
      </c>
      <c r="AJ33" s="142">
        <v>-19480</v>
      </c>
      <c r="AL33" s="142">
        <f t="shared" ca="1" si="74"/>
        <v>0</v>
      </c>
      <c r="AM33" s="142">
        <f t="shared" ca="1" si="49"/>
        <v>0</v>
      </c>
      <c r="AN33" s="142">
        <f t="shared" ca="1" si="75"/>
        <v>0</v>
      </c>
      <c r="AP33" s="142">
        <f t="shared" ca="1" si="50"/>
        <v>2110334.7189466255</v>
      </c>
      <c r="AQ33" s="142">
        <f t="shared" ca="1" si="9"/>
        <v>19480</v>
      </c>
      <c r="AR33" s="142">
        <f ca="1">AT32*(Project!$P$13/12)</f>
        <v>15827.51039209969</v>
      </c>
      <c r="AS33" s="142">
        <f t="shared" si="10"/>
        <v>0</v>
      </c>
      <c r="AT33" s="142">
        <f t="shared" ca="1" si="11"/>
        <v>2145642.2293387251</v>
      </c>
      <c r="AV33" s="142">
        <v>-19480</v>
      </c>
      <c r="AW33" s="142"/>
      <c r="AX33" s="142">
        <f ca="1"/>
        <v>19480</v>
      </c>
      <c r="AY33" s="142">
        <f ca="1"/>
        <v>0</v>
      </c>
      <c r="AZ33" s="142">
        <f t="shared" ca="1" si="12"/>
        <v>0</v>
      </c>
      <c r="BC33" s="534" t="s">
        <v>211</v>
      </c>
      <c r="BD33" s="592"/>
      <c r="BE33" s="549">
        <f ca="1">BF33+BG33</f>
        <v>652247.45049071126</v>
      </c>
      <c r="BF33" s="502">
        <f ca="1">SUM(BF23:BF27)</f>
        <v>163061.86262267781</v>
      </c>
      <c r="BG33" s="502">
        <f ca="1">SUM(BG23:BG27)</f>
        <v>489185.58786803344</v>
      </c>
      <c r="BH33" s="511"/>
      <c r="BI33" s="142">
        <f t="shared" ca="1" si="13"/>
        <v>1683159.3060207702</v>
      </c>
      <c r="BJ33" s="142">
        <f t="shared" ca="1" si="14"/>
        <v>0</v>
      </c>
      <c r="BK33" s="142" cm="1">
        <f t="array" aca="1" ref="BK33" ca="1">BI33*c_rate.Pref.MO</f>
        <v>13421.748670425826</v>
      </c>
      <c r="BL33" s="142">
        <f t="shared" ca="1" si="15"/>
        <v>0</v>
      </c>
      <c r="BM33" s="142">
        <f t="shared" ca="1" si="16"/>
        <v>1696581.054691196</v>
      </c>
      <c r="BN33" s="142">
        <f t="shared" ca="1" si="51"/>
        <v>0</v>
      </c>
      <c r="BO33" s="142">
        <f t="shared" ca="1" si="73"/>
        <v>0</v>
      </c>
      <c r="BP33" s="142">
        <f t="shared" ca="1" si="52"/>
        <v>0</v>
      </c>
      <c r="BQ33" s="142">
        <f t="shared" ca="1" si="17"/>
        <v>0</v>
      </c>
      <c r="BR33" s="516"/>
      <c r="BS33" s="142">
        <f t="shared" ca="1" si="53"/>
        <v>1830833.210505699</v>
      </c>
      <c r="BT33" s="142">
        <f t="shared" ca="1" si="18"/>
        <v>0</v>
      </c>
      <c r="BU33" s="142" cm="1">
        <f t="array" aca="1" ref="BU33" ca="1">IF(D33=0,0,BS33*(c_rate.Hurdle1.MO))</f>
        <v>21448.0589551827</v>
      </c>
      <c r="BV33" s="142">
        <f t="shared" ca="1" si="54"/>
        <v>0</v>
      </c>
      <c r="BW33" s="142">
        <f t="shared" ca="1" si="19"/>
        <v>0</v>
      </c>
      <c r="BX33" s="142">
        <f t="shared" ca="1" si="55"/>
        <v>1852281.2694608818</v>
      </c>
      <c r="BY33" s="142">
        <f t="shared" ca="1" si="56"/>
        <v>0</v>
      </c>
      <c r="BZ33" s="142">
        <f t="shared" ca="1" si="57"/>
        <v>0</v>
      </c>
      <c r="CA33" s="142">
        <f t="shared" ca="1" si="20"/>
        <v>0</v>
      </c>
      <c r="CB33" s="142">
        <f t="shared" ca="1" si="58"/>
        <v>0</v>
      </c>
      <c r="CC33" s="516"/>
      <c r="CD33" s="142">
        <f t="shared" ca="1" si="59"/>
        <v>1984367.0426391838</v>
      </c>
      <c r="CE33" s="142">
        <f t="shared" ca="1" si="21"/>
        <v>0</v>
      </c>
      <c r="CF33" s="142" cm="1">
        <f t="array" aca="1" ref="CF33" ca="1">IF($D34=0,0,CD33*(c_rate.Hurdle2.MO))</f>
        <v>30379.608699923414</v>
      </c>
      <c r="CG33" s="142">
        <f t="shared" ca="1" si="22"/>
        <v>0</v>
      </c>
      <c r="CH33" s="142">
        <f t="shared" ca="1" si="60"/>
        <v>0</v>
      </c>
      <c r="CI33" s="142">
        <f t="shared" ca="1" si="23"/>
        <v>2014746.6513391072</v>
      </c>
      <c r="CJ33" s="142">
        <f t="shared" ca="1" si="24"/>
        <v>0</v>
      </c>
      <c r="CK33" s="142">
        <f t="shared" ca="1" si="25"/>
        <v>0</v>
      </c>
      <c r="CL33" s="142">
        <f t="shared" ca="1" si="61"/>
        <v>0</v>
      </c>
      <c r="CM33" s="142">
        <f t="shared" ca="1" si="26"/>
        <v>0</v>
      </c>
      <c r="CN33" s="142">
        <f t="shared" ca="1" si="27"/>
        <v>0</v>
      </c>
      <c r="CO33" s="516"/>
      <c r="CP33" s="142">
        <f t="shared" ca="1" si="62"/>
        <v>2143735.9694690234</v>
      </c>
      <c r="CQ33" s="142">
        <f t="shared" ca="1" si="28"/>
        <v>0</v>
      </c>
      <c r="CR33" s="142" cm="1">
        <f t="array" aca="1" ref="CR33" ca="1">IF($D34=0,0,CP33*(c_rate.Hurdle3.MO))</f>
        <v>40236.348761473047</v>
      </c>
      <c r="CS33" s="142">
        <f t="shared" ca="1" si="29"/>
        <v>0</v>
      </c>
      <c r="CT33" s="142">
        <f t="shared" ca="1" si="63"/>
        <v>0</v>
      </c>
      <c r="CU33" s="142">
        <f t="shared" ca="1" si="30"/>
        <v>2183972.3182304963</v>
      </c>
      <c r="CV33" s="142">
        <f t="shared" ca="1" si="31"/>
        <v>0</v>
      </c>
      <c r="CW33" s="142">
        <f t="shared" ca="1" si="64"/>
        <v>0</v>
      </c>
      <c r="CX33" s="142">
        <f t="shared" ca="1" si="65"/>
        <v>0</v>
      </c>
      <c r="CY33" s="142">
        <f t="shared" ca="1" si="66"/>
        <v>0</v>
      </c>
      <c r="CZ33" s="142">
        <f t="shared" ca="1" si="67"/>
        <v>0</v>
      </c>
      <c r="DA33" s="516"/>
      <c r="DB33" s="142">
        <f t="shared" ca="1" si="32"/>
        <v>0</v>
      </c>
      <c r="DC33" s="142">
        <f t="shared" ca="1" si="33"/>
        <v>0</v>
      </c>
      <c r="DD33" s="518"/>
      <c r="DE33" s="142">
        <f t="shared" ca="1" si="68"/>
        <v>0</v>
      </c>
      <c r="DF33" s="142">
        <f t="shared" ca="1" si="69"/>
        <v>0</v>
      </c>
      <c r="DG33" s="142">
        <f t="shared" ca="1" si="34"/>
        <v>0</v>
      </c>
      <c r="DH33" s="457"/>
      <c r="DI33" s="142">
        <f ca="1"/>
        <v>0</v>
      </c>
      <c r="DJ33" s="142">
        <f ca="1"/>
        <v>0</v>
      </c>
      <c r="DK33" s="142">
        <f ca="1"/>
        <v>0</v>
      </c>
      <c r="DL33" s="142">
        <f t="shared" ca="1" si="35"/>
        <v>0</v>
      </c>
      <c r="DM33" s="142">
        <f t="shared" ca="1" si="36"/>
        <v>0</v>
      </c>
      <c r="DN33" s="142">
        <f t="shared" ca="1" si="37"/>
        <v>0</v>
      </c>
      <c r="DO33" s="142">
        <f t="shared" ca="1" si="38"/>
        <v>0</v>
      </c>
      <c r="DP33" s="142">
        <f t="shared" ca="1" si="39"/>
        <v>0</v>
      </c>
      <c r="DQ33" s="142">
        <f t="shared" ca="1" si="40"/>
        <v>0</v>
      </c>
      <c r="DR33" s="142">
        <f ca="1"/>
        <v>0</v>
      </c>
      <c r="DS33" s="142">
        <f ca="1"/>
        <v>0</v>
      </c>
      <c r="DT33" s="142">
        <f t="shared" ca="1" si="41"/>
        <v>0</v>
      </c>
      <c r="DU33" s="142">
        <f t="shared" ca="1" si="42"/>
        <v>0</v>
      </c>
      <c r="DV33" s="457"/>
      <c r="DW33" s="457"/>
      <c r="DX33" s="142">
        <f ca="1"/>
        <v>0</v>
      </c>
      <c r="DY33" s="142">
        <f t="shared" ca="1" si="70"/>
        <v>0</v>
      </c>
      <c r="DZ33" s="142">
        <f t="shared" ca="1" si="43"/>
        <v>0</v>
      </c>
      <c r="EA33" s="142">
        <f t="shared" ca="1" si="44"/>
        <v>0</v>
      </c>
      <c r="EB33" s="142">
        <f t="shared" ca="1" si="45"/>
        <v>0</v>
      </c>
      <c r="EC33" s="142">
        <f t="shared" ca="1" si="46"/>
        <v>0</v>
      </c>
      <c r="ED33" s="142">
        <f t="shared" ca="1" si="71"/>
        <v>0</v>
      </c>
      <c r="EE33" s="457"/>
      <c r="EF33" s="457"/>
    </row>
    <row r="34" spans="1:136" ht="17.25" thickTop="1" thickBot="1">
      <c r="A34" s="227">
        <f t="shared" si="72"/>
        <v>3796300</v>
      </c>
      <c r="B34" s="227">
        <f t="shared" ca="1" si="47"/>
        <v>1873996.0345865386</v>
      </c>
      <c r="D34" s="185">
        <v>25</v>
      </c>
      <c r="E34" s="185">
        <v>9</v>
      </c>
      <c r="F34" s="185">
        <v>3</v>
      </c>
      <c r="G34" s="128">
        <v>46569</v>
      </c>
      <c r="H34" s="120" t="str">
        <v>Q3-27</v>
      </c>
      <c r="I34" s="120">
        <v>2027</v>
      </c>
      <c r="K34" s="138">
        <v>0</v>
      </c>
      <c r="L34" s="138">
        <v>0</v>
      </c>
      <c r="M34" s="138">
        <v>0</v>
      </c>
      <c r="N34" s="138">
        <v>0</v>
      </c>
      <c r="O34" s="138">
        <v>0</v>
      </c>
      <c r="P34" s="138">
        <v>0</v>
      </c>
      <c r="Q34" s="138">
        <v>0</v>
      </c>
      <c r="R34" s="138">
        <v>0</v>
      </c>
      <c r="S34" s="138">
        <v>0</v>
      </c>
      <c r="T34" s="138">
        <v>0</v>
      </c>
      <c r="U34" s="136"/>
      <c r="V34" s="138">
        <v>166.66666666666666</v>
      </c>
      <c r="W34" s="138">
        <v>500</v>
      </c>
      <c r="X34" s="138">
        <v>333.33333333333331</v>
      </c>
      <c r="Y34" s="138">
        <v>480</v>
      </c>
      <c r="Z34" s="138">
        <v>0</v>
      </c>
      <c r="AA34" s="138">
        <v>18000</v>
      </c>
      <c r="AB34" s="138">
        <v>19480</v>
      </c>
      <c r="AC34" s="137"/>
      <c r="AD34" s="138">
        <v>19480</v>
      </c>
      <c r="AF34" s="138">
        <v>0</v>
      </c>
      <c r="AG34" s="138">
        <v>0</v>
      </c>
      <c r="AH34" s="138">
        <v>0</v>
      </c>
      <c r="AI34" s="138">
        <v>0</v>
      </c>
      <c r="AJ34" s="138">
        <v>-19480</v>
      </c>
      <c r="AL34" s="138">
        <f t="shared" ca="1" si="74"/>
        <v>0</v>
      </c>
      <c r="AM34" s="138">
        <f t="shared" ca="1" si="49"/>
        <v>0</v>
      </c>
      <c r="AN34" s="138">
        <f t="shared" ca="1" si="75"/>
        <v>0</v>
      </c>
      <c r="AP34" s="138">
        <f t="shared" ca="1" si="50"/>
        <v>2145642.2293387251</v>
      </c>
      <c r="AQ34" s="138">
        <f t="shared" ca="1" si="9"/>
        <v>19480</v>
      </c>
      <c r="AR34" s="138">
        <f ca="1">AT33*(Project!$P$13/12)</f>
        <v>16092.316720040437</v>
      </c>
      <c r="AS34" s="138">
        <f t="shared" si="10"/>
        <v>0</v>
      </c>
      <c r="AT34" s="138">
        <f t="shared" ca="1" si="11"/>
        <v>2181214.5460587656</v>
      </c>
      <c r="AV34" s="138">
        <v>-19480</v>
      </c>
      <c r="AW34" s="138"/>
      <c r="AX34" s="138">
        <f ca="1"/>
        <v>19480</v>
      </c>
      <c r="AY34" s="138">
        <f ca="1"/>
        <v>0</v>
      </c>
      <c r="AZ34" s="138">
        <f t="shared" ca="1" si="12"/>
        <v>0</v>
      </c>
      <c r="BC34" s="534" t="s">
        <v>168</v>
      </c>
      <c r="BD34" s="592"/>
      <c r="BE34" s="502">
        <f ca="1">BE32+BE33</f>
        <v>2526243.4850772498</v>
      </c>
      <c r="BF34" s="502">
        <f ca="1">BF32+BF33</f>
        <v>631560.87126931245</v>
      </c>
      <c r="BG34" s="502">
        <f ca="1">BG32+BG33</f>
        <v>1894682.6138079374</v>
      </c>
      <c r="BH34" s="511"/>
      <c r="BI34" s="138">
        <f t="shared" ca="1" si="13"/>
        <v>1696581.054691196</v>
      </c>
      <c r="BJ34" s="138">
        <f t="shared" ca="1" si="14"/>
        <v>0</v>
      </c>
      <c r="BK34" s="138" cm="1">
        <f t="array" aca="1" ref="BK34" ca="1">BI34*c_rate.Pref.MO</f>
        <v>13528.775579125255</v>
      </c>
      <c r="BL34" s="138">
        <f t="shared" ca="1" si="15"/>
        <v>0</v>
      </c>
      <c r="BM34" s="138">
        <f t="shared" ca="1" si="16"/>
        <v>1710109.8302703211</v>
      </c>
      <c r="BN34" s="138">
        <f t="shared" ca="1" si="51"/>
        <v>0</v>
      </c>
      <c r="BO34" s="138">
        <f t="shared" ca="1" si="73"/>
        <v>0</v>
      </c>
      <c r="BP34" s="138">
        <f t="shared" ca="1" si="52"/>
        <v>0</v>
      </c>
      <c r="BQ34" s="138">
        <f t="shared" ca="1" si="17"/>
        <v>0</v>
      </c>
      <c r="BR34" s="516"/>
      <c r="BS34" s="138">
        <f t="shared" ca="1" si="53"/>
        <v>1852281.2694608818</v>
      </c>
      <c r="BT34" s="138">
        <f t="shared" ca="1" si="18"/>
        <v>0</v>
      </c>
      <c r="BU34" s="138" cm="1">
        <f t="array" aca="1" ref="BU34" ca="1">IF(D34=0,0,BS34*(c_rate.Hurdle1.MO))</f>
        <v>21699.321183934782</v>
      </c>
      <c r="BV34" s="138">
        <f t="shared" ca="1" si="54"/>
        <v>0</v>
      </c>
      <c r="BW34" s="138">
        <f t="shared" ca="1" si="19"/>
        <v>0</v>
      </c>
      <c r="BX34" s="138">
        <f t="shared" ca="1" si="55"/>
        <v>1873980.5906448166</v>
      </c>
      <c r="BY34" s="138">
        <f t="shared" ca="1" si="56"/>
        <v>0</v>
      </c>
      <c r="BZ34" s="138">
        <f t="shared" ca="1" si="57"/>
        <v>0</v>
      </c>
      <c r="CA34" s="138">
        <f t="shared" ca="1" si="20"/>
        <v>0</v>
      </c>
      <c r="CB34" s="138">
        <f t="shared" ca="1" si="58"/>
        <v>0</v>
      </c>
      <c r="CC34" s="516"/>
      <c r="CD34" s="138">
        <f t="shared" ca="1" si="59"/>
        <v>2014746.6513391072</v>
      </c>
      <c r="CE34" s="138">
        <f t="shared" ca="1" si="21"/>
        <v>0</v>
      </c>
      <c r="CF34" s="138" cm="1">
        <f t="array" aca="1" ref="CF34" ca="1">IF($D35=0,0,CD34*(c_rate.Hurdle2.MO))</f>
        <v>30844.704423108269</v>
      </c>
      <c r="CG34" s="138">
        <f t="shared" ca="1" si="22"/>
        <v>0</v>
      </c>
      <c r="CH34" s="138">
        <f t="shared" ca="1" si="60"/>
        <v>0</v>
      </c>
      <c r="CI34" s="138">
        <f t="shared" ca="1" si="23"/>
        <v>2045591.3557622156</v>
      </c>
      <c r="CJ34" s="138">
        <f t="shared" ca="1" si="24"/>
        <v>0</v>
      </c>
      <c r="CK34" s="138">
        <f t="shared" ca="1" si="25"/>
        <v>0</v>
      </c>
      <c r="CL34" s="138">
        <f t="shared" ca="1" si="61"/>
        <v>0</v>
      </c>
      <c r="CM34" s="138">
        <f t="shared" ca="1" si="26"/>
        <v>0</v>
      </c>
      <c r="CN34" s="138">
        <f t="shared" ca="1" si="27"/>
        <v>0</v>
      </c>
      <c r="CO34" s="516"/>
      <c r="CP34" s="138">
        <f t="shared" ca="1" si="62"/>
        <v>2183972.3182304963</v>
      </c>
      <c r="CQ34" s="138">
        <f t="shared" ca="1" si="28"/>
        <v>0</v>
      </c>
      <c r="CR34" s="138" cm="1">
        <f t="array" aca="1" ref="CR34" ca="1">IF($D35=0,0,CP34*(c_rate.Hurdle3.MO))</f>
        <v>40991.555458898511</v>
      </c>
      <c r="CS34" s="138">
        <f t="shared" ca="1" si="29"/>
        <v>0</v>
      </c>
      <c r="CT34" s="138">
        <f t="shared" ca="1" si="63"/>
        <v>0</v>
      </c>
      <c r="CU34" s="138">
        <f t="shared" ca="1" si="30"/>
        <v>2224963.8736893949</v>
      </c>
      <c r="CV34" s="138">
        <f t="shared" ca="1" si="31"/>
        <v>0</v>
      </c>
      <c r="CW34" s="138">
        <f t="shared" ca="1" si="64"/>
        <v>0</v>
      </c>
      <c r="CX34" s="138">
        <f t="shared" ca="1" si="65"/>
        <v>0</v>
      </c>
      <c r="CY34" s="138">
        <f t="shared" ca="1" si="66"/>
        <v>0</v>
      </c>
      <c r="CZ34" s="138">
        <f t="shared" ca="1" si="67"/>
        <v>0</v>
      </c>
      <c r="DA34" s="516"/>
      <c r="DB34" s="138">
        <f t="shared" ca="1" si="32"/>
        <v>0</v>
      </c>
      <c r="DC34" s="138">
        <f t="shared" ca="1" si="33"/>
        <v>0</v>
      </c>
      <c r="DD34" s="518"/>
      <c r="DE34" s="138">
        <f t="shared" ca="1" si="68"/>
        <v>0</v>
      </c>
      <c r="DF34" s="138">
        <f t="shared" ca="1" si="69"/>
        <v>0</v>
      </c>
      <c r="DG34" s="138">
        <f t="shared" ca="1" si="34"/>
        <v>0</v>
      </c>
      <c r="DH34" s="457"/>
      <c r="DI34" s="138">
        <f ca="1"/>
        <v>0</v>
      </c>
      <c r="DJ34" s="138">
        <f ca="1"/>
        <v>0</v>
      </c>
      <c r="DK34" s="138">
        <f ca="1"/>
        <v>0</v>
      </c>
      <c r="DL34" s="138">
        <f t="shared" ca="1" si="35"/>
        <v>0</v>
      </c>
      <c r="DM34" s="138">
        <f t="shared" ca="1" si="36"/>
        <v>0</v>
      </c>
      <c r="DN34" s="138">
        <f t="shared" ca="1" si="37"/>
        <v>0</v>
      </c>
      <c r="DO34" s="138">
        <f t="shared" ca="1" si="38"/>
        <v>0</v>
      </c>
      <c r="DP34" s="138">
        <f t="shared" ca="1" si="39"/>
        <v>0</v>
      </c>
      <c r="DQ34" s="138">
        <f t="shared" ca="1" si="40"/>
        <v>0</v>
      </c>
      <c r="DR34" s="138">
        <f ca="1"/>
        <v>0</v>
      </c>
      <c r="DS34" s="138">
        <f ca="1"/>
        <v>0</v>
      </c>
      <c r="DT34" s="138">
        <f t="shared" ca="1" si="41"/>
        <v>0</v>
      </c>
      <c r="DU34" s="138">
        <f t="shared" ca="1" si="42"/>
        <v>0</v>
      </c>
      <c r="DV34" s="457"/>
      <c r="DW34" s="457"/>
      <c r="DX34" s="138">
        <f ca="1"/>
        <v>0</v>
      </c>
      <c r="DY34" s="138">
        <f t="shared" ca="1" si="70"/>
        <v>0</v>
      </c>
      <c r="DZ34" s="138">
        <f t="shared" ca="1" si="43"/>
        <v>0</v>
      </c>
      <c r="EA34" s="138">
        <f t="shared" ca="1" si="44"/>
        <v>0</v>
      </c>
      <c r="EB34" s="138">
        <f t="shared" ca="1" si="45"/>
        <v>0</v>
      </c>
      <c r="EC34" s="138">
        <f t="shared" ca="1" si="46"/>
        <v>0</v>
      </c>
      <c r="ED34" s="138">
        <f t="shared" ca="1" si="71"/>
        <v>0</v>
      </c>
      <c r="EE34" s="457"/>
      <c r="EF34" s="457"/>
    </row>
    <row r="35" spans="1:136" ht="17.25" thickTop="1" thickBot="1">
      <c r="A35" s="228">
        <f t="shared" si="72"/>
        <v>3831703.076923077</v>
      </c>
      <c r="B35" s="228">
        <f t="shared" ca="1" si="47"/>
        <v>1873996.0345865386</v>
      </c>
      <c r="D35" s="184">
        <v>26</v>
      </c>
      <c r="E35" s="184">
        <v>9</v>
      </c>
      <c r="F35" s="184">
        <v>3</v>
      </c>
      <c r="G35" s="121">
        <v>46600</v>
      </c>
      <c r="H35" s="118" t="str">
        <v>Q3-27</v>
      </c>
      <c r="I35" s="118">
        <v>2027</v>
      </c>
      <c r="K35" s="139">
        <v>0</v>
      </c>
      <c r="L35" s="139">
        <v>0</v>
      </c>
      <c r="M35" s="139">
        <v>0</v>
      </c>
      <c r="N35" s="139">
        <v>0</v>
      </c>
      <c r="O35" s="139">
        <v>0</v>
      </c>
      <c r="P35" s="139">
        <v>0</v>
      </c>
      <c r="Q35" s="139">
        <v>0</v>
      </c>
      <c r="R35" s="139">
        <v>0</v>
      </c>
      <c r="S35" s="139">
        <v>15384.615384615385</v>
      </c>
      <c r="T35" s="139">
        <v>15384.615384615385</v>
      </c>
      <c r="U35" s="136"/>
      <c r="V35" s="139">
        <v>166.66666666666666</v>
      </c>
      <c r="W35" s="139">
        <v>500</v>
      </c>
      <c r="X35" s="139">
        <v>333.33333333333331</v>
      </c>
      <c r="Y35" s="139">
        <v>480</v>
      </c>
      <c r="Z35" s="139">
        <v>538.46153846153857</v>
      </c>
      <c r="AA35" s="139">
        <v>18000</v>
      </c>
      <c r="AB35" s="139">
        <v>20018.461538461539</v>
      </c>
      <c r="AC35" s="137"/>
      <c r="AD35" s="139">
        <v>35403.076923076922</v>
      </c>
      <c r="AF35" s="139">
        <v>0</v>
      </c>
      <c r="AG35" s="139">
        <v>0</v>
      </c>
      <c r="AH35" s="139">
        <v>0</v>
      </c>
      <c r="AI35" s="139">
        <v>0</v>
      </c>
      <c r="AJ35" s="139">
        <v>-35403.076923076922</v>
      </c>
      <c r="AL35" s="139">
        <f t="shared" ca="1" si="74"/>
        <v>0</v>
      </c>
      <c r="AM35" s="139">
        <f t="shared" ca="1" si="49"/>
        <v>0</v>
      </c>
      <c r="AN35" s="139">
        <f t="shared" ca="1" si="75"/>
        <v>0</v>
      </c>
      <c r="AP35" s="139">
        <f t="shared" ca="1" si="50"/>
        <v>2181214.5460587656</v>
      </c>
      <c r="AQ35" s="139">
        <f t="shared" ca="1" si="9"/>
        <v>35403.076923076922</v>
      </c>
      <c r="AR35" s="139">
        <f ca="1">AT34*(Project!$P$13/12)</f>
        <v>16359.109095440741</v>
      </c>
      <c r="AS35" s="139">
        <f t="shared" si="10"/>
        <v>0</v>
      </c>
      <c r="AT35" s="139">
        <f t="shared" ca="1" si="11"/>
        <v>2232976.7320772833</v>
      </c>
      <c r="AV35" s="139">
        <v>-35403.076923076922</v>
      </c>
      <c r="AW35" s="139"/>
      <c r="AX35" s="139">
        <f ca="1"/>
        <v>35403.076923076922</v>
      </c>
      <c r="AY35" s="139">
        <f ca="1"/>
        <v>0</v>
      </c>
      <c r="AZ35" s="139">
        <f t="shared" ca="1" si="12"/>
        <v>0</v>
      </c>
      <c r="BC35" s="534" t="s">
        <v>212</v>
      </c>
      <c r="BD35" s="592"/>
      <c r="BE35" s="550">
        <f ca="1">Project!AN33</f>
        <v>8.346901237964631E-2</v>
      </c>
      <c r="BF35" s="548">
        <f ca="1">XIRR(DF$9:DF$81,$G$9:$G$81)</f>
        <v>8.346901237964631E-2</v>
      </c>
      <c r="BG35" s="548">
        <f ca="1">XIRR(DE$9:DE$81,$G$9:$G$81)</f>
        <v>8.346901237964631E-2</v>
      </c>
      <c r="BH35" s="511"/>
      <c r="BI35" s="139">
        <f t="shared" ca="1" si="13"/>
        <v>1710109.8302703211</v>
      </c>
      <c r="BJ35" s="139">
        <f t="shared" ca="1" si="14"/>
        <v>0</v>
      </c>
      <c r="BK35" s="139" cm="1">
        <f t="array" aca="1" ref="BK35" ca="1">BI35*c_rate.Pref.MO</f>
        <v>13636.655935424322</v>
      </c>
      <c r="BL35" s="139">
        <f t="shared" ca="1" si="15"/>
        <v>0</v>
      </c>
      <c r="BM35" s="139">
        <f t="shared" ca="1" si="16"/>
        <v>1723746.4862057455</v>
      </c>
      <c r="BN35" s="139">
        <f t="shared" ca="1" si="51"/>
        <v>0</v>
      </c>
      <c r="BO35" s="139">
        <f t="shared" ca="1" si="73"/>
        <v>0</v>
      </c>
      <c r="BP35" s="139">
        <f t="shared" ca="1" si="52"/>
        <v>0</v>
      </c>
      <c r="BQ35" s="139">
        <f t="shared" ca="1" si="17"/>
        <v>0</v>
      </c>
      <c r="BR35" s="516"/>
      <c r="BS35" s="139">
        <f t="shared" ca="1" si="53"/>
        <v>1873980.5906448166</v>
      </c>
      <c r="BT35" s="139">
        <f t="shared" ca="1" si="18"/>
        <v>0</v>
      </c>
      <c r="BU35" s="139" cm="1">
        <f t="array" aca="1" ref="BU35" ca="1">IF(D35=0,0,BS35*(c_rate.Hurdle1.MO))</f>
        <v>21953.526928821793</v>
      </c>
      <c r="BV35" s="139">
        <f t="shared" ca="1" si="54"/>
        <v>0</v>
      </c>
      <c r="BW35" s="139">
        <f t="shared" ca="1" si="19"/>
        <v>0</v>
      </c>
      <c r="BX35" s="139">
        <f t="shared" ca="1" si="55"/>
        <v>1895934.1175736384</v>
      </c>
      <c r="BY35" s="139">
        <f t="shared" ca="1" si="56"/>
        <v>0</v>
      </c>
      <c r="BZ35" s="139">
        <f t="shared" ca="1" si="57"/>
        <v>0</v>
      </c>
      <c r="CA35" s="139">
        <f t="shared" ca="1" si="20"/>
        <v>0</v>
      </c>
      <c r="CB35" s="139">
        <f t="shared" ca="1" si="58"/>
        <v>0</v>
      </c>
      <c r="CC35" s="516"/>
      <c r="CD35" s="139">
        <f t="shared" ca="1" si="59"/>
        <v>2045591.3557622156</v>
      </c>
      <c r="CE35" s="139">
        <f t="shared" ca="1" si="21"/>
        <v>0</v>
      </c>
      <c r="CF35" s="139" cm="1">
        <f t="array" aca="1" ref="CF35" ca="1">IF($D36=0,0,CD35*(c_rate.Hurdle2.MO))</f>
        <v>31316.920515546775</v>
      </c>
      <c r="CG35" s="139">
        <f t="shared" ca="1" si="22"/>
        <v>0</v>
      </c>
      <c r="CH35" s="139">
        <f t="shared" ca="1" si="60"/>
        <v>0</v>
      </c>
      <c r="CI35" s="139">
        <f t="shared" ca="1" si="23"/>
        <v>2076908.2762777624</v>
      </c>
      <c r="CJ35" s="139">
        <f t="shared" ca="1" si="24"/>
        <v>0</v>
      </c>
      <c r="CK35" s="139">
        <f t="shared" ca="1" si="25"/>
        <v>0</v>
      </c>
      <c r="CL35" s="139">
        <f t="shared" ca="1" si="61"/>
        <v>0</v>
      </c>
      <c r="CM35" s="139">
        <f t="shared" ca="1" si="26"/>
        <v>0</v>
      </c>
      <c r="CN35" s="139">
        <f t="shared" ca="1" si="27"/>
        <v>0</v>
      </c>
      <c r="CO35" s="516"/>
      <c r="CP35" s="139">
        <f t="shared" ca="1" si="62"/>
        <v>2224963.8736893949</v>
      </c>
      <c r="CQ35" s="139">
        <f t="shared" ca="1" si="28"/>
        <v>0</v>
      </c>
      <c r="CR35" s="139" cm="1">
        <f t="array" aca="1" ref="CR35" ca="1">IF($D36=0,0,CP35*(c_rate.Hurdle3.MO))</f>
        <v>41760.936831049505</v>
      </c>
      <c r="CS35" s="139">
        <f t="shared" ca="1" si="29"/>
        <v>0</v>
      </c>
      <c r="CT35" s="139">
        <f t="shared" ca="1" si="63"/>
        <v>0</v>
      </c>
      <c r="CU35" s="139">
        <f t="shared" ca="1" si="30"/>
        <v>2266724.8105204445</v>
      </c>
      <c r="CV35" s="139">
        <f t="shared" ca="1" si="31"/>
        <v>0</v>
      </c>
      <c r="CW35" s="139">
        <f t="shared" ca="1" si="64"/>
        <v>0</v>
      </c>
      <c r="CX35" s="139">
        <f t="shared" ca="1" si="65"/>
        <v>0</v>
      </c>
      <c r="CY35" s="139">
        <f t="shared" ca="1" si="66"/>
        <v>0</v>
      </c>
      <c r="CZ35" s="139">
        <f t="shared" ca="1" si="67"/>
        <v>0</v>
      </c>
      <c r="DA35" s="516"/>
      <c r="DB35" s="139">
        <f t="shared" ca="1" si="32"/>
        <v>0</v>
      </c>
      <c r="DC35" s="139">
        <f t="shared" ca="1" si="33"/>
        <v>0</v>
      </c>
      <c r="DD35" s="518"/>
      <c r="DE35" s="139">
        <f t="shared" ca="1" si="68"/>
        <v>0</v>
      </c>
      <c r="DF35" s="139">
        <f t="shared" ca="1" si="69"/>
        <v>0</v>
      </c>
      <c r="DG35" s="139">
        <f t="shared" ca="1" si="34"/>
        <v>0</v>
      </c>
      <c r="DH35" s="457"/>
      <c r="DI35" s="139">
        <f ca="1"/>
        <v>0</v>
      </c>
      <c r="DJ35" s="139">
        <f ca="1"/>
        <v>0</v>
      </c>
      <c r="DK35" s="139">
        <f ca="1"/>
        <v>0</v>
      </c>
      <c r="DL35" s="139">
        <f t="shared" ca="1" si="35"/>
        <v>0</v>
      </c>
      <c r="DM35" s="139">
        <f t="shared" ca="1" si="36"/>
        <v>0</v>
      </c>
      <c r="DN35" s="139">
        <f t="shared" ca="1" si="37"/>
        <v>0</v>
      </c>
      <c r="DO35" s="139">
        <f t="shared" ca="1" si="38"/>
        <v>0</v>
      </c>
      <c r="DP35" s="139">
        <f t="shared" ca="1" si="39"/>
        <v>0</v>
      </c>
      <c r="DQ35" s="139">
        <f t="shared" ca="1" si="40"/>
        <v>0</v>
      </c>
      <c r="DR35" s="139">
        <f ca="1"/>
        <v>0</v>
      </c>
      <c r="DS35" s="139">
        <f ca="1"/>
        <v>0</v>
      </c>
      <c r="DT35" s="139">
        <f t="shared" ca="1" si="41"/>
        <v>0</v>
      </c>
      <c r="DU35" s="139">
        <f t="shared" ca="1" si="42"/>
        <v>0</v>
      </c>
      <c r="DV35" s="457"/>
      <c r="DW35" s="457"/>
      <c r="DX35" s="139">
        <f ca="1"/>
        <v>0</v>
      </c>
      <c r="DY35" s="139">
        <f t="shared" ca="1" si="70"/>
        <v>0</v>
      </c>
      <c r="DZ35" s="139">
        <f t="shared" ca="1" si="43"/>
        <v>0</v>
      </c>
      <c r="EA35" s="139">
        <f t="shared" ca="1" si="44"/>
        <v>0</v>
      </c>
      <c r="EB35" s="139">
        <f t="shared" ca="1" si="45"/>
        <v>0</v>
      </c>
      <c r="EC35" s="139">
        <f t="shared" ca="1" si="46"/>
        <v>0</v>
      </c>
      <c r="ED35" s="139">
        <f t="shared" ca="1" si="71"/>
        <v>0</v>
      </c>
      <c r="EE35" s="457"/>
      <c r="EF35" s="457"/>
    </row>
    <row r="36" spans="1:136" ht="17.25" thickTop="1" thickBot="1">
      <c r="A36" s="229">
        <f t="shared" si="72"/>
        <v>3867106.153846154</v>
      </c>
      <c r="B36" s="229">
        <f t="shared" ca="1" si="47"/>
        <v>1873996.0345865386</v>
      </c>
      <c r="D36" s="186">
        <v>27</v>
      </c>
      <c r="E36" s="186">
        <v>9</v>
      </c>
      <c r="F36" s="186">
        <v>3</v>
      </c>
      <c r="G36" s="123">
        <v>46631</v>
      </c>
      <c r="H36" s="122" t="str">
        <v>Q3-27</v>
      </c>
      <c r="I36" s="122">
        <v>2027</v>
      </c>
      <c r="K36" s="140">
        <v>0</v>
      </c>
      <c r="L36" s="140">
        <v>0</v>
      </c>
      <c r="M36" s="140">
        <v>0</v>
      </c>
      <c r="N36" s="140">
        <v>0</v>
      </c>
      <c r="O36" s="140">
        <v>0</v>
      </c>
      <c r="P36" s="140">
        <v>0</v>
      </c>
      <c r="Q36" s="140">
        <v>0</v>
      </c>
      <c r="R36" s="140">
        <v>0</v>
      </c>
      <c r="S36" s="140">
        <v>15384.615384615385</v>
      </c>
      <c r="T36" s="140">
        <v>15384.615384615385</v>
      </c>
      <c r="U36" s="136"/>
      <c r="V36" s="140">
        <v>166.66666666666666</v>
      </c>
      <c r="W36" s="140">
        <v>500</v>
      </c>
      <c r="X36" s="140">
        <v>333.33333333333331</v>
      </c>
      <c r="Y36" s="140">
        <v>480</v>
      </c>
      <c r="Z36" s="140">
        <v>538.46153846153857</v>
      </c>
      <c r="AA36" s="140">
        <v>18000</v>
      </c>
      <c r="AB36" s="140">
        <v>20018.461538461539</v>
      </c>
      <c r="AC36" s="137"/>
      <c r="AD36" s="140">
        <v>35403.076923076922</v>
      </c>
      <c r="AF36" s="140">
        <v>0</v>
      </c>
      <c r="AG36" s="140">
        <v>0</v>
      </c>
      <c r="AH36" s="140">
        <v>0</v>
      </c>
      <c r="AI36" s="140">
        <v>0</v>
      </c>
      <c r="AJ36" s="140">
        <v>-35403.076923076922</v>
      </c>
      <c r="AL36" s="140">
        <f t="shared" ca="1" si="74"/>
        <v>0</v>
      </c>
      <c r="AM36" s="140">
        <f t="shared" ca="1" si="49"/>
        <v>0</v>
      </c>
      <c r="AN36" s="140">
        <f t="shared" ca="1" si="75"/>
        <v>0</v>
      </c>
      <c r="AP36" s="140">
        <f t="shared" ca="1" si="50"/>
        <v>2232976.7320772833</v>
      </c>
      <c r="AQ36" s="140">
        <f t="shared" ca="1" si="9"/>
        <v>35403.076923076922</v>
      </c>
      <c r="AR36" s="140">
        <f ca="1">AT35*(Project!$P$13/12)</f>
        <v>16747.325490579624</v>
      </c>
      <c r="AS36" s="140">
        <f t="shared" si="10"/>
        <v>0</v>
      </c>
      <c r="AT36" s="140">
        <f t="shared" ca="1" si="11"/>
        <v>2285127.1344909398</v>
      </c>
      <c r="AV36" s="140">
        <v>-35403.076923076922</v>
      </c>
      <c r="AW36" s="140"/>
      <c r="AX36" s="140">
        <f ca="1"/>
        <v>35403.076923076922</v>
      </c>
      <c r="AY36" s="140">
        <f ca="1"/>
        <v>0</v>
      </c>
      <c r="AZ36" s="140">
        <f t="shared" ca="1" si="12"/>
        <v>0</v>
      </c>
      <c r="BC36" s="534" t="s">
        <v>213</v>
      </c>
      <c r="BD36" s="592"/>
      <c r="BE36" s="551">
        <f ca="1">BE34/BE32</f>
        <v>1.3480516705760357</v>
      </c>
      <c r="BF36" s="552">
        <f ca="1">BF34/BF22</f>
        <v>1.3480516705760357</v>
      </c>
      <c r="BG36" s="552">
        <f ca="1">BG34/BG32</f>
        <v>1.3480516705760357</v>
      </c>
      <c r="BH36" s="511"/>
      <c r="BI36" s="140">
        <f t="shared" ca="1" si="13"/>
        <v>1723746.4862057455</v>
      </c>
      <c r="BJ36" s="140">
        <f t="shared" ca="1" si="14"/>
        <v>0</v>
      </c>
      <c r="BK36" s="140" cm="1">
        <f t="array" aca="1" ref="BK36" ca="1">BI36*c_rate.Pref.MO</f>
        <v>13745.39654483404</v>
      </c>
      <c r="BL36" s="140">
        <f t="shared" ca="1" si="15"/>
        <v>0</v>
      </c>
      <c r="BM36" s="140">
        <f t="shared" ca="1" si="16"/>
        <v>1737491.8827505796</v>
      </c>
      <c r="BN36" s="140">
        <f t="shared" ca="1" si="51"/>
        <v>0</v>
      </c>
      <c r="BO36" s="140">
        <f t="shared" ca="1" si="73"/>
        <v>0</v>
      </c>
      <c r="BP36" s="140">
        <f t="shared" ca="1" si="52"/>
        <v>0</v>
      </c>
      <c r="BQ36" s="140">
        <f t="shared" ca="1" si="17"/>
        <v>0</v>
      </c>
      <c r="BR36" s="516"/>
      <c r="BS36" s="140">
        <f t="shared" ca="1" si="53"/>
        <v>1895934.1175736384</v>
      </c>
      <c r="BT36" s="140">
        <f t="shared" ca="1" si="18"/>
        <v>0</v>
      </c>
      <c r="BU36" s="140" cm="1">
        <f t="array" aca="1" ref="BU36" ca="1">IF(D36=0,0,BS36*(c_rate.Hurdle1.MO))</f>
        <v>22210.710672890706</v>
      </c>
      <c r="BV36" s="140">
        <f t="shared" ca="1" si="54"/>
        <v>0</v>
      </c>
      <c r="BW36" s="140">
        <f t="shared" ca="1" si="19"/>
        <v>0</v>
      </c>
      <c r="BX36" s="140">
        <f t="shared" ca="1" si="55"/>
        <v>1918144.8282465292</v>
      </c>
      <c r="BY36" s="140">
        <f t="shared" ca="1" si="56"/>
        <v>0</v>
      </c>
      <c r="BZ36" s="140">
        <f t="shared" ca="1" si="57"/>
        <v>0</v>
      </c>
      <c r="CA36" s="140">
        <f t="shared" ca="1" si="20"/>
        <v>0</v>
      </c>
      <c r="CB36" s="140">
        <f t="shared" ca="1" si="58"/>
        <v>0</v>
      </c>
      <c r="CC36" s="516"/>
      <c r="CD36" s="140">
        <f t="shared" ca="1" si="59"/>
        <v>2076908.2762777624</v>
      </c>
      <c r="CE36" s="140">
        <f t="shared" ca="1" si="21"/>
        <v>0</v>
      </c>
      <c r="CF36" s="140" cm="1">
        <f t="array" aca="1" ref="CF36" ca="1">IF($D37=0,0,CD36*(c_rate.Hurdle2.MO))</f>
        <v>31796.365986321965</v>
      </c>
      <c r="CG36" s="140">
        <f t="shared" ca="1" si="22"/>
        <v>0</v>
      </c>
      <c r="CH36" s="140">
        <f t="shared" ca="1" si="60"/>
        <v>0</v>
      </c>
      <c r="CI36" s="140">
        <f t="shared" ca="1" si="23"/>
        <v>2108704.6422640844</v>
      </c>
      <c r="CJ36" s="140">
        <f t="shared" ca="1" si="24"/>
        <v>0</v>
      </c>
      <c r="CK36" s="140">
        <f t="shared" ca="1" si="25"/>
        <v>0</v>
      </c>
      <c r="CL36" s="140">
        <f t="shared" ca="1" si="61"/>
        <v>0</v>
      </c>
      <c r="CM36" s="140">
        <f t="shared" ca="1" si="26"/>
        <v>0</v>
      </c>
      <c r="CN36" s="140">
        <f t="shared" ca="1" si="27"/>
        <v>0</v>
      </c>
      <c r="CO36" s="516"/>
      <c r="CP36" s="140">
        <f t="shared" ca="1" si="62"/>
        <v>2266724.8105204445</v>
      </c>
      <c r="CQ36" s="140">
        <f t="shared" ca="1" si="28"/>
        <v>0</v>
      </c>
      <c r="CR36" s="140" cm="1">
        <f t="array" aca="1" ref="CR36" ca="1">IF($D37=0,0,CP36*(c_rate.Hurdle3.MO))</f>
        <v>42544.758926153947</v>
      </c>
      <c r="CS36" s="140">
        <f t="shared" ca="1" si="29"/>
        <v>0</v>
      </c>
      <c r="CT36" s="140">
        <f t="shared" ca="1" si="63"/>
        <v>0</v>
      </c>
      <c r="CU36" s="140">
        <f t="shared" ca="1" si="30"/>
        <v>2309269.5694465986</v>
      </c>
      <c r="CV36" s="140">
        <f t="shared" ca="1" si="31"/>
        <v>0</v>
      </c>
      <c r="CW36" s="140">
        <f t="shared" ca="1" si="64"/>
        <v>0</v>
      </c>
      <c r="CX36" s="140">
        <f t="shared" ca="1" si="65"/>
        <v>0</v>
      </c>
      <c r="CY36" s="140">
        <f t="shared" ca="1" si="66"/>
        <v>0</v>
      </c>
      <c r="CZ36" s="140">
        <f t="shared" ca="1" si="67"/>
        <v>0</v>
      </c>
      <c r="DA36" s="516"/>
      <c r="DB36" s="140">
        <f t="shared" ca="1" si="32"/>
        <v>0</v>
      </c>
      <c r="DC36" s="140">
        <f t="shared" ca="1" si="33"/>
        <v>0</v>
      </c>
      <c r="DD36" s="518"/>
      <c r="DE36" s="140">
        <f t="shared" ca="1" si="68"/>
        <v>0</v>
      </c>
      <c r="DF36" s="140">
        <f t="shared" ca="1" si="69"/>
        <v>0</v>
      </c>
      <c r="DG36" s="140">
        <f t="shared" ca="1" si="34"/>
        <v>0</v>
      </c>
      <c r="DH36" s="457"/>
      <c r="DI36" s="140">
        <f ca="1"/>
        <v>0</v>
      </c>
      <c r="DJ36" s="140">
        <f ca="1"/>
        <v>0</v>
      </c>
      <c r="DK36" s="140">
        <f ca="1"/>
        <v>0</v>
      </c>
      <c r="DL36" s="140">
        <f t="shared" ca="1" si="35"/>
        <v>0</v>
      </c>
      <c r="DM36" s="140">
        <f t="shared" ca="1" si="36"/>
        <v>0</v>
      </c>
      <c r="DN36" s="140">
        <f t="shared" ca="1" si="37"/>
        <v>0</v>
      </c>
      <c r="DO36" s="140">
        <f t="shared" ca="1" si="38"/>
        <v>0</v>
      </c>
      <c r="DP36" s="140">
        <f t="shared" ca="1" si="39"/>
        <v>0</v>
      </c>
      <c r="DQ36" s="140">
        <f t="shared" ca="1" si="40"/>
        <v>0</v>
      </c>
      <c r="DR36" s="140">
        <f ca="1"/>
        <v>0</v>
      </c>
      <c r="DS36" s="140">
        <f ca="1"/>
        <v>0</v>
      </c>
      <c r="DT36" s="140">
        <f t="shared" ca="1" si="41"/>
        <v>0</v>
      </c>
      <c r="DU36" s="140">
        <f t="shared" ca="1" si="42"/>
        <v>0</v>
      </c>
      <c r="DV36" s="457"/>
      <c r="DW36" s="457"/>
      <c r="DX36" s="140">
        <f ca="1"/>
        <v>0</v>
      </c>
      <c r="DY36" s="140">
        <f t="shared" ca="1" si="70"/>
        <v>0</v>
      </c>
      <c r="DZ36" s="140">
        <f t="shared" ca="1" si="43"/>
        <v>0</v>
      </c>
      <c r="EA36" s="140">
        <f t="shared" ca="1" si="44"/>
        <v>0</v>
      </c>
      <c r="EB36" s="140">
        <f t="shared" ca="1" si="45"/>
        <v>0</v>
      </c>
      <c r="EC36" s="140">
        <f t="shared" ca="1" si="46"/>
        <v>0</v>
      </c>
      <c r="ED36" s="140">
        <f t="shared" ca="1" si="71"/>
        <v>0</v>
      </c>
      <c r="EE36" s="457"/>
      <c r="EF36" s="457"/>
    </row>
    <row r="37" spans="1:136" ht="17.25" thickTop="1" thickBot="1">
      <c r="A37" s="230">
        <f t="shared" si="72"/>
        <v>3902509.230769231</v>
      </c>
      <c r="B37" s="230">
        <f t="shared" ca="1" si="47"/>
        <v>1873996.0345865386</v>
      </c>
      <c r="D37" s="187">
        <v>28</v>
      </c>
      <c r="E37" s="187">
        <v>10</v>
      </c>
      <c r="F37" s="187">
        <v>3</v>
      </c>
      <c r="G37" s="125">
        <v>46661</v>
      </c>
      <c r="H37" s="124" t="str">
        <v>Q4-27</v>
      </c>
      <c r="I37" s="124">
        <v>2027</v>
      </c>
      <c r="K37" s="141">
        <v>0</v>
      </c>
      <c r="L37" s="141">
        <v>0</v>
      </c>
      <c r="M37" s="141">
        <v>0</v>
      </c>
      <c r="N37" s="141">
        <v>0</v>
      </c>
      <c r="O37" s="141">
        <v>0</v>
      </c>
      <c r="P37" s="141">
        <v>0</v>
      </c>
      <c r="Q37" s="141">
        <v>0</v>
      </c>
      <c r="R37" s="141">
        <v>0</v>
      </c>
      <c r="S37" s="141">
        <v>15384.615384615385</v>
      </c>
      <c r="T37" s="141">
        <v>15384.615384615385</v>
      </c>
      <c r="U37" s="136"/>
      <c r="V37" s="141">
        <v>166.66666666666666</v>
      </c>
      <c r="W37" s="141">
        <v>500</v>
      </c>
      <c r="X37" s="141">
        <v>333.33333333333331</v>
      </c>
      <c r="Y37" s="141">
        <v>480</v>
      </c>
      <c r="Z37" s="141">
        <v>538.46153846153857</v>
      </c>
      <c r="AA37" s="141">
        <v>18000</v>
      </c>
      <c r="AB37" s="141">
        <v>20018.461538461539</v>
      </c>
      <c r="AC37" s="137"/>
      <c r="AD37" s="141">
        <v>35403.076923076922</v>
      </c>
      <c r="AF37" s="141">
        <v>0</v>
      </c>
      <c r="AG37" s="141">
        <v>0</v>
      </c>
      <c r="AH37" s="141">
        <v>0</v>
      </c>
      <c r="AI37" s="141">
        <v>0</v>
      </c>
      <c r="AJ37" s="141">
        <v>-35403.076923076922</v>
      </c>
      <c r="AL37" s="141">
        <f t="shared" ca="1" si="74"/>
        <v>0</v>
      </c>
      <c r="AM37" s="141">
        <f t="shared" ca="1" si="49"/>
        <v>0</v>
      </c>
      <c r="AN37" s="141">
        <f t="shared" ca="1" si="75"/>
        <v>0</v>
      </c>
      <c r="AP37" s="141">
        <f t="shared" ca="1" si="50"/>
        <v>2285127.1344909398</v>
      </c>
      <c r="AQ37" s="141">
        <f t="shared" ca="1" si="9"/>
        <v>35403.076923076922</v>
      </c>
      <c r="AR37" s="141">
        <f ca="1">AT36*(Project!$P$13/12)</f>
        <v>17138.453508682047</v>
      </c>
      <c r="AS37" s="141">
        <f t="shared" si="10"/>
        <v>0</v>
      </c>
      <c r="AT37" s="141">
        <f t="shared" ca="1" si="11"/>
        <v>2337668.6649226989</v>
      </c>
      <c r="AV37" s="141">
        <v>-35403.076923076922</v>
      </c>
      <c r="AW37" s="141"/>
      <c r="AX37" s="141">
        <f ca="1"/>
        <v>35403.076923076922</v>
      </c>
      <c r="AY37" s="141">
        <f ca="1"/>
        <v>0</v>
      </c>
      <c r="AZ37" s="141">
        <f t="shared" ca="1" si="12"/>
        <v>0</v>
      </c>
      <c r="BH37" s="511"/>
      <c r="BI37" s="141">
        <f t="shared" ca="1" si="13"/>
        <v>1737491.8827505796</v>
      </c>
      <c r="BJ37" s="141">
        <f t="shared" ca="1" si="14"/>
        <v>0</v>
      </c>
      <c r="BK37" s="141" cm="1">
        <f t="array" aca="1" ref="BK37" ca="1">BI37*c_rate.Pref.MO</f>
        <v>13855.004267133516</v>
      </c>
      <c r="BL37" s="141">
        <f t="shared" ca="1" si="15"/>
        <v>0</v>
      </c>
      <c r="BM37" s="141">
        <f t="shared" ca="1" si="16"/>
        <v>1751346.8870177132</v>
      </c>
      <c r="BN37" s="141">
        <f t="shared" ca="1" si="51"/>
        <v>0</v>
      </c>
      <c r="BO37" s="141">
        <f t="shared" ca="1" si="73"/>
        <v>0</v>
      </c>
      <c r="BP37" s="141">
        <f t="shared" ca="1" si="52"/>
        <v>0</v>
      </c>
      <c r="BQ37" s="141">
        <f t="shared" ca="1" si="17"/>
        <v>0</v>
      </c>
      <c r="BR37" s="516"/>
      <c r="BS37" s="141">
        <f t="shared" ca="1" si="53"/>
        <v>1918144.8282465292</v>
      </c>
      <c r="BT37" s="141">
        <f t="shared" ca="1" si="18"/>
        <v>0</v>
      </c>
      <c r="BU37" s="141" cm="1">
        <f t="array" aca="1" ref="BU37" ca="1">IF(D37=0,0,BS37*(c_rate.Hurdle1.MO))</f>
        <v>22470.907303154519</v>
      </c>
      <c r="BV37" s="141">
        <f t="shared" ca="1" si="54"/>
        <v>0</v>
      </c>
      <c r="BW37" s="141">
        <f t="shared" ca="1" si="19"/>
        <v>0</v>
      </c>
      <c r="BX37" s="141">
        <f t="shared" ca="1" si="55"/>
        <v>1940615.7355496837</v>
      </c>
      <c r="BY37" s="141">
        <f t="shared" ca="1" si="56"/>
        <v>0</v>
      </c>
      <c r="BZ37" s="141">
        <f t="shared" ca="1" si="57"/>
        <v>0</v>
      </c>
      <c r="CA37" s="141">
        <f t="shared" ca="1" si="20"/>
        <v>0</v>
      </c>
      <c r="CB37" s="141">
        <f t="shared" ca="1" si="58"/>
        <v>0</v>
      </c>
      <c r="CC37" s="516"/>
      <c r="CD37" s="141">
        <f t="shared" ca="1" si="59"/>
        <v>2108704.6422640844</v>
      </c>
      <c r="CE37" s="141">
        <f t="shared" ca="1" si="21"/>
        <v>0</v>
      </c>
      <c r="CF37" s="141" cm="1">
        <f t="array" aca="1" ref="CF37" ca="1">IF($D38=0,0,CD37*(c_rate.Hurdle2.MO))</f>
        <v>32283.151513388217</v>
      </c>
      <c r="CG37" s="141">
        <f t="shared" ca="1" si="22"/>
        <v>0</v>
      </c>
      <c r="CH37" s="141">
        <f t="shared" ca="1" si="60"/>
        <v>0</v>
      </c>
      <c r="CI37" s="141">
        <f t="shared" ca="1" si="23"/>
        <v>2140987.7937774728</v>
      </c>
      <c r="CJ37" s="141">
        <f t="shared" ca="1" si="24"/>
        <v>0</v>
      </c>
      <c r="CK37" s="141">
        <f t="shared" ca="1" si="25"/>
        <v>0</v>
      </c>
      <c r="CL37" s="141">
        <f t="shared" ca="1" si="61"/>
        <v>0</v>
      </c>
      <c r="CM37" s="141">
        <f t="shared" ca="1" si="26"/>
        <v>0</v>
      </c>
      <c r="CN37" s="141">
        <f t="shared" ca="1" si="27"/>
        <v>0</v>
      </c>
      <c r="CO37" s="516"/>
      <c r="CP37" s="141">
        <f t="shared" ca="1" si="62"/>
        <v>2309269.5694465986</v>
      </c>
      <c r="CQ37" s="141">
        <f t="shared" ca="1" si="28"/>
        <v>0</v>
      </c>
      <c r="CR37" s="141" cm="1">
        <f t="array" aca="1" ref="CR37" ca="1">IF($D38=0,0,CP37*(c_rate.Hurdle3.MO))</f>
        <v>43343.292785969497</v>
      </c>
      <c r="CS37" s="141">
        <f t="shared" ca="1" si="29"/>
        <v>0</v>
      </c>
      <c r="CT37" s="141">
        <f t="shared" ca="1" si="63"/>
        <v>0</v>
      </c>
      <c r="CU37" s="141">
        <f t="shared" ca="1" si="30"/>
        <v>2352612.8622325682</v>
      </c>
      <c r="CV37" s="141">
        <f t="shared" ca="1" si="31"/>
        <v>0</v>
      </c>
      <c r="CW37" s="141">
        <f t="shared" ca="1" si="64"/>
        <v>0</v>
      </c>
      <c r="CX37" s="141">
        <f t="shared" ca="1" si="65"/>
        <v>0</v>
      </c>
      <c r="CY37" s="141">
        <f t="shared" ca="1" si="66"/>
        <v>0</v>
      </c>
      <c r="CZ37" s="141">
        <f t="shared" ca="1" si="67"/>
        <v>0</v>
      </c>
      <c r="DA37" s="516"/>
      <c r="DB37" s="141">
        <f t="shared" ca="1" si="32"/>
        <v>0</v>
      </c>
      <c r="DC37" s="141">
        <f t="shared" ca="1" si="33"/>
        <v>0</v>
      </c>
      <c r="DD37" s="518"/>
      <c r="DE37" s="141">
        <f t="shared" ca="1" si="68"/>
        <v>0</v>
      </c>
      <c r="DF37" s="141">
        <f t="shared" ca="1" si="69"/>
        <v>0</v>
      </c>
      <c r="DG37" s="141">
        <f t="shared" ca="1" si="34"/>
        <v>0</v>
      </c>
      <c r="DH37" s="457"/>
      <c r="DI37" s="141">
        <f ca="1"/>
        <v>0</v>
      </c>
      <c r="DJ37" s="141">
        <f ca="1"/>
        <v>0</v>
      </c>
      <c r="DK37" s="141">
        <f ca="1"/>
        <v>0</v>
      </c>
      <c r="DL37" s="141">
        <f t="shared" ca="1" si="35"/>
        <v>0</v>
      </c>
      <c r="DM37" s="141">
        <f t="shared" ca="1" si="36"/>
        <v>0</v>
      </c>
      <c r="DN37" s="141">
        <f t="shared" ca="1" si="37"/>
        <v>0</v>
      </c>
      <c r="DO37" s="141">
        <f t="shared" ca="1" si="38"/>
        <v>0</v>
      </c>
      <c r="DP37" s="141">
        <f t="shared" ca="1" si="39"/>
        <v>0</v>
      </c>
      <c r="DQ37" s="141">
        <f t="shared" ca="1" si="40"/>
        <v>0</v>
      </c>
      <c r="DR37" s="141">
        <f ca="1"/>
        <v>0</v>
      </c>
      <c r="DS37" s="141">
        <f ca="1"/>
        <v>0</v>
      </c>
      <c r="DT37" s="141">
        <f t="shared" ca="1" si="41"/>
        <v>0</v>
      </c>
      <c r="DU37" s="141">
        <f t="shared" ca="1" si="42"/>
        <v>0</v>
      </c>
      <c r="DV37" s="457"/>
      <c r="DW37" s="457"/>
      <c r="DX37" s="141">
        <f ca="1"/>
        <v>0</v>
      </c>
      <c r="DY37" s="141">
        <f t="shared" ca="1" si="70"/>
        <v>0</v>
      </c>
      <c r="DZ37" s="141">
        <f t="shared" ca="1" si="43"/>
        <v>0</v>
      </c>
      <c r="EA37" s="141">
        <f t="shared" ca="1" si="44"/>
        <v>0</v>
      </c>
      <c r="EB37" s="141">
        <f t="shared" ca="1" si="45"/>
        <v>0</v>
      </c>
      <c r="EC37" s="141">
        <f t="shared" ca="1" si="46"/>
        <v>0</v>
      </c>
      <c r="ED37" s="141">
        <f t="shared" ca="1" si="71"/>
        <v>0</v>
      </c>
      <c r="EE37" s="457"/>
      <c r="EF37" s="457"/>
    </row>
    <row r="38" spans="1:136" ht="17.25" thickTop="1" thickBot="1">
      <c r="A38" s="228">
        <f t="shared" si="72"/>
        <v>3937912.307692308</v>
      </c>
      <c r="B38" s="228">
        <f t="shared" ca="1" si="47"/>
        <v>1873996.0345865386</v>
      </c>
      <c r="D38" s="184">
        <v>29</v>
      </c>
      <c r="E38" s="184">
        <v>10</v>
      </c>
      <c r="F38" s="184">
        <v>3</v>
      </c>
      <c r="G38" s="121">
        <v>46692</v>
      </c>
      <c r="H38" s="118" t="str">
        <v>Q4-27</v>
      </c>
      <c r="I38" s="118">
        <v>2027</v>
      </c>
      <c r="K38" s="139">
        <v>0</v>
      </c>
      <c r="L38" s="139">
        <v>0</v>
      </c>
      <c r="M38" s="139">
        <v>0</v>
      </c>
      <c r="N38" s="139">
        <v>0</v>
      </c>
      <c r="O38" s="139">
        <v>0</v>
      </c>
      <c r="P38" s="139">
        <v>0</v>
      </c>
      <c r="Q38" s="139">
        <v>0</v>
      </c>
      <c r="R38" s="139">
        <v>0</v>
      </c>
      <c r="S38" s="139">
        <v>15384.615384615385</v>
      </c>
      <c r="T38" s="139">
        <v>15384.615384615385</v>
      </c>
      <c r="U38" s="136"/>
      <c r="V38" s="139">
        <v>166.66666666666666</v>
      </c>
      <c r="W38" s="139">
        <v>500</v>
      </c>
      <c r="X38" s="139">
        <v>333.33333333333331</v>
      </c>
      <c r="Y38" s="139">
        <v>480</v>
      </c>
      <c r="Z38" s="139">
        <v>538.46153846153857</v>
      </c>
      <c r="AA38" s="139">
        <v>18000</v>
      </c>
      <c r="AB38" s="139">
        <v>20018.461538461539</v>
      </c>
      <c r="AC38" s="137"/>
      <c r="AD38" s="139">
        <v>35403.076923076922</v>
      </c>
      <c r="AF38" s="139">
        <v>0</v>
      </c>
      <c r="AG38" s="139">
        <v>0</v>
      </c>
      <c r="AH38" s="139">
        <v>0</v>
      </c>
      <c r="AI38" s="139">
        <v>0</v>
      </c>
      <c r="AJ38" s="139">
        <v>-35403.076923076922</v>
      </c>
      <c r="AL38" s="139">
        <f t="shared" ca="1" si="74"/>
        <v>0</v>
      </c>
      <c r="AM38" s="139">
        <f t="shared" ca="1" si="49"/>
        <v>0</v>
      </c>
      <c r="AN38" s="139">
        <f t="shared" ca="1" si="75"/>
        <v>0</v>
      </c>
      <c r="AP38" s="139">
        <f t="shared" ca="1" si="50"/>
        <v>2337668.6649226989</v>
      </c>
      <c r="AQ38" s="139">
        <f t="shared" ca="1" si="9"/>
        <v>35403.076923076922</v>
      </c>
      <c r="AR38" s="139">
        <f ca="1">AT37*(Project!$P$13/12)</f>
        <v>17532.51498692024</v>
      </c>
      <c r="AS38" s="139">
        <f t="shared" si="10"/>
        <v>0</v>
      </c>
      <c r="AT38" s="139">
        <f t="shared" ca="1" si="11"/>
        <v>2390604.256832696</v>
      </c>
      <c r="AV38" s="139">
        <v>-35403.076923076922</v>
      </c>
      <c r="AW38" s="139"/>
      <c r="AX38" s="139">
        <f ca="1"/>
        <v>35403.076923076922</v>
      </c>
      <c r="AY38" s="139">
        <f ca="1"/>
        <v>0</v>
      </c>
      <c r="AZ38" s="139">
        <f t="shared" ca="1" si="12"/>
        <v>0</v>
      </c>
      <c r="BH38" s="511"/>
      <c r="BI38" s="139">
        <f t="shared" ca="1" si="13"/>
        <v>1751346.8870177132</v>
      </c>
      <c r="BJ38" s="139">
        <f t="shared" ca="1" si="14"/>
        <v>0</v>
      </c>
      <c r="BK38" s="139" cm="1">
        <f t="array" aca="1" ref="BK38" ca="1">BI38*c_rate.Pref.MO</f>
        <v>13965.486016802699</v>
      </c>
      <c r="BL38" s="139">
        <f t="shared" ca="1" si="15"/>
        <v>0</v>
      </c>
      <c r="BM38" s="139">
        <f t="shared" ca="1" si="16"/>
        <v>1765312.3730345159</v>
      </c>
      <c r="BN38" s="139">
        <f t="shared" ca="1" si="51"/>
        <v>0</v>
      </c>
      <c r="BO38" s="139">
        <f t="shared" ca="1" si="73"/>
        <v>0</v>
      </c>
      <c r="BP38" s="139">
        <f t="shared" ca="1" si="52"/>
        <v>0</v>
      </c>
      <c r="BQ38" s="139">
        <f t="shared" ca="1" si="17"/>
        <v>0</v>
      </c>
      <c r="BR38" s="516"/>
      <c r="BS38" s="139">
        <f t="shared" ca="1" si="53"/>
        <v>1940615.7355496837</v>
      </c>
      <c r="BT38" s="139">
        <f t="shared" ca="1" si="18"/>
        <v>0</v>
      </c>
      <c r="BU38" s="139" cm="1">
        <f t="array" aca="1" ref="BU38" ca="1">IF(D38=0,0,BS38*(c_rate.Hurdle1.MO))</f>
        <v>22734.152115324701</v>
      </c>
      <c r="BV38" s="139">
        <f t="shared" ca="1" si="54"/>
        <v>0</v>
      </c>
      <c r="BW38" s="139">
        <f t="shared" ca="1" si="19"/>
        <v>0</v>
      </c>
      <c r="BX38" s="139">
        <f t="shared" ca="1" si="55"/>
        <v>1963349.8876650084</v>
      </c>
      <c r="BY38" s="139">
        <f t="shared" ca="1" si="56"/>
        <v>0</v>
      </c>
      <c r="BZ38" s="139">
        <f t="shared" ca="1" si="57"/>
        <v>0</v>
      </c>
      <c r="CA38" s="139">
        <f t="shared" ca="1" si="20"/>
        <v>0</v>
      </c>
      <c r="CB38" s="139">
        <f t="shared" ca="1" si="58"/>
        <v>0</v>
      </c>
      <c r="CC38" s="516"/>
      <c r="CD38" s="139">
        <f t="shared" ca="1" si="59"/>
        <v>2140987.7937774728</v>
      </c>
      <c r="CE38" s="139">
        <f t="shared" ca="1" si="21"/>
        <v>0</v>
      </c>
      <c r="CF38" s="139" cm="1">
        <f t="array" aca="1" ref="CF38" ca="1">IF($D39=0,0,CD38*(c_rate.Hurdle2.MO))</f>
        <v>32777.38946912079</v>
      </c>
      <c r="CG38" s="139">
        <f t="shared" ca="1" si="22"/>
        <v>0</v>
      </c>
      <c r="CH38" s="139">
        <f t="shared" ca="1" si="60"/>
        <v>0</v>
      </c>
      <c r="CI38" s="139">
        <f t="shared" ca="1" si="23"/>
        <v>2173765.1832465935</v>
      </c>
      <c r="CJ38" s="139">
        <f t="shared" ca="1" si="24"/>
        <v>0</v>
      </c>
      <c r="CK38" s="139">
        <f t="shared" ca="1" si="25"/>
        <v>0</v>
      </c>
      <c r="CL38" s="139">
        <f t="shared" ca="1" si="61"/>
        <v>0</v>
      </c>
      <c r="CM38" s="139">
        <f t="shared" ca="1" si="26"/>
        <v>0</v>
      </c>
      <c r="CN38" s="139">
        <f t="shared" ca="1" si="27"/>
        <v>0</v>
      </c>
      <c r="CO38" s="516"/>
      <c r="CP38" s="139">
        <f t="shared" ca="1" si="62"/>
        <v>2352612.8622325682</v>
      </c>
      <c r="CQ38" s="139">
        <f t="shared" ca="1" si="28"/>
        <v>0</v>
      </c>
      <c r="CR38" s="139" cm="1">
        <f t="array" aca="1" ref="CR38" ca="1">IF($D39=0,0,CP38*(c_rate.Hurdle3.MO))</f>
        <v>44156.814539508421</v>
      </c>
      <c r="CS38" s="139">
        <f t="shared" ca="1" si="29"/>
        <v>0</v>
      </c>
      <c r="CT38" s="139">
        <f t="shared" ca="1" si="63"/>
        <v>0</v>
      </c>
      <c r="CU38" s="139">
        <f t="shared" ca="1" si="30"/>
        <v>2396769.6767720766</v>
      </c>
      <c r="CV38" s="139">
        <f t="shared" ca="1" si="31"/>
        <v>0</v>
      </c>
      <c r="CW38" s="139">
        <f t="shared" ca="1" si="64"/>
        <v>0</v>
      </c>
      <c r="CX38" s="139">
        <f t="shared" ca="1" si="65"/>
        <v>0</v>
      </c>
      <c r="CY38" s="139">
        <f t="shared" ca="1" si="66"/>
        <v>0</v>
      </c>
      <c r="CZ38" s="139">
        <f t="shared" ca="1" si="67"/>
        <v>0</v>
      </c>
      <c r="DA38" s="516"/>
      <c r="DB38" s="139">
        <f t="shared" ca="1" si="32"/>
        <v>0</v>
      </c>
      <c r="DC38" s="139">
        <f t="shared" ca="1" si="33"/>
        <v>0</v>
      </c>
      <c r="DD38" s="518"/>
      <c r="DE38" s="139">
        <f t="shared" ca="1" si="68"/>
        <v>0</v>
      </c>
      <c r="DF38" s="139">
        <f t="shared" ca="1" si="69"/>
        <v>0</v>
      </c>
      <c r="DG38" s="139">
        <f t="shared" ca="1" si="34"/>
        <v>0</v>
      </c>
      <c r="DH38" s="457"/>
      <c r="DI38" s="139">
        <f ca="1"/>
        <v>0</v>
      </c>
      <c r="DJ38" s="139">
        <f ca="1"/>
        <v>0</v>
      </c>
      <c r="DK38" s="139">
        <f ca="1"/>
        <v>0</v>
      </c>
      <c r="DL38" s="139">
        <f t="shared" ca="1" si="35"/>
        <v>0</v>
      </c>
      <c r="DM38" s="139">
        <f t="shared" ca="1" si="36"/>
        <v>0</v>
      </c>
      <c r="DN38" s="139">
        <f t="shared" ca="1" si="37"/>
        <v>0</v>
      </c>
      <c r="DO38" s="139">
        <f t="shared" ca="1" si="38"/>
        <v>0</v>
      </c>
      <c r="DP38" s="139">
        <f t="shared" ca="1" si="39"/>
        <v>0</v>
      </c>
      <c r="DQ38" s="139">
        <f t="shared" ca="1" si="40"/>
        <v>0</v>
      </c>
      <c r="DR38" s="139">
        <f ca="1"/>
        <v>0</v>
      </c>
      <c r="DS38" s="139">
        <f ca="1"/>
        <v>0</v>
      </c>
      <c r="DT38" s="139">
        <f t="shared" ca="1" si="41"/>
        <v>0</v>
      </c>
      <c r="DU38" s="139">
        <f t="shared" ca="1" si="42"/>
        <v>0</v>
      </c>
      <c r="DV38" s="457"/>
      <c r="DW38" s="457"/>
      <c r="DX38" s="139">
        <f ca="1"/>
        <v>0</v>
      </c>
      <c r="DY38" s="139">
        <f t="shared" ca="1" si="70"/>
        <v>0</v>
      </c>
      <c r="DZ38" s="139">
        <f t="shared" ca="1" si="43"/>
        <v>0</v>
      </c>
      <c r="EA38" s="139">
        <f t="shared" ca="1" si="44"/>
        <v>0</v>
      </c>
      <c r="EB38" s="139">
        <f t="shared" ca="1" si="45"/>
        <v>0</v>
      </c>
      <c r="EC38" s="139">
        <f t="shared" ca="1" si="46"/>
        <v>0</v>
      </c>
      <c r="ED38" s="139">
        <f t="shared" ca="1" si="71"/>
        <v>0</v>
      </c>
      <c r="EE38" s="457"/>
      <c r="EF38" s="457"/>
    </row>
    <row r="39" spans="1:136" ht="17.25" thickTop="1" thickBot="1">
      <c r="A39" s="229">
        <f t="shared" si="72"/>
        <v>3973315.384615385</v>
      </c>
      <c r="B39" s="229">
        <f t="shared" ca="1" si="47"/>
        <v>1873996.0345865386</v>
      </c>
      <c r="D39" s="186">
        <v>30</v>
      </c>
      <c r="E39" s="186">
        <v>10</v>
      </c>
      <c r="F39" s="186">
        <v>3</v>
      </c>
      <c r="G39" s="123">
        <v>46722</v>
      </c>
      <c r="H39" s="122" t="str">
        <v>Q4-27</v>
      </c>
      <c r="I39" s="122">
        <v>2027</v>
      </c>
      <c r="K39" s="140">
        <v>0</v>
      </c>
      <c r="L39" s="140">
        <v>0</v>
      </c>
      <c r="M39" s="140">
        <v>0</v>
      </c>
      <c r="N39" s="140">
        <v>0</v>
      </c>
      <c r="O39" s="140">
        <v>0</v>
      </c>
      <c r="P39" s="140">
        <v>0</v>
      </c>
      <c r="Q39" s="140">
        <v>0</v>
      </c>
      <c r="R39" s="140">
        <v>0</v>
      </c>
      <c r="S39" s="140">
        <v>15384.615384615385</v>
      </c>
      <c r="T39" s="140">
        <v>15384.615384615385</v>
      </c>
      <c r="U39" s="136"/>
      <c r="V39" s="140">
        <v>166.66666666666666</v>
      </c>
      <c r="W39" s="140">
        <v>500</v>
      </c>
      <c r="X39" s="140">
        <v>333.33333333333331</v>
      </c>
      <c r="Y39" s="140">
        <v>480</v>
      </c>
      <c r="Z39" s="140">
        <v>538.46153846153857</v>
      </c>
      <c r="AA39" s="140">
        <v>18000</v>
      </c>
      <c r="AB39" s="140">
        <v>20018.461538461539</v>
      </c>
      <c r="AC39" s="137"/>
      <c r="AD39" s="140">
        <v>35403.076923076922</v>
      </c>
      <c r="AF39" s="140">
        <v>0</v>
      </c>
      <c r="AG39" s="140">
        <v>0</v>
      </c>
      <c r="AH39" s="140">
        <v>0</v>
      </c>
      <c r="AI39" s="140">
        <v>0</v>
      </c>
      <c r="AJ39" s="140">
        <v>-35403.076923076922</v>
      </c>
      <c r="AL39" s="140">
        <f t="shared" ca="1" si="74"/>
        <v>0</v>
      </c>
      <c r="AM39" s="140">
        <f t="shared" ca="1" si="49"/>
        <v>0</v>
      </c>
      <c r="AN39" s="140">
        <f t="shared" ca="1" si="75"/>
        <v>0</v>
      </c>
      <c r="AP39" s="140">
        <f t="shared" ca="1" si="50"/>
        <v>2390604.256832696</v>
      </c>
      <c r="AQ39" s="140">
        <f t="shared" ca="1" si="9"/>
        <v>35403.076923076922</v>
      </c>
      <c r="AR39" s="140">
        <f ca="1">AT38*(Project!$P$13/12)</f>
        <v>17929.531926245221</v>
      </c>
      <c r="AS39" s="140">
        <f t="shared" si="10"/>
        <v>0</v>
      </c>
      <c r="AT39" s="140">
        <f t="shared" ca="1" si="11"/>
        <v>2443936.8656820185</v>
      </c>
      <c r="AV39" s="140">
        <v>-35403.076923076922</v>
      </c>
      <c r="AW39" s="140"/>
      <c r="AX39" s="140">
        <f ca="1"/>
        <v>35403.076923076922</v>
      </c>
      <c r="AY39" s="140">
        <f ca="1"/>
        <v>0</v>
      </c>
      <c r="AZ39" s="140">
        <f t="shared" ca="1" si="12"/>
        <v>0</v>
      </c>
      <c r="BC39" s="215" t="s">
        <v>168</v>
      </c>
      <c r="BE39" s="597">
        <f ca="1">BE28</f>
        <v>2526243.4850772498</v>
      </c>
      <c r="BH39" s="511"/>
      <c r="BI39" s="140">
        <f t="shared" ca="1" si="13"/>
        <v>1765312.3730345159</v>
      </c>
      <c r="BJ39" s="140">
        <f t="shared" ca="1" si="14"/>
        <v>0</v>
      </c>
      <c r="BK39" s="140" cm="1">
        <f t="array" aca="1" ref="BK39" ca="1">BI39*c_rate.Pref.MO</f>
        <v>14076.848763458576</v>
      </c>
      <c r="BL39" s="140">
        <f t="shared" ca="1" si="15"/>
        <v>0</v>
      </c>
      <c r="BM39" s="140">
        <f t="shared" ca="1" si="16"/>
        <v>1779389.2217979745</v>
      </c>
      <c r="BN39" s="140">
        <f t="shared" ca="1" si="51"/>
        <v>0</v>
      </c>
      <c r="BO39" s="140">
        <f t="shared" ca="1" si="73"/>
        <v>0</v>
      </c>
      <c r="BP39" s="140">
        <f t="shared" ca="1" si="52"/>
        <v>0</v>
      </c>
      <c r="BQ39" s="140">
        <f t="shared" ca="1" si="17"/>
        <v>0</v>
      </c>
      <c r="BR39" s="553"/>
      <c r="BS39" s="140">
        <f t="shared" ca="1" si="53"/>
        <v>1963349.8876650084</v>
      </c>
      <c r="BT39" s="140">
        <f t="shared" ca="1" si="18"/>
        <v>0</v>
      </c>
      <c r="BU39" s="140" cm="1">
        <f t="array" aca="1" ref="BU39" ca="1">IF(D39=0,0,BS39*(c_rate.Hurdle1.MO))</f>
        <v>23000.480818599041</v>
      </c>
      <c r="BV39" s="140">
        <f t="shared" ca="1" si="54"/>
        <v>0</v>
      </c>
      <c r="BW39" s="140">
        <f t="shared" ca="1" si="19"/>
        <v>0</v>
      </c>
      <c r="BX39" s="140">
        <f t="shared" ca="1" si="55"/>
        <v>1986350.3684836074</v>
      </c>
      <c r="BY39" s="140">
        <f t="shared" ca="1" si="56"/>
        <v>0</v>
      </c>
      <c r="BZ39" s="140">
        <f t="shared" ca="1" si="57"/>
        <v>0</v>
      </c>
      <c r="CA39" s="140">
        <f t="shared" ca="1" si="20"/>
        <v>0</v>
      </c>
      <c r="CB39" s="140">
        <f t="shared" ca="1" si="58"/>
        <v>0</v>
      </c>
      <c r="CC39" s="516"/>
      <c r="CD39" s="140">
        <f t="shared" ca="1" si="59"/>
        <v>2173765.1832465935</v>
      </c>
      <c r="CE39" s="140">
        <f t="shared" ca="1" si="21"/>
        <v>0</v>
      </c>
      <c r="CF39" s="140" cm="1">
        <f t="array" aca="1" ref="CF39" ca="1">IF($D40=0,0,CD39*(c_rate.Hurdle2.MO))</f>
        <v>33279.193946256491</v>
      </c>
      <c r="CG39" s="140">
        <f t="shared" ca="1" si="22"/>
        <v>0</v>
      </c>
      <c r="CH39" s="140">
        <f t="shared" ca="1" si="60"/>
        <v>0</v>
      </c>
      <c r="CI39" s="140">
        <f t="shared" ca="1" si="23"/>
        <v>2207044.3771928498</v>
      </c>
      <c r="CJ39" s="140">
        <f t="shared" ca="1" si="24"/>
        <v>0</v>
      </c>
      <c r="CK39" s="140">
        <f t="shared" ca="1" si="25"/>
        <v>0</v>
      </c>
      <c r="CL39" s="140">
        <f t="shared" ca="1" si="61"/>
        <v>0</v>
      </c>
      <c r="CM39" s="140">
        <f t="shared" ca="1" si="26"/>
        <v>0</v>
      </c>
      <c r="CN39" s="140">
        <f t="shared" ca="1" si="27"/>
        <v>0</v>
      </c>
      <c r="CO39" s="516"/>
      <c r="CP39" s="140">
        <f t="shared" ca="1" si="62"/>
        <v>2396769.6767720766</v>
      </c>
      <c r="CQ39" s="140">
        <f t="shared" ca="1" si="28"/>
        <v>0</v>
      </c>
      <c r="CR39" s="140" cm="1">
        <f t="array" aca="1" ref="CR39" ca="1">IF($D40=0,0,CP39*(c_rate.Hurdle3.MO))</f>
        <v>44985.605498521632</v>
      </c>
      <c r="CS39" s="140">
        <f t="shared" ca="1" si="29"/>
        <v>0</v>
      </c>
      <c r="CT39" s="140">
        <f t="shared" ca="1" si="63"/>
        <v>0</v>
      </c>
      <c r="CU39" s="140">
        <f t="shared" ca="1" si="30"/>
        <v>2441755.2822705982</v>
      </c>
      <c r="CV39" s="140">
        <f t="shared" ca="1" si="31"/>
        <v>0</v>
      </c>
      <c r="CW39" s="140">
        <f t="shared" ca="1" si="64"/>
        <v>0</v>
      </c>
      <c r="CX39" s="140">
        <f t="shared" ca="1" si="65"/>
        <v>0</v>
      </c>
      <c r="CY39" s="140">
        <f t="shared" ca="1" si="66"/>
        <v>0</v>
      </c>
      <c r="CZ39" s="140">
        <f t="shared" ca="1" si="67"/>
        <v>0</v>
      </c>
      <c r="DA39" s="516"/>
      <c r="DB39" s="140">
        <f t="shared" ca="1" si="32"/>
        <v>0</v>
      </c>
      <c r="DC39" s="140">
        <f t="shared" ca="1" si="33"/>
        <v>0</v>
      </c>
      <c r="DD39" s="518"/>
      <c r="DE39" s="140">
        <f t="shared" ca="1" si="68"/>
        <v>0</v>
      </c>
      <c r="DF39" s="140">
        <f t="shared" ca="1" si="69"/>
        <v>0</v>
      </c>
      <c r="DG39" s="140">
        <f t="shared" ca="1" si="34"/>
        <v>0</v>
      </c>
      <c r="DH39" s="457"/>
      <c r="DI39" s="140">
        <f ca="1"/>
        <v>0</v>
      </c>
      <c r="DJ39" s="140">
        <f ca="1"/>
        <v>0</v>
      </c>
      <c r="DK39" s="140">
        <f ca="1"/>
        <v>0</v>
      </c>
      <c r="DL39" s="140">
        <f t="shared" ca="1" si="35"/>
        <v>0</v>
      </c>
      <c r="DM39" s="140">
        <f t="shared" ca="1" si="36"/>
        <v>0</v>
      </c>
      <c r="DN39" s="140">
        <f t="shared" ca="1" si="37"/>
        <v>0</v>
      </c>
      <c r="DO39" s="140">
        <f t="shared" ca="1" si="38"/>
        <v>0</v>
      </c>
      <c r="DP39" s="140">
        <f t="shared" ca="1" si="39"/>
        <v>0</v>
      </c>
      <c r="DQ39" s="140">
        <f t="shared" ca="1" si="40"/>
        <v>0</v>
      </c>
      <c r="DR39" s="140">
        <f ca="1"/>
        <v>0</v>
      </c>
      <c r="DS39" s="140">
        <f ca="1"/>
        <v>0</v>
      </c>
      <c r="DT39" s="140">
        <f t="shared" ca="1" si="41"/>
        <v>0</v>
      </c>
      <c r="DU39" s="140">
        <f t="shared" ca="1" si="42"/>
        <v>0</v>
      </c>
      <c r="DV39" s="457"/>
      <c r="DW39" s="457"/>
      <c r="DX39" s="140">
        <f ca="1"/>
        <v>0</v>
      </c>
      <c r="DY39" s="140">
        <f t="shared" ca="1" si="70"/>
        <v>0</v>
      </c>
      <c r="DZ39" s="140">
        <f t="shared" ca="1" si="43"/>
        <v>0</v>
      </c>
      <c r="EA39" s="140">
        <f t="shared" ca="1" si="44"/>
        <v>0</v>
      </c>
      <c r="EB39" s="140">
        <f t="shared" ca="1" si="45"/>
        <v>0</v>
      </c>
      <c r="EC39" s="140">
        <f t="shared" ca="1" si="46"/>
        <v>0</v>
      </c>
      <c r="ED39" s="140">
        <f t="shared" ca="1" si="71"/>
        <v>0</v>
      </c>
      <c r="EE39" s="457"/>
      <c r="EF39" s="457"/>
    </row>
    <row r="40" spans="1:136" ht="17.25" thickTop="1" thickBot="1">
      <c r="A40" s="230">
        <f t="shared" si="72"/>
        <v>4008718.461538462</v>
      </c>
      <c r="B40" s="230">
        <f t="shared" ca="1" si="47"/>
        <v>1873996.0345865386</v>
      </c>
      <c r="D40" s="187">
        <v>31</v>
      </c>
      <c r="E40" s="187">
        <v>11</v>
      </c>
      <c r="F40" s="187">
        <v>3</v>
      </c>
      <c r="G40" s="125">
        <v>46753</v>
      </c>
      <c r="H40" s="124" t="str">
        <v>Q1-28</v>
      </c>
      <c r="I40" s="124">
        <v>2028</v>
      </c>
      <c r="K40" s="141">
        <v>0</v>
      </c>
      <c r="L40" s="141">
        <v>0</v>
      </c>
      <c r="M40" s="141">
        <v>0</v>
      </c>
      <c r="N40" s="141">
        <v>0</v>
      </c>
      <c r="O40" s="141">
        <v>0</v>
      </c>
      <c r="P40" s="141">
        <v>0</v>
      </c>
      <c r="Q40" s="141">
        <v>0</v>
      </c>
      <c r="R40" s="141">
        <v>0</v>
      </c>
      <c r="S40" s="141">
        <v>15384.615384615385</v>
      </c>
      <c r="T40" s="141">
        <v>15384.615384615385</v>
      </c>
      <c r="U40" s="136"/>
      <c r="V40" s="141">
        <v>166.66666666666666</v>
      </c>
      <c r="W40" s="141">
        <v>500</v>
      </c>
      <c r="X40" s="141">
        <v>333.33333333333331</v>
      </c>
      <c r="Y40" s="141">
        <v>480</v>
      </c>
      <c r="Z40" s="141">
        <v>538.46153846153857</v>
      </c>
      <c r="AA40" s="141">
        <v>18000</v>
      </c>
      <c r="AB40" s="141">
        <v>20018.461538461539</v>
      </c>
      <c r="AC40" s="137"/>
      <c r="AD40" s="141">
        <v>35403.076923076922</v>
      </c>
      <c r="AF40" s="141">
        <v>0</v>
      </c>
      <c r="AG40" s="141">
        <v>0</v>
      </c>
      <c r="AH40" s="141">
        <v>0</v>
      </c>
      <c r="AI40" s="141">
        <v>0</v>
      </c>
      <c r="AJ40" s="141">
        <v>-35403.076923076922</v>
      </c>
      <c r="AL40" s="141">
        <f t="shared" ca="1" si="74"/>
        <v>0</v>
      </c>
      <c r="AM40" s="141">
        <f t="shared" ca="1" si="49"/>
        <v>0</v>
      </c>
      <c r="AN40" s="141">
        <f t="shared" ca="1" si="75"/>
        <v>0</v>
      </c>
      <c r="AP40" s="141">
        <f t="shared" ca="1" si="50"/>
        <v>2443936.8656820185</v>
      </c>
      <c r="AQ40" s="141">
        <f t="shared" ca="1" si="9"/>
        <v>35403.076923076922</v>
      </c>
      <c r="AR40" s="141">
        <f ca="1">AT39*(Project!$P$13/12)</f>
        <v>18329.526492615139</v>
      </c>
      <c r="AS40" s="141">
        <f t="shared" si="10"/>
        <v>0</v>
      </c>
      <c r="AT40" s="141">
        <f t="shared" ca="1" si="11"/>
        <v>2497669.4690977107</v>
      </c>
      <c r="AV40" s="141">
        <v>-35403.076923076922</v>
      </c>
      <c r="AW40" s="141"/>
      <c r="AX40" s="141">
        <f ca="1"/>
        <v>35403.076923076922</v>
      </c>
      <c r="AY40" s="141">
        <f ca="1"/>
        <v>0</v>
      </c>
      <c r="AZ40" s="141">
        <f t="shared" ca="1" si="12"/>
        <v>0</v>
      </c>
      <c r="BC40" s="215" t="s">
        <v>268</v>
      </c>
      <c r="BE40" s="598">
        <f ca="1">-BE22</f>
        <v>-1873996.0345865386</v>
      </c>
      <c r="BH40" s="511"/>
      <c r="BI40" s="141">
        <f t="shared" ca="1" si="13"/>
        <v>1779389.2217979745</v>
      </c>
      <c r="BJ40" s="141">
        <f t="shared" ca="1" si="14"/>
        <v>0</v>
      </c>
      <c r="BK40" s="141" cm="1">
        <f t="array" aca="1" ref="BK40" ca="1">BI40*c_rate.Pref.MO</f>
        <v>14189.099532294837</v>
      </c>
      <c r="BL40" s="141">
        <f t="shared" ca="1" si="15"/>
        <v>0</v>
      </c>
      <c r="BM40" s="141">
        <f t="shared" ca="1" si="16"/>
        <v>1793578.3213302693</v>
      </c>
      <c r="BN40" s="141">
        <f t="shared" ca="1" si="51"/>
        <v>0</v>
      </c>
      <c r="BO40" s="141">
        <f t="shared" ca="1" si="73"/>
        <v>0</v>
      </c>
      <c r="BP40" s="141">
        <f t="shared" ca="1" si="52"/>
        <v>0</v>
      </c>
      <c r="BQ40" s="141">
        <f t="shared" ca="1" si="17"/>
        <v>0</v>
      </c>
      <c r="BR40" s="516"/>
      <c r="BS40" s="141">
        <f t="shared" ca="1" si="53"/>
        <v>1986350.3684836074</v>
      </c>
      <c r="BT40" s="141">
        <f t="shared" ca="1" si="18"/>
        <v>0</v>
      </c>
      <c r="BU40" s="141" cm="1">
        <f t="array" aca="1" ref="BU40" ca="1">IF(D40=0,0,BS40*(c_rate.Hurdle1.MO))</f>
        <v>23269.929540505607</v>
      </c>
      <c r="BV40" s="141">
        <f t="shared" ca="1" si="54"/>
        <v>0</v>
      </c>
      <c r="BW40" s="141">
        <f t="shared" ca="1" si="19"/>
        <v>0</v>
      </c>
      <c r="BX40" s="141">
        <f t="shared" ca="1" si="55"/>
        <v>2009620.2980241131</v>
      </c>
      <c r="BY40" s="141">
        <f t="shared" ca="1" si="56"/>
        <v>0</v>
      </c>
      <c r="BZ40" s="141">
        <f t="shared" ca="1" si="57"/>
        <v>0</v>
      </c>
      <c r="CA40" s="141">
        <f t="shared" ca="1" si="20"/>
        <v>0</v>
      </c>
      <c r="CB40" s="141">
        <f t="shared" ca="1" si="58"/>
        <v>0</v>
      </c>
      <c r="CC40" s="516"/>
      <c r="CD40" s="141">
        <f t="shared" ca="1" si="59"/>
        <v>2207044.3771928498</v>
      </c>
      <c r="CE40" s="141">
        <f t="shared" ca="1" si="21"/>
        <v>0</v>
      </c>
      <c r="CF40" s="141" cm="1">
        <f t="array" aca="1" ref="CF40" ca="1">IF($D41=0,0,CD40*(c_rate.Hurdle2.MO))</f>
        <v>33788.680784231539</v>
      </c>
      <c r="CG40" s="141">
        <f t="shared" ca="1" si="22"/>
        <v>0</v>
      </c>
      <c r="CH40" s="141">
        <f t="shared" ca="1" si="60"/>
        <v>0</v>
      </c>
      <c r="CI40" s="141">
        <f t="shared" ca="1" si="23"/>
        <v>2240833.0579770813</v>
      </c>
      <c r="CJ40" s="141">
        <f t="shared" ca="1" si="24"/>
        <v>0</v>
      </c>
      <c r="CK40" s="141">
        <f t="shared" ca="1" si="25"/>
        <v>0</v>
      </c>
      <c r="CL40" s="141">
        <f t="shared" ca="1" si="61"/>
        <v>0</v>
      </c>
      <c r="CM40" s="141">
        <f t="shared" ca="1" si="26"/>
        <v>0</v>
      </c>
      <c r="CN40" s="141">
        <f t="shared" ca="1" si="27"/>
        <v>0</v>
      </c>
      <c r="CO40" s="516"/>
      <c r="CP40" s="141">
        <f t="shared" ca="1" si="62"/>
        <v>2441755.2822705982</v>
      </c>
      <c r="CQ40" s="141">
        <f t="shared" ca="1" si="28"/>
        <v>0</v>
      </c>
      <c r="CR40" s="141" cm="1">
        <f t="array" aca="1" ref="CR40" ca="1">IF($D41=0,0,CP40*(c_rate.Hurdle3.MO))</f>
        <v>45829.952254774864</v>
      </c>
      <c r="CS40" s="141">
        <f t="shared" ca="1" si="29"/>
        <v>0</v>
      </c>
      <c r="CT40" s="141">
        <f t="shared" ca="1" si="63"/>
        <v>0</v>
      </c>
      <c r="CU40" s="141">
        <f t="shared" ca="1" si="30"/>
        <v>2487585.2345253732</v>
      </c>
      <c r="CV40" s="141">
        <f t="shared" ca="1" si="31"/>
        <v>0</v>
      </c>
      <c r="CW40" s="141">
        <f t="shared" ca="1" si="64"/>
        <v>0</v>
      </c>
      <c r="CX40" s="141">
        <f t="shared" ca="1" si="65"/>
        <v>0</v>
      </c>
      <c r="CY40" s="141">
        <f t="shared" ca="1" si="66"/>
        <v>0</v>
      </c>
      <c r="CZ40" s="141">
        <f t="shared" ca="1" si="67"/>
        <v>0</v>
      </c>
      <c r="DA40" s="516"/>
      <c r="DB40" s="141">
        <f t="shared" ca="1" si="32"/>
        <v>0</v>
      </c>
      <c r="DC40" s="141">
        <f t="shared" ca="1" si="33"/>
        <v>0</v>
      </c>
      <c r="DD40" s="518"/>
      <c r="DE40" s="141">
        <f t="shared" ca="1" si="68"/>
        <v>0</v>
      </c>
      <c r="DF40" s="141">
        <f t="shared" ca="1" si="69"/>
        <v>0</v>
      </c>
      <c r="DG40" s="141">
        <f t="shared" ca="1" si="34"/>
        <v>0</v>
      </c>
      <c r="DH40" s="457"/>
      <c r="DI40" s="141">
        <f ca="1"/>
        <v>0</v>
      </c>
      <c r="DJ40" s="141">
        <f ca="1"/>
        <v>0</v>
      </c>
      <c r="DK40" s="141">
        <f ca="1"/>
        <v>0</v>
      </c>
      <c r="DL40" s="141">
        <f t="shared" ca="1" si="35"/>
        <v>0</v>
      </c>
      <c r="DM40" s="141">
        <f t="shared" ca="1" si="36"/>
        <v>0</v>
      </c>
      <c r="DN40" s="141">
        <f t="shared" ca="1" si="37"/>
        <v>0</v>
      </c>
      <c r="DO40" s="141">
        <f t="shared" ca="1" si="38"/>
        <v>0</v>
      </c>
      <c r="DP40" s="141">
        <f t="shared" ca="1" si="39"/>
        <v>0</v>
      </c>
      <c r="DQ40" s="141">
        <f t="shared" ca="1" si="40"/>
        <v>0</v>
      </c>
      <c r="DR40" s="141">
        <f ca="1"/>
        <v>0</v>
      </c>
      <c r="DS40" s="141">
        <f ca="1"/>
        <v>0</v>
      </c>
      <c r="DT40" s="141">
        <f t="shared" ca="1" si="41"/>
        <v>0</v>
      </c>
      <c r="DU40" s="141">
        <f t="shared" ca="1" si="42"/>
        <v>0</v>
      </c>
      <c r="DV40" s="457"/>
      <c r="DW40" s="457"/>
      <c r="DX40" s="141">
        <f ca="1"/>
        <v>0</v>
      </c>
      <c r="DY40" s="141">
        <f t="shared" ca="1" si="70"/>
        <v>0</v>
      </c>
      <c r="DZ40" s="141">
        <f t="shared" ca="1" si="43"/>
        <v>0</v>
      </c>
      <c r="EA40" s="141">
        <f t="shared" ca="1" si="44"/>
        <v>0</v>
      </c>
      <c r="EB40" s="141">
        <f t="shared" ca="1" si="45"/>
        <v>0</v>
      </c>
      <c r="EC40" s="141">
        <f t="shared" ca="1" si="46"/>
        <v>0</v>
      </c>
      <c r="ED40" s="141">
        <f t="shared" ca="1" si="71"/>
        <v>0</v>
      </c>
      <c r="EE40" s="457"/>
      <c r="EF40" s="457"/>
    </row>
    <row r="41" spans="1:136" ht="17.25" thickTop="1" thickBot="1">
      <c r="A41" s="228">
        <f t="shared" si="72"/>
        <v>4147621.538461539</v>
      </c>
      <c r="B41" s="228">
        <f t="shared" ca="1" si="47"/>
        <v>1873996.0345865386</v>
      </c>
      <c r="D41" s="184">
        <v>32</v>
      </c>
      <c r="E41" s="184">
        <v>11</v>
      </c>
      <c r="F41" s="184">
        <v>3</v>
      </c>
      <c r="G41" s="121">
        <v>46784</v>
      </c>
      <c r="H41" s="118" t="str">
        <v>Q1-28</v>
      </c>
      <c r="I41" s="118">
        <v>2028</v>
      </c>
      <c r="K41" s="139">
        <v>0</v>
      </c>
      <c r="L41" s="139">
        <v>0</v>
      </c>
      <c r="M41" s="139">
        <v>0</v>
      </c>
      <c r="N41" s="139">
        <v>0</v>
      </c>
      <c r="O41" s="139">
        <v>0</v>
      </c>
      <c r="P41" s="139">
        <v>100000</v>
      </c>
      <c r="Q41" s="139">
        <v>0</v>
      </c>
      <c r="R41" s="139">
        <v>0</v>
      </c>
      <c r="S41" s="139">
        <v>15384.615384615385</v>
      </c>
      <c r="T41" s="139">
        <v>115384.61538461539</v>
      </c>
      <c r="U41" s="136"/>
      <c r="V41" s="139">
        <v>166.66666666666666</v>
      </c>
      <c r="W41" s="139">
        <v>500</v>
      </c>
      <c r="X41" s="139">
        <v>333.33333333333331</v>
      </c>
      <c r="Y41" s="139">
        <v>480</v>
      </c>
      <c r="Z41" s="139">
        <v>4038.461538461539</v>
      </c>
      <c r="AA41" s="139">
        <v>18000</v>
      </c>
      <c r="AB41" s="139">
        <v>23518.461538461539</v>
      </c>
      <c r="AC41" s="137"/>
      <c r="AD41" s="139">
        <v>138903.07692307694</v>
      </c>
      <c r="AF41" s="139">
        <v>0</v>
      </c>
      <c r="AG41" s="139">
        <v>0</v>
      </c>
      <c r="AH41" s="139">
        <v>0</v>
      </c>
      <c r="AI41" s="139">
        <v>0</v>
      </c>
      <c r="AJ41" s="139">
        <v>-138903.07692307694</v>
      </c>
      <c r="AL41" s="139">
        <f t="shared" ca="1" si="74"/>
        <v>0</v>
      </c>
      <c r="AM41" s="139">
        <f t="shared" ca="1" si="49"/>
        <v>0</v>
      </c>
      <c r="AN41" s="139">
        <f t="shared" ca="1" si="75"/>
        <v>0</v>
      </c>
      <c r="AP41" s="139">
        <f t="shared" ca="1" si="50"/>
        <v>2497669.4690977107</v>
      </c>
      <c r="AQ41" s="139">
        <f t="shared" ref="AQ41:AQ69" ca="1" si="77">IF(AN41=0,AD41-AM41,0)</f>
        <v>138903.07692307694</v>
      </c>
      <c r="AR41" s="139">
        <f ca="1">AT40*(Project!$P$13/12)</f>
        <v>18732.52101823283</v>
      </c>
      <c r="AS41" s="139">
        <f t="shared" ref="AS41:AS69" si="78">IF(AI41&gt;0,AP41+AQ41+AR41,0)</f>
        <v>0</v>
      </c>
      <c r="AT41" s="139">
        <f t="shared" ca="1" si="11"/>
        <v>2655305.0670390204</v>
      </c>
      <c r="AV41" s="139">
        <v>-138903.07692307694</v>
      </c>
      <c r="AW41" s="139"/>
      <c r="AX41" s="139">
        <f ca="1"/>
        <v>138903.07692307694</v>
      </c>
      <c r="AY41" s="139">
        <f ca="1"/>
        <v>0</v>
      </c>
      <c r="AZ41" s="139">
        <f t="shared" ref="AZ41:AZ69" ca="1" si="79">AV41+AW41+AX41-AY41</f>
        <v>0</v>
      </c>
      <c r="BC41" s="215" t="s">
        <v>47</v>
      </c>
      <c r="BE41" s="599">
        <f ca="1">AZ8</f>
        <v>652247.45049071126</v>
      </c>
      <c r="BH41" s="511"/>
      <c r="BI41" s="139">
        <f t="shared" ref="BI41:BI72" ca="1" si="80">IF(D41=0,0,BM40)</f>
        <v>1793578.3213302693</v>
      </c>
      <c r="BJ41" s="139">
        <f t="shared" ref="BJ41:BJ72" ca="1" si="81">IF($AZ41=0,0,-MIN(0,AZ41*c_EquityShare.LP))</f>
        <v>0</v>
      </c>
      <c r="BK41" s="139" cm="1">
        <f t="array" aca="1" ref="BK41" ca="1">BI41*c_rate.Pref.MO</f>
        <v>14302.245404525047</v>
      </c>
      <c r="BL41" s="139">
        <f t="shared" ref="BL41:BL72" ca="1" si="82">IF($AZ41=0,0,MAX(MIN($AZ41*$BI$7,BI41+BK41-BJ41),0))</f>
        <v>0</v>
      </c>
      <c r="BM41" s="139">
        <f t="shared" ca="1" si="16"/>
        <v>1807880.5667347943</v>
      </c>
      <c r="BN41" s="139">
        <f t="shared" ca="1" si="51"/>
        <v>0</v>
      </c>
      <c r="BO41" s="139">
        <f t="shared" ca="1" si="73"/>
        <v>0</v>
      </c>
      <c r="BP41" s="139">
        <f t="shared" ca="1" si="52"/>
        <v>0</v>
      </c>
      <c r="BQ41" s="139">
        <f t="shared" ref="BQ41:BQ72" ca="1" si="83">IF(G41=0,0,MAX(AZ41-BP41,0))</f>
        <v>0</v>
      </c>
      <c r="BR41" s="516"/>
      <c r="BS41" s="139">
        <f t="shared" ca="1" si="53"/>
        <v>2009620.2980241131</v>
      </c>
      <c r="BT41" s="139">
        <f t="shared" ref="BT41:BT72" ca="1" si="84">IF($AZ41=0,0,-MIN(0,$AZ41*c_EquityShare.LP))</f>
        <v>0</v>
      </c>
      <c r="BU41" s="139" cm="1">
        <f t="array" aca="1" ref="BU41" ca="1">IF(D41=0,0,BS41*(c_rate.Hurdle1.MO))</f>
        <v>23542.534831803474</v>
      </c>
      <c r="BV41" s="139">
        <f t="shared" ca="1" si="54"/>
        <v>0</v>
      </c>
      <c r="BW41" s="139">
        <f t="shared" ref="BW41:BW72" ca="1" si="85">MIN(BS41+BU41-BV41,BQ41*BS$7)</f>
        <v>0</v>
      </c>
      <c r="BX41" s="139">
        <f t="shared" ca="1" si="55"/>
        <v>2033162.8328559166</v>
      </c>
      <c r="BY41" s="139">
        <f t="shared" ca="1" si="56"/>
        <v>0</v>
      </c>
      <c r="BZ41" s="139">
        <f t="shared" ca="1" si="57"/>
        <v>0</v>
      </c>
      <c r="CA41" s="139">
        <f t="shared" ref="CA41:CA72" ca="1" si="86">BY41+BZ41</f>
        <v>0</v>
      </c>
      <c r="CB41" s="139">
        <f t="shared" ca="1" si="58"/>
        <v>0</v>
      </c>
      <c r="CC41" s="516"/>
      <c r="CD41" s="139">
        <f t="shared" ca="1" si="59"/>
        <v>2240833.0579770813</v>
      </c>
      <c r="CE41" s="139">
        <f t="shared" ref="CE41:CE72" ca="1" si="87">IF($AZ41=0,0,-MIN(0,$AZ41*c_EquityShare.LP))</f>
        <v>0</v>
      </c>
      <c r="CF41" s="139" cm="1">
        <f t="array" aca="1" ref="CF41" ca="1">IF($D42=0,0,CD41*(c_rate.Hurdle2.MO))</f>
        <v>34305.967595922564</v>
      </c>
      <c r="CG41" s="139">
        <f t="shared" ref="CG41:CG72" ca="1" si="88">BV41+BW41</f>
        <v>0</v>
      </c>
      <c r="CH41" s="139">
        <f t="shared" ca="1" si="60"/>
        <v>0</v>
      </c>
      <c r="CI41" s="139">
        <f t="shared" ref="CI41:CI72" ca="1" si="89">CD41+CF41+CE41-CG41-CH41</f>
        <v>2275139.025573004</v>
      </c>
      <c r="CJ41" s="139">
        <f t="shared" ref="CJ41:CJ72" ca="1" si="90">-CE41+CG41+CH41</f>
        <v>0</v>
      </c>
      <c r="CK41" s="139">
        <f t="shared" ref="CK41:CK72" ca="1" si="91">BY41+CH41</f>
        <v>0</v>
      </c>
      <c r="CL41" s="139">
        <f t="shared" ca="1" si="61"/>
        <v>0</v>
      </c>
      <c r="CM41" s="139">
        <f t="shared" ref="CM41:CM72" ca="1" si="92">CK41+CL41</f>
        <v>0</v>
      </c>
      <c r="CN41" s="139">
        <f t="shared" ref="CN41:CN72" ca="1" si="93">IF(CM41&lt;0,0,MAX($AZ41-CM41,0))</f>
        <v>0</v>
      </c>
      <c r="CO41" s="516"/>
      <c r="CP41" s="139">
        <f t="shared" ca="1" si="62"/>
        <v>2487585.2345253732</v>
      </c>
      <c r="CQ41" s="139">
        <f t="shared" ref="CQ41:CQ72" ca="1" si="94">IF($AZ41=0,0,-MIN(0,$AZ41*c_EquityShare.LP))</f>
        <v>0</v>
      </c>
      <c r="CR41" s="139" cm="1">
        <f t="array" aca="1" ref="CR41" ca="1">IF($D42=0,0,CP41*(c_rate.Hurdle3.MO))</f>
        <v>46690.146779150702</v>
      </c>
      <c r="CS41" s="139">
        <f t="shared" ref="CS41:CS72" ca="1" si="95">CG41+CH41</f>
        <v>0</v>
      </c>
      <c r="CT41" s="139">
        <f t="shared" ca="1" si="63"/>
        <v>0</v>
      </c>
      <c r="CU41" s="139">
        <f t="shared" ref="CU41:CU72" ca="1" si="96">CP41+CR41+CQ41-CS41-CT41</f>
        <v>2534275.3813045239</v>
      </c>
      <c r="CV41" s="139">
        <f t="shared" ref="CV41:CV72" ca="1" si="97">-CQ41+CS41+CT41</f>
        <v>0</v>
      </c>
      <c r="CW41" s="139">
        <f t="shared" ca="1" si="64"/>
        <v>0</v>
      </c>
      <c r="CX41" s="139">
        <f t="shared" ca="1" si="65"/>
        <v>0</v>
      </c>
      <c r="CY41" s="139">
        <f t="shared" ca="1" si="66"/>
        <v>0</v>
      </c>
      <c r="CZ41" s="139">
        <f t="shared" ca="1" si="67"/>
        <v>0</v>
      </c>
      <c r="DA41" s="516"/>
      <c r="DB41" s="139">
        <f t="shared" ref="DB41:DB72" ca="1" si="98">$CZ41-DC41</f>
        <v>0</v>
      </c>
      <c r="DC41" s="139">
        <f t="shared" ref="DC41:DC72" ca="1" si="99">$CZ41*$BF$19</f>
        <v>0</v>
      </c>
      <c r="DD41" s="518"/>
      <c r="DE41" s="139">
        <f t="shared" ca="1" si="68"/>
        <v>0</v>
      </c>
      <c r="DF41" s="139">
        <f t="shared" ca="1" si="69"/>
        <v>0</v>
      </c>
      <c r="DG41" s="139">
        <f t="shared" ref="DG41:DG72" ca="1" si="100">SUM(DE41:DF41)</f>
        <v>0</v>
      </c>
      <c r="DH41" s="457"/>
      <c r="DI41" s="139">
        <f ca="1"/>
        <v>0</v>
      </c>
      <c r="DJ41" s="139">
        <f ca="1"/>
        <v>0</v>
      </c>
      <c r="DK41" s="139">
        <f ca="1"/>
        <v>0</v>
      </c>
      <c r="DL41" s="139">
        <f t="shared" ref="DL41:DL72" ca="1" si="101">BY41-BN41</f>
        <v>0</v>
      </c>
      <c r="DM41" s="139">
        <f t="shared" ref="DM41:DM72" ca="1" si="102">BZ41-BO41</f>
        <v>0</v>
      </c>
      <c r="DN41" s="139">
        <f t="shared" ref="DN41:DN72" ca="1" si="103">CK41-BY41</f>
        <v>0</v>
      </c>
      <c r="DO41" s="139">
        <f t="shared" ref="DO41:DO72" ca="1" si="104">CL41-BZ41</f>
        <v>0</v>
      </c>
      <c r="DP41" s="139">
        <f t="shared" ref="DP41:DP72" ca="1" si="105">CW41-CK41</f>
        <v>0</v>
      </c>
      <c r="DQ41" s="139">
        <f t="shared" ref="DQ41:DQ72" ca="1" si="106">CX41-CL41</f>
        <v>0</v>
      </c>
      <c r="DR41" s="139">
        <f ca="1"/>
        <v>0</v>
      </c>
      <c r="DS41" s="139">
        <f ca="1"/>
        <v>0</v>
      </c>
      <c r="DT41" s="139">
        <f t="shared" ref="DT41:DT72" ca="1" si="107">DJ41+DL41+DN41+DP41+DR41</f>
        <v>0</v>
      </c>
      <c r="DU41" s="139">
        <f t="shared" ref="DU41:DU72" ca="1" si="108">DK41+DM41+DO41+DQ41+DS41</f>
        <v>0</v>
      </c>
      <c r="DV41" s="457"/>
      <c r="DW41" s="457"/>
      <c r="DX41" s="139">
        <f ca="1"/>
        <v>0</v>
      </c>
      <c r="DY41" s="139">
        <f t="shared" ca="1" si="70"/>
        <v>0</v>
      </c>
      <c r="DZ41" s="139">
        <f t="shared" ref="DZ41:DZ72" ca="1" si="109">DL41+DM41</f>
        <v>0</v>
      </c>
      <c r="EA41" s="139">
        <f t="shared" ref="EA41:EA72" ca="1" si="110">DN41+DO41</f>
        <v>0</v>
      </c>
      <c r="EB41" s="139">
        <f t="shared" ref="EB41:EB72" ca="1" si="111">DP41+DQ41</f>
        <v>0</v>
      </c>
      <c r="EC41" s="139">
        <f t="shared" ref="EC41:EC72" ca="1" si="112">DR41+DS41</f>
        <v>0</v>
      </c>
      <c r="ED41" s="139">
        <f t="shared" ca="1" si="71"/>
        <v>0</v>
      </c>
      <c r="EE41" s="457"/>
      <c r="EF41" s="457"/>
    </row>
    <row r="42" spans="1:136" ht="17.25" thickTop="1" thickBot="1">
      <c r="A42" s="229">
        <f t="shared" si="72"/>
        <v>4286524.615384616</v>
      </c>
      <c r="B42" s="229">
        <f t="shared" ref="B42:B69" ca="1" si="113">IF(AZ42&gt;0,0,B41-AZ42)</f>
        <v>1873996.0345865386</v>
      </c>
      <c r="D42" s="186">
        <v>33</v>
      </c>
      <c r="E42" s="186">
        <v>11</v>
      </c>
      <c r="F42" s="186">
        <v>3</v>
      </c>
      <c r="G42" s="123">
        <v>46813</v>
      </c>
      <c r="H42" s="122" t="str">
        <v>Q1-28</v>
      </c>
      <c r="I42" s="122">
        <v>2028</v>
      </c>
      <c r="K42" s="140">
        <v>0</v>
      </c>
      <c r="L42" s="140">
        <v>0</v>
      </c>
      <c r="M42" s="140">
        <v>0</v>
      </c>
      <c r="N42" s="140">
        <v>0</v>
      </c>
      <c r="O42" s="140">
        <v>0</v>
      </c>
      <c r="P42" s="140">
        <v>100000</v>
      </c>
      <c r="Q42" s="140">
        <v>0</v>
      </c>
      <c r="R42" s="140">
        <v>0</v>
      </c>
      <c r="S42" s="140">
        <v>15384.615384615385</v>
      </c>
      <c r="T42" s="140">
        <v>115384.61538461539</v>
      </c>
      <c r="U42" s="136"/>
      <c r="V42" s="140">
        <v>166.66666666666666</v>
      </c>
      <c r="W42" s="140">
        <v>500</v>
      </c>
      <c r="X42" s="140">
        <v>333.33333333333331</v>
      </c>
      <c r="Y42" s="140">
        <v>480</v>
      </c>
      <c r="Z42" s="140">
        <v>4038.461538461539</v>
      </c>
      <c r="AA42" s="140">
        <v>18000</v>
      </c>
      <c r="AB42" s="140">
        <v>23518.461538461539</v>
      </c>
      <c r="AC42" s="137"/>
      <c r="AD42" s="140">
        <v>138903.07692307694</v>
      </c>
      <c r="AF42" s="140">
        <v>0</v>
      </c>
      <c r="AG42" s="140">
        <v>0</v>
      </c>
      <c r="AH42" s="140">
        <v>0</v>
      </c>
      <c r="AI42" s="140">
        <v>0</v>
      </c>
      <c r="AJ42" s="140">
        <v>-138903.07692307694</v>
      </c>
      <c r="AL42" s="140">
        <f t="shared" ca="1" si="74"/>
        <v>0</v>
      </c>
      <c r="AM42" s="140">
        <f t="shared" ref="AM42:AM69" ca="1" si="114">MIN(AD42,AL42)</f>
        <v>0</v>
      </c>
      <c r="AN42" s="140">
        <f t="shared" ca="1" si="75"/>
        <v>0</v>
      </c>
      <c r="AP42" s="140">
        <f t="shared" ca="1" si="50"/>
        <v>2655305.0670390204</v>
      </c>
      <c r="AQ42" s="140">
        <f t="shared" ca="1" si="77"/>
        <v>138903.07692307694</v>
      </c>
      <c r="AR42" s="140">
        <f ca="1">AT41*(Project!$P$13/12)</f>
        <v>19914.788002792651</v>
      </c>
      <c r="AS42" s="140">
        <f t="shared" si="78"/>
        <v>0</v>
      </c>
      <c r="AT42" s="140">
        <f t="shared" ca="1" si="11"/>
        <v>2814122.9319648901</v>
      </c>
      <c r="AV42" s="140">
        <v>-138903.07692307694</v>
      </c>
      <c r="AW42" s="140"/>
      <c r="AX42" s="140">
        <f ca="1"/>
        <v>138903.07692307694</v>
      </c>
      <c r="AY42" s="140">
        <f ca="1"/>
        <v>0</v>
      </c>
      <c r="AZ42" s="140">
        <f t="shared" ca="1" si="79"/>
        <v>0</v>
      </c>
      <c r="BC42" s="215" t="s">
        <v>269</v>
      </c>
      <c r="BE42" s="597">
        <f ca="1">-SUM(BF23:BF27)</f>
        <v>-163061.86262267781</v>
      </c>
      <c r="BH42" s="511"/>
      <c r="BI42" s="140">
        <f t="shared" ca="1" si="80"/>
        <v>1807880.5667347943</v>
      </c>
      <c r="BJ42" s="140">
        <f t="shared" ca="1" si="81"/>
        <v>0</v>
      </c>
      <c r="BK42" s="140" cm="1">
        <f t="array" aca="1" ref="BK42" ca="1">BI42*c_rate.Pref.MO</f>
        <v>14416.293517829374</v>
      </c>
      <c r="BL42" s="140">
        <f t="shared" ca="1" si="82"/>
        <v>0</v>
      </c>
      <c r="BM42" s="140">
        <f t="shared" ref="BM42:BM73" ca="1" si="115">BI42+BK42+BJ42-BL42</f>
        <v>1822296.8602526237</v>
      </c>
      <c r="BN42" s="140">
        <f t="shared" ref="BN42:BN73" ca="1" si="116">BL42-BJ42</f>
        <v>0</v>
      </c>
      <c r="BO42" s="140">
        <f t="shared" ref="BO42:BO73" ca="1" si="117">IF(BI42=0,0,IF(AZ42&lt;0,BN42/$BG$10*$BF$10,BL42/$BG$10*$BF$10))</f>
        <v>0</v>
      </c>
      <c r="BP42" s="140">
        <f t="shared" ref="BP42:BP73" ca="1" si="118">BN42+BO42</f>
        <v>0</v>
      </c>
      <c r="BQ42" s="140">
        <f t="shared" ca="1" si="83"/>
        <v>0</v>
      </c>
      <c r="BR42" s="516"/>
      <c r="BS42" s="140">
        <f t="shared" ref="BS42:BS73" ca="1" si="119">BX41</f>
        <v>2033162.8328559166</v>
      </c>
      <c r="BT42" s="140">
        <f t="shared" ca="1" si="84"/>
        <v>0</v>
      </c>
      <c r="BU42" s="140" cm="1">
        <f t="array" aca="1" ref="BU42" ca="1">IF(D42=0,0,BS42*(c_rate.Hurdle1.MO))</f>
        <v>23818.333671440807</v>
      </c>
      <c r="BV42" s="140">
        <f t="shared" ref="BV42:BV73" ca="1" si="120">BL42</f>
        <v>0</v>
      </c>
      <c r="BW42" s="140">
        <f t="shared" ca="1" si="85"/>
        <v>0</v>
      </c>
      <c r="BX42" s="140">
        <f t="shared" ref="BX42:BX73" ca="1" si="121">BS42+BT42+BU42-BV42-BW42</f>
        <v>2056981.1665273574</v>
      </c>
      <c r="BY42" s="140">
        <f t="shared" ref="BY42:BY73" ca="1" si="122">BN42+BW42</f>
        <v>0</v>
      </c>
      <c r="BZ42" s="140">
        <f t="shared" ref="BZ42:BZ73" ca="1" si="123">IF(BS42=0,0,BO42+BW42/$BG$16*$BF$16)</f>
        <v>0</v>
      </c>
      <c r="CA42" s="140">
        <f t="shared" ca="1" si="86"/>
        <v>0</v>
      </c>
      <c r="CB42" s="140">
        <f t="shared" ref="CB42:CB73" ca="1" si="124">IF(CA42&lt;0,0,MAX($AZ42-CA42,0))</f>
        <v>0</v>
      </c>
      <c r="CC42" s="516"/>
      <c r="CD42" s="140">
        <f t="shared" ref="CD42:CD73" ca="1" si="125">CI41</f>
        <v>2275139.025573004</v>
      </c>
      <c r="CE42" s="140">
        <f t="shared" ca="1" si="87"/>
        <v>0</v>
      </c>
      <c r="CF42" s="140" cm="1">
        <f t="array" aca="1" ref="CF42" ca="1">IF($D43=0,0,CD42*(c_rate.Hurdle2.MO))</f>
        <v>34831.173794797076</v>
      </c>
      <c r="CG42" s="140">
        <f t="shared" ca="1" si="88"/>
        <v>0</v>
      </c>
      <c r="CH42" s="140">
        <f t="shared" ref="CH42:CH73" ca="1" si="126">IF(CB42=0,0,MIN(CD42+CE42+CF42-CG42,CB42*CD$7))</f>
        <v>0</v>
      </c>
      <c r="CI42" s="140">
        <f t="shared" ca="1" si="89"/>
        <v>2309970.1993678012</v>
      </c>
      <c r="CJ42" s="140">
        <f t="shared" ca="1" si="90"/>
        <v>0</v>
      </c>
      <c r="CK42" s="140">
        <f t="shared" ca="1" si="91"/>
        <v>0</v>
      </c>
      <c r="CL42" s="140">
        <f t="shared" ref="CL42:CL73" ca="1" si="127">IF(CD42=0,0,BZ42+CH42/$BG$17*$BF$17)</f>
        <v>0</v>
      </c>
      <c r="CM42" s="140">
        <f t="shared" ca="1" si="92"/>
        <v>0</v>
      </c>
      <c r="CN42" s="140">
        <f t="shared" ca="1" si="93"/>
        <v>0</v>
      </c>
      <c r="CO42" s="516"/>
      <c r="CP42" s="140">
        <f t="shared" ref="CP42:CP73" ca="1" si="128">CU41</f>
        <v>2534275.3813045239</v>
      </c>
      <c r="CQ42" s="140">
        <f t="shared" ca="1" si="94"/>
        <v>0</v>
      </c>
      <c r="CR42" s="140" cm="1">
        <f t="array" aca="1" ref="CR42" ca="1">IF($D43=0,0,CP42*(c_rate.Hurdle3.MO))</f>
        <v>47566.486522610619</v>
      </c>
      <c r="CS42" s="140">
        <f t="shared" ca="1" si="95"/>
        <v>0</v>
      </c>
      <c r="CT42" s="140">
        <f t="shared" ref="CT42:CT73" ca="1" si="129">IF(CP42=0,0,MIN(CP42+CQ42+CR42-CS42,CN42*CP$7))</f>
        <v>0</v>
      </c>
      <c r="CU42" s="140">
        <f t="shared" ca="1" si="96"/>
        <v>2581841.8678271347</v>
      </c>
      <c r="CV42" s="140">
        <f t="shared" ca="1" si="97"/>
        <v>0</v>
      </c>
      <c r="CW42" s="140">
        <f t="shared" ref="CW42:CW73" ca="1" si="130">CK42+CT42</f>
        <v>0</v>
      </c>
      <c r="CX42" s="140">
        <f t="shared" ref="CX42:CX73" ca="1" si="131">IF(CP42=0,0,CL42+CT42/$BG$18*$BF$18)</f>
        <v>0</v>
      </c>
      <c r="CY42" s="140">
        <f t="shared" ref="CY42:CY73" ca="1" si="132">CW42+CX42</f>
        <v>0</v>
      </c>
      <c r="CZ42" s="140">
        <f t="shared" ref="CZ42:CZ73" ca="1" si="133">IF(CY42&lt;0,0,MAX($AZ42-CY42,0))</f>
        <v>0</v>
      </c>
      <c r="DA42" s="516"/>
      <c r="DB42" s="140">
        <f t="shared" ca="1" si="98"/>
        <v>0</v>
      </c>
      <c r="DC42" s="140">
        <f t="shared" ca="1" si="99"/>
        <v>0</v>
      </c>
      <c r="DD42" s="518"/>
      <c r="DE42" s="140">
        <f t="shared" ref="DE42:DE73" ca="1" si="134">CW42+DB42</f>
        <v>0</v>
      </c>
      <c r="DF42" s="140">
        <f t="shared" ref="DF42:DF73" ca="1" si="135">CX42+DC42</f>
        <v>0</v>
      </c>
      <c r="DG42" s="140">
        <f t="shared" ca="1" si="100"/>
        <v>0</v>
      </c>
      <c r="DH42" s="457"/>
      <c r="DI42" s="140">
        <f ca="1"/>
        <v>0</v>
      </c>
      <c r="DJ42" s="140">
        <f ca="1"/>
        <v>0</v>
      </c>
      <c r="DK42" s="140">
        <f ca="1"/>
        <v>0</v>
      </c>
      <c r="DL42" s="140">
        <f t="shared" ca="1" si="101"/>
        <v>0</v>
      </c>
      <c r="DM42" s="140">
        <f t="shared" ca="1" si="102"/>
        <v>0</v>
      </c>
      <c r="DN42" s="140">
        <f t="shared" ca="1" si="103"/>
        <v>0</v>
      </c>
      <c r="DO42" s="140">
        <f t="shared" ca="1" si="104"/>
        <v>0</v>
      </c>
      <c r="DP42" s="140">
        <f t="shared" ca="1" si="105"/>
        <v>0</v>
      </c>
      <c r="DQ42" s="140">
        <f t="shared" ca="1" si="106"/>
        <v>0</v>
      </c>
      <c r="DR42" s="140">
        <f ca="1"/>
        <v>0</v>
      </c>
      <c r="DS42" s="140">
        <f ca="1"/>
        <v>0</v>
      </c>
      <c r="DT42" s="140">
        <f t="shared" ca="1" si="107"/>
        <v>0</v>
      </c>
      <c r="DU42" s="140">
        <f t="shared" ca="1" si="108"/>
        <v>0</v>
      </c>
      <c r="DV42" s="457"/>
      <c r="DW42" s="457"/>
      <c r="DX42" s="140">
        <f ca="1"/>
        <v>0</v>
      </c>
      <c r="DY42" s="140">
        <f t="shared" ref="DY42:DY73" ca="1" si="136">DJ42+DK42</f>
        <v>0</v>
      </c>
      <c r="DZ42" s="140">
        <f t="shared" ca="1" si="109"/>
        <v>0</v>
      </c>
      <c r="EA42" s="140">
        <f t="shared" ca="1" si="110"/>
        <v>0</v>
      </c>
      <c r="EB42" s="140">
        <f t="shared" ca="1" si="111"/>
        <v>0</v>
      </c>
      <c r="EC42" s="140">
        <f t="shared" ca="1" si="112"/>
        <v>0</v>
      </c>
      <c r="ED42" s="140">
        <f t="shared" ref="ED42:ED73" ca="1" si="137">SUM(DY42:EC42)</f>
        <v>0</v>
      </c>
      <c r="EE42" s="457"/>
      <c r="EF42" s="457"/>
    </row>
    <row r="43" spans="1:136" ht="17.25" thickTop="1" thickBot="1">
      <c r="A43" s="230">
        <f t="shared" si="72"/>
        <v>4321927.692307693</v>
      </c>
      <c r="B43" s="230">
        <f t="shared" ca="1" si="113"/>
        <v>1873996.0345865386</v>
      </c>
      <c r="D43" s="187">
        <v>34</v>
      </c>
      <c r="E43" s="187">
        <v>12</v>
      </c>
      <c r="F43" s="187">
        <v>3</v>
      </c>
      <c r="G43" s="125">
        <v>46844</v>
      </c>
      <c r="H43" s="124" t="str">
        <v>Q2-28</v>
      </c>
      <c r="I43" s="124">
        <v>2028</v>
      </c>
      <c r="K43" s="141">
        <v>0</v>
      </c>
      <c r="L43" s="141">
        <v>0</v>
      </c>
      <c r="M43" s="141">
        <v>0</v>
      </c>
      <c r="N43" s="141">
        <v>0</v>
      </c>
      <c r="O43" s="141">
        <v>0</v>
      </c>
      <c r="P43" s="141">
        <v>0</v>
      </c>
      <c r="Q43" s="141">
        <v>0</v>
      </c>
      <c r="R43" s="141">
        <v>0</v>
      </c>
      <c r="S43" s="141">
        <v>15384.615384615385</v>
      </c>
      <c r="T43" s="141">
        <v>15384.615384615385</v>
      </c>
      <c r="U43" s="136"/>
      <c r="V43" s="141">
        <v>166.66666666666666</v>
      </c>
      <c r="W43" s="141">
        <v>500</v>
      </c>
      <c r="X43" s="141">
        <v>333.33333333333331</v>
      </c>
      <c r="Y43" s="141">
        <v>480</v>
      </c>
      <c r="Z43" s="141">
        <v>538.46153846153857</v>
      </c>
      <c r="AA43" s="141">
        <v>18000</v>
      </c>
      <c r="AB43" s="141">
        <v>20018.461538461539</v>
      </c>
      <c r="AC43" s="137"/>
      <c r="AD43" s="141">
        <v>35403.076923076922</v>
      </c>
      <c r="AF43" s="141">
        <v>0</v>
      </c>
      <c r="AG43" s="141">
        <v>0</v>
      </c>
      <c r="AH43" s="141">
        <v>0</v>
      </c>
      <c r="AI43" s="141">
        <v>0</v>
      </c>
      <c r="AJ43" s="141">
        <v>-35403.076923076922</v>
      </c>
      <c r="AL43" s="141">
        <f t="shared" ca="1" si="74"/>
        <v>0</v>
      </c>
      <c r="AM43" s="141">
        <f t="shared" ca="1" si="114"/>
        <v>0</v>
      </c>
      <c r="AN43" s="141">
        <f t="shared" ca="1" si="75"/>
        <v>0</v>
      </c>
      <c r="AP43" s="141">
        <f t="shared" ca="1" si="50"/>
        <v>2814122.9319648901</v>
      </c>
      <c r="AQ43" s="141">
        <f t="shared" ca="1" si="77"/>
        <v>35403.076923076922</v>
      </c>
      <c r="AR43" s="141">
        <f ca="1">AT42*(Project!$P$13/12)</f>
        <v>21105.921989736675</v>
      </c>
      <c r="AS43" s="141">
        <f t="shared" si="78"/>
        <v>0</v>
      </c>
      <c r="AT43" s="141">
        <f t="shared" ca="1" si="11"/>
        <v>2870631.9308777037</v>
      </c>
      <c r="AV43" s="141">
        <v>-35403.076923076922</v>
      </c>
      <c r="AW43" s="141"/>
      <c r="AX43" s="141">
        <f ca="1"/>
        <v>35403.076923076922</v>
      </c>
      <c r="AY43" s="141">
        <f ca="1"/>
        <v>0</v>
      </c>
      <c r="AZ43" s="141">
        <f t="shared" ca="1" si="79"/>
        <v>0</v>
      </c>
      <c r="BC43" s="215" t="s">
        <v>270</v>
      </c>
      <c r="BE43" s="601">
        <f ca="1">-SUM(BG23:BG27)</f>
        <v>-489185.58786803344</v>
      </c>
      <c r="BI43" s="141">
        <f t="shared" ca="1" si="80"/>
        <v>1822296.8602526237</v>
      </c>
      <c r="BJ43" s="141">
        <f t="shared" ca="1" si="81"/>
        <v>0</v>
      </c>
      <c r="BK43" s="141" cm="1">
        <f t="array" aca="1" ref="BK43" ca="1">BI43*c_rate.Pref.MO</f>
        <v>14531.25106680484</v>
      </c>
      <c r="BL43" s="141">
        <f t="shared" ca="1" si="82"/>
        <v>0</v>
      </c>
      <c r="BM43" s="141">
        <f t="shared" ca="1" si="115"/>
        <v>1836828.1113194285</v>
      </c>
      <c r="BN43" s="141">
        <f t="shared" ca="1" si="116"/>
        <v>0</v>
      </c>
      <c r="BO43" s="141">
        <f t="shared" ca="1" si="117"/>
        <v>0</v>
      </c>
      <c r="BP43" s="141">
        <f t="shared" ca="1" si="118"/>
        <v>0</v>
      </c>
      <c r="BQ43" s="141">
        <f t="shared" ca="1" si="83"/>
        <v>0</v>
      </c>
      <c r="BR43" s="516"/>
      <c r="BS43" s="141">
        <f t="shared" ca="1" si="119"/>
        <v>2056981.1665273574</v>
      </c>
      <c r="BT43" s="141">
        <f t="shared" ca="1" si="84"/>
        <v>0</v>
      </c>
      <c r="BU43" s="141" cm="1">
        <f t="array" aca="1" ref="BU43" ca="1">IF(D43=0,0,BS43*(c_rate.Hurdle1.MO))</f>
        <v>24097.363471571083</v>
      </c>
      <c r="BV43" s="141">
        <f t="shared" ca="1" si="120"/>
        <v>0</v>
      </c>
      <c r="BW43" s="141">
        <f t="shared" ca="1" si="85"/>
        <v>0</v>
      </c>
      <c r="BX43" s="141">
        <f t="shared" ca="1" si="121"/>
        <v>2081078.5299989285</v>
      </c>
      <c r="BY43" s="141">
        <f t="shared" ca="1" si="122"/>
        <v>0</v>
      </c>
      <c r="BZ43" s="141">
        <f t="shared" ca="1" si="123"/>
        <v>0</v>
      </c>
      <c r="CA43" s="141">
        <f t="shared" ca="1" si="86"/>
        <v>0</v>
      </c>
      <c r="CB43" s="141">
        <f t="shared" ca="1" si="124"/>
        <v>0</v>
      </c>
      <c r="CC43" s="516"/>
      <c r="CD43" s="141">
        <f t="shared" ca="1" si="125"/>
        <v>2309970.1993678012</v>
      </c>
      <c r="CE43" s="141">
        <f t="shared" ca="1" si="87"/>
        <v>0</v>
      </c>
      <c r="CF43" s="141" cm="1">
        <f t="array" aca="1" ref="CF43" ca="1">IF($D44=0,0,CD43*(c_rate.Hurdle2.MO))</f>
        <v>35364.420622479534</v>
      </c>
      <c r="CG43" s="141">
        <f t="shared" ca="1" si="88"/>
        <v>0</v>
      </c>
      <c r="CH43" s="141">
        <f t="shared" ca="1" si="126"/>
        <v>0</v>
      </c>
      <c r="CI43" s="141">
        <f t="shared" ca="1" si="89"/>
        <v>2345334.6199902808</v>
      </c>
      <c r="CJ43" s="141">
        <f t="shared" ca="1" si="90"/>
        <v>0</v>
      </c>
      <c r="CK43" s="141">
        <f t="shared" ca="1" si="91"/>
        <v>0</v>
      </c>
      <c r="CL43" s="141">
        <f t="shared" ca="1" si="127"/>
        <v>0</v>
      </c>
      <c r="CM43" s="141">
        <f t="shared" ca="1" si="92"/>
        <v>0</v>
      </c>
      <c r="CN43" s="141">
        <f t="shared" ca="1" si="93"/>
        <v>0</v>
      </c>
      <c r="CO43" s="516"/>
      <c r="CP43" s="141">
        <f t="shared" ca="1" si="128"/>
        <v>2581841.8678271347</v>
      </c>
      <c r="CQ43" s="141">
        <f t="shared" ca="1" si="94"/>
        <v>0</v>
      </c>
      <c r="CR43" s="141" cm="1">
        <f t="array" aca="1" ref="CR43" ca="1">IF($D44=0,0,CP43*(c_rate.Hurdle3.MO))</f>
        <v>48459.274519052051</v>
      </c>
      <c r="CS43" s="141">
        <f t="shared" ca="1" si="95"/>
        <v>0</v>
      </c>
      <c r="CT43" s="141">
        <f t="shared" ca="1" si="129"/>
        <v>0</v>
      </c>
      <c r="CU43" s="141">
        <f t="shared" ca="1" si="96"/>
        <v>2630301.1423461866</v>
      </c>
      <c r="CV43" s="141">
        <f t="shared" ca="1" si="97"/>
        <v>0</v>
      </c>
      <c r="CW43" s="141">
        <f t="shared" ca="1" si="130"/>
        <v>0</v>
      </c>
      <c r="CX43" s="141">
        <f t="shared" ca="1" si="131"/>
        <v>0</v>
      </c>
      <c r="CY43" s="141">
        <f t="shared" ca="1" si="132"/>
        <v>0</v>
      </c>
      <c r="CZ43" s="141">
        <f t="shared" ca="1" si="133"/>
        <v>0</v>
      </c>
      <c r="DA43" s="516"/>
      <c r="DB43" s="141">
        <f t="shared" ca="1" si="98"/>
        <v>0</v>
      </c>
      <c r="DC43" s="141">
        <f t="shared" ca="1" si="99"/>
        <v>0</v>
      </c>
      <c r="DD43" s="518"/>
      <c r="DE43" s="141">
        <f t="shared" ca="1" si="134"/>
        <v>0</v>
      </c>
      <c r="DF43" s="141">
        <f t="shared" ca="1" si="135"/>
        <v>0</v>
      </c>
      <c r="DG43" s="141">
        <f t="shared" ca="1" si="100"/>
        <v>0</v>
      </c>
      <c r="DH43" s="457"/>
      <c r="DI43" s="141">
        <f ca="1"/>
        <v>0</v>
      </c>
      <c r="DJ43" s="141">
        <f ca="1"/>
        <v>0</v>
      </c>
      <c r="DK43" s="141">
        <f ca="1"/>
        <v>0</v>
      </c>
      <c r="DL43" s="141">
        <f t="shared" ca="1" si="101"/>
        <v>0</v>
      </c>
      <c r="DM43" s="141">
        <f t="shared" ca="1" si="102"/>
        <v>0</v>
      </c>
      <c r="DN43" s="141">
        <f t="shared" ca="1" si="103"/>
        <v>0</v>
      </c>
      <c r="DO43" s="141">
        <f t="shared" ca="1" si="104"/>
        <v>0</v>
      </c>
      <c r="DP43" s="141">
        <f t="shared" ca="1" si="105"/>
        <v>0</v>
      </c>
      <c r="DQ43" s="141">
        <f t="shared" ca="1" si="106"/>
        <v>0</v>
      </c>
      <c r="DR43" s="141">
        <f ca="1"/>
        <v>0</v>
      </c>
      <c r="DS43" s="141">
        <f ca="1"/>
        <v>0</v>
      </c>
      <c r="DT43" s="141">
        <f t="shared" ca="1" si="107"/>
        <v>0</v>
      </c>
      <c r="DU43" s="141">
        <f t="shared" ca="1" si="108"/>
        <v>0</v>
      </c>
      <c r="DV43" s="457"/>
      <c r="DW43" s="457"/>
      <c r="DX43" s="141">
        <f ca="1"/>
        <v>0</v>
      </c>
      <c r="DY43" s="141">
        <f t="shared" ca="1" si="136"/>
        <v>0</v>
      </c>
      <c r="DZ43" s="141">
        <f t="shared" ca="1" si="109"/>
        <v>0</v>
      </c>
      <c r="EA43" s="141">
        <f t="shared" ca="1" si="110"/>
        <v>0</v>
      </c>
      <c r="EB43" s="141">
        <f t="shared" ca="1" si="111"/>
        <v>0</v>
      </c>
      <c r="EC43" s="141">
        <f t="shared" ca="1" si="112"/>
        <v>0</v>
      </c>
      <c r="ED43" s="141">
        <f t="shared" ca="1" si="137"/>
        <v>0</v>
      </c>
      <c r="EE43" s="457"/>
      <c r="EF43" s="457"/>
    </row>
    <row r="44" spans="1:136" ht="17.25" thickTop="1" thickBot="1">
      <c r="A44" s="228">
        <f t="shared" si="72"/>
        <v>4495330.7692307699</v>
      </c>
      <c r="B44" s="228">
        <f t="shared" ca="1" si="113"/>
        <v>1873996.0345865386</v>
      </c>
      <c r="D44" s="184">
        <v>35</v>
      </c>
      <c r="E44" s="184">
        <v>12</v>
      </c>
      <c r="F44" s="184">
        <v>3</v>
      </c>
      <c r="G44" s="121">
        <v>46874</v>
      </c>
      <c r="H44" s="118" t="str">
        <v>Q2-28</v>
      </c>
      <c r="I44" s="118">
        <v>2028</v>
      </c>
      <c r="K44" s="139">
        <v>0</v>
      </c>
      <c r="L44" s="139">
        <v>0</v>
      </c>
      <c r="M44" s="139">
        <v>0</v>
      </c>
      <c r="N44" s="139">
        <v>0</v>
      </c>
      <c r="O44" s="139">
        <v>0</v>
      </c>
      <c r="P44" s="139">
        <v>0</v>
      </c>
      <c r="Q44" s="139">
        <v>133333.33333333334</v>
      </c>
      <c r="R44" s="139">
        <v>0</v>
      </c>
      <c r="S44" s="139">
        <v>15384.615384615385</v>
      </c>
      <c r="T44" s="139">
        <v>148717.94871794872</v>
      </c>
      <c r="U44" s="136"/>
      <c r="V44" s="139">
        <v>166.66666666666666</v>
      </c>
      <c r="W44" s="139">
        <v>500</v>
      </c>
      <c r="X44" s="139">
        <v>333.33333333333331</v>
      </c>
      <c r="Y44" s="139">
        <v>480</v>
      </c>
      <c r="Z44" s="139">
        <v>5205.128205128206</v>
      </c>
      <c r="AA44" s="139">
        <v>18000</v>
      </c>
      <c r="AB44" s="139">
        <v>24685.128205128207</v>
      </c>
      <c r="AC44" s="137"/>
      <c r="AD44" s="139">
        <v>173403.07692307694</v>
      </c>
      <c r="AF44" s="139">
        <v>0</v>
      </c>
      <c r="AG44" s="139">
        <v>0</v>
      </c>
      <c r="AH44" s="139">
        <v>0</v>
      </c>
      <c r="AI44" s="139">
        <v>0</v>
      </c>
      <c r="AJ44" s="139">
        <v>-173403.07692307694</v>
      </c>
      <c r="AL44" s="139">
        <f t="shared" ca="1" si="74"/>
        <v>0</v>
      </c>
      <c r="AM44" s="139">
        <f t="shared" ca="1" si="114"/>
        <v>0</v>
      </c>
      <c r="AN44" s="139">
        <f t="shared" ca="1" si="75"/>
        <v>0</v>
      </c>
      <c r="AP44" s="139">
        <f t="shared" ca="1" si="50"/>
        <v>2870631.9308777037</v>
      </c>
      <c r="AQ44" s="139">
        <f t="shared" ca="1" si="77"/>
        <v>173403.07692307694</v>
      </c>
      <c r="AR44" s="139">
        <f ca="1">AT43*(Project!$P$13/12)</f>
        <v>21529.739481582776</v>
      </c>
      <c r="AS44" s="139">
        <f t="shared" si="78"/>
        <v>0</v>
      </c>
      <c r="AT44" s="139">
        <f t="shared" ca="1" si="11"/>
        <v>3065564.7472823635</v>
      </c>
      <c r="AV44" s="139">
        <v>-173403.07692307694</v>
      </c>
      <c r="AW44" s="139"/>
      <c r="AX44" s="139">
        <f ca="1"/>
        <v>173403.07692307694</v>
      </c>
      <c r="AY44" s="139">
        <f ca="1"/>
        <v>0</v>
      </c>
      <c r="AZ44" s="139">
        <f t="shared" ca="1" si="79"/>
        <v>0</v>
      </c>
      <c r="BC44" s="595" t="s">
        <v>229</v>
      </c>
      <c r="BD44" s="596" t="str">
        <f ca="1">IF(BE44=0,"R","T")</f>
        <v>R</v>
      </c>
      <c r="BE44" s="594">
        <f ca="1">SUM(BE41:BE43)</f>
        <v>0</v>
      </c>
      <c r="BI44" s="139">
        <f t="shared" ca="1" si="80"/>
        <v>1836828.1113194285</v>
      </c>
      <c r="BJ44" s="139">
        <f t="shared" ca="1" si="81"/>
        <v>0</v>
      </c>
      <c r="BK44" s="139" cm="1">
        <f t="array" aca="1" ref="BK44" ca="1">BI44*c_rate.Pref.MO</f>
        <v>14647.1253034192</v>
      </c>
      <c r="BL44" s="139">
        <f t="shared" ca="1" si="82"/>
        <v>0</v>
      </c>
      <c r="BM44" s="139">
        <f t="shared" ca="1" si="115"/>
        <v>1851475.2366228478</v>
      </c>
      <c r="BN44" s="139">
        <f t="shared" ca="1" si="116"/>
        <v>0</v>
      </c>
      <c r="BO44" s="139">
        <f t="shared" ca="1" si="117"/>
        <v>0</v>
      </c>
      <c r="BP44" s="139">
        <f t="shared" ca="1" si="118"/>
        <v>0</v>
      </c>
      <c r="BQ44" s="139">
        <f t="shared" ca="1" si="83"/>
        <v>0</v>
      </c>
      <c r="BR44" s="516"/>
      <c r="BS44" s="139">
        <f t="shared" ca="1" si="119"/>
        <v>2081078.5299989285</v>
      </c>
      <c r="BT44" s="139">
        <f t="shared" ca="1" si="84"/>
        <v>0</v>
      </c>
      <c r="BU44" s="139" cm="1">
        <f t="array" aca="1" ref="BU44" ca="1">IF(D44=0,0,BS44*(c_rate.Hurdle1.MO))</f>
        <v>24379.662082628049</v>
      </c>
      <c r="BV44" s="139">
        <f t="shared" ca="1" si="120"/>
        <v>0</v>
      </c>
      <c r="BW44" s="139">
        <f t="shared" ca="1" si="85"/>
        <v>0</v>
      </c>
      <c r="BX44" s="139">
        <f t="shared" ca="1" si="121"/>
        <v>2105458.1920815567</v>
      </c>
      <c r="BY44" s="139">
        <f t="shared" ca="1" si="122"/>
        <v>0</v>
      </c>
      <c r="BZ44" s="139">
        <f t="shared" ca="1" si="123"/>
        <v>0</v>
      </c>
      <c r="CA44" s="139">
        <f t="shared" ca="1" si="86"/>
        <v>0</v>
      </c>
      <c r="CB44" s="139">
        <f t="shared" ca="1" si="124"/>
        <v>0</v>
      </c>
      <c r="CC44" s="516"/>
      <c r="CD44" s="139">
        <f t="shared" ca="1" si="125"/>
        <v>2345334.6199902808</v>
      </c>
      <c r="CE44" s="139">
        <f t="shared" ca="1" si="87"/>
        <v>0</v>
      </c>
      <c r="CF44" s="139" cm="1">
        <f t="array" aca="1" ref="CF44" ca="1">IF($D45=0,0,CD44*(c_rate.Hurdle2.MO))</f>
        <v>35905.83117673947</v>
      </c>
      <c r="CG44" s="139">
        <f t="shared" ca="1" si="88"/>
        <v>0</v>
      </c>
      <c r="CH44" s="139">
        <f t="shared" ca="1" si="126"/>
        <v>0</v>
      </c>
      <c r="CI44" s="139">
        <f t="shared" ca="1" si="89"/>
        <v>2381240.4511670205</v>
      </c>
      <c r="CJ44" s="139">
        <f t="shared" ca="1" si="90"/>
        <v>0</v>
      </c>
      <c r="CK44" s="139">
        <f t="shared" ca="1" si="91"/>
        <v>0</v>
      </c>
      <c r="CL44" s="139">
        <f t="shared" ca="1" si="127"/>
        <v>0</v>
      </c>
      <c r="CM44" s="139">
        <f t="shared" ca="1" si="92"/>
        <v>0</v>
      </c>
      <c r="CN44" s="139">
        <f t="shared" ca="1" si="93"/>
        <v>0</v>
      </c>
      <c r="CO44" s="516"/>
      <c r="CP44" s="139">
        <f t="shared" ca="1" si="128"/>
        <v>2630301.1423461866</v>
      </c>
      <c r="CQ44" s="139">
        <f t="shared" ca="1" si="94"/>
        <v>0</v>
      </c>
      <c r="CR44" s="139" cm="1">
        <f t="array" aca="1" ref="CR44" ca="1">IF($D45=0,0,CP44*(c_rate.Hurdle3.MO))</f>
        <v>49368.819490095979</v>
      </c>
      <c r="CS44" s="139">
        <f t="shared" ca="1" si="95"/>
        <v>0</v>
      </c>
      <c r="CT44" s="139">
        <f t="shared" ca="1" si="129"/>
        <v>0</v>
      </c>
      <c r="CU44" s="139">
        <f t="shared" ca="1" si="96"/>
        <v>2679669.9618362826</v>
      </c>
      <c r="CV44" s="139">
        <f t="shared" ca="1" si="97"/>
        <v>0</v>
      </c>
      <c r="CW44" s="139">
        <f t="shared" ca="1" si="130"/>
        <v>0</v>
      </c>
      <c r="CX44" s="139">
        <f t="shared" ca="1" si="131"/>
        <v>0</v>
      </c>
      <c r="CY44" s="139">
        <f t="shared" ca="1" si="132"/>
        <v>0</v>
      </c>
      <c r="CZ44" s="139">
        <f t="shared" ca="1" si="133"/>
        <v>0</v>
      </c>
      <c r="DA44" s="516"/>
      <c r="DB44" s="139">
        <f t="shared" ca="1" si="98"/>
        <v>0</v>
      </c>
      <c r="DC44" s="139">
        <f t="shared" ca="1" si="99"/>
        <v>0</v>
      </c>
      <c r="DD44" s="518"/>
      <c r="DE44" s="139">
        <f t="shared" ca="1" si="134"/>
        <v>0</v>
      </c>
      <c r="DF44" s="139">
        <f t="shared" ca="1" si="135"/>
        <v>0</v>
      </c>
      <c r="DG44" s="139">
        <f t="shared" ca="1" si="100"/>
        <v>0</v>
      </c>
      <c r="DH44" s="457"/>
      <c r="DI44" s="139">
        <f ca="1"/>
        <v>0</v>
      </c>
      <c r="DJ44" s="139">
        <f ca="1"/>
        <v>0</v>
      </c>
      <c r="DK44" s="139">
        <f ca="1"/>
        <v>0</v>
      </c>
      <c r="DL44" s="139">
        <f t="shared" ca="1" si="101"/>
        <v>0</v>
      </c>
      <c r="DM44" s="139">
        <f t="shared" ca="1" si="102"/>
        <v>0</v>
      </c>
      <c r="DN44" s="139">
        <f t="shared" ca="1" si="103"/>
        <v>0</v>
      </c>
      <c r="DO44" s="139">
        <f t="shared" ca="1" si="104"/>
        <v>0</v>
      </c>
      <c r="DP44" s="139">
        <f t="shared" ca="1" si="105"/>
        <v>0</v>
      </c>
      <c r="DQ44" s="139">
        <f t="shared" ca="1" si="106"/>
        <v>0</v>
      </c>
      <c r="DR44" s="139">
        <f ca="1"/>
        <v>0</v>
      </c>
      <c r="DS44" s="139">
        <f ca="1"/>
        <v>0</v>
      </c>
      <c r="DT44" s="139">
        <f t="shared" ca="1" si="107"/>
        <v>0</v>
      </c>
      <c r="DU44" s="139">
        <f t="shared" ca="1" si="108"/>
        <v>0</v>
      </c>
      <c r="DV44" s="457"/>
      <c r="DW44" s="457"/>
      <c r="DX44" s="139">
        <f ca="1"/>
        <v>0</v>
      </c>
      <c r="DY44" s="139">
        <f t="shared" ca="1" si="136"/>
        <v>0</v>
      </c>
      <c r="DZ44" s="139">
        <f t="shared" ca="1" si="109"/>
        <v>0</v>
      </c>
      <c r="EA44" s="139">
        <f t="shared" ca="1" si="110"/>
        <v>0</v>
      </c>
      <c r="EB44" s="139">
        <f t="shared" ca="1" si="111"/>
        <v>0</v>
      </c>
      <c r="EC44" s="139">
        <f t="shared" ca="1" si="112"/>
        <v>0</v>
      </c>
      <c r="ED44" s="139">
        <f t="shared" ca="1" si="137"/>
        <v>0</v>
      </c>
      <c r="EE44" s="457"/>
      <c r="EF44" s="457"/>
    </row>
    <row r="45" spans="1:136" ht="17.25" thickTop="1" thickBot="1">
      <c r="A45" s="231">
        <f t="shared" si="72"/>
        <v>4668733.8461538469</v>
      </c>
      <c r="B45" s="231">
        <f t="shared" ca="1" si="113"/>
        <v>1873996.0345865386</v>
      </c>
      <c r="D45" s="188">
        <v>36</v>
      </c>
      <c r="E45" s="188">
        <v>12</v>
      </c>
      <c r="F45" s="188">
        <v>3</v>
      </c>
      <c r="G45" s="127">
        <v>46905</v>
      </c>
      <c r="H45" s="126" t="str">
        <v>Q2-28</v>
      </c>
      <c r="I45" s="126">
        <v>2028</v>
      </c>
      <c r="K45" s="142">
        <v>0</v>
      </c>
      <c r="L45" s="142">
        <v>0</v>
      </c>
      <c r="M45" s="142">
        <v>0</v>
      </c>
      <c r="N45" s="142">
        <v>0</v>
      </c>
      <c r="O45" s="142">
        <v>0</v>
      </c>
      <c r="P45" s="142">
        <v>0</v>
      </c>
      <c r="Q45" s="142">
        <v>133333.33333333334</v>
      </c>
      <c r="R45" s="142">
        <v>0</v>
      </c>
      <c r="S45" s="142">
        <v>15384.615384615385</v>
      </c>
      <c r="T45" s="142">
        <v>148717.94871794872</v>
      </c>
      <c r="U45" s="136"/>
      <c r="V45" s="142">
        <v>166.66666666666666</v>
      </c>
      <c r="W45" s="142">
        <v>500</v>
      </c>
      <c r="X45" s="142">
        <v>333.33333333333331</v>
      </c>
      <c r="Y45" s="142">
        <v>480</v>
      </c>
      <c r="Z45" s="142">
        <v>5205.128205128206</v>
      </c>
      <c r="AA45" s="142">
        <v>18000</v>
      </c>
      <c r="AB45" s="142">
        <v>24685.128205128207</v>
      </c>
      <c r="AC45" s="137"/>
      <c r="AD45" s="142">
        <v>173403.07692307694</v>
      </c>
      <c r="AF45" s="142">
        <v>0</v>
      </c>
      <c r="AG45" s="142">
        <v>0</v>
      </c>
      <c r="AH45" s="142">
        <v>0</v>
      </c>
      <c r="AI45" s="142">
        <v>0</v>
      </c>
      <c r="AJ45" s="142">
        <v>-173403.07692307694</v>
      </c>
      <c r="AL45" s="142">
        <f t="shared" ca="1" si="74"/>
        <v>0</v>
      </c>
      <c r="AM45" s="142">
        <f t="shared" ca="1" si="114"/>
        <v>0</v>
      </c>
      <c r="AN45" s="142">
        <f t="shared" ca="1" si="75"/>
        <v>0</v>
      </c>
      <c r="AP45" s="142">
        <f t="shared" ca="1" si="50"/>
        <v>3065564.7472823635</v>
      </c>
      <c r="AQ45" s="142">
        <f t="shared" ca="1" si="77"/>
        <v>173403.07692307694</v>
      </c>
      <c r="AR45" s="142">
        <f ca="1">AT44*(Project!$P$13/12)</f>
        <v>22991.735604617726</v>
      </c>
      <c r="AS45" s="142">
        <f t="shared" si="78"/>
        <v>0</v>
      </c>
      <c r="AT45" s="142">
        <f t="shared" ca="1" si="11"/>
        <v>3261959.5598100582</v>
      </c>
      <c r="AV45" s="142">
        <v>-173403.07692307694</v>
      </c>
      <c r="AW45" s="142"/>
      <c r="AX45" s="142">
        <f ca="1"/>
        <v>173403.07692307694</v>
      </c>
      <c r="AY45" s="142">
        <f ca="1"/>
        <v>0</v>
      </c>
      <c r="AZ45" s="142">
        <f t="shared" ca="1" si="79"/>
        <v>0</v>
      </c>
      <c r="BE45" s="600"/>
      <c r="BI45" s="142">
        <f t="shared" ca="1" si="80"/>
        <v>1851475.2366228478</v>
      </c>
      <c r="BJ45" s="142">
        <f t="shared" ca="1" si="81"/>
        <v>0</v>
      </c>
      <c r="BK45" s="142" cm="1">
        <f t="array" aca="1" ref="BK45" ca="1">BI45*c_rate.Pref.MO</f>
        <v>14763.923537468414</v>
      </c>
      <c r="BL45" s="142">
        <f t="shared" ca="1" si="82"/>
        <v>0</v>
      </c>
      <c r="BM45" s="142">
        <f t="shared" ca="1" si="115"/>
        <v>1866239.1601603162</v>
      </c>
      <c r="BN45" s="142">
        <f t="shared" ca="1" si="116"/>
        <v>0</v>
      </c>
      <c r="BO45" s="142">
        <f t="shared" ca="1" si="117"/>
        <v>0</v>
      </c>
      <c r="BP45" s="142">
        <f t="shared" ca="1" si="118"/>
        <v>0</v>
      </c>
      <c r="BQ45" s="142">
        <f t="shared" ca="1" si="83"/>
        <v>0</v>
      </c>
      <c r="BR45" s="516"/>
      <c r="BS45" s="142">
        <f t="shared" ca="1" si="119"/>
        <v>2105458.1920815567</v>
      </c>
      <c r="BT45" s="142">
        <f t="shared" ca="1" si="84"/>
        <v>0</v>
      </c>
      <c r="BU45" s="142" cm="1">
        <f t="array" aca="1" ref="BU45" ca="1">IF(D45=0,0,BS45*(c_rate.Hurdle1.MO))</f>
        <v>24665.267798460136</v>
      </c>
      <c r="BV45" s="142">
        <f t="shared" ca="1" si="120"/>
        <v>0</v>
      </c>
      <c r="BW45" s="142">
        <f t="shared" ca="1" si="85"/>
        <v>0</v>
      </c>
      <c r="BX45" s="142">
        <f t="shared" ca="1" si="121"/>
        <v>2130123.4598800167</v>
      </c>
      <c r="BY45" s="142">
        <f t="shared" ca="1" si="122"/>
        <v>0</v>
      </c>
      <c r="BZ45" s="142">
        <f t="shared" ca="1" si="123"/>
        <v>0</v>
      </c>
      <c r="CA45" s="142">
        <f t="shared" ca="1" si="86"/>
        <v>0</v>
      </c>
      <c r="CB45" s="142">
        <f t="shared" ca="1" si="124"/>
        <v>0</v>
      </c>
      <c r="CC45" s="516"/>
      <c r="CD45" s="142">
        <f t="shared" ca="1" si="125"/>
        <v>2381240.4511670205</v>
      </c>
      <c r="CE45" s="142">
        <f t="shared" ca="1" si="87"/>
        <v>0</v>
      </c>
      <c r="CF45" s="142" cm="1">
        <f t="array" aca="1" ref="CF45" ca="1">IF($D46=0,0,CD45*(c_rate.Hurdle2.MO))</f>
        <v>36455.530439908092</v>
      </c>
      <c r="CG45" s="142">
        <f t="shared" ca="1" si="88"/>
        <v>0</v>
      </c>
      <c r="CH45" s="142">
        <f t="shared" ca="1" si="126"/>
        <v>0</v>
      </c>
      <c r="CI45" s="142">
        <f t="shared" ca="1" si="89"/>
        <v>2417695.9816069286</v>
      </c>
      <c r="CJ45" s="142">
        <f t="shared" ca="1" si="90"/>
        <v>0</v>
      </c>
      <c r="CK45" s="142">
        <f t="shared" ca="1" si="91"/>
        <v>0</v>
      </c>
      <c r="CL45" s="142">
        <f t="shared" ca="1" si="127"/>
        <v>0</v>
      </c>
      <c r="CM45" s="142">
        <f t="shared" ca="1" si="92"/>
        <v>0</v>
      </c>
      <c r="CN45" s="142">
        <f t="shared" ca="1" si="93"/>
        <v>0</v>
      </c>
      <c r="CO45" s="516"/>
      <c r="CP45" s="142">
        <f t="shared" ca="1" si="128"/>
        <v>2679669.9618362826</v>
      </c>
      <c r="CQ45" s="142">
        <f t="shared" ca="1" si="94"/>
        <v>0</v>
      </c>
      <c r="CR45" s="142" cm="1">
        <f t="array" aca="1" ref="CR45" ca="1">IF($D46=0,0,CP45*(c_rate.Hurdle3.MO))</f>
        <v>50295.435951841369</v>
      </c>
      <c r="CS45" s="142">
        <f t="shared" ca="1" si="95"/>
        <v>0</v>
      </c>
      <c r="CT45" s="142">
        <f t="shared" ca="1" si="129"/>
        <v>0</v>
      </c>
      <c r="CU45" s="142">
        <f t="shared" ca="1" si="96"/>
        <v>2729965.3977881242</v>
      </c>
      <c r="CV45" s="142">
        <f t="shared" ca="1" si="97"/>
        <v>0</v>
      </c>
      <c r="CW45" s="142">
        <f t="shared" ca="1" si="130"/>
        <v>0</v>
      </c>
      <c r="CX45" s="142">
        <f t="shared" ca="1" si="131"/>
        <v>0</v>
      </c>
      <c r="CY45" s="142">
        <f t="shared" ca="1" si="132"/>
        <v>0</v>
      </c>
      <c r="CZ45" s="142">
        <f t="shared" ca="1" si="133"/>
        <v>0</v>
      </c>
      <c r="DA45" s="516"/>
      <c r="DB45" s="142">
        <f t="shared" ca="1" si="98"/>
        <v>0</v>
      </c>
      <c r="DC45" s="142">
        <f t="shared" ca="1" si="99"/>
        <v>0</v>
      </c>
      <c r="DD45" s="518"/>
      <c r="DE45" s="142">
        <f t="shared" ca="1" si="134"/>
        <v>0</v>
      </c>
      <c r="DF45" s="142">
        <f t="shared" ca="1" si="135"/>
        <v>0</v>
      </c>
      <c r="DG45" s="142">
        <f t="shared" ca="1" si="100"/>
        <v>0</v>
      </c>
      <c r="DH45" s="457"/>
      <c r="DI45" s="142">
        <f ca="1"/>
        <v>0</v>
      </c>
      <c r="DJ45" s="142">
        <f ca="1"/>
        <v>0</v>
      </c>
      <c r="DK45" s="142">
        <f ca="1"/>
        <v>0</v>
      </c>
      <c r="DL45" s="142">
        <f t="shared" ca="1" si="101"/>
        <v>0</v>
      </c>
      <c r="DM45" s="142">
        <f t="shared" ca="1" si="102"/>
        <v>0</v>
      </c>
      <c r="DN45" s="142">
        <f t="shared" ca="1" si="103"/>
        <v>0</v>
      </c>
      <c r="DO45" s="142">
        <f t="shared" ca="1" si="104"/>
        <v>0</v>
      </c>
      <c r="DP45" s="142">
        <f t="shared" ca="1" si="105"/>
        <v>0</v>
      </c>
      <c r="DQ45" s="142">
        <f t="shared" ca="1" si="106"/>
        <v>0</v>
      </c>
      <c r="DR45" s="142">
        <f ca="1"/>
        <v>0</v>
      </c>
      <c r="DS45" s="142">
        <f ca="1"/>
        <v>0</v>
      </c>
      <c r="DT45" s="142">
        <f t="shared" ca="1" si="107"/>
        <v>0</v>
      </c>
      <c r="DU45" s="142">
        <f t="shared" ca="1" si="108"/>
        <v>0</v>
      </c>
      <c r="DV45" s="457"/>
      <c r="DW45" s="457"/>
      <c r="DX45" s="142">
        <f ca="1"/>
        <v>0</v>
      </c>
      <c r="DY45" s="142">
        <f t="shared" ca="1" si="136"/>
        <v>0</v>
      </c>
      <c r="DZ45" s="142">
        <f t="shared" ca="1" si="109"/>
        <v>0</v>
      </c>
      <c r="EA45" s="142">
        <f t="shared" ca="1" si="110"/>
        <v>0</v>
      </c>
      <c r="EB45" s="142">
        <f t="shared" ca="1" si="111"/>
        <v>0</v>
      </c>
      <c r="EC45" s="142">
        <f t="shared" ca="1" si="112"/>
        <v>0</v>
      </c>
      <c r="ED45" s="142">
        <f t="shared" ca="1" si="137"/>
        <v>0</v>
      </c>
      <c r="EE45" s="457"/>
      <c r="EF45" s="457"/>
    </row>
    <row r="46" spans="1:136" ht="17.25" thickTop="1" thickBot="1">
      <c r="A46" s="227">
        <f t="shared" si="72"/>
        <v>4842136.9230769239</v>
      </c>
      <c r="B46" s="227">
        <f t="shared" ca="1" si="113"/>
        <v>1873996.0345865386</v>
      </c>
      <c r="D46" s="185">
        <v>37</v>
      </c>
      <c r="E46" s="185">
        <v>13</v>
      </c>
      <c r="F46" s="185">
        <v>4</v>
      </c>
      <c r="G46" s="128">
        <v>46935</v>
      </c>
      <c r="H46" s="120" t="str">
        <v>Q3-28</v>
      </c>
      <c r="I46" s="120">
        <v>2028</v>
      </c>
      <c r="K46" s="138">
        <v>0</v>
      </c>
      <c r="L46" s="138">
        <v>0</v>
      </c>
      <c r="M46" s="138">
        <v>0</v>
      </c>
      <c r="N46" s="138">
        <v>0</v>
      </c>
      <c r="O46" s="138">
        <v>0</v>
      </c>
      <c r="P46" s="138">
        <v>0</v>
      </c>
      <c r="Q46" s="138">
        <v>133333.33333333334</v>
      </c>
      <c r="R46" s="138">
        <v>0</v>
      </c>
      <c r="S46" s="138">
        <v>15384.615384615385</v>
      </c>
      <c r="T46" s="138">
        <v>148717.94871794872</v>
      </c>
      <c r="U46" s="136"/>
      <c r="V46" s="138">
        <v>166.66666666666666</v>
      </c>
      <c r="W46" s="138">
        <v>500</v>
      </c>
      <c r="X46" s="138">
        <v>333.33333333333331</v>
      </c>
      <c r="Y46" s="138">
        <v>480</v>
      </c>
      <c r="Z46" s="138">
        <v>5205.128205128206</v>
      </c>
      <c r="AA46" s="138">
        <v>18000</v>
      </c>
      <c r="AB46" s="138">
        <v>24685.128205128207</v>
      </c>
      <c r="AC46" s="137"/>
      <c r="AD46" s="138">
        <v>173403.07692307694</v>
      </c>
      <c r="AF46" s="138">
        <v>0</v>
      </c>
      <c r="AG46" s="138">
        <v>0</v>
      </c>
      <c r="AH46" s="138">
        <v>0</v>
      </c>
      <c r="AI46" s="138">
        <v>0</v>
      </c>
      <c r="AJ46" s="138">
        <v>-173403.07692307694</v>
      </c>
      <c r="AL46" s="138">
        <f t="shared" ca="1" si="74"/>
        <v>0</v>
      </c>
      <c r="AM46" s="138">
        <f t="shared" ca="1" si="114"/>
        <v>0</v>
      </c>
      <c r="AN46" s="138">
        <f t="shared" ca="1" si="75"/>
        <v>0</v>
      </c>
      <c r="AP46" s="138">
        <f t="shared" ca="1" si="50"/>
        <v>3261959.5598100582</v>
      </c>
      <c r="AQ46" s="138">
        <f t="shared" ca="1" si="77"/>
        <v>173403.07692307694</v>
      </c>
      <c r="AR46" s="138">
        <f ca="1">AT45*(Project!$P$13/12)</f>
        <v>24464.696698575437</v>
      </c>
      <c r="AS46" s="138">
        <f t="shared" si="78"/>
        <v>0</v>
      </c>
      <c r="AT46" s="138">
        <f t="shared" ca="1" si="11"/>
        <v>3459827.3334317105</v>
      </c>
      <c r="AV46" s="138">
        <v>-173403.07692307694</v>
      </c>
      <c r="AW46" s="138"/>
      <c r="AX46" s="138">
        <f ca="1"/>
        <v>173403.07692307694</v>
      </c>
      <c r="AY46" s="138">
        <f ca="1"/>
        <v>0</v>
      </c>
      <c r="AZ46" s="138">
        <f t="shared" ca="1" si="79"/>
        <v>0</v>
      </c>
      <c r="BE46" s="600"/>
      <c r="BI46" s="138">
        <f t="shared" ca="1" si="80"/>
        <v>1866239.1601603162</v>
      </c>
      <c r="BJ46" s="138">
        <f t="shared" ca="1" si="81"/>
        <v>0</v>
      </c>
      <c r="BK46" s="138" cm="1">
        <f t="array" aca="1" ref="BK46" ca="1">BI46*c_rate.Pref.MO</f>
        <v>14881.653137037785</v>
      </c>
      <c r="BL46" s="138">
        <f t="shared" ca="1" si="82"/>
        <v>0</v>
      </c>
      <c r="BM46" s="138">
        <f t="shared" ca="1" si="115"/>
        <v>1881120.8132973539</v>
      </c>
      <c r="BN46" s="138">
        <f t="shared" ca="1" si="116"/>
        <v>0</v>
      </c>
      <c r="BO46" s="138">
        <f t="shared" ca="1" si="117"/>
        <v>0</v>
      </c>
      <c r="BP46" s="138">
        <f t="shared" ca="1" si="118"/>
        <v>0</v>
      </c>
      <c r="BQ46" s="138">
        <f t="shared" ca="1" si="83"/>
        <v>0</v>
      </c>
      <c r="BR46" s="516"/>
      <c r="BS46" s="138">
        <f t="shared" ca="1" si="119"/>
        <v>2130123.4598800167</v>
      </c>
      <c r="BT46" s="138">
        <f t="shared" ca="1" si="84"/>
        <v>0</v>
      </c>
      <c r="BU46" s="138" cm="1">
        <f t="array" aca="1" ref="BU46" ca="1">IF(D46=0,0,BS46*(c_rate.Hurdle1.MO))</f>
        <v>24954.219361525029</v>
      </c>
      <c r="BV46" s="138">
        <f t="shared" ca="1" si="120"/>
        <v>0</v>
      </c>
      <c r="BW46" s="138">
        <f t="shared" ca="1" si="85"/>
        <v>0</v>
      </c>
      <c r="BX46" s="138">
        <f t="shared" ca="1" si="121"/>
        <v>2155077.6792415418</v>
      </c>
      <c r="BY46" s="138">
        <f t="shared" ca="1" si="122"/>
        <v>0</v>
      </c>
      <c r="BZ46" s="138">
        <f t="shared" ca="1" si="123"/>
        <v>0</v>
      </c>
      <c r="CA46" s="138">
        <f t="shared" ca="1" si="86"/>
        <v>0</v>
      </c>
      <c r="CB46" s="138">
        <f t="shared" ca="1" si="124"/>
        <v>0</v>
      </c>
      <c r="CC46" s="516"/>
      <c r="CD46" s="138">
        <f t="shared" ca="1" si="125"/>
        <v>2417695.9816069286</v>
      </c>
      <c r="CE46" s="138">
        <f t="shared" ca="1" si="87"/>
        <v>0</v>
      </c>
      <c r="CF46" s="138" cm="1">
        <f t="array" aca="1" ref="CF46" ca="1">IF($D47=0,0,CD46*(c_rate.Hurdle2.MO))</f>
        <v>37013.645307729923</v>
      </c>
      <c r="CG46" s="138">
        <f t="shared" ca="1" si="88"/>
        <v>0</v>
      </c>
      <c r="CH46" s="138">
        <f t="shared" ca="1" si="126"/>
        <v>0</v>
      </c>
      <c r="CI46" s="138">
        <f t="shared" ca="1" si="89"/>
        <v>2454709.6269146586</v>
      </c>
      <c r="CJ46" s="138">
        <f t="shared" ca="1" si="90"/>
        <v>0</v>
      </c>
      <c r="CK46" s="138">
        <f t="shared" ca="1" si="91"/>
        <v>0</v>
      </c>
      <c r="CL46" s="138">
        <f t="shared" ca="1" si="127"/>
        <v>0</v>
      </c>
      <c r="CM46" s="138">
        <f t="shared" ca="1" si="92"/>
        <v>0</v>
      </c>
      <c r="CN46" s="138">
        <f t="shared" ca="1" si="93"/>
        <v>0</v>
      </c>
      <c r="CO46" s="516"/>
      <c r="CP46" s="138">
        <f t="shared" ca="1" si="128"/>
        <v>2729965.3977881242</v>
      </c>
      <c r="CQ46" s="138">
        <f t="shared" ca="1" si="94"/>
        <v>0</v>
      </c>
      <c r="CR46" s="138" cm="1">
        <f t="array" aca="1" ref="CR46" ca="1">IF($D47=0,0,CP46*(c_rate.Hurdle3.MO))</f>
        <v>51239.444323623211</v>
      </c>
      <c r="CS46" s="138">
        <f t="shared" ca="1" si="95"/>
        <v>0</v>
      </c>
      <c r="CT46" s="138">
        <f t="shared" ca="1" si="129"/>
        <v>0</v>
      </c>
      <c r="CU46" s="138">
        <f t="shared" ca="1" si="96"/>
        <v>2781204.8421117472</v>
      </c>
      <c r="CV46" s="138">
        <f t="shared" ca="1" si="97"/>
        <v>0</v>
      </c>
      <c r="CW46" s="138">
        <f t="shared" ca="1" si="130"/>
        <v>0</v>
      </c>
      <c r="CX46" s="138">
        <f t="shared" ca="1" si="131"/>
        <v>0</v>
      </c>
      <c r="CY46" s="138">
        <f t="shared" ca="1" si="132"/>
        <v>0</v>
      </c>
      <c r="CZ46" s="138">
        <f t="shared" ca="1" si="133"/>
        <v>0</v>
      </c>
      <c r="DA46" s="516"/>
      <c r="DB46" s="138">
        <f t="shared" ca="1" si="98"/>
        <v>0</v>
      </c>
      <c r="DC46" s="138">
        <f t="shared" ca="1" si="99"/>
        <v>0</v>
      </c>
      <c r="DD46" s="518"/>
      <c r="DE46" s="138">
        <f t="shared" ca="1" si="134"/>
        <v>0</v>
      </c>
      <c r="DF46" s="138">
        <f t="shared" ca="1" si="135"/>
        <v>0</v>
      </c>
      <c r="DG46" s="138">
        <f t="shared" ca="1" si="100"/>
        <v>0</v>
      </c>
      <c r="DH46" s="457"/>
      <c r="DI46" s="138">
        <f ca="1"/>
        <v>0</v>
      </c>
      <c r="DJ46" s="138">
        <f ca="1"/>
        <v>0</v>
      </c>
      <c r="DK46" s="138">
        <f ca="1"/>
        <v>0</v>
      </c>
      <c r="DL46" s="138">
        <f t="shared" ca="1" si="101"/>
        <v>0</v>
      </c>
      <c r="DM46" s="138">
        <f t="shared" ca="1" si="102"/>
        <v>0</v>
      </c>
      <c r="DN46" s="138">
        <f t="shared" ca="1" si="103"/>
        <v>0</v>
      </c>
      <c r="DO46" s="138">
        <f t="shared" ca="1" si="104"/>
        <v>0</v>
      </c>
      <c r="DP46" s="138">
        <f t="shared" ca="1" si="105"/>
        <v>0</v>
      </c>
      <c r="DQ46" s="138">
        <f t="shared" ca="1" si="106"/>
        <v>0</v>
      </c>
      <c r="DR46" s="138">
        <f ca="1"/>
        <v>0</v>
      </c>
      <c r="DS46" s="138">
        <f ca="1"/>
        <v>0</v>
      </c>
      <c r="DT46" s="138">
        <f t="shared" ca="1" si="107"/>
        <v>0</v>
      </c>
      <c r="DU46" s="138">
        <f t="shared" ca="1" si="108"/>
        <v>0</v>
      </c>
      <c r="DV46" s="457"/>
      <c r="DW46" s="457"/>
      <c r="DX46" s="138">
        <f ca="1"/>
        <v>0</v>
      </c>
      <c r="DY46" s="138">
        <f t="shared" ca="1" si="136"/>
        <v>0</v>
      </c>
      <c r="DZ46" s="138">
        <f t="shared" ca="1" si="109"/>
        <v>0</v>
      </c>
      <c r="EA46" s="138">
        <f t="shared" ca="1" si="110"/>
        <v>0</v>
      </c>
      <c r="EB46" s="138">
        <f t="shared" ca="1" si="111"/>
        <v>0</v>
      </c>
      <c r="EC46" s="138">
        <f t="shared" ca="1" si="112"/>
        <v>0</v>
      </c>
      <c r="ED46" s="138">
        <f t="shared" ca="1" si="137"/>
        <v>0</v>
      </c>
      <c r="EE46" s="457"/>
      <c r="EF46" s="457"/>
    </row>
    <row r="47" spans="1:136" ht="17.25" thickTop="1" thickBot="1">
      <c r="A47" s="228">
        <f t="shared" si="72"/>
        <v>4877540.0000000009</v>
      </c>
      <c r="B47" s="228">
        <f t="shared" ca="1" si="113"/>
        <v>1873996.0345865386</v>
      </c>
      <c r="D47" s="184">
        <v>38</v>
      </c>
      <c r="E47" s="184">
        <v>13</v>
      </c>
      <c r="F47" s="184">
        <v>4</v>
      </c>
      <c r="G47" s="121">
        <v>46966</v>
      </c>
      <c r="H47" s="118" t="str">
        <v>Q3-28</v>
      </c>
      <c r="I47" s="118">
        <v>2028</v>
      </c>
      <c r="K47" s="139">
        <v>0</v>
      </c>
      <c r="L47" s="139">
        <v>0</v>
      </c>
      <c r="M47" s="139">
        <v>0</v>
      </c>
      <c r="N47" s="139">
        <v>0</v>
      </c>
      <c r="O47" s="139">
        <v>0</v>
      </c>
      <c r="P47" s="139">
        <v>0</v>
      </c>
      <c r="Q47" s="139">
        <v>0</v>
      </c>
      <c r="R47" s="139">
        <v>0</v>
      </c>
      <c r="S47" s="139">
        <v>15384.615384615385</v>
      </c>
      <c r="T47" s="139">
        <v>15384.615384615385</v>
      </c>
      <c r="U47" s="136"/>
      <c r="V47" s="139">
        <v>166.66666666666666</v>
      </c>
      <c r="W47" s="139">
        <v>500</v>
      </c>
      <c r="X47" s="139">
        <v>333.33333333333331</v>
      </c>
      <c r="Y47" s="139">
        <v>480</v>
      </c>
      <c r="Z47" s="139">
        <v>538.46153846153857</v>
      </c>
      <c r="AA47" s="139">
        <v>18000</v>
      </c>
      <c r="AB47" s="139">
        <v>20018.461538461539</v>
      </c>
      <c r="AC47" s="137"/>
      <c r="AD47" s="139">
        <v>35403.076923076922</v>
      </c>
      <c r="AF47" s="139">
        <v>0</v>
      </c>
      <c r="AG47" s="139">
        <v>0</v>
      </c>
      <c r="AH47" s="139">
        <v>0</v>
      </c>
      <c r="AI47" s="139">
        <v>0</v>
      </c>
      <c r="AJ47" s="139">
        <v>-35403.076923076922</v>
      </c>
      <c r="AL47" s="139">
        <f t="shared" ca="1" si="74"/>
        <v>0</v>
      </c>
      <c r="AM47" s="139">
        <f t="shared" ca="1" si="114"/>
        <v>0</v>
      </c>
      <c r="AN47" s="139">
        <f t="shared" ca="1" si="75"/>
        <v>0</v>
      </c>
      <c r="AP47" s="139">
        <f t="shared" ca="1" si="50"/>
        <v>3459827.3334317105</v>
      </c>
      <c r="AQ47" s="139">
        <f t="shared" ca="1" si="77"/>
        <v>35403.076923076922</v>
      </c>
      <c r="AR47" s="139">
        <f ca="1">AT46*(Project!$P$13/12)</f>
        <v>25948.705000737828</v>
      </c>
      <c r="AS47" s="139">
        <f t="shared" si="78"/>
        <v>0</v>
      </c>
      <c r="AT47" s="139">
        <f t="shared" ca="1" si="11"/>
        <v>3521179.1153555252</v>
      </c>
      <c r="AV47" s="139">
        <v>-35403.076923076922</v>
      </c>
      <c r="AW47" s="139"/>
      <c r="AX47" s="139">
        <f ca="1"/>
        <v>35403.076923076922</v>
      </c>
      <c r="AY47" s="139">
        <f ca="1"/>
        <v>0</v>
      </c>
      <c r="AZ47" s="139">
        <f t="shared" ca="1" si="79"/>
        <v>0</v>
      </c>
      <c r="BI47" s="139">
        <f t="shared" ca="1" si="80"/>
        <v>1881120.8132973539</v>
      </c>
      <c r="BJ47" s="139">
        <f t="shared" ca="1" si="81"/>
        <v>0</v>
      </c>
      <c r="BK47" s="139" cm="1">
        <f t="array" aca="1" ref="BK47" ca="1">BI47*c_rate.Pref.MO</f>
        <v>15000.321528966761</v>
      </c>
      <c r="BL47" s="139">
        <f t="shared" ca="1" si="82"/>
        <v>0</v>
      </c>
      <c r="BM47" s="139">
        <f t="shared" ca="1" si="115"/>
        <v>1896121.1348263207</v>
      </c>
      <c r="BN47" s="139">
        <f t="shared" ca="1" si="116"/>
        <v>0</v>
      </c>
      <c r="BO47" s="139">
        <f t="shared" ca="1" si="117"/>
        <v>0</v>
      </c>
      <c r="BP47" s="139">
        <f t="shared" ca="1" si="118"/>
        <v>0</v>
      </c>
      <c r="BQ47" s="139">
        <f t="shared" ca="1" si="83"/>
        <v>0</v>
      </c>
      <c r="BR47" s="516"/>
      <c r="BS47" s="139">
        <f t="shared" ca="1" si="119"/>
        <v>2155077.6792415418</v>
      </c>
      <c r="BT47" s="139">
        <f t="shared" ca="1" si="84"/>
        <v>0</v>
      </c>
      <c r="BU47" s="139" cm="1">
        <f t="array" aca="1" ref="BU47" ca="1">IF(D47=0,0,BS47*(c_rate.Hurdle1.MO))</f>
        <v>25246.555968145094</v>
      </c>
      <c r="BV47" s="139">
        <f t="shared" ca="1" si="120"/>
        <v>0</v>
      </c>
      <c r="BW47" s="139">
        <f t="shared" ca="1" si="85"/>
        <v>0</v>
      </c>
      <c r="BX47" s="139">
        <f t="shared" ca="1" si="121"/>
        <v>2180324.2352096867</v>
      </c>
      <c r="BY47" s="139">
        <f t="shared" ca="1" si="122"/>
        <v>0</v>
      </c>
      <c r="BZ47" s="139">
        <f t="shared" ca="1" si="123"/>
        <v>0</v>
      </c>
      <c r="CA47" s="139">
        <f t="shared" ca="1" si="86"/>
        <v>0</v>
      </c>
      <c r="CB47" s="139">
        <f t="shared" ca="1" si="124"/>
        <v>0</v>
      </c>
      <c r="CC47" s="516"/>
      <c r="CD47" s="139">
        <f t="shared" ca="1" si="125"/>
        <v>2454709.6269146586</v>
      </c>
      <c r="CE47" s="139">
        <f t="shared" ca="1" si="87"/>
        <v>0</v>
      </c>
      <c r="CF47" s="139" cm="1">
        <f t="array" aca="1" ref="CF47" ca="1">IF($D48=0,0,CD47*(c_rate.Hurdle2.MO))</f>
        <v>37580.304618656126</v>
      </c>
      <c r="CG47" s="139">
        <f t="shared" ca="1" si="88"/>
        <v>0</v>
      </c>
      <c r="CH47" s="139">
        <f t="shared" ca="1" si="126"/>
        <v>0</v>
      </c>
      <c r="CI47" s="139">
        <f t="shared" ca="1" si="89"/>
        <v>2492289.9315333148</v>
      </c>
      <c r="CJ47" s="139">
        <f t="shared" ca="1" si="90"/>
        <v>0</v>
      </c>
      <c r="CK47" s="139">
        <f t="shared" ca="1" si="91"/>
        <v>0</v>
      </c>
      <c r="CL47" s="139">
        <f t="shared" ca="1" si="127"/>
        <v>0</v>
      </c>
      <c r="CM47" s="139">
        <f t="shared" ca="1" si="92"/>
        <v>0</v>
      </c>
      <c r="CN47" s="139">
        <f t="shared" ca="1" si="93"/>
        <v>0</v>
      </c>
      <c r="CO47" s="516"/>
      <c r="CP47" s="139">
        <f t="shared" ca="1" si="128"/>
        <v>2781204.8421117472</v>
      </c>
      <c r="CQ47" s="139">
        <f t="shared" ca="1" si="94"/>
        <v>0</v>
      </c>
      <c r="CR47" s="139" cm="1">
        <f t="array" aca="1" ref="CR47" ca="1">IF($D48=0,0,CP47*(c_rate.Hurdle3.MO))</f>
        <v>52201.171038811946</v>
      </c>
      <c r="CS47" s="139">
        <f t="shared" ca="1" si="95"/>
        <v>0</v>
      </c>
      <c r="CT47" s="139">
        <f t="shared" ca="1" si="129"/>
        <v>0</v>
      </c>
      <c r="CU47" s="139">
        <f t="shared" ca="1" si="96"/>
        <v>2833406.0131505593</v>
      </c>
      <c r="CV47" s="139">
        <f t="shared" ca="1" si="97"/>
        <v>0</v>
      </c>
      <c r="CW47" s="139">
        <f t="shared" ca="1" si="130"/>
        <v>0</v>
      </c>
      <c r="CX47" s="139">
        <f t="shared" ca="1" si="131"/>
        <v>0</v>
      </c>
      <c r="CY47" s="139">
        <f t="shared" ca="1" si="132"/>
        <v>0</v>
      </c>
      <c r="CZ47" s="139">
        <f t="shared" ca="1" si="133"/>
        <v>0</v>
      </c>
      <c r="DA47" s="516"/>
      <c r="DB47" s="139">
        <f t="shared" ca="1" si="98"/>
        <v>0</v>
      </c>
      <c r="DC47" s="139">
        <f t="shared" ca="1" si="99"/>
        <v>0</v>
      </c>
      <c r="DD47" s="518"/>
      <c r="DE47" s="139">
        <f t="shared" ca="1" si="134"/>
        <v>0</v>
      </c>
      <c r="DF47" s="139">
        <f t="shared" ca="1" si="135"/>
        <v>0</v>
      </c>
      <c r="DG47" s="139">
        <f t="shared" ca="1" si="100"/>
        <v>0</v>
      </c>
      <c r="DH47" s="457"/>
      <c r="DI47" s="139">
        <f ca="1"/>
        <v>0</v>
      </c>
      <c r="DJ47" s="139">
        <f ca="1"/>
        <v>0</v>
      </c>
      <c r="DK47" s="139">
        <f ca="1"/>
        <v>0</v>
      </c>
      <c r="DL47" s="139">
        <f t="shared" ca="1" si="101"/>
        <v>0</v>
      </c>
      <c r="DM47" s="139">
        <f t="shared" ca="1" si="102"/>
        <v>0</v>
      </c>
      <c r="DN47" s="139">
        <f t="shared" ca="1" si="103"/>
        <v>0</v>
      </c>
      <c r="DO47" s="139">
        <f t="shared" ca="1" si="104"/>
        <v>0</v>
      </c>
      <c r="DP47" s="139">
        <f t="shared" ca="1" si="105"/>
        <v>0</v>
      </c>
      <c r="DQ47" s="139">
        <f t="shared" ca="1" si="106"/>
        <v>0</v>
      </c>
      <c r="DR47" s="139">
        <f ca="1"/>
        <v>0</v>
      </c>
      <c r="DS47" s="139">
        <f ca="1"/>
        <v>0</v>
      </c>
      <c r="DT47" s="139">
        <f t="shared" ca="1" si="107"/>
        <v>0</v>
      </c>
      <c r="DU47" s="139">
        <f t="shared" ca="1" si="108"/>
        <v>0</v>
      </c>
      <c r="DV47" s="457"/>
      <c r="DW47" s="457"/>
      <c r="DX47" s="139">
        <f ca="1"/>
        <v>0</v>
      </c>
      <c r="DY47" s="139">
        <f t="shared" ca="1" si="136"/>
        <v>0</v>
      </c>
      <c r="DZ47" s="139">
        <f t="shared" ca="1" si="109"/>
        <v>0</v>
      </c>
      <c r="EA47" s="139">
        <f t="shared" ca="1" si="110"/>
        <v>0</v>
      </c>
      <c r="EB47" s="139">
        <f t="shared" ca="1" si="111"/>
        <v>0</v>
      </c>
      <c r="EC47" s="139">
        <f t="shared" ca="1" si="112"/>
        <v>0</v>
      </c>
      <c r="ED47" s="139">
        <f t="shared" ca="1" si="137"/>
        <v>0</v>
      </c>
      <c r="EE47" s="457"/>
      <c r="EF47" s="457"/>
    </row>
    <row r="48" spans="1:136" ht="17.25" thickTop="1" thickBot="1">
      <c r="A48" s="229">
        <f t="shared" si="72"/>
        <v>5000520.0000000009</v>
      </c>
      <c r="B48" s="229">
        <f t="shared" ca="1" si="113"/>
        <v>1873996.0345865386</v>
      </c>
      <c r="D48" s="186">
        <v>39</v>
      </c>
      <c r="E48" s="186">
        <v>13</v>
      </c>
      <c r="F48" s="186">
        <v>4</v>
      </c>
      <c r="G48" s="123">
        <v>46997</v>
      </c>
      <c r="H48" s="122" t="str">
        <v>Q3-28</v>
      </c>
      <c r="I48" s="122">
        <v>2028</v>
      </c>
      <c r="K48" s="140">
        <v>0</v>
      </c>
      <c r="L48" s="140">
        <v>0</v>
      </c>
      <c r="M48" s="140">
        <v>0</v>
      </c>
      <c r="N48" s="140">
        <v>0</v>
      </c>
      <c r="O48" s="140">
        <v>0</v>
      </c>
      <c r="P48" s="140">
        <v>0</v>
      </c>
      <c r="Q48" s="140">
        <v>0</v>
      </c>
      <c r="R48" s="140">
        <v>100000</v>
      </c>
      <c r="S48" s="140">
        <v>0</v>
      </c>
      <c r="T48" s="140">
        <v>100000</v>
      </c>
      <c r="U48" s="136"/>
      <c r="V48" s="140">
        <v>166.66666666666666</v>
      </c>
      <c r="W48" s="140">
        <v>500</v>
      </c>
      <c r="X48" s="140">
        <v>333.33333333333331</v>
      </c>
      <c r="Y48" s="140">
        <v>480</v>
      </c>
      <c r="Z48" s="140">
        <v>3500.0000000000005</v>
      </c>
      <c r="AA48" s="140">
        <v>18000</v>
      </c>
      <c r="AB48" s="140">
        <v>22980</v>
      </c>
      <c r="AC48" s="137"/>
      <c r="AD48" s="140">
        <v>122980</v>
      </c>
      <c r="AF48" s="140">
        <v>0</v>
      </c>
      <c r="AG48" s="140">
        <v>0</v>
      </c>
      <c r="AH48" s="140">
        <v>0</v>
      </c>
      <c r="AI48" s="140">
        <v>0</v>
      </c>
      <c r="AJ48" s="140">
        <v>-122980</v>
      </c>
      <c r="AL48" s="140">
        <f t="shared" ca="1" si="74"/>
        <v>0</v>
      </c>
      <c r="AM48" s="140">
        <f t="shared" ca="1" si="114"/>
        <v>0</v>
      </c>
      <c r="AN48" s="140">
        <f t="shared" ca="1" si="75"/>
        <v>0</v>
      </c>
      <c r="AP48" s="140">
        <f t="shared" ca="1" si="50"/>
        <v>3521179.1153555252</v>
      </c>
      <c r="AQ48" s="140">
        <f t="shared" ca="1" si="77"/>
        <v>122980</v>
      </c>
      <c r="AR48" s="140">
        <f ca="1">AT47*(Project!$P$13/12)</f>
        <v>26408.843365166438</v>
      </c>
      <c r="AS48" s="140">
        <f t="shared" si="78"/>
        <v>0</v>
      </c>
      <c r="AT48" s="140">
        <f t="shared" ca="1" si="11"/>
        <v>3670567.9587206915</v>
      </c>
      <c r="AV48" s="140">
        <v>-122980</v>
      </c>
      <c r="AW48" s="140"/>
      <c r="AX48" s="140">
        <f ca="1"/>
        <v>122980</v>
      </c>
      <c r="AY48" s="140">
        <f ca="1"/>
        <v>0</v>
      </c>
      <c r="AZ48" s="140">
        <f t="shared" ca="1" si="79"/>
        <v>0</v>
      </c>
      <c r="BI48" s="140">
        <f t="shared" ca="1" si="80"/>
        <v>1896121.1348263207</v>
      </c>
      <c r="BJ48" s="140">
        <f t="shared" ca="1" si="81"/>
        <v>0</v>
      </c>
      <c r="BK48" s="140" cm="1">
        <f t="array" aca="1" ref="BK48" ca="1">BI48*c_rate.Pref.MO</f>
        <v>15119.93619931745</v>
      </c>
      <c r="BL48" s="140">
        <f t="shared" ca="1" si="82"/>
        <v>0</v>
      </c>
      <c r="BM48" s="140">
        <f t="shared" ca="1" si="115"/>
        <v>1911241.0710256381</v>
      </c>
      <c r="BN48" s="140">
        <f t="shared" ca="1" si="116"/>
        <v>0</v>
      </c>
      <c r="BO48" s="140">
        <f t="shared" ca="1" si="117"/>
        <v>0</v>
      </c>
      <c r="BP48" s="140">
        <f t="shared" ca="1" si="118"/>
        <v>0</v>
      </c>
      <c r="BQ48" s="140">
        <f t="shared" ca="1" si="83"/>
        <v>0</v>
      </c>
      <c r="BR48" s="516"/>
      <c r="BS48" s="140">
        <f t="shared" ca="1" si="119"/>
        <v>2180324.2352096867</v>
      </c>
      <c r="BT48" s="140">
        <f t="shared" ca="1" si="84"/>
        <v>0</v>
      </c>
      <c r="BU48" s="140" cm="1">
        <f t="array" aca="1" ref="BU48" ca="1">IF(D48=0,0,BS48*(c_rate.Hurdle1.MO))</f>
        <v>25542.317273824337</v>
      </c>
      <c r="BV48" s="140">
        <f t="shared" ca="1" si="120"/>
        <v>0</v>
      </c>
      <c r="BW48" s="140">
        <f t="shared" ca="1" si="85"/>
        <v>0</v>
      </c>
      <c r="BX48" s="140">
        <f t="shared" ca="1" si="121"/>
        <v>2205866.5524835112</v>
      </c>
      <c r="BY48" s="140">
        <f t="shared" ca="1" si="122"/>
        <v>0</v>
      </c>
      <c r="BZ48" s="140">
        <f t="shared" ca="1" si="123"/>
        <v>0</v>
      </c>
      <c r="CA48" s="140">
        <f t="shared" ca="1" si="86"/>
        <v>0</v>
      </c>
      <c r="CB48" s="140">
        <f t="shared" ca="1" si="124"/>
        <v>0</v>
      </c>
      <c r="CC48" s="516"/>
      <c r="CD48" s="140">
        <f t="shared" ca="1" si="125"/>
        <v>2492289.9315333148</v>
      </c>
      <c r="CE48" s="140">
        <f t="shared" ca="1" si="87"/>
        <v>0</v>
      </c>
      <c r="CF48" s="140" cm="1">
        <f t="array" aca="1" ref="CF48" ca="1">IF($D49=0,0,CD48*(c_rate.Hurdle2.MO))</f>
        <v>38155.639183586354</v>
      </c>
      <c r="CG48" s="140">
        <f t="shared" ca="1" si="88"/>
        <v>0</v>
      </c>
      <c r="CH48" s="140">
        <f t="shared" ca="1" si="126"/>
        <v>0</v>
      </c>
      <c r="CI48" s="140">
        <f t="shared" ca="1" si="89"/>
        <v>2530445.5707169012</v>
      </c>
      <c r="CJ48" s="140">
        <f t="shared" ca="1" si="90"/>
        <v>0</v>
      </c>
      <c r="CK48" s="140">
        <f t="shared" ca="1" si="91"/>
        <v>0</v>
      </c>
      <c r="CL48" s="140">
        <f t="shared" ca="1" si="127"/>
        <v>0</v>
      </c>
      <c r="CM48" s="140">
        <f t="shared" ca="1" si="92"/>
        <v>0</v>
      </c>
      <c r="CN48" s="140">
        <f t="shared" ca="1" si="93"/>
        <v>0</v>
      </c>
      <c r="CO48" s="516"/>
      <c r="CP48" s="140">
        <f t="shared" ca="1" si="128"/>
        <v>2833406.0131505593</v>
      </c>
      <c r="CQ48" s="140">
        <f t="shared" ca="1" si="94"/>
        <v>0</v>
      </c>
      <c r="CR48" s="140" cm="1">
        <f t="array" aca="1" ref="CR48" ca="1">IF($D49=0,0,CP48*(c_rate.Hurdle3.MO))</f>
        <v>53180.948657692497</v>
      </c>
      <c r="CS48" s="140">
        <f t="shared" ca="1" si="95"/>
        <v>0</v>
      </c>
      <c r="CT48" s="140">
        <f t="shared" ca="1" si="129"/>
        <v>0</v>
      </c>
      <c r="CU48" s="140">
        <f t="shared" ca="1" si="96"/>
        <v>2886586.9618082517</v>
      </c>
      <c r="CV48" s="140">
        <f t="shared" ca="1" si="97"/>
        <v>0</v>
      </c>
      <c r="CW48" s="140">
        <f t="shared" ca="1" si="130"/>
        <v>0</v>
      </c>
      <c r="CX48" s="140">
        <f t="shared" ca="1" si="131"/>
        <v>0</v>
      </c>
      <c r="CY48" s="140">
        <f t="shared" ca="1" si="132"/>
        <v>0</v>
      </c>
      <c r="CZ48" s="140">
        <f t="shared" ca="1" si="133"/>
        <v>0</v>
      </c>
      <c r="DA48" s="516"/>
      <c r="DB48" s="140">
        <f t="shared" ca="1" si="98"/>
        <v>0</v>
      </c>
      <c r="DC48" s="140">
        <f t="shared" ca="1" si="99"/>
        <v>0</v>
      </c>
      <c r="DD48" s="518"/>
      <c r="DE48" s="140">
        <f t="shared" ca="1" si="134"/>
        <v>0</v>
      </c>
      <c r="DF48" s="140">
        <f t="shared" ca="1" si="135"/>
        <v>0</v>
      </c>
      <c r="DG48" s="140">
        <f t="shared" ca="1" si="100"/>
        <v>0</v>
      </c>
      <c r="DH48" s="457"/>
      <c r="DI48" s="140">
        <f ca="1"/>
        <v>0</v>
      </c>
      <c r="DJ48" s="140">
        <f ca="1"/>
        <v>0</v>
      </c>
      <c r="DK48" s="140">
        <f ca="1"/>
        <v>0</v>
      </c>
      <c r="DL48" s="140">
        <f t="shared" ca="1" si="101"/>
        <v>0</v>
      </c>
      <c r="DM48" s="140">
        <f t="shared" ca="1" si="102"/>
        <v>0</v>
      </c>
      <c r="DN48" s="140">
        <f t="shared" ca="1" si="103"/>
        <v>0</v>
      </c>
      <c r="DO48" s="140">
        <f t="shared" ca="1" si="104"/>
        <v>0</v>
      </c>
      <c r="DP48" s="140">
        <f t="shared" ca="1" si="105"/>
        <v>0</v>
      </c>
      <c r="DQ48" s="140">
        <f t="shared" ca="1" si="106"/>
        <v>0</v>
      </c>
      <c r="DR48" s="140">
        <f ca="1"/>
        <v>0</v>
      </c>
      <c r="DS48" s="140">
        <f ca="1"/>
        <v>0</v>
      </c>
      <c r="DT48" s="140">
        <f t="shared" ca="1" si="107"/>
        <v>0</v>
      </c>
      <c r="DU48" s="140">
        <f t="shared" ca="1" si="108"/>
        <v>0</v>
      </c>
      <c r="DV48" s="457"/>
      <c r="DW48" s="457"/>
      <c r="DX48" s="140">
        <f ca="1"/>
        <v>0</v>
      </c>
      <c r="DY48" s="140">
        <f t="shared" ca="1" si="136"/>
        <v>0</v>
      </c>
      <c r="DZ48" s="140">
        <f t="shared" ca="1" si="109"/>
        <v>0</v>
      </c>
      <c r="EA48" s="140">
        <f t="shared" ca="1" si="110"/>
        <v>0</v>
      </c>
      <c r="EB48" s="140">
        <f t="shared" ca="1" si="111"/>
        <v>0</v>
      </c>
      <c r="EC48" s="140">
        <f t="shared" ca="1" si="112"/>
        <v>0</v>
      </c>
      <c r="ED48" s="140">
        <f t="shared" ca="1" si="137"/>
        <v>0</v>
      </c>
      <c r="EE48" s="457"/>
      <c r="EF48" s="457"/>
    </row>
    <row r="49" spans="1:134" ht="17.25" thickTop="1" thickBot="1">
      <c r="A49" s="230">
        <f t="shared" si="72"/>
        <v>5123500.0000000009</v>
      </c>
      <c r="B49" s="230">
        <f t="shared" ca="1" si="113"/>
        <v>1873996.0345865386</v>
      </c>
      <c r="D49" s="187">
        <v>40</v>
      </c>
      <c r="E49" s="187">
        <v>14</v>
      </c>
      <c r="F49" s="187">
        <v>4</v>
      </c>
      <c r="G49" s="125">
        <v>47027</v>
      </c>
      <c r="H49" s="124" t="str">
        <v>Q4-28</v>
      </c>
      <c r="I49" s="124">
        <v>2028</v>
      </c>
      <c r="K49" s="141">
        <v>0</v>
      </c>
      <c r="L49" s="141">
        <v>0</v>
      </c>
      <c r="M49" s="141">
        <v>0</v>
      </c>
      <c r="N49" s="141">
        <v>0</v>
      </c>
      <c r="O49" s="141">
        <v>0</v>
      </c>
      <c r="P49" s="141">
        <v>0</v>
      </c>
      <c r="Q49" s="141">
        <v>0</v>
      </c>
      <c r="R49" s="141">
        <v>100000</v>
      </c>
      <c r="S49" s="141">
        <v>0</v>
      </c>
      <c r="T49" s="141">
        <v>100000</v>
      </c>
      <c r="U49" s="136"/>
      <c r="V49" s="141">
        <v>166.66666666666666</v>
      </c>
      <c r="W49" s="141">
        <v>500</v>
      </c>
      <c r="X49" s="141">
        <v>333.33333333333331</v>
      </c>
      <c r="Y49" s="141">
        <v>480</v>
      </c>
      <c r="Z49" s="141">
        <v>3500.0000000000005</v>
      </c>
      <c r="AA49" s="141">
        <v>18000</v>
      </c>
      <c r="AB49" s="141">
        <v>22980</v>
      </c>
      <c r="AC49" s="137"/>
      <c r="AD49" s="141">
        <v>122980</v>
      </c>
      <c r="AF49" s="141">
        <v>0</v>
      </c>
      <c r="AG49" s="141">
        <v>0</v>
      </c>
      <c r="AH49" s="141">
        <v>0</v>
      </c>
      <c r="AI49" s="141">
        <v>0</v>
      </c>
      <c r="AJ49" s="141">
        <v>-122980</v>
      </c>
      <c r="AL49" s="141">
        <f t="shared" ca="1" si="74"/>
        <v>0</v>
      </c>
      <c r="AM49" s="141">
        <f t="shared" ca="1" si="114"/>
        <v>0</v>
      </c>
      <c r="AN49" s="141">
        <f t="shared" ca="1" si="75"/>
        <v>0</v>
      </c>
      <c r="AP49" s="141">
        <f t="shared" ca="1" si="50"/>
        <v>3670567.9587206915</v>
      </c>
      <c r="AQ49" s="141">
        <f t="shared" ca="1" si="77"/>
        <v>122980</v>
      </c>
      <c r="AR49" s="141">
        <f ca="1">AT48*(Project!$P$13/12)</f>
        <v>27529.259690405186</v>
      </c>
      <c r="AS49" s="141">
        <f t="shared" si="78"/>
        <v>0</v>
      </c>
      <c r="AT49" s="141">
        <f t="shared" ca="1" si="11"/>
        <v>3821077.2184110968</v>
      </c>
      <c r="AV49" s="141">
        <v>-122980</v>
      </c>
      <c r="AW49" s="141"/>
      <c r="AX49" s="141">
        <f ca="1"/>
        <v>122980</v>
      </c>
      <c r="AY49" s="141">
        <f ca="1"/>
        <v>0</v>
      </c>
      <c r="AZ49" s="141">
        <f t="shared" ca="1" si="79"/>
        <v>0</v>
      </c>
      <c r="BI49" s="141">
        <f t="shared" ca="1" si="80"/>
        <v>1911241.0710256381</v>
      </c>
      <c r="BJ49" s="141">
        <f t="shared" ca="1" si="81"/>
        <v>0</v>
      </c>
      <c r="BK49" s="141" cm="1">
        <f t="array" aca="1" ref="BK49" ca="1">BI49*c_rate.Pref.MO</f>
        <v>15240.504693846871</v>
      </c>
      <c r="BL49" s="141">
        <f t="shared" ca="1" si="82"/>
        <v>0</v>
      </c>
      <c r="BM49" s="141">
        <f t="shared" ca="1" si="115"/>
        <v>1926481.5757194851</v>
      </c>
      <c r="BN49" s="141">
        <f t="shared" ca="1" si="116"/>
        <v>0</v>
      </c>
      <c r="BO49" s="141">
        <f t="shared" ca="1" si="117"/>
        <v>0</v>
      </c>
      <c r="BP49" s="141">
        <f t="shared" ca="1" si="118"/>
        <v>0</v>
      </c>
      <c r="BQ49" s="141">
        <f t="shared" ca="1" si="83"/>
        <v>0</v>
      </c>
      <c r="BR49" s="516"/>
      <c r="BS49" s="141">
        <f t="shared" ca="1" si="119"/>
        <v>2205866.5524835112</v>
      </c>
      <c r="BT49" s="141">
        <f t="shared" ca="1" si="84"/>
        <v>0</v>
      </c>
      <c r="BU49" s="141" cm="1">
        <f t="array" aca="1" ref="BU49" ca="1">IF(D49=0,0,BS49*(c_rate.Hurdle1.MO))</f>
        <v>25841.543398627728</v>
      </c>
      <c r="BV49" s="141">
        <f t="shared" ca="1" si="120"/>
        <v>0</v>
      </c>
      <c r="BW49" s="141">
        <f t="shared" ca="1" si="85"/>
        <v>0</v>
      </c>
      <c r="BX49" s="141">
        <f t="shared" ca="1" si="121"/>
        <v>2231708.0958821387</v>
      </c>
      <c r="BY49" s="141">
        <f t="shared" ca="1" si="122"/>
        <v>0</v>
      </c>
      <c r="BZ49" s="141">
        <f t="shared" ca="1" si="123"/>
        <v>0</v>
      </c>
      <c r="CA49" s="141">
        <f t="shared" ca="1" si="86"/>
        <v>0</v>
      </c>
      <c r="CB49" s="141">
        <f t="shared" ca="1" si="124"/>
        <v>0</v>
      </c>
      <c r="CC49" s="516"/>
      <c r="CD49" s="141">
        <f t="shared" ca="1" si="125"/>
        <v>2530445.5707169012</v>
      </c>
      <c r="CE49" s="141">
        <f t="shared" ca="1" si="87"/>
        <v>0</v>
      </c>
      <c r="CF49" s="141" cm="1">
        <f t="array" aca="1" ref="CF49" ca="1">IF($D50=0,0,CD49*(c_rate.Hurdle2.MO))</f>
        <v>38739.781816065857</v>
      </c>
      <c r="CG49" s="141">
        <f t="shared" ca="1" si="88"/>
        <v>0</v>
      </c>
      <c r="CH49" s="141">
        <f t="shared" ca="1" si="126"/>
        <v>0</v>
      </c>
      <c r="CI49" s="141">
        <f t="shared" ca="1" si="89"/>
        <v>2569185.352532967</v>
      </c>
      <c r="CJ49" s="141">
        <f t="shared" ca="1" si="90"/>
        <v>0</v>
      </c>
      <c r="CK49" s="141">
        <f t="shared" ca="1" si="91"/>
        <v>0</v>
      </c>
      <c r="CL49" s="141">
        <f t="shared" ca="1" si="127"/>
        <v>0</v>
      </c>
      <c r="CM49" s="141">
        <f t="shared" ca="1" si="92"/>
        <v>0</v>
      </c>
      <c r="CN49" s="141">
        <f t="shared" ca="1" si="93"/>
        <v>0</v>
      </c>
      <c r="CO49" s="516"/>
      <c r="CP49" s="141">
        <f t="shared" ca="1" si="128"/>
        <v>2886586.9618082517</v>
      </c>
      <c r="CQ49" s="141">
        <f t="shared" ca="1" si="94"/>
        <v>0</v>
      </c>
      <c r="CR49" s="141" cm="1">
        <f t="array" aca="1" ref="CR49" ca="1">IF($D50=0,0,CP49*(c_rate.Hurdle3.MO))</f>
        <v>54179.115982461932</v>
      </c>
      <c r="CS49" s="141">
        <f t="shared" ca="1" si="95"/>
        <v>0</v>
      </c>
      <c r="CT49" s="141">
        <f t="shared" ca="1" si="129"/>
        <v>0</v>
      </c>
      <c r="CU49" s="141">
        <f t="shared" ca="1" si="96"/>
        <v>2940766.0777907134</v>
      </c>
      <c r="CV49" s="141">
        <f t="shared" ca="1" si="97"/>
        <v>0</v>
      </c>
      <c r="CW49" s="141">
        <f t="shared" ca="1" si="130"/>
        <v>0</v>
      </c>
      <c r="CX49" s="141">
        <f t="shared" ca="1" si="131"/>
        <v>0</v>
      </c>
      <c r="CY49" s="141">
        <f t="shared" ca="1" si="132"/>
        <v>0</v>
      </c>
      <c r="CZ49" s="141">
        <f t="shared" ca="1" si="133"/>
        <v>0</v>
      </c>
      <c r="DA49" s="516"/>
      <c r="DB49" s="141">
        <f t="shared" ca="1" si="98"/>
        <v>0</v>
      </c>
      <c r="DC49" s="141">
        <f t="shared" ca="1" si="99"/>
        <v>0</v>
      </c>
      <c r="DD49" s="518"/>
      <c r="DE49" s="141">
        <f t="shared" ca="1" si="134"/>
        <v>0</v>
      </c>
      <c r="DF49" s="141">
        <f t="shared" ca="1" si="135"/>
        <v>0</v>
      </c>
      <c r="DG49" s="141">
        <f t="shared" ca="1" si="100"/>
        <v>0</v>
      </c>
      <c r="DH49" s="457"/>
      <c r="DI49" s="141">
        <f ca="1"/>
        <v>0</v>
      </c>
      <c r="DJ49" s="141">
        <f ca="1"/>
        <v>0</v>
      </c>
      <c r="DK49" s="141">
        <f ca="1"/>
        <v>0</v>
      </c>
      <c r="DL49" s="141">
        <f t="shared" ca="1" si="101"/>
        <v>0</v>
      </c>
      <c r="DM49" s="141">
        <f t="shared" ca="1" si="102"/>
        <v>0</v>
      </c>
      <c r="DN49" s="141">
        <f t="shared" ca="1" si="103"/>
        <v>0</v>
      </c>
      <c r="DO49" s="141">
        <f t="shared" ca="1" si="104"/>
        <v>0</v>
      </c>
      <c r="DP49" s="141">
        <f t="shared" ca="1" si="105"/>
        <v>0</v>
      </c>
      <c r="DQ49" s="141">
        <f t="shared" ca="1" si="106"/>
        <v>0</v>
      </c>
      <c r="DR49" s="141">
        <f ca="1"/>
        <v>0</v>
      </c>
      <c r="DS49" s="141">
        <f ca="1"/>
        <v>0</v>
      </c>
      <c r="DT49" s="141">
        <f t="shared" ca="1" si="107"/>
        <v>0</v>
      </c>
      <c r="DU49" s="141">
        <f t="shared" ca="1" si="108"/>
        <v>0</v>
      </c>
      <c r="DV49" s="457"/>
      <c r="DW49" s="457"/>
      <c r="DX49" s="141">
        <f ca="1"/>
        <v>0</v>
      </c>
      <c r="DY49" s="141">
        <f t="shared" ca="1" si="136"/>
        <v>0</v>
      </c>
      <c r="DZ49" s="141">
        <f t="shared" ca="1" si="109"/>
        <v>0</v>
      </c>
      <c r="EA49" s="141">
        <f t="shared" ca="1" si="110"/>
        <v>0</v>
      </c>
      <c r="EB49" s="141">
        <f t="shared" ca="1" si="111"/>
        <v>0</v>
      </c>
      <c r="EC49" s="141">
        <f t="shared" ca="1" si="112"/>
        <v>0</v>
      </c>
      <c r="ED49" s="141">
        <f t="shared" ca="1" si="137"/>
        <v>0</v>
      </c>
    </row>
    <row r="50" spans="1:134" ht="17.25" thickTop="1" thickBot="1">
      <c r="A50" s="228">
        <f t="shared" si="72"/>
        <v>5246480.0000000009</v>
      </c>
      <c r="B50" s="228">
        <f t="shared" ca="1" si="113"/>
        <v>1873996.0345865386</v>
      </c>
      <c r="D50" s="184">
        <v>41</v>
      </c>
      <c r="E50" s="184">
        <v>14</v>
      </c>
      <c r="F50" s="184">
        <v>4</v>
      </c>
      <c r="G50" s="121">
        <v>47058</v>
      </c>
      <c r="H50" s="118" t="str">
        <v>Q4-28</v>
      </c>
      <c r="I50" s="118">
        <v>2028</v>
      </c>
      <c r="K50" s="139">
        <v>0</v>
      </c>
      <c r="L50" s="139">
        <v>0</v>
      </c>
      <c r="M50" s="139">
        <v>0</v>
      </c>
      <c r="N50" s="139">
        <v>0</v>
      </c>
      <c r="O50" s="139">
        <v>0</v>
      </c>
      <c r="P50" s="139">
        <v>0</v>
      </c>
      <c r="Q50" s="139">
        <v>0</v>
      </c>
      <c r="R50" s="139">
        <v>100000</v>
      </c>
      <c r="S50" s="139">
        <v>0</v>
      </c>
      <c r="T50" s="139">
        <v>100000</v>
      </c>
      <c r="U50" s="136"/>
      <c r="V50" s="139">
        <v>166.66666666666666</v>
      </c>
      <c r="W50" s="139">
        <v>500</v>
      </c>
      <c r="X50" s="139">
        <v>333.33333333333331</v>
      </c>
      <c r="Y50" s="139">
        <v>480</v>
      </c>
      <c r="Z50" s="139">
        <v>3500.0000000000005</v>
      </c>
      <c r="AA50" s="139">
        <v>18000</v>
      </c>
      <c r="AB50" s="139">
        <v>22980</v>
      </c>
      <c r="AC50" s="137"/>
      <c r="AD50" s="139">
        <v>122980</v>
      </c>
      <c r="AF50" s="139">
        <v>0</v>
      </c>
      <c r="AG50" s="139">
        <v>0</v>
      </c>
      <c r="AH50" s="139">
        <v>0</v>
      </c>
      <c r="AI50" s="139">
        <v>0</v>
      </c>
      <c r="AJ50" s="139">
        <v>-122980</v>
      </c>
      <c r="AL50" s="139">
        <f t="shared" ca="1" si="74"/>
        <v>0</v>
      </c>
      <c r="AM50" s="139">
        <f t="shared" ca="1" si="114"/>
        <v>0</v>
      </c>
      <c r="AN50" s="139">
        <f t="shared" ca="1" si="75"/>
        <v>0</v>
      </c>
      <c r="AP50" s="139">
        <f t="shared" ca="1" si="50"/>
        <v>3821077.2184110968</v>
      </c>
      <c r="AQ50" s="139">
        <f t="shared" ca="1" si="77"/>
        <v>122980</v>
      </c>
      <c r="AR50" s="139">
        <f ca="1">AT49*(Project!$P$13/12)</f>
        <v>28658.079138083227</v>
      </c>
      <c r="AS50" s="139">
        <f t="shared" si="78"/>
        <v>0</v>
      </c>
      <c r="AT50" s="139">
        <f t="shared" ca="1" si="11"/>
        <v>3972715.2975491802</v>
      </c>
      <c r="AV50" s="139">
        <v>-122980</v>
      </c>
      <c r="AW50" s="139"/>
      <c r="AX50" s="139">
        <f ca="1"/>
        <v>122980</v>
      </c>
      <c r="AY50" s="139">
        <f ca="1"/>
        <v>0</v>
      </c>
      <c r="AZ50" s="139">
        <f t="shared" ca="1" si="79"/>
        <v>0</v>
      </c>
      <c r="BI50" s="139">
        <f t="shared" ca="1" si="80"/>
        <v>1926481.5757194851</v>
      </c>
      <c r="BJ50" s="139">
        <f t="shared" ca="1" si="81"/>
        <v>0</v>
      </c>
      <c r="BK50" s="139" cm="1">
        <f t="array" aca="1" ref="BK50" ca="1">BI50*c_rate.Pref.MO</f>
        <v>15362.034618482974</v>
      </c>
      <c r="BL50" s="139">
        <f t="shared" ca="1" si="82"/>
        <v>0</v>
      </c>
      <c r="BM50" s="139">
        <f t="shared" ca="1" si="115"/>
        <v>1941843.610337968</v>
      </c>
      <c r="BN50" s="139">
        <f t="shared" ca="1" si="116"/>
        <v>0</v>
      </c>
      <c r="BO50" s="139">
        <f t="shared" ca="1" si="117"/>
        <v>0</v>
      </c>
      <c r="BP50" s="139">
        <f t="shared" ca="1" si="118"/>
        <v>0</v>
      </c>
      <c r="BQ50" s="139">
        <f t="shared" ca="1" si="83"/>
        <v>0</v>
      </c>
      <c r="BR50" s="516"/>
      <c r="BS50" s="139">
        <f t="shared" ca="1" si="119"/>
        <v>2231708.0958821387</v>
      </c>
      <c r="BT50" s="139">
        <f t="shared" ca="1" si="84"/>
        <v>0</v>
      </c>
      <c r="BU50" s="139" cm="1">
        <f t="array" aca="1" ref="BU50" ca="1">IF(D50=0,0,BS50*(c_rate.Hurdle1.MO))</f>
        <v>26144.274932623437</v>
      </c>
      <c r="BV50" s="139">
        <f t="shared" ca="1" si="120"/>
        <v>0</v>
      </c>
      <c r="BW50" s="139">
        <f t="shared" ca="1" si="85"/>
        <v>0</v>
      </c>
      <c r="BX50" s="139">
        <f t="shared" ca="1" si="121"/>
        <v>2257852.3708147621</v>
      </c>
      <c r="BY50" s="139">
        <f t="shared" ca="1" si="122"/>
        <v>0</v>
      </c>
      <c r="BZ50" s="139">
        <f t="shared" ca="1" si="123"/>
        <v>0</v>
      </c>
      <c r="CA50" s="139">
        <f t="shared" ca="1" si="86"/>
        <v>0</v>
      </c>
      <c r="CB50" s="139">
        <f t="shared" ca="1" si="124"/>
        <v>0</v>
      </c>
      <c r="CC50" s="516"/>
      <c r="CD50" s="139">
        <f t="shared" ca="1" si="125"/>
        <v>2569185.352532967</v>
      </c>
      <c r="CE50" s="139">
        <f t="shared" ca="1" si="87"/>
        <v>0</v>
      </c>
      <c r="CF50" s="139" cm="1">
        <f t="array" aca="1" ref="CF50" ca="1">IF($D51=0,0,CD50*(c_rate.Hurdle2.MO))</f>
        <v>39332.86736294494</v>
      </c>
      <c r="CG50" s="139">
        <f t="shared" ca="1" si="88"/>
        <v>0</v>
      </c>
      <c r="CH50" s="139">
        <f t="shared" ca="1" si="126"/>
        <v>0</v>
      </c>
      <c r="CI50" s="139">
        <f t="shared" ca="1" si="89"/>
        <v>2608518.2198959119</v>
      </c>
      <c r="CJ50" s="139">
        <f t="shared" ca="1" si="90"/>
        <v>0</v>
      </c>
      <c r="CK50" s="139">
        <f t="shared" ca="1" si="91"/>
        <v>0</v>
      </c>
      <c r="CL50" s="139">
        <f t="shared" ca="1" si="127"/>
        <v>0</v>
      </c>
      <c r="CM50" s="139">
        <f t="shared" ca="1" si="92"/>
        <v>0</v>
      </c>
      <c r="CN50" s="139">
        <f t="shared" ca="1" si="93"/>
        <v>0</v>
      </c>
      <c r="CO50" s="516"/>
      <c r="CP50" s="139">
        <f t="shared" ca="1" si="128"/>
        <v>2940766.0777907134</v>
      </c>
      <c r="CQ50" s="139">
        <f t="shared" ca="1" si="94"/>
        <v>0</v>
      </c>
      <c r="CR50" s="139" cm="1">
        <f t="array" aca="1" ref="CR50" ca="1">IF($D51=0,0,CP50*(c_rate.Hurdle3.MO))</f>
        <v>55196.018174385586</v>
      </c>
      <c r="CS50" s="139">
        <f t="shared" ca="1" si="95"/>
        <v>0</v>
      </c>
      <c r="CT50" s="139">
        <f t="shared" ca="1" si="129"/>
        <v>0</v>
      </c>
      <c r="CU50" s="139">
        <f t="shared" ca="1" si="96"/>
        <v>2995962.0959650991</v>
      </c>
      <c r="CV50" s="139">
        <f t="shared" ca="1" si="97"/>
        <v>0</v>
      </c>
      <c r="CW50" s="139">
        <f t="shared" ca="1" si="130"/>
        <v>0</v>
      </c>
      <c r="CX50" s="139">
        <f t="shared" ca="1" si="131"/>
        <v>0</v>
      </c>
      <c r="CY50" s="139">
        <f t="shared" ca="1" si="132"/>
        <v>0</v>
      </c>
      <c r="CZ50" s="139">
        <f t="shared" ca="1" si="133"/>
        <v>0</v>
      </c>
      <c r="DA50" s="516"/>
      <c r="DB50" s="139">
        <f t="shared" ca="1" si="98"/>
        <v>0</v>
      </c>
      <c r="DC50" s="139">
        <f t="shared" ca="1" si="99"/>
        <v>0</v>
      </c>
      <c r="DD50" s="518"/>
      <c r="DE50" s="139">
        <f t="shared" ca="1" si="134"/>
        <v>0</v>
      </c>
      <c r="DF50" s="139">
        <f t="shared" ca="1" si="135"/>
        <v>0</v>
      </c>
      <c r="DG50" s="139">
        <f t="shared" ca="1" si="100"/>
        <v>0</v>
      </c>
      <c r="DH50" s="457"/>
      <c r="DI50" s="139">
        <f ca="1"/>
        <v>0</v>
      </c>
      <c r="DJ50" s="139">
        <f ca="1"/>
        <v>0</v>
      </c>
      <c r="DK50" s="139">
        <f ca="1"/>
        <v>0</v>
      </c>
      <c r="DL50" s="139">
        <f t="shared" ca="1" si="101"/>
        <v>0</v>
      </c>
      <c r="DM50" s="139">
        <f t="shared" ca="1" si="102"/>
        <v>0</v>
      </c>
      <c r="DN50" s="139">
        <f t="shared" ca="1" si="103"/>
        <v>0</v>
      </c>
      <c r="DO50" s="139">
        <f t="shared" ca="1" si="104"/>
        <v>0</v>
      </c>
      <c r="DP50" s="139">
        <f t="shared" ca="1" si="105"/>
        <v>0</v>
      </c>
      <c r="DQ50" s="139">
        <f t="shared" ca="1" si="106"/>
        <v>0</v>
      </c>
      <c r="DR50" s="139">
        <f ca="1"/>
        <v>0</v>
      </c>
      <c r="DS50" s="139">
        <f ca="1"/>
        <v>0</v>
      </c>
      <c r="DT50" s="139">
        <f t="shared" ca="1" si="107"/>
        <v>0</v>
      </c>
      <c r="DU50" s="139">
        <f t="shared" ca="1" si="108"/>
        <v>0</v>
      </c>
      <c r="DV50" s="457"/>
      <c r="DW50" s="457"/>
      <c r="DX50" s="139">
        <f ca="1"/>
        <v>0</v>
      </c>
      <c r="DY50" s="139">
        <f t="shared" ca="1" si="136"/>
        <v>0</v>
      </c>
      <c r="DZ50" s="139">
        <f t="shared" ca="1" si="109"/>
        <v>0</v>
      </c>
      <c r="EA50" s="139">
        <f t="shared" ca="1" si="110"/>
        <v>0</v>
      </c>
      <c r="EB50" s="139">
        <f t="shared" ca="1" si="111"/>
        <v>0</v>
      </c>
      <c r="EC50" s="139">
        <f t="shared" ca="1" si="112"/>
        <v>0</v>
      </c>
      <c r="ED50" s="139">
        <f t="shared" ca="1" si="137"/>
        <v>0</v>
      </c>
    </row>
    <row r="51" spans="1:134" ht="17.25" thickTop="1" thickBot="1">
      <c r="A51" s="229">
        <f t="shared" si="72"/>
        <v>5369460.0000000009</v>
      </c>
      <c r="B51" s="229">
        <f t="shared" ca="1" si="113"/>
        <v>1873996.0345865386</v>
      </c>
      <c r="D51" s="186">
        <v>42</v>
      </c>
      <c r="E51" s="186">
        <v>14</v>
      </c>
      <c r="F51" s="186">
        <v>4</v>
      </c>
      <c r="G51" s="123">
        <v>47088</v>
      </c>
      <c r="H51" s="122" t="str">
        <v>Q4-28</v>
      </c>
      <c r="I51" s="122">
        <v>2028</v>
      </c>
      <c r="K51" s="140">
        <v>0</v>
      </c>
      <c r="L51" s="140">
        <v>0</v>
      </c>
      <c r="M51" s="140">
        <v>0</v>
      </c>
      <c r="N51" s="140">
        <v>0</v>
      </c>
      <c r="O51" s="140">
        <v>0</v>
      </c>
      <c r="P51" s="140">
        <v>0</v>
      </c>
      <c r="Q51" s="140">
        <v>0</v>
      </c>
      <c r="R51" s="140">
        <v>100000</v>
      </c>
      <c r="S51" s="140">
        <v>0</v>
      </c>
      <c r="T51" s="140">
        <v>100000</v>
      </c>
      <c r="U51" s="136"/>
      <c r="V51" s="140">
        <v>166.66666666666666</v>
      </c>
      <c r="W51" s="140">
        <v>500</v>
      </c>
      <c r="X51" s="140">
        <v>333.33333333333331</v>
      </c>
      <c r="Y51" s="140">
        <v>480</v>
      </c>
      <c r="Z51" s="140">
        <v>3500.0000000000005</v>
      </c>
      <c r="AA51" s="140">
        <v>18000</v>
      </c>
      <c r="AB51" s="140">
        <v>22980</v>
      </c>
      <c r="AC51" s="137"/>
      <c r="AD51" s="140">
        <v>122980</v>
      </c>
      <c r="AF51" s="140">
        <v>0</v>
      </c>
      <c r="AG51" s="140">
        <v>0</v>
      </c>
      <c r="AH51" s="140">
        <v>0</v>
      </c>
      <c r="AI51" s="140">
        <v>0</v>
      </c>
      <c r="AJ51" s="140">
        <v>-122980</v>
      </c>
      <c r="AL51" s="140">
        <f t="shared" ca="1" si="74"/>
        <v>0</v>
      </c>
      <c r="AM51" s="140">
        <f t="shared" ca="1" si="114"/>
        <v>0</v>
      </c>
      <c r="AN51" s="140">
        <f t="shared" ca="1" si="75"/>
        <v>0</v>
      </c>
      <c r="AP51" s="140">
        <f t="shared" ca="1" si="50"/>
        <v>3972715.2975491802</v>
      </c>
      <c r="AQ51" s="140">
        <f t="shared" ca="1" si="77"/>
        <v>122980</v>
      </c>
      <c r="AR51" s="140">
        <f ca="1">AT50*(Project!$P$13/12)</f>
        <v>29795.364731618851</v>
      </c>
      <c r="AS51" s="140">
        <f t="shared" si="78"/>
        <v>0</v>
      </c>
      <c r="AT51" s="140">
        <f t="shared" ca="1" si="11"/>
        <v>4125490.6622807989</v>
      </c>
      <c r="AV51" s="140">
        <v>-122980</v>
      </c>
      <c r="AW51" s="140"/>
      <c r="AX51" s="140">
        <f ca="1"/>
        <v>122980</v>
      </c>
      <c r="AY51" s="140">
        <f ca="1"/>
        <v>0</v>
      </c>
      <c r="AZ51" s="140">
        <f t="shared" ca="1" si="79"/>
        <v>0</v>
      </c>
      <c r="BI51" s="140">
        <f t="shared" ca="1" si="80"/>
        <v>1941843.610337968</v>
      </c>
      <c r="BJ51" s="140">
        <f t="shared" ca="1" si="81"/>
        <v>0</v>
      </c>
      <c r="BK51" s="140" cm="1">
        <f t="array" aca="1" ref="BK51" ca="1">BI51*c_rate.Pref.MO</f>
        <v>15484.533639804438</v>
      </c>
      <c r="BL51" s="140">
        <f t="shared" ca="1" si="82"/>
        <v>0</v>
      </c>
      <c r="BM51" s="140">
        <f t="shared" ca="1" si="115"/>
        <v>1957328.1439777724</v>
      </c>
      <c r="BN51" s="140">
        <f t="shared" ca="1" si="116"/>
        <v>0</v>
      </c>
      <c r="BO51" s="140">
        <f t="shared" ca="1" si="117"/>
        <v>0</v>
      </c>
      <c r="BP51" s="140">
        <f t="shared" ca="1" si="118"/>
        <v>0</v>
      </c>
      <c r="BQ51" s="140">
        <f t="shared" ca="1" si="83"/>
        <v>0</v>
      </c>
      <c r="BR51" s="516"/>
      <c r="BS51" s="140">
        <f t="shared" ca="1" si="119"/>
        <v>2257852.3708147621</v>
      </c>
      <c r="BT51" s="140">
        <f t="shared" ca="1" si="84"/>
        <v>0</v>
      </c>
      <c r="BU51" s="140" cm="1">
        <f t="array" aca="1" ref="BU51" ca="1">IF(D51=0,0,BS51*(c_rate.Hurdle1.MO))</f>
        <v>26450.552941388924</v>
      </c>
      <c r="BV51" s="140">
        <f t="shared" ca="1" si="120"/>
        <v>0</v>
      </c>
      <c r="BW51" s="140">
        <f t="shared" ca="1" si="85"/>
        <v>0</v>
      </c>
      <c r="BX51" s="140">
        <f t="shared" ca="1" si="121"/>
        <v>2284302.923756151</v>
      </c>
      <c r="BY51" s="140">
        <f t="shared" ca="1" si="122"/>
        <v>0</v>
      </c>
      <c r="BZ51" s="140">
        <f t="shared" ca="1" si="123"/>
        <v>0</v>
      </c>
      <c r="CA51" s="140">
        <f t="shared" ca="1" si="86"/>
        <v>0</v>
      </c>
      <c r="CB51" s="140">
        <f t="shared" ca="1" si="124"/>
        <v>0</v>
      </c>
      <c r="CC51" s="516"/>
      <c r="CD51" s="140">
        <f t="shared" ca="1" si="125"/>
        <v>2608518.2198959119</v>
      </c>
      <c r="CE51" s="140">
        <f t="shared" ca="1" si="87"/>
        <v>0</v>
      </c>
      <c r="CF51" s="140" cm="1">
        <f t="array" aca="1" ref="CF51" ca="1">IF($D52=0,0,CD51*(c_rate.Hurdle2.MO))</f>
        <v>39935.03273550779</v>
      </c>
      <c r="CG51" s="140">
        <f t="shared" ca="1" si="88"/>
        <v>0</v>
      </c>
      <c r="CH51" s="140">
        <f t="shared" ca="1" si="126"/>
        <v>0</v>
      </c>
      <c r="CI51" s="140">
        <f t="shared" ca="1" si="89"/>
        <v>2648453.2526314198</v>
      </c>
      <c r="CJ51" s="140">
        <f t="shared" ca="1" si="90"/>
        <v>0</v>
      </c>
      <c r="CK51" s="140">
        <f t="shared" ca="1" si="91"/>
        <v>0</v>
      </c>
      <c r="CL51" s="140">
        <f t="shared" ca="1" si="127"/>
        <v>0</v>
      </c>
      <c r="CM51" s="140">
        <f t="shared" ca="1" si="92"/>
        <v>0</v>
      </c>
      <c r="CN51" s="140">
        <f t="shared" ca="1" si="93"/>
        <v>0</v>
      </c>
      <c r="CO51" s="516"/>
      <c r="CP51" s="140">
        <f t="shared" ca="1" si="128"/>
        <v>2995962.0959650991</v>
      </c>
      <c r="CQ51" s="140">
        <f t="shared" ca="1" si="94"/>
        <v>0</v>
      </c>
      <c r="CR51" s="140" cm="1">
        <f t="array" aca="1" ref="CR51" ca="1">IF($D52=0,0,CP51*(c_rate.Hurdle3.MO))</f>
        <v>56232.006873152095</v>
      </c>
      <c r="CS51" s="140">
        <f t="shared" ca="1" si="95"/>
        <v>0</v>
      </c>
      <c r="CT51" s="140">
        <f t="shared" ca="1" si="129"/>
        <v>0</v>
      </c>
      <c r="CU51" s="140">
        <f t="shared" ca="1" si="96"/>
        <v>3052194.1028382513</v>
      </c>
      <c r="CV51" s="140">
        <f t="shared" ca="1" si="97"/>
        <v>0</v>
      </c>
      <c r="CW51" s="140">
        <f t="shared" ca="1" si="130"/>
        <v>0</v>
      </c>
      <c r="CX51" s="140">
        <f t="shared" ca="1" si="131"/>
        <v>0</v>
      </c>
      <c r="CY51" s="140">
        <f t="shared" ca="1" si="132"/>
        <v>0</v>
      </c>
      <c r="CZ51" s="140">
        <f t="shared" ca="1" si="133"/>
        <v>0</v>
      </c>
      <c r="DA51" s="516"/>
      <c r="DB51" s="140">
        <f t="shared" ca="1" si="98"/>
        <v>0</v>
      </c>
      <c r="DC51" s="140">
        <f t="shared" ca="1" si="99"/>
        <v>0</v>
      </c>
      <c r="DD51" s="518"/>
      <c r="DE51" s="140">
        <f t="shared" ca="1" si="134"/>
        <v>0</v>
      </c>
      <c r="DF51" s="140">
        <f t="shared" ca="1" si="135"/>
        <v>0</v>
      </c>
      <c r="DG51" s="140">
        <f t="shared" ca="1" si="100"/>
        <v>0</v>
      </c>
      <c r="DH51" s="457"/>
      <c r="DI51" s="140">
        <f ca="1"/>
        <v>0</v>
      </c>
      <c r="DJ51" s="140">
        <f ca="1"/>
        <v>0</v>
      </c>
      <c r="DK51" s="140">
        <f ca="1"/>
        <v>0</v>
      </c>
      <c r="DL51" s="140">
        <f t="shared" ca="1" si="101"/>
        <v>0</v>
      </c>
      <c r="DM51" s="140">
        <f t="shared" ca="1" si="102"/>
        <v>0</v>
      </c>
      <c r="DN51" s="140">
        <f t="shared" ca="1" si="103"/>
        <v>0</v>
      </c>
      <c r="DO51" s="140">
        <f t="shared" ca="1" si="104"/>
        <v>0</v>
      </c>
      <c r="DP51" s="140">
        <f t="shared" ca="1" si="105"/>
        <v>0</v>
      </c>
      <c r="DQ51" s="140">
        <f t="shared" ca="1" si="106"/>
        <v>0</v>
      </c>
      <c r="DR51" s="140">
        <f ca="1"/>
        <v>0</v>
      </c>
      <c r="DS51" s="140">
        <f ca="1"/>
        <v>0</v>
      </c>
      <c r="DT51" s="140">
        <f t="shared" ca="1" si="107"/>
        <v>0</v>
      </c>
      <c r="DU51" s="140">
        <f t="shared" ca="1" si="108"/>
        <v>0</v>
      </c>
      <c r="DV51" s="457"/>
      <c r="DW51" s="457"/>
      <c r="DX51" s="140">
        <f ca="1"/>
        <v>0</v>
      </c>
      <c r="DY51" s="140">
        <f t="shared" ca="1" si="136"/>
        <v>0</v>
      </c>
      <c r="DZ51" s="140">
        <f t="shared" ca="1" si="109"/>
        <v>0</v>
      </c>
      <c r="EA51" s="140">
        <f t="shared" ca="1" si="110"/>
        <v>0</v>
      </c>
      <c r="EB51" s="140">
        <f t="shared" ca="1" si="111"/>
        <v>0</v>
      </c>
      <c r="EC51" s="140">
        <f t="shared" ca="1" si="112"/>
        <v>0</v>
      </c>
      <c r="ED51" s="140">
        <f t="shared" ca="1" si="137"/>
        <v>0</v>
      </c>
    </row>
    <row r="52" spans="1:134" ht="17.25" thickTop="1" thickBot="1">
      <c r="A52" s="230">
        <f t="shared" si="72"/>
        <v>5388940.0000000009</v>
      </c>
      <c r="B52" s="230">
        <f t="shared" ca="1" si="113"/>
        <v>1873996.0345865386</v>
      </c>
      <c r="D52" s="187">
        <v>43</v>
      </c>
      <c r="E52" s="187">
        <v>15</v>
      </c>
      <c r="F52" s="187">
        <v>4</v>
      </c>
      <c r="G52" s="125">
        <v>47119</v>
      </c>
      <c r="H52" s="124" t="str">
        <v>Q1-29</v>
      </c>
      <c r="I52" s="124">
        <v>2029</v>
      </c>
      <c r="K52" s="141">
        <v>0</v>
      </c>
      <c r="L52" s="141">
        <v>0</v>
      </c>
      <c r="M52" s="141">
        <v>0</v>
      </c>
      <c r="N52" s="141">
        <v>0</v>
      </c>
      <c r="O52" s="141">
        <v>0</v>
      </c>
      <c r="P52" s="141">
        <v>0</v>
      </c>
      <c r="Q52" s="141">
        <v>0</v>
      </c>
      <c r="R52" s="141">
        <v>0</v>
      </c>
      <c r="S52" s="141">
        <v>0</v>
      </c>
      <c r="T52" s="141">
        <v>0</v>
      </c>
      <c r="U52" s="136"/>
      <c r="V52" s="141">
        <v>166.66666666666666</v>
      </c>
      <c r="W52" s="141">
        <v>500</v>
      </c>
      <c r="X52" s="141">
        <v>333.33333333333331</v>
      </c>
      <c r="Y52" s="141">
        <v>480</v>
      </c>
      <c r="Z52" s="141">
        <v>0</v>
      </c>
      <c r="AA52" s="141">
        <v>18000</v>
      </c>
      <c r="AB52" s="141">
        <v>19480</v>
      </c>
      <c r="AC52" s="137"/>
      <c r="AD52" s="141">
        <v>19480</v>
      </c>
      <c r="AF52" s="141">
        <v>0</v>
      </c>
      <c r="AG52" s="141">
        <v>0</v>
      </c>
      <c r="AH52" s="141">
        <v>0</v>
      </c>
      <c r="AI52" s="141">
        <v>0</v>
      </c>
      <c r="AJ52" s="141">
        <v>-19480</v>
      </c>
      <c r="AL52" s="141">
        <f t="shared" ca="1" si="74"/>
        <v>0</v>
      </c>
      <c r="AM52" s="141">
        <f t="shared" ca="1" si="114"/>
        <v>0</v>
      </c>
      <c r="AN52" s="141">
        <f t="shared" ca="1" si="75"/>
        <v>0</v>
      </c>
      <c r="AP52" s="141">
        <f t="shared" ca="1" si="50"/>
        <v>4125490.6622807989</v>
      </c>
      <c r="AQ52" s="141">
        <f t="shared" ca="1" si="77"/>
        <v>19480</v>
      </c>
      <c r="AR52" s="141">
        <f ca="1">AT51*(Project!$P$13/12)</f>
        <v>30941.179967105989</v>
      </c>
      <c r="AS52" s="141">
        <f t="shared" si="78"/>
        <v>0</v>
      </c>
      <c r="AT52" s="141">
        <f t="shared" ca="1" si="11"/>
        <v>4175911.8422479047</v>
      </c>
      <c r="AV52" s="141">
        <v>-19480</v>
      </c>
      <c r="AW52" s="141"/>
      <c r="AX52" s="141">
        <f ca="1"/>
        <v>19480</v>
      </c>
      <c r="AY52" s="141">
        <f ca="1"/>
        <v>0</v>
      </c>
      <c r="AZ52" s="141">
        <f t="shared" ca="1" si="79"/>
        <v>0</v>
      </c>
      <c r="BI52" s="141">
        <f t="shared" ca="1" si="80"/>
        <v>1957328.1439777724</v>
      </c>
      <c r="BJ52" s="141">
        <f t="shared" ca="1" si="81"/>
        <v>0</v>
      </c>
      <c r="BK52" s="141" cm="1">
        <f t="array" aca="1" ref="BK52" ca="1">BI52*c_rate.Pref.MO</f>
        <v>15608.009485524322</v>
      </c>
      <c r="BL52" s="141">
        <f t="shared" ca="1" si="82"/>
        <v>0</v>
      </c>
      <c r="BM52" s="141">
        <f t="shared" ca="1" si="115"/>
        <v>1972936.1534632968</v>
      </c>
      <c r="BN52" s="141">
        <f t="shared" ca="1" si="116"/>
        <v>0</v>
      </c>
      <c r="BO52" s="141">
        <f t="shared" ca="1" si="117"/>
        <v>0</v>
      </c>
      <c r="BP52" s="141">
        <f t="shared" ca="1" si="118"/>
        <v>0</v>
      </c>
      <c r="BQ52" s="141">
        <f t="shared" ca="1" si="83"/>
        <v>0</v>
      </c>
      <c r="BR52" s="516"/>
      <c r="BS52" s="141">
        <f t="shared" ca="1" si="119"/>
        <v>2284302.923756151</v>
      </c>
      <c r="BT52" s="141">
        <f t="shared" ca="1" si="84"/>
        <v>0</v>
      </c>
      <c r="BU52" s="141" cm="1">
        <f t="array" aca="1" ref="BU52" ca="1">IF(D52=0,0,BS52*(c_rate.Hurdle1.MO))</f>
        <v>26760.418971581479</v>
      </c>
      <c r="BV52" s="141">
        <f t="shared" ca="1" si="120"/>
        <v>0</v>
      </c>
      <c r="BW52" s="141">
        <f t="shared" ca="1" si="85"/>
        <v>0</v>
      </c>
      <c r="BX52" s="141">
        <f t="shared" ca="1" si="121"/>
        <v>2311063.3427277324</v>
      </c>
      <c r="BY52" s="141">
        <f t="shared" ca="1" si="122"/>
        <v>0</v>
      </c>
      <c r="BZ52" s="141">
        <f t="shared" ca="1" si="123"/>
        <v>0</v>
      </c>
      <c r="CA52" s="141">
        <f t="shared" ca="1" si="86"/>
        <v>0</v>
      </c>
      <c r="CB52" s="141">
        <f t="shared" ca="1" si="124"/>
        <v>0</v>
      </c>
      <c r="CC52" s="516"/>
      <c r="CD52" s="141">
        <f t="shared" ca="1" si="125"/>
        <v>2648453.2526314198</v>
      </c>
      <c r="CE52" s="141">
        <f t="shared" ca="1" si="87"/>
        <v>0</v>
      </c>
      <c r="CF52" s="141" cm="1">
        <f t="array" aca="1" ref="CF52" ca="1">IF($D53=0,0,CD52*(c_rate.Hurdle2.MO))</f>
        <v>40546.416941077841</v>
      </c>
      <c r="CG52" s="141">
        <f t="shared" ca="1" si="88"/>
        <v>0</v>
      </c>
      <c r="CH52" s="141">
        <f t="shared" ca="1" si="126"/>
        <v>0</v>
      </c>
      <c r="CI52" s="141">
        <f t="shared" ca="1" si="89"/>
        <v>2688999.6695724977</v>
      </c>
      <c r="CJ52" s="141">
        <f t="shared" ca="1" si="90"/>
        <v>0</v>
      </c>
      <c r="CK52" s="141">
        <f t="shared" ca="1" si="91"/>
        <v>0</v>
      </c>
      <c r="CL52" s="141">
        <f t="shared" ca="1" si="127"/>
        <v>0</v>
      </c>
      <c r="CM52" s="141">
        <f t="shared" ca="1" si="92"/>
        <v>0</v>
      </c>
      <c r="CN52" s="141">
        <f t="shared" ca="1" si="93"/>
        <v>0</v>
      </c>
      <c r="CO52" s="516"/>
      <c r="CP52" s="141">
        <f t="shared" ca="1" si="128"/>
        <v>3052194.1028382513</v>
      </c>
      <c r="CQ52" s="141">
        <f t="shared" ca="1" si="94"/>
        <v>0</v>
      </c>
      <c r="CR52" s="141" cm="1">
        <f t="array" aca="1" ref="CR52" ca="1">IF($D53=0,0,CP52*(c_rate.Hurdle3.MO))</f>
        <v>57287.440318468645</v>
      </c>
      <c r="CS52" s="141">
        <f t="shared" ca="1" si="95"/>
        <v>0</v>
      </c>
      <c r="CT52" s="141">
        <f t="shared" ca="1" si="129"/>
        <v>0</v>
      </c>
      <c r="CU52" s="141">
        <f t="shared" ca="1" si="96"/>
        <v>3109481.5431567198</v>
      </c>
      <c r="CV52" s="141">
        <f t="shared" ca="1" si="97"/>
        <v>0</v>
      </c>
      <c r="CW52" s="141">
        <f t="shared" ca="1" si="130"/>
        <v>0</v>
      </c>
      <c r="CX52" s="141">
        <f t="shared" ca="1" si="131"/>
        <v>0</v>
      </c>
      <c r="CY52" s="141">
        <f t="shared" ca="1" si="132"/>
        <v>0</v>
      </c>
      <c r="CZ52" s="141">
        <f t="shared" ca="1" si="133"/>
        <v>0</v>
      </c>
      <c r="DA52" s="516"/>
      <c r="DB52" s="141">
        <f t="shared" ca="1" si="98"/>
        <v>0</v>
      </c>
      <c r="DC52" s="141">
        <f t="shared" ca="1" si="99"/>
        <v>0</v>
      </c>
      <c r="DD52" s="518"/>
      <c r="DE52" s="141">
        <f t="shared" ca="1" si="134"/>
        <v>0</v>
      </c>
      <c r="DF52" s="141">
        <f t="shared" ca="1" si="135"/>
        <v>0</v>
      </c>
      <c r="DG52" s="141">
        <f t="shared" ca="1" si="100"/>
        <v>0</v>
      </c>
      <c r="DH52" s="457"/>
      <c r="DI52" s="141">
        <f ca="1"/>
        <v>0</v>
      </c>
      <c r="DJ52" s="141">
        <f ca="1"/>
        <v>0</v>
      </c>
      <c r="DK52" s="141">
        <f ca="1"/>
        <v>0</v>
      </c>
      <c r="DL52" s="141">
        <f t="shared" ca="1" si="101"/>
        <v>0</v>
      </c>
      <c r="DM52" s="141">
        <f t="shared" ca="1" si="102"/>
        <v>0</v>
      </c>
      <c r="DN52" s="141">
        <f t="shared" ca="1" si="103"/>
        <v>0</v>
      </c>
      <c r="DO52" s="141">
        <f t="shared" ca="1" si="104"/>
        <v>0</v>
      </c>
      <c r="DP52" s="141">
        <f t="shared" ca="1" si="105"/>
        <v>0</v>
      </c>
      <c r="DQ52" s="141">
        <f t="shared" ca="1" si="106"/>
        <v>0</v>
      </c>
      <c r="DR52" s="141">
        <f ca="1"/>
        <v>0</v>
      </c>
      <c r="DS52" s="141">
        <f ca="1"/>
        <v>0</v>
      </c>
      <c r="DT52" s="141">
        <f t="shared" ca="1" si="107"/>
        <v>0</v>
      </c>
      <c r="DU52" s="141">
        <f t="shared" ca="1" si="108"/>
        <v>0</v>
      </c>
      <c r="DV52" s="457"/>
      <c r="DW52" s="457"/>
      <c r="DX52" s="141">
        <f ca="1"/>
        <v>0</v>
      </c>
      <c r="DY52" s="141">
        <f t="shared" ca="1" si="136"/>
        <v>0</v>
      </c>
      <c r="DZ52" s="141">
        <f t="shared" ca="1" si="109"/>
        <v>0</v>
      </c>
      <c r="EA52" s="141">
        <f t="shared" ca="1" si="110"/>
        <v>0</v>
      </c>
      <c r="EB52" s="141">
        <f t="shared" ca="1" si="111"/>
        <v>0</v>
      </c>
      <c r="EC52" s="141">
        <f t="shared" ca="1" si="112"/>
        <v>0</v>
      </c>
      <c r="ED52" s="141">
        <f t="shared" ca="1" si="137"/>
        <v>0</v>
      </c>
    </row>
    <row r="53" spans="1:134" ht="17.25" thickTop="1" thickBot="1">
      <c r="A53" s="228">
        <f t="shared" si="72"/>
        <v>5390420.0000000009</v>
      </c>
      <c r="B53" s="228">
        <f t="shared" ca="1" si="113"/>
        <v>1873996.0345865386</v>
      </c>
      <c r="D53" s="184">
        <v>44</v>
      </c>
      <c r="E53" s="184">
        <v>15</v>
      </c>
      <c r="F53" s="184">
        <v>4</v>
      </c>
      <c r="G53" s="121">
        <v>47150</v>
      </c>
      <c r="H53" s="118" t="str">
        <v>Q1-29</v>
      </c>
      <c r="I53" s="118">
        <v>2029</v>
      </c>
      <c r="K53" s="139">
        <v>0</v>
      </c>
      <c r="L53" s="139">
        <v>0</v>
      </c>
      <c r="M53" s="139">
        <v>0</v>
      </c>
      <c r="N53" s="139">
        <v>0</v>
      </c>
      <c r="O53" s="139">
        <v>0</v>
      </c>
      <c r="P53" s="139">
        <v>0</v>
      </c>
      <c r="Q53" s="139">
        <v>0</v>
      </c>
      <c r="R53" s="139">
        <v>0</v>
      </c>
      <c r="S53" s="139">
        <v>0</v>
      </c>
      <c r="T53" s="139">
        <v>0</v>
      </c>
      <c r="U53" s="136"/>
      <c r="V53" s="139">
        <v>166.66666666666666</v>
      </c>
      <c r="W53" s="139">
        <v>500</v>
      </c>
      <c r="X53" s="139">
        <v>333.33333333333331</v>
      </c>
      <c r="Y53" s="139">
        <v>480</v>
      </c>
      <c r="Z53" s="139">
        <v>0</v>
      </c>
      <c r="AA53" s="139">
        <v>0</v>
      </c>
      <c r="AB53" s="139">
        <v>1480</v>
      </c>
      <c r="AC53" s="137"/>
      <c r="AD53" s="139">
        <v>1480</v>
      </c>
      <c r="AF53" s="139">
        <v>0</v>
      </c>
      <c r="AG53" s="139">
        <v>0</v>
      </c>
      <c r="AH53" s="139">
        <v>0</v>
      </c>
      <c r="AI53" s="139">
        <v>0</v>
      </c>
      <c r="AJ53" s="139">
        <v>-1480</v>
      </c>
      <c r="AL53" s="139">
        <f t="shared" ca="1" si="74"/>
        <v>0</v>
      </c>
      <c r="AM53" s="139">
        <f t="shared" ca="1" si="114"/>
        <v>0</v>
      </c>
      <c r="AN53" s="139">
        <f t="shared" ca="1" si="75"/>
        <v>0</v>
      </c>
      <c r="AP53" s="139">
        <f t="shared" ca="1" si="50"/>
        <v>4175911.8422479047</v>
      </c>
      <c r="AQ53" s="139">
        <f t="shared" ca="1" si="77"/>
        <v>1480</v>
      </c>
      <c r="AR53" s="139">
        <f ca="1">AT52*(Project!$P$13/12)</f>
        <v>31319.338816859283</v>
      </c>
      <c r="AS53" s="139">
        <f t="shared" si="78"/>
        <v>0</v>
      </c>
      <c r="AT53" s="139">
        <f t="shared" ca="1" si="11"/>
        <v>4208711.181064764</v>
      </c>
      <c r="AV53" s="139">
        <v>-1480</v>
      </c>
      <c r="AW53" s="139"/>
      <c r="AX53" s="139">
        <f ca="1"/>
        <v>1480</v>
      </c>
      <c r="AY53" s="139">
        <f ca="1"/>
        <v>0</v>
      </c>
      <c r="AZ53" s="139">
        <f t="shared" ca="1" si="79"/>
        <v>0</v>
      </c>
      <c r="BI53" s="139">
        <f t="shared" ca="1" si="80"/>
        <v>1972936.1534632968</v>
      </c>
      <c r="BJ53" s="139">
        <f t="shared" ca="1" si="81"/>
        <v>0</v>
      </c>
      <c r="BK53" s="139" cm="1">
        <f t="array" aca="1" ref="BK53" ca="1">BI53*c_rate.Pref.MO</f>
        <v>15732.469944977556</v>
      </c>
      <c r="BL53" s="139">
        <f t="shared" ca="1" si="82"/>
        <v>0</v>
      </c>
      <c r="BM53" s="139">
        <f t="shared" ca="1" si="115"/>
        <v>1988668.6234082745</v>
      </c>
      <c r="BN53" s="139">
        <f t="shared" ca="1" si="116"/>
        <v>0</v>
      </c>
      <c r="BO53" s="139">
        <f t="shared" ca="1" si="117"/>
        <v>0</v>
      </c>
      <c r="BP53" s="139">
        <f t="shared" ca="1" si="118"/>
        <v>0</v>
      </c>
      <c r="BQ53" s="139">
        <f t="shared" ca="1" si="83"/>
        <v>0</v>
      </c>
      <c r="BR53" s="516"/>
      <c r="BS53" s="139">
        <f t="shared" ca="1" si="119"/>
        <v>2311063.3427277324</v>
      </c>
      <c r="BT53" s="139">
        <f t="shared" ca="1" si="84"/>
        <v>0</v>
      </c>
      <c r="BU53" s="139" cm="1">
        <f t="array" aca="1" ref="BU53" ca="1">IF(D53=0,0,BS53*(c_rate.Hurdle1.MO))</f>
        <v>27073.915056574024</v>
      </c>
      <c r="BV53" s="139">
        <f t="shared" ca="1" si="120"/>
        <v>0</v>
      </c>
      <c r="BW53" s="139">
        <f t="shared" ca="1" si="85"/>
        <v>0</v>
      </c>
      <c r="BX53" s="139">
        <f t="shared" ca="1" si="121"/>
        <v>2338137.2577843065</v>
      </c>
      <c r="BY53" s="139">
        <f t="shared" ca="1" si="122"/>
        <v>0</v>
      </c>
      <c r="BZ53" s="139">
        <f t="shared" ca="1" si="123"/>
        <v>0</v>
      </c>
      <c r="CA53" s="139">
        <f t="shared" ca="1" si="86"/>
        <v>0</v>
      </c>
      <c r="CB53" s="139">
        <f t="shared" ca="1" si="124"/>
        <v>0</v>
      </c>
      <c r="CC53" s="516"/>
      <c r="CD53" s="139">
        <f t="shared" ca="1" si="125"/>
        <v>2688999.6695724977</v>
      </c>
      <c r="CE53" s="139">
        <f t="shared" ca="1" si="87"/>
        <v>0</v>
      </c>
      <c r="CF53" s="139" cm="1">
        <f t="array" aca="1" ref="CF53" ca="1">IF($D54=0,0,CD53*(c_rate.Hurdle2.MO))</f>
        <v>41167.161115107076</v>
      </c>
      <c r="CG53" s="139">
        <f t="shared" ca="1" si="88"/>
        <v>0</v>
      </c>
      <c r="CH53" s="139">
        <f t="shared" ca="1" si="126"/>
        <v>0</v>
      </c>
      <c r="CI53" s="139">
        <f t="shared" ca="1" si="89"/>
        <v>2730166.8306876048</v>
      </c>
      <c r="CJ53" s="139">
        <f t="shared" ca="1" si="90"/>
        <v>0</v>
      </c>
      <c r="CK53" s="139">
        <f t="shared" ca="1" si="91"/>
        <v>0</v>
      </c>
      <c r="CL53" s="139">
        <f t="shared" ca="1" si="127"/>
        <v>0</v>
      </c>
      <c r="CM53" s="139">
        <f t="shared" ca="1" si="92"/>
        <v>0</v>
      </c>
      <c r="CN53" s="139">
        <f t="shared" ca="1" si="93"/>
        <v>0</v>
      </c>
      <c r="CO53" s="516"/>
      <c r="CP53" s="139">
        <f t="shared" ca="1" si="128"/>
        <v>3109481.5431567198</v>
      </c>
      <c r="CQ53" s="139">
        <f t="shared" ca="1" si="94"/>
        <v>0</v>
      </c>
      <c r="CR53" s="139" cm="1">
        <f t="array" aca="1" ref="CR53" ca="1">IF($D54=0,0,CP53*(c_rate.Hurdle3.MO))</f>
        <v>58362.683473938443</v>
      </c>
      <c r="CS53" s="139">
        <f t="shared" ca="1" si="95"/>
        <v>0</v>
      </c>
      <c r="CT53" s="139">
        <f t="shared" ca="1" si="129"/>
        <v>0</v>
      </c>
      <c r="CU53" s="139">
        <f t="shared" ca="1" si="96"/>
        <v>3167844.2266306584</v>
      </c>
      <c r="CV53" s="139">
        <f t="shared" ca="1" si="97"/>
        <v>0</v>
      </c>
      <c r="CW53" s="139">
        <f t="shared" ca="1" si="130"/>
        <v>0</v>
      </c>
      <c r="CX53" s="139">
        <f t="shared" ca="1" si="131"/>
        <v>0</v>
      </c>
      <c r="CY53" s="139">
        <f t="shared" ca="1" si="132"/>
        <v>0</v>
      </c>
      <c r="CZ53" s="139">
        <f t="shared" ca="1" si="133"/>
        <v>0</v>
      </c>
      <c r="DA53" s="516"/>
      <c r="DB53" s="139">
        <f t="shared" ca="1" si="98"/>
        <v>0</v>
      </c>
      <c r="DC53" s="139">
        <f t="shared" ca="1" si="99"/>
        <v>0</v>
      </c>
      <c r="DD53" s="518"/>
      <c r="DE53" s="139">
        <f t="shared" ca="1" si="134"/>
        <v>0</v>
      </c>
      <c r="DF53" s="139">
        <f t="shared" ca="1" si="135"/>
        <v>0</v>
      </c>
      <c r="DG53" s="139">
        <f t="shared" ca="1" si="100"/>
        <v>0</v>
      </c>
      <c r="DH53" s="457"/>
      <c r="DI53" s="139">
        <f ca="1"/>
        <v>0</v>
      </c>
      <c r="DJ53" s="139">
        <f ca="1"/>
        <v>0</v>
      </c>
      <c r="DK53" s="139">
        <f ca="1"/>
        <v>0</v>
      </c>
      <c r="DL53" s="139">
        <f t="shared" ca="1" si="101"/>
        <v>0</v>
      </c>
      <c r="DM53" s="139">
        <f t="shared" ca="1" si="102"/>
        <v>0</v>
      </c>
      <c r="DN53" s="139">
        <f t="shared" ca="1" si="103"/>
        <v>0</v>
      </c>
      <c r="DO53" s="139">
        <f t="shared" ca="1" si="104"/>
        <v>0</v>
      </c>
      <c r="DP53" s="139">
        <f t="shared" ca="1" si="105"/>
        <v>0</v>
      </c>
      <c r="DQ53" s="139">
        <f t="shared" ca="1" si="106"/>
        <v>0</v>
      </c>
      <c r="DR53" s="139">
        <f ca="1"/>
        <v>0</v>
      </c>
      <c r="DS53" s="139">
        <f ca="1"/>
        <v>0</v>
      </c>
      <c r="DT53" s="139">
        <f t="shared" ca="1" si="107"/>
        <v>0</v>
      </c>
      <c r="DU53" s="139">
        <f t="shared" ca="1" si="108"/>
        <v>0</v>
      </c>
      <c r="DV53" s="457"/>
      <c r="DW53" s="457"/>
      <c r="DX53" s="139">
        <f ca="1"/>
        <v>0</v>
      </c>
      <c r="DY53" s="139">
        <f t="shared" ca="1" si="136"/>
        <v>0</v>
      </c>
      <c r="DZ53" s="139">
        <f t="shared" ca="1" si="109"/>
        <v>0</v>
      </c>
      <c r="EA53" s="139">
        <f t="shared" ca="1" si="110"/>
        <v>0</v>
      </c>
      <c r="EB53" s="139">
        <f t="shared" ca="1" si="111"/>
        <v>0</v>
      </c>
      <c r="EC53" s="139">
        <f t="shared" ca="1" si="112"/>
        <v>0</v>
      </c>
      <c r="ED53" s="139">
        <f t="shared" ca="1" si="137"/>
        <v>0</v>
      </c>
    </row>
    <row r="54" spans="1:134" ht="17.25" thickTop="1" thickBot="1">
      <c r="A54" s="229">
        <f t="shared" si="72"/>
        <v>0</v>
      </c>
      <c r="B54" s="229">
        <f t="shared" ca="1" si="113"/>
        <v>0</v>
      </c>
      <c r="D54" s="186">
        <v>45</v>
      </c>
      <c r="E54" s="186">
        <v>15</v>
      </c>
      <c r="F54" s="186">
        <v>4</v>
      </c>
      <c r="G54" s="123">
        <v>47178</v>
      </c>
      <c r="H54" s="122" t="str">
        <v>Q1-29</v>
      </c>
      <c r="I54" s="122">
        <v>2029</v>
      </c>
      <c r="K54" s="140">
        <v>0</v>
      </c>
      <c r="L54" s="140">
        <v>0</v>
      </c>
      <c r="M54" s="140">
        <v>0</v>
      </c>
      <c r="N54" s="140">
        <v>0</v>
      </c>
      <c r="O54" s="140">
        <v>0</v>
      </c>
      <c r="P54" s="140">
        <v>0</v>
      </c>
      <c r="Q54" s="140">
        <v>0</v>
      </c>
      <c r="R54" s="140">
        <v>0</v>
      </c>
      <c r="S54" s="140">
        <v>0</v>
      </c>
      <c r="T54" s="140">
        <v>0</v>
      </c>
      <c r="U54" s="136"/>
      <c r="V54" s="140">
        <v>166.66666666666666</v>
      </c>
      <c r="W54" s="140">
        <v>500</v>
      </c>
      <c r="X54" s="140">
        <v>333.33333333333331</v>
      </c>
      <c r="Y54" s="140">
        <v>480</v>
      </c>
      <c r="Z54" s="140">
        <v>0</v>
      </c>
      <c r="AA54" s="140">
        <v>0</v>
      </c>
      <c r="AB54" s="140">
        <v>1480</v>
      </c>
      <c r="AC54" s="137"/>
      <c r="AD54" s="140">
        <v>1480</v>
      </c>
      <c r="AF54" s="140">
        <v>7200000</v>
      </c>
      <c r="AG54" s="140">
        <v>-360000</v>
      </c>
      <c r="AH54" s="140">
        <v>-72000</v>
      </c>
      <c r="AI54" s="140">
        <v>6768000</v>
      </c>
      <c r="AJ54" s="140">
        <v>6766520</v>
      </c>
      <c r="AL54" s="140">
        <f t="shared" ca="1" si="74"/>
        <v>0</v>
      </c>
      <c r="AM54" s="140">
        <f t="shared" ca="1" si="114"/>
        <v>0</v>
      </c>
      <c r="AN54" s="140">
        <f t="shared" ca="1" si="75"/>
        <v>0</v>
      </c>
      <c r="AP54" s="140">
        <f t="shared" ca="1" si="50"/>
        <v>4208711.181064764</v>
      </c>
      <c r="AQ54" s="140">
        <f t="shared" ca="1" si="77"/>
        <v>1480</v>
      </c>
      <c r="AR54" s="140">
        <f ca="1">AT53*(Project!$P$13/12)</f>
        <v>31565.33385798573</v>
      </c>
      <c r="AS54" s="140">
        <f t="shared" ca="1" si="78"/>
        <v>4241756.5149227502</v>
      </c>
      <c r="AT54" s="140">
        <f t="shared" ca="1" si="11"/>
        <v>0</v>
      </c>
      <c r="AV54" s="140">
        <v>6766520</v>
      </c>
      <c r="AW54" s="140"/>
      <c r="AX54" s="140">
        <f ca="1"/>
        <v>1480</v>
      </c>
      <c r="AY54" s="140">
        <f ca="1"/>
        <v>4241756.5149227502</v>
      </c>
      <c r="AZ54" s="140">
        <f t="shared" ca="1" si="79"/>
        <v>2526243.4850772498</v>
      </c>
      <c r="BI54" s="140">
        <f t="shared" ca="1" si="80"/>
        <v>1988668.6234082745</v>
      </c>
      <c r="BJ54" s="140">
        <f t="shared" ca="1" si="81"/>
        <v>0</v>
      </c>
      <c r="BK54" s="140" cm="1">
        <f t="array" aca="1" ref="BK54" ca="1">BI54*c_rate.Pref.MO</f>
        <v>15857.922869612317</v>
      </c>
      <c r="BL54" s="140">
        <f t="shared" ca="1" si="82"/>
        <v>1894682.6138079374</v>
      </c>
      <c r="BM54" s="140">
        <f t="shared" ca="1" si="115"/>
        <v>109843.93246994936</v>
      </c>
      <c r="BN54" s="140">
        <f t="shared" ca="1" si="116"/>
        <v>1894682.6138079374</v>
      </c>
      <c r="BO54" s="140">
        <f t="shared" ca="1" si="117"/>
        <v>631560.87126931245</v>
      </c>
      <c r="BP54" s="140">
        <f t="shared" ca="1" si="118"/>
        <v>2526243.4850772498</v>
      </c>
      <c r="BQ54" s="140">
        <f t="shared" ca="1" si="83"/>
        <v>0</v>
      </c>
      <c r="BR54" s="516"/>
      <c r="BS54" s="140">
        <f t="shared" ca="1" si="119"/>
        <v>2338137.2577843065</v>
      </c>
      <c r="BT54" s="140">
        <f t="shared" ca="1" si="84"/>
        <v>0</v>
      </c>
      <c r="BU54" s="140" cm="1">
        <f t="array" aca="1" ref="BU54" ca="1">IF(D54=0,0,BS54*(c_rate.Hurdle1.MO))</f>
        <v>27391.083722156956</v>
      </c>
      <c r="BV54" s="140">
        <f t="shared" ca="1" si="120"/>
        <v>1894682.6138079374</v>
      </c>
      <c r="BW54" s="140">
        <f t="shared" ca="1" si="85"/>
        <v>0</v>
      </c>
      <c r="BX54" s="140">
        <f t="shared" ca="1" si="121"/>
        <v>470845.72769852611</v>
      </c>
      <c r="BY54" s="140">
        <f t="shared" ca="1" si="122"/>
        <v>1894682.6138079374</v>
      </c>
      <c r="BZ54" s="140">
        <f t="shared" ca="1" si="123"/>
        <v>631560.87126931245</v>
      </c>
      <c r="CA54" s="140">
        <f t="shared" ca="1" si="86"/>
        <v>2526243.4850772498</v>
      </c>
      <c r="CB54" s="140">
        <f t="shared" ca="1" si="124"/>
        <v>0</v>
      </c>
      <c r="CC54" s="516"/>
      <c r="CD54" s="140">
        <f t="shared" ca="1" si="125"/>
        <v>2730166.8306876048</v>
      </c>
      <c r="CE54" s="140">
        <f t="shared" ca="1" si="87"/>
        <v>0</v>
      </c>
      <c r="CF54" s="140" cm="1">
        <f t="array" ref="CF54">IF($D55=0,0,CD54*(c_rate.Hurdle2.MO))</f>
        <v>0</v>
      </c>
      <c r="CG54" s="140">
        <f t="shared" ca="1" si="88"/>
        <v>1894682.6138079374</v>
      </c>
      <c r="CH54" s="140">
        <f t="shared" ca="1" si="126"/>
        <v>0</v>
      </c>
      <c r="CI54" s="140">
        <f t="shared" ca="1" si="89"/>
        <v>835484.21687966748</v>
      </c>
      <c r="CJ54" s="140">
        <f t="shared" ca="1" si="90"/>
        <v>1894682.6138079374</v>
      </c>
      <c r="CK54" s="140">
        <f t="shared" ca="1" si="91"/>
        <v>1894682.6138079374</v>
      </c>
      <c r="CL54" s="140">
        <f t="shared" ca="1" si="127"/>
        <v>631560.87126931245</v>
      </c>
      <c r="CM54" s="140">
        <f t="shared" ca="1" si="92"/>
        <v>2526243.4850772498</v>
      </c>
      <c r="CN54" s="140">
        <f t="shared" ca="1" si="93"/>
        <v>0</v>
      </c>
      <c r="CO54" s="516"/>
      <c r="CP54" s="140">
        <f t="shared" ca="1" si="128"/>
        <v>3167844.2266306584</v>
      </c>
      <c r="CQ54" s="140">
        <f t="shared" ca="1" si="94"/>
        <v>0</v>
      </c>
      <c r="CR54" s="140" cm="1">
        <f t="array" ref="CR54">IF($D55=0,0,CP54*(c_rate.Hurdle3.MO))</f>
        <v>0</v>
      </c>
      <c r="CS54" s="140">
        <f t="shared" ca="1" si="95"/>
        <v>1894682.6138079374</v>
      </c>
      <c r="CT54" s="140">
        <f t="shared" ca="1" si="129"/>
        <v>0</v>
      </c>
      <c r="CU54" s="140">
        <f t="shared" ca="1" si="96"/>
        <v>1273161.612822721</v>
      </c>
      <c r="CV54" s="140">
        <f t="shared" ca="1" si="97"/>
        <v>1894682.6138079374</v>
      </c>
      <c r="CW54" s="140">
        <f t="shared" ca="1" si="130"/>
        <v>1894682.6138079374</v>
      </c>
      <c r="CX54" s="140">
        <f t="shared" ca="1" si="131"/>
        <v>631560.87126931245</v>
      </c>
      <c r="CY54" s="140">
        <f t="shared" ca="1" si="132"/>
        <v>2526243.4850772498</v>
      </c>
      <c r="CZ54" s="140">
        <f t="shared" ca="1" si="133"/>
        <v>0</v>
      </c>
      <c r="DA54" s="516"/>
      <c r="DB54" s="140">
        <f t="shared" ca="1" si="98"/>
        <v>0</v>
      </c>
      <c r="DC54" s="140">
        <f t="shared" ca="1" si="99"/>
        <v>0</v>
      </c>
      <c r="DD54" s="518"/>
      <c r="DE54" s="140">
        <f t="shared" ca="1" si="134"/>
        <v>1894682.6138079374</v>
      </c>
      <c r="DF54" s="140">
        <f t="shared" ca="1" si="135"/>
        <v>631560.87126931245</v>
      </c>
      <c r="DG54" s="140">
        <f t="shared" ca="1" si="100"/>
        <v>2526243.4850772498</v>
      </c>
      <c r="DH54" s="457"/>
      <c r="DI54" s="140">
        <f ca="1"/>
        <v>2526243.4850772498</v>
      </c>
      <c r="DJ54" s="140">
        <f ca="1"/>
        <v>1894682.6138079374</v>
      </c>
      <c r="DK54" s="140">
        <f ca="1"/>
        <v>631560.87126931245</v>
      </c>
      <c r="DL54" s="140">
        <f t="shared" ca="1" si="101"/>
        <v>0</v>
      </c>
      <c r="DM54" s="140">
        <f t="shared" ca="1" si="102"/>
        <v>0</v>
      </c>
      <c r="DN54" s="140">
        <f t="shared" ca="1" si="103"/>
        <v>0</v>
      </c>
      <c r="DO54" s="140">
        <f t="shared" ca="1" si="104"/>
        <v>0</v>
      </c>
      <c r="DP54" s="140">
        <f t="shared" ca="1" si="105"/>
        <v>0</v>
      </c>
      <c r="DQ54" s="140">
        <f t="shared" ca="1" si="106"/>
        <v>0</v>
      </c>
      <c r="DR54" s="140">
        <f ca="1"/>
        <v>0</v>
      </c>
      <c r="DS54" s="140">
        <f ca="1"/>
        <v>0</v>
      </c>
      <c r="DT54" s="140">
        <f t="shared" ca="1" si="107"/>
        <v>1894682.6138079374</v>
      </c>
      <c r="DU54" s="140">
        <f t="shared" ca="1" si="108"/>
        <v>631560.87126931245</v>
      </c>
      <c r="DV54" s="457"/>
      <c r="DW54" s="457"/>
      <c r="DX54" s="140">
        <f ca="1"/>
        <v>2526243.4850772498</v>
      </c>
      <c r="DY54" s="140">
        <f t="shared" ca="1" si="136"/>
        <v>2526243.4850772498</v>
      </c>
      <c r="DZ54" s="140">
        <f t="shared" ca="1" si="109"/>
        <v>0</v>
      </c>
      <c r="EA54" s="140">
        <f t="shared" ca="1" si="110"/>
        <v>0</v>
      </c>
      <c r="EB54" s="140">
        <f t="shared" ca="1" si="111"/>
        <v>0</v>
      </c>
      <c r="EC54" s="140">
        <f t="shared" ca="1" si="112"/>
        <v>0</v>
      </c>
      <c r="ED54" s="140">
        <f t="shared" ca="1" si="137"/>
        <v>2526243.4850772498</v>
      </c>
    </row>
    <row r="55" spans="1:134" ht="17.25" thickTop="1" thickBot="1">
      <c r="A55" s="230">
        <f t="shared" si="72"/>
        <v>0</v>
      </c>
      <c r="B55" s="230">
        <f t="shared" ca="1" si="113"/>
        <v>0</v>
      </c>
      <c r="D55" s="187"/>
      <c r="E55" s="187"/>
      <c r="F55" s="187"/>
      <c r="G55" s="125"/>
      <c r="H55" s="124"/>
      <c r="I55" s="124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36"/>
      <c r="V55" s="141"/>
      <c r="W55" s="141"/>
      <c r="X55" s="141"/>
      <c r="Y55" s="141"/>
      <c r="Z55" s="141"/>
      <c r="AA55" s="141"/>
      <c r="AB55" s="141"/>
      <c r="AC55" s="137"/>
      <c r="AD55" s="141"/>
      <c r="AF55" s="141"/>
      <c r="AG55" s="141"/>
      <c r="AH55" s="141"/>
      <c r="AI55" s="141"/>
      <c r="AJ55" s="141"/>
      <c r="AL55" s="141">
        <f t="shared" ca="1" si="74"/>
        <v>0</v>
      </c>
      <c r="AM55" s="141">
        <f t="shared" ca="1" si="114"/>
        <v>0</v>
      </c>
      <c r="AN55" s="141">
        <f t="shared" ca="1" si="75"/>
        <v>0</v>
      </c>
      <c r="AP55" s="141">
        <f t="shared" ca="1" si="50"/>
        <v>0</v>
      </c>
      <c r="AQ55" s="141">
        <f t="shared" ca="1" si="77"/>
        <v>0</v>
      </c>
      <c r="AR55" s="141">
        <f ca="1">AT54*(Project!$P$13/12)</f>
        <v>0</v>
      </c>
      <c r="AS55" s="141">
        <f t="shared" si="78"/>
        <v>0</v>
      </c>
      <c r="AT55" s="141">
        <f t="shared" ca="1" si="11"/>
        <v>0</v>
      </c>
      <c r="AV55" s="141"/>
      <c r="AW55" s="141"/>
      <c r="AX55" s="141">
        <f ca="1"/>
        <v>0</v>
      </c>
      <c r="AY55" s="141">
        <f ca="1"/>
        <v>0</v>
      </c>
      <c r="AZ55" s="141">
        <f t="shared" ca="1" si="79"/>
        <v>0</v>
      </c>
      <c r="BI55" s="141">
        <f t="shared" si="80"/>
        <v>0</v>
      </c>
      <c r="BJ55" s="141">
        <f t="shared" ca="1" si="81"/>
        <v>0</v>
      </c>
      <c r="BK55" s="141" cm="1">
        <f t="array" ref="BK55">BI55*c_rate.Pref.MO</f>
        <v>0</v>
      </c>
      <c r="BL55" s="141">
        <f t="shared" ca="1" si="82"/>
        <v>0</v>
      </c>
      <c r="BM55" s="141">
        <f t="shared" ca="1" si="115"/>
        <v>0</v>
      </c>
      <c r="BN55" s="141">
        <f t="shared" ca="1" si="116"/>
        <v>0</v>
      </c>
      <c r="BO55" s="141">
        <f t="shared" si="117"/>
        <v>0</v>
      </c>
      <c r="BP55" s="141">
        <f t="shared" ca="1" si="118"/>
        <v>0</v>
      </c>
      <c r="BQ55" s="141">
        <f t="shared" si="83"/>
        <v>0</v>
      </c>
      <c r="BR55" s="516"/>
      <c r="BS55" s="141">
        <f t="shared" ca="1" si="119"/>
        <v>470845.72769852611</v>
      </c>
      <c r="BT55" s="141">
        <f t="shared" ca="1" si="84"/>
        <v>0</v>
      </c>
      <c r="BU55" s="141" cm="1">
        <f t="array" ref="BU55">IF(D55=0,0,BS55*(c_rate.Hurdle1.MO))</f>
        <v>0</v>
      </c>
      <c r="BV55" s="141">
        <f t="shared" ca="1" si="120"/>
        <v>0</v>
      </c>
      <c r="BW55" s="141">
        <f t="shared" ca="1" si="85"/>
        <v>0</v>
      </c>
      <c r="BX55" s="141">
        <f t="shared" ca="1" si="121"/>
        <v>470845.72769852611</v>
      </c>
      <c r="BY55" s="141">
        <f t="shared" ca="1" si="122"/>
        <v>0</v>
      </c>
      <c r="BZ55" s="141">
        <f t="shared" ca="1" si="123"/>
        <v>0</v>
      </c>
      <c r="CA55" s="141">
        <f t="shared" ca="1" si="86"/>
        <v>0</v>
      </c>
      <c r="CB55" s="141">
        <f t="shared" ca="1" si="124"/>
        <v>0</v>
      </c>
      <c r="CC55" s="516"/>
      <c r="CD55" s="141">
        <f t="shared" ca="1" si="125"/>
        <v>835484.21687966748</v>
      </c>
      <c r="CE55" s="141">
        <f t="shared" ca="1" si="87"/>
        <v>0</v>
      </c>
      <c r="CF55" s="141" cm="1">
        <f t="array" ref="CF55">IF($D56=0,0,CD55*(c_rate.Hurdle2.MO))</f>
        <v>0</v>
      </c>
      <c r="CG55" s="141">
        <f t="shared" ca="1" si="88"/>
        <v>0</v>
      </c>
      <c r="CH55" s="141">
        <f t="shared" ca="1" si="126"/>
        <v>0</v>
      </c>
      <c r="CI55" s="141">
        <f t="shared" ca="1" si="89"/>
        <v>835484.21687966748</v>
      </c>
      <c r="CJ55" s="141">
        <f t="shared" ca="1" si="90"/>
        <v>0</v>
      </c>
      <c r="CK55" s="141">
        <f t="shared" ca="1" si="91"/>
        <v>0</v>
      </c>
      <c r="CL55" s="141">
        <f t="shared" ca="1" si="127"/>
        <v>0</v>
      </c>
      <c r="CM55" s="141">
        <f t="shared" ca="1" si="92"/>
        <v>0</v>
      </c>
      <c r="CN55" s="141">
        <f t="shared" ca="1" si="93"/>
        <v>0</v>
      </c>
      <c r="CO55" s="516"/>
      <c r="CP55" s="141">
        <f t="shared" ca="1" si="128"/>
        <v>1273161.612822721</v>
      </c>
      <c r="CQ55" s="141">
        <f t="shared" ca="1" si="94"/>
        <v>0</v>
      </c>
      <c r="CR55" s="141" cm="1">
        <f t="array" ref="CR55">IF($D56=0,0,CP55*(c_rate.Hurdle3.MO))</f>
        <v>0</v>
      </c>
      <c r="CS55" s="141">
        <f t="shared" ca="1" si="95"/>
        <v>0</v>
      </c>
      <c r="CT55" s="141">
        <f t="shared" ca="1" si="129"/>
        <v>0</v>
      </c>
      <c r="CU55" s="141">
        <f t="shared" ca="1" si="96"/>
        <v>1273161.612822721</v>
      </c>
      <c r="CV55" s="141">
        <f t="shared" ca="1" si="97"/>
        <v>0</v>
      </c>
      <c r="CW55" s="141">
        <f t="shared" ca="1" si="130"/>
        <v>0</v>
      </c>
      <c r="CX55" s="141">
        <f t="shared" ca="1" si="131"/>
        <v>0</v>
      </c>
      <c r="CY55" s="141">
        <f t="shared" ca="1" si="132"/>
        <v>0</v>
      </c>
      <c r="CZ55" s="141">
        <f t="shared" ca="1" si="133"/>
        <v>0</v>
      </c>
      <c r="DA55" s="516"/>
      <c r="DB55" s="141">
        <f t="shared" ca="1" si="98"/>
        <v>0</v>
      </c>
      <c r="DC55" s="141">
        <f t="shared" ca="1" si="99"/>
        <v>0</v>
      </c>
      <c r="DD55" s="518"/>
      <c r="DE55" s="141">
        <f t="shared" ca="1" si="134"/>
        <v>0</v>
      </c>
      <c r="DF55" s="141">
        <f t="shared" ca="1" si="135"/>
        <v>0</v>
      </c>
      <c r="DG55" s="141">
        <f t="shared" ca="1" si="100"/>
        <v>0</v>
      </c>
      <c r="DH55" s="457"/>
      <c r="DI55" s="141">
        <f ca="1"/>
        <v>0</v>
      </c>
      <c r="DJ55" s="141">
        <f ca="1"/>
        <v>0</v>
      </c>
      <c r="DK55" s="141">
        <f ca="1"/>
        <v>0</v>
      </c>
      <c r="DL55" s="141">
        <f t="shared" ca="1" si="101"/>
        <v>0</v>
      </c>
      <c r="DM55" s="141">
        <f t="shared" ca="1" si="102"/>
        <v>0</v>
      </c>
      <c r="DN55" s="141">
        <f t="shared" ca="1" si="103"/>
        <v>0</v>
      </c>
      <c r="DO55" s="141">
        <f t="shared" ca="1" si="104"/>
        <v>0</v>
      </c>
      <c r="DP55" s="141">
        <f t="shared" ca="1" si="105"/>
        <v>0</v>
      </c>
      <c r="DQ55" s="141">
        <f t="shared" ca="1" si="106"/>
        <v>0</v>
      </c>
      <c r="DR55" s="141">
        <f ca="1"/>
        <v>0</v>
      </c>
      <c r="DS55" s="141">
        <f ca="1"/>
        <v>0</v>
      </c>
      <c r="DT55" s="141">
        <f t="shared" ca="1" si="107"/>
        <v>0</v>
      </c>
      <c r="DU55" s="141">
        <f t="shared" ca="1" si="108"/>
        <v>0</v>
      </c>
      <c r="DV55" s="457"/>
      <c r="DW55" s="457"/>
      <c r="DX55" s="141">
        <f ca="1"/>
        <v>0</v>
      </c>
      <c r="DY55" s="141">
        <f t="shared" ca="1" si="136"/>
        <v>0</v>
      </c>
      <c r="DZ55" s="141">
        <f t="shared" ca="1" si="109"/>
        <v>0</v>
      </c>
      <c r="EA55" s="141">
        <f t="shared" ca="1" si="110"/>
        <v>0</v>
      </c>
      <c r="EB55" s="141">
        <f t="shared" ca="1" si="111"/>
        <v>0</v>
      </c>
      <c r="EC55" s="141">
        <f t="shared" ca="1" si="112"/>
        <v>0</v>
      </c>
      <c r="ED55" s="141">
        <f t="shared" ca="1" si="137"/>
        <v>0</v>
      </c>
    </row>
    <row r="56" spans="1:134" ht="17.25" thickTop="1" thickBot="1">
      <c r="A56" s="228">
        <f t="shared" si="72"/>
        <v>0</v>
      </c>
      <c r="B56" s="228">
        <f t="shared" ca="1" si="113"/>
        <v>0</v>
      </c>
      <c r="D56" s="184"/>
      <c r="E56" s="184"/>
      <c r="F56" s="184"/>
      <c r="G56" s="121"/>
      <c r="H56" s="118"/>
      <c r="I56" s="118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6"/>
      <c r="V56" s="139"/>
      <c r="W56" s="139"/>
      <c r="X56" s="139"/>
      <c r="Y56" s="139"/>
      <c r="Z56" s="139"/>
      <c r="AA56" s="139"/>
      <c r="AB56" s="139"/>
      <c r="AC56" s="137"/>
      <c r="AD56" s="139"/>
      <c r="AF56" s="139"/>
      <c r="AG56" s="139"/>
      <c r="AH56" s="139"/>
      <c r="AI56" s="139"/>
      <c r="AJ56" s="139"/>
      <c r="AL56" s="139">
        <f t="shared" ca="1" si="74"/>
        <v>0</v>
      </c>
      <c r="AM56" s="139">
        <f t="shared" ca="1" si="114"/>
        <v>0</v>
      </c>
      <c r="AN56" s="139">
        <f t="shared" ca="1" si="75"/>
        <v>0</v>
      </c>
      <c r="AP56" s="139">
        <f t="shared" ca="1" si="50"/>
        <v>0</v>
      </c>
      <c r="AQ56" s="139">
        <f t="shared" ca="1" si="77"/>
        <v>0</v>
      </c>
      <c r="AR56" s="139">
        <f ca="1">AT55*(Project!$P$13/12)</f>
        <v>0</v>
      </c>
      <c r="AS56" s="139">
        <f t="shared" si="78"/>
        <v>0</v>
      </c>
      <c r="AT56" s="139">
        <f t="shared" ca="1" si="11"/>
        <v>0</v>
      </c>
      <c r="AV56" s="139"/>
      <c r="AW56" s="139"/>
      <c r="AX56" s="139">
        <f ca="1"/>
        <v>0</v>
      </c>
      <c r="AY56" s="139">
        <f ca="1"/>
        <v>0</v>
      </c>
      <c r="AZ56" s="139">
        <f t="shared" ca="1" si="79"/>
        <v>0</v>
      </c>
      <c r="BI56" s="139">
        <f t="shared" si="80"/>
        <v>0</v>
      </c>
      <c r="BJ56" s="139">
        <f t="shared" ca="1" si="81"/>
        <v>0</v>
      </c>
      <c r="BK56" s="139" cm="1">
        <f t="array" ref="BK56">BI56*c_rate.Pref.MO</f>
        <v>0</v>
      </c>
      <c r="BL56" s="139">
        <f t="shared" ca="1" si="82"/>
        <v>0</v>
      </c>
      <c r="BM56" s="139">
        <f t="shared" ca="1" si="115"/>
        <v>0</v>
      </c>
      <c r="BN56" s="139">
        <f t="shared" ca="1" si="116"/>
        <v>0</v>
      </c>
      <c r="BO56" s="139">
        <f t="shared" si="117"/>
        <v>0</v>
      </c>
      <c r="BP56" s="139">
        <f t="shared" ca="1" si="118"/>
        <v>0</v>
      </c>
      <c r="BQ56" s="139">
        <f t="shared" si="83"/>
        <v>0</v>
      </c>
      <c r="BR56" s="516"/>
      <c r="BS56" s="139">
        <f t="shared" ca="1" si="119"/>
        <v>470845.72769852611</v>
      </c>
      <c r="BT56" s="139">
        <f t="shared" ca="1" si="84"/>
        <v>0</v>
      </c>
      <c r="BU56" s="139" cm="1">
        <f t="array" ref="BU56">IF(D56=0,0,BS56*(c_rate.Hurdle1.MO))</f>
        <v>0</v>
      </c>
      <c r="BV56" s="139">
        <f t="shared" ca="1" si="120"/>
        <v>0</v>
      </c>
      <c r="BW56" s="139">
        <f t="shared" ca="1" si="85"/>
        <v>0</v>
      </c>
      <c r="BX56" s="139">
        <f t="shared" ca="1" si="121"/>
        <v>470845.72769852611</v>
      </c>
      <c r="BY56" s="139">
        <f t="shared" ca="1" si="122"/>
        <v>0</v>
      </c>
      <c r="BZ56" s="139">
        <f t="shared" ca="1" si="123"/>
        <v>0</v>
      </c>
      <c r="CA56" s="139">
        <f t="shared" ca="1" si="86"/>
        <v>0</v>
      </c>
      <c r="CB56" s="139">
        <f t="shared" ca="1" si="124"/>
        <v>0</v>
      </c>
      <c r="CC56" s="516"/>
      <c r="CD56" s="139">
        <f t="shared" ca="1" si="125"/>
        <v>835484.21687966748</v>
      </c>
      <c r="CE56" s="139">
        <f t="shared" ca="1" si="87"/>
        <v>0</v>
      </c>
      <c r="CF56" s="139" cm="1">
        <f t="array" ref="CF56">IF($D57=0,0,CD56*(c_rate.Hurdle2.MO))</f>
        <v>0</v>
      </c>
      <c r="CG56" s="139">
        <f t="shared" ca="1" si="88"/>
        <v>0</v>
      </c>
      <c r="CH56" s="139">
        <f t="shared" ca="1" si="126"/>
        <v>0</v>
      </c>
      <c r="CI56" s="139">
        <f t="shared" ca="1" si="89"/>
        <v>835484.21687966748</v>
      </c>
      <c r="CJ56" s="139">
        <f t="shared" ca="1" si="90"/>
        <v>0</v>
      </c>
      <c r="CK56" s="139">
        <f t="shared" ca="1" si="91"/>
        <v>0</v>
      </c>
      <c r="CL56" s="139">
        <f t="shared" ca="1" si="127"/>
        <v>0</v>
      </c>
      <c r="CM56" s="139">
        <f t="shared" ca="1" si="92"/>
        <v>0</v>
      </c>
      <c r="CN56" s="139">
        <f t="shared" ca="1" si="93"/>
        <v>0</v>
      </c>
      <c r="CO56" s="516"/>
      <c r="CP56" s="139">
        <f t="shared" ca="1" si="128"/>
        <v>1273161.612822721</v>
      </c>
      <c r="CQ56" s="139">
        <f t="shared" ca="1" si="94"/>
        <v>0</v>
      </c>
      <c r="CR56" s="139" cm="1">
        <f t="array" ref="CR56">IF($D57=0,0,CP56*(c_rate.Hurdle3.MO))</f>
        <v>0</v>
      </c>
      <c r="CS56" s="139">
        <f t="shared" ca="1" si="95"/>
        <v>0</v>
      </c>
      <c r="CT56" s="139">
        <f t="shared" ca="1" si="129"/>
        <v>0</v>
      </c>
      <c r="CU56" s="139">
        <f t="shared" ca="1" si="96"/>
        <v>1273161.612822721</v>
      </c>
      <c r="CV56" s="139">
        <f t="shared" ca="1" si="97"/>
        <v>0</v>
      </c>
      <c r="CW56" s="139">
        <f t="shared" ca="1" si="130"/>
        <v>0</v>
      </c>
      <c r="CX56" s="139">
        <f t="shared" ca="1" si="131"/>
        <v>0</v>
      </c>
      <c r="CY56" s="139">
        <f t="shared" ca="1" si="132"/>
        <v>0</v>
      </c>
      <c r="CZ56" s="139">
        <f t="shared" ca="1" si="133"/>
        <v>0</v>
      </c>
      <c r="DA56" s="516"/>
      <c r="DB56" s="139">
        <f t="shared" ca="1" si="98"/>
        <v>0</v>
      </c>
      <c r="DC56" s="139">
        <f t="shared" ca="1" si="99"/>
        <v>0</v>
      </c>
      <c r="DD56" s="518"/>
      <c r="DE56" s="139">
        <f t="shared" ca="1" si="134"/>
        <v>0</v>
      </c>
      <c r="DF56" s="139">
        <f t="shared" ca="1" si="135"/>
        <v>0</v>
      </c>
      <c r="DG56" s="139">
        <f t="shared" ca="1" si="100"/>
        <v>0</v>
      </c>
      <c r="DH56" s="457"/>
      <c r="DI56" s="139">
        <f ca="1"/>
        <v>0</v>
      </c>
      <c r="DJ56" s="139">
        <f ca="1"/>
        <v>0</v>
      </c>
      <c r="DK56" s="139">
        <f ca="1"/>
        <v>0</v>
      </c>
      <c r="DL56" s="139">
        <f t="shared" ca="1" si="101"/>
        <v>0</v>
      </c>
      <c r="DM56" s="139">
        <f t="shared" ca="1" si="102"/>
        <v>0</v>
      </c>
      <c r="DN56" s="139">
        <f t="shared" ca="1" si="103"/>
        <v>0</v>
      </c>
      <c r="DO56" s="139">
        <f t="shared" ca="1" si="104"/>
        <v>0</v>
      </c>
      <c r="DP56" s="139">
        <f t="shared" ca="1" si="105"/>
        <v>0</v>
      </c>
      <c r="DQ56" s="139">
        <f t="shared" ca="1" si="106"/>
        <v>0</v>
      </c>
      <c r="DR56" s="139">
        <f ca="1"/>
        <v>0</v>
      </c>
      <c r="DS56" s="139">
        <f ca="1"/>
        <v>0</v>
      </c>
      <c r="DT56" s="139">
        <f t="shared" ca="1" si="107"/>
        <v>0</v>
      </c>
      <c r="DU56" s="139">
        <f t="shared" ca="1" si="108"/>
        <v>0</v>
      </c>
      <c r="DV56" s="457"/>
      <c r="DW56" s="457"/>
      <c r="DX56" s="139">
        <f ca="1"/>
        <v>0</v>
      </c>
      <c r="DY56" s="139">
        <f t="shared" ca="1" si="136"/>
        <v>0</v>
      </c>
      <c r="DZ56" s="139">
        <f t="shared" ca="1" si="109"/>
        <v>0</v>
      </c>
      <c r="EA56" s="139">
        <f t="shared" ca="1" si="110"/>
        <v>0</v>
      </c>
      <c r="EB56" s="139">
        <f t="shared" ca="1" si="111"/>
        <v>0</v>
      </c>
      <c r="EC56" s="139">
        <f t="shared" ca="1" si="112"/>
        <v>0</v>
      </c>
      <c r="ED56" s="139">
        <f t="shared" ca="1" si="137"/>
        <v>0</v>
      </c>
    </row>
    <row r="57" spans="1:134" ht="17.25" thickTop="1" thickBot="1">
      <c r="A57" s="231">
        <f t="shared" si="72"/>
        <v>0</v>
      </c>
      <c r="B57" s="231">
        <f t="shared" ca="1" si="113"/>
        <v>0</v>
      </c>
      <c r="D57" s="188"/>
      <c r="E57" s="188"/>
      <c r="F57" s="188"/>
      <c r="G57" s="127"/>
      <c r="H57" s="126"/>
      <c r="I57" s="126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36"/>
      <c r="V57" s="142"/>
      <c r="W57" s="142"/>
      <c r="X57" s="142"/>
      <c r="Y57" s="142"/>
      <c r="Z57" s="142"/>
      <c r="AA57" s="142"/>
      <c r="AB57" s="142"/>
      <c r="AC57" s="137"/>
      <c r="AD57" s="142"/>
      <c r="AF57" s="142"/>
      <c r="AG57" s="142"/>
      <c r="AH57" s="142"/>
      <c r="AI57" s="142"/>
      <c r="AJ57" s="142"/>
      <c r="AL57" s="142">
        <f t="shared" ca="1" si="74"/>
        <v>0</v>
      </c>
      <c r="AM57" s="142">
        <f t="shared" ca="1" si="114"/>
        <v>0</v>
      </c>
      <c r="AN57" s="142">
        <f t="shared" ca="1" si="75"/>
        <v>0</v>
      </c>
      <c r="AP57" s="142">
        <f t="shared" ref="AP57:AP69" ca="1" si="138">AT56</f>
        <v>0</v>
      </c>
      <c r="AQ57" s="142">
        <f t="shared" ca="1" si="77"/>
        <v>0</v>
      </c>
      <c r="AR57" s="142">
        <f ca="1">AT56*(Project!$P$13/12)</f>
        <v>0</v>
      </c>
      <c r="AS57" s="142">
        <f t="shared" si="78"/>
        <v>0</v>
      </c>
      <c r="AT57" s="142">
        <f t="shared" ref="AT57:AT69" ca="1" si="139">AP57+AQ57+AR57-AS57</f>
        <v>0</v>
      </c>
      <c r="AV57" s="142"/>
      <c r="AW57" s="142"/>
      <c r="AX57" s="142">
        <f ca="1"/>
        <v>0</v>
      </c>
      <c r="AY57" s="142">
        <f ca="1"/>
        <v>0</v>
      </c>
      <c r="AZ57" s="142">
        <f t="shared" ca="1" si="79"/>
        <v>0</v>
      </c>
      <c r="BI57" s="142">
        <f t="shared" si="80"/>
        <v>0</v>
      </c>
      <c r="BJ57" s="142">
        <f t="shared" ca="1" si="81"/>
        <v>0</v>
      </c>
      <c r="BK57" s="142" cm="1">
        <f t="array" ref="BK57">BI57*c_rate.Pref.MO</f>
        <v>0</v>
      </c>
      <c r="BL57" s="142">
        <f t="shared" ca="1" si="82"/>
        <v>0</v>
      </c>
      <c r="BM57" s="142">
        <f t="shared" ca="1" si="115"/>
        <v>0</v>
      </c>
      <c r="BN57" s="142">
        <f t="shared" ca="1" si="116"/>
        <v>0</v>
      </c>
      <c r="BO57" s="142">
        <f t="shared" si="117"/>
        <v>0</v>
      </c>
      <c r="BP57" s="142">
        <f t="shared" ca="1" si="118"/>
        <v>0</v>
      </c>
      <c r="BQ57" s="142">
        <f t="shared" si="83"/>
        <v>0</v>
      </c>
      <c r="BR57" s="516"/>
      <c r="BS57" s="142">
        <f t="shared" ca="1" si="119"/>
        <v>470845.72769852611</v>
      </c>
      <c r="BT57" s="142">
        <f t="shared" ca="1" si="84"/>
        <v>0</v>
      </c>
      <c r="BU57" s="142" cm="1">
        <f t="array" ref="BU57">IF(D57=0,0,BS57*(c_rate.Hurdle1.MO))</f>
        <v>0</v>
      </c>
      <c r="BV57" s="142">
        <f t="shared" ca="1" si="120"/>
        <v>0</v>
      </c>
      <c r="BW57" s="142">
        <f t="shared" ca="1" si="85"/>
        <v>0</v>
      </c>
      <c r="BX57" s="142">
        <f t="shared" ca="1" si="121"/>
        <v>470845.72769852611</v>
      </c>
      <c r="BY57" s="142">
        <f t="shared" ca="1" si="122"/>
        <v>0</v>
      </c>
      <c r="BZ57" s="142">
        <f t="shared" ca="1" si="123"/>
        <v>0</v>
      </c>
      <c r="CA57" s="142">
        <f t="shared" ca="1" si="86"/>
        <v>0</v>
      </c>
      <c r="CB57" s="142">
        <f t="shared" ca="1" si="124"/>
        <v>0</v>
      </c>
      <c r="CC57" s="516"/>
      <c r="CD57" s="142">
        <f t="shared" ca="1" si="125"/>
        <v>835484.21687966748</v>
      </c>
      <c r="CE57" s="142">
        <f t="shared" ca="1" si="87"/>
        <v>0</v>
      </c>
      <c r="CF57" s="142" cm="1">
        <f t="array" ref="CF57">IF($D58=0,0,CD57*(c_rate.Hurdle2.MO))</f>
        <v>0</v>
      </c>
      <c r="CG57" s="142">
        <f t="shared" ca="1" si="88"/>
        <v>0</v>
      </c>
      <c r="CH57" s="142">
        <f t="shared" ca="1" si="126"/>
        <v>0</v>
      </c>
      <c r="CI57" s="142">
        <f t="shared" ca="1" si="89"/>
        <v>835484.21687966748</v>
      </c>
      <c r="CJ57" s="142">
        <f t="shared" ca="1" si="90"/>
        <v>0</v>
      </c>
      <c r="CK57" s="142">
        <f t="shared" ca="1" si="91"/>
        <v>0</v>
      </c>
      <c r="CL57" s="142">
        <f t="shared" ca="1" si="127"/>
        <v>0</v>
      </c>
      <c r="CM57" s="142">
        <f t="shared" ca="1" si="92"/>
        <v>0</v>
      </c>
      <c r="CN57" s="142">
        <f t="shared" ca="1" si="93"/>
        <v>0</v>
      </c>
      <c r="CO57" s="516"/>
      <c r="CP57" s="142">
        <f t="shared" ca="1" si="128"/>
        <v>1273161.612822721</v>
      </c>
      <c r="CQ57" s="142">
        <f t="shared" ca="1" si="94"/>
        <v>0</v>
      </c>
      <c r="CR57" s="142" cm="1">
        <f t="array" ref="CR57">IF($D58=0,0,CP57*(c_rate.Hurdle3.MO))</f>
        <v>0</v>
      </c>
      <c r="CS57" s="142">
        <f t="shared" ca="1" si="95"/>
        <v>0</v>
      </c>
      <c r="CT57" s="142">
        <f t="shared" ca="1" si="129"/>
        <v>0</v>
      </c>
      <c r="CU57" s="142">
        <f t="shared" ca="1" si="96"/>
        <v>1273161.612822721</v>
      </c>
      <c r="CV57" s="142">
        <f t="shared" ca="1" si="97"/>
        <v>0</v>
      </c>
      <c r="CW57" s="142">
        <f t="shared" ca="1" si="130"/>
        <v>0</v>
      </c>
      <c r="CX57" s="142">
        <f t="shared" ca="1" si="131"/>
        <v>0</v>
      </c>
      <c r="CY57" s="142">
        <f t="shared" ca="1" si="132"/>
        <v>0</v>
      </c>
      <c r="CZ57" s="142">
        <f t="shared" ca="1" si="133"/>
        <v>0</v>
      </c>
      <c r="DA57" s="516"/>
      <c r="DB57" s="142">
        <f t="shared" ca="1" si="98"/>
        <v>0</v>
      </c>
      <c r="DC57" s="142">
        <f t="shared" ca="1" si="99"/>
        <v>0</v>
      </c>
      <c r="DD57" s="518"/>
      <c r="DE57" s="142">
        <f t="shared" ca="1" si="134"/>
        <v>0</v>
      </c>
      <c r="DF57" s="142">
        <f t="shared" ca="1" si="135"/>
        <v>0</v>
      </c>
      <c r="DG57" s="142">
        <f t="shared" ca="1" si="100"/>
        <v>0</v>
      </c>
      <c r="DH57" s="457"/>
      <c r="DI57" s="142">
        <f ca="1"/>
        <v>0</v>
      </c>
      <c r="DJ57" s="142">
        <f ca="1"/>
        <v>0</v>
      </c>
      <c r="DK57" s="142">
        <f ca="1"/>
        <v>0</v>
      </c>
      <c r="DL57" s="142">
        <f t="shared" ca="1" si="101"/>
        <v>0</v>
      </c>
      <c r="DM57" s="142">
        <f t="shared" ca="1" si="102"/>
        <v>0</v>
      </c>
      <c r="DN57" s="142">
        <f t="shared" ca="1" si="103"/>
        <v>0</v>
      </c>
      <c r="DO57" s="142">
        <f t="shared" ca="1" si="104"/>
        <v>0</v>
      </c>
      <c r="DP57" s="142">
        <f t="shared" ca="1" si="105"/>
        <v>0</v>
      </c>
      <c r="DQ57" s="142">
        <f t="shared" ca="1" si="106"/>
        <v>0</v>
      </c>
      <c r="DR57" s="142">
        <f ca="1"/>
        <v>0</v>
      </c>
      <c r="DS57" s="142">
        <f ca="1"/>
        <v>0</v>
      </c>
      <c r="DT57" s="142">
        <f t="shared" ca="1" si="107"/>
        <v>0</v>
      </c>
      <c r="DU57" s="142">
        <f t="shared" ca="1" si="108"/>
        <v>0</v>
      </c>
      <c r="DV57" s="457"/>
      <c r="DW57" s="457"/>
      <c r="DX57" s="142">
        <f ca="1"/>
        <v>0</v>
      </c>
      <c r="DY57" s="142">
        <f t="shared" ca="1" si="136"/>
        <v>0</v>
      </c>
      <c r="DZ57" s="142">
        <f t="shared" ca="1" si="109"/>
        <v>0</v>
      </c>
      <c r="EA57" s="142">
        <f t="shared" ca="1" si="110"/>
        <v>0</v>
      </c>
      <c r="EB57" s="142">
        <f t="shared" ca="1" si="111"/>
        <v>0</v>
      </c>
      <c r="EC57" s="142">
        <f t="shared" ca="1" si="112"/>
        <v>0</v>
      </c>
      <c r="ED57" s="142">
        <f t="shared" ca="1" si="137"/>
        <v>0</v>
      </c>
    </row>
    <row r="58" spans="1:134" ht="17.25" thickTop="1" thickBot="1">
      <c r="A58" s="227">
        <f t="shared" si="72"/>
        <v>0</v>
      </c>
      <c r="B58" s="227">
        <f t="shared" ca="1" si="113"/>
        <v>0</v>
      </c>
      <c r="D58" s="185"/>
      <c r="E58" s="185"/>
      <c r="F58" s="185"/>
      <c r="G58" s="128"/>
      <c r="H58" s="120"/>
      <c r="I58" s="120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6"/>
      <c r="V58" s="138"/>
      <c r="W58" s="138"/>
      <c r="X58" s="138"/>
      <c r="Y58" s="138"/>
      <c r="Z58" s="138"/>
      <c r="AA58" s="138"/>
      <c r="AB58" s="138"/>
      <c r="AC58" s="137"/>
      <c r="AD58" s="138"/>
      <c r="AF58" s="138"/>
      <c r="AG58" s="138"/>
      <c r="AH58" s="138"/>
      <c r="AI58" s="138"/>
      <c r="AJ58" s="138"/>
      <c r="AL58" s="138">
        <f t="shared" ca="1" si="74"/>
        <v>0</v>
      </c>
      <c r="AM58" s="138">
        <f t="shared" ca="1" si="114"/>
        <v>0</v>
      </c>
      <c r="AN58" s="138">
        <f t="shared" ca="1" si="75"/>
        <v>0</v>
      </c>
      <c r="AP58" s="138">
        <f t="shared" ca="1" si="138"/>
        <v>0</v>
      </c>
      <c r="AQ58" s="138">
        <f t="shared" ca="1" si="77"/>
        <v>0</v>
      </c>
      <c r="AR58" s="138">
        <f ca="1">AT57*(Project!$P$13/12)</f>
        <v>0</v>
      </c>
      <c r="AS58" s="138">
        <f t="shared" si="78"/>
        <v>0</v>
      </c>
      <c r="AT58" s="138">
        <f t="shared" ca="1" si="139"/>
        <v>0</v>
      </c>
      <c r="AV58" s="138"/>
      <c r="AW58" s="138"/>
      <c r="AX58" s="138">
        <f ca="1"/>
        <v>0</v>
      </c>
      <c r="AY58" s="138">
        <f ca="1"/>
        <v>0</v>
      </c>
      <c r="AZ58" s="138">
        <f t="shared" ca="1" si="79"/>
        <v>0</v>
      </c>
      <c r="BI58" s="138">
        <f t="shared" si="80"/>
        <v>0</v>
      </c>
      <c r="BJ58" s="138">
        <f t="shared" ca="1" si="81"/>
        <v>0</v>
      </c>
      <c r="BK58" s="138" cm="1">
        <f t="array" ref="BK58">BI58*c_rate.Pref.MO</f>
        <v>0</v>
      </c>
      <c r="BL58" s="138">
        <f t="shared" ca="1" si="82"/>
        <v>0</v>
      </c>
      <c r="BM58" s="138">
        <f t="shared" ca="1" si="115"/>
        <v>0</v>
      </c>
      <c r="BN58" s="138">
        <f t="shared" ca="1" si="116"/>
        <v>0</v>
      </c>
      <c r="BO58" s="138">
        <f t="shared" si="117"/>
        <v>0</v>
      </c>
      <c r="BP58" s="138">
        <f t="shared" ca="1" si="118"/>
        <v>0</v>
      </c>
      <c r="BQ58" s="138">
        <f t="shared" si="83"/>
        <v>0</v>
      </c>
      <c r="BR58" s="516"/>
      <c r="BS58" s="138">
        <f t="shared" ca="1" si="119"/>
        <v>470845.72769852611</v>
      </c>
      <c r="BT58" s="138">
        <f t="shared" ca="1" si="84"/>
        <v>0</v>
      </c>
      <c r="BU58" s="138" cm="1">
        <f t="array" ref="BU58">IF(D58=0,0,BS58*(c_rate.Hurdle1.MO))</f>
        <v>0</v>
      </c>
      <c r="BV58" s="138">
        <f t="shared" ca="1" si="120"/>
        <v>0</v>
      </c>
      <c r="BW58" s="138">
        <f t="shared" ca="1" si="85"/>
        <v>0</v>
      </c>
      <c r="BX58" s="138">
        <f t="shared" ca="1" si="121"/>
        <v>470845.72769852611</v>
      </c>
      <c r="BY58" s="138">
        <f t="shared" ca="1" si="122"/>
        <v>0</v>
      </c>
      <c r="BZ58" s="138">
        <f t="shared" ca="1" si="123"/>
        <v>0</v>
      </c>
      <c r="CA58" s="138">
        <f t="shared" ca="1" si="86"/>
        <v>0</v>
      </c>
      <c r="CB58" s="138">
        <f t="shared" ca="1" si="124"/>
        <v>0</v>
      </c>
      <c r="CC58" s="516"/>
      <c r="CD58" s="138">
        <f t="shared" ca="1" si="125"/>
        <v>835484.21687966748</v>
      </c>
      <c r="CE58" s="138">
        <f t="shared" ca="1" si="87"/>
        <v>0</v>
      </c>
      <c r="CF58" s="138" cm="1">
        <f t="array" ref="CF58">IF($D59=0,0,CD58*(c_rate.Hurdle2.MO))</f>
        <v>0</v>
      </c>
      <c r="CG58" s="138">
        <f t="shared" ca="1" si="88"/>
        <v>0</v>
      </c>
      <c r="CH58" s="138">
        <f t="shared" ca="1" si="126"/>
        <v>0</v>
      </c>
      <c r="CI58" s="138">
        <f t="shared" ca="1" si="89"/>
        <v>835484.21687966748</v>
      </c>
      <c r="CJ58" s="138">
        <f t="shared" ca="1" si="90"/>
        <v>0</v>
      </c>
      <c r="CK58" s="138">
        <f t="shared" ca="1" si="91"/>
        <v>0</v>
      </c>
      <c r="CL58" s="138">
        <f t="shared" ca="1" si="127"/>
        <v>0</v>
      </c>
      <c r="CM58" s="138">
        <f t="shared" ca="1" si="92"/>
        <v>0</v>
      </c>
      <c r="CN58" s="138">
        <f t="shared" ca="1" si="93"/>
        <v>0</v>
      </c>
      <c r="CO58" s="516"/>
      <c r="CP58" s="138">
        <f t="shared" ca="1" si="128"/>
        <v>1273161.612822721</v>
      </c>
      <c r="CQ58" s="138">
        <f t="shared" ca="1" si="94"/>
        <v>0</v>
      </c>
      <c r="CR58" s="138" cm="1">
        <f t="array" ref="CR58">IF($D59=0,0,CP58*(c_rate.Hurdle3.MO))</f>
        <v>0</v>
      </c>
      <c r="CS58" s="138">
        <f t="shared" ca="1" si="95"/>
        <v>0</v>
      </c>
      <c r="CT58" s="138">
        <f t="shared" ca="1" si="129"/>
        <v>0</v>
      </c>
      <c r="CU58" s="138">
        <f t="shared" ca="1" si="96"/>
        <v>1273161.612822721</v>
      </c>
      <c r="CV58" s="138">
        <f t="shared" ca="1" si="97"/>
        <v>0</v>
      </c>
      <c r="CW58" s="138">
        <f t="shared" ca="1" si="130"/>
        <v>0</v>
      </c>
      <c r="CX58" s="138">
        <f t="shared" ca="1" si="131"/>
        <v>0</v>
      </c>
      <c r="CY58" s="138">
        <f t="shared" ca="1" si="132"/>
        <v>0</v>
      </c>
      <c r="CZ58" s="138">
        <f t="shared" ca="1" si="133"/>
        <v>0</v>
      </c>
      <c r="DA58" s="516"/>
      <c r="DB58" s="138">
        <f t="shared" ca="1" si="98"/>
        <v>0</v>
      </c>
      <c r="DC58" s="138">
        <f t="shared" ca="1" si="99"/>
        <v>0</v>
      </c>
      <c r="DD58" s="518"/>
      <c r="DE58" s="138">
        <f t="shared" ca="1" si="134"/>
        <v>0</v>
      </c>
      <c r="DF58" s="138">
        <f t="shared" ca="1" si="135"/>
        <v>0</v>
      </c>
      <c r="DG58" s="138">
        <f t="shared" ca="1" si="100"/>
        <v>0</v>
      </c>
      <c r="DH58" s="457"/>
      <c r="DI58" s="138">
        <f ca="1"/>
        <v>0</v>
      </c>
      <c r="DJ58" s="138">
        <f ca="1"/>
        <v>0</v>
      </c>
      <c r="DK58" s="138">
        <f ca="1"/>
        <v>0</v>
      </c>
      <c r="DL58" s="138">
        <f t="shared" ca="1" si="101"/>
        <v>0</v>
      </c>
      <c r="DM58" s="138">
        <f t="shared" ca="1" si="102"/>
        <v>0</v>
      </c>
      <c r="DN58" s="138">
        <f t="shared" ca="1" si="103"/>
        <v>0</v>
      </c>
      <c r="DO58" s="138">
        <f t="shared" ca="1" si="104"/>
        <v>0</v>
      </c>
      <c r="DP58" s="138">
        <f t="shared" ca="1" si="105"/>
        <v>0</v>
      </c>
      <c r="DQ58" s="138">
        <f t="shared" ca="1" si="106"/>
        <v>0</v>
      </c>
      <c r="DR58" s="138">
        <f ca="1"/>
        <v>0</v>
      </c>
      <c r="DS58" s="138">
        <f ca="1"/>
        <v>0</v>
      </c>
      <c r="DT58" s="138">
        <f t="shared" ca="1" si="107"/>
        <v>0</v>
      </c>
      <c r="DU58" s="138">
        <f t="shared" ca="1" si="108"/>
        <v>0</v>
      </c>
      <c r="DV58" s="457"/>
      <c r="DW58" s="457"/>
      <c r="DX58" s="138">
        <f ca="1"/>
        <v>0</v>
      </c>
      <c r="DY58" s="138">
        <f t="shared" ca="1" si="136"/>
        <v>0</v>
      </c>
      <c r="DZ58" s="138">
        <f t="shared" ca="1" si="109"/>
        <v>0</v>
      </c>
      <c r="EA58" s="138">
        <f t="shared" ca="1" si="110"/>
        <v>0</v>
      </c>
      <c r="EB58" s="138">
        <f t="shared" ca="1" si="111"/>
        <v>0</v>
      </c>
      <c r="EC58" s="138">
        <f t="shared" ca="1" si="112"/>
        <v>0</v>
      </c>
      <c r="ED58" s="138">
        <f t="shared" ca="1" si="137"/>
        <v>0</v>
      </c>
    </row>
    <row r="59" spans="1:134" ht="17.25" thickTop="1" thickBot="1">
      <c r="A59" s="228">
        <f t="shared" si="72"/>
        <v>0</v>
      </c>
      <c r="B59" s="228">
        <f t="shared" ca="1" si="113"/>
        <v>0</v>
      </c>
      <c r="D59" s="184"/>
      <c r="E59" s="184"/>
      <c r="F59" s="184"/>
      <c r="G59" s="121"/>
      <c r="H59" s="118"/>
      <c r="I59" s="118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6"/>
      <c r="V59" s="139"/>
      <c r="W59" s="139"/>
      <c r="X59" s="139"/>
      <c r="Y59" s="139"/>
      <c r="Z59" s="139"/>
      <c r="AA59" s="139"/>
      <c r="AB59" s="139"/>
      <c r="AC59" s="137"/>
      <c r="AD59" s="139"/>
      <c r="AF59" s="139"/>
      <c r="AG59" s="139"/>
      <c r="AH59" s="139"/>
      <c r="AI59" s="139"/>
      <c r="AJ59" s="139"/>
      <c r="AL59" s="139">
        <f t="shared" ca="1" si="74"/>
        <v>0</v>
      </c>
      <c r="AM59" s="139">
        <f t="shared" ca="1" si="114"/>
        <v>0</v>
      </c>
      <c r="AN59" s="139">
        <f t="shared" ca="1" si="75"/>
        <v>0</v>
      </c>
      <c r="AP59" s="139">
        <f t="shared" ca="1" si="138"/>
        <v>0</v>
      </c>
      <c r="AQ59" s="139">
        <f t="shared" ca="1" si="77"/>
        <v>0</v>
      </c>
      <c r="AR59" s="139">
        <f ca="1">AT58*(Project!$P$13/12)</f>
        <v>0</v>
      </c>
      <c r="AS59" s="139">
        <f t="shared" si="78"/>
        <v>0</v>
      </c>
      <c r="AT59" s="139">
        <f t="shared" ca="1" si="139"/>
        <v>0</v>
      </c>
      <c r="AV59" s="139"/>
      <c r="AW59" s="139"/>
      <c r="AX59" s="139">
        <f ca="1"/>
        <v>0</v>
      </c>
      <c r="AY59" s="139">
        <f ca="1"/>
        <v>0</v>
      </c>
      <c r="AZ59" s="139">
        <f t="shared" ca="1" si="79"/>
        <v>0</v>
      </c>
      <c r="BI59" s="139">
        <f t="shared" si="80"/>
        <v>0</v>
      </c>
      <c r="BJ59" s="139">
        <f t="shared" ca="1" si="81"/>
        <v>0</v>
      </c>
      <c r="BK59" s="139" cm="1">
        <f t="array" ref="BK59">BI59*c_rate.Pref.MO</f>
        <v>0</v>
      </c>
      <c r="BL59" s="139">
        <f t="shared" ca="1" si="82"/>
        <v>0</v>
      </c>
      <c r="BM59" s="139">
        <f t="shared" ca="1" si="115"/>
        <v>0</v>
      </c>
      <c r="BN59" s="139">
        <f t="shared" ca="1" si="116"/>
        <v>0</v>
      </c>
      <c r="BO59" s="139">
        <f t="shared" si="117"/>
        <v>0</v>
      </c>
      <c r="BP59" s="139">
        <f t="shared" ca="1" si="118"/>
        <v>0</v>
      </c>
      <c r="BQ59" s="139">
        <f t="shared" si="83"/>
        <v>0</v>
      </c>
      <c r="BR59" s="516"/>
      <c r="BS59" s="139">
        <f t="shared" ca="1" si="119"/>
        <v>470845.72769852611</v>
      </c>
      <c r="BT59" s="139">
        <f t="shared" ca="1" si="84"/>
        <v>0</v>
      </c>
      <c r="BU59" s="139" cm="1">
        <f t="array" ref="BU59">IF(D59=0,0,BS59*(c_rate.Hurdle1.MO))</f>
        <v>0</v>
      </c>
      <c r="BV59" s="139">
        <f t="shared" ca="1" si="120"/>
        <v>0</v>
      </c>
      <c r="BW59" s="139">
        <f t="shared" ca="1" si="85"/>
        <v>0</v>
      </c>
      <c r="BX59" s="139">
        <f t="shared" ca="1" si="121"/>
        <v>470845.72769852611</v>
      </c>
      <c r="BY59" s="139">
        <f t="shared" ca="1" si="122"/>
        <v>0</v>
      </c>
      <c r="BZ59" s="139">
        <f t="shared" ca="1" si="123"/>
        <v>0</v>
      </c>
      <c r="CA59" s="139">
        <f t="shared" ca="1" si="86"/>
        <v>0</v>
      </c>
      <c r="CB59" s="139">
        <f t="shared" ca="1" si="124"/>
        <v>0</v>
      </c>
      <c r="CC59" s="516"/>
      <c r="CD59" s="139">
        <f t="shared" ca="1" si="125"/>
        <v>835484.21687966748</v>
      </c>
      <c r="CE59" s="139">
        <f t="shared" ca="1" si="87"/>
        <v>0</v>
      </c>
      <c r="CF59" s="139" cm="1">
        <f t="array" ref="CF59">IF($D60=0,0,CD59*(c_rate.Hurdle2.MO))</f>
        <v>0</v>
      </c>
      <c r="CG59" s="139">
        <f t="shared" ca="1" si="88"/>
        <v>0</v>
      </c>
      <c r="CH59" s="139">
        <f t="shared" ca="1" si="126"/>
        <v>0</v>
      </c>
      <c r="CI59" s="139">
        <f t="shared" ca="1" si="89"/>
        <v>835484.21687966748</v>
      </c>
      <c r="CJ59" s="139">
        <f t="shared" ca="1" si="90"/>
        <v>0</v>
      </c>
      <c r="CK59" s="139">
        <f t="shared" ca="1" si="91"/>
        <v>0</v>
      </c>
      <c r="CL59" s="139">
        <f t="shared" ca="1" si="127"/>
        <v>0</v>
      </c>
      <c r="CM59" s="139">
        <f t="shared" ca="1" si="92"/>
        <v>0</v>
      </c>
      <c r="CN59" s="139">
        <f t="shared" ca="1" si="93"/>
        <v>0</v>
      </c>
      <c r="CO59" s="516"/>
      <c r="CP59" s="139">
        <f t="shared" ca="1" si="128"/>
        <v>1273161.612822721</v>
      </c>
      <c r="CQ59" s="139">
        <f t="shared" ca="1" si="94"/>
        <v>0</v>
      </c>
      <c r="CR59" s="139" cm="1">
        <f t="array" ref="CR59">IF($D60=0,0,CP59*(c_rate.Hurdle3.MO))</f>
        <v>0</v>
      </c>
      <c r="CS59" s="139">
        <f t="shared" ca="1" si="95"/>
        <v>0</v>
      </c>
      <c r="CT59" s="139">
        <f t="shared" ca="1" si="129"/>
        <v>0</v>
      </c>
      <c r="CU59" s="139">
        <f t="shared" ca="1" si="96"/>
        <v>1273161.612822721</v>
      </c>
      <c r="CV59" s="139">
        <f t="shared" ca="1" si="97"/>
        <v>0</v>
      </c>
      <c r="CW59" s="139">
        <f t="shared" ca="1" si="130"/>
        <v>0</v>
      </c>
      <c r="CX59" s="139">
        <f t="shared" ca="1" si="131"/>
        <v>0</v>
      </c>
      <c r="CY59" s="139">
        <f t="shared" ca="1" si="132"/>
        <v>0</v>
      </c>
      <c r="CZ59" s="139">
        <f t="shared" ca="1" si="133"/>
        <v>0</v>
      </c>
      <c r="DA59" s="516"/>
      <c r="DB59" s="139">
        <f t="shared" ca="1" si="98"/>
        <v>0</v>
      </c>
      <c r="DC59" s="139">
        <f t="shared" ca="1" si="99"/>
        <v>0</v>
      </c>
      <c r="DD59" s="518"/>
      <c r="DE59" s="139">
        <f t="shared" ca="1" si="134"/>
        <v>0</v>
      </c>
      <c r="DF59" s="139">
        <f t="shared" ca="1" si="135"/>
        <v>0</v>
      </c>
      <c r="DG59" s="139">
        <f t="shared" ca="1" si="100"/>
        <v>0</v>
      </c>
      <c r="DH59" s="457"/>
      <c r="DI59" s="139">
        <f ca="1"/>
        <v>0</v>
      </c>
      <c r="DJ59" s="139">
        <f ca="1"/>
        <v>0</v>
      </c>
      <c r="DK59" s="139">
        <f ca="1"/>
        <v>0</v>
      </c>
      <c r="DL59" s="139">
        <f t="shared" ca="1" si="101"/>
        <v>0</v>
      </c>
      <c r="DM59" s="139">
        <f t="shared" ca="1" si="102"/>
        <v>0</v>
      </c>
      <c r="DN59" s="139">
        <f t="shared" ca="1" si="103"/>
        <v>0</v>
      </c>
      <c r="DO59" s="139">
        <f t="shared" ca="1" si="104"/>
        <v>0</v>
      </c>
      <c r="DP59" s="139">
        <f t="shared" ca="1" si="105"/>
        <v>0</v>
      </c>
      <c r="DQ59" s="139">
        <f t="shared" ca="1" si="106"/>
        <v>0</v>
      </c>
      <c r="DR59" s="139">
        <f ca="1"/>
        <v>0</v>
      </c>
      <c r="DS59" s="139">
        <f ca="1"/>
        <v>0</v>
      </c>
      <c r="DT59" s="139">
        <f t="shared" ca="1" si="107"/>
        <v>0</v>
      </c>
      <c r="DU59" s="139">
        <f t="shared" ca="1" si="108"/>
        <v>0</v>
      </c>
      <c r="DV59" s="457"/>
      <c r="DW59" s="457"/>
      <c r="DX59" s="139">
        <f ca="1"/>
        <v>0</v>
      </c>
      <c r="DY59" s="139">
        <f t="shared" ca="1" si="136"/>
        <v>0</v>
      </c>
      <c r="DZ59" s="139">
        <f t="shared" ca="1" si="109"/>
        <v>0</v>
      </c>
      <c r="EA59" s="139">
        <f t="shared" ca="1" si="110"/>
        <v>0</v>
      </c>
      <c r="EB59" s="139">
        <f t="shared" ca="1" si="111"/>
        <v>0</v>
      </c>
      <c r="EC59" s="139">
        <f t="shared" ca="1" si="112"/>
        <v>0</v>
      </c>
      <c r="ED59" s="139">
        <f t="shared" ca="1" si="137"/>
        <v>0</v>
      </c>
    </row>
    <row r="60" spans="1:134" ht="17.25" thickTop="1" thickBot="1">
      <c r="A60" s="229">
        <f t="shared" si="72"/>
        <v>0</v>
      </c>
      <c r="B60" s="229">
        <f t="shared" ca="1" si="113"/>
        <v>0</v>
      </c>
      <c r="D60" s="186"/>
      <c r="E60" s="186"/>
      <c r="F60" s="186"/>
      <c r="G60" s="123"/>
      <c r="H60" s="122"/>
      <c r="I60" s="122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36"/>
      <c r="V60" s="140"/>
      <c r="W60" s="140"/>
      <c r="X60" s="140"/>
      <c r="Y60" s="140"/>
      <c r="Z60" s="140"/>
      <c r="AA60" s="140"/>
      <c r="AB60" s="140"/>
      <c r="AC60" s="137"/>
      <c r="AD60" s="140"/>
      <c r="AF60" s="140"/>
      <c r="AG60" s="140"/>
      <c r="AH60" s="140"/>
      <c r="AI60" s="140"/>
      <c r="AJ60" s="140"/>
      <c r="AL60" s="140">
        <f t="shared" ca="1" si="74"/>
        <v>0</v>
      </c>
      <c r="AM60" s="140">
        <f t="shared" ca="1" si="114"/>
        <v>0</v>
      </c>
      <c r="AN60" s="140">
        <f t="shared" ca="1" si="75"/>
        <v>0</v>
      </c>
      <c r="AP60" s="140">
        <f t="shared" ca="1" si="138"/>
        <v>0</v>
      </c>
      <c r="AQ60" s="140">
        <f t="shared" ca="1" si="77"/>
        <v>0</v>
      </c>
      <c r="AR60" s="140">
        <f ca="1">AT59*(Project!$P$13/12)</f>
        <v>0</v>
      </c>
      <c r="AS60" s="140">
        <f t="shared" si="78"/>
        <v>0</v>
      </c>
      <c r="AT60" s="140">
        <f t="shared" ca="1" si="139"/>
        <v>0</v>
      </c>
      <c r="AV60" s="140"/>
      <c r="AW60" s="140"/>
      <c r="AX60" s="140">
        <f ca="1"/>
        <v>0</v>
      </c>
      <c r="AY60" s="140">
        <f ca="1"/>
        <v>0</v>
      </c>
      <c r="AZ60" s="140">
        <f t="shared" ca="1" si="79"/>
        <v>0</v>
      </c>
      <c r="BI60" s="140">
        <f t="shared" si="80"/>
        <v>0</v>
      </c>
      <c r="BJ60" s="140">
        <f t="shared" ca="1" si="81"/>
        <v>0</v>
      </c>
      <c r="BK60" s="140" cm="1">
        <f t="array" ref="BK60">BI60*c_rate.Pref.MO</f>
        <v>0</v>
      </c>
      <c r="BL60" s="140">
        <f t="shared" ca="1" si="82"/>
        <v>0</v>
      </c>
      <c r="BM60" s="140">
        <f t="shared" ca="1" si="115"/>
        <v>0</v>
      </c>
      <c r="BN60" s="140">
        <f t="shared" ca="1" si="116"/>
        <v>0</v>
      </c>
      <c r="BO60" s="140">
        <f t="shared" si="117"/>
        <v>0</v>
      </c>
      <c r="BP60" s="140">
        <f t="shared" ca="1" si="118"/>
        <v>0</v>
      </c>
      <c r="BQ60" s="140">
        <f t="shared" si="83"/>
        <v>0</v>
      </c>
      <c r="BR60" s="516"/>
      <c r="BS60" s="140">
        <f t="shared" ca="1" si="119"/>
        <v>470845.72769852611</v>
      </c>
      <c r="BT60" s="140">
        <f t="shared" ca="1" si="84"/>
        <v>0</v>
      </c>
      <c r="BU60" s="140" cm="1">
        <f t="array" ref="BU60">IF(D60=0,0,BS60*(c_rate.Hurdle1.MO))</f>
        <v>0</v>
      </c>
      <c r="BV60" s="140">
        <f t="shared" ca="1" si="120"/>
        <v>0</v>
      </c>
      <c r="BW60" s="140">
        <f t="shared" ca="1" si="85"/>
        <v>0</v>
      </c>
      <c r="BX60" s="140">
        <f t="shared" ca="1" si="121"/>
        <v>470845.72769852611</v>
      </c>
      <c r="BY60" s="140">
        <f t="shared" ca="1" si="122"/>
        <v>0</v>
      </c>
      <c r="BZ60" s="140">
        <f t="shared" ca="1" si="123"/>
        <v>0</v>
      </c>
      <c r="CA60" s="140">
        <f t="shared" ca="1" si="86"/>
        <v>0</v>
      </c>
      <c r="CB60" s="140">
        <f t="shared" ca="1" si="124"/>
        <v>0</v>
      </c>
      <c r="CC60" s="516"/>
      <c r="CD60" s="140">
        <f t="shared" ca="1" si="125"/>
        <v>835484.21687966748</v>
      </c>
      <c r="CE60" s="140">
        <f t="shared" ca="1" si="87"/>
        <v>0</v>
      </c>
      <c r="CF60" s="140" cm="1">
        <f t="array" ref="CF60">IF($D61=0,0,CD60*(c_rate.Hurdle2.MO))</f>
        <v>0</v>
      </c>
      <c r="CG60" s="140">
        <f t="shared" ca="1" si="88"/>
        <v>0</v>
      </c>
      <c r="CH60" s="140">
        <f t="shared" ca="1" si="126"/>
        <v>0</v>
      </c>
      <c r="CI60" s="140">
        <f t="shared" ca="1" si="89"/>
        <v>835484.21687966748</v>
      </c>
      <c r="CJ60" s="140">
        <f t="shared" ca="1" si="90"/>
        <v>0</v>
      </c>
      <c r="CK60" s="140">
        <f t="shared" ca="1" si="91"/>
        <v>0</v>
      </c>
      <c r="CL60" s="140">
        <f t="shared" ca="1" si="127"/>
        <v>0</v>
      </c>
      <c r="CM60" s="140">
        <f t="shared" ca="1" si="92"/>
        <v>0</v>
      </c>
      <c r="CN60" s="140">
        <f t="shared" ca="1" si="93"/>
        <v>0</v>
      </c>
      <c r="CO60" s="516"/>
      <c r="CP60" s="140">
        <f t="shared" ca="1" si="128"/>
        <v>1273161.612822721</v>
      </c>
      <c r="CQ60" s="140">
        <f t="shared" ca="1" si="94"/>
        <v>0</v>
      </c>
      <c r="CR60" s="140" cm="1">
        <f t="array" ref="CR60">IF($D61=0,0,CP60*(c_rate.Hurdle3.MO))</f>
        <v>0</v>
      </c>
      <c r="CS60" s="140">
        <f t="shared" ca="1" si="95"/>
        <v>0</v>
      </c>
      <c r="CT60" s="140">
        <f t="shared" ca="1" si="129"/>
        <v>0</v>
      </c>
      <c r="CU60" s="140">
        <f t="shared" ca="1" si="96"/>
        <v>1273161.612822721</v>
      </c>
      <c r="CV60" s="140">
        <f t="shared" ca="1" si="97"/>
        <v>0</v>
      </c>
      <c r="CW60" s="140">
        <f t="shared" ca="1" si="130"/>
        <v>0</v>
      </c>
      <c r="CX60" s="140">
        <f t="shared" ca="1" si="131"/>
        <v>0</v>
      </c>
      <c r="CY60" s="140">
        <f t="shared" ca="1" si="132"/>
        <v>0</v>
      </c>
      <c r="CZ60" s="140">
        <f t="shared" ca="1" si="133"/>
        <v>0</v>
      </c>
      <c r="DA60" s="516"/>
      <c r="DB60" s="140">
        <f t="shared" ca="1" si="98"/>
        <v>0</v>
      </c>
      <c r="DC60" s="140">
        <f t="shared" ca="1" si="99"/>
        <v>0</v>
      </c>
      <c r="DD60" s="518"/>
      <c r="DE60" s="140">
        <f t="shared" ca="1" si="134"/>
        <v>0</v>
      </c>
      <c r="DF60" s="140">
        <f t="shared" ca="1" si="135"/>
        <v>0</v>
      </c>
      <c r="DG60" s="140">
        <f t="shared" ca="1" si="100"/>
        <v>0</v>
      </c>
      <c r="DH60" s="457"/>
      <c r="DI60" s="140">
        <f ca="1"/>
        <v>0</v>
      </c>
      <c r="DJ60" s="140">
        <f ca="1"/>
        <v>0</v>
      </c>
      <c r="DK60" s="140">
        <f ca="1"/>
        <v>0</v>
      </c>
      <c r="DL60" s="140">
        <f t="shared" ca="1" si="101"/>
        <v>0</v>
      </c>
      <c r="DM60" s="140">
        <f t="shared" ca="1" si="102"/>
        <v>0</v>
      </c>
      <c r="DN60" s="140">
        <f t="shared" ca="1" si="103"/>
        <v>0</v>
      </c>
      <c r="DO60" s="140">
        <f t="shared" ca="1" si="104"/>
        <v>0</v>
      </c>
      <c r="DP60" s="140">
        <f t="shared" ca="1" si="105"/>
        <v>0</v>
      </c>
      <c r="DQ60" s="140">
        <f t="shared" ca="1" si="106"/>
        <v>0</v>
      </c>
      <c r="DR60" s="140">
        <f ca="1"/>
        <v>0</v>
      </c>
      <c r="DS60" s="140">
        <f ca="1"/>
        <v>0</v>
      </c>
      <c r="DT60" s="140">
        <f t="shared" ca="1" si="107"/>
        <v>0</v>
      </c>
      <c r="DU60" s="140">
        <f t="shared" ca="1" si="108"/>
        <v>0</v>
      </c>
      <c r="DV60" s="457"/>
      <c r="DW60" s="457"/>
      <c r="DX60" s="140">
        <f ca="1"/>
        <v>0</v>
      </c>
      <c r="DY60" s="140">
        <f t="shared" ca="1" si="136"/>
        <v>0</v>
      </c>
      <c r="DZ60" s="140">
        <f t="shared" ca="1" si="109"/>
        <v>0</v>
      </c>
      <c r="EA60" s="140">
        <f t="shared" ca="1" si="110"/>
        <v>0</v>
      </c>
      <c r="EB60" s="140">
        <f t="shared" ca="1" si="111"/>
        <v>0</v>
      </c>
      <c r="EC60" s="140">
        <f t="shared" ca="1" si="112"/>
        <v>0</v>
      </c>
      <c r="ED60" s="140">
        <f t="shared" ca="1" si="137"/>
        <v>0</v>
      </c>
    </row>
    <row r="61" spans="1:134" ht="17.25" thickTop="1" thickBot="1">
      <c r="A61" s="230">
        <f t="shared" si="72"/>
        <v>0</v>
      </c>
      <c r="B61" s="230">
        <f t="shared" ca="1" si="113"/>
        <v>0</v>
      </c>
      <c r="D61" s="187"/>
      <c r="E61" s="187"/>
      <c r="F61" s="187"/>
      <c r="G61" s="125"/>
      <c r="H61" s="124"/>
      <c r="I61" s="124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36"/>
      <c r="V61" s="141"/>
      <c r="W61" s="141"/>
      <c r="X61" s="141"/>
      <c r="Y61" s="141"/>
      <c r="Z61" s="141"/>
      <c r="AA61" s="141"/>
      <c r="AB61" s="141"/>
      <c r="AC61" s="137"/>
      <c r="AD61" s="141"/>
      <c r="AF61" s="141"/>
      <c r="AG61" s="141"/>
      <c r="AH61" s="141"/>
      <c r="AI61" s="141"/>
      <c r="AJ61" s="141"/>
      <c r="AL61" s="141">
        <f t="shared" ca="1" si="74"/>
        <v>0</v>
      </c>
      <c r="AM61" s="141">
        <f t="shared" ca="1" si="114"/>
        <v>0</v>
      </c>
      <c r="AN61" s="141">
        <f t="shared" ca="1" si="75"/>
        <v>0</v>
      </c>
      <c r="AP61" s="141">
        <f t="shared" ca="1" si="138"/>
        <v>0</v>
      </c>
      <c r="AQ61" s="141">
        <f t="shared" ca="1" si="77"/>
        <v>0</v>
      </c>
      <c r="AR61" s="141">
        <f ca="1">AT60*(Project!$P$13/12)</f>
        <v>0</v>
      </c>
      <c r="AS61" s="141">
        <f t="shared" si="78"/>
        <v>0</v>
      </c>
      <c r="AT61" s="141">
        <f t="shared" ca="1" si="139"/>
        <v>0</v>
      </c>
      <c r="AV61" s="141"/>
      <c r="AW61" s="141"/>
      <c r="AX61" s="141">
        <f ca="1"/>
        <v>0</v>
      </c>
      <c r="AY61" s="141">
        <f ca="1"/>
        <v>0</v>
      </c>
      <c r="AZ61" s="141">
        <f t="shared" ca="1" si="79"/>
        <v>0</v>
      </c>
      <c r="BI61" s="141">
        <f t="shared" si="80"/>
        <v>0</v>
      </c>
      <c r="BJ61" s="141">
        <f t="shared" ca="1" si="81"/>
        <v>0</v>
      </c>
      <c r="BK61" s="141" cm="1">
        <f t="array" ref="BK61">BI61*c_rate.Pref.MO</f>
        <v>0</v>
      </c>
      <c r="BL61" s="141">
        <f t="shared" ca="1" si="82"/>
        <v>0</v>
      </c>
      <c r="BM61" s="141">
        <f t="shared" ca="1" si="115"/>
        <v>0</v>
      </c>
      <c r="BN61" s="141">
        <f t="shared" ca="1" si="116"/>
        <v>0</v>
      </c>
      <c r="BO61" s="141">
        <f t="shared" si="117"/>
        <v>0</v>
      </c>
      <c r="BP61" s="141">
        <f t="shared" ca="1" si="118"/>
        <v>0</v>
      </c>
      <c r="BQ61" s="141">
        <f t="shared" si="83"/>
        <v>0</v>
      </c>
      <c r="BR61" s="516"/>
      <c r="BS61" s="141">
        <f t="shared" ca="1" si="119"/>
        <v>470845.72769852611</v>
      </c>
      <c r="BT61" s="141">
        <f t="shared" ca="1" si="84"/>
        <v>0</v>
      </c>
      <c r="BU61" s="141" cm="1">
        <f t="array" ref="BU61">IF(D61=0,0,BS61*(c_rate.Hurdle1.MO))</f>
        <v>0</v>
      </c>
      <c r="BV61" s="141">
        <f t="shared" ca="1" si="120"/>
        <v>0</v>
      </c>
      <c r="BW61" s="141">
        <f t="shared" ca="1" si="85"/>
        <v>0</v>
      </c>
      <c r="BX61" s="141">
        <f t="shared" ca="1" si="121"/>
        <v>470845.72769852611</v>
      </c>
      <c r="BY61" s="141">
        <f t="shared" ca="1" si="122"/>
        <v>0</v>
      </c>
      <c r="BZ61" s="141">
        <f t="shared" ca="1" si="123"/>
        <v>0</v>
      </c>
      <c r="CA61" s="141">
        <f t="shared" ca="1" si="86"/>
        <v>0</v>
      </c>
      <c r="CB61" s="141">
        <f t="shared" ca="1" si="124"/>
        <v>0</v>
      </c>
      <c r="CC61" s="516"/>
      <c r="CD61" s="141">
        <f t="shared" ca="1" si="125"/>
        <v>835484.21687966748</v>
      </c>
      <c r="CE61" s="141">
        <f t="shared" ca="1" si="87"/>
        <v>0</v>
      </c>
      <c r="CF61" s="141" cm="1">
        <f t="array" ref="CF61">IF($D62=0,0,CD61*(c_rate.Hurdle2.MO))</f>
        <v>0</v>
      </c>
      <c r="CG61" s="141">
        <f t="shared" ca="1" si="88"/>
        <v>0</v>
      </c>
      <c r="CH61" s="141">
        <f t="shared" ca="1" si="126"/>
        <v>0</v>
      </c>
      <c r="CI61" s="141">
        <f t="shared" ca="1" si="89"/>
        <v>835484.21687966748</v>
      </c>
      <c r="CJ61" s="141">
        <f t="shared" ca="1" si="90"/>
        <v>0</v>
      </c>
      <c r="CK61" s="141">
        <f t="shared" ca="1" si="91"/>
        <v>0</v>
      </c>
      <c r="CL61" s="141">
        <f t="shared" ca="1" si="127"/>
        <v>0</v>
      </c>
      <c r="CM61" s="141">
        <f t="shared" ca="1" si="92"/>
        <v>0</v>
      </c>
      <c r="CN61" s="141">
        <f t="shared" ca="1" si="93"/>
        <v>0</v>
      </c>
      <c r="CO61" s="516"/>
      <c r="CP61" s="141">
        <f t="shared" ca="1" si="128"/>
        <v>1273161.612822721</v>
      </c>
      <c r="CQ61" s="141">
        <f t="shared" ca="1" si="94"/>
        <v>0</v>
      </c>
      <c r="CR61" s="141" cm="1">
        <f t="array" ref="CR61">IF($D62=0,0,CP61*(c_rate.Hurdle3.MO))</f>
        <v>0</v>
      </c>
      <c r="CS61" s="141">
        <f t="shared" ca="1" si="95"/>
        <v>0</v>
      </c>
      <c r="CT61" s="141">
        <f t="shared" ca="1" si="129"/>
        <v>0</v>
      </c>
      <c r="CU61" s="141">
        <f t="shared" ca="1" si="96"/>
        <v>1273161.612822721</v>
      </c>
      <c r="CV61" s="141">
        <f t="shared" ca="1" si="97"/>
        <v>0</v>
      </c>
      <c r="CW61" s="141">
        <f t="shared" ca="1" si="130"/>
        <v>0</v>
      </c>
      <c r="CX61" s="141">
        <f t="shared" ca="1" si="131"/>
        <v>0</v>
      </c>
      <c r="CY61" s="141">
        <f t="shared" ca="1" si="132"/>
        <v>0</v>
      </c>
      <c r="CZ61" s="141">
        <f t="shared" ca="1" si="133"/>
        <v>0</v>
      </c>
      <c r="DA61" s="516"/>
      <c r="DB61" s="141">
        <f t="shared" ca="1" si="98"/>
        <v>0</v>
      </c>
      <c r="DC61" s="141">
        <f t="shared" ca="1" si="99"/>
        <v>0</v>
      </c>
      <c r="DD61" s="518"/>
      <c r="DE61" s="141">
        <f t="shared" ca="1" si="134"/>
        <v>0</v>
      </c>
      <c r="DF61" s="141">
        <f t="shared" ca="1" si="135"/>
        <v>0</v>
      </c>
      <c r="DG61" s="141">
        <f t="shared" ca="1" si="100"/>
        <v>0</v>
      </c>
      <c r="DH61" s="457"/>
      <c r="DI61" s="141">
        <f ca="1"/>
        <v>0</v>
      </c>
      <c r="DJ61" s="141">
        <f ca="1"/>
        <v>0</v>
      </c>
      <c r="DK61" s="141">
        <f ca="1"/>
        <v>0</v>
      </c>
      <c r="DL61" s="141">
        <f t="shared" ca="1" si="101"/>
        <v>0</v>
      </c>
      <c r="DM61" s="141">
        <f t="shared" ca="1" si="102"/>
        <v>0</v>
      </c>
      <c r="DN61" s="141">
        <f t="shared" ca="1" si="103"/>
        <v>0</v>
      </c>
      <c r="DO61" s="141">
        <f t="shared" ca="1" si="104"/>
        <v>0</v>
      </c>
      <c r="DP61" s="141">
        <f t="shared" ca="1" si="105"/>
        <v>0</v>
      </c>
      <c r="DQ61" s="141">
        <f t="shared" ca="1" si="106"/>
        <v>0</v>
      </c>
      <c r="DR61" s="141">
        <f ca="1"/>
        <v>0</v>
      </c>
      <c r="DS61" s="141">
        <f ca="1"/>
        <v>0</v>
      </c>
      <c r="DT61" s="141">
        <f t="shared" ca="1" si="107"/>
        <v>0</v>
      </c>
      <c r="DU61" s="141">
        <f t="shared" ca="1" si="108"/>
        <v>0</v>
      </c>
      <c r="DV61" s="457"/>
      <c r="DW61" s="457"/>
      <c r="DX61" s="141">
        <f ca="1"/>
        <v>0</v>
      </c>
      <c r="DY61" s="141">
        <f t="shared" ca="1" si="136"/>
        <v>0</v>
      </c>
      <c r="DZ61" s="141">
        <f t="shared" ca="1" si="109"/>
        <v>0</v>
      </c>
      <c r="EA61" s="141">
        <f t="shared" ca="1" si="110"/>
        <v>0</v>
      </c>
      <c r="EB61" s="141">
        <f t="shared" ca="1" si="111"/>
        <v>0</v>
      </c>
      <c r="EC61" s="141">
        <f t="shared" ca="1" si="112"/>
        <v>0</v>
      </c>
      <c r="ED61" s="141">
        <f t="shared" ca="1" si="137"/>
        <v>0</v>
      </c>
    </row>
    <row r="62" spans="1:134" ht="17.25" thickTop="1" thickBot="1">
      <c r="A62" s="228">
        <f t="shared" si="72"/>
        <v>0</v>
      </c>
      <c r="B62" s="228">
        <f t="shared" ca="1" si="113"/>
        <v>0</v>
      </c>
      <c r="D62" s="184"/>
      <c r="E62" s="184"/>
      <c r="F62" s="184"/>
      <c r="G62" s="121"/>
      <c r="H62" s="118"/>
      <c r="I62" s="118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6"/>
      <c r="V62" s="139"/>
      <c r="W62" s="139"/>
      <c r="X62" s="139"/>
      <c r="Y62" s="139"/>
      <c r="Z62" s="139"/>
      <c r="AA62" s="139"/>
      <c r="AB62" s="139"/>
      <c r="AC62" s="137"/>
      <c r="AD62" s="139"/>
      <c r="AF62" s="139"/>
      <c r="AG62" s="139"/>
      <c r="AH62" s="139"/>
      <c r="AI62" s="139"/>
      <c r="AJ62" s="139"/>
      <c r="AL62" s="139">
        <f t="shared" ca="1" si="74"/>
        <v>0</v>
      </c>
      <c r="AM62" s="139">
        <f t="shared" ca="1" si="114"/>
        <v>0</v>
      </c>
      <c r="AN62" s="139">
        <f t="shared" ca="1" si="75"/>
        <v>0</v>
      </c>
      <c r="AP62" s="139">
        <f t="shared" ca="1" si="138"/>
        <v>0</v>
      </c>
      <c r="AQ62" s="139">
        <f t="shared" ca="1" si="77"/>
        <v>0</v>
      </c>
      <c r="AR62" s="139">
        <f ca="1">AT61*(Project!$P$13/12)</f>
        <v>0</v>
      </c>
      <c r="AS62" s="139">
        <f t="shared" si="78"/>
        <v>0</v>
      </c>
      <c r="AT62" s="139">
        <f t="shared" ca="1" si="139"/>
        <v>0</v>
      </c>
      <c r="AV62" s="139"/>
      <c r="AW62" s="139"/>
      <c r="AX62" s="139">
        <f ca="1"/>
        <v>0</v>
      </c>
      <c r="AY62" s="139">
        <f ca="1"/>
        <v>0</v>
      </c>
      <c r="AZ62" s="139">
        <f t="shared" ca="1" si="79"/>
        <v>0</v>
      </c>
      <c r="BI62" s="139">
        <f t="shared" si="80"/>
        <v>0</v>
      </c>
      <c r="BJ62" s="139">
        <f t="shared" ca="1" si="81"/>
        <v>0</v>
      </c>
      <c r="BK62" s="139" cm="1">
        <f t="array" ref="BK62">BI62*c_rate.Pref.MO</f>
        <v>0</v>
      </c>
      <c r="BL62" s="139">
        <f t="shared" ca="1" si="82"/>
        <v>0</v>
      </c>
      <c r="BM62" s="139">
        <f t="shared" ca="1" si="115"/>
        <v>0</v>
      </c>
      <c r="BN62" s="139">
        <f t="shared" ca="1" si="116"/>
        <v>0</v>
      </c>
      <c r="BO62" s="139">
        <f t="shared" si="117"/>
        <v>0</v>
      </c>
      <c r="BP62" s="139">
        <f t="shared" ca="1" si="118"/>
        <v>0</v>
      </c>
      <c r="BQ62" s="139">
        <f t="shared" si="83"/>
        <v>0</v>
      </c>
      <c r="BR62" s="516"/>
      <c r="BS62" s="139">
        <f t="shared" ca="1" si="119"/>
        <v>470845.72769852611</v>
      </c>
      <c r="BT62" s="139">
        <f t="shared" ca="1" si="84"/>
        <v>0</v>
      </c>
      <c r="BU62" s="139" cm="1">
        <f t="array" ref="BU62">IF(D62=0,0,BS62*(c_rate.Hurdle1.MO))</f>
        <v>0</v>
      </c>
      <c r="BV62" s="139">
        <f t="shared" ca="1" si="120"/>
        <v>0</v>
      </c>
      <c r="BW62" s="139">
        <f t="shared" ca="1" si="85"/>
        <v>0</v>
      </c>
      <c r="BX62" s="139">
        <f t="shared" ca="1" si="121"/>
        <v>470845.72769852611</v>
      </c>
      <c r="BY62" s="139">
        <f t="shared" ca="1" si="122"/>
        <v>0</v>
      </c>
      <c r="BZ62" s="139">
        <f t="shared" ca="1" si="123"/>
        <v>0</v>
      </c>
      <c r="CA62" s="139">
        <f t="shared" ca="1" si="86"/>
        <v>0</v>
      </c>
      <c r="CB62" s="139">
        <f t="shared" ca="1" si="124"/>
        <v>0</v>
      </c>
      <c r="CC62" s="516"/>
      <c r="CD62" s="139">
        <f t="shared" ca="1" si="125"/>
        <v>835484.21687966748</v>
      </c>
      <c r="CE62" s="139">
        <f t="shared" ca="1" si="87"/>
        <v>0</v>
      </c>
      <c r="CF62" s="139" cm="1">
        <f t="array" ref="CF62">IF($D63=0,0,CD62*(c_rate.Hurdle2.MO))</f>
        <v>0</v>
      </c>
      <c r="CG62" s="139">
        <f t="shared" ca="1" si="88"/>
        <v>0</v>
      </c>
      <c r="CH62" s="139">
        <f t="shared" ca="1" si="126"/>
        <v>0</v>
      </c>
      <c r="CI62" s="139">
        <f t="shared" ca="1" si="89"/>
        <v>835484.21687966748</v>
      </c>
      <c r="CJ62" s="139">
        <f t="shared" ca="1" si="90"/>
        <v>0</v>
      </c>
      <c r="CK62" s="139">
        <f t="shared" ca="1" si="91"/>
        <v>0</v>
      </c>
      <c r="CL62" s="139">
        <f t="shared" ca="1" si="127"/>
        <v>0</v>
      </c>
      <c r="CM62" s="139">
        <f t="shared" ca="1" si="92"/>
        <v>0</v>
      </c>
      <c r="CN62" s="139">
        <f t="shared" ca="1" si="93"/>
        <v>0</v>
      </c>
      <c r="CO62" s="516"/>
      <c r="CP62" s="139">
        <f t="shared" ca="1" si="128"/>
        <v>1273161.612822721</v>
      </c>
      <c r="CQ62" s="139">
        <f t="shared" ca="1" si="94"/>
        <v>0</v>
      </c>
      <c r="CR62" s="139" cm="1">
        <f t="array" ref="CR62">IF($D63=0,0,CP62*(c_rate.Hurdle3.MO))</f>
        <v>0</v>
      </c>
      <c r="CS62" s="139">
        <f t="shared" ca="1" si="95"/>
        <v>0</v>
      </c>
      <c r="CT62" s="139">
        <f t="shared" ca="1" si="129"/>
        <v>0</v>
      </c>
      <c r="CU62" s="139">
        <f t="shared" ca="1" si="96"/>
        <v>1273161.612822721</v>
      </c>
      <c r="CV62" s="139">
        <f t="shared" ca="1" si="97"/>
        <v>0</v>
      </c>
      <c r="CW62" s="139">
        <f t="shared" ca="1" si="130"/>
        <v>0</v>
      </c>
      <c r="CX62" s="139">
        <f t="shared" ca="1" si="131"/>
        <v>0</v>
      </c>
      <c r="CY62" s="139">
        <f t="shared" ca="1" si="132"/>
        <v>0</v>
      </c>
      <c r="CZ62" s="139">
        <f t="shared" ca="1" si="133"/>
        <v>0</v>
      </c>
      <c r="DA62" s="516"/>
      <c r="DB62" s="139">
        <f t="shared" ca="1" si="98"/>
        <v>0</v>
      </c>
      <c r="DC62" s="139">
        <f t="shared" ca="1" si="99"/>
        <v>0</v>
      </c>
      <c r="DD62" s="518"/>
      <c r="DE62" s="139">
        <f t="shared" ca="1" si="134"/>
        <v>0</v>
      </c>
      <c r="DF62" s="139">
        <f t="shared" ca="1" si="135"/>
        <v>0</v>
      </c>
      <c r="DG62" s="139">
        <f t="shared" ca="1" si="100"/>
        <v>0</v>
      </c>
      <c r="DH62" s="457"/>
      <c r="DI62" s="139">
        <f ca="1"/>
        <v>0</v>
      </c>
      <c r="DJ62" s="139">
        <f ca="1"/>
        <v>0</v>
      </c>
      <c r="DK62" s="139">
        <f ca="1"/>
        <v>0</v>
      </c>
      <c r="DL62" s="139">
        <f t="shared" ca="1" si="101"/>
        <v>0</v>
      </c>
      <c r="DM62" s="139">
        <f t="shared" ca="1" si="102"/>
        <v>0</v>
      </c>
      <c r="DN62" s="139">
        <f t="shared" ca="1" si="103"/>
        <v>0</v>
      </c>
      <c r="DO62" s="139">
        <f t="shared" ca="1" si="104"/>
        <v>0</v>
      </c>
      <c r="DP62" s="139">
        <f t="shared" ca="1" si="105"/>
        <v>0</v>
      </c>
      <c r="DQ62" s="139">
        <f t="shared" ca="1" si="106"/>
        <v>0</v>
      </c>
      <c r="DR62" s="139">
        <f ca="1"/>
        <v>0</v>
      </c>
      <c r="DS62" s="139">
        <f ca="1"/>
        <v>0</v>
      </c>
      <c r="DT62" s="139">
        <f t="shared" ca="1" si="107"/>
        <v>0</v>
      </c>
      <c r="DU62" s="139">
        <f t="shared" ca="1" si="108"/>
        <v>0</v>
      </c>
      <c r="DV62" s="457"/>
      <c r="DW62" s="457"/>
      <c r="DX62" s="139">
        <f ca="1"/>
        <v>0</v>
      </c>
      <c r="DY62" s="139">
        <f t="shared" ca="1" si="136"/>
        <v>0</v>
      </c>
      <c r="DZ62" s="139">
        <f t="shared" ca="1" si="109"/>
        <v>0</v>
      </c>
      <c r="EA62" s="139">
        <f t="shared" ca="1" si="110"/>
        <v>0</v>
      </c>
      <c r="EB62" s="139">
        <f t="shared" ca="1" si="111"/>
        <v>0</v>
      </c>
      <c r="EC62" s="139">
        <f t="shared" ca="1" si="112"/>
        <v>0</v>
      </c>
      <c r="ED62" s="139">
        <f t="shared" ca="1" si="137"/>
        <v>0</v>
      </c>
    </row>
    <row r="63" spans="1:134" ht="17.25" thickTop="1" thickBot="1">
      <c r="A63" s="229">
        <f t="shared" si="72"/>
        <v>0</v>
      </c>
      <c r="B63" s="229">
        <f t="shared" ca="1" si="113"/>
        <v>0</v>
      </c>
      <c r="D63" s="186"/>
      <c r="E63" s="186"/>
      <c r="F63" s="186"/>
      <c r="G63" s="123"/>
      <c r="H63" s="122"/>
      <c r="I63" s="122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36"/>
      <c r="V63" s="140"/>
      <c r="W63" s="140"/>
      <c r="X63" s="140"/>
      <c r="Y63" s="140"/>
      <c r="Z63" s="140"/>
      <c r="AA63" s="140"/>
      <c r="AB63" s="140"/>
      <c r="AC63" s="137"/>
      <c r="AD63" s="140"/>
      <c r="AF63" s="140"/>
      <c r="AG63" s="140"/>
      <c r="AH63" s="140"/>
      <c r="AI63" s="140"/>
      <c r="AJ63" s="140"/>
      <c r="AL63" s="140">
        <f t="shared" ca="1" si="74"/>
        <v>0</v>
      </c>
      <c r="AM63" s="140">
        <f t="shared" ca="1" si="114"/>
        <v>0</v>
      </c>
      <c r="AN63" s="140">
        <f t="shared" ca="1" si="75"/>
        <v>0</v>
      </c>
      <c r="AP63" s="140">
        <f t="shared" ca="1" si="138"/>
        <v>0</v>
      </c>
      <c r="AQ63" s="140">
        <f t="shared" ca="1" si="77"/>
        <v>0</v>
      </c>
      <c r="AR63" s="140">
        <f ca="1">AT62*(Project!$P$13/12)</f>
        <v>0</v>
      </c>
      <c r="AS63" s="140">
        <f t="shared" si="78"/>
        <v>0</v>
      </c>
      <c r="AT63" s="140">
        <f t="shared" ca="1" si="139"/>
        <v>0</v>
      </c>
      <c r="AV63" s="140"/>
      <c r="AW63" s="140"/>
      <c r="AX63" s="140">
        <f ca="1"/>
        <v>0</v>
      </c>
      <c r="AY63" s="140">
        <f ca="1"/>
        <v>0</v>
      </c>
      <c r="AZ63" s="140">
        <f t="shared" ca="1" si="79"/>
        <v>0</v>
      </c>
      <c r="BI63" s="140">
        <f t="shared" si="80"/>
        <v>0</v>
      </c>
      <c r="BJ63" s="140">
        <f t="shared" ca="1" si="81"/>
        <v>0</v>
      </c>
      <c r="BK63" s="140" cm="1">
        <f t="array" ref="BK63">BI63*c_rate.Pref.MO</f>
        <v>0</v>
      </c>
      <c r="BL63" s="140">
        <f t="shared" ca="1" si="82"/>
        <v>0</v>
      </c>
      <c r="BM63" s="140">
        <f t="shared" ca="1" si="115"/>
        <v>0</v>
      </c>
      <c r="BN63" s="140">
        <f t="shared" ca="1" si="116"/>
        <v>0</v>
      </c>
      <c r="BO63" s="140">
        <f t="shared" si="117"/>
        <v>0</v>
      </c>
      <c r="BP63" s="140">
        <f t="shared" ca="1" si="118"/>
        <v>0</v>
      </c>
      <c r="BQ63" s="140">
        <f t="shared" si="83"/>
        <v>0</v>
      </c>
      <c r="BR63" s="516"/>
      <c r="BS63" s="140">
        <f t="shared" ca="1" si="119"/>
        <v>470845.72769852611</v>
      </c>
      <c r="BT63" s="140">
        <f t="shared" ca="1" si="84"/>
        <v>0</v>
      </c>
      <c r="BU63" s="140" cm="1">
        <f t="array" ref="BU63">IF(D63=0,0,BS63*(c_rate.Hurdle1.MO))</f>
        <v>0</v>
      </c>
      <c r="BV63" s="140">
        <f t="shared" ca="1" si="120"/>
        <v>0</v>
      </c>
      <c r="BW63" s="140">
        <f t="shared" ca="1" si="85"/>
        <v>0</v>
      </c>
      <c r="BX63" s="140">
        <f t="shared" ca="1" si="121"/>
        <v>470845.72769852611</v>
      </c>
      <c r="BY63" s="140">
        <f t="shared" ca="1" si="122"/>
        <v>0</v>
      </c>
      <c r="BZ63" s="140">
        <f t="shared" ca="1" si="123"/>
        <v>0</v>
      </c>
      <c r="CA63" s="140">
        <f t="shared" ca="1" si="86"/>
        <v>0</v>
      </c>
      <c r="CB63" s="140">
        <f t="shared" ca="1" si="124"/>
        <v>0</v>
      </c>
      <c r="CC63" s="516"/>
      <c r="CD63" s="140">
        <f t="shared" ca="1" si="125"/>
        <v>835484.21687966748</v>
      </c>
      <c r="CE63" s="140">
        <f t="shared" ca="1" si="87"/>
        <v>0</v>
      </c>
      <c r="CF63" s="140" cm="1">
        <f t="array" ref="CF63">IF($D64=0,0,CD63*(c_rate.Hurdle2.MO))</f>
        <v>0</v>
      </c>
      <c r="CG63" s="140">
        <f t="shared" ca="1" si="88"/>
        <v>0</v>
      </c>
      <c r="CH63" s="140">
        <f t="shared" ca="1" si="126"/>
        <v>0</v>
      </c>
      <c r="CI63" s="140">
        <f t="shared" ca="1" si="89"/>
        <v>835484.21687966748</v>
      </c>
      <c r="CJ63" s="140">
        <f t="shared" ca="1" si="90"/>
        <v>0</v>
      </c>
      <c r="CK63" s="140">
        <f t="shared" ca="1" si="91"/>
        <v>0</v>
      </c>
      <c r="CL63" s="140">
        <f t="shared" ca="1" si="127"/>
        <v>0</v>
      </c>
      <c r="CM63" s="140">
        <f t="shared" ca="1" si="92"/>
        <v>0</v>
      </c>
      <c r="CN63" s="140">
        <f t="shared" ca="1" si="93"/>
        <v>0</v>
      </c>
      <c r="CO63" s="516"/>
      <c r="CP63" s="140">
        <f t="shared" ca="1" si="128"/>
        <v>1273161.612822721</v>
      </c>
      <c r="CQ63" s="140">
        <f t="shared" ca="1" si="94"/>
        <v>0</v>
      </c>
      <c r="CR63" s="140" cm="1">
        <f t="array" ref="CR63">IF($D64=0,0,CP63*(c_rate.Hurdle3.MO))</f>
        <v>0</v>
      </c>
      <c r="CS63" s="140">
        <f t="shared" ca="1" si="95"/>
        <v>0</v>
      </c>
      <c r="CT63" s="140">
        <f t="shared" ca="1" si="129"/>
        <v>0</v>
      </c>
      <c r="CU63" s="140">
        <f t="shared" ca="1" si="96"/>
        <v>1273161.612822721</v>
      </c>
      <c r="CV63" s="140">
        <f t="shared" ca="1" si="97"/>
        <v>0</v>
      </c>
      <c r="CW63" s="140">
        <f t="shared" ca="1" si="130"/>
        <v>0</v>
      </c>
      <c r="CX63" s="140">
        <f t="shared" ca="1" si="131"/>
        <v>0</v>
      </c>
      <c r="CY63" s="140">
        <f t="shared" ca="1" si="132"/>
        <v>0</v>
      </c>
      <c r="CZ63" s="140">
        <f t="shared" ca="1" si="133"/>
        <v>0</v>
      </c>
      <c r="DA63" s="516"/>
      <c r="DB63" s="140">
        <f t="shared" ca="1" si="98"/>
        <v>0</v>
      </c>
      <c r="DC63" s="140">
        <f t="shared" ca="1" si="99"/>
        <v>0</v>
      </c>
      <c r="DD63" s="518"/>
      <c r="DE63" s="140">
        <f t="shared" ca="1" si="134"/>
        <v>0</v>
      </c>
      <c r="DF63" s="140">
        <f t="shared" ca="1" si="135"/>
        <v>0</v>
      </c>
      <c r="DG63" s="140">
        <f t="shared" ca="1" si="100"/>
        <v>0</v>
      </c>
      <c r="DH63" s="457"/>
      <c r="DI63" s="140">
        <f ca="1"/>
        <v>0</v>
      </c>
      <c r="DJ63" s="140">
        <f ca="1"/>
        <v>0</v>
      </c>
      <c r="DK63" s="140">
        <f ca="1"/>
        <v>0</v>
      </c>
      <c r="DL63" s="140">
        <f t="shared" ca="1" si="101"/>
        <v>0</v>
      </c>
      <c r="DM63" s="140">
        <f t="shared" ca="1" si="102"/>
        <v>0</v>
      </c>
      <c r="DN63" s="140">
        <f t="shared" ca="1" si="103"/>
        <v>0</v>
      </c>
      <c r="DO63" s="140">
        <f t="shared" ca="1" si="104"/>
        <v>0</v>
      </c>
      <c r="DP63" s="140">
        <f t="shared" ca="1" si="105"/>
        <v>0</v>
      </c>
      <c r="DQ63" s="140">
        <f t="shared" ca="1" si="106"/>
        <v>0</v>
      </c>
      <c r="DR63" s="140">
        <f ca="1"/>
        <v>0</v>
      </c>
      <c r="DS63" s="140">
        <f ca="1"/>
        <v>0</v>
      </c>
      <c r="DT63" s="140">
        <f t="shared" ca="1" si="107"/>
        <v>0</v>
      </c>
      <c r="DU63" s="140">
        <f t="shared" ca="1" si="108"/>
        <v>0</v>
      </c>
      <c r="DV63" s="457"/>
      <c r="DW63" s="457"/>
      <c r="DX63" s="140">
        <f ca="1"/>
        <v>0</v>
      </c>
      <c r="DY63" s="140">
        <f t="shared" ca="1" si="136"/>
        <v>0</v>
      </c>
      <c r="DZ63" s="140">
        <f t="shared" ca="1" si="109"/>
        <v>0</v>
      </c>
      <c r="EA63" s="140">
        <f t="shared" ca="1" si="110"/>
        <v>0</v>
      </c>
      <c r="EB63" s="140">
        <f t="shared" ca="1" si="111"/>
        <v>0</v>
      </c>
      <c r="EC63" s="140">
        <f t="shared" ca="1" si="112"/>
        <v>0</v>
      </c>
      <c r="ED63" s="140">
        <f t="shared" ca="1" si="137"/>
        <v>0</v>
      </c>
    </row>
    <row r="64" spans="1:134" ht="17.25" thickTop="1" thickBot="1">
      <c r="A64" s="230">
        <f t="shared" si="72"/>
        <v>0</v>
      </c>
      <c r="B64" s="230">
        <f t="shared" ca="1" si="113"/>
        <v>0</v>
      </c>
      <c r="D64" s="187"/>
      <c r="E64" s="187"/>
      <c r="F64" s="187"/>
      <c r="G64" s="125"/>
      <c r="H64" s="124"/>
      <c r="I64" s="124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36"/>
      <c r="V64" s="141"/>
      <c r="W64" s="141"/>
      <c r="X64" s="141"/>
      <c r="Y64" s="141"/>
      <c r="Z64" s="141"/>
      <c r="AA64" s="141"/>
      <c r="AB64" s="141"/>
      <c r="AC64" s="137"/>
      <c r="AD64" s="141"/>
      <c r="AF64" s="141"/>
      <c r="AG64" s="141"/>
      <c r="AH64" s="141"/>
      <c r="AI64" s="141"/>
      <c r="AJ64" s="141"/>
      <c r="AL64" s="141">
        <f t="shared" ca="1" si="74"/>
        <v>0</v>
      </c>
      <c r="AM64" s="141">
        <f t="shared" ca="1" si="114"/>
        <v>0</v>
      </c>
      <c r="AN64" s="141">
        <f t="shared" ca="1" si="75"/>
        <v>0</v>
      </c>
      <c r="AP64" s="141">
        <f t="shared" ca="1" si="138"/>
        <v>0</v>
      </c>
      <c r="AQ64" s="141">
        <f t="shared" ca="1" si="77"/>
        <v>0</v>
      </c>
      <c r="AR64" s="141">
        <f ca="1">AT63*(Project!$P$13/12)</f>
        <v>0</v>
      </c>
      <c r="AS64" s="141">
        <f t="shared" si="78"/>
        <v>0</v>
      </c>
      <c r="AT64" s="141">
        <f t="shared" ca="1" si="139"/>
        <v>0</v>
      </c>
      <c r="AV64" s="141"/>
      <c r="AW64" s="141"/>
      <c r="AX64" s="141">
        <f ca="1"/>
        <v>0</v>
      </c>
      <c r="AY64" s="141">
        <f ca="1"/>
        <v>0</v>
      </c>
      <c r="AZ64" s="141">
        <f t="shared" ca="1" si="79"/>
        <v>0</v>
      </c>
      <c r="BI64" s="141">
        <f t="shared" si="80"/>
        <v>0</v>
      </c>
      <c r="BJ64" s="141">
        <f t="shared" ca="1" si="81"/>
        <v>0</v>
      </c>
      <c r="BK64" s="141" cm="1">
        <f t="array" ref="BK64">BI64*c_rate.Pref.MO</f>
        <v>0</v>
      </c>
      <c r="BL64" s="141">
        <f t="shared" ca="1" si="82"/>
        <v>0</v>
      </c>
      <c r="BM64" s="141">
        <f t="shared" ca="1" si="115"/>
        <v>0</v>
      </c>
      <c r="BN64" s="141">
        <f t="shared" ca="1" si="116"/>
        <v>0</v>
      </c>
      <c r="BO64" s="141">
        <f t="shared" si="117"/>
        <v>0</v>
      </c>
      <c r="BP64" s="141">
        <f t="shared" ca="1" si="118"/>
        <v>0</v>
      </c>
      <c r="BQ64" s="141">
        <f t="shared" si="83"/>
        <v>0</v>
      </c>
      <c r="BR64" s="516"/>
      <c r="BS64" s="141">
        <f t="shared" ca="1" si="119"/>
        <v>470845.72769852611</v>
      </c>
      <c r="BT64" s="141">
        <f t="shared" ca="1" si="84"/>
        <v>0</v>
      </c>
      <c r="BU64" s="141" cm="1">
        <f t="array" ref="BU64">IF(D64=0,0,BS64*(c_rate.Hurdle1.MO))</f>
        <v>0</v>
      </c>
      <c r="BV64" s="141">
        <f t="shared" ca="1" si="120"/>
        <v>0</v>
      </c>
      <c r="BW64" s="141">
        <f t="shared" ca="1" si="85"/>
        <v>0</v>
      </c>
      <c r="BX64" s="141">
        <f t="shared" ca="1" si="121"/>
        <v>470845.72769852611</v>
      </c>
      <c r="BY64" s="141">
        <f t="shared" ca="1" si="122"/>
        <v>0</v>
      </c>
      <c r="BZ64" s="141">
        <f t="shared" ca="1" si="123"/>
        <v>0</v>
      </c>
      <c r="CA64" s="141">
        <f t="shared" ca="1" si="86"/>
        <v>0</v>
      </c>
      <c r="CB64" s="141">
        <f t="shared" ca="1" si="124"/>
        <v>0</v>
      </c>
      <c r="CC64" s="516"/>
      <c r="CD64" s="141">
        <f t="shared" ca="1" si="125"/>
        <v>835484.21687966748</v>
      </c>
      <c r="CE64" s="141">
        <f t="shared" ca="1" si="87"/>
        <v>0</v>
      </c>
      <c r="CF64" s="141" cm="1">
        <f t="array" ref="CF64">IF($D65=0,0,CD64*(c_rate.Hurdle2.MO))</f>
        <v>0</v>
      </c>
      <c r="CG64" s="141">
        <f t="shared" ca="1" si="88"/>
        <v>0</v>
      </c>
      <c r="CH64" s="141">
        <f t="shared" ca="1" si="126"/>
        <v>0</v>
      </c>
      <c r="CI64" s="141">
        <f t="shared" ca="1" si="89"/>
        <v>835484.21687966748</v>
      </c>
      <c r="CJ64" s="141">
        <f t="shared" ca="1" si="90"/>
        <v>0</v>
      </c>
      <c r="CK64" s="141">
        <f t="shared" ca="1" si="91"/>
        <v>0</v>
      </c>
      <c r="CL64" s="141">
        <f t="shared" ca="1" si="127"/>
        <v>0</v>
      </c>
      <c r="CM64" s="141">
        <f t="shared" ca="1" si="92"/>
        <v>0</v>
      </c>
      <c r="CN64" s="141">
        <f t="shared" ca="1" si="93"/>
        <v>0</v>
      </c>
      <c r="CO64" s="516"/>
      <c r="CP64" s="141">
        <f t="shared" ca="1" si="128"/>
        <v>1273161.612822721</v>
      </c>
      <c r="CQ64" s="141">
        <f t="shared" ca="1" si="94"/>
        <v>0</v>
      </c>
      <c r="CR64" s="141" cm="1">
        <f t="array" ref="CR64">IF($D65=0,0,CP64*(c_rate.Hurdle3.MO))</f>
        <v>0</v>
      </c>
      <c r="CS64" s="141">
        <f t="shared" ca="1" si="95"/>
        <v>0</v>
      </c>
      <c r="CT64" s="141">
        <f t="shared" ca="1" si="129"/>
        <v>0</v>
      </c>
      <c r="CU64" s="141">
        <f t="shared" ca="1" si="96"/>
        <v>1273161.612822721</v>
      </c>
      <c r="CV64" s="141">
        <f t="shared" ca="1" si="97"/>
        <v>0</v>
      </c>
      <c r="CW64" s="141">
        <f t="shared" ca="1" si="130"/>
        <v>0</v>
      </c>
      <c r="CX64" s="141">
        <f t="shared" ca="1" si="131"/>
        <v>0</v>
      </c>
      <c r="CY64" s="141">
        <f t="shared" ca="1" si="132"/>
        <v>0</v>
      </c>
      <c r="CZ64" s="141">
        <f t="shared" ca="1" si="133"/>
        <v>0</v>
      </c>
      <c r="DA64" s="516"/>
      <c r="DB64" s="141">
        <f t="shared" ca="1" si="98"/>
        <v>0</v>
      </c>
      <c r="DC64" s="141">
        <f t="shared" ca="1" si="99"/>
        <v>0</v>
      </c>
      <c r="DD64" s="518"/>
      <c r="DE64" s="141">
        <f t="shared" ca="1" si="134"/>
        <v>0</v>
      </c>
      <c r="DF64" s="141">
        <f t="shared" ca="1" si="135"/>
        <v>0</v>
      </c>
      <c r="DG64" s="141">
        <f t="shared" ca="1" si="100"/>
        <v>0</v>
      </c>
      <c r="DH64" s="457"/>
      <c r="DI64" s="141">
        <f ca="1"/>
        <v>0</v>
      </c>
      <c r="DJ64" s="141">
        <f ca="1"/>
        <v>0</v>
      </c>
      <c r="DK64" s="141">
        <f ca="1"/>
        <v>0</v>
      </c>
      <c r="DL64" s="141">
        <f t="shared" ca="1" si="101"/>
        <v>0</v>
      </c>
      <c r="DM64" s="141">
        <f t="shared" ca="1" si="102"/>
        <v>0</v>
      </c>
      <c r="DN64" s="141">
        <f t="shared" ca="1" si="103"/>
        <v>0</v>
      </c>
      <c r="DO64" s="141">
        <f t="shared" ca="1" si="104"/>
        <v>0</v>
      </c>
      <c r="DP64" s="141">
        <f t="shared" ca="1" si="105"/>
        <v>0</v>
      </c>
      <c r="DQ64" s="141">
        <f t="shared" ca="1" si="106"/>
        <v>0</v>
      </c>
      <c r="DR64" s="141">
        <f ca="1"/>
        <v>0</v>
      </c>
      <c r="DS64" s="141">
        <f ca="1"/>
        <v>0</v>
      </c>
      <c r="DT64" s="141">
        <f t="shared" ca="1" si="107"/>
        <v>0</v>
      </c>
      <c r="DU64" s="141">
        <f t="shared" ca="1" si="108"/>
        <v>0</v>
      </c>
      <c r="DV64" s="457"/>
      <c r="DW64" s="457"/>
      <c r="DX64" s="141">
        <f ca="1"/>
        <v>0</v>
      </c>
      <c r="DY64" s="141">
        <f t="shared" ca="1" si="136"/>
        <v>0</v>
      </c>
      <c r="DZ64" s="141">
        <f t="shared" ca="1" si="109"/>
        <v>0</v>
      </c>
      <c r="EA64" s="141">
        <f t="shared" ca="1" si="110"/>
        <v>0</v>
      </c>
      <c r="EB64" s="141">
        <f t="shared" ca="1" si="111"/>
        <v>0</v>
      </c>
      <c r="EC64" s="141">
        <f t="shared" ca="1" si="112"/>
        <v>0</v>
      </c>
      <c r="ED64" s="141">
        <f t="shared" ca="1" si="137"/>
        <v>0</v>
      </c>
    </row>
    <row r="65" spans="1:134" ht="17.25" thickTop="1" thickBot="1">
      <c r="A65" s="228">
        <f t="shared" si="72"/>
        <v>0</v>
      </c>
      <c r="B65" s="228">
        <f t="shared" ca="1" si="113"/>
        <v>0</v>
      </c>
      <c r="D65" s="184"/>
      <c r="E65" s="184"/>
      <c r="F65" s="184"/>
      <c r="G65" s="121"/>
      <c r="H65" s="118"/>
      <c r="I65" s="118"/>
      <c r="K65" s="139"/>
      <c r="L65" s="139"/>
      <c r="M65" s="139"/>
      <c r="N65" s="139"/>
      <c r="O65" s="139"/>
      <c r="P65" s="139"/>
      <c r="Q65" s="139"/>
      <c r="R65" s="139"/>
      <c r="S65" s="139"/>
      <c r="T65" s="139"/>
      <c r="U65" s="136"/>
      <c r="V65" s="139"/>
      <c r="W65" s="139"/>
      <c r="X65" s="139"/>
      <c r="Y65" s="139"/>
      <c r="Z65" s="139"/>
      <c r="AA65" s="139"/>
      <c r="AB65" s="139"/>
      <c r="AC65" s="137"/>
      <c r="AD65" s="139"/>
      <c r="AF65" s="139"/>
      <c r="AG65" s="139"/>
      <c r="AH65" s="139"/>
      <c r="AI65" s="139"/>
      <c r="AJ65" s="139"/>
      <c r="AL65" s="139">
        <f t="shared" ca="1" si="74"/>
        <v>0</v>
      </c>
      <c r="AM65" s="139">
        <f t="shared" ca="1" si="114"/>
        <v>0</v>
      </c>
      <c r="AN65" s="139">
        <f t="shared" ca="1" si="75"/>
        <v>0</v>
      </c>
      <c r="AP65" s="139">
        <f t="shared" ca="1" si="138"/>
        <v>0</v>
      </c>
      <c r="AQ65" s="139">
        <f t="shared" ca="1" si="77"/>
        <v>0</v>
      </c>
      <c r="AR65" s="139">
        <f ca="1">AT64*(Project!$P$13/12)</f>
        <v>0</v>
      </c>
      <c r="AS65" s="139">
        <f t="shared" si="78"/>
        <v>0</v>
      </c>
      <c r="AT65" s="139">
        <f t="shared" ca="1" si="139"/>
        <v>0</v>
      </c>
      <c r="AV65" s="139"/>
      <c r="AW65" s="139"/>
      <c r="AX65" s="139">
        <f ca="1"/>
        <v>0</v>
      </c>
      <c r="AY65" s="139">
        <f ca="1"/>
        <v>0</v>
      </c>
      <c r="AZ65" s="139">
        <f t="shared" ca="1" si="79"/>
        <v>0</v>
      </c>
      <c r="BI65" s="139">
        <f t="shared" si="80"/>
        <v>0</v>
      </c>
      <c r="BJ65" s="139">
        <f t="shared" ca="1" si="81"/>
        <v>0</v>
      </c>
      <c r="BK65" s="139" cm="1">
        <f t="array" ref="BK65">BI65*c_rate.Pref.MO</f>
        <v>0</v>
      </c>
      <c r="BL65" s="139">
        <f t="shared" ca="1" si="82"/>
        <v>0</v>
      </c>
      <c r="BM65" s="139">
        <f t="shared" ca="1" si="115"/>
        <v>0</v>
      </c>
      <c r="BN65" s="139">
        <f t="shared" ca="1" si="116"/>
        <v>0</v>
      </c>
      <c r="BO65" s="139">
        <f t="shared" si="117"/>
        <v>0</v>
      </c>
      <c r="BP65" s="139">
        <f t="shared" ca="1" si="118"/>
        <v>0</v>
      </c>
      <c r="BQ65" s="139">
        <f t="shared" si="83"/>
        <v>0</v>
      </c>
      <c r="BR65" s="516"/>
      <c r="BS65" s="139">
        <f t="shared" ca="1" si="119"/>
        <v>470845.72769852611</v>
      </c>
      <c r="BT65" s="139">
        <f t="shared" ca="1" si="84"/>
        <v>0</v>
      </c>
      <c r="BU65" s="139" cm="1">
        <f t="array" ref="BU65">IF(D65=0,0,BS65*(c_rate.Hurdle1.MO))</f>
        <v>0</v>
      </c>
      <c r="BV65" s="139">
        <f t="shared" ca="1" si="120"/>
        <v>0</v>
      </c>
      <c r="BW65" s="139">
        <f t="shared" ca="1" si="85"/>
        <v>0</v>
      </c>
      <c r="BX65" s="139">
        <f t="shared" ca="1" si="121"/>
        <v>470845.72769852611</v>
      </c>
      <c r="BY65" s="139">
        <f t="shared" ca="1" si="122"/>
        <v>0</v>
      </c>
      <c r="BZ65" s="139">
        <f t="shared" ca="1" si="123"/>
        <v>0</v>
      </c>
      <c r="CA65" s="139">
        <f t="shared" ca="1" si="86"/>
        <v>0</v>
      </c>
      <c r="CB65" s="139">
        <f t="shared" ca="1" si="124"/>
        <v>0</v>
      </c>
      <c r="CC65" s="516"/>
      <c r="CD65" s="139">
        <f t="shared" ca="1" si="125"/>
        <v>835484.21687966748</v>
      </c>
      <c r="CE65" s="139">
        <f t="shared" ca="1" si="87"/>
        <v>0</v>
      </c>
      <c r="CF65" s="139" cm="1">
        <f t="array" ref="CF65">IF($D66=0,0,CD65*(c_rate.Hurdle2.MO))</f>
        <v>0</v>
      </c>
      <c r="CG65" s="139">
        <f t="shared" ca="1" si="88"/>
        <v>0</v>
      </c>
      <c r="CH65" s="139">
        <f t="shared" ca="1" si="126"/>
        <v>0</v>
      </c>
      <c r="CI65" s="139">
        <f t="shared" ca="1" si="89"/>
        <v>835484.21687966748</v>
      </c>
      <c r="CJ65" s="139">
        <f t="shared" ca="1" si="90"/>
        <v>0</v>
      </c>
      <c r="CK65" s="139">
        <f t="shared" ca="1" si="91"/>
        <v>0</v>
      </c>
      <c r="CL65" s="139">
        <f t="shared" ca="1" si="127"/>
        <v>0</v>
      </c>
      <c r="CM65" s="139">
        <f t="shared" ca="1" si="92"/>
        <v>0</v>
      </c>
      <c r="CN65" s="139">
        <f t="shared" ca="1" si="93"/>
        <v>0</v>
      </c>
      <c r="CO65" s="516"/>
      <c r="CP65" s="139">
        <f t="shared" ca="1" si="128"/>
        <v>1273161.612822721</v>
      </c>
      <c r="CQ65" s="139">
        <f t="shared" ca="1" si="94"/>
        <v>0</v>
      </c>
      <c r="CR65" s="139" cm="1">
        <f t="array" ref="CR65">IF($D66=0,0,CP65*(c_rate.Hurdle3.MO))</f>
        <v>0</v>
      </c>
      <c r="CS65" s="139">
        <f t="shared" ca="1" si="95"/>
        <v>0</v>
      </c>
      <c r="CT65" s="139">
        <f t="shared" ca="1" si="129"/>
        <v>0</v>
      </c>
      <c r="CU65" s="139">
        <f t="shared" ca="1" si="96"/>
        <v>1273161.612822721</v>
      </c>
      <c r="CV65" s="139">
        <f t="shared" ca="1" si="97"/>
        <v>0</v>
      </c>
      <c r="CW65" s="139">
        <f t="shared" ca="1" si="130"/>
        <v>0</v>
      </c>
      <c r="CX65" s="139">
        <f t="shared" ca="1" si="131"/>
        <v>0</v>
      </c>
      <c r="CY65" s="139">
        <f t="shared" ca="1" si="132"/>
        <v>0</v>
      </c>
      <c r="CZ65" s="139">
        <f t="shared" ca="1" si="133"/>
        <v>0</v>
      </c>
      <c r="DA65" s="516"/>
      <c r="DB65" s="139">
        <f t="shared" ca="1" si="98"/>
        <v>0</v>
      </c>
      <c r="DC65" s="139">
        <f t="shared" ca="1" si="99"/>
        <v>0</v>
      </c>
      <c r="DD65" s="518"/>
      <c r="DE65" s="139">
        <f t="shared" ca="1" si="134"/>
        <v>0</v>
      </c>
      <c r="DF65" s="139">
        <f t="shared" ca="1" si="135"/>
        <v>0</v>
      </c>
      <c r="DG65" s="139">
        <f t="shared" ca="1" si="100"/>
        <v>0</v>
      </c>
      <c r="DH65" s="457"/>
      <c r="DI65" s="139">
        <f ca="1"/>
        <v>0</v>
      </c>
      <c r="DJ65" s="139">
        <f ca="1"/>
        <v>0</v>
      </c>
      <c r="DK65" s="139">
        <f ca="1"/>
        <v>0</v>
      </c>
      <c r="DL65" s="139">
        <f t="shared" ca="1" si="101"/>
        <v>0</v>
      </c>
      <c r="DM65" s="139">
        <f t="shared" ca="1" si="102"/>
        <v>0</v>
      </c>
      <c r="DN65" s="139">
        <f t="shared" ca="1" si="103"/>
        <v>0</v>
      </c>
      <c r="DO65" s="139">
        <f t="shared" ca="1" si="104"/>
        <v>0</v>
      </c>
      <c r="DP65" s="139">
        <f t="shared" ca="1" si="105"/>
        <v>0</v>
      </c>
      <c r="DQ65" s="139">
        <f t="shared" ca="1" si="106"/>
        <v>0</v>
      </c>
      <c r="DR65" s="139">
        <f ca="1"/>
        <v>0</v>
      </c>
      <c r="DS65" s="139">
        <f ca="1"/>
        <v>0</v>
      </c>
      <c r="DT65" s="139">
        <f t="shared" ca="1" si="107"/>
        <v>0</v>
      </c>
      <c r="DU65" s="139">
        <f t="shared" ca="1" si="108"/>
        <v>0</v>
      </c>
      <c r="DV65" s="457"/>
      <c r="DW65" s="457"/>
      <c r="DX65" s="139">
        <f ca="1"/>
        <v>0</v>
      </c>
      <c r="DY65" s="139">
        <f t="shared" ca="1" si="136"/>
        <v>0</v>
      </c>
      <c r="DZ65" s="139">
        <f t="shared" ca="1" si="109"/>
        <v>0</v>
      </c>
      <c r="EA65" s="139">
        <f t="shared" ca="1" si="110"/>
        <v>0</v>
      </c>
      <c r="EB65" s="139">
        <f t="shared" ca="1" si="111"/>
        <v>0</v>
      </c>
      <c r="EC65" s="139">
        <f t="shared" ca="1" si="112"/>
        <v>0</v>
      </c>
      <c r="ED65" s="139">
        <f t="shared" ca="1" si="137"/>
        <v>0</v>
      </c>
    </row>
    <row r="66" spans="1:134" ht="17.25" thickTop="1" thickBot="1">
      <c r="A66" s="229">
        <f t="shared" si="72"/>
        <v>0</v>
      </c>
      <c r="B66" s="229">
        <f t="shared" ca="1" si="113"/>
        <v>0</v>
      </c>
      <c r="D66" s="186"/>
      <c r="E66" s="186"/>
      <c r="F66" s="186"/>
      <c r="G66" s="123"/>
      <c r="H66" s="122"/>
      <c r="I66" s="122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36"/>
      <c r="V66" s="140"/>
      <c r="W66" s="140"/>
      <c r="X66" s="140"/>
      <c r="Y66" s="140"/>
      <c r="Z66" s="140"/>
      <c r="AA66" s="140"/>
      <c r="AB66" s="140"/>
      <c r="AC66" s="137"/>
      <c r="AD66" s="140"/>
      <c r="AF66" s="140"/>
      <c r="AG66" s="140"/>
      <c r="AH66" s="140"/>
      <c r="AI66" s="140"/>
      <c r="AJ66" s="140"/>
      <c r="AL66" s="140">
        <f t="shared" ca="1" si="74"/>
        <v>0</v>
      </c>
      <c r="AM66" s="140">
        <f t="shared" ca="1" si="114"/>
        <v>0</v>
      </c>
      <c r="AN66" s="140">
        <f t="shared" ca="1" si="75"/>
        <v>0</v>
      </c>
      <c r="AP66" s="140">
        <f t="shared" ca="1" si="138"/>
        <v>0</v>
      </c>
      <c r="AQ66" s="140">
        <f t="shared" ca="1" si="77"/>
        <v>0</v>
      </c>
      <c r="AR66" s="140">
        <f ca="1">AT65*(Project!$P$13/12)</f>
        <v>0</v>
      </c>
      <c r="AS66" s="140">
        <f t="shared" si="78"/>
        <v>0</v>
      </c>
      <c r="AT66" s="140">
        <f t="shared" ca="1" si="139"/>
        <v>0</v>
      </c>
      <c r="AV66" s="140"/>
      <c r="AW66" s="140"/>
      <c r="AX66" s="140">
        <f ca="1"/>
        <v>0</v>
      </c>
      <c r="AY66" s="140">
        <f ca="1"/>
        <v>0</v>
      </c>
      <c r="AZ66" s="140">
        <f t="shared" ca="1" si="79"/>
        <v>0</v>
      </c>
      <c r="BI66" s="140">
        <f t="shared" si="80"/>
        <v>0</v>
      </c>
      <c r="BJ66" s="140">
        <f t="shared" ca="1" si="81"/>
        <v>0</v>
      </c>
      <c r="BK66" s="140" cm="1">
        <f t="array" ref="BK66">BI66*c_rate.Pref.MO</f>
        <v>0</v>
      </c>
      <c r="BL66" s="140">
        <f t="shared" ca="1" si="82"/>
        <v>0</v>
      </c>
      <c r="BM66" s="140">
        <f t="shared" ca="1" si="115"/>
        <v>0</v>
      </c>
      <c r="BN66" s="140">
        <f t="shared" ca="1" si="116"/>
        <v>0</v>
      </c>
      <c r="BO66" s="140">
        <f t="shared" si="117"/>
        <v>0</v>
      </c>
      <c r="BP66" s="140">
        <f t="shared" ca="1" si="118"/>
        <v>0</v>
      </c>
      <c r="BQ66" s="140">
        <f t="shared" si="83"/>
        <v>0</v>
      </c>
      <c r="BR66" s="516"/>
      <c r="BS66" s="140">
        <f t="shared" ca="1" si="119"/>
        <v>470845.72769852611</v>
      </c>
      <c r="BT66" s="140">
        <f t="shared" ca="1" si="84"/>
        <v>0</v>
      </c>
      <c r="BU66" s="140" cm="1">
        <f t="array" ref="BU66">IF(D66=0,0,BS66*(c_rate.Hurdle1.MO))</f>
        <v>0</v>
      </c>
      <c r="BV66" s="140">
        <f t="shared" ca="1" si="120"/>
        <v>0</v>
      </c>
      <c r="BW66" s="140">
        <f t="shared" ca="1" si="85"/>
        <v>0</v>
      </c>
      <c r="BX66" s="140">
        <f t="shared" ca="1" si="121"/>
        <v>470845.72769852611</v>
      </c>
      <c r="BY66" s="140">
        <f t="shared" ca="1" si="122"/>
        <v>0</v>
      </c>
      <c r="BZ66" s="140">
        <f t="shared" ca="1" si="123"/>
        <v>0</v>
      </c>
      <c r="CA66" s="140">
        <f t="shared" ca="1" si="86"/>
        <v>0</v>
      </c>
      <c r="CB66" s="140">
        <f t="shared" ca="1" si="124"/>
        <v>0</v>
      </c>
      <c r="CC66" s="516"/>
      <c r="CD66" s="140">
        <f t="shared" ca="1" si="125"/>
        <v>835484.21687966748</v>
      </c>
      <c r="CE66" s="140">
        <f t="shared" ca="1" si="87"/>
        <v>0</v>
      </c>
      <c r="CF66" s="140" cm="1">
        <f t="array" ref="CF66">IF($D67=0,0,CD66*(c_rate.Hurdle2.MO))</f>
        <v>0</v>
      </c>
      <c r="CG66" s="140">
        <f t="shared" ca="1" si="88"/>
        <v>0</v>
      </c>
      <c r="CH66" s="140">
        <f t="shared" ca="1" si="126"/>
        <v>0</v>
      </c>
      <c r="CI66" s="140">
        <f t="shared" ca="1" si="89"/>
        <v>835484.21687966748</v>
      </c>
      <c r="CJ66" s="140">
        <f t="shared" ca="1" si="90"/>
        <v>0</v>
      </c>
      <c r="CK66" s="140">
        <f t="shared" ca="1" si="91"/>
        <v>0</v>
      </c>
      <c r="CL66" s="140">
        <f t="shared" ca="1" si="127"/>
        <v>0</v>
      </c>
      <c r="CM66" s="140">
        <f t="shared" ca="1" si="92"/>
        <v>0</v>
      </c>
      <c r="CN66" s="140">
        <f t="shared" ca="1" si="93"/>
        <v>0</v>
      </c>
      <c r="CO66" s="516"/>
      <c r="CP66" s="140">
        <f t="shared" ca="1" si="128"/>
        <v>1273161.612822721</v>
      </c>
      <c r="CQ66" s="140">
        <f t="shared" ca="1" si="94"/>
        <v>0</v>
      </c>
      <c r="CR66" s="140" cm="1">
        <f t="array" ref="CR66">IF($D67=0,0,CP66*(c_rate.Hurdle3.MO))</f>
        <v>0</v>
      </c>
      <c r="CS66" s="140">
        <f t="shared" ca="1" si="95"/>
        <v>0</v>
      </c>
      <c r="CT66" s="140">
        <f t="shared" ca="1" si="129"/>
        <v>0</v>
      </c>
      <c r="CU66" s="140">
        <f t="shared" ca="1" si="96"/>
        <v>1273161.612822721</v>
      </c>
      <c r="CV66" s="140">
        <f t="shared" ca="1" si="97"/>
        <v>0</v>
      </c>
      <c r="CW66" s="140">
        <f t="shared" ca="1" si="130"/>
        <v>0</v>
      </c>
      <c r="CX66" s="140">
        <f t="shared" ca="1" si="131"/>
        <v>0</v>
      </c>
      <c r="CY66" s="140">
        <f t="shared" ca="1" si="132"/>
        <v>0</v>
      </c>
      <c r="CZ66" s="140">
        <f t="shared" ca="1" si="133"/>
        <v>0</v>
      </c>
      <c r="DA66" s="516"/>
      <c r="DB66" s="140">
        <f t="shared" ca="1" si="98"/>
        <v>0</v>
      </c>
      <c r="DC66" s="140">
        <f t="shared" ca="1" si="99"/>
        <v>0</v>
      </c>
      <c r="DD66" s="518"/>
      <c r="DE66" s="140">
        <f t="shared" ca="1" si="134"/>
        <v>0</v>
      </c>
      <c r="DF66" s="140">
        <f t="shared" ca="1" si="135"/>
        <v>0</v>
      </c>
      <c r="DG66" s="140">
        <f t="shared" ca="1" si="100"/>
        <v>0</v>
      </c>
      <c r="DH66" s="457"/>
      <c r="DI66" s="140">
        <f ca="1"/>
        <v>0</v>
      </c>
      <c r="DJ66" s="140">
        <f ca="1"/>
        <v>0</v>
      </c>
      <c r="DK66" s="140">
        <f ca="1"/>
        <v>0</v>
      </c>
      <c r="DL66" s="140">
        <f t="shared" ca="1" si="101"/>
        <v>0</v>
      </c>
      <c r="DM66" s="140">
        <f t="shared" ca="1" si="102"/>
        <v>0</v>
      </c>
      <c r="DN66" s="140">
        <f t="shared" ca="1" si="103"/>
        <v>0</v>
      </c>
      <c r="DO66" s="140">
        <f t="shared" ca="1" si="104"/>
        <v>0</v>
      </c>
      <c r="DP66" s="140">
        <f t="shared" ca="1" si="105"/>
        <v>0</v>
      </c>
      <c r="DQ66" s="140">
        <f t="shared" ca="1" si="106"/>
        <v>0</v>
      </c>
      <c r="DR66" s="140">
        <f ca="1"/>
        <v>0</v>
      </c>
      <c r="DS66" s="140">
        <f ca="1"/>
        <v>0</v>
      </c>
      <c r="DT66" s="140">
        <f t="shared" ca="1" si="107"/>
        <v>0</v>
      </c>
      <c r="DU66" s="140">
        <f t="shared" ca="1" si="108"/>
        <v>0</v>
      </c>
      <c r="DV66" s="457"/>
      <c r="DW66" s="457"/>
      <c r="DX66" s="140">
        <f ca="1"/>
        <v>0</v>
      </c>
      <c r="DY66" s="140">
        <f t="shared" ca="1" si="136"/>
        <v>0</v>
      </c>
      <c r="DZ66" s="140">
        <f t="shared" ca="1" si="109"/>
        <v>0</v>
      </c>
      <c r="EA66" s="140">
        <f t="shared" ca="1" si="110"/>
        <v>0</v>
      </c>
      <c r="EB66" s="140">
        <f t="shared" ca="1" si="111"/>
        <v>0</v>
      </c>
      <c r="EC66" s="140">
        <f t="shared" ca="1" si="112"/>
        <v>0</v>
      </c>
      <c r="ED66" s="140">
        <f t="shared" ca="1" si="137"/>
        <v>0</v>
      </c>
    </row>
    <row r="67" spans="1:134" ht="17.25" thickTop="1" thickBot="1">
      <c r="A67" s="230">
        <f t="shared" si="72"/>
        <v>0</v>
      </c>
      <c r="B67" s="230">
        <f t="shared" ca="1" si="113"/>
        <v>0</v>
      </c>
      <c r="D67" s="187"/>
      <c r="E67" s="187"/>
      <c r="F67" s="187"/>
      <c r="G67" s="125"/>
      <c r="H67" s="124"/>
      <c r="I67" s="124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36"/>
      <c r="V67" s="141"/>
      <c r="W67" s="141"/>
      <c r="X67" s="141"/>
      <c r="Y67" s="141"/>
      <c r="Z67" s="141"/>
      <c r="AA67" s="141"/>
      <c r="AB67" s="141"/>
      <c r="AC67" s="137"/>
      <c r="AD67" s="141"/>
      <c r="AF67" s="141"/>
      <c r="AG67" s="141"/>
      <c r="AH67" s="141"/>
      <c r="AI67" s="141"/>
      <c r="AJ67" s="141"/>
      <c r="AL67" s="141">
        <f t="shared" ca="1" si="74"/>
        <v>0</v>
      </c>
      <c r="AM67" s="141">
        <f t="shared" ca="1" si="114"/>
        <v>0</v>
      </c>
      <c r="AN67" s="141">
        <f t="shared" ca="1" si="75"/>
        <v>0</v>
      </c>
      <c r="AP67" s="141">
        <f t="shared" ca="1" si="138"/>
        <v>0</v>
      </c>
      <c r="AQ67" s="141">
        <f t="shared" ca="1" si="77"/>
        <v>0</v>
      </c>
      <c r="AR67" s="141">
        <f ca="1">AT66*(Project!$P$13/12)</f>
        <v>0</v>
      </c>
      <c r="AS67" s="141">
        <f t="shared" si="78"/>
        <v>0</v>
      </c>
      <c r="AT67" s="141">
        <f t="shared" ca="1" si="139"/>
        <v>0</v>
      </c>
      <c r="AV67" s="141"/>
      <c r="AW67" s="141"/>
      <c r="AX67" s="141">
        <f ca="1"/>
        <v>0</v>
      </c>
      <c r="AY67" s="141">
        <f ca="1"/>
        <v>0</v>
      </c>
      <c r="AZ67" s="141">
        <f t="shared" ca="1" si="79"/>
        <v>0</v>
      </c>
      <c r="BI67" s="141">
        <f t="shared" si="80"/>
        <v>0</v>
      </c>
      <c r="BJ67" s="141">
        <f t="shared" ca="1" si="81"/>
        <v>0</v>
      </c>
      <c r="BK67" s="141" cm="1">
        <f t="array" ref="BK67">BI67*c_rate.Pref.MO</f>
        <v>0</v>
      </c>
      <c r="BL67" s="141">
        <f t="shared" ca="1" si="82"/>
        <v>0</v>
      </c>
      <c r="BM67" s="141">
        <f t="shared" ca="1" si="115"/>
        <v>0</v>
      </c>
      <c r="BN67" s="141">
        <f t="shared" ca="1" si="116"/>
        <v>0</v>
      </c>
      <c r="BO67" s="141">
        <f t="shared" si="117"/>
        <v>0</v>
      </c>
      <c r="BP67" s="141">
        <f t="shared" ca="1" si="118"/>
        <v>0</v>
      </c>
      <c r="BQ67" s="141">
        <f t="shared" si="83"/>
        <v>0</v>
      </c>
      <c r="BR67" s="516"/>
      <c r="BS67" s="141">
        <f t="shared" ca="1" si="119"/>
        <v>470845.72769852611</v>
      </c>
      <c r="BT67" s="141">
        <f t="shared" ca="1" si="84"/>
        <v>0</v>
      </c>
      <c r="BU67" s="141" cm="1">
        <f t="array" ref="BU67">IF(D67=0,0,BS67*(c_rate.Hurdle1.MO))</f>
        <v>0</v>
      </c>
      <c r="BV67" s="141">
        <f t="shared" ca="1" si="120"/>
        <v>0</v>
      </c>
      <c r="BW67" s="141">
        <f t="shared" ca="1" si="85"/>
        <v>0</v>
      </c>
      <c r="BX67" s="141">
        <f t="shared" ca="1" si="121"/>
        <v>470845.72769852611</v>
      </c>
      <c r="BY67" s="141">
        <f t="shared" ca="1" si="122"/>
        <v>0</v>
      </c>
      <c r="BZ67" s="141">
        <f t="shared" ca="1" si="123"/>
        <v>0</v>
      </c>
      <c r="CA67" s="141">
        <f t="shared" ca="1" si="86"/>
        <v>0</v>
      </c>
      <c r="CB67" s="141">
        <f t="shared" ca="1" si="124"/>
        <v>0</v>
      </c>
      <c r="CC67" s="516"/>
      <c r="CD67" s="141">
        <f t="shared" ca="1" si="125"/>
        <v>835484.21687966748</v>
      </c>
      <c r="CE67" s="141">
        <f t="shared" ca="1" si="87"/>
        <v>0</v>
      </c>
      <c r="CF67" s="141" cm="1">
        <f t="array" ref="CF67">IF($D68=0,0,CD67*(c_rate.Hurdle2.MO))</f>
        <v>0</v>
      </c>
      <c r="CG67" s="141">
        <f t="shared" ca="1" si="88"/>
        <v>0</v>
      </c>
      <c r="CH67" s="141">
        <f t="shared" ca="1" si="126"/>
        <v>0</v>
      </c>
      <c r="CI67" s="141">
        <f t="shared" ca="1" si="89"/>
        <v>835484.21687966748</v>
      </c>
      <c r="CJ67" s="141">
        <f t="shared" ca="1" si="90"/>
        <v>0</v>
      </c>
      <c r="CK67" s="141">
        <f t="shared" ca="1" si="91"/>
        <v>0</v>
      </c>
      <c r="CL67" s="141">
        <f t="shared" ca="1" si="127"/>
        <v>0</v>
      </c>
      <c r="CM67" s="141">
        <f t="shared" ca="1" si="92"/>
        <v>0</v>
      </c>
      <c r="CN67" s="141">
        <f t="shared" ca="1" si="93"/>
        <v>0</v>
      </c>
      <c r="CO67" s="516"/>
      <c r="CP67" s="141">
        <f t="shared" ca="1" si="128"/>
        <v>1273161.612822721</v>
      </c>
      <c r="CQ67" s="141">
        <f t="shared" ca="1" si="94"/>
        <v>0</v>
      </c>
      <c r="CR67" s="141" cm="1">
        <f t="array" ref="CR67">IF($D68=0,0,CP67*(c_rate.Hurdle3.MO))</f>
        <v>0</v>
      </c>
      <c r="CS67" s="141">
        <f t="shared" ca="1" si="95"/>
        <v>0</v>
      </c>
      <c r="CT67" s="141">
        <f t="shared" ca="1" si="129"/>
        <v>0</v>
      </c>
      <c r="CU67" s="141">
        <f t="shared" ca="1" si="96"/>
        <v>1273161.612822721</v>
      </c>
      <c r="CV67" s="141">
        <f t="shared" ca="1" si="97"/>
        <v>0</v>
      </c>
      <c r="CW67" s="141">
        <f t="shared" ca="1" si="130"/>
        <v>0</v>
      </c>
      <c r="CX67" s="141">
        <f t="shared" ca="1" si="131"/>
        <v>0</v>
      </c>
      <c r="CY67" s="141">
        <f t="shared" ca="1" si="132"/>
        <v>0</v>
      </c>
      <c r="CZ67" s="141">
        <f t="shared" ca="1" si="133"/>
        <v>0</v>
      </c>
      <c r="DA67" s="516"/>
      <c r="DB67" s="141">
        <f t="shared" ca="1" si="98"/>
        <v>0</v>
      </c>
      <c r="DC67" s="141">
        <f t="shared" ca="1" si="99"/>
        <v>0</v>
      </c>
      <c r="DD67" s="518"/>
      <c r="DE67" s="141">
        <f t="shared" ca="1" si="134"/>
        <v>0</v>
      </c>
      <c r="DF67" s="141">
        <f t="shared" ca="1" si="135"/>
        <v>0</v>
      </c>
      <c r="DG67" s="141">
        <f t="shared" ca="1" si="100"/>
        <v>0</v>
      </c>
      <c r="DH67" s="457"/>
      <c r="DI67" s="141">
        <f ca="1"/>
        <v>0</v>
      </c>
      <c r="DJ67" s="141">
        <f ca="1"/>
        <v>0</v>
      </c>
      <c r="DK67" s="141">
        <f ca="1"/>
        <v>0</v>
      </c>
      <c r="DL67" s="141">
        <f t="shared" ca="1" si="101"/>
        <v>0</v>
      </c>
      <c r="DM67" s="141">
        <f t="shared" ca="1" si="102"/>
        <v>0</v>
      </c>
      <c r="DN67" s="141">
        <f t="shared" ca="1" si="103"/>
        <v>0</v>
      </c>
      <c r="DO67" s="141">
        <f t="shared" ca="1" si="104"/>
        <v>0</v>
      </c>
      <c r="DP67" s="141">
        <f t="shared" ca="1" si="105"/>
        <v>0</v>
      </c>
      <c r="DQ67" s="141">
        <f t="shared" ca="1" si="106"/>
        <v>0</v>
      </c>
      <c r="DR67" s="141">
        <f ca="1"/>
        <v>0</v>
      </c>
      <c r="DS67" s="141">
        <f ca="1"/>
        <v>0</v>
      </c>
      <c r="DT67" s="141">
        <f t="shared" ca="1" si="107"/>
        <v>0</v>
      </c>
      <c r="DU67" s="141">
        <f t="shared" ca="1" si="108"/>
        <v>0</v>
      </c>
      <c r="DV67" s="457"/>
      <c r="DW67" s="457"/>
      <c r="DX67" s="141">
        <f ca="1"/>
        <v>0</v>
      </c>
      <c r="DY67" s="141">
        <f t="shared" ca="1" si="136"/>
        <v>0</v>
      </c>
      <c r="DZ67" s="141">
        <f t="shared" ca="1" si="109"/>
        <v>0</v>
      </c>
      <c r="EA67" s="141">
        <f t="shared" ca="1" si="110"/>
        <v>0</v>
      </c>
      <c r="EB67" s="141">
        <f t="shared" ca="1" si="111"/>
        <v>0</v>
      </c>
      <c r="EC67" s="141">
        <f t="shared" ca="1" si="112"/>
        <v>0</v>
      </c>
      <c r="ED67" s="141">
        <f t="shared" ca="1" si="137"/>
        <v>0</v>
      </c>
    </row>
    <row r="68" spans="1:134" ht="17.25" thickTop="1" thickBot="1">
      <c r="A68" s="228">
        <f t="shared" si="72"/>
        <v>0</v>
      </c>
      <c r="B68" s="228">
        <f t="shared" ca="1" si="113"/>
        <v>0</v>
      </c>
      <c r="D68" s="184"/>
      <c r="E68" s="184"/>
      <c r="F68" s="184"/>
      <c r="G68" s="121"/>
      <c r="H68" s="118"/>
      <c r="I68" s="118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6"/>
      <c r="V68" s="139"/>
      <c r="W68" s="139"/>
      <c r="X68" s="139"/>
      <c r="Y68" s="139"/>
      <c r="Z68" s="139"/>
      <c r="AA68" s="139"/>
      <c r="AB68" s="139"/>
      <c r="AC68" s="137"/>
      <c r="AD68" s="139"/>
      <c r="AF68" s="139"/>
      <c r="AG68" s="139"/>
      <c r="AH68" s="139"/>
      <c r="AI68" s="139"/>
      <c r="AJ68" s="139"/>
      <c r="AL68" s="139">
        <f t="shared" ca="1" si="74"/>
        <v>0</v>
      </c>
      <c r="AM68" s="139">
        <f t="shared" ca="1" si="114"/>
        <v>0</v>
      </c>
      <c r="AN68" s="139">
        <f t="shared" ca="1" si="75"/>
        <v>0</v>
      </c>
      <c r="AP68" s="139">
        <f t="shared" ca="1" si="138"/>
        <v>0</v>
      </c>
      <c r="AQ68" s="139">
        <f t="shared" ca="1" si="77"/>
        <v>0</v>
      </c>
      <c r="AR68" s="139">
        <f ca="1">AT67*(Project!$P$13/12)</f>
        <v>0</v>
      </c>
      <c r="AS68" s="139">
        <f t="shared" si="78"/>
        <v>0</v>
      </c>
      <c r="AT68" s="139">
        <f t="shared" ca="1" si="139"/>
        <v>0</v>
      </c>
      <c r="AV68" s="139"/>
      <c r="AW68" s="139"/>
      <c r="AX68" s="139">
        <f ca="1"/>
        <v>0</v>
      </c>
      <c r="AY68" s="139">
        <f ca="1"/>
        <v>0</v>
      </c>
      <c r="AZ68" s="139">
        <f t="shared" ca="1" si="79"/>
        <v>0</v>
      </c>
      <c r="BI68" s="139">
        <f t="shared" si="80"/>
        <v>0</v>
      </c>
      <c r="BJ68" s="139">
        <f t="shared" ca="1" si="81"/>
        <v>0</v>
      </c>
      <c r="BK68" s="139" cm="1">
        <f t="array" ref="BK68">BI68*c_rate.Pref.MO</f>
        <v>0</v>
      </c>
      <c r="BL68" s="139">
        <f t="shared" ca="1" si="82"/>
        <v>0</v>
      </c>
      <c r="BM68" s="139">
        <f t="shared" ca="1" si="115"/>
        <v>0</v>
      </c>
      <c r="BN68" s="139">
        <f t="shared" ca="1" si="116"/>
        <v>0</v>
      </c>
      <c r="BO68" s="139">
        <f t="shared" si="117"/>
        <v>0</v>
      </c>
      <c r="BP68" s="139">
        <f t="shared" ca="1" si="118"/>
        <v>0</v>
      </c>
      <c r="BQ68" s="139">
        <f t="shared" si="83"/>
        <v>0</v>
      </c>
      <c r="BR68" s="516"/>
      <c r="BS68" s="139">
        <f t="shared" ca="1" si="119"/>
        <v>470845.72769852611</v>
      </c>
      <c r="BT68" s="139">
        <f t="shared" ca="1" si="84"/>
        <v>0</v>
      </c>
      <c r="BU68" s="139" cm="1">
        <f t="array" ref="BU68">IF(D68=0,0,BS68*(c_rate.Hurdle1.MO))</f>
        <v>0</v>
      </c>
      <c r="BV68" s="139">
        <f t="shared" ca="1" si="120"/>
        <v>0</v>
      </c>
      <c r="BW68" s="139">
        <f t="shared" ca="1" si="85"/>
        <v>0</v>
      </c>
      <c r="BX68" s="139">
        <f t="shared" ca="1" si="121"/>
        <v>470845.72769852611</v>
      </c>
      <c r="BY68" s="139">
        <f t="shared" ca="1" si="122"/>
        <v>0</v>
      </c>
      <c r="BZ68" s="139">
        <f t="shared" ca="1" si="123"/>
        <v>0</v>
      </c>
      <c r="CA68" s="139">
        <f t="shared" ca="1" si="86"/>
        <v>0</v>
      </c>
      <c r="CB68" s="139">
        <f t="shared" ca="1" si="124"/>
        <v>0</v>
      </c>
      <c r="CC68" s="516"/>
      <c r="CD68" s="139">
        <f t="shared" ca="1" si="125"/>
        <v>835484.21687966748</v>
      </c>
      <c r="CE68" s="139">
        <f t="shared" ca="1" si="87"/>
        <v>0</v>
      </c>
      <c r="CF68" s="139" cm="1">
        <f t="array" ref="CF68">IF($D69=0,0,CD68*(c_rate.Hurdle2.MO))</f>
        <v>0</v>
      </c>
      <c r="CG68" s="139">
        <f t="shared" ca="1" si="88"/>
        <v>0</v>
      </c>
      <c r="CH68" s="139">
        <f t="shared" ca="1" si="126"/>
        <v>0</v>
      </c>
      <c r="CI68" s="139">
        <f t="shared" ca="1" si="89"/>
        <v>835484.21687966748</v>
      </c>
      <c r="CJ68" s="139">
        <f t="shared" ca="1" si="90"/>
        <v>0</v>
      </c>
      <c r="CK68" s="139">
        <f t="shared" ca="1" si="91"/>
        <v>0</v>
      </c>
      <c r="CL68" s="139">
        <f t="shared" ca="1" si="127"/>
        <v>0</v>
      </c>
      <c r="CM68" s="139">
        <f t="shared" ca="1" si="92"/>
        <v>0</v>
      </c>
      <c r="CN68" s="139">
        <f t="shared" ca="1" si="93"/>
        <v>0</v>
      </c>
      <c r="CO68" s="516"/>
      <c r="CP68" s="139">
        <f t="shared" ca="1" si="128"/>
        <v>1273161.612822721</v>
      </c>
      <c r="CQ68" s="139">
        <f t="shared" ca="1" si="94"/>
        <v>0</v>
      </c>
      <c r="CR68" s="139" cm="1">
        <f t="array" ref="CR68">IF($D69=0,0,CP68*(c_rate.Hurdle3.MO))</f>
        <v>0</v>
      </c>
      <c r="CS68" s="139">
        <f t="shared" ca="1" si="95"/>
        <v>0</v>
      </c>
      <c r="CT68" s="139">
        <f t="shared" ca="1" si="129"/>
        <v>0</v>
      </c>
      <c r="CU68" s="139">
        <f t="shared" ca="1" si="96"/>
        <v>1273161.612822721</v>
      </c>
      <c r="CV68" s="139">
        <f t="shared" ca="1" si="97"/>
        <v>0</v>
      </c>
      <c r="CW68" s="139">
        <f t="shared" ca="1" si="130"/>
        <v>0</v>
      </c>
      <c r="CX68" s="139">
        <f t="shared" ca="1" si="131"/>
        <v>0</v>
      </c>
      <c r="CY68" s="139">
        <f t="shared" ca="1" si="132"/>
        <v>0</v>
      </c>
      <c r="CZ68" s="139">
        <f t="shared" ca="1" si="133"/>
        <v>0</v>
      </c>
      <c r="DA68" s="516"/>
      <c r="DB68" s="139">
        <f t="shared" ca="1" si="98"/>
        <v>0</v>
      </c>
      <c r="DC68" s="139">
        <f t="shared" ca="1" si="99"/>
        <v>0</v>
      </c>
      <c r="DD68" s="518"/>
      <c r="DE68" s="139">
        <f t="shared" ca="1" si="134"/>
        <v>0</v>
      </c>
      <c r="DF68" s="139">
        <f t="shared" ca="1" si="135"/>
        <v>0</v>
      </c>
      <c r="DG68" s="139">
        <f t="shared" ca="1" si="100"/>
        <v>0</v>
      </c>
      <c r="DH68" s="457"/>
      <c r="DI68" s="139">
        <f ca="1"/>
        <v>0</v>
      </c>
      <c r="DJ68" s="139">
        <f ca="1"/>
        <v>0</v>
      </c>
      <c r="DK68" s="139">
        <f ca="1"/>
        <v>0</v>
      </c>
      <c r="DL68" s="139">
        <f t="shared" ca="1" si="101"/>
        <v>0</v>
      </c>
      <c r="DM68" s="139">
        <f t="shared" ca="1" si="102"/>
        <v>0</v>
      </c>
      <c r="DN68" s="139">
        <f t="shared" ca="1" si="103"/>
        <v>0</v>
      </c>
      <c r="DO68" s="139">
        <f t="shared" ca="1" si="104"/>
        <v>0</v>
      </c>
      <c r="DP68" s="139">
        <f t="shared" ca="1" si="105"/>
        <v>0</v>
      </c>
      <c r="DQ68" s="139">
        <f t="shared" ca="1" si="106"/>
        <v>0</v>
      </c>
      <c r="DR68" s="139">
        <f ca="1"/>
        <v>0</v>
      </c>
      <c r="DS68" s="139">
        <f ca="1"/>
        <v>0</v>
      </c>
      <c r="DT68" s="139">
        <f t="shared" ca="1" si="107"/>
        <v>0</v>
      </c>
      <c r="DU68" s="139">
        <f t="shared" ca="1" si="108"/>
        <v>0</v>
      </c>
      <c r="DV68" s="457"/>
      <c r="DW68" s="457"/>
      <c r="DX68" s="139">
        <f ca="1"/>
        <v>0</v>
      </c>
      <c r="DY68" s="139">
        <f t="shared" ca="1" si="136"/>
        <v>0</v>
      </c>
      <c r="DZ68" s="139">
        <f t="shared" ca="1" si="109"/>
        <v>0</v>
      </c>
      <c r="EA68" s="139">
        <f t="shared" ca="1" si="110"/>
        <v>0</v>
      </c>
      <c r="EB68" s="139">
        <f t="shared" ca="1" si="111"/>
        <v>0</v>
      </c>
      <c r="EC68" s="139">
        <f t="shared" ca="1" si="112"/>
        <v>0</v>
      </c>
      <c r="ED68" s="139">
        <f t="shared" ca="1" si="137"/>
        <v>0</v>
      </c>
    </row>
    <row r="69" spans="1:134" ht="17.25" thickTop="1" thickBot="1">
      <c r="A69" s="231">
        <f t="shared" si="72"/>
        <v>0</v>
      </c>
      <c r="B69" s="231">
        <f t="shared" ca="1" si="113"/>
        <v>0</v>
      </c>
      <c r="D69" s="188"/>
      <c r="E69" s="188"/>
      <c r="F69" s="188"/>
      <c r="G69" s="127"/>
      <c r="H69" s="126"/>
      <c r="I69" s="126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36"/>
      <c r="V69" s="142"/>
      <c r="W69" s="142"/>
      <c r="X69" s="142"/>
      <c r="Y69" s="142"/>
      <c r="Z69" s="142"/>
      <c r="AA69" s="142"/>
      <c r="AB69" s="142"/>
      <c r="AC69" s="137"/>
      <c r="AD69" s="142"/>
      <c r="AF69" s="142"/>
      <c r="AG69" s="142"/>
      <c r="AH69" s="142"/>
      <c r="AI69" s="142"/>
      <c r="AJ69" s="142"/>
      <c r="AL69" s="142">
        <f t="shared" ca="1" si="74"/>
        <v>0</v>
      </c>
      <c r="AM69" s="142">
        <f t="shared" ca="1" si="114"/>
        <v>0</v>
      </c>
      <c r="AN69" s="142">
        <f t="shared" ca="1" si="75"/>
        <v>0</v>
      </c>
      <c r="AP69" s="142">
        <f t="shared" ca="1" si="138"/>
        <v>0</v>
      </c>
      <c r="AQ69" s="142">
        <f t="shared" ca="1" si="77"/>
        <v>0</v>
      </c>
      <c r="AR69" s="142">
        <f ca="1">AT68*(Project!$P$13/12)</f>
        <v>0</v>
      </c>
      <c r="AS69" s="142">
        <f t="shared" si="78"/>
        <v>0</v>
      </c>
      <c r="AT69" s="142">
        <f t="shared" ca="1" si="139"/>
        <v>0</v>
      </c>
      <c r="AV69" s="142"/>
      <c r="AW69" s="142"/>
      <c r="AX69" s="142">
        <f ca="1"/>
        <v>0</v>
      </c>
      <c r="AY69" s="142">
        <f ca="1"/>
        <v>0</v>
      </c>
      <c r="AZ69" s="142">
        <f t="shared" ca="1" si="79"/>
        <v>0</v>
      </c>
      <c r="BI69" s="142">
        <f t="shared" si="80"/>
        <v>0</v>
      </c>
      <c r="BJ69" s="142">
        <f t="shared" ca="1" si="81"/>
        <v>0</v>
      </c>
      <c r="BK69" s="142" cm="1">
        <f t="array" ref="BK69">BI69*c_rate.Pref.MO</f>
        <v>0</v>
      </c>
      <c r="BL69" s="142">
        <f t="shared" ca="1" si="82"/>
        <v>0</v>
      </c>
      <c r="BM69" s="142">
        <f t="shared" ca="1" si="115"/>
        <v>0</v>
      </c>
      <c r="BN69" s="142">
        <f t="shared" ca="1" si="116"/>
        <v>0</v>
      </c>
      <c r="BO69" s="142">
        <f t="shared" si="117"/>
        <v>0</v>
      </c>
      <c r="BP69" s="142">
        <f t="shared" ca="1" si="118"/>
        <v>0</v>
      </c>
      <c r="BQ69" s="142">
        <f t="shared" si="83"/>
        <v>0</v>
      </c>
      <c r="BR69" s="516"/>
      <c r="BS69" s="142">
        <f t="shared" ca="1" si="119"/>
        <v>470845.72769852611</v>
      </c>
      <c r="BT69" s="142">
        <f t="shared" ca="1" si="84"/>
        <v>0</v>
      </c>
      <c r="BU69" s="142" cm="1">
        <f t="array" ref="BU69">IF(D69=0,0,BS69*(c_rate.Hurdle1.MO))</f>
        <v>0</v>
      </c>
      <c r="BV69" s="142">
        <f t="shared" ca="1" si="120"/>
        <v>0</v>
      </c>
      <c r="BW69" s="142">
        <f t="shared" ca="1" si="85"/>
        <v>0</v>
      </c>
      <c r="BX69" s="142">
        <f t="shared" ca="1" si="121"/>
        <v>470845.72769852611</v>
      </c>
      <c r="BY69" s="142">
        <f t="shared" ca="1" si="122"/>
        <v>0</v>
      </c>
      <c r="BZ69" s="142">
        <f t="shared" ca="1" si="123"/>
        <v>0</v>
      </c>
      <c r="CA69" s="142">
        <f t="shared" ca="1" si="86"/>
        <v>0</v>
      </c>
      <c r="CB69" s="142">
        <f t="shared" ca="1" si="124"/>
        <v>0</v>
      </c>
      <c r="CC69" s="516"/>
      <c r="CD69" s="142">
        <f t="shared" ca="1" si="125"/>
        <v>835484.21687966748</v>
      </c>
      <c r="CE69" s="142">
        <f t="shared" ca="1" si="87"/>
        <v>0</v>
      </c>
      <c r="CF69" s="142" cm="1">
        <f t="array" ref="CF69">IF($D70=0,0,CD69*(c_rate.Hurdle2.MO))</f>
        <v>0</v>
      </c>
      <c r="CG69" s="142">
        <f t="shared" ca="1" si="88"/>
        <v>0</v>
      </c>
      <c r="CH69" s="142">
        <f t="shared" ca="1" si="126"/>
        <v>0</v>
      </c>
      <c r="CI69" s="142">
        <f t="shared" ca="1" si="89"/>
        <v>835484.21687966748</v>
      </c>
      <c r="CJ69" s="142">
        <f t="shared" ca="1" si="90"/>
        <v>0</v>
      </c>
      <c r="CK69" s="142">
        <f t="shared" ca="1" si="91"/>
        <v>0</v>
      </c>
      <c r="CL69" s="142">
        <f t="shared" ca="1" si="127"/>
        <v>0</v>
      </c>
      <c r="CM69" s="142">
        <f t="shared" ca="1" si="92"/>
        <v>0</v>
      </c>
      <c r="CN69" s="142">
        <f t="shared" ca="1" si="93"/>
        <v>0</v>
      </c>
      <c r="CO69" s="516"/>
      <c r="CP69" s="142">
        <f t="shared" ca="1" si="128"/>
        <v>1273161.612822721</v>
      </c>
      <c r="CQ69" s="142">
        <f t="shared" ca="1" si="94"/>
        <v>0</v>
      </c>
      <c r="CR69" s="142" cm="1">
        <f t="array" ref="CR69">IF($D70=0,0,CP69*(c_rate.Hurdle3.MO))</f>
        <v>0</v>
      </c>
      <c r="CS69" s="142">
        <f t="shared" ca="1" si="95"/>
        <v>0</v>
      </c>
      <c r="CT69" s="142">
        <f t="shared" ca="1" si="129"/>
        <v>0</v>
      </c>
      <c r="CU69" s="142">
        <f t="shared" ca="1" si="96"/>
        <v>1273161.612822721</v>
      </c>
      <c r="CV69" s="142">
        <f t="shared" ca="1" si="97"/>
        <v>0</v>
      </c>
      <c r="CW69" s="142">
        <f t="shared" ca="1" si="130"/>
        <v>0</v>
      </c>
      <c r="CX69" s="142">
        <f t="shared" ca="1" si="131"/>
        <v>0</v>
      </c>
      <c r="CY69" s="142">
        <f t="shared" ca="1" si="132"/>
        <v>0</v>
      </c>
      <c r="CZ69" s="142">
        <f t="shared" ca="1" si="133"/>
        <v>0</v>
      </c>
      <c r="DA69" s="516"/>
      <c r="DB69" s="142">
        <f t="shared" ca="1" si="98"/>
        <v>0</v>
      </c>
      <c r="DC69" s="142">
        <f t="shared" ca="1" si="99"/>
        <v>0</v>
      </c>
      <c r="DD69" s="518"/>
      <c r="DE69" s="142">
        <f t="shared" ca="1" si="134"/>
        <v>0</v>
      </c>
      <c r="DF69" s="142">
        <f t="shared" ca="1" si="135"/>
        <v>0</v>
      </c>
      <c r="DG69" s="142">
        <f t="shared" ca="1" si="100"/>
        <v>0</v>
      </c>
      <c r="DH69" s="457"/>
      <c r="DI69" s="142">
        <f ca="1"/>
        <v>0</v>
      </c>
      <c r="DJ69" s="142">
        <f ca="1"/>
        <v>0</v>
      </c>
      <c r="DK69" s="142">
        <f ca="1"/>
        <v>0</v>
      </c>
      <c r="DL69" s="142">
        <f t="shared" ca="1" si="101"/>
        <v>0</v>
      </c>
      <c r="DM69" s="142">
        <f t="shared" ca="1" si="102"/>
        <v>0</v>
      </c>
      <c r="DN69" s="142">
        <f t="shared" ca="1" si="103"/>
        <v>0</v>
      </c>
      <c r="DO69" s="142">
        <f t="shared" ca="1" si="104"/>
        <v>0</v>
      </c>
      <c r="DP69" s="142">
        <f t="shared" ca="1" si="105"/>
        <v>0</v>
      </c>
      <c r="DQ69" s="142">
        <f t="shared" ca="1" si="106"/>
        <v>0</v>
      </c>
      <c r="DR69" s="142">
        <f ca="1"/>
        <v>0</v>
      </c>
      <c r="DS69" s="142">
        <f ca="1"/>
        <v>0</v>
      </c>
      <c r="DT69" s="142">
        <f t="shared" ca="1" si="107"/>
        <v>0</v>
      </c>
      <c r="DU69" s="142">
        <f t="shared" ca="1" si="108"/>
        <v>0</v>
      </c>
      <c r="DV69" s="457"/>
      <c r="DW69" s="457"/>
      <c r="DX69" s="142">
        <f ca="1"/>
        <v>0</v>
      </c>
      <c r="DY69" s="142">
        <f t="shared" ca="1" si="136"/>
        <v>0</v>
      </c>
      <c r="DZ69" s="142">
        <f t="shared" ca="1" si="109"/>
        <v>0</v>
      </c>
      <c r="EA69" s="142">
        <f t="shared" ca="1" si="110"/>
        <v>0</v>
      </c>
      <c r="EB69" s="142">
        <f t="shared" ca="1" si="111"/>
        <v>0</v>
      </c>
      <c r="EC69" s="142">
        <f t="shared" ca="1" si="112"/>
        <v>0</v>
      </c>
      <c r="ED69" s="142">
        <f t="shared" ca="1" si="137"/>
        <v>0</v>
      </c>
    </row>
    <row r="70" spans="1:134" ht="17.25" thickTop="1" thickBot="1">
      <c r="A70" s="225"/>
      <c r="B70" s="225"/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138"/>
      <c r="AC70" s="138"/>
      <c r="AD70" s="138"/>
      <c r="AE70" s="138"/>
      <c r="AF70" s="138"/>
      <c r="AG70" s="138"/>
      <c r="AH70" s="138"/>
      <c r="AI70" s="138"/>
      <c r="AJ70" s="138"/>
      <c r="AK70" s="138"/>
      <c r="AL70" s="138"/>
      <c r="AM70" s="138"/>
      <c r="AN70" s="138"/>
      <c r="AO70" s="138"/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I70" s="138">
        <f t="shared" si="80"/>
        <v>0</v>
      </c>
      <c r="BJ70" s="138">
        <f t="shared" si="81"/>
        <v>0</v>
      </c>
      <c r="BK70" s="138" cm="1">
        <f t="array" ref="BK70">BI70*c_rate.Pref.MO</f>
        <v>0</v>
      </c>
      <c r="BL70" s="138">
        <f t="shared" si="82"/>
        <v>0</v>
      </c>
      <c r="BM70" s="138">
        <f t="shared" si="115"/>
        <v>0</v>
      </c>
      <c r="BN70" s="138">
        <f t="shared" si="116"/>
        <v>0</v>
      </c>
      <c r="BO70" s="138">
        <f t="shared" si="117"/>
        <v>0</v>
      </c>
      <c r="BP70" s="138">
        <f t="shared" si="118"/>
        <v>0</v>
      </c>
      <c r="BQ70" s="138">
        <f t="shared" si="83"/>
        <v>0</v>
      </c>
      <c r="BR70" s="516"/>
      <c r="BS70" s="138">
        <f t="shared" ca="1" si="119"/>
        <v>470845.72769852611</v>
      </c>
      <c r="BT70" s="138">
        <f t="shared" si="84"/>
        <v>0</v>
      </c>
      <c r="BU70" s="138" cm="1">
        <f t="array" ref="BU70">IF(D70=0,0,BS70*(c_rate.Hurdle1.MO))</f>
        <v>0</v>
      </c>
      <c r="BV70" s="138">
        <f t="shared" si="120"/>
        <v>0</v>
      </c>
      <c r="BW70" s="138">
        <f t="shared" ca="1" si="85"/>
        <v>0</v>
      </c>
      <c r="BX70" s="138">
        <f t="shared" ca="1" si="121"/>
        <v>470845.72769852611</v>
      </c>
      <c r="BY70" s="138">
        <f t="shared" ca="1" si="122"/>
        <v>0</v>
      </c>
      <c r="BZ70" s="138">
        <f t="shared" ca="1" si="123"/>
        <v>0</v>
      </c>
      <c r="CA70" s="138">
        <f t="shared" ca="1" si="86"/>
        <v>0</v>
      </c>
      <c r="CB70" s="524">
        <f t="shared" ca="1" si="124"/>
        <v>0</v>
      </c>
      <c r="CC70" s="516"/>
      <c r="CD70" s="138">
        <f t="shared" ca="1" si="125"/>
        <v>835484.21687966748</v>
      </c>
      <c r="CE70" s="138">
        <f t="shared" si="87"/>
        <v>0</v>
      </c>
      <c r="CF70" s="138" cm="1">
        <f t="array" ref="CF70">IF($D71=0,0,CD70*(c_rate.Hurdle2.MO))</f>
        <v>0</v>
      </c>
      <c r="CG70" s="138">
        <f t="shared" ca="1" si="88"/>
        <v>0</v>
      </c>
      <c r="CH70" s="138">
        <f t="shared" ca="1" si="126"/>
        <v>0</v>
      </c>
      <c r="CI70" s="138">
        <f t="shared" ca="1" si="89"/>
        <v>835484.21687966748</v>
      </c>
      <c r="CJ70" s="138">
        <f t="shared" ca="1" si="90"/>
        <v>0</v>
      </c>
      <c r="CK70" s="138">
        <f t="shared" ca="1" si="91"/>
        <v>0</v>
      </c>
      <c r="CL70" s="138">
        <f t="shared" ca="1" si="127"/>
        <v>0</v>
      </c>
      <c r="CM70" s="138">
        <f t="shared" ca="1" si="92"/>
        <v>0</v>
      </c>
      <c r="CN70" s="138">
        <f t="shared" ca="1" si="93"/>
        <v>0</v>
      </c>
      <c r="CO70" s="516"/>
      <c r="CP70" s="138">
        <f t="shared" ca="1" si="128"/>
        <v>1273161.612822721</v>
      </c>
      <c r="CQ70" s="138">
        <f t="shared" si="94"/>
        <v>0</v>
      </c>
      <c r="CR70" s="138" cm="1">
        <f t="array" ref="CR70">IF($D71=0,0,CP70*(c_rate.Hurdle3.MO))</f>
        <v>0</v>
      </c>
      <c r="CS70" s="138">
        <f t="shared" ca="1" si="95"/>
        <v>0</v>
      </c>
      <c r="CT70" s="138">
        <f t="shared" ca="1" si="129"/>
        <v>0</v>
      </c>
      <c r="CU70" s="138">
        <f t="shared" ca="1" si="96"/>
        <v>1273161.612822721</v>
      </c>
      <c r="CV70" s="138">
        <f t="shared" ca="1" si="97"/>
        <v>0</v>
      </c>
      <c r="CW70" s="138">
        <f t="shared" ca="1" si="130"/>
        <v>0</v>
      </c>
      <c r="CX70" s="138">
        <f t="shared" ca="1" si="131"/>
        <v>0</v>
      </c>
      <c r="CY70" s="138">
        <f t="shared" ca="1" si="132"/>
        <v>0</v>
      </c>
      <c r="CZ70" s="138">
        <f t="shared" ca="1" si="133"/>
        <v>0</v>
      </c>
      <c r="DA70" s="516"/>
      <c r="DB70" s="138">
        <f t="shared" ca="1" si="98"/>
        <v>0</v>
      </c>
      <c r="DC70" s="138">
        <f t="shared" ca="1" si="99"/>
        <v>0</v>
      </c>
      <c r="DD70" s="518"/>
      <c r="DE70" s="138">
        <f t="shared" ca="1" si="134"/>
        <v>0</v>
      </c>
      <c r="DF70" s="138">
        <f t="shared" ca="1" si="135"/>
        <v>0</v>
      </c>
      <c r="DG70" s="138">
        <f t="shared" ca="1" si="100"/>
        <v>0</v>
      </c>
      <c r="DH70" s="457"/>
      <c r="DI70" s="138">
        <f ca="1"/>
        <v>0</v>
      </c>
      <c r="DJ70" s="138">
        <f ca="1"/>
        <v>0</v>
      </c>
      <c r="DK70" s="138">
        <f ca="1"/>
        <v>0</v>
      </c>
      <c r="DL70" s="138">
        <f t="shared" ca="1" si="101"/>
        <v>0</v>
      </c>
      <c r="DM70" s="138">
        <f t="shared" ca="1" si="102"/>
        <v>0</v>
      </c>
      <c r="DN70" s="138">
        <f t="shared" ca="1" si="103"/>
        <v>0</v>
      </c>
      <c r="DO70" s="138">
        <f t="shared" ca="1" si="104"/>
        <v>0</v>
      </c>
      <c r="DP70" s="138">
        <f t="shared" ca="1" si="105"/>
        <v>0</v>
      </c>
      <c r="DQ70" s="138">
        <f t="shared" ca="1" si="106"/>
        <v>0</v>
      </c>
      <c r="DR70" s="138">
        <f ca="1"/>
        <v>0</v>
      </c>
      <c r="DS70" s="138">
        <f ca="1"/>
        <v>0</v>
      </c>
      <c r="DT70" s="138">
        <f t="shared" ca="1" si="107"/>
        <v>0</v>
      </c>
      <c r="DU70" s="138">
        <f t="shared" ca="1" si="108"/>
        <v>0</v>
      </c>
      <c r="DV70" s="457"/>
      <c r="DW70" s="457"/>
      <c r="DX70" s="138">
        <f ca="1"/>
        <v>0</v>
      </c>
      <c r="DY70" s="138">
        <f t="shared" ca="1" si="136"/>
        <v>0</v>
      </c>
      <c r="DZ70" s="138">
        <f t="shared" ca="1" si="109"/>
        <v>0</v>
      </c>
      <c r="EA70" s="138">
        <f t="shared" ca="1" si="110"/>
        <v>0</v>
      </c>
      <c r="EB70" s="138">
        <f t="shared" ca="1" si="111"/>
        <v>0</v>
      </c>
      <c r="EC70" s="138">
        <f t="shared" ca="1" si="112"/>
        <v>0</v>
      </c>
      <c r="ED70" s="138">
        <f t="shared" ca="1" si="137"/>
        <v>0</v>
      </c>
    </row>
    <row r="71" spans="1:134" ht="17.25" thickTop="1" thickBot="1">
      <c r="A71" s="232">
        <f>AVERAGEIF($A$9:$A$69,"&gt;0")</f>
        <v>3535980.0000000005</v>
      </c>
      <c r="B71" s="232">
        <f ca="1">AVERAGEIF($B$9:$B$69,"&gt;0")</f>
        <v>1861300.2140852239</v>
      </c>
      <c r="C71" s="139"/>
      <c r="D71" s="139"/>
      <c r="E71" s="139"/>
      <c r="F71" s="139"/>
      <c r="G71" s="139"/>
      <c r="H71" s="139"/>
      <c r="I71" s="139"/>
      <c r="J71" s="139"/>
      <c r="K71" s="139"/>
      <c r="L71" s="139"/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39"/>
      <c r="AA71" s="139"/>
      <c r="AB71" s="139"/>
      <c r="AC71" s="139"/>
      <c r="AD71" s="139"/>
      <c r="AE71" s="139"/>
      <c r="AF71" s="139"/>
      <c r="AG71" s="139"/>
      <c r="AH71" s="139"/>
      <c r="AI71" s="139"/>
      <c r="AJ71" s="139"/>
      <c r="AK71" s="139"/>
      <c r="AL71" s="139"/>
      <c r="AM71" s="139"/>
      <c r="AN71" s="139"/>
      <c r="AO71" s="139"/>
      <c r="AP71" s="139"/>
      <c r="AQ71" s="139"/>
      <c r="AR71" s="139"/>
      <c r="AS71" s="139"/>
      <c r="AT71" s="139"/>
      <c r="AU71" s="139"/>
      <c r="AV71" s="139"/>
      <c r="AW71" s="139"/>
      <c r="AX71" s="139"/>
      <c r="AY71" s="139"/>
      <c r="AZ71" s="139"/>
      <c r="BI71" s="139">
        <f t="shared" si="80"/>
        <v>0</v>
      </c>
      <c r="BJ71" s="139">
        <f t="shared" si="81"/>
        <v>0</v>
      </c>
      <c r="BK71" s="139" cm="1">
        <f t="array" ref="BK71">BI71*c_rate.Pref.MO</f>
        <v>0</v>
      </c>
      <c r="BL71" s="139">
        <f t="shared" si="82"/>
        <v>0</v>
      </c>
      <c r="BM71" s="139">
        <f t="shared" si="115"/>
        <v>0</v>
      </c>
      <c r="BN71" s="139">
        <f t="shared" si="116"/>
        <v>0</v>
      </c>
      <c r="BO71" s="139">
        <f t="shared" si="117"/>
        <v>0</v>
      </c>
      <c r="BP71" s="139">
        <f t="shared" si="118"/>
        <v>0</v>
      </c>
      <c r="BQ71" s="139">
        <f t="shared" si="83"/>
        <v>0</v>
      </c>
      <c r="BR71" s="516"/>
      <c r="BS71" s="139">
        <f t="shared" ca="1" si="119"/>
        <v>470845.72769852611</v>
      </c>
      <c r="BT71" s="139">
        <f t="shared" si="84"/>
        <v>0</v>
      </c>
      <c r="BU71" s="139" cm="1">
        <f t="array" ref="BU71">IF(D71=0,0,BS71*(c_rate.Hurdle1.MO))</f>
        <v>0</v>
      </c>
      <c r="BV71" s="139">
        <f t="shared" si="120"/>
        <v>0</v>
      </c>
      <c r="BW71" s="139">
        <f t="shared" ca="1" si="85"/>
        <v>0</v>
      </c>
      <c r="BX71" s="139">
        <f t="shared" ca="1" si="121"/>
        <v>470845.72769852611</v>
      </c>
      <c r="BY71" s="139">
        <f t="shared" ca="1" si="122"/>
        <v>0</v>
      </c>
      <c r="BZ71" s="139">
        <f t="shared" ca="1" si="123"/>
        <v>0</v>
      </c>
      <c r="CA71" s="139">
        <f t="shared" ca="1" si="86"/>
        <v>0</v>
      </c>
      <c r="CB71" s="524">
        <f t="shared" ca="1" si="124"/>
        <v>0</v>
      </c>
      <c r="CC71" s="516"/>
      <c r="CD71" s="139">
        <f t="shared" ca="1" si="125"/>
        <v>835484.21687966748</v>
      </c>
      <c r="CE71" s="139">
        <f t="shared" si="87"/>
        <v>0</v>
      </c>
      <c r="CF71" s="139" cm="1">
        <f t="array" ref="CF71">IF($D72=0,0,CD71*(c_rate.Hurdle2.MO))</f>
        <v>0</v>
      </c>
      <c r="CG71" s="139">
        <f t="shared" ca="1" si="88"/>
        <v>0</v>
      </c>
      <c r="CH71" s="139">
        <f t="shared" ca="1" si="126"/>
        <v>0</v>
      </c>
      <c r="CI71" s="139">
        <f t="shared" ca="1" si="89"/>
        <v>835484.21687966748</v>
      </c>
      <c r="CJ71" s="139">
        <f t="shared" ca="1" si="90"/>
        <v>0</v>
      </c>
      <c r="CK71" s="139">
        <f t="shared" ca="1" si="91"/>
        <v>0</v>
      </c>
      <c r="CL71" s="139">
        <f t="shared" ca="1" si="127"/>
        <v>0</v>
      </c>
      <c r="CM71" s="139">
        <f t="shared" ca="1" si="92"/>
        <v>0</v>
      </c>
      <c r="CN71" s="139">
        <f t="shared" ca="1" si="93"/>
        <v>0</v>
      </c>
      <c r="CO71" s="516"/>
      <c r="CP71" s="139">
        <f t="shared" ca="1" si="128"/>
        <v>1273161.612822721</v>
      </c>
      <c r="CQ71" s="139">
        <f t="shared" si="94"/>
        <v>0</v>
      </c>
      <c r="CR71" s="139" cm="1">
        <f t="array" ref="CR71">IF($D72=0,0,CP71*(c_rate.Hurdle3.MO))</f>
        <v>0</v>
      </c>
      <c r="CS71" s="139">
        <f t="shared" ca="1" si="95"/>
        <v>0</v>
      </c>
      <c r="CT71" s="139">
        <f t="shared" ca="1" si="129"/>
        <v>0</v>
      </c>
      <c r="CU71" s="139">
        <f t="shared" ca="1" si="96"/>
        <v>1273161.612822721</v>
      </c>
      <c r="CV71" s="139">
        <f t="shared" ca="1" si="97"/>
        <v>0</v>
      </c>
      <c r="CW71" s="139">
        <f t="shared" ca="1" si="130"/>
        <v>0</v>
      </c>
      <c r="CX71" s="139">
        <f t="shared" ca="1" si="131"/>
        <v>0</v>
      </c>
      <c r="CY71" s="139">
        <f t="shared" ca="1" si="132"/>
        <v>0</v>
      </c>
      <c r="CZ71" s="139">
        <f t="shared" ca="1" si="133"/>
        <v>0</v>
      </c>
      <c r="DA71" s="516"/>
      <c r="DB71" s="139">
        <f t="shared" ca="1" si="98"/>
        <v>0</v>
      </c>
      <c r="DC71" s="139">
        <f t="shared" ca="1" si="99"/>
        <v>0</v>
      </c>
      <c r="DD71" s="518"/>
      <c r="DE71" s="139">
        <f t="shared" ca="1" si="134"/>
        <v>0</v>
      </c>
      <c r="DF71" s="139">
        <f t="shared" ca="1" si="135"/>
        <v>0</v>
      </c>
      <c r="DG71" s="139">
        <f t="shared" ca="1" si="100"/>
        <v>0</v>
      </c>
      <c r="DH71" s="457"/>
      <c r="DI71" s="139">
        <f ca="1"/>
        <v>0</v>
      </c>
      <c r="DJ71" s="139">
        <f ca="1"/>
        <v>0</v>
      </c>
      <c r="DK71" s="139">
        <f ca="1"/>
        <v>0</v>
      </c>
      <c r="DL71" s="139">
        <f t="shared" ca="1" si="101"/>
        <v>0</v>
      </c>
      <c r="DM71" s="139">
        <f t="shared" ca="1" si="102"/>
        <v>0</v>
      </c>
      <c r="DN71" s="139">
        <f t="shared" ca="1" si="103"/>
        <v>0</v>
      </c>
      <c r="DO71" s="139">
        <f t="shared" ca="1" si="104"/>
        <v>0</v>
      </c>
      <c r="DP71" s="139">
        <f t="shared" ca="1" si="105"/>
        <v>0</v>
      </c>
      <c r="DQ71" s="139">
        <f t="shared" ca="1" si="106"/>
        <v>0</v>
      </c>
      <c r="DR71" s="139">
        <f ca="1"/>
        <v>0</v>
      </c>
      <c r="DS71" s="139">
        <f ca="1"/>
        <v>0</v>
      </c>
      <c r="DT71" s="139">
        <f t="shared" ca="1" si="107"/>
        <v>0</v>
      </c>
      <c r="DU71" s="139">
        <f t="shared" ca="1" si="108"/>
        <v>0</v>
      </c>
      <c r="DV71" s="457"/>
      <c r="DW71" s="457"/>
      <c r="DX71" s="139">
        <f ca="1"/>
        <v>0</v>
      </c>
      <c r="DY71" s="139">
        <f t="shared" ca="1" si="136"/>
        <v>0</v>
      </c>
      <c r="DZ71" s="139">
        <f t="shared" ca="1" si="109"/>
        <v>0</v>
      </c>
      <c r="EA71" s="139">
        <f t="shared" ca="1" si="110"/>
        <v>0</v>
      </c>
      <c r="EB71" s="139">
        <f t="shared" ca="1" si="111"/>
        <v>0</v>
      </c>
      <c r="EC71" s="139">
        <f t="shared" ca="1" si="112"/>
        <v>0</v>
      </c>
      <c r="ED71" s="139">
        <f t="shared" ca="1" si="137"/>
        <v>0</v>
      </c>
    </row>
    <row r="72" spans="1:134" ht="17.25" thickTop="1" thickBot="1">
      <c r="A72" s="3"/>
      <c r="B72" s="3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I72" s="140">
        <f t="shared" si="80"/>
        <v>0</v>
      </c>
      <c r="BJ72" s="140">
        <f t="shared" si="81"/>
        <v>0</v>
      </c>
      <c r="BK72" s="140" cm="1">
        <f t="array" ref="BK72">BI72*c_rate.Pref.MO</f>
        <v>0</v>
      </c>
      <c r="BL72" s="140">
        <f t="shared" si="82"/>
        <v>0</v>
      </c>
      <c r="BM72" s="140">
        <f t="shared" si="115"/>
        <v>0</v>
      </c>
      <c r="BN72" s="140">
        <f t="shared" si="116"/>
        <v>0</v>
      </c>
      <c r="BO72" s="140">
        <f t="shared" si="117"/>
        <v>0</v>
      </c>
      <c r="BP72" s="140">
        <f t="shared" si="118"/>
        <v>0</v>
      </c>
      <c r="BQ72" s="140">
        <f t="shared" si="83"/>
        <v>0</v>
      </c>
      <c r="BR72" s="516"/>
      <c r="BS72" s="140">
        <f t="shared" ca="1" si="119"/>
        <v>470845.72769852611</v>
      </c>
      <c r="BT72" s="140">
        <f t="shared" si="84"/>
        <v>0</v>
      </c>
      <c r="BU72" s="140" cm="1">
        <f t="array" ref="BU72">IF(D72=0,0,BS72*(c_rate.Hurdle1.MO))</f>
        <v>0</v>
      </c>
      <c r="BV72" s="140">
        <f t="shared" si="120"/>
        <v>0</v>
      </c>
      <c r="BW72" s="140">
        <f t="shared" ca="1" si="85"/>
        <v>0</v>
      </c>
      <c r="BX72" s="140">
        <f t="shared" ca="1" si="121"/>
        <v>470845.72769852611</v>
      </c>
      <c r="BY72" s="140">
        <f t="shared" ca="1" si="122"/>
        <v>0</v>
      </c>
      <c r="BZ72" s="140">
        <f t="shared" ca="1" si="123"/>
        <v>0</v>
      </c>
      <c r="CA72" s="140">
        <f t="shared" ca="1" si="86"/>
        <v>0</v>
      </c>
      <c r="CB72" s="524">
        <f t="shared" ca="1" si="124"/>
        <v>0</v>
      </c>
      <c r="CC72" s="516"/>
      <c r="CD72" s="140">
        <f t="shared" ca="1" si="125"/>
        <v>835484.21687966748</v>
      </c>
      <c r="CE72" s="140">
        <f t="shared" si="87"/>
        <v>0</v>
      </c>
      <c r="CF72" s="140" cm="1">
        <f t="array" ref="CF72">IF($D73=0,0,CD72*(c_rate.Hurdle2.MO))</f>
        <v>0</v>
      </c>
      <c r="CG72" s="140">
        <f t="shared" ca="1" si="88"/>
        <v>0</v>
      </c>
      <c r="CH72" s="140">
        <f t="shared" ca="1" si="126"/>
        <v>0</v>
      </c>
      <c r="CI72" s="140">
        <f t="shared" ca="1" si="89"/>
        <v>835484.21687966748</v>
      </c>
      <c r="CJ72" s="140">
        <f t="shared" ca="1" si="90"/>
        <v>0</v>
      </c>
      <c r="CK72" s="140">
        <f t="shared" ca="1" si="91"/>
        <v>0</v>
      </c>
      <c r="CL72" s="140">
        <f t="shared" ca="1" si="127"/>
        <v>0</v>
      </c>
      <c r="CM72" s="140">
        <f t="shared" ca="1" si="92"/>
        <v>0</v>
      </c>
      <c r="CN72" s="140">
        <f t="shared" ca="1" si="93"/>
        <v>0</v>
      </c>
      <c r="CO72" s="516"/>
      <c r="CP72" s="140">
        <f t="shared" ca="1" si="128"/>
        <v>1273161.612822721</v>
      </c>
      <c r="CQ72" s="140">
        <f t="shared" si="94"/>
        <v>0</v>
      </c>
      <c r="CR72" s="140" cm="1">
        <f t="array" ref="CR72">IF($D73=0,0,CP72*(c_rate.Hurdle3.MO))</f>
        <v>0</v>
      </c>
      <c r="CS72" s="140">
        <f t="shared" ca="1" si="95"/>
        <v>0</v>
      </c>
      <c r="CT72" s="140">
        <f t="shared" ca="1" si="129"/>
        <v>0</v>
      </c>
      <c r="CU72" s="140">
        <f t="shared" ca="1" si="96"/>
        <v>1273161.612822721</v>
      </c>
      <c r="CV72" s="140">
        <f t="shared" ca="1" si="97"/>
        <v>0</v>
      </c>
      <c r="CW72" s="140">
        <f t="shared" ca="1" si="130"/>
        <v>0</v>
      </c>
      <c r="CX72" s="140">
        <f t="shared" ca="1" si="131"/>
        <v>0</v>
      </c>
      <c r="CY72" s="140">
        <f t="shared" ca="1" si="132"/>
        <v>0</v>
      </c>
      <c r="CZ72" s="140">
        <f t="shared" ca="1" si="133"/>
        <v>0</v>
      </c>
      <c r="DA72" s="516"/>
      <c r="DB72" s="140">
        <f t="shared" ca="1" si="98"/>
        <v>0</v>
      </c>
      <c r="DC72" s="140">
        <f t="shared" ca="1" si="99"/>
        <v>0</v>
      </c>
      <c r="DD72" s="518"/>
      <c r="DE72" s="140">
        <f t="shared" ca="1" si="134"/>
        <v>0</v>
      </c>
      <c r="DF72" s="140">
        <f t="shared" ca="1" si="135"/>
        <v>0</v>
      </c>
      <c r="DG72" s="140">
        <f t="shared" ca="1" si="100"/>
        <v>0</v>
      </c>
      <c r="DH72" s="457"/>
      <c r="DI72" s="140">
        <f ca="1"/>
        <v>0</v>
      </c>
      <c r="DJ72" s="140">
        <f ca="1"/>
        <v>0</v>
      </c>
      <c r="DK72" s="140">
        <f ca="1"/>
        <v>0</v>
      </c>
      <c r="DL72" s="140">
        <f t="shared" ca="1" si="101"/>
        <v>0</v>
      </c>
      <c r="DM72" s="140">
        <f t="shared" ca="1" si="102"/>
        <v>0</v>
      </c>
      <c r="DN72" s="140">
        <f t="shared" ca="1" si="103"/>
        <v>0</v>
      </c>
      <c r="DO72" s="140">
        <f t="shared" ca="1" si="104"/>
        <v>0</v>
      </c>
      <c r="DP72" s="140">
        <f t="shared" ca="1" si="105"/>
        <v>0</v>
      </c>
      <c r="DQ72" s="140">
        <f t="shared" ca="1" si="106"/>
        <v>0</v>
      </c>
      <c r="DR72" s="140">
        <f ca="1"/>
        <v>0</v>
      </c>
      <c r="DS72" s="140">
        <f ca="1"/>
        <v>0</v>
      </c>
      <c r="DT72" s="140">
        <f t="shared" ca="1" si="107"/>
        <v>0</v>
      </c>
      <c r="DU72" s="140">
        <f t="shared" ca="1" si="108"/>
        <v>0</v>
      </c>
      <c r="DV72" s="457"/>
      <c r="DW72" s="457"/>
      <c r="DX72" s="140">
        <f ca="1"/>
        <v>0</v>
      </c>
      <c r="DY72" s="140">
        <f t="shared" ca="1" si="136"/>
        <v>0</v>
      </c>
      <c r="DZ72" s="140">
        <f t="shared" ca="1" si="109"/>
        <v>0</v>
      </c>
      <c r="EA72" s="140">
        <f t="shared" ca="1" si="110"/>
        <v>0</v>
      </c>
      <c r="EB72" s="140">
        <f t="shared" ca="1" si="111"/>
        <v>0</v>
      </c>
      <c r="EC72" s="140">
        <f t="shared" ca="1" si="112"/>
        <v>0</v>
      </c>
      <c r="ED72" s="140">
        <f t="shared" ca="1" si="137"/>
        <v>0</v>
      </c>
    </row>
    <row r="73" spans="1:134" ht="17.25" thickTop="1" thickBot="1">
      <c r="A73" s="3"/>
      <c r="B73" s="3"/>
      <c r="C73" s="141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215"/>
      <c r="BI73" s="141">
        <f t="shared" ref="BI73:BI81" si="140">IF(D73=0,0,BM72)</f>
        <v>0</v>
      </c>
      <c r="BJ73" s="141">
        <f t="shared" ref="BJ73:BJ81" si="141">IF($AZ73=0,0,-MIN(0,AZ73*c_EquityShare.LP))</f>
        <v>0</v>
      </c>
      <c r="BK73" s="141" cm="1">
        <f t="array" ref="BK73">BI73*c_rate.Pref.MO</f>
        <v>0</v>
      </c>
      <c r="BL73" s="141">
        <f t="shared" ref="BL73:BL81" si="142">IF($AZ73=0,0,MAX(MIN($AZ73*$BI$7,BI73+BK73-BJ73),0))</f>
        <v>0</v>
      </c>
      <c r="BM73" s="141">
        <f t="shared" si="115"/>
        <v>0</v>
      </c>
      <c r="BN73" s="141">
        <f t="shared" si="116"/>
        <v>0</v>
      </c>
      <c r="BO73" s="141">
        <f t="shared" si="117"/>
        <v>0</v>
      </c>
      <c r="BP73" s="141">
        <f t="shared" si="118"/>
        <v>0</v>
      </c>
      <c r="BQ73" s="141">
        <f t="shared" ref="BQ73:BQ81" si="143">IF(G73=0,0,MAX(AZ73-BP73,0))</f>
        <v>0</v>
      </c>
      <c r="BR73" s="516"/>
      <c r="BS73" s="141">
        <f t="shared" ca="1" si="119"/>
        <v>470845.72769852611</v>
      </c>
      <c r="BT73" s="141">
        <f t="shared" ref="BT73:BT81" si="144">IF($AZ73=0,0,-MIN(0,$AZ73*c_EquityShare.LP))</f>
        <v>0</v>
      </c>
      <c r="BU73" s="141" cm="1">
        <f t="array" ref="BU73">IF(D73=0,0,BS73*(c_rate.Hurdle1.MO))</f>
        <v>0</v>
      </c>
      <c r="BV73" s="141">
        <f t="shared" si="120"/>
        <v>0</v>
      </c>
      <c r="BW73" s="141">
        <f t="shared" ref="BW73:BW81" ca="1" si="145">MIN(BS73+BU73-BV73,BQ73*BS$7)</f>
        <v>0</v>
      </c>
      <c r="BX73" s="141">
        <f t="shared" ca="1" si="121"/>
        <v>470845.72769852611</v>
      </c>
      <c r="BY73" s="141">
        <f t="shared" ca="1" si="122"/>
        <v>0</v>
      </c>
      <c r="BZ73" s="141">
        <f t="shared" ca="1" si="123"/>
        <v>0</v>
      </c>
      <c r="CA73" s="141">
        <f t="shared" ref="CA73:CA81" ca="1" si="146">BY73+BZ73</f>
        <v>0</v>
      </c>
      <c r="CB73" s="524">
        <f t="shared" ca="1" si="124"/>
        <v>0</v>
      </c>
      <c r="CC73" s="516"/>
      <c r="CD73" s="141">
        <f t="shared" ca="1" si="125"/>
        <v>835484.21687966748</v>
      </c>
      <c r="CE73" s="141">
        <f t="shared" ref="CE73:CE81" si="147">IF($AZ73=0,0,-MIN(0,$AZ73*c_EquityShare.LP))</f>
        <v>0</v>
      </c>
      <c r="CF73" s="141" cm="1">
        <f t="array" ref="CF73">IF($D74=0,0,CD73*(c_rate.Hurdle2.MO))</f>
        <v>0</v>
      </c>
      <c r="CG73" s="141">
        <f t="shared" ref="CG73:CG81" ca="1" si="148">BV73+BW73</f>
        <v>0</v>
      </c>
      <c r="CH73" s="141">
        <f t="shared" ca="1" si="126"/>
        <v>0</v>
      </c>
      <c r="CI73" s="141">
        <f t="shared" ref="CI73:CI81" ca="1" si="149">CD73+CF73+CE73-CG73-CH73</f>
        <v>835484.21687966748</v>
      </c>
      <c r="CJ73" s="141">
        <f t="shared" ref="CJ73:CJ81" ca="1" si="150">-CE73+CG73+CH73</f>
        <v>0</v>
      </c>
      <c r="CK73" s="141">
        <f t="shared" ref="CK73:CK81" ca="1" si="151">BY73+CH73</f>
        <v>0</v>
      </c>
      <c r="CL73" s="141">
        <f t="shared" ca="1" si="127"/>
        <v>0</v>
      </c>
      <c r="CM73" s="141">
        <f t="shared" ref="CM73:CM81" ca="1" si="152">CK73+CL73</f>
        <v>0</v>
      </c>
      <c r="CN73" s="141">
        <f t="shared" ref="CN73:CN81" ca="1" si="153">IF(CM73&lt;0,0,MAX($AZ73-CM73,0))</f>
        <v>0</v>
      </c>
      <c r="CO73" s="516"/>
      <c r="CP73" s="141">
        <f t="shared" ca="1" si="128"/>
        <v>1273161.612822721</v>
      </c>
      <c r="CQ73" s="141">
        <f t="shared" ref="CQ73:CQ81" si="154">IF($AZ73=0,0,-MIN(0,$AZ73*c_EquityShare.LP))</f>
        <v>0</v>
      </c>
      <c r="CR73" s="141" cm="1">
        <f t="array" ref="CR73">IF($D74=0,0,CP73*(c_rate.Hurdle3.MO))</f>
        <v>0</v>
      </c>
      <c r="CS73" s="141">
        <f t="shared" ref="CS73:CS81" ca="1" si="155">CG73+CH73</f>
        <v>0</v>
      </c>
      <c r="CT73" s="141">
        <f t="shared" ca="1" si="129"/>
        <v>0</v>
      </c>
      <c r="CU73" s="141">
        <f t="shared" ref="CU73:CU81" ca="1" si="156">CP73+CR73+CQ73-CS73-CT73</f>
        <v>1273161.612822721</v>
      </c>
      <c r="CV73" s="141">
        <f t="shared" ref="CV73:CV81" ca="1" si="157">-CQ73+CS73+CT73</f>
        <v>0</v>
      </c>
      <c r="CW73" s="141">
        <f t="shared" ca="1" si="130"/>
        <v>0</v>
      </c>
      <c r="CX73" s="141">
        <f t="shared" ca="1" si="131"/>
        <v>0</v>
      </c>
      <c r="CY73" s="141">
        <f t="shared" ca="1" si="132"/>
        <v>0</v>
      </c>
      <c r="CZ73" s="141">
        <f t="shared" ca="1" si="133"/>
        <v>0</v>
      </c>
      <c r="DA73" s="516"/>
      <c r="DB73" s="141">
        <f t="shared" ref="DB73:DB81" ca="1" si="158">$CZ73-DC73</f>
        <v>0</v>
      </c>
      <c r="DC73" s="141">
        <f t="shared" ref="DC73:DC81" ca="1" si="159">$CZ73*$BF$19</f>
        <v>0</v>
      </c>
      <c r="DD73" s="518"/>
      <c r="DE73" s="141">
        <f t="shared" ca="1" si="134"/>
        <v>0</v>
      </c>
      <c r="DF73" s="141">
        <f t="shared" ca="1" si="135"/>
        <v>0</v>
      </c>
      <c r="DG73" s="141">
        <f t="shared" ref="DG73:DG81" ca="1" si="160">SUM(DE73:DF73)</f>
        <v>0</v>
      </c>
      <c r="DH73" s="457"/>
      <c r="DI73" s="141">
        <f ca="1"/>
        <v>0</v>
      </c>
      <c r="DJ73" s="141">
        <f ca="1"/>
        <v>0</v>
      </c>
      <c r="DK73" s="141">
        <f ca="1"/>
        <v>0</v>
      </c>
      <c r="DL73" s="141">
        <f t="shared" ref="DL73:DL81" ca="1" si="161">BY73-BN73</f>
        <v>0</v>
      </c>
      <c r="DM73" s="141">
        <f t="shared" ref="DM73:DM81" ca="1" si="162">BZ73-BO73</f>
        <v>0</v>
      </c>
      <c r="DN73" s="141">
        <f t="shared" ref="DN73:DN81" ca="1" si="163">CK73-BY73</f>
        <v>0</v>
      </c>
      <c r="DO73" s="141">
        <f t="shared" ref="DO73:DO81" ca="1" si="164">CL73-BZ73</f>
        <v>0</v>
      </c>
      <c r="DP73" s="141">
        <f t="shared" ref="DP73:DP81" ca="1" si="165">CW73-CK73</f>
        <v>0</v>
      </c>
      <c r="DQ73" s="141">
        <f t="shared" ref="DQ73:DQ81" ca="1" si="166">CX73-CL73</f>
        <v>0</v>
      </c>
      <c r="DR73" s="141">
        <f ca="1"/>
        <v>0</v>
      </c>
      <c r="DS73" s="141">
        <f ca="1"/>
        <v>0</v>
      </c>
      <c r="DT73" s="141">
        <f t="shared" ref="DT73:DT81" ca="1" si="167">DJ73+DL73+DN73+DP73+DR73</f>
        <v>0</v>
      </c>
      <c r="DU73" s="141">
        <f t="shared" ref="DU73:DU81" ca="1" si="168">DK73+DM73+DO73+DQ73+DS73</f>
        <v>0</v>
      </c>
      <c r="DV73" s="457"/>
      <c r="DW73" s="457"/>
      <c r="DX73" s="141">
        <f ca="1"/>
        <v>0</v>
      </c>
      <c r="DY73" s="141">
        <f t="shared" ca="1" si="136"/>
        <v>0</v>
      </c>
      <c r="DZ73" s="141">
        <f t="shared" ref="DZ73:DZ81" ca="1" si="169">DL73+DM73</f>
        <v>0</v>
      </c>
      <c r="EA73" s="141">
        <f t="shared" ref="EA73:EA81" ca="1" si="170">DN73+DO73</f>
        <v>0</v>
      </c>
      <c r="EB73" s="141">
        <f t="shared" ref="EB73:EB81" ca="1" si="171">DP73+DQ73</f>
        <v>0</v>
      </c>
      <c r="EC73" s="141">
        <f t="shared" ref="EC73:EC81" ca="1" si="172">DR73+DS73</f>
        <v>0</v>
      </c>
      <c r="ED73" s="141">
        <f t="shared" ca="1" si="137"/>
        <v>0</v>
      </c>
    </row>
    <row r="74" spans="1:134" ht="17.25" thickTop="1" thickBot="1">
      <c r="B74" s="139"/>
      <c r="C74" s="139"/>
      <c r="D74" s="139"/>
      <c r="E74" s="139"/>
      <c r="F74" s="139"/>
      <c r="G74" s="139"/>
      <c r="H74" s="139"/>
      <c r="I74" s="139"/>
      <c r="J74" s="139"/>
      <c r="K74" s="139"/>
      <c r="L74" s="139"/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39"/>
      <c r="AA74" s="139"/>
      <c r="AB74" s="139"/>
      <c r="AC74" s="139"/>
      <c r="AD74" s="139"/>
      <c r="AE74" s="139"/>
      <c r="AF74" s="139"/>
      <c r="AG74" s="139"/>
      <c r="AH74" s="139"/>
      <c r="AI74" s="139"/>
      <c r="AJ74" s="139"/>
      <c r="AK74" s="139"/>
      <c r="AL74" s="139"/>
      <c r="AM74" s="139"/>
      <c r="AN74" s="139"/>
      <c r="AO74" s="139"/>
      <c r="AP74" s="139"/>
      <c r="AQ74" s="139"/>
      <c r="AR74" s="139"/>
      <c r="AS74" s="139"/>
      <c r="AT74" s="139"/>
      <c r="AU74" s="139"/>
      <c r="AV74" s="139"/>
      <c r="AW74" s="139"/>
      <c r="AX74" s="139"/>
      <c r="AY74" s="139"/>
      <c r="AZ74" s="139"/>
      <c r="BI74" s="139">
        <f t="shared" si="140"/>
        <v>0</v>
      </c>
      <c r="BJ74" s="139">
        <f t="shared" si="141"/>
        <v>0</v>
      </c>
      <c r="BK74" s="139" cm="1">
        <f t="array" ref="BK74">BI74*c_rate.Pref.MO</f>
        <v>0</v>
      </c>
      <c r="BL74" s="139">
        <f t="shared" si="142"/>
        <v>0</v>
      </c>
      <c r="BM74" s="139">
        <f t="shared" ref="BM74:BM81" si="173">BI74+BK74+BJ74-BL74</f>
        <v>0</v>
      </c>
      <c r="BN74" s="139">
        <f t="shared" ref="BN74:BN81" si="174">BL74-BJ74</f>
        <v>0</v>
      </c>
      <c r="BO74" s="139">
        <f t="shared" ref="BO74:BO81" si="175">IF(BI74=0,0,IF(AZ74&lt;0,BN74/$BG$10*$BF$10,BL74/$BG$10*$BF$10))</f>
        <v>0</v>
      </c>
      <c r="BP74" s="139">
        <f t="shared" ref="BP74:BP81" si="176">BN74+BO74</f>
        <v>0</v>
      </c>
      <c r="BQ74" s="139">
        <f t="shared" si="143"/>
        <v>0</v>
      </c>
      <c r="BR74" s="516"/>
      <c r="BS74" s="139">
        <f t="shared" ref="BS74:BS81" ca="1" si="177">BX73</f>
        <v>470845.72769852611</v>
      </c>
      <c r="BT74" s="139">
        <f t="shared" si="144"/>
        <v>0</v>
      </c>
      <c r="BU74" s="139" cm="1">
        <f t="array" ref="BU74">IF(D74=0,0,BS74*(c_rate.Hurdle1.MO))</f>
        <v>0</v>
      </c>
      <c r="BV74" s="139">
        <f t="shared" ref="BV74:BV81" si="178">BL74</f>
        <v>0</v>
      </c>
      <c r="BW74" s="139">
        <f t="shared" ca="1" si="145"/>
        <v>0</v>
      </c>
      <c r="BX74" s="139">
        <f t="shared" ref="BX74:BX81" ca="1" si="179">BS74+BT74+BU74-BV74-BW74</f>
        <v>470845.72769852611</v>
      </c>
      <c r="BY74" s="139">
        <f t="shared" ref="BY74:BY81" ca="1" si="180">BN74+BW74</f>
        <v>0</v>
      </c>
      <c r="BZ74" s="139">
        <f t="shared" ref="BZ74:BZ81" ca="1" si="181">IF(BS74=0,0,BO74+BW74/$BG$16*$BF$16)</f>
        <v>0</v>
      </c>
      <c r="CA74" s="139">
        <f t="shared" ca="1" si="146"/>
        <v>0</v>
      </c>
      <c r="CB74" s="524">
        <f t="shared" ref="CB74:CB81" ca="1" si="182">IF(CA74&lt;0,0,MAX($AZ74-CA74,0))</f>
        <v>0</v>
      </c>
      <c r="CC74" s="516"/>
      <c r="CD74" s="139">
        <f t="shared" ref="CD74:CD81" ca="1" si="183">CI73</f>
        <v>835484.21687966748</v>
      </c>
      <c r="CE74" s="139">
        <f t="shared" si="147"/>
        <v>0</v>
      </c>
      <c r="CF74" s="139" cm="1">
        <f t="array" ref="CF74">IF($D75=0,0,CD74*(c_rate.Hurdle2.MO))</f>
        <v>0</v>
      </c>
      <c r="CG74" s="139">
        <f t="shared" ca="1" si="148"/>
        <v>0</v>
      </c>
      <c r="CH74" s="139">
        <f t="shared" ref="CH74:CH81" ca="1" si="184">IF(CB74=0,0,MIN(CD74+CE74+CF74-CG74,CB74*CD$7))</f>
        <v>0</v>
      </c>
      <c r="CI74" s="139">
        <f t="shared" ca="1" si="149"/>
        <v>835484.21687966748</v>
      </c>
      <c r="CJ74" s="139">
        <f t="shared" ca="1" si="150"/>
        <v>0</v>
      </c>
      <c r="CK74" s="139">
        <f t="shared" ca="1" si="151"/>
        <v>0</v>
      </c>
      <c r="CL74" s="139">
        <f t="shared" ref="CL74:CL81" ca="1" si="185">IF(CD74=0,0,BZ74+CH74/$BG$17*$BF$17)</f>
        <v>0</v>
      </c>
      <c r="CM74" s="139">
        <f t="shared" ca="1" si="152"/>
        <v>0</v>
      </c>
      <c r="CN74" s="139">
        <f t="shared" ca="1" si="153"/>
        <v>0</v>
      </c>
      <c r="CO74" s="516"/>
      <c r="CP74" s="139">
        <f t="shared" ref="CP74:CP81" ca="1" si="186">CU73</f>
        <v>1273161.612822721</v>
      </c>
      <c r="CQ74" s="139">
        <f t="shared" si="154"/>
        <v>0</v>
      </c>
      <c r="CR74" s="139" cm="1">
        <f t="array" ref="CR74">IF($D75=0,0,CP74*(c_rate.Hurdle3.MO))</f>
        <v>0</v>
      </c>
      <c r="CS74" s="139">
        <f t="shared" ca="1" si="155"/>
        <v>0</v>
      </c>
      <c r="CT74" s="139">
        <f t="shared" ref="CT74:CT81" ca="1" si="187">IF(CP74=0,0,MIN(CP74+CQ74+CR74-CS74,CN74*CP$7))</f>
        <v>0</v>
      </c>
      <c r="CU74" s="139">
        <f t="shared" ca="1" si="156"/>
        <v>1273161.612822721</v>
      </c>
      <c r="CV74" s="139">
        <f t="shared" ca="1" si="157"/>
        <v>0</v>
      </c>
      <c r="CW74" s="139">
        <f t="shared" ref="CW74:CW81" ca="1" si="188">CK74+CT74</f>
        <v>0</v>
      </c>
      <c r="CX74" s="139">
        <f t="shared" ref="CX74:CX81" ca="1" si="189">IF(CP74=0,0,CL74+CT74/$BG$18*$BF$18)</f>
        <v>0</v>
      </c>
      <c r="CY74" s="139">
        <f t="shared" ref="CY74:CY81" ca="1" si="190">CW74+CX74</f>
        <v>0</v>
      </c>
      <c r="CZ74" s="139">
        <f t="shared" ref="CZ74:CZ81" ca="1" si="191">IF(CY74&lt;0,0,MAX($AZ74-CY74,0))</f>
        <v>0</v>
      </c>
      <c r="DA74" s="516"/>
      <c r="DB74" s="139">
        <f t="shared" ca="1" si="158"/>
        <v>0</v>
      </c>
      <c r="DC74" s="139">
        <f t="shared" ca="1" si="159"/>
        <v>0</v>
      </c>
      <c r="DD74" s="518"/>
      <c r="DE74" s="139">
        <f t="shared" ref="DE74:DE81" ca="1" si="192">CW74+DB74</f>
        <v>0</v>
      </c>
      <c r="DF74" s="139">
        <f t="shared" ref="DF74:DF81" ca="1" si="193">CX74+DC74</f>
        <v>0</v>
      </c>
      <c r="DG74" s="139">
        <f t="shared" ca="1" si="160"/>
        <v>0</v>
      </c>
      <c r="DH74" s="457"/>
      <c r="DI74" s="139">
        <f ca="1"/>
        <v>0</v>
      </c>
      <c r="DJ74" s="139">
        <f ca="1"/>
        <v>0</v>
      </c>
      <c r="DK74" s="139">
        <f ca="1"/>
        <v>0</v>
      </c>
      <c r="DL74" s="139">
        <f t="shared" ca="1" si="161"/>
        <v>0</v>
      </c>
      <c r="DM74" s="139">
        <f t="shared" ca="1" si="162"/>
        <v>0</v>
      </c>
      <c r="DN74" s="139">
        <f t="shared" ca="1" si="163"/>
        <v>0</v>
      </c>
      <c r="DO74" s="139">
        <f t="shared" ca="1" si="164"/>
        <v>0</v>
      </c>
      <c r="DP74" s="139">
        <f t="shared" ca="1" si="165"/>
        <v>0</v>
      </c>
      <c r="DQ74" s="139">
        <f t="shared" ca="1" si="166"/>
        <v>0</v>
      </c>
      <c r="DR74" s="139">
        <f ca="1"/>
        <v>0</v>
      </c>
      <c r="DS74" s="139">
        <f ca="1"/>
        <v>0</v>
      </c>
      <c r="DT74" s="139">
        <f t="shared" ca="1" si="167"/>
        <v>0</v>
      </c>
      <c r="DU74" s="139">
        <f t="shared" ca="1" si="168"/>
        <v>0</v>
      </c>
      <c r="DV74" s="457"/>
      <c r="DW74" s="457"/>
      <c r="DX74" s="139">
        <f ca="1"/>
        <v>0</v>
      </c>
      <c r="DY74" s="139">
        <f t="shared" ref="DY74:DY81" ca="1" si="194">DJ74+DK74</f>
        <v>0</v>
      </c>
      <c r="DZ74" s="139">
        <f t="shared" ca="1" si="169"/>
        <v>0</v>
      </c>
      <c r="EA74" s="139">
        <f t="shared" ca="1" si="170"/>
        <v>0</v>
      </c>
      <c r="EB74" s="139">
        <f t="shared" ca="1" si="171"/>
        <v>0</v>
      </c>
      <c r="EC74" s="139">
        <f t="shared" ca="1" si="172"/>
        <v>0</v>
      </c>
      <c r="ED74" s="139">
        <f t="shared" ref="ED74:ED81" ca="1" si="195">SUM(DY74:EC74)</f>
        <v>0</v>
      </c>
    </row>
    <row r="75" spans="1:134" ht="17.25" thickTop="1" thickBot="1"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I75" s="140">
        <f t="shared" si="140"/>
        <v>0</v>
      </c>
      <c r="BJ75" s="140">
        <f t="shared" si="141"/>
        <v>0</v>
      </c>
      <c r="BK75" s="140" cm="1">
        <f t="array" ref="BK75">BI75*c_rate.Pref.MO</f>
        <v>0</v>
      </c>
      <c r="BL75" s="140">
        <f t="shared" si="142"/>
        <v>0</v>
      </c>
      <c r="BM75" s="140">
        <f t="shared" si="173"/>
        <v>0</v>
      </c>
      <c r="BN75" s="140">
        <f t="shared" si="174"/>
        <v>0</v>
      </c>
      <c r="BO75" s="140">
        <f t="shared" si="175"/>
        <v>0</v>
      </c>
      <c r="BP75" s="140">
        <f t="shared" si="176"/>
        <v>0</v>
      </c>
      <c r="BQ75" s="140">
        <f t="shared" si="143"/>
        <v>0</v>
      </c>
      <c r="BR75" s="516"/>
      <c r="BS75" s="140">
        <f t="shared" ca="1" si="177"/>
        <v>470845.72769852611</v>
      </c>
      <c r="BT75" s="140">
        <f t="shared" si="144"/>
        <v>0</v>
      </c>
      <c r="BU75" s="140" cm="1">
        <f t="array" ref="BU75">IF(D75=0,0,BS75*(c_rate.Hurdle1.MO))</f>
        <v>0</v>
      </c>
      <c r="BV75" s="140">
        <f t="shared" si="178"/>
        <v>0</v>
      </c>
      <c r="BW75" s="140">
        <f t="shared" ca="1" si="145"/>
        <v>0</v>
      </c>
      <c r="BX75" s="140">
        <f t="shared" ca="1" si="179"/>
        <v>470845.72769852611</v>
      </c>
      <c r="BY75" s="140">
        <f t="shared" ca="1" si="180"/>
        <v>0</v>
      </c>
      <c r="BZ75" s="140">
        <f t="shared" ca="1" si="181"/>
        <v>0</v>
      </c>
      <c r="CA75" s="140">
        <f t="shared" ca="1" si="146"/>
        <v>0</v>
      </c>
      <c r="CB75" s="524">
        <f t="shared" ca="1" si="182"/>
        <v>0</v>
      </c>
      <c r="CC75" s="516"/>
      <c r="CD75" s="140">
        <f t="shared" ca="1" si="183"/>
        <v>835484.21687966748</v>
      </c>
      <c r="CE75" s="140">
        <f t="shared" si="147"/>
        <v>0</v>
      </c>
      <c r="CF75" s="140" cm="1">
        <f t="array" ref="CF75">IF($D76=0,0,CD75*(c_rate.Hurdle2.MO))</f>
        <v>0</v>
      </c>
      <c r="CG75" s="140">
        <f t="shared" ca="1" si="148"/>
        <v>0</v>
      </c>
      <c r="CH75" s="140">
        <f t="shared" ca="1" si="184"/>
        <v>0</v>
      </c>
      <c r="CI75" s="140">
        <f t="shared" ca="1" si="149"/>
        <v>835484.21687966748</v>
      </c>
      <c r="CJ75" s="140">
        <f t="shared" ca="1" si="150"/>
        <v>0</v>
      </c>
      <c r="CK75" s="140">
        <f t="shared" ca="1" si="151"/>
        <v>0</v>
      </c>
      <c r="CL75" s="140">
        <f t="shared" ca="1" si="185"/>
        <v>0</v>
      </c>
      <c r="CM75" s="140">
        <f t="shared" ca="1" si="152"/>
        <v>0</v>
      </c>
      <c r="CN75" s="140">
        <f t="shared" ca="1" si="153"/>
        <v>0</v>
      </c>
      <c r="CO75" s="516"/>
      <c r="CP75" s="140">
        <f t="shared" ca="1" si="186"/>
        <v>1273161.612822721</v>
      </c>
      <c r="CQ75" s="140">
        <f t="shared" si="154"/>
        <v>0</v>
      </c>
      <c r="CR75" s="140" cm="1">
        <f t="array" ref="CR75">IF($D76=0,0,CP75*(c_rate.Hurdle3.MO))</f>
        <v>0</v>
      </c>
      <c r="CS75" s="140">
        <f t="shared" ca="1" si="155"/>
        <v>0</v>
      </c>
      <c r="CT75" s="140">
        <f t="shared" ca="1" si="187"/>
        <v>0</v>
      </c>
      <c r="CU75" s="140">
        <f t="shared" ca="1" si="156"/>
        <v>1273161.612822721</v>
      </c>
      <c r="CV75" s="140">
        <f t="shared" ca="1" si="157"/>
        <v>0</v>
      </c>
      <c r="CW75" s="140">
        <f t="shared" ca="1" si="188"/>
        <v>0</v>
      </c>
      <c r="CX75" s="140">
        <f t="shared" ca="1" si="189"/>
        <v>0</v>
      </c>
      <c r="CY75" s="140">
        <f t="shared" ca="1" si="190"/>
        <v>0</v>
      </c>
      <c r="CZ75" s="140">
        <f t="shared" ca="1" si="191"/>
        <v>0</v>
      </c>
      <c r="DA75" s="516"/>
      <c r="DB75" s="140">
        <f t="shared" ca="1" si="158"/>
        <v>0</v>
      </c>
      <c r="DC75" s="140">
        <f t="shared" ca="1" si="159"/>
        <v>0</v>
      </c>
      <c r="DD75" s="518"/>
      <c r="DE75" s="140">
        <f t="shared" ca="1" si="192"/>
        <v>0</v>
      </c>
      <c r="DF75" s="140">
        <f t="shared" ca="1" si="193"/>
        <v>0</v>
      </c>
      <c r="DG75" s="140">
        <f t="shared" ca="1" si="160"/>
        <v>0</v>
      </c>
      <c r="DH75" s="457"/>
      <c r="DI75" s="140">
        <f ca="1"/>
        <v>0</v>
      </c>
      <c r="DJ75" s="140">
        <f ca="1"/>
        <v>0</v>
      </c>
      <c r="DK75" s="140">
        <f ca="1"/>
        <v>0</v>
      </c>
      <c r="DL75" s="140">
        <f t="shared" ca="1" si="161"/>
        <v>0</v>
      </c>
      <c r="DM75" s="140">
        <f t="shared" ca="1" si="162"/>
        <v>0</v>
      </c>
      <c r="DN75" s="140">
        <f t="shared" ca="1" si="163"/>
        <v>0</v>
      </c>
      <c r="DO75" s="140">
        <f t="shared" ca="1" si="164"/>
        <v>0</v>
      </c>
      <c r="DP75" s="140">
        <f t="shared" ca="1" si="165"/>
        <v>0</v>
      </c>
      <c r="DQ75" s="140">
        <f t="shared" ca="1" si="166"/>
        <v>0</v>
      </c>
      <c r="DR75" s="140">
        <f ca="1"/>
        <v>0</v>
      </c>
      <c r="DS75" s="140">
        <f ca="1"/>
        <v>0</v>
      </c>
      <c r="DT75" s="140">
        <f t="shared" ca="1" si="167"/>
        <v>0</v>
      </c>
      <c r="DU75" s="140">
        <f t="shared" ca="1" si="168"/>
        <v>0</v>
      </c>
      <c r="DV75" s="457"/>
      <c r="DW75" s="457"/>
      <c r="DX75" s="140">
        <f ca="1"/>
        <v>0</v>
      </c>
      <c r="DY75" s="140">
        <f t="shared" ca="1" si="194"/>
        <v>0</v>
      </c>
      <c r="DZ75" s="140">
        <f t="shared" ca="1" si="169"/>
        <v>0</v>
      </c>
      <c r="EA75" s="140">
        <f t="shared" ca="1" si="170"/>
        <v>0</v>
      </c>
      <c r="EB75" s="140">
        <f t="shared" ca="1" si="171"/>
        <v>0</v>
      </c>
      <c r="EC75" s="140">
        <f t="shared" ca="1" si="172"/>
        <v>0</v>
      </c>
      <c r="ED75" s="140">
        <f t="shared" ca="1" si="195"/>
        <v>0</v>
      </c>
    </row>
    <row r="76" spans="1:134" ht="17.25" thickTop="1" thickBot="1">
      <c r="B76" s="141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1"/>
      <c r="AZ76" s="141"/>
      <c r="BI76" s="141">
        <f t="shared" si="140"/>
        <v>0</v>
      </c>
      <c r="BJ76" s="141">
        <f t="shared" si="141"/>
        <v>0</v>
      </c>
      <c r="BK76" s="141" cm="1">
        <f t="array" ref="BK76">BI76*c_rate.Pref.MO</f>
        <v>0</v>
      </c>
      <c r="BL76" s="141">
        <f t="shared" si="142"/>
        <v>0</v>
      </c>
      <c r="BM76" s="141">
        <f t="shared" si="173"/>
        <v>0</v>
      </c>
      <c r="BN76" s="141">
        <f t="shared" si="174"/>
        <v>0</v>
      </c>
      <c r="BO76" s="141">
        <f t="shared" si="175"/>
        <v>0</v>
      </c>
      <c r="BP76" s="141">
        <f t="shared" si="176"/>
        <v>0</v>
      </c>
      <c r="BQ76" s="141">
        <f t="shared" si="143"/>
        <v>0</v>
      </c>
      <c r="BR76" s="516"/>
      <c r="BS76" s="141">
        <f t="shared" ca="1" si="177"/>
        <v>470845.72769852611</v>
      </c>
      <c r="BT76" s="141">
        <f t="shared" si="144"/>
        <v>0</v>
      </c>
      <c r="BU76" s="141" cm="1">
        <f t="array" ref="BU76">IF(D76=0,0,BS76*(c_rate.Hurdle1.MO))</f>
        <v>0</v>
      </c>
      <c r="BV76" s="141">
        <f t="shared" si="178"/>
        <v>0</v>
      </c>
      <c r="BW76" s="141">
        <f t="shared" ca="1" si="145"/>
        <v>0</v>
      </c>
      <c r="BX76" s="141">
        <f t="shared" ca="1" si="179"/>
        <v>470845.72769852611</v>
      </c>
      <c r="BY76" s="141">
        <f t="shared" ca="1" si="180"/>
        <v>0</v>
      </c>
      <c r="BZ76" s="141">
        <f t="shared" ca="1" si="181"/>
        <v>0</v>
      </c>
      <c r="CA76" s="141">
        <f t="shared" ca="1" si="146"/>
        <v>0</v>
      </c>
      <c r="CB76" s="524">
        <f t="shared" ca="1" si="182"/>
        <v>0</v>
      </c>
      <c r="CC76" s="516"/>
      <c r="CD76" s="141">
        <f t="shared" ca="1" si="183"/>
        <v>835484.21687966748</v>
      </c>
      <c r="CE76" s="141">
        <f t="shared" si="147"/>
        <v>0</v>
      </c>
      <c r="CF76" s="141" cm="1">
        <f t="array" ref="CF76">IF($D77=0,0,CD76*(c_rate.Hurdle2.MO))</f>
        <v>0</v>
      </c>
      <c r="CG76" s="141">
        <f t="shared" ca="1" si="148"/>
        <v>0</v>
      </c>
      <c r="CH76" s="141">
        <f t="shared" ca="1" si="184"/>
        <v>0</v>
      </c>
      <c r="CI76" s="141">
        <f t="shared" ca="1" si="149"/>
        <v>835484.21687966748</v>
      </c>
      <c r="CJ76" s="141">
        <f t="shared" ca="1" si="150"/>
        <v>0</v>
      </c>
      <c r="CK76" s="141">
        <f t="shared" ca="1" si="151"/>
        <v>0</v>
      </c>
      <c r="CL76" s="141">
        <f t="shared" ca="1" si="185"/>
        <v>0</v>
      </c>
      <c r="CM76" s="141">
        <f t="shared" ca="1" si="152"/>
        <v>0</v>
      </c>
      <c r="CN76" s="141">
        <f t="shared" ca="1" si="153"/>
        <v>0</v>
      </c>
      <c r="CO76" s="516"/>
      <c r="CP76" s="141">
        <f t="shared" ca="1" si="186"/>
        <v>1273161.612822721</v>
      </c>
      <c r="CQ76" s="141">
        <f t="shared" si="154"/>
        <v>0</v>
      </c>
      <c r="CR76" s="141" cm="1">
        <f t="array" ref="CR76">IF($D77=0,0,CP76*(c_rate.Hurdle3.MO))</f>
        <v>0</v>
      </c>
      <c r="CS76" s="141">
        <f t="shared" ca="1" si="155"/>
        <v>0</v>
      </c>
      <c r="CT76" s="141">
        <f t="shared" ca="1" si="187"/>
        <v>0</v>
      </c>
      <c r="CU76" s="141">
        <f t="shared" ca="1" si="156"/>
        <v>1273161.612822721</v>
      </c>
      <c r="CV76" s="141">
        <f t="shared" ca="1" si="157"/>
        <v>0</v>
      </c>
      <c r="CW76" s="141">
        <f t="shared" ca="1" si="188"/>
        <v>0</v>
      </c>
      <c r="CX76" s="141">
        <f t="shared" ca="1" si="189"/>
        <v>0</v>
      </c>
      <c r="CY76" s="141">
        <f t="shared" ca="1" si="190"/>
        <v>0</v>
      </c>
      <c r="CZ76" s="141">
        <f t="shared" ca="1" si="191"/>
        <v>0</v>
      </c>
      <c r="DA76" s="516"/>
      <c r="DB76" s="141">
        <f t="shared" ca="1" si="158"/>
        <v>0</v>
      </c>
      <c r="DC76" s="141">
        <f t="shared" ca="1" si="159"/>
        <v>0</v>
      </c>
      <c r="DD76" s="518"/>
      <c r="DE76" s="141">
        <f t="shared" ca="1" si="192"/>
        <v>0</v>
      </c>
      <c r="DF76" s="141">
        <f t="shared" ca="1" si="193"/>
        <v>0</v>
      </c>
      <c r="DG76" s="141">
        <f t="shared" ca="1" si="160"/>
        <v>0</v>
      </c>
      <c r="DH76" s="457"/>
      <c r="DI76" s="141">
        <f ca="1"/>
        <v>0</v>
      </c>
      <c r="DJ76" s="141">
        <f ca="1"/>
        <v>0</v>
      </c>
      <c r="DK76" s="141">
        <f ca="1"/>
        <v>0</v>
      </c>
      <c r="DL76" s="141">
        <f t="shared" ca="1" si="161"/>
        <v>0</v>
      </c>
      <c r="DM76" s="141">
        <f t="shared" ca="1" si="162"/>
        <v>0</v>
      </c>
      <c r="DN76" s="141">
        <f t="shared" ca="1" si="163"/>
        <v>0</v>
      </c>
      <c r="DO76" s="141">
        <f t="shared" ca="1" si="164"/>
        <v>0</v>
      </c>
      <c r="DP76" s="141">
        <f t="shared" ca="1" si="165"/>
        <v>0</v>
      </c>
      <c r="DQ76" s="141">
        <f t="shared" ca="1" si="166"/>
        <v>0</v>
      </c>
      <c r="DR76" s="141">
        <f ca="1"/>
        <v>0</v>
      </c>
      <c r="DS76" s="141">
        <f ca="1"/>
        <v>0</v>
      </c>
      <c r="DT76" s="141">
        <f t="shared" ca="1" si="167"/>
        <v>0</v>
      </c>
      <c r="DU76" s="141">
        <f t="shared" ca="1" si="168"/>
        <v>0</v>
      </c>
      <c r="DV76" s="457"/>
      <c r="DW76" s="457"/>
      <c r="DX76" s="141">
        <f ca="1"/>
        <v>0</v>
      </c>
      <c r="DY76" s="141">
        <f t="shared" ca="1" si="194"/>
        <v>0</v>
      </c>
      <c r="DZ76" s="141">
        <f t="shared" ca="1" si="169"/>
        <v>0</v>
      </c>
      <c r="EA76" s="141">
        <f t="shared" ca="1" si="170"/>
        <v>0</v>
      </c>
      <c r="EB76" s="141">
        <f t="shared" ca="1" si="171"/>
        <v>0</v>
      </c>
      <c r="EC76" s="141">
        <f t="shared" ca="1" si="172"/>
        <v>0</v>
      </c>
      <c r="ED76" s="141">
        <f t="shared" ca="1" si="195"/>
        <v>0</v>
      </c>
    </row>
    <row r="77" spans="1:134" ht="17.25" thickTop="1" thickBot="1">
      <c r="B77" s="139"/>
      <c r="C77" s="139"/>
      <c r="D77" s="139"/>
      <c r="E77" s="139"/>
      <c r="F77" s="139"/>
      <c r="G77" s="139"/>
      <c r="H77" s="139"/>
      <c r="I77" s="139"/>
      <c r="J77" s="139"/>
      <c r="K77" s="139"/>
      <c r="L77" s="139"/>
      <c r="M77" s="139"/>
      <c r="N77" s="139"/>
      <c r="O77" s="139"/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39"/>
      <c r="AA77" s="139"/>
      <c r="AB77" s="139"/>
      <c r="AC77" s="139"/>
      <c r="AD77" s="139"/>
      <c r="AE77" s="139"/>
      <c r="AF77" s="139"/>
      <c r="AG77" s="139"/>
      <c r="AH77" s="139"/>
      <c r="AI77" s="139"/>
      <c r="AJ77" s="139"/>
      <c r="AK77" s="139"/>
      <c r="AL77" s="139"/>
      <c r="AM77" s="139"/>
      <c r="AN77" s="139"/>
      <c r="AO77" s="139"/>
      <c r="AP77" s="139"/>
      <c r="AQ77" s="139"/>
      <c r="AR77" s="139"/>
      <c r="AS77" s="139"/>
      <c r="AT77" s="139"/>
      <c r="AU77" s="139"/>
      <c r="AV77" s="139"/>
      <c r="AW77" s="139"/>
      <c r="AX77" s="139"/>
      <c r="AY77" s="139"/>
      <c r="AZ77" s="139"/>
      <c r="BI77" s="139">
        <f t="shared" si="140"/>
        <v>0</v>
      </c>
      <c r="BJ77" s="139">
        <f t="shared" si="141"/>
        <v>0</v>
      </c>
      <c r="BK77" s="139" cm="1">
        <f t="array" ref="BK77">BI77*c_rate.Pref.MO</f>
        <v>0</v>
      </c>
      <c r="BL77" s="139">
        <f t="shared" si="142"/>
        <v>0</v>
      </c>
      <c r="BM77" s="139">
        <f t="shared" si="173"/>
        <v>0</v>
      </c>
      <c r="BN77" s="139">
        <f t="shared" si="174"/>
        <v>0</v>
      </c>
      <c r="BO77" s="139">
        <f t="shared" si="175"/>
        <v>0</v>
      </c>
      <c r="BP77" s="139">
        <f t="shared" si="176"/>
        <v>0</v>
      </c>
      <c r="BQ77" s="139">
        <f t="shared" si="143"/>
        <v>0</v>
      </c>
      <c r="BR77" s="516"/>
      <c r="BS77" s="139">
        <f t="shared" ca="1" si="177"/>
        <v>470845.72769852611</v>
      </c>
      <c r="BT77" s="139">
        <f t="shared" si="144"/>
        <v>0</v>
      </c>
      <c r="BU77" s="139" cm="1">
        <f t="array" ref="BU77">IF(D77=0,0,BS77*(c_rate.Hurdle1.MO))</f>
        <v>0</v>
      </c>
      <c r="BV77" s="139">
        <f t="shared" si="178"/>
        <v>0</v>
      </c>
      <c r="BW77" s="139">
        <f t="shared" ca="1" si="145"/>
        <v>0</v>
      </c>
      <c r="BX77" s="139">
        <f t="shared" ca="1" si="179"/>
        <v>470845.72769852611</v>
      </c>
      <c r="BY77" s="139">
        <f t="shared" ca="1" si="180"/>
        <v>0</v>
      </c>
      <c r="BZ77" s="139">
        <f t="shared" ca="1" si="181"/>
        <v>0</v>
      </c>
      <c r="CA77" s="139">
        <f t="shared" ca="1" si="146"/>
        <v>0</v>
      </c>
      <c r="CB77" s="524">
        <f t="shared" ca="1" si="182"/>
        <v>0</v>
      </c>
      <c r="CC77" s="516"/>
      <c r="CD77" s="139">
        <f t="shared" ca="1" si="183"/>
        <v>835484.21687966748</v>
      </c>
      <c r="CE77" s="139">
        <f t="shared" si="147"/>
        <v>0</v>
      </c>
      <c r="CF77" s="139" cm="1">
        <f t="array" ref="CF77">IF($D78=0,0,CD77*(c_rate.Hurdle2.MO))</f>
        <v>0</v>
      </c>
      <c r="CG77" s="139">
        <f t="shared" ca="1" si="148"/>
        <v>0</v>
      </c>
      <c r="CH77" s="139">
        <f t="shared" ca="1" si="184"/>
        <v>0</v>
      </c>
      <c r="CI77" s="139">
        <f t="shared" ca="1" si="149"/>
        <v>835484.21687966748</v>
      </c>
      <c r="CJ77" s="139">
        <f t="shared" ca="1" si="150"/>
        <v>0</v>
      </c>
      <c r="CK77" s="139">
        <f t="shared" ca="1" si="151"/>
        <v>0</v>
      </c>
      <c r="CL77" s="139">
        <f t="shared" ca="1" si="185"/>
        <v>0</v>
      </c>
      <c r="CM77" s="139">
        <f t="shared" ca="1" si="152"/>
        <v>0</v>
      </c>
      <c r="CN77" s="139">
        <f t="shared" ca="1" si="153"/>
        <v>0</v>
      </c>
      <c r="CO77" s="516"/>
      <c r="CP77" s="139">
        <f t="shared" ca="1" si="186"/>
        <v>1273161.612822721</v>
      </c>
      <c r="CQ77" s="139">
        <f t="shared" si="154"/>
        <v>0</v>
      </c>
      <c r="CR77" s="139" cm="1">
        <f t="array" ref="CR77">IF($D78=0,0,CP77*(c_rate.Hurdle3.MO))</f>
        <v>0</v>
      </c>
      <c r="CS77" s="139">
        <f t="shared" ca="1" si="155"/>
        <v>0</v>
      </c>
      <c r="CT77" s="139">
        <f t="shared" ca="1" si="187"/>
        <v>0</v>
      </c>
      <c r="CU77" s="139">
        <f t="shared" ca="1" si="156"/>
        <v>1273161.612822721</v>
      </c>
      <c r="CV77" s="139">
        <f t="shared" ca="1" si="157"/>
        <v>0</v>
      </c>
      <c r="CW77" s="139">
        <f t="shared" ca="1" si="188"/>
        <v>0</v>
      </c>
      <c r="CX77" s="139">
        <f t="shared" ca="1" si="189"/>
        <v>0</v>
      </c>
      <c r="CY77" s="139">
        <f t="shared" ca="1" si="190"/>
        <v>0</v>
      </c>
      <c r="CZ77" s="139">
        <f t="shared" ca="1" si="191"/>
        <v>0</v>
      </c>
      <c r="DA77" s="516"/>
      <c r="DB77" s="139">
        <f t="shared" ca="1" si="158"/>
        <v>0</v>
      </c>
      <c r="DC77" s="139">
        <f t="shared" ca="1" si="159"/>
        <v>0</v>
      </c>
      <c r="DD77" s="518"/>
      <c r="DE77" s="139">
        <f t="shared" ca="1" si="192"/>
        <v>0</v>
      </c>
      <c r="DF77" s="139">
        <f t="shared" ca="1" si="193"/>
        <v>0</v>
      </c>
      <c r="DG77" s="139">
        <f t="shared" ca="1" si="160"/>
        <v>0</v>
      </c>
      <c r="DH77" s="457"/>
      <c r="DI77" s="139">
        <f ca="1"/>
        <v>0</v>
      </c>
      <c r="DJ77" s="139">
        <f ca="1"/>
        <v>0</v>
      </c>
      <c r="DK77" s="139">
        <f ca="1"/>
        <v>0</v>
      </c>
      <c r="DL77" s="139">
        <f t="shared" ca="1" si="161"/>
        <v>0</v>
      </c>
      <c r="DM77" s="139">
        <f t="shared" ca="1" si="162"/>
        <v>0</v>
      </c>
      <c r="DN77" s="139">
        <f t="shared" ca="1" si="163"/>
        <v>0</v>
      </c>
      <c r="DO77" s="139">
        <f t="shared" ca="1" si="164"/>
        <v>0</v>
      </c>
      <c r="DP77" s="139">
        <f t="shared" ca="1" si="165"/>
        <v>0</v>
      </c>
      <c r="DQ77" s="139">
        <f t="shared" ca="1" si="166"/>
        <v>0</v>
      </c>
      <c r="DR77" s="139">
        <f ca="1"/>
        <v>0</v>
      </c>
      <c r="DS77" s="139">
        <f ca="1"/>
        <v>0</v>
      </c>
      <c r="DT77" s="139">
        <f t="shared" ca="1" si="167"/>
        <v>0</v>
      </c>
      <c r="DU77" s="139">
        <f t="shared" ca="1" si="168"/>
        <v>0</v>
      </c>
      <c r="DV77" s="457"/>
      <c r="DW77" s="457"/>
      <c r="DX77" s="139">
        <f ca="1"/>
        <v>0</v>
      </c>
      <c r="DY77" s="139">
        <f t="shared" ca="1" si="194"/>
        <v>0</v>
      </c>
      <c r="DZ77" s="139">
        <f t="shared" ca="1" si="169"/>
        <v>0</v>
      </c>
      <c r="EA77" s="139">
        <f t="shared" ca="1" si="170"/>
        <v>0</v>
      </c>
      <c r="EB77" s="139">
        <f t="shared" ca="1" si="171"/>
        <v>0</v>
      </c>
      <c r="EC77" s="139">
        <f t="shared" ca="1" si="172"/>
        <v>0</v>
      </c>
      <c r="ED77" s="139">
        <f t="shared" ca="1" si="195"/>
        <v>0</v>
      </c>
    </row>
    <row r="78" spans="1:134" ht="17.25" thickTop="1" thickBot="1"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I78" s="140">
        <f t="shared" si="140"/>
        <v>0</v>
      </c>
      <c r="BJ78" s="140">
        <f t="shared" si="141"/>
        <v>0</v>
      </c>
      <c r="BK78" s="140" cm="1">
        <f t="array" ref="BK78">BI78*c_rate.Pref.MO</f>
        <v>0</v>
      </c>
      <c r="BL78" s="140">
        <f t="shared" si="142"/>
        <v>0</v>
      </c>
      <c r="BM78" s="140">
        <f t="shared" si="173"/>
        <v>0</v>
      </c>
      <c r="BN78" s="140">
        <f t="shared" si="174"/>
        <v>0</v>
      </c>
      <c r="BO78" s="140">
        <f t="shared" si="175"/>
        <v>0</v>
      </c>
      <c r="BP78" s="140">
        <f t="shared" si="176"/>
        <v>0</v>
      </c>
      <c r="BQ78" s="140">
        <f t="shared" si="143"/>
        <v>0</v>
      </c>
      <c r="BR78" s="516"/>
      <c r="BS78" s="140">
        <f t="shared" ca="1" si="177"/>
        <v>470845.72769852611</v>
      </c>
      <c r="BT78" s="140">
        <f t="shared" si="144"/>
        <v>0</v>
      </c>
      <c r="BU78" s="140" cm="1">
        <f t="array" ref="BU78">IF(D78=0,0,BS78*(c_rate.Hurdle1.MO))</f>
        <v>0</v>
      </c>
      <c r="BV78" s="140">
        <f t="shared" si="178"/>
        <v>0</v>
      </c>
      <c r="BW78" s="140">
        <f t="shared" ca="1" si="145"/>
        <v>0</v>
      </c>
      <c r="BX78" s="140">
        <f t="shared" ca="1" si="179"/>
        <v>470845.72769852611</v>
      </c>
      <c r="BY78" s="140">
        <f t="shared" ca="1" si="180"/>
        <v>0</v>
      </c>
      <c r="BZ78" s="140">
        <f t="shared" ca="1" si="181"/>
        <v>0</v>
      </c>
      <c r="CA78" s="140">
        <f t="shared" ca="1" si="146"/>
        <v>0</v>
      </c>
      <c r="CB78" s="524">
        <f t="shared" ca="1" si="182"/>
        <v>0</v>
      </c>
      <c r="CC78" s="516"/>
      <c r="CD78" s="140">
        <f t="shared" ca="1" si="183"/>
        <v>835484.21687966748</v>
      </c>
      <c r="CE78" s="140">
        <f t="shared" si="147"/>
        <v>0</v>
      </c>
      <c r="CF78" s="140" cm="1">
        <f t="array" ref="CF78">IF($D79=0,0,CD78*(c_rate.Hurdle2.MO))</f>
        <v>0</v>
      </c>
      <c r="CG78" s="140">
        <f t="shared" ca="1" si="148"/>
        <v>0</v>
      </c>
      <c r="CH78" s="140">
        <f t="shared" ca="1" si="184"/>
        <v>0</v>
      </c>
      <c r="CI78" s="140">
        <f t="shared" ca="1" si="149"/>
        <v>835484.21687966748</v>
      </c>
      <c r="CJ78" s="140">
        <f t="shared" ca="1" si="150"/>
        <v>0</v>
      </c>
      <c r="CK78" s="140">
        <f t="shared" ca="1" si="151"/>
        <v>0</v>
      </c>
      <c r="CL78" s="140">
        <f t="shared" ca="1" si="185"/>
        <v>0</v>
      </c>
      <c r="CM78" s="140">
        <f t="shared" ca="1" si="152"/>
        <v>0</v>
      </c>
      <c r="CN78" s="140">
        <f t="shared" ca="1" si="153"/>
        <v>0</v>
      </c>
      <c r="CO78" s="516"/>
      <c r="CP78" s="140">
        <f t="shared" ca="1" si="186"/>
        <v>1273161.612822721</v>
      </c>
      <c r="CQ78" s="140">
        <f t="shared" si="154"/>
        <v>0</v>
      </c>
      <c r="CR78" s="140" cm="1">
        <f t="array" ref="CR78">IF($D79=0,0,CP78*(c_rate.Hurdle3.MO))</f>
        <v>0</v>
      </c>
      <c r="CS78" s="140">
        <f t="shared" ca="1" si="155"/>
        <v>0</v>
      </c>
      <c r="CT78" s="140">
        <f t="shared" ca="1" si="187"/>
        <v>0</v>
      </c>
      <c r="CU78" s="140">
        <f t="shared" ca="1" si="156"/>
        <v>1273161.612822721</v>
      </c>
      <c r="CV78" s="140">
        <f t="shared" ca="1" si="157"/>
        <v>0</v>
      </c>
      <c r="CW78" s="140">
        <f t="shared" ca="1" si="188"/>
        <v>0</v>
      </c>
      <c r="CX78" s="140">
        <f t="shared" ca="1" si="189"/>
        <v>0</v>
      </c>
      <c r="CY78" s="140">
        <f t="shared" ca="1" si="190"/>
        <v>0</v>
      </c>
      <c r="CZ78" s="140">
        <f t="shared" ca="1" si="191"/>
        <v>0</v>
      </c>
      <c r="DA78" s="516"/>
      <c r="DB78" s="140">
        <f t="shared" ca="1" si="158"/>
        <v>0</v>
      </c>
      <c r="DC78" s="140">
        <f t="shared" ca="1" si="159"/>
        <v>0</v>
      </c>
      <c r="DD78" s="518"/>
      <c r="DE78" s="140">
        <f t="shared" ca="1" si="192"/>
        <v>0</v>
      </c>
      <c r="DF78" s="140">
        <f t="shared" ca="1" si="193"/>
        <v>0</v>
      </c>
      <c r="DG78" s="140">
        <f t="shared" ca="1" si="160"/>
        <v>0</v>
      </c>
      <c r="DH78" s="457"/>
      <c r="DI78" s="140">
        <f ca="1"/>
        <v>0</v>
      </c>
      <c r="DJ78" s="140">
        <f ca="1"/>
        <v>0</v>
      </c>
      <c r="DK78" s="140">
        <f ca="1"/>
        <v>0</v>
      </c>
      <c r="DL78" s="140">
        <f t="shared" ca="1" si="161"/>
        <v>0</v>
      </c>
      <c r="DM78" s="140">
        <f t="shared" ca="1" si="162"/>
        <v>0</v>
      </c>
      <c r="DN78" s="140">
        <f t="shared" ca="1" si="163"/>
        <v>0</v>
      </c>
      <c r="DO78" s="140">
        <f t="shared" ca="1" si="164"/>
        <v>0</v>
      </c>
      <c r="DP78" s="140">
        <f t="shared" ca="1" si="165"/>
        <v>0</v>
      </c>
      <c r="DQ78" s="140">
        <f t="shared" ca="1" si="166"/>
        <v>0</v>
      </c>
      <c r="DR78" s="140">
        <f ca="1"/>
        <v>0</v>
      </c>
      <c r="DS78" s="140">
        <f ca="1"/>
        <v>0</v>
      </c>
      <c r="DT78" s="140">
        <f t="shared" ca="1" si="167"/>
        <v>0</v>
      </c>
      <c r="DU78" s="140">
        <f t="shared" ca="1" si="168"/>
        <v>0</v>
      </c>
      <c r="DV78" s="457"/>
      <c r="DW78" s="457"/>
      <c r="DX78" s="140">
        <f ca="1"/>
        <v>0</v>
      </c>
      <c r="DY78" s="140">
        <f t="shared" ca="1" si="194"/>
        <v>0</v>
      </c>
      <c r="DZ78" s="140">
        <f t="shared" ca="1" si="169"/>
        <v>0</v>
      </c>
      <c r="EA78" s="140">
        <f t="shared" ca="1" si="170"/>
        <v>0</v>
      </c>
      <c r="EB78" s="140">
        <f t="shared" ca="1" si="171"/>
        <v>0</v>
      </c>
      <c r="EC78" s="140">
        <f t="shared" ca="1" si="172"/>
        <v>0</v>
      </c>
      <c r="ED78" s="140">
        <f t="shared" ca="1" si="195"/>
        <v>0</v>
      </c>
    </row>
    <row r="79" spans="1:134" ht="17.25" thickTop="1" thickBot="1"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I79" s="141">
        <f t="shared" si="140"/>
        <v>0</v>
      </c>
      <c r="BJ79" s="141">
        <f t="shared" si="141"/>
        <v>0</v>
      </c>
      <c r="BK79" s="141" cm="1">
        <f t="array" ref="BK79">BI79*c_rate.Pref.MO</f>
        <v>0</v>
      </c>
      <c r="BL79" s="141">
        <f t="shared" si="142"/>
        <v>0</v>
      </c>
      <c r="BM79" s="141">
        <f t="shared" si="173"/>
        <v>0</v>
      </c>
      <c r="BN79" s="141">
        <f t="shared" si="174"/>
        <v>0</v>
      </c>
      <c r="BO79" s="141">
        <f t="shared" si="175"/>
        <v>0</v>
      </c>
      <c r="BP79" s="141">
        <f t="shared" si="176"/>
        <v>0</v>
      </c>
      <c r="BQ79" s="141">
        <f t="shared" si="143"/>
        <v>0</v>
      </c>
      <c r="BR79" s="516"/>
      <c r="BS79" s="141">
        <f t="shared" ca="1" si="177"/>
        <v>470845.72769852611</v>
      </c>
      <c r="BT79" s="141">
        <f t="shared" si="144"/>
        <v>0</v>
      </c>
      <c r="BU79" s="141" cm="1">
        <f t="array" ref="BU79">IF(D79=0,0,BS79*(c_rate.Hurdle1.MO))</f>
        <v>0</v>
      </c>
      <c r="BV79" s="141">
        <f t="shared" si="178"/>
        <v>0</v>
      </c>
      <c r="BW79" s="141">
        <f t="shared" ca="1" si="145"/>
        <v>0</v>
      </c>
      <c r="BX79" s="141">
        <f t="shared" ca="1" si="179"/>
        <v>470845.72769852611</v>
      </c>
      <c r="BY79" s="141">
        <f t="shared" ca="1" si="180"/>
        <v>0</v>
      </c>
      <c r="BZ79" s="141">
        <f t="shared" ca="1" si="181"/>
        <v>0</v>
      </c>
      <c r="CA79" s="141">
        <f t="shared" ca="1" si="146"/>
        <v>0</v>
      </c>
      <c r="CB79" s="524">
        <f t="shared" ca="1" si="182"/>
        <v>0</v>
      </c>
      <c r="CC79" s="516"/>
      <c r="CD79" s="141">
        <f t="shared" ca="1" si="183"/>
        <v>835484.21687966748</v>
      </c>
      <c r="CE79" s="141">
        <f t="shared" si="147"/>
        <v>0</v>
      </c>
      <c r="CF79" s="141" cm="1">
        <f t="array" ref="CF79">IF($D80=0,0,CD79*(c_rate.Hurdle2.MO))</f>
        <v>0</v>
      </c>
      <c r="CG79" s="141">
        <f t="shared" ca="1" si="148"/>
        <v>0</v>
      </c>
      <c r="CH79" s="141">
        <f t="shared" ca="1" si="184"/>
        <v>0</v>
      </c>
      <c r="CI79" s="141">
        <f t="shared" ca="1" si="149"/>
        <v>835484.21687966748</v>
      </c>
      <c r="CJ79" s="141">
        <f t="shared" ca="1" si="150"/>
        <v>0</v>
      </c>
      <c r="CK79" s="141">
        <f t="shared" ca="1" si="151"/>
        <v>0</v>
      </c>
      <c r="CL79" s="141">
        <f t="shared" ca="1" si="185"/>
        <v>0</v>
      </c>
      <c r="CM79" s="141">
        <f t="shared" ca="1" si="152"/>
        <v>0</v>
      </c>
      <c r="CN79" s="141">
        <f t="shared" ca="1" si="153"/>
        <v>0</v>
      </c>
      <c r="CO79" s="516"/>
      <c r="CP79" s="141">
        <f t="shared" ca="1" si="186"/>
        <v>1273161.612822721</v>
      </c>
      <c r="CQ79" s="141">
        <f t="shared" si="154"/>
        <v>0</v>
      </c>
      <c r="CR79" s="141" cm="1">
        <f t="array" ref="CR79">IF($D80=0,0,CP79*(c_rate.Hurdle3.MO))</f>
        <v>0</v>
      </c>
      <c r="CS79" s="141">
        <f t="shared" ca="1" si="155"/>
        <v>0</v>
      </c>
      <c r="CT79" s="141">
        <f t="shared" ca="1" si="187"/>
        <v>0</v>
      </c>
      <c r="CU79" s="141">
        <f t="shared" ca="1" si="156"/>
        <v>1273161.612822721</v>
      </c>
      <c r="CV79" s="141">
        <f t="shared" ca="1" si="157"/>
        <v>0</v>
      </c>
      <c r="CW79" s="141">
        <f t="shared" ca="1" si="188"/>
        <v>0</v>
      </c>
      <c r="CX79" s="141">
        <f t="shared" ca="1" si="189"/>
        <v>0</v>
      </c>
      <c r="CY79" s="141">
        <f t="shared" ca="1" si="190"/>
        <v>0</v>
      </c>
      <c r="CZ79" s="141">
        <f t="shared" ca="1" si="191"/>
        <v>0</v>
      </c>
      <c r="DA79" s="516"/>
      <c r="DB79" s="141">
        <f t="shared" ca="1" si="158"/>
        <v>0</v>
      </c>
      <c r="DC79" s="141">
        <f t="shared" ca="1" si="159"/>
        <v>0</v>
      </c>
      <c r="DD79" s="518"/>
      <c r="DE79" s="141">
        <f t="shared" ca="1" si="192"/>
        <v>0</v>
      </c>
      <c r="DF79" s="141">
        <f t="shared" ca="1" si="193"/>
        <v>0</v>
      </c>
      <c r="DG79" s="141">
        <f t="shared" ca="1" si="160"/>
        <v>0</v>
      </c>
      <c r="DH79" s="457"/>
      <c r="DI79" s="141">
        <f ca="1"/>
        <v>0</v>
      </c>
      <c r="DJ79" s="141">
        <f ca="1"/>
        <v>0</v>
      </c>
      <c r="DK79" s="141">
        <f ca="1"/>
        <v>0</v>
      </c>
      <c r="DL79" s="141">
        <f t="shared" ca="1" si="161"/>
        <v>0</v>
      </c>
      <c r="DM79" s="141">
        <f t="shared" ca="1" si="162"/>
        <v>0</v>
      </c>
      <c r="DN79" s="141">
        <f t="shared" ca="1" si="163"/>
        <v>0</v>
      </c>
      <c r="DO79" s="141">
        <f t="shared" ca="1" si="164"/>
        <v>0</v>
      </c>
      <c r="DP79" s="141">
        <f t="shared" ca="1" si="165"/>
        <v>0</v>
      </c>
      <c r="DQ79" s="141">
        <f t="shared" ca="1" si="166"/>
        <v>0</v>
      </c>
      <c r="DR79" s="141">
        <f ca="1"/>
        <v>0</v>
      </c>
      <c r="DS79" s="141">
        <f ca="1"/>
        <v>0</v>
      </c>
      <c r="DT79" s="141">
        <f t="shared" ca="1" si="167"/>
        <v>0</v>
      </c>
      <c r="DU79" s="141">
        <f t="shared" ca="1" si="168"/>
        <v>0</v>
      </c>
      <c r="DV79" s="457"/>
      <c r="DW79" s="457"/>
      <c r="DX79" s="141">
        <f ca="1"/>
        <v>0</v>
      </c>
      <c r="DY79" s="141">
        <f t="shared" ca="1" si="194"/>
        <v>0</v>
      </c>
      <c r="DZ79" s="141">
        <f t="shared" ca="1" si="169"/>
        <v>0</v>
      </c>
      <c r="EA79" s="141">
        <f t="shared" ca="1" si="170"/>
        <v>0</v>
      </c>
      <c r="EB79" s="141">
        <f t="shared" ca="1" si="171"/>
        <v>0</v>
      </c>
      <c r="EC79" s="141">
        <f t="shared" ca="1" si="172"/>
        <v>0</v>
      </c>
      <c r="ED79" s="141">
        <f t="shared" ca="1" si="195"/>
        <v>0</v>
      </c>
    </row>
    <row r="80" spans="1:134" ht="17.25" thickTop="1" thickBot="1">
      <c r="B80" s="139"/>
      <c r="C80" s="139"/>
      <c r="D80" s="139"/>
      <c r="E80" s="139"/>
      <c r="F80" s="139"/>
      <c r="G80" s="139"/>
      <c r="H80" s="139"/>
      <c r="I80" s="139"/>
      <c r="J80" s="139"/>
      <c r="K80" s="139"/>
      <c r="L80" s="139"/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39"/>
      <c r="AA80" s="139"/>
      <c r="AB80" s="139"/>
      <c r="AC80" s="139"/>
      <c r="AD80" s="139"/>
      <c r="AE80" s="139"/>
      <c r="AF80" s="139"/>
      <c r="AG80" s="139"/>
      <c r="AH80" s="139"/>
      <c r="AI80" s="139"/>
      <c r="AJ80" s="139"/>
      <c r="AK80" s="139"/>
      <c r="AL80" s="139"/>
      <c r="AM80" s="139"/>
      <c r="AN80" s="139"/>
      <c r="AO80" s="139"/>
      <c r="AP80" s="139"/>
      <c r="AQ80" s="139"/>
      <c r="AR80" s="139"/>
      <c r="AS80" s="139"/>
      <c r="AT80" s="139"/>
      <c r="AU80" s="139"/>
      <c r="AV80" s="139"/>
      <c r="AW80" s="139"/>
      <c r="AX80" s="139"/>
      <c r="AY80" s="139"/>
      <c r="AZ80" s="139"/>
      <c r="BI80" s="139">
        <f t="shared" si="140"/>
        <v>0</v>
      </c>
      <c r="BJ80" s="139">
        <f t="shared" si="141"/>
        <v>0</v>
      </c>
      <c r="BK80" s="139" cm="1">
        <f t="array" ref="BK80">BI80*c_rate.Pref.MO</f>
        <v>0</v>
      </c>
      <c r="BL80" s="139">
        <f t="shared" si="142"/>
        <v>0</v>
      </c>
      <c r="BM80" s="139">
        <f t="shared" si="173"/>
        <v>0</v>
      </c>
      <c r="BN80" s="139">
        <f t="shared" si="174"/>
        <v>0</v>
      </c>
      <c r="BO80" s="139">
        <f t="shared" si="175"/>
        <v>0</v>
      </c>
      <c r="BP80" s="139">
        <f t="shared" si="176"/>
        <v>0</v>
      </c>
      <c r="BQ80" s="139">
        <f t="shared" si="143"/>
        <v>0</v>
      </c>
      <c r="BR80" s="516"/>
      <c r="BS80" s="139">
        <f t="shared" ca="1" si="177"/>
        <v>470845.72769852611</v>
      </c>
      <c r="BT80" s="139">
        <f t="shared" si="144"/>
        <v>0</v>
      </c>
      <c r="BU80" s="139" cm="1">
        <f t="array" ref="BU80">IF(D80=0,0,BS80*(c_rate.Hurdle1.MO))</f>
        <v>0</v>
      </c>
      <c r="BV80" s="139">
        <f t="shared" si="178"/>
        <v>0</v>
      </c>
      <c r="BW80" s="139">
        <f t="shared" ca="1" si="145"/>
        <v>0</v>
      </c>
      <c r="BX80" s="139">
        <f t="shared" ca="1" si="179"/>
        <v>470845.72769852611</v>
      </c>
      <c r="BY80" s="139">
        <f t="shared" ca="1" si="180"/>
        <v>0</v>
      </c>
      <c r="BZ80" s="139">
        <f t="shared" ca="1" si="181"/>
        <v>0</v>
      </c>
      <c r="CA80" s="139">
        <f t="shared" ca="1" si="146"/>
        <v>0</v>
      </c>
      <c r="CB80" s="524">
        <f t="shared" ca="1" si="182"/>
        <v>0</v>
      </c>
      <c r="CC80" s="516"/>
      <c r="CD80" s="139">
        <f t="shared" ca="1" si="183"/>
        <v>835484.21687966748</v>
      </c>
      <c r="CE80" s="139">
        <f t="shared" si="147"/>
        <v>0</v>
      </c>
      <c r="CF80" s="139" cm="1">
        <f t="array" ref="CF80">IF($D81=0,0,CD80*(c_rate.Hurdle2.MO))</f>
        <v>0</v>
      </c>
      <c r="CG80" s="139">
        <f t="shared" ca="1" si="148"/>
        <v>0</v>
      </c>
      <c r="CH80" s="139">
        <f t="shared" ca="1" si="184"/>
        <v>0</v>
      </c>
      <c r="CI80" s="139">
        <f t="shared" ca="1" si="149"/>
        <v>835484.21687966748</v>
      </c>
      <c r="CJ80" s="139">
        <f t="shared" ca="1" si="150"/>
        <v>0</v>
      </c>
      <c r="CK80" s="139">
        <f t="shared" ca="1" si="151"/>
        <v>0</v>
      </c>
      <c r="CL80" s="139">
        <f t="shared" ca="1" si="185"/>
        <v>0</v>
      </c>
      <c r="CM80" s="139">
        <f t="shared" ca="1" si="152"/>
        <v>0</v>
      </c>
      <c r="CN80" s="139">
        <f t="shared" ca="1" si="153"/>
        <v>0</v>
      </c>
      <c r="CO80" s="516"/>
      <c r="CP80" s="139">
        <f t="shared" ca="1" si="186"/>
        <v>1273161.612822721</v>
      </c>
      <c r="CQ80" s="139">
        <f t="shared" si="154"/>
        <v>0</v>
      </c>
      <c r="CR80" s="139" cm="1">
        <f t="array" ref="CR80">IF($D81=0,0,CP80*(c_rate.Hurdle3.MO))</f>
        <v>0</v>
      </c>
      <c r="CS80" s="139">
        <f t="shared" ca="1" si="155"/>
        <v>0</v>
      </c>
      <c r="CT80" s="139">
        <f t="shared" ca="1" si="187"/>
        <v>0</v>
      </c>
      <c r="CU80" s="139">
        <f t="shared" ca="1" si="156"/>
        <v>1273161.612822721</v>
      </c>
      <c r="CV80" s="139">
        <f t="shared" ca="1" si="157"/>
        <v>0</v>
      </c>
      <c r="CW80" s="139">
        <f t="shared" ca="1" si="188"/>
        <v>0</v>
      </c>
      <c r="CX80" s="139">
        <f t="shared" ca="1" si="189"/>
        <v>0</v>
      </c>
      <c r="CY80" s="139">
        <f t="shared" ca="1" si="190"/>
        <v>0</v>
      </c>
      <c r="CZ80" s="139">
        <f t="shared" ca="1" si="191"/>
        <v>0</v>
      </c>
      <c r="DA80" s="516"/>
      <c r="DB80" s="139">
        <f t="shared" ca="1" si="158"/>
        <v>0</v>
      </c>
      <c r="DC80" s="139">
        <f t="shared" ca="1" si="159"/>
        <v>0</v>
      </c>
      <c r="DD80" s="518"/>
      <c r="DE80" s="139">
        <f t="shared" ca="1" si="192"/>
        <v>0</v>
      </c>
      <c r="DF80" s="139">
        <f t="shared" ca="1" si="193"/>
        <v>0</v>
      </c>
      <c r="DG80" s="139">
        <f t="shared" ca="1" si="160"/>
        <v>0</v>
      </c>
      <c r="DH80" s="457"/>
      <c r="DI80" s="139">
        <f ca="1"/>
        <v>0</v>
      </c>
      <c r="DJ80" s="139">
        <f ca="1"/>
        <v>0</v>
      </c>
      <c r="DK80" s="139">
        <f ca="1"/>
        <v>0</v>
      </c>
      <c r="DL80" s="139">
        <f t="shared" ca="1" si="161"/>
        <v>0</v>
      </c>
      <c r="DM80" s="139">
        <f t="shared" ca="1" si="162"/>
        <v>0</v>
      </c>
      <c r="DN80" s="139">
        <f t="shared" ca="1" si="163"/>
        <v>0</v>
      </c>
      <c r="DO80" s="139">
        <f t="shared" ca="1" si="164"/>
        <v>0</v>
      </c>
      <c r="DP80" s="139">
        <f t="shared" ca="1" si="165"/>
        <v>0</v>
      </c>
      <c r="DQ80" s="139">
        <f t="shared" ca="1" si="166"/>
        <v>0</v>
      </c>
      <c r="DR80" s="139">
        <f ca="1"/>
        <v>0</v>
      </c>
      <c r="DS80" s="139">
        <f ca="1"/>
        <v>0</v>
      </c>
      <c r="DT80" s="139">
        <f t="shared" ca="1" si="167"/>
        <v>0</v>
      </c>
      <c r="DU80" s="139">
        <f t="shared" ca="1" si="168"/>
        <v>0</v>
      </c>
      <c r="DV80" s="457"/>
      <c r="DW80" s="457"/>
      <c r="DX80" s="139">
        <f ca="1"/>
        <v>0</v>
      </c>
      <c r="DY80" s="139">
        <f t="shared" ca="1" si="194"/>
        <v>0</v>
      </c>
      <c r="DZ80" s="139">
        <f t="shared" ca="1" si="169"/>
        <v>0</v>
      </c>
      <c r="EA80" s="139">
        <f t="shared" ca="1" si="170"/>
        <v>0</v>
      </c>
      <c r="EB80" s="139">
        <f t="shared" ca="1" si="171"/>
        <v>0</v>
      </c>
      <c r="EC80" s="139">
        <f t="shared" ca="1" si="172"/>
        <v>0</v>
      </c>
      <c r="ED80" s="139">
        <f t="shared" ca="1" si="195"/>
        <v>0</v>
      </c>
    </row>
    <row r="81" spans="27:134" ht="17.25" thickTop="1" thickBot="1">
      <c r="AA81" s="142"/>
      <c r="AB81" s="142"/>
      <c r="AC81" s="142"/>
      <c r="AD81" s="142"/>
      <c r="AE81" s="142"/>
      <c r="AF81" s="142"/>
      <c r="AG81" s="142"/>
      <c r="AH81" s="142"/>
      <c r="AI81" s="142"/>
      <c r="AJ81" s="142"/>
      <c r="AK81" s="142"/>
      <c r="AL81" s="142"/>
      <c r="AM81" s="142"/>
      <c r="AN81" s="142"/>
      <c r="AO81" s="142"/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I81" s="142">
        <f t="shared" si="140"/>
        <v>0</v>
      </c>
      <c r="BJ81" s="142">
        <f t="shared" si="141"/>
        <v>0</v>
      </c>
      <c r="BK81" s="142" cm="1">
        <f t="array" ref="BK81">BI81*c_rate.Pref.MO</f>
        <v>0</v>
      </c>
      <c r="BL81" s="142">
        <f t="shared" si="142"/>
        <v>0</v>
      </c>
      <c r="BM81" s="142">
        <f t="shared" si="173"/>
        <v>0</v>
      </c>
      <c r="BN81" s="142">
        <f t="shared" si="174"/>
        <v>0</v>
      </c>
      <c r="BO81" s="142">
        <f t="shared" si="175"/>
        <v>0</v>
      </c>
      <c r="BP81" s="142">
        <f t="shared" si="176"/>
        <v>0</v>
      </c>
      <c r="BQ81" s="142">
        <f t="shared" si="143"/>
        <v>0</v>
      </c>
      <c r="BR81" s="516"/>
      <c r="BS81" s="142">
        <f t="shared" ca="1" si="177"/>
        <v>470845.72769852611</v>
      </c>
      <c r="BT81" s="142">
        <f t="shared" si="144"/>
        <v>0</v>
      </c>
      <c r="BU81" s="142" cm="1">
        <f t="array" ref="BU81">IF(D81=0,0,BS81*(c_rate.Hurdle1.MO))</f>
        <v>0</v>
      </c>
      <c r="BV81" s="142">
        <f t="shared" si="178"/>
        <v>0</v>
      </c>
      <c r="BW81" s="142">
        <f t="shared" ca="1" si="145"/>
        <v>0</v>
      </c>
      <c r="BX81" s="142">
        <f t="shared" ca="1" si="179"/>
        <v>470845.72769852611</v>
      </c>
      <c r="BY81" s="142">
        <f t="shared" ca="1" si="180"/>
        <v>0</v>
      </c>
      <c r="BZ81" s="142">
        <f t="shared" ca="1" si="181"/>
        <v>0</v>
      </c>
      <c r="CA81" s="142">
        <f t="shared" ca="1" si="146"/>
        <v>0</v>
      </c>
      <c r="CB81" s="524">
        <f t="shared" ca="1" si="182"/>
        <v>0</v>
      </c>
      <c r="CC81" s="516"/>
      <c r="CD81" s="142">
        <f t="shared" ca="1" si="183"/>
        <v>835484.21687966748</v>
      </c>
      <c r="CE81" s="142">
        <f t="shared" si="147"/>
        <v>0</v>
      </c>
      <c r="CF81" s="142" cm="1">
        <f t="array" ref="CF81">IF($D82=0,0,CD81*(c_rate.Hurdle2.MO))</f>
        <v>0</v>
      </c>
      <c r="CG81" s="142">
        <f t="shared" ca="1" si="148"/>
        <v>0</v>
      </c>
      <c r="CH81" s="142">
        <f t="shared" ca="1" si="184"/>
        <v>0</v>
      </c>
      <c r="CI81" s="142">
        <f t="shared" ca="1" si="149"/>
        <v>835484.21687966748</v>
      </c>
      <c r="CJ81" s="142">
        <f t="shared" ca="1" si="150"/>
        <v>0</v>
      </c>
      <c r="CK81" s="142">
        <f t="shared" ca="1" si="151"/>
        <v>0</v>
      </c>
      <c r="CL81" s="142">
        <f t="shared" ca="1" si="185"/>
        <v>0</v>
      </c>
      <c r="CM81" s="142">
        <f t="shared" ca="1" si="152"/>
        <v>0</v>
      </c>
      <c r="CN81" s="142">
        <f t="shared" ca="1" si="153"/>
        <v>0</v>
      </c>
      <c r="CO81" s="516"/>
      <c r="CP81" s="142">
        <f t="shared" ca="1" si="186"/>
        <v>1273161.612822721</v>
      </c>
      <c r="CQ81" s="142">
        <f t="shared" si="154"/>
        <v>0</v>
      </c>
      <c r="CR81" s="142" cm="1">
        <f t="array" ref="CR81">IF($D82=0,0,CP81*(c_rate.Hurdle3.MO))</f>
        <v>0</v>
      </c>
      <c r="CS81" s="142">
        <f t="shared" ca="1" si="155"/>
        <v>0</v>
      </c>
      <c r="CT81" s="142">
        <f t="shared" ca="1" si="187"/>
        <v>0</v>
      </c>
      <c r="CU81" s="142">
        <f t="shared" ca="1" si="156"/>
        <v>1273161.612822721</v>
      </c>
      <c r="CV81" s="142">
        <f t="shared" ca="1" si="157"/>
        <v>0</v>
      </c>
      <c r="CW81" s="142">
        <f t="shared" ca="1" si="188"/>
        <v>0</v>
      </c>
      <c r="CX81" s="142">
        <f t="shared" ca="1" si="189"/>
        <v>0</v>
      </c>
      <c r="CY81" s="142">
        <f t="shared" ca="1" si="190"/>
        <v>0</v>
      </c>
      <c r="CZ81" s="142">
        <f t="shared" ca="1" si="191"/>
        <v>0</v>
      </c>
      <c r="DA81" s="516"/>
      <c r="DB81" s="142">
        <f t="shared" ca="1" si="158"/>
        <v>0</v>
      </c>
      <c r="DC81" s="142">
        <f t="shared" ca="1" si="159"/>
        <v>0</v>
      </c>
      <c r="DD81" s="518"/>
      <c r="DE81" s="142">
        <f t="shared" ca="1" si="192"/>
        <v>0</v>
      </c>
      <c r="DF81" s="142">
        <f t="shared" ca="1" si="193"/>
        <v>0</v>
      </c>
      <c r="DG81" s="142">
        <f t="shared" ca="1" si="160"/>
        <v>0</v>
      </c>
      <c r="DH81" s="457"/>
      <c r="DI81" s="142">
        <f ca="1"/>
        <v>0</v>
      </c>
      <c r="DJ81" s="142">
        <f ca="1"/>
        <v>0</v>
      </c>
      <c r="DK81" s="142">
        <f ca="1"/>
        <v>0</v>
      </c>
      <c r="DL81" s="142">
        <f t="shared" ca="1" si="161"/>
        <v>0</v>
      </c>
      <c r="DM81" s="142">
        <f t="shared" ca="1" si="162"/>
        <v>0</v>
      </c>
      <c r="DN81" s="142">
        <f t="shared" ca="1" si="163"/>
        <v>0</v>
      </c>
      <c r="DO81" s="142">
        <f t="shared" ca="1" si="164"/>
        <v>0</v>
      </c>
      <c r="DP81" s="142">
        <f t="shared" ca="1" si="165"/>
        <v>0</v>
      </c>
      <c r="DQ81" s="142">
        <f t="shared" ca="1" si="166"/>
        <v>0</v>
      </c>
      <c r="DR81" s="142">
        <f ca="1"/>
        <v>0</v>
      </c>
      <c r="DS81" s="142">
        <f ca="1"/>
        <v>0</v>
      </c>
      <c r="DT81" s="142">
        <f t="shared" ca="1" si="167"/>
        <v>0</v>
      </c>
      <c r="DU81" s="142">
        <f t="shared" ca="1" si="168"/>
        <v>0</v>
      </c>
      <c r="DV81" s="457"/>
      <c r="DW81" s="457"/>
      <c r="DX81" s="142">
        <f ca="1"/>
        <v>0</v>
      </c>
      <c r="DY81" s="142">
        <f t="shared" ca="1" si="194"/>
        <v>0</v>
      </c>
      <c r="DZ81" s="142">
        <f t="shared" ca="1" si="169"/>
        <v>0</v>
      </c>
      <c r="EA81" s="142">
        <f t="shared" ca="1" si="170"/>
        <v>0</v>
      </c>
      <c r="EB81" s="142">
        <f t="shared" ca="1" si="171"/>
        <v>0</v>
      </c>
      <c r="EC81" s="142">
        <f t="shared" ca="1" si="172"/>
        <v>0</v>
      </c>
      <c r="ED81" s="142">
        <f t="shared" ca="1" si="195"/>
        <v>0</v>
      </c>
    </row>
    <row r="82" spans="27:134" ht="17.25" thickTop="1" thickBot="1">
      <c r="AA82" s="554"/>
      <c r="AB82" s="554"/>
      <c r="AC82" s="554"/>
      <c r="AD82" s="554"/>
      <c r="AE82" s="554"/>
      <c r="AF82" s="554"/>
      <c r="AG82" s="554"/>
      <c r="AH82" s="554"/>
      <c r="AI82" s="554"/>
      <c r="AJ82" s="554"/>
      <c r="AK82" s="554"/>
      <c r="AL82" s="554"/>
      <c r="AM82" s="554"/>
      <c r="AN82" s="554"/>
      <c r="AO82" s="554"/>
      <c r="AP82" s="554"/>
      <c r="AQ82" s="554"/>
      <c r="AR82" s="554"/>
      <c r="AS82" s="554"/>
      <c r="AT82" s="554"/>
      <c r="AU82" s="554"/>
      <c r="AV82" s="554"/>
      <c r="AW82" s="554"/>
      <c r="AX82" s="554"/>
      <c r="AY82" s="554"/>
      <c r="AZ82" s="554"/>
      <c r="BI82" s="554">
        <f ca="1">SUM(BI9:BI81)</f>
        <v>75121516.3162525</v>
      </c>
      <c r="BJ82" s="554">
        <f ca="1">SUM(BJ9:BJ81)</f>
        <v>1405497.0259399039</v>
      </c>
      <c r="BK82" s="554">
        <f ca="1">SUM(BK9:BK81)</f>
        <v>599029.5203379828</v>
      </c>
      <c r="BL82" s="554">
        <f ca="1">SUM(BL9:BL81)</f>
        <v>1894682.6138079374</v>
      </c>
      <c r="BM82" s="554"/>
      <c r="BN82" s="554">
        <f ca="1">SUM(BN9:BN81)</f>
        <v>489185.58786803344</v>
      </c>
      <c r="BO82" s="554">
        <f ca="1">SUM(BO9:BO81)</f>
        <v>163061.86262267781</v>
      </c>
      <c r="BP82" s="554">
        <f ca="1">SUM(BP9:BP81)</f>
        <v>652247.45049071126</v>
      </c>
      <c r="BQ82" s="554">
        <f ca="1">SUM(BQ9:BQ81)</f>
        <v>0</v>
      </c>
      <c r="BR82" s="553"/>
      <c r="BS82" s="554"/>
      <c r="BT82" s="138">
        <f ca="1">SUM(BT9:BT81)</f>
        <v>1405497.0259399039</v>
      </c>
      <c r="BU82" s="138">
        <f ca="1">SUM(BU9:BU81)</f>
        <v>960031.31556655956</v>
      </c>
      <c r="BV82" s="138">
        <f ca="1">SUM(BV9:BV81)</f>
        <v>1894682.6138079374</v>
      </c>
      <c r="BW82" s="138">
        <f ca="1">SUM(BW9:BW81)</f>
        <v>0</v>
      </c>
      <c r="BX82" s="138"/>
      <c r="BY82" s="138">
        <f ca="1">SUM(BY9:BY81)</f>
        <v>489185.58786803344</v>
      </c>
      <c r="BZ82" s="138">
        <f ca="1">SUM(BZ9:BZ81)</f>
        <v>163061.86262267781</v>
      </c>
      <c r="CA82" s="138">
        <f ca="1">SUM(CA9:CA81)</f>
        <v>652247.45049071126</v>
      </c>
      <c r="CB82" s="138">
        <f ca="1">SUM(CB9:CB81)</f>
        <v>0</v>
      </c>
      <c r="CC82" s="457"/>
      <c r="CD82" s="554"/>
      <c r="CE82" s="554">
        <f t="shared" ref="CE82:CN82" ca="1" si="196">SUM(CE9:CE81)</f>
        <v>1405497.0259399039</v>
      </c>
      <c r="CF82" s="554">
        <f t="shared" ca="1" si="196"/>
        <v>1324669.8047477</v>
      </c>
      <c r="CG82" s="554">
        <f t="shared" ca="1" si="196"/>
        <v>1894682.6138079374</v>
      </c>
      <c r="CH82" s="554">
        <f t="shared" ca="1" si="196"/>
        <v>0</v>
      </c>
      <c r="CI82" s="554">
        <f t="shared" ca="1" si="196"/>
        <v>112649892.13888392</v>
      </c>
      <c r="CJ82" s="554">
        <f t="shared" ca="1" si="196"/>
        <v>489185.58786803344</v>
      </c>
      <c r="CK82" s="554">
        <f t="shared" ca="1" si="196"/>
        <v>489185.58786803344</v>
      </c>
      <c r="CL82" s="554">
        <f t="shared" ca="1" si="196"/>
        <v>163061.86262267781</v>
      </c>
      <c r="CM82" s="554">
        <f t="shared" ca="1" si="196"/>
        <v>652247.45049071126</v>
      </c>
      <c r="CN82" s="554">
        <f t="shared" ca="1" si="196"/>
        <v>0</v>
      </c>
      <c r="CO82" s="516"/>
      <c r="CP82" s="555"/>
      <c r="CQ82" s="554">
        <f ca="1">SUM(CQ9:CQ81)</f>
        <v>1405497.0259399039</v>
      </c>
      <c r="CR82" s="554"/>
      <c r="CS82" s="554">
        <f ca="1">SUM(CS9:CS81)</f>
        <v>1894682.6138079374</v>
      </c>
      <c r="CT82" s="554">
        <f ca="1">SUM(CT9:CT81)</f>
        <v>0</v>
      </c>
      <c r="CU82" s="554"/>
      <c r="CV82" s="554">
        <f ca="1">SUM(CV9:CV81)</f>
        <v>489185.58786803344</v>
      </c>
      <c r="CW82" s="554">
        <f ca="1">SUM(CW9:CW81)</f>
        <v>489185.58786803344</v>
      </c>
      <c r="CX82" s="554">
        <f ca="1">SUM(CX9:CX81)</f>
        <v>163061.86262267781</v>
      </c>
      <c r="CY82" s="554">
        <f ca="1">SUM(CY9:CY81)</f>
        <v>652247.45049071126</v>
      </c>
      <c r="CZ82" s="554">
        <f ca="1">SUM(CZ9:CZ81)</f>
        <v>0</v>
      </c>
      <c r="DA82" s="516"/>
      <c r="DB82" s="554">
        <f ca="1">SUM(DB9:DB81)</f>
        <v>0</v>
      </c>
      <c r="DC82" s="554">
        <f ca="1">SUM(DC9:DC81)</f>
        <v>0</v>
      </c>
      <c r="DD82" s="556"/>
      <c r="DE82" s="554">
        <f ca="1">SUM(DE9:DE81)</f>
        <v>489185.58786803344</v>
      </c>
      <c r="DF82" s="554">
        <f ca="1">SUM(DF9:DF81)</f>
        <v>163061.86262267781</v>
      </c>
      <c r="DG82" s="554">
        <f ca="1">SUM(DG9:DG81)</f>
        <v>652247.45049071126</v>
      </c>
      <c r="DH82" s="457"/>
      <c r="DI82" s="557">
        <f t="shared" ref="DI82:DU82" ca="1" si="197">SUM(DI9:DI81)</f>
        <v>652247.45049071126</v>
      </c>
      <c r="DJ82" s="557">
        <f t="shared" ca="1" si="197"/>
        <v>489185.58786803344</v>
      </c>
      <c r="DK82" s="557">
        <f t="shared" ca="1" si="197"/>
        <v>163061.86262267781</v>
      </c>
      <c r="DL82" s="557">
        <f t="shared" ca="1" si="197"/>
        <v>0</v>
      </c>
      <c r="DM82" s="557">
        <f t="shared" ca="1" si="197"/>
        <v>0</v>
      </c>
      <c r="DN82" s="557">
        <f t="shared" ca="1" si="197"/>
        <v>0</v>
      </c>
      <c r="DO82" s="557">
        <f t="shared" ca="1" si="197"/>
        <v>0</v>
      </c>
      <c r="DP82" s="557">
        <f t="shared" ca="1" si="197"/>
        <v>0</v>
      </c>
      <c r="DQ82" s="557">
        <f t="shared" ca="1" si="197"/>
        <v>0</v>
      </c>
      <c r="DR82" s="557">
        <f t="shared" ca="1" si="197"/>
        <v>0</v>
      </c>
      <c r="DS82" s="557">
        <f t="shared" ca="1" si="197"/>
        <v>0</v>
      </c>
      <c r="DT82" s="557">
        <f t="shared" ca="1" si="197"/>
        <v>489185.58786803344</v>
      </c>
      <c r="DU82" s="557">
        <f t="shared" ca="1" si="197"/>
        <v>163061.86262267781</v>
      </c>
      <c r="DV82" s="457"/>
      <c r="DW82" s="457"/>
      <c r="DX82" s="557">
        <f t="shared" ref="DX82:ED82" ca="1" si="198">SUM(DX9:DX81)</f>
        <v>652247.45049071126</v>
      </c>
      <c r="DY82" s="557">
        <f t="shared" ca="1" si="198"/>
        <v>2292095.5044374615</v>
      </c>
      <c r="DZ82" s="557">
        <f t="shared" ca="1" si="198"/>
        <v>0</v>
      </c>
      <c r="EA82" s="557">
        <f t="shared" ca="1" si="198"/>
        <v>0</v>
      </c>
      <c r="EB82" s="557">
        <f t="shared" ca="1" si="198"/>
        <v>0</v>
      </c>
      <c r="EC82" s="557">
        <f t="shared" ca="1" si="198"/>
        <v>0</v>
      </c>
      <c r="ED82" s="557">
        <f t="shared" ca="1" si="198"/>
        <v>652247.45049071126</v>
      </c>
    </row>
    <row r="83" spans="27:134" ht="17.25" thickTop="1" thickBot="1">
      <c r="AA83" s="457"/>
      <c r="AB83" s="457"/>
      <c r="AC83" s="457"/>
      <c r="AD83" s="457"/>
      <c r="AE83" s="457"/>
      <c r="AF83" s="457"/>
      <c r="AG83" s="457"/>
      <c r="AH83" s="457"/>
      <c r="AI83" s="457"/>
      <c r="AJ83" s="457"/>
      <c r="AK83" s="457"/>
      <c r="AL83" s="457"/>
      <c r="AM83" s="457"/>
      <c r="AN83" s="457"/>
      <c r="AO83" s="457"/>
      <c r="AP83" s="457"/>
      <c r="AQ83" s="457"/>
      <c r="AR83" s="457"/>
      <c r="AS83" s="457"/>
      <c r="AT83" s="457"/>
      <c r="AU83" s="457"/>
      <c r="AV83" s="457"/>
      <c r="AW83" s="457"/>
      <c r="AX83" s="457"/>
      <c r="AY83" s="457"/>
      <c r="AZ83" s="457"/>
      <c r="BI83" s="457"/>
      <c r="BJ83" s="457"/>
      <c r="BK83" s="457"/>
      <c r="BL83" s="457"/>
      <c r="BM83" s="457"/>
      <c r="BN83" s="457"/>
      <c r="BO83" s="457"/>
      <c r="BP83" s="457"/>
      <c r="BQ83" s="457"/>
      <c r="BR83" s="457"/>
      <c r="BS83" s="457"/>
      <c r="BT83" s="457"/>
      <c r="BU83" s="457"/>
      <c r="BV83" s="457"/>
      <c r="BW83" s="457"/>
      <c r="BX83" s="457"/>
      <c r="BY83" s="457"/>
      <c r="BZ83" s="457"/>
      <c r="CA83" s="457"/>
      <c r="CB83" s="457"/>
      <c r="CC83" s="457"/>
      <c r="CD83" s="457"/>
      <c r="CE83" s="457"/>
      <c r="CF83" s="457"/>
      <c r="CG83" s="457"/>
      <c r="CH83" s="457"/>
      <c r="CI83" s="457"/>
      <c r="CJ83" s="457"/>
      <c r="CK83" s="457"/>
      <c r="CL83" s="457"/>
      <c r="CM83" s="457"/>
      <c r="CN83" s="457"/>
      <c r="CO83" s="516"/>
      <c r="CP83" s="457"/>
      <c r="CQ83" s="457"/>
      <c r="CR83" s="457"/>
      <c r="CS83" s="457"/>
      <c r="CT83" s="457"/>
      <c r="CU83" s="457"/>
      <c r="CV83" s="457"/>
      <c r="CW83" s="457"/>
      <c r="CX83" s="457"/>
      <c r="CY83" s="457"/>
      <c r="CZ83" s="457"/>
      <c r="DA83" s="457"/>
      <c r="DB83" s="457"/>
      <c r="DC83" s="457"/>
      <c r="DD83" s="457"/>
      <c r="DE83" s="457"/>
      <c r="DF83" s="457"/>
      <c r="DG83" s="457"/>
      <c r="DH83" s="457"/>
      <c r="DI83" s="457"/>
      <c r="DJ83" s="457"/>
      <c r="DK83" s="457"/>
      <c r="DL83" s="457"/>
      <c r="DM83" s="457"/>
      <c r="DN83" s="457"/>
      <c r="DO83" s="457"/>
      <c r="DP83" s="457"/>
      <c r="DQ83" s="457"/>
      <c r="DR83" s="457"/>
      <c r="DS83" s="457"/>
      <c r="DT83" s="457"/>
      <c r="DU83" s="457"/>
      <c r="DV83" s="457"/>
      <c r="DW83" s="457"/>
      <c r="DX83" s="457"/>
      <c r="DY83" s="457"/>
      <c r="DZ83" s="457"/>
      <c r="EA83" s="457"/>
      <c r="EB83" s="457"/>
      <c r="EC83" s="457"/>
      <c r="ED83" s="457"/>
    </row>
    <row r="84" spans="27:134" ht="17.25" thickTop="1" thickBot="1">
      <c r="AA84" s="558"/>
      <c r="AB84" s="558"/>
      <c r="AC84" s="558"/>
      <c r="AD84" s="558"/>
      <c r="AE84" s="558"/>
      <c r="AF84" s="558"/>
      <c r="AG84" s="558"/>
      <c r="AH84" s="558"/>
      <c r="AI84" s="558"/>
      <c r="AJ84" s="558"/>
      <c r="AK84" s="558"/>
      <c r="AL84" s="558"/>
      <c r="AM84" s="558"/>
      <c r="AN84" s="558"/>
      <c r="AO84" s="558"/>
      <c r="AP84" s="558"/>
      <c r="AQ84" s="558"/>
      <c r="AR84" s="558"/>
      <c r="AS84" s="558"/>
      <c r="AT84" s="558"/>
      <c r="AU84" s="558"/>
      <c r="AV84" s="558"/>
      <c r="AW84" s="558"/>
      <c r="AX84" s="558"/>
      <c r="AY84" s="558"/>
      <c r="AZ84" s="558"/>
      <c r="BI84" s="558">
        <f t="shared" ref="BI84:BQ84" si="199">BI9</f>
        <v>0</v>
      </c>
      <c r="BJ84" s="558">
        <f t="shared" ca="1" si="199"/>
        <v>1229886.0404600629</v>
      </c>
      <c r="BK84" s="558">
        <f t="shared" si="199"/>
        <v>0</v>
      </c>
      <c r="BL84" s="558">
        <f t="shared" ca="1" si="199"/>
        <v>0</v>
      </c>
      <c r="BM84" s="558">
        <f t="shared" ca="1" si="199"/>
        <v>1229886.0404600629</v>
      </c>
      <c r="BN84" s="558">
        <f t="shared" ca="1" si="199"/>
        <v>-1229886.0404600629</v>
      </c>
      <c r="BO84" s="558">
        <f t="shared" ca="1" si="199"/>
        <v>-409962.01348668762</v>
      </c>
      <c r="BP84" s="558">
        <f t="shared" ca="1" si="199"/>
        <v>-1639848.0539467505</v>
      </c>
      <c r="BQ84" s="558">
        <f t="shared" ca="1" si="199"/>
        <v>0</v>
      </c>
      <c r="BR84" s="525"/>
      <c r="BS84" s="558"/>
      <c r="BT84" s="558"/>
      <c r="BU84" s="558"/>
      <c r="BV84" s="558"/>
      <c r="BW84" s="558"/>
      <c r="BX84" s="558"/>
      <c r="BY84" s="558">
        <f ca="1">BY9</f>
        <v>-1229886.0404600629</v>
      </c>
      <c r="BZ84" s="558">
        <f ca="1">BZ9</f>
        <v>-409962.01348668762</v>
      </c>
      <c r="CA84" s="558">
        <f ca="1">CA9</f>
        <v>-1639848.0539467505</v>
      </c>
      <c r="CB84" s="558"/>
      <c r="CC84" s="525"/>
      <c r="CD84" s="558"/>
      <c r="CE84" s="558"/>
      <c r="CF84" s="558"/>
      <c r="CG84" s="558"/>
      <c r="CH84" s="558"/>
      <c r="CI84" s="558">
        <f ca="1">BJ84</f>
        <v>1229886.0404600629</v>
      </c>
      <c r="CJ84" s="558"/>
      <c r="CK84" s="558">
        <f ca="1">BY84</f>
        <v>-1229886.0404600629</v>
      </c>
      <c r="CL84" s="558">
        <f ca="1">BZ84</f>
        <v>-409962.01348668762</v>
      </c>
      <c r="CM84" s="558">
        <f ca="1">CA84</f>
        <v>-1639848.0539467505</v>
      </c>
      <c r="CN84" s="558"/>
      <c r="CO84" s="516"/>
      <c r="CP84" s="558"/>
      <c r="CQ84" s="558"/>
      <c r="CR84" s="558"/>
      <c r="CS84" s="558"/>
      <c r="CT84" s="558"/>
      <c r="CU84" s="558"/>
      <c r="CV84" s="558">
        <f ca="1">CV9</f>
        <v>-1229886.0404600629</v>
      </c>
      <c r="CW84" s="558">
        <f ca="1">CW9</f>
        <v>-1229886.0404600629</v>
      </c>
      <c r="CX84" s="558">
        <f ca="1">CX9</f>
        <v>-409962.01348668762</v>
      </c>
      <c r="CY84" s="558">
        <f ca="1">CY9</f>
        <v>-1639848.0539467505</v>
      </c>
      <c r="CZ84" s="558"/>
      <c r="DA84" s="525"/>
      <c r="DB84" s="558"/>
      <c r="DC84" s="558"/>
      <c r="DD84" s="526"/>
      <c r="DE84" s="558"/>
      <c r="DF84" s="558"/>
      <c r="DG84" s="558"/>
      <c r="DH84" s="457"/>
      <c r="DI84" s="558"/>
      <c r="DJ84" s="558"/>
      <c r="DK84" s="558"/>
      <c r="DL84" s="558"/>
      <c r="DM84" s="558"/>
      <c r="DN84" s="558"/>
      <c r="DO84" s="558"/>
      <c r="DP84" s="558"/>
      <c r="DQ84" s="558"/>
      <c r="DR84" s="558"/>
      <c r="DS84" s="558"/>
      <c r="DT84" s="558"/>
      <c r="DU84" s="558"/>
      <c r="DV84" s="457"/>
      <c r="DW84" s="457"/>
      <c r="DX84" s="558"/>
      <c r="DY84" s="558"/>
      <c r="DZ84" s="558"/>
      <c r="EA84" s="558"/>
      <c r="EB84" s="558"/>
      <c r="EC84" s="558"/>
      <c r="ED84" s="558"/>
    </row>
    <row r="85" spans="27:134" ht="17.25" thickTop="1" thickBot="1">
      <c r="AA85" s="523"/>
      <c r="AB85" s="523"/>
      <c r="AC85" s="523"/>
      <c r="AD85" s="523"/>
      <c r="AE85" s="523"/>
      <c r="AF85" s="523"/>
      <c r="AG85" s="523"/>
      <c r="AH85" s="523"/>
      <c r="AI85" s="523"/>
      <c r="AJ85" s="523"/>
      <c r="AK85" s="523"/>
      <c r="AL85" s="523"/>
      <c r="AM85" s="523"/>
      <c r="AN85" s="523"/>
      <c r="AO85" s="523"/>
      <c r="AP85" s="523"/>
      <c r="AQ85" s="523"/>
      <c r="AR85" s="523"/>
      <c r="AS85" s="523"/>
      <c r="AT85" s="523"/>
      <c r="AU85" s="523"/>
      <c r="AV85" s="523"/>
      <c r="AW85" s="523"/>
      <c r="AX85" s="523"/>
      <c r="AY85" s="523"/>
      <c r="AZ85" s="523"/>
      <c r="BI85" s="523">
        <f>IFERROR(LOOKUP($G85,$G$9:$G$81,BI$9:BI$81),0)</f>
        <v>0</v>
      </c>
      <c r="BJ85" s="523">
        <f t="shared" ref="BJ85:BL90" si="200">SUMIF($G$10:$G$81,$D86,BJ$10:BJ$81)</f>
        <v>0</v>
      </c>
      <c r="BK85" s="523">
        <f t="shared" si="200"/>
        <v>0</v>
      </c>
      <c r="BL85" s="523">
        <f t="shared" si="200"/>
        <v>0</v>
      </c>
      <c r="BM85" s="523" cm="1">
        <f t="array" ref="BM85">LOOKUP(2,1/($G$10:$G$81=$D86),BM$10:BM$81)</f>
        <v>0</v>
      </c>
      <c r="BN85" s="523">
        <f t="shared" ref="BN85:BQ90" si="201">SUMIF($G$10:$G$81,$D86,BN$10:BN$81)</f>
        <v>0</v>
      </c>
      <c r="BO85" s="523">
        <f t="shared" si="201"/>
        <v>0</v>
      </c>
      <c r="BP85" s="523">
        <f t="shared" si="201"/>
        <v>0</v>
      </c>
      <c r="BQ85" s="523">
        <f t="shared" si="201"/>
        <v>0</v>
      </c>
      <c r="BR85" s="516"/>
      <c r="BS85" s="523">
        <f t="shared" ref="BS85:BS90" si="202">IFERROR(LOOKUP($G85,$G$9:$G$81,BS$9:BS$81),0)</f>
        <v>0</v>
      </c>
      <c r="BT85" s="523">
        <f t="shared" ref="BT85:BW90" si="203">SUMIF($G$10:$G$81,$D86,BT$10:BT$81)</f>
        <v>0</v>
      </c>
      <c r="BU85" s="523">
        <f t="shared" si="203"/>
        <v>0</v>
      </c>
      <c r="BV85" s="523">
        <f t="shared" si="203"/>
        <v>0</v>
      </c>
      <c r="BW85" s="523">
        <f t="shared" si="203"/>
        <v>0</v>
      </c>
      <c r="BX85" s="523" cm="1">
        <f t="array" aca="1" ref="BX85" ca="1">LOOKUP(2,1/($G$10:$G$81=$D86),BX$10:BX$81)</f>
        <v>470845.72769852611</v>
      </c>
      <c r="BY85" s="523">
        <f t="shared" ref="BY85:CB90" si="204">SUMIF($G$10:$G$81,$D86,BY$10:BY$81)</f>
        <v>0</v>
      </c>
      <c r="BZ85" s="523">
        <f t="shared" si="204"/>
        <v>0</v>
      </c>
      <c r="CA85" s="523">
        <f t="shared" si="204"/>
        <v>0</v>
      </c>
      <c r="CB85" s="523">
        <f t="shared" si="204"/>
        <v>0</v>
      </c>
      <c r="CC85" s="516"/>
      <c r="CD85" s="523">
        <f t="shared" ref="CD85:CD90" si="205">IFERROR(LOOKUP($G85,$G$9:$G$81,CD$9:CD$81),0)</f>
        <v>0</v>
      </c>
      <c r="CE85" s="523">
        <f t="shared" ref="CE85:CH90" si="206">SUMIF($G$10:$G$81,$D86,CE$10:CE$81)</f>
        <v>0</v>
      </c>
      <c r="CF85" s="523">
        <f t="shared" si="206"/>
        <v>0</v>
      </c>
      <c r="CG85" s="523">
        <f t="shared" si="206"/>
        <v>0</v>
      </c>
      <c r="CH85" s="523">
        <f t="shared" si="206"/>
        <v>0</v>
      </c>
      <c r="CI85" s="523" cm="1">
        <f t="array" aca="1" ref="CI85" ca="1">LOOKUP(2,1/($G$10:$G$81=$D86),CI$10:CI$81)</f>
        <v>835484.21687966748</v>
      </c>
      <c r="CJ85" s="523">
        <f t="shared" ref="CJ85:CN90" si="207">SUMIF($G$10:$G$81,$D86,CJ$10:CJ$81)</f>
        <v>0</v>
      </c>
      <c r="CK85" s="523">
        <f t="shared" si="207"/>
        <v>0</v>
      </c>
      <c r="CL85" s="523">
        <f t="shared" si="207"/>
        <v>0</v>
      </c>
      <c r="CM85" s="523">
        <f t="shared" si="207"/>
        <v>0</v>
      </c>
      <c r="CN85" s="523">
        <f t="shared" si="207"/>
        <v>0</v>
      </c>
      <c r="CO85" s="516"/>
      <c r="CP85" s="523">
        <f t="shared" ref="CP85:CP90" si="208">IFERROR(LOOKUP($G85,$G$9:$G$81,CP$9:CP$81),0)</f>
        <v>0</v>
      </c>
      <c r="CQ85" s="523">
        <f t="shared" ref="CQ85:CT90" si="209">SUMIF($G$10:$G$81,$D86,CQ$10:CQ$81)</f>
        <v>0</v>
      </c>
      <c r="CR85" s="523">
        <f t="shared" si="209"/>
        <v>0</v>
      </c>
      <c r="CS85" s="523">
        <f t="shared" si="209"/>
        <v>0</v>
      </c>
      <c r="CT85" s="523">
        <f t="shared" si="209"/>
        <v>0</v>
      </c>
      <c r="CU85" s="523" cm="1">
        <f t="array" aca="1" ref="CU85" ca="1">LOOKUP(2,1/($G$10:$G$81=$D86),CU$10:CU$81)</f>
        <v>1273161.612822721</v>
      </c>
      <c r="CV85" s="523">
        <f t="shared" ref="CV85:CZ90" si="210">SUMIF($G$10:$G$81,$D86,CV$10:CV$81)</f>
        <v>0</v>
      </c>
      <c r="CW85" s="523">
        <f t="shared" si="210"/>
        <v>0</v>
      </c>
      <c r="CX85" s="523">
        <f t="shared" si="210"/>
        <v>0</v>
      </c>
      <c r="CY85" s="523">
        <f t="shared" si="210"/>
        <v>0</v>
      </c>
      <c r="CZ85" s="523">
        <f t="shared" si="210"/>
        <v>0</v>
      </c>
      <c r="DA85" s="516"/>
      <c r="DB85" s="523">
        <f t="shared" ref="DB85:DC90" si="211">SUMIF($G$10:$G$81,$D86,DB$10:DB$81)</f>
        <v>0</v>
      </c>
      <c r="DC85" s="523">
        <f t="shared" si="211"/>
        <v>0</v>
      </c>
      <c r="DD85" s="518"/>
      <c r="DE85" s="523">
        <f t="shared" ref="DE85:DG90" si="212">SUMIF($G$10:$G$81,$D86,DE$10:DE$81)</f>
        <v>0</v>
      </c>
      <c r="DF85" s="523">
        <f t="shared" si="212"/>
        <v>0</v>
      </c>
      <c r="DG85" s="523">
        <f t="shared" si="212"/>
        <v>0</v>
      </c>
      <c r="DH85" s="457"/>
      <c r="DI85" s="523">
        <f t="shared" ref="DI85:DU90" si="213">SUMIF($G$10:$G$81,$D86,DI$10:DI$81)</f>
        <v>0</v>
      </c>
      <c r="DJ85" s="523">
        <f t="shared" si="213"/>
        <v>0</v>
      </c>
      <c r="DK85" s="523">
        <f t="shared" si="213"/>
        <v>0</v>
      </c>
      <c r="DL85" s="523">
        <f t="shared" si="213"/>
        <v>0</v>
      </c>
      <c r="DM85" s="523">
        <f t="shared" si="213"/>
        <v>0</v>
      </c>
      <c r="DN85" s="523">
        <f t="shared" si="213"/>
        <v>0</v>
      </c>
      <c r="DO85" s="523">
        <f t="shared" si="213"/>
        <v>0</v>
      </c>
      <c r="DP85" s="523">
        <f t="shared" si="213"/>
        <v>0</v>
      </c>
      <c r="DQ85" s="523">
        <f t="shared" si="213"/>
        <v>0</v>
      </c>
      <c r="DR85" s="523">
        <f t="shared" si="213"/>
        <v>0</v>
      </c>
      <c r="DS85" s="523">
        <f t="shared" si="213"/>
        <v>0</v>
      </c>
      <c r="DT85" s="523">
        <f t="shared" si="213"/>
        <v>0</v>
      </c>
      <c r="DU85" s="523">
        <f t="shared" si="213"/>
        <v>0</v>
      </c>
      <c r="DV85" s="457"/>
      <c r="DW85" s="457"/>
      <c r="DX85" s="523">
        <f t="shared" ref="DX85:ED90" si="214">SUMIF($G$10:$G$81,$D86,DX$10:DX$81)</f>
        <v>0</v>
      </c>
      <c r="DY85" s="523">
        <f t="shared" si="214"/>
        <v>0</v>
      </c>
      <c r="DZ85" s="523">
        <f t="shared" si="214"/>
        <v>0</v>
      </c>
      <c r="EA85" s="523">
        <f t="shared" si="214"/>
        <v>0</v>
      </c>
      <c r="EB85" s="523">
        <f t="shared" si="214"/>
        <v>0</v>
      </c>
      <c r="EC85" s="523">
        <f t="shared" si="214"/>
        <v>0</v>
      </c>
      <c r="ED85" s="523">
        <f t="shared" si="214"/>
        <v>0</v>
      </c>
    </row>
    <row r="86" spans="27:134" ht="17.25" thickTop="1" thickBot="1">
      <c r="AA86" s="523"/>
      <c r="AB86" s="523"/>
      <c r="AC86" s="523"/>
      <c r="AD86" s="523"/>
      <c r="AE86" s="523"/>
      <c r="AF86" s="523"/>
      <c r="AG86" s="523"/>
      <c r="AH86" s="523"/>
      <c r="AI86" s="523"/>
      <c r="AJ86" s="523"/>
      <c r="AK86" s="523"/>
      <c r="AL86" s="523"/>
      <c r="AM86" s="523"/>
      <c r="AN86" s="523"/>
      <c r="AO86" s="523"/>
      <c r="AP86" s="523"/>
      <c r="AQ86" s="523"/>
      <c r="AR86" s="523"/>
      <c r="AS86" s="523"/>
      <c r="AT86" s="523"/>
      <c r="AU86" s="523"/>
      <c r="AV86" s="523"/>
      <c r="AW86" s="523"/>
      <c r="AX86" s="523"/>
      <c r="AY86" s="523"/>
      <c r="AZ86" s="523"/>
      <c r="BI86" s="523">
        <f t="shared" ref="BI86:BI94" si="215">IFERROR(LOOKUP($G86,$G$9:$G$81,BI$9:BI$81),0)</f>
        <v>0</v>
      </c>
      <c r="BJ86" s="523">
        <f t="shared" si="200"/>
        <v>0</v>
      </c>
      <c r="BK86" s="523">
        <f t="shared" si="200"/>
        <v>0</v>
      </c>
      <c r="BL86" s="523">
        <f t="shared" si="200"/>
        <v>0</v>
      </c>
      <c r="BM86" s="523" cm="1">
        <f t="array" ref="BM86">LOOKUP(2,1/($G$10:$G$81=$D87),BM$10:BM$81)</f>
        <v>0</v>
      </c>
      <c r="BN86" s="523">
        <f t="shared" si="201"/>
        <v>0</v>
      </c>
      <c r="BO86" s="523">
        <f t="shared" si="201"/>
        <v>0</v>
      </c>
      <c r="BP86" s="523">
        <f t="shared" si="201"/>
        <v>0</v>
      </c>
      <c r="BQ86" s="523">
        <f t="shared" si="201"/>
        <v>0</v>
      </c>
      <c r="BR86" s="516"/>
      <c r="BS86" s="523">
        <f t="shared" si="202"/>
        <v>0</v>
      </c>
      <c r="BT86" s="523">
        <f t="shared" si="203"/>
        <v>0</v>
      </c>
      <c r="BU86" s="523">
        <f t="shared" si="203"/>
        <v>0</v>
      </c>
      <c r="BV86" s="523">
        <f t="shared" si="203"/>
        <v>0</v>
      </c>
      <c r="BW86" s="523">
        <f t="shared" si="203"/>
        <v>0</v>
      </c>
      <c r="BX86" s="523" cm="1">
        <f t="array" aca="1" ref="BX86" ca="1">LOOKUP(2,1/($G$10:$G$81=$D87),BX$10:BX$81)</f>
        <v>470845.72769852611</v>
      </c>
      <c r="BY86" s="523">
        <f t="shared" si="204"/>
        <v>0</v>
      </c>
      <c r="BZ86" s="523">
        <f t="shared" si="204"/>
        <v>0</v>
      </c>
      <c r="CA86" s="523">
        <f t="shared" si="204"/>
        <v>0</v>
      </c>
      <c r="CB86" s="523">
        <f t="shared" si="204"/>
        <v>0</v>
      </c>
      <c r="CC86" s="516"/>
      <c r="CD86" s="523">
        <f t="shared" si="205"/>
        <v>0</v>
      </c>
      <c r="CE86" s="523">
        <f t="shared" si="206"/>
        <v>0</v>
      </c>
      <c r="CF86" s="523">
        <f t="shared" si="206"/>
        <v>0</v>
      </c>
      <c r="CG86" s="523">
        <f t="shared" si="206"/>
        <v>0</v>
      </c>
      <c r="CH86" s="523">
        <f t="shared" si="206"/>
        <v>0</v>
      </c>
      <c r="CI86" s="523" cm="1">
        <f t="array" aca="1" ref="CI86" ca="1">LOOKUP(2,1/($G$10:$G$81=$D87),CI$10:CI$81)</f>
        <v>835484.21687966748</v>
      </c>
      <c r="CJ86" s="523">
        <f t="shared" si="207"/>
        <v>0</v>
      </c>
      <c r="CK86" s="523">
        <f t="shared" si="207"/>
        <v>0</v>
      </c>
      <c r="CL86" s="523">
        <f t="shared" si="207"/>
        <v>0</v>
      </c>
      <c r="CM86" s="523">
        <f t="shared" si="207"/>
        <v>0</v>
      </c>
      <c r="CN86" s="523">
        <f t="shared" si="207"/>
        <v>0</v>
      </c>
      <c r="CO86" s="516"/>
      <c r="CP86" s="523">
        <f t="shared" si="208"/>
        <v>0</v>
      </c>
      <c r="CQ86" s="523">
        <f t="shared" si="209"/>
        <v>0</v>
      </c>
      <c r="CR86" s="523">
        <f t="shared" si="209"/>
        <v>0</v>
      </c>
      <c r="CS86" s="523">
        <f t="shared" si="209"/>
        <v>0</v>
      </c>
      <c r="CT86" s="523">
        <f t="shared" si="209"/>
        <v>0</v>
      </c>
      <c r="CU86" s="523" cm="1">
        <f t="array" aca="1" ref="CU86" ca="1">LOOKUP(2,1/($G$10:$G$81=$D87),CU$10:CU$81)</f>
        <v>1273161.612822721</v>
      </c>
      <c r="CV86" s="523">
        <f t="shared" si="210"/>
        <v>0</v>
      </c>
      <c r="CW86" s="523">
        <f t="shared" si="210"/>
        <v>0</v>
      </c>
      <c r="CX86" s="523">
        <f t="shared" si="210"/>
        <v>0</v>
      </c>
      <c r="CY86" s="523">
        <f t="shared" si="210"/>
        <v>0</v>
      </c>
      <c r="CZ86" s="523">
        <f t="shared" si="210"/>
        <v>0</v>
      </c>
      <c r="DA86" s="516"/>
      <c r="DB86" s="523">
        <f t="shared" si="211"/>
        <v>0</v>
      </c>
      <c r="DC86" s="523">
        <f t="shared" si="211"/>
        <v>0</v>
      </c>
      <c r="DD86" s="518"/>
      <c r="DE86" s="523">
        <f t="shared" si="212"/>
        <v>0</v>
      </c>
      <c r="DF86" s="523">
        <f t="shared" si="212"/>
        <v>0</v>
      </c>
      <c r="DG86" s="523">
        <f t="shared" si="212"/>
        <v>0</v>
      </c>
      <c r="DH86" s="457"/>
      <c r="DI86" s="523">
        <f t="shared" si="213"/>
        <v>0</v>
      </c>
      <c r="DJ86" s="523">
        <f t="shared" si="213"/>
        <v>0</v>
      </c>
      <c r="DK86" s="523">
        <f t="shared" si="213"/>
        <v>0</v>
      </c>
      <c r="DL86" s="523">
        <f t="shared" si="213"/>
        <v>0</v>
      </c>
      <c r="DM86" s="523">
        <f t="shared" si="213"/>
        <v>0</v>
      </c>
      <c r="DN86" s="523">
        <f t="shared" si="213"/>
        <v>0</v>
      </c>
      <c r="DO86" s="523">
        <f t="shared" si="213"/>
        <v>0</v>
      </c>
      <c r="DP86" s="523">
        <f t="shared" si="213"/>
        <v>0</v>
      </c>
      <c r="DQ86" s="523">
        <f t="shared" si="213"/>
        <v>0</v>
      </c>
      <c r="DR86" s="523">
        <f t="shared" si="213"/>
        <v>0</v>
      </c>
      <c r="DS86" s="523">
        <f t="shared" si="213"/>
        <v>0</v>
      </c>
      <c r="DT86" s="523">
        <f t="shared" si="213"/>
        <v>0</v>
      </c>
      <c r="DU86" s="523">
        <f t="shared" si="213"/>
        <v>0</v>
      </c>
      <c r="DV86" s="457"/>
      <c r="DW86" s="457"/>
      <c r="DX86" s="523">
        <f t="shared" si="214"/>
        <v>0</v>
      </c>
      <c r="DY86" s="523">
        <f t="shared" si="214"/>
        <v>0</v>
      </c>
      <c r="DZ86" s="523">
        <f t="shared" si="214"/>
        <v>0</v>
      </c>
      <c r="EA86" s="523">
        <f t="shared" si="214"/>
        <v>0</v>
      </c>
      <c r="EB86" s="523">
        <f t="shared" si="214"/>
        <v>0</v>
      </c>
      <c r="EC86" s="523">
        <f t="shared" si="214"/>
        <v>0</v>
      </c>
      <c r="ED86" s="523">
        <f t="shared" si="214"/>
        <v>0</v>
      </c>
    </row>
    <row r="87" spans="27:134" ht="17.25" thickTop="1" thickBot="1">
      <c r="AA87" s="523"/>
      <c r="AB87" s="523"/>
      <c r="AC87" s="523"/>
      <c r="AD87" s="523"/>
      <c r="AE87" s="523"/>
      <c r="AF87" s="523"/>
      <c r="AG87" s="523"/>
      <c r="AH87" s="523"/>
      <c r="AI87" s="523"/>
      <c r="AJ87" s="523"/>
      <c r="AK87" s="523"/>
      <c r="AL87" s="523"/>
      <c r="AM87" s="523"/>
      <c r="AN87" s="523"/>
      <c r="AO87" s="523"/>
      <c r="AP87" s="523"/>
      <c r="AQ87" s="523"/>
      <c r="AR87" s="523"/>
      <c r="AS87" s="523"/>
      <c r="AT87" s="523"/>
      <c r="AU87" s="523"/>
      <c r="AV87" s="523"/>
      <c r="AW87" s="523"/>
      <c r="AX87" s="523"/>
      <c r="AY87" s="523"/>
      <c r="AZ87" s="523"/>
      <c r="BI87" s="523">
        <f t="shared" si="215"/>
        <v>0</v>
      </c>
      <c r="BJ87" s="523">
        <f t="shared" si="200"/>
        <v>0</v>
      </c>
      <c r="BK87" s="523">
        <f t="shared" si="200"/>
        <v>0</v>
      </c>
      <c r="BL87" s="523">
        <f t="shared" si="200"/>
        <v>0</v>
      </c>
      <c r="BM87" s="523" cm="1">
        <f t="array" ref="BM87">LOOKUP(2,1/($G$10:$G$81=$D88),BM$10:BM$81)</f>
        <v>0</v>
      </c>
      <c r="BN87" s="523">
        <f t="shared" si="201"/>
        <v>0</v>
      </c>
      <c r="BO87" s="523">
        <f t="shared" si="201"/>
        <v>0</v>
      </c>
      <c r="BP87" s="523">
        <f t="shared" si="201"/>
        <v>0</v>
      </c>
      <c r="BQ87" s="523">
        <f t="shared" si="201"/>
        <v>0</v>
      </c>
      <c r="BR87" s="516"/>
      <c r="BS87" s="523">
        <f t="shared" si="202"/>
        <v>0</v>
      </c>
      <c r="BT87" s="523">
        <f t="shared" si="203"/>
        <v>0</v>
      </c>
      <c r="BU87" s="523">
        <f t="shared" si="203"/>
        <v>0</v>
      </c>
      <c r="BV87" s="523">
        <f t="shared" si="203"/>
        <v>0</v>
      </c>
      <c r="BW87" s="523">
        <f t="shared" si="203"/>
        <v>0</v>
      </c>
      <c r="BX87" s="523" cm="1">
        <f t="array" aca="1" ref="BX87" ca="1">LOOKUP(2,1/($G$10:$G$81=$D88),BX$10:BX$81)</f>
        <v>470845.72769852611</v>
      </c>
      <c r="BY87" s="523">
        <f t="shared" si="204"/>
        <v>0</v>
      </c>
      <c r="BZ87" s="523">
        <f t="shared" si="204"/>
        <v>0</v>
      </c>
      <c r="CA87" s="523">
        <f t="shared" si="204"/>
        <v>0</v>
      </c>
      <c r="CB87" s="523">
        <f t="shared" si="204"/>
        <v>0</v>
      </c>
      <c r="CC87" s="516"/>
      <c r="CD87" s="523">
        <f t="shared" si="205"/>
        <v>0</v>
      </c>
      <c r="CE87" s="523">
        <f t="shared" si="206"/>
        <v>0</v>
      </c>
      <c r="CF87" s="523">
        <f t="shared" si="206"/>
        <v>0</v>
      </c>
      <c r="CG87" s="523">
        <f t="shared" si="206"/>
        <v>0</v>
      </c>
      <c r="CH87" s="523">
        <f t="shared" si="206"/>
        <v>0</v>
      </c>
      <c r="CI87" s="523" cm="1">
        <f t="array" aca="1" ref="CI87" ca="1">LOOKUP(2,1/($G$10:$G$81=$D88),CI$10:CI$81)</f>
        <v>835484.21687966748</v>
      </c>
      <c r="CJ87" s="523">
        <f t="shared" si="207"/>
        <v>0</v>
      </c>
      <c r="CK87" s="523">
        <f t="shared" si="207"/>
        <v>0</v>
      </c>
      <c r="CL87" s="523">
        <f t="shared" si="207"/>
        <v>0</v>
      </c>
      <c r="CM87" s="523">
        <f t="shared" si="207"/>
        <v>0</v>
      </c>
      <c r="CN87" s="523">
        <f t="shared" si="207"/>
        <v>0</v>
      </c>
      <c r="CO87" s="516"/>
      <c r="CP87" s="523">
        <f t="shared" si="208"/>
        <v>0</v>
      </c>
      <c r="CQ87" s="523">
        <f t="shared" si="209"/>
        <v>0</v>
      </c>
      <c r="CR87" s="523">
        <f t="shared" si="209"/>
        <v>0</v>
      </c>
      <c r="CS87" s="523">
        <f t="shared" si="209"/>
        <v>0</v>
      </c>
      <c r="CT87" s="523">
        <f t="shared" si="209"/>
        <v>0</v>
      </c>
      <c r="CU87" s="523" cm="1">
        <f t="array" aca="1" ref="CU87" ca="1">LOOKUP(2,1/($G$10:$G$81=$D88),CU$10:CU$81)</f>
        <v>1273161.612822721</v>
      </c>
      <c r="CV87" s="523">
        <f t="shared" si="210"/>
        <v>0</v>
      </c>
      <c r="CW87" s="523">
        <f t="shared" si="210"/>
        <v>0</v>
      </c>
      <c r="CX87" s="523">
        <f t="shared" si="210"/>
        <v>0</v>
      </c>
      <c r="CY87" s="523">
        <f t="shared" si="210"/>
        <v>0</v>
      </c>
      <c r="CZ87" s="523">
        <f t="shared" si="210"/>
        <v>0</v>
      </c>
      <c r="DA87" s="516"/>
      <c r="DB87" s="523">
        <f t="shared" si="211"/>
        <v>0</v>
      </c>
      <c r="DC87" s="523">
        <f t="shared" si="211"/>
        <v>0</v>
      </c>
      <c r="DD87" s="518"/>
      <c r="DE87" s="523">
        <f t="shared" si="212"/>
        <v>0</v>
      </c>
      <c r="DF87" s="523">
        <f t="shared" si="212"/>
        <v>0</v>
      </c>
      <c r="DG87" s="523">
        <f t="shared" si="212"/>
        <v>0</v>
      </c>
      <c r="DH87" s="457"/>
      <c r="DI87" s="523">
        <f t="shared" si="213"/>
        <v>0</v>
      </c>
      <c r="DJ87" s="523">
        <f t="shared" si="213"/>
        <v>0</v>
      </c>
      <c r="DK87" s="523">
        <f t="shared" si="213"/>
        <v>0</v>
      </c>
      <c r="DL87" s="523">
        <f t="shared" si="213"/>
        <v>0</v>
      </c>
      <c r="DM87" s="523">
        <f t="shared" si="213"/>
        <v>0</v>
      </c>
      <c r="DN87" s="523">
        <f t="shared" si="213"/>
        <v>0</v>
      </c>
      <c r="DO87" s="523">
        <f t="shared" si="213"/>
        <v>0</v>
      </c>
      <c r="DP87" s="523">
        <f t="shared" si="213"/>
        <v>0</v>
      </c>
      <c r="DQ87" s="523">
        <f t="shared" si="213"/>
        <v>0</v>
      </c>
      <c r="DR87" s="523">
        <f t="shared" si="213"/>
        <v>0</v>
      </c>
      <c r="DS87" s="523">
        <f t="shared" si="213"/>
        <v>0</v>
      </c>
      <c r="DT87" s="523">
        <f t="shared" si="213"/>
        <v>0</v>
      </c>
      <c r="DU87" s="523">
        <f t="shared" si="213"/>
        <v>0</v>
      </c>
      <c r="DV87" s="457"/>
      <c r="DW87" s="457"/>
      <c r="DX87" s="523">
        <f t="shared" si="214"/>
        <v>0</v>
      </c>
      <c r="DY87" s="523">
        <f t="shared" si="214"/>
        <v>0</v>
      </c>
      <c r="DZ87" s="523">
        <f t="shared" si="214"/>
        <v>0</v>
      </c>
      <c r="EA87" s="523">
        <f t="shared" si="214"/>
        <v>0</v>
      </c>
      <c r="EB87" s="523">
        <f t="shared" si="214"/>
        <v>0</v>
      </c>
      <c r="EC87" s="523">
        <f t="shared" si="214"/>
        <v>0</v>
      </c>
      <c r="ED87" s="523">
        <f t="shared" si="214"/>
        <v>0</v>
      </c>
    </row>
    <row r="88" spans="27:134" ht="17.25" thickTop="1" thickBot="1">
      <c r="AA88" s="523"/>
      <c r="AB88" s="523"/>
      <c r="AC88" s="523"/>
      <c r="AD88" s="523"/>
      <c r="AE88" s="523"/>
      <c r="AF88" s="523"/>
      <c r="AG88" s="523"/>
      <c r="AH88" s="523"/>
      <c r="AI88" s="523"/>
      <c r="AJ88" s="523"/>
      <c r="AK88" s="523"/>
      <c r="AL88" s="523"/>
      <c r="AM88" s="523"/>
      <c r="AN88" s="523"/>
      <c r="AO88" s="523"/>
      <c r="AP88" s="523"/>
      <c r="AQ88" s="523"/>
      <c r="AR88" s="523"/>
      <c r="AS88" s="523"/>
      <c r="AT88" s="523"/>
      <c r="AU88" s="523"/>
      <c r="AV88" s="523"/>
      <c r="AW88" s="523"/>
      <c r="AX88" s="523"/>
      <c r="AY88" s="523"/>
      <c r="AZ88" s="523"/>
      <c r="BI88" s="523">
        <f t="shared" si="215"/>
        <v>0</v>
      </c>
      <c r="BJ88" s="523">
        <f t="shared" si="200"/>
        <v>0</v>
      </c>
      <c r="BK88" s="523">
        <f t="shared" si="200"/>
        <v>0</v>
      </c>
      <c r="BL88" s="523">
        <f t="shared" si="200"/>
        <v>0</v>
      </c>
      <c r="BM88" s="523" cm="1">
        <f t="array" ref="BM88">LOOKUP(2,1/($G$10:$G$81=$D89),BM$10:BM$81)</f>
        <v>0</v>
      </c>
      <c r="BN88" s="523">
        <f t="shared" si="201"/>
        <v>0</v>
      </c>
      <c r="BO88" s="523">
        <f t="shared" si="201"/>
        <v>0</v>
      </c>
      <c r="BP88" s="523">
        <f t="shared" si="201"/>
        <v>0</v>
      </c>
      <c r="BQ88" s="523">
        <f t="shared" si="201"/>
        <v>0</v>
      </c>
      <c r="BR88" s="516"/>
      <c r="BS88" s="523">
        <f t="shared" si="202"/>
        <v>0</v>
      </c>
      <c r="BT88" s="523">
        <f t="shared" si="203"/>
        <v>0</v>
      </c>
      <c r="BU88" s="523">
        <f t="shared" si="203"/>
        <v>0</v>
      </c>
      <c r="BV88" s="523">
        <f t="shared" si="203"/>
        <v>0</v>
      </c>
      <c r="BW88" s="523">
        <f t="shared" si="203"/>
        <v>0</v>
      </c>
      <c r="BX88" s="523" cm="1">
        <f t="array" aca="1" ref="BX88" ca="1">LOOKUP(2,1/($G$10:$G$81=$D89),BX$10:BX$81)</f>
        <v>470845.72769852611</v>
      </c>
      <c r="BY88" s="523">
        <f t="shared" si="204"/>
        <v>0</v>
      </c>
      <c r="BZ88" s="523">
        <f t="shared" si="204"/>
        <v>0</v>
      </c>
      <c r="CA88" s="523">
        <f t="shared" si="204"/>
        <v>0</v>
      </c>
      <c r="CB88" s="523">
        <f t="shared" si="204"/>
        <v>0</v>
      </c>
      <c r="CC88" s="516"/>
      <c r="CD88" s="523">
        <f t="shared" si="205"/>
        <v>0</v>
      </c>
      <c r="CE88" s="523">
        <f t="shared" si="206"/>
        <v>0</v>
      </c>
      <c r="CF88" s="523">
        <f t="shared" si="206"/>
        <v>0</v>
      </c>
      <c r="CG88" s="523">
        <f t="shared" si="206"/>
        <v>0</v>
      </c>
      <c r="CH88" s="523">
        <f t="shared" si="206"/>
        <v>0</v>
      </c>
      <c r="CI88" s="523" cm="1">
        <f t="array" aca="1" ref="CI88" ca="1">LOOKUP(2,1/($G$10:$G$81=$D89),CI$10:CI$81)</f>
        <v>835484.21687966748</v>
      </c>
      <c r="CJ88" s="523">
        <f t="shared" si="207"/>
        <v>0</v>
      </c>
      <c r="CK88" s="523">
        <f t="shared" si="207"/>
        <v>0</v>
      </c>
      <c r="CL88" s="523">
        <f t="shared" si="207"/>
        <v>0</v>
      </c>
      <c r="CM88" s="523">
        <f t="shared" si="207"/>
        <v>0</v>
      </c>
      <c r="CN88" s="523">
        <f t="shared" si="207"/>
        <v>0</v>
      </c>
      <c r="CO88" s="516"/>
      <c r="CP88" s="523">
        <f t="shared" si="208"/>
        <v>0</v>
      </c>
      <c r="CQ88" s="523">
        <f t="shared" si="209"/>
        <v>0</v>
      </c>
      <c r="CR88" s="523">
        <f t="shared" si="209"/>
        <v>0</v>
      </c>
      <c r="CS88" s="523">
        <f t="shared" si="209"/>
        <v>0</v>
      </c>
      <c r="CT88" s="523">
        <f t="shared" si="209"/>
        <v>0</v>
      </c>
      <c r="CU88" s="523" cm="1">
        <f t="array" aca="1" ref="CU88" ca="1">LOOKUP(2,1/($G$10:$G$81=$D89),CU$10:CU$81)</f>
        <v>1273161.612822721</v>
      </c>
      <c r="CV88" s="523">
        <f t="shared" si="210"/>
        <v>0</v>
      </c>
      <c r="CW88" s="523">
        <f t="shared" si="210"/>
        <v>0</v>
      </c>
      <c r="CX88" s="523">
        <f t="shared" si="210"/>
        <v>0</v>
      </c>
      <c r="CY88" s="523">
        <f t="shared" si="210"/>
        <v>0</v>
      </c>
      <c r="CZ88" s="523">
        <f t="shared" si="210"/>
        <v>0</v>
      </c>
      <c r="DA88" s="516"/>
      <c r="DB88" s="523">
        <f t="shared" si="211"/>
        <v>0</v>
      </c>
      <c r="DC88" s="523">
        <f t="shared" si="211"/>
        <v>0</v>
      </c>
      <c r="DD88" s="518"/>
      <c r="DE88" s="523">
        <f t="shared" si="212"/>
        <v>0</v>
      </c>
      <c r="DF88" s="523">
        <f t="shared" si="212"/>
        <v>0</v>
      </c>
      <c r="DG88" s="523">
        <f t="shared" si="212"/>
        <v>0</v>
      </c>
      <c r="DH88" s="457"/>
      <c r="DI88" s="523">
        <f t="shared" si="213"/>
        <v>0</v>
      </c>
      <c r="DJ88" s="523">
        <f t="shared" si="213"/>
        <v>0</v>
      </c>
      <c r="DK88" s="523">
        <f t="shared" si="213"/>
        <v>0</v>
      </c>
      <c r="DL88" s="523">
        <f t="shared" si="213"/>
        <v>0</v>
      </c>
      <c r="DM88" s="523">
        <f t="shared" si="213"/>
        <v>0</v>
      </c>
      <c r="DN88" s="523">
        <f t="shared" si="213"/>
        <v>0</v>
      </c>
      <c r="DO88" s="523">
        <f t="shared" si="213"/>
        <v>0</v>
      </c>
      <c r="DP88" s="523">
        <f t="shared" si="213"/>
        <v>0</v>
      </c>
      <c r="DQ88" s="523">
        <f t="shared" si="213"/>
        <v>0</v>
      </c>
      <c r="DR88" s="523">
        <f t="shared" si="213"/>
        <v>0</v>
      </c>
      <c r="DS88" s="523">
        <f t="shared" si="213"/>
        <v>0</v>
      </c>
      <c r="DT88" s="523">
        <f t="shared" si="213"/>
        <v>0</v>
      </c>
      <c r="DU88" s="523">
        <f t="shared" si="213"/>
        <v>0</v>
      </c>
      <c r="DV88" s="457"/>
      <c r="DW88" s="457"/>
      <c r="DX88" s="523">
        <f t="shared" si="214"/>
        <v>0</v>
      </c>
      <c r="DY88" s="523">
        <f t="shared" si="214"/>
        <v>0</v>
      </c>
      <c r="DZ88" s="523">
        <f t="shared" si="214"/>
        <v>0</v>
      </c>
      <c r="EA88" s="523">
        <f t="shared" si="214"/>
        <v>0</v>
      </c>
      <c r="EB88" s="523">
        <f t="shared" si="214"/>
        <v>0</v>
      </c>
      <c r="EC88" s="523">
        <f t="shared" si="214"/>
        <v>0</v>
      </c>
      <c r="ED88" s="523">
        <f t="shared" si="214"/>
        <v>0</v>
      </c>
    </row>
    <row r="89" spans="27:134" ht="17.25" thickTop="1" thickBot="1">
      <c r="AA89" s="523"/>
      <c r="AB89" s="523"/>
      <c r="AC89" s="523"/>
      <c r="AD89" s="523"/>
      <c r="AE89" s="523"/>
      <c r="AF89" s="523"/>
      <c r="AG89" s="523"/>
      <c r="AH89" s="523"/>
      <c r="AI89" s="523"/>
      <c r="AJ89" s="523"/>
      <c r="AK89" s="523"/>
      <c r="AL89" s="523"/>
      <c r="AM89" s="523"/>
      <c r="AN89" s="523"/>
      <c r="AO89" s="523"/>
      <c r="AP89" s="523"/>
      <c r="AQ89" s="523"/>
      <c r="AR89" s="523"/>
      <c r="AS89" s="523"/>
      <c r="AT89" s="523"/>
      <c r="AU89" s="523"/>
      <c r="AV89" s="523"/>
      <c r="AW89" s="523"/>
      <c r="AX89" s="523"/>
      <c r="AY89" s="523"/>
      <c r="AZ89" s="523"/>
      <c r="BI89" s="523">
        <f t="shared" si="215"/>
        <v>0</v>
      </c>
      <c r="BJ89" s="523">
        <f t="shared" si="200"/>
        <v>0</v>
      </c>
      <c r="BK89" s="523">
        <f t="shared" si="200"/>
        <v>0</v>
      </c>
      <c r="BL89" s="523">
        <f t="shared" si="200"/>
        <v>0</v>
      </c>
      <c r="BM89" s="523" cm="1">
        <f t="array" ref="BM89">LOOKUP(2,1/($G$10:$G$81=$D90),BM$10:BM$81)</f>
        <v>0</v>
      </c>
      <c r="BN89" s="523">
        <f t="shared" si="201"/>
        <v>0</v>
      </c>
      <c r="BO89" s="523">
        <f t="shared" si="201"/>
        <v>0</v>
      </c>
      <c r="BP89" s="523">
        <f t="shared" si="201"/>
        <v>0</v>
      </c>
      <c r="BQ89" s="523">
        <f t="shared" si="201"/>
        <v>0</v>
      </c>
      <c r="BR89" s="516"/>
      <c r="BS89" s="523">
        <f t="shared" si="202"/>
        <v>0</v>
      </c>
      <c r="BT89" s="523">
        <f t="shared" si="203"/>
        <v>0</v>
      </c>
      <c r="BU89" s="523">
        <f t="shared" si="203"/>
        <v>0</v>
      </c>
      <c r="BV89" s="523">
        <f t="shared" si="203"/>
        <v>0</v>
      </c>
      <c r="BW89" s="523">
        <f t="shared" si="203"/>
        <v>0</v>
      </c>
      <c r="BX89" s="523" cm="1">
        <f t="array" aca="1" ref="BX89" ca="1">LOOKUP(2,1/($G$10:$G$81=$D90),BX$10:BX$81)</f>
        <v>470845.72769852611</v>
      </c>
      <c r="BY89" s="523">
        <f t="shared" si="204"/>
        <v>0</v>
      </c>
      <c r="BZ89" s="523">
        <f t="shared" si="204"/>
        <v>0</v>
      </c>
      <c r="CA89" s="523">
        <f t="shared" si="204"/>
        <v>0</v>
      </c>
      <c r="CB89" s="523">
        <f t="shared" si="204"/>
        <v>0</v>
      </c>
      <c r="CC89" s="516"/>
      <c r="CD89" s="523">
        <f t="shared" si="205"/>
        <v>0</v>
      </c>
      <c r="CE89" s="523">
        <f t="shared" si="206"/>
        <v>0</v>
      </c>
      <c r="CF89" s="523">
        <f t="shared" si="206"/>
        <v>0</v>
      </c>
      <c r="CG89" s="523">
        <f t="shared" si="206"/>
        <v>0</v>
      </c>
      <c r="CH89" s="523">
        <f t="shared" si="206"/>
        <v>0</v>
      </c>
      <c r="CI89" s="523" cm="1">
        <f t="array" aca="1" ref="CI89" ca="1">LOOKUP(2,1/($G$10:$G$81=$D90),CI$10:CI$81)</f>
        <v>835484.21687966748</v>
      </c>
      <c r="CJ89" s="523">
        <f t="shared" si="207"/>
        <v>0</v>
      </c>
      <c r="CK89" s="523">
        <f t="shared" si="207"/>
        <v>0</v>
      </c>
      <c r="CL89" s="523">
        <f t="shared" si="207"/>
        <v>0</v>
      </c>
      <c r="CM89" s="523">
        <f t="shared" si="207"/>
        <v>0</v>
      </c>
      <c r="CN89" s="523">
        <f t="shared" si="207"/>
        <v>0</v>
      </c>
      <c r="CO89" s="516"/>
      <c r="CP89" s="523">
        <f t="shared" si="208"/>
        <v>0</v>
      </c>
      <c r="CQ89" s="523">
        <f t="shared" si="209"/>
        <v>0</v>
      </c>
      <c r="CR89" s="523">
        <f t="shared" si="209"/>
        <v>0</v>
      </c>
      <c r="CS89" s="523">
        <f t="shared" si="209"/>
        <v>0</v>
      </c>
      <c r="CT89" s="523">
        <f t="shared" si="209"/>
        <v>0</v>
      </c>
      <c r="CU89" s="523" cm="1">
        <f t="array" aca="1" ref="CU89" ca="1">LOOKUP(2,1/($G$10:$G$81=$D90),CU$10:CU$81)</f>
        <v>1273161.612822721</v>
      </c>
      <c r="CV89" s="523">
        <f t="shared" si="210"/>
        <v>0</v>
      </c>
      <c r="CW89" s="523">
        <f t="shared" si="210"/>
        <v>0</v>
      </c>
      <c r="CX89" s="523">
        <f t="shared" si="210"/>
        <v>0</v>
      </c>
      <c r="CY89" s="523">
        <f t="shared" si="210"/>
        <v>0</v>
      </c>
      <c r="CZ89" s="523">
        <f t="shared" si="210"/>
        <v>0</v>
      </c>
      <c r="DA89" s="516"/>
      <c r="DB89" s="523">
        <f t="shared" si="211"/>
        <v>0</v>
      </c>
      <c r="DC89" s="523">
        <f t="shared" si="211"/>
        <v>0</v>
      </c>
      <c r="DD89" s="518"/>
      <c r="DE89" s="523">
        <f t="shared" si="212"/>
        <v>0</v>
      </c>
      <c r="DF89" s="523">
        <f t="shared" si="212"/>
        <v>0</v>
      </c>
      <c r="DG89" s="523">
        <f t="shared" si="212"/>
        <v>0</v>
      </c>
      <c r="DH89" s="457"/>
      <c r="DI89" s="523">
        <f t="shared" si="213"/>
        <v>0</v>
      </c>
      <c r="DJ89" s="523">
        <f t="shared" si="213"/>
        <v>0</v>
      </c>
      <c r="DK89" s="523">
        <f t="shared" si="213"/>
        <v>0</v>
      </c>
      <c r="DL89" s="523">
        <f t="shared" si="213"/>
        <v>0</v>
      </c>
      <c r="DM89" s="523">
        <f t="shared" si="213"/>
        <v>0</v>
      </c>
      <c r="DN89" s="523">
        <f t="shared" si="213"/>
        <v>0</v>
      </c>
      <c r="DO89" s="523">
        <f t="shared" si="213"/>
        <v>0</v>
      </c>
      <c r="DP89" s="523">
        <f t="shared" si="213"/>
        <v>0</v>
      </c>
      <c r="DQ89" s="523">
        <f t="shared" si="213"/>
        <v>0</v>
      </c>
      <c r="DR89" s="523">
        <f t="shared" si="213"/>
        <v>0</v>
      </c>
      <c r="DS89" s="523">
        <f t="shared" si="213"/>
        <v>0</v>
      </c>
      <c r="DT89" s="523">
        <f t="shared" si="213"/>
        <v>0</v>
      </c>
      <c r="DU89" s="523">
        <f t="shared" si="213"/>
        <v>0</v>
      </c>
      <c r="DV89" s="457"/>
      <c r="DW89" s="457"/>
      <c r="DX89" s="523">
        <f t="shared" si="214"/>
        <v>0</v>
      </c>
      <c r="DY89" s="523">
        <f t="shared" si="214"/>
        <v>0</v>
      </c>
      <c r="DZ89" s="523">
        <f t="shared" si="214"/>
        <v>0</v>
      </c>
      <c r="EA89" s="523">
        <f t="shared" si="214"/>
        <v>0</v>
      </c>
      <c r="EB89" s="523">
        <f t="shared" si="214"/>
        <v>0</v>
      </c>
      <c r="EC89" s="523">
        <f t="shared" si="214"/>
        <v>0</v>
      </c>
      <c r="ED89" s="523">
        <f t="shared" si="214"/>
        <v>0</v>
      </c>
    </row>
    <row r="90" spans="27:134" ht="17.25" thickTop="1" thickBot="1">
      <c r="AA90" s="523"/>
      <c r="AB90" s="523"/>
      <c r="AC90" s="523"/>
      <c r="AD90" s="523"/>
      <c r="AE90" s="523"/>
      <c r="AF90" s="523"/>
      <c r="AG90" s="523"/>
      <c r="AH90" s="523"/>
      <c r="AI90" s="523"/>
      <c r="AJ90" s="523"/>
      <c r="AK90" s="523"/>
      <c r="AL90" s="523"/>
      <c r="AM90" s="523"/>
      <c r="AN90" s="523"/>
      <c r="AO90" s="523"/>
      <c r="AP90" s="523"/>
      <c r="AQ90" s="523"/>
      <c r="AR90" s="523"/>
      <c r="AS90" s="523"/>
      <c r="AT90" s="523"/>
      <c r="AU90" s="523"/>
      <c r="AV90" s="523"/>
      <c r="AW90" s="523"/>
      <c r="AX90" s="523"/>
      <c r="AY90" s="523"/>
      <c r="AZ90" s="523"/>
      <c r="BI90" s="523">
        <f t="shared" si="215"/>
        <v>0</v>
      </c>
      <c r="BJ90" s="523">
        <f t="shared" si="200"/>
        <v>0</v>
      </c>
      <c r="BK90" s="523">
        <f t="shared" si="200"/>
        <v>0</v>
      </c>
      <c r="BL90" s="523">
        <f t="shared" si="200"/>
        <v>0</v>
      </c>
      <c r="BM90" s="523" cm="1">
        <f t="array" ref="BM90">LOOKUP(2,1/($G$10:$G$81=$D91),BM$10:BM$81)</f>
        <v>0</v>
      </c>
      <c r="BN90" s="523">
        <f t="shared" si="201"/>
        <v>0</v>
      </c>
      <c r="BO90" s="523">
        <f t="shared" si="201"/>
        <v>0</v>
      </c>
      <c r="BP90" s="523">
        <f t="shared" si="201"/>
        <v>0</v>
      </c>
      <c r="BQ90" s="523">
        <f t="shared" si="201"/>
        <v>0</v>
      </c>
      <c r="BR90" s="516"/>
      <c r="BS90" s="523">
        <f t="shared" si="202"/>
        <v>0</v>
      </c>
      <c r="BT90" s="523">
        <f t="shared" si="203"/>
        <v>0</v>
      </c>
      <c r="BU90" s="523">
        <f t="shared" si="203"/>
        <v>0</v>
      </c>
      <c r="BV90" s="523">
        <f t="shared" si="203"/>
        <v>0</v>
      </c>
      <c r="BW90" s="523">
        <f t="shared" si="203"/>
        <v>0</v>
      </c>
      <c r="BX90" s="523" cm="1">
        <f t="array" aca="1" ref="BX90" ca="1">LOOKUP(2,1/($G$10:$G$81=$D91),BX$10:BX$81)</f>
        <v>470845.72769852611</v>
      </c>
      <c r="BY90" s="523">
        <f t="shared" si="204"/>
        <v>0</v>
      </c>
      <c r="BZ90" s="523">
        <f t="shared" si="204"/>
        <v>0</v>
      </c>
      <c r="CA90" s="523">
        <f t="shared" si="204"/>
        <v>0</v>
      </c>
      <c r="CB90" s="523">
        <f t="shared" si="204"/>
        <v>0</v>
      </c>
      <c r="CC90" s="516"/>
      <c r="CD90" s="523">
        <f t="shared" si="205"/>
        <v>0</v>
      </c>
      <c r="CE90" s="523">
        <f t="shared" si="206"/>
        <v>0</v>
      </c>
      <c r="CF90" s="523">
        <f t="shared" si="206"/>
        <v>0</v>
      </c>
      <c r="CG90" s="523">
        <f t="shared" si="206"/>
        <v>0</v>
      </c>
      <c r="CH90" s="523">
        <f t="shared" si="206"/>
        <v>0</v>
      </c>
      <c r="CI90" s="523" cm="1">
        <f t="array" aca="1" ref="CI90" ca="1">LOOKUP(2,1/($G$10:$G$81=$D91),CI$10:CI$81)</f>
        <v>835484.21687966748</v>
      </c>
      <c r="CJ90" s="523">
        <f t="shared" si="207"/>
        <v>0</v>
      </c>
      <c r="CK90" s="523">
        <f t="shared" si="207"/>
        <v>0</v>
      </c>
      <c r="CL90" s="523">
        <f t="shared" si="207"/>
        <v>0</v>
      </c>
      <c r="CM90" s="523">
        <f t="shared" si="207"/>
        <v>0</v>
      </c>
      <c r="CN90" s="523">
        <f t="shared" si="207"/>
        <v>0</v>
      </c>
      <c r="CO90" s="516"/>
      <c r="CP90" s="523">
        <f t="shared" si="208"/>
        <v>0</v>
      </c>
      <c r="CQ90" s="523">
        <f t="shared" si="209"/>
        <v>0</v>
      </c>
      <c r="CR90" s="523">
        <f t="shared" si="209"/>
        <v>0</v>
      </c>
      <c r="CS90" s="523">
        <f t="shared" si="209"/>
        <v>0</v>
      </c>
      <c r="CT90" s="523">
        <f t="shared" si="209"/>
        <v>0</v>
      </c>
      <c r="CU90" s="523" cm="1">
        <f t="array" aca="1" ref="CU90" ca="1">LOOKUP(2,1/($G$10:$G$81=$D91),CU$10:CU$81)</f>
        <v>1273161.612822721</v>
      </c>
      <c r="CV90" s="523">
        <f t="shared" si="210"/>
        <v>0</v>
      </c>
      <c r="CW90" s="523">
        <f t="shared" si="210"/>
        <v>0</v>
      </c>
      <c r="CX90" s="523">
        <f t="shared" si="210"/>
        <v>0</v>
      </c>
      <c r="CY90" s="523">
        <f t="shared" si="210"/>
        <v>0</v>
      </c>
      <c r="CZ90" s="523">
        <f t="shared" si="210"/>
        <v>0</v>
      </c>
      <c r="DA90" s="516"/>
      <c r="DB90" s="523">
        <f t="shared" si="211"/>
        <v>0</v>
      </c>
      <c r="DC90" s="523">
        <f t="shared" si="211"/>
        <v>0</v>
      </c>
      <c r="DD90" s="518"/>
      <c r="DE90" s="523">
        <f t="shared" si="212"/>
        <v>0</v>
      </c>
      <c r="DF90" s="523">
        <f t="shared" si="212"/>
        <v>0</v>
      </c>
      <c r="DG90" s="523">
        <f t="shared" si="212"/>
        <v>0</v>
      </c>
      <c r="DH90" s="457"/>
      <c r="DI90" s="523">
        <f t="shared" si="213"/>
        <v>0</v>
      </c>
      <c r="DJ90" s="523">
        <f t="shared" si="213"/>
        <v>0</v>
      </c>
      <c r="DK90" s="523">
        <f t="shared" si="213"/>
        <v>0</v>
      </c>
      <c r="DL90" s="523">
        <f t="shared" si="213"/>
        <v>0</v>
      </c>
      <c r="DM90" s="523">
        <f t="shared" si="213"/>
        <v>0</v>
      </c>
      <c r="DN90" s="523">
        <f t="shared" si="213"/>
        <v>0</v>
      </c>
      <c r="DO90" s="523">
        <f t="shared" si="213"/>
        <v>0</v>
      </c>
      <c r="DP90" s="523">
        <f t="shared" si="213"/>
        <v>0</v>
      </c>
      <c r="DQ90" s="523">
        <f t="shared" si="213"/>
        <v>0</v>
      </c>
      <c r="DR90" s="523">
        <f t="shared" si="213"/>
        <v>0</v>
      </c>
      <c r="DS90" s="523">
        <f t="shared" si="213"/>
        <v>0</v>
      </c>
      <c r="DT90" s="523">
        <f t="shared" si="213"/>
        <v>0</v>
      </c>
      <c r="DU90" s="523">
        <f t="shared" si="213"/>
        <v>0</v>
      </c>
      <c r="DV90" s="457"/>
      <c r="DW90" s="457"/>
      <c r="DX90" s="523">
        <f t="shared" si="214"/>
        <v>0</v>
      </c>
      <c r="DY90" s="523">
        <f t="shared" si="214"/>
        <v>0</v>
      </c>
      <c r="DZ90" s="523">
        <f t="shared" si="214"/>
        <v>0</v>
      </c>
      <c r="EA90" s="523">
        <f t="shared" si="214"/>
        <v>0</v>
      </c>
      <c r="EB90" s="523">
        <f t="shared" si="214"/>
        <v>0</v>
      </c>
      <c r="EC90" s="523">
        <f t="shared" si="214"/>
        <v>0</v>
      </c>
      <c r="ED90" s="523">
        <f t="shared" si="214"/>
        <v>0</v>
      </c>
    </row>
    <row r="91" spans="27:134" ht="17.25" thickTop="1" thickBot="1">
      <c r="AA91" s="523"/>
      <c r="AB91" s="523"/>
      <c r="AC91" s="523"/>
      <c r="AD91" s="523"/>
      <c r="AE91" s="523"/>
      <c r="AF91" s="523"/>
      <c r="AG91" s="523"/>
      <c r="AH91" s="523"/>
      <c r="AI91" s="523"/>
      <c r="AJ91" s="523"/>
      <c r="AK91" s="523"/>
      <c r="AL91" s="523"/>
      <c r="AM91" s="523"/>
      <c r="AN91" s="523"/>
      <c r="AO91" s="523"/>
      <c r="AP91" s="523"/>
      <c r="AQ91" s="523"/>
      <c r="AR91" s="523"/>
      <c r="AS91" s="523"/>
      <c r="AT91" s="523"/>
      <c r="AU91" s="523"/>
      <c r="AV91" s="523"/>
      <c r="AW91" s="523"/>
      <c r="AX91" s="523"/>
      <c r="AY91" s="523"/>
      <c r="AZ91" s="523"/>
      <c r="BI91" s="523">
        <f t="shared" si="215"/>
        <v>0</v>
      </c>
      <c r="BJ91" s="523">
        <f>SUMIF($G$10:$G$81,#REF!,BV$10:BV$81)</f>
        <v>0</v>
      </c>
      <c r="BK91" s="523">
        <f>SUMIF($G$10:$G$81,#REF!,BW$10:BW$81)</f>
        <v>0</v>
      </c>
      <c r="BL91" s="523" t="e" cm="1">
        <f t="array" ref="BL91">LOOKUP(2,1/($G$10:$G$81=#REF!),BX$10:BX$81)</f>
        <v>#N/A</v>
      </c>
      <c r="BM91" s="523">
        <f>SUMIF($G$10:$G$81,#REF!,BY$10:BY$81)</f>
        <v>0</v>
      </c>
      <c r="BN91" s="523">
        <f>SUMIF($G$10:$G$81,#REF!,BZ$10:BZ$81)</f>
        <v>0</v>
      </c>
      <c r="BO91" s="523">
        <f>SUMIF($G$10:$G$81,#REF!,CA$10:CA$81)</f>
        <v>0</v>
      </c>
      <c r="BP91" s="523">
        <f>SUMIF($G$10:$G$81,#REF!,CB$10:CB$81)</f>
        <v>0</v>
      </c>
      <c r="BQ91" s="516"/>
      <c r="BR91" s="523">
        <f>IFERROR(LOOKUP(#REF!,$G$9:$G$81,CD$9:CD$81),0)</f>
        <v>0</v>
      </c>
      <c r="BS91" s="523">
        <f>SUMIF($G$10:$G$81,#REF!,CE$10:CE$81)</f>
        <v>0</v>
      </c>
      <c r="BT91" s="523">
        <f>SUMIF($G$10:$G$81,#REF!,CF$10:CF$81)</f>
        <v>0</v>
      </c>
      <c r="BU91" s="523">
        <f>SUMIF($G$10:$G$81,#REF!,CG$10:CG$81)</f>
        <v>0</v>
      </c>
      <c r="BV91" s="523">
        <f>SUMIF($G$10:$G$81,#REF!,CH$10:CH$81)</f>
        <v>0</v>
      </c>
      <c r="BW91" s="523" t="e" cm="1">
        <f t="array" ref="BW91">LOOKUP(2,1/($G$10:$G$81=#REF!),CI$10:CI$81)</f>
        <v>#N/A</v>
      </c>
      <c r="BX91" s="523">
        <f>SUMIF($G$10:$G$81,#REF!,CJ$10:CJ$81)</f>
        <v>0</v>
      </c>
      <c r="BY91" s="523">
        <f>SUMIF($G$10:$G$81,#REF!,CK$10:CK$81)</f>
        <v>0</v>
      </c>
      <c r="BZ91" s="523">
        <f>SUMIF($G$10:$G$81,#REF!,CL$10:CL$81)</f>
        <v>0</v>
      </c>
      <c r="CA91" s="523">
        <f>SUMIF($G$10:$G$81,#REF!,CM$10:CM$81)</f>
        <v>0</v>
      </c>
      <c r="CB91" s="523">
        <f>SUMIF($G$10:$G$81,#REF!,CN$10:CN$81)</f>
        <v>0</v>
      </c>
      <c r="CC91" s="516"/>
      <c r="CD91" s="523">
        <f>IFERROR(LOOKUP(#REF!,$G$9:$G$81,CP$9:CP$81),0)</f>
        <v>0</v>
      </c>
      <c r="CE91" s="523">
        <f>SUMIF($G$10:$G$81,#REF!,CQ$10:CQ$81)</f>
        <v>0</v>
      </c>
      <c r="CF91" s="523">
        <f>SUMIF($G$10:$G$81,#REF!,CR$10:CR$81)</f>
        <v>0</v>
      </c>
      <c r="CG91" s="523">
        <f>SUMIF($G$10:$G$81,#REF!,CS$10:CS$81)</f>
        <v>0</v>
      </c>
      <c r="CH91" s="523">
        <f>SUMIF($G$10:$G$81,#REF!,CT$10:CT$81)</f>
        <v>0</v>
      </c>
      <c r="CI91" s="523" t="e" cm="1">
        <f t="array" ref="CI91">LOOKUP(2,1/($G$10:$G$81=#REF!),CU$10:CU$81)</f>
        <v>#N/A</v>
      </c>
      <c r="CJ91" s="523">
        <f>SUMIF($G$10:$G$81,#REF!,CV$10:CV$81)</f>
        <v>0</v>
      </c>
      <c r="CK91" s="523">
        <f>SUMIF($G$10:$G$81,#REF!,CW$10:CW$81)</f>
        <v>0</v>
      </c>
      <c r="CL91" s="523">
        <f>SUMIF($G$10:$G$81,#REF!,CX$10:CX$81)</f>
        <v>0</v>
      </c>
      <c r="CM91" s="523">
        <f>SUMIF($G$10:$G$81,#REF!,CY$10:CY$81)</f>
        <v>0</v>
      </c>
      <c r="CN91" s="523">
        <f>SUMIF($G$10:$G$81,#REF!,CZ$10:CZ$81)</f>
        <v>0</v>
      </c>
      <c r="CO91" s="516"/>
      <c r="CP91" s="523">
        <f>SUMIF($G$10:$G$81,#REF!,DB$10:DB$81)</f>
        <v>0</v>
      </c>
      <c r="CQ91" s="523">
        <f>SUMIF($G$10:$G$81,#REF!,DC$10:DC$81)</f>
        <v>0</v>
      </c>
      <c r="CR91" s="518"/>
      <c r="CS91" s="523">
        <f>SUMIF($G$10:$G$81,#REF!,DE$10:DE$81)</f>
        <v>0</v>
      </c>
      <c r="CT91" s="523">
        <f>SUMIF($G$10:$G$81,#REF!,DF$10:DF$81)</f>
        <v>0</v>
      </c>
      <c r="CU91" s="523">
        <f>SUMIF($G$10:$G$81,#REF!,DG$10:DG$81)</f>
        <v>0</v>
      </c>
      <c r="CV91" s="457"/>
      <c r="CW91" s="523">
        <f>SUMIF($G$10:$G$81,#REF!,DI$10:DI$81)</f>
        <v>0</v>
      </c>
      <c r="CX91" s="523">
        <f>SUMIF($G$10:$G$81,#REF!,DJ$10:DJ$81)</f>
        <v>0</v>
      </c>
      <c r="CY91" s="523">
        <f>SUMIF($G$10:$G$81,#REF!,DK$10:DK$81)</f>
        <v>0</v>
      </c>
      <c r="CZ91" s="523">
        <f>SUMIF($G$10:$G$81,#REF!,DL$10:DL$81)</f>
        <v>0</v>
      </c>
      <c r="DA91" s="523">
        <f>SUMIF($G$10:$G$81,#REF!,DM$10:DM$81)</f>
        <v>0</v>
      </c>
      <c r="DB91" s="523">
        <f>SUMIF($G$10:$G$81,#REF!,DN$10:DN$81)</f>
        <v>0</v>
      </c>
      <c r="DC91" s="523">
        <f>SUMIF($G$10:$G$81,#REF!,DO$10:DO$81)</f>
        <v>0</v>
      </c>
      <c r="DD91" s="523">
        <f>SUMIF($G$10:$G$81,#REF!,DP$10:DP$81)</f>
        <v>0</v>
      </c>
      <c r="DE91" s="523">
        <f>SUMIF($G$10:$G$81,#REF!,DQ$10:DQ$81)</f>
        <v>0</v>
      </c>
      <c r="DF91" s="523">
        <f>SUMIF($G$10:$G$81,#REF!,DR$10:DR$81)</f>
        <v>0</v>
      </c>
      <c r="DG91" s="523">
        <f>SUMIF($G$10:$G$81,#REF!,DS$10:DS$81)</f>
        <v>0</v>
      </c>
      <c r="DH91" s="523">
        <f>SUMIF($G$10:$G$81,#REF!,DT$10:DT$81)</f>
        <v>0</v>
      </c>
      <c r="DI91" s="523">
        <f>SUMIF($G$10:$G$81,#REF!,DU$10:DU$81)</f>
        <v>0</v>
      </c>
      <c r="DJ91" s="457"/>
      <c r="DK91" s="457"/>
      <c r="DL91" s="523">
        <f>SUMIF($G$10:$G$81,#REF!,DX$10:DX$81)</f>
        <v>0</v>
      </c>
      <c r="DM91" s="523">
        <f>SUMIF($G$10:$G$81,#REF!,DY$10:DY$81)</f>
        <v>0</v>
      </c>
      <c r="DN91" s="523">
        <f>SUMIF($G$10:$G$81,#REF!,DZ$10:DZ$81)</f>
        <v>0</v>
      </c>
      <c r="DO91" s="523">
        <f>SUMIF($G$10:$G$81,#REF!,EA$10:EA$81)</f>
        <v>0</v>
      </c>
      <c r="DP91" s="523">
        <f>SUMIF($G$10:$G$81,#REF!,EB$10:EB$81)</f>
        <v>0</v>
      </c>
      <c r="DQ91" s="523">
        <f>SUMIF($G$10:$G$81,#REF!,EC$10:EC$81)</f>
        <v>0</v>
      </c>
      <c r="DR91" s="523">
        <f>SUMIF($G$10:$G$81,#REF!,ED$10:ED$81)</f>
        <v>0</v>
      </c>
      <c r="DS91" s="457"/>
      <c r="DT91" s="457"/>
      <c r="DU91" s="457"/>
      <c r="DV91" s="457"/>
      <c r="DW91" s="457"/>
      <c r="DX91" s="457"/>
      <c r="DY91" s="457"/>
      <c r="DZ91" s="457"/>
      <c r="EA91" s="457"/>
      <c r="EB91" s="457"/>
      <c r="EC91" s="457"/>
      <c r="ED91" s="457"/>
    </row>
    <row r="92" spans="27:134" ht="17.25" thickTop="1" thickBot="1">
      <c r="AA92" s="523"/>
      <c r="AB92" s="523"/>
      <c r="AC92" s="523"/>
      <c r="AD92" s="523"/>
      <c r="AE92" s="523"/>
      <c r="AF92" s="523"/>
      <c r="AG92" s="523"/>
      <c r="AH92" s="523"/>
      <c r="AI92" s="523"/>
      <c r="AJ92" s="523"/>
      <c r="AK92" s="523"/>
      <c r="AL92" s="523"/>
      <c r="AM92" s="523"/>
      <c r="AN92" s="523"/>
      <c r="AO92" s="523"/>
      <c r="AP92" s="523"/>
      <c r="AQ92" s="523"/>
      <c r="AR92" s="523"/>
      <c r="AS92" s="523"/>
      <c r="AT92" s="523"/>
      <c r="AU92" s="523"/>
      <c r="AV92" s="523"/>
      <c r="AW92" s="523"/>
      <c r="AX92" s="523"/>
      <c r="AY92" s="523"/>
      <c r="AZ92" s="523"/>
      <c r="BI92" s="523">
        <f t="shared" si="215"/>
        <v>0</v>
      </c>
      <c r="BJ92" s="523">
        <f>SUMIF($G$10:$G$81,#REF!,BV$10:BV$81)</f>
        <v>0</v>
      </c>
      <c r="BK92" s="523">
        <f>SUMIF($G$10:$G$81,#REF!,BW$10:BW$81)</f>
        <v>0</v>
      </c>
      <c r="BL92" s="523" t="e" cm="1">
        <f t="array" ref="BL92">LOOKUP(2,1/($G$10:$G$81=#REF!),BX$10:BX$81)</f>
        <v>#N/A</v>
      </c>
      <c r="BM92" s="523">
        <f>SUMIF($G$10:$G$81,#REF!,BY$10:BY$81)</f>
        <v>0</v>
      </c>
      <c r="BN92" s="523">
        <f>SUMIF($G$10:$G$81,#REF!,BZ$10:BZ$81)</f>
        <v>0</v>
      </c>
      <c r="BO92" s="523">
        <f>SUMIF($G$10:$G$81,#REF!,CA$10:CA$81)</f>
        <v>0</v>
      </c>
      <c r="BP92" s="523">
        <f>SUMIF($G$10:$G$81,#REF!,CB$10:CB$81)</f>
        <v>0</v>
      </c>
      <c r="BQ92" s="516"/>
      <c r="BR92" s="523">
        <f>IFERROR(LOOKUP(#REF!,$G$9:$G$81,CD$9:CD$81),0)</f>
        <v>0</v>
      </c>
      <c r="BS92" s="523">
        <f>SUMIF($G$10:$G$81,#REF!,CE$10:CE$81)</f>
        <v>0</v>
      </c>
      <c r="BT92" s="523">
        <f>SUMIF($G$10:$G$81,#REF!,CF$10:CF$81)</f>
        <v>0</v>
      </c>
      <c r="BU92" s="523">
        <f>SUMIF($G$10:$G$81,#REF!,CG$10:CG$81)</f>
        <v>0</v>
      </c>
      <c r="BV92" s="523">
        <f>SUMIF($G$10:$G$81,#REF!,CH$10:CH$81)</f>
        <v>0</v>
      </c>
      <c r="BW92" s="523" t="e" cm="1">
        <f t="array" ref="BW92">LOOKUP(2,1/($G$10:$G$81=#REF!),CI$10:CI$81)</f>
        <v>#N/A</v>
      </c>
      <c r="BX92" s="523">
        <f>SUMIF($G$10:$G$81,#REF!,CJ$10:CJ$81)</f>
        <v>0</v>
      </c>
      <c r="BY92" s="523">
        <f>SUMIF($G$10:$G$81,#REF!,CK$10:CK$81)</f>
        <v>0</v>
      </c>
      <c r="BZ92" s="523">
        <f>SUMIF($G$10:$G$81,#REF!,CL$10:CL$81)</f>
        <v>0</v>
      </c>
      <c r="CA92" s="523">
        <f>SUMIF($G$10:$G$81,#REF!,CM$10:CM$81)</f>
        <v>0</v>
      </c>
      <c r="CB92" s="523">
        <f>SUMIF($G$10:$G$81,#REF!,CN$10:CN$81)</f>
        <v>0</v>
      </c>
      <c r="CC92" s="516"/>
      <c r="CD92" s="523">
        <f>IFERROR(LOOKUP(#REF!,$G$9:$G$81,CP$9:CP$81),0)</f>
        <v>0</v>
      </c>
      <c r="CE92" s="523">
        <f>SUMIF($G$10:$G$81,#REF!,CQ$10:CQ$81)</f>
        <v>0</v>
      </c>
      <c r="CF92" s="523">
        <f>SUMIF($G$10:$G$81,#REF!,CR$10:CR$81)</f>
        <v>0</v>
      </c>
      <c r="CG92" s="523">
        <f>SUMIF($G$10:$G$81,#REF!,CS$10:CS$81)</f>
        <v>0</v>
      </c>
      <c r="CH92" s="523">
        <f>SUMIF($G$10:$G$81,#REF!,CT$10:CT$81)</f>
        <v>0</v>
      </c>
      <c r="CI92" s="523" t="e" cm="1">
        <f t="array" ref="CI92">LOOKUP(2,1/($G$10:$G$81=#REF!),CU$10:CU$81)</f>
        <v>#N/A</v>
      </c>
      <c r="CJ92" s="523">
        <f>SUMIF($G$10:$G$81,#REF!,CV$10:CV$81)</f>
        <v>0</v>
      </c>
      <c r="CK92" s="523">
        <f>SUMIF($G$10:$G$81,#REF!,CW$10:CW$81)</f>
        <v>0</v>
      </c>
      <c r="CL92" s="523">
        <f>SUMIF($G$10:$G$81,#REF!,CX$10:CX$81)</f>
        <v>0</v>
      </c>
      <c r="CM92" s="523">
        <f>SUMIF($G$10:$G$81,#REF!,CY$10:CY$81)</f>
        <v>0</v>
      </c>
      <c r="CN92" s="523">
        <f>SUMIF($G$10:$G$81,#REF!,CZ$10:CZ$81)</f>
        <v>0</v>
      </c>
      <c r="CO92" s="516"/>
      <c r="CP92" s="523">
        <f>SUMIF($G$10:$G$81,#REF!,DB$10:DB$81)</f>
        <v>0</v>
      </c>
      <c r="CQ92" s="523">
        <f>SUMIF($G$10:$G$81,#REF!,DC$10:DC$81)</f>
        <v>0</v>
      </c>
      <c r="CR92" s="518"/>
      <c r="CS92" s="523">
        <f>SUMIF($G$10:$G$81,#REF!,DE$10:DE$81)</f>
        <v>0</v>
      </c>
      <c r="CT92" s="523">
        <f>SUMIF($G$10:$G$81,#REF!,DF$10:DF$81)</f>
        <v>0</v>
      </c>
      <c r="CU92" s="523">
        <f>SUMIF($G$10:$G$81,#REF!,DG$10:DG$81)</f>
        <v>0</v>
      </c>
      <c r="CV92" s="457"/>
      <c r="CW92" s="523">
        <f>SUMIF($G$10:$G$81,#REF!,DI$10:DI$81)</f>
        <v>0</v>
      </c>
      <c r="CX92" s="523">
        <f>SUMIF($G$10:$G$81,#REF!,DJ$10:DJ$81)</f>
        <v>0</v>
      </c>
      <c r="CY92" s="523">
        <f>SUMIF($G$10:$G$81,#REF!,DK$10:DK$81)</f>
        <v>0</v>
      </c>
      <c r="CZ92" s="523">
        <f>SUMIF($G$10:$G$81,#REF!,DL$10:DL$81)</f>
        <v>0</v>
      </c>
      <c r="DA92" s="523">
        <f>SUMIF($G$10:$G$81,#REF!,DM$10:DM$81)</f>
        <v>0</v>
      </c>
      <c r="DB92" s="523">
        <f>SUMIF($G$10:$G$81,#REF!,DN$10:DN$81)</f>
        <v>0</v>
      </c>
      <c r="DC92" s="523">
        <f>SUMIF($G$10:$G$81,#REF!,DO$10:DO$81)</f>
        <v>0</v>
      </c>
      <c r="DD92" s="523">
        <f>SUMIF($G$10:$G$81,#REF!,DP$10:DP$81)</f>
        <v>0</v>
      </c>
      <c r="DE92" s="523">
        <f>SUMIF($G$10:$G$81,#REF!,DQ$10:DQ$81)</f>
        <v>0</v>
      </c>
      <c r="DF92" s="523">
        <f>SUMIF($G$10:$G$81,#REF!,DR$10:DR$81)</f>
        <v>0</v>
      </c>
      <c r="DG92" s="523">
        <f>SUMIF($G$10:$G$81,#REF!,DS$10:DS$81)</f>
        <v>0</v>
      </c>
      <c r="DH92" s="523">
        <f>SUMIF($G$10:$G$81,#REF!,DT$10:DT$81)</f>
        <v>0</v>
      </c>
      <c r="DI92" s="523">
        <f>SUMIF($G$10:$G$81,#REF!,DU$10:DU$81)</f>
        <v>0</v>
      </c>
      <c r="DJ92" s="457"/>
      <c r="DK92" s="457"/>
      <c r="DL92" s="523">
        <f>SUMIF($G$10:$G$81,#REF!,DX$10:DX$81)</f>
        <v>0</v>
      </c>
      <c r="DM92" s="523">
        <f>SUMIF($G$10:$G$81,#REF!,DY$10:DY$81)</f>
        <v>0</v>
      </c>
      <c r="DN92" s="523">
        <f>SUMIF($G$10:$G$81,#REF!,DZ$10:DZ$81)</f>
        <v>0</v>
      </c>
      <c r="DO92" s="523">
        <f>SUMIF($G$10:$G$81,#REF!,EA$10:EA$81)</f>
        <v>0</v>
      </c>
      <c r="DP92" s="523">
        <f>SUMIF($G$10:$G$81,#REF!,EB$10:EB$81)</f>
        <v>0</v>
      </c>
      <c r="DQ92" s="523">
        <f>SUMIF($G$10:$G$81,#REF!,EC$10:EC$81)</f>
        <v>0</v>
      </c>
      <c r="DR92" s="523">
        <f>SUMIF($G$10:$G$81,#REF!,ED$10:ED$81)</f>
        <v>0</v>
      </c>
      <c r="DS92" s="457"/>
      <c r="DT92" s="457"/>
      <c r="DU92" s="457"/>
      <c r="DV92" s="457"/>
      <c r="DW92" s="457"/>
      <c r="DX92" s="457"/>
      <c r="DY92" s="457"/>
      <c r="DZ92" s="457"/>
      <c r="EA92" s="457"/>
      <c r="EB92" s="457"/>
      <c r="EC92" s="457"/>
      <c r="ED92" s="457"/>
    </row>
    <row r="93" spans="27:134" ht="17.25" thickTop="1" thickBot="1">
      <c r="AA93" s="523"/>
      <c r="AB93" s="523"/>
      <c r="AC93" s="523"/>
      <c r="AD93" s="523"/>
      <c r="AE93" s="523"/>
      <c r="AF93" s="523"/>
      <c r="AG93" s="523"/>
      <c r="AH93" s="523"/>
      <c r="AI93" s="523"/>
      <c r="AJ93" s="523"/>
      <c r="AK93" s="523"/>
      <c r="AL93" s="523"/>
      <c r="AM93" s="523"/>
      <c r="AN93" s="523"/>
      <c r="AO93" s="523"/>
      <c r="AP93" s="523"/>
      <c r="AQ93" s="523"/>
      <c r="AR93" s="523"/>
      <c r="AS93" s="523"/>
      <c r="AT93" s="523"/>
      <c r="AU93" s="523"/>
      <c r="AV93" s="523"/>
      <c r="AW93" s="523"/>
      <c r="AX93" s="523"/>
      <c r="AY93" s="523"/>
      <c r="AZ93" s="523"/>
      <c r="BI93" s="523">
        <f t="shared" si="215"/>
        <v>0</v>
      </c>
      <c r="BJ93" s="523">
        <f>SUMIF($G$10:$G$81,#REF!,BV$10:BV$81)</f>
        <v>0</v>
      </c>
      <c r="BK93" s="523">
        <f>SUMIF($G$10:$G$81,#REF!,BW$10:BW$81)</f>
        <v>0</v>
      </c>
      <c r="BL93" s="523" t="e" cm="1">
        <f t="array" ref="BL93">LOOKUP(2,1/($G$10:$G$81=#REF!),BX$10:BX$81)</f>
        <v>#N/A</v>
      </c>
      <c r="BM93" s="523">
        <f>SUMIF($G$10:$G$81,#REF!,BY$10:BY$81)</f>
        <v>0</v>
      </c>
      <c r="BN93" s="523">
        <f>SUMIF($G$10:$G$81,#REF!,BZ$10:BZ$81)</f>
        <v>0</v>
      </c>
      <c r="BO93" s="523">
        <f>SUMIF($G$10:$G$81,#REF!,CA$10:CA$81)</f>
        <v>0</v>
      </c>
      <c r="BP93" s="523">
        <f>SUMIF($G$10:$G$81,#REF!,CB$10:CB$81)</f>
        <v>0</v>
      </c>
      <c r="BQ93" s="516"/>
      <c r="BR93" s="523">
        <f>IFERROR(LOOKUP(#REF!,$G$9:$G$81,CD$9:CD$81),0)</f>
        <v>0</v>
      </c>
      <c r="BS93" s="523">
        <f>SUMIF($G$10:$G$81,#REF!,CE$10:CE$81)</f>
        <v>0</v>
      </c>
      <c r="BT93" s="523">
        <f>SUMIF($G$10:$G$81,#REF!,CF$10:CF$81)</f>
        <v>0</v>
      </c>
      <c r="BU93" s="523">
        <f>SUMIF($G$10:$G$81,#REF!,CG$10:CG$81)</f>
        <v>0</v>
      </c>
      <c r="BV93" s="523">
        <f>SUMIF($G$10:$G$81,#REF!,CH$10:CH$81)</f>
        <v>0</v>
      </c>
      <c r="BW93" s="523" t="e" cm="1">
        <f t="array" ref="BW93">LOOKUP(2,1/($G$10:$G$81=#REF!),CI$10:CI$81)</f>
        <v>#N/A</v>
      </c>
      <c r="BX93" s="523">
        <f>SUMIF($G$10:$G$81,#REF!,CJ$10:CJ$81)</f>
        <v>0</v>
      </c>
      <c r="BY93" s="523">
        <f>SUMIF($G$10:$G$81,#REF!,CK$10:CK$81)</f>
        <v>0</v>
      </c>
      <c r="BZ93" s="523">
        <f>SUMIF($G$10:$G$81,#REF!,CL$10:CL$81)</f>
        <v>0</v>
      </c>
      <c r="CA93" s="523">
        <f>SUMIF($G$10:$G$81,#REF!,CM$10:CM$81)</f>
        <v>0</v>
      </c>
      <c r="CB93" s="523">
        <f>SUMIF($G$10:$G$81,#REF!,CN$10:CN$81)</f>
        <v>0</v>
      </c>
      <c r="CC93" s="516"/>
      <c r="CD93" s="523">
        <f>IFERROR(LOOKUP(#REF!,$G$9:$G$81,CP$9:CP$81),0)</f>
        <v>0</v>
      </c>
      <c r="CE93" s="523">
        <f>SUMIF($G$10:$G$81,#REF!,CQ$10:CQ$81)</f>
        <v>0</v>
      </c>
      <c r="CF93" s="523">
        <f>SUMIF($G$10:$G$81,#REF!,CR$10:CR$81)</f>
        <v>0</v>
      </c>
      <c r="CG93" s="523">
        <f>SUMIF($G$10:$G$81,#REF!,CS$10:CS$81)</f>
        <v>0</v>
      </c>
      <c r="CH93" s="523">
        <f>SUMIF($G$10:$G$81,#REF!,CT$10:CT$81)</f>
        <v>0</v>
      </c>
      <c r="CI93" s="523" t="e" cm="1">
        <f t="array" ref="CI93">LOOKUP(2,1/($G$10:$G$81=#REF!),CU$10:CU$81)</f>
        <v>#N/A</v>
      </c>
      <c r="CJ93" s="523">
        <f>SUMIF($G$10:$G$81,#REF!,CV$10:CV$81)</f>
        <v>0</v>
      </c>
      <c r="CK93" s="523">
        <f>SUMIF($G$10:$G$81,#REF!,CW$10:CW$81)</f>
        <v>0</v>
      </c>
      <c r="CL93" s="523">
        <f>SUMIF($G$10:$G$81,#REF!,CX$10:CX$81)</f>
        <v>0</v>
      </c>
      <c r="CM93" s="523">
        <f>SUMIF($G$10:$G$81,#REF!,CY$10:CY$81)</f>
        <v>0</v>
      </c>
      <c r="CN93" s="523">
        <f>SUMIF($G$10:$G$81,#REF!,CZ$10:CZ$81)</f>
        <v>0</v>
      </c>
      <c r="CO93" s="516"/>
      <c r="CP93" s="523">
        <f>SUMIF($G$10:$G$81,#REF!,DB$10:DB$81)</f>
        <v>0</v>
      </c>
      <c r="CQ93" s="523">
        <f>SUMIF($G$10:$G$81,#REF!,DC$10:DC$81)</f>
        <v>0</v>
      </c>
      <c r="CR93" s="518"/>
      <c r="CS93" s="523">
        <f>SUMIF($G$10:$G$81,#REF!,DE$10:DE$81)</f>
        <v>0</v>
      </c>
      <c r="CT93" s="523">
        <f>SUMIF($G$10:$G$81,#REF!,DF$10:DF$81)</f>
        <v>0</v>
      </c>
      <c r="CU93" s="523">
        <f>SUMIF($G$10:$G$81,#REF!,DG$10:DG$81)</f>
        <v>0</v>
      </c>
      <c r="CV93" s="457"/>
      <c r="CW93" s="523">
        <f>SUMIF($G$10:$G$81,#REF!,DI$10:DI$81)</f>
        <v>0</v>
      </c>
      <c r="CX93" s="523">
        <f>SUMIF($G$10:$G$81,#REF!,DJ$10:DJ$81)</f>
        <v>0</v>
      </c>
      <c r="CY93" s="523">
        <f>SUMIF($G$10:$G$81,#REF!,DK$10:DK$81)</f>
        <v>0</v>
      </c>
      <c r="CZ93" s="523">
        <f>SUMIF($G$10:$G$81,#REF!,DL$10:DL$81)</f>
        <v>0</v>
      </c>
      <c r="DA93" s="523">
        <f>SUMIF($G$10:$G$81,#REF!,DM$10:DM$81)</f>
        <v>0</v>
      </c>
      <c r="DB93" s="523">
        <f>SUMIF($G$10:$G$81,#REF!,DN$10:DN$81)</f>
        <v>0</v>
      </c>
      <c r="DC93" s="523">
        <f>SUMIF($G$10:$G$81,#REF!,DO$10:DO$81)</f>
        <v>0</v>
      </c>
      <c r="DD93" s="523">
        <f>SUMIF($G$10:$G$81,#REF!,DP$10:DP$81)</f>
        <v>0</v>
      </c>
      <c r="DE93" s="523">
        <f>SUMIF($G$10:$G$81,#REF!,DQ$10:DQ$81)</f>
        <v>0</v>
      </c>
      <c r="DF93" s="523">
        <f>SUMIF($G$10:$G$81,#REF!,DR$10:DR$81)</f>
        <v>0</v>
      </c>
      <c r="DG93" s="523">
        <f>SUMIF($G$10:$G$81,#REF!,DS$10:DS$81)</f>
        <v>0</v>
      </c>
      <c r="DH93" s="523">
        <f>SUMIF($G$10:$G$81,#REF!,DT$10:DT$81)</f>
        <v>0</v>
      </c>
      <c r="DI93" s="523">
        <f>SUMIF($G$10:$G$81,#REF!,DU$10:DU$81)</f>
        <v>0</v>
      </c>
      <c r="DJ93" s="457"/>
      <c r="DK93" s="457"/>
      <c r="DL93" s="523">
        <f>SUMIF($G$10:$G$81,#REF!,DX$10:DX$81)</f>
        <v>0</v>
      </c>
      <c r="DM93" s="523">
        <f>SUMIF($G$10:$G$81,#REF!,DY$10:DY$81)</f>
        <v>0</v>
      </c>
      <c r="DN93" s="523">
        <f>SUMIF($G$10:$G$81,#REF!,DZ$10:DZ$81)</f>
        <v>0</v>
      </c>
      <c r="DO93" s="523">
        <f>SUMIF($G$10:$G$81,#REF!,EA$10:EA$81)</f>
        <v>0</v>
      </c>
      <c r="DP93" s="523">
        <f>SUMIF($G$10:$G$81,#REF!,EB$10:EB$81)</f>
        <v>0</v>
      </c>
      <c r="DQ93" s="523">
        <f>SUMIF($G$10:$G$81,#REF!,EC$10:EC$81)</f>
        <v>0</v>
      </c>
      <c r="DR93" s="523">
        <f>SUMIF($G$10:$G$81,#REF!,ED$10:ED$81)</f>
        <v>0</v>
      </c>
      <c r="DS93" s="457"/>
      <c r="DT93" s="457"/>
      <c r="DU93" s="457"/>
      <c r="DV93" s="457"/>
      <c r="DW93" s="457"/>
      <c r="DX93" s="457"/>
      <c r="DY93" s="457"/>
      <c r="DZ93" s="457"/>
      <c r="EA93" s="457"/>
      <c r="EB93" s="457"/>
      <c r="EC93" s="457"/>
      <c r="ED93" s="457"/>
    </row>
    <row r="94" spans="27:134" ht="17.25" thickTop="1" thickBot="1">
      <c r="AA94" s="523"/>
      <c r="AB94" s="523"/>
      <c r="AC94" s="523"/>
      <c r="AD94" s="523"/>
      <c r="AE94" s="523"/>
      <c r="AF94" s="523"/>
      <c r="AG94" s="523"/>
      <c r="AH94" s="523"/>
      <c r="AI94" s="523"/>
      <c r="AJ94" s="523"/>
      <c r="AK94" s="523"/>
      <c r="AL94" s="523"/>
      <c r="AM94" s="523"/>
      <c r="AN94" s="523"/>
      <c r="AO94" s="523"/>
      <c r="AP94" s="523"/>
      <c r="AQ94" s="523"/>
      <c r="AR94" s="523"/>
      <c r="AS94" s="523"/>
      <c r="AT94" s="523"/>
      <c r="AU94" s="523"/>
      <c r="AV94" s="523"/>
      <c r="AW94" s="523"/>
      <c r="AX94" s="523"/>
      <c r="AY94" s="523"/>
      <c r="AZ94" s="523"/>
      <c r="BI94" s="523">
        <f t="shared" si="215"/>
        <v>0</v>
      </c>
      <c r="BJ94" s="523">
        <f>SUMIF($G$10:$G$81,#REF!,BV$10:BV$81)</f>
        <v>0</v>
      </c>
      <c r="BK94" s="523">
        <f>SUMIF($G$10:$G$81,#REF!,BW$10:BW$81)</f>
        <v>0</v>
      </c>
      <c r="BL94" s="523" t="e" cm="1">
        <f t="array" ref="BL94">LOOKUP(2,1/($G$10:$G$81=#REF!),BX$10:BX$81)</f>
        <v>#N/A</v>
      </c>
      <c r="BM94" s="523">
        <f>SUMIF($G$10:$G$81,#REF!,BY$10:BY$81)</f>
        <v>0</v>
      </c>
      <c r="BN94" s="523">
        <f>SUMIF($G$10:$G$81,#REF!,BZ$10:BZ$81)</f>
        <v>0</v>
      </c>
      <c r="BO94" s="523">
        <f>SUMIF($G$10:$G$81,#REF!,CA$10:CA$81)</f>
        <v>0</v>
      </c>
      <c r="BP94" s="523">
        <f>SUMIF($G$10:$G$81,#REF!,CB$10:CB$81)</f>
        <v>0</v>
      </c>
      <c r="BQ94" s="516"/>
      <c r="BR94" s="523">
        <f>IFERROR(LOOKUP(#REF!,$G$9:$G$81,CD$9:CD$81),0)</f>
        <v>0</v>
      </c>
      <c r="BS94" s="523">
        <f>SUMIF($G$10:$G$81,#REF!,CE$10:CE$81)</f>
        <v>0</v>
      </c>
      <c r="BT94" s="523">
        <f>SUMIF($G$10:$G$81,#REF!,CF$10:CF$81)</f>
        <v>0</v>
      </c>
      <c r="BU94" s="523">
        <f>SUMIF($G$10:$G$81,#REF!,CG$10:CG$81)</f>
        <v>0</v>
      </c>
      <c r="BV94" s="523">
        <f>SUMIF($G$10:$G$81,#REF!,CH$10:CH$81)</f>
        <v>0</v>
      </c>
      <c r="BW94" s="523" t="e" cm="1">
        <f t="array" ref="BW94">LOOKUP(2,1/($G$10:$G$81=#REF!),CI$10:CI$81)</f>
        <v>#N/A</v>
      </c>
      <c r="BX94" s="523">
        <f>SUMIF($G$10:$G$81,#REF!,CJ$10:CJ$81)</f>
        <v>0</v>
      </c>
      <c r="BY94" s="523">
        <f>SUMIF($G$10:$G$81,#REF!,CK$10:CK$81)</f>
        <v>0</v>
      </c>
      <c r="BZ94" s="523">
        <f>SUMIF($G$10:$G$81,#REF!,CL$10:CL$81)</f>
        <v>0</v>
      </c>
      <c r="CA94" s="523">
        <f>SUMIF($G$10:$G$81,#REF!,CM$10:CM$81)</f>
        <v>0</v>
      </c>
      <c r="CB94" s="523">
        <f>SUMIF($G$10:$G$81,#REF!,CN$10:CN$81)</f>
        <v>0</v>
      </c>
      <c r="CC94" s="516"/>
      <c r="CD94" s="523">
        <f>IFERROR(LOOKUP(#REF!,$G$9:$G$81,CP$9:CP$81),0)</f>
        <v>0</v>
      </c>
      <c r="CE94" s="523">
        <f>SUMIF($G$10:$G$81,#REF!,CQ$10:CQ$81)</f>
        <v>0</v>
      </c>
      <c r="CF94" s="523">
        <f>SUMIF($G$10:$G$81,#REF!,CR$10:CR$81)</f>
        <v>0</v>
      </c>
      <c r="CG94" s="523">
        <f>SUMIF($G$10:$G$81,#REF!,CS$10:CS$81)</f>
        <v>0</v>
      </c>
      <c r="CH94" s="523">
        <f>SUMIF($G$10:$G$81,#REF!,CT$10:CT$81)</f>
        <v>0</v>
      </c>
      <c r="CI94" s="523" t="e" cm="1">
        <f t="array" ref="CI94">LOOKUP(2,1/($G$10:$G$81=#REF!),CU$10:CU$81)</f>
        <v>#N/A</v>
      </c>
      <c r="CJ94" s="523">
        <f>SUMIF($G$10:$G$81,#REF!,CV$10:CV$81)</f>
        <v>0</v>
      </c>
      <c r="CK94" s="523">
        <f>SUMIF($G$10:$G$81,#REF!,CW$10:CW$81)</f>
        <v>0</v>
      </c>
      <c r="CL94" s="523">
        <f>SUMIF($G$10:$G$81,#REF!,CX$10:CX$81)</f>
        <v>0</v>
      </c>
      <c r="CM94" s="523">
        <f>SUMIF($G$10:$G$81,#REF!,CY$10:CY$81)</f>
        <v>0</v>
      </c>
      <c r="CN94" s="523">
        <f>SUMIF($G$10:$G$81,#REF!,CZ$10:CZ$81)</f>
        <v>0</v>
      </c>
      <c r="CO94" s="516"/>
      <c r="CP94" s="523">
        <f>SUMIF($G$10:$G$81,#REF!,DB$10:DB$81)</f>
        <v>0</v>
      </c>
      <c r="CQ94" s="523">
        <f>SUMIF($G$10:$G$81,#REF!,DC$10:DC$81)</f>
        <v>0</v>
      </c>
      <c r="CR94" s="518"/>
      <c r="CS94" s="523">
        <f>SUMIF($G$10:$G$81,#REF!,DE$10:DE$81)</f>
        <v>0</v>
      </c>
      <c r="CT94" s="523">
        <f>SUMIF($G$10:$G$81,#REF!,DF$10:DF$81)</f>
        <v>0</v>
      </c>
      <c r="CU94" s="523">
        <f>SUMIF($G$10:$G$81,#REF!,DG$10:DG$81)</f>
        <v>0</v>
      </c>
      <c r="CV94" s="457"/>
      <c r="CW94" s="523">
        <f>SUMIF($G$10:$G$81,#REF!,DI$10:DI$81)</f>
        <v>0</v>
      </c>
      <c r="CX94" s="523">
        <f>SUMIF($G$10:$G$81,#REF!,DJ$10:DJ$81)</f>
        <v>0</v>
      </c>
      <c r="CY94" s="523">
        <f>SUMIF($G$10:$G$81,#REF!,DK$10:DK$81)</f>
        <v>0</v>
      </c>
      <c r="CZ94" s="523">
        <f>SUMIF($G$10:$G$81,#REF!,DL$10:DL$81)</f>
        <v>0</v>
      </c>
      <c r="DA94" s="523">
        <f>SUMIF($G$10:$G$81,#REF!,DM$10:DM$81)</f>
        <v>0</v>
      </c>
      <c r="DB94" s="523">
        <f>SUMIF($G$10:$G$81,#REF!,DN$10:DN$81)</f>
        <v>0</v>
      </c>
      <c r="DC94" s="523">
        <f>SUMIF($G$10:$G$81,#REF!,DO$10:DO$81)</f>
        <v>0</v>
      </c>
      <c r="DD94" s="523">
        <f>SUMIF($G$10:$G$81,#REF!,DP$10:DP$81)</f>
        <v>0</v>
      </c>
      <c r="DE94" s="523">
        <f>SUMIF($G$10:$G$81,#REF!,DQ$10:DQ$81)</f>
        <v>0</v>
      </c>
      <c r="DF94" s="523">
        <f>SUMIF($G$10:$G$81,#REF!,DR$10:DR$81)</f>
        <v>0</v>
      </c>
      <c r="DG94" s="523">
        <f>SUMIF($G$10:$G$81,#REF!,DS$10:DS$81)</f>
        <v>0</v>
      </c>
      <c r="DH94" s="523">
        <f>SUMIF($G$10:$G$81,#REF!,DT$10:DT$81)</f>
        <v>0</v>
      </c>
      <c r="DI94" s="523">
        <f>SUMIF($G$10:$G$81,#REF!,DU$10:DU$81)</f>
        <v>0</v>
      </c>
      <c r="DJ94" s="457"/>
      <c r="DK94" s="457"/>
      <c r="DL94" s="523">
        <f>SUMIF($G$10:$G$81,#REF!,DX$10:DX$81)</f>
        <v>0</v>
      </c>
      <c r="DM94" s="523">
        <f>SUMIF($G$10:$G$81,#REF!,DY$10:DY$81)</f>
        <v>0</v>
      </c>
      <c r="DN94" s="523">
        <f>SUMIF($G$10:$G$81,#REF!,DZ$10:DZ$81)</f>
        <v>0</v>
      </c>
      <c r="DO94" s="523">
        <f>SUMIF($G$10:$G$81,#REF!,EA$10:EA$81)</f>
        <v>0</v>
      </c>
      <c r="DP94" s="523">
        <f>SUMIF($G$10:$G$81,#REF!,EB$10:EB$81)</f>
        <v>0</v>
      </c>
      <c r="DQ94" s="523">
        <f>SUMIF($G$10:$G$81,#REF!,EC$10:EC$81)</f>
        <v>0</v>
      </c>
      <c r="DR94" s="523">
        <f>SUMIF($G$10:$G$81,#REF!,ED$10:ED$81)</f>
        <v>0</v>
      </c>
      <c r="DS94" s="457"/>
      <c r="DT94" s="457"/>
      <c r="DU94" s="457"/>
      <c r="DV94" s="457"/>
      <c r="DW94" s="457"/>
      <c r="DX94" s="457"/>
      <c r="DY94" s="457"/>
      <c r="DZ94" s="457"/>
      <c r="EA94" s="457"/>
      <c r="EB94" s="457"/>
      <c r="EC94" s="457"/>
      <c r="ED94" s="457"/>
    </row>
    <row r="95" spans="27:134" ht="16.5" thickTop="1">
      <c r="BI95" s="457"/>
      <c r="BJ95" s="457"/>
      <c r="BK95" s="457"/>
      <c r="BL95" s="457"/>
      <c r="BM95" s="457"/>
      <c r="BN95" s="457"/>
      <c r="BO95" s="457"/>
      <c r="BP95" s="457"/>
      <c r="BQ95" s="457"/>
      <c r="BR95" s="457"/>
      <c r="BS95" s="457"/>
      <c r="BT95" s="457"/>
      <c r="BU95" s="457"/>
      <c r="BV95" s="457"/>
      <c r="BW95" s="457"/>
      <c r="BX95" s="457"/>
      <c r="BY95" s="457"/>
      <c r="BZ95" s="457"/>
      <c r="CA95" s="457"/>
      <c r="CB95" s="457"/>
      <c r="CC95" s="457"/>
      <c r="CD95" s="457"/>
      <c r="CE95" s="457"/>
      <c r="CF95" s="457"/>
      <c r="CG95" s="457"/>
      <c r="CH95" s="457"/>
      <c r="CI95" s="457"/>
      <c r="CJ95" s="457"/>
      <c r="CK95" s="457"/>
      <c r="CL95" s="457"/>
      <c r="CM95" s="457"/>
      <c r="CN95" s="457"/>
      <c r="CO95" s="457"/>
      <c r="CP95" s="457"/>
      <c r="CQ95" s="457"/>
      <c r="CR95" s="457"/>
      <c r="CS95" s="457"/>
      <c r="CT95" s="457"/>
      <c r="CU95" s="457"/>
      <c r="CV95" s="457"/>
      <c r="CW95" s="457"/>
      <c r="CX95" s="457"/>
      <c r="CY95" s="457"/>
      <c r="CZ95" s="457"/>
      <c r="DA95" s="457"/>
      <c r="DB95" s="457"/>
      <c r="DC95" s="457"/>
      <c r="DD95" s="457"/>
      <c r="DE95" s="457"/>
      <c r="DF95" s="457"/>
      <c r="DG95" s="457"/>
      <c r="DH95" s="457"/>
      <c r="DI95" s="457"/>
      <c r="DJ95" s="457"/>
      <c r="DK95" s="457"/>
      <c r="DL95" s="457"/>
      <c r="DM95" s="457"/>
      <c r="DN95" s="457"/>
      <c r="DO95" s="457"/>
      <c r="DP95" s="457"/>
      <c r="DQ95" s="457"/>
      <c r="DR95" s="457"/>
      <c r="DS95" s="457"/>
      <c r="DT95" s="457"/>
      <c r="DU95" s="457"/>
      <c r="DV95" s="457"/>
      <c r="DW95" s="457"/>
      <c r="DX95" s="457"/>
      <c r="DY95" s="457"/>
      <c r="DZ95" s="457"/>
      <c r="EA95" s="457"/>
      <c r="EB95" s="457"/>
      <c r="EC95" s="457"/>
      <c r="ED95" s="457"/>
    </row>
    <row r="96" spans="27:134">
      <c r="BI96" s="457"/>
      <c r="BJ96" s="457"/>
      <c r="BK96" s="457"/>
      <c r="BL96" s="457"/>
      <c r="BM96" s="457"/>
      <c r="BN96" s="457"/>
      <c r="BO96" s="457"/>
      <c r="BP96" s="457"/>
      <c r="BQ96" s="457"/>
      <c r="BR96" s="457"/>
      <c r="BS96" s="457"/>
      <c r="BT96" s="457"/>
      <c r="BU96" s="457"/>
      <c r="BV96" s="457"/>
      <c r="BW96" s="457"/>
      <c r="BX96" s="457"/>
      <c r="BY96" s="457"/>
      <c r="BZ96" s="457"/>
      <c r="CA96" s="457"/>
      <c r="CB96" s="457"/>
      <c r="CC96" s="457"/>
      <c r="CD96" s="457"/>
      <c r="CE96" s="457"/>
      <c r="CF96" s="457"/>
      <c r="CG96" s="457"/>
      <c r="CH96" s="457"/>
      <c r="CI96" s="457"/>
      <c r="CJ96" s="457"/>
      <c r="CK96" s="457"/>
      <c r="CL96" s="457"/>
      <c r="CM96" s="457"/>
      <c r="CN96" s="457"/>
      <c r="CO96" s="457"/>
      <c r="CP96" s="457"/>
      <c r="CQ96" s="457"/>
      <c r="CR96" s="457"/>
      <c r="CS96" s="457"/>
      <c r="CT96" s="457"/>
      <c r="CU96" s="457"/>
      <c r="CV96" s="457"/>
      <c r="CW96" s="457"/>
      <c r="CX96" s="457"/>
      <c r="CY96" s="457"/>
      <c r="CZ96" s="457"/>
      <c r="DA96" s="457"/>
      <c r="DB96" s="457"/>
      <c r="DC96" s="457"/>
      <c r="DD96" s="457"/>
      <c r="DE96" s="457"/>
      <c r="DF96" s="457"/>
      <c r="DG96" s="457"/>
      <c r="DH96" s="457"/>
      <c r="DI96" s="457"/>
      <c r="DJ96" s="457"/>
      <c r="DK96" s="457"/>
      <c r="DL96" s="457"/>
      <c r="DM96" s="457"/>
      <c r="DN96" s="457"/>
      <c r="DO96" s="457"/>
      <c r="DP96" s="457"/>
      <c r="DQ96" s="457"/>
      <c r="DR96" s="457"/>
      <c r="DS96" s="457"/>
      <c r="DT96" s="457"/>
      <c r="DU96" s="457"/>
      <c r="DV96" s="457"/>
      <c r="DW96" s="457"/>
      <c r="DX96" s="457"/>
      <c r="DY96" s="457"/>
      <c r="DZ96" s="457"/>
      <c r="EA96" s="457"/>
      <c r="EB96" s="457"/>
      <c r="EC96" s="457"/>
      <c r="ED96" s="457"/>
    </row>
    <row r="98" spans="55:134" ht="16.5" thickBot="1"/>
    <row r="99" spans="55:134" ht="20.25" thickTop="1" thickBot="1">
      <c r="BC99" s="497"/>
      <c r="BD99" s="585"/>
      <c r="BE99" s="498"/>
      <c r="BF99" s="457"/>
      <c r="BG99" s="457"/>
      <c r="BH99" s="457"/>
      <c r="BI99" s="475" t="s">
        <v>204</v>
      </c>
      <c r="BJ99" s="476"/>
      <c r="BK99" s="476">
        <f>i_rate.Pref</f>
        <v>0.1</v>
      </c>
      <c r="BL99" s="477">
        <f>(1+BK99)^(1/12)-1</f>
        <v>7.9741404289037643E-3</v>
      </c>
      <c r="BM99" s="478"/>
      <c r="BN99" s="479" t="s">
        <v>216</v>
      </c>
      <c r="BO99" s="480"/>
      <c r="BP99" s="480"/>
      <c r="BQ99" s="480"/>
      <c r="BR99" s="457"/>
      <c r="BS99" s="560" t="s">
        <v>205</v>
      </c>
      <c r="BT99" s="559"/>
      <c r="BU99" s="476">
        <f>i_rate.Hurdle1</f>
        <v>0.15</v>
      </c>
      <c r="BV99" s="477">
        <f>(1+BU99)^(1/12)-1</f>
        <v>1.171491691985338E-2</v>
      </c>
      <c r="BW99" s="481"/>
      <c r="BX99" s="481"/>
      <c r="BY99" s="482" t="s">
        <v>218</v>
      </c>
      <c r="BZ99" s="483"/>
      <c r="CA99" s="483"/>
      <c r="CB99" s="483"/>
      <c r="CC99" s="457"/>
      <c r="CD99" s="577" t="s">
        <v>207</v>
      </c>
      <c r="CE99" s="562"/>
      <c r="CF99" s="569">
        <f>i_rate.Hurdle2</f>
        <v>0.2</v>
      </c>
      <c r="CG99" s="569">
        <f>(1+CF99)^(1/12)-1</f>
        <v>1.5309470499731193E-2</v>
      </c>
      <c r="CH99" s="568"/>
      <c r="CI99" s="484"/>
      <c r="CJ99" s="484"/>
      <c r="CK99" s="485" t="s">
        <v>219</v>
      </c>
      <c r="CL99" s="486"/>
      <c r="CM99" s="486"/>
      <c r="CN99" s="486"/>
      <c r="CO99" s="457"/>
      <c r="CP99" s="560" t="s">
        <v>208</v>
      </c>
      <c r="CQ99" s="562"/>
      <c r="CR99" s="569">
        <f>i_rate.Hurdle3</f>
        <v>0.25</v>
      </c>
      <c r="CS99" s="569">
        <f>(1+CR99)^(1/12)-1</f>
        <v>1.8769265121506118E-2</v>
      </c>
      <c r="CT99" s="487"/>
      <c r="CU99" s="487"/>
      <c r="CV99" s="487"/>
      <c r="CW99" s="488" t="s">
        <v>220</v>
      </c>
      <c r="CX99" s="489"/>
      <c r="CY99" s="489"/>
      <c r="CZ99" s="489"/>
      <c r="DA99" s="457"/>
      <c r="DB99" s="490" t="s">
        <v>198</v>
      </c>
      <c r="DC99" s="491"/>
      <c r="DD99" s="458"/>
      <c r="DE99" s="492" t="s">
        <v>168</v>
      </c>
      <c r="DF99" s="493"/>
      <c r="DG99" s="493"/>
      <c r="DH99" s="457"/>
      <c r="DI99" s="478" t="s">
        <v>1</v>
      </c>
      <c r="DJ99" s="494" t="s">
        <v>221</v>
      </c>
      <c r="DK99" s="495"/>
      <c r="DL99" s="494" t="s">
        <v>217</v>
      </c>
      <c r="DM99" s="495"/>
      <c r="DN99" s="494" t="s">
        <v>222</v>
      </c>
      <c r="DO99" s="495"/>
      <c r="DP99" s="494" t="s">
        <v>223</v>
      </c>
      <c r="DQ99" s="495"/>
      <c r="DR99" s="494" t="s">
        <v>198</v>
      </c>
      <c r="DS99" s="495"/>
      <c r="DT99" s="494" t="s">
        <v>1</v>
      </c>
      <c r="DU99" s="496"/>
      <c r="DV99" s="457"/>
      <c r="DW99" s="457"/>
      <c r="DX99" s="478" t="s">
        <v>1</v>
      </c>
      <c r="DY99" s="478" t="s">
        <v>214</v>
      </c>
      <c r="DZ99" s="478" t="s">
        <v>224</v>
      </c>
      <c r="EA99" s="478" t="s">
        <v>224</v>
      </c>
      <c r="EB99" s="478" t="s">
        <v>224</v>
      </c>
      <c r="EC99" s="478" t="s">
        <v>198</v>
      </c>
      <c r="ED99" s="478"/>
    </row>
    <row r="100" spans="55:134" ht="48.75" thickTop="1" thickBot="1">
      <c r="BC100" s="605" t="s">
        <v>164</v>
      </c>
      <c r="BD100" s="606"/>
      <c r="BE100" s="606"/>
      <c r="BF100" s="606"/>
      <c r="BG100" s="607"/>
      <c r="BH100" s="457"/>
      <c r="BI100" s="565" t="s">
        <v>245</v>
      </c>
      <c r="BJ100" s="565" t="s">
        <v>243</v>
      </c>
      <c r="BK100" s="565" t="s">
        <v>244</v>
      </c>
      <c r="BL100" s="500" t="s">
        <v>246</v>
      </c>
      <c r="BM100" s="499" t="s">
        <v>247</v>
      </c>
      <c r="BN100" s="565" t="s">
        <v>248</v>
      </c>
      <c r="BO100" s="565" t="s">
        <v>249</v>
      </c>
      <c r="BP100" s="565" t="s">
        <v>250</v>
      </c>
      <c r="BQ100" s="565" t="s">
        <v>251</v>
      </c>
      <c r="BR100" s="457"/>
      <c r="BS100" s="565" t="s">
        <v>125</v>
      </c>
      <c r="BT100" s="565" t="s">
        <v>243</v>
      </c>
      <c r="BU100" s="565" t="s">
        <v>252</v>
      </c>
      <c r="BV100" s="500" t="s">
        <v>255</v>
      </c>
      <c r="BW100" s="567" t="s">
        <v>256</v>
      </c>
      <c r="BX100" s="506" t="s">
        <v>228</v>
      </c>
      <c r="BY100" s="566" t="s">
        <v>226</v>
      </c>
      <c r="BZ100" s="566" t="s">
        <v>227</v>
      </c>
      <c r="CA100" s="566" t="s">
        <v>1</v>
      </c>
      <c r="CB100" s="566" t="s">
        <v>198</v>
      </c>
      <c r="CC100" s="457"/>
      <c r="CD100" s="561" t="s">
        <v>125</v>
      </c>
      <c r="CE100" s="563" t="str">
        <f>BT100</f>
        <v>LP Contributions</v>
      </c>
      <c r="CF100" s="563" t="s">
        <v>254</v>
      </c>
      <c r="CG100" s="563" t="str">
        <f>BV100</f>
        <v>Prior Distributions</v>
      </c>
      <c r="CH100" s="563" t="s">
        <v>257</v>
      </c>
      <c r="CI100" s="563" t="str">
        <f>BX100</f>
        <v>LP Capital</v>
      </c>
      <c r="CJ100" s="563" t="s">
        <v>229</v>
      </c>
      <c r="CK100" s="564" t="s">
        <v>226</v>
      </c>
      <c r="CL100" s="564" t="s">
        <v>227</v>
      </c>
      <c r="CM100" s="564" t="s">
        <v>1</v>
      </c>
      <c r="CN100" s="564" t="s">
        <v>198</v>
      </c>
      <c r="CO100" s="457"/>
      <c r="CP100" s="561" t="s">
        <v>125</v>
      </c>
      <c r="CQ100" s="563" t="str">
        <f>CE100</f>
        <v>LP Contributions</v>
      </c>
      <c r="CR100" s="563" t="s">
        <v>260</v>
      </c>
      <c r="CS100" s="563" t="s">
        <v>255</v>
      </c>
      <c r="CT100" s="563" t="s">
        <v>261</v>
      </c>
      <c r="CU100" s="563" t="str">
        <f>CI100</f>
        <v>LP Capital</v>
      </c>
      <c r="CV100" s="563" t="s">
        <v>229</v>
      </c>
      <c r="CW100" s="564" t="s">
        <v>226</v>
      </c>
      <c r="CX100" s="564" t="s">
        <v>227</v>
      </c>
      <c r="CY100" s="564" t="s">
        <v>1</v>
      </c>
      <c r="CZ100" s="564" t="s">
        <v>198</v>
      </c>
      <c r="DA100" s="570"/>
      <c r="DB100" s="578" t="s">
        <v>263</v>
      </c>
      <c r="DC100" s="578" t="s">
        <v>264</v>
      </c>
      <c r="DD100" s="571"/>
      <c r="DE100" s="580" t="s">
        <v>226</v>
      </c>
      <c r="DF100" s="580" t="s">
        <v>227</v>
      </c>
      <c r="DG100" s="580" t="s">
        <v>1</v>
      </c>
      <c r="DH100" s="457"/>
      <c r="DI100" s="478" t="s">
        <v>5</v>
      </c>
      <c r="DJ100" s="581" t="s">
        <v>226</v>
      </c>
      <c r="DK100" s="581" t="s">
        <v>227</v>
      </c>
      <c r="DL100" s="581" t="s">
        <v>226</v>
      </c>
      <c r="DM100" s="581" t="str">
        <f>DK100</f>
        <v>to GP</v>
      </c>
      <c r="DN100" s="581" t="s">
        <v>226</v>
      </c>
      <c r="DO100" s="581" t="str">
        <f>DM100</f>
        <v>to GP</v>
      </c>
      <c r="DP100" s="581" t="s">
        <v>226</v>
      </c>
      <c r="DQ100" s="581" t="str">
        <f>DO100</f>
        <v>to GP</v>
      </c>
      <c r="DR100" s="581" t="s">
        <v>226</v>
      </c>
      <c r="DS100" s="581" t="str">
        <f>DQ100</f>
        <v>to GP</v>
      </c>
      <c r="DT100" s="633" t="s">
        <v>226</v>
      </c>
      <c r="DU100" s="633" t="s">
        <v>227</v>
      </c>
      <c r="DV100" s="457"/>
      <c r="DW100" s="457"/>
      <c r="DX100" s="501" t="s">
        <v>5</v>
      </c>
      <c r="DY100" s="501" t="s">
        <v>230</v>
      </c>
      <c r="DZ100" s="501" t="s">
        <v>231</v>
      </c>
      <c r="EA100" s="501" t="s">
        <v>232</v>
      </c>
      <c r="EB100" s="501" t="s">
        <v>233</v>
      </c>
      <c r="EC100" s="501" t="s">
        <v>161</v>
      </c>
      <c r="ED100" s="501" t="s">
        <v>1</v>
      </c>
    </row>
    <row r="101" spans="55:134" ht="48.75" thickTop="1" thickBot="1">
      <c r="BC101" s="608"/>
      <c r="BD101" s="609"/>
      <c r="BE101" s="609"/>
      <c r="BF101" s="609"/>
      <c r="BG101" s="610"/>
      <c r="BH101" s="511"/>
      <c r="BI101" s="503">
        <f>BG104</f>
        <v>0.75</v>
      </c>
      <c r="BJ101" s="504">
        <f>SUM(BJ103:BJ175)</f>
        <v>0</v>
      </c>
      <c r="BK101" s="504">
        <f>SUM(BK103:BK175)</f>
        <v>0</v>
      </c>
      <c r="BL101" s="505">
        <f>SUM(BL103:BL175)</f>
        <v>0</v>
      </c>
      <c r="BM101" s="501" t="s">
        <v>234</v>
      </c>
      <c r="BN101" s="504">
        <f>SUM(BN103:BN175)</f>
        <v>0</v>
      </c>
      <c r="BO101" s="504">
        <f>SUM(BO103:BO175)</f>
        <v>0</v>
      </c>
      <c r="BP101" s="504">
        <f>SUM(BP103:BP175)</f>
        <v>0</v>
      </c>
      <c r="BQ101" s="504">
        <f>SUM(BQ103:BQ175)</f>
        <v>0</v>
      </c>
      <c r="BR101" s="457"/>
      <c r="BS101" s="503">
        <f>BG110</f>
        <v>0</v>
      </c>
      <c r="BT101" s="504">
        <f>SUM(BT103:BT175)</f>
        <v>0</v>
      </c>
      <c r="BU101" s="504">
        <f>SUM(BU103:BU175)</f>
        <v>0</v>
      </c>
      <c r="BV101" s="505">
        <f>SUM(BV103:BV175)</f>
        <v>0</v>
      </c>
      <c r="BW101" s="504">
        <f>SUM(BW103:BW175)</f>
        <v>0</v>
      </c>
      <c r="BX101" s="506" t="s">
        <v>253</v>
      </c>
      <c r="BY101" s="507">
        <f>SUM(BY103:BY175)</f>
        <v>0</v>
      </c>
      <c r="BZ101" s="507">
        <f>SUM(BZ103:BZ175)</f>
        <v>0</v>
      </c>
      <c r="CA101" s="507">
        <f>SUM(CA103:CA175)</f>
        <v>0</v>
      </c>
      <c r="CB101" s="504">
        <f>SUM(CB103:CB175)</f>
        <v>0</v>
      </c>
      <c r="CC101" s="457"/>
      <c r="CD101" s="572">
        <f>BG111</f>
        <v>0</v>
      </c>
      <c r="CE101" s="573">
        <f>SUM(CE103:CE175)</f>
        <v>0</v>
      </c>
      <c r="CF101" s="573">
        <f>SUM(CF103:CF175)</f>
        <v>0</v>
      </c>
      <c r="CG101" s="573">
        <f>SUM(CG103:CG175)</f>
        <v>0</v>
      </c>
      <c r="CH101" s="573">
        <f>SUM(CH103:CH175)</f>
        <v>0</v>
      </c>
      <c r="CI101" s="574" t="s">
        <v>258</v>
      </c>
      <c r="CJ101" s="575" t="e">
        <f>XIRR(CJ103:CJ175,$G103:$G175)</f>
        <v>#NUM!</v>
      </c>
      <c r="CK101" s="573">
        <f>SUM(CK103:CK175)</f>
        <v>0</v>
      </c>
      <c r="CL101" s="573">
        <f>SUM(CL103:CL175)</f>
        <v>0</v>
      </c>
      <c r="CM101" s="573">
        <f>SUM(CM103:CM175)</f>
        <v>0</v>
      </c>
      <c r="CN101" s="576">
        <f>SUM(CN103:CN175)</f>
        <v>0</v>
      </c>
      <c r="CO101" s="457"/>
      <c r="CP101" s="572">
        <f>BG112</f>
        <v>0</v>
      </c>
      <c r="CQ101" s="573">
        <f>SUM(CQ103:CQ175)</f>
        <v>0</v>
      </c>
      <c r="CR101" s="573">
        <f>SUM(CR103:CR175)</f>
        <v>0</v>
      </c>
      <c r="CS101" s="573">
        <f>SUM(CS103:CS175)</f>
        <v>0</v>
      </c>
      <c r="CT101" s="573">
        <f>SUM(CT103:CT175)</f>
        <v>0</v>
      </c>
      <c r="CU101" s="574" t="s">
        <v>262</v>
      </c>
      <c r="CV101" s="575" t="e">
        <f>XIRR(CV103:CV175,$G103:$G175)</f>
        <v>#NUM!</v>
      </c>
      <c r="CW101" s="573">
        <f>SUM(CW103:CW175)</f>
        <v>0</v>
      </c>
      <c r="CX101" s="573">
        <f>SUM(CX103:CX175)</f>
        <v>0</v>
      </c>
      <c r="CY101" s="573">
        <f>SUM(CY103:CY175)</f>
        <v>0</v>
      </c>
      <c r="CZ101" s="576">
        <f>SUM(CZ103:CZ175)</f>
        <v>0</v>
      </c>
      <c r="DA101" s="570"/>
      <c r="DB101" s="576">
        <f>SUM(DB103:DB175)</f>
        <v>0</v>
      </c>
      <c r="DC101" s="576">
        <f>SUM(DC103:DC175)</f>
        <v>0</v>
      </c>
      <c r="DD101" s="571"/>
      <c r="DE101" s="579">
        <f>SUM(DE103:DE175)</f>
        <v>0</v>
      </c>
      <c r="DF101" s="579">
        <f>SUM(DF103:DF175)</f>
        <v>0</v>
      </c>
      <c r="DG101" s="579">
        <f>SUM(DG103:DG175)</f>
        <v>0</v>
      </c>
      <c r="DH101" s="457"/>
      <c r="DI101" s="508" t="s">
        <v>215</v>
      </c>
      <c r="DJ101" s="509">
        <f>BG104</f>
        <v>0.75</v>
      </c>
      <c r="DK101" s="509">
        <f>1-DJ101</f>
        <v>0.25</v>
      </c>
      <c r="DL101" s="509">
        <f>BS101</f>
        <v>0</v>
      </c>
      <c r="DM101" s="509">
        <f>1-DL101</f>
        <v>1</v>
      </c>
      <c r="DN101" s="509">
        <f>BG111</f>
        <v>0</v>
      </c>
      <c r="DO101" s="509">
        <f>1-DN101</f>
        <v>1</v>
      </c>
      <c r="DP101" s="509">
        <f>BG112</f>
        <v>0</v>
      </c>
      <c r="DQ101" s="509">
        <f>1-DP101</f>
        <v>1</v>
      </c>
      <c r="DR101" s="509">
        <f>BG113</f>
        <v>0</v>
      </c>
      <c r="DS101" s="509">
        <f>1-DR101</f>
        <v>1</v>
      </c>
      <c r="DT101" s="634"/>
      <c r="DU101" s="634"/>
      <c r="DV101" s="457"/>
      <c r="DW101" s="457"/>
      <c r="DX101" s="508" t="s">
        <v>215</v>
      </c>
      <c r="DY101" s="508">
        <f>i_rate.Pref</f>
        <v>0.1</v>
      </c>
      <c r="DZ101" s="508">
        <f>i_rate.Hurdle1</f>
        <v>0.15</v>
      </c>
      <c r="EA101" s="508">
        <f>i_rate.Hurdle2</f>
        <v>0.2</v>
      </c>
      <c r="EB101" s="508">
        <f>i_rate.Hurdle3</f>
        <v>0.25</v>
      </c>
      <c r="EC101" s="508" t="s">
        <v>235</v>
      </c>
      <c r="ED101" s="508" t="s">
        <v>225</v>
      </c>
    </row>
    <row r="102" spans="55:134" ht="17.25" thickTop="1" thickBot="1">
      <c r="BH102" s="511"/>
      <c r="BI102" s="512"/>
      <c r="BJ102" s="513"/>
      <c r="BK102" s="514"/>
      <c r="BL102" s="513"/>
      <c r="BM102" s="513"/>
      <c r="BN102" s="515" t="e">
        <f>XIRR(BN103:BN175,$G$9:$G$81)</f>
        <v>#NUM!</v>
      </c>
      <c r="BO102" s="515" t="e">
        <f>XIRR(BO103:BO175,$G$9:$G$81)</f>
        <v>#NUM!</v>
      </c>
      <c r="BP102" s="515" t="e">
        <f>XIRR(BP103:BP175,$G$9:$G$81)</f>
        <v>#NUM!</v>
      </c>
      <c r="BQ102" s="513"/>
      <c r="BR102" s="516"/>
      <c r="BS102" s="512"/>
      <c r="BT102" s="513"/>
      <c r="BU102" s="514"/>
      <c r="BV102" s="513"/>
      <c r="BW102" s="513"/>
      <c r="BX102" s="513"/>
      <c r="BY102" s="515" t="e">
        <f>XIRR(BY103:BY175,$G$9:$G$81)</f>
        <v>#NUM!</v>
      </c>
      <c r="BZ102" s="515" t="e">
        <f>XIRR(BZ103:BZ175,$G$9:$G$81)</f>
        <v>#NUM!</v>
      </c>
      <c r="CA102" s="515" t="e">
        <f>XIRR(CA103:CA175,$G$9:$G$81)</f>
        <v>#NUM!</v>
      </c>
      <c r="CB102" s="513"/>
      <c r="CC102" s="516"/>
      <c r="CD102" s="512"/>
      <c r="CE102" s="513"/>
      <c r="CF102" s="514"/>
      <c r="CG102" s="513"/>
      <c r="CH102" s="513"/>
      <c r="CI102" s="513"/>
      <c r="CJ102" s="517"/>
      <c r="CK102" s="515" t="e">
        <f>XIRR(CK103:CK175,$G$9:$G$81)</f>
        <v>#NUM!</v>
      </c>
      <c r="CL102" s="515" t="e">
        <f>XIRR(CL103:CL175,$G$9:$G$81)</f>
        <v>#NUM!</v>
      </c>
      <c r="CM102" s="515" t="e">
        <f>XIRR(CM103:CM175,$G$9:$G$81)</f>
        <v>#NUM!</v>
      </c>
      <c r="CN102" s="515"/>
      <c r="CO102" s="516"/>
      <c r="CP102" s="512"/>
      <c r="CQ102" s="513"/>
      <c r="CR102" s="514"/>
      <c r="CS102" s="513"/>
      <c r="CT102" s="513"/>
      <c r="CU102" s="513"/>
      <c r="CV102" s="517"/>
      <c r="CW102" s="515" t="e">
        <f>XIRR(CW103:CW175,$G$9:$G$81)</f>
        <v>#NUM!</v>
      </c>
      <c r="CX102" s="515" t="e">
        <f>XIRR(CX103:CX175,$G$9:$G$81)</f>
        <v>#NUM!</v>
      </c>
      <c r="CY102" s="515" t="e">
        <f>XIRR(CY103:CY175,$G$9:$G$81)</f>
        <v>#NUM!</v>
      </c>
      <c r="CZ102" s="515"/>
      <c r="DA102" s="516"/>
      <c r="DB102" s="513"/>
      <c r="DC102" s="513"/>
      <c r="DD102" s="518"/>
      <c r="DE102" s="515" t="e">
        <f>XIRR(DE103:DE175,$G$9:$G$81)</f>
        <v>#NUM!</v>
      </c>
      <c r="DF102" s="515" t="e">
        <f>XIRR(DF103:DF175,$G$9:$G$81)</f>
        <v>#NUM!</v>
      </c>
      <c r="DG102" s="515" t="e">
        <f>XIRR(DG103:DG175,$G$9:$G$81)</f>
        <v>#NUM!</v>
      </c>
      <c r="DH102" s="457"/>
      <c r="DI102" s="519">
        <f>SUM(_xlfn.ANCHORARRAY(DI103))</f>
        <v>0</v>
      </c>
      <c r="DJ102" s="519">
        <f>SUM(_xlfn.ANCHORARRAY(DJ103))</f>
        <v>0</v>
      </c>
      <c r="DK102" s="519">
        <f>SUM(_xlfn.ANCHORARRAY(DK103))</f>
        <v>0</v>
      </c>
      <c r="DL102" s="519">
        <f t="shared" ref="DL102:DQ102" si="216">SUM(DL103:DL175)</f>
        <v>0</v>
      </c>
      <c r="DM102" s="519">
        <f t="shared" si="216"/>
        <v>0</v>
      </c>
      <c r="DN102" s="519">
        <f t="shared" si="216"/>
        <v>0</v>
      </c>
      <c r="DO102" s="519">
        <f t="shared" si="216"/>
        <v>0</v>
      </c>
      <c r="DP102" s="519">
        <f t="shared" si="216"/>
        <v>0</v>
      </c>
      <c r="DQ102" s="519">
        <f t="shared" si="216"/>
        <v>0</v>
      </c>
      <c r="DR102" s="519">
        <f>SUM(_xlfn.ANCHORARRAY(DR103))</f>
        <v>0</v>
      </c>
      <c r="DS102" s="519">
        <f>SUM(_xlfn.ANCHORARRAY(DS103))</f>
        <v>0</v>
      </c>
      <c r="DT102" s="519">
        <f>SUM(DT103:DT175)</f>
        <v>0</v>
      </c>
      <c r="DU102" s="519">
        <f>SUM(DU103:DU175)</f>
        <v>0</v>
      </c>
      <c r="DV102" s="457"/>
      <c r="DW102" s="457"/>
      <c r="DX102" s="519">
        <f>SUM(DX103:DX175)+DW103</f>
        <v>0</v>
      </c>
      <c r="DY102" s="519">
        <f>SUM(DY103:DY175)+DX103</f>
        <v>0</v>
      </c>
      <c r="DZ102" s="519">
        <f>SUM(DZ103:DZ175)</f>
        <v>0</v>
      </c>
      <c r="EA102" s="519">
        <f>SUM(EA103:EA175)</f>
        <v>0</v>
      </c>
      <c r="EB102" s="519">
        <f>SUM(EB103:EB175)</f>
        <v>0</v>
      </c>
      <c r="EC102" s="519">
        <f>SUM(EC103:EC175)</f>
        <v>0</v>
      </c>
      <c r="ED102" s="519">
        <f>SUM(ED103:ED175)</f>
        <v>0</v>
      </c>
    </row>
    <row r="103" spans="55:134" ht="17.25" thickTop="1" thickBot="1">
      <c r="BC103" s="520" t="s">
        <v>200</v>
      </c>
      <c r="BD103" s="586"/>
      <c r="BE103" s="521"/>
      <c r="BF103" s="522"/>
      <c r="BG103" s="521"/>
      <c r="BH103" s="511"/>
      <c r="BI103" s="138">
        <f t="shared" ref="BI103:BI166" si="217">IF(D103=0,0,BM102)</f>
        <v>0</v>
      </c>
      <c r="BJ103" s="138">
        <f t="shared" ref="BJ103:BJ134" si="218">IF($AJ103=0,0,-MIN(0,AJ103*c_EquityShare.LP))</f>
        <v>0</v>
      </c>
      <c r="BK103" s="138">
        <f>BI103*(Project!$N$41/12)</f>
        <v>0</v>
      </c>
      <c r="BL103" s="138">
        <f t="shared" ref="BL103:BL166" si="219">IF($AZ103=0,0,MAX(MIN($AZ103*$BI$7,BI103+BK103-BJ103),0))</f>
        <v>0</v>
      </c>
      <c r="BM103" s="138">
        <f t="shared" ref="BM103:BM166" si="220">BI103+BK103+BJ103-BL103</f>
        <v>0</v>
      </c>
      <c r="BN103" s="138">
        <f>-BM103</f>
        <v>0</v>
      </c>
      <c r="BO103" s="138">
        <f>AZ103*i_EquityShare.GP</f>
        <v>0</v>
      </c>
      <c r="BP103" s="138">
        <f>AZ103</f>
        <v>0</v>
      </c>
      <c r="BQ103" s="138">
        <f t="shared" ref="BQ103:BQ166" si="221">IF(G103=0,0,MAX(AZ103-BP103,0))</f>
        <v>0</v>
      </c>
      <c r="BR103" s="525"/>
      <c r="BS103" s="138">
        <v>0</v>
      </c>
      <c r="BT103" s="138">
        <f t="shared" ref="BT103:BT166" si="222">IF($AZ103=0,0,-MIN(0,$AZ103*c_EquityShare.LP))</f>
        <v>0</v>
      </c>
      <c r="BU103" s="138" cm="1">
        <f t="array" ref="BU103">IF(D103=0,0,BS103*(c_rate.Hurdle1.MO))</f>
        <v>0</v>
      </c>
      <c r="BV103" s="138">
        <v>0</v>
      </c>
      <c r="BW103" s="138">
        <f t="shared" ref="BW103:BW166" si="223">MIN(BS103+BU103-BV103,BQ103*BS$7)</f>
        <v>0</v>
      </c>
      <c r="BX103" s="138">
        <f>BS103+BU103+BT103-BV103-BW103</f>
        <v>0</v>
      </c>
      <c r="BY103" s="138">
        <f>-BT103</f>
        <v>0</v>
      </c>
      <c r="BZ103" s="138">
        <f>BO103</f>
        <v>0</v>
      </c>
      <c r="CA103" s="138">
        <f t="shared" ref="CA103:CA166" si="224">BY103+BZ103</f>
        <v>0</v>
      </c>
      <c r="CB103" s="138">
        <v>0</v>
      </c>
      <c r="CC103" s="525"/>
      <c r="CD103" s="138">
        <v>0</v>
      </c>
      <c r="CE103" s="138">
        <f t="shared" ref="CE103:CE166" si="225">IF($AZ103=0,0,-MIN(0,$AZ103*c_EquityShare.LP))</f>
        <v>0</v>
      </c>
      <c r="CF103" s="138">
        <v>0</v>
      </c>
      <c r="CG103" s="138">
        <f t="shared" ref="CG103:CG166" si="226">BV103+BW103</f>
        <v>0</v>
      </c>
      <c r="CH103" s="138"/>
      <c r="CI103" s="138">
        <f t="shared" ref="CI103:CI166" si="227">CD103+CF103+CE103-CG103-CH103</f>
        <v>0</v>
      </c>
      <c r="CJ103" s="138">
        <f t="shared" ref="CJ103:CJ166" si="228">-CE103+CG103+CH103</f>
        <v>0</v>
      </c>
      <c r="CK103" s="138">
        <f t="shared" ref="CK103:CK166" si="229">BY103+CH103</f>
        <v>0</v>
      </c>
      <c r="CL103" s="138">
        <f>BZ103</f>
        <v>0</v>
      </c>
      <c r="CM103" s="138">
        <f t="shared" ref="CM103:CM166" si="230">CK103+CL103</f>
        <v>0</v>
      </c>
      <c r="CN103" s="138">
        <f t="shared" ref="CN103:CN166" si="231">IF(CM103&lt;0,0,MAX($AZ103-CM103,0))</f>
        <v>0</v>
      </c>
      <c r="CO103" s="525"/>
      <c r="CP103" s="138">
        <v>0</v>
      </c>
      <c r="CQ103" s="138">
        <f t="shared" ref="CQ103:CQ166" si="232">IF($AZ103=0,0,-MIN(0,$AZ103*c_EquityShare.LP))</f>
        <v>0</v>
      </c>
      <c r="CR103" s="138" cm="1">
        <f t="array" ref="CR103">IF($D104=0,0,CP103*(c_rate.Hurdle3.MO))</f>
        <v>0</v>
      </c>
      <c r="CS103" s="138">
        <f t="shared" ref="CS103:CS166" si="233">CG103+CH103</f>
        <v>0</v>
      </c>
      <c r="CT103" s="138">
        <v>0</v>
      </c>
      <c r="CU103" s="138">
        <f t="shared" ref="CU103:CU166" si="234">CP103+CR103+CQ103-CS103-CT103</f>
        <v>0</v>
      </c>
      <c r="CV103" s="138">
        <f t="shared" ref="CV103:CV166" si="235">-CQ103+CS103+CT103</f>
        <v>0</v>
      </c>
      <c r="CW103" s="138">
        <f>CK103</f>
        <v>0</v>
      </c>
      <c r="CX103" s="138">
        <f>CL103</f>
        <v>0</v>
      </c>
      <c r="CY103" s="138">
        <f>CM103</f>
        <v>0</v>
      </c>
      <c r="CZ103" s="138">
        <v>0</v>
      </c>
      <c r="DA103" s="525"/>
      <c r="DB103" s="138">
        <f t="shared" ref="DB103:DB166" si="236">$CZ103-DC103</f>
        <v>0</v>
      </c>
      <c r="DC103" s="138">
        <f t="shared" ref="DC103:DC166" si="237">$CZ103*$BF$19</f>
        <v>0</v>
      </c>
      <c r="DD103" s="526"/>
      <c r="DE103" s="138">
        <f>CW103</f>
        <v>0</v>
      </c>
      <c r="DF103" s="138">
        <f>CX103</f>
        <v>0</v>
      </c>
      <c r="DG103" s="138">
        <f t="shared" ref="DG103:DG166" si="238">SUM(DE103:DF103)</f>
        <v>0</v>
      </c>
      <c r="DH103" s="457"/>
      <c r="DI103" s="138" cm="1">
        <f t="array" ref="DI103:DI175">AZ103:AZ175</f>
        <v>0</v>
      </c>
      <c r="DJ103" s="138" cm="1">
        <f t="array" ref="DJ103:DJ175">BN103:BN175</f>
        <v>0</v>
      </c>
      <c r="DK103" s="138" cm="1">
        <f t="array" ref="DK103:DK175">BO103:BO175</f>
        <v>0</v>
      </c>
      <c r="DL103" s="138">
        <f t="shared" ref="DL103:DL166" si="239">BY103-BN103</f>
        <v>0</v>
      </c>
      <c r="DM103" s="138">
        <f t="shared" ref="DM103:DM166" si="240">BZ103-BO103</f>
        <v>0</v>
      </c>
      <c r="DN103" s="138">
        <f t="shared" ref="DN103:DN166" si="241">CK103-BY103</f>
        <v>0</v>
      </c>
      <c r="DO103" s="138">
        <f t="shared" ref="DO103:DO166" si="242">CL103-BZ103</f>
        <v>0</v>
      </c>
      <c r="DP103" s="138">
        <f t="shared" ref="DP103:DP166" si="243">CW103-CK103</f>
        <v>0</v>
      </c>
      <c r="DQ103" s="138">
        <f t="shared" ref="DQ103:DQ166" si="244">CX103-CL103</f>
        <v>0</v>
      </c>
      <c r="DR103" s="138" cm="1">
        <f t="array" ref="DR103:DR175">DB103:DB175</f>
        <v>0</v>
      </c>
      <c r="DS103" s="138" cm="1">
        <f t="array" ref="DS103:DS175">DC103:DC175</f>
        <v>0</v>
      </c>
      <c r="DT103" s="138">
        <f t="shared" ref="DT103:DT166" si="245">DJ103+DL103+DN103+DP103+DR103</f>
        <v>0</v>
      </c>
      <c r="DU103" s="138">
        <f t="shared" ref="DU103:DU166" si="246">DK103+DM103+DO103+DQ103+DS103</f>
        <v>0</v>
      </c>
      <c r="DV103" s="457"/>
      <c r="DW103" s="457"/>
      <c r="DX103" s="138" cm="1">
        <f t="array" ref="DX103:DX175">AZ103:AZ175</f>
        <v>0</v>
      </c>
      <c r="DY103" s="138"/>
      <c r="DZ103" s="138">
        <f t="shared" ref="DZ103:DZ166" si="247">DL103+DM103</f>
        <v>0</v>
      </c>
      <c r="EA103" s="138">
        <f t="shared" ref="EA103:EA166" si="248">DN103+DO103</f>
        <v>0</v>
      </c>
      <c r="EB103" s="138">
        <f t="shared" ref="EB103:EB166" si="249">DP103+DQ103</f>
        <v>0</v>
      </c>
      <c r="EC103" s="138">
        <f t="shared" ref="EC103:EC166" si="250">DR103+DS103</f>
        <v>0</v>
      </c>
      <c r="ED103" s="138">
        <f>DX103</f>
        <v>0</v>
      </c>
    </row>
    <row r="104" spans="55:134" ht="17.25" thickTop="1" thickBot="1">
      <c r="BC104" s="527" t="s">
        <v>201</v>
      </c>
      <c r="BD104" s="549"/>
      <c r="BE104" s="529">
        <f>i_EquityShare.GP+BG104</f>
        <v>1</v>
      </c>
      <c r="BF104" s="530">
        <f>i_EquityShare.GP</f>
        <v>0.25</v>
      </c>
      <c r="BG104" s="529">
        <f>c_EquityShare.LP</f>
        <v>0.75</v>
      </c>
      <c r="BH104" s="511"/>
      <c r="BI104" s="138">
        <f t="shared" si="217"/>
        <v>0</v>
      </c>
      <c r="BJ104" s="138">
        <f t="shared" si="218"/>
        <v>0</v>
      </c>
      <c r="BK104" s="138" cm="1">
        <f t="array" ref="BK104">BI104*c_rate.Pref.MO</f>
        <v>0</v>
      </c>
      <c r="BL104" s="138">
        <f t="shared" si="219"/>
        <v>0</v>
      </c>
      <c r="BM104" s="138">
        <f t="shared" si="220"/>
        <v>0</v>
      </c>
      <c r="BN104" s="138">
        <f t="shared" ref="BN104:BN167" si="251">BL104-BJ104</f>
        <v>0</v>
      </c>
      <c r="BO104" s="138">
        <f t="shared" ref="BO104:BO167" si="252">IF(BI104=0,0,IF(AZ104&lt;0,BN104/$BG$10*$BF$10,BL104/$BG$10*$BF$10))</f>
        <v>0</v>
      </c>
      <c r="BP104" s="138">
        <f t="shared" ref="BP104:BP167" si="253">BN104+BO104</f>
        <v>0</v>
      </c>
      <c r="BQ104" s="138">
        <f t="shared" si="221"/>
        <v>0</v>
      </c>
      <c r="BR104" s="516"/>
      <c r="BS104" s="138">
        <f t="shared" ref="BS104:BS167" si="254">BX103</f>
        <v>0</v>
      </c>
      <c r="BT104" s="138">
        <f t="shared" si="222"/>
        <v>0</v>
      </c>
      <c r="BU104" s="138" cm="1">
        <f t="array" ref="BU104">IF(D104=0,0,BS104*(c_rate.Hurdle1.MO))</f>
        <v>0</v>
      </c>
      <c r="BV104" s="138">
        <f t="shared" ref="BV104:BV167" si="255">BL104</f>
        <v>0</v>
      </c>
      <c r="BW104" s="138">
        <f t="shared" si="223"/>
        <v>0</v>
      </c>
      <c r="BX104" s="138">
        <f t="shared" ref="BX104:BX167" si="256">BS104+BT104+BU104-BV104-BW104</f>
        <v>0</v>
      </c>
      <c r="BY104" s="138">
        <f t="shared" ref="BY104:BY167" si="257">BN104+BW104</f>
        <v>0</v>
      </c>
      <c r="BZ104" s="138">
        <f t="shared" ref="BZ104:BZ167" si="258">IF(BS104=0,0,BO104+BW104/$BG$16*$BF$16)</f>
        <v>0</v>
      </c>
      <c r="CA104" s="138">
        <f t="shared" si="224"/>
        <v>0</v>
      </c>
      <c r="CB104" s="138">
        <f t="shared" ref="CB104:CB167" si="259">IF(CA104&lt;0,0,MAX($AZ104-CA104,0))</f>
        <v>0</v>
      </c>
      <c r="CC104" s="516"/>
      <c r="CD104" s="138">
        <f t="shared" ref="CD104:CD167" si="260">CI103</f>
        <v>0</v>
      </c>
      <c r="CE104" s="138">
        <f t="shared" si="225"/>
        <v>0</v>
      </c>
      <c r="CF104" s="138" cm="1">
        <f t="array" ref="CF104">IF($D104=0,0,CD104*(c_rate.Hurdle2.MO))</f>
        <v>0</v>
      </c>
      <c r="CG104" s="138">
        <f t="shared" si="226"/>
        <v>0</v>
      </c>
      <c r="CH104" s="138">
        <f t="shared" ref="CH104:CH167" si="261">IF(CB104=0,0,MIN(CD104+CE104+CF104-CG104,CB104*CD$7))</f>
        <v>0</v>
      </c>
      <c r="CI104" s="138">
        <f t="shared" si="227"/>
        <v>0</v>
      </c>
      <c r="CJ104" s="138">
        <f t="shared" si="228"/>
        <v>0</v>
      </c>
      <c r="CK104" s="138">
        <f t="shared" si="229"/>
        <v>0</v>
      </c>
      <c r="CL104" s="138">
        <f t="shared" ref="CL104:CL167" si="262">IF(CD104=0,0,BZ104+CH104/$BG$17*$BF$17)</f>
        <v>0</v>
      </c>
      <c r="CM104" s="138">
        <f t="shared" si="230"/>
        <v>0</v>
      </c>
      <c r="CN104" s="138">
        <f t="shared" si="231"/>
        <v>0</v>
      </c>
      <c r="CO104" s="516"/>
      <c r="CP104" s="138">
        <f t="shared" ref="CP104:CP167" si="263">CU103</f>
        <v>0</v>
      </c>
      <c r="CQ104" s="138">
        <f t="shared" si="232"/>
        <v>0</v>
      </c>
      <c r="CR104" s="138" cm="1">
        <f t="array" ref="CR104">IF($D104=0,0,CP104*(c_rate.Hurdle3.MO))</f>
        <v>0</v>
      </c>
      <c r="CS104" s="138">
        <f t="shared" si="233"/>
        <v>0</v>
      </c>
      <c r="CT104" s="138">
        <f t="shared" ref="CT104:CT167" si="264">IF(CP104=0,0,MIN(CP104+CQ104+CR104-CS104,CN104*CP$7))</f>
        <v>0</v>
      </c>
      <c r="CU104" s="138">
        <f t="shared" si="234"/>
        <v>0</v>
      </c>
      <c r="CV104" s="138">
        <f t="shared" si="235"/>
        <v>0</v>
      </c>
      <c r="CW104" s="138">
        <f t="shared" ref="CW104:CW167" si="265">CK104+CT104</f>
        <v>0</v>
      </c>
      <c r="CX104" s="138">
        <f t="shared" ref="CX104:CX167" si="266">IF(CP104=0,0,CL104+CT104/$BG$18*$BF$18)</f>
        <v>0</v>
      </c>
      <c r="CY104" s="138">
        <f t="shared" ref="CY104:CY167" si="267">CW104+CX104</f>
        <v>0</v>
      </c>
      <c r="CZ104" s="138">
        <f t="shared" ref="CZ104:CZ167" si="268">IF(CY104&lt;0,0,MAX($AZ104-CY104,0))</f>
        <v>0</v>
      </c>
      <c r="DA104" s="516"/>
      <c r="DB104" s="138">
        <f t="shared" si="236"/>
        <v>0</v>
      </c>
      <c r="DC104" s="138">
        <f t="shared" si="237"/>
        <v>0</v>
      </c>
      <c r="DD104" s="518"/>
      <c r="DE104" s="138">
        <f t="shared" ref="DE104:DE167" si="269">CW104+DB104</f>
        <v>0</v>
      </c>
      <c r="DF104" s="138">
        <f t="shared" ref="DF104:DF167" si="270">CX104+DC104</f>
        <v>0</v>
      </c>
      <c r="DG104" s="138">
        <f t="shared" si="238"/>
        <v>0</v>
      </c>
      <c r="DH104" s="457"/>
      <c r="DI104" s="138">
        <v>0</v>
      </c>
      <c r="DJ104" s="138">
        <v>0</v>
      </c>
      <c r="DK104" s="138">
        <v>0</v>
      </c>
      <c r="DL104" s="138">
        <f t="shared" si="239"/>
        <v>0</v>
      </c>
      <c r="DM104" s="138">
        <f t="shared" si="240"/>
        <v>0</v>
      </c>
      <c r="DN104" s="138">
        <f t="shared" si="241"/>
        <v>0</v>
      </c>
      <c r="DO104" s="138">
        <f t="shared" si="242"/>
        <v>0</v>
      </c>
      <c r="DP104" s="138">
        <f t="shared" si="243"/>
        <v>0</v>
      </c>
      <c r="DQ104" s="138">
        <f t="shared" si="244"/>
        <v>0</v>
      </c>
      <c r="DR104" s="138">
        <v>0</v>
      </c>
      <c r="DS104" s="138">
        <v>0</v>
      </c>
      <c r="DT104" s="138">
        <f t="shared" si="245"/>
        <v>0</v>
      </c>
      <c r="DU104" s="138">
        <f t="shared" si="246"/>
        <v>0</v>
      </c>
      <c r="DV104" s="457"/>
      <c r="DW104" s="457"/>
      <c r="DX104" s="138">
        <v>0</v>
      </c>
      <c r="DY104" s="138">
        <f t="shared" ref="DY104:DY167" si="271">DJ104+DK104</f>
        <v>0</v>
      </c>
      <c r="DZ104" s="138">
        <f t="shared" si="247"/>
        <v>0</v>
      </c>
      <c r="EA104" s="138">
        <f t="shared" si="248"/>
        <v>0</v>
      </c>
      <c r="EB104" s="138">
        <f t="shared" si="249"/>
        <v>0</v>
      </c>
      <c r="EC104" s="138">
        <f t="shared" si="250"/>
        <v>0</v>
      </c>
      <c r="ED104" s="138">
        <f t="shared" ref="ED104:ED167" si="272">SUM(DY104:EC104)</f>
        <v>0</v>
      </c>
    </row>
    <row r="105" spans="55:134" ht="17.25" thickTop="1" thickBot="1">
      <c r="BC105" s="527" t="s">
        <v>202</v>
      </c>
      <c r="BD105" s="549"/>
      <c r="BE105" s="531">
        <f>Project!P122</f>
        <v>0</v>
      </c>
      <c r="BF105" s="531">
        <f>BE105*BF104</f>
        <v>0</v>
      </c>
      <c r="BG105" s="531">
        <f>BE105*BG104</f>
        <v>0</v>
      </c>
      <c r="BH105" s="511"/>
      <c r="BI105" s="139">
        <f t="shared" si="217"/>
        <v>0</v>
      </c>
      <c r="BJ105" s="139">
        <f t="shared" si="218"/>
        <v>0</v>
      </c>
      <c r="BK105" s="139" cm="1">
        <f t="array" ref="BK105">BI105*c_rate.Pref.MO</f>
        <v>0</v>
      </c>
      <c r="BL105" s="139">
        <f t="shared" si="219"/>
        <v>0</v>
      </c>
      <c r="BM105" s="139">
        <f t="shared" si="220"/>
        <v>0</v>
      </c>
      <c r="BN105" s="139">
        <f t="shared" si="251"/>
        <v>0</v>
      </c>
      <c r="BO105" s="139">
        <f t="shared" si="252"/>
        <v>0</v>
      </c>
      <c r="BP105" s="139">
        <f t="shared" si="253"/>
        <v>0</v>
      </c>
      <c r="BQ105" s="139">
        <f t="shared" si="221"/>
        <v>0</v>
      </c>
      <c r="BR105" s="516"/>
      <c r="BS105" s="139">
        <f t="shared" si="254"/>
        <v>0</v>
      </c>
      <c r="BT105" s="139">
        <f t="shared" si="222"/>
        <v>0</v>
      </c>
      <c r="BU105" s="139" cm="1">
        <f t="array" ref="BU105">IF(D105=0,0,BS105*(c_rate.Hurdle1.MO))</f>
        <v>0</v>
      </c>
      <c r="BV105" s="139">
        <f t="shared" si="255"/>
        <v>0</v>
      </c>
      <c r="BW105" s="139">
        <f t="shared" si="223"/>
        <v>0</v>
      </c>
      <c r="BX105" s="139">
        <f t="shared" si="256"/>
        <v>0</v>
      </c>
      <c r="BY105" s="139">
        <f t="shared" si="257"/>
        <v>0</v>
      </c>
      <c r="BZ105" s="139">
        <f t="shared" si="258"/>
        <v>0</v>
      </c>
      <c r="CA105" s="139">
        <f t="shared" si="224"/>
        <v>0</v>
      </c>
      <c r="CB105" s="139">
        <f t="shared" si="259"/>
        <v>0</v>
      </c>
      <c r="CC105" s="516"/>
      <c r="CD105" s="139">
        <f t="shared" si="260"/>
        <v>0</v>
      </c>
      <c r="CE105" s="139">
        <f t="shared" si="225"/>
        <v>0</v>
      </c>
      <c r="CF105" s="139" cm="1">
        <f t="array" ref="CF105">IF($D106=0,0,CD105*(c_rate.Hurdle2.MO))</f>
        <v>0</v>
      </c>
      <c r="CG105" s="139">
        <f t="shared" si="226"/>
        <v>0</v>
      </c>
      <c r="CH105" s="139">
        <f t="shared" si="261"/>
        <v>0</v>
      </c>
      <c r="CI105" s="139">
        <f t="shared" si="227"/>
        <v>0</v>
      </c>
      <c r="CJ105" s="139">
        <f t="shared" si="228"/>
        <v>0</v>
      </c>
      <c r="CK105" s="139">
        <f t="shared" si="229"/>
        <v>0</v>
      </c>
      <c r="CL105" s="139">
        <f t="shared" si="262"/>
        <v>0</v>
      </c>
      <c r="CM105" s="139">
        <f t="shared" si="230"/>
        <v>0</v>
      </c>
      <c r="CN105" s="139">
        <f t="shared" si="231"/>
        <v>0</v>
      </c>
      <c r="CO105" s="516"/>
      <c r="CP105" s="139">
        <f t="shared" si="263"/>
        <v>0</v>
      </c>
      <c r="CQ105" s="139">
        <f t="shared" si="232"/>
        <v>0</v>
      </c>
      <c r="CR105" s="139" cm="1">
        <f t="array" ref="CR105">IF($D106=0,0,CP105*(c_rate.Hurdle3.MO))</f>
        <v>0</v>
      </c>
      <c r="CS105" s="139">
        <f t="shared" si="233"/>
        <v>0</v>
      </c>
      <c r="CT105" s="139">
        <f t="shared" si="264"/>
        <v>0</v>
      </c>
      <c r="CU105" s="139">
        <f t="shared" si="234"/>
        <v>0</v>
      </c>
      <c r="CV105" s="139">
        <f t="shared" si="235"/>
        <v>0</v>
      </c>
      <c r="CW105" s="139">
        <f t="shared" si="265"/>
        <v>0</v>
      </c>
      <c r="CX105" s="139">
        <f t="shared" si="266"/>
        <v>0</v>
      </c>
      <c r="CY105" s="139">
        <f t="shared" si="267"/>
        <v>0</v>
      </c>
      <c r="CZ105" s="139">
        <f t="shared" si="268"/>
        <v>0</v>
      </c>
      <c r="DA105" s="516"/>
      <c r="DB105" s="139">
        <f t="shared" si="236"/>
        <v>0</v>
      </c>
      <c r="DC105" s="139">
        <f t="shared" si="237"/>
        <v>0</v>
      </c>
      <c r="DD105" s="518"/>
      <c r="DE105" s="139">
        <f t="shared" si="269"/>
        <v>0</v>
      </c>
      <c r="DF105" s="139">
        <f t="shared" si="270"/>
        <v>0</v>
      </c>
      <c r="DG105" s="139">
        <f t="shared" si="238"/>
        <v>0</v>
      </c>
      <c r="DH105" s="457"/>
      <c r="DI105" s="139">
        <v>0</v>
      </c>
      <c r="DJ105" s="139">
        <v>0</v>
      </c>
      <c r="DK105" s="139">
        <v>0</v>
      </c>
      <c r="DL105" s="139">
        <f t="shared" si="239"/>
        <v>0</v>
      </c>
      <c r="DM105" s="139">
        <f t="shared" si="240"/>
        <v>0</v>
      </c>
      <c r="DN105" s="139">
        <f t="shared" si="241"/>
        <v>0</v>
      </c>
      <c r="DO105" s="139">
        <f t="shared" si="242"/>
        <v>0</v>
      </c>
      <c r="DP105" s="139">
        <f t="shared" si="243"/>
        <v>0</v>
      </c>
      <c r="DQ105" s="139">
        <f t="shared" si="244"/>
        <v>0</v>
      </c>
      <c r="DR105" s="139">
        <v>0</v>
      </c>
      <c r="DS105" s="139">
        <v>0</v>
      </c>
      <c r="DT105" s="139">
        <f t="shared" si="245"/>
        <v>0</v>
      </c>
      <c r="DU105" s="139">
        <f t="shared" si="246"/>
        <v>0</v>
      </c>
      <c r="DV105" s="457"/>
      <c r="DW105" s="457"/>
      <c r="DX105" s="139">
        <v>0</v>
      </c>
      <c r="DY105" s="139">
        <f t="shared" si="271"/>
        <v>0</v>
      </c>
      <c r="DZ105" s="139">
        <f t="shared" si="247"/>
        <v>0</v>
      </c>
      <c r="EA105" s="139">
        <f t="shared" si="248"/>
        <v>0</v>
      </c>
      <c r="EB105" s="139">
        <f t="shared" si="249"/>
        <v>0</v>
      </c>
      <c r="EC105" s="139">
        <f t="shared" si="250"/>
        <v>0</v>
      </c>
      <c r="ED105" s="139">
        <f t="shared" si="272"/>
        <v>0</v>
      </c>
    </row>
    <row r="106" spans="55:134" ht="17.25" thickTop="1" thickBot="1">
      <c r="BC106" s="510"/>
      <c r="BD106" s="585"/>
      <c r="BE106" s="510"/>
      <c r="BF106" s="511"/>
      <c r="BG106" s="511"/>
      <c r="BH106" s="511"/>
      <c r="BI106" s="140">
        <f t="shared" si="217"/>
        <v>0</v>
      </c>
      <c r="BJ106" s="140">
        <f t="shared" si="218"/>
        <v>0</v>
      </c>
      <c r="BK106" s="140" cm="1">
        <f t="array" ref="BK106">BI106*c_rate.Pref.MO</f>
        <v>0</v>
      </c>
      <c r="BL106" s="140">
        <f t="shared" si="219"/>
        <v>0</v>
      </c>
      <c r="BM106" s="140">
        <f t="shared" si="220"/>
        <v>0</v>
      </c>
      <c r="BN106" s="140">
        <f t="shared" si="251"/>
        <v>0</v>
      </c>
      <c r="BO106" s="140">
        <f t="shared" si="252"/>
        <v>0</v>
      </c>
      <c r="BP106" s="140">
        <f t="shared" si="253"/>
        <v>0</v>
      </c>
      <c r="BQ106" s="140">
        <f t="shared" si="221"/>
        <v>0</v>
      </c>
      <c r="BR106" s="457"/>
      <c r="BS106" s="140">
        <f t="shared" si="254"/>
        <v>0</v>
      </c>
      <c r="BT106" s="140">
        <f t="shared" si="222"/>
        <v>0</v>
      </c>
      <c r="BU106" s="140" cm="1">
        <f t="array" ref="BU106">IF(D106=0,0,BS106*(c_rate.Hurdle1.MO))</f>
        <v>0</v>
      </c>
      <c r="BV106" s="140">
        <f t="shared" si="255"/>
        <v>0</v>
      </c>
      <c r="BW106" s="140">
        <f t="shared" si="223"/>
        <v>0</v>
      </c>
      <c r="BX106" s="140">
        <f t="shared" si="256"/>
        <v>0</v>
      </c>
      <c r="BY106" s="140">
        <f t="shared" si="257"/>
        <v>0</v>
      </c>
      <c r="BZ106" s="140">
        <f t="shared" si="258"/>
        <v>0</v>
      </c>
      <c r="CA106" s="140">
        <f t="shared" si="224"/>
        <v>0</v>
      </c>
      <c r="CB106" s="140">
        <f t="shared" si="259"/>
        <v>0</v>
      </c>
      <c r="CC106" s="516"/>
      <c r="CD106" s="140">
        <f t="shared" si="260"/>
        <v>0</v>
      </c>
      <c r="CE106" s="140">
        <f t="shared" si="225"/>
        <v>0</v>
      </c>
      <c r="CF106" s="140" cm="1">
        <f t="array" ref="CF106">IF($D107=0,0,CD106*(c_rate.Hurdle2.MO))</f>
        <v>0</v>
      </c>
      <c r="CG106" s="140">
        <f t="shared" si="226"/>
        <v>0</v>
      </c>
      <c r="CH106" s="140">
        <f t="shared" si="261"/>
        <v>0</v>
      </c>
      <c r="CI106" s="140">
        <f t="shared" si="227"/>
        <v>0</v>
      </c>
      <c r="CJ106" s="140">
        <f t="shared" si="228"/>
        <v>0</v>
      </c>
      <c r="CK106" s="140">
        <f t="shared" si="229"/>
        <v>0</v>
      </c>
      <c r="CL106" s="140">
        <f t="shared" si="262"/>
        <v>0</v>
      </c>
      <c r="CM106" s="140">
        <f t="shared" si="230"/>
        <v>0</v>
      </c>
      <c r="CN106" s="140">
        <f t="shared" si="231"/>
        <v>0</v>
      </c>
      <c r="CO106" s="516"/>
      <c r="CP106" s="140">
        <f t="shared" si="263"/>
        <v>0</v>
      </c>
      <c r="CQ106" s="140">
        <f t="shared" si="232"/>
        <v>0</v>
      </c>
      <c r="CR106" s="140" cm="1">
        <f t="array" ref="CR106">IF($D107=0,0,CP106*(c_rate.Hurdle3.MO))</f>
        <v>0</v>
      </c>
      <c r="CS106" s="140">
        <f t="shared" si="233"/>
        <v>0</v>
      </c>
      <c r="CT106" s="140">
        <f t="shared" si="264"/>
        <v>0</v>
      </c>
      <c r="CU106" s="140">
        <f t="shared" si="234"/>
        <v>0</v>
      </c>
      <c r="CV106" s="140">
        <f t="shared" si="235"/>
        <v>0</v>
      </c>
      <c r="CW106" s="140">
        <f t="shared" si="265"/>
        <v>0</v>
      </c>
      <c r="CX106" s="140">
        <f t="shared" si="266"/>
        <v>0</v>
      </c>
      <c r="CY106" s="140">
        <f t="shared" si="267"/>
        <v>0</v>
      </c>
      <c r="CZ106" s="140">
        <f t="shared" si="268"/>
        <v>0</v>
      </c>
      <c r="DA106" s="516"/>
      <c r="DB106" s="140">
        <f t="shared" si="236"/>
        <v>0</v>
      </c>
      <c r="DC106" s="140">
        <f t="shared" si="237"/>
        <v>0</v>
      </c>
      <c r="DD106" s="518"/>
      <c r="DE106" s="140">
        <f t="shared" si="269"/>
        <v>0</v>
      </c>
      <c r="DF106" s="140">
        <f t="shared" si="270"/>
        <v>0</v>
      </c>
      <c r="DG106" s="140">
        <f t="shared" si="238"/>
        <v>0</v>
      </c>
      <c r="DH106" s="457"/>
      <c r="DI106" s="140">
        <v>0</v>
      </c>
      <c r="DJ106" s="140">
        <v>0</v>
      </c>
      <c r="DK106" s="140">
        <v>0</v>
      </c>
      <c r="DL106" s="140">
        <f t="shared" si="239"/>
        <v>0</v>
      </c>
      <c r="DM106" s="140">
        <f t="shared" si="240"/>
        <v>0</v>
      </c>
      <c r="DN106" s="140">
        <f t="shared" si="241"/>
        <v>0</v>
      </c>
      <c r="DO106" s="140">
        <f t="shared" si="242"/>
        <v>0</v>
      </c>
      <c r="DP106" s="140">
        <f t="shared" si="243"/>
        <v>0</v>
      </c>
      <c r="DQ106" s="140">
        <f t="shared" si="244"/>
        <v>0</v>
      </c>
      <c r="DR106" s="140">
        <v>0</v>
      </c>
      <c r="DS106" s="140">
        <v>0</v>
      </c>
      <c r="DT106" s="140">
        <f t="shared" si="245"/>
        <v>0</v>
      </c>
      <c r="DU106" s="140">
        <f t="shared" si="246"/>
        <v>0</v>
      </c>
      <c r="DV106" s="457"/>
      <c r="DW106" s="457"/>
      <c r="DX106" s="140">
        <v>0</v>
      </c>
      <c r="DY106" s="140">
        <f t="shared" si="271"/>
        <v>0</v>
      </c>
      <c r="DZ106" s="140">
        <f t="shared" si="247"/>
        <v>0</v>
      </c>
      <c r="EA106" s="140">
        <f t="shared" si="248"/>
        <v>0</v>
      </c>
      <c r="EB106" s="140">
        <f t="shared" si="249"/>
        <v>0</v>
      </c>
      <c r="EC106" s="140">
        <f t="shared" si="250"/>
        <v>0</v>
      </c>
      <c r="ED106" s="140">
        <f t="shared" si="272"/>
        <v>0</v>
      </c>
    </row>
    <row r="107" spans="55:134" ht="17.25" thickTop="1" thickBot="1">
      <c r="BC107" s="532" t="s">
        <v>203</v>
      </c>
      <c r="BD107" s="587"/>
      <c r="BE107" s="533" t="s">
        <v>193</v>
      </c>
      <c r="BF107" s="533" t="s">
        <v>188</v>
      </c>
      <c r="BG107" s="533" t="s">
        <v>189</v>
      </c>
      <c r="BH107" s="511"/>
      <c r="BI107" s="141">
        <f t="shared" si="217"/>
        <v>0</v>
      </c>
      <c r="BJ107" s="141">
        <f t="shared" si="218"/>
        <v>0</v>
      </c>
      <c r="BK107" s="141" cm="1">
        <f t="array" ref="BK107">BI107*c_rate.Pref.MO</f>
        <v>0</v>
      </c>
      <c r="BL107" s="141">
        <f t="shared" si="219"/>
        <v>0</v>
      </c>
      <c r="BM107" s="141">
        <f t="shared" si="220"/>
        <v>0</v>
      </c>
      <c r="BN107" s="141">
        <f t="shared" si="251"/>
        <v>0</v>
      </c>
      <c r="BO107" s="141">
        <f t="shared" si="252"/>
        <v>0</v>
      </c>
      <c r="BP107" s="141">
        <f t="shared" si="253"/>
        <v>0</v>
      </c>
      <c r="BQ107" s="141">
        <f t="shared" si="221"/>
        <v>0</v>
      </c>
      <c r="BR107" s="457"/>
      <c r="BS107" s="141">
        <f t="shared" si="254"/>
        <v>0</v>
      </c>
      <c r="BT107" s="141">
        <f t="shared" si="222"/>
        <v>0</v>
      </c>
      <c r="BU107" s="141" cm="1">
        <f t="array" ref="BU107">IF(D107=0,0,BS107*(c_rate.Hurdle1.MO))</f>
        <v>0</v>
      </c>
      <c r="BV107" s="141">
        <f t="shared" si="255"/>
        <v>0</v>
      </c>
      <c r="BW107" s="141">
        <f t="shared" si="223"/>
        <v>0</v>
      </c>
      <c r="BX107" s="141">
        <f t="shared" si="256"/>
        <v>0</v>
      </c>
      <c r="BY107" s="141">
        <f t="shared" si="257"/>
        <v>0</v>
      </c>
      <c r="BZ107" s="141">
        <f t="shared" si="258"/>
        <v>0</v>
      </c>
      <c r="CA107" s="141">
        <f t="shared" si="224"/>
        <v>0</v>
      </c>
      <c r="CB107" s="141">
        <f t="shared" si="259"/>
        <v>0</v>
      </c>
      <c r="CC107" s="516"/>
      <c r="CD107" s="141">
        <f t="shared" si="260"/>
        <v>0</v>
      </c>
      <c r="CE107" s="141">
        <f t="shared" si="225"/>
        <v>0</v>
      </c>
      <c r="CF107" s="141" cm="1">
        <f t="array" ref="CF107">IF($D108=0,0,CD107*(c_rate.Hurdle2.MO))</f>
        <v>0</v>
      </c>
      <c r="CG107" s="141">
        <f t="shared" si="226"/>
        <v>0</v>
      </c>
      <c r="CH107" s="141">
        <f t="shared" si="261"/>
        <v>0</v>
      </c>
      <c r="CI107" s="141">
        <f t="shared" si="227"/>
        <v>0</v>
      </c>
      <c r="CJ107" s="141">
        <f t="shared" si="228"/>
        <v>0</v>
      </c>
      <c r="CK107" s="141">
        <f t="shared" si="229"/>
        <v>0</v>
      </c>
      <c r="CL107" s="141">
        <f t="shared" si="262"/>
        <v>0</v>
      </c>
      <c r="CM107" s="141">
        <f t="shared" si="230"/>
        <v>0</v>
      </c>
      <c r="CN107" s="141">
        <f t="shared" si="231"/>
        <v>0</v>
      </c>
      <c r="CO107" s="516"/>
      <c r="CP107" s="141">
        <f t="shared" si="263"/>
        <v>0</v>
      </c>
      <c r="CQ107" s="141">
        <f t="shared" si="232"/>
        <v>0</v>
      </c>
      <c r="CR107" s="141" cm="1">
        <f t="array" ref="CR107">IF($D108=0,0,CP107*(c_rate.Hurdle3.MO))</f>
        <v>0</v>
      </c>
      <c r="CS107" s="141">
        <f t="shared" si="233"/>
        <v>0</v>
      </c>
      <c r="CT107" s="141">
        <f t="shared" si="264"/>
        <v>0</v>
      </c>
      <c r="CU107" s="141">
        <f t="shared" si="234"/>
        <v>0</v>
      </c>
      <c r="CV107" s="141">
        <f t="shared" si="235"/>
        <v>0</v>
      </c>
      <c r="CW107" s="141">
        <f t="shared" si="265"/>
        <v>0</v>
      </c>
      <c r="CX107" s="141">
        <f t="shared" si="266"/>
        <v>0</v>
      </c>
      <c r="CY107" s="141">
        <f t="shared" si="267"/>
        <v>0</v>
      </c>
      <c r="CZ107" s="141">
        <f t="shared" si="268"/>
        <v>0</v>
      </c>
      <c r="DA107" s="516"/>
      <c r="DB107" s="141">
        <f t="shared" si="236"/>
        <v>0</v>
      </c>
      <c r="DC107" s="141">
        <f t="shared" si="237"/>
        <v>0</v>
      </c>
      <c r="DD107" s="518"/>
      <c r="DE107" s="141">
        <f t="shared" si="269"/>
        <v>0</v>
      </c>
      <c r="DF107" s="141">
        <f t="shared" si="270"/>
        <v>0</v>
      </c>
      <c r="DG107" s="141">
        <f t="shared" si="238"/>
        <v>0</v>
      </c>
      <c r="DH107" s="457"/>
      <c r="DI107" s="141">
        <v>0</v>
      </c>
      <c r="DJ107" s="141">
        <v>0</v>
      </c>
      <c r="DK107" s="141">
        <v>0</v>
      </c>
      <c r="DL107" s="141">
        <f t="shared" si="239"/>
        <v>0</v>
      </c>
      <c r="DM107" s="141">
        <f t="shared" si="240"/>
        <v>0</v>
      </c>
      <c r="DN107" s="141">
        <f t="shared" si="241"/>
        <v>0</v>
      </c>
      <c r="DO107" s="141">
        <f t="shared" si="242"/>
        <v>0</v>
      </c>
      <c r="DP107" s="141">
        <f t="shared" si="243"/>
        <v>0</v>
      </c>
      <c r="DQ107" s="141">
        <f t="shared" si="244"/>
        <v>0</v>
      </c>
      <c r="DR107" s="141">
        <v>0</v>
      </c>
      <c r="DS107" s="141">
        <v>0</v>
      </c>
      <c r="DT107" s="141">
        <f t="shared" si="245"/>
        <v>0</v>
      </c>
      <c r="DU107" s="141">
        <f t="shared" si="246"/>
        <v>0</v>
      </c>
      <c r="DV107" s="457"/>
      <c r="DW107" s="457"/>
      <c r="DX107" s="141">
        <v>0</v>
      </c>
      <c r="DY107" s="141">
        <f t="shared" si="271"/>
        <v>0</v>
      </c>
      <c r="DZ107" s="141">
        <f t="shared" si="247"/>
        <v>0</v>
      </c>
      <c r="EA107" s="141">
        <f t="shared" si="248"/>
        <v>0</v>
      </c>
      <c r="EB107" s="141">
        <f t="shared" si="249"/>
        <v>0</v>
      </c>
      <c r="EC107" s="141">
        <f t="shared" si="250"/>
        <v>0</v>
      </c>
      <c r="ED107" s="141">
        <f t="shared" si="272"/>
        <v>0</v>
      </c>
    </row>
    <row r="108" spans="55:134" ht="17.25" thickTop="1" thickBot="1">
      <c r="BC108" s="534" t="s">
        <v>194</v>
      </c>
      <c r="BD108" s="549"/>
      <c r="BE108" s="529"/>
      <c r="BF108" s="529">
        <f>Project!P134</f>
        <v>0</v>
      </c>
      <c r="BG108" s="548">
        <f>Project!Q134</f>
        <v>0</v>
      </c>
      <c r="BH108" s="511"/>
      <c r="BI108" s="139">
        <f t="shared" si="217"/>
        <v>0</v>
      </c>
      <c r="BJ108" s="139">
        <f t="shared" si="218"/>
        <v>0</v>
      </c>
      <c r="BK108" s="139" cm="1">
        <f t="array" ref="BK108">BI108*c_rate.Pref.MO</f>
        <v>0</v>
      </c>
      <c r="BL108" s="139">
        <f t="shared" si="219"/>
        <v>0</v>
      </c>
      <c r="BM108" s="139">
        <f t="shared" si="220"/>
        <v>0</v>
      </c>
      <c r="BN108" s="139">
        <f t="shared" si="251"/>
        <v>0</v>
      </c>
      <c r="BO108" s="139">
        <f t="shared" si="252"/>
        <v>0</v>
      </c>
      <c r="BP108" s="139">
        <f t="shared" si="253"/>
        <v>0</v>
      </c>
      <c r="BQ108" s="139">
        <f t="shared" si="221"/>
        <v>0</v>
      </c>
      <c r="BR108" s="457"/>
      <c r="BS108" s="139">
        <f t="shared" si="254"/>
        <v>0</v>
      </c>
      <c r="BT108" s="139">
        <f t="shared" si="222"/>
        <v>0</v>
      </c>
      <c r="BU108" s="139" cm="1">
        <f t="array" ref="BU108">IF(D108=0,0,BS108*(c_rate.Hurdle1.MO))</f>
        <v>0</v>
      </c>
      <c r="BV108" s="139">
        <f t="shared" si="255"/>
        <v>0</v>
      </c>
      <c r="BW108" s="139">
        <f t="shared" si="223"/>
        <v>0</v>
      </c>
      <c r="BX108" s="139">
        <f t="shared" si="256"/>
        <v>0</v>
      </c>
      <c r="BY108" s="139">
        <f t="shared" si="257"/>
        <v>0</v>
      </c>
      <c r="BZ108" s="139">
        <f t="shared" si="258"/>
        <v>0</v>
      </c>
      <c r="CA108" s="139">
        <f t="shared" si="224"/>
        <v>0</v>
      </c>
      <c r="CB108" s="139">
        <f t="shared" si="259"/>
        <v>0</v>
      </c>
      <c r="CC108" s="516"/>
      <c r="CD108" s="139">
        <f t="shared" si="260"/>
        <v>0</v>
      </c>
      <c r="CE108" s="139">
        <f t="shared" si="225"/>
        <v>0</v>
      </c>
      <c r="CF108" s="139" cm="1">
        <f t="array" ref="CF108">IF($D109=0,0,CD108*(c_rate.Hurdle2.MO))</f>
        <v>0</v>
      </c>
      <c r="CG108" s="139">
        <f t="shared" si="226"/>
        <v>0</v>
      </c>
      <c r="CH108" s="139">
        <f t="shared" si="261"/>
        <v>0</v>
      </c>
      <c r="CI108" s="139">
        <f t="shared" si="227"/>
        <v>0</v>
      </c>
      <c r="CJ108" s="139">
        <f t="shared" si="228"/>
        <v>0</v>
      </c>
      <c r="CK108" s="139">
        <f t="shared" si="229"/>
        <v>0</v>
      </c>
      <c r="CL108" s="139">
        <f t="shared" si="262"/>
        <v>0</v>
      </c>
      <c r="CM108" s="139">
        <f t="shared" si="230"/>
        <v>0</v>
      </c>
      <c r="CN108" s="139">
        <f t="shared" si="231"/>
        <v>0</v>
      </c>
      <c r="CO108" s="516"/>
      <c r="CP108" s="139">
        <f t="shared" si="263"/>
        <v>0</v>
      </c>
      <c r="CQ108" s="139">
        <f t="shared" si="232"/>
        <v>0</v>
      </c>
      <c r="CR108" s="139" cm="1">
        <f t="array" ref="CR108">IF($D109=0,0,CP108*(c_rate.Hurdle3.MO))</f>
        <v>0</v>
      </c>
      <c r="CS108" s="139">
        <f t="shared" si="233"/>
        <v>0</v>
      </c>
      <c r="CT108" s="139">
        <f t="shared" si="264"/>
        <v>0</v>
      </c>
      <c r="CU108" s="139">
        <f t="shared" si="234"/>
        <v>0</v>
      </c>
      <c r="CV108" s="139">
        <f t="shared" si="235"/>
        <v>0</v>
      </c>
      <c r="CW108" s="139">
        <f t="shared" si="265"/>
        <v>0</v>
      </c>
      <c r="CX108" s="139">
        <f t="shared" si="266"/>
        <v>0</v>
      </c>
      <c r="CY108" s="139">
        <f t="shared" si="267"/>
        <v>0</v>
      </c>
      <c r="CZ108" s="139">
        <f t="shared" si="268"/>
        <v>0</v>
      </c>
      <c r="DA108" s="516"/>
      <c r="DB108" s="139">
        <f t="shared" si="236"/>
        <v>0</v>
      </c>
      <c r="DC108" s="139">
        <f t="shared" si="237"/>
        <v>0</v>
      </c>
      <c r="DD108" s="518"/>
      <c r="DE108" s="139">
        <f t="shared" si="269"/>
        <v>0</v>
      </c>
      <c r="DF108" s="139">
        <f t="shared" si="270"/>
        <v>0</v>
      </c>
      <c r="DG108" s="139">
        <f t="shared" si="238"/>
        <v>0</v>
      </c>
      <c r="DH108" s="457"/>
      <c r="DI108" s="139">
        <v>0</v>
      </c>
      <c r="DJ108" s="139">
        <v>0</v>
      </c>
      <c r="DK108" s="139">
        <v>0</v>
      </c>
      <c r="DL108" s="139">
        <f t="shared" si="239"/>
        <v>0</v>
      </c>
      <c r="DM108" s="139">
        <f t="shared" si="240"/>
        <v>0</v>
      </c>
      <c r="DN108" s="139">
        <f t="shared" si="241"/>
        <v>0</v>
      </c>
      <c r="DO108" s="139">
        <f t="shared" si="242"/>
        <v>0</v>
      </c>
      <c r="DP108" s="139">
        <f t="shared" si="243"/>
        <v>0</v>
      </c>
      <c r="DQ108" s="139">
        <f t="shared" si="244"/>
        <v>0</v>
      </c>
      <c r="DR108" s="139">
        <v>0</v>
      </c>
      <c r="DS108" s="139">
        <v>0</v>
      </c>
      <c r="DT108" s="139">
        <f t="shared" si="245"/>
        <v>0</v>
      </c>
      <c r="DU108" s="139">
        <f t="shared" si="246"/>
        <v>0</v>
      </c>
      <c r="DV108" s="457"/>
      <c r="DW108" s="457"/>
      <c r="DX108" s="139">
        <v>0</v>
      </c>
      <c r="DY108" s="139">
        <f t="shared" si="271"/>
        <v>0</v>
      </c>
      <c r="DZ108" s="139">
        <f t="shared" si="247"/>
        <v>0</v>
      </c>
      <c r="EA108" s="139">
        <f t="shared" si="248"/>
        <v>0</v>
      </c>
      <c r="EB108" s="139">
        <f t="shared" si="249"/>
        <v>0</v>
      </c>
      <c r="EC108" s="139">
        <f t="shared" si="250"/>
        <v>0</v>
      </c>
      <c r="ED108" s="139">
        <f t="shared" si="272"/>
        <v>0</v>
      </c>
    </row>
    <row r="109" spans="55:134" ht="17.25" thickTop="1" thickBot="1">
      <c r="BC109" s="534" t="s">
        <v>204</v>
      </c>
      <c r="BD109" s="549"/>
      <c r="BE109" s="529">
        <v>0</v>
      </c>
      <c r="BF109" s="529">
        <f>Project!P135</f>
        <v>0</v>
      </c>
      <c r="BG109" s="548">
        <f>Project!Q135</f>
        <v>0</v>
      </c>
      <c r="BH109" s="511"/>
      <c r="BI109" s="140">
        <f t="shared" si="217"/>
        <v>0</v>
      </c>
      <c r="BJ109" s="140">
        <f t="shared" si="218"/>
        <v>0</v>
      </c>
      <c r="BK109" s="140" cm="1">
        <f t="array" ref="BK109">BI109*c_rate.Pref.MO</f>
        <v>0</v>
      </c>
      <c r="BL109" s="140">
        <f t="shared" si="219"/>
        <v>0</v>
      </c>
      <c r="BM109" s="140">
        <f t="shared" si="220"/>
        <v>0</v>
      </c>
      <c r="BN109" s="140">
        <f t="shared" si="251"/>
        <v>0</v>
      </c>
      <c r="BO109" s="140">
        <f t="shared" si="252"/>
        <v>0</v>
      </c>
      <c r="BP109" s="140">
        <f t="shared" si="253"/>
        <v>0</v>
      </c>
      <c r="BQ109" s="140">
        <f t="shared" si="221"/>
        <v>0</v>
      </c>
      <c r="BR109" s="457"/>
      <c r="BS109" s="140">
        <f t="shared" si="254"/>
        <v>0</v>
      </c>
      <c r="BT109" s="140">
        <f t="shared" si="222"/>
        <v>0</v>
      </c>
      <c r="BU109" s="140" cm="1">
        <f t="array" ref="BU109">IF(D109=0,0,BS109*(c_rate.Hurdle1.MO))</f>
        <v>0</v>
      </c>
      <c r="BV109" s="140">
        <f t="shared" si="255"/>
        <v>0</v>
      </c>
      <c r="BW109" s="140">
        <f t="shared" si="223"/>
        <v>0</v>
      </c>
      <c r="BX109" s="140">
        <f t="shared" si="256"/>
        <v>0</v>
      </c>
      <c r="BY109" s="140">
        <f t="shared" si="257"/>
        <v>0</v>
      </c>
      <c r="BZ109" s="140">
        <f t="shared" si="258"/>
        <v>0</v>
      </c>
      <c r="CA109" s="140">
        <f t="shared" si="224"/>
        <v>0</v>
      </c>
      <c r="CB109" s="140">
        <f t="shared" si="259"/>
        <v>0</v>
      </c>
      <c r="CC109" s="516"/>
      <c r="CD109" s="140">
        <f t="shared" si="260"/>
        <v>0</v>
      </c>
      <c r="CE109" s="140">
        <f t="shared" si="225"/>
        <v>0</v>
      </c>
      <c r="CF109" s="140" cm="1">
        <f t="array" ref="CF109">IF($D110=0,0,CD109*(c_rate.Hurdle2.MO))</f>
        <v>0</v>
      </c>
      <c r="CG109" s="140">
        <f t="shared" si="226"/>
        <v>0</v>
      </c>
      <c r="CH109" s="140">
        <f t="shared" si="261"/>
        <v>0</v>
      </c>
      <c r="CI109" s="140">
        <f t="shared" si="227"/>
        <v>0</v>
      </c>
      <c r="CJ109" s="140">
        <f t="shared" si="228"/>
        <v>0</v>
      </c>
      <c r="CK109" s="140">
        <f t="shared" si="229"/>
        <v>0</v>
      </c>
      <c r="CL109" s="140">
        <f t="shared" si="262"/>
        <v>0</v>
      </c>
      <c r="CM109" s="140">
        <f t="shared" si="230"/>
        <v>0</v>
      </c>
      <c r="CN109" s="140">
        <f t="shared" si="231"/>
        <v>0</v>
      </c>
      <c r="CO109" s="516"/>
      <c r="CP109" s="140">
        <f t="shared" si="263"/>
        <v>0</v>
      </c>
      <c r="CQ109" s="140">
        <f t="shared" si="232"/>
        <v>0</v>
      </c>
      <c r="CR109" s="140" cm="1">
        <f t="array" ref="CR109">IF($D110=0,0,CP109*(c_rate.Hurdle3.MO))</f>
        <v>0</v>
      </c>
      <c r="CS109" s="140">
        <f t="shared" si="233"/>
        <v>0</v>
      </c>
      <c r="CT109" s="140">
        <f t="shared" si="264"/>
        <v>0</v>
      </c>
      <c r="CU109" s="140">
        <f t="shared" si="234"/>
        <v>0</v>
      </c>
      <c r="CV109" s="140">
        <f t="shared" si="235"/>
        <v>0</v>
      </c>
      <c r="CW109" s="140">
        <f t="shared" si="265"/>
        <v>0</v>
      </c>
      <c r="CX109" s="140">
        <f t="shared" si="266"/>
        <v>0</v>
      </c>
      <c r="CY109" s="140">
        <f t="shared" si="267"/>
        <v>0</v>
      </c>
      <c r="CZ109" s="140">
        <f t="shared" si="268"/>
        <v>0</v>
      </c>
      <c r="DA109" s="516"/>
      <c r="DB109" s="140">
        <f t="shared" si="236"/>
        <v>0</v>
      </c>
      <c r="DC109" s="140">
        <f t="shared" si="237"/>
        <v>0</v>
      </c>
      <c r="DD109" s="518"/>
      <c r="DE109" s="140">
        <f t="shared" si="269"/>
        <v>0</v>
      </c>
      <c r="DF109" s="140">
        <f t="shared" si="270"/>
        <v>0</v>
      </c>
      <c r="DG109" s="140">
        <f t="shared" si="238"/>
        <v>0</v>
      </c>
      <c r="DH109" s="457"/>
      <c r="DI109" s="140">
        <v>0</v>
      </c>
      <c r="DJ109" s="140">
        <v>0</v>
      </c>
      <c r="DK109" s="140">
        <v>0</v>
      </c>
      <c r="DL109" s="140">
        <f t="shared" si="239"/>
        <v>0</v>
      </c>
      <c r="DM109" s="140">
        <f t="shared" si="240"/>
        <v>0</v>
      </c>
      <c r="DN109" s="140">
        <f t="shared" si="241"/>
        <v>0</v>
      </c>
      <c r="DO109" s="140">
        <f t="shared" si="242"/>
        <v>0</v>
      </c>
      <c r="DP109" s="140">
        <f t="shared" si="243"/>
        <v>0</v>
      </c>
      <c r="DQ109" s="140">
        <f t="shared" si="244"/>
        <v>0</v>
      </c>
      <c r="DR109" s="140">
        <v>0</v>
      </c>
      <c r="DS109" s="140">
        <v>0</v>
      </c>
      <c r="DT109" s="140">
        <f t="shared" si="245"/>
        <v>0</v>
      </c>
      <c r="DU109" s="140">
        <f t="shared" si="246"/>
        <v>0</v>
      </c>
      <c r="DV109" s="457"/>
      <c r="DW109" s="457"/>
      <c r="DX109" s="140">
        <v>0</v>
      </c>
      <c r="DY109" s="140">
        <f t="shared" si="271"/>
        <v>0</v>
      </c>
      <c r="DZ109" s="140">
        <f t="shared" si="247"/>
        <v>0</v>
      </c>
      <c r="EA109" s="140">
        <f t="shared" si="248"/>
        <v>0</v>
      </c>
      <c r="EB109" s="140">
        <f t="shared" si="249"/>
        <v>0</v>
      </c>
      <c r="EC109" s="140">
        <f t="shared" si="250"/>
        <v>0</v>
      </c>
      <c r="ED109" s="140">
        <f t="shared" si="272"/>
        <v>0</v>
      </c>
    </row>
    <row r="110" spans="55:134" ht="17.25" thickTop="1" thickBot="1">
      <c r="BC110" s="535" t="s">
        <v>195</v>
      </c>
      <c r="BD110" s="585"/>
      <c r="BE110" s="529">
        <f>Project!O136</f>
        <v>0</v>
      </c>
      <c r="BF110" s="529">
        <f>Project!P136</f>
        <v>0</v>
      </c>
      <c r="BG110" s="548">
        <f>Project!Q136</f>
        <v>0</v>
      </c>
      <c r="BH110" s="511"/>
      <c r="BI110" s="141">
        <f t="shared" si="217"/>
        <v>0</v>
      </c>
      <c r="BJ110" s="141">
        <f t="shared" si="218"/>
        <v>0</v>
      </c>
      <c r="BK110" s="141" cm="1">
        <f t="array" ref="BK110">BI110*c_rate.Pref.MO</f>
        <v>0</v>
      </c>
      <c r="BL110" s="141">
        <f t="shared" si="219"/>
        <v>0</v>
      </c>
      <c r="BM110" s="141">
        <f t="shared" si="220"/>
        <v>0</v>
      </c>
      <c r="BN110" s="141">
        <f t="shared" si="251"/>
        <v>0</v>
      </c>
      <c r="BO110" s="141">
        <f t="shared" si="252"/>
        <v>0</v>
      </c>
      <c r="BP110" s="141">
        <f t="shared" si="253"/>
        <v>0</v>
      </c>
      <c r="BQ110" s="141">
        <f t="shared" si="221"/>
        <v>0</v>
      </c>
      <c r="BR110" s="457"/>
      <c r="BS110" s="141">
        <f t="shared" si="254"/>
        <v>0</v>
      </c>
      <c r="BT110" s="141">
        <f t="shared" si="222"/>
        <v>0</v>
      </c>
      <c r="BU110" s="141" cm="1">
        <f t="array" ref="BU110">IF(D110=0,0,BS110*(c_rate.Hurdle1.MO))</f>
        <v>0</v>
      </c>
      <c r="BV110" s="141">
        <f t="shared" si="255"/>
        <v>0</v>
      </c>
      <c r="BW110" s="141">
        <f t="shared" si="223"/>
        <v>0</v>
      </c>
      <c r="BX110" s="141">
        <f t="shared" si="256"/>
        <v>0</v>
      </c>
      <c r="BY110" s="141">
        <f t="shared" si="257"/>
        <v>0</v>
      </c>
      <c r="BZ110" s="141">
        <f t="shared" si="258"/>
        <v>0</v>
      </c>
      <c r="CA110" s="141">
        <f t="shared" si="224"/>
        <v>0</v>
      </c>
      <c r="CB110" s="141">
        <f t="shared" si="259"/>
        <v>0</v>
      </c>
      <c r="CC110" s="516"/>
      <c r="CD110" s="141">
        <f t="shared" si="260"/>
        <v>0</v>
      </c>
      <c r="CE110" s="141">
        <f t="shared" si="225"/>
        <v>0</v>
      </c>
      <c r="CF110" s="141" cm="1">
        <f t="array" ref="CF110">IF($D111=0,0,CD110*(c_rate.Hurdle2.MO))</f>
        <v>0</v>
      </c>
      <c r="CG110" s="141">
        <f t="shared" si="226"/>
        <v>0</v>
      </c>
      <c r="CH110" s="141">
        <f t="shared" si="261"/>
        <v>0</v>
      </c>
      <c r="CI110" s="141">
        <f t="shared" si="227"/>
        <v>0</v>
      </c>
      <c r="CJ110" s="141">
        <f t="shared" si="228"/>
        <v>0</v>
      </c>
      <c r="CK110" s="141">
        <f t="shared" si="229"/>
        <v>0</v>
      </c>
      <c r="CL110" s="141">
        <f t="shared" si="262"/>
        <v>0</v>
      </c>
      <c r="CM110" s="141">
        <f t="shared" si="230"/>
        <v>0</v>
      </c>
      <c r="CN110" s="141">
        <f t="shared" si="231"/>
        <v>0</v>
      </c>
      <c r="CO110" s="516"/>
      <c r="CP110" s="141">
        <f t="shared" si="263"/>
        <v>0</v>
      </c>
      <c r="CQ110" s="141">
        <f t="shared" si="232"/>
        <v>0</v>
      </c>
      <c r="CR110" s="141" cm="1">
        <f t="array" ref="CR110">IF($D111=0,0,CP110*(c_rate.Hurdle3.MO))</f>
        <v>0</v>
      </c>
      <c r="CS110" s="141">
        <f t="shared" si="233"/>
        <v>0</v>
      </c>
      <c r="CT110" s="141">
        <f t="shared" si="264"/>
        <v>0</v>
      </c>
      <c r="CU110" s="141">
        <f t="shared" si="234"/>
        <v>0</v>
      </c>
      <c r="CV110" s="141">
        <f t="shared" si="235"/>
        <v>0</v>
      </c>
      <c r="CW110" s="141">
        <f t="shared" si="265"/>
        <v>0</v>
      </c>
      <c r="CX110" s="141">
        <f t="shared" si="266"/>
        <v>0</v>
      </c>
      <c r="CY110" s="141">
        <f t="shared" si="267"/>
        <v>0</v>
      </c>
      <c r="CZ110" s="141">
        <f t="shared" si="268"/>
        <v>0</v>
      </c>
      <c r="DA110" s="516"/>
      <c r="DB110" s="141">
        <f t="shared" si="236"/>
        <v>0</v>
      </c>
      <c r="DC110" s="141">
        <f t="shared" si="237"/>
        <v>0</v>
      </c>
      <c r="DD110" s="518"/>
      <c r="DE110" s="141">
        <f t="shared" si="269"/>
        <v>0</v>
      </c>
      <c r="DF110" s="141">
        <f t="shared" si="270"/>
        <v>0</v>
      </c>
      <c r="DG110" s="141">
        <f t="shared" si="238"/>
        <v>0</v>
      </c>
      <c r="DH110" s="457"/>
      <c r="DI110" s="141">
        <v>0</v>
      </c>
      <c r="DJ110" s="141">
        <v>0</v>
      </c>
      <c r="DK110" s="141">
        <v>0</v>
      </c>
      <c r="DL110" s="141">
        <f t="shared" si="239"/>
        <v>0</v>
      </c>
      <c r="DM110" s="141">
        <f t="shared" si="240"/>
        <v>0</v>
      </c>
      <c r="DN110" s="141">
        <f t="shared" si="241"/>
        <v>0</v>
      </c>
      <c r="DO110" s="141">
        <f t="shared" si="242"/>
        <v>0</v>
      </c>
      <c r="DP110" s="141">
        <f t="shared" si="243"/>
        <v>0</v>
      </c>
      <c r="DQ110" s="141">
        <f t="shared" si="244"/>
        <v>0</v>
      </c>
      <c r="DR110" s="141">
        <v>0</v>
      </c>
      <c r="DS110" s="141">
        <v>0</v>
      </c>
      <c r="DT110" s="141">
        <f t="shared" si="245"/>
        <v>0</v>
      </c>
      <c r="DU110" s="141">
        <f t="shared" si="246"/>
        <v>0</v>
      </c>
      <c r="DV110" s="457"/>
      <c r="DW110" s="457"/>
      <c r="DX110" s="141">
        <v>0</v>
      </c>
      <c r="DY110" s="141">
        <f t="shared" si="271"/>
        <v>0</v>
      </c>
      <c r="DZ110" s="141">
        <f t="shared" si="247"/>
        <v>0</v>
      </c>
      <c r="EA110" s="141">
        <f t="shared" si="248"/>
        <v>0</v>
      </c>
      <c r="EB110" s="141">
        <f t="shared" si="249"/>
        <v>0</v>
      </c>
      <c r="EC110" s="141">
        <f t="shared" si="250"/>
        <v>0</v>
      </c>
      <c r="ED110" s="141">
        <f t="shared" si="272"/>
        <v>0</v>
      </c>
    </row>
    <row r="111" spans="55:134" ht="17.25" thickTop="1" thickBot="1">
      <c r="BC111" s="535" t="s">
        <v>196</v>
      </c>
      <c r="BD111" s="585"/>
      <c r="BE111" s="529">
        <f>Project!O137</f>
        <v>0</v>
      </c>
      <c r="BF111" s="529">
        <f>Project!P137</f>
        <v>0</v>
      </c>
      <c r="BG111" s="548">
        <f>Project!Q137</f>
        <v>0</v>
      </c>
      <c r="BH111" s="511"/>
      <c r="BI111" s="139">
        <f t="shared" si="217"/>
        <v>0</v>
      </c>
      <c r="BJ111" s="139">
        <f t="shared" si="218"/>
        <v>0</v>
      </c>
      <c r="BK111" s="139" cm="1">
        <f t="array" ref="BK111">BI111*c_rate.Pref.MO</f>
        <v>0</v>
      </c>
      <c r="BL111" s="139">
        <f t="shared" si="219"/>
        <v>0</v>
      </c>
      <c r="BM111" s="139">
        <f t="shared" si="220"/>
        <v>0</v>
      </c>
      <c r="BN111" s="139">
        <f t="shared" si="251"/>
        <v>0</v>
      </c>
      <c r="BO111" s="139">
        <f t="shared" si="252"/>
        <v>0</v>
      </c>
      <c r="BP111" s="139">
        <f t="shared" si="253"/>
        <v>0</v>
      </c>
      <c r="BQ111" s="139">
        <f t="shared" si="221"/>
        <v>0</v>
      </c>
      <c r="BR111" s="457"/>
      <c r="BS111" s="139">
        <f t="shared" si="254"/>
        <v>0</v>
      </c>
      <c r="BT111" s="139">
        <f t="shared" si="222"/>
        <v>0</v>
      </c>
      <c r="BU111" s="139" cm="1">
        <f t="array" ref="BU111">IF(D111=0,0,BS111*(c_rate.Hurdle1.MO))</f>
        <v>0</v>
      </c>
      <c r="BV111" s="139">
        <f t="shared" si="255"/>
        <v>0</v>
      </c>
      <c r="BW111" s="139">
        <f t="shared" si="223"/>
        <v>0</v>
      </c>
      <c r="BX111" s="139">
        <f t="shared" si="256"/>
        <v>0</v>
      </c>
      <c r="BY111" s="139">
        <f t="shared" si="257"/>
        <v>0</v>
      </c>
      <c r="BZ111" s="139">
        <f t="shared" si="258"/>
        <v>0</v>
      </c>
      <c r="CA111" s="139">
        <f t="shared" si="224"/>
        <v>0</v>
      </c>
      <c r="CB111" s="139">
        <f t="shared" si="259"/>
        <v>0</v>
      </c>
      <c r="CC111" s="516"/>
      <c r="CD111" s="139">
        <f t="shared" si="260"/>
        <v>0</v>
      </c>
      <c r="CE111" s="139">
        <f t="shared" si="225"/>
        <v>0</v>
      </c>
      <c r="CF111" s="139" cm="1">
        <f t="array" ref="CF111">IF($D112=0,0,CD111*(c_rate.Hurdle2.MO))</f>
        <v>0</v>
      </c>
      <c r="CG111" s="139">
        <f t="shared" si="226"/>
        <v>0</v>
      </c>
      <c r="CH111" s="139">
        <f t="shared" si="261"/>
        <v>0</v>
      </c>
      <c r="CI111" s="139">
        <f t="shared" si="227"/>
        <v>0</v>
      </c>
      <c r="CJ111" s="139">
        <f t="shared" si="228"/>
        <v>0</v>
      </c>
      <c r="CK111" s="139">
        <f t="shared" si="229"/>
        <v>0</v>
      </c>
      <c r="CL111" s="139">
        <f t="shared" si="262"/>
        <v>0</v>
      </c>
      <c r="CM111" s="139">
        <f t="shared" si="230"/>
        <v>0</v>
      </c>
      <c r="CN111" s="139">
        <f t="shared" si="231"/>
        <v>0</v>
      </c>
      <c r="CO111" s="516"/>
      <c r="CP111" s="139">
        <f t="shared" si="263"/>
        <v>0</v>
      </c>
      <c r="CQ111" s="139">
        <f t="shared" si="232"/>
        <v>0</v>
      </c>
      <c r="CR111" s="139" cm="1">
        <f t="array" ref="CR111">IF($D112=0,0,CP111*(c_rate.Hurdle3.MO))</f>
        <v>0</v>
      </c>
      <c r="CS111" s="139">
        <f t="shared" si="233"/>
        <v>0</v>
      </c>
      <c r="CT111" s="139">
        <f t="shared" si="264"/>
        <v>0</v>
      </c>
      <c r="CU111" s="139">
        <f t="shared" si="234"/>
        <v>0</v>
      </c>
      <c r="CV111" s="139">
        <f t="shared" si="235"/>
        <v>0</v>
      </c>
      <c r="CW111" s="139">
        <f t="shared" si="265"/>
        <v>0</v>
      </c>
      <c r="CX111" s="139">
        <f t="shared" si="266"/>
        <v>0</v>
      </c>
      <c r="CY111" s="139">
        <f t="shared" si="267"/>
        <v>0</v>
      </c>
      <c r="CZ111" s="139">
        <f t="shared" si="268"/>
        <v>0</v>
      </c>
      <c r="DA111" s="516"/>
      <c r="DB111" s="139">
        <f t="shared" si="236"/>
        <v>0</v>
      </c>
      <c r="DC111" s="139">
        <f t="shared" si="237"/>
        <v>0</v>
      </c>
      <c r="DD111" s="518"/>
      <c r="DE111" s="139">
        <f t="shared" si="269"/>
        <v>0</v>
      </c>
      <c r="DF111" s="139">
        <f t="shared" si="270"/>
        <v>0</v>
      </c>
      <c r="DG111" s="139">
        <f t="shared" si="238"/>
        <v>0</v>
      </c>
      <c r="DH111" s="457"/>
      <c r="DI111" s="139">
        <v>0</v>
      </c>
      <c r="DJ111" s="139">
        <v>0</v>
      </c>
      <c r="DK111" s="139">
        <v>0</v>
      </c>
      <c r="DL111" s="139">
        <f t="shared" si="239"/>
        <v>0</v>
      </c>
      <c r="DM111" s="139">
        <f t="shared" si="240"/>
        <v>0</v>
      </c>
      <c r="DN111" s="139">
        <f t="shared" si="241"/>
        <v>0</v>
      </c>
      <c r="DO111" s="139">
        <f t="shared" si="242"/>
        <v>0</v>
      </c>
      <c r="DP111" s="139">
        <f t="shared" si="243"/>
        <v>0</v>
      </c>
      <c r="DQ111" s="139">
        <f t="shared" si="244"/>
        <v>0</v>
      </c>
      <c r="DR111" s="139">
        <v>0</v>
      </c>
      <c r="DS111" s="139">
        <v>0</v>
      </c>
      <c r="DT111" s="139">
        <f t="shared" si="245"/>
        <v>0</v>
      </c>
      <c r="DU111" s="139">
        <f t="shared" si="246"/>
        <v>0</v>
      </c>
      <c r="DV111" s="457"/>
      <c r="DW111" s="457"/>
      <c r="DX111" s="139">
        <v>0</v>
      </c>
      <c r="DY111" s="139">
        <f t="shared" si="271"/>
        <v>0</v>
      </c>
      <c r="DZ111" s="139">
        <f t="shared" si="247"/>
        <v>0</v>
      </c>
      <c r="EA111" s="139">
        <f t="shared" si="248"/>
        <v>0</v>
      </c>
      <c r="EB111" s="139">
        <f t="shared" si="249"/>
        <v>0</v>
      </c>
      <c r="EC111" s="139">
        <f t="shared" si="250"/>
        <v>0</v>
      </c>
      <c r="ED111" s="139">
        <f t="shared" si="272"/>
        <v>0</v>
      </c>
    </row>
    <row r="112" spans="55:134" ht="17.25" thickTop="1" thickBot="1">
      <c r="BC112" s="535" t="s">
        <v>197</v>
      </c>
      <c r="BD112" s="585"/>
      <c r="BE112" s="529">
        <f>Project!O138</f>
        <v>0</v>
      </c>
      <c r="BF112" s="529">
        <f>Project!P138</f>
        <v>0</v>
      </c>
      <c r="BG112" s="548">
        <f>Project!Q138</f>
        <v>0</v>
      </c>
      <c r="BH112" s="511"/>
      <c r="BI112" s="140">
        <f t="shared" si="217"/>
        <v>0</v>
      </c>
      <c r="BJ112" s="140">
        <f t="shared" si="218"/>
        <v>0</v>
      </c>
      <c r="BK112" s="140" cm="1">
        <f t="array" ref="BK112">BI112*c_rate.Pref.MO</f>
        <v>0</v>
      </c>
      <c r="BL112" s="140">
        <f t="shared" si="219"/>
        <v>0</v>
      </c>
      <c r="BM112" s="140">
        <f t="shared" si="220"/>
        <v>0</v>
      </c>
      <c r="BN112" s="140">
        <f t="shared" si="251"/>
        <v>0</v>
      </c>
      <c r="BO112" s="140">
        <f t="shared" si="252"/>
        <v>0</v>
      </c>
      <c r="BP112" s="140">
        <f t="shared" si="253"/>
        <v>0</v>
      </c>
      <c r="BQ112" s="140">
        <f t="shared" si="221"/>
        <v>0</v>
      </c>
      <c r="BR112" s="457"/>
      <c r="BS112" s="140">
        <f t="shared" si="254"/>
        <v>0</v>
      </c>
      <c r="BT112" s="140">
        <f t="shared" si="222"/>
        <v>0</v>
      </c>
      <c r="BU112" s="140" cm="1">
        <f t="array" ref="BU112">IF(D112=0,0,BS112*(c_rate.Hurdle1.MO))</f>
        <v>0</v>
      </c>
      <c r="BV112" s="140">
        <f t="shared" si="255"/>
        <v>0</v>
      </c>
      <c r="BW112" s="140">
        <f t="shared" si="223"/>
        <v>0</v>
      </c>
      <c r="BX112" s="140">
        <f t="shared" si="256"/>
        <v>0</v>
      </c>
      <c r="BY112" s="140">
        <f t="shared" si="257"/>
        <v>0</v>
      </c>
      <c r="BZ112" s="140">
        <f t="shared" si="258"/>
        <v>0</v>
      </c>
      <c r="CA112" s="140">
        <f t="shared" si="224"/>
        <v>0</v>
      </c>
      <c r="CB112" s="140">
        <f t="shared" si="259"/>
        <v>0</v>
      </c>
      <c r="CC112" s="516"/>
      <c r="CD112" s="140">
        <f t="shared" si="260"/>
        <v>0</v>
      </c>
      <c r="CE112" s="140">
        <f t="shared" si="225"/>
        <v>0</v>
      </c>
      <c r="CF112" s="140" cm="1">
        <f t="array" ref="CF112">IF($D113=0,0,CD112*(c_rate.Hurdle2.MO))</f>
        <v>0</v>
      </c>
      <c r="CG112" s="140">
        <f t="shared" si="226"/>
        <v>0</v>
      </c>
      <c r="CH112" s="140">
        <f t="shared" si="261"/>
        <v>0</v>
      </c>
      <c r="CI112" s="140">
        <f t="shared" si="227"/>
        <v>0</v>
      </c>
      <c r="CJ112" s="140">
        <f t="shared" si="228"/>
        <v>0</v>
      </c>
      <c r="CK112" s="140">
        <f t="shared" si="229"/>
        <v>0</v>
      </c>
      <c r="CL112" s="140">
        <f t="shared" si="262"/>
        <v>0</v>
      </c>
      <c r="CM112" s="140">
        <f t="shared" si="230"/>
        <v>0</v>
      </c>
      <c r="CN112" s="140">
        <f t="shared" si="231"/>
        <v>0</v>
      </c>
      <c r="CO112" s="516"/>
      <c r="CP112" s="140">
        <f t="shared" si="263"/>
        <v>0</v>
      </c>
      <c r="CQ112" s="140">
        <f t="shared" si="232"/>
        <v>0</v>
      </c>
      <c r="CR112" s="140" cm="1">
        <f t="array" ref="CR112">IF($D113=0,0,CP112*(c_rate.Hurdle3.MO))</f>
        <v>0</v>
      </c>
      <c r="CS112" s="140">
        <f t="shared" si="233"/>
        <v>0</v>
      </c>
      <c r="CT112" s="140">
        <f t="shared" si="264"/>
        <v>0</v>
      </c>
      <c r="CU112" s="140">
        <f t="shared" si="234"/>
        <v>0</v>
      </c>
      <c r="CV112" s="140">
        <f t="shared" si="235"/>
        <v>0</v>
      </c>
      <c r="CW112" s="140">
        <f t="shared" si="265"/>
        <v>0</v>
      </c>
      <c r="CX112" s="140">
        <f t="shared" si="266"/>
        <v>0</v>
      </c>
      <c r="CY112" s="140">
        <f t="shared" si="267"/>
        <v>0</v>
      </c>
      <c r="CZ112" s="140">
        <f t="shared" si="268"/>
        <v>0</v>
      </c>
      <c r="DA112" s="516"/>
      <c r="DB112" s="140">
        <f t="shared" si="236"/>
        <v>0</v>
      </c>
      <c r="DC112" s="140">
        <f t="shared" si="237"/>
        <v>0</v>
      </c>
      <c r="DD112" s="518"/>
      <c r="DE112" s="140">
        <f t="shared" si="269"/>
        <v>0</v>
      </c>
      <c r="DF112" s="140">
        <f t="shared" si="270"/>
        <v>0</v>
      </c>
      <c r="DG112" s="140">
        <f t="shared" si="238"/>
        <v>0</v>
      </c>
      <c r="DH112" s="457"/>
      <c r="DI112" s="140">
        <v>0</v>
      </c>
      <c r="DJ112" s="140">
        <v>0</v>
      </c>
      <c r="DK112" s="140">
        <v>0</v>
      </c>
      <c r="DL112" s="140">
        <f t="shared" si="239"/>
        <v>0</v>
      </c>
      <c r="DM112" s="140">
        <f t="shared" si="240"/>
        <v>0</v>
      </c>
      <c r="DN112" s="140">
        <f t="shared" si="241"/>
        <v>0</v>
      </c>
      <c r="DO112" s="140">
        <f t="shared" si="242"/>
        <v>0</v>
      </c>
      <c r="DP112" s="140">
        <f t="shared" si="243"/>
        <v>0</v>
      </c>
      <c r="DQ112" s="140">
        <f t="shared" si="244"/>
        <v>0</v>
      </c>
      <c r="DR112" s="140">
        <v>0</v>
      </c>
      <c r="DS112" s="140">
        <v>0</v>
      </c>
      <c r="DT112" s="140">
        <f t="shared" si="245"/>
        <v>0</v>
      </c>
      <c r="DU112" s="140">
        <f t="shared" si="246"/>
        <v>0</v>
      </c>
      <c r="DV112" s="457"/>
      <c r="DW112" s="457"/>
      <c r="DX112" s="140">
        <v>0</v>
      </c>
      <c r="DY112" s="140">
        <f t="shared" si="271"/>
        <v>0</v>
      </c>
      <c r="DZ112" s="140">
        <f t="shared" si="247"/>
        <v>0</v>
      </c>
      <c r="EA112" s="140">
        <f t="shared" si="248"/>
        <v>0</v>
      </c>
      <c r="EB112" s="140">
        <f t="shared" si="249"/>
        <v>0</v>
      </c>
      <c r="EC112" s="140">
        <f t="shared" si="250"/>
        <v>0</v>
      </c>
      <c r="ED112" s="140">
        <f t="shared" si="272"/>
        <v>0</v>
      </c>
    </row>
    <row r="113" spans="55:134" ht="17.25" thickTop="1" thickBot="1">
      <c r="BC113" s="535" t="s">
        <v>198</v>
      </c>
      <c r="BD113" s="585"/>
      <c r="BE113" s="529">
        <f>Project!O139</f>
        <v>0</v>
      </c>
      <c r="BF113" s="529">
        <f>Project!P139</f>
        <v>0</v>
      </c>
      <c r="BG113" s="548">
        <f>Project!Q139</f>
        <v>0</v>
      </c>
      <c r="BH113" s="511"/>
      <c r="BI113" s="141">
        <f t="shared" si="217"/>
        <v>0</v>
      </c>
      <c r="BJ113" s="141">
        <f t="shared" si="218"/>
        <v>0</v>
      </c>
      <c r="BK113" s="141" cm="1">
        <f t="array" ref="BK113">BI113*c_rate.Pref.MO</f>
        <v>0</v>
      </c>
      <c r="BL113" s="141">
        <f t="shared" si="219"/>
        <v>0</v>
      </c>
      <c r="BM113" s="141">
        <f t="shared" si="220"/>
        <v>0</v>
      </c>
      <c r="BN113" s="141">
        <f t="shared" si="251"/>
        <v>0</v>
      </c>
      <c r="BO113" s="141">
        <f t="shared" si="252"/>
        <v>0</v>
      </c>
      <c r="BP113" s="141">
        <f t="shared" si="253"/>
        <v>0</v>
      </c>
      <c r="BQ113" s="141">
        <f t="shared" si="221"/>
        <v>0</v>
      </c>
      <c r="BR113" s="457"/>
      <c r="BS113" s="141">
        <f t="shared" si="254"/>
        <v>0</v>
      </c>
      <c r="BT113" s="141">
        <f t="shared" si="222"/>
        <v>0</v>
      </c>
      <c r="BU113" s="141" cm="1">
        <f t="array" ref="BU113">IF(D113=0,0,BS113*(c_rate.Hurdle1.MO))</f>
        <v>0</v>
      </c>
      <c r="BV113" s="141">
        <f t="shared" si="255"/>
        <v>0</v>
      </c>
      <c r="BW113" s="141">
        <f t="shared" si="223"/>
        <v>0</v>
      </c>
      <c r="BX113" s="141">
        <f t="shared" si="256"/>
        <v>0</v>
      </c>
      <c r="BY113" s="141">
        <f t="shared" si="257"/>
        <v>0</v>
      </c>
      <c r="BZ113" s="141">
        <f t="shared" si="258"/>
        <v>0</v>
      </c>
      <c r="CA113" s="141">
        <f t="shared" si="224"/>
        <v>0</v>
      </c>
      <c r="CB113" s="141">
        <f t="shared" si="259"/>
        <v>0</v>
      </c>
      <c r="CC113" s="516"/>
      <c r="CD113" s="141">
        <f t="shared" si="260"/>
        <v>0</v>
      </c>
      <c r="CE113" s="141">
        <f t="shared" si="225"/>
        <v>0</v>
      </c>
      <c r="CF113" s="141" cm="1">
        <f t="array" ref="CF113">IF($D114=0,0,CD113*(c_rate.Hurdle2.MO))</f>
        <v>0</v>
      </c>
      <c r="CG113" s="141">
        <f t="shared" si="226"/>
        <v>0</v>
      </c>
      <c r="CH113" s="141">
        <f t="shared" si="261"/>
        <v>0</v>
      </c>
      <c r="CI113" s="141">
        <f t="shared" si="227"/>
        <v>0</v>
      </c>
      <c r="CJ113" s="141">
        <f t="shared" si="228"/>
        <v>0</v>
      </c>
      <c r="CK113" s="141">
        <f t="shared" si="229"/>
        <v>0</v>
      </c>
      <c r="CL113" s="141">
        <f t="shared" si="262"/>
        <v>0</v>
      </c>
      <c r="CM113" s="141">
        <f t="shared" si="230"/>
        <v>0</v>
      </c>
      <c r="CN113" s="141">
        <f t="shared" si="231"/>
        <v>0</v>
      </c>
      <c r="CO113" s="516"/>
      <c r="CP113" s="141">
        <f t="shared" si="263"/>
        <v>0</v>
      </c>
      <c r="CQ113" s="141">
        <f t="shared" si="232"/>
        <v>0</v>
      </c>
      <c r="CR113" s="141" cm="1">
        <f t="array" ref="CR113">IF($D114=0,0,CP113*(c_rate.Hurdle3.MO))</f>
        <v>0</v>
      </c>
      <c r="CS113" s="141">
        <f t="shared" si="233"/>
        <v>0</v>
      </c>
      <c r="CT113" s="141">
        <f t="shared" si="264"/>
        <v>0</v>
      </c>
      <c r="CU113" s="141">
        <f t="shared" si="234"/>
        <v>0</v>
      </c>
      <c r="CV113" s="141">
        <f t="shared" si="235"/>
        <v>0</v>
      </c>
      <c r="CW113" s="141">
        <f t="shared" si="265"/>
        <v>0</v>
      </c>
      <c r="CX113" s="141">
        <f t="shared" si="266"/>
        <v>0</v>
      </c>
      <c r="CY113" s="141">
        <f t="shared" si="267"/>
        <v>0</v>
      </c>
      <c r="CZ113" s="141">
        <f t="shared" si="268"/>
        <v>0</v>
      </c>
      <c r="DA113" s="516"/>
      <c r="DB113" s="141">
        <f t="shared" si="236"/>
        <v>0</v>
      </c>
      <c r="DC113" s="141">
        <f t="shared" si="237"/>
        <v>0</v>
      </c>
      <c r="DD113" s="518"/>
      <c r="DE113" s="141">
        <f t="shared" si="269"/>
        <v>0</v>
      </c>
      <c r="DF113" s="141">
        <f t="shared" si="270"/>
        <v>0</v>
      </c>
      <c r="DG113" s="141">
        <f t="shared" si="238"/>
        <v>0</v>
      </c>
      <c r="DH113" s="457"/>
      <c r="DI113" s="141">
        <v>0</v>
      </c>
      <c r="DJ113" s="141">
        <v>0</v>
      </c>
      <c r="DK113" s="141">
        <v>0</v>
      </c>
      <c r="DL113" s="141">
        <f t="shared" si="239"/>
        <v>0</v>
      </c>
      <c r="DM113" s="141">
        <f t="shared" si="240"/>
        <v>0</v>
      </c>
      <c r="DN113" s="141">
        <f t="shared" si="241"/>
        <v>0</v>
      </c>
      <c r="DO113" s="141">
        <f t="shared" si="242"/>
        <v>0</v>
      </c>
      <c r="DP113" s="141">
        <f t="shared" si="243"/>
        <v>0</v>
      </c>
      <c r="DQ113" s="141">
        <f t="shared" si="244"/>
        <v>0</v>
      </c>
      <c r="DR113" s="141">
        <v>0</v>
      </c>
      <c r="DS113" s="141">
        <v>0</v>
      </c>
      <c r="DT113" s="141">
        <f t="shared" si="245"/>
        <v>0</v>
      </c>
      <c r="DU113" s="141">
        <f t="shared" si="246"/>
        <v>0</v>
      </c>
      <c r="DV113" s="457"/>
      <c r="DW113" s="457"/>
      <c r="DX113" s="141">
        <v>0</v>
      </c>
      <c r="DY113" s="141">
        <f t="shared" si="271"/>
        <v>0</v>
      </c>
      <c r="DZ113" s="141">
        <f t="shared" si="247"/>
        <v>0</v>
      </c>
      <c r="EA113" s="141">
        <f t="shared" si="248"/>
        <v>0</v>
      </c>
      <c r="EB113" s="141">
        <f t="shared" si="249"/>
        <v>0</v>
      </c>
      <c r="EC113" s="141">
        <f t="shared" si="250"/>
        <v>0</v>
      </c>
      <c r="ED113" s="141">
        <f t="shared" si="272"/>
        <v>0</v>
      </c>
    </row>
    <row r="114" spans="55:134" ht="17.25" thickTop="1" thickBot="1">
      <c r="BC114" s="536"/>
      <c r="BD114" s="585"/>
      <c r="BE114" s="457"/>
      <c r="BF114" s="457"/>
      <c r="BG114" s="457"/>
      <c r="BH114" s="511"/>
      <c r="BI114" s="139">
        <f t="shared" si="217"/>
        <v>0</v>
      </c>
      <c r="BJ114" s="139">
        <f t="shared" si="218"/>
        <v>0</v>
      </c>
      <c r="BK114" s="139" cm="1">
        <f t="array" ref="BK114">BI114*c_rate.Pref.MO</f>
        <v>0</v>
      </c>
      <c r="BL114" s="139">
        <f t="shared" si="219"/>
        <v>0</v>
      </c>
      <c r="BM114" s="139">
        <f t="shared" si="220"/>
        <v>0</v>
      </c>
      <c r="BN114" s="139">
        <f t="shared" si="251"/>
        <v>0</v>
      </c>
      <c r="BO114" s="139">
        <f t="shared" si="252"/>
        <v>0</v>
      </c>
      <c r="BP114" s="139">
        <f t="shared" si="253"/>
        <v>0</v>
      </c>
      <c r="BQ114" s="139">
        <f t="shared" si="221"/>
        <v>0</v>
      </c>
      <c r="BR114" s="457"/>
      <c r="BS114" s="139">
        <f t="shared" si="254"/>
        <v>0</v>
      </c>
      <c r="BT114" s="139">
        <f t="shared" si="222"/>
        <v>0</v>
      </c>
      <c r="BU114" s="139" cm="1">
        <f t="array" ref="BU114">IF(D114=0,0,BS114*(c_rate.Hurdle1.MO))</f>
        <v>0</v>
      </c>
      <c r="BV114" s="139">
        <f t="shared" si="255"/>
        <v>0</v>
      </c>
      <c r="BW114" s="139">
        <f t="shared" si="223"/>
        <v>0</v>
      </c>
      <c r="BX114" s="139">
        <f t="shared" si="256"/>
        <v>0</v>
      </c>
      <c r="BY114" s="139">
        <f t="shared" si="257"/>
        <v>0</v>
      </c>
      <c r="BZ114" s="139">
        <f t="shared" si="258"/>
        <v>0</v>
      </c>
      <c r="CA114" s="139">
        <f t="shared" si="224"/>
        <v>0</v>
      </c>
      <c r="CB114" s="139">
        <f t="shared" si="259"/>
        <v>0</v>
      </c>
      <c r="CC114" s="516"/>
      <c r="CD114" s="139">
        <f t="shared" si="260"/>
        <v>0</v>
      </c>
      <c r="CE114" s="139">
        <f t="shared" si="225"/>
        <v>0</v>
      </c>
      <c r="CF114" s="139" cm="1">
        <f t="array" ref="CF114">IF($D115=0,0,CD114*(c_rate.Hurdle2.MO))</f>
        <v>0</v>
      </c>
      <c r="CG114" s="139">
        <f t="shared" si="226"/>
        <v>0</v>
      </c>
      <c r="CH114" s="139">
        <f t="shared" si="261"/>
        <v>0</v>
      </c>
      <c r="CI114" s="139">
        <f t="shared" si="227"/>
        <v>0</v>
      </c>
      <c r="CJ114" s="139">
        <f t="shared" si="228"/>
        <v>0</v>
      </c>
      <c r="CK114" s="139">
        <f t="shared" si="229"/>
        <v>0</v>
      </c>
      <c r="CL114" s="139">
        <f t="shared" si="262"/>
        <v>0</v>
      </c>
      <c r="CM114" s="139">
        <f t="shared" si="230"/>
        <v>0</v>
      </c>
      <c r="CN114" s="139">
        <f t="shared" si="231"/>
        <v>0</v>
      </c>
      <c r="CO114" s="516"/>
      <c r="CP114" s="139">
        <f t="shared" si="263"/>
        <v>0</v>
      </c>
      <c r="CQ114" s="139">
        <f t="shared" si="232"/>
        <v>0</v>
      </c>
      <c r="CR114" s="139" cm="1">
        <f t="array" ref="CR114">IF($D115=0,0,CP114*(c_rate.Hurdle3.MO))</f>
        <v>0</v>
      </c>
      <c r="CS114" s="139">
        <f t="shared" si="233"/>
        <v>0</v>
      </c>
      <c r="CT114" s="139">
        <f t="shared" si="264"/>
        <v>0</v>
      </c>
      <c r="CU114" s="139">
        <f t="shared" si="234"/>
        <v>0</v>
      </c>
      <c r="CV114" s="139">
        <f t="shared" si="235"/>
        <v>0</v>
      </c>
      <c r="CW114" s="139">
        <f t="shared" si="265"/>
        <v>0</v>
      </c>
      <c r="CX114" s="139">
        <f t="shared" si="266"/>
        <v>0</v>
      </c>
      <c r="CY114" s="139">
        <f t="shared" si="267"/>
        <v>0</v>
      </c>
      <c r="CZ114" s="139">
        <f t="shared" si="268"/>
        <v>0</v>
      </c>
      <c r="DA114" s="516"/>
      <c r="DB114" s="139">
        <f t="shared" si="236"/>
        <v>0</v>
      </c>
      <c r="DC114" s="139">
        <f t="shared" si="237"/>
        <v>0</v>
      </c>
      <c r="DD114" s="518"/>
      <c r="DE114" s="139">
        <f t="shared" si="269"/>
        <v>0</v>
      </c>
      <c r="DF114" s="139">
        <f t="shared" si="270"/>
        <v>0</v>
      </c>
      <c r="DG114" s="139">
        <f t="shared" si="238"/>
        <v>0</v>
      </c>
      <c r="DH114" s="457"/>
      <c r="DI114" s="139">
        <v>0</v>
      </c>
      <c r="DJ114" s="139">
        <v>0</v>
      </c>
      <c r="DK114" s="139">
        <v>0</v>
      </c>
      <c r="DL114" s="139">
        <f t="shared" si="239"/>
        <v>0</v>
      </c>
      <c r="DM114" s="139">
        <f t="shared" si="240"/>
        <v>0</v>
      </c>
      <c r="DN114" s="139">
        <f t="shared" si="241"/>
        <v>0</v>
      </c>
      <c r="DO114" s="139">
        <f t="shared" si="242"/>
        <v>0</v>
      </c>
      <c r="DP114" s="139">
        <f t="shared" si="243"/>
        <v>0</v>
      </c>
      <c r="DQ114" s="139">
        <f t="shared" si="244"/>
        <v>0</v>
      </c>
      <c r="DR114" s="139">
        <v>0</v>
      </c>
      <c r="DS114" s="139">
        <v>0</v>
      </c>
      <c r="DT114" s="139">
        <f t="shared" si="245"/>
        <v>0</v>
      </c>
      <c r="DU114" s="139">
        <f t="shared" si="246"/>
        <v>0</v>
      </c>
      <c r="DV114" s="457"/>
      <c r="DW114" s="457"/>
      <c r="DX114" s="139">
        <v>0</v>
      </c>
      <c r="DY114" s="139">
        <f t="shared" si="271"/>
        <v>0</v>
      </c>
      <c r="DZ114" s="139">
        <f t="shared" si="247"/>
        <v>0</v>
      </c>
      <c r="EA114" s="139">
        <f t="shared" si="248"/>
        <v>0</v>
      </c>
      <c r="EB114" s="139">
        <f t="shared" si="249"/>
        <v>0</v>
      </c>
      <c r="EC114" s="139">
        <f t="shared" si="250"/>
        <v>0</v>
      </c>
      <c r="ED114" s="139">
        <f t="shared" si="272"/>
        <v>0</v>
      </c>
    </row>
    <row r="115" spans="55:134" ht="17.25" thickTop="1" thickBot="1">
      <c r="BC115" s="537" t="s">
        <v>206</v>
      </c>
      <c r="BD115" s="588"/>
      <c r="BE115" s="538" t="s">
        <v>1</v>
      </c>
      <c r="BF115" s="539" t="s">
        <v>188</v>
      </c>
      <c r="BG115" s="539" t="s">
        <v>189</v>
      </c>
      <c r="BH115" s="511"/>
      <c r="BI115" s="142">
        <f t="shared" si="217"/>
        <v>0</v>
      </c>
      <c r="BJ115" s="142">
        <f t="shared" si="218"/>
        <v>0</v>
      </c>
      <c r="BK115" s="142" cm="1">
        <f t="array" ref="BK115">BI115*c_rate.Pref.MO</f>
        <v>0</v>
      </c>
      <c r="BL115" s="142">
        <f t="shared" si="219"/>
        <v>0</v>
      </c>
      <c r="BM115" s="142">
        <f t="shared" si="220"/>
        <v>0</v>
      </c>
      <c r="BN115" s="142">
        <f t="shared" si="251"/>
        <v>0</v>
      </c>
      <c r="BO115" s="142">
        <f t="shared" si="252"/>
        <v>0</v>
      </c>
      <c r="BP115" s="142">
        <f t="shared" si="253"/>
        <v>0</v>
      </c>
      <c r="BQ115" s="142">
        <f t="shared" si="221"/>
        <v>0</v>
      </c>
      <c r="BR115" s="457"/>
      <c r="BS115" s="142">
        <f t="shared" si="254"/>
        <v>0</v>
      </c>
      <c r="BT115" s="142">
        <f t="shared" si="222"/>
        <v>0</v>
      </c>
      <c r="BU115" s="142" cm="1">
        <f t="array" ref="BU115">IF(D115=0,0,BS115*(c_rate.Hurdle1.MO))</f>
        <v>0</v>
      </c>
      <c r="BV115" s="142">
        <f t="shared" si="255"/>
        <v>0</v>
      </c>
      <c r="BW115" s="142">
        <f t="shared" si="223"/>
        <v>0</v>
      </c>
      <c r="BX115" s="142">
        <f t="shared" si="256"/>
        <v>0</v>
      </c>
      <c r="BY115" s="142">
        <f t="shared" si="257"/>
        <v>0</v>
      </c>
      <c r="BZ115" s="142">
        <f t="shared" si="258"/>
        <v>0</v>
      </c>
      <c r="CA115" s="142">
        <f t="shared" si="224"/>
        <v>0</v>
      </c>
      <c r="CB115" s="142">
        <f t="shared" si="259"/>
        <v>0</v>
      </c>
      <c r="CC115" s="516"/>
      <c r="CD115" s="142">
        <f t="shared" si="260"/>
        <v>0</v>
      </c>
      <c r="CE115" s="142">
        <f t="shared" si="225"/>
        <v>0</v>
      </c>
      <c r="CF115" s="142" cm="1">
        <f t="array" ref="CF115">IF($D116=0,0,CD115*(c_rate.Hurdle2.MO))</f>
        <v>0</v>
      </c>
      <c r="CG115" s="142">
        <f t="shared" si="226"/>
        <v>0</v>
      </c>
      <c r="CH115" s="142">
        <f t="shared" si="261"/>
        <v>0</v>
      </c>
      <c r="CI115" s="142">
        <f t="shared" si="227"/>
        <v>0</v>
      </c>
      <c r="CJ115" s="142">
        <f t="shared" si="228"/>
        <v>0</v>
      </c>
      <c r="CK115" s="142">
        <f t="shared" si="229"/>
        <v>0</v>
      </c>
      <c r="CL115" s="142">
        <f t="shared" si="262"/>
        <v>0</v>
      </c>
      <c r="CM115" s="142">
        <f t="shared" si="230"/>
        <v>0</v>
      </c>
      <c r="CN115" s="142">
        <f t="shared" si="231"/>
        <v>0</v>
      </c>
      <c r="CO115" s="516"/>
      <c r="CP115" s="142">
        <f t="shared" si="263"/>
        <v>0</v>
      </c>
      <c r="CQ115" s="142">
        <f t="shared" si="232"/>
        <v>0</v>
      </c>
      <c r="CR115" s="142" cm="1">
        <f t="array" ref="CR115">IF($D116=0,0,CP115*(c_rate.Hurdle3.MO))</f>
        <v>0</v>
      </c>
      <c r="CS115" s="142">
        <f t="shared" si="233"/>
        <v>0</v>
      </c>
      <c r="CT115" s="142">
        <f t="shared" si="264"/>
        <v>0</v>
      </c>
      <c r="CU115" s="142">
        <f t="shared" si="234"/>
        <v>0</v>
      </c>
      <c r="CV115" s="142">
        <f t="shared" si="235"/>
        <v>0</v>
      </c>
      <c r="CW115" s="142">
        <f t="shared" si="265"/>
        <v>0</v>
      </c>
      <c r="CX115" s="142">
        <f t="shared" si="266"/>
        <v>0</v>
      </c>
      <c r="CY115" s="142">
        <f t="shared" si="267"/>
        <v>0</v>
      </c>
      <c r="CZ115" s="142">
        <f t="shared" si="268"/>
        <v>0</v>
      </c>
      <c r="DA115" s="516"/>
      <c r="DB115" s="142">
        <f t="shared" si="236"/>
        <v>0</v>
      </c>
      <c r="DC115" s="142">
        <f t="shared" si="237"/>
        <v>0</v>
      </c>
      <c r="DD115" s="518"/>
      <c r="DE115" s="142">
        <f t="shared" si="269"/>
        <v>0</v>
      </c>
      <c r="DF115" s="142">
        <f t="shared" si="270"/>
        <v>0</v>
      </c>
      <c r="DG115" s="142">
        <f t="shared" si="238"/>
        <v>0</v>
      </c>
      <c r="DH115" s="457"/>
      <c r="DI115" s="142">
        <v>0</v>
      </c>
      <c r="DJ115" s="142">
        <v>0</v>
      </c>
      <c r="DK115" s="142">
        <v>0</v>
      </c>
      <c r="DL115" s="142">
        <f t="shared" si="239"/>
        <v>0</v>
      </c>
      <c r="DM115" s="142">
        <f t="shared" si="240"/>
        <v>0</v>
      </c>
      <c r="DN115" s="142">
        <f t="shared" si="241"/>
        <v>0</v>
      </c>
      <c r="DO115" s="142">
        <f t="shared" si="242"/>
        <v>0</v>
      </c>
      <c r="DP115" s="142">
        <f t="shared" si="243"/>
        <v>0</v>
      </c>
      <c r="DQ115" s="142">
        <f t="shared" si="244"/>
        <v>0</v>
      </c>
      <c r="DR115" s="142">
        <v>0</v>
      </c>
      <c r="DS115" s="142">
        <v>0</v>
      </c>
      <c r="DT115" s="142">
        <f t="shared" si="245"/>
        <v>0</v>
      </c>
      <c r="DU115" s="142">
        <f t="shared" si="246"/>
        <v>0</v>
      </c>
      <c r="DV115" s="457"/>
      <c r="DW115" s="457"/>
      <c r="DX115" s="142">
        <v>0</v>
      </c>
      <c r="DY115" s="142">
        <f t="shared" si="271"/>
        <v>0</v>
      </c>
      <c r="DZ115" s="142">
        <f t="shared" si="247"/>
        <v>0</v>
      </c>
      <c r="EA115" s="142">
        <f t="shared" si="248"/>
        <v>0</v>
      </c>
      <c r="EB115" s="142">
        <f t="shared" si="249"/>
        <v>0</v>
      </c>
      <c r="EC115" s="142">
        <f t="shared" si="250"/>
        <v>0</v>
      </c>
      <c r="ED115" s="142">
        <f t="shared" si="272"/>
        <v>0</v>
      </c>
    </row>
    <row r="116" spans="55:134" ht="17.25" thickTop="1" thickBot="1">
      <c r="BC116" s="534" t="s">
        <v>194</v>
      </c>
      <c r="BD116" s="589" t="str">
        <f>IF(BG116+BF116=BE116,"R","T")</f>
        <v>R</v>
      </c>
      <c r="BE116" s="528">
        <f>BE105</f>
        <v>0</v>
      </c>
      <c r="BF116" s="523">
        <f>BF105</f>
        <v>0</v>
      </c>
      <c r="BG116" s="523">
        <f>BG105</f>
        <v>0</v>
      </c>
      <c r="BH116" s="511"/>
      <c r="BI116" s="138">
        <f t="shared" si="217"/>
        <v>0</v>
      </c>
      <c r="BJ116" s="138">
        <f t="shared" si="218"/>
        <v>0</v>
      </c>
      <c r="BK116" s="138" cm="1">
        <f t="array" ref="BK116">BI116*c_rate.Pref.MO</f>
        <v>0</v>
      </c>
      <c r="BL116" s="138">
        <f t="shared" si="219"/>
        <v>0</v>
      </c>
      <c r="BM116" s="138">
        <f t="shared" si="220"/>
        <v>0</v>
      </c>
      <c r="BN116" s="138">
        <f t="shared" si="251"/>
        <v>0</v>
      </c>
      <c r="BO116" s="138">
        <f t="shared" si="252"/>
        <v>0</v>
      </c>
      <c r="BP116" s="138">
        <f t="shared" si="253"/>
        <v>0</v>
      </c>
      <c r="BQ116" s="138">
        <f t="shared" si="221"/>
        <v>0</v>
      </c>
      <c r="BR116" s="457"/>
      <c r="BS116" s="138">
        <f t="shared" si="254"/>
        <v>0</v>
      </c>
      <c r="BT116" s="138">
        <f t="shared" si="222"/>
        <v>0</v>
      </c>
      <c r="BU116" s="138" cm="1">
        <f t="array" ref="BU116">IF(D116=0,0,BS116*(c_rate.Hurdle1.MO))</f>
        <v>0</v>
      </c>
      <c r="BV116" s="138">
        <f t="shared" si="255"/>
        <v>0</v>
      </c>
      <c r="BW116" s="138">
        <f t="shared" si="223"/>
        <v>0</v>
      </c>
      <c r="BX116" s="138">
        <f t="shared" si="256"/>
        <v>0</v>
      </c>
      <c r="BY116" s="138">
        <f t="shared" si="257"/>
        <v>0</v>
      </c>
      <c r="BZ116" s="138">
        <f t="shared" si="258"/>
        <v>0</v>
      </c>
      <c r="CA116" s="138">
        <f t="shared" si="224"/>
        <v>0</v>
      </c>
      <c r="CB116" s="138">
        <f t="shared" si="259"/>
        <v>0</v>
      </c>
      <c r="CC116" s="516"/>
      <c r="CD116" s="138">
        <f t="shared" si="260"/>
        <v>0</v>
      </c>
      <c r="CE116" s="138">
        <f t="shared" si="225"/>
        <v>0</v>
      </c>
      <c r="CF116" s="138" cm="1">
        <f t="array" ref="CF116">IF($D117=0,0,CD116*(c_rate.Hurdle2.MO))</f>
        <v>0</v>
      </c>
      <c r="CG116" s="138">
        <f t="shared" si="226"/>
        <v>0</v>
      </c>
      <c r="CH116" s="138">
        <f t="shared" si="261"/>
        <v>0</v>
      </c>
      <c r="CI116" s="138">
        <f t="shared" si="227"/>
        <v>0</v>
      </c>
      <c r="CJ116" s="138">
        <f t="shared" si="228"/>
        <v>0</v>
      </c>
      <c r="CK116" s="138">
        <f t="shared" si="229"/>
        <v>0</v>
      </c>
      <c r="CL116" s="138">
        <f t="shared" si="262"/>
        <v>0</v>
      </c>
      <c r="CM116" s="138">
        <f t="shared" si="230"/>
        <v>0</v>
      </c>
      <c r="CN116" s="138">
        <f t="shared" si="231"/>
        <v>0</v>
      </c>
      <c r="CO116" s="516"/>
      <c r="CP116" s="138">
        <f t="shared" si="263"/>
        <v>0</v>
      </c>
      <c r="CQ116" s="138">
        <f t="shared" si="232"/>
        <v>0</v>
      </c>
      <c r="CR116" s="138" cm="1">
        <f t="array" ref="CR116">IF($D117=0,0,CP116*(c_rate.Hurdle3.MO))</f>
        <v>0</v>
      </c>
      <c r="CS116" s="138">
        <f t="shared" si="233"/>
        <v>0</v>
      </c>
      <c r="CT116" s="138">
        <f t="shared" si="264"/>
        <v>0</v>
      </c>
      <c r="CU116" s="138">
        <f t="shared" si="234"/>
        <v>0</v>
      </c>
      <c r="CV116" s="138">
        <f t="shared" si="235"/>
        <v>0</v>
      </c>
      <c r="CW116" s="138">
        <f t="shared" si="265"/>
        <v>0</v>
      </c>
      <c r="CX116" s="138">
        <f t="shared" si="266"/>
        <v>0</v>
      </c>
      <c r="CY116" s="138">
        <f t="shared" si="267"/>
        <v>0</v>
      </c>
      <c r="CZ116" s="138">
        <f t="shared" si="268"/>
        <v>0</v>
      </c>
      <c r="DA116" s="516"/>
      <c r="DB116" s="138">
        <f t="shared" si="236"/>
        <v>0</v>
      </c>
      <c r="DC116" s="138">
        <f t="shared" si="237"/>
        <v>0</v>
      </c>
      <c r="DD116" s="518"/>
      <c r="DE116" s="138">
        <f t="shared" si="269"/>
        <v>0</v>
      </c>
      <c r="DF116" s="138">
        <f t="shared" si="270"/>
        <v>0</v>
      </c>
      <c r="DG116" s="138">
        <f t="shared" si="238"/>
        <v>0</v>
      </c>
      <c r="DH116" s="457"/>
      <c r="DI116" s="138">
        <v>0</v>
      </c>
      <c r="DJ116" s="138">
        <v>0</v>
      </c>
      <c r="DK116" s="138">
        <v>0</v>
      </c>
      <c r="DL116" s="138">
        <f t="shared" si="239"/>
        <v>0</v>
      </c>
      <c r="DM116" s="138">
        <f t="shared" si="240"/>
        <v>0</v>
      </c>
      <c r="DN116" s="138">
        <f t="shared" si="241"/>
        <v>0</v>
      </c>
      <c r="DO116" s="138">
        <f t="shared" si="242"/>
        <v>0</v>
      </c>
      <c r="DP116" s="138">
        <f t="shared" si="243"/>
        <v>0</v>
      </c>
      <c r="DQ116" s="138">
        <f t="shared" si="244"/>
        <v>0</v>
      </c>
      <c r="DR116" s="138">
        <v>0</v>
      </c>
      <c r="DS116" s="138">
        <v>0</v>
      </c>
      <c r="DT116" s="138">
        <f t="shared" si="245"/>
        <v>0</v>
      </c>
      <c r="DU116" s="138">
        <f t="shared" si="246"/>
        <v>0</v>
      </c>
      <c r="DV116" s="457"/>
      <c r="DW116" s="457"/>
      <c r="DX116" s="138">
        <v>0</v>
      </c>
      <c r="DY116" s="138">
        <f t="shared" si="271"/>
        <v>0</v>
      </c>
      <c r="DZ116" s="138">
        <f t="shared" si="247"/>
        <v>0</v>
      </c>
      <c r="EA116" s="138">
        <f t="shared" si="248"/>
        <v>0</v>
      </c>
      <c r="EB116" s="138">
        <f t="shared" si="249"/>
        <v>0</v>
      </c>
      <c r="EC116" s="138">
        <f t="shared" si="250"/>
        <v>0</v>
      </c>
      <c r="ED116" s="138">
        <f t="shared" si="272"/>
        <v>0</v>
      </c>
    </row>
    <row r="117" spans="55:134" ht="17.25" thickTop="1" thickBot="1">
      <c r="BC117" s="534" t="s">
        <v>204</v>
      </c>
      <c r="BD117" s="589" t="str">
        <f t="shared" ref="BD117:BD123" si="273">IF(BG117+BF117=BE117,"R","T")</f>
        <v>R</v>
      </c>
      <c r="BE117" s="528">
        <f>BP101</f>
        <v>0</v>
      </c>
      <c r="BF117" s="523">
        <f>BO101</f>
        <v>0</v>
      </c>
      <c r="BG117" s="523">
        <f>BN101</f>
        <v>0</v>
      </c>
      <c r="BH117" s="511"/>
      <c r="BI117" s="139">
        <f t="shared" si="217"/>
        <v>0</v>
      </c>
      <c r="BJ117" s="139">
        <f t="shared" si="218"/>
        <v>0</v>
      </c>
      <c r="BK117" s="139" cm="1">
        <f t="array" ref="BK117">BI117*c_rate.Pref.MO</f>
        <v>0</v>
      </c>
      <c r="BL117" s="139">
        <f t="shared" si="219"/>
        <v>0</v>
      </c>
      <c r="BM117" s="139">
        <f t="shared" si="220"/>
        <v>0</v>
      </c>
      <c r="BN117" s="139">
        <f t="shared" si="251"/>
        <v>0</v>
      </c>
      <c r="BO117" s="139">
        <f t="shared" si="252"/>
        <v>0</v>
      </c>
      <c r="BP117" s="139">
        <f t="shared" si="253"/>
        <v>0</v>
      </c>
      <c r="BQ117" s="139">
        <f t="shared" si="221"/>
        <v>0</v>
      </c>
      <c r="BR117" s="457"/>
      <c r="BS117" s="139">
        <f t="shared" si="254"/>
        <v>0</v>
      </c>
      <c r="BT117" s="139">
        <f t="shared" si="222"/>
        <v>0</v>
      </c>
      <c r="BU117" s="139" cm="1">
        <f t="array" ref="BU117">IF(D117=0,0,BS117*(c_rate.Hurdle1.MO))</f>
        <v>0</v>
      </c>
      <c r="BV117" s="139">
        <f t="shared" si="255"/>
        <v>0</v>
      </c>
      <c r="BW117" s="139">
        <f t="shared" si="223"/>
        <v>0</v>
      </c>
      <c r="BX117" s="139">
        <f t="shared" si="256"/>
        <v>0</v>
      </c>
      <c r="BY117" s="139">
        <f t="shared" si="257"/>
        <v>0</v>
      </c>
      <c r="BZ117" s="139">
        <f t="shared" si="258"/>
        <v>0</v>
      </c>
      <c r="CA117" s="139">
        <f t="shared" si="224"/>
        <v>0</v>
      </c>
      <c r="CB117" s="139">
        <f t="shared" si="259"/>
        <v>0</v>
      </c>
      <c r="CC117" s="516"/>
      <c r="CD117" s="139">
        <f t="shared" si="260"/>
        <v>0</v>
      </c>
      <c r="CE117" s="139">
        <f t="shared" si="225"/>
        <v>0</v>
      </c>
      <c r="CF117" s="139" cm="1">
        <f t="array" ref="CF117">IF($D118=0,0,CD117*(c_rate.Hurdle2.MO))</f>
        <v>0</v>
      </c>
      <c r="CG117" s="139">
        <f t="shared" si="226"/>
        <v>0</v>
      </c>
      <c r="CH117" s="139">
        <f t="shared" si="261"/>
        <v>0</v>
      </c>
      <c r="CI117" s="139">
        <f t="shared" si="227"/>
        <v>0</v>
      </c>
      <c r="CJ117" s="139">
        <f t="shared" si="228"/>
        <v>0</v>
      </c>
      <c r="CK117" s="139">
        <f t="shared" si="229"/>
        <v>0</v>
      </c>
      <c r="CL117" s="139">
        <f t="shared" si="262"/>
        <v>0</v>
      </c>
      <c r="CM117" s="139">
        <f t="shared" si="230"/>
        <v>0</v>
      </c>
      <c r="CN117" s="139">
        <f t="shared" si="231"/>
        <v>0</v>
      </c>
      <c r="CO117" s="516"/>
      <c r="CP117" s="139">
        <f t="shared" si="263"/>
        <v>0</v>
      </c>
      <c r="CQ117" s="139">
        <f t="shared" si="232"/>
        <v>0</v>
      </c>
      <c r="CR117" s="139" cm="1">
        <f t="array" ref="CR117">IF($D118=0,0,CP117*(c_rate.Hurdle3.MO))</f>
        <v>0</v>
      </c>
      <c r="CS117" s="139">
        <f t="shared" si="233"/>
        <v>0</v>
      </c>
      <c r="CT117" s="139">
        <f t="shared" si="264"/>
        <v>0</v>
      </c>
      <c r="CU117" s="139">
        <f t="shared" si="234"/>
        <v>0</v>
      </c>
      <c r="CV117" s="139">
        <f t="shared" si="235"/>
        <v>0</v>
      </c>
      <c r="CW117" s="139">
        <f t="shared" si="265"/>
        <v>0</v>
      </c>
      <c r="CX117" s="139">
        <f t="shared" si="266"/>
        <v>0</v>
      </c>
      <c r="CY117" s="139">
        <f t="shared" si="267"/>
        <v>0</v>
      </c>
      <c r="CZ117" s="139">
        <f t="shared" si="268"/>
        <v>0</v>
      </c>
      <c r="DA117" s="516"/>
      <c r="DB117" s="139">
        <f t="shared" si="236"/>
        <v>0</v>
      </c>
      <c r="DC117" s="139">
        <f t="shared" si="237"/>
        <v>0</v>
      </c>
      <c r="DD117" s="518"/>
      <c r="DE117" s="139">
        <f t="shared" si="269"/>
        <v>0</v>
      </c>
      <c r="DF117" s="139">
        <f t="shared" si="270"/>
        <v>0</v>
      </c>
      <c r="DG117" s="139">
        <f t="shared" si="238"/>
        <v>0</v>
      </c>
      <c r="DH117" s="457"/>
      <c r="DI117" s="139">
        <v>0</v>
      </c>
      <c r="DJ117" s="139">
        <v>0</v>
      </c>
      <c r="DK117" s="139">
        <v>0</v>
      </c>
      <c r="DL117" s="139">
        <f t="shared" si="239"/>
        <v>0</v>
      </c>
      <c r="DM117" s="139">
        <f t="shared" si="240"/>
        <v>0</v>
      </c>
      <c r="DN117" s="139">
        <f t="shared" si="241"/>
        <v>0</v>
      </c>
      <c r="DO117" s="139">
        <f t="shared" si="242"/>
        <v>0</v>
      </c>
      <c r="DP117" s="139">
        <f t="shared" si="243"/>
        <v>0</v>
      </c>
      <c r="DQ117" s="139">
        <f t="shared" si="244"/>
        <v>0</v>
      </c>
      <c r="DR117" s="139">
        <v>0</v>
      </c>
      <c r="DS117" s="139">
        <v>0</v>
      </c>
      <c r="DT117" s="139">
        <f t="shared" si="245"/>
        <v>0</v>
      </c>
      <c r="DU117" s="139">
        <f t="shared" si="246"/>
        <v>0</v>
      </c>
      <c r="DV117" s="457"/>
      <c r="DW117" s="457"/>
      <c r="DX117" s="139">
        <v>0</v>
      </c>
      <c r="DY117" s="139">
        <f t="shared" si="271"/>
        <v>0</v>
      </c>
      <c r="DZ117" s="139">
        <f t="shared" si="247"/>
        <v>0</v>
      </c>
      <c r="EA117" s="139">
        <f t="shared" si="248"/>
        <v>0</v>
      </c>
      <c r="EB117" s="139">
        <f t="shared" si="249"/>
        <v>0</v>
      </c>
      <c r="EC117" s="139">
        <f t="shared" si="250"/>
        <v>0</v>
      </c>
      <c r="ED117" s="139">
        <f t="shared" si="272"/>
        <v>0</v>
      </c>
    </row>
    <row r="118" spans="55:134" ht="17.25" thickTop="1" thickBot="1">
      <c r="BC118" s="534" t="s">
        <v>195</v>
      </c>
      <c r="BD118" s="589" t="str">
        <f t="shared" si="273"/>
        <v>R</v>
      </c>
      <c r="BE118" s="528">
        <f>BG118+BF118</f>
        <v>0</v>
      </c>
      <c r="BF118" s="523">
        <f>BZ101-BF117</f>
        <v>0</v>
      </c>
      <c r="BG118" s="523">
        <f>BY101-BG117</f>
        <v>0</v>
      </c>
      <c r="BH118" s="511"/>
      <c r="BI118" s="140">
        <f t="shared" si="217"/>
        <v>0</v>
      </c>
      <c r="BJ118" s="140">
        <f t="shared" si="218"/>
        <v>0</v>
      </c>
      <c r="BK118" s="140" cm="1">
        <f t="array" ref="BK118">BI118*c_rate.Pref.MO</f>
        <v>0</v>
      </c>
      <c r="BL118" s="140">
        <f t="shared" si="219"/>
        <v>0</v>
      </c>
      <c r="BM118" s="140">
        <f t="shared" si="220"/>
        <v>0</v>
      </c>
      <c r="BN118" s="140">
        <f t="shared" si="251"/>
        <v>0</v>
      </c>
      <c r="BO118" s="140">
        <f t="shared" si="252"/>
        <v>0</v>
      </c>
      <c r="BP118" s="140">
        <f t="shared" si="253"/>
        <v>0</v>
      </c>
      <c r="BQ118" s="140">
        <f t="shared" si="221"/>
        <v>0</v>
      </c>
      <c r="BR118" s="516"/>
      <c r="BS118" s="140">
        <f t="shared" si="254"/>
        <v>0</v>
      </c>
      <c r="BT118" s="140">
        <f t="shared" si="222"/>
        <v>0</v>
      </c>
      <c r="BU118" s="140" cm="1">
        <f t="array" ref="BU118">IF(D118=0,0,BS118*(c_rate.Hurdle1.MO))</f>
        <v>0</v>
      </c>
      <c r="BV118" s="140">
        <f t="shared" si="255"/>
        <v>0</v>
      </c>
      <c r="BW118" s="140">
        <f t="shared" si="223"/>
        <v>0</v>
      </c>
      <c r="BX118" s="140">
        <f t="shared" si="256"/>
        <v>0</v>
      </c>
      <c r="BY118" s="140">
        <f t="shared" si="257"/>
        <v>0</v>
      </c>
      <c r="BZ118" s="140">
        <f t="shared" si="258"/>
        <v>0</v>
      </c>
      <c r="CA118" s="140">
        <f t="shared" si="224"/>
        <v>0</v>
      </c>
      <c r="CB118" s="140">
        <f t="shared" si="259"/>
        <v>0</v>
      </c>
      <c r="CC118" s="516"/>
      <c r="CD118" s="140">
        <f t="shared" si="260"/>
        <v>0</v>
      </c>
      <c r="CE118" s="140">
        <f t="shared" si="225"/>
        <v>0</v>
      </c>
      <c r="CF118" s="140" cm="1">
        <f t="array" ref="CF118">IF($D119=0,0,CD118*(c_rate.Hurdle2.MO))</f>
        <v>0</v>
      </c>
      <c r="CG118" s="140">
        <f t="shared" si="226"/>
        <v>0</v>
      </c>
      <c r="CH118" s="140">
        <f t="shared" si="261"/>
        <v>0</v>
      </c>
      <c r="CI118" s="140">
        <f t="shared" si="227"/>
        <v>0</v>
      </c>
      <c r="CJ118" s="140">
        <f t="shared" si="228"/>
        <v>0</v>
      </c>
      <c r="CK118" s="140">
        <f t="shared" si="229"/>
        <v>0</v>
      </c>
      <c r="CL118" s="140">
        <f t="shared" si="262"/>
        <v>0</v>
      </c>
      <c r="CM118" s="140">
        <f t="shared" si="230"/>
        <v>0</v>
      </c>
      <c r="CN118" s="140">
        <f t="shared" si="231"/>
        <v>0</v>
      </c>
      <c r="CO118" s="516"/>
      <c r="CP118" s="140">
        <f t="shared" si="263"/>
        <v>0</v>
      </c>
      <c r="CQ118" s="140">
        <f t="shared" si="232"/>
        <v>0</v>
      </c>
      <c r="CR118" s="140" cm="1">
        <f t="array" ref="CR118">IF($D119=0,0,CP118*(c_rate.Hurdle3.MO))</f>
        <v>0</v>
      </c>
      <c r="CS118" s="140">
        <f t="shared" si="233"/>
        <v>0</v>
      </c>
      <c r="CT118" s="140">
        <f t="shared" si="264"/>
        <v>0</v>
      </c>
      <c r="CU118" s="140">
        <f t="shared" si="234"/>
        <v>0</v>
      </c>
      <c r="CV118" s="140">
        <f t="shared" si="235"/>
        <v>0</v>
      </c>
      <c r="CW118" s="140">
        <f t="shared" si="265"/>
        <v>0</v>
      </c>
      <c r="CX118" s="140">
        <f t="shared" si="266"/>
        <v>0</v>
      </c>
      <c r="CY118" s="140">
        <f t="shared" si="267"/>
        <v>0</v>
      </c>
      <c r="CZ118" s="140">
        <f t="shared" si="268"/>
        <v>0</v>
      </c>
      <c r="DA118" s="516"/>
      <c r="DB118" s="140">
        <f t="shared" si="236"/>
        <v>0</v>
      </c>
      <c r="DC118" s="140">
        <f t="shared" si="237"/>
        <v>0</v>
      </c>
      <c r="DD118" s="518"/>
      <c r="DE118" s="140">
        <f t="shared" si="269"/>
        <v>0</v>
      </c>
      <c r="DF118" s="140">
        <f t="shared" si="270"/>
        <v>0</v>
      </c>
      <c r="DG118" s="140">
        <f t="shared" si="238"/>
        <v>0</v>
      </c>
      <c r="DH118" s="457"/>
      <c r="DI118" s="140">
        <v>0</v>
      </c>
      <c r="DJ118" s="140">
        <v>0</v>
      </c>
      <c r="DK118" s="140">
        <v>0</v>
      </c>
      <c r="DL118" s="140">
        <f t="shared" si="239"/>
        <v>0</v>
      </c>
      <c r="DM118" s="140">
        <f t="shared" si="240"/>
        <v>0</v>
      </c>
      <c r="DN118" s="140">
        <f t="shared" si="241"/>
        <v>0</v>
      </c>
      <c r="DO118" s="140">
        <f t="shared" si="242"/>
        <v>0</v>
      </c>
      <c r="DP118" s="140">
        <f t="shared" si="243"/>
        <v>0</v>
      </c>
      <c r="DQ118" s="140">
        <f t="shared" si="244"/>
        <v>0</v>
      </c>
      <c r="DR118" s="140">
        <v>0</v>
      </c>
      <c r="DS118" s="140">
        <v>0</v>
      </c>
      <c r="DT118" s="140">
        <f t="shared" si="245"/>
        <v>0</v>
      </c>
      <c r="DU118" s="140">
        <f t="shared" si="246"/>
        <v>0</v>
      </c>
      <c r="DV118" s="457"/>
      <c r="DW118" s="457"/>
      <c r="DX118" s="140">
        <v>0</v>
      </c>
      <c r="DY118" s="140">
        <f t="shared" si="271"/>
        <v>0</v>
      </c>
      <c r="DZ118" s="140">
        <f t="shared" si="247"/>
        <v>0</v>
      </c>
      <c r="EA118" s="140">
        <f t="shared" si="248"/>
        <v>0</v>
      </c>
      <c r="EB118" s="140">
        <f t="shared" si="249"/>
        <v>0</v>
      </c>
      <c r="EC118" s="140">
        <f t="shared" si="250"/>
        <v>0</v>
      </c>
      <c r="ED118" s="140">
        <f t="shared" si="272"/>
        <v>0</v>
      </c>
    </row>
    <row r="119" spans="55:134" ht="17.25" thickTop="1" thickBot="1">
      <c r="BC119" s="534" t="s">
        <v>196</v>
      </c>
      <c r="BD119" s="589" t="str">
        <f t="shared" si="273"/>
        <v>R</v>
      </c>
      <c r="BE119" s="528">
        <f>BG119+BF119</f>
        <v>0</v>
      </c>
      <c r="BF119" s="523">
        <f>CL101-BF117-BF118</f>
        <v>0</v>
      </c>
      <c r="BG119" s="523">
        <f>CK101-BG118-BG117</f>
        <v>0</v>
      </c>
      <c r="BH119" s="511"/>
      <c r="BI119" s="141">
        <f t="shared" si="217"/>
        <v>0</v>
      </c>
      <c r="BJ119" s="141">
        <f t="shared" si="218"/>
        <v>0</v>
      </c>
      <c r="BK119" s="141" cm="1">
        <f t="array" ref="BK119">BI119*c_rate.Pref.MO</f>
        <v>0</v>
      </c>
      <c r="BL119" s="141">
        <f t="shared" si="219"/>
        <v>0</v>
      </c>
      <c r="BM119" s="141">
        <f t="shared" si="220"/>
        <v>0</v>
      </c>
      <c r="BN119" s="141">
        <f t="shared" si="251"/>
        <v>0</v>
      </c>
      <c r="BO119" s="141">
        <f t="shared" si="252"/>
        <v>0</v>
      </c>
      <c r="BP119" s="141">
        <f t="shared" si="253"/>
        <v>0</v>
      </c>
      <c r="BQ119" s="141">
        <f t="shared" si="221"/>
        <v>0</v>
      </c>
      <c r="BR119" s="516"/>
      <c r="BS119" s="141">
        <f t="shared" si="254"/>
        <v>0</v>
      </c>
      <c r="BT119" s="141">
        <f t="shared" si="222"/>
        <v>0</v>
      </c>
      <c r="BU119" s="141" cm="1">
        <f t="array" ref="BU119">IF(D119=0,0,BS119*(c_rate.Hurdle1.MO))</f>
        <v>0</v>
      </c>
      <c r="BV119" s="141">
        <f t="shared" si="255"/>
        <v>0</v>
      </c>
      <c r="BW119" s="141">
        <f t="shared" si="223"/>
        <v>0</v>
      </c>
      <c r="BX119" s="141">
        <f t="shared" si="256"/>
        <v>0</v>
      </c>
      <c r="BY119" s="141">
        <f t="shared" si="257"/>
        <v>0</v>
      </c>
      <c r="BZ119" s="141">
        <f t="shared" si="258"/>
        <v>0</v>
      </c>
      <c r="CA119" s="141">
        <f t="shared" si="224"/>
        <v>0</v>
      </c>
      <c r="CB119" s="141">
        <f t="shared" si="259"/>
        <v>0</v>
      </c>
      <c r="CC119" s="516"/>
      <c r="CD119" s="141">
        <f t="shared" si="260"/>
        <v>0</v>
      </c>
      <c r="CE119" s="141">
        <f t="shared" si="225"/>
        <v>0</v>
      </c>
      <c r="CF119" s="141" cm="1">
        <f t="array" ref="CF119">IF($D120=0,0,CD119*(c_rate.Hurdle2.MO))</f>
        <v>0</v>
      </c>
      <c r="CG119" s="141">
        <f t="shared" si="226"/>
        <v>0</v>
      </c>
      <c r="CH119" s="141">
        <f t="shared" si="261"/>
        <v>0</v>
      </c>
      <c r="CI119" s="141">
        <f t="shared" si="227"/>
        <v>0</v>
      </c>
      <c r="CJ119" s="141">
        <f t="shared" si="228"/>
        <v>0</v>
      </c>
      <c r="CK119" s="141">
        <f t="shared" si="229"/>
        <v>0</v>
      </c>
      <c r="CL119" s="141">
        <f t="shared" si="262"/>
        <v>0</v>
      </c>
      <c r="CM119" s="141">
        <f t="shared" si="230"/>
        <v>0</v>
      </c>
      <c r="CN119" s="141">
        <f t="shared" si="231"/>
        <v>0</v>
      </c>
      <c r="CO119" s="516"/>
      <c r="CP119" s="141">
        <f t="shared" si="263"/>
        <v>0</v>
      </c>
      <c r="CQ119" s="141">
        <f t="shared" si="232"/>
        <v>0</v>
      </c>
      <c r="CR119" s="141" cm="1">
        <f t="array" ref="CR119">IF($D120=0,0,CP119*(c_rate.Hurdle3.MO))</f>
        <v>0</v>
      </c>
      <c r="CS119" s="141">
        <f t="shared" si="233"/>
        <v>0</v>
      </c>
      <c r="CT119" s="141">
        <f t="shared" si="264"/>
        <v>0</v>
      </c>
      <c r="CU119" s="141">
        <f t="shared" si="234"/>
        <v>0</v>
      </c>
      <c r="CV119" s="141">
        <f t="shared" si="235"/>
        <v>0</v>
      </c>
      <c r="CW119" s="141">
        <f t="shared" si="265"/>
        <v>0</v>
      </c>
      <c r="CX119" s="141">
        <f t="shared" si="266"/>
        <v>0</v>
      </c>
      <c r="CY119" s="141">
        <f t="shared" si="267"/>
        <v>0</v>
      </c>
      <c r="CZ119" s="141">
        <f t="shared" si="268"/>
        <v>0</v>
      </c>
      <c r="DA119" s="516"/>
      <c r="DB119" s="141">
        <f t="shared" si="236"/>
        <v>0</v>
      </c>
      <c r="DC119" s="141">
        <f t="shared" si="237"/>
        <v>0</v>
      </c>
      <c r="DD119" s="518"/>
      <c r="DE119" s="141">
        <f t="shared" si="269"/>
        <v>0</v>
      </c>
      <c r="DF119" s="141">
        <f t="shared" si="270"/>
        <v>0</v>
      </c>
      <c r="DG119" s="141">
        <f t="shared" si="238"/>
        <v>0</v>
      </c>
      <c r="DH119" s="457"/>
      <c r="DI119" s="141">
        <v>0</v>
      </c>
      <c r="DJ119" s="141">
        <v>0</v>
      </c>
      <c r="DK119" s="141">
        <v>0</v>
      </c>
      <c r="DL119" s="141">
        <f t="shared" si="239"/>
        <v>0</v>
      </c>
      <c r="DM119" s="141">
        <f t="shared" si="240"/>
        <v>0</v>
      </c>
      <c r="DN119" s="141">
        <f t="shared" si="241"/>
        <v>0</v>
      </c>
      <c r="DO119" s="141">
        <f t="shared" si="242"/>
        <v>0</v>
      </c>
      <c r="DP119" s="141">
        <f t="shared" si="243"/>
        <v>0</v>
      </c>
      <c r="DQ119" s="141">
        <f t="shared" si="244"/>
        <v>0</v>
      </c>
      <c r="DR119" s="141">
        <v>0</v>
      </c>
      <c r="DS119" s="141">
        <v>0</v>
      </c>
      <c r="DT119" s="141">
        <f t="shared" si="245"/>
        <v>0</v>
      </c>
      <c r="DU119" s="141">
        <f t="shared" si="246"/>
        <v>0</v>
      </c>
      <c r="DV119" s="457"/>
      <c r="DW119" s="457"/>
      <c r="DX119" s="141">
        <v>0</v>
      </c>
      <c r="DY119" s="141">
        <f t="shared" si="271"/>
        <v>0</v>
      </c>
      <c r="DZ119" s="141">
        <f t="shared" si="247"/>
        <v>0</v>
      </c>
      <c r="EA119" s="141">
        <f t="shared" si="248"/>
        <v>0</v>
      </c>
      <c r="EB119" s="141">
        <f t="shared" si="249"/>
        <v>0</v>
      </c>
      <c r="EC119" s="141">
        <f t="shared" si="250"/>
        <v>0</v>
      </c>
      <c r="ED119" s="141">
        <f t="shared" si="272"/>
        <v>0</v>
      </c>
    </row>
    <row r="120" spans="55:134" ht="17.25" thickTop="1" thickBot="1">
      <c r="BC120" s="534" t="s">
        <v>197</v>
      </c>
      <c r="BD120" s="589" t="str">
        <f t="shared" si="273"/>
        <v>R</v>
      </c>
      <c r="BE120" s="528">
        <f>BG120+BF120</f>
        <v>0</v>
      </c>
      <c r="BF120" s="523">
        <f>CX101-BF117-BF118-BF119</f>
        <v>0</v>
      </c>
      <c r="BG120" s="523">
        <f>CW101-BG119-BG117-BG118</f>
        <v>0</v>
      </c>
      <c r="BH120" s="511"/>
      <c r="BI120" s="139">
        <f t="shared" si="217"/>
        <v>0</v>
      </c>
      <c r="BJ120" s="139">
        <f t="shared" si="218"/>
        <v>0</v>
      </c>
      <c r="BK120" s="139" cm="1">
        <f t="array" ref="BK120">BI120*c_rate.Pref.MO</f>
        <v>0</v>
      </c>
      <c r="BL120" s="139">
        <f t="shared" si="219"/>
        <v>0</v>
      </c>
      <c r="BM120" s="139">
        <f t="shared" si="220"/>
        <v>0</v>
      </c>
      <c r="BN120" s="139">
        <f t="shared" si="251"/>
        <v>0</v>
      </c>
      <c r="BO120" s="139">
        <f t="shared" si="252"/>
        <v>0</v>
      </c>
      <c r="BP120" s="139">
        <f t="shared" si="253"/>
        <v>0</v>
      </c>
      <c r="BQ120" s="139">
        <f t="shared" si="221"/>
        <v>0</v>
      </c>
      <c r="BR120" s="516"/>
      <c r="BS120" s="139">
        <f t="shared" si="254"/>
        <v>0</v>
      </c>
      <c r="BT120" s="139">
        <f t="shared" si="222"/>
        <v>0</v>
      </c>
      <c r="BU120" s="139" cm="1">
        <f t="array" ref="BU120">IF(D120=0,0,BS120*(c_rate.Hurdle1.MO))</f>
        <v>0</v>
      </c>
      <c r="BV120" s="139">
        <f t="shared" si="255"/>
        <v>0</v>
      </c>
      <c r="BW120" s="139">
        <f t="shared" si="223"/>
        <v>0</v>
      </c>
      <c r="BX120" s="139">
        <f t="shared" si="256"/>
        <v>0</v>
      </c>
      <c r="BY120" s="139">
        <f t="shared" si="257"/>
        <v>0</v>
      </c>
      <c r="BZ120" s="139">
        <f t="shared" si="258"/>
        <v>0</v>
      </c>
      <c r="CA120" s="139">
        <f t="shared" si="224"/>
        <v>0</v>
      </c>
      <c r="CB120" s="139">
        <f t="shared" si="259"/>
        <v>0</v>
      </c>
      <c r="CC120" s="516"/>
      <c r="CD120" s="139">
        <f t="shared" si="260"/>
        <v>0</v>
      </c>
      <c r="CE120" s="139">
        <f t="shared" si="225"/>
        <v>0</v>
      </c>
      <c r="CF120" s="139" cm="1">
        <f t="array" ref="CF120">IF($D121=0,0,CD120*(c_rate.Hurdle2.MO))</f>
        <v>0</v>
      </c>
      <c r="CG120" s="139">
        <f t="shared" si="226"/>
        <v>0</v>
      </c>
      <c r="CH120" s="139">
        <f t="shared" si="261"/>
        <v>0</v>
      </c>
      <c r="CI120" s="139">
        <f t="shared" si="227"/>
        <v>0</v>
      </c>
      <c r="CJ120" s="139">
        <f t="shared" si="228"/>
        <v>0</v>
      </c>
      <c r="CK120" s="139">
        <f t="shared" si="229"/>
        <v>0</v>
      </c>
      <c r="CL120" s="139">
        <f t="shared" si="262"/>
        <v>0</v>
      </c>
      <c r="CM120" s="139">
        <f t="shared" si="230"/>
        <v>0</v>
      </c>
      <c r="CN120" s="139">
        <f t="shared" si="231"/>
        <v>0</v>
      </c>
      <c r="CO120" s="516"/>
      <c r="CP120" s="139">
        <f t="shared" si="263"/>
        <v>0</v>
      </c>
      <c r="CQ120" s="139">
        <f t="shared" si="232"/>
        <v>0</v>
      </c>
      <c r="CR120" s="139" cm="1">
        <f t="array" ref="CR120">IF($D121=0,0,CP120*(c_rate.Hurdle3.MO))</f>
        <v>0</v>
      </c>
      <c r="CS120" s="139">
        <f t="shared" si="233"/>
        <v>0</v>
      </c>
      <c r="CT120" s="139">
        <f t="shared" si="264"/>
        <v>0</v>
      </c>
      <c r="CU120" s="139">
        <f t="shared" si="234"/>
        <v>0</v>
      </c>
      <c r="CV120" s="139">
        <f t="shared" si="235"/>
        <v>0</v>
      </c>
      <c r="CW120" s="139">
        <f t="shared" si="265"/>
        <v>0</v>
      </c>
      <c r="CX120" s="139">
        <f t="shared" si="266"/>
        <v>0</v>
      </c>
      <c r="CY120" s="139">
        <f t="shared" si="267"/>
        <v>0</v>
      </c>
      <c r="CZ120" s="139">
        <f t="shared" si="268"/>
        <v>0</v>
      </c>
      <c r="DA120" s="516"/>
      <c r="DB120" s="139">
        <f t="shared" si="236"/>
        <v>0</v>
      </c>
      <c r="DC120" s="139">
        <f t="shared" si="237"/>
        <v>0</v>
      </c>
      <c r="DD120" s="518"/>
      <c r="DE120" s="139">
        <f t="shared" si="269"/>
        <v>0</v>
      </c>
      <c r="DF120" s="139">
        <f t="shared" si="270"/>
        <v>0</v>
      </c>
      <c r="DG120" s="139">
        <f t="shared" si="238"/>
        <v>0</v>
      </c>
      <c r="DH120" s="457"/>
      <c r="DI120" s="139">
        <v>0</v>
      </c>
      <c r="DJ120" s="139">
        <v>0</v>
      </c>
      <c r="DK120" s="139">
        <v>0</v>
      </c>
      <c r="DL120" s="139">
        <f t="shared" si="239"/>
        <v>0</v>
      </c>
      <c r="DM120" s="139">
        <f t="shared" si="240"/>
        <v>0</v>
      </c>
      <c r="DN120" s="139">
        <f t="shared" si="241"/>
        <v>0</v>
      </c>
      <c r="DO120" s="139">
        <f t="shared" si="242"/>
        <v>0</v>
      </c>
      <c r="DP120" s="139">
        <f t="shared" si="243"/>
        <v>0</v>
      </c>
      <c r="DQ120" s="139">
        <f t="shared" si="244"/>
        <v>0</v>
      </c>
      <c r="DR120" s="139">
        <v>0</v>
      </c>
      <c r="DS120" s="139">
        <v>0</v>
      </c>
      <c r="DT120" s="139">
        <f t="shared" si="245"/>
        <v>0</v>
      </c>
      <c r="DU120" s="139">
        <f t="shared" si="246"/>
        <v>0</v>
      </c>
      <c r="DV120" s="457"/>
      <c r="DW120" s="457"/>
      <c r="DX120" s="139">
        <v>0</v>
      </c>
      <c r="DY120" s="139">
        <f t="shared" si="271"/>
        <v>0</v>
      </c>
      <c r="DZ120" s="139">
        <f t="shared" si="247"/>
        <v>0</v>
      </c>
      <c r="EA120" s="139">
        <f t="shared" si="248"/>
        <v>0</v>
      </c>
      <c r="EB120" s="139">
        <f t="shared" si="249"/>
        <v>0</v>
      </c>
      <c r="EC120" s="139">
        <f t="shared" si="250"/>
        <v>0</v>
      </c>
      <c r="ED120" s="139">
        <f t="shared" si="272"/>
        <v>0</v>
      </c>
    </row>
    <row r="121" spans="55:134" ht="17.25" thickTop="1" thickBot="1">
      <c r="BC121" s="540" t="s">
        <v>198</v>
      </c>
      <c r="BD121" s="590" t="str">
        <f t="shared" si="273"/>
        <v>R</v>
      </c>
      <c r="BE121" s="541">
        <f>BG121+BF121</f>
        <v>0</v>
      </c>
      <c r="BF121" s="542">
        <f>DC101</f>
        <v>0</v>
      </c>
      <c r="BG121" s="542">
        <f>DB101</f>
        <v>0</v>
      </c>
      <c r="BH121" s="511"/>
      <c r="BI121" s="140">
        <f t="shared" si="217"/>
        <v>0</v>
      </c>
      <c r="BJ121" s="140">
        <f t="shared" si="218"/>
        <v>0</v>
      </c>
      <c r="BK121" s="140" cm="1">
        <f t="array" ref="BK121">BI121*c_rate.Pref.MO</f>
        <v>0</v>
      </c>
      <c r="BL121" s="140">
        <f t="shared" si="219"/>
        <v>0</v>
      </c>
      <c r="BM121" s="140">
        <f t="shared" si="220"/>
        <v>0</v>
      </c>
      <c r="BN121" s="140">
        <f t="shared" si="251"/>
        <v>0</v>
      </c>
      <c r="BO121" s="140">
        <f t="shared" si="252"/>
        <v>0</v>
      </c>
      <c r="BP121" s="140">
        <f t="shared" si="253"/>
        <v>0</v>
      </c>
      <c r="BQ121" s="140">
        <f t="shared" si="221"/>
        <v>0</v>
      </c>
      <c r="BR121" s="516"/>
      <c r="BS121" s="140">
        <f t="shared" si="254"/>
        <v>0</v>
      </c>
      <c r="BT121" s="140">
        <f t="shared" si="222"/>
        <v>0</v>
      </c>
      <c r="BU121" s="140" cm="1">
        <f t="array" ref="BU121">IF(D121=0,0,BS121*(c_rate.Hurdle1.MO))</f>
        <v>0</v>
      </c>
      <c r="BV121" s="140">
        <f t="shared" si="255"/>
        <v>0</v>
      </c>
      <c r="BW121" s="140">
        <f t="shared" si="223"/>
        <v>0</v>
      </c>
      <c r="BX121" s="140">
        <f t="shared" si="256"/>
        <v>0</v>
      </c>
      <c r="BY121" s="140">
        <f t="shared" si="257"/>
        <v>0</v>
      </c>
      <c r="BZ121" s="140">
        <f t="shared" si="258"/>
        <v>0</v>
      </c>
      <c r="CA121" s="140">
        <f t="shared" si="224"/>
        <v>0</v>
      </c>
      <c r="CB121" s="140">
        <f t="shared" si="259"/>
        <v>0</v>
      </c>
      <c r="CC121" s="516"/>
      <c r="CD121" s="140">
        <f t="shared" si="260"/>
        <v>0</v>
      </c>
      <c r="CE121" s="140">
        <f t="shared" si="225"/>
        <v>0</v>
      </c>
      <c r="CF121" s="140" cm="1">
        <f t="array" ref="CF121">IF($D122=0,0,CD121*(c_rate.Hurdle2.MO))</f>
        <v>0</v>
      </c>
      <c r="CG121" s="140">
        <f t="shared" si="226"/>
        <v>0</v>
      </c>
      <c r="CH121" s="140">
        <f t="shared" si="261"/>
        <v>0</v>
      </c>
      <c r="CI121" s="140">
        <f t="shared" si="227"/>
        <v>0</v>
      </c>
      <c r="CJ121" s="140">
        <f t="shared" si="228"/>
        <v>0</v>
      </c>
      <c r="CK121" s="140">
        <f t="shared" si="229"/>
        <v>0</v>
      </c>
      <c r="CL121" s="140">
        <f t="shared" si="262"/>
        <v>0</v>
      </c>
      <c r="CM121" s="140">
        <f t="shared" si="230"/>
        <v>0</v>
      </c>
      <c r="CN121" s="140">
        <f t="shared" si="231"/>
        <v>0</v>
      </c>
      <c r="CO121" s="516"/>
      <c r="CP121" s="140">
        <f t="shared" si="263"/>
        <v>0</v>
      </c>
      <c r="CQ121" s="140">
        <f t="shared" si="232"/>
        <v>0</v>
      </c>
      <c r="CR121" s="140" cm="1">
        <f t="array" ref="CR121">IF($D122=0,0,CP121*(c_rate.Hurdle3.MO))</f>
        <v>0</v>
      </c>
      <c r="CS121" s="140">
        <f t="shared" si="233"/>
        <v>0</v>
      </c>
      <c r="CT121" s="140">
        <f t="shared" si="264"/>
        <v>0</v>
      </c>
      <c r="CU121" s="140">
        <f t="shared" si="234"/>
        <v>0</v>
      </c>
      <c r="CV121" s="140">
        <f t="shared" si="235"/>
        <v>0</v>
      </c>
      <c r="CW121" s="140">
        <f t="shared" si="265"/>
        <v>0</v>
      </c>
      <c r="CX121" s="140">
        <f t="shared" si="266"/>
        <v>0</v>
      </c>
      <c r="CY121" s="140">
        <f t="shared" si="267"/>
        <v>0</v>
      </c>
      <c r="CZ121" s="140">
        <f t="shared" si="268"/>
        <v>0</v>
      </c>
      <c r="DA121" s="516"/>
      <c r="DB121" s="140">
        <f t="shared" si="236"/>
        <v>0</v>
      </c>
      <c r="DC121" s="140">
        <f t="shared" si="237"/>
        <v>0</v>
      </c>
      <c r="DD121" s="518"/>
      <c r="DE121" s="140">
        <f t="shared" si="269"/>
        <v>0</v>
      </c>
      <c r="DF121" s="140">
        <f t="shared" si="270"/>
        <v>0</v>
      </c>
      <c r="DG121" s="140">
        <f t="shared" si="238"/>
        <v>0</v>
      </c>
      <c r="DH121" s="457"/>
      <c r="DI121" s="140">
        <v>0</v>
      </c>
      <c r="DJ121" s="140">
        <v>0</v>
      </c>
      <c r="DK121" s="140">
        <v>0</v>
      </c>
      <c r="DL121" s="140">
        <f t="shared" si="239"/>
        <v>0</v>
      </c>
      <c r="DM121" s="140">
        <f t="shared" si="240"/>
        <v>0</v>
      </c>
      <c r="DN121" s="140">
        <f t="shared" si="241"/>
        <v>0</v>
      </c>
      <c r="DO121" s="140">
        <f t="shared" si="242"/>
        <v>0</v>
      </c>
      <c r="DP121" s="140">
        <f t="shared" si="243"/>
        <v>0</v>
      </c>
      <c r="DQ121" s="140">
        <f t="shared" si="244"/>
        <v>0</v>
      </c>
      <c r="DR121" s="140">
        <v>0</v>
      </c>
      <c r="DS121" s="140">
        <v>0</v>
      </c>
      <c r="DT121" s="140">
        <f t="shared" si="245"/>
        <v>0</v>
      </c>
      <c r="DU121" s="140">
        <f t="shared" si="246"/>
        <v>0</v>
      </c>
      <c r="DV121" s="457"/>
      <c r="DW121" s="457"/>
      <c r="DX121" s="140">
        <v>0</v>
      </c>
      <c r="DY121" s="140">
        <f t="shared" si="271"/>
        <v>0</v>
      </c>
      <c r="DZ121" s="140">
        <f t="shared" si="247"/>
        <v>0</v>
      </c>
      <c r="EA121" s="140">
        <f t="shared" si="248"/>
        <v>0</v>
      </c>
      <c r="EB121" s="140">
        <f t="shared" si="249"/>
        <v>0</v>
      </c>
      <c r="EC121" s="140">
        <f t="shared" si="250"/>
        <v>0</v>
      </c>
      <c r="ED121" s="140">
        <f t="shared" si="272"/>
        <v>0</v>
      </c>
    </row>
    <row r="122" spans="55:134" ht="17.25" thickTop="1" thickBot="1">
      <c r="BC122" s="543" t="s">
        <v>168</v>
      </c>
      <c r="BD122" s="591" t="str">
        <f t="shared" si="273"/>
        <v>R</v>
      </c>
      <c r="BE122" s="544">
        <f>SUM(BE116:BE121)</f>
        <v>0</v>
      </c>
      <c r="BF122" s="545">
        <f>SUM(BF116:BF121)</f>
        <v>0</v>
      </c>
      <c r="BG122" s="545">
        <f>SUM(BG116:BG121)</f>
        <v>0</v>
      </c>
      <c r="BH122" s="511"/>
      <c r="BI122" s="141">
        <f t="shared" si="217"/>
        <v>0</v>
      </c>
      <c r="BJ122" s="141">
        <f t="shared" si="218"/>
        <v>0</v>
      </c>
      <c r="BK122" s="141" cm="1">
        <f t="array" ref="BK122">BI122*c_rate.Pref.MO</f>
        <v>0</v>
      </c>
      <c r="BL122" s="141">
        <f t="shared" si="219"/>
        <v>0</v>
      </c>
      <c r="BM122" s="141">
        <f t="shared" si="220"/>
        <v>0</v>
      </c>
      <c r="BN122" s="141">
        <f t="shared" si="251"/>
        <v>0</v>
      </c>
      <c r="BO122" s="141">
        <f t="shared" si="252"/>
        <v>0</v>
      </c>
      <c r="BP122" s="141">
        <f t="shared" si="253"/>
        <v>0</v>
      </c>
      <c r="BQ122" s="141">
        <f t="shared" si="221"/>
        <v>0</v>
      </c>
      <c r="BR122" s="516"/>
      <c r="BS122" s="141">
        <f t="shared" si="254"/>
        <v>0</v>
      </c>
      <c r="BT122" s="141">
        <f t="shared" si="222"/>
        <v>0</v>
      </c>
      <c r="BU122" s="141" cm="1">
        <f t="array" ref="BU122">IF(D122=0,0,BS122*(c_rate.Hurdle1.MO))</f>
        <v>0</v>
      </c>
      <c r="BV122" s="141">
        <f t="shared" si="255"/>
        <v>0</v>
      </c>
      <c r="BW122" s="141">
        <f t="shared" si="223"/>
        <v>0</v>
      </c>
      <c r="BX122" s="141">
        <f t="shared" si="256"/>
        <v>0</v>
      </c>
      <c r="BY122" s="141">
        <f t="shared" si="257"/>
        <v>0</v>
      </c>
      <c r="BZ122" s="141">
        <f t="shared" si="258"/>
        <v>0</v>
      </c>
      <c r="CA122" s="141">
        <f t="shared" si="224"/>
        <v>0</v>
      </c>
      <c r="CB122" s="141">
        <f t="shared" si="259"/>
        <v>0</v>
      </c>
      <c r="CC122" s="516"/>
      <c r="CD122" s="141">
        <f t="shared" si="260"/>
        <v>0</v>
      </c>
      <c r="CE122" s="141">
        <f t="shared" si="225"/>
        <v>0</v>
      </c>
      <c r="CF122" s="141" cm="1">
        <f t="array" ref="CF122">IF($D123=0,0,CD122*(c_rate.Hurdle2.MO))</f>
        <v>0</v>
      </c>
      <c r="CG122" s="141">
        <f t="shared" si="226"/>
        <v>0</v>
      </c>
      <c r="CH122" s="141">
        <f t="shared" si="261"/>
        <v>0</v>
      </c>
      <c r="CI122" s="141">
        <f t="shared" si="227"/>
        <v>0</v>
      </c>
      <c r="CJ122" s="141">
        <f t="shared" si="228"/>
        <v>0</v>
      </c>
      <c r="CK122" s="141">
        <f t="shared" si="229"/>
        <v>0</v>
      </c>
      <c r="CL122" s="141">
        <f t="shared" si="262"/>
        <v>0</v>
      </c>
      <c r="CM122" s="141">
        <f t="shared" si="230"/>
        <v>0</v>
      </c>
      <c r="CN122" s="141">
        <f t="shared" si="231"/>
        <v>0</v>
      </c>
      <c r="CO122" s="516"/>
      <c r="CP122" s="141">
        <f t="shared" si="263"/>
        <v>0</v>
      </c>
      <c r="CQ122" s="141">
        <f t="shared" si="232"/>
        <v>0</v>
      </c>
      <c r="CR122" s="141" cm="1">
        <f t="array" ref="CR122">IF($D123=0,0,CP122*(c_rate.Hurdle3.MO))</f>
        <v>0</v>
      </c>
      <c r="CS122" s="141">
        <f t="shared" si="233"/>
        <v>0</v>
      </c>
      <c r="CT122" s="141">
        <f t="shared" si="264"/>
        <v>0</v>
      </c>
      <c r="CU122" s="141">
        <f t="shared" si="234"/>
        <v>0</v>
      </c>
      <c r="CV122" s="141">
        <f t="shared" si="235"/>
        <v>0</v>
      </c>
      <c r="CW122" s="141">
        <f t="shared" si="265"/>
        <v>0</v>
      </c>
      <c r="CX122" s="141">
        <f t="shared" si="266"/>
        <v>0</v>
      </c>
      <c r="CY122" s="141">
        <f t="shared" si="267"/>
        <v>0</v>
      </c>
      <c r="CZ122" s="141">
        <f t="shared" si="268"/>
        <v>0</v>
      </c>
      <c r="DA122" s="516"/>
      <c r="DB122" s="141">
        <f t="shared" si="236"/>
        <v>0</v>
      </c>
      <c r="DC122" s="141">
        <f t="shared" si="237"/>
        <v>0</v>
      </c>
      <c r="DD122" s="518"/>
      <c r="DE122" s="141">
        <f t="shared" si="269"/>
        <v>0</v>
      </c>
      <c r="DF122" s="141">
        <f t="shared" si="270"/>
        <v>0</v>
      </c>
      <c r="DG122" s="141">
        <f t="shared" si="238"/>
        <v>0</v>
      </c>
      <c r="DH122" s="457"/>
      <c r="DI122" s="141">
        <v>0</v>
      </c>
      <c r="DJ122" s="141">
        <v>0</v>
      </c>
      <c r="DK122" s="141">
        <v>0</v>
      </c>
      <c r="DL122" s="141">
        <f t="shared" si="239"/>
        <v>0</v>
      </c>
      <c r="DM122" s="141">
        <f t="shared" si="240"/>
        <v>0</v>
      </c>
      <c r="DN122" s="141">
        <f t="shared" si="241"/>
        <v>0</v>
      </c>
      <c r="DO122" s="141">
        <f t="shared" si="242"/>
        <v>0</v>
      </c>
      <c r="DP122" s="141">
        <f t="shared" si="243"/>
        <v>0</v>
      </c>
      <c r="DQ122" s="141">
        <f t="shared" si="244"/>
        <v>0</v>
      </c>
      <c r="DR122" s="141">
        <v>0</v>
      </c>
      <c r="DS122" s="141">
        <v>0</v>
      </c>
      <c r="DT122" s="141">
        <f t="shared" si="245"/>
        <v>0</v>
      </c>
      <c r="DU122" s="141">
        <f t="shared" si="246"/>
        <v>0</v>
      </c>
      <c r="DV122" s="457"/>
      <c r="DW122" s="457"/>
      <c r="DX122" s="141">
        <v>0</v>
      </c>
      <c r="DY122" s="141">
        <f t="shared" si="271"/>
        <v>0</v>
      </c>
      <c r="DZ122" s="141">
        <f t="shared" si="247"/>
        <v>0</v>
      </c>
      <c r="EA122" s="141">
        <f t="shared" si="248"/>
        <v>0</v>
      </c>
      <c r="EB122" s="141">
        <f t="shared" si="249"/>
        <v>0</v>
      </c>
      <c r="EC122" s="141">
        <f t="shared" si="250"/>
        <v>0</v>
      </c>
      <c r="ED122" s="141">
        <f t="shared" si="272"/>
        <v>0</v>
      </c>
    </row>
    <row r="123" spans="55:134" ht="17.25" thickTop="1" thickBot="1">
      <c r="BC123" s="546" t="s">
        <v>209</v>
      </c>
      <c r="BD123" s="591" t="e">
        <f t="shared" si="273"/>
        <v>#DIV/0!</v>
      </c>
      <c r="BE123" s="547" t="e">
        <f>BF123+BG123</f>
        <v>#DIV/0!</v>
      </c>
      <c r="BF123" s="548" t="e">
        <f>BF122/BE122</f>
        <v>#DIV/0!</v>
      </c>
      <c r="BG123" s="548" t="e">
        <f>BG122/BE122</f>
        <v>#DIV/0!</v>
      </c>
      <c r="BH123" s="511"/>
      <c r="BI123" s="139">
        <f t="shared" si="217"/>
        <v>0</v>
      </c>
      <c r="BJ123" s="139">
        <f t="shared" si="218"/>
        <v>0</v>
      </c>
      <c r="BK123" s="139" cm="1">
        <f t="array" ref="BK123">BI123*c_rate.Pref.MO</f>
        <v>0</v>
      </c>
      <c r="BL123" s="139">
        <f t="shared" si="219"/>
        <v>0</v>
      </c>
      <c r="BM123" s="139">
        <f t="shared" si="220"/>
        <v>0</v>
      </c>
      <c r="BN123" s="139">
        <f t="shared" si="251"/>
        <v>0</v>
      </c>
      <c r="BO123" s="139">
        <f t="shared" si="252"/>
        <v>0</v>
      </c>
      <c r="BP123" s="139">
        <f t="shared" si="253"/>
        <v>0</v>
      </c>
      <c r="BQ123" s="139">
        <f t="shared" si="221"/>
        <v>0</v>
      </c>
      <c r="BR123" s="516"/>
      <c r="BS123" s="139">
        <f t="shared" si="254"/>
        <v>0</v>
      </c>
      <c r="BT123" s="139">
        <f t="shared" si="222"/>
        <v>0</v>
      </c>
      <c r="BU123" s="139" cm="1">
        <f t="array" ref="BU123">IF(D123=0,0,BS123*(c_rate.Hurdle1.MO))</f>
        <v>0</v>
      </c>
      <c r="BV123" s="139">
        <f t="shared" si="255"/>
        <v>0</v>
      </c>
      <c r="BW123" s="139">
        <f t="shared" si="223"/>
        <v>0</v>
      </c>
      <c r="BX123" s="139">
        <f t="shared" si="256"/>
        <v>0</v>
      </c>
      <c r="BY123" s="139">
        <f t="shared" si="257"/>
        <v>0</v>
      </c>
      <c r="BZ123" s="139">
        <f t="shared" si="258"/>
        <v>0</v>
      </c>
      <c r="CA123" s="139">
        <f t="shared" si="224"/>
        <v>0</v>
      </c>
      <c r="CB123" s="139">
        <f t="shared" si="259"/>
        <v>0</v>
      </c>
      <c r="CC123" s="516"/>
      <c r="CD123" s="139">
        <f t="shared" si="260"/>
        <v>0</v>
      </c>
      <c r="CE123" s="139">
        <f t="shared" si="225"/>
        <v>0</v>
      </c>
      <c r="CF123" s="139" cm="1">
        <f t="array" ref="CF123">IF($D124=0,0,CD123*(c_rate.Hurdle2.MO))</f>
        <v>0</v>
      </c>
      <c r="CG123" s="139">
        <f t="shared" si="226"/>
        <v>0</v>
      </c>
      <c r="CH123" s="139">
        <f t="shared" si="261"/>
        <v>0</v>
      </c>
      <c r="CI123" s="139">
        <f t="shared" si="227"/>
        <v>0</v>
      </c>
      <c r="CJ123" s="139">
        <f t="shared" si="228"/>
        <v>0</v>
      </c>
      <c r="CK123" s="139">
        <f t="shared" si="229"/>
        <v>0</v>
      </c>
      <c r="CL123" s="139">
        <f t="shared" si="262"/>
        <v>0</v>
      </c>
      <c r="CM123" s="139">
        <f t="shared" si="230"/>
        <v>0</v>
      </c>
      <c r="CN123" s="139">
        <f t="shared" si="231"/>
        <v>0</v>
      </c>
      <c r="CO123" s="516"/>
      <c r="CP123" s="139">
        <f t="shared" si="263"/>
        <v>0</v>
      </c>
      <c r="CQ123" s="139">
        <f t="shared" si="232"/>
        <v>0</v>
      </c>
      <c r="CR123" s="139" cm="1">
        <f t="array" ref="CR123">IF($D124=0,0,CP123*(c_rate.Hurdle3.MO))</f>
        <v>0</v>
      </c>
      <c r="CS123" s="139">
        <f t="shared" si="233"/>
        <v>0</v>
      </c>
      <c r="CT123" s="139">
        <f t="shared" si="264"/>
        <v>0</v>
      </c>
      <c r="CU123" s="139">
        <f t="shared" si="234"/>
        <v>0</v>
      </c>
      <c r="CV123" s="139">
        <f t="shared" si="235"/>
        <v>0</v>
      </c>
      <c r="CW123" s="139">
        <f t="shared" si="265"/>
        <v>0</v>
      </c>
      <c r="CX123" s="139">
        <f t="shared" si="266"/>
        <v>0</v>
      </c>
      <c r="CY123" s="139">
        <f t="shared" si="267"/>
        <v>0</v>
      </c>
      <c r="CZ123" s="139">
        <f t="shared" si="268"/>
        <v>0</v>
      </c>
      <c r="DA123" s="516"/>
      <c r="DB123" s="139">
        <f t="shared" si="236"/>
        <v>0</v>
      </c>
      <c r="DC123" s="139">
        <f t="shared" si="237"/>
        <v>0</v>
      </c>
      <c r="DD123" s="518"/>
      <c r="DE123" s="139">
        <f t="shared" si="269"/>
        <v>0</v>
      </c>
      <c r="DF123" s="139">
        <f t="shared" si="270"/>
        <v>0</v>
      </c>
      <c r="DG123" s="139">
        <f t="shared" si="238"/>
        <v>0</v>
      </c>
      <c r="DH123" s="457"/>
      <c r="DI123" s="139">
        <v>0</v>
      </c>
      <c r="DJ123" s="139">
        <v>0</v>
      </c>
      <c r="DK123" s="139">
        <v>0</v>
      </c>
      <c r="DL123" s="139">
        <f t="shared" si="239"/>
        <v>0</v>
      </c>
      <c r="DM123" s="139">
        <f t="shared" si="240"/>
        <v>0</v>
      </c>
      <c r="DN123" s="139">
        <f t="shared" si="241"/>
        <v>0</v>
      </c>
      <c r="DO123" s="139">
        <f t="shared" si="242"/>
        <v>0</v>
      </c>
      <c r="DP123" s="139">
        <f t="shared" si="243"/>
        <v>0</v>
      </c>
      <c r="DQ123" s="139">
        <f t="shared" si="244"/>
        <v>0</v>
      </c>
      <c r="DR123" s="139">
        <v>0</v>
      </c>
      <c r="DS123" s="139">
        <v>0</v>
      </c>
      <c r="DT123" s="139">
        <f t="shared" si="245"/>
        <v>0</v>
      </c>
      <c r="DU123" s="139">
        <f t="shared" si="246"/>
        <v>0</v>
      </c>
      <c r="DV123" s="457"/>
      <c r="DW123" s="457"/>
      <c r="DX123" s="139">
        <v>0</v>
      </c>
      <c r="DY123" s="139">
        <f t="shared" si="271"/>
        <v>0</v>
      </c>
      <c r="DZ123" s="139">
        <f t="shared" si="247"/>
        <v>0</v>
      </c>
      <c r="EA123" s="139">
        <f t="shared" si="248"/>
        <v>0</v>
      </c>
      <c r="EB123" s="139">
        <f t="shared" si="249"/>
        <v>0</v>
      </c>
      <c r="EC123" s="139">
        <f t="shared" si="250"/>
        <v>0</v>
      </c>
      <c r="ED123" s="139">
        <f t="shared" si="272"/>
        <v>0</v>
      </c>
    </row>
    <row r="124" spans="55:134" ht="17.25" thickTop="1" thickBot="1">
      <c r="BC124" s="536"/>
      <c r="BD124" s="585"/>
      <c r="BE124" s="457"/>
      <c r="BF124" s="457"/>
      <c r="BG124" s="457"/>
      <c r="BH124" s="511"/>
      <c r="BI124" s="140">
        <f t="shared" si="217"/>
        <v>0</v>
      </c>
      <c r="BJ124" s="140">
        <f t="shared" si="218"/>
        <v>0</v>
      </c>
      <c r="BK124" s="140" cm="1">
        <f t="array" ref="BK124">BI124*c_rate.Pref.MO</f>
        <v>0</v>
      </c>
      <c r="BL124" s="140">
        <f t="shared" si="219"/>
        <v>0</v>
      </c>
      <c r="BM124" s="140">
        <f t="shared" si="220"/>
        <v>0</v>
      </c>
      <c r="BN124" s="140">
        <f t="shared" si="251"/>
        <v>0</v>
      </c>
      <c r="BO124" s="140">
        <f t="shared" si="252"/>
        <v>0</v>
      </c>
      <c r="BP124" s="140">
        <f t="shared" si="253"/>
        <v>0</v>
      </c>
      <c r="BQ124" s="140">
        <f t="shared" si="221"/>
        <v>0</v>
      </c>
      <c r="BR124" s="516"/>
      <c r="BS124" s="140">
        <f t="shared" si="254"/>
        <v>0</v>
      </c>
      <c r="BT124" s="140">
        <f t="shared" si="222"/>
        <v>0</v>
      </c>
      <c r="BU124" s="140" cm="1">
        <f t="array" ref="BU124">IF(D124=0,0,BS124*(c_rate.Hurdle1.MO))</f>
        <v>0</v>
      </c>
      <c r="BV124" s="140">
        <f t="shared" si="255"/>
        <v>0</v>
      </c>
      <c r="BW124" s="140">
        <f t="shared" si="223"/>
        <v>0</v>
      </c>
      <c r="BX124" s="140">
        <f t="shared" si="256"/>
        <v>0</v>
      </c>
      <c r="BY124" s="140">
        <f t="shared" si="257"/>
        <v>0</v>
      </c>
      <c r="BZ124" s="140">
        <f t="shared" si="258"/>
        <v>0</v>
      </c>
      <c r="CA124" s="140">
        <f t="shared" si="224"/>
        <v>0</v>
      </c>
      <c r="CB124" s="140">
        <f t="shared" si="259"/>
        <v>0</v>
      </c>
      <c r="CC124" s="516"/>
      <c r="CD124" s="140">
        <f t="shared" si="260"/>
        <v>0</v>
      </c>
      <c r="CE124" s="140">
        <f t="shared" si="225"/>
        <v>0</v>
      </c>
      <c r="CF124" s="140" cm="1">
        <f t="array" ref="CF124">IF($D125=0,0,CD124*(c_rate.Hurdle2.MO))</f>
        <v>0</v>
      </c>
      <c r="CG124" s="140">
        <f t="shared" si="226"/>
        <v>0</v>
      </c>
      <c r="CH124" s="140">
        <f t="shared" si="261"/>
        <v>0</v>
      </c>
      <c r="CI124" s="140">
        <f t="shared" si="227"/>
        <v>0</v>
      </c>
      <c r="CJ124" s="140">
        <f t="shared" si="228"/>
        <v>0</v>
      </c>
      <c r="CK124" s="140">
        <f t="shared" si="229"/>
        <v>0</v>
      </c>
      <c r="CL124" s="140">
        <f t="shared" si="262"/>
        <v>0</v>
      </c>
      <c r="CM124" s="140">
        <f t="shared" si="230"/>
        <v>0</v>
      </c>
      <c r="CN124" s="140">
        <f t="shared" si="231"/>
        <v>0</v>
      </c>
      <c r="CO124" s="516"/>
      <c r="CP124" s="140">
        <f t="shared" si="263"/>
        <v>0</v>
      </c>
      <c r="CQ124" s="140">
        <f t="shared" si="232"/>
        <v>0</v>
      </c>
      <c r="CR124" s="140" cm="1">
        <f t="array" ref="CR124">IF($D125=0,0,CP124*(c_rate.Hurdle3.MO))</f>
        <v>0</v>
      </c>
      <c r="CS124" s="140">
        <f t="shared" si="233"/>
        <v>0</v>
      </c>
      <c r="CT124" s="140">
        <f t="shared" si="264"/>
        <v>0</v>
      </c>
      <c r="CU124" s="140">
        <f t="shared" si="234"/>
        <v>0</v>
      </c>
      <c r="CV124" s="140">
        <f t="shared" si="235"/>
        <v>0</v>
      </c>
      <c r="CW124" s="140">
        <f t="shared" si="265"/>
        <v>0</v>
      </c>
      <c r="CX124" s="140">
        <f t="shared" si="266"/>
        <v>0</v>
      </c>
      <c r="CY124" s="140">
        <f t="shared" si="267"/>
        <v>0</v>
      </c>
      <c r="CZ124" s="140">
        <f t="shared" si="268"/>
        <v>0</v>
      </c>
      <c r="DA124" s="516"/>
      <c r="DB124" s="140">
        <f t="shared" si="236"/>
        <v>0</v>
      </c>
      <c r="DC124" s="140">
        <f t="shared" si="237"/>
        <v>0</v>
      </c>
      <c r="DD124" s="518"/>
      <c r="DE124" s="140">
        <f t="shared" si="269"/>
        <v>0</v>
      </c>
      <c r="DF124" s="140">
        <f t="shared" si="270"/>
        <v>0</v>
      </c>
      <c r="DG124" s="140">
        <f t="shared" si="238"/>
        <v>0</v>
      </c>
      <c r="DH124" s="457"/>
      <c r="DI124" s="140">
        <v>0</v>
      </c>
      <c r="DJ124" s="140">
        <v>0</v>
      </c>
      <c r="DK124" s="140">
        <v>0</v>
      </c>
      <c r="DL124" s="140">
        <f t="shared" si="239"/>
        <v>0</v>
      </c>
      <c r="DM124" s="140">
        <f t="shared" si="240"/>
        <v>0</v>
      </c>
      <c r="DN124" s="140">
        <f t="shared" si="241"/>
        <v>0</v>
      </c>
      <c r="DO124" s="140">
        <f t="shared" si="242"/>
        <v>0</v>
      </c>
      <c r="DP124" s="140">
        <f t="shared" si="243"/>
        <v>0</v>
      </c>
      <c r="DQ124" s="140">
        <f t="shared" si="244"/>
        <v>0</v>
      </c>
      <c r="DR124" s="140">
        <v>0</v>
      </c>
      <c r="DS124" s="140">
        <v>0</v>
      </c>
      <c r="DT124" s="140">
        <f t="shared" si="245"/>
        <v>0</v>
      </c>
      <c r="DU124" s="140">
        <f t="shared" si="246"/>
        <v>0</v>
      </c>
      <c r="DV124" s="457"/>
      <c r="DW124" s="457"/>
      <c r="DX124" s="140">
        <v>0</v>
      </c>
      <c r="DY124" s="140">
        <f t="shared" si="271"/>
        <v>0</v>
      </c>
      <c r="DZ124" s="140">
        <f t="shared" si="247"/>
        <v>0</v>
      </c>
      <c r="EA124" s="140">
        <f t="shared" si="248"/>
        <v>0</v>
      </c>
      <c r="EB124" s="140">
        <f t="shared" si="249"/>
        <v>0</v>
      </c>
      <c r="EC124" s="140">
        <f t="shared" si="250"/>
        <v>0</v>
      </c>
      <c r="ED124" s="140">
        <f t="shared" si="272"/>
        <v>0</v>
      </c>
    </row>
    <row r="125" spans="55:134" ht="17.25" thickTop="1" thickBot="1">
      <c r="BC125" s="537" t="s">
        <v>200</v>
      </c>
      <c r="BD125" s="588"/>
      <c r="BE125" s="538" t="s">
        <v>5</v>
      </c>
      <c r="BF125" s="539" t="s">
        <v>188</v>
      </c>
      <c r="BG125" s="539" t="s">
        <v>189</v>
      </c>
      <c r="BH125" s="511"/>
      <c r="BI125" s="141">
        <f t="shared" si="217"/>
        <v>0</v>
      </c>
      <c r="BJ125" s="141">
        <f t="shared" si="218"/>
        <v>0</v>
      </c>
      <c r="BK125" s="141" cm="1">
        <f t="array" ref="BK125">BI125*c_rate.Pref.MO</f>
        <v>0</v>
      </c>
      <c r="BL125" s="141">
        <f t="shared" si="219"/>
        <v>0</v>
      </c>
      <c r="BM125" s="141">
        <f t="shared" si="220"/>
        <v>0</v>
      </c>
      <c r="BN125" s="141">
        <f t="shared" si="251"/>
        <v>0</v>
      </c>
      <c r="BO125" s="141">
        <f t="shared" si="252"/>
        <v>0</v>
      </c>
      <c r="BP125" s="141">
        <f t="shared" si="253"/>
        <v>0</v>
      </c>
      <c r="BQ125" s="141">
        <f t="shared" si="221"/>
        <v>0</v>
      </c>
      <c r="BR125" s="516"/>
      <c r="BS125" s="141">
        <f t="shared" si="254"/>
        <v>0</v>
      </c>
      <c r="BT125" s="141">
        <f t="shared" si="222"/>
        <v>0</v>
      </c>
      <c r="BU125" s="141" cm="1">
        <f t="array" ref="BU125">IF(D125=0,0,BS125*(c_rate.Hurdle1.MO))</f>
        <v>0</v>
      </c>
      <c r="BV125" s="141">
        <f t="shared" si="255"/>
        <v>0</v>
      </c>
      <c r="BW125" s="141">
        <f t="shared" si="223"/>
        <v>0</v>
      </c>
      <c r="BX125" s="141">
        <f t="shared" si="256"/>
        <v>0</v>
      </c>
      <c r="BY125" s="141">
        <f t="shared" si="257"/>
        <v>0</v>
      </c>
      <c r="BZ125" s="141">
        <f t="shared" si="258"/>
        <v>0</v>
      </c>
      <c r="CA125" s="141">
        <f t="shared" si="224"/>
        <v>0</v>
      </c>
      <c r="CB125" s="141">
        <f t="shared" si="259"/>
        <v>0</v>
      </c>
      <c r="CC125" s="516"/>
      <c r="CD125" s="141">
        <f t="shared" si="260"/>
        <v>0</v>
      </c>
      <c r="CE125" s="141">
        <f t="shared" si="225"/>
        <v>0</v>
      </c>
      <c r="CF125" s="141" cm="1">
        <f t="array" ref="CF125">IF($D126=0,0,CD125*(c_rate.Hurdle2.MO))</f>
        <v>0</v>
      </c>
      <c r="CG125" s="141">
        <f t="shared" si="226"/>
        <v>0</v>
      </c>
      <c r="CH125" s="141">
        <f t="shared" si="261"/>
        <v>0</v>
      </c>
      <c r="CI125" s="141">
        <f t="shared" si="227"/>
        <v>0</v>
      </c>
      <c r="CJ125" s="141">
        <f t="shared" si="228"/>
        <v>0</v>
      </c>
      <c r="CK125" s="141">
        <f t="shared" si="229"/>
        <v>0</v>
      </c>
      <c r="CL125" s="141">
        <f t="shared" si="262"/>
        <v>0</v>
      </c>
      <c r="CM125" s="141">
        <f t="shared" si="230"/>
        <v>0</v>
      </c>
      <c r="CN125" s="141">
        <f t="shared" si="231"/>
        <v>0</v>
      </c>
      <c r="CO125" s="516"/>
      <c r="CP125" s="141">
        <f t="shared" si="263"/>
        <v>0</v>
      </c>
      <c r="CQ125" s="141">
        <f t="shared" si="232"/>
        <v>0</v>
      </c>
      <c r="CR125" s="141" cm="1">
        <f t="array" ref="CR125">IF($D126=0,0,CP125*(c_rate.Hurdle3.MO))</f>
        <v>0</v>
      </c>
      <c r="CS125" s="141">
        <f t="shared" si="233"/>
        <v>0</v>
      </c>
      <c r="CT125" s="141">
        <f t="shared" si="264"/>
        <v>0</v>
      </c>
      <c r="CU125" s="141">
        <f t="shared" si="234"/>
        <v>0</v>
      </c>
      <c r="CV125" s="141">
        <f t="shared" si="235"/>
        <v>0</v>
      </c>
      <c r="CW125" s="141">
        <f t="shared" si="265"/>
        <v>0</v>
      </c>
      <c r="CX125" s="141">
        <f t="shared" si="266"/>
        <v>0</v>
      </c>
      <c r="CY125" s="141">
        <f t="shared" si="267"/>
        <v>0</v>
      </c>
      <c r="CZ125" s="141">
        <f t="shared" si="268"/>
        <v>0</v>
      </c>
      <c r="DA125" s="516"/>
      <c r="DB125" s="141">
        <f t="shared" si="236"/>
        <v>0</v>
      </c>
      <c r="DC125" s="141">
        <f t="shared" si="237"/>
        <v>0</v>
      </c>
      <c r="DD125" s="518"/>
      <c r="DE125" s="141">
        <f t="shared" si="269"/>
        <v>0</v>
      </c>
      <c r="DF125" s="141">
        <f t="shared" si="270"/>
        <v>0</v>
      </c>
      <c r="DG125" s="141">
        <f t="shared" si="238"/>
        <v>0</v>
      </c>
      <c r="DH125" s="457"/>
      <c r="DI125" s="141">
        <v>0</v>
      </c>
      <c r="DJ125" s="141">
        <v>0</v>
      </c>
      <c r="DK125" s="141">
        <v>0</v>
      </c>
      <c r="DL125" s="141">
        <f t="shared" si="239"/>
        <v>0</v>
      </c>
      <c r="DM125" s="141">
        <f t="shared" si="240"/>
        <v>0</v>
      </c>
      <c r="DN125" s="141">
        <f t="shared" si="241"/>
        <v>0</v>
      </c>
      <c r="DO125" s="141">
        <f t="shared" si="242"/>
        <v>0</v>
      </c>
      <c r="DP125" s="141">
        <f t="shared" si="243"/>
        <v>0</v>
      </c>
      <c r="DQ125" s="141">
        <f t="shared" si="244"/>
        <v>0</v>
      </c>
      <c r="DR125" s="141">
        <v>0</v>
      </c>
      <c r="DS125" s="141">
        <v>0</v>
      </c>
      <c r="DT125" s="141">
        <f t="shared" si="245"/>
        <v>0</v>
      </c>
      <c r="DU125" s="141">
        <f t="shared" si="246"/>
        <v>0</v>
      </c>
      <c r="DV125" s="457"/>
      <c r="DW125" s="457"/>
      <c r="DX125" s="141">
        <v>0</v>
      </c>
      <c r="DY125" s="141">
        <f t="shared" si="271"/>
        <v>0</v>
      </c>
      <c r="DZ125" s="141">
        <f t="shared" si="247"/>
        <v>0</v>
      </c>
      <c r="EA125" s="141">
        <f t="shared" si="248"/>
        <v>0</v>
      </c>
      <c r="EB125" s="141">
        <f t="shared" si="249"/>
        <v>0</v>
      </c>
      <c r="EC125" s="141">
        <f t="shared" si="250"/>
        <v>0</v>
      </c>
      <c r="ED125" s="141">
        <f t="shared" si="272"/>
        <v>0</v>
      </c>
    </row>
    <row r="126" spans="55:134" ht="17.25" thickTop="1" thickBot="1">
      <c r="BC126" s="534" t="s">
        <v>210</v>
      </c>
      <c r="BD126" s="592"/>
      <c r="BE126" s="549">
        <f>BF126+BG126</f>
        <v>0</v>
      </c>
      <c r="BF126" s="502">
        <f>BF116</f>
        <v>0</v>
      </c>
      <c r="BG126" s="502">
        <f>BG116</f>
        <v>0</v>
      </c>
      <c r="BH126" s="511"/>
      <c r="BI126" s="139">
        <f t="shared" si="217"/>
        <v>0</v>
      </c>
      <c r="BJ126" s="139">
        <f t="shared" si="218"/>
        <v>0</v>
      </c>
      <c r="BK126" s="139" cm="1">
        <f t="array" ref="BK126">BI126*c_rate.Pref.MO</f>
        <v>0</v>
      </c>
      <c r="BL126" s="139">
        <f t="shared" si="219"/>
        <v>0</v>
      </c>
      <c r="BM126" s="139">
        <f t="shared" si="220"/>
        <v>0</v>
      </c>
      <c r="BN126" s="139">
        <f t="shared" si="251"/>
        <v>0</v>
      </c>
      <c r="BO126" s="139">
        <f t="shared" si="252"/>
        <v>0</v>
      </c>
      <c r="BP126" s="139">
        <f t="shared" si="253"/>
        <v>0</v>
      </c>
      <c r="BQ126" s="139">
        <f t="shared" si="221"/>
        <v>0</v>
      </c>
      <c r="BR126" s="516"/>
      <c r="BS126" s="139">
        <f t="shared" si="254"/>
        <v>0</v>
      </c>
      <c r="BT126" s="139">
        <f t="shared" si="222"/>
        <v>0</v>
      </c>
      <c r="BU126" s="139" cm="1">
        <f t="array" ref="BU126">IF(D126=0,0,BS126*(c_rate.Hurdle1.MO))</f>
        <v>0</v>
      </c>
      <c r="BV126" s="139">
        <f t="shared" si="255"/>
        <v>0</v>
      </c>
      <c r="BW126" s="139">
        <f t="shared" si="223"/>
        <v>0</v>
      </c>
      <c r="BX126" s="139">
        <f t="shared" si="256"/>
        <v>0</v>
      </c>
      <c r="BY126" s="139">
        <f t="shared" si="257"/>
        <v>0</v>
      </c>
      <c r="BZ126" s="139">
        <f t="shared" si="258"/>
        <v>0</v>
      </c>
      <c r="CA126" s="139">
        <f t="shared" si="224"/>
        <v>0</v>
      </c>
      <c r="CB126" s="139">
        <f t="shared" si="259"/>
        <v>0</v>
      </c>
      <c r="CC126" s="516"/>
      <c r="CD126" s="139">
        <f t="shared" si="260"/>
        <v>0</v>
      </c>
      <c r="CE126" s="139">
        <f t="shared" si="225"/>
        <v>0</v>
      </c>
      <c r="CF126" s="139" cm="1">
        <f t="array" ref="CF126">IF($D127=0,0,CD126*(c_rate.Hurdle2.MO))</f>
        <v>0</v>
      </c>
      <c r="CG126" s="139">
        <f t="shared" si="226"/>
        <v>0</v>
      </c>
      <c r="CH126" s="139">
        <f t="shared" si="261"/>
        <v>0</v>
      </c>
      <c r="CI126" s="139">
        <f t="shared" si="227"/>
        <v>0</v>
      </c>
      <c r="CJ126" s="139">
        <f t="shared" si="228"/>
        <v>0</v>
      </c>
      <c r="CK126" s="139">
        <f t="shared" si="229"/>
        <v>0</v>
      </c>
      <c r="CL126" s="139">
        <f t="shared" si="262"/>
        <v>0</v>
      </c>
      <c r="CM126" s="139">
        <f t="shared" si="230"/>
        <v>0</v>
      </c>
      <c r="CN126" s="139">
        <f t="shared" si="231"/>
        <v>0</v>
      </c>
      <c r="CO126" s="516"/>
      <c r="CP126" s="139">
        <f t="shared" si="263"/>
        <v>0</v>
      </c>
      <c r="CQ126" s="139">
        <f t="shared" si="232"/>
        <v>0</v>
      </c>
      <c r="CR126" s="139" cm="1">
        <f t="array" ref="CR126">IF($D127=0,0,CP126*(c_rate.Hurdle3.MO))</f>
        <v>0</v>
      </c>
      <c r="CS126" s="139">
        <f t="shared" si="233"/>
        <v>0</v>
      </c>
      <c r="CT126" s="139">
        <f t="shared" si="264"/>
        <v>0</v>
      </c>
      <c r="CU126" s="139">
        <f t="shared" si="234"/>
        <v>0</v>
      </c>
      <c r="CV126" s="139">
        <f t="shared" si="235"/>
        <v>0</v>
      </c>
      <c r="CW126" s="139">
        <f t="shared" si="265"/>
        <v>0</v>
      </c>
      <c r="CX126" s="139">
        <f t="shared" si="266"/>
        <v>0</v>
      </c>
      <c r="CY126" s="139">
        <f t="shared" si="267"/>
        <v>0</v>
      </c>
      <c r="CZ126" s="139">
        <f t="shared" si="268"/>
        <v>0</v>
      </c>
      <c r="DA126" s="516"/>
      <c r="DB126" s="139">
        <f t="shared" si="236"/>
        <v>0</v>
      </c>
      <c r="DC126" s="139">
        <f t="shared" si="237"/>
        <v>0</v>
      </c>
      <c r="DD126" s="518"/>
      <c r="DE126" s="139">
        <f t="shared" si="269"/>
        <v>0</v>
      </c>
      <c r="DF126" s="139">
        <f t="shared" si="270"/>
        <v>0</v>
      </c>
      <c r="DG126" s="139">
        <f t="shared" si="238"/>
        <v>0</v>
      </c>
      <c r="DH126" s="457"/>
      <c r="DI126" s="139">
        <v>0</v>
      </c>
      <c r="DJ126" s="139">
        <v>0</v>
      </c>
      <c r="DK126" s="139">
        <v>0</v>
      </c>
      <c r="DL126" s="139">
        <f t="shared" si="239"/>
        <v>0</v>
      </c>
      <c r="DM126" s="139">
        <f t="shared" si="240"/>
        <v>0</v>
      </c>
      <c r="DN126" s="139">
        <f t="shared" si="241"/>
        <v>0</v>
      </c>
      <c r="DO126" s="139">
        <f t="shared" si="242"/>
        <v>0</v>
      </c>
      <c r="DP126" s="139">
        <f t="shared" si="243"/>
        <v>0</v>
      </c>
      <c r="DQ126" s="139">
        <f t="shared" si="244"/>
        <v>0</v>
      </c>
      <c r="DR126" s="139">
        <v>0</v>
      </c>
      <c r="DS126" s="139">
        <v>0</v>
      </c>
      <c r="DT126" s="139">
        <f t="shared" si="245"/>
        <v>0</v>
      </c>
      <c r="DU126" s="139">
        <f t="shared" si="246"/>
        <v>0</v>
      </c>
      <c r="DV126" s="457"/>
      <c r="DW126" s="457"/>
      <c r="DX126" s="139">
        <v>0</v>
      </c>
      <c r="DY126" s="139">
        <f t="shared" si="271"/>
        <v>0</v>
      </c>
      <c r="DZ126" s="139">
        <f t="shared" si="247"/>
        <v>0</v>
      </c>
      <c r="EA126" s="139">
        <f t="shared" si="248"/>
        <v>0</v>
      </c>
      <c r="EB126" s="139">
        <f t="shared" si="249"/>
        <v>0</v>
      </c>
      <c r="EC126" s="139">
        <f t="shared" si="250"/>
        <v>0</v>
      </c>
      <c r="ED126" s="139">
        <f t="shared" si="272"/>
        <v>0</v>
      </c>
    </row>
    <row r="127" spans="55:134" ht="17.25" thickTop="1" thickBot="1">
      <c r="BC127" s="534" t="s">
        <v>211</v>
      </c>
      <c r="BD127" s="592"/>
      <c r="BE127" s="549">
        <f>BF127+BG127</f>
        <v>0</v>
      </c>
      <c r="BF127" s="502">
        <f>SUM(BF117:BF121)</f>
        <v>0</v>
      </c>
      <c r="BG127" s="502">
        <f>SUM(BG117:BG121)</f>
        <v>0</v>
      </c>
      <c r="BH127" s="511"/>
      <c r="BI127" s="142">
        <f t="shared" si="217"/>
        <v>0</v>
      </c>
      <c r="BJ127" s="142">
        <f t="shared" si="218"/>
        <v>0</v>
      </c>
      <c r="BK127" s="142" cm="1">
        <f t="array" ref="BK127">BI127*c_rate.Pref.MO</f>
        <v>0</v>
      </c>
      <c r="BL127" s="142">
        <f t="shared" si="219"/>
        <v>0</v>
      </c>
      <c r="BM127" s="142">
        <f t="shared" si="220"/>
        <v>0</v>
      </c>
      <c r="BN127" s="142">
        <f t="shared" si="251"/>
        <v>0</v>
      </c>
      <c r="BO127" s="142">
        <f t="shared" si="252"/>
        <v>0</v>
      </c>
      <c r="BP127" s="142">
        <f t="shared" si="253"/>
        <v>0</v>
      </c>
      <c r="BQ127" s="142">
        <f t="shared" si="221"/>
        <v>0</v>
      </c>
      <c r="BR127" s="516"/>
      <c r="BS127" s="142">
        <f t="shared" si="254"/>
        <v>0</v>
      </c>
      <c r="BT127" s="142">
        <f t="shared" si="222"/>
        <v>0</v>
      </c>
      <c r="BU127" s="142" cm="1">
        <f t="array" ref="BU127">IF(D127=0,0,BS127*(c_rate.Hurdle1.MO))</f>
        <v>0</v>
      </c>
      <c r="BV127" s="142">
        <f t="shared" si="255"/>
        <v>0</v>
      </c>
      <c r="BW127" s="142">
        <f t="shared" si="223"/>
        <v>0</v>
      </c>
      <c r="BX127" s="142">
        <f t="shared" si="256"/>
        <v>0</v>
      </c>
      <c r="BY127" s="142">
        <f t="shared" si="257"/>
        <v>0</v>
      </c>
      <c r="BZ127" s="142">
        <f t="shared" si="258"/>
        <v>0</v>
      </c>
      <c r="CA127" s="142">
        <f t="shared" si="224"/>
        <v>0</v>
      </c>
      <c r="CB127" s="142">
        <f t="shared" si="259"/>
        <v>0</v>
      </c>
      <c r="CC127" s="516"/>
      <c r="CD127" s="142">
        <f t="shared" si="260"/>
        <v>0</v>
      </c>
      <c r="CE127" s="142">
        <f t="shared" si="225"/>
        <v>0</v>
      </c>
      <c r="CF127" s="142" cm="1">
        <f t="array" ref="CF127">IF($D128=0,0,CD127*(c_rate.Hurdle2.MO))</f>
        <v>0</v>
      </c>
      <c r="CG127" s="142">
        <f t="shared" si="226"/>
        <v>0</v>
      </c>
      <c r="CH127" s="142">
        <f t="shared" si="261"/>
        <v>0</v>
      </c>
      <c r="CI127" s="142">
        <f t="shared" si="227"/>
        <v>0</v>
      </c>
      <c r="CJ127" s="142">
        <f t="shared" si="228"/>
        <v>0</v>
      </c>
      <c r="CK127" s="142">
        <f t="shared" si="229"/>
        <v>0</v>
      </c>
      <c r="CL127" s="142">
        <f t="shared" si="262"/>
        <v>0</v>
      </c>
      <c r="CM127" s="142">
        <f t="shared" si="230"/>
        <v>0</v>
      </c>
      <c r="CN127" s="142">
        <f t="shared" si="231"/>
        <v>0</v>
      </c>
      <c r="CO127" s="516"/>
      <c r="CP127" s="142">
        <f t="shared" si="263"/>
        <v>0</v>
      </c>
      <c r="CQ127" s="142">
        <f t="shared" si="232"/>
        <v>0</v>
      </c>
      <c r="CR127" s="142" cm="1">
        <f t="array" ref="CR127">IF($D128=0,0,CP127*(c_rate.Hurdle3.MO))</f>
        <v>0</v>
      </c>
      <c r="CS127" s="142">
        <f t="shared" si="233"/>
        <v>0</v>
      </c>
      <c r="CT127" s="142">
        <f t="shared" si="264"/>
        <v>0</v>
      </c>
      <c r="CU127" s="142">
        <f t="shared" si="234"/>
        <v>0</v>
      </c>
      <c r="CV127" s="142">
        <f t="shared" si="235"/>
        <v>0</v>
      </c>
      <c r="CW127" s="142">
        <f t="shared" si="265"/>
        <v>0</v>
      </c>
      <c r="CX127" s="142">
        <f t="shared" si="266"/>
        <v>0</v>
      </c>
      <c r="CY127" s="142">
        <f t="shared" si="267"/>
        <v>0</v>
      </c>
      <c r="CZ127" s="142">
        <f t="shared" si="268"/>
        <v>0</v>
      </c>
      <c r="DA127" s="516"/>
      <c r="DB127" s="142">
        <f t="shared" si="236"/>
        <v>0</v>
      </c>
      <c r="DC127" s="142">
        <f t="shared" si="237"/>
        <v>0</v>
      </c>
      <c r="DD127" s="518"/>
      <c r="DE127" s="142">
        <f t="shared" si="269"/>
        <v>0</v>
      </c>
      <c r="DF127" s="142">
        <f t="shared" si="270"/>
        <v>0</v>
      </c>
      <c r="DG127" s="142">
        <f t="shared" si="238"/>
        <v>0</v>
      </c>
      <c r="DH127" s="457"/>
      <c r="DI127" s="142">
        <v>0</v>
      </c>
      <c r="DJ127" s="142">
        <v>0</v>
      </c>
      <c r="DK127" s="142">
        <v>0</v>
      </c>
      <c r="DL127" s="142">
        <f t="shared" si="239"/>
        <v>0</v>
      </c>
      <c r="DM127" s="142">
        <f t="shared" si="240"/>
        <v>0</v>
      </c>
      <c r="DN127" s="142">
        <f t="shared" si="241"/>
        <v>0</v>
      </c>
      <c r="DO127" s="142">
        <f t="shared" si="242"/>
        <v>0</v>
      </c>
      <c r="DP127" s="142">
        <f t="shared" si="243"/>
        <v>0</v>
      </c>
      <c r="DQ127" s="142">
        <f t="shared" si="244"/>
        <v>0</v>
      </c>
      <c r="DR127" s="142">
        <v>0</v>
      </c>
      <c r="DS127" s="142">
        <v>0</v>
      </c>
      <c r="DT127" s="142">
        <f t="shared" si="245"/>
        <v>0</v>
      </c>
      <c r="DU127" s="142">
        <f t="shared" si="246"/>
        <v>0</v>
      </c>
      <c r="DV127" s="457"/>
      <c r="DW127" s="457"/>
      <c r="DX127" s="142">
        <v>0</v>
      </c>
      <c r="DY127" s="142">
        <f t="shared" si="271"/>
        <v>0</v>
      </c>
      <c r="DZ127" s="142">
        <f t="shared" si="247"/>
        <v>0</v>
      </c>
      <c r="EA127" s="142">
        <f t="shared" si="248"/>
        <v>0</v>
      </c>
      <c r="EB127" s="142">
        <f t="shared" si="249"/>
        <v>0</v>
      </c>
      <c r="EC127" s="142">
        <f t="shared" si="250"/>
        <v>0</v>
      </c>
      <c r="ED127" s="142">
        <f t="shared" si="272"/>
        <v>0</v>
      </c>
    </row>
    <row r="128" spans="55:134" ht="17.25" thickTop="1" thickBot="1">
      <c r="BC128" s="534" t="s">
        <v>168</v>
      </c>
      <c r="BD128" s="592"/>
      <c r="BE128" s="502">
        <f>BE126+BE127</f>
        <v>0</v>
      </c>
      <c r="BF128" s="502">
        <f>BF126+BF127</f>
        <v>0</v>
      </c>
      <c r="BG128" s="502">
        <f>BG126+BG127</f>
        <v>0</v>
      </c>
      <c r="BH128" s="511"/>
      <c r="BI128" s="138">
        <f t="shared" si="217"/>
        <v>0</v>
      </c>
      <c r="BJ128" s="138">
        <f t="shared" si="218"/>
        <v>0</v>
      </c>
      <c r="BK128" s="138" cm="1">
        <f t="array" ref="BK128">BI128*c_rate.Pref.MO</f>
        <v>0</v>
      </c>
      <c r="BL128" s="138">
        <f t="shared" si="219"/>
        <v>0</v>
      </c>
      <c r="BM128" s="138">
        <f t="shared" si="220"/>
        <v>0</v>
      </c>
      <c r="BN128" s="138">
        <f t="shared" si="251"/>
        <v>0</v>
      </c>
      <c r="BO128" s="138">
        <f t="shared" si="252"/>
        <v>0</v>
      </c>
      <c r="BP128" s="138">
        <f t="shared" si="253"/>
        <v>0</v>
      </c>
      <c r="BQ128" s="138">
        <f t="shared" si="221"/>
        <v>0</v>
      </c>
      <c r="BR128" s="516"/>
      <c r="BS128" s="138">
        <f t="shared" si="254"/>
        <v>0</v>
      </c>
      <c r="BT128" s="138">
        <f t="shared" si="222"/>
        <v>0</v>
      </c>
      <c r="BU128" s="138" cm="1">
        <f t="array" ref="BU128">IF(D128=0,0,BS128*(c_rate.Hurdle1.MO))</f>
        <v>0</v>
      </c>
      <c r="BV128" s="138">
        <f t="shared" si="255"/>
        <v>0</v>
      </c>
      <c r="BW128" s="138">
        <f t="shared" si="223"/>
        <v>0</v>
      </c>
      <c r="BX128" s="138">
        <f t="shared" si="256"/>
        <v>0</v>
      </c>
      <c r="BY128" s="138">
        <f t="shared" si="257"/>
        <v>0</v>
      </c>
      <c r="BZ128" s="138">
        <f t="shared" si="258"/>
        <v>0</v>
      </c>
      <c r="CA128" s="138">
        <f t="shared" si="224"/>
        <v>0</v>
      </c>
      <c r="CB128" s="138">
        <f t="shared" si="259"/>
        <v>0</v>
      </c>
      <c r="CC128" s="516"/>
      <c r="CD128" s="138">
        <f t="shared" si="260"/>
        <v>0</v>
      </c>
      <c r="CE128" s="138">
        <f t="shared" si="225"/>
        <v>0</v>
      </c>
      <c r="CF128" s="138" cm="1">
        <f t="array" ref="CF128">IF($D129=0,0,CD128*(c_rate.Hurdle2.MO))</f>
        <v>0</v>
      </c>
      <c r="CG128" s="138">
        <f t="shared" si="226"/>
        <v>0</v>
      </c>
      <c r="CH128" s="138">
        <f t="shared" si="261"/>
        <v>0</v>
      </c>
      <c r="CI128" s="138">
        <f t="shared" si="227"/>
        <v>0</v>
      </c>
      <c r="CJ128" s="138">
        <f t="shared" si="228"/>
        <v>0</v>
      </c>
      <c r="CK128" s="138">
        <f t="shared" si="229"/>
        <v>0</v>
      </c>
      <c r="CL128" s="138">
        <f t="shared" si="262"/>
        <v>0</v>
      </c>
      <c r="CM128" s="138">
        <f t="shared" si="230"/>
        <v>0</v>
      </c>
      <c r="CN128" s="138">
        <f t="shared" si="231"/>
        <v>0</v>
      </c>
      <c r="CO128" s="516"/>
      <c r="CP128" s="138">
        <f t="shared" si="263"/>
        <v>0</v>
      </c>
      <c r="CQ128" s="138">
        <f t="shared" si="232"/>
        <v>0</v>
      </c>
      <c r="CR128" s="138" cm="1">
        <f t="array" ref="CR128">IF($D129=0,0,CP128*(c_rate.Hurdle3.MO))</f>
        <v>0</v>
      </c>
      <c r="CS128" s="138">
        <f t="shared" si="233"/>
        <v>0</v>
      </c>
      <c r="CT128" s="138">
        <f t="shared" si="264"/>
        <v>0</v>
      </c>
      <c r="CU128" s="138">
        <f t="shared" si="234"/>
        <v>0</v>
      </c>
      <c r="CV128" s="138">
        <f t="shared" si="235"/>
        <v>0</v>
      </c>
      <c r="CW128" s="138">
        <f t="shared" si="265"/>
        <v>0</v>
      </c>
      <c r="CX128" s="138">
        <f t="shared" si="266"/>
        <v>0</v>
      </c>
      <c r="CY128" s="138">
        <f t="shared" si="267"/>
        <v>0</v>
      </c>
      <c r="CZ128" s="138">
        <f t="shared" si="268"/>
        <v>0</v>
      </c>
      <c r="DA128" s="516"/>
      <c r="DB128" s="138">
        <f t="shared" si="236"/>
        <v>0</v>
      </c>
      <c r="DC128" s="138">
        <f t="shared" si="237"/>
        <v>0</v>
      </c>
      <c r="DD128" s="518"/>
      <c r="DE128" s="138">
        <f t="shared" si="269"/>
        <v>0</v>
      </c>
      <c r="DF128" s="138">
        <f t="shared" si="270"/>
        <v>0</v>
      </c>
      <c r="DG128" s="138">
        <f t="shared" si="238"/>
        <v>0</v>
      </c>
      <c r="DH128" s="457"/>
      <c r="DI128" s="138">
        <v>0</v>
      </c>
      <c r="DJ128" s="138">
        <v>0</v>
      </c>
      <c r="DK128" s="138">
        <v>0</v>
      </c>
      <c r="DL128" s="138">
        <f t="shared" si="239"/>
        <v>0</v>
      </c>
      <c r="DM128" s="138">
        <f t="shared" si="240"/>
        <v>0</v>
      </c>
      <c r="DN128" s="138">
        <f t="shared" si="241"/>
        <v>0</v>
      </c>
      <c r="DO128" s="138">
        <f t="shared" si="242"/>
        <v>0</v>
      </c>
      <c r="DP128" s="138">
        <f t="shared" si="243"/>
        <v>0</v>
      </c>
      <c r="DQ128" s="138">
        <f t="shared" si="244"/>
        <v>0</v>
      </c>
      <c r="DR128" s="138">
        <v>0</v>
      </c>
      <c r="DS128" s="138">
        <v>0</v>
      </c>
      <c r="DT128" s="138">
        <f t="shared" si="245"/>
        <v>0</v>
      </c>
      <c r="DU128" s="138">
        <f t="shared" si="246"/>
        <v>0</v>
      </c>
      <c r="DV128" s="457"/>
      <c r="DW128" s="457"/>
      <c r="DX128" s="138">
        <v>0</v>
      </c>
      <c r="DY128" s="138">
        <f t="shared" si="271"/>
        <v>0</v>
      </c>
      <c r="DZ128" s="138">
        <f t="shared" si="247"/>
        <v>0</v>
      </c>
      <c r="EA128" s="138">
        <f t="shared" si="248"/>
        <v>0</v>
      </c>
      <c r="EB128" s="138">
        <f t="shared" si="249"/>
        <v>0</v>
      </c>
      <c r="EC128" s="138">
        <f t="shared" si="250"/>
        <v>0</v>
      </c>
      <c r="ED128" s="138">
        <f t="shared" si="272"/>
        <v>0</v>
      </c>
    </row>
    <row r="129" spans="55:134" ht="17.25" thickTop="1" thickBot="1">
      <c r="BC129" s="534" t="s">
        <v>212</v>
      </c>
      <c r="BD129" s="592"/>
      <c r="BE129" s="550">
        <f>Project!AN127</f>
        <v>0</v>
      </c>
      <c r="BF129" s="548">
        <f ca="1">XIRR(DF$9:DF$81,$G$9:$G$81)</f>
        <v>8.346901237964631E-2</v>
      </c>
      <c r="BG129" s="548">
        <f ca="1">XIRR(DE$9:DE$81,$G$9:$G$81)</f>
        <v>8.346901237964631E-2</v>
      </c>
      <c r="BH129" s="511"/>
      <c r="BI129" s="139">
        <f t="shared" si="217"/>
        <v>0</v>
      </c>
      <c r="BJ129" s="139">
        <f t="shared" si="218"/>
        <v>0</v>
      </c>
      <c r="BK129" s="139" cm="1">
        <f t="array" ref="BK129">BI129*c_rate.Pref.MO</f>
        <v>0</v>
      </c>
      <c r="BL129" s="139">
        <f t="shared" si="219"/>
        <v>0</v>
      </c>
      <c r="BM129" s="139">
        <f t="shared" si="220"/>
        <v>0</v>
      </c>
      <c r="BN129" s="139">
        <f t="shared" si="251"/>
        <v>0</v>
      </c>
      <c r="BO129" s="139">
        <f t="shared" si="252"/>
        <v>0</v>
      </c>
      <c r="BP129" s="139">
        <f t="shared" si="253"/>
        <v>0</v>
      </c>
      <c r="BQ129" s="139">
        <f t="shared" si="221"/>
        <v>0</v>
      </c>
      <c r="BR129" s="516"/>
      <c r="BS129" s="139">
        <f t="shared" si="254"/>
        <v>0</v>
      </c>
      <c r="BT129" s="139">
        <f t="shared" si="222"/>
        <v>0</v>
      </c>
      <c r="BU129" s="139" cm="1">
        <f t="array" ref="BU129">IF(D129=0,0,BS129*(c_rate.Hurdle1.MO))</f>
        <v>0</v>
      </c>
      <c r="BV129" s="139">
        <f t="shared" si="255"/>
        <v>0</v>
      </c>
      <c r="BW129" s="139">
        <f t="shared" si="223"/>
        <v>0</v>
      </c>
      <c r="BX129" s="139">
        <f t="shared" si="256"/>
        <v>0</v>
      </c>
      <c r="BY129" s="139">
        <f t="shared" si="257"/>
        <v>0</v>
      </c>
      <c r="BZ129" s="139">
        <f t="shared" si="258"/>
        <v>0</v>
      </c>
      <c r="CA129" s="139">
        <f t="shared" si="224"/>
        <v>0</v>
      </c>
      <c r="CB129" s="139">
        <f t="shared" si="259"/>
        <v>0</v>
      </c>
      <c r="CC129" s="516"/>
      <c r="CD129" s="139">
        <f t="shared" si="260"/>
        <v>0</v>
      </c>
      <c r="CE129" s="139">
        <f t="shared" si="225"/>
        <v>0</v>
      </c>
      <c r="CF129" s="139" cm="1">
        <f t="array" ref="CF129">IF($D130=0,0,CD129*(c_rate.Hurdle2.MO))</f>
        <v>0</v>
      </c>
      <c r="CG129" s="139">
        <f t="shared" si="226"/>
        <v>0</v>
      </c>
      <c r="CH129" s="139">
        <f t="shared" si="261"/>
        <v>0</v>
      </c>
      <c r="CI129" s="139">
        <f t="shared" si="227"/>
        <v>0</v>
      </c>
      <c r="CJ129" s="139">
        <f t="shared" si="228"/>
        <v>0</v>
      </c>
      <c r="CK129" s="139">
        <f t="shared" si="229"/>
        <v>0</v>
      </c>
      <c r="CL129" s="139">
        <f t="shared" si="262"/>
        <v>0</v>
      </c>
      <c r="CM129" s="139">
        <f t="shared" si="230"/>
        <v>0</v>
      </c>
      <c r="CN129" s="139">
        <f t="shared" si="231"/>
        <v>0</v>
      </c>
      <c r="CO129" s="516"/>
      <c r="CP129" s="139">
        <f t="shared" si="263"/>
        <v>0</v>
      </c>
      <c r="CQ129" s="139">
        <f t="shared" si="232"/>
        <v>0</v>
      </c>
      <c r="CR129" s="139" cm="1">
        <f t="array" ref="CR129">IF($D130=0,0,CP129*(c_rate.Hurdle3.MO))</f>
        <v>0</v>
      </c>
      <c r="CS129" s="139">
        <f t="shared" si="233"/>
        <v>0</v>
      </c>
      <c r="CT129" s="139">
        <f t="shared" si="264"/>
        <v>0</v>
      </c>
      <c r="CU129" s="139">
        <f t="shared" si="234"/>
        <v>0</v>
      </c>
      <c r="CV129" s="139">
        <f t="shared" si="235"/>
        <v>0</v>
      </c>
      <c r="CW129" s="139">
        <f t="shared" si="265"/>
        <v>0</v>
      </c>
      <c r="CX129" s="139">
        <f t="shared" si="266"/>
        <v>0</v>
      </c>
      <c r="CY129" s="139">
        <f t="shared" si="267"/>
        <v>0</v>
      </c>
      <c r="CZ129" s="139">
        <f t="shared" si="268"/>
        <v>0</v>
      </c>
      <c r="DA129" s="516"/>
      <c r="DB129" s="139">
        <f t="shared" si="236"/>
        <v>0</v>
      </c>
      <c r="DC129" s="139">
        <f t="shared" si="237"/>
        <v>0</v>
      </c>
      <c r="DD129" s="518"/>
      <c r="DE129" s="139">
        <f t="shared" si="269"/>
        <v>0</v>
      </c>
      <c r="DF129" s="139">
        <f t="shared" si="270"/>
        <v>0</v>
      </c>
      <c r="DG129" s="139">
        <f t="shared" si="238"/>
        <v>0</v>
      </c>
      <c r="DH129" s="457"/>
      <c r="DI129" s="139">
        <v>0</v>
      </c>
      <c r="DJ129" s="139">
        <v>0</v>
      </c>
      <c r="DK129" s="139">
        <v>0</v>
      </c>
      <c r="DL129" s="139">
        <f t="shared" si="239"/>
        <v>0</v>
      </c>
      <c r="DM129" s="139">
        <f t="shared" si="240"/>
        <v>0</v>
      </c>
      <c r="DN129" s="139">
        <f t="shared" si="241"/>
        <v>0</v>
      </c>
      <c r="DO129" s="139">
        <f t="shared" si="242"/>
        <v>0</v>
      </c>
      <c r="DP129" s="139">
        <f t="shared" si="243"/>
        <v>0</v>
      </c>
      <c r="DQ129" s="139">
        <f t="shared" si="244"/>
        <v>0</v>
      </c>
      <c r="DR129" s="139">
        <v>0</v>
      </c>
      <c r="DS129" s="139">
        <v>0</v>
      </c>
      <c r="DT129" s="139">
        <f t="shared" si="245"/>
        <v>0</v>
      </c>
      <c r="DU129" s="139">
        <f t="shared" si="246"/>
        <v>0</v>
      </c>
      <c r="DV129" s="457"/>
      <c r="DW129" s="457"/>
      <c r="DX129" s="139">
        <v>0</v>
      </c>
      <c r="DY129" s="139">
        <f t="shared" si="271"/>
        <v>0</v>
      </c>
      <c r="DZ129" s="139">
        <f t="shared" si="247"/>
        <v>0</v>
      </c>
      <c r="EA129" s="139">
        <f t="shared" si="248"/>
        <v>0</v>
      </c>
      <c r="EB129" s="139">
        <f t="shared" si="249"/>
        <v>0</v>
      </c>
      <c r="EC129" s="139">
        <f t="shared" si="250"/>
        <v>0</v>
      </c>
      <c r="ED129" s="139">
        <f t="shared" si="272"/>
        <v>0</v>
      </c>
    </row>
    <row r="130" spans="55:134" ht="17.25" thickTop="1" thickBot="1">
      <c r="BC130" s="534" t="s">
        <v>213</v>
      </c>
      <c r="BD130" s="592"/>
      <c r="BE130" s="551" t="e">
        <f>BE128/BE126</f>
        <v>#DIV/0!</v>
      </c>
      <c r="BF130" s="552" t="e">
        <f>BF128/BF116</f>
        <v>#DIV/0!</v>
      </c>
      <c r="BG130" s="552" t="e">
        <f>BG128/BG126</f>
        <v>#DIV/0!</v>
      </c>
      <c r="BH130" s="511"/>
      <c r="BI130" s="140">
        <f t="shared" si="217"/>
        <v>0</v>
      </c>
      <c r="BJ130" s="140">
        <f t="shared" si="218"/>
        <v>0</v>
      </c>
      <c r="BK130" s="140" cm="1">
        <f t="array" ref="BK130">BI130*c_rate.Pref.MO</f>
        <v>0</v>
      </c>
      <c r="BL130" s="140">
        <f t="shared" si="219"/>
        <v>0</v>
      </c>
      <c r="BM130" s="140">
        <f t="shared" si="220"/>
        <v>0</v>
      </c>
      <c r="BN130" s="140">
        <f t="shared" si="251"/>
        <v>0</v>
      </c>
      <c r="BO130" s="140">
        <f t="shared" si="252"/>
        <v>0</v>
      </c>
      <c r="BP130" s="140">
        <f t="shared" si="253"/>
        <v>0</v>
      </c>
      <c r="BQ130" s="140">
        <f t="shared" si="221"/>
        <v>0</v>
      </c>
      <c r="BR130" s="516"/>
      <c r="BS130" s="140">
        <f t="shared" si="254"/>
        <v>0</v>
      </c>
      <c r="BT130" s="140">
        <f t="shared" si="222"/>
        <v>0</v>
      </c>
      <c r="BU130" s="140" cm="1">
        <f t="array" ref="BU130">IF(D130=0,0,BS130*(c_rate.Hurdle1.MO))</f>
        <v>0</v>
      </c>
      <c r="BV130" s="140">
        <f t="shared" si="255"/>
        <v>0</v>
      </c>
      <c r="BW130" s="140">
        <f t="shared" si="223"/>
        <v>0</v>
      </c>
      <c r="BX130" s="140">
        <f t="shared" si="256"/>
        <v>0</v>
      </c>
      <c r="BY130" s="140">
        <f t="shared" si="257"/>
        <v>0</v>
      </c>
      <c r="BZ130" s="140">
        <f t="shared" si="258"/>
        <v>0</v>
      </c>
      <c r="CA130" s="140">
        <f t="shared" si="224"/>
        <v>0</v>
      </c>
      <c r="CB130" s="140">
        <f t="shared" si="259"/>
        <v>0</v>
      </c>
      <c r="CC130" s="516"/>
      <c r="CD130" s="140">
        <f t="shared" si="260"/>
        <v>0</v>
      </c>
      <c r="CE130" s="140">
        <f t="shared" si="225"/>
        <v>0</v>
      </c>
      <c r="CF130" s="140" cm="1">
        <f t="array" ref="CF130">IF($D131=0,0,CD130*(c_rate.Hurdle2.MO))</f>
        <v>0</v>
      </c>
      <c r="CG130" s="140">
        <f t="shared" si="226"/>
        <v>0</v>
      </c>
      <c r="CH130" s="140">
        <f t="shared" si="261"/>
        <v>0</v>
      </c>
      <c r="CI130" s="140">
        <f t="shared" si="227"/>
        <v>0</v>
      </c>
      <c r="CJ130" s="140">
        <f t="shared" si="228"/>
        <v>0</v>
      </c>
      <c r="CK130" s="140">
        <f t="shared" si="229"/>
        <v>0</v>
      </c>
      <c r="CL130" s="140">
        <f t="shared" si="262"/>
        <v>0</v>
      </c>
      <c r="CM130" s="140">
        <f t="shared" si="230"/>
        <v>0</v>
      </c>
      <c r="CN130" s="140">
        <f t="shared" si="231"/>
        <v>0</v>
      </c>
      <c r="CO130" s="516"/>
      <c r="CP130" s="140">
        <f t="shared" si="263"/>
        <v>0</v>
      </c>
      <c r="CQ130" s="140">
        <f t="shared" si="232"/>
        <v>0</v>
      </c>
      <c r="CR130" s="140" cm="1">
        <f t="array" ref="CR130">IF($D131=0,0,CP130*(c_rate.Hurdle3.MO))</f>
        <v>0</v>
      </c>
      <c r="CS130" s="140">
        <f t="shared" si="233"/>
        <v>0</v>
      </c>
      <c r="CT130" s="140">
        <f t="shared" si="264"/>
        <v>0</v>
      </c>
      <c r="CU130" s="140">
        <f t="shared" si="234"/>
        <v>0</v>
      </c>
      <c r="CV130" s="140">
        <f t="shared" si="235"/>
        <v>0</v>
      </c>
      <c r="CW130" s="140">
        <f t="shared" si="265"/>
        <v>0</v>
      </c>
      <c r="CX130" s="140">
        <f t="shared" si="266"/>
        <v>0</v>
      </c>
      <c r="CY130" s="140">
        <f t="shared" si="267"/>
        <v>0</v>
      </c>
      <c r="CZ130" s="140">
        <f t="shared" si="268"/>
        <v>0</v>
      </c>
      <c r="DA130" s="516"/>
      <c r="DB130" s="140">
        <f t="shared" si="236"/>
        <v>0</v>
      </c>
      <c r="DC130" s="140">
        <f t="shared" si="237"/>
        <v>0</v>
      </c>
      <c r="DD130" s="518"/>
      <c r="DE130" s="140">
        <f t="shared" si="269"/>
        <v>0</v>
      </c>
      <c r="DF130" s="140">
        <f t="shared" si="270"/>
        <v>0</v>
      </c>
      <c r="DG130" s="140">
        <f t="shared" si="238"/>
        <v>0</v>
      </c>
      <c r="DH130" s="457"/>
      <c r="DI130" s="140">
        <v>0</v>
      </c>
      <c r="DJ130" s="140">
        <v>0</v>
      </c>
      <c r="DK130" s="140">
        <v>0</v>
      </c>
      <c r="DL130" s="140">
        <f t="shared" si="239"/>
        <v>0</v>
      </c>
      <c r="DM130" s="140">
        <f t="shared" si="240"/>
        <v>0</v>
      </c>
      <c r="DN130" s="140">
        <f t="shared" si="241"/>
        <v>0</v>
      </c>
      <c r="DO130" s="140">
        <f t="shared" si="242"/>
        <v>0</v>
      </c>
      <c r="DP130" s="140">
        <f t="shared" si="243"/>
        <v>0</v>
      </c>
      <c r="DQ130" s="140">
        <f t="shared" si="244"/>
        <v>0</v>
      </c>
      <c r="DR130" s="140">
        <v>0</v>
      </c>
      <c r="DS130" s="140">
        <v>0</v>
      </c>
      <c r="DT130" s="140">
        <f t="shared" si="245"/>
        <v>0</v>
      </c>
      <c r="DU130" s="140">
        <f t="shared" si="246"/>
        <v>0</v>
      </c>
      <c r="DV130" s="457"/>
      <c r="DW130" s="457"/>
      <c r="DX130" s="140">
        <v>0</v>
      </c>
      <c r="DY130" s="140">
        <f t="shared" si="271"/>
        <v>0</v>
      </c>
      <c r="DZ130" s="140">
        <f t="shared" si="247"/>
        <v>0</v>
      </c>
      <c r="EA130" s="140">
        <f t="shared" si="248"/>
        <v>0</v>
      </c>
      <c r="EB130" s="140">
        <f t="shared" si="249"/>
        <v>0</v>
      </c>
      <c r="EC130" s="140">
        <f t="shared" si="250"/>
        <v>0</v>
      </c>
      <c r="ED130" s="140">
        <f t="shared" si="272"/>
        <v>0</v>
      </c>
    </row>
    <row r="131" spans="55:134" ht="17.25" thickTop="1" thickBot="1">
      <c r="BH131" s="511"/>
      <c r="BI131" s="141">
        <f t="shared" si="217"/>
        <v>0</v>
      </c>
      <c r="BJ131" s="141">
        <f t="shared" si="218"/>
        <v>0</v>
      </c>
      <c r="BK131" s="141" cm="1">
        <f t="array" ref="BK131">BI131*c_rate.Pref.MO</f>
        <v>0</v>
      </c>
      <c r="BL131" s="141">
        <f t="shared" si="219"/>
        <v>0</v>
      </c>
      <c r="BM131" s="141">
        <f t="shared" si="220"/>
        <v>0</v>
      </c>
      <c r="BN131" s="141">
        <f t="shared" si="251"/>
        <v>0</v>
      </c>
      <c r="BO131" s="141">
        <f t="shared" si="252"/>
        <v>0</v>
      </c>
      <c r="BP131" s="141">
        <f t="shared" si="253"/>
        <v>0</v>
      </c>
      <c r="BQ131" s="141">
        <f t="shared" si="221"/>
        <v>0</v>
      </c>
      <c r="BR131" s="516"/>
      <c r="BS131" s="141">
        <f t="shared" si="254"/>
        <v>0</v>
      </c>
      <c r="BT131" s="141">
        <f t="shared" si="222"/>
        <v>0</v>
      </c>
      <c r="BU131" s="141" cm="1">
        <f t="array" ref="BU131">IF(D131=0,0,BS131*(c_rate.Hurdle1.MO))</f>
        <v>0</v>
      </c>
      <c r="BV131" s="141">
        <f t="shared" si="255"/>
        <v>0</v>
      </c>
      <c r="BW131" s="141">
        <f t="shared" si="223"/>
        <v>0</v>
      </c>
      <c r="BX131" s="141">
        <f t="shared" si="256"/>
        <v>0</v>
      </c>
      <c r="BY131" s="141">
        <f t="shared" si="257"/>
        <v>0</v>
      </c>
      <c r="BZ131" s="141">
        <f t="shared" si="258"/>
        <v>0</v>
      </c>
      <c r="CA131" s="141">
        <f t="shared" si="224"/>
        <v>0</v>
      </c>
      <c r="CB131" s="141">
        <f t="shared" si="259"/>
        <v>0</v>
      </c>
      <c r="CC131" s="516"/>
      <c r="CD131" s="141">
        <f t="shared" si="260"/>
        <v>0</v>
      </c>
      <c r="CE131" s="141">
        <f t="shared" si="225"/>
        <v>0</v>
      </c>
      <c r="CF131" s="141" cm="1">
        <f t="array" ref="CF131">IF($D132=0,0,CD131*(c_rate.Hurdle2.MO))</f>
        <v>0</v>
      </c>
      <c r="CG131" s="141">
        <f t="shared" si="226"/>
        <v>0</v>
      </c>
      <c r="CH131" s="141">
        <f t="shared" si="261"/>
        <v>0</v>
      </c>
      <c r="CI131" s="141">
        <f t="shared" si="227"/>
        <v>0</v>
      </c>
      <c r="CJ131" s="141">
        <f t="shared" si="228"/>
        <v>0</v>
      </c>
      <c r="CK131" s="141">
        <f t="shared" si="229"/>
        <v>0</v>
      </c>
      <c r="CL131" s="141">
        <f t="shared" si="262"/>
        <v>0</v>
      </c>
      <c r="CM131" s="141">
        <f t="shared" si="230"/>
        <v>0</v>
      </c>
      <c r="CN131" s="141">
        <f t="shared" si="231"/>
        <v>0</v>
      </c>
      <c r="CO131" s="516"/>
      <c r="CP131" s="141">
        <f t="shared" si="263"/>
        <v>0</v>
      </c>
      <c r="CQ131" s="141">
        <f t="shared" si="232"/>
        <v>0</v>
      </c>
      <c r="CR131" s="141" cm="1">
        <f t="array" ref="CR131">IF($D132=0,0,CP131*(c_rate.Hurdle3.MO))</f>
        <v>0</v>
      </c>
      <c r="CS131" s="141">
        <f t="shared" si="233"/>
        <v>0</v>
      </c>
      <c r="CT131" s="141">
        <f t="shared" si="264"/>
        <v>0</v>
      </c>
      <c r="CU131" s="141">
        <f t="shared" si="234"/>
        <v>0</v>
      </c>
      <c r="CV131" s="141">
        <f t="shared" si="235"/>
        <v>0</v>
      </c>
      <c r="CW131" s="141">
        <f t="shared" si="265"/>
        <v>0</v>
      </c>
      <c r="CX131" s="141">
        <f t="shared" si="266"/>
        <v>0</v>
      </c>
      <c r="CY131" s="141">
        <f t="shared" si="267"/>
        <v>0</v>
      </c>
      <c r="CZ131" s="141">
        <f t="shared" si="268"/>
        <v>0</v>
      </c>
      <c r="DA131" s="516"/>
      <c r="DB131" s="141">
        <f t="shared" si="236"/>
        <v>0</v>
      </c>
      <c r="DC131" s="141">
        <f t="shared" si="237"/>
        <v>0</v>
      </c>
      <c r="DD131" s="518"/>
      <c r="DE131" s="141">
        <f t="shared" si="269"/>
        <v>0</v>
      </c>
      <c r="DF131" s="141">
        <f t="shared" si="270"/>
        <v>0</v>
      </c>
      <c r="DG131" s="141">
        <f t="shared" si="238"/>
        <v>0</v>
      </c>
      <c r="DH131" s="457"/>
      <c r="DI131" s="141">
        <v>0</v>
      </c>
      <c r="DJ131" s="141">
        <v>0</v>
      </c>
      <c r="DK131" s="141">
        <v>0</v>
      </c>
      <c r="DL131" s="141">
        <f t="shared" si="239"/>
        <v>0</v>
      </c>
      <c r="DM131" s="141">
        <f t="shared" si="240"/>
        <v>0</v>
      </c>
      <c r="DN131" s="141">
        <f t="shared" si="241"/>
        <v>0</v>
      </c>
      <c r="DO131" s="141">
        <f t="shared" si="242"/>
        <v>0</v>
      </c>
      <c r="DP131" s="141">
        <f t="shared" si="243"/>
        <v>0</v>
      </c>
      <c r="DQ131" s="141">
        <f t="shared" si="244"/>
        <v>0</v>
      </c>
      <c r="DR131" s="141">
        <v>0</v>
      </c>
      <c r="DS131" s="141">
        <v>0</v>
      </c>
      <c r="DT131" s="141">
        <f t="shared" si="245"/>
        <v>0</v>
      </c>
      <c r="DU131" s="141">
        <f t="shared" si="246"/>
        <v>0</v>
      </c>
      <c r="DV131" s="457"/>
      <c r="DW131" s="457"/>
      <c r="DX131" s="141">
        <v>0</v>
      </c>
      <c r="DY131" s="141">
        <f t="shared" si="271"/>
        <v>0</v>
      </c>
      <c r="DZ131" s="141">
        <f t="shared" si="247"/>
        <v>0</v>
      </c>
      <c r="EA131" s="141">
        <f t="shared" si="248"/>
        <v>0</v>
      </c>
      <c r="EB131" s="141">
        <f t="shared" si="249"/>
        <v>0</v>
      </c>
      <c r="EC131" s="141">
        <f t="shared" si="250"/>
        <v>0</v>
      </c>
      <c r="ED131" s="141">
        <f t="shared" si="272"/>
        <v>0</v>
      </c>
    </row>
    <row r="132" spans="55:134" ht="17.25" thickTop="1" thickBot="1">
      <c r="BH132" s="511"/>
      <c r="BI132" s="139">
        <f t="shared" si="217"/>
        <v>0</v>
      </c>
      <c r="BJ132" s="139">
        <f t="shared" si="218"/>
        <v>0</v>
      </c>
      <c r="BK132" s="139" cm="1">
        <f t="array" ref="BK132">BI132*c_rate.Pref.MO</f>
        <v>0</v>
      </c>
      <c r="BL132" s="139">
        <f t="shared" si="219"/>
        <v>0</v>
      </c>
      <c r="BM132" s="139">
        <f t="shared" si="220"/>
        <v>0</v>
      </c>
      <c r="BN132" s="139">
        <f t="shared" si="251"/>
        <v>0</v>
      </c>
      <c r="BO132" s="139">
        <f t="shared" si="252"/>
        <v>0</v>
      </c>
      <c r="BP132" s="139">
        <f t="shared" si="253"/>
        <v>0</v>
      </c>
      <c r="BQ132" s="139">
        <f t="shared" si="221"/>
        <v>0</v>
      </c>
      <c r="BR132" s="516"/>
      <c r="BS132" s="139">
        <f t="shared" si="254"/>
        <v>0</v>
      </c>
      <c r="BT132" s="139">
        <f t="shared" si="222"/>
        <v>0</v>
      </c>
      <c r="BU132" s="139" cm="1">
        <f t="array" ref="BU132">IF(D132=0,0,BS132*(c_rate.Hurdle1.MO))</f>
        <v>0</v>
      </c>
      <c r="BV132" s="139">
        <f t="shared" si="255"/>
        <v>0</v>
      </c>
      <c r="BW132" s="139">
        <f t="shared" si="223"/>
        <v>0</v>
      </c>
      <c r="BX132" s="139">
        <f t="shared" si="256"/>
        <v>0</v>
      </c>
      <c r="BY132" s="139">
        <f t="shared" si="257"/>
        <v>0</v>
      </c>
      <c r="BZ132" s="139">
        <f t="shared" si="258"/>
        <v>0</v>
      </c>
      <c r="CA132" s="139">
        <f t="shared" si="224"/>
        <v>0</v>
      </c>
      <c r="CB132" s="139">
        <f t="shared" si="259"/>
        <v>0</v>
      </c>
      <c r="CC132" s="516"/>
      <c r="CD132" s="139">
        <f t="shared" si="260"/>
        <v>0</v>
      </c>
      <c r="CE132" s="139">
        <f t="shared" si="225"/>
        <v>0</v>
      </c>
      <c r="CF132" s="139" cm="1">
        <f t="array" ref="CF132">IF($D133=0,0,CD132*(c_rate.Hurdle2.MO))</f>
        <v>0</v>
      </c>
      <c r="CG132" s="139">
        <f t="shared" si="226"/>
        <v>0</v>
      </c>
      <c r="CH132" s="139">
        <f t="shared" si="261"/>
        <v>0</v>
      </c>
      <c r="CI132" s="139">
        <f t="shared" si="227"/>
        <v>0</v>
      </c>
      <c r="CJ132" s="139">
        <f t="shared" si="228"/>
        <v>0</v>
      </c>
      <c r="CK132" s="139">
        <f t="shared" si="229"/>
        <v>0</v>
      </c>
      <c r="CL132" s="139">
        <f t="shared" si="262"/>
        <v>0</v>
      </c>
      <c r="CM132" s="139">
        <f t="shared" si="230"/>
        <v>0</v>
      </c>
      <c r="CN132" s="139">
        <f t="shared" si="231"/>
        <v>0</v>
      </c>
      <c r="CO132" s="516"/>
      <c r="CP132" s="139">
        <f t="shared" si="263"/>
        <v>0</v>
      </c>
      <c r="CQ132" s="139">
        <f t="shared" si="232"/>
        <v>0</v>
      </c>
      <c r="CR132" s="139" cm="1">
        <f t="array" ref="CR132">IF($D133=0,0,CP132*(c_rate.Hurdle3.MO))</f>
        <v>0</v>
      </c>
      <c r="CS132" s="139">
        <f t="shared" si="233"/>
        <v>0</v>
      </c>
      <c r="CT132" s="139">
        <f t="shared" si="264"/>
        <v>0</v>
      </c>
      <c r="CU132" s="139">
        <f t="shared" si="234"/>
        <v>0</v>
      </c>
      <c r="CV132" s="139">
        <f t="shared" si="235"/>
        <v>0</v>
      </c>
      <c r="CW132" s="139">
        <f t="shared" si="265"/>
        <v>0</v>
      </c>
      <c r="CX132" s="139">
        <f t="shared" si="266"/>
        <v>0</v>
      </c>
      <c r="CY132" s="139">
        <f t="shared" si="267"/>
        <v>0</v>
      </c>
      <c r="CZ132" s="139">
        <f t="shared" si="268"/>
        <v>0</v>
      </c>
      <c r="DA132" s="516"/>
      <c r="DB132" s="139">
        <f t="shared" si="236"/>
        <v>0</v>
      </c>
      <c r="DC132" s="139">
        <f t="shared" si="237"/>
        <v>0</v>
      </c>
      <c r="DD132" s="518"/>
      <c r="DE132" s="139">
        <f t="shared" si="269"/>
        <v>0</v>
      </c>
      <c r="DF132" s="139">
        <f t="shared" si="270"/>
        <v>0</v>
      </c>
      <c r="DG132" s="139">
        <f t="shared" si="238"/>
        <v>0</v>
      </c>
      <c r="DH132" s="457"/>
      <c r="DI132" s="139">
        <v>0</v>
      </c>
      <c r="DJ132" s="139">
        <v>0</v>
      </c>
      <c r="DK132" s="139">
        <v>0</v>
      </c>
      <c r="DL132" s="139">
        <f t="shared" si="239"/>
        <v>0</v>
      </c>
      <c r="DM132" s="139">
        <f t="shared" si="240"/>
        <v>0</v>
      </c>
      <c r="DN132" s="139">
        <f t="shared" si="241"/>
        <v>0</v>
      </c>
      <c r="DO132" s="139">
        <f t="shared" si="242"/>
        <v>0</v>
      </c>
      <c r="DP132" s="139">
        <f t="shared" si="243"/>
        <v>0</v>
      </c>
      <c r="DQ132" s="139">
        <f t="shared" si="244"/>
        <v>0</v>
      </c>
      <c r="DR132" s="139">
        <v>0</v>
      </c>
      <c r="DS132" s="139">
        <v>0</v>
      </c>
      <c r="DT132" s="139">
        <f t="shared" si="245"/>
        <v>0</v>
      </c>
      <c r="DU132" s="139">
        <f t="shared" si="246"/>
        <v>0</v>
      </c>
      <c r="DV132" s="457"/>
      <c r="DW132" s="457"/>
      <c r="DX132" s="139">
        <v>0</v>
      </c>
      <c r="DY132" s="139">
        <f t="shared" si="271"/>
        <v>0</v>
      </c>
      <c r="DZ132" s="139">
        <f t="shared" si="247"/>
        <v>0</v>
      </c>
      <c r="EA132" s="139">
        <f t="shared" si="248"/>
        <v>0</v>
      </c>
      <c r="EB132" s="139">
        <f t="shared" si="249"/>
        <v>0</v>
      </c>
      <c r="EC132" s="139">
        <f t="shared" si="250"/>
        <v>0</v>
      </c>
      <c r="ED132" s="139">
        <f t="shared" si="272"/>
        <v>0</v>
      </c>
    </row>
    <row r="133" spans="55:134" ht="17.25" thickTop="1" thickBot="1">
      <c r="BC133" s="215" t="s">
        <v>168</v>
      </c>
      <c r="BE133" s="597">
        <f>BE122</f>
        <v>0</v>
      </c>
      <c r="BH133" s="511"/>
      <c r="BI133" s="140">
        <f t="shared" si="217"/>
        <v>0</v>
      </c>
      <c r="BJ133" s="140">
        <f t="shared" si="218"/>
        <v>0</v>
      </c>
      <c r="BK133" s="140" cm="1">
        <f t="array" ref="BK133">BI133*c_rate.Pref.MO</f>
        <v>0</v>
      </c>
      <c r="BL133" s="140">
        <f t="shared" si="219"/>
        <v>0</v>
      </c>
      <c r="BM133" s="140">
        <f t="shared" si="220"/>
        <v>0</v>
      </c>
      <c r="BN133" s="140">
        <f t="shared" si="251"/>
        <v>0</v>
      </c>
      <c r="BO133" s="140">
        <f t="shared" si="252"/>
        <v>0</v>
      </c>
      <c r="BP133" s="140">
        <f t="shared" si="253"/>
        <v>0</v>
      </c>
      <c r="BQ133" s="140">
        <f t="shared" si="221"/>
        <v>0</v>
      </c>
      <c r="BR133" s="553"/>
      <c r="BS133" s="140">
        <f t="shared" si="254"/>
        <v>0</v>
      </c>
      <c r="BT133" s="140">
        <f t="shared" si="222"/>
        <v>0</v>
      </c>
      <c r="BU133" s="140" cm="1">
        <f t="array" ref="BU133">IF(D133=0,0,BS133*(c_rate.Hurdle1.MO))</f>
        <v>0</v>
      </c>
      <c r="BV133" s="140">
        <f t="shared" si="255"/>
        <v>0</v>
      </c>
      <c r="BW133" s="140">
        <f t="shared" si="223"/>
        <v>0</v>
      </c>
      <c r="BX133" s="140">
        <f t="shared" si="256"/>
        <v>0</v>
      </c>
      <c r="BY133" s="140">
        <f t="shared" si="257"/>
        <v>0</v>
      </c>
      <c r="BZ133" s="140">
        <f t="shared" si="258"/>
        <v>0</v>
      </c>
      <c r="CA133" s="140">
        <f t="shared" si="224"/>
        <v>0</v>
      </c>
      <c r="CB133" s="140">
        <f t="shared" si="259"/>
        <v>0</v>
      </c>
      <c r="CC133" s="516"/>
      <c r="CD133" s="140">
        <f t="shared" si="260"/>
        <v>0</v>
      </c>
      <c r="CE133" s="140">
        <f t="shared" si="225"/>
        <v>0</v>
      </c>
      <c r="CF133" s="140" cm="1">
        <f t="array" ref="CF133">IF($D134=0,0,CD133*(c_rate.Hurdle2.MO))</f>
        <v>0</v>
      </c>
      <c r="CG133" s="140">
        <f t="shared" si="226"/>
        <v>0</v>
      </c>
      <c r="CH133" s="140">
        <f t="shared" si="261"/>
        <v>0</v>
      </c>
      <c r="CI133" s="140">
        <f t="shared" si="227"/>
        <v>0</v>
      </c>
      <c r="CJ133" s="140">
        <f t="shared" si="228"/>
        <v>0</v>
      </c>
      <c r="CK133" s="140">
        <f t="shared" si="229"/>
        <v>0</v>
      </c>
      <c r="CL133" s="140">
        <f t="shared" si="262"/>
        <v>0</v>
      </c>
      <c r="CM133" s="140">
        <f t="shared" si="230"/>
        <v>0</v>
      </c>
      <c r="CN133" s="140">
        <f t="shared" si="231"/>
        <v>0</v>
      </c>
      <c r="CO133" s="516"/>
      <c r="CP133" s="140">
        <f t="shared" si="263"/>
        <v>0</v>
      </c>
      <c r="CQ133" s="140">
        <f t="shared" si="232"/>
        <v>0</v>
      </c>
      <c r="CR133" s="140" cm="1">
        <f t="array" ref="CR133">IF($D134=0,0,CP133*(c_rate.Hurdle3.MO))</f>
        <v>0</v>
      </c>
      <c r="CS133" s="140">
        <f t="shared" si="233"/>
        <v>0</v>
      </c>
      <c r="CT133" s="140">
        <f t="shared" si="264"/>
        <v>0</v>
      </c>
      <c r="CU133" s="140">
        <f t="shared" si="234"/>
        <v>0</v>
      </c>
      <c r="CV133" s="140">
        <f t="shared" si="235"/>
        <v>0</v>
      </c>
      <c r="CW133" s="140">
        <f t="shared" si="265"/>
        <v>0</v>
      </c>
      <c r="CX133" s="140">
        <f t="shared" si="266"/>
        <v>0</v>
      </c>
      <c r="CY133" s="140">
        <f t="shared" si="267"/>
        <v>0</v>
      </c>
      <c r="CZ133" s="140">
        <f t="shared" si="268"/>
        <v>0</v>
      </c>
      <c r="DA133" s="516"/>
      <c r="DB133" s="140">
        <f t="shared" si="236"/>
        <v>0</v>
      </c>
      <c r="DC133" s="140">
        <f t="shared" si="237"/>
        <v>0</v>
      </c>
      <c r="DD133" s="518"/>
      <c r="DE133" s="140">
        <f t="shared" si="269"/>
        <v>0</v>
      </c>
      <c r="DF133" s="140">
        <f t="shared" si="270"/>
        <v>0</v>
      </c>
      <c r="DG133" s="140">
        <f t="shared" si="238"/>
        <v>0</v>
      </c>
      <c r="DH133" s="457"/>
      <c r="DI133" s="140">
        <v>0</v>
      </c>
      <c r="DJ133" s="140">
        <v>0</v>
      </c>
      <c r="DK133" s="140">
        <v>0</v>
      </c>
      <c r="DL133" s="140">
        <f t="shared" si="239"/>
        <v>0</v>
      </c>
      <c r="DM133" s="140">
        <f t="shared" si="240"/>
        <v>0</v>
      </c>
      <c r="DN133" s="140">
        <f t="shared" si="241"/>
        <v>0</v>
      </c>
      <c r="DO133" s="140">
        <f t="shared" si="242"/>
        <v>0</v>
      </c>
      <c r="DP133" s="140">
        <f t="shared" si="243"/>
        <v>0</v>
      </c>
      <c r="DQ133" s="140">
        <f t="shared" si="244"/>
        <v>0</v>
      </c>
      <c r="DR133" s="140">
        <v>0</v>
      </c>
      <c r="DS133" s="140">
        <v>0</v>
      </c>
      <c r="DT133" s="140">
        <f t="shared" si="245"/>
        <v>0</v>
      </c>
      <c r="DU133" s="140">
        <f t="shared" si="246"/>
        <v>0</v>
      </c>
      <c r="DV133" s="457"/>
      <c r="DW133" s="457"/>
      <c r="DX133" s="140">
        <v>0</v>
      </c>
      <c r="DY133" s="140">
        <f t="shared" si="271"/>
        <v>0</v>
      </c>
      <c r="DZ133" s="140">
        <f t="shared" si="247"/>
        <v>0</v>
      </c>
      <c r="EA133" s="140">
        <f t="shared" si="248"/>
        <v>0</v>
      </c>
      <c r="EB133" s="140">
        <f t="shared" si="249"/>
        <v>0</v>
      </c>
      <c r="EC133" s="140">
        <f t="shared" si="250"/>
        <v>0</v>
      </c>
      <c r="ED133" s="140">
        <f t="shared" si="272"/>
        <v>0</v>
      </c>
    </row>
    <row r="134" spans="55:134" ht="17.25" thickTop="1" thickBot="1">
      <c r="BC134" s="215" t="s">
        <v>268</v>
      </c>
      <c r="BE134" s="598">
        <f>-BE116</f>
        <v>0</v>
      </c>
      <c r="BH134" s="511"/>
      <c r="BI134" s="141">
        <f t="shared" si="217"/>
        <v>0</v>
      </c>
      <c r="BJ134" s="141">
        <f t="shared" si="218"/>
        <v>0</v>
      </c>
      <c r="BK134" s="141" cm="1">
        <f t="array" ref="BK134">BI134*c_rate.Pref.MO</f>
        <v>0</v>
      </c>
      <c r="BL134" s="141">
        <f t="shared" si="219"/>
        <v>0</v>
      </c>
      <c r="BM134" s="141">
        <f t="shared" si="220"/>
        <v>0</v>
      </c>
      <c r="BN134" s="141">
        <f t="shared" si="251"/>
        <v>0</v>
      </c>
      <c r="BO134" s="141">
        <f t="shared" si="252"/>
        <v>0</v>
      </c>
      <c r="BP134" s="141">
        <f t="shared" si="253"/>
        <v>0</v>
      </c>
      <c r="BQ134" s="141">
        <f t="shared" si="221"/>
        <v>0</v>
      </c>
      <c r="BR134" s="516"/>
      <c r="BS134" s="141">
        <f t="shared" si="254"/>
        <v>0</v>
      </c>
      <c r="BT134" s="141">
        <f t="shared" si="222"/>
        <v>0</v>
      </c>
      <c r="BU134" s="141" cm="1">
        <f t="array" ref="BU134">IF(D134=0,0,BS134*(c_rate.Hurdle1.MO))</f>
        <v>0</v>
      </c>
      <c r="BV134" s="141">
        <f t="shared" si="255"/>
        <v>0</v>
      </c>
      <c r="BW134" s="141">
        <f t="shared" si="223"/>
        <v>0</v>
      </c>
      <c r="BX134" s="141">
        <f t="shared" si="256"/>
        <v>0</v>
      </c>
      <c r="BY134" s="141">
        <f t="shared" si="257"/>
        <v>0</v>
      </c>
      <c r="BZ134" s="141">
        <f t="shared" si="258"/>
        <v>0</v>
      </c>
      <c r="CA134" s="141">
        <f t="shared" si="224"/>
        <v>0</v>
      </c>
      <c r="CB134" s="141">
        <f t="shared" si="259"/>
        <v>0</v>
      </c>
      <c r="CC134" s="516"/>
      <c r="CD134" s="141">
        <f t="shared" si="260"/>
        <v>0</v>
      </c>
      <c r="CE134" s="141">
        <f t="shared" si="225"/>
        <v>0</v>
      </c>
      <c r="CF134" s="141" cm="1">
        <f t="array" ref="CF134">IF($D135=0,0,CD134*(c_rate.Hurdle2.MO))</f>
        <v>0</v>
      </c>
      <c r="CG134" s="141">
        <f t="shared" si="226"/>
        <v>0</v>
      </c>
      <c r="CH134" s="141">
        <f t="shared" si="261"/>
        <v>0</v>
      </c>
      <c r="CI134" s="141">
        <f t="shared" si="227"/>
        <v>0</v>
      </c>
      <c r="CJ134" s="141">
        <f t="shared" si="228"/>
        <v>0</v>
      </c>
      <c r="CK134" s="141">
        <f t="shared" si="229"/>
        <v>0</v>
      </c>
      <c r="CL134" s="141">
        <f t="shared" si="262"/>
        <v>0</v>
      </c>
      <c r="CM134" s="141">
        <f t="shared" si="230"/>
        <v>0</v>
      </c>
      <c r="CN134" s="141">
        <f t="shared" si="231"/>
        <v>0</v>
      </c>
      <c r="CO134" s="516"/>
      <c r="CP134" s="141">
        <f t="shared" si="263"/>
        <v>0</v>
      </c>
      <c r="CQ134" s="141">
        <f t="shared" si="232"/>
        <v>0</v>
      </c>
      <c r="CR134" s="141" cm="1">
        <f t="array" ref="CR134">IF($D135=0,0,CP134*(c_rate.Hurdle3.MO))</f>
        <v>0</v>
      </c>
      <c r="CS134" s="141">
        <f t="shared" si="233"/>
        <v>0</v>
      </c>
      <c r="CT134" s="141">
        <f t="shared" si="264"/>
        <v>0</v>
      </c>
      <c r="CU134" s="141">
        <f t="shared" si="234"/>
        <v>0</v>
      </c>
      <c r="CV134" s="141">
        <f t="shared" si="235"/>
        <v>0</v>
      </c>
      <c r="CW134" s="141">
        <f t="shared" si="265"/>
        <v>0</v>
      </c>
      <c r="CX134" s="141">
        <f t="shared" si="266"/>
        <v>0</v>
      </c>
      <c r="CY134" s="141">
        <f t="shared" si="267"/>
        <v>0</v>
      </c>
      <c r="CZ134" s="141">
        <f t="shared" si="268"/>
        <v>0</v>
      </c>
      <c r="DA134" s="516"/>
      <c r="DB134" s="141">
        <f t="shared" si="236"/>
        <v>0</v>
      </c>
      <c r="DC134" s="141">
        <f t="shared" si="237"/>
        <v>0</v>
      </c>
      <c r="DD134" s="518"/>
      <c r="DE134" s="141">
        <f t="shared" si="269"/>
        <v>0</v>
      </c>
      <c r="DF134" s="141">
        <f t="shared" si="270"/>
        <v>0</v>
      </c>
      <c r="DG134" s="141">
        <f t="shared" si="238"/>
        <v>0</v>
      </c>
      <c r="DH134" s="457"/>
      <c r="DI134" s="141">
        <v>0</v>
      </c>
      <c r="DJ134" s="141">
        <v>0</v>
      </c>
      <c r="DK134" s="141">
        <v>0</v>
      </c>
      <c r="DL134" s="141">
        <f t="shared" si="239"/>
        <v>0</v>
      </c>
      <c r="DM134" s="141">
        <f t="shared" si="240"/>
        <v>0</v>
      </c>
      <c r="DN134" s="141">
        <f t="shared" si="241"/>
        <v>0</v>
      </c>
      <c r="DO134" s="141">
        <f t="shared" si="242"/>
        <v>0</v>
      </c>
      <c r="DP134" s="141">
        <f t="shared" si="243"/>
        <v>0</v>
      </c>
      <c r="DQ134" s="141">
        <f t="shared" si="244"/>
        <v>0</v>
      </c>
      <c r="DR134" s="141">
        <v>0</v>
      </c>
      <c r="DS134" s="141">
        <v>0</v>
      </c>
      <c r="DT134" s="141">
        <f t="shared" si="245"/>
        <v>0</v>
      </c>
      <c r="DU134" s="141">
        <f t="shared" si="246"/>
        <v>0</v>
      </c>
      <c r="DV134" s="457"/>
      <c r="DW134" s="457"/>
      <c r="DX134" s="141">
        <v>0</v>
      </c>
      <c r="DY134" s="141">
        <f t="shared" si="271"/>
        <v>0</v>
      </c>
      <c r="DZ134" s="141">
        <f t="shared" si="247"/>
        <v>0</v>
      </c>
      <c r="EA134" s="141">
        <f t="shared" si="248"/>
        <v>0</v>
      </c>
      <c r="EB134" s="141">
        <f t="shared" si="249"/>
        <v>0</v>
      </c>
      <c r="EC134" s="141">
        <f t="shared" si="250"/>
        <v>0</v>
      </c>
      <c r="ED134" s="141">
        <f t="shared" si="272"/>
        <v>0</v>
      </c>
    </row>
    <row r="135" spans="55:134" ht="17.25" thickTop="1" thickBot="1">
      <c r="BC135" s="215" t="s">
        <v>47</v>
      </c>
      <c r="BE135" s="599">
        <f>AZ102</f>
        <v>0</v>
      </c>
      <c r="BH135" s="511"/>
      <c r="BI135" s="139">
        <f t="shared" si="217"/>
        <v>0</v>
      </c>
      <c r="BJ135" s="139">
        <f t="shared" ref="BJ135:BJ166" si="274">IF($AJ135=0,0,-MIN(0,AJ135*c_EquityShare.LP))</f>
        <v>0</v>
      </c>
      <c r="BK135" s="139" cm="1">
        <f t="array" ref="BK135">BI135*c_rate.Pref.MO</f>
        <v>0</v>
      </c>
      <c r="BL135" s="139">
        <f t="shared" si="219"/>
        <v>0</v>
      </c>
      <c r="BM135" s="139">
        <f t="shared" si="220"/>
        <v>0</v>
      </c>
      <c r="BN135" s="139">
        <f t="shared" si="251"/>
        <v>0</v>
      </c>
      <c r="BO135" s="139">
        <f t="shared" si="252"/>
        <v>0</v>
      </c>
      <c r="BP135" s="139">
        <f t="shared" si="253"/>
        <v>0</v>
      </c>
      <c r="BQ135" s="139">
        <f t="shared" si="221"/>
        <v>0</v>
      </c>
      <c r="BR135" s="516"/>
      <c r="BS135" s="139">
        <f t="shared" si="254"/>
        <v>0</v>
      </c>
      <c r="BT135" s="139">
        <f t="shared" si="222"/>
        <v>0</v>
      </c>
      <c r="BU135" s="139" cm="1">
        <f t="array" ref="BU135">IF(D135=0,0,BS135*(c_rate.Hurdle1.MO))</f>
        <v>0</v>
      </c>
      <c r="BV135" s="139">
        <f t="shared" si="255"/>
        <v>0</v>
      </c>
      <c r="BW135" s="139">
        <f t="shared" si="223"/>
        <v>0</v>
      </c>
      <c r="BX135" s="139">
        <f t="shared" si="256"/>
        <v>0</v>
      </c>
      <c r="BY135" s="139">
        <f t="shared" si="257"/>
        <v>0</v>
      </c>
      <c r="BZ135" s="139">
        <f t="shared" si="258"/>
        <v>0</v>
      </c>
      <c r="CA135" s="139">
        <f t="shared" si="224"/>
        <v>0</v>
      </c>
      <c r="CB135" s="139">
        <f t="shared" si="259"/>
        <v>0</v>
      </c>
      <c r="CC135" s="516"/>
      <c r="CD135" s="139">
        <f t="shared" si="260"/>
        <v>0</v>
      </c>
      <c r="CE135" s="139">
        <f t="shared" si="225"/>
        <v>0</v>
      </c>
      <c r="CF135" s="139" cm="1">
        <f t="array" ref="CF135">IF($D136=0,0,CD135*(c_rate.Hurdle2.MO))</f>
        <v>0</v>
      </c>
      <c r="CG135" s="139">
        <f t="shared" si="226"/>
        <v>0</v>
      </c>
      <c r="CH135" s="139">
        <f t="shared" si="261"/>
        <v>0</v>
      </c>
      <c r="CI135" s="139">
        <f t="shared" si="227"/>
        <v>0</v>
      </c>
      <c r="CJ135" s="139">
        <f t="shared" si="228"/>
        <v>0</v>
      </c>
      <c r="CK135" s="139">
        <f t="shared" si="229"/>
        <v>0</v>
      </c>
      <c r="CL135" s="139">
        <f t="shared" si="262"/>
        <v>0</v>
      </c>
      <c r="CM135" s="139">
        <f t="shared" si="230"/>
        <v>0</v>
      </c>
      <c r="CN135" s="139">
        <f t="shared" si="231"/>
        <v>0</v>
      </c>
      <c r="CO135" s="516"/>
      <c r="CP135" s="139">
        <f t="shared" si="263"/>
        <v>0</v>
      </c>
      <c r="CQ135" s="139">
        <f t="shared" si="232"/>
        <v>0</v>
      </c>
      <c r="CR135" s="139" cm="1">
        <f t="array" ref="CR135">IF($D136=0,0,CP135*(c_rate.Hurdle3.MO))</f>
        <v>0</v>
      </c>
      <c r="CS135" s="139">
        <f t="shared" si="233"/>
        <v>0</v>
      </c>
      <c r="CT135" s="139">
        <f t="shared" si="264"/>
        <v>0</v>
      </c>
      <c r="CU135" s="139">
        <f t="shared" si="234"/>
        <v>0</v>
      </c>
      <c r="CV135" s="139">
        <f t="shared" si="235"/>
        <v>0</v>
      </c>
      <c r="CW135" s="139">
        <f t="shared" si="265"/>
        <v>0</v>
      </c>
      <c r="CX135" s="139">
        <f t="shared" si="266"/>
        <v>0</v>
      </c>
      <c r="CY135" s="139">
        <f t="shared" si="267"/>
        <v>0</v>
      </c>
      <c r="CZ135" s="139">
        <f t="shared" si="268"/>
        <v>0</v>
      </c>
      <c r="DA135" s="516"/>
      <c r="DB135" s="139">
        <f t="shared" si="236"/>
        <v>0</v>
      </c>
      <c r="DC135" s="139">
        <f t="shared" si="237"/>
        <v>0</v>
      </c>
      <c r="DD135" s="518"/>
      <c r="DE135" s="139">
        <f t="shared" si="269"/>
        <v>0</v>
      </c>
      <c r="DF135" s="139">
        <f t="shared" si="270"/>
        <v>0</v>
      </c>
      <c r="DG135" s="139">
        <f t="shared" si="238"/>
        <v>0</v>
      </c>
      <c r="DH135" s="457"/>
      <c r="DI135" s="139">
        <v>0</v>
      </c>
      <c r="DJ135" s="139">
        <v>0</v>
      </c>
      <c r="DK135" s="139">
        <v>0</v>
      </c>
      <c r="DL135" s="139">
        <f t="shared" si="239"/>
        <v>0</v>
      </c>
      <c r="DM135" s="139">
        <f t="shared" si="240"/>
        <v>0</v>
      </c>
      <c r="DN135" s="139">
        <f t="shared" si="241"/>
        <v>0</v>
      </c>
      <c r="DO135" s="139">
        <f t="shared" si="242"/>
        <v>0</v>
      </c>
      <c r="DP135" s="139">
        <f t="shared" si="243"/>
        <v>0</v>
      </c>
      <c r="DQ135" s="139">
        <f t="shared" si="244"/>
        <v>0</v>
      </c>
      <c r="DR135" s="139">
        <v>0</v>
      </c>
      <c r="DS135" s="139">
        <v>0</v>
      </c>
      <c r="DT135" s="139">
        <f t="shared" si="245"/>
        <v>0</v>
      </c>
      <c r="DU135" s="139">
        <f t="shared" si="246"/>
        <v>0</v>
      </c>
      <c r="DV135" s="457"/>
      <c r="DW135" s="457"/>
      <c r="DX135" s="139">
        <v>0</v>
      </c>
      <c r="DY135" s="139">
        <f t="shared" si="271"/>
        <v>0</v>
      </c>
      <c r="DZ135" s="139">
        <f t="shared" si="247"/>
        <v>0</v>
      </c>
      <c r="EA135" s="139">
        <f t="shared" si="248"/>
        <v>0</v>
      </c>
      <c r="EB135" s="139">
        <f t="shared" si="249"/>
        <v>0</v>
      </c>
      <c r="EC135" s="139">
        <f t="shared" si="250"/>
        <v>0</v>
      </c>
      <c r="ED135" s="139">
        <f t="shared" si="272"/>
        <v>0</v>
      </c>
    </row>
    <row r="136" spans="55:134" ht="17.25" thickTop="1" thickBot="1">
      <c r="BC136" s="215" t="s">
        <v>269</v>
      </c>
      <c r="BE136" s="597">
        <f>-SUM(BF117:BF121)</f>
        <v>0</v>
      </c>
      <c r="BH136" s="511"/>
      <c r="BI136" s="140">
        <f t="shared" si="217"/>
        <v>0</v>
      </c>
      <c r="BJ136" s="140">
        <f t="shared" si="274"/>
        <v>0</v>
      </c>
      <c r="BK136" s="140" cm="1">
        <f t="array" ref="BK136">BI136*c_rate.Pref.MO</f>
        <v>0</v>
      </c>
      <c r="BL136" s="140">
        <f t="shared" si="219"/>
        <v>0</v>
      </c>
      <c r="BM136" s="140">
        <f t="shared" si="220"/>
        <v>0</v>
      </c>
      <c r="BN136" s="140">
        <f t="shared" si="251"/>
        <v>0</v>
      </c>
      <c r="BO136" s="140">
        <f t="shared" si="252"/>
        <v>0</v>
      </c>
      <c r="BP136" s="140">
        <f t="shared" si="253"/>
        <v>0</v>
      </c>
      <c r="BQ136" s="140">
        <f t="shared" si="221"/>
        <v>0</v>
      </c>
      <c r="BR136" s="516"/>
      <c r="BS136" s="140">
        <f t="shared" si="254"/>
        <v>0</v>
      </c>
      <c r="BT136" s="140">
        <f t="shared" si="222"/>
        <v>0</v>
      </c>
      <c r="BU136" s="140" cm="1">
        <f t="array" ref="BU136">IF(D136=0,0,BS136*(c_rate.Hurdle1.MO))</f>
        <v>0</v>
      </c>
      <c r="BV136" s="140">
        <f t="shared" si="255"/>
        <v>0</v>
      </c>
      <c r="BW136" s="140">
        <f t="shared" si="223"/>
        <v>0</v>
      </c>
      <c r="BX136" s="140">
        <f t="shared" si="256"/>
        <v>0</v>
      </c>
      <c r="BY136" s="140">
        <f t="shared" si="257"/>
        <v>0</v>
      </c>
      <c r="BZ136" s="140">
        <f t="shared" si="258"/>
        <v>0</v>
      </c>
      <c r="CA136" s="140">
        <f t="shared" si="224"/>
        <v>0</v>
      </c>
      <c r="CB136" s="140">
        <f t="shared" si="259"/>
        <v>0</v>
      </c>
      <c r="CC136" s="516"/>
      <c r="CD136" s="140">
        <f t="shared" si="260"/>
        <v>0</v>
      </c>
      <c r="CE136" s="140">
        <f t="shared" si="225"/>
        <v>0</v>
      </c>
      <c r="CF136" s="140" cm="1">
        <f t="array" ref="CF136">IF($D137=0,0,CD136*(c_rate.Hurdle2.MO))</f>
        <v>0</v>
      </c>
      <c r="CG136" s="140">
        <f t="shared" si="226"/>
        <v>0</v>
      </c>
      <c r="CH136" s="140">
        <f t="shared" si="261"/>
        <v>0</v>
      </c>
      <c r="CI136" s="140">
        <f t="shared" si="227"/>
        <v>0</v>
      </c>
      <c r="CJ136" s="140">
        <f t="shared" si="228"/>
        <v>0</v>
      </c>
      <c r="CK136" s="140">
        <f t="shared" si="229"/>
        <v>0</v>
      </c>
      <c r="CL136" s="140">
        <f t="shared" si="262"/>
        <v>0</v>
      </c>
      <c r="CM136" s="140">
        <f t="shared" si="230"/>
        <v>0</v>
      </c>
      <c r="CN136" s="140">
        <f t="shared" si="231"/>
        <v>0</v>
      </c>
      <c r="CO136" s="516"/>
      <c r="CP136" s="140">
        <f t="shared" si="263"/>
        <v>0</v>
      </c>
      <c r="CQ136" s="140">
        <f t="shared" si="232"/>
        <v>0</v>
      </c>
      <c r="CR136" s="140" cm="1">
        <f t="array" ref="CR136">IF($D137=0,0,CP136*(c_rate.Hurdle3.MO))</f>
        <v>0</v>
      </c>
      <c r="CS136" s="140">
        <f t="shared" si="233"/>
        <v>0</v>
      </c>
      <c r="CT136" s="140">
        <f t="shared" si="264"/>
        <v>0</v>
      </c>
      <c r="CU136" s="140">
        <f t="shared" si="234"/>
        <v>0</v>
      </c>
      <c r="CV136" s="140">
        <f t="shared" si="235"/>
        <v>0</v>
      </c>
      <c r="CW136" s="140">
        <f t="shared" si="265"/>
        <v>0</v>
      </c>
      <c r="CX136" s="140">
        <f t="shared" si="266"/>
        <v>0</v>
      </c>
      <c r="CY136" s="140">
        <f t="shared" si="267"/>
        <v>0</v>
      </c>
      <c r="CZ136" s="140">
        <f t="shared" si="268"/>
        <v>0</v>
      </c>
      <c r="DA136" s="516"/>
      <c r="DB136" s="140">
        <f t="shared" si="236"/>
        <v>0</v>
      </c>
      <c r="DC136" s="140">
        <f t="shared" si="237"/>
        <v>0</v>
      </c>
      <c r="DD136" s="518"/>
      <c r="DE136" s="140">
        <f t="shared" si="269"/>
        <v>0</v>
      </c>
      <c r="DF136" s="140">
        <f t="shared" si="270"/>
        <v>0</v>
      </c>
      <c r="DG136" s="140">
        <f t="shared" si="238"/>
        <v>0</v>
      </c>
      <c r="DH136" s="457"/>
      <c r="DI136" s="140">
        <v>0</v>
      </c>
      <c r="DJ136" s="140">
        <v>0</v>
      </c>
      <c r="DK136" s="140">
        <v>0</v>
      </c>
      <c r="DL136" s="140">
        <f t="shared" si="239"/>
        <v>0</v>
      </c>
      <c r="DM136" s="140">
        <f t="shared" si="240"/>
        <v>0</v>
      </c>
      <c r="DN136" s="140">
        <f t="shared" si="241"/>
        <v>0</v>
      </c>
      <c r="DO136" s="140">
        <f t="shared" si="242"/>
        <v>0</v>
      </c>
      <c r="DP136" s="140">
        <f t="shared" si="243"/>
        <v>0</v>
      </c>
      <c r="DQ136" s="140">
        <f t="shared" si="244"/>
        <v>0</v>
      </c>
      <c r="DR136" s="140">
        <v>0</v>
      </c>
      <c r="DS136" s="140">
        <v>0</v>
      </c>
      <c r="DT136" s="140">
        <f t="shared" si="245"/>
        <v>0</v>
      </c>
      <c r="DU136" s="140">
        <f t="shared" si="246"/>
        <v>0</v>
      </c>
      <c r="DV136" s="457"/>
      <c r="DW136" s="457"/>
      <c r="DX136" s="140">
        <v>0</v>
      </c>
      <c r="DY136" s="140">
        <f t="shared" si="271"/>
        <v>0</v>
      </c>
      <c r="DZ136" s="140">
        <f t="shared" si="247"/>
        <v>0</v>
      </c>
      <c r="EA136" s="140">
        <f t="shared" si="248"/>
        <v>0</v>
      </c>
      <c r="EB136" s="140">
        <f t="shared" si="249"/>
        <v>0</v>
      </c>
      <c r="EC136" s="140">
        <f t="shared" si="250"/>
        <v>0</v>
      </c>
      <c r="ED136" s="140">
        <f t="shared" si="272"/>
        <v>0</v>
      </c>
    </row>
    <row r="137" spans="55:134" ht="17.25" thickTop="1" thickBot="1">
      <c r="BC137" s="215" t="s">
        <v>270</v>
      </c>
      <c r="BE137" s="601">
        <f>-SUM(BG117:BG121)</f>
        <v>0</v>
      </c>
      <c r="BI137" s="141">
        <f t="shared" si="217"/>
        <v>0</v>
      </c>
      <c r="BJ137" s="141">
        <f t="shared" si="274"/>
        <v>0</v>
      </c>
      <c r="BK137" s="141" cm="1">
        <f t="array" ref="BK137">BI137*c_rate.Pref.MO</f>
        <v>0</v>
      </c>
      <c r="BL137" s="141">
        <f t="shared" si="219"/>
        <v>0</v>
      </c>
      <c r="BM137" s="141">
        <f t="shared" si="220"/>
        <v>0</v>
      </c>
      <c r="BN137" s="141">
        <f t="shared" si="251"/>
        <v>0</v>
      </c>
      <c r="BO137" s="141">
        <f t="shared" si="252"/>
        <v>0</v>
      </c>
      <c r="BP137" s="141">
        <f t="shared" si="253"/>
        <v>0</v>
      </c>
      <c r="BQ137" s="141">
        <f t="shared" si="221"/>
        <v>0</v>
      </c>
      <c r="BR137" s="516"/>
      <c r="BS137" s="141">
        <f t="shared" si="254"/>
        <v>0</v>
      </c>
      <c r="BT137" s="141">
        <f t="shared" si="222"/>
        <v>0</v>
      </c>
      <c r="BU137" s="141" cm="1">
        <f t="array" ref="BU137">IF(D137=0,0,BS137*(c_rate.Hurdle1.MO))</f>
        <v>0</v>
      </c>
      <c r="BV137" s="141">
        <f t="shared" si="255"/>
        <v>0</v>
      </c>
      <c r="BW137" s="141">
        <f t="shared" si="223"/>
        <v>0</v>
      </c>
      <c r="BX137" s="141">
        <f t="shared" si="256"/>
        <v>0</v>
      </c>
      <c r="BY137" s="141">
        <f t="shared" si="257"/>
        <v>0</v>
      </c>
      <c r="BZ137" s="141">
        <f t="shared" si="258"/>
        <v>0</v>
      </c>
      <c r="CA137" s="141">
        <f t="shared" si="224"/>
        <v>0</v>
      </c>
      <c r="CB137" s="141">
        <f t="shared" si="259"/>
        <v>0</v>
      </c>
      <c r="CC137" s="516"/>
      <c r="CD137" s="141">
        <f t="shared" si="260"/>
        <v>0</v>
      </c>
      <c r="CE137" s="141">
        <f t="shared" si="225"/>
        <v>0</v>
      </c>
      <c r="CF137" s="141" cm="1">
        <f t="array" ref="CF137">IF($D138=0,0,CD137*(c_rate.Hurdle2.MO))</f>
        <v>0</v>
      </c>
      <c r="CG137" s="141">
        <f t="shared" si="226"/>
        <v>0</v>
      </c>
      <c r="CH137" s="141">
        <f t="shared" si="261"/>
        <v>0</v>
      </c>
      <c r="CI137" s="141">
        <f t="shared" si="227"/>
        <v>0</v>
      </c>
      <c r="CJ137" s="141">
        <f t="shared" si="228"/>
        <v>0</v>
      </c>
      <c r="CK137" s="141">
        <f t="shared" si="229"/>
        <v>0</v>
      </c>
      <c r="CL137" s="141">
        <f t="shared" si="262"/>
        <v>0</v>
      </c>
      <c r="CM137" s="141">
        <f t="shared" si="230"/>
        <v>0</v>
      </c>
      <c r="CN137" s="141">
        <f t="shared" si="231"/>
        <v>0</v>
      </c>
      <c r="CO137" s="516"/>
      <c r="CP137" s="141">
        <f t="shared" si="263"/>
        <v>0</v>
      </c>
      <c r="CQ137" s="141">
        <f t="shared" si="232"/>
        <v>0</v>
      </c>
      <c r="CR137" s="141" cm="1">
        <f t="array" ref="CR137">IF($D138=0,0,CP137*(c_rate.Hurdle3.MO))</f>
        <v>0</v>
      </c>
      <c r="CS137" s="141">
        <f t="shared" si="233"/>
        <v>0</v>
      </c>
      <c r="CT137" s="141">
        <f t="shared" si="264"/>
        <v>0</v>
      </c>
      <c r="CU137" s="141">
        <f t="shared" si="234"/>
        <v>0</v>
      </c>
      <c r="CV137" s="141">
        <f t="shared" si="235"/>
        <v>0</v>
      </c>
      <c r="CW137" s="141">
        <f t="shared" si="265"/>
        <v>0</v>
      </c>
      <c r="CX137" s="141">
        <f t="shared" si="266"/>
        <v>0</v>
      </c>
      <c r="CY137" s="141">
        <f t="shared" si="267"/>
        <v>0</v>
      </c>
      <c r="CZ137" s="141">
        <f t="shared" si="268"/>
        <v>0</v>
      </c>
      <c r="DA137" s="516"/>
      <c r="DB137" s="141">
        <f t="shared" si="236"/>
        <v>0</v>
      </c>
      <c r="DC137" s="141">
        <f t="shared" si="237"/>
        <v>0</v>
      </c>
      <c r="DD137" s="518"/>
      <c r="DE137" s="141">
        <f t="shared" si="269"/>
        <v>0</v>
      </c>
      <c r="DF137" s="141">
        <f t="shared" si="270"/>
        <v>0</v>
      </c>
      <c r="DG137" s="141">
        <f t="shared" si="238"/>
        <v>0</v>
      </c>
      <c r="DH137" s="457"/>
      <c r="DI137" s="141">
        <v>0</v>
      </c>
      <c r="DJ137" s="141">
        <v>0</v>
      </c>
      <c r="DK137" s="141">
        <v>0</v>
      </c>
      <c r="DL137" s="141">
        <f t="shared" si="239"/>
        <v>0</v>
      </c>
      <c r="DM137" s="141">
        <f t="shared" si="240"/>
        <v>0</v>
      </c>
      <c r="DN137" s="141">
        <f t="shared" si="241"/>
        <v>0</v>
      </c>
      <c r="DO137" s="141">
        <f t="shared" si="242"/>
        <v>0</v>
      </c>
      <c r="DP137" s="141">
        <f t="shared" si="243"/>
        <v>0</v>
      </c>
      <c r="DQ137" s="141">
        <f t="shared" si="244"/>
        <v>0</v>
      </c>
      <c r="DR137" s="141">
        <v>0</v>
      </c>
      <c r="DS137" s="141">
        <v>0</v>
      </c>
      <c r="DT137" s="141">
        <f t="shared" si="245"/>
        <v>0</v>
      </c>
      <c r="DU137" s="141">
        <f t="shared" si="246"/>
        <v>0</v>
      </c>
      <c r="DV137" s="457"/>
      <c r="DW137" s="457"/>
      <c r="DX137" s="141">
        <v>0</v>
      </c>
      <c r="DY137" s="141">
        <f t="shared" si="271"/>
        <v>0</v>
      </c>
      <c r="DZ137" s="141">
        <f t="shared" si="247"/>
        <v>0</v>
      </c>
      <c r="EA137" s="141">
        <f t="shared" si="248"/>
        <v>0</v>
      </c>
      <c r="EB137" s="141">
        <f t="shared" si="249"/>
        <v>0</v>
      </c>
      <c r="EC137" s="141">
        <f t="shared" si="250"/>
        <v>0</v>
      </c>
      <c r="ED137" s="141">
        <f t="shared" si="272"/>
        <v>0</v>
      </c>
    </row>
    <row r="138" spans="55:134" ht="17.25" thickTop="1" thickBot="1">
      <c r="BC138" s="595" t="s">
        <v>229</v>
      </c>
      <c r="BD138" s="596" t="str">
        <f>IF(BE138=0,"R","T")</f>
        <v>R</v>
      </c>
      <c r="BE138" s="594">
        <f>SUM(BE135:BE137)</f>
        <v>0</v>
      </c>
      <c r="BI138" s="139">
        <f t="shared" si="217"/>
        <v>0</v>
      </c>
      <c r="BJ138" s="139">
        <f t="shared" si="274"/>
        <v>0</v>
      </c>
      <c r="BK138" s="139" cm="1">
        <f t="array" ref="BK138">BI138*c_rate.Pref.MO</f>
        <v>0</v>
      </c>
      <c r="BL138" s="139">
        <f t="shared" si="219"/>
        <v>0</v>
      </c>
      <c r="BM138" s="139">
        <f t="shared" si="220"/>
        <v>0</v>
      </c>
      <c r="BN138" s="139">
        <f t="shared" si="251"/>
        <v>0</v>
      </c>
      <c r="BO138" s="139">
        <f t="shared" si="252"/>
        <v>0</v>
      </c>
      <c r="BP138" s="139">
        <f t="shared" si="253"/>
        <v>0</v>
      </c>
      <c r="BQ138" s="139">
        <f t="shared" si="221"/>
        <v>0</v>
      </c>
      <c r="BR138" s="516"/>
      <c r="BS138" s="139">
        <f t="shared" si="254"/>
        <v>0</v>
      </c>
      <c r="BT138" s="139">
        <f t="shared" si="222"/>
        <v>0</v>
      </c>
      <c r="BU138" s="139" cm="1">
        <f t="array" ref="BU138">IF(D138=0,0,BS138*(c_rate.Hurdle1.MO))</f>
        <v>0</v>
      </c>
      <c r="BV138" s="139">
        <f t="shared" si="255"/>
        <v>0</v>
      </c>
      <c r="BW138" s="139">
        <f t="shared" si="223"/>
        <v>0</v>
      </c>
      <c r="BX138" s="139">
        <f t="shared" si="256"/>
        <v>0</v>
      </c>
      <c r="BY138" s="139">
        <f t="shared" si="257"/>
        <v>0</v>
      </c>
      <c r="BZ138" s="139">
        <f t="shared" si="258"/>
        <v>0</v>
      </c>
      <c r="CA138" s="139">
        <f t="shared" si="224"/>
        <v>0</v>
      </c>
      <c r="CB138" s="139">
        <f t="shared" si="259"/>
        <v>0</v>
      </c>
      <c r="CC138" s="516"/>
      <c r="CD138" s="139">
        <f t="shared" si="260"/>
        <v>0</v>
      </c>
      <c r="CE138" s="139">
        <f t="shared" si="225"/>
        <v>0</v>
      </c>
      <c r="CF138" s="139" cm="1">
        <f t="array" ref="CF138">IF($D139=0,0,CD138*(c_rate.Hurdle2.MO))</f>
        <v>0</v>
      </c>
      <c r="CG138" s="139">
        <f t="shared" si="226"/>
        <v>0</v>
      </c>
      <c r="CH138" s="139">
        <f t="shared" si="261"/>
        <v>0</v>
      </c>
      <c r="CI138" s="139">
        <f t="shared" si="227"/>
        <v>0</v>
      </c>
      <c r="CJ138" s="139">
        <f t="shared" si="228"/>
        <v>0</v>
      </c>
      <c r="CK138" s="139">
        <f t="shared" si="229"/>
        <v>0</v>
      </c>
      <c r="CL138" s="139">
        <f t="shared" si="262"/>
        <v>0</v>
      </c>
      <c r="CM138" s="139">
        <f t="shared" si="230"/>
        <v>0</v>
      </c>
      <c r="CN138" s="139">
        <f t="shared" si="231"/>
        <v>0</v>
      </c>
      <c r="CO138" s="516"/>
      <c r="CP138" s="139">
        <f t="shared" si="263"/>
        <v>0</v>
      </c>
      <c r="CQ138" s="139">
        <f t="shared" si="232"/>
        <v>0</v>
      </c>
      <c r="CR138" s="139" cm="1">
        <f t="array" ref="CR138">IF($D139=0,0,CP138*(c_rate.Hurdle3.MO))</f>
        <v>0</v>
      </c>
      <c r="CS138" s="139">
        <f t="shared" si="233"/>
        <v>0</v>
      </c>
      <c r="CT138" s="139">
        <f t="shared" si="264"/>
        <v>0</v>
      </c>
      <c r="CU138" s="139">
        <f t="shared" si="234"/>
        <v>0</v>
      </c>
      <c r="CV138" s="139">
        <f t="shared" si="235"/>
        <v>0</v>
      </c>
      <c r="CW138" s="139">
        <f t="shared" si="265"/>
        <v>0</v>
      </c>
      <c r="CX138" s="139">
        <f t="shared" si="266"/>
        <v>0</v>
      </c>
      <c r="CY138" s="139">
        <f t="shared" si="267"/>
        <v>0</v>
      </c>
      <c r="CZ138" s="139">
        <f t="shared" si="268"/>
        <v>0</v>
      </c>
      <c r="DA138" s="516"/>
      <c r="DB138" s="139">
        <f t="shared" si="236"/>
        <v>0</v>
      </c>
      <c r="DC138" s="139">
        <f t="shared" si="237"/>
        <v>0</v>
      </c>
      <c r="DD138" s="518"/>
      <c r="DE138" s="139">
        <f t="shared" si="269"/>
        <v>0</v>
      </c>
      <c r="DF138" s="139">
        <f t="shared" si="270"/>
        <v>0</v>
      </c>
      <c r="DG138" s="139">
        <f t="shared" si="238"/>
        <v>0</v>
      </c>
      <c r="DH138" s="457"/>
      <c r="DI138" s="139">
        <v>0</v>
      </c>
      <c r="DJ138" s="139">
        <v>0</v>
      </c>
      <c r="DK138" s="139">
        <v>0</v>
      </c>
      <c r="DL138" s="139">
        <f t="shared" si="239"/>
        <v>0</v>
      </c>
      <c r="DM138" s="139">
        <f t="shared" si="240"/>
        <v>0</v>
      </c>
      <c r="DN138" s="139">
        <f t="shared" si="241"/>
        <v>0</v>
      </c>
      <c r="DO138" s="139">
        <f t="shared" si="242"/>
        <v>0</v>
      </c>
      <c r="DP138" s="139">
        <f t="shared" si="243"/>
        <v>0</v>
      </c>
      <c r="DQ138" s="139">
        <f t="shared" si="244"/>
        <v>0</v>
      </c>
      <c r="DR138" s="139">
        <v>0</v>
      </c>
      <c r="DS138" s="139">
        <v>0</v>
      </c>
      <c r="DT138" s="139">
        <f t="shared" si="245"/>
        <v>0</v>
      </c>
      <c r="DU138" s="139">
        <f t="shared" si="246"/>
        <v>0</v>
      </c>
      <c r="DV138" s="457"/>
      <c r="DW138" s="457"/>
      <c r="DX138" s="139">
        <v>0</v>
      </c>
      <c r="DY138" s="139">
        <f t="shared" si="271"/>
        <v>0</v>
      </c>
      <c r="DZ138" s="139">
        <f t="shared" si="247"/>
        <v>0</v>
      </c>
      <c r="EA138" s="139">
        <f t="shared" si="248"/>
        <v>0</v>
      </c>
      <c r="EB138" s="139">
        <f t="shared" si="249"/>
        <v>0</v>
      </c>
      <c r="EC138" s="139">
        <f t="shared" si="250"/>
        <v>0</v>
      </c>
      <c r="ED138" s="139">
        <f t="shared" si="272"/>
        <v>0</v>
      </c>
    </row>
    <row r="139" spans="55:134" ht="17.25" thickTop="1" thickBot="1">
      <c r="BE139" s="600"/>
      <c r="BI139" s="142">
        <f t="shared" si="217"/>
        <v>0</v>
      </c>
      <c r="BJ139" s="142">
        <f t="shared" si="274"/>
        <v>0</v>
      </c>
      <c r="BK139" s="142" cm="1">
        <f t="array" ref="BK139">BI139*c_rate.Pref.MO</f>
        <v>0</v>
      </c>
      <c r="BL139" s="142">
        <f t="shared" si="219"/>
        <v>0</v>
      </c>
      <c r="BM139" s="142">
        <f t="shared" si="220"/>
        <v>0</v>
      </c>
      <c r="BN139" s="142">
        <f t="shared" si="251"/>
        <v>0</v>
      </c>
      <c r="BO139" s="142">
        <f t="shared" si="252"/>
        <v>0</v>
      </c>
      <c r="BP139" s="142">
        <f t="shared" si="253"/>
        <v>0</v>
      </c>
      <c r="BQ139" s="142">
        <f t="shared" si="221"/>
        <v>0</v>
      </c>
      <c r="BR139" s="516"/>
      <c r="BS139" s="142">
        <f t="shared" si="254"/>
        <v>0</v>
      </c>
      <c r="BT139" s="142">
        <f t="shared" si="222"/>
        <v>0</v>
      </c>
      <c r="BU139" s="142" cm="1">
        <f t="array" ref="BU139">IF(D139=0,0,BS139*(c_rate.Hurdle1.MO))</f>
        <v>0</v>
      </c>
      <c r="BV139" s="142">
        <f t="shared" si="255"/>
        <v>0</v>
      </c>
      <c r="BW139" s="142">
        <f t="shared" si="223"/>
        <v>0</v>
      </c>
      <c r="BX139" s="142">
        <f t="shared" si="256"/>
        <v>0</v>
      </c>
      <c r="BY139" s="142">
        <f t="shared" si="257"/>
        <v>0</v>
      </c>
      <c r="BZ139" s="142">
        <f t="shared" si="258"/>
        <v>0</v>
      </c>
      <c r="CA139" s="142">
        <f t="shared" si="224"/>
        <v>0</v>
      </c>
      <c r="CB139" s="142">
        <f t="shared" si="259"/>
        <v>0</v>
      </c>
      <c r="CC139" s="516"/>
      <c r="CD139" s="142">
        <f t="shared" si="260"/>
        <v>0</v>
      </c>
      <c r="CE139" s="142">
        <f t="shared" si="225"/>
        <v>0</v>
      </c>
      <c r="CF139" s="142" cm="1">
        <f t="array" ref="CF139">IF($D140=0,0,CD139*(c_rate.Hurdle2.MO))</f>
        <v>0</v>
      </c>
      <c r="CG139" s="142">
        <f t="shared" si="226"/>
        <v>0</v>
      </c>
      <c r="CH139" s="142">
        <f t="shared" si="261"/>
        <v>0</v>
      </c>
      <c r="CI139" s="142">
        <f t="shared" si="227"/>
        <v>0</v>
      </c>
      <c r="CJ139" s="142">
        <f t="shared" si="228"/>
        <v>0</v>
      </c>
      <c r="CK139" s="142">
        <f t="shared" si="229"/>
        <v>0</v>
      </c>
      <c r="CL139" s="142">
        <f t="shared" si="262"/>
        <v>0</v>
      </c>
      <c r="CM139" s="142">
        <f t="shared" si="230"/>
        <v>0</v>
      </c>
      <c r="CN139" s="142">
        <f t="shared" si="231"/>
        <v>0</v>
      </c>
      <c r="CO139" s="516"/>
      <c r="CP139" s="142">
        <f t="shared" si="263"/>
        <v>0</v>
      </c>
      <c r="CQ139" s="142">
        <f t="shared" si="232"/>
        <v>0</v>
      </c>
      <c r="CR139" s="142" cm="1">
        <f t="array" ref="CR139">IF($D140=0,0,CP139*(c_rate.Hurdle3.MO))</f>
        <v>0</v>
      </c>
      <c r="CS139" s="142">
        <f t="shared" si="233"/>
        <v>0</v>
      </c>
      <c r="CT139" s="142">
        <f t="shared" si="264"/>
        <v>0</v>
      </c>
      <c r="CU139" s="142">
        <f t="shared" si="234"/>
        <v>0</v>
      </c>
      <c r="CV139" s="142">
        <f t="shared" si="235"/>
        <v>0</v>
      </c>
      <c r="CW139" s="142">
        <f t="shared" si="265"/>
        <v>0</v>
      </c>
      <c r="CX139" s="142">
        <f t="shared" si="266"/>
        <v>0</v>
      </c>
      <c r="CY139" s="142">
        <f t="shared" si="267"/>
        <v>0</v>
      </c>
      <c r="CZ139" s="142">
        <f t="shared" si="268"/>
        <v>0</v>
      </c>
      <c r="DA139" s="516"/>
      <c r="DB139" s="142">
        <f t="shared" si="236"/>
        <v>0</v>
      </c>
      <c r="DC139" s="142">
        <f t="shared" si="237"/>
        <v>0</v>
      </c>
      <c r="DD139" s="518"/>
      <c r="DE139" s="142">
        <f t="shared" si="269"/>
        <v>0</v>
      </c>
      <c r="DF139" s="142">
        <f t="shared" si="270"/>
        <v>0</v>
      </c>
      <c r="DG139" s="142">
        <f t="shared" si="238"/>
        <v>0</v>
      </c>
      <c r="DH139" s="457"/>
      <c r="DI139" s="142">
        <v>0</v>
      </c>
      <c r="DJ139" s="142">
        <v>0</v>
      </c>
      <c r="DK139" s="142">
        <v>0</v>
      </c>
      <c r="DL139" s="142">
        <f t="shared" si="239"/>
        <v>0</v>
      </c>
      <c r="DM139" s="142">
        <f t="shared" si="240"/>
        <v>0</v>
      </c>
      <c r="DN139" s="142">
        <f t="shared" si="241"/>
        <v>0</v>
      </c>
      <c r="DO139" s="142">
        <f t="shared" si="242"/>
        <v>0</v>
      </c>
      <c r="DP139" s="142">
        <f t="shared" si="243"/>
        <v>0</v>
      </c>
      <c r="DQ139" s="142">
        <f t="shared" si="244"/>
        <v>0</v>
      </c>
      <c r="DR139" s="142">
        <v>0</v>
      </c>
      <c r="DS139" s="142">
        <v>0</v>
      </c>
      <c r="DT139" s="142">
        <f t="shared" si="245"/>
        <v>0</v>
      </c>
      <c r="DU139" s="142">
        <f t="shared" si="246"/>
        <v>0</v>
      </c>
      <c r="DV139" s="457"/>
      <c r="DW139" s="457"/>
      <c r="DX139" s="142">
        <v>0</v>
      </c>
      <c r="DY139" s="142">
        <f t="shared" si="271"/>
        <v>0</v>
      </c>
      <c r="DZ139" s="142">
        <f t="shared" si="247"/>
        <v>0</v>
      </c>
      <c r="EA139" s="142">
        <f t="shared" si="248"/>
        <v>0</v>
      </c>
      <c r="EB139" s="142">
        <f t="shared" si="249"/>
        <v>0</v>
      </c>
      <c r="EC139" s="142">
        <f t="shared" si="250"/>
        <v>0</v>
      </c>
      <c r="ED139" s="142">
        <f t="shared" si="272"/>
        <v>0</v>
      </c>
    </row>
    <row r="140" spans="55:134" ht="17.25" thickTop="1" thickBot="1">
      <c r="BE140" s="600"/>
      <c r="BI140" s="138">
        <f t="shared" si="217"/>
        <v>0</v>
      </c>
      <c r="BJ140" s="138">
        <f t="shared" si="274"/>
        <v>0</v>
      </c>
      <c r="BK140" s="138" cm="1">
        <f t="array" ref="BK140">BI140*c_rate.Pref.MO</f>
        <v>0</v>
      </c>
      <c r="BL140" s="138">
        <f t="shared" si="219"/>
        <v>0</v>
      </c>
      <c r="BM140" s="138">
        <f t="shared" si="220"/>
        <v>0</v>
      </c>
      <c r="BN140" s="138">
        <f t="shared" si="251"/>
        <v>0</v>
      </c>
      <c r="BO140" s="138">
        <f t="shared" si="252"/>
        <v>0</v>
      </c>
      <c r="BP140" s="138">
        <f t="shared" si="253"/>
        <v>0</v>
      </c>
      <c r="BQ140" s="138">
        <f t="shared" si="221"/>
        <v>0</v>
      </c>
      <c r="BR140" s="516"/>
      <c r="BS140" s="138">
        <f t="shared" si="254"/>
        <v>0</v>
      </c>
      <c r="BT140" s="138">
        <f t="shared" si="222"/>
        <v>0</v>
      </c>
      <c r="BU140" s="138" cm="1">
        <f t="array" ref="BU140">IF(D140=0,0,BS140*(c_rate.Hurdle1.MO))</f>
        <v>0</v>
      </c>
      <c r="BV140" s="138">
        <f t="shared" si="255"/>
        <v>0</v>
      </c>
      <c r="BW140" s="138">
        <f t="shared" si="223"/>
        <v>0</v>
      </c>
      <c r="BX140" s="138">
        <f t="shared" si="256"/>
        <v>0</v>
      </c>
      <c r="BY140" s="138">
        <f t="shared" si="257"/>
        <v>0</v>
      </c>
      <c r="BZ140" s="138">
        <f t="shared" si="258"/>
        <v>0</v>
      </c>
      <c r="CA140" s="138">
        <f t="shared" si="224"/>
        <v>0</v>
      </c>
      <c r="CB140" s="138">
        <f t="shared" si="259"/>
        <v>0</v>
      </c>
      <c r="CC140" s="516"/>
      <c r="CD140" s="138">
        <f t="shared" si="260"/>
        <v>0</v>
      </c>
      <c r="CE140" s="138">
        <f t="shared" si="225"/>
        <v>0</v>
      </c>
      <c r="CF140" s="138" cm="1">
        <f t="array" ref="CF140">IF($D141=0,0,CD140*(c_rate.Hurdle2.MO))</f>
        <v>0</v>
      </c>
      <c r="CG140" s="138">
        <f t="shared" si="226"/>
        <v>0</v>
      </c>
      <c r="CH140" s="138">
        <f t="shared" si="261"/>
        <v>0</v>
      </c>
      <c r="CI140" s="138">
        <f t="shared" si="227"/>
        <v>0</v>
      </c>
      <c r="CJ140" s="138">
        <f t="shared" si="228"/>
        <v>0</v>
      </c>
      <c r="CK140" s="138">
        <f t="shared" si="229"/>
        <v>0</v>
      </c>
      <c r="CL140" s="138">
        <f t="shared" si="262"/>
        <v>0</v>
      </c>
      <c r="CM140" s="138">
        <f t="shared" si="230"/>
        <v>0</v>
      </c>
      <c r="CN140" s="138">
        <f t="shared" si="231"/>
        <v>0</v>
      </c>
      <c r="CO140" s="516"/>
      <c r="CP140" s="138">
        <f t="shared" si="263"/>
        <v>0</v>
      </c>
      <c r="CQ140" s="138">
        <f t="shared" si="232"/>
        <v>0</v>
      </c>
      <c r="CR140" s="138" cm="1">
        <f t="array" ref="CR140">IF($D141=0,0,CP140*(c_rate.Hurdle3.MO))</f>
        <v>0</v>
      </c>
      <c r="CS140" s="138">
        <f t="shared" si="233"/>
        <v>0</v>
      </c>
      <c r="CT140" s="138">
        <f t="shared" si="264"/>
        <v>0</v>
      </c>
      <c r="CU140" s="138">
        <f t="shared" si="234"/>
        <v>0</v>
      </c>
      <c r="CV140" s="138">
        <f t="shared" si="235"/>
        <v>0</v>
      </c>
      <c r="CW140" s="138">
        <f t="shared" si="265"/>
        <v>0</v>
      </c>
      <c r="CX140" s="138">
        <f t="shared" si="266"/>
        <v>0</v>
      </c>
      <c r="CY140" s="138">
        <f t="shared" si="267"/>
        <v>0</v>
      </c>
      <c r="CZ140" s="138">
        <f t="shared" si="268"/>
        <v>0</v>
      </c>
      <c r="DA140" s="516"/>
      <c r="DB140" s="138">
        <f t="shared" si="236"/>
        <v>0</v>
      </c>
      <c r="DC140" s="138">
        <f t="shared" si="237"/>
        <v>0</v>
      </c>
      <c r="DD140" s="518"/>
      <c r="DE140" s="138">
        <f t="shared" si="269"/>
        <v>0</v>
      </c>
      <c r="DF140" s="138">
        <f t="shared" si="270"/>
        <v>0</v>
      </c>
      <c r="DG140" s="138">
        <f t="shared" si="238"/>
        <v>0</v>
      </c>
      <c r="DH140" s="457"/>
      <c r="DI140" s="138">
        <v>0</v>
      </c>
      <c r="DJ140" s="138">
        <v>0</v>
      </c>
      <c r="DK140" s="138">
        <v>0</v>
      </c>
      <c r="DL140" s="138">
        <f t="shared" si="239"/>
        <v>0</v>
      </c>
      <c r="DM140" s="138">
        <f t="shared" si="240"/>
        <v>0</v>
      </c>
      <c r="DN140" s="138">
        <f t="shared" si="241"/>
        <v>0</v>
      </c>
      <c r="DO140" s="138">
        <f t="shared" si="242"/>
        <v>0</v>
      </c>
      <c r="DP140" s="138">
        <f t="shared" si="243"/>
        <v>0</v>
      </c>
      <c r="DQ140" s="138">
        <f t="shared" si="244"/>
        <v>0</v>
      </c>
      <c r="DR140" s="138">
        <v>0</v>
      </c>
      <c r="DS140" s="138">
        <v>0</v>
      </c>
      <c r="DT140" s="138">
        <f t="shared" si="245"/>
        <v>0</v>
      </c>
      <c r="DU140" s="138">
        <f t="shared" si="246"/>
        <v>0</v>
      </c>
      <c r="DV140" s="457"/>
      <c r="DW140" s="457"/>
      <c r="DX140" s="138">
        <v>0</v>
      </c>
      <c r="DY140" s="138">
        <f t="shared" si="271"/>
        <v>0</v>
      </c>
      <c r="DZ140" s="138">
        <f t="shared" si="247"/>
        <v>0</v>
      </c>
      <c r="EA140" s="138">
        <f t="shared" si="248"/>
        <v>0</v>
      </c>
      <c r="EB140" s="138">
        <f t="shared" si="249"/>
        <v>0</v>
      </c>
      <c r="EC140" s="138">
        <f t="shared" si="250"/>
        <v>0</v>
      </c>
      <c r="ED140" s="138">
        <f t="shared" si="272"/>
        <v>0</v>
      </c>
    </row>
    <row r="141" spans="55:134" ht="17.25" thickTop="1" thickBot="1">
      <c r="BI141" s="139">
        <f t="shared" si="217"/>
        <v>0</v>
      </c>
      <c r="BJ141" s="139">
        <f t="shared" si="274"/>
        <v>0</v>
      </c>
      <c r="BK141" s="139" cm="1">
        <f t="array" ref="BK141">BI141*c_rate.Pref.MO</f>
        <v>0</v>
      </c>
      <c r="BL141" s="139">
        <f t="shared" si="219"/>
        <v>0</v>
      </c>
      <c r="BM141" s="139">
        <f t="shared" si="220"/>
        <v>0</v>
      </c>
      <c r="BN141" s="139">
        <f t="shared" si="251"/>
        <v>0</v>
      </c>
      <c r="BO141" s="139">
        <f t="shared" si="252"/>
        <v>0</v>
      </c>
      <c r="BP141" s="139">
        <f t="shared" si="253"/>
        <v>0</v>
      </c>
      <c r="BQ141" s="139">
        <f t="shared" si="221"/>
        <v>0</v>
      </c>
      <c r="BR141" s="516"/>
      <c r="BS141" s="139">
        <f t="shared" si="254"/>
        <v>0</v>
      </c>
      <c r="BT141" s="139">
        <f t="shared" si="222"/>
        <v>0</v>
      </c>
      <c r="BU141" s="139" cm="1">
        <f t="array" ref="BU141">IF(D141=0,0,BS141*(c_rate.Hurdle1.MO))</f>
        <v>0</v>
      </c>
      <c r="BV141" s="139">
        <f t="shared" si="255"/>
        <v>0</v>
      </c>
      <c r="BW141" s="139">
        <f t="shared" si="223"/>
        <v>0</v>
      </c>
      <c r="BX141" s="139">
        <f t="shared" si="256"/>
        <v>0</v>
      </c>
      <c r="BY141" s="139">
        <f t="shared" si="257"/>
        <v>0</v>
      </c>
      <c r="BZ141" s="139">
        <f t="shared" si="258"/>
        <v>0</v>
      </c>
      <c r="CA141" s="139">
        <f t="shared" si="224"/>
        <v>0</v>
      </c>
      <c r="CB141" s="139">
        <f t="shared" si="259"/>
        <v>0</v>
      </c>
      <c r="CC141" s="516"/>
      <c r="CD141" s="139">
        <f t="shared" si="260"/>
        <v>0</v>
      </c>
      <c r="CE141" s="139">
        <f t="shared" si="225"/>
        <v>0</v>
      </c>
      <c r="CF141" s="139" cm="1">
        <f t="array" ref="CF141">IF($D142=0,0,CD141*(c_rate.Hurdle2.MO))</f>
        <v>0</v>
      </c>
      <c r="CG141" s="139">
        <f t="shared" si="226"/>
        <v>0</v>
      </c>
      <c r="CH141" s="139">
        <f t="shared" si="261"/>
        <v>0</v>
      </c>
      <c r="CI141" s="139">
        <f t="shared" si="227"/>
        <v>0</v>
      </c>
      <c r="CJ141" s="139">
        <f t="shared" si="228"/>
        <v>0</v>
      </c>
      <c r="CK141" s="139">
        <f t="shared" si="229"/>
        <v>0</v>
      </c>
      <c r="CL141" s="139">
        <f t="shared" si="262"/>
        <v>0</v>
      </c>
      <c r="CM141" s="139">
        <f t="shared" si="230"/>
        <v>0</v>
      </c>
      <c r="CN141" s="139">
        <f t="shared" si="231"/>
        <v>0</v>
      </c>
      <c r="CO141" s="516"/>
      <c r="CP141" s="139">
        <f t="shared" si="263"/>
        <v>0</v>
      </c>
      <c r="CQ141" s="139">
        <f t="shared" si="232"/>
        <v>0</v>
      </c>
      <c r="CR141" s="139" cm="1">
        <f t="array" ref="CR141">IF($D142=0,0,CP141*(c_rate.Hurdle3.MO))</f>
        <v>0</v>
      </c>
      <c r="CS141" s="139">
        <f t="shared" si="233"/>
        <v>0</v>
      </c>
      <c r="CT141" s="139">
        <f t="shared" si="264"/>
        <v>0</v>
      </c>
      <c r="CU141" s="139">
        <f t="shared" si="234"/>
        <v>0</v>
      </c>
      <c r="CV141" s="139">
        <f t="shared" si="235"/>
        <v>0</v>
      </c>
      <c r="CW141" s="139">
        <f t="shared" si="265"/>
        <v>0</v>
      </c>
      <c r="CX141" s="139">
        <f t="shared" si="266"/>
        <v>0</v>
      </c>
      <c r="CY141" s="139">
        <f t="shared" si="267"/>
        <v>0</v>
      </c>
      <c r="CZ141" s="139">
        <f t="shared" si="268"/>
        <v>0</v>
      </c>
      <c r="DA141" s="516"/>
      <c r="DB141" s="139">
        <f t="shared" si="236"/>
        <v>0</v>
      </c>
      <c r="DC141" s="139">
        <f t="shared" si="237"/>
        <v>0</v>
      </c>
      <c r="DD141" s="518"/>
      <c r="DE141" s="139">
        <f t="shared" si="269"/>
        <v>0</v>
      </c>
      <c r="DF141" s="139">
        <f t="shared" si="270"/>
        <v>0</v>
      </c>
      <c r="DG141" s="139">
        <f t="shared" si="238"/>
        <v>0</v>
      </c>
      <c r="DH141" s="457"/>
      <c r="DI141" s="139">
        <v>0</v>
      </c>
      <c r="DJ141" s="139">
        <v>0</v>
      </c>
      <c r="DK141" s="139">
        <v>0</v>
      </c>
      <c r="DL141" s="139">
        <f t="shared" si="239"/>
        <v>0</v>
      </c>
      <c r="DM141" s="139">
        <f t="shared" si="240"/>
        <v>0</v>
      </c>
      <c r="DN141" s="139">
        <f t="shared" si="241"/>
        <v>0</v>
      </c>
      <c r="DO141" s="139">
        <f t="shared" si="242"/>
        <v>0</v>
      </c>
      <c r="DP141" s="139">
        <f t="shared" si="243"/>
        <v>0</v>
      </c>
      <c r="DQ141" s="139">
        <f t="shared" si="244"/>
        <v>0</v>
      </c>
      <c r="DR141" s="139">
        <v>0</v>
      </c>
      <c r="DS141" s="139">
        <v>0</v>
      </c>
      <c r="DT141" s="139">
        <f t="shared" si="245"/>
        <v>0</v>
      </c>
      <c r="DU141" s="139">
        <f t="shared" si="246"/>
        <v>0</v>
      </c>
      <c r="DV141" s="457"/>
      <c r="DW141" s="457"/>
      <c r="DX141" s="139">
        <v>0</v>
      </c>
      <c r="DY141" s="139">
        <f t="shared" si="271"/>
        <v>0</v>
      </c>
      <c r="DZ141" s="139">
        <f t="shared" si="247"/>
        <v>0</v>
      </c>
      <c r="EA141" s="139">
        <f t="shared" si="248"/>
        <v>0</v>
      </c>
      <c r="EB141" s="139">
        <f t="shared" si="249"/>
        <v>0</v>
      </c>
      <c r="EC141" s="139">
        <f t="shared" si="250"/>
        <v>0</v>
      </c>
      <c r="ED141" s="139">
        <f t="shared" si="272"/>
        <v>0</v>
      </c>
    </row>
    <row r="142" spans="55:134" ht="17.25" thickTop="1" thickBot="1">
      <c r="BI142" s="140">
        <f t="shared" si="217"/>
        <v>0</v>
      </c>
      <c r="BJ142" s="140">
        <f t="shared" si="274"/>
        <v>0</v>
      </c>
      <c r="BK142" s="140" cm="1">
        <f t="array" ref="BK142">BI142*c_rate.Pref.MO</f>
        <v>0</v>
      </c>
      <c r="BL142" s="140">
        <f t="shared" si="219"/>
        <v>0</v>
      </c>
      <c r="BM142" s="140">
        <f t="shared" si="220"/>
        <v>0</v>
      </c>
      <c r="BN142" s="140">
        <f t="shared" si="251"/>
        <v>0</v>
      </c>
      <c r="BO142" s="140">
        <f t="shared" si="252"/>
        <v>0</v>
      </c>
      <c r="BP142" s="140">
        <f t="shared" si="253"/>
        <v>0</v>
      </c>
      <c r="BQ142" s="140">
        <f t="shared" si="221"/>
        <v>0</v>
      </c>
      <c r="BR142" s="516"/>
      <c r="BS142" s="140">
        <f t="shared" si="254"/>
        <v>0</v>
      </c>
      <c r="BT142" s="140">
        <f t="shared" si="222"/>
        <v>0</v>
      </c>
      <c r="BU142" s="140" cm="1">
        <f t="array" ref="BU142">IF(D142=0,0,BS142*(c_rate.Hurdle1.MO))</f>
        <v>0</v>
      </c>
      <c r="BV142" s="140">
        <f t="shared" si="255"/>
        <v>0</v>
      </c>
      <c r="BW142" s="140">
        <f t="shared" si="223"/>
        <v>0</v>
      </c>
      <c r="BX142" s="140">
        <f t="shared" si="256"/>
        <v>0</v>
      </c>
      <c r="BY142" s="140">
        <f t="shared" si="257"/>
        <v>0</v>
      </c>
      <c r="BZ142" s="140">
        <f t="shared" si="258"/>
        <v>0</v>
      </c>
      <c r="CA142" s="140">
        <f t="shared" si="224"/>
        <v>0</v>
      </c>
      <c r="CB142" s="140">
        <f t="shared" si="259"/>
        <v>0</v>
      </c>
      <c r="CC142" s="516"/>
      <c r="CD142" s="140">
        <f t="shared" si="260"/>
        <v>0</v>
      </c>
      <c r="CE142" s="140">
        <f t="shared" si="225"/>
        <v>0</v>
      </c>
      <c r="CF142" s="140" cm="1">
        <f t="array" ref="CF142">IF($D143=0,0,CD142*(c_rate.Hurdle2.MO))</f>
        <v>0</v>
      </c>
      <c r="CG142" s="140">
        <f t="shared" si="226"/>
        <v>0</v>
      </c>
      <c r="CH142" s="140">
        <f t="shared" si="261"/>
        <v>0</v>
      </c>
      <c r="CI142" s="140">
        <f t="shared" si="227"/>
        <v>0</v>
      </c>
      <c r="CJ142" s="140">
        <f t="shared" si="228"/>
        <v>0</v>
      </c>
      <c r="CK142" s="140">
        <f t="shared" si="229"/>
        <v>0</v>
      </c>
      <c r="CL142" s="140">
        <f t="shared" si="262"/>
        <v>0</v>
      </c>
      <c r="CM142" s="140">
        <f t="shared" si="230"/>
        <v>0</v>
      </c>
      <c r="CN142" s="140">
        <f t="shared" si="231"/>
        <v>0</v>
      </c>
      <c r="CO142" s="516"/>
      <c r="CP142" s="140">
        <f t="shared" si="263"/>
        <v>0</v>
      </c>
      <c r="CQ142" s="140">
        <f t="shared" si="232"/>
        <v>0</v>
      </c>
      <c r="CR142" s="140" cm="1">
        <f t="array" ref="CR142">IF($D143=0,0,CP142*(c_rate.Hurdle3.MO))</f>
        <v>0</v>
      </c>
      <c r="CS142" s="140">
        <f t="shared" si="233"/>
        <v>0</v>
      </c>
      <c r="CT142" s="140">
        <f t="shared" si="264"/>
        <v>0</v>
      </c>
      <c r="CU142" s="140">
        <f t="shared" si="234"/>
        <v>0</v>
      </c>
      <c r="CV142" s="140">
        <f t="shared" si="235"/>
        <v>0</v>
      </c>
      <c r="CW142" s="140">
        <f t="shared" si="265"/>
        <v>0</v>
      </c>
      <c r="CX142" s="140">
        <f t="shared" si="266"/>
        <v>0</v>
      </c>
      <c r="CY142" s="140">
        <f t="shared" si="267"/>
        <v>0</v>
      </c>
      <c r="CZ142" s="140">
        <f t="shared" si="268"/>
        <v>0</v>
      </c>
      <c r="DA142" s="516"/>
      <c r="DB142" s="140">
        <f t="shared" si="236"/>
        <v>0</v>
      </c>
      <c r="DC142" s="140">
        <f t="shared" si="237"/>
        <v>0</v>
      </c>
      <c r="DD142" s="518"/>
      <c r="DE142" s="140">
        <f t="shared" si="269"/>
        <v>0</v>
      </c>
      <c r="DF142" s="140">
        <f t="shared" si="270"/>
        <v>0</v>
      </c>
      <c r="DG142" s="140">
        <f t="shared" si="238"/>
        <v>0</v>
      </c>
      <c r="DH142" s="457"/>
      <c r="DI142" s="140">
        <v>0</v>
      </c>
      <c r="DJ142" s="140">
        <v>0</v>
      </c>
      <c r="DK142" s="140">
        <v>0</v>
      </c>
      <c r="DL142" s="140">
        <f t="shared" si="239"/>
        <v>0</v>
      </c>
      <c r="DM142" s="140">
        <f t="shared" si="240"/>
        <v>0</v>
      </c>
      <c r="DN142" s="140">
        <f t="shared" si="241"/>
        <v>0</v>
      </c>
      <c r="DO142" s="140">
        <f t="shared" si="242"/>
        <v>0</v>
      </c>
      <c r="DP142" s="140">
        <f t="shared" si="243"/>
        <v>0</v>
      </c>
      <c r="DQ142" s="140">
        <f t="shared" si="244"/>
        <v>0</v>
      </c>
      <c r="DR142" s="140">
        <v>0</v>
      </c>
      <c r="DS142" s="140">
        <v>0</v>
      </c>
      <c r="DT142" s="140">
        <f t="shared" si="245"/>
        <v>0</v>
      </c>
      <c r="DU142" s="140">
        <f t="shared" si="246"/>
        <v>0</v>
      </c>
      <c r="DV142" s="457"/>
      <c r="DW142" s="457"/>
      <c r="DX142" s="140">
        <v>0</v>
      </c>
      <c r="DY142" s="140">
        <f t="shared" si="271"/>
        <v>0</v>
      </c>
      <c r="DZ142" s="140">
        <f t="shared" si="247"/>
        <v>0</v>
      </c>
      <c r="EA142" s="140">
        <f t="shared" si="248"/>
        <v>0</v>
      </c>
      <c r="EB142" s="140">
        <f t="shared" si="249"/>
        <v>0</v>
      </c>
      <c r="EC142" s="140">
        <f t="shared" si="250"/>
        <v>0</v>
      </c>
      <c r="ED142" s="140">
        <f t="shared" si="272"/>
        <v>0</v>
      </c>
    </row>
    <row r="143" spans="55:134" ht="17.25" thickTop="1" thickBot="1">
      <c r="BI143" s="141">
        <f t="shared" si="217"/>
        <v>0</v>
      </c>
      <c r="BJ143" s="141">
        <f t="shared" si="274"/>
        <v>0</v>
      </c>
      <c r="BK143" s="141" cm="1">
        <f t="array" ref="BK143">BI143*c_rate.Pref.MO</f>
        <v>0</v>
      </c>
      <c r="BL143" s="141">
        <f t="shared" si="219"/>
        <v>0</v>
      </c>
      <c r="BM143" s="141">
        <f t="shared" si="220"/>
        <v>0</v>
      </c>
      <c r="BN143" s="141">
        <f t="shared" si="251"/>
        <v>0</v>
      </c>
      <c r="BO143" s="141">
        <f t="shared" si="252"/>
        <v>0</v>
      </c>
      <c r="BP143" s="141">
        <f t="shared" si="253"/>
        <v>0</v>
      </c>
      <c r="BQ143" s="141">
        <f t="shared" si="221"/>
        <v>0</v>
      </c>
      <c r="BR143" s="516"/>
      <c r="BS143" s="141">
        <f t="shared" si="254"/>
        <v>0</v>
      </c>
      <c r="BT143" s="141">
        <f t="shared" si="222"/>
        <v>0</v>
      </c>
      <c r="BU143" s="141" cm="1">
        <f t="array" ref="BU143">IF(D143=0,0,BS143*(c_rate.Hurdle1.MO))</f>
        <v>0</v>
      </c>
      <c r="BV143" s="141">
        <f t="shared" si="255"/>
        <v>0</v>
      </c>
      <c r="BW143" s="141">
        <f t="shared" si="223"/>
        <v>0</v>
      </c>
      <c r="BX143" s="141">
        <f t="shared" si="256"/>
        <v>0</v>
      </c>
      <c r="BY143" s="141">
        <f t="shared" si="257"/>
        <v>0</v>
      </c>
      <c r="BZ143" s="141">
        <f t="shared" si="258"/>
        <v>0</v>
      </c>
      <c r="CA143" s="141">
        <f t="shared" si="224"/>
        <v>0</v>
      </c>
      <c r="CB143" s="141">
        <f t="shared" si="259"/>
        <v>0</v>
      </c>
      <c r="CC143" s="516"/>
      <c r="CD143" s="141">
        <f t="shared" si="260"/>
        <v>0</v>
      </c>
      <c r="CE143" s="141">
        <f t="shared" si="225"/>
        <v>0</v>
      </c>
      <c r="CF143" s="141" cm="1">
        <f t="array" ref="CF143">IF($D144=0,0,CD143*(c_rate.Hurdle2.MO))</f>
        <v>0</v>
      </c>
      <c r="CG143" s="141">
        <f t="shared" si="226"/>
        <v>0</v>
      </c>
      <c r="CH143" s="141">
        <f t="shared" si="261"/>
        <v>0</v>
      </c>
      <c r="CI143" s="141">
        <f t="shared" si="227"/>
        <v>0</v>
      </c>
      <c r="CJ143" s="141">
        <f t="shared" si="228"/>
        <v>0</v>
      </c>
      <c r="CK143" s="141">
        <f t="shared" si="229"/>
        <v>0</v>
      </c>
      <c r="CL143" s="141">
        <f t="shared" si="262"/>
        <v>0</v>
      </c>
      <c r="CM143" s="141">
        <f t="shared" si="230"/>
        <v>0</v>
      </c>
      <c r="CN143" s="141">
        <f t="shared" si="231"/>
        <v>0</v>
      </c>
      <c r="CO143" s="516"/>
      <c r="CP143" s="141">
        <f t="shared" si="263"/>
        <v>0</v>
      </c>
      <c r="CQ143" s="141">
        <f t="shared" si="232"/>
        <v>0</v>
      </c>
      <c r="CR143" s="141" cm="1">
        <f t="array" ref="CR143">IF($D144=0,0,CP143*(c_rate.Hurdle3.MO))</f>
        <v>0</v>
      </c>
      <c r="CS143" s="141">
        <f t="shared" si="233"/>
        <v>0</v>
      </c>
      <c r="CT143" s="141">
        <f t="shared" si="264"/>
        <v>0</v>
      </c>
      <c r="CU143" s="141">
        <f t="shared" si="234"/>
        <v>0</v>
      </c>
      <c r="CV143" s="141">
        <f t="shared" si="235"/>
        <v>0</v>
      </c>
      <c r="CW143" s="141">
        <f t="shared" si="265"/>
        <v>0</v>
      </c>
      <c r="CX143" s="141">
        <f t="shared" si="266"/>
        <v>0</v>
      </c>
      <c r="CY143" s="141">
        <f t="shared" si="267"/>
        <v>0</v>
      </c>
      <c r="CZ143" s="141">
        <f t="shared" si="268"/>
        <v>0</v>
      </c>
      <c r="DA143" s="516"/>
      <c r="DB143" s="141">
        <f t="shared" si="236"/>
        <v>0</v>
      </c>
      <c r="DC143" s="141">
        <f t="shared" si="237"/>
        <v>0</v>
      </c>
      <c r="DD143" s="518"/>
      <c r="DE143" s="141">
        <f t="shared" si="269"/>
        <v>0</v>
      </c>
      <c r="DF143" s="141">
        <f t="shared" si="270"/>
        <v>0</v>
      </c>
      <c r="DG143" s="141">
        <f t="shared" si="238"/>
        <v>0</v>
      </c>
      <c r="DH143" s="457"/>
      <c r="DI143" s="141">
        <v>0</v>
      </c>
      <c r="DJ143" s="141">
        <v>0</v>
      </c>
      <c r="DK143" s="141">
        <v>0</v>
      </c>
      <c r="DL143" s="141">
        <f t="shared" si="239"/>
        <v>0</v>
      </c>
      <c r="DM143" s="141">
        <f t="shared" si="240"/>
        <v>0</v>
      </c>
      <c r="DN143" s="141">
        <f t="shared" si="241"/>
        <v>0</v>
      </c>
      <c r="DO143" s="141">
        <f t="shared" si="242"/>
        <v>0</v>
      </c>
      <c r="DP143" s="141">
        <f t="shared" si="243"/>
        <v>0</v>
      </c>
      <c r="DQ143" s="141">
        <f t="shared" si="244"/>
        <v>0</v>
      </c>
      <c r="DR143" s="141">
        <v>0</v>
      </c>
      <c r="DS143" s="141">
        <v>0</v>
      </c>
      <c r="DT143" s="141">
        <f t="shared" si="245"/>
        <v>0</v>
      </c>
      <c r="DU143" s="141">
        <f t="shared" si="246"/>
        <v>0</v>
      </c>
      <c r="DV143" s="457"/>
      <c r="DW143" s="457"/>
      <c r="DX143" s="141">
        <v>0</v>
      </c>
      <c r="DY143" s="141">
        <f t="shared" si="271"/>
        <v>0</v>
      </c>
      <c r="DZ143" s="141">
        <f t="shared" si="247"/>
        <v>0</v>
      </c>
      <c r="EA143" s="141">
        <f t="shared" si="248"/>
        <v>0</v>
      </c>
      <c r="EB143" s="141">
        <f t="shared" si="249"/>
        <v>0</v>
      </c>
      <c r="EC143" s="141">
        <f t="shared" si="250"/>
        <v>0</v>
      </c>
      <c r="ED143" s="141">
        <f t="shared" si="272"/>
        <v>0</v>
      </c>
    </row>
    <row r="144" spans="55:134" ht="17.25" thickTop="1" thickBot="1">
      <c r="BI144" s="139">
        <f t="shared" si="217"/>
        <v>0</v>
      </c>
      <c r="BJ144" s="139">
        <f t="shared" si="274"/>
        <v>0</v>
      </c>
      <c r="BK144" s="139" cm="1">
        <f t="array" ref="BK144">BI144*c_rate.Pref.MO</f>
        <v>0</v>
      </c>
      <c r="BL144" s="139">
        <f t="shared" si="219"/>
        <v>0</v>
      </c>
      <c r="BM144" s="139">
        <f t="shared" si="220"/>
        <v>0</v>
      </c>
      <c r="BN144" s="139">
        <f t="shared" si="251"/>
        <v>0</v>
      </c>
      <c r="BO144" s="139">
        <f t="shared" si="252"/>
        <v>0</v>
      </c>
      <c r="BP144" s="139">
        <f t="shared" si="253"/>
        <v>0</v>
      </c>
      <c r="BQ144" s="139">
        <f t="shared" si="221"/>
        <v>0</v>
      </c>
      <c r="BR144" s="516"/>
      <c r="BS144" s="139">
        <f t="shared" si="254"/>
        <v>0</v>
      </c>
      <c r="BT144" s="139">
        <f t="shared" si="222"/>
        <v>0</v>
      </c>
      <c r="BU144" s="139" cm="1">
        <f t="array" ref="BU144">IF(D144=0,0,BS144*(c_rate.Hurdle1.MO))</f>
        <v>0</v>
      </c>
      <c r="BV144" s="139">
        <f t="shared" si="255"/>
        <v>0</v>
      </c>
      <c r="BW144" s="139">
        <f t="shared" si="223"/>
        <v>0</v>
      </c>
      <c r="BX144" s="139">
        <f t="shared" si="256"/>
        <v>0</v>
      </c>
      <c r="BY144" s="139">
        <f t="shared" si="257"/>
        <v>0</v>
      </c>
      <c r="BZ144" s="139">
        <f t="shared" si="258"/>
        <v>0</v>
      </c>
      <c r="CA144" s="139">
        <f t="shared" si="224"/>
        <v>0</v>
      </c>
      <c r="CB144" s="139">
        <f t="shared" si="259"/>
        <v>0</v>
      </c>
      <c r="CC144" s="516"/>
      <c r="CD144" s="139">
        <f t="shared" si="260"/>
        <v>0</v>
      </c>
      <c r="CE144" s="139">
        <f t="shared" si="225"/>
        <v>0</v>
      </c>
      <c r="CF144" s="139" cm="1">
        <f t="array" ref="CF144">IF($D145=0,0,CD144*(c_rate.Hurdle2.MO))</f>
        <v>0</v>
      </c>
      <c r="CG144" s="139">
        <f t="shared" si="226"/>
        <v>0</v>
      </c>
      <c r="CH144" s="139">
        <f t="shared" si="261"/>
        <v>0</v>
      </c>
      <c r="CI144" s="139">
        <f t="shared" si="227"/>
        <v>0</v>
      </c>
      <c r="CJ144" s="139">
        <f t="shared" si="228"/>
        <v>0</v>
      </c>
      <c r="CK144" s="139">
        <f t="shared" si="229"/>
        <v>0</v>
      </c>
      <c r="CL144" s="139">
        <f t="shared" si="262"/>
        <v>0</v>
      </c>
      <c r="CM144" s="139">
        <f t="shared" si="230"/>
        <v>0</v>
      </c>
      <c r="CN144" s="139">
        <f t="shared" si="231"/>
        <v>0</v>
      </c>
      <c r="CO144" s="516"/>
      <c r="CP144" s="139">
        <f t="shared" si="263"/>
        <v>0</v>
      </c>
      <c r="CQ144" s="139">
        <f t="shared" si="232"/>
        <v>0</v>
      </c>
      <c r="CR144" s="139" cm="1">
        <f t="array" ref="CR144">IF($D145=0,0,CP144*(c_rate.Hurdle3.MO))</f>
        <v>0</v>
      </c>
      <c r="CS144" s="139">
        <f t="shared" si="233"/>
        <v>0</v>
      </c>
      <c r="CT144" s="139">
        <f t="shared" si="264"/>
        <v>0</v>
      </c>
      <c r="CU144" s="139">
        <f t="shared" si="234"/>
        <v>0</v>
      </c>
      <c r="CV144" s="139">
        <f t="shared" si="235"/>
        <v>0</v>
      </c>
      <c r="CW144" s="139">
        <f t="shared" si="265"/>
        <v>0</v>
      </c>
      <c r="CX144" s="139">
        <f t="shared" si="266"/>
        <v>0</v>
      </c>
      <c r="CY144" s="139">
        <f t="shared" si="267"/>
        <v>0</v>
      </c>
      <c r="CZ144" s="139">
        <f t="shared" si="268"/>
        <v>0</v>
      </c>
      <c r="DA144" s="516"/>
      <c r="DB144" s="139">
        <f t="shared" si="236"/>
        <v>0</v>
      </c>
      <c r="DC144" s="139">
        <f t="shared" si="237"/>
        <v>0</v>
      </c>
      <c r="DD144" s="518"/>
      <c r="DE144" s="139">
        <f t="shared" si="269"/>
        <v>0</v>
      </c>
      <c r="DF144" s="139">
        <f t="shared" si="270"/>
        <v>0</v>
      </c>
      <c r="DG144" s="139">
        <f t="shared" si="238"/>
        <v>0</v>
      </c>
      <c r="DH144" s="457"/>
      <c r="DI144" s="139">
        <v>0</v>
      </c>
      <c r="DJ144" s="139">
        <v>0</v>
      </c>
      <c r="DK144" s="139">
        <v>0</v>
      </c>
      <c r="DL144" s="139">
        <f t="shared" si="239"/>
        <v>0</v>
      </c>
      <c r="DM144" s="139">
        <f t="shared" si="240"/>
        <v>0</v>
      </c>
      <c r="DN144" s="139">
        <f t="shared" si="241"/>
        <v>0</v>
      </c>
      <c r="DO144" s="139">
        <f t="shared" si="242"/>
        <v>0</v>
      </c>
      <c r="DP144" s="139">
        <f t="shared" si="243"/>
        <v>0</v>
      </c>
      <c r="DQ144" s="139">
        <f t="shared" si="244"/>
        <v>0</v>
      </c>
      <c r="DR144" s="139">
        <v>0</v>
      </c>
      <c r="DS144" s="139">
        <v>0</v>
      </c>
      <c r="DT144" s="139">
        <f t="shared" si="245"/>
        <v>0</v>
      </c>
      <c r="DU144" s="139">
        <f t="shared" si="246"/>
        <v>0</v>
      </c>
      <c r="DV144" s="457"/>
      <c r="DW144" s="457"/>
      <c r="DX144" s="139">
        <v>0</v>
      </c>
      <c r="DY144" s="139">
        <f t="shared" si="271"/>
        <v>0</v>
      </c>
      <c r="DZ144" s="139">
        <f t="shared" si="247"/>
        <v>0</v>
      </c>
      <c r="EA144" s="139">
        <f t="shared" si="248"/>
        <v>0</v>
      </c>
      <c r="EB144" s="139">
        <f t="shared" si="249"/>
        <v>0</v>
      </c>
      <c r="EC144" s="139">
        <f t="shared" si="250"/>
        <v>0</v>
      </c>
      <c r="ED144" s="139">
        <f t="shared" si="272"/>
        <v>0</v>
      </c>
    </row>
    <row r="145" spans="61:134" ht="17.25" thickTop="1" thickBot="1">
      <c r="BI145" s="140">
        <f t="shared" si="217"/>
        <v>0</v>
      </c>
      <c r="BJ145" s="140">
        <f t="shared" si="274"/>
        <v>0</v>
      </c>
      <c r="BK145" s="140" cm="1">
        <f t="array" ref="BK145">BI145*c_rate.Pref.MO</f>
        <v>0</v>
      </c>
      <c r="BL145" s="140">
        <f t="shared" si="219"/>
        <v>0</v>
      </c>
      <c r="BM145" s="140">
        <f t="shared" si="220"/>
        <v>0</v>
      </c>
      <c r="BN145" s="140">
        <f t="shared" si="251"/>
        <v>0</v>
      </c>
      <c r="BO145" s="140">
        <f t="shared" si="252"/>
        <v>0</v>
      </c>
      <c r="BP145" s="140">
        <f t="shared" si="253"/>
        <v>0</v>
      </c>
      <c r="BQ145" s="140">
        <f t="shared" si="221"/>
        <v>0</v>
      </c>
      <c r="BR145" s="516"/>
      <c r="BS145" s="140">
        <f t="shared" si="254"/>
        <v>0</v>
      </c>
      <c r="BT145" s="140">
        <f t="shared" si="222"/>
        <v>0</v>
      </c>
      <c r="BU145" s="140" cm="1">
        <f t="array" ref="BU145">IF(D145=0,0,BS145*(c_rate.Hurdle1.MO))</f>
        <v>0</v>
      </c>
      <c r="BV145" s="140">
        <f t="shared" si="255"/>
        <v>0</v>
      </c>
      <c r="BW145" s="140">
        <f t="shared" si="223"/>
        <v>0</v>
      </c>
      <c r="BX145" s="140">
        <f t="shared" si="256"/>
        <v>0</v>
      </c>
      <c r="BY145" s="140">
        <f t="shared" si="257"/>
        <v>0</v>
      </c>
      <c r="BZ145" s="140">
        <f t="shared" si="258"/>
        <v>0</v>
      </c>
      <c r="CA145" s="140">
        <f t="shared" si="224"/>
        <v>0</v>
      </c>
      <c r="CB145" s="140">
        <f t="shared" si="259"/>
        <v>0</v>
      </c>
      <c r="CC145" s="516"/>
      <c r="CD145" s="140">
        <f t="shared" si="260"/>
        <v>0</v>
      </c>
      <c r="CE145" s="140">
        <f t="shared" si="225"/>
        <v>0</v>
      </c>
      <c r="CF145" s="140" cm="1">
        <f t="array" ref="CF145">IF($D146=0,0,CD145*(c_rate.Hurdle2.MO))</f>
        <v>0</v>
      </c>
      <c r="CG145" s="140">
        <f t="shared" si="226"/>
        <v>0</v>
      </c>
      <c r="CH145" s="140">
        <f t="shared" si="261"/>
        <v>0</v>
      </c>
      <c r="CI145" s="140">
        <f t="shared" si="227"/>
        <v>0</v>
      </c>
      <c r="CJ145" s="140">
        <f t="shared" si="228"/>
        <v>0</v>
      </c>
      <c r="CK145" s="140">
        <f t="shared" si="229"/>
        <v>0</v>
      </c>
      <c r="CL145" s="140">
        <f t="shared" si="262"/>
        <v>0</v>
      </c>
      <c r="CM145" s="140">
        <f t="shared" si="230"/>
        <v>0</v>
      </c>
      <c r="CN145" s="140">
        <f t="shared" si="231"/>
        <v>0</v>
      </c>
      <c r="CO145" s="516"/>
      <c r="CP145" s="140">
        <f t="shared" si="263"/>
        <v>0</v>
      </c>
      <c r="CQ145" s="140">
        <f t="shared" si="232"/>
        <v>0</v>
      </c>
      <c r="CR145" s="140" cm="1">
        <f t="array" ref="CR145">IF($D146=0,0,CP145*(c_rate.Hurdle3.MO))</f>
        <v>0</v>
      </c>
      <c r="CS145" s="140">
        <f t="shared" si="233"/>
        <v>0</v>
      </c>
      <c r="CT145" s="140">
        <f t="shared" si="264"/>
        <v>0</v>
      </c>
      <c r="CU145" s="140">
        <f t="shared" si="234"/>
        <v>0</v>
      </c>
      <c r="CV145" s="140">
        <f t="shared" si="235"/>
        <v>0</v>
      </c>
      <c r="CW145" s="140">
        <f t="shared" si="265"/>
        <v>0</v>
      </c>
      <c r="CX145" s="140">
        <f t="shared" si="266"/>
        <v>0</v>
      </c>
      <c r="CY145" s="140">
        <f t="shared" si="267"/>
        <v>0</v>
      </c>
      <c r="CZ145" s="140">
        <f t="shared" si="268"/>
        <v>0</v>
      </c>
      <c r="DA145" s="516"/>
      <c r="DB145" s="140">
        <f t="shared" si="236"/>
        <v>0</v>
      </c>
      <c r="DC145" s="140">
        <f t="shared" si="237"/>
        <v>0</v>
      </c>
      <c r="DD145" s="518"/>
      <c r="DE145" s="140">
        <f t="shared" si="269"/>
        <v>0</v>
      </c>
      <c r="DF145" s="140">
        <f t="shared" si="270"/>
        <v>0</v>
      </c>
      <c r="DG145" s="140">
        <f t="shared" si="238"/>
        <v>0</v>
      </c>
      <c r="DH145" s="457"/>
      <c r="DI145" s="140">
        <v>0</v>
      </c>
      <c r="DJ145" s="140">
        <v>0</v>
      </c>
      <c r="DK145" s="140">
        <v>0</v>
      </c>
      <c r="DL145" s="140">
        <f t="shared" si="239"/>
        <v>0</v>
      </c>
      <c r="DM145" s="140">
        <f t="shared" si="240"/>
        <v>0</v>
      </c>
      <c r="DN145" s="140">
        <f t="shared" si="241"/>
        <v>0</v>
      </c>
      <c r="DO145" s="140">
        <f t="shared" si="242"/>
        <v>0</v>
      </c>
      <c r="DP145" s="140">
        <f t="shared" si="243"/>
        <v>0</v>
      </c>
      <c r="DQ145" s="140">
        <f t="shared" si="244"/>
        <v>0</v>
      </c>
      <c r="DR145" s="140">
        <v>0</v>
      </c>
      <c r="DS145" s="140">
        <v>0</v>
      </c>
      <c r="DT145" s="140">
        <f t="shared" si="245"/>
        <v>0</v>
      </c>
      <c r="DU145" s="140">
        <f t="shared" si="246"/>
        <v>0</v>
      </c>
      <c r="DV145" s="457"/>
      <c r="DW145" s="457"/>
      <c r="DX145" s="140">
        <v>0</v>
      </c>
      <c r="DY145" s="140">
        <f t="shared" si="271"/>
        <v>0</v>
      </c>
      <c r="DZ145" s="140">
        <f t="shared" si="247"/>
        <v>0</v>
      </c>
      <c r="EA145" s="140">
        <f t="shared" si="248"/>
        <v>0</v>
      </c>
      <c r="EB145" s="140">
        <f t="shared" si="249"/>
        <v>0</v>
      </c>
      <c r="EC145" s="140">
        <f t="shared" si="250"/>
        <v>0</v>
      </c>
      <c r="ED145" s="140">
        <f t="shared" si="272"/>
        <v>0</v>
      </c>
    </row>
    <row r="146" spans="61:134" ht="17.25" thickTop="1" thickBot="1">
      <c r="BI146" s="141">
        <f t="shared" si="217"/>
        <v>0</v>
      </c>
      <c r="BJ146" s="141">
        <f t="shared" si="274"/>
        <v>0</v>
      </c>
      <c r="BK146" s="141" cm="1">
        <f t="array" ref="BK146">BI146*c_rate.Pref.MO</f>
        <v>0</v>
      </c>
      <c r="BL146" s="141">
        <f t="shared" si="219"/>
        <v>0</v>
      </c>
      <c r="BM146" s="141">
        <f t="shared" si="220"/>
        <v>0</v>
      </c>
      <c r="BN146" s="141">
        <f t="shared" si="251"/>
        <v>0</v>
      </c>
      <c r="BO146" s="141">
        <f t="shared" si="252"/>
        <v>0</v>
      </c>
      <c r="BP146" s="141">
        <f t="shared" si="253"/>
        <v>0</v>
      </c>
      <c r="BQ146" s="141">
        <f t="shared" si="221"/>
        <v>0</v>
      </c>
      <c r="BR146" s="516"/>
      <c r="BS146" s="141">
        <f t="shared" si="254"/>
        <v>0</v>
      </c>
      <c r="BT146" s="141">
        <f t="shared" si="222"/>
        <v>0</v>
      </c>
      <c r="BU146" s="141" cm="1">
        <f t="array" ref="BU146">IF(D146=0,0,BS146*(c_rate.Hurdle1.MO))</f>
        <v>0</v>
      </c>
      <c r="BV146" s="141">
        <f t="shared" si="255"/>
        <v>0</v>
      </c>
      <c r="BW146" s="141">
        <f t="shared" si="223"/>
        <v>0</v>
      </c>
      <c r="BX146" s="141">
        <f t="shared" si="256"/>
        <v>0</v>
      </c>
      <c r="BY146" s="141">
        <f t="shared" si="257"/>
        <v>0</v>
      </c>
      <c r="BZ146" s="141">
        <f t="shared" si="258"/>
        <v>0</v>
      </c>
      <c r="CA146" s="141">
        <f t="shared" si="224"/>
        <v>0</v>
      </c>
      <c r="CB146" s="141">
        <f t="shared" si="259"/>
        <v>0</v>
      </c>
      <c r="CC146" s="516"/>
      <c r="CD146" s="141">
        <f t="shared" si="260"/>
        <v>0</v>
      </c>
      <c r="CE146" s="141">
        <f t="shared" si="225"/>
        <v>0</v>
      </c>
      <c r="CF146" s="141" cm="1">
        <f t="array" ref="CF146">IF($D147=0,0,CD146*(c_rate.Hurdle2.MO))</f>
        <v>0</v>
      </c>
      <c r="CG146" s="141">
        <f t="shared" si="226"/>
        <v>0</v>
      </c>
      <c r="CH146" s="141">
        <f t="shared" si="261"/>
        <v>0</v>
      </c>
      <c r="CI146" s="141">
        <f t="shared" si="227"/>
        <v>0</v>
      </c>
      <c r="CJ146" s="141">
        <f t="shared" si="228"/>
        <v>0</v>
      </c>
      <c r="CK146" s="141">
        <f t="shared" si="229"/>
        <v>0</v>
      </c>
      <c r="CL146" s="141">
        <f t="shared" si="262"/>
        <v>0</v>
      </c>
      <c r="CM146" s="141">
        <f t="shared" si="230"/>
        <v>0</v>
      </c>
      <c r="CN146" s="141">
        <f t="shared" si="231"/>
        <v>0</v>
      </c>
      <c r="CO146" s="516"/>
      <c r="CP146" s="141">
        <f t="shared" si="263"/>
        <v>0</v>
      </c>
      <c r="CQ146" s="141">
        <f t="shared" si="232"/>
        <v>0</v>
      </c>
      <c r="CR146" s="141" cm="1">
        <f t="array" ref="CR146">IF($D147=0,0,CP146*(c_rate.Hurdle3.MO))</f>
        <v>0</v>
      </c>
      <c r="CS146" s="141">
        <f t="shared" si="233"/>
        <v>0</v>
      </c>
      <c r="CT146" s="141">
        <f t="shared" si="264"/>
        <v>0</v>
      </c>
      <c r="CU146" s="141">
        <f t="shared" si="234"/>
        <v>0</v>
      </c>
      <c r="CV146" s="141">
        <f t="shared" si="235"/>
        <v>0</v>
      </c>
      <c r="CW146" s="141">
        <f t="shared" si="265"/>
        <v>0</v>
      </c>
      <c r="CX146" s="141">
        <f t="shared" si="266"/>
        <v>0</v>
      </c>
      <c r="CY146" s="141">
        <f t="shared" si="267"/>
        <v>0</v>
      </c>
      <c r="CZ146" s="141">
        <f t="shared" si="268"/>
        <v>0</v>
      </c>
      <c r="DA146" s="516"/>
      <c r="DB146" s="141">
        <f t="shared" si="236"/>
        <v>0</v>
      </c>
      <c r="DC146" s="141">
        <f t="shared" si="237"/>
        <v>0</v>
      </c>
      <c r="DD146" s="518"/>
      <c r="DE146" s="141">
        <f t="shared" si="269"/>
        <v>0</v>
      </c>
      <c r="DF146" s="141">
        <f t="shared" si="270"/>
        <v>0</v>
      </c>
      <c r="DG146" s="141">
        <f t="shared" si="238"/>
        <v>0</v>
      </c>
      <c r="DH146" s="457"/>
      <c r="DI146" s="141">
        <v>0</v>
      </c>
      <c r="DJ146" s="141">
        <v>0</v>
      </c>
      <c r="DK146" s="141">
        <v>0</v>
      </c>
      <c r="DL146" s="141">
        <f t="shared" si="239"/>
        <v>0</v>
      </c>
      <c r="DM146" s="141">
        <f t="shared" si="240"/>
        <v>0</v>
      </c>
      <c r="DN146" s="141">
        <f t="shared" si="241"/>
        <v>0</v>
      </c>
      <c r="DO146" s="141">
        <f t="shared" si="242"/>
        <v>0</v>
      </c>
      <c r="DP146" s="141">
        <f t="shared" si="243"/>
        <v>0</v>
      </c>
      <c r="DQ146" s="141">
        <f t="shared" si="244"/>
        <v>0</v>
      </c>
      <c r="DR146" s="141">
        <v>0</v>
      </c>
      <c r="DS146" s="141">
        <v>0</v>
      </c>
      <c r="DT146" s="141">
        <f t="shared" si="245"/>
        <v>0</v>
      </c>
      <c r="DU146" s="141">
        <f t="shared" si="246"/>
        <v>0</v>
      </c>
      <c r="DV146" s="457"/>
      <c r="DW146" s="457"/>
      <c r="DX146" s="141">
        <v>0</v>
      </c>
      <c r="DY146" s="141">
        <f t="shared" si="271"/>
        <v>0</v>
      </c>
      <c r="DZ146" s="141">
        <f t="shared" si="247"/>
        <v>0</v>
      </c>
      <c r="EA146" s="141">
        <f t="shared" si="248"/>
        <v>0</v>
      </c>
      <c r="EB146" s="141">
        <f t="shared" si="249"/>
        <v>0</v>
      </c>
      <c r="EC146" s="141">
        <f t="shared" si="250"/>
        <v>0</v>
      </c>
      <c r="ED146" s="141">
        <f t="shared" si="272"/>
        <v>0</v>
      </c>
    </row>
    <row r="147" spans="61:134" ht="17.25" thickTop="1" thickBot="1">
      <c r="BI147" s="139">
        <f t="shared" si="217"/>
        <v>0</v>
      </c>
      <c r="BJ147" s="139">
        <f t="shared" si="274"/>
        <v>0</v>
      </c>
      <c r="BK147" s="139" cm="1">
        <f t="array" ref="BK147">BI147*c_rate.Pref.MO</f>
        <v>0</v>
      </c>
      <c r="BL147" s="139">
        <f t="shared" si="219"/>
        <v>0</v>
      </c>
      <c r="BM147" s="139">
        <f t="shared" si="220"/>
        <v>0</v>
      </c>
      <c r="BN147" s="139">
        <f t="shared" si="251"/>
        <v>0</v>
      </c>
      <c r="BO147" s="139">
        <f t="shared" si="252"/>
        <v>0</v>
      </c>
      <c r="BP147" s="139">
        <f t="shared" si="253"/>
        <v>0</v>
      </c>
      <c r="BQ147" s="139">
        <f t="shared" si="221"/>
        <v>0</v>
      </c>
      <c r="BR147" s="516"/>
      <c r="BS147" s="139">
        <f t="shared" si="254"/>
        <v>0</v>
      </c>
      <c r="BT147" s="139">
        <f t="shared" si="222"/>
        <v>0</v>
      </c>
      <c r="BU147" s="139" cm="1">
        <f t="array" ref="BU147">IF(D147=0,0,BS147*(c_rate.Hurdle1.MO))</f>
        <v>0</v>
      </c>
      <c r="BV147" s="139">
        <f t="shared" si="255"/>
        <v>0</v>
      </c>
      <c r="BW147" s="139">
        <f t="shared" si="223"/>
        <v>0</v>
      </c>
      <c r="BX147" s="139">
        <f t="shared" si="256"/>
        <v>0</v>
      </c>
      <c r="BY147" s="139">
        <f t="shared" si="257"/>
        <v>0</v>
      </c>
      <c r="BZ147" s="139">
        <f t="shared" si="258"/>
        <v>0</v>
      </c>
      <c r="CA147" s="139">
        <f t="shared" si="224"/>
        <v>0</v>
      </c>
      <c r="CB147" s="139">
        <f t="shared" si="259"/>
        <v>0</v>
      </c>
      <c r="CC147" s="516"/>
      <c r="CD147" s="139">
        <f t="shared" si="260"/>
        <v>0</v>
      </c>
      <c r="CE147" s="139">
        <f t="shared" si="225"/>
        <v>0</v>
      </c>
      <c r="CF147" s="139" cm="1">
        <f t="array" ref="CF147">IF($D148=0,0,CD147*(c_rate.Hurdle2.MO))</f>
        <v>0</v>
      </c>
      <c r="CG147" s="139">
        <f t="shared" si="226"/>
        <v>0</v>
      </c>
      <c r="CH147" s="139">
        <f t="shared" si="261"/>
        <v>0</v>
      </c>
      <c r="CI147" s="139">
        <f t="shared" si="227"/>
        <v>0</v>
      </c>
      <c r="CJ147" s="139">
        <f t="shared" si="228"/>
        <v>0</v>
      </c>
      <c r="CK147" s="139">
        <f t="shared" si="229"/>
        <v>0</v>
      </c>
      <c r="CL147" s="139">
        <f t="shared" si="262"/>
        <v>0</v>
      </c>
      <c r="CM147" s="139">
        <f t="shared" si="230"/>
        <v>0</v>
      </c>
      <c r="CN147" s="139">
        <f t="shared" si="231"/>
        <v>0</v>
      </c>
      <c r="CO147" s="516"/>
      <c r="CP147" s="139">
        <f t="shared" si="263"/>
        <v>0</v>
      </c>
      <c r="CQ147" s="139">
        <f t="shared" si="232"/>
        <v>0</v>
      </c>
      <c r="CR147" s="139" cm="1">
        <f t="array" ref="CR147">IF($D148=0,0,CP147*(c_rate.Hurdle3.MO))</f>
        <v>0</v>
      </c>
      <c r="CS147" s="139">
        <f t="shared" si="233"/>
        <v>0</v>
      </c>
      <c r="CT147" s="139">
        <f t="shared" si="264"/>
        <v>0</v>
      </c>
      <c r="CU147" s="139">
        <f t="shared" si="234"/>
        <v>0</v>
      </c>
      <c r="CV147" s="139">
        <f t="shared" si="235"/>
        <v>0</v>
      </c>
      <c r="CW147" s="139">
        <f t="shared" si="265"/>
        <v>0</v>
      </c>
      <c r="CX147" s="139">
        <f t="shared" si="266"/>
        <v>0</v>
      </c>
      <c r="CY147" s="139">
        <f t="shared" si="267"/>
        <v>0</v>
      </c>
      <c r="CZ147" s="139">
        <f t="shared" si="268"/>
        <v>0</v>
      </c>
      <c r="DA147" s="516"/>
      <c r="DB147" s="139">
        <f t="shared" si="236"/>
        <v>0</v>
      </c>
      <c r="DC147" s="139">
        <f t="shared" si="237"/>
        <v>0</v>
      </c>
      <c r="DD147" s="518"/>
      <c r="DE147" s="139">
        <f t="shared" si="269"/>
        <v>0</v>
      </c>
      <c r="DF147" s="139">
        <f t="shared" si="270"/>
        <v>0</v>
      </c>
      <c r="DG147" s="139">
        <f t="shared" si="238"/>
        <v>0</v>
      </c>
      <c r="DH147" s="457"/>
      <c r="DI147" s="139">
        <v>0</v>
      </c>
      <c r="DJ147" s="139">
        <v>0</v>
      </c>
      <c r="DK147" s="139">
        <v>0</v>
      </c>
      <c r="DL147" s="139">
        <f t="shared" si="239"/>
        <v>0</v>
      </c>
      <c r="DM147" s="139">
        <f t="shared" si="240"/>
        <v>0</v>
      </c>
      <c r="DN147" s="139">
        <f t="shared" si="241"/>
        <v>0</v>
      </c>
      <c r="DO147" s="139">
        <f t="shared" si="242"/>
        <v>0</v>
      </c>
      <c r="DP147" s="139">
        <f t="shared" si="243"/>
        <v>0</v>
      </c>
      <c r="DQ147" s="139">
        <f t="shared" si="244"/>
        <v>0</v>
      </c>
      <c r="DR147" s="139">
        <v>0</v>
      </c>
      <c r="DS147" s="139">
        <v>0</v>
      </c>
      <c r="DT147" s="139">
        <f t="shared" si="245"/>
        <v>0</v>
      </c>
      <c r="DU147" s="139">
        <f t="shared" si="246"/>
        <v>0</v>
      </c>
      <c r="DV147" s="457"/>
      <c r="DW147" s="457"/>
      <c r="DX147" s="139">
        <v>0</v>
      </c>
      <c r="DY147" s="139">
        <f t="shared" si="271"/>
        <v>0</v>
      </c>
      <c r="DZ147" s="139">
        <f t="shared" si="247"/>
        <v>0</v>
      </c>
      <c r="EA147" s="139">
        <f t="shared" si="248"/>
        <v>0</v>
      </c>
      <c r="EB147" s="139">
        <f t="shared" si="249"/>
        <v>0</v>
      </c>
      <c r="EC147" s="139">
        <f t="shared" si="250"/>
        <v>0</v>
      </c>
      <c r="ED147" s="139">
        <f t="shared" si="272"/>
        <v>0</v>
      </c>
    </row>
    <row r="148" spans="61:134" ht="17.25" thickTop="1" thickBot="1">
      <c r="BI148" s="140">
        <f t="shared" si="217"/>
        <v>0</v>
      </c>
      <c r="BJ148" s="140">
        <f t="shared" si="274"/>
        <v>0</v>
      </c>
      <c r="BK148" s="140" cm="1">
        <f t="array" ref="BK148">BI148*c_rate.Pref.MO</f>
        <v>0</v>
      </c>
      <c r="BL148" s="140">
        <f t="shared" si="219"/>
        <v>0</v>
      </c>
      <c r="BM148" s="140">
        <f t="shared" si="220"/>
        <v>0</v>
      </c>
      <c r="BN148" s="140">
        <f t="shared" si="251"/>
        <v>0</v>
      </c>
      <c r="BO148" s="140">
        <f t="shared" si="252"/>
        <v>0</v>
      </c>
      <c r="BP148" s="140">
        <f t="shared" si="253"/>
        <v>0</v>
      </c>
      <c r="BQ148" s="140">
        <f t="shared" si="221"/>
        <v>0</v>
      </c>
      <c r="BR148" s="516"/>
      <c r="BS148" s="140">
        <f t="shared" si="254"/>
        <v>0</v>
      </c>
      <c r="BT148" s="140">
        <f t="shared" si="222"/>
        <v>0</v>
      </c>
      <c r="BU148" s="140" cm="1">
        <f t="array" ref="BU148">IF(D148=0,0,BS148*(c_rate.Hurdle1.MO))</f>
        <v>0</v>
      </c>
      <c r="BV148" s="140">
        <f t="shared" si="255"/>
        <v>0</v>
      </c>
      <c r="BW148" s="140">
        <f t="shared" si="223"/>
        <v>0</v>
      </c>
      <c r="BX148" s="140">
        <f t="shared" si="256"/>
        <v>0</v>
      </c>
      <c r="BY148" s="140">
        <f t="shared" si="257"/>
        <v>0</v>
      </c>
      <c r="BZ148" s="140">
        <f t="shared" si="258"/>
        <v>0</v>
      </c>
      <c r="CA148" s="140">
        <f t="shared" si="224"/>
        <v>0</v>
      </c>
      <c r="CB148" s="140">
        <f t="shared" si="259"/>
        <v>0</v>
      </c>
      <c r="CC148" s="516"/>
      <c r="CD148" s="140">
        <f t="shared" si="260"/>
        <v>0</v>
      </c>
      <c r="CE148" s="140">
        <f t="shared" si="225"/>
        <v>0</v>
      </c>
      <c r="CF148" s="140" cm="1">
        <f t="array" ref="CF148">IF($D149=0,0,CD148*(c_rate.Hurdle2.MO))</f>
        <v>0</v>
      </c>
      <c r="CG148" s="140">
        <f t="shared" si="226"/>
        <v>0</v>
      </c>
      <c r="CH148" s="140">
        <f t="shared" si="261"/>
        <v>0</v>
      </c>
      <c r="CI148" s="140">
        <f t="shared" si="227"/>
        <v>0</v>
      </c>
      <c r="CJ148" s="140">
        <f t="shared" si="228"/>
        <v>0</v>
      </c>
      <c r="CK148" s="140">
        <f t="shared" si="229"/>
        <v>0</v>
      </c>
      <c r="CL148" s="140">
        <f t="shared" si="262"/>
        <v>0</v>
      </c>
      <c r="CM148" s="140">
        <f t="shared" si="230"/>
        <v>0</v>
      </c>
      <c r="CN148" s="140">
        <f t="shared" si="231"/>
        <v>0</v>
      </c>
      <c r="CO148" s="516"/>
      <c r="CP148" s="140">
        <f t="shared" si="263"/>
        <v>0</v>
      </c>
      <c r="CQ148" s="140">
        <f t="shared" si="232"/>
        <v>0</v>
      </c>
      <c r="CR148" s="140" cm="1">
        <f t="array" ref="CR148">IF($D149=0,0,CP148*(c_rate.Hurdle3.MO))</f>
        <v>0</v>
      </c>
      <c r="CS148" s="140">
        <f t="shared" si="233"/>
        <v>0</v>
      </c>
      <c r="CT148" s="140">
        <f t="shared" si="264"/>
        <v>0</v>
      </c>
      <c r="CU148" s="140">
        <f t="shared" si="234"/>
        <v>0</v>
      </c>
      <c r="CV148" s="140">
        <f t="shared" si="235"/>
        <v>0</v>
      </c>
      <c r="CW148" s="140">
        <f t="shared" si="265"/>
        <v>0</v>
      </c>
      <c r="CX148" s="140">
        <f t="shared" si="266"/>
        <v>0</v>
      </c>
      <c r="CY148" s="140">
        <f t="shared" si="267"/>
        <v>0</v>
      </c>
      <c r="CZ148" s="140">
        <f t="shared" si="268"/>
        <v>0</v>
      </c>
      <c r="DA148" s="516"/>
      <c r="DB148" s="140">
        <f t="shared" si="236"/>
        <v>0</v>
      </c>
      <c r="DC148" s="140">
        <f t="shared" si="237"/>
        <v>0</v>
      </c>
      <c r="DD148" s="518"/>
      <c r="DE148" s="140">
        <f t="shared" si="269"/>
        <v>0</v>
      </c>
      <c r="DF148" s="140">
        <f t="shared" si="270"/>
        <v>0</v>
      </c>
      <c r="DG148" s="140">
        <f t="shared" si="238"/>
        <v>0</v>
      </c>
      <c r="DH148" s="457"/>
      <c r="DI148" s="140">
        <v>0</v>
      </c>
      <c r="DJ148" s="140">
        <v>0</v>
      </c>
      <c r="DK148" s="140">
        <v>0</v>
      </c>
      <c r="DL148" s="140">
        <f t="shared" si="239"/>
        <v>0</v>
      </c>
      <c r="DM148" s="140">
        <f t="shared" si="240"/>
        <v>0</v>
      </c>
      <c r="DN148" s="140">
        <f t="shared" si="241"/>
        <v>0</v>
      </c>
      <c r="DO148" s="140">
        <f t="shared" si="242"/>
        <v>0</v>
      </c>
      <c r="DP148" s="140">
        <f t="shared" si="243"/>
        <v>0</v>
      </c>
      <c r="DQ148" s="140">
        <f t="shared" si="244"/>
        <v>0</v>
      </c>
      <c r="DR148" s="140">
        <v>0</v>
      </c>
      <c r="DS148" s="140">
        <v>0</v>
      </c>
      <c r="DT148" s="140">
        <f t="shared" si="245"/>
        <v>0</v>
      </c>
      <c r="DU148" s="140">
        <f t="shared" si="246"/>
        <v>0</v>
      </c>
      <c r="DV148" s="457"/>
      <c r="DW148" s="457"/>
      <c r="DX148" s="140">
        <v>0</v>
      </c>
      <c r="DY148" s="140">
        <f t="shared" si="271"/>
        <v>0</v>
      </c>
      <c r="DZ148" s="140">
        <f t="shared" si="247"/>
        <v>0</v>
      </c>
      <c r="EA148" s="140">
        <f t="shared" si="248"/>
        <v>0</v>
      </c>
      <c r="EB148" s="140">
        <f t="shared" si="249"/>
        <v>0</v>
      </c>
      <c r="EC148" s="140">
        <f t="shared" si="250"/>
        <v>0</v>
      </c>
      <c r="ED148" s="140">
        <f t="shared" si="272"/>
        <v>0</v>
      </c>
    </row>
    <row r="149" spans="61:134" ht="17.25" thickTop="1" thickBot="1">
      <c r="BI149" s="141">
        <f t="shared" si="217"/>
        <v>0</v>
      </c>
      <c r="BJ149" s="141">
        <f t="shared" si="274"/>
        <v>0</v>
      </c>
      <c r="BK149" s="141" cm="1">
        <f t="array" ref="BK149">BI149*c_rate.Pref.MO</f>
        <v>0</v>
      </c>
      <c r="BL149" s="141">
        <f t="shared" si="219"/>
        <v>0</v>
      </c>
      <c r="BM149" s="141">
        <f t="shared" si="220"/>
        <v>0</v>
      </c>
      <c r="BN149" s="141">
        <f t="shared" si="251"/>
        <v>0</v>
      </c>
      <c r="BO149" s="141">
        <f t="shared" si="252"/>
        <v>0</v>
      </c>
      <c r="BP149" s="141">
        <f t="shared" si="253"/>
        <v>0</v>
      </c>
      <c r="BQ149" s="141">
        <f t="shared" si="221"/>
        <v>0</v>
      </c>
      <c r="BR149" s="516"/>
      <c r="BS149" s="141">
        <f t="shared" si="254"/>
        <v>0</v>
      </c>
      <c r="BT149" s="141">
        <f t="shared" si="222"/>
        <v>0</v>
      </c>
      <c r="BU149" s="141" cm="1">
        <f t="array" ref="BU149">IF(D149=0,0,BS149*(c_rate.Hurdle1.MO))</f>
        <v>0</v>
      </c>
      <c r="BV149" s="141">
        <f t="shared" si="255"/>
        <v>0</v>
      </c>
      <c r="BW149" s="141">
        <f t="shared" si="223"/>
        <v>0</v>
      </c>
      <c r="BX149" s="141">
        <f t="shared" si="256"/>
        <v>0</v>
      </c>
      <c r="BY149" s="141">
        <f t="shared" si="257"/>
        <v>0</v>
      </c>
      <c r="BZ149" s="141">
        <f t="shared" si="258"/>
        <v>0</v>
      </c>
      <c r="CA149" s="141">
        <f t="shared" si="224"/>
        <v>0</v>
      </c>
      <c r="CB149" s="141">
        <f t="shared" si="259"/>
        <v>0</v>
      </c>
      <c r="CC149" s="516"/>
      <c r="CD149" s="141">
        <f t="shared" si="260"/>
        <v>0</v>
      </c>
      <c r="CE149" s="141">
        <f t="shared" si="225"/>
        <v>0</v>
      </c>
      <c r="CF149" s="141" cm="1">
        <f t="array" ref="CF149">IF($D150=0,0,CD149*(c_rate.Hurdle2.MO))</f>
        <v>0</v>
      </c>
      <c r="CG149" s="141">
        <f t="shared" si="226"/>
        <v>0</v>
      </c>
      <c r="CH149" s="141">
        <f t="shared" si="261"/>
        <v>0</v>
      </c>
      <c r="CI149" s="141">
        <f t="shared" si="227"/>
        <v>0</v>
      </c>
      <c r="CJ149" s="141">
        <f t="shared" si="228"/>
        <v>0</v>
      </c>
      <c r="CK149" s="141">
        <f t="shared" si="229"/>
        <v>0</v>
      </c>
      <c r="CL149" s="141">
        <f t="shared" si="262"/>
        <v>0</v>
      </c>
      <c r="CM149" s="141">
        <f t="shared" si="230"/>
        <v>0</v>
      </c>
      <c r="CN149" s="141">
        <f t="shared" si="231"/>
        <v>0</v>
      </c>
      <c r="CO149" s="516"/>
      <c r="CP149" s="141">
        <f t="shared" si="263"/>
        <v>0</v>
      </c>
      <c r="CQ149" s="141">
        <f t="shared" si="232"/>
        <v>0</v>
      </c>
      <c r="CR149" s="141" cm="1">
        <f t="array" ref="CR149">IF($D150=0,0,CP149*(c_rate.Hurdle3.MO))</f>
        <v>0</v>
      </c>
      <c r="CS149" s="141">
        <f t="shared" si="233"/>
        <v>0</v>
      </c>
      <c r="CT149" s="141">
        <f t="shared" si="264"/>
        <v>0</v>
      </c>
      <c r="CU149" s="141">
        <f t="shared" si="234"/>
        <v>0</v>
      </c>
      <c r="CV149" s="141">
        <f t="shared" si="235"/>
        <v>0</v>
      </c>
      <c r="CW149" s="141">
        <f t="shared" si="265"/>
        <v>0</v>
      </c>
      <c r="CX149" s="141">
        <f t="shared" si="266"/>
        <v>0</v>
      </c>
      <c r="CY149" s="141">
        <f t="shared" si="267"/>
        <v>0</v>
      </c>
      <c r="CZ149" s="141">
        <f t="shared" si="268"/>
        <v>0</v>
      </c>
      <c r="DA149" s="516"/>
      <c r="DB149" s="141">
        <f t="shared" si="236"/>
        <v>0</v>
      </c>
      <c r="DC149" s="141">
        <f t="shared" si="237"/>
        <v>0</v>
      </c>
      <c r="DD149" s="518"/>
      <c r="DE149" s="141">
        <f t="shared" si="269"/>
        <v>0</v>
      </c>
      <c r="DF149" s="141">
        <f t="shared" si="270"/>
        <v>0</v>
      </c>
      <c r="DG149" s="141">
        <f t="shared" si="238"/>
        <v>0</v>
      </c>
      <c r="DH149" s="457"/>
      <c r="DI149" s="141">
        <v>0</v>
      </c>
      <c r="DJ149" s="141">
        <v>0</v>
      </c>
      <c r="DK149" s="141">
        <v>0</v>
      </c>
      <c r="DL149" s="141">
        <f t="shared" si="239"/>
        <v>0</v>
      </c>
      <c r="DM149" s="141">
        <f t="shared" si="240"/>
        <v>0</v>
      </c>
      <c r="DN149" s="141">
        <f t="shared" si="241"/>
        <v>0</v>
      </c>
      <c r="DO149" s="141">
        <f t="shared" si="242"/>
        <v>0</v>
      </c>
      <c r="DP149" s="141">
        <f t="shared" si="243"/>
        <v>0</v>
      </c>
      <c r="DQ149" s="141">
        <f t="shared" si="244"/>
        <v>0</v>
      </c>
      <c r="DR149" s="141">
        <v>0</v>
      </c>
      <c r="DS149" s="141">
        <v>0</v>
      </c>
      <c r="DT149" s="141">
        <f t="shared" si="245"/>
        <v>0</v>
      </c>
      <c r="DU149" s="141">
        <f t="shared" si="246"/>
        <v>0</v>
      </c>
      <c r="DV149" s="457"/>
      <c r="DW149" s="457"/>
      <c r="DX149" s="141">
        <v>0</v>
      </c>
      <c r="DY149" s="141">
        <f t="shared" si="271"/>
        <v>0</v>
      </c>
      <c r="DZ149" s="141">
        <f t="shared" si="247"/>
        <v>0</v>
      </c>
      <c r="EA149" s="141">
        <f t="shared" si="248"/>
        <v>0</v>
      </c>
      <c r="EB149" s="141">
        <f t="shared" si="249"/>
        <v>0</v>
      </c>
      <c r="EC149" s="141">
        <f t="shared" si="250"/>
        <v>0</v>
      </c>
      <c r="ED149" s="141">
        <f t="shared" si="272"/>
        <v>0</v>
      </c>
    </row>
    <row r="150" spans="61:134" ht="17.25" thickTop="1" thickBot="1">
      <c r="BI150" s="139">
        <f t="shared" si="217"/>
        <v>0</v>
      </c>
      <c r="BJ150" s="139">
        <f t="shared" si="274"/>
        <v>0</v>
      </c>
      <c r="BK150" s="139" cm="1">
        <f t="array" ref="BK150">BI150*c_rate.Pref.MO</f>
        <v>0</v>
      </c>
      <c r="BL150" s="139">
        <f t="shared" si="219"/>
        <v>0</v>
      </c>
      <c r="BM150" s="139">
        <f t="shared" si="220"/>
        <v>0</v>
      </c>
      <c r="BN150" s="139">
        <f t="shared" si="251"/>
        <v>0</v>
      </c>
      <c r="BO150" s="139">
        <f t="shared" si="252"/>
        <v>0</v>
      </c>
      <c r="BP150" s="139">
        <f t="shared" si="253"/>
        <v>0</v>
      </c>
      <c r="BQ150" s="139">
        <f t="shared" si="221"/>
        <v>0</v>
      </c>
      <c r="BR150" s="516"/>
      <c r="BS150" s="139">
        <f t="shared" si="254"/>
        <v>0</v>
      </c>
      <c r="BT150" s="139">
        <f t="shared" si="222"/>
        <v>0</v>
      </c>
      <c r="BU150" s="139" cm="1">
        <f t="array" ref="BU150">IF(D150=0,0,BS150*(c_rate.Hurdle1.MO))</f>
        <v>0</v>
      </c>
      <c r="BV150" s="139">
        <f t="shared" si="255"/>
        <v>0</v>
      </c>
      <c r="BW150" s="139">
        <f t="shared" si="223"/>
        <v>0</v>
      </c>
      <c r="BX150" s="139">
        <f t="shared" si="256"/>
        <v>0</v>
      </c>
      <c r="BY150" s="139">
        <f t="shared" si="257"/>
        <v>0</v>
      </c>
      <c r="BZ150" s="139">
        <f t="shared" si="258"/>
        <v>0</v>
      </c>
      <c r="CA150" s="139">
        <f t="shared" si="224"/>
        <v>0</v>
      </c>
      <c r="CB150" s="139">
        <f t="shared" si="259"/>
        <v>0</v>
      </c>
      <c r="CC150" s="516"/>
      <c r="CD150" s="139">
        <f t="shared" si="260"/>
        <v>0</v>
      </c>
      <c r="CE150" s="139">
        <f t="shared" si="225"/>
        <v>0</v>
      </c>
      <c r="CF150" s="139" cm="1">
        <f t="array" ref="CF150">IF($D151=0,0,CD150*(c_rate.Hurdle2.MO))</f>
        <v>0</v>
      </c>
      <c r="CG150" s="139">
        <f t="shared" si="226"/>
        <v>0</v>
      </c>
      <c r="CH150" s="139">
        <f t="shared" si="261"/>
        <v>0</v>
      </c>
      <c r="CI150" s="139">
        <f t="shared" si="227"/>
        <v>0</v>
      </c>
      <c r="CJ150" s="139">
        <f t="shared" si="228"/>
        <v>0</v>
      </c>
      <c r="CK150" s="139">
        <f t="shared" si="229"/>
        <v>0</v>
      </c>
      <c r="CL150" s="139">
        <f t="shared" si="262"/>
        <v>0</v>
      </c>
      <c r="CM150" s="139">
        <f t="shared" si="230"/>
        <v>0</v>
      </c>
      <c r="CN150" s="139">
        <f t="shared" si="231"/>
        <v>0</v>
      </c>
      <c r="CO150" s="516"/>
      <c r="CP150" s="139">
        <f t="shared" si="263"/>
        <v>0</v>
      </c>
      <c r="CQ150" s="139">
        <f t="shared" si="232"/>
        <v>0</v>
      </c>
      <c r="CR150" s="139" cm="1">
        <f t="array" ref="CR150">IF($D151=0,0,CP150*(c_rate.Hurdle3.MO))</f>
        <v>0</v>
      </c>
      <c r="CS150" s="139">
        <f t="shared" si="233"/>
        <v>0</v>
      </c>
      <c r="CT150" s="139">
        <f t="shared" si="264"/>
        <v>0</v>
      </c>
      <c r="CU150" s="139">
        <f t="shared" si="234"/>
        <v>0</v>
      </c>
      <c r="CV150" s="139">
        <f t="shared" si="235"/>
        <v>0</v>
      </c>
      <c r="CW150" s="139">
        <f t="shared" si="265"/>
        <v>0</v>
      </c>
      <c r="CX150" s="139">
        <f t="shared" si="266"/>
        <v>0</v>
      </c>
      <c r="CY150" s="139">
        <f t="shared" si="267"/>
        <v>0</v>
      </c>
      <c r="CZ150" s="139">
        <f t="shared" si="268"/>
        <v>0</v>
      </c>
      <c r="DA150" s="516"/>
      <c r="DB150" s="139">
        <f t="shared" si="236"/>
        <v>0</v>
      </c>
      <c r="DC150" s="139">
        <f t="shared" si="237"/>
        <v>0</v>
      </c>
      <c r="DD150" s="518"/>
      <c r="DE150" s="139">
        <f t="shared" si="269"/>
        <v>0</v>
      </c>
      <c r="DF150" s="139">
        <f t="shared" si="270"/>
        <v>0</v>
      </c>
      <c r="DG150" s="139">
        <f t="shared" si="238"/>
        <v>0</v>
      </c>
      <c r="DH150" s="457"/>
      <c r="DI150" s="139">
        <v>0</v>
      </c>
      <c r="DJ150" s="139">
        <v>0</v>
      </c>
      <c r="DK150" s="139">
        <v>0</v>
      </c>
      <c r="DL150" s="139">
        <f t="shared" si="239"/>
        <v>0</v>
      </c>
      <c r="DM150" s="139">
        <f t="shared" si="240"/>
        <v>0</v>
      </c>
      <c r="DN150" s="139">
        <f t="shared" si="241"/>
        <v>0</v>
      </c>
      <c r="DO150" s="139">
        <f t="shared" si="242"/>
        <v>0</v>
      </c>
      <c r="DP150" s="139">
        <f t="shared" si="243"/>
        <v>0</v>
      </c>
      <c r="DQ150" s="139">
        <f t="shared" si="244"/>
        <v>0</v>
      </c>
      <c r="DR150" s="139">
        <v>0</v>
      </c>
      <c r="DS150" s="139">
        <v>0</v>
      </c>
      <c r="DT150" s="139">
        <f t="shared" si="245"/>
        <v>0</v>
      </c>
      <c r="DU150" s="139">
        <f t="shared" si="246"/>
        <v>0</v>
      </c>
      <c r="DV150" s="457"/>
      <c r="DW150" s="457"/>
      <c r="DX150" s="139">
        <v>0</v>
      </c>
      <c r="DY150" s="139">
        <f t="shared" si="271"/>
        <v>0</v>
      </c>
      <c r="DZ150" s="139">
        <f t="shared" si="247"/>
        <v>0</v>
      </c>
      <c r="EA150" s="139">
        <f t="shared" si="248"/>
        <v>0</v>
      </c>
      <c r="EB150" s="139">
        <f t="shared" si="249"/>
        <v>0</v>
      </c>
      <c r="EC150" s="139">
        <f t="shared" si="250"/>
        <v>0</v>
      </c>
      <c r="ED150" s="139">
        <f t="shared" si="272"/>
        <v>0</v>
      </c>
    </row>
    <row r="151" spans="61:134" ht="17.25" thickTop="1" thickBot="1">
      <c r="BI151" s="142">
        <f t="shared" si="217"/>
        <v>0</v>
      </c>
      <c r="BJ151" s="142">
        <f t="shared" si="274"/>
        <v>0</v>
      </c>
      <c r="BK151" s="142" cm="1">
        <f t="array" ref="BK151">BI151*c_rate.Pref.MO</f>
        <v>0</v>
      </c>
      <c r="BL151" s="142">
        <f t="shared" si="219"/>
        <v>0</v>
      </c>
      <c r="BM151" s="142">
        <f t="shared" si="220"/>
        <v>0</v>
      </c>
      <c r="BN151" s="142">
        <f t="shared" si="251"/>
        <v>0</v>
      </c>
      <c r="BO151" s="142">
        <f t="shared" si="252"/>
        <v>0</v>
      </c>
      <c r="BP151" s="142">
        <f t="shared" si="253"/>
        <v>0</v>
      </c>
      <c r="BQ151" s="142">
        <f t="shared" si="221"/>
        <v>0</v>
      </c>
      <c r="BR151" s="516"/>
      <c r="BS151" s="142">
        <f t="shared" si="254"/>
        <v>0</v>
      </c>
      <c r="BT151" s="142">
        <f t="shared" si="222"/>
        <v>0</v>
      </c>
      <c r="BU151" s="142" cm="1">
        <f t="array" ref="BU151">IF(D151=0,0,BS151*(c_rate.Hurdle1.MO))</f>
        <v>0</v>
      </c>
      <c r="BV151" s="142">
        <f t="shared" si="255"/>
        <v>0</v>
      </c>
      <c r="BW151" s="142">
        <f t="shared" si="223"/>
        <v>0</v>
      </c>
      <c r="BX151" s="142">
        <f t="shared" si="256"/>
        <v>0</v>
      </c>
      <c r="BY151" s="142">
        <f t="shared" si="257"/>
        <v>0</v>
      </c>
      <c r="BZ151" s="142">
        <f t="shared" si="258"/>
        <v>0</v>
      </c>
      <c r="CA151" s="142">
        <f t="shared" si="224"/>
        <v>0</v>
      </c>
      <c r="CB151" s="142">
        <f t="shared" si="259"/>
        <v>0</v>
      </c>
      <c r="CC151" s="516"/>
      <c r="CD151" s="142">
        <f t="shared" si="260"/>
        <v>0</v>
      </c>
      <c r="CE151" s="142">
        <f t="shared" si="225"/>
        <v>0</v>
      </c>
      <c r="CF151" s="142" cm="1">
        <f t="array" ref="CF151">IF($D152=0,0,CD151*(c_rate.Hurdle2.MO))</f>
        <v>0</v>
      </c>
      <c r="CG151" s="142">
        <f t="shared" si="226"/>
        <v>0</v>
      </c>
      <c r="CH151" s="142">
        <f t="shared" si="261"/>
        <v>0</v>
      </c>
      <c r="CI151" s="142">
        <f t="shared" si="227"/>
        <v>0</v>
      </c>
      <c r="CJ151" s="142">
        <f t="shared" si="228"/>
        <v>0</v>
      </c>
      <c r="CK151" s="142">
        <f t="shared" si="229"/>
        <v>0</v>
      </c>
      <c r="CL151" s="142">
        <f t="shared" si="262"/>
        <v>0</v>
      </c>
      <c r="CM151" s="142">
        <f t="shared" si="230"/>
        <v>0</v>
      </c>
      <c r="CN151" s="142">
        <f t="shared" si="231"/>
        <v>0</v>
      </c>
      <c r="CO151" s="516"/>
      <c r="CP151" s="142">
        <f t="shared" si="263"/>
        <v>0</v>
      </c>
      <c r="CQ151" s="142">
        <f t="shared" si="232"/>
        <v>0</v>
      </c>
      <c r="CR151" s="142" cm="1">
        <f t="array" ref="CR151">IF($D152=0,0,CP151*(c_rate.Hurdle3.MO))</f>
        <v>0</v>
      </c>
      <c r="CS151" s="142">
        <f t="shared" si="233"/>
        <v>0</v>
      </c>
      <c r="CT151" s="142">
        <f t="shared" si="264"/>
        <v>0</v>
      </c>
      <c r="CU151" s="142">
        <f t="shared" si="234"/>
        <v>0</v>
      </c>
      <c r="CV151" s="142">
        <f t="shared" si="235"/>
        <v>0</v>
      </c>
      <c r="CW151" s="142">
        <f t="shared" si="265"/>
        <v>0</v>
      </c>
      <c r="CX151" s="142">
        <f t="shared" si="266"/>
        <v>0</v>
      </c>
      <c r="CY151" s="142">
        <f t="shared" si="267"/>
        <v>0</v>
      </c>
      <c r="CZ151" s="142">
        <f t="shared" si="268"/>
        <v>0</v>
      </c>
      <c r="DA151" s="516"/>
      <c r="DB151" s="142">
        <f t="shared" si="236"/>
        <v>0</v>
      </c>
      <c r="DC151" s="142">
        <f t="shared" si="237"/>
        <v>0</v>
      </c>
      <c r="DD151" s="518"/>
      <c r="DE151" s="142">
        <f t="shared" si="269"/>
        <v>0</v>
      </c>
      <c r="DF151" s="142">
        <f t="shared" si="270"/>
        <v>0</v>
      </c>
      <c r="DG151" s="142">
        <f t="shared" si="238"/>
        <v>0</v>
      </c>
      <c r="DH151" s="457"/>
      <c r="DI151" s="142">
        <v>0</v>
      </c>
      <c r="DJ151" s="142">
        <v>0</v>
      </c>
      <c r="DK151" s="142">
        <v>0</v>
      </c>
      <c r="DL151" s="142">
        <f t="shared" si="239"/>
        <v>0</v>
      </c>
      <c r="DM151" s="142">
        <f t="shared" si="240"/>
        <v>0</v>
      </c>
      <c r="DN151" s="142">
        <f t="shared" si="241"/>
        <v>0</v>
      </c>
      <c r="DO151" s="142">
        <f t="shared" si="242"/>
        <v>0</v>
      </c>
      <c r="DP151" s="142">
        <f t="shared" si="243"/>
        <v>0</v>
      </c>
      <c r="DQ151" s="142">
        <f t="shared" si="244"/>
        <v>0</v>
      </c>
      <c r="DR151" s="142">
        <v>0</v>
      </c>
      <c r="DS151" s="142">
        <v>0</v>
      </c>
      <c r="DT151" s="142">
        <f t="shared" si="245"/>
        <v>0</v>
      </c>
      <c r="DU151" s="142">
        <f t="shared" si="246"/>
        <v>0</v>
      </c>
      <c r="DV151" s="457"/>
      <c r="DW151" s="457"/>
      <c r="DX151" s="142">
        <v>0</v>
      </c>
      <c r="DY151" s="142">
        <f t="shared" si="271"/>
        <v>0</v>
      </c>
      <c r="DZ151" s="142">
        <f t="shared" si="247"/>
        <v>0</v>
      </c>
      <c r="EA151" s="142">
        <f t="shared" si="248"/>
        <v>0</v>
      </c>
      <c r="EB151" s="142">
        <f t="shared" si="249"/>
        <v>0</v>
      </c>
      <c r="EC151" s="142">
        <f t="shared" si="250"/>
        <v>0</v>
      </c>
      <c r="ED151" s="142">
        <f t="shared" si="272"/>
        <v>0</v>
      </c>
    </row>
    <row r="152" spans="61:134" ht="17.25" thickTop="1" thickBot="1">
      <c r="BI152" s="138">
        <f t="shared" si="217"/>
        <v>0</v>
      </c>
      <c r="BJ152" s="138">
        <f t="shared" si="274"/>
        <v>0</v>
      </c>
      <c r="BK152" s="138" cm="1">
        <f t="array" ref="BK152">BI152*c_rate.Pref.MO</f>
        <v>0</v>
      </c>
      <c r="BL152" s="138">
        <f t="shared" si="219"/>
        <v>0</v>
      </c>
      <c r="BM152" s="138">
        <f t="shared" si="220"/>
        <v>0</v>
      </c>
      <c r="BN152" s="138">
        <f t="shared" si="251"/>
        <v>0</v>
      </c>
      <c r="BO152" s="138">
        <f t="shared" si="252"/>
        <v>0</v>
      </c>
      <c r="BP152" s="138">
        <f t="shared" si="253"/>
        <v>0</v>
      </c>
      <c r="BQ152" s="138">
        <f t="shared" si="221"/>
        <v>0</v>
      </c>
      <c r="BR152" s="516"/>
      <c r="BS152" s="138">
        <f t="shared" si="254"/>
        <v>0</v>
      </c>
      <c r="BT152" s="138">
        <f t="shared" si="222"/>
        <v>0</v>
      </c>
      <c r="BU152" s="138" cm="1">
        <f t="array" ref="BU152">IF(D152=0,0,BS152*(c_rate.Hurdle1.MO))</f>
        <v>0</v>
      </c>
      <c r="BV152" s="138">
        <f t="shared" si="255"/>
        <v>0</v>
      </c>
      <c r="BW152" s="138">
        <f t="shared" si="223"/>
        <v>0</v>
      </c>
      <c r="BX152" s="138">
        <f t="shared" si="256"/>
        <v>0</v>
      </c>
      <c r="BY152" s="138">
        <f t="shared" si="257"/>
        <v>0</v>
      </c>
      <c r="BZ152" s="138">
        <f t="shared" si="258"/>
        <v>0</v>
      </c>
      <c r="CA152" s="138">
        <f t="shared" si="224"/>
        <v>0</v>
      </c>
      <c r="CB152" s="138">
        <f t="shared" si="259"/>
        <v>0</v>
      </c>
      <c r="CC152" s="516"/>
      <c r="CD152" s="138">
        <f t="shared" si="260"/>
        <v>0</v>
      </c>
      <c r="CE152" s="138">
        <f t="shared" si="225"/>
        <v>0</v>
      </c>
      <c r="CF152" s="138" cm="1">
        <f t="array" ref="CF152">IF($D153=0,0,CD152*(c_rate.Hurdle2.MO))</f>
        <v>0</v>
      </c>
      <c r="CG152" s="138">
        <f t="shared" si="226"/>
        <v>0</v>
      </c>
      <c r="CH152" s="138">
        <f t="shared" si="261"/>
        <v>0</v>
      </c>
      <c r="CI152" s="138">
        <f t="shared" si="227"/>
        <v>0</v>
      </c>
      <c r="CJ152" s="138">
        <f t="shared" si="228"/>
        <v>0</v>
      </c>
      <c r="CK152" s="138">
        <f t="shared" si="229"/>
        <v>0</v>
      </c>
      <c r="CL152" s="138">
        <f t="shared" si="262"/>
        <v>0</v>
      </c>
      <c r="CM152" s="138">
        <f t="shared" si="230"/>
        <v>0</v>
      </c>
      <c r="CN152" s="138">
        <f t="shared" si="231"/>
        <v>0</v>
      </c>
      <c r="CO152" s="516"/>
      <c r="CP152" s="138">
        <f t="shared" si="263"/>
        <v>0</v>
      </c>
      <c r="CQ152" s="138">
        <f t="shared" si="232"/>
        <v>0</v>
      </c>
      <c r="CR152" s="138" cm="1">
        <f t="array" ref="CR152">IF($D153=0,0,CP152*(c_rate.Hurdle3.MO))</f>
        <v>0</v>
      </c>
      <c r="CS152" s="138">
        <f t="shared" si="233"/>
        <v>0</v>
      </c>
      <c r="CT152" s="138">
        <f t="shared" si="264"/>
        <v>0</v>
      </c>
      <c r="CU152" s="138">
        <f t="shared" si="234"/>
        <v>0</v>
      </c>
      <c r="CV152" s="138">
        <f t="shared" si="235"/>
        <v>0</v>
      </c>
      <c r="CW152" s="138">
        <f t="shared" si="265"/>
        <v>0</v>
      </c>
      <c r="CX152" s="138">
        <f t="shared" si="266"/>
        <v>0</v>
      </c>
      <c r="CY152" s="138">
        <f t="shared" si="267"/>
        <v>0</v>
      </c>
      <c r="CZ152" s="138">
        <f t="shared" si="268"/>
        <v>0</v>
      </c>
      <c r="DA152" s="516"/>
      <c r="DB152" s="138">
        <f t="shared" si="236"/>
        <v>0</v>
      </c>
      <c r="DC152" s="138">
        <f t="shared" si="237"/>
        <v>0</v>
      </c>
      <c r="DD152" s="518"/>
      <c r="DE152" s="138">
        <f t="shared" si="269"/>
        <v>0</v>
      </c>
      <c r="DF152" s="138">
        <f t="shared" si="270"/>
        <v>0</v>
      </c>
      <c r="DG152" s="138">
        <f t="shared" si="238"/>
        <v>0</v>
      </c>
      <c r="DH152" s="457"/>
      <c r="DI152" s="138">
        <v>0</v>
      </c>
      <c r="DJ152" s="138">
        <v>0</v>
      </c>
      <c r="DK152" s="138">
        <v>0</v>
      </c>
      <c r="DL152" s="138">
        <f t="shared" si="239"/>
        <v>0</v>
      </c>
      <c r="DM152" s="138">
        <f t="shared" si="240"/>
        <v>0</v>
      </c>
      <c r="DN152" s="138">
        <f t="shared" si="241"/>
        <v>0</v>
      </c>
      <c r="DO152" s="138">
        <f t="shared" si="242"/>
        <v>0</v>
      </c>
      <c r="DP152" s="138">
        <f t="shared" si="243"/>
        <v>0</v>
      </c>
      <c r="DQ152" s="138">
        <f t="shared" si="244"/>
        <v>0</v>
      </c>
      <c r="DR152" s="138">
        <v>0</v>
      </c>
      <c r="DS152" s="138">
        <v>0</v>
      </c>
      <c r="DT152" s="138">
        <f t="shared" si="245"/>
        <v>0</v>
      </c>
      <c r="DU152" s="138">
        <f t="shared" si="246"/>
        <v>0</v>
      </c>
      <c r="DV152" s="457"/>
      <c r="DW152" s="457"/>
      <c r="DX152" s="138">
        <v>0</v>
      </c>
      <c r="DY152" s="138">
        <f t="shared" si="271"/>
        <v>0</v>
      </c>
      <c r="DZ152" s="138">
        <f t="shared" si="247"/>
        <v>0</v>
      </c>
      <c r="EA152" s="138">
        <f t="shared" si="248"/>
        <v>0</v>
      </c>
      <c r="EB152" s="138">
        <f t="shared" si="249"/>
        <v>0</v>
      </c>
      <c r="EC152" s="138">
        <f t="shared" si="250"/>
        <v>0</v>
      </c>
      <c r="ED152" s="138">
        <f t="shared" si="272"/>
        <v>0</v>
      </c>
    </row>
    <row r="153" spans="61:134" ht="17.25" thickTop="1" thickBot="1">
      <c r="BI153" s="139">
        <f t="shared" si="217"/>
        <v>0</v>
      </c>
      <c r="BJ153" s="139">
        <f t="shared" si="274"/>
        <v>0</v>
      </c>
      <c r="BK153" s="139" cm="1">
        <f t="array" ref="BK153">BI153*c_rate.Pref.MO</f>
        <v>0</v>
      </c>
      <c r="BL153" s="139">
        <f t="shared" si="219"/>
        <v>0</v>
      </c>
      <c r="BM153" s="139">
        <f t="shared" si="220"/>
        <v>0</v>
      </c>
      <c r="BN153" s="139">
        <f t="shared" si="251"/>
        <v>0</v>
      </c>
      <c r="BO153" s="139">
        <f t="shared" si="252"/>
        <v>0</v>
      </c>
      <c r="BP153" s="139">
        <f t="shared" si="253"/>
        <v>0</v>
      </c>
      <c r="BQ153" s="139">
        <f t="shared" si="221"/>
        <v>0</v>
      </c>
      <c r="BR153" s="516"/>
      <c r="BS153" s="139">
        <f t="shared" si="254"/>
        <v>0</v>
      </c>
      <c r="BT153" s="139">
        <f t="shared" si="222"/>
        <v>0</v>
      </c>
      <c r="BU153" s="139" cm="1">
        <f t="array" ref="BU153">IF(D153=0,0,BS153*(c_rate.Hurdle1.MO))</f>
        <v>0</v>
      </c>
      <c r="BV153" s="139">
        <f t="shared" si="255"/>
        <v>0</v>
      </c>
      <c r="BW153" s="139">
        <f t="shared" si="223"/>
        <v>0</v>
      </c>
      <c r="BX153" s="139">
        <f t="shared" si="256"/>
        <v>0</v>
      </c>
      <c r="BY153" s="139">
        <f t="shared" si="257"/>
        <v>0</v>
      </c>
      <c r="BZ153" s="139">
        <f t="shared" si="258"/>
        <v>0</v>
      </c>
      <c r="CA153" s="139">
        <f t="shared" si="224"/>
        <v>0</v>
      </c>
      <c r="CB153" s="139">
        <f t="shared" si="259"/>
        <v>0</v>
      </c>
      <c r="CC153" s="516"/>
      <c r="CD153" s="139">
        <f t="shared" si="260"/>
        <v>0</v>
      </c>
      <c r="CE153" s="139">
        <f t="shared" si="225"/>
        <v>0</v>
      </c>
      <c r="CF153" s="139" cm="1">
        <f t="array" ref="CF153">IF($D154=0,0,CD153*(c_rate.Hurdle2.MO))</f>
        <v>0</v>
      </c>
      <c r="CG153" s="139">
        <f t="shared" si="226"/>
        <v>0</v>
      </c>
      <c r="CH153" s="139">
        <f t="shared" si="261"/>
        <v>0</v>
      </c>
      <c r="CI153" s="139">
        <f t="shared" si="227"/>
        <v>0</v>
      </c>
      <c r="CJ153" s="139">
        <f t="shared" si="228"/>
        <v>0</v>
      </c>
      <c r="CK153" s="139">
        <f t="shared" si="229"/>
        <v>0</v>
      </c>
      <c r="CL153" s="139">
        <f t="shared" si="262"/>
        <v>0</v>
      </c>
      <c r="CM153" s="139">
        <f t="shared" si="230"/>
        <v>0</v>
      </c>
      <c r="CN153" s="139">
        <f t="shared" si="231"/>
        <v>0</v>
      </c>
      <c r="CO153" s="516"/>
      <c r="CP153" s="139">
        <f t="shared" si="263"/>
        <v>0</v>
      </c>
      <c r="CQ153" s="139">
        <f t="shared" si="232"/>
        <v>0</v>
      </c>
      <c r="CR153" s="139" cm="1">
        <f t="array" ref="CR153">IF($D154=0,0,CP153*(c_rate.Hurdle3.MO))</f>
        <v>0</v>
      </c>
      <c r="CS153" s="139">
        <f t="shared" si="233"/>
        <v>0</v>
      </c>
      <c r="CT153" s="139">
        <f t="shared" si="264"/>
        <v>0</v>
      </c>
      <c r="CU153" s="139">
        <f t="shared" si="234"/>
        <v>0</v>
      </c>
      <c r="CV153" s="139">
        <f t="shared" si="235"/>
        <v>0</v>
      </c>
      <c r="CW153" s="139">
        <f t="shared" si="265"/>
        <v>0</v>
      </c>
      <c r="CX153" s="139">
        <f t="shared" si="266"/>
        <v>0</v>
      </c>
      <c r="CY153" s="139">
        <f t="shared" si="267"/>
        <v>0</v>
      </c>
      <c r="CZ153" s="139">
        <f t="shared" si="268"/>
        <v>0</v>
      </c>
      <c r="DA153" s="516"/>
      <c r="DB153" s="139">
        <f t="shared" si="236"/>
        <v>0</v>
      </c>
      <c r="DC153" s="139">
        <f t="shared" si="237"/>
        <v>0</v>
      </c>
      <c r="DD153" s="518"/>
      <c r="DE153" s="139">
        <f t="shared" si="269"/>
        <v>0</v>
      </c>
      <c r="DF153" s="139">
        <f t="shared" si="270"/>
        <v>0</v>
      </c>
      <c r="DG153" s="139">
        <f t="shared" si="238"/>
        <v>0</v>
      </c>
      <c r="DH153" s="457"/>
      <c r="DI153" s="139">
        <v>0</v>
      </c>
      <c r="DJ153" s="139">
        <v>0</v>
      </c>
      <c r="DK153" s="139">
        <v>0</v>
      </c>
      <c r="DL153" s="139">
        <f t="shared" si="239"/>
        <v>0</v>
      </c>
      <c r="DM153" s="139">
        <f t="shared" si="240"/>
        <v>0</v>
      </c>
      <c r="DN153" s="139">
        <f t="shared" si="241"/>
        <v>0</v>
      </c>
      <c r="DO153" s="139">
        <f t="shared" si="242"/>
        <v>0</v>
      </c>
      <c r="DP153" s="139">
        <f t="shared" si="243"/>
        <v>0</v>
      </c>
      <c r="DQ153" s="139">
        <f t="shared" si="244"/>
        <v>0</v>
      </c>
      <c r="DR153" s="139">
        <v>0</v>
      </c>
      <c r="DS153" s="139">
        <v>0</v>
      </c>
      <c r="DT153" s="139">
        <f t="shared" si="245"/>
        <v>0</v>
      </c>
      <c r="DU153" s="139">
        <f t="shared" si="246"/>
        <v>0</v>
      </c>
      <c r="DV153" s="457"/>
      <c r="DW153" s="457"/>
      <c r="DX153" s="139">
        <v>0</v>
      </c>
      <c r="DY153" s="139">
        <f t="shared" si="271"/>
        <v>0</v>
      </c>
      <c r="DZ153" s="139">
        <f t="shared" si="247"/>
        <v>0</v>
      </c>
      <c r="EA153" s="139">
        <f t="shared" si="248"/>
        <v>0</v>
      </c>
      <c r="EB153" s="139">
        <f t="shared" si="249"/>
        <v>0</v>
      </c>
      <c r="EC153" s="139">
        <f t="shared" si="250"/>
        <v>0</v>
      </c>
      <c r="ED153" s="139">
        <f t="shared" si="272"/>
        <v>0</v>
      </c>
    </row>
    <row r="154" spans="61:134" ht="17.25" thickTop="1" thickBot="1">
      <c r="BI154" s="140">
        <f t="shared" si="217"/>
        <v>0</v>
      </c>
      <c r="BJ154" s="140">
        <f t="shared" si="274"/>
        <v>0</v>
      </c>
      <c r="BK154" s="140" cm="1">
        <f t="array" ref="BK154">BI154*c_rate.Pref.MO</f>
        <v>0</v>
      </c>
      <c r="BL154" s="140">
        <f t="shared" si="219"/>
        <v>0</v>
      </c>
      <c r="BM154" s="140">
        <f t="shared" si="220"/>
        <v>0</v>
      </c>
      <c r="BN154" s="140">
        <f t="shared" si="251"/>
        <v>0</v>
      </c>
      <c r="BO154" s="140">
        <f t="shared" si="252"/>
        <v>0</v>
      </c>
      <c r="BP154" s="140">
        <f t="shared" si="253"/>
        <v>0</v>
      </c>
      <c r="BQ154" s="140">
        <f t="shared" si="221"/>
        <v>0</v>
      </c>
      <c r="BR154" s="516"/>
      <c r="BS154" s="140">
        <f t="shared" si="254"/>
        <v>0</v>
      </c>
      <c r="BT154" s="140">
        <f t="shared" si="222"/>
        <v>0</v>
      </c>
      <c r="BU154" s="140" cm="1">
        <f t="array" ref="BU154">IF(D154=0,0,BS154*(c_rate.Hurdle1.MO))</f>
        <v>0</v>
      </c>
      <c r="BV154" s="140">
        <f t="shared" si="255"/>
        <v>0</v>
      </c>
      <c r="BW154" s="140">
        <f t="shared" si="223"/>
        <v>0</v>
      </c>
      <c r="BX154" s="140">
        <f t="shared" si="256"/>
        <v>0</v>
      </c>
      <c r="BY154" s="140">
        <f t="shared" si="257"/>
        <v>0</v>
      </c>
      <c r="BZ154" s="140">
        <f t="shared" si="258"/>
        <v>0</v>
      </c>
      <c r="CA154" s="140">
        <f t="shared" si="224"/>
        <v>0</v>
      </c>
      <c r="CB154" s="140">
        <f t="shared" si="259"/>
        <v>0</v>
      </c>
      <c r="CC154" s="516"/>
      <c r="CD154" s="140">
        <f t="shared" si="260"/>
        <v>0</v>
      </c>
      <c r="CE154" s="140">
        <f t="shared" si="225"/>
        <v>0</v>
      </c>
      <c r="CF154" s="140" cm="1">
        <f t="array" ref="CF154">IF($D155=0,0,CD154*(c_rate.Hurdle2.MO))</f>
        <v>0</v>
      </c>
      <c r="CG154" s="140">
        <f t="shared" si="226"/>
        <v>0</v>
      </c>
      <c r="CH154" s="140">
        <f t="shared" si="261"/>
        <v>0</v>
      </c>
      <c r="CI154" s="140">
        <f t="shared" si="227"/>
        <v>0</v>
      </c>
      <c r="CJ154" s="140">
        <f t="shared" si="228"/>
        <v>0</v>
      </c>
      <c r="CK154" s="140">
        <f t="shared" si="229"/>
        <v>0</v>
      </c>
      <c r="CL154" s="140">
        <f t="shared" si="262"/>
        <v>0</v>
      </c>
      <c r="CM154" s="140">
        <f t="shared" si="230"/>
        <v>0</v>
      </c>
      <c r="CN154" s="140">
        <f t="shared" si="231"/>
        <v>0</v>
      </c>
      <c r="CO154" s="516"/>
      <c r="CP154" s="140">
        <f t="shared" si="263"/>
        <v>0</v>
      </c>
      <c r="CQ154" s="140">
        <f t="shared" si="232"/>
        <v>0</v>
      </c>
      <c r="CR154" s="140" cm="1">
        <f t="array" ref="CR154">IF($D155=0,0,CP154*(c_rate.Hurdle3.MO))</f>
        <v>0</v>
      </c>
      <c r="CS154" s="140">
        <f t="shared" si="233"/>
        <v>0</v>
      </c>
      <c r="CT154" s="140">
        <f t="shared" si="264"/>
        <v>0</v>
      </c>
      <c r="CU154" s="140">
        <f t="shared" si="234"/>
        <v>0</v>
      </c>
      <c r="CV154" s="140">
        <f t="shared" si="235"/>
        <v>0</v>
      </c>
      <c r="CW154" s="140">
        <f t="shared" si="265"/>
        <v>0</v>
      </c>
      <c r="CX154" s="140">
        <f t="shared" si="266"/>
        <v>0</v>
      </c>
      <c r="CY154" s="140">
        <f t="shared" si="267"/>
        <v>0</v>
      </c>
      <c r="CZ154" s="140">
        <f t="shared" si="268"/>
        <v>0</v>
      </c>
      <c r="DA154" s="516"/>
      <c r="DB154" s="140">
        <f t="shared" si="236"/>
        <v>0</v>
      </c>
      <c r="DC154" s="140">
        <f t="shared" si="237"/>
        <v>0</v>
      </c>
      <c r="DD154" s="518"/>
      <c r="DE154" s="140">
        <f t="shared" si="269"/>
        <v>0</v>
      </c>
      <c r="DF154" s="140">
        <f t="shared" si="270"/>
        <v>0</v>
      </c>
      <c r="DG154" s="140">
        <f t="shared" si="238"/>
        <v>0</v>
      </c>
      <c r="DH154" s="457"/>
      <c r="DI154" s="140">
        <v>0</v>
      </c>
      <c r="DJ154" s="140">
        <v>0</v>
      </c>
      <c r="DK154" s="140">
        <v>0</v>
      </c>
      <c r="DL154" s="140">
        <f t="shared" si="239"/>
        <v>0</v>
      </c>
      <c r="DM154" s="140">
        <f t="shared" si="240"/>
        <v>0</v>
      </c>
      <c r="DN154" s="140">
        <f t="shared" si="241"/>
        <v>0</v>
      </c>
      <c r="DO154" s="140">
        <f t="shared" si="242"/>
        <v>0</v>
      </c>
      <c r="DP154" s="140">
        <f t="shared" si="243"/>
        <v>0</v>
      </c>
      <c r="DQ154" s="140">
        <f t="shared" si="244"/>
        <v>0</v>
      </c>
      <c r="DR154" s="140">
        <v>0</v>
      </c>
      <c r="DS154" s="140">
        <v>0</v>
      </c>
      <c r="DT154" s="140">
        <f t="shared" si="245"/>
        <v>0</v>
      </c>
      <c r="DU154" s="140">
        <f t="shared" si="246"/>
        <v>0</v>
      </c>
      <c r="DV154" s="457"/>
      <c r="DW154" s="457"/>
      <c r="DX154" s="140">
        <v>0</v>
      </c>
      <c r="DY154" s="140">
        <f t="shared" si="271"/>
        <v>0</v>
      </c>
      <c r="DZ154" s="140">
        <f t="shared" si="247"/>
        <v>0</v>
      </c>
      <c r="EA154" s="140">
        <f t="shared" si="248"/>
        <v>0</v>
      </c>
      <c r="EB154" s="140">
        <f t="shared" si="249"/>
        <v>0</v>
      </c>
      <c r="EC154" s="140">
        <f t="shared" si="250"/>
        <v>0</v>
      </c>
      <c r="ED154" s="140">
        <f t="shared" si="272"/>
        <v>0</v>
      </c>
    </row>
    <row r="155" spans="61:134" ht="17.25" thickTop="1" thickBot="1">
      <c r="BI155" s="141">
        <f t="shared" si="217"/>
        <v>0</v>
      </c>
      <c r="BJ155" s="141">
        <f t="shared" si="274"/>
        <v>0</v>
      </c>
      <c r="BK155" s="141" cm="1">
        <f t="array" ref="BK155">BI155*c_rate.Pref.MO</f>
        <v>0</v>
      </c>
      <c r="BL155" s="141">
        <f t="shared" si="219"/>
        <v>0</v>
      </c>
      <c r="BM155" s="141">
        <f t="shared" si="220"/>
        <v>0</v>
      </c>
      <c r="BN155" s="141">
        <f t="shared" si="251"/>
        <v>0</v>
      </c>
      <c r="BO155" s="141">
        <f t="shared" si="252"/>
        <v>0</v>
      </c>
      <c r="BP155" s="141">
        <f t="shared" si="253"/>
        <v>0</v>
      </c>
      <c r="BQ155" s="141">
        <f t="shared" si="221"/>
        <v>0</v>
      </c>
      <c r="BR155" s="516"/>
      <c r="BS155" s="141">
        <f t="shared" si="254"/>
        <v>0</v>
      </c>
      <c r="BT155" s="141">
        <f t="shared" si="222"/>
        <v>0</v>
      </c>
      <c r="BU155" s="141" cm="1">
        <f t="array" ref="BU155">IF(D155=0,0,BS155*(c_rate.Hurdle1.MO))</f>
        <v>0</v>
      </c>
      <c r="BV155" s="141">
        <f t="shared" si="255"/>
        <v>0</v>
      </c>
      <c r="BW155" s="141">
        <f t="shared" si="223"/>
        <v>0</v>
      </c>
      <c r="BX155" s="141">
        <f t="shared" si="256"/>
        <v>0</v>
      </c>
      <c r="BY155" s="141">
        <f t="shared" si="257"/>
        <v>0</v>
      </c>
      <c r="BZ155" s="141">
        <f t="shared" si="258"/>
        <v>0</v>
      </c>
      <c r="CA155" s="141">
        <f t="shared" si="224"/>
        <v>0</v>
      </c>
      <c r="CB155" s="141">
        <f t="shared" si="259"/>
        <v>0</v>
      </c>
      <c r="CC155" s="516"/>
      <c r="CD155" s="141">
        <f t="shared" si="260"/>
        <v>0</v>
      </c>
      <c r="CE155" s="141">
        <f t="shared" si="225"/>
        <v>0</v>
      </c>
      <c r="CF155" s="141" cm="1">
        <f t="array" ref="CF155">IF($D156=0,0,CD155*(c_rate.Hurdle2.MO))</f>
        <v>0</v>
      </c>
      <c r="CG155" s="141">
        <f t="shared" si="226"/>
        <v>0</v>
      </c>
      <c r="CH155" s="141">
        <f t="shared" si="261"/>
        <v>0</v>
      </c>
      <c r="CI155" s="141">
        <f t="shared" si="227"/>
        <v>0</v>
      </c>
      <c r="CJ155" s="141">
        <f t="shared" si="228"/>
        <v>0</v>
      </c>
      <c r="CK155" s="141">
        <f t="shared" si="229"/>
        <v>0</v>
      </c>
      <c r="CL155" s="141">
        <f t="shared" si="262"/>
        <v>0</v>
      </c>
      <c r="CM155" s="141">
        <f t="shared" si="230"/>
        <v>0</v>
      </c>
      <c r="CN155" s="141">
        <f t="shared" si="231"/>
        <v>0</v>
      </c>
      <c r="CO155" s="516"/>
      <c r="CP155" s="141">
        <f t="shared" si="263"/>
        <v>0</v>
      </c>
      <c r="CQ155" s="141">
        <f t="shared" si="232"/>
        <v>0</v>
      </c>
      <c r="CR155" s="141" cm="1">
        <f t="array" ref="CR155">IF($D156=0,0,CP155*(c_rate.Hurdle3.MO))</f>
        <v>0</v>
      </c>
      <c r="CS155" s="141">
        <f t="shared" si="233"/>
        <v>0</v>
      </c>
      <c r="CT155" s="141">
        <f t="shared" si="264"/>
        <v>0</v>
      </c>
      <c r="CU155" s="141">
        <f t="shared" si="234"/>
        <v>0</v>
      </c>
      <c r="CV155" s="141">
        <f t="shared" si="235"/>
        <v>0</v>
      </c>
      <c r="CW155" s="141">
        <f t="shared" si="265"/>
        <v>0</v>
      </c>
      <c r="CX155" s="141">
        <f t="shared" si="266"/>
        <v>0</v>
      </c>
      <c r="CY155" s="141">
        <f t="shared" si="267"/>
        <v>0</v>
      </c>
      <c r="CZ155" s="141">
        <f t="shared" si="268"/>
        <v>0</v>
      </c>
      <c r="DA155" s="516"/>
      <c r="DB155" s="141">
        <f t="shared" si="236"/>
        <v>0</v>
      </c>
      <c r="DC155" s="141">
        <f t="shared" si="237"/>
        <v>0</v>
      </c>
      <c r="DD155" s="518"/>
      <c r="DE155" s="141">
        <f t="shared" si="269"/>
        <v>0</v>
      </c>
      <c r="DF155" s="141">
        <f t="shared" si="270"/>
        <v>0</v>
      </c>
      <c r="DG155" s="141">
        <f t="shared" si="238"/>
        <v>0</v>
      </c>
      <c r="DH155" s="457"/>
      <c r="DI155" s="141">
        <v>0</v>
      </c>
      <c r="DJ155" s="141">
        <v>0</v>
      </c>
      <c r="DK155" s="141">
        <v>0</v>
      </c>
      <c r="DL155" s="141">
        <f t="shared" si="239"/>
        <v>0</v>
      </c>
      <c r="DM155" s="141">
        <f t="shared" si="240"/>
        <v>0</v>
      </c>
      <c r="DN155" s="141">
        <f t="shared" si="241"/>
        <v>0</v>
      </c>
      <c r="DO155" s="141">
        <f t="shared" si="242"/>
        <v>0</v>
      </c>
      <c r="DP155" s="141">
        <f t="shared" si="243"/>
        <v>0</v>
      </c>
      <c r="DQ155" s="141">
        <f t="shared" si="244"/>
        <v>0</v>
      </c>
      <c r="DR155" s="141">
        <v>0</v>
      </c>
      <c r="DS155" s="141">
        <v>0</v>
      </c>
      <c r="DT155" s="141">
        <f t="shared" si="245"/>
        <v>0</v>
      </c>
      <c r="DU155" s="141">
        <f t="shared" si="246"/>
        <v>0</v>
      </c>
      <c r="DV155" s="457"/>
      <c r="DW155" s="457"/>
      <c r="DX155" s="141">
        <v>0</v>
      </c>
      <c r="DY155" s="141">
        <f t="shared" si="271"/>
        <v>0</v>
      </c>
      <c r="DZ155" s="141">
        <f t="shared" si="247"/>
        <v>0</v>
      </c>
      <c r="EA155" s="141">
        <f t="shared" si="248"/>
        <v>0</v>
      </c>
      <c r="EB155" s="141">
        <f t="shared" si="249"/>
        <v>0</v>
      </c>
      <c r="EC155" s="141">
        <f t="shared" si="250"/>
        <v>0</v>
      </c>
      <c r="ED155" s="141">
        <f t="shared" si="272"/>
        <v>0</v>
      </c>
    </row>
    <row r="156" spans="61:134" ht="17.25" thickTop="1" thickBot="1">
      <c r="BI156" s="139">
        <f t="shared" si="217"/>
        <v>0</v>
      </c>
      <c r="BJ156" s="139">
        <f t="shared" si="274"/>
        <v>0</v>
      </c>
      <c r="BK156" s="139" cm="1">
        <f t="array" ref="BK156">BI156*c_rate.Pref.MO</f>
        <v>0</v>
      </c>
      <c r="BL156" s="139">
        <f t="shared" si="219"/>
        <v>0</v>
      </c>
      <c r="BM156" s="139">
        <f t="shared" si="220"/>
        <v>0</v>
      </c>
      <c r="BN156" s="139">
        <f t="shared" si="251"/>
        <v>0</v>
      </c>
      <c r="BO156" s="139">
        <f t="shared" si="252"/>
        <v>0</v>
      </c>
      <c r="BP156" s="139">
        <f t="shared" si="253"/>
        <v>0</v>
      </c>
      <c r="BQ156" s="139">
        <f t="shared" si="221"/>
        <v>0</v>
      </c>
      <c r="BR156" s="516"/>
      <c r="BS156" s="139">
        <f t="shared" si="254"/>
        <v>0</v>
      </c>
      <c r="BT156" s="139">
        <f t="shared" si="222"/>
        <v>0</v>
      </c>
      <c r="BU156" s="139" cm="1">
        <f t="array" ref="BU156">IF(D156=0,0,BS156*(c_rate.Hurdle1.MO))</f>
        <v>0</v>
      </c>
      <c r="BV156" s="139">
        <f t="shared" si="255"/>
        <v>0</v>
      </c>
      <c r="BW156" s="139">
        <f t="shared" si="223"/>
        <v>0</v>
      </c>
      <c r="BX156" s="139">
        <f t="shared" si="256"/>
        <v>0</v>
      </c>
      <c r="BY156" s="139">
        <f t="shared" si="257"/>
        <v>0</v>
      </c>
      <c r="BZ156" s="139">
        <f t="shared" si="258"/>
        <v>0</v>
      </c>
      <c r="CA156" s="139">
        <f t="shared" si="224"/>
        <v>0</v>
      </c>
      <c r="CB156" s="139">
        <f t="shared" si="259"/>
        <v>0</v>
      </c>
      <c r="CC156" s="516"/>
      <c r="CD156" s="139">
        <f t="shared" si="260"/>
        <v>0</v>
      </c>
      <c r="CE156" s="139">
        <f t="shared" si="225"/>
        <v>0</v>
      </c>
      <c r="CF156" s="139" cm="1">
        <f t="array" ref="CF156">IF($D157=0,0,CD156*(c_rate.Hurdle2.MO))</f>
        <v>0</v>
      </c>
      <c r="CG156" s="139">
        <f t="shared" si="226"/>
        <v>0</v>
      </c>
      <c r="CH156" s="139">
        <f t="shared" si="261"/>
        <v>0</v>
      </c>
      <c r="CI156" s="139">
        <f t="shared" si="227"/>
        <v>0</v>
      </c>
      <c r="CJ156" s="139">
        <f t="shared" si="228"/>
        <v>0</v>
      </c>
      <c r="CK156" s="139">
        <f t="shared" si="229"/>
        <v>0</v>
      </c>
      <c r="CL156" s="139">
        <f t="shared" si="262"/>
        <v>0</v>
      </c>
      <c r="CM156" s="139">
        <f t="shared" si="230"/>
        <v>0</v>
      </c>
      <c r="CN156" s="139">
        <f t="shared" si="231"/>
        <v>0</v>
      </c>
      <c r="CO156" s="516"/>
      <c r="CP156" s="139">
        <f t="shared" si="263"/>
        <v>0</v>
      </c>
      <c r="CQ156" s="139">
        <f t="shared" si="232"/>
        <v>0</v>
      </c>
      <c r="CR156" s="139" cm="1">
        <f t="array" ref="CR156">IF($D157=0,0,CP156*(c_rate.Hurdle3.MO))</f>
        <v>0</v>
      </c>
      <c r="CS156" s="139">
        <f t="shared" si="233"/>
        <v>0</v>
      </c>
      <c r="CT156" s="139">
        <f t="shared" si="264"/>
        <v>0</v>
      </c>
      <c r="CU156" s="139">
        <f t="shared" si="234"/>
        <v>0</v>
      </c>
      <c r="CV156" s="139">
        <f t="shared" si="235"/>
        <v>0</v>
      </c>
      <c r="CW156" s="139">
        <f t="shared" si="265"/>
        <v>0</v>
      </c>
      <c r="CX156" s="139">
        <f t="shared" si="266"/>
        <v>0</v>
      </c>
      <c r="CY156" s="139">
        <f t="shared" si="267"/>
        <v>0</v>
      </c>
      <c r="CZ156" s="139">
        <f t="shared" si="268"/>
        <v>0</v>
      </c>
      <c r="DA156" s="516"/>
      <c r="DB156" s="139">
        <f t="shared" si="236"/>
        <v>0</v>
      </c>
      <c r="DC156" s="139">
        <f t="shared" si="237"/>
        <v>0</v>
      </c>
      <c r="DD156" s="518"/>
      <c r="DE156" s="139">
        <f t="shared" si="269"/>
        <v>0</v>
      </c>
      <c r="DF156" s="139">
        <f t="shared" si="270"/>
        <v>0</v>
      </c>
      <c r="DG156" s="139">
        <f t="shared" si="238"/>
        <v>0</v>
      </c>
      <c r="DH156" s="457"/>
      <c r="DI156" s="139">
        <v>0</v>
      </c>
      <c r="DJ156" s="139">
        <v>0</v>
      </c>
      <c r="DK156" s="139">
        <v>0</v>
      </c>
      <c r="DL156" s="139">
        <f t="shared" si="239"/>
        <v>0</v>
      </c>
      <c r="DM156" s="139">
        <f t="shared" si="240"/>
        <v>0</v>
      </c>
      <c r="DN156" s="139">
        <f t="shared" si="241"/>
        <v>0</v>
      </c>
      <c r="DO156" s="139">
        <f t="shared" si="242"/>
        <v>0</v>
      </c>
      <c r="DP156" s="139">
        <f t="shared" si="243"/>
        <v>0</v>
      </c>
      <c r="DQ156" s="139">
        <f t="shared" si="244"/>
        <v>0</v>
      </c>
      <c r="DR156" s="139">
        <v>0</v>
      </c>
      <c r="DS156" s="139">
        <v>0</v>
      </c>
      <c r="DT156" s="139">
        <f t="shared" si="245"/>
        <v>0</v>
      </c>
      <c r="DU156" s="139">
        <f t="shared" si="246"/>
        <v>0</v>
      </c>
      <c r="DV156" s="457"/>
      <c r="DW156" s="457"/>
      <c r="DX156" s="139">
        <v>0</v>
      </c>
      <c r="DY156" s="139">
        <f t="shared" si="271"/>
        <v>0</v>
      </c>
      <c r="DZ156" s="139">
        <f t="shared" si="247"/>
        <v>0</v>
      </c>
      <c r="EA156" s="139">
        <f t="shared" si="248"/>
        <v>0</v>
      </c>
      <c r="EB156" s="139">
        <f t="shared" si="249"/>
        <v>0</v>
      </c>
      <c r="EC156" s="139">
        <f t="shared" si="250"/>
        <v>0</v>
      </c>
      <c r="ED156" s="139">
        <f t="shared" si="272"/>
        <v>0</v>
      </c>
    </row>
    <row r="157" spans="61:134" ht="17.25" thickTop="1" thickBot="1">
      <c r="BI157" s="140">
        <f t="shared" si="217"/>
        <v>0</v>
      </c>
      <c r="BJ157" s="140">
        <f t="shared" si="274"/>
        <v>0</v>
      </c>
      <c r="BK157" s="140" cm="1">
        <f t="array" ref="BK157">BI157*c_rate.Pref.MO</f>
        <v>0</v>
      </c>
      <c r="BL157" s="140">
        <f t="shared" si="219"/>
        <v>0</v>
      </c>
      <c r="BM157" s="140">
        <f t="shared" si="220"/>
        <v>0</v>
      </c>
      <c r="BN157" s="140">
        <f t="shared" si="251"/>
        <v>0</v>
      </c>
      <c r="BO157" s="140">
        <f t="shared" si="252"/>
        <v>0</v>
      </c>
      <c r="BP157" s="140">
        <f t="shared" si="253"/>
        <v>0</v>
      </c>
      <c r="BQ157" s="140">
        <f t="shared" si="221"/>
        <v>0</v>
      </c>
      <c r="BR157" s="516"/>
      <c r="BS157" s="140">
        <f t="shared" si="254"/>
        <v>0</v>
      </c>
      <c r="BT157" s="140">
        <f t="shared" si="222"/>
        <v>0</v>
      </c>
      <c r="BU157" s="140" cm="1">
        <f t="array" ref="BU157">IF(D157=0,0,BS157*(c_rate.Hurdle1.MO))</f>
        <v>0</v>
      </c>
      <c r="BV157" s="140">
        <f t="shared" si="255"/>
        <v>0</v>
      </c>
      <c r="BW157" s="140">
        <f t="shared" si="223"/>
        <v>0</v>
      </c>
      <c r="BX157" s="140">
        <f t="shared" si="256"/>
        <v>0</v>
      </c>
      <c r="BY157" s="140">
        <f t="shared" si="257"/>
        <v>0</v>
      </c>
      <c r="BZ157" s="140">
        <f t="shared" si="258"/>
        <v>0</v>
      </c>
      <c r="CA157" s="140">
        <f t="shared" si="224"/>
        <v>0</v>
      </c>
      <c r="CB157" s="140">
        <f t="shared" si="259"/>
        <v>0</v>
      </c>
      <c r="CC157" s="516"/>
      <c r="CD157" s="140">
        <f t="shared" si="260"/>
        <v>0</v>
      </c>
      <c r="CE157" s="140">
        <f t="shared" si="225"/>
        <v>0</v>
      </c>
      <c r="CF157" s="140" cm="1">
        <f t="array" ref="CF157">IF($D158=0,0,CD157*(c_rate.Hurdle2.MO))</f>
        <v>0</v>
      </c>
      <c r="CG157" s="140">
        <f t="shared" si="226"/>
        <v>0</v>
      </c>
      <c r="CH157" s="140">
        <f t="shared" si="261"/>
        <v>0</v>
      </c>
      <c r="CI157" s="140">
        <f t="shared" si="227"/>
        <v>0</v>
      </c>
      <c r="CJ157" s="140">
        <f t="shared" si="228"/>
        <v>0</v>
      </c>
      <c r="CK157" s="140">
        <f t="shared" si="229"/>
        <v>0</v>
      </c>
      <c r="CL157" s="140">
        <f t="shared" si="262"/>
        <v>0</v>
      </c>
      <c r="CM157" s="140">
        <f t="shared" si="230"/>
        <v>0</v>
      </c>
      <c r="CN157" s="140">
        <f t="shared" si="231"/>
        <v>0</v>
      </c>
      <c r="CO157" s="516"/>
      <c r="CP157" s="140">
        <f t="shared" si="263"/>
        <v>0</v>
      </c>
      <c r="CQ157" s="140">
        <f t="shared" si="232"/>
        <v>0</v>
      </c>
      <c r="CR157" s="140" cm="1">
        <f t="array" ref="CR157">IF($D158=0,0,CP157*(c_rate.Hurdle3.MO))</f>
        <v>0</v>
      </c>
      <c r="CS157" s="140">
        <f t="shared" si="233"/>
        <v>0</v>
      </c>
      <c r="CT157" s="140">
        <f t="shared" si="264"/>
        <v>0</v>
      </c>
      <c r="CU157" s="140">
        <f t="shared" si="234"/>
        <v>0</v>
      </c>
      <c r="CV157" s="140">
        <f t="shared" si="235"/>
        <v>0</v>
      </c>
      <c r="CW157" s="140">
        <f t="shared" si="265"/>
        <v>0</v>
      </c>
      <c r="CX157" s="140">
        <f t="shared" si="266"/>
        <v>0</v>
      </c>
      <c r="CY157" s="140">
        <f t="shared" si="267"/>
        <v>0</v>
      </c>
      <c r="CZ157" s="140">
        <f t="shared" si="268"/>
        <v>0</v>
      </c>
      <c r="DA157" s="516"/>
      <c r="DB157" s="140">
        <f t="shared" si="236"/>
        <v>0</v>
      </c>
      <c r="DC157" s="140">
        <f t="shared" si="237"/>
        <v>0</v>
      </c>
      <c r="DD157" s="518"/>
      <c r="DE157" s="140">
        <f t="shared" si="269"/>
        <v>0</v>
      </c>
      <c r="DF157" s="140">
        <f t="shared" si="270"/>
        <v>0</v>
      </c>
      <c r="DG157" s="140">
        <f t="shared" si="238"/>
        <v>0</v>
      </c>
      <c r="DH157" s="457"/>
      <c r="DI157" s="140">
        <v>0</v>
      </c>
      <c r="DJ157" s="140">
        <v>0</v>
      </c>
      <c r="DK157" s="140">
        <v>0</v>
      </c>
      <c r="DL157" s="140">
        <f t="shared" si="239"/>
        <v>0</v>
      </c>
      <c r="DM157" s="140">
        <f t="shared" si="240"/>
        <v>0</v>
      </c>
      <c r="DN157" s="140">
        <f t="shared" si="241"/>
        <v>0</v>
      </c>
      <c r="DO157" s="140">
        <f t="shared" si="242"/>
        <v>0</v>
      </c>
      <c r="DP157" s="140">
        <f t="shared" si="243"/>
        <v>0</v>
      </c>
      <c r="DQ157" s="140">
        <f t="shared" si="244"/>
        <v>0</v>
      </c>
      <c r="DR157" s="140">
        <v>0</v>
      </c>
      <c r="DS157" s="140">
        <v>0</v>
      </c>
      <c r="DT157" s="140">
        <f t="shared" si="245"/>
        <v>0</v>
      </c>
      <c r="DU157" s="140">
        <f t="shared" si="246"/>
        <v>0</v>
      </c>
      <c r="DV157" s="457"/>
      <c r="DW157" s="457"/>
      <c r="DX157" s="140">
        <v>0</v>
      </c>
      <c r="DY157" s="140">
        <f t="shared" si="271"/>
        <v>0</v>
      </c>
      <c r="DZ157" s="140">
        <f t="shared" si="247"/>
        <v>0</v>
      </c>
      <c r="EA157" s="140">
        <f t="shared" si="248"/>
        <v>0</v>
      </c>
      <c r="EB157" s="140">
        <f t="shared" si="249"/>
        <v>0</v>
      </c>
      <c r="EC157" s="140">
        <f t="shared" si="250"/>
        <v>0</v>
      </c>
      <c r="ED157" s="140">
        <f t="shared" si="272"/>
        <v>0</v>
      </c>
    </row>
    <row r="158" spans="61:134" ht="17.25" thickTop="1" thickBot="1">
      <c r="BI158" s="141">
        <f t="shared" si="217"/>
        <v>0</v>
      </c>
      <c r="BJ158" s="141">
        <f t="shared" si="274"/>
        <v>0</v>
      </c>
      <c r="BK158" s="141" cm="1">
        <f t="array" ref="BK158">BI158*c_rate.Pref.MO</f>
        <v>0</v>
      </c>
      <c r="BL158" s="141">
        <f t="shared" si="219"/>
        <v>0</v>
      </c>
      <c r="BM158" s="141">
        <f t="shared" si="220"/>
        <v>0</v>
      </c>
      <c r="BN158" s="141">
        <f t="shared" si="251"/>
        <v>0</v>
      </c>
      <c r="BO158" s="141">
        <f t="shared" si="252"/>
        <v>0</v>
      </c>
      <c r="BP158" s="141">
        <f t="shared" si="253"/>
        <v>0</v>
      </c>
      <c r="BQ158" s="141">
        <f t="shared" si="221"/>
        <v>0</v>
      </c>
      <c r="BR158" s="516"/>
      <c r="BS158" s="141">
        <f t="shared" si="254"/>
        <v>0</v>
      </c>
      <c r="BT158" s="141">
        <f t="shared" si="222"/>
        <v>0</v>
      </c>
      <c r="BU158" s="141" cm="1">
        <f t="array" ref="BU158">IF(D158=0,0,BS158*(c_rate.Hurdle1.MO))</f>
        <v>0</v>
      </c>
      <c r="BV158" s="141">
        <f t="shared" si="255"/>
        <v>0</v>
      </c>
      <c r="BW158" s="141">
        <f t="shared" si="223"/>
        <v>0</v>
      </c>
      <c r="BX158" s="141">
        <f t="shared" si="256"/>
        <v>0</v>
      </c>
      <c r="BY158" s="141">
        <f t="shared" si="257"/>
        <v>0</v>
      </c>
      <c r="BZ158" s="141">
        <f t="shared" si="258"/>
        <v>0</v>
      </c>
      <c r="CA158" s="141">
        <f t="shared" si="224"/>
        <v>0</v>
      </c>
      <c r="CB158" s="141">
        <f t="shared" si="259"/>
        <v>0</v>
      </c>
      <c r="CC158" s="516"/>
      <c r="CD158" s="141">
        <f t="shared" si="260"/>
        <v>0</v>
      </c>
      <c r="CE158" s="141">
        <f t="shared" si="225"/>
        <v>0</v>
      </c>
      <c r="CF158" s="141" cm="1">
        <f t="array" ref="CF158">IF($D159=0,0,CD158*(c_rate.Hurdle2.MO))</f>
        <v>0</v>
      </c>
      <c r="CG158" s="141">
        <f t="shared" si="226"/>
        <v>0</v>
      </c>
      <c r="CH158" s="141">
        <f t="shared" si="261"/>
        <v>0</v>
      </c>
      <c r="CI158" s="141">
        <f t="shared" si="227"/>
        <v>0</v>
      </c>
      <c r="CJ158" s="141">
        <f t="shared" si="228"/>
        <v>0</v>
      </c>
      <c r="CK158" s="141">
        <f t="shared" si="229"/>
        <v>0</v>
      </c>
      <c r="CL158" s="141">
        <f t="shared" si="262"/>
        <v>0</v>
      </c>
      <c r="CM158" s="141">
        <f t="shared" si="230"/>
        <v>0</v>
      </c>
      <c r="CN158" s="141">
        <f t="shared" si="231"/>
        <v>0</v>
      </c>
      <c r="CO158" s="516"/>
      <c r="CP158" s="141">
        <f t="shared" si="263"/>
        <v>0</v>
      </c>
      <c r="CQ158" s="141">
        <f t="shared" si="232"/>
        <v>0</v>
      </c>
      <c r="CR158" s="141" cm="1">
        <f t="array" ref="CR158">IF($D159=0,0,CP158*(c_rate.Hurdle3.MO))</f>
        <v>0</v>
      </c>
      <c r="CS158" s="141">
        <f t="shared" si="233"/>
        <v>0</v>
      </c>
      <c r="CT158" s="141">
        <f t="shared" si="264"/>
        <v>0</v>
      </c>
      <c r="CU158" s="141">
        <f t="shared" si="234"/>
        <v>0</v>
      </c>
      <c r="CV158" s="141">
        <f t="shared" si="235"/>
        <v>0</v>
      </c>
      <c r="CW158" s="141">
        <f t="shared" si="265"/>
        <v>0</v>
      </c>
      <c r="CX158" s="141">
        <f t="shared" si="266"/>
        <v>0</v>
      </c>
      <c r="CY158" s="141">
        <f t="shared" si="267"/>
        <v>0</v>
      </c>
      <c r="CZ158" s="141">
        <f t="shared" si="268"/>
        <v>0</v>
      </c>
      <c r="DA158" s="516"/>
      <c r="DB158" s="141">
        <f t="shared" si="236"/>
        <v>0</v>
      </c>
      <c r="DC158" s="141">
        <f t="shared" si="237"/>
        <v>0</v>
      </c>
      <c r="DD158" s="518"/>
      <c r="DE158" s="141">
        <f t="shared" si="269"/>
        <v>0</v>
      </c>
      <c r="DF158" s="141">
        <f t="shared" si="270"/>
        <v>0</v>
      </c>
      <c r="DG158" s="141">
        <f t="shared" si="238"/>
        <v>0</v>
      </c>
      <c r="DH158" s="457"/>
      <c r="DI158" s="141">
        <v>0</v>
      </c>
      <c r="DJ158" s="141">
        <v>0</v>
      </c>
      <c r="DK158" s="141">
        <v>0</v>
      </c>
      <c r="DL158" s="141">
        <f t="shared" si="239"/>
        <v>0</v>
      </c>
      <c r="DM158" s="141">
        <f t="shared" si="240"/>
        <v>0</v>
      </c>
      <c r="DN158" s="141">
        <f t="shared" si="241"/>
        <v>0</v>
      </c>
      <c r="DO158" s="141">
        <f t="shared" si="242"/>
        <v>0</v>
      </c>
      <c r="DP158" s="141">
        <f t="shared" si="243"/>
        <v>0</v>
      </c>
      <c r="DQ158" s="141">
        <f t="shared" si="244"/>
        <v>0</v>
      </c>
      <c r="DR158" s="141">
        <v>0</v>
      </c>
      <c r="DS158" s="141">
        <v>0</v>
      </c>
      <c r="DT158" s="141">
        <f t="shared" si="245"/>
        <v>0</v>
      </c>
      <c r="DU158" s="141">
        <f t="shared" si="246"/>
        <v>0</v>
      </c>
      <c r="DV158" s="457"/>
      <c r="DW158" s="457"/>
      <c r="DX158" s="141">
        <v>0</v>
      </c>
      <c r="DY158" s="141">
        <f t="shared" si="271"/>
        <v>0</v>
      </c>
      <c r="DZ158" s="141">
        <f t="shared" si="247"/>
        <v>0</v>
      </c>
      <c r="EA158" s="141">
        <f t="shared" si="248"/>
        <v>0</v>
      </c>
      <c r="EB158" s="141">
        <f t="shared" si="249"/>
        <v>0</v>
      </c>
      <c r="EC158" s="141">
        <f t="shared" si="250"/>
        <v>0</v>
      </c>
      <c r="ED158" s="141">
        <f t="shared" si="272"/>
        <v>0</v>
      </c>
    </row>
    <row r="159" spans="61:134" ht="17.25" thickTop="1" thickBot="1">
      <c r="BI159" s="139">
        <f t="shared" si="217"/>
        <v>0</v>
      </c>
      <c r="BJ159" s="139">
        <f t="shared" si="274"/>
        <v>0</v>
      </c>
      <c r="BK159" s="139" cm="1">
        <f t="array" ref="BK159">BI159*c_rate.Pref.MO</f>
        <v>0</v>
      </c>
      <c r="BL159" s="139">
        <f t="shared" si="219"/>
        <v>0</v>
      </c>
      <c r="BM159" s="139">
        <f t="shared" si="220"/>
        <v>0</v>
      </c>
      <c r="BN159" s="139">
        <f t="shared" si="251"/>
        <v>0</v>
      </c>
      <c r="BO159" s="139">
        <f t="shared" si="252"/>
        <v>0</v>
      </c>
      <c r="BP159" s="139">
        <f t="shared" si="253"/>
        <v>0</v>
      </c>
      <c r="BQ159" s="139">
        <f t="shared" si="221"/>
        <v>0</v>
      </c>
      <c r="BR159" s="516"/>
      <c r="BS159" s="139">
        <f t="shared" si="254"/>
        <v>0</v>
      </c>
      <c r="BT159" s="139">
        <f t="shared" si="222"/>
        <v>0</v>
      </c>
      <c r="BU159" s="139" cm="1">
        <f t="array" ref="BU159">IF(D159=0,0,BS159*(c_rate.Hurdle1.MO))</f>
        <v>0</v>
      </c>
      <c r="BV159" s="139">
        <f t="shared" si="255"/>
        <v>0</v>
      </c>
      <c r="BW159" s="139">
        <f t="shared" si="223"/>
        <v>0</v>
      </c>
      <c r="BX159" s="139">
        <f t="shared" si="256"/>
        <v>0</v>
      </c>
      <c r="BY159" s="139">
        <f t="shared" si="257"/>
        <v>0</v>
      </c>
      <c r="BZ159" s="139">
        <f t="shared" si="258"/>
        <v>0</v>
      </c>
      <c r="CA159" s="139">
        <f t="shared" si="224"/>
        <v>0</v>
      </c>
      <c r="CB159" s="139">
        <f t="shared" si="259"/>
        <v>0</v>
      </c>
      <c r="CC159" s="516"/>
      <c r="CD159" s="139">
        <f t="shared" si="260"/>
        <v>0</v>
      </c>
      <c r="CE159" s="139">
        <f t="shared" si="225"/>
        <v>0</v>
      </c>
      <c r="CF159" s="139" cm="1">
        <f t="array" ref="CF159">IF($D160=0,0,CD159*(c_rate.Hurdle2.MO))</f>
        <v>0</v>
      </c>
      <c r="CG159" s="139">
        <f t="shared" si="226"/>
        <v>0</v>
      </c>
      <c r="CH159" s="139">
        <f t="shared" si="261"/>
        <v>0</v>
      </c>
      <c r="CI159" s="139">
        <f t="shared" si="227"/>
        <v>0</v>
      </c>
      <c r="CJ159" s="139">
        <f t="shared" si="228"/>
        <v>0</v>
      </c>
      <c r="CK159" s="139">
        <f t="shared" si="229"/>
        <v>0</v>
      </c>
      <c r="CL159" s="139">
        <f t="shared" si="262"/>
        <v>0</v>
      </c>
      <c r="CM159" s="139">
        <f t="shared" si="230"/>
        <v>0</v>
      </c>
      <c r="CN159" s="139">
        <f t="shared" si="231"/>
        <v>0</v>
      </c>
      <c r="CO159" s="516"/>
      <c r="CP159" s="139">
        <f t="shared" si="263"/>
        <v>0</v>
      </c>
      <c r="CQ159" s="139">
        <f t="shared" si="232"/>
        <v>0</v>
      </c>
      <c r="CR159" s="139" cm="1">
        <f t="array" ref="CR159">IF($D160=0,0,CP159*(c_rate.Hurdle3.MO))</f>
        <v>0</v>
      </c>
      <c r="CS159" s="139">
        <f t="shared" si="233"/>
        <v>0</v>
      </c>
      <c r="CT159" s="139">
        <f t="shared" si="264"/>
        <v>0</v>
      </c>
      <c r="CU159" s="139">
        <f t="shared" si="234"/>
        <v>0</v>
      </c>
      <c r="CV159" s="139">
        <f t="shared" si="235"/>
        <v>0</v>
      </c>
      <c r="CW159" s="139">
        <f t="shared" si="265"/>
        <v>0</v>
      </c>
      <c r="CX159" s="139">
        <f t="shared" si="266"/>
        <v>0</v>
      </c>
      <c r="CY159" s="139">
        <f t="shared" si="267"/>
        <v>0</v>
      </c>
      <c r="CZ159" s="139">
        <f t="shared" si="268"/>
        <v>0</v>
      </c>
      <c r="DA159" s="516"/>
      <c r="DB159" s="139">
        <f t="shared" si="236"/>
        <v>0</v>
      </c>
      <c r="DC159" s="139">
        <f t="shared" si="237"/>
        <v>0</v>
      </c>
      <c r="DD159" s="518"/>
      <c r="DE159" s="139">
        <f t="shared" si="269"/>
        <v>0</v>
      </c>
      <c r="DF159" s="139">
        <f t="shared" si="270"/>
        <v>0</v>
      </c>
      <c r="DG159" s="139">
        <f t="shared" si="238"/>
        <v>0</v>
      </c>
      <c r="DH159" s="457"/>
      <c r="DI159" s="139">
        <v>0</v>
      </c>
      <c r="DJ159" s="139">
        <v>0</v>
      </c>
      <c r="DK159" s="139">
        <v>0</v>
      </c>
      <c r="DL159" s="139">
        <f t="shared" si="239"/>
        <v>0</v>
      </c>
      <c r="DM159" s="139">
        <f t="shared" si="240"/>
        <v>0</v>
      </c>
      <c r="DN159" s="139">
        <f t="shared" si="241"/>
        <v>0</v>
      </c>
      <c r="DO159" s="139">
        <f t="shared" si="242"/>
        <v>0</v>
      </c>
      <c r="DP159" s="139">
        <f t="shared" si="243"/>
        <v>0</v>
      </c>
      <c r="DQ159" s="139">
        <f t="shared" si="244"/>
        <v>0</v>
      </c>
      <c r="DR159" s="139">
        <v>0</v>
      </c>
      <c r="DS159" s="139">
        <v>0</v>
      </c>
      <c r="DT159" s="139">
        <f t="shared" si="245"/>
        <v>0</v>
      </c>
      <c r="DU159" s="139">
        <f t="shared" si="246"/>
        <v>0</v>
      </c>
      <c r="DV159" s="457"/>
      <c r="DW159" s="457"/>
      <c r="DX159" s="139">
        <v>0</v>
      </c>
      <c r="DY159" s="139">
        <f t="shared" si="271"/>
        <v>0</v>
      </c>
      <c r="DZ159" s="139">
        <f t="shared" si="247"/>
        <v>0</v>
      </c>
      <c r="EA159" s="139">
        <f t="shared" si="248"/>
        <v>0</v>
      </c>
      <c r="EB159" s="139">
        <f t="shared" si="249"/>
        <v>0</v>
      </c>
      <c r="EC159" s="139">
        <f t="shared" si="250"/>
        <v>0</v>
      </c>
      <c r="ED159" s="139">
        <f t="shared" si="272"/>
        <v>0</v>
      </c>
    </row>
    <row r="160" spans="61:134" ht="17.25" thickTop="1" thickBot="1">
      <c r="BI160" s="140">
        <f t="shared" si="217"/>
        <v>0</v>
      </c>
      <c r="BJ160" s="140">
        <f t="shared" si="274"/>
        <v>0</v>
      </c>
      <c r="BK160" s="140" cm="1">
        <f t="array" ref="BK160">BI160*c_rate.Pref.MO</f>
        <v>0</v>
      </c>
      <c r="BL160" s="140">
        <f t="shared" si="219"/>
        <v>0</v>
      </c>
      <c r="BM160" s="140">
        <f t="shared" si="220"/>
        <v>0</v>
      </c>
      <c r="BN160" s="140">
        <f t="shared" si="251"/>
        <v>0</v>
      </c>
      <c r="BO160" s="140">
        <f t="shared" si="252"/>
        <v>0</v>
      </c>
      <c r="BP160" s="140">
        <f t="shared" si="253"/>
        <v>0</v>
      </c>
      <c r="BQ160" s="140">
        <f t="shared" si="221"/>
        <v>0</v>
      </c>
      <c r="BR160" s="516"/>
      <c r="BS160" s="140">
        <f t="shared" si="254"/>
        <v>0</v>
      </c>
      <c r="BT160" s="140">
        <f t="shared" si="222"/>
        <v>0</v>
      </c>
      <c r="BU160" s="140" cm="1">
        <f t="array" ref="BU160">IF(D160=0,0,BS160*(c_rate.Hurdle1.MO))</f>
        <v>0</v>
      </c>
      <c r="BV160" s="140">
        <f t="shared" si="255"/>
        <v>0</v>
      </c>
      <c r="BW160" s="140">
        <f t="shared" si="223"/>
        <v>0</v>
      </c>
      <c r="BX160" s="140">
        <f t="shared" si="256"/>
        <v>0</v>
      </c>
      <c r="BY160" s="140">
        <f t="shared" si="257"/>
        <v>0</v>
      </c>
      <c r="BZ160" s="140">
        <f t="shared" si="258"/>
        <v>0</v>
      </c>
      <c r="CA160" s="140">
        <f t="shared" si="224"/>
        <v>0</v>
      </c>
      <c r="CB160" s="140">
        <f t="shared" si="259"/>
        <v>0</v>
      </c>
      <c r="CC160" s="516"/>
      <c r="CD160" s="140">
        <f t="shared" si="260"/>
        <v>0</v>
      </c>
      <c r="CE160" s="140">
        <f t="shared" si="225"/>
        <v>0</v>
      </c>
      <c r="CF160" s="140" cm="1">
        <f t="array" ref="CF160">IF($D161=0,0,CD160*(c_rate.Hurdle2.MO))</f>
        <v>0</v>
      </c>
      <c r="CG160" s="140">
        <f t="shared" si="226"/>
        <v>0</v>
      </c>
      <c r="CH160" s="140">
        <f t="shared" si="261"/>
        <v>0</v>
      </c>
      <c r="CI160" s="140">
        <f t="shared" si="227"/>
        <v>0</v>
      </c>
      <c r="CJ160" s="140">
        <f t="shared" si="228"/>
        <v>0</v>
      </c>
      <c r="CK160" s="140">
        <f t="shared" si="229"/>
        <v>0</v>
      </c>
      <c r="CL160" s="140">
        <f t="shared" si="262"/>
        <v>0</v>
      </c>
      <c r="CM160" s="140">
        <f t="shared" si="230"/>
        <v>0</v>
      </c>
      <c r="CN160" s="140">
        <f t="shared" si="231"/>
        <v>0</v>
      </c>
      <c r="CO160" s="516"/>
      <c r="CP160" s="140">
        <f t="shared" si="263"/>
        <v>0</v>
      </c>
      <c r="CQ160" s="140">
        <f t="shared" si="232"/>
        <v>0</v>
      </c>
      <c r="CR160" s="140" cm="1">
        <f t="array" ref="CR160">IF($D161=0,0,CP160*(c_rate.Hurdle3.MO))</f>
        <v>0</v>
      </c>
      <c r="CS160" s="140">
        <f t="shared" si="233"/>
        <v>0</v>
      </c>
      <c r="CT160" s="140">
        <f t="shared" si="264"/>
        <v>0</v>
      </c>
      <c r="CU160" s="140">
        <f t="shared" si="234"/>
        <v>0</v>
      </c>
      <c r="CV160" s="140">
        <f t="shared" si="235"/>
        <v>0</v>
      </c>
      <c r="CW160" s="140">
        <f t="shared" si="265"/>
        <v>0</v>
      </c>
      <c r="CX160" s="140">
        <f t="shared" si="266"/>
        <v>0</v>
      </c>
      <c r="CY160" s="140">
        <f t="shared" si="267"/>
        <v>0</v>
      </c>
      <c r="CZ160" s="140">
        <f t="shared" si="268"/>
        <v>0</v>
      </c>
      <c r="DA160" s="516"/>
      <c r="DB160" s="140">
        <f t="shared" si="236"/>
        <v>0</v>
      </c>
      <c r="DC160" s="140">
        <f t="shared" si="237"/>
        <v>0</v>
      </c>
      <c r="DD160" s="518"/>
      <c r="DE160" s="140">
        <f t="shared" si="269"/>
        <v>0</v>
      </c>
      <c r="DF160" s="140">
        <f t="shared" si="270"/>
        <v>0</v>
      </c>
      <c r="DG160" s="140">
        <f t="shared" si="238"/>
        <v>0</v>
      </c>
      <c r="DH160" s="457"/>
      <c r="DI160" s="140">
        <v>0</v>
      </c>
      <c r="DJ160" s="140">
        <v>0</v>
      </c>
      <c r="DK160" s="140">
        <v>0</v>
      </c>
      <c r="DL160" s="140">
        <f t="shared" si="239"/>
        <v>0</v>
      </c>
      <c r="DM160" s="140">
        <f t="shared" si="240"/>
        <v>0</v>
      </c>
      <c r="DN160" s="140">
        <f t="shared" si="241"/>
        <v>0</v>
      </c>
      <c r="DO160" s="140">
        <f t="shared" si="242"/>
        <v>0</v>
      </c>
      <c r="DP160" s="140">
        <f t="shared" si="243"/>
        <v>0</v>
      </c>
      <c r="DQ160" s="140">
        <f t="shared" si="244"/>
        <v>0</v>
      </c>
      <c r="DR160" s="140">
        <v>0</v>
      </c>
      <c r="DS160" s="140">
        <v>0</v>
      </c>
      <c r="DT160" s="140">
        <f t="shared" si="245"/>
        <v>0</v>
      </c>
      <c r="DU160" s="140">
        <f t="shared" si="246"/>
        <v>0</v>
      </c>
      <c r="DV160" s="457"/>
      <c r="DW160" s="457"/>
      <c r="DX160" s="140">
        <v>0</v>
      </c>
      <c r="DY160" s="140">
        <f t="shared" si="271"/>
        <v>0</v>
      </c>
      <c r="DZ160" s="140">
        <f t="shared" si="247"/>
        <v>0</v>
      </c>
      <c r="EA160" s="140">
        <f t="shared" si="248"/>
        <v>0</v>
      </c>
      <c r="EB160" s="140">
        <f t="shared" si="249"/>
        <v>0</v>
      </c>
      <c r="EC160" s="140">
        <f t="shared" si="250"/>
        <v>0</v>
      </c>
      <c r="ED160" s="140">
        <f t="shared" si="272"/>
        <v>0</v>
      </c>
    </row>
    <row r="161" spans="61:134" ht="17.25" thickTop="1" thickBot="1">
      <c r="BI161" s="141">
        <f t="shared" si="217"/>
        <v>0</v>
      </c>
      <c r="BJ161" s="141">
        <f t="shared" si="274"/>
        <v>0</v>
      </c>
      <c r="BK161" s="141" cm="1">
        <f t="array" ref="BK161">BI161*c_rate.Pref.MO</f>
        <v>0</v>
      </c>
      <c r="BL161" s="141">
        <f t="shared" si="219"/>
        <v>0</v>
      </c>
      <c r="BM161" s="141">
        <f t="shared" si="220"/>
        <v>0</v>
      </c>
      <c r="BN161" s="141">
        <f t="shared" si="251"/>
        <v>0</v>
      </c>
      <c r="BO161" s="141">
        <f t="shared" si="252"/>
        <v>0</v>
      </c>
      <c r="BP161" s="141">
        <f t="shared" si="253"/>
        <v>0</v>
      </c>
      <c r="BQ161" s="141">
        <f t="shared" si="221"/>
        <v>0</v>
      </c>
      <c r="BR161" s="516"/>
      <c r="BS161" s="141">
        <f t="shared" si="254"/>
        <v>0</v>
      </c>
      <c r="BT161" s="141">
        <f t="shared" si="222"/>
        <v>0</v>
      </c>
      <c r="BU161" s="141" cm="1">
        <f t="array" ref="BU161">IF(D161=0,0,BS161*(c_rate.Hurdle1.MO))</f>
        <v>0</v>
      </c>
      <c r="BV161" s="141">
        <f t="shared" si="255"/>
        <v>0</v>
      </c>
      <c r="BW161" s="141">
        <f t="shared" si="223"/>
        <v>0</v>
      </c>
      <c r="BX161" s="141">
        <f t="shared" si="256"/>
        <v>0</v>
      </c>
      <c r="BY161" s="141">
        <f t="shared" si="257"/>
        <v>0</v>
      </c>
      <c r="BZ161" s="141">
        <f t="shared" si="258"/>
        <v>0</v>
      </c>
      <c r="CA161" s="141">
        <f t="shared" si="224"/>
        <v>0</v>
      </c>
      <c r="CB161" s="141">
        <f t="shared" si="259"/>
        <v>0</v>
      </c>
      <c r="CC161" s="516"/>
      <c r="CD161" s="141">
        <f t="shared" si="260"/>
        <v>0</v>
      </c>
      <c r="CE161" s="141">
        <f t="shared" si="225"/>
        <v>0</v>
      </c>
      <c r="CF161" s="141" cm="1">
        <f t="array" ref="CF161">IF($D162=0,0,CD161*(c_rate.Hurdle2.MO))</f>
        <v>0</v>
      </c>
      <c r="CG161" s="141">
        <f t="shared" si="226"/>
        <v>0</v>
      </c>
      <c r="CH161" s="141">
        <f t="shared" si="261"/>
        <v>0</v>
      </c>
      <c r="CI161" s="141">
        <f t="shared" si="227"/>
        <v>0</v>
      </c>
      <c r="CJ161" s="141">
        <f t="shared" si="228"/>
        <v>0</v>
      </c>
      <c r="CK161" s="141">
        <f t="shared" si="229"/>
        <v>0</v>
      </c>
      <c r="CL161" s="141">
        <f t="shared" si="262"/>
        <v>0</v>
      </c>
      <c r="CM161" s="141">
        <f t="shared" si="230"/>
        <v>0</v>
      </c>
      <c r="CN161" s="141">
        <f t="shared" si="231"/>
        <v>0</v>
      </c>
      <c r="CO161" s="516"/>
      <c r="CP161" s="141">
        <f t="shared" si="263"/>
        <v>0</v>
      </c>
      <c r="CQ161" s="141">
        <f t="shared" si="232"/>
        <v>0</v>
      </c>
      <c r="CR161" s="141" cm="1">
        <f t="array" ref="CR161">IF($D162=0,0,CP161*(c_rate.Hurdle3.MO))</f>
        <v>0</v>
      </c>
      <c r="CS161" s="141">
        <f t="shared" si="233"/>
        <v>0</v>
      </c>
      <c r="CT161" s="141">
        <f t="shared" si="264"/>
        <v>0</v>
      </c>
      <c r="CU161" s="141">
        <f t="shared" si="234"/>
        <v>0</v>
      </c>
      <c r="CV161" s="141">
        <f t="shared" si="235"/>
        <v>0</v>
      </c>
      <c r="CW161" s="141">
        <f t="shared" si="265"/>
        <v>0</v>
      </c>
      <c r="CX161" s="141">
        <f t="shared" si="266"/>
        <v>0</v>
      </c>
      <c r="CY161" s="141">
        <f t="shared" si="267"/>
        <v>0</v>
      </c>
      <c r="CZ161" s="141">
        <f t="shared" si="268"/>
        <v>0</v>
      </c>
      <c r="DA161" s="516"/>
      <c r="DB161" s="141">
        <f t="shared" si="236"/>
        <v>0</v>
      </c>
      <c r="DC161" s="141">
        <f t="shared" si="237"/>
        <v>0</v>
      </c>
      <c r="DD161" s="518"/>
      <c r="DE161" s="141">
        <f t="shared" si="269"/>
        <v>0</v>
      </c>
      <c r="DF161" s="141">
        <f t="shared" si="270"/>
        <v>0</v>
      </c>
      <c r="DG161" s="141">
        <f t="shared" si="238"/>
        <v>0</v>
      </c>
      <c r="DH161" s="457"/>
      <c r="DI161" s="141">
        <v>0</v>
      </c>
      <c r="DJ161" s="141">
        <v>0</v>
      </c>
      <c r="DK161" s="141">
        <v>0</v>
      </c>
      <c r="DL161" s="141">
        <f t="shared" si="239"/>
        <v>0</v>
      </c>
      <c r="DM161" s="141">
        <f t="shared" si="240"/>
        <v>0</v>
      </c>
      <c r="DN161" s="141">
        <f t="shared" si="241"/>
        <v>0</v>
      </c>
      <c r="DO161" s="141">
        <f t="shared" si="242"/>
        <v>0</v>
      </c>
      <c r="DP161" s="141">
        <f t="shared" si="243"/>
        <v>0</v>
      </c>
      <c r="DQ161" s="141">
        <f t="shared" si="244"/>
        <v>0</v>
      </c>
      <c r="DR161" s="141">
        <v>0</v>
      </c>
      <c r="DS161" s="141">
        <v>0</v>
      </c>
      <c r="DT161" s="141">
        <f t="shared" si="245"/>
        <v>0</v>
      </c>
      <c r="DU161" s="141">
        <f t="shared" si="246"/>
        <v>0</v>
      </c>
      <c r="DV161" s="457"/>
      <c r="DW161" s="457"/>
      <c r="DX161" s="141">
        <v>0</v>
      </c>
      <c r="DY161" s="141">
        <f t="shared" si="271"/>
        <v>0</v>
      </c>
      <c r="DZ161" s="141">
        <f t="shared" si="247"/>
        <v>0</v>
      </c>
      <c r="EA161" s="141">
        <f t="shared" si="248"/>
        <v>0</v>
      </c>
      <c r="EB161" s="141">
        <f t="shared" si="249"/>
        <v>0</v>
      </c>
      <c r="EC161" s="141">
        <f t="shared" si="250"/>
        <v>0</v>
      </c>
      <c r="ED161" s="141">
        <f t="shared" si="272"/>
        <v>0</v>
      </c>
    </row>
    <row r="162" spans="61:134" ht="17.25" thickTop="1" thickBot="1">
      <c r="BI162" s="139">
        <f t="shared" si="217"/>
        <v>0</v>
      </c>
      <c r="BJ162" s="139">
        <f t="shared" si="274"/>
        <v>0</v>
      </c>
      <c r="BK162" s="139" cm="1">
        <f t="array" ref="BK162">BI162*c_rate.Pref.MO</f>
        <v>0</v>
      </c>
      <c r="BL162" s="139">
        <f t="shared" si="219"/>
        <v>0</v>
      </c>
      <c r="BM162" s="139">
        <f t="shared" si="220"/>
        <v>0</v>
      </c>
      <c r="BN162" s="139">
        <f t="shared" si="251"/>
        <v>0</v>
      </c>
      <c r="BO162" s="139">
        <f t="shared" si="252"/>
        <v>0</v>
      </c>
      <c r="BP162" s="139">
        <f t="shared" si="253"/>
        <v>0</v>
      </c>
      <c r="BQ162" s="139">
        <f t="shared" si="221"/>
        <v>0</v>
      </c>
      <c r="BR162" s="516"/>
      <c r="BS162" s="139">
        <f t="shared" si="254"/>
        <v>0</v>
      </c>
      <c r="BT162" s="139">
        <f t="shared" si="222"/>
        <v>0</v>
      </c>
      <c r="BU162" s="139" cm="1">
        <f t="array" ref="BU162">IF(D162=0,0,BS162*(c_rate.Hurdle1.MO))</f>
        <v>0</v>
      </c>
      <c r="BV162" s="139">
        <f t="shared" si="255"/>
        <v>0</v>
      </c>
      <c r="BW162" s="139">
        <f t="shared" si="223"/>
        <v>0</v>
      </c>
      <c r="BX162" s="139">
        <f t="shared" si="256"/>
        <v>0</v>
      </c>
      <c r="BY162" s="139">
        <f t="shared" si="257"/>
        <v>0</v>
      </c>
      <c r="BZ162" s="139">
        <f t="shared" si="258"/>
        <v>0</v>
      </c>
      <c r="CA162" s="139">
        <f t="shared" si="224"/>
        <v>0</v>
      </c>
      <c r="CB162" s="139">
        <f t="shared" si="259"/>
        <v>0</v>
      </c>
      <c r="CC162" s="516"/>
      <c r="CD162" s="139">
        <f t="shared" si="260"/>
        <v>0</v>
      </c>
      <c r="CE162" s="139">
        <f t="shared" si="225"/>
        <v>0</v>
      </c>
      <c r="CF162" s="139" cm="1">
        <f t="array" ref="CF162">IF($D163=0,0,CD162*(c_rate.Hurdle2.MO))</f>
        <v>0</v>
      </c>
      <c r="CG162" s="139">
        <f t="shared" si="226"/>
        <v>0</v>
      </c>
      <c r="CH162" s="139">
        <f t="shared" si="261"/>
        <v>0</v>
      </c>
      <c r="CI162" s="139">
        <f t="shared" si="227"/>
        <v>0</v>
      </c>
      <c r="CJ162" s="139">
        <f t="shared" si="228"/>
        <v>0</v>
      </c>
      <c r="CK162" s="139">
        <f t="shared" si="229"/>
        <v>0</v>
      </c>
      <c r="CL162" s="139">
        <f t="shared" si="262"/>
        <v>0</v>
      </c>
      <c r="CM162" s="139">
        <f t="shared" si="230"/>
        <v>0</v>
      </c>
      <c r="CN162" s="139">
        <f t="shared" si="231"/>
        <v>0</v>
      </c>
      <c r="CO162" s="516"/>
      <c r="CP162" s="139">
        <f t="shared" si="263"/>
        <v>0</v>
      </c>
      <c r="CQ162" s="139">
        <f t="shared" si="232"/>
        <v>0</v>
      </c>
      <c r="CR162" s="139" cm="1">
        <f t="array" ref="CR162">IF($D163=0,0,CP162*(c_rate.Hurdle3.MO))</f>
        <v>0</v>
      </c>
      <c r="CS162" s="139">
        <f t="shared" si="233"/>
        <v>0</v>
      </c>
      <c r="CT162" s="139">
        <f t="shared" si="264"/>
        <v>0</v>
      </c>
      <c r="CU162" s="139">
        <f t="shared" si="234"/>
        <v>0</v>
      </c>
      <c r="CV162" s="139">
        <f t="shared" si="235"/>
        <v>0</v>
      </c>
      <c r="CW162" s="139">
        <f t="shared" si="265"/>
        <v>0</v>
      </c>
      <c r="CX162" s="139">
        <f t="shared" si="266"/>
        <v>0</v>
      </c>
      <c r="CY162" s="139">
        <f t="shared" si="267"/>
        <v>0</v>
      </c>
      <c r="CZ162" s="139">
        <f t="shared" si="268"/>
        <v>0</v>
      </c>
      <c r="DA162" s="516"/>
      <c r="DB162" s="139">
        <f t="shared" si="236"/>
        <v>0</v>
      </c>
      <c r="DC162" s="139">
        <f t="shared" si="237"/>
        <v>0</v>
      </c>
      <c r="DD162" s="518"/>
      <c r="DE162" s="139">
        <f t="shared" si="269"/>
        <v>0</v>
      </c>
      <c r="DF162" s="139">
        <f t="shared" si="270"/>
        <v>0</v>
      </c>
      <c r="DG162" s="139">
        <f t="shared" si="238"/>
        <v>0</v>
      </c>
      <c r="DH162" s="457"/>
      <c r="DI162" s="139">
        <v>0</v>
      </c>
      <c r="DJ162" s="139">
        <v>0</v>
      </c>
      <c r="DK162" s="139">
        <v>0</v>
      </c>
      <c r="DL162" s="139">
        <f t="shared" si="239"/>
        <v>0</v>
      </c>
      <c r="DM162" s="139">
        <f t="shared" si="240"/>
        <v>0</v>
      </c>
      <c r="DN162" s="139">
        <f t="shared" si="241"/>
        <v>0</v>
      </c>
      <c r="DO162" s="139">
        <f t="shared" si="242"/>
        <v>0</v>
      </c>
      <c r="DP162" s="139">
        <f t="shared" si="243"/>
        <v>0</v>
      </c>
      <c r="DQ162" s="139">
        <f t="shared" si="244"/>
        <v>0</v>
      </c>
      <c r="DR162" s="139">
        <v>0</v>
      </c>
      <c r="DS162" s="139">
        <v>0</v>
      </c>
      <c r="DT162" s="139">
        <f t="shared" si="245"/>
        <v>0</v>
      </c>
      <c r="DU162" s="139">
        <f t="shared" si="246"/>
        <v>0</v>
      </c>
      <c r="DV162" s="457"/>
      <c r="DW162" s="457"/>
      <c r="DX162" s="139">
        <v>0</v>
      </c>
      <c r="DY162" s="139">
        <f t="shared" si="271"/>
        <v>0</v>
      </c>
      <c r="DZ162" s="139">
        <f t="shared" si="247"/>
        <v>0</v>
      </c>
      <c r="EA162" s="139">
        <f t="shared" si="248"/>
        <v>0</v>
      </c>
      <c r="EB162" s="139">
        <f t="shared" si="249"/>
        <v>0</v>
      </c>
      <c r="EC162" s="139">
        <f t="shared" si="250"/>
        <v>0</v>
      </c>
      <c r="ED162" s="139">
        <f t="shared" si="272"/>
        <v>0</v>
      </c>
    </row>
    <row r="163" spans="61:134" ht="17.25" thickTop="1" thickBot="1">
      <c r="BI163" s="142">
        <f t="shared" si="217"/>
        <v>0</v>
      </c>
      <c r="BJ163" s="142">
        <f t="shared" si="274"/>
        <v>0</v>
      </c>
      <c r="BK163" s="142" cm="1">
        <f t="array" ref="BK163">BI163*c_rate.Pref.MO</f>
        <v>0</v>
      </c>
      <c r="BL163" s="142">
        <f t="shared" si="219"/>
        <v>0</v>
      </c>
      <c r="BM163" s="142">
        <f t="shared" si="220"/>
        <v>0</v>
      </c>
      <c r="BN163" s="142">
        <f t="shared" si="251"/>
        <v>0</v>
      </c>
      <c r="BO163" s="142">
        <f t="shared" si="252"/>
        <v>0</v>
      </c>
      <c r="BP163" s="142">
        <f t="shared" si="253"/>
        <v>0</v>
      </c>
      <c r="BQ163" s="142">
        <f t="shared" si="221"/>
        <v>0</v>
      </c>
      <c r="BR163" s="516"/>
      <c r="BS163" s="142">
        <f t="shared" si="254"/>
        <v>0</v>
      </c>
      <c r="BT163" s="142">
        <f t="shared" si="222"/>
        <v>0</v>
      </c>
      <c r="BU163" s="142" cm="1">
        <f t="array" ref="BU163">IF(D163=0,0,BS163*(c_rate.Hurdle1.MO))</f>
        <v>0</v>
      </c>
      <c r="BV163" s="142">
        <f t="shared" si="255"/>
        <v>0</v>
      </c>
      <c r="BW163" s="142">
        <f t="shared" si="223"/>
        <v>0</v>
      </c>
      <c r="BX163" s="142">
        <f t="shared" si="256"/>
        <v>0</v>
      </c>
      <c r="BY163" s="142">
        <f t="shared" si="257"/>
        <v>0</v>
      </c>
      <c r="BZ163" s="142">
        <f t="shared" si="258"/>
        <v>0</v>
      </c>
      <c r="CA163" s="142">
        <f t="shared" si="224"/>
        <v>0</v>
      </c>
      <c r="CB163" s="142">
        <f t="shared" si="259"/>
        <v>0</v>
      </c>
      <c r="CC163" s="516"/>
      <c r="CD163" s="142">
        <f t="shared" si="260"/>
        <v>0</v>
      </c>
      <c r="CE163" s="142">
        <f t="shared" si="225"/>
        <v>0</v>
      </c>
      <c r="CF163" s="142" cm="1">
        <f t="array" ref="CF163">IF($D164=0,0,CD163*(c_rate.Hurdle2.MO))</f>
        <v>0</v>
      </c>
      <c r="CG163" s="142">
        <f t="shared" si="226"/>
        <v>0</v>
      </c>
      <c r="CH163" s="142">
        <f t="shared" si="261"/>
        <v>0</v>
      </c>
      <c r="CI163" s="142">
        <f t="shared" si="227"/>
        <v>0</v>
      </c>
      <c r="CJ163" s="142">
        <f t="shared" si="228"/>
        <v>0</v>
      </c>
      <c r="CK163" s="142">
        <f t="shared" si="229"/>
        <v>0</v>
      </c>
      <c r="CL163" s="142">
        <f t="shared" si="262"/>
        <v>0</v>
      </c>
      <c r="CM163" s="142">
        <f t="shared" si="230"/>
        <v>0</v>
      </c>
      <c r="CN163" s="142">
        <f t="shared" si="231"/>
        <v>0</v>
      </c>
      <c r="CO163" s="516"/>
      <c r="CP163" s="142">
        <f t="shared" si="263"/>
        <v>0</v>
      </c>
      <c r="CQ163" s="142">
        <f t="shared" si="232"/>
        <v>0</v>
      </c>
      <c r="CR163" s="142" cm="1">
        <f t="array" ref="CR163">IF($D164=0,0,CP163*(c_rate.Hurdle3.MO))</f>
        <v>0</v>
      </c>
      <c r="CS163" s="142">
        <f t="shared" si="233"/>
        <v>0</v>
      </c>
      <c r="CT163" s="142">
        <f t="shared" si="264"/>
        <v>0</v>
      </c>
      <c r="CU163" s="142">
        <f t="shared" si="234"/>
        <v>0</v>
      </c>
      <c r="CV163" s="142">
        <f t="shared" si="235"/>
        <v>0</v>
      </c>
      <c r="CW163" s="142">
        <f t="shared" si="265"/>
        <v>0</v>
      </c>
      <c r="CX163" s="142">
        <f t="shared" si="266"/>
        <v>0</v>
      </c>
      <c r="CY163" s="142">
        <f t="shared" si="267"/>
        <v>0</v>
      </c>
      <c r="CZ163" s="142">
        <f t="shared" si="268"/>
        <v>0</v>
      </c>
      <c r="DA163" s="516"/>
      <c r="DB163" s="142">
        <f t="shared" si="236"/>
        <v>0</v>
      </c>
      <c r="DC163" s="142">
        <f t="shared" si="237"/>
        <v>0</v>
      </c>
      <c r="DD163" s="518"/>
      <c r="DE163" s="142">
        <f t="shared" si="269"/>
        <v>0</v>
      </c>
      <c r="DF163" s="142">
        <f t="shared" si="270"/>
        <v>0</v>
      </c>
      <c r="DG163" s="142">
        <f t="shared" si="238"/>
        <v>0</v>
      </c>
      <c r="DH163" s="457"/>
      <c r="DI163" s="142">
        <v>0</v>
      </c>
      <c r="DJ163" s="142">
        <v>0</v>
      </c>
      <c r="DK163" s="142">
        <v>0</v>
      </c>
      <c r="DL163" s="142">
        <f t="shared" si="239"/>
        <v>0</v>
      </c>
      <c r="DM163" s="142">
        <f t="shared" si="240"/>
        <v>0</v>
      </c>
      <c r="DN163" s="142">
        <f t="shared" si="241"/>
        <v>0</v>
      </c>
      <c r="DO163" s="142">
        <f t="shared" si="242"/>
        <v>0</v>
      </c>
      <c r="DP163" s="142">
        <f t="shared" si="243"/>
        <v>0</v>
      </c>
      <c r="DQ163" s="142">
        <f t="shared" si="244"/>
        <v>0</v>
      </c>
      <c r="DR163" s="142">
        <v>0</v>
      </c>
      <c r="DS163" s="142">
        <v>0</v>
      </c>
      <c r="DT163" s="142">
        <f t="shared" si="245"/>
        <v>0</v>
      </c>
      <c r="DU163" s="142">
        <f t="shared" si="246"/>
        <v>0</v>
      </c>
      <c r="DV163" s="457"/>
      <c r="DW163" s="457"/>
      <c r="DX163" s="142">
        <v>0</v>
      </c>
      <c r="DY163" s="142">
        <f t="shared" si="271"/>
        <v>0</v>
      </c>
      <c r="DZ163" s="142">
        <f t="shared" si="247"/>
        <v>0</v>
      </c>
      <c r="EA163" s="142">
        <f t="shared" si="248"/>
        <v>0</v>
      </c>
      <c r="EB163" s="142">
        <f t="shared" si="249"/>
        <v>0</v>
      </c>
      <c r="EC163" s="142">
        <f t="shared" si="250"/>
        <v>0</v>
      </c>
      <c r="ED163" s="142">
        <f t="shared" si="272"/>
        <v>0</v>
      </c>
    </row>
    <row r="164" spans="61:134" ht="17.25" thickTop="1" thickBot="1">
      <c r="BI164" s="138">
        <f t="shared" si="217"/>
        <v>0</v>
      </c>
      <c r="BJ164" s="138">
        <f t="shared" si="274"/>
        <v>0</v>
      </c>
      <c r="BK164" s="138" cm="1">
        <f t="array" ref="BK164">BI164*c_rate.Pref.MO</f>
        <v>0</v>
      </c>
      <c r="BL164" s="138">
        <f t="shared" si="219"/>
        <v>0</v>
      </c>
      <c r="BM164" s="138">
        <f t="shared" si="220"/>
        <v>0</v>
      </c>
      <c r="BN164" s="138">
        <f t="shared" si="251"/>
        <v>0</v>
      </c>
      <c r="BO164" s="138">
        <f t="shared" si="252"/>
        <v>0</v>
      </c>
      <c r="BP164" s="138">
        <f t="shared" si="253"/>
        <v>0</v>
      </c>
      <c r="BQ164" s="138">
        <f t="shared" si="221"/>
        <v>0</v>
      </c>
      <c r="BR164" s="516"/>
      <c r="BS164" s="138">
        <f t="shared" si="254"/>
        <v>0</v>
      </c>
      <c r="BT164" s="138">
        <f t="shared" si="222"/>
        <v>0</v>
      </c>
      <c r="BU164" s="138" cm="1">
        <f t="array" ref="BU164">IF(D164=0,0,BS164*(c_rate.Hurdle1.MO))</f>
        <v>0</v>
      </c>
      <c r="BV164" s="138">
        <f t="shared" si="255"/>
        <v>0</v>
      </c>
      <c r="BW164" s="138">
        <f t="shared" si="223"/>
        <v>0</v>
      </c>
      <c r="BX164" s="138">
        <f t="shared" si="256"/>
        <v>0</v>
      </c>
      <c r="BY164" s="138">
        <f t="shared" si="257"/>
        <v>0</v>
      </c>
      <c r="BZ164" s="138">
        <f t="shared" si="258"/>
        <v>0</v>
      </c>
      <c r="CA164" s="138">
        <f t="shared" si="224"/>
        <v>0</v>
      </c>
      <c r="CB164" s="524">
        <f t="shared" si="259"/>
        <v>0</v>
      </c>
      <c r="CC164" s="516"/>
      <c r="CD164" s="138">
        <f t="shared" si="260"/>
        <v>0</v>
      </c>
      <c r="CE164" s="138">
        <f t="shared" si="225"/>
        <v>0</v>
      </c>
      <c r="CF164" s="138" cm="1">
        <f t="array" ref="CF164">IF($D165=0,0,CD164*(c_rate.Hurdle2.MO))</f>
        <v>0</v>
      </c>
      <c r="CG164" s="138">
        <f t="shared" si="226"/>
        <v>0</v>
      </c>
      <c r="CH164" s="138">
        <f t="shared" si="261"/>
        <v>0</v>
      </c>
      <c r="CI164" s="138">
        <f t="shared" si="227"/>
        <v>0</v>
      </c>
      <c r="CJ164" s="138">
        <f t="shared" si="228"/>
        <v>0</v>
      </c>
      <c r="CK164" s="138">
        <f t="shared" si="229"/>
        <v>0</v>
      </c>
      <c r="CL164" s="138">
        <f t="shared" si="262"/>
        <v>0</v>
      </c>
      <c r="CM164" s="138">
        <f t="shared" si="230"/>
        <v>0</v>
      </c>
      <c r="CN164" s="138">
        <f t="shared" si="231"/>
        <v>0</v>
      </c>
      <c r="CO164" s="516"/>
      <c r="CP164" s="138">
        <f t="shared" si="263"/>
        <v>0</v>
      </c>
      <c r="CQ164" s="138">
        <f t="shared" si="232"/>
        <v>0</v>
      </c>
      <c r="CR164" s="138" cm="1">
        <f t="array" ref="CR164">IF($D165=0,0,CP164*(c_rate.Hurdle3.MO))</f>
        <v>0</v>
      </c>
      <c r="CS164" s="138">
        <f t="shared" si="233"/>
        <v>0</v>
      </c>
      <c r="CT164" s="138">
        <f t="shared" si="264"/>
        <v>0</v>
      </c>
      <c r="CU164" s="138">
        <f t="shared" si="234"/>
        <v>0</v>
      </c>
      <c r="CV164" s="138">
        <f t="shared" si="235"/>
        <v>0</v>
      </c>
      <c r="CW164" s="138">
        <f t="shared" si="265"/>
        <v>0</v>
      </c>
      <c r="CX164" s="138">
        <f t="shared" si="266"/>
        <v>0</v>
      </c>
      <c r="CY164" s="138">
        <f t="shared" si="267"/>
        <v>0</v>
      </c>
      <c r="CZ164" s="138">
        <f t="shared" si="268"/>
        <v>0</v>
      </c>
      <c r="DA164" s="516"/>
      <c r="DB164" s="138">
        <f t="shared" si="236"/>
        <v>0</v>
      </c>
      <c r="DC164" s="138">
        <f t="shared" si="237"/>
        <v>0</v>
      </c>
      <c r="DD164" s="518"/>
      <c r="DE164" s="138">
        <f t="shared" si="269"/>
        <v>0</v>
      </c>
      <c r="DF164" s="138">
        <f t="shared" si="270"/>
        <v>0</v>
      </c>
      <c r="DG164" s="138">
        <f t="shared" si="238"/>
        <v>0</v>
      </c>
      <c r="DH164" s="457"/>
      <c r="DI164" s="138">
        <v>0</v>
      </c>
      <c r="DJ164" s="138">
        <v>0</v>
      </c>
      <c r="DK164" s="138">
        <v>0</v>
      </c>
      <c r="DL164" s="138">
        <f t="shared" si="239"/>
        <v>0</v>
      </c>
      <c r="DM164" s="138">
        <f t="shared" si="240"/>
        <v>0</v>
      </c>
      <c r="DN164" s="138">
        <f t="shared" si="241"/>
        <v>0</v>
      </c>
      <c r="DO164" s="138">
        <f t="shared" si="242"/>
        <v>0</v>
      </c>
      <c r="DP164" s="138">
        <f t="shared" si="243"/>
        <v>0</v>
      </c>
      <c r="DQ164" s="138">
        <f t="shared" si="244"/>
        <v>0</v>
      </c>
      <c r="DR164" s="138">
        <v>0</v>
      </c>
      <c r="DS164" s="138">
        <v>0</v>
      </c>
      <c r="DT164" s="138">
        <f t="shared" si="245"/>
        <v>0</v>
      </c>
      <c r="DU164" s="138">
        <f t="shared" si="246"/>
        <v>0</v>
      </c>
      <c r="DV164" s="457"/>
      <c r="DW164" s="457"/>
      <c r="DX164" s="138">
        <v>0</v>
      </c>
      <c r="DY164" s="138">
        <f t="shared" si="271"/>
        <v>0</v>
      </c>
      <c r="DZ164" s="138">
        <f t="shared" si="247"/>
        <v>0</v>
      </c>
      <c r="EA164" s="138">
        <f t="shared" si="248"/>
        <v>0</v>
      </c>
      <c r="EB164" s="138">
        <f t="shared" si="249"/>
        <v>0</v>
      </c>
      <c r="EC164" s="138">
        <f t="shared" si="250"/>
        <v>0</v>
      </c>
      <c r="ED164" s="138">
        <f t="shared" si="272"/>
        <v>0</v>
      </c>
    </row>
    <row r="165" spans="61:134" ht="17.25" thickTop="1" thickBot="1">
      <c r="BI165" s="139">
        <f t="shared" si="217"/>
        <v>0</v>
      </c>
      <c r="BJ165" s="139">
        <f t="shared" si="274"/>
        <v>0</v>
      </c>
      <c r="BK165" s="139" cm="1">
        <f t="array" ref="BK165">BI165*c_rate.Pref.MO</f>
        <v>0</v>
      </c>
      <c r="BL165" s="139">
        <f t="shared" si="219"/>
        <v>0</v>
      </c>
      <c r="BM165" s="139">
        <f t="shared" si="220"/>
        <v>0</v>
      </c>
      <c r="BN165" s="139">
        <f t="shared" si="251"/>
        <v>0</v>
      </c>
      <c r="BO165" s="139">
        <f t="shared" si="252"/>
        <v>0</v>
      </c>
      <c r="BP165" s="139">
        <f t="shared" si="253"/>
        <v>0</v>
      </c>
      <c r="BQ165" s="139">
        <f t="shared" si="221"/>
        <v>0</v>
      </c>
      <c r="BR165" s="516"/>
      <c r="BS165" s="139">
        <f t="shared" si="254"/>
        <v>0</v>
      </c>
      <c r="BT165" s="139">
        <f t="shared" si="222"/>
        <v>0</v>
      </c>
      <c r="BU165" s="139" cm="1">
        <f t="array" ref="BU165">IF(D165=0,0,BS165*(c_rate.Hurdle1.MO))</f>
        <v>0</v>
      </c>
      <c r="BV165" s="139">
        <f t="shared" si="255"/>
        <v>0</v>
      </c>
      <c r="BW165" s="139">
        <f t="shared" si="223"/>
        <v>0</v>
      </c>
      <c r="BX165" s="139">
        <f t="shared" si="256"/>
        <v>0</v>
      </c>
      <c r="BY165" s="139">
        <f t="shared" si="257"/>
        <v>0</v>
      </c>
      <c r="BZ165" s="139">
        <f t="shared" si="258"/>
        <v>0</v>
      </c>
      <c r="CA165" s="139">
        <f t="shared" si="224"/>
        <v>0</v>
      </c>
      <c r="CB165" s="524">
        <f t="shared" si="259"/>
        <v>0</v>
      </c>
      <c r="CC165" s="516"/>
      <c r="CD165" s="139">
        <f t="shared" si="260"/>
        <v>0</v>
      </c>
      <c r="CE165" s="139">
        <f t="shared" si="225"/>
        <v>0</v>
      </c>
      <c r="CF165" s="139" cm="1">
        <f t="array" ref="CF165">IF($D166=0,0,CD165*(c_rate.Hurdle2.MO))</f>
        <v>0</v>
      </c>
      <c r="CG165" s="139">
        <f t="shared" si="226"/>
        <v>0</v>
      </c>
      <c r="CH165" s="139">
        <f t="shared" si="261"/>
        <v>0</v>
      </c>
      <c r="CI165" s="139">
        <f t="shared" si="227"/>
        <v>0</v>
      </c>
      <c r="CJ165" s="139">
        <f t="shared" si="228"/>
        <v>0</v>
      </c>
      <c r="CK165" s="139">
        <f t="shared" si="229"/>
        <v>0</v>
      </c>
      <c r="CL165" s="139">
        <f t="shared" si="262"/>
        <v>0</v>
      </c>
      <c r="CM165" s="139">
        <f t="shared" si="230"/>
        <v>0</v>
      </c>
      <c r="CN165" s="139">
        <f t="shared" si="231"/>
        <v>0</v>
      </c>
      <c r="CO165" s="516"/>
      <c r="CP165" s="139">
        <f t="shared" si="263"/>
        <v>0</v>
      </c>
      <c r="CQ165" s="139">
        <f t="shared" si="232"/>
        <v>0</v>
      </c>
      <c r="CR165" s="139" cm="1">
        <f t="array" ref="CR165">IF($D166=0,0,CP165*(c_rate.Hurdle3.MO))</f>
        <v>0</v>
      </c>
      <c r="CS165" s="139">
        <f t="shared" si="233"/>
        <v>0</v>
      </c>
      <c r="CT165" s="139">
        <f t="shared" si="264"/>
        <v>0</v>
      </c>
      <c r="CU165" s="139">
        <f t="shared" si="234"/>
        <v>0</v>
      </c>
      <c r="CV165" s="139">
        <f t="shared" si="235"/>
        <v>0</v>
      </c>
      <c r="CW165" s="139">
        <f t="shared" si="265"/>
        <v>0</v>
      </c>
      <c r="CX165" s="139">
        <f t="shared" si="266"/>
        <v>0</v>
      </c>
      <c r="CY165" s="139">
        <f t="shared" si="267"/>
        <v>0</v>
      </c>
      <c r="CZ165" s="139">
        <f t="shared" si="268"/>
        <v>0</v>
      </c>
      <c r="DA165" s="516"/>
      <c r="DB165" s="139">
        <f t="shared" si="236"/>
        <v>0</v>
      </c>
      <c r="DC165" s="139">
        <f t="shared" si="237"/>
        <v>0</v>
      </c>
      <c r="DD165" s="518"/>
      <c r="DE165" s="139">
        <f t="shared" si="269"/>
        <v>0</v>
      </c>
      <c r="DF165" s="139">
        <f t="shared" si="270"/>
        <v>0</v>
      </c>
      <c r="DG165" s="139">
        <f t="shared" si="238"/>
        <v>0</v>
      </c>
      <c r="DH165" s="457"/>
      <c r="DI165" s="139">
        <v>0</v>
      </c>
      <c r="DJ165" s="139">
        <v>0</v>
      </c>
      <c r="DK165" s="139">
        <v>0</v>
      </c>
      <c r="DL165" s="139">
        <f t="shared" si="239"/>
        <v>0</v>
      </c>
      <c r="DM165" s="139">
        <f t="shared" si="240"/>
        <v>0</v>
      </c>
      <c r="DN165" s="139">
        <f t="shared" si="241"/>
        <v>0</v>
      </c>
      <c r="DO165" s="139">
        <f t="shared" si="242"/>
        <v>0</v>
      </c>
      <c r="DP165" s="139">
        <f t="shared" si="243"/>
        <v>0</v>
      </c>
      <c r="DQ165" s="139">
        <f t="shared" si="244"/>
        <v>0</v>
      </c>
      <c r="DR165" s="139">
        <v>0</v>
      </c>
      <c r="DS165" s="139">
        <v>0</v>
      </c>
      <c r="DT165" s="139">
        <f t="shared" si="245"/>
        <v>0</v>
      </c>
      <c r="DU165" s="139">
        <f t="shared" si="246"/>
        <v>0</v>
      </c>
      <c r="DV165" s="457"/>
      <c r="DW165" s="457"/>
      <c r="DX165" s="139">
        <v>0</v>
      </c>
      <c r="DY165" s="139">
        <f t="shared" si="271"/>
        <v>0</v>
      </c>
      <c r="DZ165" s="139">
        <f t="shared" si="247"/>
        <v>0</v>
      </c>
      <c r="EA165" s="139">
        <f t="shared" si="248"/>
        <v>0</v>
      </c>
      <c r="EB165" s="139">
        <f t="shared" si="249"/>
        <v>0</v>
      </c>
      <c r="EC165" s="139">
        <f t="shared" si="250"/>
        <v>0</v>
      </c>
      <c r="ED165" s="139">
        <f t="shared" si="272"/>
        <v>0</v>
      </c>
    </row>
    <row r="166" spans="61:134" ht="17.25" thickTop="1" thickBot="1">
      <c r="BI166" s="140">
        <f t="shared" si="217"/>
        <v>0</v>
      </c>
      <c r="BJ166" s="140">
        <f t="shared" si="274"/>
        <v>0</v>
      </c>
      <c r="BK166" s="140" cm="1">
        <f t="array" ref="BK166">BI166*c_rate.Pref.MO</f>
        <v>0</v>
      </c>
      <c r="BL166" s="140">
        <f t="shared" si="219"/>
        <v>0</v>
      </c>
      <c r="BM166" s="140">
        <f t="shared" si="220"/>
        <v>0</v>
      </c>
      <c r="BN166" s="140">
        <f t="shared" si="251"/>
        <v>0</v>
      </c>
      <c r="BO166" s="140">
        <f t="shared" si="252"/>
        <v>0</v>
      </c>
      <c r="BP166" s="140">
        <f t="shared" si="253"/>
        <v>0</v>
      </c>
      <c r="BQ166" s="140">
        <f t="shared" si="221"/>
        <v>0</v>
      </c>
      <c r="BR166" s="516"/>
      <c r="BS166" s="140">
        <f t="shared" si="254"/>
        <v>0</v>
      </c>
      <c r="BT166" s="140">
        <f t="shared" si="222"/>
        <v>0</v>
      </c>
      <c r="BU166" s="140" cm="1">
        <f t="array" ref="BU166">IF(D166=0,0,BS166*(c_rate.Hurdle1.MO))</f>
        <v>0</v>
      </c>
      <c r="BV166" s="140">
        <f t="shared" si="255"/>
        <v>0</v>
      </c>
      <c r="BW166" s="140">
        <f t="shared" si="223"/>
        <v>0</v>
      </c>
      <c r="BX166" s="140">
        <f t="shared" si="256"/>
        <v>0</v>
      </c>
      <c r="BY166" s="140">
        <f t="shared" si="257"/>
        <v>0</v>
      </c>
      <c r="BZ166" s="140">
        <f t="shared" si="258"/>
        <v>0</v>
      </c>
      <c r="CA166" s="140">
        <f t="shared" si="224"/>
        <v>0</v>
      </c>
      <c r="CB166" s="524">
        <f t="shared" si="259"/>
        <v>0</v>
      </c>
      <c r="CC166" s="516"/>
      <c r="CD166" s="140">
        <f t="shared" si="260"/>
        <v>0</v>
      </c>
      <c r="CE166" s="140">
        <f t="shared" si="225"/>
        <v>0</v>
      </c>
      <c r="CF166" s="140" cm="1">
        <f t="array" ref="CF166">IF($D167=0,0,CD166*(c_rate.Hurdle2.MO))</f>
        <v>0</v>
      </c>
      <c r="CG166" s="140">
        <f t="shared" si="226"/>
        <v>0</v>
      </c>
      <c r="CH166" s="140">
        <f t="shared" si="261"/>
        <v>0</v>
      </c>
      <c r="CI166" s="140">
        <f t="shared" si="227"/>
        <v>0</v>
      </c>
      <c r="CJ166" s="140">
        <f t="shared" si="228"/>
        <v>0</v>
      </c>
      <c r="CK166" s="140">
        <f t="shared" si="229"/>
        <v>0</v>
      </c>
      <c r="CL166" s="140">
        <f t="shared" si="262"/>
        <v>0</v>
      </c>
      <c r="CM166" s="140">
        <f t="shared" si="230"/>
        <v>0</v>
      </c>
      <c r="CN166" s="140">
        <f t="shared" si="231"/>
        <v>0</v>
      </c>
      <c r="CO166" s="516"/>
      <c r="CP166" s="140">
        <f t="shared" si="263"/>
        <v>0</v>
      </c>
      <c r="CQ166" s="140">
        <f t="shared" si="232"/>
        <v>0</v>
      </c>
      <c r="CR166" s="140" cm="1">
        <f t="array" ref="CR166">IF($D167=0,0,CP166*(c_rate.Hurdle3.MO))</f>
        <v>0</v>
      </c>
      <c r="CS166" s="140">
        <f t="shared" si="233"/>
        <v>0</v>
      </c>
      <c r="CT166" s="140">
        <f t="shared" si="264"/>
        <v>0</v>
      </c>
      <c r="CU166" s="140">
        <f t="shared" si="234"/>
        <v>0</v>
      </c>
      <c r="CV166" s="140">
        <f t="shared" si="235"/>
        <v>0</v>
      </c>
      <c r="CW166" s="140">
        <f t="shared" si="265"/>
        <v>0</v>
      </c>
      <c r="CX166" s="140">
        <f t="shared" si="266"/>
        <v>0</v>
      </c>
      <c r="CY166" s="140">
        <f t="shared" si="267"/>
        <v>0</v>
      </c>
      <c r="CZ166" s="140">
        <f t="shared" si="268"/>
        <v>0</v>
      </c>
      <c r="DA166" s="516"/>
      <c r="DB166" s="140">
        <f t="shared" si="236"/>
        <v>0</v>
      </c>
      <c r="DC166" s="140">
        <f t="shared" si="237"/>
        <v>0</v>
      </c>
      <c r="DD166" s="518"/>
      <c r="DE166" s="140">
        <f t="shared" si="269"/>
        <v>0</v>
      </c>
      <c r="DF166" s="140">
        <f t="shared" si="270"/>
        <v>0</v>
      </c>
      <c r="DG166" s="140">
        <f t="shared" si="238"/>
        <v>0</v>
      </c>
      <c r="DH166" s="457"/>
      <c r="DI166" s="140">
        <v>0</v>
      </c>
      <c r="DJ166" s="140">
        <v>0</v>
      </c>
      <c r="DK166" s="140">
        <v>0</v>
      </c>
      <c r="DL166" s="140">
        <f t="shared" si="239"/>
        <v>0</v>
      </c>
      <c r="DM166" s="140">
        <f t="shared" si="240"/>
        <v>0</v>
      </c>
      <c r="DN166" s="140">
        <f t="shared" si="241"/>
        <v>0</v>
      </c>
      <c r="DO166" s="140">
        <f t="shared" si="242"/>
        <v>0</v>
      </c>
      <c r="DP166" s="140">
        <f t="shared" si="243"/>
        <v>0</v>
      </c>
      <c r="DQ166" s="140">
        <f t="shared" si="244"/>
        <v>0</v>
      </c>
      <c r="DR166" s="140">
        <v>0</v>
      </c>
      <c r="DS166" s="140">
        <v>0</v>
      </c>
      <c r="DT166" s="140">
        <f t="shared" si="245"/>
        <v>0</v>
      </c>
      <c r="DU166" s="140">
        <f t="shared" si="246"/>
        <v>0</v>
      </c>
      <c r="DV166" s="457"/>
      <c r="DW166" s="457"/>
      <c r="DX166" s="140">
        <v>0</v>
      </c>
      <c r="DY166" s="140">
        <f t="shared" si="271"/>
        <v>0</v>
      </c>
      <c r="DZ166" s="140">
        <f t="shared" si="247"/>
        <v>0</v>
      </c>
      <c r="EA166" s="140">
        <f t="shared" si="248"/>
        <v>0</v>
      </c>
      <c r="EB166" s="140">
        <f t="shared" si="249"/>
        <v>0</v>
      </c>
      <c r="EC166" s="140">
        <f t="shared" si="250"/>
        <v>0</v>
      </c>
      <c r="ED166" s="140">
        <f t="shared" si="272"/>
        <v>0</v>
      </c>
    </row>
    <row r="167" spans="61:134" ht="17.25" thickTop="1" thickBot="1">
      <c r="BI167" s="141">
        <f t="shared" ref="BI167:BI175" si="275">IF(D167=0,0,BM166)</f>
        <v>0</v>
      </c>
      <c r="BJ167" s="141">
        <f t="shared" ref="BJ167:BJ175" si="276">IF($AJ167=0,0,-MIN(0,AJ167*c_EquityShare.LP))</f>
        <v>0</v>
      </c>
      <c r="BK167" s="141" cm="1">
        <f t="array" ref="BK167">BI167*c_rate.Pref.MO</f>
        <v>0</v>
      </c>
      <c r="BL167" s="141">
        <f t="shared" ref="BL167:BL175" si="277">IF($AZ167=0,0,MAX(MIN($AZ167*$BI$7,BI167+BK167-BJ167),0))</f>
        <v>0</v>
      </c>
      <c r="BM167" s="141">
        <f t="shared" ref="BM167:BM175" si="278">BI167+BK167+BJ167-BL167</f>
        <v>0</v>
      </c>
      <c r="BN167" s="141">
        <f t="shared" si="251"/>
        <v>0</v>
      </c>
      <c r="BO167" s="141">
        <f t="shared" si="252"/>
        <v>0</v>
      </c>
      <c r="BP167" s="141">
        <f t="shared" si="253"/>
        <v>0</v>
      </c>
      <c r="BQ167" s="141">
        <f t="shared" ref="BQ167:BQ175" si="279">IF(G167=0,0,MAX(AZ167-BP167,0))</f>
        <v>0</v>
      </c>
      <c r="BR167" s="516"/>
      <c r="BS167" s="141">
        <f t="shared" si="254"/>
        <v>0</v>
      </c>
      <c r="BT167" s="141">
        <f t="shared" ref="BT167:BT175" si="280">IF($AZ167=0,0,-MIN(0,$AZ167*c_EquityShare.LP))</f>
        <v>0</v>
      </c>
      <c r="BU167" s="141" cm="1">
        <f t="array" ref="BU167">IF(D167=0,0,BS167*(c_rate.Hurdle1.MO))</f>
        <v>0</v>
      </c>
      <c r="BV167" s="141">
        <f t="shared" si="255"/>
        <v>0</v>
      </c>
      <c r="BW167" s="141">
        <f t="shared" ref="BW167:BW175" si="281">MIN(BS167+BU167-BV167,BQ167*BS$7)</f>
        <v>0</v>
      </c>
      <c r="BX167" s="141">
        <f t="shared" si="256"/>
        <v>0</v>
      </c>
      <c r="BY167" s="141">
        <f t="shared" si="257"/>
        <v>0</v>
      </c>
      <c r="BZ167" s="141">
        <f t="shared" si="258"/>
        <v>0</v>
      </c>
      <c r="CA167" s="141">
        <f t="shared" ref="CA167:CA175" si="282">BY167+BZ167</f>
        <v>0</v>
      </c>
      <c r="CB167" s="524">
        <f t="shared" si="259"/>
        <v>0</v>
      </c>
      <c r="CC167" s="516"/>
      <c r="CD167" s="141">
        <f t="shared" si="260"/>
        <v>0</v>
      </c>
      <c r="CE167" s="141">
        <f t="shared" ref="CE167:CE175" si="283">IF($AZ167=0,0,-MIN(0,$AZ167*c_EquityShare.LP))</f>
        <v>0</v>
      </c>
      <c r="CF167" s="141" cm="1">
        <f t="array" ref="CF167">IF($D168=0,0,CD167*(c_rate.Hurdle2.MO))</f>
        <v>0</v>
      </c>
      <c r="CG167" s="141">
        <f t="shared" ref="CG167:CG175" si="284">BV167+BW167</f>
        <v>0</v>
      </c>
      <c r="CH167" s="141">
        <f t="shared" si="261"/>
        <v>0</v>
      </c>
      <c r="CI167" s="141">
        <f t="shared" ref="CI167:CI175" si="285">CD167+CF167+CE167-CG167-CH167</f>
        <v>0</v>
      </c>
      <c r="CJ167" s="141">
        <f t="shared" ref="CJ167:CJ175" si="286">-CE167+CG167+CH167</f>
        <v>0</v>
      </c>
      <c r="CK167" s="141">
        <f t="shared" ref="CK167:CK175" si="287">BY167+CH167</f>
        <v>0</v>
      </c>
      <c r="CL167" s="141">
        <f t="shared" si="262"/>
        <v>0</v>
      </c>
      <c r="CM167" s="141">
        <f t="shared" ref="CM167:CM175" si="288">CK167+CL167</f>
        <v>0</v>
      </c>
      <c r="CN167" s="141">
        <f t="shared" ref="CN167:CN175" si="289">IF(CM167&lt;0,0,MAX($AZ167-CM167,0))</f>
        <v>0</v>
      </c>
      <c r="CO167" s="516"/>
      <c r="CP167" s="141">
        <f t="shared" si="263"/>
        <v>0</v>
      </c>
      <c r="CQ167" s="141">
        <f t="shared" ref="CQ167:CQ175" si="290">IF($AZ167=0,0,-MIN(0,$AZ167*c_EquityShare.LP))</f>
        <v>0</v>
      </c>
      <c r="CR167" s="141" cm="1">
        <f t="array" ref="CR167">IF($D168=0,0,CP167*(c_rate.Hurdle3.MO))</f>
        <v>0</v>
      </c>
      <c r="CS167" s="141">
        <f t="shared" ref="CS167:CS175" si="291">CG167+CH167</f>
        <v>0</v>
      </c>
      <c r="CT167" s="141">
        <f t="shared" si="264"/>
        <v>0</v>
      </c>
      <c r="CU167" s="141">
        <f t="shared" ref="CU167:CU175" si="292">CP167+CR167+CQ167-CS167-CT167</f>
        <v>0</v>
      </c>
      <c r="CV167" s="141">
        <f t="shared" ref="CV167:CV175" si="293">-CQ167+CS167+CT167</f>
        <v>0</v>
      </c>
      <c r="CW167" s="141">
        <f t="shared" si="265"/>
        <v>0</v>
      </c>
      <c r="CX167" s="141">
        <f t="shared" si="266"/>
        <v>0</v>
      </c>
      <c r="CY167" s="141">
        <f t="shared" si="267"/>
        <v>0</v>
      </c>
      <c r="CZ167" s="141">
        <f t="shared" si="268"/>
        <v>0</v>
      </c>
      <c r="DA167" s="516"/>
      <c r="DB167" s="141">
        <f t="shared" ref="DB167:DB175" si="294">$CZ167-DC167</f>
        <v>0</v>
      </c>
      <c r="DC167" s="141">
        <f t="shared" ref="DC167:DC175" si="295">$CZ167*$BF$19</f>
        <v>0</v>
      </c>
      <c r="DD167" s="518"/>
      <c r="DE167" s="141">
        <f t="shared" si="269"/>
        <v>0</v>
      </c>
      <c r="DF167" s="141">
        <f t="shared" si="270"/>
        <v>0</v>
      </c>
      <c r="DG167" s="141">
        <f t="shared" ref="DG167:DG175" si="296">SUM(DE167:DF167)</f>
        <v>0</v>
      </c>
      <c r="DH167" s="457"/>
      <c r="DI167" s="141">
        <v>0</v>
      </c>
      <c r="DJ167" s="141">
        <v>0</v>
      </c>
      <c r="DK167" s="141">
        <v>0</v>
      </c>
      <c r="DL167" s="141">
        <f t="shared" ref="DL167:DL175" si="297">BY167-BN167</f>
        <v>0</v>
      </c>
      <c r="DM167" s="141">
        <f t="shared" ref="DM167:DM175" si="298">BZ167-BO167</f>
        <v>0</v>
      </c>
      <c r="DN167" s="141">
        <f t="shared" ref="DN167:DN175" si="299">CK167-BY167</f>
        <v>0</v>
      </c>
      <c r="DO167" s="141">
        <f t="shared" ref="DO167:DO175" si="300">CL167-BZ167</f>
        <v>0</v>
      </c>
      <c r="DP167" s="141">
        <f t="shared" ref="DP167:DP175" si="301">CW167-CK167</f>
        <v>0</v>
      </c>
      <c r="DQ167" s="141">
        <f t="shared" ref="DQ167:DQ175" si="302">CX167-CL167</f>
        <v>0</v>
      </c>
      <c r="DR167" s="141">
        <v>0</v>
      </c>
      <c r="DS167" s="141">
        <v>0</v>
      </c>
      <c r="DT167" s="141">
        <f t="shared" ref="DT167:DT175" si="303">DJ167+DL167+DN167+DP167+DR167</f>
        <v>0</v>
      </c>
      <c r="DU167" s="141">
        <f t="shared" ref="DU167:DU175" si="304">DK167+DM167+DO167+DQ167+DS167</f>
        <v>0</v>
      </c>
      <c r="DV167" s="457"/>
      <c r="DW167" s="457"/>
      <c r="DX167" s="141">
        <v>0</v>
      </c>
      <c r="DY167" s="141">
        <f t="shared" si="271"/>
        <v>0</v>
      </c>
      <c r="DZ167" s="141">
        <f t="shared" ref="DZ167:DZ175" si="305">DL167+DM167</f>
        <v>0</v>
      </c>
      <c r="EA167" s="141">
        <f t="shared" ref="EA167:EA175" si="306">DN167+DO167</f>
        <v>0</v>
      </c>
      <c r="EB167" s="141">
        <f t="shared" ref="EB167:EB175" si="307">DP167+DQ167</f>
        <v>0</v>
      </c>
      <c r="EC167" s="141">
        <f t="shared" ref="EC167:EC175" si="308">DR167+DS167</f>
        <v>0</v>
      </c>
      <c r="ED167" s="141">
        <f t="shared" si="272"/>
        <v>0</v>
      </c>
    </row>
    <row r="168" spans="61:134" ht="17.25" thickTop="1" thickBot="1">
      <c r="BI168" s="139">
        <f t="shared" si="275"/>
        <v>0</v>
      </c>
      <c r="BJ168" s="139">
        <f t="shared" si="276"/>
        <v>0</v>
      </c>
      <c r="BK168" s="139" cm="1">
        <f t="array" ref="BK168">BI168*c_rate.Pref.MO</f>
        <v>0</v>
      </c>
      <c r="BL168" s="139">
        <f t="shared" si="277"/>
        <v>0</v>
      </c>
      <c r="BM168" s="139">
        <f t="shared" si="278"/>
        <v>0</v>
      </c>
      <c r="BN168" s="139">
        <f t="shared" ref="BN168:BN175" si="309">BL168-BJ168</f>
        <v>0</v>
      </c>
      <c r="BO168" s="139">
        <f t="shared" ref="BO168:BO175" si="310">IF(BI168=0,0,IF(AZ168&lt;0,BN168/$BG$10*$BF$10,BL168/$BG$10*$BF$10))</f>
        <v>0</v>
      </c>
      <c r="BP168" s="139">
        <f t="shared" ref="BP168:BP175" si="311">BN168+BO168</f>
        <v>0</v>
      </c>
      <c r="BQ168" s="139">
        <f t="shared" si="279"/>
        <v>0</v>
      </c>
      <c r="BR168" s="516"/>
      <c r="BS168" s="139">
        <f t="shared" ref="BS168:BS175" si="312">BX167</f>
        <v>0</v>
      </c>
      <c r="BT168" s="139">
        <f t="shared" si="280"/>
        <v>0</v>
      </c>
      <c r="BU168" s="139" cm="1">
        <f t="array" ref="BU168">IF(D168=0,0,BS168*(c_rate.Hurdle1.MO))</f>
        <v>0</v>
      </c>
      <c r="BV168" s="139">
        <f t="shared" ref="BV168:BV175" si="313">BL168</f>
        <v>0</v>
      </c>
      <c r="BW168" s="139">
        <f t="shared" si="281"/>
        <v>0</v>
      </c>
      <c r="BX168" s="139">
        <f t="shared" ref="BX168:BX175" si="314">BS168+BT168+BU168-BV168-BW168</f>
        <v>0</v>
      </c>
      <c r="BY168" s="139">
        <f t="shared" ref="BY168:BY175" si="315">BN168+BW168</f>
        <v>0</v>
      </c>
      <c r="BZ168" s="139">
        <f t="shared" ref="BZ168:BZ175" si="316">IF(BS168=0,0,BO168+BW168/$BG$16*$BF$16)</f>
        <v>0</v>
      </c>
      <c r="CA168" s="139">
        <f t="shared" si="282"/>
        <v>0</v>
      </c>
      <c r="CB168" s="524">
        <f t="shared" ref="CB168:CB175" si="317">IF(CA168&lt;0,0,MAX($AZ168-CA168,0))</f>
        <v>0</v>
      </c>
      <c r="CC168" s="516"/>
      <c r="CD168" s="139">
        <f t="shared" ref="CD168:CD175" si="318">CI167</f>
        <v>0</v>
      </c>
      <c r="CE168" s="139">
        <f t="shared" si="283"/>
        <v>0</v>
      </c>
      <c r="CF168" s="139" cm="1">
        <f t="array" ref="CF168">IF($D169=0,0,CD168*(c_rate.Hurdle2.MO))</f>
        <v>0</v>
      </c>
      <c r="CG168" s="139">
        <f t="shared" si="284"/>
        <v>0</v>
      </c>
      <c r="CH168" s="139">
        <f t="shared" ref="CH168:CH175" si="319">IF(CB168=0,0,MIN(CD168+CE168+CF168-CG168,CB168*CD$7))</f>
        <v>0</v>
      </c>
      <c r="CI168" s="139">
        <f t="shared" si="285"/>
        <v>0</v>
      </c>
      <c r="CJ168" s="139">
        <f t="shared" si="286"/>
        <v>0</v>
      </c>
      <c r="CK168" s="139">
        <f t="shared" si="287"/>
        <v>0</v>
      </c>
      <c r="CL168" s="139">
        <f t="shared" ref="CL168:CL175" si="320">IF(CD168=0,0,BZ168+CH168/$BG$17*$BF$17)</f>
        <v>0</v>
      </c>
      <c r="CM168" s="139">
        <f t="shared" si="288"/>
        <v>0</v>
      </c>
      <c r="CN168" s="139">
        <f t="shared" si="289"/>
        <v>0</v>
      </c>
      <c r="CO168" s="516"/>
      <c r="CP168" s="139">
        <f t="shared" ref="CP168:CP175" si="321">CU167</f>
        <v>0</v>
      </c>
      <c r="CQ168" s="139">
        <f t="shared" si="290"/>
        <v>0</v>
      </c>
      <c r="CR168" s="139" cm="1">
        <f t="array" ref="CR168">IF($D169=0,0,CP168*(c_rate.Hurdle3.MO))</f>
        <v>0</v>
      </c>
      <c r="CS168" s="139">
        <f t="shared" si="291"/>
        <v>0</v>
      </c>
      <c r="CT168" s="139">
        <f t="shared" ref="CT168:CT175" si="322">IF(CP168=0,0,MIN(CP168+CQ168+CR168-CS168,CN168*CP$7))</f>
        <v>0</v>
      </c>
      <c r="CU168" s="139">
        <f t="shared" si="292"/>
        <v>0</v>
      </c>
      <c r="CV168" s="139">
        <f t="shared" si="293"/>
        <v>0</v>
      </c>
      <c r="CW168" s="139">
        <f t="shared" ref="CW168:CW175" si="323">CK168+CT168</f>
        <v>0</v>
      </c>
      <c r="CX168" s="139">
        <f t="shared" ref="CX168:CX175" si="324">IF(CP168=0,0,CL168+CT168/$BG$18*$BF$18)</f>
        <v>0</v>
      </c>
      <c r="CY168" s="139">
        <f t="shared" ref="CY168:CY175" si="325">CW168+CX168</f>
        <v>0</v>
      </c>
      <c r="CZ168" s="139">
        <f t="shared" ref="CZ168:CZ175" si="326">IF(CY168&lt;0,0,MAX($AZ168-CY168,0))</f>
        <v>0</v>
      </c>
      <c r="DA168" s="516"/>
      <c r="DB168" s="139">
        <f t="shared" si="294"/>
        <v>0</v>
      </c>
      <c r="DC168" s="139">
        <f t="shared" si="295"/>
        <v>0</v>
      </c>
      <c r="DD168" s="518"/>
      <c r="DE168" s="139">
        <f t="shared" ref="DE168:DE175" si="327">CW168+DB168</f>
        <v>0</v>
      </c>
      <c r="DF168" s="139">
        <f t="shared" ref="DF168:DF175" si="328">CX168+DC168</f>
        <v>0</v>
      </c>
      <c r="DG168" s="139">
        <f t="shared" si="296"/>
        <v>0</v>
      </c>
      <c r="DH168" s="457"/>
      <c r="DI168" s="139">
        <v>0</v>
      </c>
      <c r="DJ168" s="139">
        <v>0</v>
      </c>
      <c r="DK168" s="139">
        <v>0</v>
      </c>
      <c r="DL168" s="139">
        <f t="shared" si="297"/>
        <v>0</v>
      </c>
      <c r="DM168" s="139">
        <f t="shared" si="298"/>
        <v>0</v>
      </c>
      <c r="DN168" s="139">
        <f t="shared" si="299"/>
        <v>0</v>
      </c>
      <c r="DO168" s="139">
        <f t="shared" si="300"/>
        <v>0</v>
      </c>
      <c r="DP168" s="139">
        <f t="shared" si="301"/>
        <v>0</v>
      </c>
      <c r="DQ168" s="139">
        <f t="shared" si="302"/>
        <v>0</v>
      </c>
      <c r="DR168" s="139">
        <v>0</v>
      </c>
      <c r="DS168" s="139">
        <v>0</v>
      </c>
      <c r="DT168" s="139">
        <f t="shared" si="303"/>
        <v>0</v>
      </c>
      <c r="DU168" s="139">
        <f t="shared" si="304"/>
        <v>0</v>
      </c>
      <c r="DV168" s="457"/>
      <c r="DW168" s="457"/>
      <c r="DX168" s="139">
        <v>0</v>
      </c>
      <c r="DY168" s="139">
        <f t="shared" ref="DY168:DY175" si="329">DJ168+DK168</f>
        <v>0</v>
      </c>
      <c r="DZ168" s="139">
        <f t="shared" si="305"/>
        <v>0</v>
      </c>
      <c r="EA168" s="139">
        <f t="shared" si="306"/>
        <v>0</v>
      </c>
      <c r="EB168" s="139">
        <f t="shared" si="307"/>
        <v>0</v>
      </c>
      <c r="EC168" s="139">
        <f t="shared" si="308"/>
        <v>0</v>
      </c>
      <c r="ED168" s="139">
        <f t="shared" ref="ED168:ED175" si="330">SUM(DY168:EC168)</f>
        <v>0</v>
      </c>
    </row>
    <row r="169" spans="61:134" ht="17.25" thickTop="1" thickBot="1">
      <c r="BI169" s="140">
        <f t="shared" si="275"/>
        <v>0</v>
      </c>
      <c r="BJ169" s="140">
        <f t="shared" si="276"/>
        <v>0</v>
      </c>
      <c r="BK169" s="140" cm="1">
        <f t="array" ref="BK169">BI169*c_rate.Pref.MO</f>
        <v>0</v>
      </c>
      <c r="BL169" s="140">
        <f t="shared" si="277"/>
        <v>0</v>
      </c>
      <c r="BM169" s="140">
        <f t="shared" si="278"/>
        <v>0</v>
      </c>
      <c r="BN169" s="140">
        <f t="shared" si="309"/>
        <v>0</v>
      </c>
      <c r="BO169" s="140">
        <f t="shared" si="310"/>
        <v>0</v>
      </c>
      <c r="BP169" s="140">
        <f t="shared" si="311"/>
        <v>0</v>
      </c>
      <c r="BQ169" s="140">
        <f t="shared" si="279"/>
        <v>0</v>
      </c>
      <c r="BR169" s="516"/>
      <c r="BS169" s="140">
        <f t="shared" si="312"/>
        <v>0</v>
      </c>
      <c r="BT169" s="140">
        <f t="shared" si="280"/>
        <v>0</v>
      </c>
      <c r="BU169" s="140" cm="1">
        <f t="array" ref="BU169">IF(D169=0,0,BS169*(c_rate.Hurdle1.MO))</f>
        <v>0</v>
      </c>
      <c r="BV169" s="140">
        <f t="shared" si="313"/>
        <v>0</v>
      </c>
      <c r="BW169" s="140">
        <f t="shared" si="281"/>
        <v>0</v>
      </c>
      <c r="BX169" s="140">
        <f t="shared" si="314"/>
        <v>0</v>
      </c>
      <c r="BY169" s="140">
        <f t="shared" si="315"/>
        <v>0</v>
      </c>
      <c r="BZ169" s="140">
        <f t="shared" si="316"/>
        <v>0</v>
      </c>
      <c r="CA169" s="140">
        <f t="shared" si="282"/>
        <v>0</v>
      </c>
      <c r="CB169" s="524">
        <f t="shared" si="317"/>
        <v>0</v>
      </c>
      <c r="CC169" s="516"/>
      <c r="CD169" s="140">
        <f t="shared" si="318"/>
        <v>0</v>
      </c>
      <c r="CE169" s="140">
        <f t="shared" si="283"/>
        <v>0</v>
      </c>
      <c r="CF169" s="140" cm="1">
        <f t="array" ref="CF169">IF($D170=0,0,CD169*(c_rate.Hurdle2.MO))</f>
        <v>0</v>
      </c>
      <c r="CG169" s="140">
        <f t="shared" si="284"/>
        <v>0</v>
      </c>
      <c r="CH169" s="140">
        <f t="shared" si="319"/>
        <v>0</v>
      </c>
      <c r="CI169" s="140">
        <f t="shared" si="285"/>
        <v>0</v>
      </c>
      <c r="CJ169" s="140">
        <f t="shared" si="286"/>
        <v>0</v>
      </c>
      <c r="CK169" s="140">
        <f t="shared" si="287"/>
        <v>0</v>
      </c>
      <c r="CL169" s="140">
        <f t="shared" si="320"/>
        <v>0</v>
      </c>
      <c r="CM169" s="140">
        <f t="shared" si="288"/>
        <v>0</v>
      </c>
      <c r="CN169" s="140">
        <f t="shared" si="289"/>
        <v>0</v>
      </c>
      <c r="CO169" s="516"/>
      <c r="CP169" s="140">
        <f t="shared" si="321"/>
        <v>0</v>
      </c>
      <c r="CQ169" s="140">
        <f t="shared" si="290"/>
        <v>0</v>
      </c>
      <c r="CR169" s="140" cm="1">
        <f t="array" ref="CR169">IF($D170=0,0,CP169*(c_rate.Hurdle3.MO))</f>
        <v>0</v>
      </c>
      <c r="CS169" s="140">
        <f t="shared" si="291"/>
        <v>0</v>
      </c>
      <c r="CT169" s="140">
        <f t="shared" si="322"/>
        <v>0</v>
      </c>
      <c r="CU169" s="140">
        <f t="shared" si="292"/>
        <v>0</v>
      </c>
      <c r="CV169" s="140">
        <f t="shared" si="293"/>
        <v>0</v>
      </c>
      <c r="CW169" s="140">
        <f t="shared" si="323"/>
        <v>0</v>
      </c>
      <c r="CX169" s="140">
        <f t="shared" si="324"/>
        <v>0</v>
      </c>
      <c r="CY169" s="140">
        <f t="shared" si="325"/>
        <v>0</v>
      </c>
      <c r="CZ169" s="140">
        <f t="shared" si="326"/>
        <v>0</v>
      </c>
      <c r="DA169" s="516"/>
      <c r="DB169" s="140">
        <f t="shared" si="294"/>
        <v>0</v>
      </c>
      <c r="DC169" s="140">
        <f t="shared" si="295"/>
        <v>0</v>
      </c>
      <c r="DD169" s="518"/>
      <c r="DE169" s="140">
        <f t="shared" si="327"/>
        <v>0</v>
      </c>
      <c r="DF169" s="140">
        <f t="shared" si="328"/>
        <v>0</v>
      </c>
      <c r="DG169" s="140">
        <f t="shared" si="296"/>
        <v>0</v>
      </c>
      <c r="DH169" s="457"/>
      <c r="DI169" s="140">
        <v>0</v>
      </c>
      <c r="DJ169" s="140">
        <v>0</v>
      </c>
      <c r="DK169" s="140">
        <v>0</v>
      </c>
      <c r="DL169" s="140">
        <f t="shared" si="297"/>
        <v>0</v>
      </c>
      <c r="DM169" s="140">
        <f t="shared" si="298"/>
        <v>0</v>
      </c>
      <c r="DN169" s="140">
        <f t="shared" si="299"/>
        <v>0</v>
      </c>
      <c r="DO169" s="140">
        <f t="shared" si="300"/>
        <v>0</v>
      </c>
      <c r="DP169" s="140">
        <f t="shared" si="301"/>
        <v>0</v>
      </c>
      <c r="DQ169" s="140">
        <f t="shared" si="302"/>
        <v>0</v>
      </c>
      <c r="DR169" s="140">
        <v>0</v>
      </c>
      <c r="DS169" s="140">
        <v>0</v>
      </c>
      <c r="DT169" s="140">
        <f t="shared" si="303"/>
        <v>0</v>
      </c>
      <c r="DU169" s="140">
        <f t="shared" si="304"/>
        <v>0</v>
      </c>
      <c r="DV169" s="457"/>
      <c r="DW169" s="457"/>
      <c r="DX169" s="140">
        <v>0</v>
      </c>
      <c r="DY169" s="140">
        <f t="shared" si="329"/>
        <v>0</v>
      </c>
      <c r="DZ169" s="140">
        <f t="shared" si="305"/>
        <v>0</v>
      </c>
      <c r="EA169" s="140">
        <f t="shared" si="306"/>
        <v>0</v>
      </c>
      <c r="EB169" s="140">
        <f t="shared" si="307"/>
        <v>0</v>
      </c>
      <c r="EC169" s="140">
        <f t="shared" si="308"/>
        <v>0</v>
      </c>
      <c r="ED169" s="140">
        <f t="shared" si="330"/>
        <v>0</v>
      </c>
    </row>
    <row r="170" spans="61:134" ht="17.25" thickTop="1" thickBot="1">
      <c r="BI170" s="141">
        <f t="shared" si="275"/>
        <v>0</v>
      </c>
      <c r="BJ170" s="141">
        <f t="shared" si="276"/>
        <v>0</v>
      </c>
      <c r="BK170" s="141" cm="1">
        <f t="array" ref="BK170">BI170*c_rate.Pref.MO</f>
        <v>0</v>
      </c>
      <c r="BL170" s="141">
        <f t="shared" si="277"/>
        <v>0</v>
      </c>
      <c r="BM170" s="141">
        <f t="shared" si="278"/>
        <v>0</v>
      </c>
      <c r="BN170" s="141">
        <f t="shared" si="309"/>
        <v>0</v>
      </c>
      <c r="BO170" s="141">
        <f t="shared" si="310"/>
        <v>0</v>
      </c>
      <c r="BP170" s="141">
        <f t="shared" si="311"/>
        <v>0</v>
      </c>
      <c r="BQ170" s="141">
        <f t="shared" si="279"/>
        <v>0</v>
      </c>
      <c r="BR170" s="516"/>
      <c r="BS170" s="141">
        <f t="shared" si="312"/>
        <v>0</v>
      </c>
      <c r="BT170" s="141">
        <f t="shared" si="280"/>
        <v>0</v>
      </c>
      <c r="BU170" s="141" cm="1">
        <f t="array" ref="BU170">IF(D170=0,0,BS170*(c_rate.Hurdle1.MO))</f>
        <v>0</v>
      </c>
      <c r="BV170" s="141">
        <f t="shared" si="313"/>
        <v>0</v>
      </c>
      <c r="BW170" s="141">
        <f t="shared" si="281"/>
        <v>0</v>
      </c>
      <c r="BX170" s="141">
        <f t="shared" si="314"/>
        <v>0</v>
      </c>
      <c r="BY170" s="141">
        <f t="shared" si="315"/>
        <v>0</v>
      </c>
      <c r="BZ170" s="141">
        <f t="shared" si="316"/>
        <v>0</v>
      </c>
      <c r="CA170" s="141">
        <f t="shared" si="282"/>
        <v>0</v>
      </c>
      <c r="CB170" s="524">
        <f t="shared" si="317"/>
        <v>0</v>
      </c>
      <c r="CC170" s="516"/>
      <c r="CD170" s="141">
        <f t="shared" si="318"/>
        <v>0</v>
      </c>
      <c r="CE170" s="141">
        <f t="shared" si="283"/>
        <v>0</v>
      </c>
      <c r="CF170" s="141" cm="1">
        <f t="array" ref="CF170">IF($D171=0,0,CD170*(c_rate.Hurdle2.MO))</f>
        <v>0</v>
      </c>
      <c r="CG170" s="141">
        <f t="shared" si="284"/>
        <v>0</v>
      </c>
      <c r="CH170" s="141">
        <f t="shared" si="319"/>
        <v>0</v>
      </c>
      <c r="CI170" s="141">
        <f t="shared" si="285"/>
        <v>0</v>
      </c>
      <c r="CJ170" s="141">
        <f t="shared" si="286"/>
        <v>0</v>
      </c>
      <c r="CK170" s="141">
        <f t="shared" si="287"/>
        <v>0</v>
      </c>
      <c r="CL170" s="141">
        <f t="shared" si="320"/>
        <v>0</v>
      </c>
      <c r="CM170" s="141">
        <f t="shared" si="288"/>
        <v>0</v>
      </c>
      <c r="CN170" s="141">
        <f t="shared" si="289"/>
        <v>0</v>
      </c>
      <c r="CO170" s="516"/>
      <c r="CP170" s="141">
        <f t="shared" si="321"/>
        <v>0</v>
      </c>
      <c r="CQ170" s="141">
        <f t="shared" si="290"/>
        <v>0</v>
      </c>
      <c r="CR170" s="141" cm="1">
        <f t="array" ref="CR170">IF($D171=0,0,CP170*(c_rate.Hurdle3.MO))</f>
        <v>0</v>
      </c>
      <c r="CS170" s="141">
        <f t="shared" si="291"/>
        <v>0</v>
      </c>
      <c r="CT170" s="141">
        <f t="shared" si="322"/>
        <v>0</v>
      </c>
      <c r="CU170" s="141">
        <f t="shared" si="292"/>
        <v>0</v>
      </c>
      <c r="CV170" s="141">
        <f t="shared" si="293"/>
        <v>0</v>
      </c>
      <c r="CW170" s="141">
        <f t="shared" si="323"/>
        <v>0</v>
      </c>
      <c r="CX170" s="141">
        <f t="shared" si="324"/>
        <v>0</v>
      </c>
      <c r="CY170" s="141">
        <f t="shared" si="325"/>
        <v>0</v>
      </c>
      <c r="CZ170" s="141">
        <f t="shared" si="326"/>
        <v>0</v>
      </c>
      <c r="DA170" s="516"/>
      <c r="DB170" s="141">
        <f t="shared" si="294"/>
        <v>0</v>
      </c>
      <c r="DC170" s="141">
        <f t="shared" si="295"/>
        <v>0</v>
      </c>
      <c r="DD170" s="518"/>
      <c r="DE170" s="141">
        <f t="shared" si="327"/>
        <v>0</v>
      </c>
      <c r="DF170" s="141">
        <f t="shared" si="328"/>
        <v>0</v>
      </c>
      <c r="DG170" s="141">
        <f t="shared" si="296"/>
        <v>0</v>
      </c>
      <c r="DH170" s="457"/>
      <c r="DI170" s="141">
        <v>0</v>
      </c>
      <c r="DJ170" s="141">
        <v>0</v>
      </c>
      <c r="DK170" s="141">
        <v>0</v>
      </c>
      <c r="DL170" s="141">
        <f t="shared" si="297"/>
        <v>0</v>
      </c>
      <c r="DM170" s="141">
        <f t="shared" si="298"/>
        <v>0</v>
      </c>
      <c r="DN170" s="141">
        <f t="shared" si="299"/>
        <v>0</v>
      </c>
      <c r="DO170" s="141">
        <f t="shared" si="300"/>
        <v>0</v>
      </c>
      <c r="DP170" s="141">
        <f t="shared" si="301"/>
        <v>0</v>
      </c>
      <c r="DQ170" s="141">
        <f t="shared" si="302"/>
        <v>0</v>
      </c>
      <c r="DR170" s="141">
        <v>0</v>
      </c>
      <c r="DS170" s="141">
        <v>0</v>
      </c>
      <c r="DT170" s="141">
        <f t="shared" si="303"/>
        <v>0</v>
      </c>
      <c r="DU170" s="141">
        <f t="shared" si="304"/>
        <v>0</v>
      </c>
      <c r="DV170" s="457"/>
      <c r="DW170" s="457"/>
      <c r="DX170" s="141">
        <v>0</v>
      </c>
      <c r="DY170" s="141">
        <f t="shared" si="329"/>
        <v>0</v>
      </c>
      <c r="DZ170" s="141">
        <f t="shared" si="305"/>
        <v>0</v>
      </c>
      <c r="EA170" s="141">
        <f t="shared" si="306"/>
        <v>0</v>
      </c>
      <c r="EB170" s="141">
        <f t="shared" si="307"/>
        <v>0</v>
      </c>
      <c r="EC170" s="141">
        <f t="shared" si="308"/>
        <v>0</v>
      </c>
      <c r="ED170" s="141">
        <f t="shared" si="330"/>
        <v>0</v>
      </c>
    </row>
    <row r="171" spans="61:134" ht="17.25" thickTop="1" thickBot="1">
      <c r="BI171" s="139">
        <f t="shared" si="275"/>
        <v>0</v>
      </c>
      <c r="BJ171" s="139">
        <f t="shared" si="276"/>
        <v>0</v>
      </c>
      <c r="BK171" s="139" cm="1">
        <f t="array" ref="BK171">BI171*c_rate.Pref.MO</f>
        <v>0</v>
      </c>
      <c r="BL171" s="139">
        <f t="shared" si="277"/>
        <v>0</v>
      </c>
      <c r="BM171" s="139">
        <f t="shared" si="278"/>
        <v>0</v>
      </c>
      <c r="BN171" s="139">
        <f t="shared" si="309"/>
        <v>0</v>
      </c>
      <c r="BO171" s="139">
        <f t="shared" si="310"/>
        <v>0</v>
      </c>
      <c r="BP171" s="139">
        <f t="shared" si="311"/>
        <v>0</v>
      </c>
      <c r="BQ171" s="139">
        <f t="shared" si="279"/>
        <v>0</v>
      </c>
      <c r="BR171" s="516"/>
      <c r="BS171" s="139">
        <f t="shared" si="312"/>
        <v>0</v>
      </c>
      <c r="BT171" s="139">
        <f t="shared" si="280"/>
        <v>0</v>
      </c>
      <c r="BU171" s="139" cm="1">
        <f t="array" ref="BU171">IF(D171=0,0,BS171*(c_rate.Hurdle1.MO))</f>
        <v>0</v>
      </c>
      <c r="BV171" s="139">
        <f t="shared" si="313"/>
        <v>0</v>
      </c>
      <c r="BW171" s="139">
        <f t="shared" si="281"/>
        <v>0</v>
      </c>
      <c r="BX171" s="139">
        <f t="shared" si="314"/>
        <v>0</v>
      </c>
      <c r="BY171" s="139">
        <f t="shared" si="315"/>
        <v>0</v>
      </c>
      <c r="BZ171" s="139">
        <f t="shared" si="316"/>
        <v>0</v>
      </c>
      <c r="CA171" s="139">
        <f t="shared" si="282"/>
        <v>0</v>
      </c>
      <c r="CB171" s="524">
        <f t="shared" si="317"/>
        <v>0</v>
      </c>
      <c r="CC171" s="516"/>
      <c r="CD171" s="139">
        <f t="shared" si="318"/>
        <v>0</v>
      </c>
      <c r="CE171" s="139">
        <f t="shared" si="283"/>
        <v>0</v>
      </c>
      <c r="CF171" s="139" cm="1">
        <f t="array" ref="CF171">IF($D172=0,0,CD171*(c_rate.Hurdle2.MO))</f>
        <v>0</v>
      </c>
      <c r="CG171" s="139">
        <f t="shared" si="284"/>
        <v>0</v>
      </c>
      <c r="CH171" s="139">
        <f t="shared" si="319"/>
        <v>0</v>
      </c>
      <c r="CI171" s="139">
        <f t="shared" si="285"/>
        <v>0</v>
      </c>
      <c r="CJ171" s="139">
        <f t="shared" si="286"/>
        <v>0</v>
      </c>
      <c r="CK171" s="139">
        <f t="shared" si="287"/>
        <v>0</v>
      </c>
      <c r="CL171" s="139">
        <f t="shared" si="320"/>
        <v>0</v>
      </c>
      <c r="CM171" s="139">
        <f t="shared" si="288"/>
        <v>0</v>
      </c>
      <c r="CN171" s="139">
        <f t="shared" si="289"/>
        <v>0</v>
      </c>
      <c r="CO171" s="516"/>
      <c r="CP171" s="139">
        <f t="shared" si="321"/>
        <v>0</v>
      </c>
      <c r="CQ171" s="139">
        <f t="shared" si="290"/>
        <v>0</v>
      </c>
      <c r="CR171" s="139" cm="1">
        <f t="array" ref="CR171">IF($D172=0,0,CP171*(c_rate.Hurdle3.MO))</f>
        <v>0</v>
      </c>
      <c r="CS171" s="139">
        <f t="shared" si="291"/>
        <v>0</v>
      </c>
      <c r="CT171" s="139">
        <f t="shared" si="322"/>
        <v>0</v>
      </c>
      <c r="CU171" s="139">
        <f t="shared" si="292"/>
        <v>0</v>
      </c>
      <c r="CV171" s="139">
        <f t="shared" si="293"/>
        <v>0</v>
      </c>
      <c r="CW171" s="139">
        <f t="shared" si="323"/>
        <v>0</v>
      </c>
      <c r="CX171" s="139">
        <f t="shared" si="324"/>
        <v>0</v>
      </c>
      <c r="CY171" s="139">
        <f t="shared" si="325"/>
        <v>0</v>
      </c>
      <c r="CZ171" s="139">
        <f t="shared" si="326"/>
        <v>0</v>
      </c>
      <c r="DA171" s="516"/>
      <c r="DB171" s="139">
        <f t="shared" si="294"/>
        <v>0</v>
      </c>
      <c r="DC171" s="139">
        <f t="shared" si="295"/>
        <v>0</v>
      </c>
      <c r="DD171" s="518"/>
      <c r="DE171" s="139">
        <f t="shared" si="327"/>
        <v>0</v>
      </c>
      <c r="DF171" s="139">
        <f t="shared" si="328"/>
        <v>0</v>
      </c>
      <c r="DG171" s="139">
        <f t="shared" si="296"/>
        <v>0</v>
      </c>
      <c r="DH171" s="457"/>
      <c r="DI171" s="139">
        <v>0</v>
      </c>
      <c r="DJ171" s="139">
        <v>0</v>
      </c>
      <c r="DK171" s="139">
        <v>0</v>
      </c>
      <c r="DL171" s="139">
        <f t="shared" si="297"/>
        <v>0</v>
      </c>
      <c r="DM171" s="139">
        <f t="shared" si="298"/>
        <v>0</v>
      </c>
      <c r="DN171" s="139">
        <f t="shared" si="299"/>
        <v>0</v>
      </c>
      <c r="DO171" s="139">
        <f t="shared" si="300"/>
        <v>0</v>
      </c>
      <c r="DP171" s="139">
        <f t="shared" si="301"/>
        <v>0</v>
      </c>
      <c r="DQ171" s="139">
        <f t="shared" si="302"/>
        <v>0</v>
      </c>
      <c r="DR171" s="139">
        <v>0</v>
      </c>
      <c r="DS171" s="139">
        <v>0</v>
      </c>
      <c r="DT171" s="139">
        <f t="shared" si="303"/>
        <v>0</v>
      </c>
      <c r="DU171" s="139">
        <f t="shared" si="304"/>
        <v>0</v>
      </c>
      <c r="DV171" s="457"/>
      <c r="DW171" s="457"/>
      <c r="DX171" s="139">
        <v>0</v>
      </c>
      <c r="DY171" s="139">
        <f t="shared" si="329"/>
        <v>0</v>
      </c>
      <c r="DZ171" s="139">
        <f t="shared" si="305"/>
        <v>0</v>
      </c>
      <c r="EA171" s="139">
        <f t="shared" si="306"/>
        <v>0</v>
      </c>
      <c r="EB171" s="139">
        <f t="shared" si="307"/>
        <v>0</v>
      </c>
      <c r="EC171" s="139">
        <f t="shared" si="308"/>
        <v>0</v>
      </c>
      <c r="ED171" s="139">
        <f t="shared" si="330"/>
        <v>0</v>
      </c>
    </row>
    <row r="172" spans="61:134" ht="17.25" thickTop="1" thickBot="1">
      <c r="BI172" s="140">
        <f t="shared" si="275"/>
        <v>0</v>
      </c>
      <c r="BJ172" s="140">
        <f t="shared" si="276"/>
        <v>0</v>
      </c>
      <c r="BK172" s="140" cm="1">
        <f t="array" ref="BK172">BI172*c_rate.Pref.MO</f>
        <v>0</v>
      </c>
      <c r="BL172" s="140">
        <f t="shared" si="277"/>
        <v>0</v>
      </c>
      <c r="BM172" s="140">
        <f t="shared" si="278"/>
        <v>0</v>
      </c>
      <c r="BN172" s="140">
        <f t="shared" si="309"/>
        <v>0</v>
      </c>
      <c r="BO172" s="140">
        <f t="shared" si="310"/>
        <v>0</v>
      </c>
      <c r="BP172" s="140">
        <f t="shared" si="311"/>
        <v>0</v>
      </c>
      <c r="BQ172" s="140">
        <f t="shared" si="279"/>
        <v>0</v>
      </c>
      <c r="BR172" s="516"/>
      <c r="BS172" s="140">
        <f t="shared" si="312"/>
        <v>0</v>
      </c>
      <c r="BT172" s="140">
        <f t="shared" si="280"/>
        <v>0</v>
      </c>
      <c r="BU172" s="140" cm="1">
        <f t="array" ref="BU172">IF(D172=0,0,BS172*(c_rate.Hurdle1.MO))</f>
        <v>0</v>
      </c>
      <c r="BV172" s="140">
        <f t="shared" si="313"/>
        <v>0</v>
      </c>
      <c r="BW172" s="140">
        <f t="shared" si="281"/>
        <v>0</v>
      </c>
      <c r="BX172" s="140">
        <f t="shared" si="314"/>
        <v>0</v>
      </c>
      <c r="BY172" s="140">
        <f t="shared" si="315"/>
        <v>0</v>
      </c>
      <c r="BZ172" s="140">
        <f t="shared" si="316"/>
        <v>0</v>
      </c>
      <c r="CA172" s="140">
        <f t="shared" si="282"/>
        <v>0</v>
      </c>
      <c r="CB172" s="524">
        <f t="shared" si="317"/>
        <v>0</v>
      </c>
      <c r="CC172" s="516"/>
      <c r="CD172" s="140">
        <f t="shared" si="318"/>
        <v>0</v>
      </c>
      <c r="CE172" s="140">
        <f t="shared" si="283"/>
        <v>0</v>
      </c>
      <c r="CF172" s="140" cm="1">
        <f t="array" ref="CF172">IF($D173=0,0,CD172*(c_rate.Hurdle2.MO))</f>
        <v>0</v>
      </c>
      <c r="CG172" s="140">
        <f t="shared" si="284"/>
        <v>0</v>
      </c>
      <c r="CH172" s="140">
        <f t="shared" si="319"/>
        <v>0</v>
      </c>
      <c r="CI172" s="140">
        <f t="shared" si="285"/>
        <v>0</v>
      </c>
      <c r="CJ172" s="140">
        <f t="shared" si="286"/>
        <v>0</v>
      </c>
      <c r="CK172" s="140">
        <f t="shared" si="287"/>
        <v>0</v>
      </c>
      <c r="CL172" s="140">
        <f t="shared" si="320"/>
        <v>0</v>
      </c>
      <c r="CM172" s="140">
        <f t="shared" si="288"/>
        <v>0</v>
      </c>
      <c r="CN172" s="140">
        <f t="shared" si="289"/>
        <v>0</v>
      </c>
      <c r="CO172" s="516"/>
      <c r="CP172" s="140">
        <f t="shared" si="321"/>
        <v>0</v>
      </c>
      <c r="CQ172" s="140">
        <f t="shared" si="290"/>
        <v>0</v>
      </c>
      <c r="CR172" s="140" cm="1">
        <f t="array" ref="CR172">IF($D173=0,0,CP172*(c_rate.Hurdle3.MO))</f>
        <v>0</v>
      </c>
      <c r="CS172" s="140">
        <f t="shared" si="291"/>
        <v>0</v>
      </c>
      <c r="CT172" s="140">
        <f t="shared" si="322"/>
        <v>0</v>
      </c>
      <c r="CU172" s="140">
        <f t="shared" si="292"/>
        <v>0</v>
      </c>
      <c r="CV172" s="140">
        <f t="shared" si="293"/>
        <v>0</v>
      </c>
      <c r="CW172" s="140">
        <f t="shared" si="323"/>
        <v>0</v>
      </c>
      <c r="CX172" s="140">
        <f t="shared" si="324"/>
        <v>0</v>
      </c>
      <c r="CY172" s="140">
        <f t="shared" si="325"/>
        <v>0</v>
      </c>
      <c r="CZ172" s="140">
        <f t="shared" si="326"/>
        <v>0</v>
      </c>
      <c r="DA172" s="516"/>
      <c r="DB172" s="140">
        <f t="shared" si="294"/>
        <v>0</v>
      </c>
      <c r="DC172" s="140">
        <f t="shared" si="295"/>
        <v>0</v>
      </c>
      <c r="DD172" s="518"/>
      <c r="DE172" s="140">
        <f t="shared" si="327"/>
        <v>0</v>
      </c>
      <c r="DF172" s="140">
        <f t="shared" si="328"/>
        <v>0</v>
      </c>
      <c r="DG172" s="140">
        <f t="shared" si="296"/>
        <v>0</v>
      </c>
      <c r="DH172" s="457"/>
      <c r="DI172" s="140">
        <v>0</v>
      </c>
      <c r="DJ172" s="140">
        <v>0</v>
      </c>
      <c r="DK172" s="140">
        <v>0</v>
      </c>
      <c r="DL172" s="140">
        <f t="shared" si="297"/>
        <v>0</v>
      </c>
      <c r="DM172" s="140">
        <f t="shared" si="298"/>
        <v>0</v>
      </c>
      <c r="DN172" s="140">
        <f t="shared" si="299"/>
        <v>0</v>
      </c>
      <c r="DO172" s="140">
        <f t="shared" si="300"/>
        <v>0</v>
      </c>
      <c r="DP172" s="140">
        <f t="shared" si="301"/>
        <v>0</v>
      </c>
      <c r="DQ172" s="140">
        <f t="shared" si="302"/>
        <v>0</v>
      </c>
      <c r="DR172" s="140">
        <v>0</v>
      </c>
      <c r="DS172" s="140">
        <v>0</v>
      </c>
      <c r="DT172" s="140">
        <f t="shared" si="303"/>
        <v>0</v>
      </c>
      <c r="DU172" s="140">
        <f t="shared" si="304"/>
        <v>0</v>
      </c>
      <c r="DV172" s="457"/>
      <c r="DW172" s="457"/>
      <c r="DX172" s="140">
        <v>0</v>
      </c>
      <c r="DY172" s="140">
        <f t="shared" si="329"/>
        <v>0</v>
      </c>
      <c r="DZ172" s="140">
        <f t="shared" si="305"/>
        <v>0</v>
      </c>
      <c r="EA172" s="140">
        <f t="shared" si="306"/>
        <v>0</v>
      </c>
      <c r="EB172" s="140">
        <f t="shared" si="307"/>
        <v>0</v>
      </c>
      <c r="EC172" s="140">
        <f t="shared" si="308"/>
        <v>0</v>
      </c>
      <c r="ED172" s="140">
        <f t="shared" si="330"/>
        <v>0</v>
      </c>
    </row>
    <row r="173" spans="61:134" ht="17.25" thickTop="1" thickBot="1">
      <c r="BI173" s="141">
        <f t="shared" si="275"/>
        <v>0</v>
      </c>
      <c r="BJ173" s="141">
        <f t="shared" si="276"/>
        <v>0</v>
      </c>
      <c r="BK173" s="141" cm="1">
        <f t="array" ref="BK173">BI173*c_rate.Pref.MO</f>
        <v>0</v>
      </c>
      <c r="BL173" s="141">
        <f t="shared" si="277"/>
        <v>0</v>
      </c>
      <c r="BM173" s="141">
        <f t="shared" si="278"/>
        <v>0</v>
      </c>
      <c r="BN173" s="141">
        <f t="shared" si="309"/>
        <v>0</v>
      </c>
      <c r="BO173" s="141">
        <f t="shared" si="310"/>
        <v>0</v>
      </c>
      <c r="BP173" s="141">
        <f t="shared" si="311"/>
        <v>0</v>
      </c>
      <c r="BQ173" s="141">
        <f t="shared" si="279"/>
        <v>0</v>
      </c>
      <c r="BR173" s="516"/>
      <c r="BS173" s="141">
        <f t="shared" si="312"/>
        <v>0</v>
      </c>
      <c r="BT173" s="141">
        <f t="shared" si="280"/>
        <v>0</v>
      </c>
      <c r="BU173" s="141" cm="1">
        <f t="array" ref="BU173">IF(D173=0,0,BS173*(c_rate.Hurdle1.MO))</f>
        <v>0</v>
      </c>
      <c r="BV173" s="141">
        <f t="shared" si="313"/>
        <v>0</v>
      </c>
      <c r="BW173" s="141">
        <f t="shared" si="281"/>
        <v>0</v>
      </c>
      <c r="BX173" s="141">
        <f t="shared" si="314"/>
        <v>0</v>
      </c>
      <c r="BY173" s="141">
        <f t="shared" si="315"/>
        <v>0</v>
      </c>
      <c r="BZ173" s="141">
        <f t="shared" si="316"/>
        <v>0</v>
      </c>
      <c r="CA173" s="141">
        <f t="shared" si="282"/>
        <v>0</v>
      </c>
      <c r="CB173" s="524">
        <f t="shared" si="317"/>
        <v>0</v>
      </c>
      <c r="CC173" s="516"/>
      <c r="CD173" s="141">
        <f t="shared" si="318"/>
        <v>0</v>
      </c>
      <c r="CE173" s="141">
        <f t="shared" si="283"/>
        <v>0</v>
      </c>
      <c r="CF173" s="141" cm="1">
        <f t="array" ref="CF173">IF($D174=0,0,CD173*(c_rate.Hurdle2.MO))</f>
        <v>0</v>
      </c>
      <c r="CG173" s="141">
        <f t="shared" si="284"/>
        <v>0</v>
      </c>
      <c r="CH173" s="141">
        <f t="shared" si="319"/>
        <v>0</v>
      </c>
      <c r="CI173" s="141">
        <f t="shared" si="285"/>
        <v>0</v>
      </c>
      <c r="CJ173" s="141">
        <f t="shared" si="286"/>
        <v>0</v>
      </c>
      <c r="CK173" s="141">
        <f t="shared" si="287"/>
        <v>0</v>
      </c>
      <c r="CL173" s="141">
        <f t="shared" si="320"/>
        <v>0</v>
      </c>
      <c r="CM173" s="141">
        <f t="shared" si="288"/>
        <v>0</v>
      </c>
      <c r="CN173" s="141">
        <f t="shared" si="289"/>
        <v>0</v>
      </c>
      <c r="CO173" s="516"/>
      <c r="CP173" s="141">
        <f t="shared" si="321"/>
        <v>0</v>
      </c>
      <c r="CQ173" s="141">
        <f t="shared" si="290"/>
        <v>0</v>
      </c>
      <c r="CR173" s="141" cm="1">
        <f t="array" ref="CR173">IF($D174=0,0,CP173*(c_rate.Hurdle3.MO))</f>
        <v>0</v>
      </c>
      <c r="CS173" s="141">
        <f t="shared" si="291"/>
        <v>0</v>
      </c>
      <c r="CT173" s="141">
        <f t="shared" si="322"/>
        <v>0</v>
      </c>
      <c r="CU173" s="141">
        <f t="shared" si="292"/>
        <v>0</v>
      </c>
      <c r="CV173" s="141">
        <f t="shared" si="293"/>
        <v>0</v>
      </c>
      <c r="CW173" s="141">
        <f t="shared" si="323"/>
        <v>0</v>
      </c>
      <c r="CX173" s="141">
        <f t="shared" si="324"/>
        <v>0</v>
      </c>
      <c r="CY173" s="141">
        <f t="shared" si="325"/>
        <v>0</v>
      </c>
      <c r="CZ173" s="141">
        <f t="shared" si="326"/>
        <v>0</v>
      </c>
      <c r="DA173" s="516"/>
      <c r="DB173" s="141">
        <f t="shared" si="294"/>
        <v>0</v>
      </c>
      <c r="DC173" s="141">
        <f t="shared" si="295"/>
        <v>0</v>
      </c>
      <c r="DD173" s="518"/>
      <c r="DE173" s="141">
        <f t="shared" si="327"/>
        <v>0</v>
      </c>
      <c r="DF173" s="141">
        <f t="shared" si="328"/>
        <v>0</v>
      </c>
      <c r="DG173" s="141">
        <f t="shared" si="296"/>
        <v>0</v>
      </c>
      <c r="DH173" s="457"/>
      <c r="DI173" s="141">
        <v>0</v>
      </c>
      <c r="DJ173" s="141">
        <v>0</v>
      </c>
      <c r="DK173" s="141">
        <v>0</v>
      </c>
      <c r="DL173" s="141">
        <f t="shared" si="297"/>
        <v>0</v>
      </c>
      <c r="DM173" s="141">
        <f t="shared" si="298"/>
        <v>0</v>
      </c>
      <c r="DN173" s="141">
        <f t="shared" si="299"/>
        <v>0</v>
      </c>
      <c r="DO173" s="141">
        <f t="shared" si="300"/>
        <v>0</v>
      </c>
      <c r="DP173" s="141">
        <f t="shared" si="301"/>
        <v>0</v>
      </c>
      <c r="DQ173" s="141">
        <f t="shared" si="302"/>
        <v>0</v>
      </c>
      <c r="DR173" s="141">
        <v>0</v>
      </c>
      <c r="DS173" s="141">
        <v>0</v>
      </c>
      <c r="DT173" s="141">
        <f t="shared" si="303"/>
        <v>0</v>
      </c>
      <c r="DU173" s="141">
        <f t="shared" si="304"/>
        <v>0</v>
      </c>
      <c r="DV173" s="457"/>
      <c r="DW173" s="457"/>
      <c r="DX173" s="141">
        <v>0</v>
      </c>
      <c r="DY173" s="141">
        <f t="shared" si="329"/>
        <v>0</v>
      </c>
      <c r="DZ173" s="141">
        <f t="shared" si="305"/>
        <v>0</v>
      </c>
      <c r="EA173" s="141">
        <f t="shared" si="306"/>
        <v>0</v>
      </c>
      <c r="EB173" s="141">
        <f t="shared" si="307"/>
        <v>0</v>
      </c>
      <c r="EC173" s="141">
        <f t="shared" si="308"/>
        <v>0</v>
      </c>
      <c r="ED173" s="141">
        <f t="shared" si="330"/>
        <v>0</v>
      </c>
    </row>
    <row r="174" spans="61:134" ht="17.25" thickTop="1" thickBot="1">
      <c r="BI174" s="139">
        <f t="shared" si="275"/>
        <v>0</v>
      </c>
      <c r="BJ174" s="139">
        <f t="shared" si="276"/>
        <v>0</v>
      </c>
      <c r="BK174" s="139" cm="1">
        <f t="array" ref="BK174">BI174*c_rate.Pref.MO</f>
        <v>0</v>
      </c>
      <c r="BL174" s="139">
        <f t="shared" si="277"/>
        <v>0</v>
      </c>
      <c r="BM174" s="139">
        <f t="shared" si="278"/>
        <v>0</v>
      </c>
      <c r="BN174" s="139">
        <f t="shared" si="309"/>
        <v>0</v>
      </c>
      <c r="BO174" s="139">
        <f t="shared" si="310"/>
        <v>0</v>
      </c>
      <c r="BP174" s="139">
        <f t="shared" si="311"/>
        <v>0</v>
      </c>
      <c r="BQ174" s="139">
        <f t="shared" si="279"/>
        <v>0</v>
      </c>
      <c r="BR174" s="516"/>
      <c r="BS174" s="139">
        <f t="shared" si="312"/>
        <v>0</v>
      </c>
      <c r="BT174" s="139">
        <f t="shared" si="280"/>
        <v>0</v>
      </c>
      <c r="BU174" s="139" cm="1">
        <f t="array" ref="BU174">IF(D174=0,0,BS174*(c_rate.Hurdle1.MO))</f>
        <v>0</v>
      </c>
      <c r="BV174" s="139">
        <f t="shared" si="313"/>
        <v>0</v>
      </c>
      <c r="BW174" s="139">
        <f t="shared" si="281"/>
        <v>0</v>
      </c>
      <c r="BX174" s="139">
        <f t="shared" si="314"/>
        <v>0</v>
      </c>
      <c r="BY174" s="139">
        <f t="shared" si="315"/>
        <v>0</v>
      </c>
      <c r="BZ174" s="139">
        <f t="shared" si="316"/>
        <v>0</v>
      </c>
      <c r="CA174" s="139">
        <f t="shared" si="282"/>
        <v>0</v>
      </c>
      <c r="CB174" s="524">
        <f t="shared" si="317"/>
        <v>0</v>
      </c>
      <c r="CC174" s="516"/>
      <c r="CD174" s="139">
        <f t="shared" si="318"/>
        <v>0</v>
      </c>
      <c r="CE174" s="139">
        <f t="shared" si="283"/>
        <v>0</v>
      </c>
      <c r="CF174" s="139" cm="1">
        <f t="array" ref="CF174">IF($D175=0,0,CD174*(c_rate.Hurdle2.MO))</f>
        <v>0</v>
      </c>
      <c r="CG174" s="139">
        <f t="shared" si="284"/>
        <v>0</v>
      </c>
      <c r="CH174" s="139">
        <f t="shared" si="319"/>
        <v>0</v>
      </c>
      <c r="CI174" s="139">
        <f t="shared" si="285"/>
        <v>0</v>
      </c>
      <c r="CJ174" s="139">
        <f t="shared" si="286"/>
        <v>0</v>
      </c>
      <c r="CK174" s="139">
        <f t="shared" si="287"/>
        <v>0</v>
      </c>
      <c r="CL174" s="139">
        <f t="shared" si="320"/>
        <v>0</v>
      </c>
      <c r="CM174" s="139">
        <f t="shared" si="288"/>
        <v>0</v>
      </c>
      <c r="CN174" s="139">
        <f t="shared" si="289"/>
        <v>0</v>
      </c>
      <c r="CO174" s="516"/>
      <c r="CP174" s="139">
        <f t="shared" si="321"/>
        <v>0</v>
      </c>
      <c r="CQ174" s="139">
        <f t="shared" si="290"/>
        <v>0</v>
      </c>
      <c r="CR174" s="139" cm="1">
        <f t="array" ref="CR174">IF($D175=0,0,CP174*(c_rate.Hurdle3.MO))</f>
        <v>0</v>
      </c>
      <c r="CS174" s="139">
        <f t="shared" si="291"/>
        <v>0</v>
      </c>
      <c r="CT174" s="139">
        <f t="shared" si="322"/>
        <v>0</v>
      </c>
      <c r="CU174" s="139">
        <f t="shared" si="292"/>
        <v>0</v>
      </c>
      <c r="CV174" s="139">
        <f t="shared" si="293"/>
        <v>0</v>
      </c>
      <c r="CW174" s="139">
        <f t="shared" si="323"/>
        <v>0</v>
      </c>
      <c r="CX174" s="139">
        <f t="shared" si="324"/>
        <v>0</v>
      </c>
      <c r="CY174" s="139">
        <f t="shared" si="325"/>
        <v>0</v>
      </c>
      <c r="CZ174" s="139">
        <f t="shared" si="326"/>
        <v>0</v>
      </c>
      <c r="DA174" s="516"/>
      <c r="DB174" s="139">
        <f t="shared" si="294"/>
        <v>0</v>
      </c>
      <c r="DC174" s="139">
        <f t="shared" si="295"/>
        <v>0</v>
      </c>
      <c r="DD174" s="518"/>
      <c r="DE174" s="139">
        <f t="shared" si="327"/>
        <v>0</v>
      </c>
      <c r="DF174" s="139">
        <f t="shared" si="328"/>
        <v>0</v>
      </c>
      <c r="DG174" s="139">
        <f t="shared" si="296"/>
        <v>0</v>
      </c>
      <c r="DH174" s="457"/>
      <c r="DI174" s="139">
        <v>0</v>
      </c>
      <c r="DJ174" s="139">
        <v>0</v>
      </c>
      <c r="DK174" s="139">
        <v>0</v>
      </c>
      <c r="DL174" s="139">
        <f t="shared" si="297"/>
        <v>0</v>
      </c>
      <c r="DM174" s="139">
        <f t="shared" si="298"/>
        <v>0</v>
      </c>
      <c r="DN174" s="139">
        <f t="shared" si="299"/>
        <v>0</v>
      </c>
      <c r="DO174" s="139">
        <f t="shared" si="300"/>
        <v>0</v>
      </c>
      <c r="DP174" s="139">
        <f t="shared" si="301"/>
        <v>0</v>
      </c>
      <c r="DQ174" s="139">
        <f t="shared" si="302"/>
        <v>0</v>
      </c>
      <c r="DR174" s="139">
        <v>0</v>
      </c>
      <c r="DS174" s="139">
        <v>0</v>
      </c>
      <c r="DT174" s="139">
        <f t="shared" si="303"/>
        <v>0</v>
      </c>
      <c r="DU174" s="139">
        <f t="shared" si="304"/>
        <v>0</v>
      </c>
      <c r="DV174" s="457"/>
      <c r="DW174" s="457"/>
      <c r="DX174" s="139">
        <v>0</v>
      </c>
      <c r="DY174" s="139">
        <f t="shared" si="329"/>
        <v>0</v>
      </c>
      <c r="DZ174" s="139">
        <f t="shared" si="305"/>
        <v>0</v>
      </c>
      <c r="EA174" s="139">
        <f t="shared" si="306"/>
        <v>0</v>
      </c>
      <c r="EB174" s="139">
        <f t="shared" si="307"/>
        <v>0</v>
      </c>
      <c r="EC174" s="139">
        <f t="shared" si="308"/>
        <v>0</v>
      </c>
      <c r="ED174" s="139">
        <f t="shared" si="330"/>
        <v>0</v>
      </c>
    </row>
    <row r="175" spans="61:134" ht="17.25" thickTop="1" thickBot="1">
      <c r="BI175" s="142">
        <f t="shared" si="275"/>
        <v>0</v>
      </c>
      <c r="BJ175" s="142">
        <f t="shared" si="276"/>
        <v>0</v>
      </c>
      <c r="BK175" s="142" cm="1">
        <f t="array" ref="BK175">BI175*c_rate.Pref.MO</f>
        <v>0</v>
      </c>
      <c r="BL175" s="142">
        <f t="shared" si="277"/>
        <v>0</v>
      </c>
      <c r="BM175" s="142">
        <f t="shared" si="278"/>
        <v>0</v>
      </c>
      <c r="BN175" s="142">
        <f t="shared" si="309"/>
        <v>0</v>
      </c>
      <c r="BO175" s="142">
        <f t="shared" si="310"/>
        <v>0</v>
      </c>
      <c r="BP175" s="142">
        <f t="shared" si="311"/>
        <v>0</v>
      </c>
      <c r="BQ175" s="142">
        <f t="shared" si="279"/>
        <v>0</v>
      </c>
      <c r="BR175" s="516"/>
      <c r="BS175" s="142">
        <f t="shared" si="312"/>
        <v>0</v>
      </c>
      <c r="BT175" s="142">
        <f t="shared" si="280"/>
        <v>0</v>
      </c>
      <c r="BU175" s="142" cm="1">
        <f t="array" ref="BU175">IF(D175=0,0,BS175*(c_rate.Hurdle1.MO))</f>
        <v>0</v>
      </c>
      <c r="BV175" s="142">
        <f t="shared" si="313"/>
        <v>0</v>
      </c>
      <c r="BW175" s="142">
        <f t="shared" si="281"/>
        <v>0</v>
      </c>
      <c r="BX175" s="142">
        <f t="shared" si="314"/>
        <v>0</v>
      </c>
      <c r="BY175" s="142">
        <f t="shared" si="315"/>
        <v>0</v>
      </c>
      <c r="BZ175" s="142">
        <f t="shared" si="316"/>
        <v>0</v>
      </c>
      <c r="CA175" s="142">
        <f t="shared" si="282"/>
        <v>0</v>
      </c>
      <c r="CB175" s="524">
        <f t="shared" si="317"/>
        <v>0</v>
      </c>
      <c r="CC175" s="516"/>
      <c r="CD175" s="142">
        <f t="shared" si="318"/>
        <v>0</v>
      </c>
      <c r="CE175" s="142">
        <f t="shared" si="283"/>
        <v>0</v>
      </c>
      <c r="CF175" s="142" cm="1">
        <f t="array" ref="CF175">IF($D176=0,0,CD175*(c_rate.Hurdle2.MO))</f>
        <v>0</v>
      </c>
      <c r="CG175" s="142">
        <f t="shared" si="284"/>
        <v>0</v>
      </c>
      <c r="CH175" s="142">
        <f t="shared" si="319"/>
        <v>0</v>
      </c>
      <c r="CI175" s="142">
        <f t="shared" si="285"/>
        <v>0</v>
      </c>
      <c r="CJ175" s="142">
        <f t="shared" si="286"/>
        <v>0</v>
      </c>
      <c r="CK175" s="142">
        <f t="shared" si="287"/>
        <v>0</v>
      </c>
      <c r="CL175" s="142">
        <f t="shared" si="320"/>
        <v>0</v>
      </c>
      <c r="CM175" s="142">
        <f t="shared" si="288"/>
        <v>0</v>
      </c>
      <c r="CN175" s="142">
        <f t="shared" si="289"/>
        <v>0</v>
      </c>
      <c r="CO175" s="516"/>
      <c r="CP175" s="142">
        <f t="shared" si="321"/>
        <v>0</v>
      </c>
      <c r="CQ175" s="142">
        <f t="shared" si="290"/>
        <v>0</v>
      </c>
      <c r="CR175" s="142" cm="1">
        <f t="array" ref="CR175">IF($D176=0,0,CP175*(c_rate.Hurdle3.MO))</f>
        <v>0</v>
      </c>
      <c r="CS175" s="142">
        <f t="shared" si="291"/>
        <v>0</v>
      </c>
      <c r="CT175" s="142">
        <f t="shared" si="322"/>
        <v>0</v>
      </c>
      <c r="CU175" s="142">
        <f t="shared" si="292"/>
        <v>0</v>
      </c>
      <c r="CV175" s="142">
        <f t="shared" si="293"/>
        <v>0</v>
      </c>
      <c r="CW175" s="142">
        <f t="shared" si="323"/>
        <v>0</v>
      </c>
      <c r="CX175" s="142">
        <f t="shared" si="324"/>
        <v>0</v>
      </c>
      <c r="CY175" s="142">
        <f t="shared" si="325"/>
        <v>0</v>
      </c>
      <c r="CZ175" s="142">
        <f t="shared" si="326"/>
        <v>0</v>
      </c>
      <c r="DA175" s="516"/>
      <c r="DB175" s="142">
        <f t="shared" si="294"/>
        <v>0</v>
      </c>
      <c r="DC175" s="142">
        <f t="shared" si="295"/>
        <v>0</v>
      </c>
      <c r="DD175" s="518"/>
      <c r="DE175" s="142">
        <f t="shared" si="327"/>
        <v>0</v>
      </c>
      <c r="DF175" s="142">
        <f t="shared" si="328"/>
        <v>0</v>
      </c>
      <c r="DG175" s="142">
        <f t="shared" si="296"/>
        <v>0</v>
      </c>
      <c r="DH175" s="457"/>
      <c r="DI175" s="142">
        <v>0</v>
      </c>
      <c r="DJ175" s="142">
        <v>0</v>
      </c>
      <c r="DK175" s="142">
        <v>0</v>
      </c>
      <c r="DL175" s="142">
        <f t="shared" si="297"/>
        <v>0</v>
      </c>
      <c r="DM175" s="142">
        <f t="shared" si="298"/>
        <v>0</v>
      </c>
      <c r="DN175" s="142">
        <f t="shared" si="299"/>
        <v>0</v>
      </c>
      <c r="DO175" s="142">
        <f t="shared" si="300"/>
        <v>0</v>
      </c>
      <c r="DP175" s="142">
        <f t="shared" si="301"/>
        <v>0</v>
      </c>
      <c r="DQ175" s="142">
        <f t="shared" si="302"/>
        <v>0</v>
      </c>
      <c r="DR175" s="142">
        <v>0</v>
      </c>
      <c r="DS175" s="142">
        <v>0</v>
      </c>
      <c r="DT175" s="142">
        <f t="shared" si="303"/>
        <v>0</v>
      </c>
      <c r="DU175" s="142">
        <f t="shared" si="304"/>
        <v>0</v>
      </c>
      <c r="DV175" s="457"/>
      <c r="DW175" s="457"/>
      <c r="DX175" s="142">
        <v>0</v>
      </c>
      <c r="DY175" s="142">
        <f t="shared" si="329"/>
        <v>0</v>
      </c>
      <c r="DZ175" s="142">
        <f t="shared" si="305"/>
        <v>0</v>
      </c>
      <c r="EA175" s="142">
        <f t="shared" si="306"/>
        <v>0</v>
      </c>
      <c r="EB175" s="142">
        <f t="shared" si="307"/>
        <v>0</v>
      </c>
      <c r="EC175" s="142">
        <f t="shared" si="308"/>
        <v>0</v>
      </c>
      <c r="ED175" s="142">
        <f t="shared" si="330"/>
        <v>0</v>
      </c>
    </row>
    <row r="176" spans="61:134" ht="17.25" thickTop="1" thickBot="1">
      <c r="BI176" s="554">
        <f>SUM(BI103:BI175)</f>
        <v>0</v>
      </c>
      <c r="BJ176" s="554">
        <f>SUM(BJ103:BJ175)</f>
        <v>0</v>
      </c>
      <c r="BK176" s="554">
        <f>SUM(BK103:BK175)</f>
        <v>0</v>
      </c>
      <c r="BL176" s="554">
        <f>SUM(BL103:BL175)</f>
        <v>0</v>
      </c>
      <c r="BM176" s="554"/>
      <c r="BN176" s="554">
        <f>SUM(BN103:BN175)</f>
        <v>0</v>
      </c>
      <c r="BO176" s="554">
        <f>SUM(BO103:BO175)</f>
        <v>0</v>
      </c>
      <c r="BP176" s="554">
        <f>SUM(BP103:BP175)</f>
        <v>0</v>
      </c>
      <c r="BQ176" s="554">
        <f>SUM(BQ103:BQ175)</f>
        <v>0</v>
      </c>
      <c r="BR176" s="553"/>
      <c r="BS176" s="554"/>
      <c r="BT176" s="138">
        <f>SUM(BT103:BT175)</f>
        <v>0</v>
      </c>
      <c r="BU176" s="138">
        <f>SUM(BU103:BU175)</f>
        <v>0</v>
      </c>
      <c r="BV176" s="138">
        <f>SUM(BV103:BV175)</f>
        <v>0</v>
      </c>
      <c r="BW176" s="138">
        <f>SUM(BW103:BW175)</f>
        <v>0</v>
      </c>
      <c r="BX176" s="138"/>
      <c r="BY176" s="138">
        <f>SUM(BY103:BY175)</f>
        <v>0</v>
      </c>
      <c r="BZ176" s="138">
        <f>SUM(BZ103:BZ175)</f>
        <v>0</v>
      </c>
      <c r="CA176" s="138">
        <f>SUM(CA103:CA175)</f>
        <v>0</v>
      </c>
      <c r="CB176" s="138">
        <f>SUM(CB103:CB175)</f>
        <v>0</v>
      </c>
      <c r="CC176" s="457"/>
      <c r="CD176" s="554"/>
      <c r="CE176" s="554">
        <f t="shared" ref="CE176:CN176" si="331">SUM(CE103:CE175)</f>
        <v>0</v>
      </c>
      <c r="CF176" s="554">
        <f t="shared" si="331"/>
        <v>0</v>
      </c>
      <c r="CG176" s="554">
        <f t="shared" si="331"/>
        <v>0</v>
      </c>
      <c r="CH176" s="554">
        <f t="shared" si="331"/>
        <v>0</v>
      </c>
      <c r="CI176" s="554">
        <f t="shared" si="331"/>
        <v>0</v>
      </c>
      <c r="CJ176" s="554">
        <f t="shared" si="331"/>
        <v>0</v>
      </c>
      <c r="CK176" s="554">
        <f t="shared" si="331"/>
        <v>0</v>
      </c>
      <c r="CL176" s="554">
        <f t="shared" si="331"/>
        <v>0</v>
      </c>
      <c r="CM176" s="554">
        <f t="shared" si="331"/>
        <v>0</v>
      </c>
      <c r="CN176" s="554">
        <f t="shared" si="331"/>
        <v>0</v>
      </c>
      <c r="CO176" s="516"/>
      <c r="CP176" s="555"/>
      <c r="CQ176" s="554">
        <f>SUM(CQ103:CQ175)</f>
        <v>0</v>
      </c>
      <c r="CR176" s="554"/>
      <c r="CS176" s="554">
        <f>SUM(CS103:CS175)</f>
        <v>0</v>
      </c>
      <c r="CT176" s="554">
        <f>SUM(CT103:CT175)</f>
        <v>0</v>
      </c>
      <c r="CU176" s="554"/>
      <c r="CV176" s="554">
        <f>SUM(CV103:CV175)</f>
        <v>0</v>
      </c>
      <c r="CW176" s="554">
        <f>SUM(CW103:CW175)</f>
        <v>0</v>
      </c>
      <c r="CX176" s="554">
        <f>SUM(CX103:CX175)</f>
        <v>0</v>
      </c>
      <c r="CY176" s="554">
        <f>SUM(CY103:CY175)</f>
        <v>0</v>
      </c>
      <c r="CZ176" s="554">
        <f>SUM(CZ103:CZ175)</f>
        <v>0</v>
      </c>
      <c r="DA176" s="516"/>
      <c r="DB176" s="554">
        <f>SUM(DB103:DB175)</f>
        <v>0</v>
      </c>
      <c r="DC176" s="554">
        <f>SUM(DC103:DC175)</f>
        <v>0</v>
      </c>
      <c r="DD176" s="556"/>
      <c r="DE176" s="554">
        <f>SUM(DE103:DE175)</f>
        <v>0</v>
      </c>
      <c r="DF176" s="554">
        <f>SUM(DF103:DF175)</f>
        <v>0</v>
      </c>
      <c r="DG176" s="554">
        <f>SUM(DG103:DG175)</f>
        <v>0</v>
      </c>
      <c r="DH176" s="457"/>
      <c r="DI176" s="557">
        <f t="shared" ref="DI176:DU176" si="332">SUM(DI103:DI175)</f>
        <v>0</v>
      </c>
      <c r="DJ176" s="557">
        <f t="shared" si="332"/>
        <v>0</v>
      </c>
      <c r="DK176" s="557">
        <f t="shared" si="332"/>
        <v>0</v>
      </c>
      <c r="DL176" s="557">
        <f t="shared" si="332"/>
        <v>0</v>
      </c>
      <c r="DM176" s="557">
        <f t="shared" si="332"/>
        <v>0</v>
      </c>
      <c r="DN176" s="557">
        <f t="shared" si="332"/>
        <v>0</v>
      </c>
      <c r="DO176" s="557">
        <f t="shared" si="332"/>
        <v>0</v>
      </c>
      <c r="DP176" s="557">
        <f t="shared" si="332"/>
        <v>0</v>
      </c>
      <c r="DQ176" s="557">
        <f t="shared" si="332"/>
        <v>0</v>
      </c>
      <c r="DR176" s="557">
        <f t="shared" si="332"/>
        <v>0</v>
      </c>
      <c r="DS176" s="557">
        <f t="shared" si="332"/>
        <v>0</v>
      </c>
      <c r="DT176" s="557">
        <f t="shared" si="332"/>
        <v>0</v>
      </c>
      <c r="DU176" s="557">
        <f t="shared" si="332"/>
        <v>0</v>
      </c>
      <c r="DV176" s="457"/>
      <c r="DW176" s="457"/>
      <c r="DX176" s="557">
        <f t="shared" ref="DX176:ED176" si="333">SUM(DX103:DX175)</f>
        <v>0</v>
      </c>
      <c r="DY176" s="557">
        <f t="shared" si="333"/>
        <v>0</v>
      </c>
      <c r="DZ176" s="557">
        <f t="shared" si="333"/>
        <v>0</v>
      </c>
      <c r="EA176" s="557">
        <f t="shared" si="333"/>
        <v>0</v>
      </c>
      <c r="EB176" s="557">
        <f t="shared" si="333"/>
        <v>0</v>
      </c>
      <c r="EC176" s="557">
        <f t="shared" si="333"/>
        <v>0</v>
      </c>
      <c r="ED176" s="557">
        <f t="shared" si="333"/>
        <v>0</v>
      </c>
    </row>
    <row r="177" spans="61:134" ht="17.25" thickTop="1" thickBot="1">
      <c r="BI177" s="457"/>
      <c r="BJ177" s="457"/>
      <c r="BK177" s="457"/>
      <c r="BL177" s="457"/>
      <c r="BM177" s="457"/>
      <c r="BN177" s="457"/>
      <c r="BO177" s="457"/>
      <c r="BP177" s="457"/>
      <c r="BQ177" s="457"/>
      <c r="BR177" s="457"/>
      <c r="BS177" s="457"/>
      <c r="BT177" s="457"/>
      <c r="BU177" s="457"/>
      <c r="BV177" s="457"/>
      <c r="BW177" s="457"/>
      <c r="BX177" s="457"/>
      <c r="BY177" s="457"/>
      <c r="BZ177" s="457"/>
      <c r="CA177" s="457"/>
      <c r="CB177" s="457"/>
      <c r="CC177" s="457"/>
      <c r="CD177" s="457"/>
      <c r="CE177" s="457"/>
      <c r="CF177" s="457"/>
      <c r="CG177" s="457"/>
      <c r="CH177" s="457"/>
      <c r="CI177" s="457"/>
      <c r="CJ177" s="457"/>
      <c r="CK177" s="457"/>
      <c r="CL177" s="457"/>
      <c r="CM177" s="457"/>
      <c r="CN177" s="457"/>
      <c r="CO177" s="516"/>
      <c r="CP177" s="457"/>
      <c r="CQ177" s="457"/>
      <c r="CR177" s="457"/>
      <c r="CS177" s="457"/>
      <c r="CT177" s="457"/>
      <c r="CU177" s="457"/>
      <c r="CV177" s="457"/>
      <c r="CW177" s="457"/>
      <c r="CX177" s="457"/>
      <c r="CY177" s="457"/>
      <c r="CZ177" s="457"/>
      <c r="DA177" s="457"/>
      <c r="DB177" s="457"/>
      <c r="DC177" s="457"/>
      <c r="DD177" s="457"/>
      <c r="DE177" s="457"/>
      <c r="DF177" s="457"/>
      <c r="DG177" s="457"/>
      <c r="DH177" s="457"/>
      <c r="DI177" s="457"/>
      <c r="DJ177" s="457"/>
      <c r="DK177" s="457"/>
      <c r="DL177" s="457"/>
      <c r="DM177" s="457"/>
      <c r="DN177" s="457"/>
      <c r="DO177" s="457"/>
      <c r="DP177" s="457"/>
      <c r="DQ177" s="457"/>
      <c r="DR177" s="457"/>
      <c r="DS177" s="457"/>
      <c r="DT177" s="457"/>
      <c r="DU177" s="457"/>
      <c r="DV177" s="457"/>
      <c r="DW177" s="457"/>
      <c r="DX177" s="457"/>
      <c r="DY177" s="457"/>
      <c r="DZ177" s="457"/>
      <c r="EA177" s="457"/>
      <c r="EB177" s="457"/>
      <c r="EC177" s="457"/>
      <c r="ED177" s="457"/>
    </row>
    <row r="178" spans="61:134" ht="17.25" thickTop="1" thickBot="1">
      <c r="BI178" s="558">
        <f t="shared" ref="BI178:BQ178" si="334">BI103</f>
        <v>0</v>
      </c>
      <c r="BJ178" s="558">
        <f t="shared" si="334"/>
        <v>0</v>
      </c>
      <c r="BK178" s="558">
        <f t="shared" si="334"/>
        <v>0</v>
      </c>
      <c r="BL178" s="558">
        <f t="shared" si="334"/>
        <v>0</v>
      </c>
      <c r="BM178" s="558">
        <f t="shared" si="334"/>
        <v>0</v>
      </c>
      <c r="BN178" s="558">
        <f t="shared" si="334"/>
        <v>0</v>
      </c>
      <c r="BO178" s="558">
        <f t="shared" si="334"/>
        <v>0</v>
      </c>
      <c r="BP178" s="558">
        <f t="shared" si="334"/>
        <v>0</v>
      </c>
      <c r="BQ178" s="558">
        <f t="shared" si="334"/>
        <v>0</v>
      </c>
      <c r="BR178" s="525"/>
      <c r="BS178" s="558"/>
      <c r="BT178" s="558"/>
      <c r="BU178" s="558"/>
      <c r="BV178" s="558"/>
      <c r="BW178" s="558"/>
      <c r="BX178" s="558"/>
      <c r="BY178" s="558">
        <f>BY103</f>
        <v>0</v>
      </c>
      <c r="BZ178" s="558">
        <f>BZ103</f>
        <v>0</v>
      </c>
      <c r="CA178" s="558">
        <f>CA103</f>
        <v>0</v>
      </c>
      <c r="CB178" s="558"/>
      <c r="CC178" s="525"/>
      <c r="CD178" s="558"/>
      <c r="CE178" s="558"/>
      <c r="CF178" s="558"/>
      <c r="CG178" s="558"/>
      <c r="CH178" s="558"/>
      <c r="CI178" s="558">
        <f>BJ178</f>
        <v>0</v>
      </c>
      <c r="CJ178" s="558"/>
      <c r="CK178" s="558">
        <f>BY178</f>
        <v>0</v>
      </c>
      <c r="CL178" s="558">
        <f>BZ178</f>
        <v>0</v>
      </c>
      <c r="CM178" s="558">
        <f>CA178</f>
        <v>0</v>
      </c>
      <c r="CN178" s="558"/>
      <c r="CO178" s="516"/>
      <c r="CP178" s="558"/>
      <c r="CQ178" s="558"/>
      <c r="CR178" s="558"/>
      <c r="CS178" s="558"/>
      <c r="CT178" s="558"/>
      <c r="CU178" s="558"/>
      <c r="CV178" s="558">
        <f>CV103</f>
        <v>0</v>
      </c>
      <c r="CW178" s="558">
        <f>CW103</f>
        <v>0</v>
      </c>
      <c r="CX178" s="558">
        <f>CX103</f>
        <v>0</v>
      </c>
      <c r="CY178" s="558">
        <f>CY103</f>
        <v>0</v>
      </c>
      <c r="CZ178" s="558"/>
      <c r="DA178" s="525"/>
      <c r="DB178" s="558"/>
      <c r="DC178" s="558"/>
      <c r="DD178" s="526"/>
      <c r="DE178" s="558"/>
      <c r="DF178" s="558"/>
      <c r="DG178" s="558"/>
      <c r="DH178" s="457"/>
      <c r="DI178" s="558"/>
      <c r="DJ178" s="558"/>
      <c r="DK178" s="558"/>
      <c r="DL178" s="558"/>
      <c r="DM178" s="558"/>
      <c r="DN178" s="558"/>
      <c r="DO178" s="558"/>
      <c r="DP178" s="558"/>
      <c r="DQ178" s="558"/>
      <c r="DR178" s="558"/>
      <c r="DS178" s="558"/>
      <c r="DT178" s="558"/>
      <c r="DU178" s="558"/>
      <c r="DV178" s="457"/>
      <c r="DW178" s="457"/>
      <c r="DX178" s="558"/>
      <c r="DY178" s="558"/>
      <c r="DZ178" s="558"/>
      <c r="EA178" s="558"/>
      <c r="EB178" s="558"/>
      <c r="EC178" s="558"/>
      <c r="ED178" s="558"/>
    </row>
    <row r="179" spans="61:134" ht="17.25" thickTop="1" thickBot="1">
      <c r="BI179" s="523">
        <f>IFERROR(LOOKUP($G179,$G$9:$G$81,BI$9:BI$81),0)</f>
        <v>0</v>
      </c>
      <c r="BJ179" s="523">
        <f t="shared" ref="BJ179:BL184" si="335">SUMIF($G$10:$G$81,$D180,BJ$10:BJ$81)</f>
        <v>0</v>
      </c>
      <c r="BK179" s="523">
        <f t="shared" si="335"/>
        <v>0</v>
      </c>
      <c r="BL179" s="523">
        <f t="shared" si="335"/>
        <v>0</v>
      </c>
      <c r="BM179" s="523" cm="1">
        <f t="array" ref="BM179">LOOKUP(2,1/($G$10:$G$81=$D180),BM$10:BM$81)</f>
        <v>0</v>
      </c>
      <c r="BN179" s="523">
        <f t="shared" ref="BN179:BQ184" si="336">SUMIF($G$10:$G$81,$D180,BN$10:BN$81)</f>
        <v>0</v>
      </c>
      <c r="BO179" s="523">
        <f t="shared" si="336"/>
        <v>0</v>
      </c>
      <c r="BP179" s="523">
        <f t="shared" si="336"/>
        <v>0</v>
      </c>
      <c r="BQ179" s="523">
        <f t="shared" si="336"/>
        <v>0</v>
      </c>
      <c r="BR179" s="516"/>
      <c r="BS179" s="523">
        <f t="shared" ref="BS179:BS184" si="337">IFERROR(LOOKUP($G179,$G$9:$G$81,BS$9:BS$81),0)</f>
        <v>0</v>
      </c>
      <c r="BT179" s="523">
        <f t="shared" ref="BT179:BW184" si="338">SUMIF($G$10:$G$81,$D180,BT$10:BT$81)</f>
        <v>0</v>
      </c>
      <c r="BU179" s="523">
        <f t="shared" si="338"/>
        <v>0</v>
      </c>
      <c r="BV179" s="523">
        <f t="shared" si="338"/>
        <v>0</v>
      </c>
      <c r="BW179" s="523">
        <f t="shared" si="338"/>
        <v>0</v>
      </c>
      <c r="BX179" s="523" cm="1">
        <f t="array" aca="1" ref="BX179" ca="1">LOOKUP(2,1/($G$10:$G$81=$D180),BX$10:BX$81)</f>
        <v>470845.72769852611</v>
      </c>
      <c r="BY179" s="523">
        <f t="shared" ref="BY179:CB184" si="339">SUMIF($G$10:$G$81,$D180,BY$10:BY$81)</f>
        <v>0</v>
      </c>
      <c r="BZ179" s="523">
        <f t="shared" si="339"/>
        <v>0</v>
      </c>
      <c r="CA179" s="523">
        <f t="shared" si="339"/>
        <v>0</v>
      </c>
      <c r="CB179" s="523">
        <f t="shared" si="339"/>
        <v>0</v>
      </c>
      <c r="CC179" s="516"/>
      <c r="CD179" s="523">
        <f t="shared" ref="CD179:CD184" si="340">IFERROR(LOOKUP($G179,$G$9:$G$81,CD$9:CD$81),0)</f>
        <v>0</v>
      </c>
      <c r="CE179" s="523">
        <f t="shared" ref="CE179:CH184" si="341">SUMIF($G$10:$G$81,$D180,CE$10:CE$81)</f>
        <v>0</v>
      </c>
      <c r="CF179" s="523">
        <f t="shared" si="341"/>
        <v>0</v>
      </c>
      <c r="CG179" s="523">
        <f t="shared" si="341"/>
        <v>0</v>
      </c>
      <c r="CH179" s="523">
        <f t="shared" si="341"/>
        <v>0</v>
      </c>
      <c r="CI179" s="523" cm="1">
        <f t="array" aca="1" ref="CI179" ca="1">LOOKUP(2,1/($G$10:$G$81=$D180),CI$10:CI$81)</f>
        <v>835484.21687966748</v>
      </c>
      <c r="CJ179" s="523">
        <f t="shared" ref="CJ179:CN184" si="342">SUMIF($G$10:$G$81,$D180,CJ$10:CJ$81)</f>
        <v>0</v>
      </c>
      <c r="CK179" s="523">
        <f t="shared" si="342"/>
        <v>0</v>
      </c>
      <c r="CL179" s="523">
        <f t="shared" si="342"/>
        <v>0</v>
      </c>
      <c r="CM179" s="523">
        <f t="shared" si="342"/>
        <v>0</v>
      </c>
      <c r="CN179" s="523">
        <f t="shared" si="342"/>
        <v>0</v>
      </c>
      <c r="CO179" s="516"/>
      <c r="CP179" s="523">
        <f t="shared" ref="CP179:CP184" si="343">IFERROR(LOOKUP($G179,$G$9:$G$81,CP$9:CP$81),0)</f>
        <v>0</v>
      </c>
      <c r="CQ179" s="523">
        <f t="shared" ref="CQ179:CT184" si="344">SUMIF($G$10:$G$81,$D180,CQ$10:CQ$81)</f>
        <v>0</v>
      </c>
      <c r="CR179" s="523">
        <f t="shared" si="344"/>
        <v>0</v>
      </c>
      <c r="CS179" s="523">
        <f t="shared" si="344"/>
        <v>0</v>
      </c>
      <c r="CT179" s="523">
        <f t="shared" si="344"/>
        <v>0</v>
      </c>
      <c r="CU179" s="523" cm="1">
        <f t="array" aca="1" ref="CU179" ca="1">LOOKUP(2,1/($G$10:$G$81=$D180),CU$10:CU$81)</f>
        <v>1273161.612822721</v>
      </c>
      <c r="CV179" s="523">
        <f t="shared" ref="CV179:CZ184" si="345">SUMIF($G$10:$G$81,$D180,CV$10:CV$81)</f>
        <v>0</v>
      </c>
      <c r="CW179" s="523">
        <f t="shared" si="345"/>
        <v>0</v>
      </c>
      <c r="CX179" s="523">
        <f t="shared" si="345"/>
        <v>0</v>
      </c>
      <c r="CY179" s="523">
        <f t="shared" si="345"/>
        <v>0</v>
      </c>
      <c r="CZ179" s="523">
        <f t="shared" si="345"/>
        <v>0</v>
      </c>
      <c r="DA179" s="516"/>
      <c r="DB179" s="523">
        <f t="shared" ref="DB179:DC184" si="346">SUMIF($G$10:$G$81,$D180,DB$10:DB$81)</f>
        <v>0</v>
      </c>
      <c r="DC179" s="523">
        <f t="shared" si="346"/>
        <v>0</v>
      </c>
      <c r="DD179" s="518"/>
      <c r="DE179" s="523">
        <f t="shared" ref="DE179:DG184" si="347">SUMIF($G$10:$G$81,$D180,DE$10:DE$81)</f>
        <v>0</v>
      </c>
      <c r="DF179" s="523">
        <f t="shared" si="347"/>
        <v>0</v>
      </c>
      <c r="DG179" s="523">
        <f t="shared" si="347"/>
        <v>0</v>
      </c>
      <c r="DH179" s="457"/>
      <c r="DI179" s="523">
        <f t="shared" ref="DI179:DU184" si="348">SUMIF($G$10:$G$81,$D180,DI$10:DI$81)</f>
        <v>0</v>
      </c>
      <c r="DJ179" s="523">
        <f t="shared" si="348"/>
        <v>0</v>
      </c>
      <c r="DK179" s="523">
        <f t="shared" si="348"/>
        <v>0</v>
      </c>
      <c r="DL179" s="523">
        <f t="shared" si="348"/>
        <v>0</v>
      </c>
      <c r="DM179" s="523">
        <f t="shared" si="348"/>
        <v>0</v>
      </c>
      <c r="DN179" s="523">
        <f t="shared" si="348"/>
        <v>0</v>
      </c>
      <c r="DO179" s="523">
        <f t="shared" si="348"/>
        <v>0</v>
      </c>
      <c r="DP179" s="523">
        <f t="shared" si="348"/>
        <v>0</v>
      </c>
      <c r="DQ179" s="523">
        <f t="shared" si="348"/>
        <v>0</v>
      </c>
      <c r="DR179" s="523">
        <f t="shared" si="348"/>
        <v>0</v>
      </c>
      <c r="DS179" s="523">
        <f t="shared" si="348"/>
        <v>0</v>
      </c>
      <c r="DT179" s="523">
        <f t="shared" si="348"/>
        <v>0</v>
      </c>
      <c r="DU179" s="523">
        <f t="shared" si="348"/>
        <v>0</v>
      </c>
      <c r="DV179" s="457"/>
      <c r="DW179" s="457"/>
      <c r="DX179" s="523">
        <f t="shared" ref="DX179:ED184" si="349">SUMIF($G$10:$G$81,$D180,DX$10:DX$81)</f>
        <v>0</v>
      </c>
      <c r="DY179" s="523">
        <f t="shared" si="349"/>
        <v>0</v>
      </c>
      <c r="DZ179" s="523">
        <f t="shared" si="349"/>
        <v>0</v>
      </c>
      <c r="EA179" s="523">
        <f t="shared" si="349"/>
        <v>0</v>
      </c>
      <c r="EB179" s="523">
        <f t="shared" si="349"/>
        <v>0</v>
      </c>
      <c r="EC179" s="523">
        <f t="shared" si="349"/>
        <v>0</v>
      </c>
      <c r="ED179" s="523">
        <f t="shared" si="349"/>
        <v>0</v>
      </c>
    </row>
    <row r="180" spans="61:134" ht="17.25" thickTop="1" thickBot="1">
      <c r="BI180" s="523">
        <f t="shared" ref="BI180:BI188" si="350">IFERROR(LOOKUP($G180,$G$9:$G$81,BI$9:BI$81),0)</f>
        <v>0</v>
      </c>
      <c r="BJ180" s="523">
        <f t="shared" si="335"/>
        <v>0</v>
      </c>
      <c r="BK180" s="523">
        <f t="shared" si="335"/>
        <v>0</v>
      </c>
      <c r="BL180" s="523">
        <f t="shared" si="335"/>
        <v>0</v>
      </c>
      <c r="BM180" s="523" cm="1">
        <f t="array" ref="BM180">LOOKUP(2,1/($G$10:$G$81=$D181),BM$10:BM$81)</f>
        <v>0</v>
      </c>
      <c r="BN180" s="523">
        <f t="shared" si="336"/>
        <v>0</v>
      </c>
      <c r="BO180" s="523">
        <f t="shared" si="336"/>
        <v>0</v>
      </c>
      <c r="BP180" s="523">
        <f t="shared" si="336"/>
        <v>0</v>
      </c>
      <c r="BQ180" s="523">
        <f t="shared" si="336"/>
        <v>0</v>
      </c>
      <c r="BR180" s="516"/>
      <c r="BS180" s="523">
        <f t="shared" si="337"/>
        <v>0</v>
      </c>
      <c r="BT180" s="523">
        <f t="shared" si="338"/>
        <v>0</v>
      </c>
      <c r="BU180" s="523">
        <f t="shared" si="338"/>
        <v>0</v>
      </c>
      <c r="BV180" s="523">
        <f t="shared" si="338"/>
        <v>0</v>
      </c>
      <c r="BW180" s="523">
        <f t="shared" si="338"/>
        <v>0</v>
      </c>
      <c r="BX180" s="523" cm="1">
        <f t="array" aca="1" ref="BX180" ca="1">LOOKUP(2,1/($G$10:$G$81=$D181),BX$10:BX$81)</f>
        <v>470845.72769852611</v>
      </c>
      <c r="BY180" s="523">
        <f t="shared" si="339"/>
        <v>0</v>
      </c>
      <c r="BZ180" s="523">
        <f t="shared" si="339"/>
        <v>0</v>
      </c>
      <c r="CA180" s="523">
        <f t="shared" si="339"/>
        <v>0</v>
      </c>
      <c r="CB180" s="523">
        <f t="shared" si="339"/>
        <v>0</v>
      </c>
      <c r="CC180" s="516"/>
      <c r="CD180" s="523">
        <f t="shared" si="340"/>
        <v>0</v>
      </c>
      <c r="CE180" s="523">
        <f t="shared" si="341"/>
        <v>0</v>
      </c>
      <c r="CF180" s="523">
        <f t="shared" si="341"/>
        <v>0</v>
      </c>
      <c r="CG180" s="523">
        <f t="shared" si="341"/>
        <v>0</v>
      </c>
      <c r="CH180" s="523">
        <f t="shared" si="341"/>
        <v>0</v>
      </c>
      <c r="CI180" s="523" cm="1">
        <f t="array" aca="1" ref="CI180" ca="1">LOOKUP(2,1/($G$10:$G$81=$D181),CI$10:CI$81)</f>
        <v>835484.21687966748</v>
      </c>
      <c r="CJ180" s="523">
        <f t="shared" si="342"/>
        <v>0</v>
      </c>
      <c r="CK180" s="523">
        <f t="shared" si="342"/>
        <v>0</v>
      </c>
      <c r="CL180" s="523">
        <f t="shared" si="342"/>
        <v>0</v>
      </c>
      <c r="CM180" s="523">
        <f t="shared" si="342"/>
        <v>0</v>
      </c>
      <c r="CN180" s="523">
        <f t="shared" si="342"/>
        <v>0</v>
      </c>
      <c r="CO180" s="516"/>
      <c r="CP180" s="523">
        <f t="shared" si="343"/>
        <v>0</v>
      </c>
      <c r="CQ180" s="523">
        <f t="shared" si="344"/>
        <v>0</v>
      </c>
      <c r="CR180" s="523">
        <f t="shared" si="344"/>
        <v>0</v>
      </c>
      <c r="CS180" s="523">
        <f t="shared" si="344"/>
        <v>0</v>
      </c>
      <c r="CT180" s="523">
        <f t="shared" si="344"/>
        <v>0</v>
      </c>
      <c r="CU180" s="523" cm="1">
        <f t="array" aca="1" ref="CU180" ca="1">LOOKUP(2,1/($G$10:$G$81=$D181),CU$10:CU$81)</f>
        <v>1273161.612822721</v>
      </c>
      <c r="CV180" s="523">
        <f t="shared" si="345"/>
        <v>0</v>
      </c>
      <c r="CW180" s="523">
        <f t="shared" si="345"/>
        <v>0</v>
      </c>
      <c r="CX180" s="523">
        <f t="shared" si="345"/>
        <v>0</v>
      </c>
      <c r="CY180" s="523">
        <f t="shared" si="345"/>
        <v>0</v>
      </c>
      <c r="CZ180" s="523">
        <f t="shared" si="345"/>
        <v>0</v>
      </c>
      <c r="DA180" s="516"/>
      <c r="DB180" s="523">
        <f t="shared" si="346"/>
        <v>0</v>
      </c>
      <c r="DC180" s="523">
        <f t="shared" si="346"/>
        <v>0</v>
      </c>
      <c r="DD180" s="518"/>
      <c r="DE180" s="523">
        <f t="shared" si="347"/>
        <v>0</v>
      </c>
      <c r="DF180" s="523">
        <f t="shared" si="347"/>
        <v>0</v>
      </c>
      <c r="DG180" s="523">
        <f t="shared" si="347"/>
        <v>0</v>
      </c>
      <c r="DH180" s="457"/>
      <c r="DI180" s="523">
        <f t="shared" si="348"/>
        <v>0</v>
      </c>
      <c r="DJ180" s="523">
        <f t="shared" si="348"/>
        <v>0</v>
      </c>
      <c r="DK180" s="523">
        <f t="shared" si="348"/>
        <v>0</v>
      </c>
      <c r="DL180" s="523">
        <f t="shared" si="348"/>
        <v>0</v>
      </c>
      <c r="DM180" s="523">
        <f t="shared" si="348"/>
        <v>0</v>
      </c>
      <c r="DN180" s="523">
        <f t="shared" si="348"/>
        <v>0</v>
      </c>
      <c r="DO180" s="523">
        <f t="shared" si="348"/>
        <v>0</v>
      </c>
      <c r="DP180" s="523">
        <f t="shared" si="348"/>
        <v>0</v>
      </c>
      <c r="DQ180" s="523">
        <f t="shared" si="348"/>
        <v>0</v>
      </c>
      <c r="DR180" s="523">
        <f t="shared" si="348"/>
        <v>0</v>
      </c>
      <c r="DS180" s="523">
        <f t="shared" si="348"/>
        <v>0</v>
      </c>
      <c r="DT180" s="523">
        <f t="shared" si="348"/>
        <v>0</v>
      </c>
      <c r="DU180" s="523">
        <f t="shared" si="348"/>
        <v>0</v>
      </c>
      <c r="DV180" s="457"/>
      <c r="DW180" s="457"/>
      <c r="DX180" s="523">
        <f t="shared" si="349"/>
        <v>0</v>
      </c>
      <c r="DY180" s="523">
        <f t="shared" si="349"/>
        <v>0</v>
      </c>
      <c r="DZ180" s="523">
        <f t="shared" si="349"/>
        <v>0</v>
      </c>
      <c r="EA180" s="523">
        <f t="shared" si="349"/>
        <v>0</v>
      </c>
      <c r="EB180" s="523">
        <f t="shared" si="349"/>
        <v>0</v>
      </c>
      <c r="EC180" s="523">
        <f t="shared" si="349"/>
        <v>0</v>
      </c>
      <c r="ED180" s="523">
        <f t="shared" si="349"/>
        <v>0</v>
      </c>
    </row>
    <row r="181" spans="61:134" ht="17.25" thickTop="1" thickBot="1">
      <c r="BI181" s="523">
        <f t="shared" si="350"/>
        <v>0</v>
      </c>
      <c r="BJ181" s="523">
        <f t="shared" si="335"/>
        <v>0</v>
      </c>
      <c r="BK181" s="523">
        <f t="shared" si="335"/>
        <v>0</v>
      </c>
      <c r="BL181" s="523">
        <f t="shared" si="335"/>
        <v>0</v>
      </c>
      <c r="BM181" s="523" cm="1">
        <f t="array" ref="BM181">LOOKUP(2,1/($G$10:$G$81=$D182),BM$10:BM$81)</f>
        <v>0</v>
      </c>
      <c r="BN181" s="523">
        <f t="shared" si="336"/>
        <v>0</v>
      </c>
      <c r="BO181" s="523">
        <f t="shared" si="336"/>
        <v>0</v>
      </c>
      <c r="BP181" s="523">
        <f t="shared" si="336"/>
        <v>0</v>
      </c>
      <c r="BQ181" s="523">
        <f t="shared" si="336"/>
        <v>0</v>
      </c>
      <c r="BR181" s="516"/>
      <c r="BS181" s="523">
        <f t="shared" si="337"/>
        <v>0</v>
      </c>
      <c r="BT181" s="523">
        <f t="shared" si="338"/>
        <v>0</v>
      </c>
      <c r="BU181" s="523">
        <f t="shared" si="338"/>
        <v>0</v>
      </c>
      <c r="BV181" s="523">
        <f t="shared" si="338"/>
        <v>0</v>
      </c>
      <c r="BW181" s="523">
        <f t="shared" si="338"/>
        <v>0</v>
      </c>
      <c r="BX181" s="523" cm="1">
        <f t="array" aca="1" ref="BX181" ca="1">LOOKUP(2,1/($G$10:$G$81=$D182),BX$10:BX$81)</f>
        <v>470845.72769852611</v>
      </c>
      <c r="BY181" s="523">
        <f t="shared" si="339"/>
        <v>0</v>
      </c>
      <c r="BZ181" s="523">
        <f t="shared" si="339"/>
        <v>0</v>
      </c>
      <c r="CA181" s="523">
        <f t="shared" si="339"/>
        <v>0</v>
      </c>
      <c r="CB181" s="523">
        <f t="shared" si="339"/>
        <v>0</v>
      </c>
      <c r="CC181" s="516"/>
      <c r="CD181" s="523">
        <f t="shared" si="340"/>
        <v>0</v>
      </c>
      <c r="CE181" s="523">
        <f t="shared" si="341"/>
        <v>0</v>
      </c>
      <c r="CF181" s="523">
        <f t="shared" si="341"/>
        <v>0</v>
      </c>
      <c r="CG181" s="523">
        <f t="shared" si="341"/>
        <v>0</v>
      </c>
      <c r="CH181" s="523">
        <f t="shared" si="341"/>
        <v>0</v>
      </c>
      <c r="CI181" s="523" cm="1">
        <f t="array" aca="1" ref="CI181" ca="1">LOOKUP(2,1/($G$10:$G$81=$D182),CI$10:CI$81)</f>
        <v>835484.21687966748</v>
      </c>
      <c r="CJ181" s="523">
        <f t="shared" si="342"/>
        <v>0</v>
      </c>
      <c r="CK181" s="523">
        <f t="shared" si="342"/>
        <v>0</v>
      </c>
      <c r="CL181" s="523">
        <f t="shared" si="342"/>
        <v>0</v>
      </c>
      <c r="CM181" s="523">
        <f t="shared" si="342"/>
        <v>0</v>
      </c>
      <c r="CN181" s="523">
        <f t="shared" si="342"/>
        <v>0</v>
      </c>
      <c r="CO181" s="516"/>
      <c r="CP181" s="523">
        <f t="shared" si="343"/>
        <v>0</v>
      </c>
      <c r="CQ181" s="523">
        <f t="shared" si="344"/>
        <v>0</v>
      </c>
      <c r="CR181" s="523">
        <f t="shared" si="344"/>
        <v>0</v>
      </c>
      <c r="CS181" s="523">
        <f t="shared" si="344"/>
        <v>0</v>
      </c>
      <c r="CT181" s="523">
        <f t="shared" si="344"/>
        <v>0</v>
      </c>
      <c r="CU181" s="523" cm="1">
        <f t="array" aca="1" ref="CU181" ca="1">LOOKUP(2,1/($G$10:$G$81=$D182),CU$10:CU$81)</f>
        <v>1273161.612822721</v>
      </c>
      <c r="CV181" s="523">
        <f t="shared" si="345"/>
        <v>0</v>
      </c>
      <c r="CW181" s="523">
        <f t="shared" si="345"/>
        <v>0</v>
      </c>
      <c r="CX181" s="523">
        <f t="shared" si="345"/>
        <v>0</v>
      </c>
      <c r="CY181" s="523">
        <f t="shared" si="345"/>
        <v>0</v>
      </c>
      <c r="CZ181" s="523">
        <f t="shared" si="345"/>
        <v>0</v>
      </c>
      <c r="DA181" s="516"/>
      <c r="DB181" s="523">
        <f t="shared" si="346"/>
        <v>0</v>
      </c>
      <c r="DC181" s="523">
        <f t="shared" si="346"/>
        <v>0</v>
      </c>
      <c r="DD181" s="518"/>
      <c r="DE181" s="523">
        <f t="shared" si="347"/>
        <v>0</v>
      </c>
      <c r="DF181" s="523">
        <f t="shared" si="347"/>
        <v>0</v>
      </c>
      <c r="DG181" s="523">
        <f t="shared" si="347"/>
        <v>0</v>
      </c>
      <c r="DH181" s="457"/>
      <c r="DI181" s="523">
        <f t="shared" si="348"/>
        <v>0</v>
      </c>
      <c r="DJ181" s="523">
        <f t="shared" si="348"/>
        <v>0</v>
      </c>
      <c r="DK181" s="523">
        <f t="shared" si="348"/>
        <v>0</v>
      </c>
      <c r="DL181" s="523">
        <f t="shared" si="348"/>
        <v>0</v>
      </c>
      <c r="DM181" s="523">
        <f t="shared" si="348"/>
        <v>0</v>
      </c>
      <c r="DN181" s="523">
        <f t="shared" si="348"/>
        <v>0</v>
      </c>
      <c r="DO181" s="523">
        <f t="shared" si="348"/>
        <v>0</v>
      </c>
      <c r="DP181" s="523">
        <f t="shared" si="348"/>
        <v>0</v>
      </c>
      <c r="DQ181" s="523">
        <f t="shared" si="348"/>
        <v>0</v>
      </c>
      <c r="DR181" s="523">
        <f t="shared" si="348"/>
        <v>0</v>
      </c>
      <c r="DS181" s="523">
        <f t="shared" si="348"/>
        <v>0</v>
      </c>
      <c r="DT181" s="523">
        <f t="shared" si="348"/>
        <v>0</v>
      </c>
      <c r="DU181" s="523">
        <f t="shared" si="348"/>
        <v>0</v>
      </c>
      <c r="DV181" s="457"/>
      <c r="DW181" s="457"/>
      <c r="DX181" s="523">
        <f t="shared" si="349"/>
        <v>0</v>
      </c>
      <c r="DY181" s="523">
        <f t="shared" si="349"/>
        <v>0</v>
      </c>
      <c r="DZ181" s="523">
        <f t="shared" si="349"/>
        <v>0</v>
      </c>
      <c r="EA181" s="523">
        <f t="shared" si="349"/>
        <v>0</v>
      </c>
      <c r="EB181" s="523">
        <f t="shared" si="349"/>
        <v>0</v>
      </c>
      <c r="EC181" s="523">
        <f t="shared" si="349"/>
        <v>0</v>
      </c>
      <c r="ED181" s="523">
        <f t="shared" si="349"/>
        <v>0</v>
      </c>
    </row>
    <row r="182" spans="61:134" ht="17.25" thickTop="1" thickBot="1">
      <c r="BI182" s="523">
        <f t="shared" si="350"/>
        <v>0</v>
      </c>
      <c r="BJ182" s="523">
        <f t="shared" si="335"/>
        <v>0</v>
      </c>
      <c r="BK182" s="523">
        <f t="shared" si="335"/>
        <v>0</v>
      </c>
      <c r="BL182" s="523">
        <f t="shared" si="335"/>
        <v>0</v>
      </c>
      <c r="BM182" s="523" cm="1">
        <f t="array" ref="BM182">LOOKUP(2,1/($G$10:$G$81=$D183),BM$10:BM$81)</f>
        <v>0</v>
      </c>
      <c r="BN182" s="523">
        <f t="shared" si="336"/>
        <v>0</v>
      </c>
      <c r="BO182" s="523">
        <f t="shared" si="336"/>
        <v>0</v>
      </c>
      <c r="BP182" s="523">
        <f t="shared" si="336"/>
        <v>0</v>
      </c>
      <c r="BQ182" s="523">
        <f t="shared" si="336"/>
        <v>0</v>
      </c>
      <c r="BR182" s="516"/>
      <c r="BS182" s="523">
        <f t="shared" si="337"/>
        <v>0</v>
      </c>
      <c r="BT182" s="523">
        <f t="shared" si="338"/>
        <v>0</v>
      </c>
      <c r="BU182" s="523">
        <f t="shared" si="338"/>
        <v>0</v>
      </c>
      <c r="BV182" s="523">
        <f t="shared" si="338"/>
        <v>0</v>
      </c>
      <c r="BW182" s="523">
        <f t="shared" si="338"/>
        <v>0</v>
      </c>
      <c r="BX182" s="523" cm="1">
        <f t="array" aca="1" ref="BX182" ca="1">LOOKUP(2,1/($G$10:$G$81=$D183),BX$10:BX$81)</f>
        <v>470845.72769852611</v>
      </c>
      <c r="BY182" s="523">
        <f t="shared" si="339"/>
        <v>0</v>
      </c>
      <c r="BZ182" s="523">
        <f t="shared" si="339"/>
        <v>0</v>
      </c>
      <c r="CA182" s="523">
        <f t="shared" si="339"/>
        <v>0</v>
      </c>
      <c r="CB182" s="523">
        <f t="shared" si="339"/>
        <v>0</v>
      </c>
      <c r="CC182" s="516"/>
      <c r="CD182" s="523">
        <f t="shared" si="340"/>
        <v>0</v>
      </c>
      <c r="CE182" s="523">
        <f t="shared" si="341"/>
        <v>0</v>
      </c>
      <c r="CF182" s="523">
        <f t="shared" si="341"/>
        <v>0</v>
      </c>
      <c r="CG182" s="523">
        <f t="shared" si="341"/>
        <v>0</v>
      </c>
      <c r="CH182" s="523">
        <f t="shared" si="341"/>
        <v>0</v>
      </c>
      <c r="CI182" s="523" cm="1">
        <f t="array" aca="1" ref="CI182" ca="1">LOOKUP(2,1/($G$10:$G$81=$D183),CI$10:CI$81)</f>
        <v>835484.21687966748</v>
      </c>
      <c r="CJ182" s="523">
        <f t="shared" si="342"/>
        <v>0</v>
      </c>
      <c r="CK182" s="523">
        <f t="shared" si="342"/>
        <v>0</v>
      </c>
      <c r="CL182" s="523">
        <f t="shared" si="342"/>
        <v>0</v>
      </c>
      <c r="CM182" s="523">
        <f t="shared" si="342"/>
        <v>0</v>
      </c>
      <c r="CN182" s="523">
        <f t="shared" si="342"/>
        <v>0</v>
      </c>
      <c r="CO182" s="516"/>
      <c r="CP182" s="523">
        <f t="shared" si="343"/>
        <v>0</v>
      </c>
      <c r="CQ182" s="523">
        <f t="shared" si="344"/>
        <v>0</v>
      </c>
      <c r="CR182" s="523">
        <f t="shared" si="344"/>
        <v>0</v>
      </c>
      <c r="CS182" s="523">
        <f t="shared" si="344"/>
        <v>0</v>
      </c>
      <c r="CT182" s="523">
        <f t="shared" si="344"/>
        <v>0</v>
      </c>
      <c r="CU182" s="523" cm="1">
        <f t="array" aca="1" ref="CU182" ca="1">LOOKUP(2,1/($G$10:$G$81=$D183),CU$10:CU$81)</f>
        <v>1273161.612822721</v>
      </c>
      <c r="CV182" s="523">
        <f t="shared" si="345"/>
        <v>0</v>
      </c>
      <c r="CW182" s="523">
        <f t="shared" si="345"/>
        <v>0</v>
      </c>
      <c r="CX182" s="523">
        <f t="shared" si="345"/>
        <v>0</v>
      </c>
      <c r="CY182" s="523">
        <f t="shared" si="345"/>
        <v>0</v>
      </c>
      <c r="CZ182" s="523">
        <f t="shared" si="345"/>
        <v>0</v>
      </c>
      <c r="DA182" s="516"/>
      <c r="DB182" s="523">
        <f t="shared" si="346"/>
        <v>0</v>
      </c>
      <c r="DC182" s="523">
        <f t="shared" si="346"/>
        <v>0</v>
      </c>
      <c r="DD182" s="518"/>
      <c r="DE182" s="523">
        <f t="shared" si="347"/>
        <v>0</v>
      </c>
      <c r="DF182" s="523">
        <f t="shared" si="347"/>
        <v>0</v>
      </c>
      <c r="DG182" s="523">
        <f t="shared" si="347"/>
        <v>0</v>
      </c>
      <c r="DH182" s="457"/>
      <c r="DI182" s="523">
        <f t="shared" si="348"/>
        <v>0</v>
      </c>
      <c r="DJ182" s="523">
        <f t="shared" si="348"/>
        <v>0</v>
      </c>
      <c r="DK182" s="523">
        <f t="shared" si="348"/>
        <v>0</v>
      </c>
      <c r="DL182" s="523">
        <f t="shared" si="348"/>
        <v>0</v>
      </c>
      <c r="DM182" s="523">
        <f t="shared" si="348"/>
        <v>0</v>
      </c>
      <c r="DN182" s="523">
        <f t="shared" si="348"/>
        <v>0</v>
      </c>
      <c r="DO182" s="523">
        <f t="shared" si="348"/>
        <v>0</v>
      </c>
      <c r="DP182" s="523">
        <f t="shared" si="348"/>
        <v>0</v>
      </c>
      <c r="DQ182" s="523">
        <f t="shared" si="348"/>
        <v>0</v>
      </c>
      <c r="DR182" s="523">
        <f t="shared" si="348"/>
        <v>0</v>
      </c>
      <c r="DS182" s="523">
        <f t="shared" si="348"/>
        <v>0</v>
      </c>
      <c r="DT182" s="523">
        <f t="shared" si="348"/>
        <v>0</v>
      </c>
      <c r="DU182" s="523">
        <f t="shared" si="348"/>
        <v>0</v>
      </c>
      <c r="DV182" s="457"/>
      <c r="DW182" s="457"/>
      <c r="DX182" s="523">
        <f t="shared" si="349"/>
        <v>0</v>
      </c>
      <c r="DY182" s="523">
        <f t="shared" si="349"/>
        <v>0</v>
      </c>
      <c r="DZ182" s="523">
        <f t="shared" si="349"/>
        <v>0</v>
      </c>
      <c r="EA182" s="523">
        <f t="shared" si="349"/>
        <v>0</v>
      </c>
      <c r="EB182" s="523">
        <f t="shared" si="349"/>
        <v>0</v>
      </c>
      <c r="EC182" s="523">
        <f t="shared" si="349"/>
        <v>0</v>
      </c>
      <c r="ED182" s="523">
        <f t="shared" si="349"/>
        <v>0</v>
      </c>
    </row>
    <row r="183" spans="61:134" ht="17.25" thickTop="1" thickBot="1">
      <c r="BI183" s="523">
        <f t="shared" si="350"/>
        <v>0</v>
      </c>
      <c r="BJ183" s="523">
        <f t="shared" si="335"/>
        <v>0</v>
      </c>
      <c r="BK183" s="523">
        <f t="shared" si="335"/>
        <v>0</v>
      </c>
      <c r="BL183" s="523">
        <f t="shared" si="335"/>
        <v>0</v>
      </c>
      <c r="BM183" s="523" cm="1">
        <f t="array" ref="BM183">LOOKUP(2,1/($G$10:$G$81=$D184),BM$10:BM$81)</f>
        <v>0</v>
      </c>
      <c r="BN183" s="523">
        <f t="shared" si="336"/>
        <v>0</v>
      </c>
      <c r="BO183" s="523">
        <f t="shared" si="336"/>
        <v>0</v>
      </c>
      <c r="BP183" s="523">
        <f t="shared" si="336"/>
        <v>0</v>
      </c>
      <c r="BQ183" s="523">
        <f t="shared" si="336"/>
        <v>0</v>
      </c>
      <c r="BR183" s="516"/>
      <c r="BS183" s="523">
        <f t="shared" si="337"/>
        <v>0</v>
      </c>
      <c r="BT183" s="523">
        <f t="shared" si="338"/>
        <v>0</v>
      </c>
      <c r="BU183" s="523">
        <f t="shared" si="338"/>
        <v>0</v>
      </c>
      <c r="BV183" s="523">
        <f t="shared" si="338"/>
        <v>0</v>
      </c>
      <c r="BW183" s="523">
        <f t="shared" si="338"/>
        <v>0</v>
      </c>
      <c r="BX183" s="523" cm="1">
        <f t="array" aca="1" ref="BX183" ca="1">LOOKUP(2,1/($G$10:$G$81=$D184),BX$10:BX$81)</f>
        <v>470845.72769852611</v>
      </c>
      <c r="BY183" s="523">
        <f t="shared" si="339"/>
        <v>0</v>
      </c>
      <c r="BZ183" s="523">
        <f t="shared" si="339"/>
        <v>0</v>
      </c>
      <c r="CA183" s="523">
        <f t="shared" si="339"/>
        <v>0</v>
      </c>
      <c r="CB183" s="523">
        <f t="shared" si="339"/>
        <v>0</v>
      </c>
      <c r="CC183" s="516"/>
      <c r="CD183" s="523">
        <f t="shared" si="340"/>
        <v>0</v>
      </c>
      <c r="CE183" s="523">
        <f t="shared" si="341"/>
        <v>0</v>
      </c>
      <c r="CF183" s="523">
        <f t="shared" si="341"/>
        <v>0</v>
      </c>
      <c r="CG183" s="523">
        <f t="shared" si="341"/>
        <v>0</v>
      </c>
      <c r="CH183" s="523">
        <f t="shared" si="341"/>
        <v>0</v>
      </c>
      <c r="CI183" s="523" cm="1">
        <f t="array" aca="1" ref="CI183" ca="1">LOOKUP(2,1/($G$10:$G$81=$D184),CI$10:CI$81)</f>
        <v>835484.21687966748</v>
      </c>
      <c r="CJ183" s="523">
        <f t="shared" si="342"/>
        <v>0</v>
      </c>
      <c r="CK183" s="523">
        <f t="shared" si="342"/>
        <v>0</v>
      </c>
      <c r="CL183" s="523">
        <f t="shared" si="342"/>
        <v>0</v>
      </c>
      <c r="CM183" s="523">
        <f t="shared" si="342"/>
        <v>0</v>
      </c>
      <c r="CN183" s="523">
        <f t="shared" si="342"/>
        <v>0</v>
      </c>
      <c r="CO183" s="516"/>
      <c r="CP183" s="523">
        <f t="shared" si="343"/>
        <v>0</v>
      </c>
      <c r="CQ183" s="523">
        <f t="shared" si="344"/>
        <v>0</v>
      </c>
      <c r="CR183" s="523">
        <f t="shared" si="344"/>
        <v>0</v>
      </c>
      <c r="CS183" s="523">
        <f t="shared" si="344"/>
        <v>0</v>
      </c>
      <c r="CT183" s="523">
        <f t="shared" si="344"/>
        <v>0</v>
      </c>
      <c r="CU183" s="523" cm="1">
        <f t="array" aca="1" ref="CU183" ca="1">LOOKUP(2,1/($G$10:$G$81=$D184),CU$10:CU$81)</f>
        <v>1273161.612822721</v>
      </c>
      <c r="CV183" s="523">
        <f t="shared" si="345"/>
        <v>0</v>
      </c>
      <c r="CW183" s="523">
        <f t="shared" si="345"/>
        <v>0</v>
      </c>
      <c r="CX183" s="523">
        <f t="shared" si="345"/>
        <v>0</v>
      </c>
      <c r="CY183" s="523">
        <f t="shared" si="345"/>
        <v>0</v>
      </c>
      <c r="CZ183" s="523">
        <f t="shared" si="345"/>
        <v>0</v>
      </c>
      <c r="DA183" s="516"/>
      <c r="DB183" s="523">
        <f t="shared" si="346"/>
        <v>0</v>
      </c>
      <c r="DC183" s="523">
        <f t="shared" si="346"/>
        <v>0</v>
      </c>
      <c r="DD183" s="518"/>
      <c r="DE183" s="523">
        <f t="shared" si="347"/>
        <v>0</v>
      </c>
      <c r="DF183" s="523">
        <f t="shared" si="347"/>
        <v>0</v>
      </c>
      <c r="DG183" s="523">
        <f t="shared" si="347"/>
        <v>0</v>
      </c>
      <c r="DH183" s="457"/>
      <c r="DI183" s="523">
        <f t="shared" si="348"/>
        <v>0</v>
      </c>
      <c r="DJ183" s="523">
        <f t="shared" si="348"/>
        <v>0</v>
      </c>
      <c r="DK183" s="523">
        <f t="shared" si="348"/>
        <v>0</v>
      </c>
      <c r="DL183" s="523">
        <f t="shared" si="348"/>
        <v>0</v>
      </c>
      <c r="DM183" s="523">
        <f t="shared" si="348"/>
        <v>0</v>
      </c>
      <c r="DN183" s="523">
        <f t="shared" si="348"/>
        <v>0</v>
      </c>
      <c r="DO183" s="523">
        <f t="shared" si="348"/>
        <v>0</v>
      </c>
      <c r="DP183" s="523">
        <f t="shared" si="348"/>
        <v>0</v>
      </c>
      <c r="DQ183" s="523">
        <f t="shared" si="348"/>
        <v>0</v>
      </c>
      <c r="DR183" s="523">
        <f t="shared" si="348"/>
        <v>0</v>
      </c>
      <c r="DS183" s="523">
        <f t="shared" si="348"/>
        <v>0</v>
      </c>
      <c r="DT183" s="523">
        <f t="shared" si="348"/>
        <v>0</v>
      </c>
      <c r="DU183" s="523">
        <f t="shared" si="348"/>
        <v>0</v>
      </c>
      <c r="DV183" s="457"/>
      <c r="DW183" s="457"/>
      <c r="DX183" s="523">
        <f t="shared" si="349"/>
        <v>0</v>
      </c>
      <c r="DY183" s="523">
        <f t="shared" si="349"/>
        <v>0</v>
      </c>
      <c r="DZ183" s="523">
        <f t="shared" si="349"/>
        <v>0</v>
      </c>
      <c r="EA183" s="523">
        <f t="shared" si="349"/>
        <v>0</v>
      </c>
      <c r="EB183" s="523">
        <f t="shared" si="349"/>
        <v>0</v>
      </c>
      <c r="EC183" s="523">
        <f t="shared" si="349"/>
        <v>0</v>
      </c>
      <c r="ED183" s="523">
        <f t="shared" si="349"/>
        <v>0</v>
      </c>
    </row>
    <row r="184" spans="61:134" ht="17.25" thickTop="1" thickBot="1">
      <c r="BI184" s="523">
        <f t="shared" si="350"/>
        <v>0</v>
      </c>
      <c r="BJ184" s="523">
        <f t="shared" si="335"/>
        <v>0</v>
      </c>
      <c r="BK184" s="523">
        <f t="shared" si="335"/>
        <v>0</v>
      </c>
      <c r="BL184" s="523">
        <f t="shared" si="335"/>
        <v>0</v>
      </c>
      <c r="BM184" s="523" cm="1">
        <f t="array" ref="BM184">LOOKUP(2,1/($G$10:$G$81=$D185),BM$10:BM$81)</f>
        <v>0</v>
      </c>
      <c r="BN184" s="523">
        <f t="shared" si="336"/>
        <v>0</v>
      </c>
      <c r="BO184" s="523">
        <f t="shared" si="336"/>
        <v>0</v>
      </c>
      <c r="BP184" s="523">
        <f t="shared" si="336"/>
        <v>0</v>
      </c>
      <c r="BQ184" s="523">
        <f t="shared" si="336"/>
        <v>0</v>
      </c>
      <c r="BR184" s="516"/>
      <c r="BS184" s="523">
        <f t="shared" si="337"/>
        <v>0</v>
      </c>
      <c r="BT184" s="523">
        <f t="shared" si="338"/>
        <v>0</v>
      </c>
      <c r="BU184" s="523">
        <f t="shared" si="338"/>
        <v>0</v>
      </c>
      <c r="BV184" s="523">
        <f t="shared" si="338"/>
        <v>0</v>
      </c>
      <c r="BW184" s="523">
        <f t="shared" si="338"/>
        <v>0</v>
      </c>
      <c r="BX184" s="523" cm="1">
        <f t="array" aca="1" ref="BX184" ca="1">LOOKUP(2,1/($G$10:$G$81=$D185),BX$10:BX$81)</f>
        <v>470845.72769852611</v>
      </c>
      <c r="BY184" s="523">
        <f t="shared" si="339"/>
        <v>0</v>
      </c>
      <c r="BZ184" s="523">
        <f t="shared" si="339"/>
        <v>0</v>
      </c>
      <c r="CA184" s="523">
        <f t="shared" si="339"/>
        <v>0</v>
      </c>
      <c r="CB184" s="523">
        <f t="shared" si="339"/>
        <v>0</v>
      </c>
      <c r="CC184" s="516"/>
      <c r="CD184" s="523">
        <f t="shared" si="340"/>
        <v>0</v>
      </c>
      <c r="CE184" s="523">
        <f t="shared" si="341"/>
        <v>0</v>
      </c>
      <c r="CF184" s="523">
        <f t="shared" si="341"/>
        <v>0</v>
      </c>
      <c r="CG184" s="523">
        <f t="shared" si="341"/>
        <v>0</v>
      </c>
      <c r="CH184" s="523">
        <f t="shared" si="341"/>
        <v>0</v>
      </c>
      <c r="CI184" s="523" cm="1">
        <f t="array" aca="1" ref="CI184" ca="1">LOOKUP(2,1/($G$10:$G$81=$D185),CI$10:CI$81)</f>
        <v>835484.21687966748</v>
      </c>
      <c r="CJ184" s="523">
        <f t="shared" si="342"/>
        <v>0</v>
      </c>
      <c r="CK184" s="523">
        <f t="shared" si="342"/>
        <v>0</v>
      </c>
      <c r="CL184" s="523">
        <f t="shared" si="342"/>
        <v>0</v>
      </c>
      <c r="CM184" s="523">
        <f t="shared" si="342"/>
        <v>0</v>
      </c>
      <c r="CN184" s="523">
        <f t="shared" si="342"/>
        <v>0</v>
      </c>
      <c r="CO184" s="516"/>
      <c r="CP184" s="523">
        <f t="shared" si="343"/>
        <v>0</v>
      </c>
      <c r="CQ184" s="523">
        <f t="shared" si="344"/>
        <v>0</v>
      </c>
      <c r="CR184" s="523">
        <f t="shared" si="344"/>
        <v>0</v>
      </c>
      <c r="CS184" s="523">
        <f t="shared" si="344"/>
        <v>0</v>
      </c>
      <c r="CT184" s="523">
        <f t="shared" si="344"/>
        <v>0</v>
      </c>
      <c r="CU184" s="523" cm="1">
        <f t="array" aca="1" ref="CU184" ca="1">LOOKUP(2,1/($G$10:$G$81=$D185),CU$10:CU$81)</f>
        <v>1273161.612822721</v>
      </c>
      <c r="CV184" s="523">
        <f t="shared" si="345"/>
        <v>0</v>
      </c>
      <c r="CW184" s="523">
        <f t="shared" si="345"/>
        <v>0</v>
      </c>
      <c r="CX184" s="523">
        <f t="shared" si="345"/>
        <v>0</v>
      </c>
      <c r="CY184" s="523">
        <f t="shared" si="345"/>
        <v>0</v>
      </c>
      <c r="CZ184" s="523">
        <f t="shared" si="345"/>
        <v>0</v>
      </c>
      <c r="DA184" s="516"/>
      <c r="DB184" s="523">
        <f t="shared" si="346"/>
        <v>0</v>
      </c>
      <c r="DC184" s="523">
        <f t="shared" si="346"/>
        <v>0</v>
      </c>
      <c r="DD184" s="518"/>
      <c r="DE184" s="523">
        <f t="shared" si="347"/>
        <v>0</v>
      </c>
      <c r="DF184" s="523">
        <f t="shared" si="347"/>
        <v>0</v>
      </c>
      <c r="DG184" s="523">
        <f t="shared" si="347"/>
        <v>0</v>
      </c>
      <c r="DH184" s="457"/>
      <c r="DI184" s="523">
        <f t="shared" si="348"/>
        <v>0</v>
      </c>
      <c r="DJ184" s="523">
        <f t="shared" si="348"/>
        <v>0</v>
      </c>
      <c r="DK184" s="523">
        <f t="shared" si="348"/>
        <v>0</v>
      </c>
      <c r="DL184" s="523">
        <f t="shared" si="348"/>
        <v>0</v>
      </c>
      <c r="DM184" s="523">
        <f t="shared" si="348"/>
        <v>0</v>
      </c>
      <c r="DN184" s="523">
        <f t="shared" si="348"/>
        <v>0</v>
      </c>
      <c r="DO184" s="523">
        <f t="shared" si="348"/>
        <v>0</v>
      </c>
      <c r="DP184" s="523">
        <f t="shared" si="348"/>
        <v>0</v>
      </c>
      <c r="DQ184" s="523">
        <f t="shared" si="348"/>
        <v>0</v>
      </c>
      <c r="DR184" s="523">
        <f t="shared" si="348"/>
        <v>0</v>
      </c>
      <c r="DS184" s="523">
        <f t="shared" si="348"/>
        <v>0</v>
      </c>
      <c r="DT184" s="523">
        <f t="shared" si="348"/>
        <v>0</v>
      </c>
      <c r="DU184" s="523">
        <f t="shared" si="348"/>
        <v>0</v>
      </c>
      <c r="DV184" s="457"/>
      <c r="DW184" s="457"/>
      <c r="DX184" s="523">
        <f t="shared" si="349"/>
        <v>0</v>
      </c>
      <c r="DY184" s="523">
        <f t="shared" si="349"/>
        <v>0</v>
      </c>
      <c r="DZ184" s="523">
        <f t="shared" si="349"/>
        <v>0</v>
      </c>
      <c r="EA184" s="523">
        <f t="shared" si="349"/>
        <v>0</v>
      </c>
      <c r="EB184" s="523">
        <f t="shared" si="349"/>
        <v>0</v>
      </c>
      <c r="EC184" s="523">
        <f t="shared" si="349"/>
        <v>0</v>
      </c>
      <c r="ED184" s="523">
        <f t="shared" si="349"/>
        <v>0</v>
      </c>
    </row>
    <row r="185" spans="61:134" ht="17.25" thickTop="1" thickBot="1">
      <c r="BI185" s="523">
        <f t="shared" si="350"/>
        <v>0</v>
      </c>
      <c r="BJ185" s="523">
        <f>SUMIF($G$10:$G$81,#REF!,BV$10:BV$81)</f>
        <v>0</v>
      </c>
      <c r="BK185" s="523">
        <f>SUMIF($G$10:$G$81,#REF!,BW$10:BW$81)</f>
        <v>0</v>
      </c>
      <c r="BL185" s="523" t="e" cm="1">
        <f t="array" ref="BL185">LOOKUP(2,1/($G$10:$G$81=#REF!),BX$10:BX$81)</f>
        <v>#N/A</v>
      </c>
      <c r="BM185" s="523">
        <f>SUMIF($G$10:$G$81,#REF!,BY$10:BY$81)</f>
        <v>0</v>
      </c>
      <c r="BN185" s="523">
        <f>SUMIF($G$10:$G$81,#REF!,BZ$10:BZ$81)</f>
        <v>0</v>
      </c>
      <c r="BO185" s="523">
        <f>SUMIF($G$10:$G$81,#REF!,CA$10:CA$81)</f>
        <v>0</v>
      </c>
      <c r="BP185" s="523">
        <f>SUMIF($G$10:$G$81,#REF!,CB$10:CB$81)</f>
        <v>0</v>
      </c>
      <c r="BQ185" s="516"/>
      <c r="BR185" s="523">
        <f>IFERROR(LOOKUP(#REF!,$G$9:$G$81,CD$9:CD$81),0)</f>
        <v>0</v>
      </c>
      <c r="BS185" s="523">
        <f>SUMIF($G$10:$G$81,#REF!,CE$10:CE$81)</f>
        <v>0</v>
      </c>
      <c r="BT185" s="523">
        <f>SUMIF($G$10:$G$81,#REF!,CF$10:CF$81)</f>
        <v>0</v>
      </c>
      <c r="BU185" s="523">
        <f>SUMIF($G$10:$G$81,#REF!,CG$10:CG$81)</f>
        <v>0</v>
      </c>
      <c r="BV185" s="523">
        <f>SUMIF($G$10:$G$81,#REF!,CH$10:CH$81)</f>
        <v>0</v>
      </c>
      <c r="BW185" s="523" t="e" cm="1">
        <f t="array" ref="BW185">LOOKUP(2,1/($G$10:$G$81=#REF!),CI$10:CI$81)</f>
        <v>#N/A</v>
      </c>
      <c r="BX185" s="523">
        <f>SUMIF($G$10:$G$81,#REF!,CJ$10:CJ$81)</f>
        <v>0</v>
      </c>
      <c r="BY185" s="523">
        <f>SUMIF($G$10:$G$81,#REF!,CK$10:CK$81)</f>
        <v>0</v>
      </c>
      <c r="BZ185" s="523">
        <f>SUMIF($G$10:$G$81,#REF!,CL$10:CL$81)</f>
        <v>0</v>
      </c>
      <c r="CA185" s="523">
        <f>SUMIF($G$10:$G$81,#REF!,CM$10:CM$81)</f>
        <v>0</v>
      </c>
      <c r="CB185" s="523">
        <f>SUMIF($G$10:$G$81,#REF!,CN$10:CN$81)</f>
        <v>0</v>
      </c>
      <c r="CC185" s="516"/>
      <c r="CD185" s="523">
        <f>IFERROR(LOOKUP(#REF!,$G$9:$G$81,CP$9:CP$81),0)</f>
        <v>0</v>
      </c>
      <c r="CE185" s="523">
        <f>SUMIF($G$10:$G$81,#REF!,CQ$10:CQ$81)</f>
        <v>0</v>
      </c>
      <c r="CF185" s="523">
        <f>SUMIF($G$10:$G$81,#REF!,CR$10:CR$81)</f>
        <v>0</v>
      </c>
      <c r="CG185" s="523">
        <f>SUMIF($G$10:$G$81,#REF!,CS$10:CS$81)</f>
        <v>0</v>
      </c>
      <c r="CH185" s="523">
        <f>SUMIF($G$10:$G$81,#REF!,CT$10:CT$81)</f>
        <v>0</v>
      </c>
      <c r="CI185" s="523" t="e" cm="1">
        <f t="array" ref="CI185">LOOKUP(2,1/($G$10:$G$81=#REF!),CU$10:CU$81)</f>
        <v>#N/A</v>
      </c>
      <c r="CJ185" s="523">
        <f>SUMIF($G$10:$G$81,#REF!,CV$10:CV$81)</f>
        <v>0</v>
      </c>
      <c r="CK185" s="523">
        <f>SUMIF($G$10:$G$81,#REF!,CW$10:CW$81)</f>
        <v>0</v>
      </c>
      <c r="CL185" s="523">
        <f>SUMIF($G$10:$G$81,#REF!,CX$10:CX$81)</f>
        <v>0</v>
      </c>
      <c r="CM185" s="523">
        <f>SUMIF($G$10:$G$81,#REF!,CY$10:CY$81)</f>
        <v>0</v>
      </c>
      <c r="CN185" s="523">
        <f>SUMIF($G$10:$G$81,#REF!,CZ$10:CZ$81)</f>
        <v>0</v>
      </c>
      <c r="CO185" s="516"/>
      <c r="CP185" s="523">
        <f>SUMIF($G$10:$G$81,#REF!,DB$10:DB$81)</f>
        <v>0</v>
      </c>
      <c r="CQ185" s="523">
        <f>SUMIF($G$10:$G$81,#REF!,DC$10:DC$81)</f>
        <v>0</v>
      </c>
      <c r="CR185" s="518"/>
      <c r="CS185" s="523">
        <f>SUMIF($G$10:$G$81,#REF!,DE$10:DE$81)</f>
        <v>0</v>
      </c>
      <c r="CT185" s="523">
        <f>SUMIF($G$10:$G$81,#REF!,DF$10:DF$81)</f>
        <v>0</v>
      </c>
      <c r="CU185" s="523">
        <f>SUMIF($G$10:$G$81,#REF!,DG$10:DG$81)</f>
        <v>0</v>
      </c>
      <c r="CV185" s="457"/>
      <c r="CW185" s="523">
        <f>SUMIF($G$10:$G$81,#REF!,DI$10:DI$81)</f>
        <v>0</v>
      </c>
      <c r="CX185" s="523">
        <f>SUMIF($G$10:$G$81,#REF!,DJ$10:DJ$81)</f>
        <v>0</v>
      </c>
      <c r="CY185" s="523">
        <f>SUMIF($G$10:$G$81,#REF!,DK$10:DK$81)</f>
        <v>0</v>
      </c>
      <c r="CZ185" s="523">
        <f>SUMIF($G$10:$G$81,#REF!,DL$10:DL$81)</f>
        <v>0</v>
      </c>
      <c r="DA185" s="523">
        <f>SUMIF($G$10:$G$81,#REF!,DM$10:DM$81)</f>
        <v>0</v>
      </c>
      <c r="DB185" s="523">
        <f>SUMIF($G$10:$G$81,#REF!,DN$10:DN$81)</f>
        <v>0</v>
      </c>
      <c r="DC185" s="523">
        <f>SUMIF($G$10:$G$81,#REF!,DO$10:DO$81)</f>
        <v>0</v>
      </c>
      <c r="DD185" s="523">
        <f>SUMIF($G$10:$G$81,#REF!,DP$10:DP$81)</f>
        <v>0</v>
      </c>
      <c r="DE185" s="523">
        <f>SUMIF($G$10:$G$81,#REF!,DQ$10:DQ$81)</f>
        <v>0</v>
      </c>
      <c r="DF185" s="523">
        <f>SUMIF($G$10:$G$81,#REF!,DR$10:DR$81)</f>
        <v>0</v>
      </c>
      <c r="DG185" s="523">
        <f>SUMIF($G$10:$G$81,#REF!,DS$10:DS$81)</f>
        <v>0</v>
      </c>
      <c r="DH185" s="523">
        <f>SUMIF($G$10:$G$81,#REF!,DT$10:DT$81)</f>
        <v>0</v>
      </c>
      <c r="DI185" s="523">
        <f>SUMIF($G$10:$G$81,#REF!,DU$10:DU$81)</f>
        <v>0</v>
      </c>
      <c r="DJ185" s="457"/>
      <c r="DK185" s="457"/>
      <c r="DL185" s="523">
        <f>SUMIF($G$10:$G$81,#REF!,DX$10:DX$81)</f>
        <v>0</v>
      </c>
      <c r="DM185" s="523">
        <f>SUMIF($G$10:$G$81,#REF!,DY$10:DY$81)</f>
        <v>0</v>
      </c>
      <c r="DN185" s="523">
        <f>SUMIF($G$10:$G$81,#REF!,DZ$10:DZ$81)</f>
        <v>0</v>
      </c>
      <c r="DO185" s="523">
        <f>SUMIF($G$10:$G$81,#REF!,EA$10:EA$81)</f>
        <v>0</v>
      </c>
      <c r="DP185" s="523">
        <f>SUMIF($G$10:$G$81,#REF!,EB$10:EB$81)</f>
        <v>0</v>
      </c>
      <c r="DQ185" s="523">
        <f>SUMIF($G$10:$G$81,#REF!,EC$10:EC$81)</f>
        <v>0</v>
      </c>
      <c r="DR185" s="523">
        <f>SUMIF($G$10:$G$81,#REF!,ED$10:ED$81)</f>
        <v>0</v>
      </c>
      <c r="DS185" s="457"/>
      <c r="DT185" s="457"/>
      <c r="DU185" s="457"/>
      <c r="DV185" s="457"/>
      <c r="DW185" s="457"/>
      <c r="DX185" s="457"/>
      <c r="DY185" s="457"/>
      <c r="DZ185" s="457"/>
      <c r="EA185" s="457"/>
      <c r="EB185" s="457"/>
      <c r="EC185" s="457"/>
      <c r="ED185" s="457"/>
    </row>
    <row r="186" spans="61:134" ht="17.25" thickTop="1" thickBot="1">
      <c r="BI186" s="523">
        <f t="shared" si="350"/>
        <v>0</v>
      </c>
      <c r="BJ186" s="523">
        <f>SUMIF($G$10:$G$81,#REF!,BV$10:BV$81)</f>
        <v>0</v>
      </c>
      <c r="BK186" s="523">
        <f>SUMIF($G$10:$G$81,#REF!,BW$10:BW$81)</f>
        <v>0</v>
      </c>
      <c r="BL186" s="523" t="e" cm="1">
        <f t="array" ref="BL186">LOOKUP(2,1/($G$10:$G$81=#REF!),BX$10:BX$81)</f>
        <v>#N/A</v>
      </c>
      <c r="BM186" s="523">
        <f>SUMIF($G$10:$G$81,#REF!,BY$10:BY$81)</f>
        <v>0</v>
      </c>
      <c r="BN186" s="523">
        <f>SUMIF($G$10:$G$81,#REF!,BZ$10:BZ$81)</f>
        <v>0</v>
      </c>
      <c r="BO186" s="523">
        <f>SUMIF($G$10:$G$81,#REF!,CA$10:CA$81)</f>
        <v>0</v>
      </c>
      <c r="BP186" s="523">
        <f>SUMIF($G$10:$G$81,#REF!,CB$10:CB$81)</f>
        <v>0</v>
      </c>
      <c r="BQ186" s="516"/>
      <c r="BR186" s="523">
        <f>IFERROR(LOOKUP(#REF!,$G$9:$G$81,CD$9:CD$81),0)</f>
        <v>0</v>
      </c>
      <c r="BS186" s="523">
        <f>SUMIF($G$10:$G$81,#REF!,CE$10:CE$81)</f>
        <v>0</v>
      </c>
      <c r="BT186" s="523">
        <f>SUMIF($G$10:$G$81,#REF!,CF$10:CF$81)</f>
        <v>0</v>
      </c>
      <c r="BU186" s="523">
        <f>SUMIF($G$10:$G$81,#REF!,CG$10:CG$81)</f>
        <v>0</v>
      </c>
      <c r="BV186" s="523">
        <f>SUMIF($G$10:$G$81,#REF!,CH$10:CH$81)</f>
        <v>0</v>
      </c>
      <c r="BW186" s="523" t="e" cm="1">
        <f t="array" ref="BW186">LOOKUP(2,1/($G$10:$G$81=#REF!),CI$10:CI$81)</f>
        <v>#N/A</v>
      </c>
      <c r="BX186" s="523">
        <f>SUMIF($G$10:$G$81,#REF!,CJ$10:CJ$81)</f>
        <v>0</v>
      </c>
      <c r="BY186" s="523">
        <f>SUMIF($G$10:$G$81,#REF!,CK$10:CK$81)</f>
        <v>0</v>
      </c>
      <c r="BZ186" s="523">
        <f>SUMIF($G$10:$G$81,#REF!,CL$10:CL$81)</f>
        <v>0</v>
      </c>
      <c r="CA186" s="523">
        <f>SUMIF($G$10:$G$81,#REF!,CM$10:CM$81)</f>
        <v>0</v>
      </c>
      <c r="CB186" s="523">
        <f>SUMIF($G$10:$G$81,#REF!,CN$10:CN$81)</f>
        <v>0</v>
      </c>
      <c r="CC186" s="516"/>
      <c r="CD186" s="523">
        <f>IFERROR(LOOKUP(#REF!,$G$9:$G$81,CP$9:CP$81),0)</f>
        <v>0</v>
      </c>
      <c r="CE186" s="523">
        <f>SUMIF($G$10:$G$81,#REF!,CQ$10:CQ$81)</f>
        <v>0</v>
      </c>
      <c r="CF186" s="523">
        <f>SUMIF($G$10:$G$81,#REF!,CR$10:CR$81)</f>
        <v>0</v>
      </c>
      <c r="CG186" s="523">
        <f>SUMIF($G$10:$G$81,#REF!,CS$10:CS$81)</f>
        <v>0</v>
      </c>
      <c r="CH186" s="523">
        <f>SUMIF($G$10:$G$81,#REF!,CT$10:CT$81)</f>
        <v>0</v>
      </c>
      <c r="CI186" s="523" t="e" cm="1">
        <f t="array" ref="CI186">LOOKUP(2,1/($G$10:$G$81=#REF!),CU$10:CU$81)</f>
        <v>#N/A</v>
      </c>
      <c r="CJ186" s="523">
        <f>SUMIF($G$10:$G$81,#REF!,CV$10:CV$81)</f>
        <v>0</v>
      </c>
      <c r="CK186" s="523">
        <f>SUMIF($G$10:$G$81,#REF!,CW$10:CW$81)</f>
        <v>0</v>
      </c>
      <c r="CL186" s="523">
        <f>SUMIF($G$10:$G$81,#REF!,CX$10:CX$81)</f>
        <v>0</v>
      </c>
      <c r="CM186" s="523">
        <f>SUMIF($G$10:$G$81,#REF!,CY$10:CY$81)</f>
        <v>0</v>
      </c>
      <c r="CN186" s="523">
        <f>SUMIF($G$10:$G$81,#REF!,CZ$10:CZ$81)</f>
        <v>0</v>
      </c>
      <c r="CO186" s="516"/>
      <c r="CP186" s="523">
        <f>SUMIF($G$10:$G$81,#REF!,DB$10:DB$81)</f>
        <v>0</v>
      </c>
      <c r="CQ186" s="523">
        <f>SUMIF($G$10:$G$81,#REF!,DC$10:DC$81)</f>
        <v>0</v>
      </c>
      <c r="CR186" s="518"/>
      <c r="CS186" s="523">
        <f>SUMIF($G$10:$G$81,#REF!,DE$10:DE$81)</f>
        <v>0</v>
      </c>
      <c r="CT186" s="523">
        <f>SUMIF($G$10:$G$81,#REF!,DF$10:DF$81)</f>
        <v>0</v>
      </c>
      <c r="CU186" s="523">
        <f>SUMIF($G$10:$G$81,#REF!,DG$10:DG$81)</f>
        <v>0</v>
      </c>
      <c r="CV186" s="457"/>
      <c r="CW186" s="523">
        <f>SUMIF($G$10:$G$81,#REF!,DI$10:DI$81)</f>
        <v>0</v>
      </c>
      <c r="CX186" s="523">
        <f>SUMIF($G$10:$G$81,#REF!,DJ$10:DJ$81)</f>
        <v>0</v>
      </c>
      <c r="CY186" s="523">
        <f>SUMIF($G$10:$G$81,#REF!,DK$10:DK$81)</f>
        <v>0</v>
      </c>
      <c r="CZ186" s="523">
        <f>SUMIF($G$10:$G$81,#REF!,DL$10:DL$81)</f>
        <v>0</v>
      </c>
      <c r="DA186" s="523">
        <f>SUMIF($G$10:$G$81,#REF!,DM$10:DM$81)</f>
        <v>0</v>
      </c>
      <c r="DB186" s="523">
        <f>SUMIF($G$10:$G$81,#REF!,DN$10:DN$81)</f>
        <v>0</v>
      </c>
      <c r="DC186" s="523">
        <f>SUMIF($G$10:$G$81,#REF!,DO$10:DO$81)</f>
        <v>0</v>
      </c>
      <c r="DD186" s="523">
        <f>SUMIF($G$10:$G$81,#REF!,DP$10:DP$81)</f>
        <v>0</v>
      </c>
      <c r="DE186" s="523">
        <f>SUMIF($G$10:$G$81,#REF!,DQ$10:DQ$81)</f>
        <v>0</v>
      </c>
      <c r="DF186" s="523">
        <f>SUMIF($G$10:$G$81,#REF!,DR$10:DR$81)</f>
        <v>0</v>
      </c>
      <c r="DG186" s="523">
        <f>SUMIF($G$10:$G$81,#REF!,DS$10:DS$81)</f>
        <v>0</v>
      </c>
      <c r="DH186" s="523">
        <f>SUMIF($G$10:$G$81,#REF!,DT$10:DT$81)</f>
        <v>0</v>
      </c>
      <c r="DI186" s="523">
        <f>SUMIF($G$10:$G$81,#REF!,DU$10:DU$81)</f>
        <v>0</v>
      </c>
      <c r="DJ186" s="457"/>
      <c r="DK186" s="457"/>
      <c r="DL186" s="523">
        <f>SUMIF($G$10:$G$81,#REF!,DX$10:DX$81)</f>
        <v>0</v>
      </c>
      <c r="DM186" s="523">
        <f>SUMIF($G$10:$G$81,#REF!,DY$10:DY$81)</f>
        <v>0</v>
      </c>
      <c r="DN186" s="523">
        <f>SUMIF($G$10:$G$81,#REF!,DZ$10:DZ$81)</f>
        <v>0</v>
      </c>
      <c r="DO186" s="523">
        <f>SUMIF($G$10:$G$81,#REF!,EA$10:EA$81)</f>
        <v>0</v>
      </c>
      <c r="DP186" s="523">
        <f>SUMIF($G$10:$G$81,#REF!,EB$10:EB$81)</f>
        <v>0</v>
      </c>
      <c r="DQ186" s="523">
        <f>SUMIF($G$10:$G$81,#REF!,EC$10:EC$81)</f>
        <v>0</v>
      </c>
      <c r="DR186" s="523">
        <f>SUMIF($G$10:$G$81,#REF!,ED$10:ED$81)</f>
        <v>0</v>
      </c>
      <c r="DS186" s="457"/>
      <c r="DT186" s="457"/>
      <c r="DU186" s="457"/>
      <c r="DV186" s="457"/>
      <c r="DW186" s="457"/>
      <c r="DX186" s="457"/>
      <c r="DY186" s="457"/>
      <c r="DZ186" s="457"/>
      <c r="EA186" s="457"/>
      <c r="EB186" s="457"/>
      <c r="EC186" s="457"/>
      <c r="ED186" s="457"/>
    </row>
    <row r="187" spans="61:134" ht="17.25" thickTop="1" thickBot="1">
      <c r="BI187" s="523">
        <f t="shared" si="350"/>
        <v>0</v>
      </c>
      <c r="BJ187" s="523">
        <f>SUMIF($G$10:$G$81,#REF!,BV$10:BV$81)</f>
        <v>0</v>
      </c>
      <c r="BK187" s="523">
        <f>SUMIF($G$10:$G$81,#REF!,BW$10:BW$81)</f>
        <v>0</v>
      </c>
      <c r="BL187" s="523" t="e" cm="1">
        <f t="array" ref="BL187">LOOKUP(2,1/($G$10:$G$81=#REF!),BX$10:BX$81)</f>
        <v>#N/A</v>
      </c>
      <c r="BM187" s="523">
        <f>SUMIF($G$10:$G$81,#REF!,BY$10:BY$81)</f>
        <v>0</v>
      </c>
      <c r="BN187" s="523">
        <f>SUMIF($G$10:$G$81,#REF!,BZ$10:BZ$81)</f>
        <v>0</v>
      </c>
      <c r="BO187" s="523">
        <f>SUMIF($G$10:$G$81,#REF!,CA$10:CA$81)</f>
        <v>0</v>
      </c>
      <c r="BP187" s="523">
        <f>SUMIF($G$10:$G$81,#REF!,CB$10:CB$81)</f>
        <v>0</v>
      </c>
      <c r="BQ187" s="516"/>
      <c r="BR187" s="523">
        <f>IFERROR(LOOKUP(#REF!,$G$9:$G$81,CD$9:CD$81),0)</f>
        <v>0</v>
      </c>
      <c r="BS187" s="523">
        <f>SUMIF($G$10:$G$81,#REF!,CE$10:CE$81)</f>
        <v>0</v>
      </c>
      <c r="BT187" s="523">
        <f>SUMIF($G$10:$G$81,#REF!,CF$10:CF$81)</f>
        <v>0</v>
      </c>
      <c r="BU187" s="523">
        <f>SUMIF($G$10:$G$81,#REF!,CG$10:CG$81)</f>
        <v>0</v>
      </c>
      <c r="BV187" s="523">
        <f>SUMIF($G$10:$G$81,#REF!,CH$10:CH$81)</f>
        <v>0</v>
      </c>
      <c r="BW187" s="523" t="e" cm="1">
        <f t="array" ref="BW187">LOOKUP(2,1/($G$10:$G$81=#REF!),CI$10:CI$81)</f>
        <v>#N/A</v>
      </c>
      <c r="BX187" s="523">
        <f>SUMIF($G$10:$G$81,#REF!,CJ$10:CJ$81)</f>
        <v>0</v>
      </c>
      <c r="BY187" s="523">
        <f>SUMIF($G$10:$G$81,#REF!,CK$10:CK$81)</f>
        <v>0</v>
      </c>
      <c r="BZ187" s="523">
        <f>SUMIF($G$10:$G$81,#REF!,CL$10:CL$81)</f>
        <v>0</v>
      </c>
      <c r="CA187" s="523">
        <f>SUMIF($G$10:$G$81,#REF!,CM$10:CM$81)</f>
        <v>0</v>
      </c>
      <c r="CB187" s="523">
        <f>SUMIF($G$10:$G$81,#REF!,CN$10:CN$81)</f>
        <v>0</v>
      </c>
      <c r="CC187" s="516"/>
      <c r="CD187" s="523">
        <f>IFERROR(LOOKUP(#REF!,$G$9:$G$81,CP$9:CP$81),0)</f>
        <v>0</v>
      </c>
      <c r="CE187" s="523">
        <f>SUMIF($G$10:$G$81,#REF!,CQ$10:CQ$81)</f>
        <v>0</v>
      </c>
      <c r="CF187" s="523">
        <f>SUMIF($G$10:$G$81,#REF!,CR$10:CR$81)</f>
        <v>0</v>
      </c>
      <c r="CG187" s="523">
        <f>SUMIF($G$10:$G$81,#REF!,CS$10:CS$81)</f>
        <v>0</v>
      </c>
      <c r="CH187" s="523">
        <f>SUMIF($G$10:$G$81,#REF!,CT$10:CT$81)</f>
        <v>0</v>
      </c>
      <c r="CI187" s="523" t="e" cm="1">
        <f t="array" ref="CI187">LOOKUP(2,1/($G$10:$G$81=#REF!),CU$10:CU$81)</f>
        <v>#N/A</v>
      </c>
      <c r="CJ187" s="523">
        <f>SUMIF($G$10:$G$81,#REF!,CV$10:CV$81)</f>
        <v>0</v>
      </c>
      <c r="CK187" s="523">
        <f>SUMIF($G$10:$G$81,#REF!,CW$10:CW$81)</f>
        <v>0</v>
      </c>
      <c r="CL187" s="523">
        <f>SUMIF($G$10:$G$81,#REF!,CX$10:CX$81)</f>
        <v>0</v>
      </c>
      <c r="CM187" s="523">
        <f>SUMIF($G$10:$G$81,#REF!,CY$10:CY$81)</f>
        <v>0</v>
      </c>
      <c r="CN187" s="523">
        <f>SUMIF($G$10:$G$81,#REF!,CZ$10:CZ$81)</f>
        <v>0</v>
      </c>
      <c r="CO187" s="516"/>
      <c r="CP187" s="523">
        <f>SUMIF($G$10:$G$81,#REF!,DB$10:DB$81)</f>
        <v>0</v>
      </c>
      <c r="CQ187" s="523">
        <f>SUMIF($G$10:$G$81,#REF!,DC$10:DC$81)</f>
        <v>0</v>
      </c>
      <c r="CR187" s="518"/>
      <c r="CS187" s="523">
        <f>SUMIF($G$10:$G$81,#REF!,DE$10:DE$81)</f>
        <v>0</v>
      </c>
      <c r="CT187" s="523">
        <f>SUMIF($G$10:$G$81,#REF!,DF$10:DF$81)</f>
        <v>0</v>
      </c>
      <c r="CU187" s="523">
        <f>SUMIF($G$10:$G$81,#REF!,DG$10:DG$81)</f>
        <v>0</v>
      </c>
      <c r="CV187" s="457"/>
      <c r="CW187" s="523">
        <f>SUMIF($G$10:$G$81,#REF!,DI$10:DI$81)</f>
        <v>0</v>
      </c>
      <c r="CX187" s="523">
        <f>SUMIF($G$10:$G$81,#REF!,DJ$10:DJ$81)</f>
        <v>0</v>
      </c>
      <c r="CY187" s="523">
        <f>SUMIF($G$10:$G$81,#REF!,DK$10:DK$81)</f>
        <v>0</v>
      </c>
      <c r="CZ187" s="523">
        <f>SUMIF($G$10:$G$81,#REF!,DL$10:DL$81)</f>
        <v>0</v>
      </c>
      <c r="DA187" s="523">
        <f>SUMIF($G$10:$G$81,#REF!,DM$10:DM$81)</f>
        <v>0</v>
      </c>
      <c r="DB187" s="523">
        <f>SUMIF($G$10:$G$81,#REF!,DN$10:DN$81)</f>
        <v>0</v>
      </c>
      <c r="DC187" s="523">
        <f>SUMIF($G$10:$G$81,#REF!,DO$10:DO$81)</f>
        <v>0</v>
      </c>
      <c r="DD187" s="523">
        <f>SUMIF($G$10:$G$81,#REF!,DP$10:DP$81)</f>
        <v>0</v>
      </c>
      <c r="DE187" s="523">
        <f>SUMIF($G$10:$G$81,#REF!,DQ$10:DQ$81)</f>
        <v>0</v>
      </c>
      <c r="DF187" s="523">
        <f>SUMIF($G$10:$G$81,#REF!,DR$10:DR$81)</f>
        <v>0</v>
      </c>
      <c r="DG187" s="523">
        <f>SUMIF($G$10:$G$81,#REF!,DS$10:DS$81)</f>
        <v>0</v>
      </c>
      <c r="DH187" s="523">
        <f>SUMIF($G$10:$G$81,#REF!,DT$10:DT$81)</f>
        <v>0</v>
      </c>
      <c r="DI187" s="523">
        <f>SUMIF($G$10:$G$81,#REF!,DU$10:DU$81)</f>
        <v>0</v>
      </c>
      <c r="DJ187" s="457"/>
      <c r="DK187" s="457"/>
      <c r="DL187" s="523">
        <f>SUMIF($G$10:$G$81,#REF!,DX$10:DX$81)</f>
        <v>0</v>
      </c>
      <c r="DM187" s="523">
        <f>SUMIF($G$10:$G$81,#REF!,DY$10:DY$81)</f>
        <v>0</v>
      </c>
      <c r="DN187" s="523">
        <f>SUMIF($G$10:$G$81,#REF!,DZ$10:DZ$81)</f>
        <v>0</v>
      </c>
      <c r="DO187" s="523">
        <f>SUMIF($G$10:$G$81,#REF!,EA$10:EA$81)</f>
        <v>0</v>
      </c>
      <c r="DP187" s="523">
        <f>SUMIF($G$10:$G$81,#REF!,EB$10:EB$81)</f>
        <v>0</v>
      </c>
      <c r="DQ187" s="523">
        <f>SUMIF($G$10:$G$81,#REF!,EC$10:EC$81)</f>
        <v>0</v>
      </c>
      <c r="DR187" s="523">
        <f>SUMIF($G$10:$G$81,#REF!,ED$10:ED$81)</f>
        <v>0</v>
      </c>
      <c r="DS187" s="457"/>
      <c r="DT187" s="457"/>
      <c r="DU187" s="457"/>
      <c r="DV187" s="457"/>
      <c r="DW187" s="457"/>
      <c r="DX187" s="457"/>
      <c r="DY187" s="457"/>
      <c r="DZ187" s="457"/>
      <c r="EA187" s="457"/>
      <c r="EB187" s="457"/>
      <c r="EC187" s="457"/>
      <c r="ED187" s="457"/>
    </row>
    <row r="188" spans="61:134" ht="17.25" thickTop="1" thickBot="1">
      <c r="BI188" s="523">
        <f t="shared" si="350"/>
        <v>0</v>
      </c>
      <c r="BJ188" s="523">
        <f>SUMIF($G$10:$G$81,#REF!,BV$10:BV$81)</f>
        <v>0</v>
      </c>
      <c r="BK188" s="523">
        <f>SUMIF($G$10:$G$81,#REF!,BW$10:BW$81)</f>
        <v>0</v>
      </c>
      <c r="BL188" s="523" t="e" cm="1">
        <f t="array" ref="BL188">LOOKUP(2,1/($G$10:$G$81=#REF!),BX$10:BX$81)</f>
        <v>#N/A</v>
      </c>
      <c r="BM188" s="523">
        <f>SUMIF($G$10:$G$81,#REF!,BY$10:BY$81)</f>
        <v>0</v>
      </c>
      <c r="BN188" s="523">
        <f>SUMIF($G$10:$G$81,#REF!,BZ$10:BZ$81)</f>
        <v>0</v>
      </c>
      <c r="BO188" s="523">
        <f>SUMIF($G$10:$G$81,#REF!,CA$10:CA$81)</f>
        <v>0</v>
      </c>
      <c r="BP188" s="523">
        <f>SUMIF($G$10:$G$81,#REF!,CB$10:CB$81)</f>
        <v>0</v>
      </c>
      <c r="BQ188" s="516"/>
      <c r="BR188" s="523">
        <f>IFERROR(LOOKUP(#REF!,$G$9:$G$81,CD$9:CD$81),0)</f>
        <v>0</v>
      </c>
      <c r="BS188" s="523">
        <f>SUMIF($G$10:$G$81,#REF!,CE$10:CE$81)</f>
        <v>0</v>
      </c>
      <c r="BT188" s="523">
        <f>SUMIF($G$10:$G$81,#REF!,CF$10:CF$81)</f>
        <v>0</v>
      </c>
      <c r="BU188" s="523">
        <f>SUMIF($G$10:$G$81,#REF!,CG$10:CG$81)</f>
        <v>0</v>
      </c>
      <c r="BV188" s="523">
        <f>SUMIF($G$10:$G$81,#REF!,CH$10:CH$81)</f>
        <v>0</v>
      </c>
      <c r="BW188" s="523" t="e" cm="1">
        <f t="array" ref="BW188">LOOKUP(2,1/($G$10:$G$81=#REF!),CI$10:CI$81)</f>
        <v>#N/A</v>
      </c>
      <c r="BX188" s="523">
        <f>SUMIF($G$10:$G$81,#REF!,CJ$10:CJ$81)</f>
        <v>0</v>
      </c>
      <c r="BY188" s="523">
        <f>SUMIF($G$10:$G$81,#REF!,CK$10:CK$81)</f>
        <v>0</v>
      </c>
      <c r="BZ188" s="523">
        <f>SUMIF($G$10:$G$81,#REF!,CL$10:CL$81)</f>
        <v>0</v>
      </c>
      <c r="CA188" s="523">
        <f>SUMIF($G$10:$G$81,#REF!,CM$10:CM$81)</f>
        <v>0</v>
      </c>
      <c r="CB188" s="523">
        <f>SUMIF($G$10:$G$81,#REF!,CN$10:CN$81)</f>
        <v>0</v>
      </c>
      <c r="CC188" s="516"/>
      <c r="CD188" s="523">
        <f>IFERROR(LOOKUP(#REF!,$G$9:$G$81,CP$9:CP$81),0)</f>
        <v>0</v>
      </c>
      <c r="CE188" s="523">
        <f>SUMIF($G$10:$G$81,#REF!,CQ$10:CQ$81)</f>
        <v>0</v>
      </c>
      <c r="CF188" s="523">
        <f>SUMIF($G$10:$G$81,#REF!,CR$10:CR$81)</f>
        <v>0</v>
      </c>
      <c r="CG188" s="523">
        <f>SUMIF($G$10:$G$81,#REF!,CS$10:CS$81)</f>
        <v>0</v>
      </c>
      <c r="CH188" s="523">
        <f>SUMIF($G$10:$G$81,#REF!,CT$10:CT$81)</f>
        <v>0</v>
      </c>
      <c r="CI188" s="523" t="e" cm="1">
        <f t="array" ref="CI188">LOOKUP(2,1/($G$10:$G$81=#REF!),CU$10:CU$81)</f>
        <v>#N/A</v>
      </c>
      <c r="CJ188" s="523">
        <f>SUMIF($G$10:$G$81,#REF!,CV$10:CV$81)</f>
        <v>0</v>
      </c>
      <c r="CK188" s="523">
        <f>SUMIF($G$10:$G$81,#REF!,CW$10:CW$81)</f>
        <v>0</v>
      </c>
      <c r="CL188" s="523">
        <f>SUMIF($G$10:$G$81,#REF!,CX$10:CX$81)</f>
        <v>0</v>
      </c>
      <c r="CM188" s="523">
        <f>SUMIF($G$10:$G$81,#REF!,CY$10:CY$81)</f>
        <v>0</v>
      </c>
      <c r="CN188" s="523">
        <f>SUMIF($G$10:$G$81,#REF!,CZ$10:CZ$81)</f>
        <v>0</v>
      </c>
      <c r="CO188" s="516"/>
      <c r="CP188" s="523">
        <f>SUMIF($G$10:$G$81,#REF!,DB$10:DB$81)</f>
        <v>0</v>
      </c>
      <c r="CQ188" s="523">
        <f>SUMIF($G$10:$G$81,#REF!,DC$10:DC$81)</f>
        <v>0</v>
      </c>
      <c r="CR188" s="518"/>
      <c r="CS188" s="523">
        <f>SUMIF($G$10:$G$81,#REF!,DE$10:DE$81)</f>
        <v>0</v>
      </c>
      <c r="CT188" s="523">
        <f>SUMIF($G$10:$G$81,#REF!,DF$10:DF$81)</f>
        <v>0</v>
      </c>
      <c r="CU188" s="523">
        <f>SUMIF($G$10:$G$81,#REF!,DG$10:DG$81)</f>
        <v>0</v>
      </c>
      <c r="CV188" s="457"/>
      <c r="CW188" s="523">
        <f>SUMIF($G$10:$G$81,#REF!,DI$10:DI$81)</f>
        <v>0</v>
      </c>
      <c r="CX188" s="523">
        <f>SUMIF($G$10:$G$81,#REF!,DJ$10:DJ$81)</f>
        <v>0</v>
      </c>
      <c r="CY188" s="523">
        <f>SUMIF($G$10:$G$81,#REF!,DK$10:DK$81)</f>
        <v>0</v>
      </c>
      <c r="CZ188" s="523">
        <f>SUMIF($G$10:$G$81,#REF!,DL$10:DL$81)</f>
        <v>0</v>
      </c>
      <c r="DA188" s="523">
        <f>SUMIF($G$10:$G$81,#REF!,DM$10:DM$81)</f>
        <v>0</v>
      </c>
      <c r="DB188" s="523">
        <f>SUMIF($G$10:$G$81,#REF!,DN$10:DN$81)</f>
        <v>0</v>
      </c>
      <c r="DC188" s="523">
        <f>SUMIF($G$10:$G$81,#REF!,DO$10:DO$81)</f>
        <v>0</v>
      </c>
      <c r="DD188" s="523">
        <f>SUMIF($G$10:$G$81,#REF!,DP$10:DP$81)</f>
        <v>0</v>
      </c>
      <c r="DE188" s="523">
        <f>SUMIF($G$10:$G$81,#REF!,DQ$10:DQ$81)</f>
        <v>0</v>
      </c>
      <c r="DF188" s="523">
        <f>SUMIF($G$10:$G$81,#REF!,DR$10:DR$81)</f>
        <v>0</v>
      </c>
      <c r="DG188" s="523">
        <f>SUMIF($G$10:$G$81,#REF!,DS$10:DS$81)</f>
        <v>0</v>
      </c>
      <c r="DH188" s="523">
        <f>SUMIF($G$10:$G$81,#REF!,DT$10:DT$81)</f>
        <v>0</v>
      </c>
      <c r="DI188" s="523">
        <f>SUMIF($G$10:$G$81,#REF!,DU$10:DU$81)</f>
        <v>0</v>
      </c>
      <c r="DJ188" s="457"/>
      <c r="DK188" s="457"/>
      <c r="DL188" s="523">
        <f>SUMIF($G$10:$G$81,#REF!,DX$10:DX$81)</f>
        <v>0</v>
      </c>
      <c r="DM188" s="523">
        <f>SUMIF($G$10:$G$81,#REF!,DY$10:DY$81)</f>
        <v>0</v>
      </c>
      <c r="DN188" s="523">
        <f>SUMIF($G$10:$G$81,#REF!,DZ$10:DZ$81)</f>
        <v>0</v>
      </c>
      <c r="DO188" s="523">
        <f>SUMIF($G$10:$G$81,#REF!,EA$10:EA$81)</f>
        <v>0</v>
      </c>
      <c r="DP188" s="523">
        <f>SUMIF($G$10:$G$81,#REF!,EB$10:EB$81)</f>
        <v>0</v>
      </c>
      <c r="DQ188" s="523">
        <f>SUMIF($G$10:$G$81,#REF!,EC$10:EC$81)</f>
        <v>0</v>
      </c>
      <c r="DR188" s="523">
        <f>SUMIF($G$10:$G$81,#REF!,ED$10:ED$81)</f>
        <v>0</v>
      </c>
      <c r="DS188" s="457"/>
      <c r="DT188" s="457"/>
      <c r="DU188" s="457"/>
      <c r="DV188" s="457"/>
      <c r="DW188" s="457"/>
      <c r="DX188" s="457"/>
      <c r="DY188" s="457"/>
      <c r="DZ188" s="457"/>
      <c r="EA188" s="457"/>
      <c r="EB188" s="457"/>
      <c r="EC188" s="457"/>
      <c r="ED188" s="457"/>
    </row>
    <row r="189" spans="61:134" ht="16.5" thickTop="1">
      <c r="BI189" s="457"/>
      <c r="BJ189" s="457"/>
      <c r="BK189" s="457"/>
      <c r="BL189" s="457"/>
      <c r="BM189" s="457"/>
      <c r="BN189" s="457"/>
      <c r="BO189" s="457"/>
      <c r="BP189" s="457"/>
      <c r="BQ189" s="457"/>
      <c r="BR189" s="457"/>
      <c r="BS189" s="457"/>
      <c r="BT189" s="457"/>
      <c r="BU189" s="457"/>
      <c r="BV189" s="457"/>
      <c r="BW189" s="457"/>
      <c r="BX189" s="457"/>
      <c r="BY189" s="457"/>
      <c r="BZ189" s="457"/>
      <c r="CA189" s="457"/>
      <c r="CB189" s="457"/>
      <c r="CC189" s="457"/>
      <c r="CD189" s="457"/>
      <c r="CE189" s="457"/>
      <c r="CF189" s="457"/>
      <c r="CG189" s="457"/>
      <c r="CH189" s="457"/>
      <c r="CI189" s="457"/>
      <c r="CJ189" s="457"/>
      <c r="CK189" s="457"/>
      <c r="CL189" s="457"/>
      <c r="CM189" s="457"/>
      <c r="CN189" s="457"/>
      <c r="CO189" s="457"/>
      <c r="CP189" s="457"/>
      <c r="CQ189" s="457"/>
      <c r="CR189" s="457"/>
      <c r="CS189" s="457"/>
      <c r="CT189" s="457"/>
      <c r="CU189" s="457"/>
      <c r="CV189" s="457"/>
      <c r="CW189" s="457"/>
      <c r="CX189" s="457"/>
      <c r="CY189" s="457"/>
      <c r="CZ189" s="457"/>
      <c r="DA189" s="457"/>
      <c r="DB189" s="457"/>
      <c r="DC189" s="457"/>
      <c r="DD189" s="457"/>
      <c r="DE189" s="457"/>
      <c r="DF189" s="457"/>
      <c r="DG189" s="457"/>
      <c r="DH189" s="457"/>
      <c r="DI189" s="457"/>
      <c r="DJ189" s="457"/>
      <c r="DK189" s="457"/>
      <c r="DL189" s="457"/>
      <c r="DM189" s="457"/>
      <c r="DN189" s="457"/>
      <c r="DO189" s="457"/>
      <c r="DP189" s="457"/>
      <c r="DQ189" s="457"/>
      <c r="DR189" s="457"/>
      <c r="DS189" s="457"/>
      <c r="DT189" s="457"/>
      <c r="DU189" s="457"/>
      <c r="DV189" s="457"/>
      <c r="DW189" s="457"/>
      <c r="DX189" s="457"/>
      <c r="DY189" s="457"/>
      <c r="DZ189" s="457"/>
      <c r="EA189" s="457"/>
      <c r="EB189" s="457"/>
      <c r="EC189" s="457"/>
      <c r="ED189" s="457"/>
    </row>
  </sheetData>
  <mergeCells count="10">
    <mergeCell ref="A7:B7"/>
    <mergeCell ref="AL6:AN6"/>
    <mergeCell ref="AP6:AT6"/>
    <mergeCell ref="D7:F7"/>
    <mergeCell ref="G7:I7"/>
    <mergeCell ref="DT100:DT101"/>
    <mergeCell ref="DU100:DU101"/>
    <mergeCell ref="DT6:DT7"/>
    <mergeCell ref="DU6:DU7"/>
    <mergeCell ref="AV6:AZ6"/>
  </mergeCells>
  <phoneticPr fontId="24" type="noConversion"/>
  <conditionalFormatting sqref="T9:T69">
    <cfRule type="notContainsBlanks" dxfId="4" priority="5">
      <formula>LEN(TRIM(T9))&gt;0</formula>
    </cfRule>
  </conditionalFormatting>
  <conditionalFormatting sqref="AB9:AB69">
    <cfRule type="notContainsBlanks" dxfId="3" priority="4">
      <formula>LEN(TRIM(AB9))&gt;0</formula>
    </cfRule>
  </conditionalFormatting>
  <conditionalFormatting sqref="AD9:AD69">
    <cfRule type="notContainsBlanks" dxfId="2" priority="3">
      <formula>LEN(TRIM(AD9))&gt;0</formula>
    </cfRule>
  </conditionalFormatting>
  <conditionalFormatting sqref="AI9:AJ69">
    <cfRule type="notContainsBlanks" dxfId="1" priority="2">
      <formula>LEN(TRIM(AI9))&gt;0</formula>
    </cfRule>
  </conditionalFormatting>
  <conditionalFormatting sqref="AZ9:AZ69">
    <cfRule type="notContainsBlanks" dxfId="0" priority="1">
      <formula>LEN(TRIM(AZ9))&gt;0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0D462-9AD2-4D16-810F-826225542881}">
  <sheetPr codeName="Sheet1"/>
  <dimension ref="A1:BY36"/>
  <sheetViews>
    <sheetView topLeftCell="B3" workbookViewId="0">
      <selection activeCell="N15" sqref="N15:N17"/>
    </sheetView>
  </sheetViews>
  <sheetFormatPr defaultColWidth="0" defaultRowHeight="15"/>
  <cols>
    <col min="1" max="1" width="0" style="62" hidden="1" customWidth="1"/>
    <col min="2" max="3" width="2.5" style="62" customWidth="1"/>
    <col min="4" max="4" width="35.375" style="62" bestFit="1" customWidth="1"/>
    <col min="5" max="5" width="1.625" style="62" bestFit="1" customWidth="1"/>
    <col min="6" max="6" width="10.375" style="62" bestFit="1" customWidth="1"/>
    <col min="7" max="7" width="12" style="62" bestFit="1" customWidth="1"/>
    <col min="8" max="11" width="16.875" style="62" customWidth="1"/>
    <col min="12" max="13" width="4.625" style="62" customWidth="1"/>
    <col min="14" max="14" width="17.375" style="62" bestFit="1" customWidth="1"/>
    <col min="15" max="15" width="9.375" style="62" bestFit="1" customWidth="1"/>
    <col min="16" max="17" width="7.5" style="62" bestFit="1" customWidth="1"/>
    <col min="18" max="20" width="10.5" style="62" bestFit="1" customWidth="1"/>
    <col min="21" max="22" width="7.375" style="62" bestFit="1" customWidth="1"/>
    <col min="23" max="23" width="2.5" style="62" customWidth="1"/>
    <col min="24" max="24" width="11.125" style="62" bestFit="1" customWidth="1"/>
    <col min="25" max="25" width="10.5" style="62" bestFit="1" customWidth="1"/>
    <col min="26" max="26" width="9" style="62" bestFit="1" customWidth="1"/>
    <col min="27" max="27" width="9.625" style="62" bestFit="1" customWidth="1"/>
    <col min="28" max="77" width="9" style="62" customWidth="1"/>
    <col min="78" max="16384" width="9" style="62" hidden="1"/>
  </cols>
  <sheetData>
    <row r="1" spans="3:29" hidden="1"/>
    <row r="2" spans="3:29" hidden="1"/>
    <row r="3" spans="3:29">
      <c r="C3" s="81" t="s">
        <v>78</v>
      </c>
      <c r="D3" s="64"/>
      <c r="E3" s="64"/>
      <c r="F3" s="64"/>
      <c r="G3" s="64"/>
      <c r="H3" s="65"/>
      <c r="I3" s="64"/>
      <c r="J3" s="64"/>
      <c r="K3" s="64"/>
      <c r="L3" s="64"/>
      <c r="M3" s="64"/>
      <c r="N3" s="81" t="s">
        <v>48</v>
      </c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</row>
    <row r="4" spans="3:29">
      <c r="C4" s="64"/>
      <c r="D4" s="64"/>
      <c r="E4" s="64"/>
      <c r="F4" s="64"/>
      <c r="G4" s="64"/>
      <c r="H4" s="65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</row>
    <row r="5" spans="3:29">
      <c r="C5" s="64"/>
      <c r="D5" s="64"/>
      <c r="E5" s="64"/>
      <c r="F5" s="64"/>
      <c r="G5" s="64"/>
      <c r="H5" s="65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</row>
    <row r="6" spans="3:29" ht="15.75" thickBot="1"/>
    <row r="7" spans="3:29" ht="16.5" thickTop="1" thickBot="1">
      <c r="C7" s="93"/>
      <c r="F7" s="91"/>
      <c r="G7" s="91"/>
      <c r="H7" s="91"/>
      <c r="I7" s="91"/>
      <c r="K7" s="91"/>
      <c r="N7" s="75"/>
      <c r="O7" s="76" t="s">
        <v>9</v>
      </c>
      <c r="P7" s="76" t="s">
        <v>35</v>
      </c>
      <c r="Q7" s="84" t="s">
        <v>37</v>
      </c>
      <c r="R7" s="77" t="s">
        <v>50</v>
      </c>
      <c r="S7" s="77" t="s">
        <v>39</v>
      </c>
      <c r="T7" s="77" t="s">
        <v>46</v>
      </c>
      <c r="U7" s="77" t="s">
        <v>1</v>
      </c>
      <c r="V7" s="77" t="s">
        <v>1</v>
      </c>
      <c r="W7" s="77"/>
      <c r="X7" s="77"/>
      <c r="Y7" s="77"/>
      <c r="Z7" s="77" t="s">
        <v>49</v>
      </c>
      <c r="AA7" s="77" t="s">
        <v>51</v>
      </c>
      <c r="AB7" s="93"/>
      <c r="AC7" s="63"/>
    </row>
    <row r="8" spans="3:29" ht="16.5" thickTop="1" thickBot="1">
      <c r="C8" s="69"/>
      <c r="D8" s="68"/>
      <c r="E8" s="67"/>
      <c r="F8" s="641" t="s">
        <v>53</v>
      </c>
      <c r="G8" s="642"/>
      <c r="H8" s="641" t="s">
        <v>54</v>
      </c>
      <c r="I8" s="642"/>
      <c r="J8" s="641" t="s">
        <v>55</v>
      </c>
      <c r="K8" s="642"/>
      <c r="N8" s="78" t="s">
        <v>5</v>
      </c>
      <c r="O8" s="78" t="s">
        <v>36</v>
      </c>
      <c r="P8" s="78" t="s">
        <v>0</v>
      </c>
      <c r="Q8" s="78" t="s">
        <v>4</v>
      </c>
      <c r="R8" s="79" t="s">
        <v>34</v>
      </c>
      <c r="S8" s="79" t="s">
        <v>38</v>
      </c>
      <c r="T8" s="79" t="s">
        <v>47</v>
      </c>
      <c r="U8" s="79" t="s">
        <v>45</v>
      </c>
      <c r="V8" s="79" t="s">
        <v>45</v>
      </c>
      <c r="W8" s="79"/>
      <c r="X8" s="79"/>
      <c r="Y8" s="79"/>
      <c r="Z8" s="83">
        <v>0.1</v>
      </c>
      <c r="AA8" s="83">
        <v>0.1</v>
      </c>
      <c r="AB8" s="93"/>
      <c r="AC8" s="63"/>
    </row>
    <row r="9" spans="3:29" s="69" customFormat="1" ht="16.5" thickTop="1" thickBot="1">
      <c r="C9" s="70"/>
      <c r="D9" s="66"/>
      <c r="E9" s="67"/>
      <c r="F9" s="91" t="s">
        <v>56</v>
      </c>
      <c r="G9" s="91" t="s">
        <v>57</v>
      </c>
      <c r="H9" s="91" t="s">
        <v>56</v>
      </c>
      <c r="I9" s="91" t="s">
        <v>57</v>
      </c>
      <c r="J9" s="91" t="s">
        <v>56</v>
      </c>
      <c r="K9" s="91" t="s">
        <v>57</v>
      </c>
      <c r="L9" s="62"/>
      <c r="M9" s="62"/>
      <c r="N9" s="71" t="s">
        <v>40</v>
      </c>
      <c r="O9" s="72">
        <v>42705</v>
      </c>
      <c r="P9" s="71">
        <v>43282</v>
      </c>
      <c r="Q9" s="72">
        <v>43862</v>
      </c>
      <c r="R9" s="73">
        <v>3557264</v>
      </c>
      <c r="S9" s="73">
        <v>4475000</v>
      </c>
      <c r="T9" s="73">
        <f>S9-R9</f>
        <v>917736</v>
      </c>
      <c r="U9" s="80">
        <f>S9/R9</f>
        <v>1.257989286148006</v>
      </c>
      <c r="V9" s="80">
        <f>T9/Q9</f>
        <v>20.923259313300807</v>
      </c>
      <c r="W9" s="80"/>
      <c r="X9" s="73">
        <v>-1000000</v>
      </c>
      <c r="Y9" s="73">
        <f>X9+R9</f>
        <v>2557264</v>
      </c>
      <c r="Z9" s="73">
        <f>Y9*Z$8</f>
        <v>255726.40000000002</v>
      </c>
      <c r="AA9" s="73">
        <f>Y9*AA$8</f>
        <v>255726.40000000002</v>
      </c>
      <c r="AB9" s="93"/>
      <c r="AC9" s="82">
        <f>Z9+AA9</f>
        <v>511452.80000000005</v>
      </c>
    </row>
    <row r="10" spans="3:29" s="69" customFormat="1" ht="16.5" thickTop="1" thickBot="1">
      <c r="C10" s="70"/>
      <c r="D10" s="94" t="s">
        <v>58</v>
      </c>
      <c r="E10" s="73"/>
      <c r="F10" s="95">
        <v>7625000</v>
      </c>
      <c r="G10" s="95">
        <v>7625000</v>
      </c>
      <c r="H10" s="95">
        <v>7625000</v>
      </c>
      <c r="I10" s="95">
        <v>7625000</v>
      </c>
      <c r="J10" s="95">
        <v>7625000</v>
      </c>
      <c r="K10" s="95">
        <v>7625000</v>
      </c>
      <c r="L10" s="62"/>
      <c r="M10" s="62"/>
      <c r="N10" s="70" t="s">
        <v>41</v>
      </c>
      <c r="O10" s="74">
        <v>43497</v>
      </c>
      <c r="P10" s="74">
        <v>43831</v>
      </c>
      <c r="Q10" s="71">
        <v>44228</v>
      </c>
      <c r="R10" s="73">
        <v>3693150</v>
      </c>
      <c r="S10" s="73">
        <v>5200000</v>
      </c>
      <c r="T10" s="73">
        <f>S10-R10</f>
        <v>1506850</v>
      </c>
      <c r="U10" s="80">
        <f>S10/R10</f>
        <v>1.408012130566048</v>
      </c>
      <c r="V10" s="80">
        <f>T10/Q10</f>
        <v>34.070046124626934</v>
      </c>
      <c r="W10" s="80"/>
      <c r="X10" s="73">
        <v>-1000000</v>
      </c>
      <c r="Y10" s="73">
        <f>X10+R10</f>
        <v>2693150</v>
      </c>
      <c r="Z10" s="73">
        <f>Y10*Z$8</f>
        <v>269315</v>
      </c>
      <c r="AA10" s="73">
        <f>Y10*AA$8</f>
        <v>269315</v>
      </c>
      <c r="AB10" s="93"/>
      <c r="AC10" s="82">
        <f t="shared" ref="AC10:AC13" si="0">Z10+AA10</f>
        <v>538630</v>
      </c>
    </row>
    <row r="11" spans="3:29" s="69" customFormat="1" ht="18.600000000000001" customHeight="1" thickTop="1" thickBot="1">
      <c r="C11" s="70"/>
      <c r="D11" s="71" t="s">
        <v>59</v>
      </c>
      <c r="E11" s="101"/>
      <c r="F11" s="95">
        <v>24375</v>
      </c>
      <c r="G11" s="95">
        <v>24375</v>
      </c>
      <c r="H11" s="95">
        <v>26250</v>
      </c>
      <c r="I11" s="95">
        <v>26250</v>
      </c>
      <c r="J11" s="95">
        <v>28125</v>
      </c>
      <c r="K11" s="95">
        <v>28125</v>
      </c>
      <c r="L11" s="62"/>
      <c r="M11" s="62"/>
      <c r="N11" s="70" t="s">
        <v>42</v>
      </c>
      <c r="O11" s="72">
        <v>43252</v>
      </c>
      <c r="P11" s="71">
        <v>44044</v>
      </c>
      <c r="Q11" s="72">
        <v>44501</v>
      </c>
      <c r="R11" s="73">
        <v>3561921</v>
      </c>
      <c r="S11" s="73">
        <v>5950000</v>
      </c>
      <c r="T11" s="73">
        <f>S11-R11</f>
        <v>2388079</v>
      </c>
      <c r="U11" s="80">
        <f>S11/R11</f>
        <v>1.6704469301817755</v>
      </c>
      <c r="V11" s="80">
        <f>T11/Q11</f>
        <v>53.663490708073979</v>
      </c>
      <c r="W11" s="80"/>
      <c r="X11" s="73">
        <v>-1000000</v>
      </c>
      <c r="Y11" s="73">
        <f>X11+R11</f>
        <v>2561921</v>
      </c>
      <c r="Z11" s="73">
        <f>Y11*Z$8</f>
        <v>256192.1</v>
      </c>
      <c r="AA11" s="73">
        <f>Y11*AA$8</f>
        <v>256192.1</v>
      </c>
      <c r="AB11" s="93"/>
      <c r="AC11" s="82">
        <f t="shared" si="0"/>
        <v>512384.2</v>
      </c>
    </row>
    <row r="12" spans="3:29" s="69" customFormat="1" ht="18.600000000000001" customHeight="1" thickTop="1" thickBot="1">
      <c r="C12" s="70"/>
      <c r="D12" s="72" t="s">
        <v>60</v>
      </c>
      <c r="E12" s="106">
        <v>1</v>
      </c>
      <c r="F12" s="95">
        <v>487500</v>
      </c>
      <c r="G12" s="95">
        <v>487500</v>
      </c>
      <c r="H12" s="95">
        <v>525000</v>
      </c>
      <c r="I12" s="95">
        <v>525000</v>
      </c>
      <c r="J12" s="95">
        <v>562500</v>
      </c>
      <c r="K12" s="95">
        <v>562500</v>
      </c>
      <c r="L12" s="62"/>
      <c r="M12" s="62"/>
      <c r="N12" s="70" t="s">
        <v>43</v>
      </c>
      <c r="O12" s="74">
        <v>43739</v>
      </c>
      <c r="P12" s="74">
        <v>43862</v>
      </c>
      <c r="Q12" s="71">
        <v>44621</v>
      </c>
      <c r="R12" s="73">
        <v>4327861</v>
      </c>
      <c r="S12" s="73">
        <v>7150000</v>
      </c>
      <c r="T12" s="73">
        <f>S12-R12</f>
        <v>2822139</v>
      </c>
      <c r="U12" s="80">
        <f>S12/R12</f>
        <v>1.6520863308687594</v>
      </c>
      <c r="V12" s="80">
        <f>T12/Q12</f>
        <v>63.246879272091618</v>
      </c>
      <c r="W12" s="80"/>
      <c r="X12" s="73">
        <v>-1000000</v>
      </c>
      <c r="Y12" s="73">
        <f>X12+R12</f>
        <v>3327861</v>
      </c>
      <c r="Z12" s="73">
        <f>Y12*Z$8</f>
        <v>332786.10000000003</v>
      </c>
      <c r="AA12" s="73">
        <f>Y12*AA$8</f>
        <v>332786.10000000003</v>
      </c>
      <c r="AB12" s="93"/>
      <c r="AC12" s="82">
        <f t="shared" si="0"/>
        <v>665572.20000000007</v>
      </c>
    </row>
    <row r="13" spans="3:29" s="69" customFormat="1" ht="18.600000000000001" customHeight="1" thickTop="1" thickBot="1">
      <c r="C13" s="70"/>
      <c r="D13" s="71" t="s">
        <v>61</v>
      </c>
      <c r="E13" s="104"/>
      <c r="F13" s="95">
        <v>585000</v>
      </c>
      <c r="G13" s="95">
        <v>585000</v>
      </c>
      <c r="H13" s="95">
        <v>630000</v>
      </c>
      <c r="I13" s="95">
        <v>630000</v>
      </c>
      <c r="J13" s="95">
        <v>675000</v>
      </c>
      <c r="K13" s="95">
        <v>675000</v>
      </c>
      <c r="L13" s="62"/>
      <c r="M13" s="62"/>
      <c r="N13" s="70" t="s">
        <v>44</v>
      </c>
      <c r="O13" s="74">
        <v>44013</v>
      </c>
      <c r="P13" s="74">
        <v>44593</v>
      </c>
      <c r="Q13" s="71">
        <v>45292</v>
      </c>
      <c r="R13" s="73">
        <v>6828215</v>
      </c>
      <c r="S13" s="73">
        <v>9300000</v>
      </c>
      <c r="T13" s="73">
        <f>S13-R13</f>
        <v>2471785</v>
      </c>
      <c r="U13" s="80">
        <f>S13/R13</f>
        <v>1.3619957778130887</v>
      </c>
      <c r="V13" s="80">
        <f>T13/Q13</f>
        <v>54.574428155082572</v>
      </c>
      <c r="W13" s="80"/>
      <c r="X13" s="73">
        <v>-1500000</v>
      </c>
      <c r="Y13" s="73">
        <f>X13+R13</f>
        <v>5328215</v>
      </c>
      <c r="Z13" s="73">
        <f>Y13*Z$8</f>
        <v>532821.5</v>
      </c>
      <c r="AA13" s="73">
        <f>Y13*AA$8</f>
        <v>532821.5</v>
      </c>
      <c r="AB13" s="93"/>
      <c r="AC13" s="82">
        <f t="shared" si="0"/>
        <v>1065643</v>
      </c>
    </row>
    <row r="14" spans="3:29" s="69" customFormat="1" ht="18.600000000000001" customHeight="1" thickTop="1" thickBot="1">
      <c r="C14" s="63"/>
      <c r="D14" s="72" t="s">
        <v>62</v>
      </c>
      <c r="E14" s="106">
        <v>2</v>
      </c>
      <c r="F14" s="95">
        <v>1040000</v>
      </c>
      <c r="G14" s="95">
        <v>1520000</v>
      </c>
      <c r="H14" s="95">
        <v>1040000</v>
      </c>
      <c r="I14" s="95">
        <v>1520000</v>
      </c>
      <c r="J14" s="95">
        <v>1040000</v>
      </c>
      <c r="K14" s="95">
        <v>1520000</v>
      </c>
      <c r="L14" s="62"/>
      <c r="M14" s="62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</row>
    <row r="15" spans="3:29" ht="18.600000000000001" customHeight="1" thickTop="1" thickBot="1">
      <c r="C15" s="63"/>
      <c r="D15" s="103" t="s">
        <v>63</v>
      </c>
      <c r="E15" s="106">
        <v>3</v>
      </c>
      <c r="F15" s="96">
        <v>10000</v>
      </c>
      <c r="G15" s="96">
        <v>10000</v>
      </c>
      <c r="H15" s="96">
        <v>10000</v>
      </c>
      <c r="I15" s="96">
        <v>10000</v>
      </c>
      <c r="J15" s="96">
        <v>10000</v>
      </c>
      <c r="K15" s="96">
        <v>10000</v>
      </c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</row>
    <row r="16" spans="3:29" ht="18.600000000000001" customHeight="1" thickTop="1" thickBot="1">
      <c r="C16" s="63"/>
      <c r="D16" s="97" t="s">
        <v>64</v>
      </c>
      <c r="E16" s="105"/>
      <c r="F16" s="95">
        <f>SUM(F10:F15)</f>
        <v>9771875</v>
      </c>
      <c r="G16" s="95">
        <f t="shared" ref="G16:J16" si="1">SUM(G10:G15)</f>
        <v>10251875</v>
      </c>
      <c r="H16" s="95">
        <f t="shared" si="1"/>
        <v>9856250</v>
      </c>
      <c r="I16" s="95">
        <f t="shared" si="1"/>
        <v>10336250</v>
      </c>
      <c r="J16" s="95">
        <f t="shared" si="1"/>
        <v>9940625</v>
      </c>
      <c r="K16" s="95">
        <v>10420625</v>
      </c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</row>
    <row r="17" spans="4:29" ht="16.5" thickTop="1" thickBot="1"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</row>
    <row r="18" spans="4:29" ht="18.600000000000001" customHeight="1" thickTop="1" thickBot="1">
      <c r="D18" s="70" t="s">
        <v>65</v>
      </c>
      <c r="E18" s="104"/>
      <c r="F18" s="95">
        <v>9750000</v>
      </c>
      <c r="G18" s="95">
        <v>9750000</v>
      </c>
      <c r="H18" s="95">
        <v>10500000</v>
      </c>
      <c r="I18" s="95">
        <v>10500000</v>
      </c>
      <c r="J18" s="95">
        <v>11250000</v>
      </c>
      <c r="K18" s="95">
        <v>11250000</v>
      </c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</row>
    <row r="19" spans="4:29" ht="18.600000000000001" customHeight="1" thickTop="1" thickBot="1">
      <c r="D19" s="70" t="s">
        <v>66</v>
      </c>
      <c r="E19" s="104"/>
      <c r="F19" s="95">
        <v>1300</v>
      </c>
      <c r="G19" s="95">
        <v>1300</v>
      </c>
      <c r="H19" s="95">
        <v>1400</v>
      </c>
      <c r="I19" s="95">
        <v>1400</v>
      </c>
      <c r="J19" s="95">
        <v>1500</v>
      </c>
      <c r="K19" s="95">
        <v>1500</v>
      </c>
    </row>
    <row r="20" spans="4:29" ht="18.600000000000001" customHeight="1" thickTop="1" thickBot="1">
      <c r="D20" s="70" t="s">
        <v>67</v>
      </c>
      <c r="E20" s="104"/>
      <c r="F20" s="95">
        <v>-21875</v>
      </c>
      <c r="G20" s="95">
        <v>-501875</v>
      </c>
      <c r="H20" s="95">
        <v>643750</v>
      </c>
      <c r="I20" s="95">
        <v>163750</v>
      </c>
      <c r="J20" s="95">
        <v>1309375</v>
      </c>
      <c r="K20" s="95">
        <v>829375</v>
      </c>
    </row>
    <row r="21" spans="4:29" ht="18.600000000000001" customHeight="1" thickTop="1" thickBot="1">
      <c r="D21" s="70" t="s">
        <v>68</v>
      </c>
      <c r="E21" s="104"/>
      <c r="F21" s="98">
        <v>-2.92</v>
      </c>
      <c r="G21" s="98">
        <v>-66.92</v>
      </c>
      <c r="H21" s="98">
        <v>85.83</v>
      </c>
      <c r="I21" s="98">
        <v>21.83</v>
      </c>
      <c r="J21" s="98">
        <v>174.58</v>
      </c>
      <c r="K21" s="98">
        <v>110.58</v>
      </c>
    </row>
    <row r="22" spans="4:29" ht="18.600000000000001" customHeight="1" thickTop="1" thickBot="1">
      <c r="D22" s="70" t="s">
        <v>69</v>
      </c>
      <c r="E22" s="104"/>
      <c r="F22" s="99">
        <v>0</v>
      </c>
      <c r="G22" s="99">
        <v>-0.05</v>
      </c>
      <c r="H22" s="99">
        <v>0.06</v>
      </c>
      <c r="I22" s="99">
        <v>2E-3</v>
      </c>
      <c r="J22" s="99">
        <v>1.2E-2</v>
      </c>
      <c r="K22" s="99">
        <v>7.0000000000000007E-2</v>
      </c>
    </row>
    <row r="23" spans="4:29" ht="18.600000000000001" customHeight="1" thickTop="1" thickBot="1">
      <c r="D23" s="70" t="s">
        <v>70</v>
      </c>
      <c r="E23" s="104"/>
      <c r="F23" s="95">
        <v>7500</v>
      </c>
      <c r="G23" s="95">
        <v>7500</v>
      </c>
      <c r="H23" s="95">
        <v>7500</v>
      </c>
      <c r="I23" s="95">
        <v>7500</v>
      </c>
      <c r="J23" s="95">
        <v>7500</v>
      </c>
      <c r="K23" s="95">
        <v>7500</v>
      </c>
    </row>
    <row r="24" spans="4:29" ht="18.600000000000001" customHeight="1" thickTop="1" thickBot="1">
      <c r="D24" s="70" t="s">
        <v>71</v>
      </c>
      <c r="E24" s="104"/>
      <c r="F24" s="95">
        <v>530</v>
      </c>
      <c r="G24" s="95">
        <v>530</v>
      </c>
      <c r="H24" s="95">
        <v>530</v>
      </c>
      <c r="I24" s="95">
        <v>530</v>
      </c>
      <c r="J24" s="95">
        <v>530</v>
      </c>
      <c r="K24" s="95">
        <v>530</v>
      </c>
    </row>
    <row r="25" spans="4:29" ht="18.600000000000001" customHeight="1" thickTop="1" thickBot="1">
      <c r="D25" s="70" t="s">
        <v>72</v>
      </c>
      <c r="E25" s="104"/>
      <c r="F25" s="95">
        <v>3975000</v>
      </c>
      <c r="G25" s="95">
        <v>3975000</v>
      </c>
      <c r="H25" s="95">
        <v>3975000</v>
      </c>
      <c r="I25" s="95">
        <v>3975000</v>
      </c>
      <c r="J25" s="95">
        <v>3975000</v>
      </c>
      <c r="K25" s="95">
        <v>3975000</v>
      </c>
    </row>
    <row r="26" spans="4:29" ht="18.600000000000001" customHeight="1" thickTop="1" thickBot="1">
      <c r="D26" s="70" t="s">
        <v>73</v>
      </c>
      <c r="E26" s="104"/>
      <c r="F26" s="95">
        <v>1300</v>
      </c>
      <c r="G26" s="95">
        <v>1300</v>
      </c>
      <c r="H26" s="95">
        <v>1400</v>
      </c>
      <c r="I26" s="95">
        <v>1400</v>
      </c>
      <c r="J26" s="95">
        <v>1500</v>
      </c>
      <c r="K26" s="95">
        <v>1500</v>
      </c>
    </row>
    <row r="27" spans="4:29" ht="18.600000000000001" customHeight="1" thickTop="1" thickBot="1">
      <c r="D27" s="70" t="s">
        <v>74</v>
      </c>
      <c r="E27" s="104"/>
      <c r="F27" s="95" t="s">
        <v>75</v>
      </c>
      <c r="G27" s="95">
        <v>-67</v>
      </c>
      <c r="H27" s="95">
        <v>86</v>
      </c>
      <c r="I27" s="95">
        <v>22</v>
      </c>
      <c r="J27" s="95">
        <v>175</v>
      </c>
      <c r="K27" s="95">
        <v>111</v>
      </c>
    </row>
    <row r="28" spans="4:29" ht="18.600000000000001" customHeight="1" thickTop="1" thickBot="1">
      <c r="D28" s="100" t="s">
        <v>77</v>
      </c>
      <c r="E28" s="104"/>
      <c r="F28" s="95">
        <v>3650000</v>
      </c>
      <c r="G28" s="95">
        <v>3650000</v>
      </c>
      <c r="H28" s="95">
        <v>3650000</v>
      </c>
      <c r="I28" s="95">
        <v>3650000</v>
      </c>
      <c r="J28" s="95">
        <v>3650000</v>
      </c>
      <c r="K28" s="95">
        <v>3650000</v>
      </c>
    </row>
    <row r="29" spans="4:29" ht="18.600000000000001" customHeight="1" thickTop="1" thickBot="1">
      <c r="D29" s="70" t="s">
        <v>76</v>
      </c>
      <c r="E29" s="106">
        <v>4</v>
      </c>
      <c r="F29" s="95">
        <v>1040000</v>
      </c>
      <c r="G29" s="95">
        <v>1520000</v>
      </c>
      <c r="H29" s="95">
        <v>1040000</v>
      </c>
      <c r="I29" s="95">
        <v>1520000</v>
      </c>
      <c r="J29" s="95">
        <v>1040000</v>
      </c>
      <c r="K29" s="95">
        <v>1520000</v>
      </c>
    </row>
    <row r="30" spans="4:29" ht="18.600000000000001" customHeight="1" thickTop="1" thickBot="1">
      <c r="D30" s="70"/>
      <c r="E30" s="104"/>
      <c r="F30" s="70"/>
      <c r="G30" s="70"/>
      <c r="H30" s="69"/>
      <c r="I30" s="70"/>
      <c r="J30" s="70"/>
      <c r="K30" s="70"/>
    </row>
    <row r="31" spans="4:29" ht="18.600000000000001" customHeight="1" thickTop="1" thickBot="1">
      <c r="D31" s="63"/>
      <c r="E31" s="63"/>
      <c r="F31" s="63"/>
      <c r="G31" s="102"/>
      <c r="H31" s="102"/>
      <c r="I31" s="102"/>
      <c r="J31" s="102"/>
      <c r="K31" s="102"/>
    </row>
    <row r="32" spans="4:29" ht="16.5" thickTop="1" thickBot="1">
      <c r="D32" s="92" t="s">
        <v>79</v>
      </c>
      <c r="E32" s="63"/>
      <c r="F32" s="102"/>
      <c r="G32" s="102"/>
      <c r="H32" s="102"/>
      <c r="I32" s="102"/>
      <c r="J32" s="102"/>
      <c r="K32" s="102"/>
    </row>
    <row r="33" spans="4:4" ht="16.5" thickTop="1" thickBot="1">
      <c r="D33" s="92" t="s">
        <v>82</v>
      </c>
    </row>
    <row r="34" spans="4:4" ht="16.5" thickTop="1" thickBot="1">
      <c r="D34" s="92" t="s">
        <v>80</v>
      </c>
    </row>
    <row r="35" spans="4:4" ht="16.5" thickTop="1" thickBot="1">
      <c r="D35" s="92" t="s">
        <v>81</v>
      </c>
    </row>
    <row r="36" spans="4:4" ht="15.75" thickTop="1"/>
  </sheetData>
  <mergeCells count="3">
    <mergeCell ref="F8:G8"/>
    <mergeCell ref="H8:I8"/>
    <mergeCell ref="J8:K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Project</vt:lpstr>
      <vt:lpstr>Reports</vt:lpstr>
      <vt:lpstr>CALCS</vt:lpstr>
      <vt:lpstr>Paramount</vt:lpstr>
      <vt:lpstr>c_date.Complete</vt:lpstr>
      <vt:lpstr>c_date.Sale</vt:lpstr>
      <vt:lpstr>c_equity.Total</vt:lpstr>
      <vt:lpstr>c_EquityShare.LP</vt:lpstr>
      <vt:lpstr>c_period.Complete</vt:lpstr>
      <vt:lpstr>c_SeniorLoan.CloseMonth</vt:lpstr>
      <vt:lpstr>cv_Period.MO</vt:lpstr>
      <vt:lpstr>i_address</vt:lpstr>
      <vt:lpstr>i_date.Start</vt:lpstr>
      <vt:lpstr>i_EquityShare.GP</vt:lpstr>
      <vt:lpstr>i_rate.Conting</vt:lpstr>
      <vt:lpstr>i_rate.Hurdle1</vt:lpstr>
      <vt:lpstr>i_rate.Hurdle2</vt:lpstr>
      <vt:lpstr>i_rate.Hurdle3</vt:lpstr>
      <vt:lpstr>i_rate.Pref</vt:lpstr>
      <vt:lpstr>Project!Print_Area</vt:lpstr>
      <vt:lpstr>rng_assumptions.Basic</vt:lpstr>
      <vt:lpstr>rng_assumptions.Indirect</vt:lpstr>
      <vt:lpstr>rng_costStart.Active</vt:lpstr>
      <vt:lpstr>rng_costToCompl.Active</vt:lpstr>
      <vt:lpstr>rng_debt</vt:lpstr>
      <vt:lpstr>rng_promoteRates</vt:lpstr>
      <vt:lpstr>rng_results.Active</vt:lpstr>
      <vt:lpstr>rng_waterfallHurdles</vt:lpstr>
      <vt:lpstr>rpt_Proforma</vt:lpstr>
      <vt:lpstr>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Gregg Wolin</dc:creator>
  <cp:keywords/>
  <dc:description/>
  <cp:lastModifiedBy>Gregg Wolin</cp:lastModifiedBy>
  <cp:revision/>
  <cp:lastPrinted>2024-04-08T20:25:23Z</cp:lastPrinted>
  <dcterms:created xsi:type="dcterms:W3CDTF">2020-09-11T16:58:30Z</dcterms:created>
  <dcterms:modified xsi:type="dcterms:W3CDTF">2024-11-19T00:43:41Z</dcterms:modified>
  <cp:category/>
  <cp:contentStatus/>
</cp:coreProperties>
</file>